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6 固定资产循环控制测试\"/>
    </mc:Choice>
  </mc:AlternateContent>
  <bookViews>
    <workbookView xWindow="0" yWindow="0" windowWidth="22188" windowHeight="9180"/>
  </bookViews>
  <sheets>
    <sheet name="C6-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'C6-2评价控制偏差'!$A$1:$F$22</definedName>
    <definedName name="_xlnm.Print_Area" localSheetId="1">'示例-评价控制偏差（不打印）'!$A$1:$F$30</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2" l="1"/>
  <c r="D27" i="2"/>
  <c r="F25" i="2"/>
  <c r="D25" i="2"/>
  <c r="C24" i="2"/>
  <c r="D23" i="2"/>
  <c r="D21" i="2"/>
  <c r="D19" i="2"/>
  <c r="D17" i="2"/>
  <c r="D15" i="2"/>
  <c r="D13" i="2"/>
  <c r="D10" i="2"/>
  <c r="D21" i="1"/>
  <c r="D17" i="1"/>
  <c r="C18" i="1" s="1"/>
  <c r="D15" i="1"/>
  <c r="D13" i="1"/>
  <c r="D11" i="1"/>
  <c r="D19" i="1" l="1"/>
  <c r="F19" i="1" s="1"/>
</calcChain>
</file>

<file path=xl/sharedStrings.xml><?xml version="1.0" encoding="utf-8"?>
<sst xmlns="http://schemas.openxmlformats.org/spreadsheetml/2006/main" count="101" uniqueCount="92">
  <si>
    <r>
      <rPr>
        <b/>
        <sz val="10"/>
        <rFont val="宋体"/>
        <charset val="134"/>
      </rPr>
      <t>致同会计师事务所</t>
    </r>
  </si>
  <si>
    <r>
      <rPr>
        <b/>
        <sz val="12"/>
        <rFont val="宋体"/>
        <charset val="134"/>
      </rPr>
      <t>固定资产循环评价控制偏差</t>
    </r>
  </si>
  <si>
    <r>
      <rPr>
        <sz val="10"/>
        <rFont val="宋体"/>
        <charset val="134"/>
      </rPr>
      <t>被审计单位：</t>
    </r>
  </si>
  <si>
    <r>
      <rPr>
        <sz val="10"/>
        <rFont val="宋体"/>
        <charset val="134"/>
      </rPr>
      <t>编制人：</t>
    </r>
  </si>
  <si>
    <r>
      <rPr>
        <sz val="10"/>
        <rFont val="宋体"/>
        <charset val="134"/>
      </rPr>
      <t>编制日期：</t>
    </r>
  </si>
  <si>
    <r>
      <rPr>
        <sz val="10"/>
        <rFont val="宋体"/>
        <charset val="134"/>
      </rPr>
      <t>索引号：</t>
    </r>
    <r>
      <rPr>
        <sz val="10"/>
        <rFont val="Arial Narrow"/>
        <family val="2"/>
      </rPr>
      <t>C6-2</t>
    </r>
  </si>
  <si>
    <r>
      <rPr>
        <sz val="10"/>
        <rFont val="宋体"/>
        <charset val="134"/>
      </rPr>
      <t>截止日：</t>
    </r>
    <r>
      <rPr>
        <sz val="10"/>
        <rFont val="Arial Narrow"/>
        <family val="2"/>
      </rPr>
      <t>202X</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</si>
  <si>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</si>
  <si>
    <r>
      <rPr>
        <sz val="10"/>
        <rFont val="宋体"/>
        <charset val="134"/>
      </rPr>
      <t>复核日期：</t>
    </r>
  </si>
  <si>
    <r>
      <rPr>
        <sz val="10"/>
        <rFont val="宋体"/>
        <charset val="134"/>
      </rPr>
      <t>页</t>
    </r>
    <r>
      <rPr>
        <sz val="10"/>
        <rFont val="Arial Narrow"/>
        <family val="2"/>
      </rPr>
      <t xml:space="preserve">   </t>
    </r>
    <r>
      <rPr>
        <sz val="10"/>
        <rFont val="宋体"/>
        <charset val="134"/>
      </rPr>
      <t>次：</t>
    </r>
  </si>
  <si>
    <r>
      <rPr>
        <b/>
        <sz val="10"/>
        <rFont val="宋体"/>
        <charset val="134"/>
      </rPr>
      <t>控制例外情况描述：</t>
    </r>
  </si>
  <si>
    <r>
      <rPr>
        <b/>
        <sz val="10"/>
        <color indexed="8"/>
        <rFont val="宋体"/>
        <charset val="134"/>
      </rPr>
      <t>评价步骤</t>
    </r>
  </si>
  <si>
    <r>
      <rPr>
        <b/>
        <sz val="10"/>
        <color indexed="8"/>
        <rFont val="宋体"/>
        <charset val="134"/>
      </rPr>
      <t>是</t>
    </r>
    <r>
      <rPr>
        <b/>
        <sz val="10"/>
        <color indexed="8"/>
        <rFont val="Arial Narrow"/>
        <family val="2"/>
      </rPr>
      <t>/</t>
    </r>
    <r>
      <rPr>
        <b/>
        <sz val="10"/>
        <color indexed="8"/>
        <rFont val="宋体"/>
        <charset val="134"/>
      </rPr>
      <t>否</t>
    </r>
  </si>
  <si>
    <r>
      <rPr>
        <b/>
        <sz val="10"/>
        <color indexed="8"/>
        <rFont val="宋体"/>
        <charset val="134"/>
      </rPr>
      <t>评价分析过程</t>
    </r>
  </si>
  <si>
    <r>
      <rPr>
        <b/>
        <sz val="10"/>
        <color indexed="8"/>
        <rFont val="宋体"/>
        <charset val="134"/>
      </rPr>
      <t>备注</t>
    </r>
  </si>
  <si>
    <r>
      <rPr>
        <sz val="10"/>
        <color indexed="8"/>
        <rFont val="宋体"/>
        <charset val="134"/>
      </rPr>
      <t>步骤一：</t>
    </r>
    <r>
      <rPr>
        <sz val="10"/>
        <color indexed="8"/>
        <rFont val="Arial Narrow"/>
        <family val="2"/>
      </rPr>
      <t xml:space="preserve">
</t>
    </r>
    <r>
      <rPr>
        <sz val="10"/>
        <color indexed="8"/>
        <rFont val="宋体"/>
        <charset val="134"/>
      </rPr>
      <t>确认发现的控制例外情况（选定的样本无法执行控制测试）是否属于控制偏差（内部控制运行偏离设计）？</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1]</t>
    </r>
  </si>
  <si>
    <r>
      <rPr>
        <sz val="10"/>
        <color indexed="8"/>
        <rFont val="宋体"/>
        <charset val="134"/>
      </rPr>
      <t>步骤二：</t>
    </r>
    <r>
      <rPr>
        <sz val="10"/>
        <color indexed="8"/>
        <rFont val="Arial Narrow"/>
        <family val="2"/>
      </rPr>
      <t xml:space="preserve">
</t>
    </r>
    <r>
      <rPr>
        <sz val="10"/>
        <color indexed="8"/>
        <rFont val="宋体"/>
        <charset val="134"/>
      </rPr>
      <t>确定控制偏差的性质：系统性偏差？人为有意造成的偏差？随机性偏差？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2]</t>
    </r>
  </si>
  <si>
    <r>
      <rPr>
        <sz val="10"/>
        <color indexed="8"/>
        <rFont val="宋体"/>
        <charset val="134"/>
      </rPr>
      <t>步骤三：</t>
    </r>
    <r>
      <rPr>
        <sz val="10"/>
        <color indexed="8"/>
        <rFont val="Arial Narrow"/>
        <family val="2"/>
      </rPr>
      <t xml:space="preserve">
</t>
    </r>
    <r>
      <rPr>
        <sz val="10"/>
        <color indexed="8"/>
        <rFont val="宋体"/>
        <charset val="134"/>
      </rPr>
      <t>对于随机性的偏差，确定适当的审计应对措施：扩大样本量进行测试？直接将该项控制偏差视作缺陷？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3]</t>
    </r>
  </si>
  <si>
    <r>
      <rPr>
        <sz val="10"/>
        <color indexed="8"/>
        <rFont val="宋体"/>
        <charset val="134"/>
      </rPr>
      <t>步骤四：</t>
    </r>
    <r>
      <rPr>
        <sz val="10"/>
        <color indexed="8"/>
        <rFont val="Arial Narrow"/>
        <family val="2"/>
      </rPr>
      <t xml:space="preserve">
</t>
    </r>
    <r>
      <rPr>
        <sz val="10"/>
        <color indexed="8"/>
        <rFont val="宋体"/>
        <charset val="134"/>
      </rPr>
      <t>根据发现的控制偏差的数量来确定扩大样本量的范围，扩大样本量进行测试后是否发现新的偏差？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4]</t>
    </r>
  </si>
  <si>
    <r>
      <rPr>
        <sz val="10"/>
        <color indexed="8"/>
        <rFont val="宋体"/>
        <charset val="134"/>
      </rPr>
      <t>步骤五：</t>
    </r>
    <r>
      <rPr>
        <sz val="10"/>
        <color indexed="8"/>
        <rFont val="Arial Narrow"/>
        <family val="2"/>
      </rPr>
      <t xml:space="preserve">
</t>
    </r>
    <r>
      <rPr>
        <sz val="10"/>
        <color indexed="8"/>
        <rFont val="宋体"/>
        <charset val="134"/>
      </rPr>
      <t>评价控制缺陷。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5]</t>
    </r>
  </si>
  <si>
    <r>
      <rPr>
        <sz val="10"/>
        <color indexed="8"/>
        <rFont val="宋体"/>
        <charset val="134"/>
      </rPr>
      <t>步骤六：</t>
    </r>
    <r>
      <rPr>
        <sz val="10"/>
        <color indexed="8"/>
        <rFont val="Arial Narrow"/>
        <family val="2"/>
      </rPr>
      <t xml:space="preserve">
</t>
    </r>
    <r>
      <rPr>
        <sz val="10"/>
        <color indexed="8"/>
        <rFont val="宋体"/>
        <charset val="134"/>
      </rPr>
      <t>若确定发现的控制例外情况不属于控制偏差，则可以选取替代样本以获得证明控制运行有效的充分、适当的审计证据。</t>
    </r>
    <r>
      <rPr>
        <sz val="10"/>
        <color indexed="8"/>
        <rFont val="Arial Narrow"/>
        <family val="2"/>
      </rPr>
      <t xml:space="preserve">
</t>
    </r>
    <r>
      <rPr>
        <sz val="10"/>
        <color indexed="8"/>
        <rFont val="宋体"/>
        <charset val="134"/>
      </rPr>
      <t>但需确定控制例外情况是否表明相关控制的设计存在缺陷？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6]</t>
    </r>
  </si>
  <si>
    <r>
      <rPr>
        <b/>
        <sz val="10"/>
        <color indexed="8"/>
        <rFont val="宋体"/>
        <charset val="134"/>
      </rPr>
      <t>评</t>
    </r>
    <r>
      <rPr>
        <b/>
        <sz val="10"/>
        <color indexed="8"/>
        <rFont val="Arial Narrow"/>
        <family val="2"/>
      </rPr>
      <t xml:space="preserve"> </t>
    </r>
    <r>
      <rPr>
        <b/>
        <sz val="10"/>
        <color indexed="8"/>
        <rFont val="宋体"/>
        <charset val="134"/>
      </rPr>
      <t>价</t>
    </r>
    <r>
      <rPr>
        <b/>
        <sz val="10"/>
        <color indexed="8"/>
        <rFont val="Arial Narrow"/>
        <family val="2"/>
      </rPr>
      <t xml:space="preserve"> </t>
    </r>
    <r>
      <rPr>
        <b/>
        <sz val="10"/>
        <color indexed="8"/>
        <rFont val="宋体"/>
        <charset val="134"/>
      </rPr>
      <t>结</t>
    </r>
    <r>
      <rPr>
        <b/>
        <sz val="10"/>
        <color indexed="8"/>
        <rFont val="Arial Narrow"/>
        <family val="2"/>
      </rPr>
      <t xml:space="preserve"> </t>
    </r>
    <r>
      <rPr>
        <b/>
        <sz val="10"/>
        <color indexed="8"/>
        <rFont val="宋体"/>
        <charset val="134"/>
      </rPr>
      <t>论</t>
    </r>
  </si>
  <si>
    <r>
      <rPr>
        <b/>
        <sz val="10"/>
        <color indexed="12"/>
        <rFont val="宋体"/>
        <charset val="134"/>
      </rPr>
      <t>注</t>
    </r>
    <r>
      <rPr>
        <b/>
        <sz val="10"/>
        <color indexed="12"/>
        <rFont val="Arial Narrow"/>
        <family val="2"/>
      </rPr>
      <t>1</t>
    </r>
    <r>
      <rPr>
        <b/>
        <sz val="10"/>
        <color indexed="12"/>
        <rFont val="宋体"/>
        <charset val="134"/>
      </rPr>
      <t>：控制例外情况及控制偏差</t>
    </r>
  </si>
  <si>
    <r>
      <rPr>
        <b/>
        <sz val="10"/>
        <color indexed="12"/>
        <rFont val="宋体"/>
        <charset val="134"/>
      </rPr>
      <t>控制例外情况</t>
    </r>
  </si>
  <si>
    <r>
      <rPr>
        <sz val="10"/>
        <color indexed="12"/>
        <rFont val="宋体"/>
        <charset val="134"/>
      </rPr>
      <t>对于一个选定的样本或替代性样本，如果无法执行注册会计师所设计的控制测试或适当的替代性测试，则注册会计师应认为</t>
    </r>
  </si>
  <si>
    <r>
      <rPr>
        <sz val="10"/>
        <color indexed="12"/>
        <rFont val="宋体"/>
        <charset val="134"/>
      </rPr>
      <t>该样本是一项控制例外情况。</t>
    </r>
  </si>
  <si>
    <r>
      <rPr>
        <sz val="10"/>
        <color indexed="12"/>
        <rFont val="宋体"/>
        <charset val="134"/>
      </rPr>
      <t>例如，对于一个选定的样本，如果由于企业不能提供支持性文档而无法执行控制测试，则其属于一项控制例外情况并需要</t>
    </r>
  </si>
  <si>
    <r>
      <rPr>
        <sz val="10"/>
        <color indexed="12"/>
        <rFont val="宋体"/>
        <charset val="134"/>
      </rPr>
      <t>确定适当的应对措施。</t>
    </r>
  </si>
  <si>
    <r>
      <rPr>
        <sz val="10"/>
        <color indexed="12"/>
        <rFont val="宋体"/>
        <charset val="134"/>
      </rPr>
      <t>对于发现的控制例外情况，首先应当确定其是否构成一项控制偏差。</t>
    </r>
  </si>
  <si>
    <r>
      <rPr>
        <sz val="10"/>
        <color indexed="12"/>
        <rFont val="宋体"/>
        <charset val="134"/>
      </rPr>
      <t>当出现以下情况时，一般可以认为控制例外情况不是控制偏差：</t>
    </r>
  </si>
  <si>
    <r>
      <rPr>
        <sz val="10"/>
        <color indexed="12"/>
        <rFont val="宋体"/>
        <charset val="134"/>
      </rPr>
      <t>（</t>
    </r>
    <r>
      <rPr>
        <sz val="10"/>
        <color indexed="12"/>
        <rFont val="Arial Narrow"/>
        <family val="2"/>
      </rPr>
      <t>1</t>
    </r>
    <r>
      <rPr>
        <sz val="10"/>
        <color indexed="12"/>
        <rFont val="宋体"/>
        <charset val="134"/>
      </rPr>
      <t>）根据进一步的了解和评价，注册会计师确定识别出的例外情况事实上不是对控制预设目标的偏离，即注册会计师原先</t>
    </r>
  </si>
  <si>
    <r>
      <rPr>
        <sz val="10"/>
        <color indexed="12"/>
        <rFont val="宋体"/>
        <charset val="134"/>
      </rPr>
      <t>对重大业务流程及相关控制的理解有误。</t>
    </r>
  </si>
  <si>
    <r>
      <rPr>
        <sz val="10"/>
        <color indexed="12"/>
        <rFont val="宋体"/>
        <charset val="134"/>
      </rPr>
      <t>（</t>
    </r>
    <r>
      <rPr>
        <sz val="10"/>
        <color indexed="12"/>
        <rFont val="Arial Narrow"/>
        <family val="2"/>
      </rPr>
      <t>2</t>
    </r>
    <r>
      <rPr>
        <sz val="10"/>
        <color indexed="12"/>
        <rFont val="宋体"/>
        <charset val="134"/>
      </rPr>
      <t>）基于对控制设计的了解，注册会计师能够通过追加执行除询问以外的审计程序获取充分、适当的审计证据，以确认该</t>
    </r>
  </si>
  <si>
    <r>
      <rPr>
        <sz val="10"/>
        <color indexed="12"/>
        <rFont val="宋体"/>
        <charset val="134"/>
      </rPr>
      <t>例外情况引发的错误在可以接受的水平，即小于临界值（明显微小的错报金额</t>
    </r>
    <r>
      <rPr>
        <sz val="10"/>
        <color indexed="12"/>
        <rFont val="Arial Narrow"/>
        <family val="2"/>
      </rPr>
      <t>SAD</t>
    </r>
    <r>
      <rPr>
        <sz val="10"/>
        <color indexed="12"/>
        <rFont val="宋体"/>
        <charset val="134"/>
      </rPr>
      <t>）。</t>
    </r>
  </si>
  <si>
    <r>
      <rPr>
        <b/>
        <sz val="10"/>
        <color indexed="12"/>
        <rFont val="宋体"/>
        <charset val="134"/>
      </rPr>
      <t>控制偏差</t>
    </r>
  </si>
  <si>
    <r>
      <rPr>
        <sz val="10"/>
        <color indexed="12"/>
        <rFont val="宋体"/>
        <charset val="134"/>
      </rPr>
      <t>控制偏差即内部控制运行偏离设计的情况，是指在内部控制测试中，注册会计师选择进行测试的某个控制没有按照设计的</t>
    </r>
  </si>
  <si>
    <r>
      <rPr>
        <sz val="10"/>
        <color indexed="12"/>
        <rFont val="宋体"/>
        <charset val="134"/>
      </rPr>
      <t>要求被有效执行或者没有被执行。</t>
    </r>
  </si>
  <si>
    <r>
      <rPr>
        <sz val="10"/>
        <color indexed="12"/>
        <rFont val="宋体"/>
        <charset val="134"/>
      </rPr>
      <t>发生控制偏差往往是由于执行控制的人员在收集或处理数据时发生错误、没有进行适当的跟进，或者没有足够的能力和意愿</t>
    </r>
  </si>
  <si>
    <r>
      <rPr>
        <sz val="10"/>
        <color indexed="12"/>
        <rFont val="宋体"/>
        <charset val="134"/>
      </rPr>
      <t>去执行有效的控制。</t>
    </r>
  </si>
  <si>
    <r>
      <rPr>
        <b/>
        <sz val="10"/>
        <color indexed="12"/>
        <rFont val="宋体"/>
        <charset val="134"/>
      </rPr>
      <t>注</t>
    </r>
    <r>
      <rPr>
        <b/>
        <sz val="10"/>
        <color indexed="12"/>
        <rFont val="Arial Narrow"/>
        <family val="2"/>
      </rPr>
      <t>2</t>
    </r>
    <r>
      <rPr>
        <b/>
        <sz val="10"/>
        <color indexed="12"/>
        <rFont val="宋体"/>
        <charset val="134"/>
      </rPr>
      <t>：控制偏差的性质</t>
    </r>
  </si>
  <si>
    <r>
      <rPr>
        <sz val="10"/>
        <color indexed="12"/>
        <rFont val="宋体"/>
        <charset val="134"/>
      </rPr>
      <t>系统性偏差是指在相似情形下，预计都会发生的错误。</t>
    </r>
  </si>
  <si>
    <r>
      <rPr>
        <sz val="10"/>
        <color indexed="12"/>
        <rFont val="宋体"/>
        <charset val="134"/>
      </rPr>
      <t>随机性偏差是指偶然发生的错误。随机性偏差是由某一孤立事件引起的，该事件只有在特定条件下才会重复发生，因而</t>
    </r>
  </si>
  <si>
    <r>
      <rPr>
        <sz val="10"/>
        <color indexed="12"/>
        <rFont val="宋体"/>
        <charset val="134"/>
      </rPr>
      <t>随机性偏差对总体误差不具有代表性。</t>
    </r>
  </si>
  <si>
    <r>
      <rPr>
        <sz val="10"/>
        <color indexed="12"/>
        <rFont val="宋体"/>
        <charset val="134"/>
      </rPr>
      <t>如果发现的控制偏差是系统性偏差或人为有意造成的偏差，注册会计师应当考虑是否存在舞弊的迹象以及对审计方案的影响。</t>
    </r>
  </si>
  <si>
    <r>
      <rPr>
        <sz val="10"/>
        <color indexed="12"/>
        <rFont val="宋体"/>
        <charset val="134"/>
      </rPr>
      <t>注册会计师在将控制偏差确认为随机性的时候需要谨慎，在得出该结论之前，应当实施追加的审计程序，以高度确信该偏差</t>
    </r>
  </si>
  <si>
    <r>
      <rPr>
        <sz val="10"/>
        <color indexed="12"/>
        <rFont val="宋体"/>
        <charset val="134"/>
      </rPr>
      <t>对总体误差不具有代表性。</t>
    </r>
  </si>
  <si>
    <r>
      <rPr>
        <sz val="10"/>
        <color indexed="12"/>
        <rFont val="宋体"/>
        <charset val="134"/>
      </rPr>
      <t>在评价控制偏差的性质时，需要考虑：</t>
    </r>
  </si>
  <si>
    <r>
      <rPr>
        <sz val="10"/>
        <color indexed="12"/>
        <rFont val="宋体"/>
        <charset val="134"/>
      </rPr>
      <t>（</t>
    </r>
    <r>
      <rPr>
        <sz val="10"/>
        <color indexed="12"/>
        <rFont val="Arial Narrow"/>
        <family val="2"/>
      </rPr>
      <t>1</t>
    </r>
    <r>
      <rPr>
        <sz val="10"/>
        <color indexed="12"/>
        <rFont val="宋体"/>
        <charset val="134"/>
      </rPr>
      <t>）控制偏差是否具有共同的特征。例如，控制偏差发生在某些特定类型的业务、地点或生产线中，或者发生在同样的人员</t>
    </r>
  </si>
  <si>
    <r>
      <rPr>
        <sz val="10"/>
        <color indexed="12"/>
        <rFont val="宋体"/>
        <charset val="134"/>
      </rPr>
      <t>执行控制时，抑或是发生在某一特定的时期。</t>
    </r>
  </si>
  <si>
    <r>
      <rPr>
        <sz val="10"/>
        <color indexed="12"/>
        <rFont val="宋体"/>
        <charset val="134"/>
      </rPr>
      <t>（</t>
    </r>
    <r>
      <rPr>
        <sz val="10"/>
        <color indexed="12"/>
        <rFont val="Arial Narrow"/>
        <family val="2"/>
      </rPr>
      <t>2</t>
    </r>
    <r>
      <rPr>
        <sz val="10"/>
        <color indexed="12"/>
        <rFont val="宋体"/>
        <charset val="134"/>
      </rPr>
      <t>）控制偏差是否是由于基础工作错误造成的。例如，控制偏差是由于错误的公司或计算造成的，或者是基于不完整或</t>
    </r>
  </si>
  <si>
    <r>
      <rPr>
        <sz val="10"/>
        <color indexed="12"/>
        <rFont val="宋体"/>
        <charset val="134"/>
      </rPr>
      <t>不准确的数据造成的。</t>
    </r>
  </si>
  <si>
    <r>
      <rPr>
        <sz val="10"/>
        <color indexed="12"/>
        <rFont val="宋体"/>
        <charset val="134"/>
      </rPr>
      <t>如果确认偏差时系统性的或人为有意造成的，应直接将该控制偏差视为一项内部控制缺陷。</t>
    </r>
  </si>
  <si>
    <r>
      <rPr>
        <b/>
        <sz val="10"/>
        <color indexed="12"/>
        <rFont val="宋体"/>
        <charset val="134"/>
      </rPr>
      <t>注</t>
    </r>
    <r>
      <rPr>
        <b/>
        <sz val="10"/>
        <color indexed="12"/>
        <rFont val="Arial Narrow"/>
        <family val="2"/>
      </rPr>
      <t>3</t>
    </r>
    <r>
      <rPr>
        <b/>
        <sz val="10"/>
        <color indexed="12"/>
        <rFont val="宋体"/>
        <charset val="134"/>
      </rPr>
      <t>：随机性偏差的应对措施</t>
    </r>
  </si>
  <si>
    <r>
      <rPr>
        <sz val="10"/>
        <color indexed="12"/>
        <rFont val="宋体"/>
        <charset val="134"/>
      </rPr>
      <t>如果认为一项控制偏差是随机的，则应当确定适当的审计应对措施。包括：</t>
    </r>
  </si>
  <si>
    <r>
      <rPr>
        <sz val="10"/>
        <color indexed="12"/>
        <rFont val="宋体"/>
        <charset val="134"/>
      </rPr>
      <t>（</t>
    </r>
    <r>
      <rPr>
        <sz val="10"/>
        <color indexed="12"/>
        <rFont val="Arial Narrow"/>
        <family val="2"/>
      </rPr>
      <t>1</t>
    </r>
    <r>
      <rPr>
        <sz val="10"/>
        <color indexed="12"/>
        <rFont val="宋体"/>
        <charset val="134"/>
      </rPr>
      <t>）扩大样本量进行测试，从而确定测试发现的错误率在可容忍范围内；</t>
    </r>
  </si>
  <si>
    <r>
      <rPr>
        <sz val="10"/>
        <color indexed="12"/>
        <rFont val="宋体"/>
        <charset val="134"/>
      </rPr>
      <t>（</t>
    </r>
    <r>
      <rPr>
        <sz val="10"/>
        <color indexed="12"/>
        <rFont val="Arial Narrow"/>
        <family val="2"/>
      </rPr>
      <t>2</t>
    </r>
    <r>
      <rPr>
        <sz val="10"/>
        <color indexed="12"/>
        <rFont val="宋体"/>
        <charset val="134"/>
      </rPr>
      <t>）直接将该项控制偏差视作一项内部控制缺陷。</t>
    </r>
  </si>
  <si>
    <r>
      <rPr>
        <sz val="10"/>
        <color indexed="12"/>
        <rFont val="宋体"/>
        <charset val="134"/>
      </rPr>
      <t>如果决定扩大样本量进行测试，注册会计师应当根据发现的控制偏差的数量来确定扩大样本量的范围。例如，对于每日发生</t>
    </r>
  </si>
  <si>
    <r>
      <rPr>
        <sz val="10"/>
        <color indexed="12"/>
        <rFont val="宋体"/>
        <charset val="134"/>
      </rPr>
      <t>多次的控制，如果初始样本规模为</t>
    </r>
    <r>
      <rPr>
        <sz val="10"/>
        <color indexed="12"/>
        <rFont val="Arial Narrow"/>
        <family val="2"/>
      </rPr>
      <t>25</t>
    </r>
    <r>
      <rPr>
        <sz val="10"/>
        <color indexed="12"/>
        <rFont val="宋体"/>
        <charset val="134"/>
      </rPr>
      <t>个，当测试发现一项控制偏差，且该偏差不是系统性偏差时，注册会计师扩大样本规模</t>
    </r>
  </si>
  <si>
    <r>
      <rPr>
        <sz val="10"/>
        <color indexed="12"/>
        <rFont val="宋体"/>
        <charset val="134"/>
      </rPr>
      <t>进行测试，所增加的样本规模至少为</t>
    </r>
    <r>
      <rPr>
        <sz val="10"/>
        <color indexed="12"/>
        <rFont val="Arial Narrow"/>
        <family val="2"/>
      </rPr>
      <t>15</t>
    </r>
    <r>
      <rPr>
        <sz val="10"/>
        <color indexed="12"/>
        <rFont val="宋体"/>
        <charset val="134"/>
      </rPr>
      <t>个。</t>
    </r>
  </si>
  <si>
    <r>
      <rPr>
        <b/>
        <sz val="10"/>
        <color indexed="12"/>
        <rFont val="宋体"/>
        <charset val="134"/>
      </rPr>
      <t>注</t>
    </r>
    <r>
      <rPr>
        <b/>
        <sz val="10"/>
        <color indexed="12"/>
        <rFont val="Arial Narrow"/>
        <family val="2"/>
      </rPr>
      <t>4</t>
    </r>
    <r>
      <rPr>
        <b/>
        <sz val="10"/>
        <color indexed="12"/>
        <rFont val="宋体"/>
        <charset val="134"/>
      </rPr>
      <t>：扩大样本量后的测试结果</t>
    </r>
  </si>
  <si>
    <r>
      <rPr>
        <sz val="10"/>
        <color indexed="12"/>
        <rFont val="宋体"/>
        <charset val="134"/>
      </rPr>
      <t>如果扩大样本量测试后再次发现偏差，则注册会计师可以得出该控制无效的结论。</t>
    </r>
  </si>
  <si>
    <r>
      <rPr>
        <sz val="10"/>
        <color indexed="12"/>
        <rFont val="宋体"/>
        <charset val="134"/>
      </rPr>
      <t>如果扩大样本量测试没有再次发现偏差，则注册会计师可以得出该控制有效的结论。即尽管存在一项控制偏差，但测试范围</t>
    </r>
  </si>
  <si>
    <r>
      <rPr>
        <sz val="10"/>
        <color indexed="12"/>
        <rFont val="宋体"/>
        <charset val="134"/>
      </rPr>
      <t>内的错误率在可容忍范围内且该控制偏差不具有代表性。</t>
    </r>
  </si>
  <si>
    <r>
      <rPr>
        <sz val="10"/>
        <color indexed="12"/>
        <rFont val="宋体"/>
        <charset val="134"/>
      </rPr>
      <t>单项控制并非一定要毫无偏差地运行，才被认为有效。</t>
    </r>
  </si>
  <si>
    <r>
      <rPr>
        <b/>
        <sz val="10"/>
        <color indexed="12"/>
        <rFont val="宋体"/>
        <charset val="134"/>
      </rPr>
      <t>注</t>
    </r>
    <r>
      <rPr>
        <b/>
        <sz val="10"/>
        <color indexed="12"/>
        <rFont val="Arial Narrow"/>
        <family val="2"/>
      </rPr>
      <t>5</t>
    </r>
    <r>
      <rPr>
        <b/>
        <sz val="10"/>
        <color indexed="12"/>
        <rFont val="宋体"/>
        <charset val="134"/>
      </rPr>
      <t>：评价是否构成设计缺陷</t>
    </r>
  </si>
  <si>
    <r>
      <rPr>
        <sz val="10"/>
        <color rgb="FF0000FF"/>
        <rFont val="宋体"/>
        <charset val="134"/>
      </rPr>
      <t>若确定发现的控制例外情况不属于控制偏差，则可以选取替代样本以获得证明控制运行有效的充分、适当的审计证据。</t>
    </r>
  </si>
  <si>
    <r>
      <rPr>
        <sz val="10"/>
        <color rgb="FF0000FF"/>
        <rFont val="宋体"/>
        <charset val="134"/>
      </rPr>
      <t>但需确定控制例外情况是否表明相关控制的设计存在缺陷。</t>
    </r>
  </si>
  <si>
    <r>
      <rPr>
        <sz val="10"/>
        <color rgb="FF0000FF"/>
        <rFont val="宋体"/>
        <charset val="134"/>
      </rPr>
      <t>设计缺陷是指缺少为实现控制目标所必需的控制，或现有控制设计不适当、即使正常运行也难以实现预期的控制目标。</t>
    </r>
  </si>
  <si>
    <r>
      <rPr>
        <b/>
        <sz val="12"/>
        <rFont val="宋体"/>
        <charset val="134"/>
      </rPr>
      <t>示例</t>
    </r>
    <r>
      <rPr>
        <b/>
        <sz val="12"/>
        <rFont val="Arial Narrow"/>
        <family val="2"/>
      </rPr>
      <t>-</t>
    </r>
    <r>
      <rPr>
        <b/>
        <sz val="12"/>
        <rFont val="宋体"/>
        <charset val="134"/>
      </rPr>
      <t>评价控制偏差</t>
    </r>
  </si>
  <si>
    <t>被审计单位：甲公司</t>
  </si>
  <si>
    <r>
      <rPr>
        <sz val="10"/>
        <rFont val="宋体"/>
        <charset val="134"/>
      </rPr>
      <t>编制人：</t>
    </r>
    <r>
      <rPr>
        <sz val="10"/>
        <rFont val="Arial Narrow"/>
        <family val="2"/>
      </rPr>
      <t>BBB</t>
    </r>
  </si>
  <si>
    <r>
      <rPr>
        <sz val="10"/>
        <rFont val="宋体"/>
        <charset val="134"/>
      </rPr>
      <t>日期：</t>
    </r>
    <r>
      <rPr>
        <sz val="10"/>
        <rFont val="Arial Narrow"/>
        <family val="2"/>
      </rPr>
      <t>2014.1.5</t>
    </r>
  </si>
  <si>
    <r>
      <rPr>
        <sz val="10"/>
        <rFont val="宋体"/>
        <charset val="134"/>
      </rPr>
      <t>截止日：</t>
    </r>
    <r>
      <rPr>
        <sz val="10"/>
        <rFont val="Arial Narrow"/>
        <family val="2"/>
      </rPr>
      <t>2020</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</si>
  <si>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r>
      <rPr>
        <sz val="10"/>
        <rFont val="Arial Narrow"/>
        <family val="2"/>
      </rPr>
      <t>DDD</t>
    </r>
  </si>
  <si>
    <r>
      <rPr>
        <sz val="10"/>
        <rFont val="宋体"/>
        <charset val="134"/>
      </rPr>
      <t>日期：</t>
    </r>
    <r>
      <rPr>
        <sz val="10"/>
        <rFont val="Arial Narrow"/>
        <family val="2"/>
      </rPr>
      <t>2014.1.8</t>
    </r>
  </si>
  <si>
    <r>
      <rPr>
        <sz val="10"/>
        <rFont val="宋体"/>
        <charset val="134"/>
      </rPr>
      <t>经理层监督客户投诉的数量及类型并把这些信息作为估计销售退回的依据。然而，注册会计师在执行控制测试</t>
    </r>
  </si>
  <si>
    <r>
      <rPr>
        <sz val="10"/>
        <rFont val="宋体"/>
        <charset val="134"/>
      </rPr>
      <t>时发现某一期间计算出的投诉率没有包含某一地区收到的投诉。</t>
    </r>
  </si>
  <si>
    <r>
      <rPr>
        <sz val="10"/>
        <color indexed="8"/>
        <rFont val="宋体"/>
        <charset val="134"/>
      </rPr>
      <t>步骤一：
确认发现的控制例外情况（选定的样本无法执行控制测试）是否属于控制偏差（内部控制运行偏离设计）？</t>
    </r>
  </si>
  <si>
    <r>
      <rPr>
        <sz val="10"/>
        <color theme="1"/>
        <rFont val="宋体"/>
        <charset val="134"/>
      </rPr>
      <t>是</t>
    </r>
  </si>
  <si>
    <r>
      <rPr>
        <sz val="10"/>
        <color indexed="8"/>
        <rFont val="宋体"/>
        <charset val="134"/>
      </rPr>
      <t>该控制例外情况影响销售收入的金额，且金额不属于无关紧要。</t>
    </r>
  </si>
  <si>
    <r>
      <rPr>
        <sz val="10"/>
        <color indexed="8"/>
        <rFont val="宋体"/>
        <charset val="134"/>
      </rPr>
      <t>步骤二：
确定控制偏差的性质：系统性偏差？人为有意造成的偏差？随机性偏差？</t>
    </r>
  </si>
  <si>
    <r>
      <rPr>
        <sz val="10"/>
        <color theme="1"/>
        <rFont val="宋体"/>
        <charset val="134"/>
      </rPr>
      <t>随机性偏差</t>
    </r>
  </si>
  <si>
    <r>
      <rPr>
        <sz val="10"/>
        <color theme="1"/>
        <rFont val="宋体"/>
        <charset val="134"/>
      </rPr>
      <t>注册会计师确定这只是众多地区中唯一的一个没有报告投诉率的，而且其他所有月份都完成了投诉率的报告。</t>
    </r>
  </si>
  <si>
    <r>
      <rPr>
        <sz val="10"/>
        <color indexed="8"/>
        <rFont val="宋体"/>
        <charset val="134"/>
      </rPr>
      <t>步骤三：
对于随机性的偏差，确定适当的审计应对措施：扩大样本量进行测试？直接将该项控制偏差视作缺陷？</t>
    </r>
  </si>
  <si>
    <r>
      <rPr>
        <sz val="10"/>
        <color theme="1"/>
        <rFont val="宋体"/>
        <charset val="134"/>
      </rPr>
      <t>扩大样本量</t>
    </r>
  </si>
  <si>
    <r>
      <rPr>
        <sz val="10"/>
        <color indexed="8"/>
        <rFont val="宋体"/>
        <charset val="134"/>
      </rPr>
      <t>注册会计师确定该项控制偏差是随机性的，并应扩大样本量来予以确认。</t>
    </r>
  </si>
  <si>
    <r>
      <rPr>
        <sz val="10"/>
        <color indexed="8"/>
        <rFont val="宋体"/>
        <charset val="134"/>
      </rPr>
      <t>步骤四：
根据发现的控制偏差的数量来确定扩大样本量的范围，扩大样本量进行测试后是否发现新的偏差？</t>
    </r>
  </si>
  <si>
    <r>
      <rPr>
        <sz val="10"/>
        <color theme="1"/>
        <rFont val="宋体"/>
        <charset val="134"/>
      </rPr>
      <t>否</t>
    </r>
  </si>
  <si>
    <r>
      <rPr>
        <sz val="10"/>
        <color indexed="8"/>
        <rFont val="宋体"/>
        <charset val="134"/>
      </rPr>
      <t>尽管存在一项控制偏差，但测试范围内的错误率在可容忍范围内且该控制偏差不具有代表性。</t>
    </r>
  </si>
  <si>
    <r>
      <rPr>
        <sz val="10"/>
        <color indexed="8"/>
        <rFont val="宋体"/>
        <charset val="134"/>
      </rPr>
      <t>步骤五：
评价控制缺陷。</t>
    </r>
  </si>
  <si>
    <r>
      <rPr>
        <sz val="10"/>
        <color indexed="8"/>
        <rFont val="宋体"/>
        <charset val="134"/>
      </rPr>
      <t>步骤六：
若确定发现的控制例外情况不属于控制偏差，则可以选取替代样本以获得证明控制运行有效的充分、适当的审计证据。
但需确定控制例外情况是否表明相关控制的设计存在缺陷？</t>
    </r>
  </si>
  <si>
    <r>
      <rPr>
        <b/>
        <sz val="10"/>
        <color indexed="10"/>
        <rFont val="宋体"/>
        <charset val="134"/>
      </rPr>
      <t>该控制例外情况不构成控制偏差，控制运行有效。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</si>
</sst>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等线"/>
      <charset val="134"/>
      <scheme val="minor"/>
    </font>
    <font>
      <sz val="10"/>
      <color theme="1"/>
      <name val="Arial"/>
      <family val="2"/>
    </font>
    <font>
      <sz val="11"/>
      <color theme="1"/>
      <name val="Arial"/>
      <family val="2"/>
    </font>
    <font>
      <b/>
      <sz val="10"/>
      <name val="Arial Narrow"/>
      <family val="2"/>
    </font>
    <font>
      <b/>
      <sz val="12"/>
      <name val="Arial Narrow"/>
      <family val="2"/>
    </font>
    <font>
      <sz val="10"/>
      <name val="宋体"/>
      <charset val="134"/>
    </font>
    <font>
      <sz val="11"/>
      <color theme="1"/>
      <name val="Arial Narrow"/>
      <family val="2"/>
    </font>
    <font>
      <sz val="10"/>
      <name val="Arial Narrow"/>
      <family val="2"/>
    </font>
    <font>
      <b/>
      <sz val="10"/>
      <color theme="1"/>
      <name val="Arial Narrow"/>
      <family val="2"/>
    </font>
    <font>
      <sz val="10"/>
      <color indexed="8"/>
      <name val="Arial Narrow"/>
      <family val="2"/>
    </font>
    <font>
      <sz val="10"/>
      <color theme="1"/>
      <name val="Arial Narrow"/>
      <family val="2"/>
    </font>
    <font>
      <b/>
      <sz val="10"/>
      <color indexed="8"/>
      <name val="Arial Narrow"/>
      <family val="2"/>
    </font>
    <font>
      <b/>
      <sz val="10"/>
      <name val="Arial Narrow"/>
      <family val="2"/>
    </font>
    <font>
      <b/>
      <sz val="12"/>
      <name val="Arial Narrow"/>
      <family val="2"/>
    </font>
    <font>
      <sz val="10"/>
      <name val="Arial Narrow"/>
      <family val="2"/>
    </font>
    <font>
      <b/>
      <sz val="10"/>
      <color indexed="8"/>
      <name val="Arial Narrow"/>
      <family val="2"/>
    </font>
    <font>
      <sz val="10"/>
      <color indexed="8"/>
      <name val="Arial Narrow"/>
      <family val="2"/>
    </font>
    <font>
      <b/>
      <sz val="10"/>
      <color indexed="12"/>
      <name val="Arial Narrow"/>
      <family val="2"/>
    </font>
    <font>
      <sz val="10"/>
      <color rgb="FF0000CC"/>
      <name val="Arial Narrow"/>
      <family val="2"/>
    </font>
    <font>
      <sz val="10"/>
      <color indexed="12"/>
      <name val="Arial Narrow"/>
      <family val="2"/>
    </font>
    <font>
      <sz val="10"/>
      <color rgb="FF0000FF"/>
      <name val="Arial Narrow"/>
      <family val="2"/>
    </font>
    <font>
      <sz val="10"/>
      <color rgb="FF0000FF"/>
      <name val="Arial Narrow"/>
      <family val="2"/>
    </font>
    <font>
      <sz val="11"/>
      <color theme="1"/>
      <name val="等线"/>
      <charset val="134"/>
      <scheme val="minor"/>
    </font>
    <font>
      <sz val="12"/>
      <name val="Times New Roman"/>
      <family val="1"/>
    </font>
    <font>
      <sz val="10"/>
      <color indexed="8"/>
      <name val="宋体"/>
      <charset val="134"/>
    </font>
    <font>
      <b/>
      <sz val="12"/>
      <name val="宋体"/>
      <charset val="134"/>
    </font>
    <font>
      <sz val="10"/>
      <color indexed="12"/>
      <name val="宋体"/>
      <charset val="134"/>
    </font>
    <font>
      <b/>
      <sz val="10"/>
      <color indexed="8"/>
      <name val="宋体"/>
      <charset val="134"/>
    </font>
    <font>
      <b/>
      <sz val="10"/>
      <color indexed="12"/>
      <name val="宋体"/>
      <charset val="134"/>
    </font>
    <font>
      <sz val="10"/>
      <color theme="1"/>
      <name val="宋体"/>
      <charset val="134"/>
    </font>
    <font>
      <sz val="10"/>
      <color rgb="FF0000FF"/>
      <name val="宋体"/>
      <charset val="134"/>
    </font>
    <font>
      <b/>
      <sz val="10"/>
      <name val="宋体"/>
      <charset val="134"/>
    </font>
    <font>
      <b/>
      <sz val="10"/>
      <color indexed="10"/>
      <name val="宋体"/>
      <charset val="134"/>
    </font>
    <font>
      <sz val="9"/>
      <name val="等线"/>
      <family val="3"/>
      <charset val="134"/>
      <scheme val="minor"/>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3">
    <xf numFmtId="0" fontId="0" fillId="0" borderId="0">
      <alignment vertical="center"/>
    </xf>
    <xf numFmtId="0" fontId="22" fillId="0" borderId="0">
      <alignment vertical="center"/>
    </xf>
    <xf numFmtId="0" fontId="23" fillId="0" borderId="0"/>
  </cellStyleXfs>
  <cellXfs count="65">
    <xf numFmtId="0" fontId="0" fillId="0" borderId="0" xfId="0">
      <alignment vertical="center"/>
    </xf>
    <xf numFmtId="0" fontId="1" fillId="0" borderId="0" xfId="1" applyFont="1" applyBorder="1">
      <alignment vertical="center"/>
    </xf>
    <xf numFmtId="0" fontId="2" fillId="0" borderId="0" xfId="1" applyFont="1" applyBorder="1">
      <alignment vertical="center"/>
    </xf>
    <xf numFmtId="0" fontId="5" fillId="0" borderId="0" xfId="1" applyFont="1" applyBorder="1" applyAlignment="1" applyProtection="1">
      <alignment horizontal="left" vertical="center"/>
      <protection locked="0"/>
    </xf>
    <xf numFmtId="0" fontId="6" fillId="0" borderId="0" xfId="1" applyFont="1" applyBorder="1">
      <alignment vertical="center"/>
    </xf>
    <xf numFmtId="0" fontId="7" fillId="0" borderId="0" xfId="1" applyFont="1" applyBorder="1" applyAlignment="1" applyProtection="1">
      <alignment horizontal="left" vertical="center"/>
      <protection locked="0"/>
    </xf>
    <xf numFmtId="0" fontId="3" fillId="0" borderId="1" xfId="1" applyFont="1" applyBorder="1" applyAlignment="1" applyProtection="1">
      <alignment horizontal="left" vertical="center"/>
      <protection locked="0"/>
    </xf>
    <xf numFmtId="0" fontId="7" fillId="0" borderId="2" xfId="1" applyFont="1" applyBorder="1" applyAlignment="1" applyProtection="1">
      <alignment horizontal="left" vertical="center"/>
      <protection locked="0"/>
    </xf>
    <xf numFmtId="0" fontId="7" fillId="0" borderId="2" xfId="1" applyFont="1" applyBorder="1" applyAlignment="1" applyProtection="1">
      <alignment horizontal="right" vertical="center"/>
      <protection locked="0"/>
    </xf>
    <xf numFmtId="49" fontId="7" fillId="0" borderId="3" xfId="1" applyNumberFormat="1" applyFont="1" applyBorder="1" applyAlignment="1" applyProtection="1">
      <alignment horizontal="centerContinuous" vertical="center"/>
      <protection locked="0"/>
    </xf>
    <xf numFmtId="0" fontId="7" fillId="0" borderId="4" xfId="1" applyFont="1" applyBorder="1" applyAlignment="1" applyProtection="1">
      <alignment horizontal="left" vertical="center"/>
      <protection locked="0"/>
    </xf>
    <xf numFmtId="0" fontId="7" fillId="0" borderId="0" xfId="1" applyFont="1" applyBorder="1" applyAlignment="1" applyProtection="1">
      <alignment horizontal="right" vertical="center"/>
      <protection locked="0"/>
    </xf>
    <xf numFmtId="49" fontId="7" fillId="0" borderId="5" xfId="1" applyNumberFormat="1" applyFont="1" applyBorder="1" applyAlignment="1" applyProtection="1">
      <alignment horizontal="centerContinuous" vertical="center"/>
      <protection locked="0"/>
    </xf>
    <xf numFmtId="0" fontId="7" fillId="0" borderId="6" xfId="1" applyFont="1" applyBorder="1" applyAlignment="1" applyProtection="1">
      <alignment horizontal="left" vertical="center"/>
      <protection locked="0"/>
    </xf>
    <xf numFmtId="0" fontId="7" fillId="0" borderId="7" xfId="1" applyFont="1" applyBorder="1" applyAlignment="1" applyProtection="1">
      <alignment horizontal="left" vertical="center"/>
      <protection locked="0"/>
    </xf>
    <xf numFmtId="0" fontId="7" fillId="0" borderId="7" xfId="1" applyFont="1" applyBorder="1" applyAlignment="1" applyProtection="1">
      <alignment horizontal="right" vertical="center"/>
      <protection locked="0"/>
    </xf>
    <xf numFmtId="49" fontId="7" fillId="0" borderId="8" xfId="1" applyNumberFormat="1" applyFont="1" applyBorder="1" applyAlignment="1" applyProtection="1">
      <alignment horizontal="centerContinuous" vertical="center"/>
      <protection locked="0"/>
    </xf>
    <xf numFmtId="0" fontId="8" fillId="2" borderId="9" xfId="1" applyFont="1" applyFill="1" applyBorder="1" applyAlignment="1">
      <alignment horizontal="center" vertical="center"/>
    </xf>
    <xf numFmtId="0" fontId="10" fillId="0" borderId="12" xfId="1" applyFont="1" applyBorder="1" applyAlignment="1">
      <alignment horizontal="center" vertical="center" wrapText="1"/>
    </xf>
    <xf numFmtId="0" fontId="10" fillId="0" borderId="12" xfId="1" applyFont="1" applyBorder="1" applyAlignment="1">
      <alignment horizontal="left" vertical="center" wrapText="1"/>
    </xf>
    <xf numFmtId="0" fontId="10" fillId="0" borderId="14" xfId="1" applyFont="1" applyBorder="1" applyAlignment="1">
      <alignment horizontal="left" vertical="center" wrapText="1"/>
    </xf>
    <xf numFmtId="0" fontId="10" fillId="0" borderId="14" xfId="1" applyFont="1" applyBorder="1" applyAlignment="1">
      <alignment horizontal="center" vertical="center" wrapText="1"/>
    </xf>
    <xf numFmtId="0" fontId="10" fillId="0" borderId="9" xfId="1" applyFont="1" applyBorder="1" applyAlignment="1">
      <alignment horizontal="center" vertical="center" wrapText="1"/>
    </xf>
    <xf numFmtId="0" fontId="8" fillId="0" borderId="9" xfId="1" applyFont="1" applyBorder="1" applyAlignment="1">
      <alignment horizontal="left" vertical="center" wrapText="1"/>
    </xf>
    <xf numFmtId="0" fontId="10" fillId="0" borderId="0" xfId="1" applyFont="1" applyBorder="1" applyAlignment="1">
      <alignment vertical="center"/>
    </xf>
    <xf numFmtId="0" fontId="6" fillId="0" borderId="0" xfId="1" applyFont="1" applyBorder="1" applyAlignment="1">
      <alignment vertical="center"/>
    </xf>
    <xf numFmtId="0" fontId="14" fillId="0" borderId="0" xfId="1" applyFont="1" applyBorder="1" applyAlignment="1" applyProtection="1">
      <alignment horizontal="left" vertical="center"/>
      <protection locked="0"/>
    </xf>
    <xf numFmtId="0" fontId="12" fillId="0" borderId="1" xfId="1" applyFont="1" applyBorder="1" applyAlignment="1" applyProtection="1">
      <alignment horizontal="left" vertical="center"/>
      <protection locked="0"/>
    </xf>
    <xf numFmtId="0" fontId="15" fillId="2" borderId="9" xfId="1" applyFont="1" applyFill="1" applyBorder="1" applyAlignment="1">
      <alignment horizontal="center" vertical="center"/>
    </xf>
    <xf numFmtId="0" fontId="17" fillId="0" borderId="0" xfId="1" applyFont="1" applyBorder="1" applyAlignment="1">
      <alignment vertical="center"/>
    </xf>
    <xf numFmtId="0" fontId="18" fillId="0" borderId="0" xfId="1" applyFont="1" applyBorder="1" applyAlignment="1">
      <alignment vertical="center" wrapText="1"/>
    </xf>
    <xf numFmtId="0" fontId="19" fillId="0" borderId="0" xfId="1" applyFont="1" applyBorder="1" applyAlignment="1">
      <alignment vertical="center"/>
    </xf>
    <xf numFmtId="0" fontId="19" fillId="0" borderId="0" xfId="1" applyFont="1" applyBorder="1" applyAlignment="1">
      <alignment vertical="center"/>
    </xf>
    <xf numFmtId="0" fontId="18" fillId="0" borderId="0" xfId="1" applyFont="1" applyBorder="1" applyAlignment="1">
      <alignment vertical="center"/>
    </xf>
    <xf numFmtId="0" fontId="20" fillId="0" borderId="0" xfId="1" applyFont="1" applyBorder="1" applyAlignment="1">
      <alignment vertical="center"/>
    </xf>
    <xf numFmtId="0" fontId="17" fillId="0" borderId="0" xfId="1" applyFont="1" applyBorder="1" applyAlignment="1">
      <alignment vertical="center" wrapText="1"/>
    </xf>
    <xf numFmtId="0" fontId="20" fillId="0" borderId="0" xfId="1" applyFont="1" applyBorder="1" applyAlignment="1">
      <alignment vertical="center"/>
    </xf>
    <xf numFmtId="0" fontId="21" fillId="0" borderId="0" xfId="1" applyFont="1" applyBorder="1" applyAlignment="1">
      <alignment vertical="center"/>
    </xf>
    <xf numFmtId="0" fontId="12" fillId="0" borderId="0" xfId="2" applyFont="1" applyBorder="1" applyAlignment="1">
      <alignment horizontal="center" vertical="center"/>
    </xf>
    <xf numFmtId="0" fontId="3" fillId="0" borderId="0" xfId="2" applyFont="1" applyBorder="1" applyAlignment="1">
      <alignment horizontal="center" vertical="center"/>
    </xf>
    <xf numFmtId="0" fontId="13" fillId="0" borderId="0" xfId="1" applyFont="1" applyBorder="1" applyAlignment="1" applyProtection="1">
      <alignment horizontal="center" vertical="center"/>
      <protection locked="0"/>
    </xf>
    <xf numFmtId="0" fontId="4" fillId="0" borderId="0" xfId="1" applyFont="1" applyBorder="1" applyAlignment="1" applyProtection="1">
      <alignment horizontal="center" vertical="center"/>
      <protection locked="0"/>
    </xf>
    <xf numFmtId="0" fontId="15" fillId="2" borderId="9" xfId="1" applyFont="1" applyFill="1" applyBorder="1" applyAlignment="1">
      <alignment horizontal="center" vertical="center"/>
    </xf>
    <xf numFmtId="0" fontId="8" fillId="2" borderId="9" xfId="1" applyFont="1" applyFill="1" applyBorder="1" applyAlignment="1">
      <alignment horizontal="center" vertical="center"/>
    </xf>
    <xf numFmtId="0" fontId="15"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9" fillId="0" borderId="1" xfId="1" applyFont="1" applyBorder="1" applyAlignment="1">
      <alignment horizontal="left" vertical="center" wrapText="1"/>
    </xf>
    <xf numFmtId="0" fontId="10" fillId="0" borderId="3" xfId="1" applyFont="1" applyBorder="1" applyAlignment="1">
      <alignment horizontal="left" vertical="center" wrapText="1"/>
    </xf>
    <xf numFmtId="0" fontId="9" fillId="0" borderId="6" xfId="1" applyFont="1" applyBorder="1" applyAlignment="1">
      <alignment horizontal="left" vertical="center" wrapText="1"/>
    </xf>
    <xf numFmtId="0" fontId="10" fillId="0" borderId="8" xfId="1" applyFont="1" applyBorder="1" applyAlignment="1">
      <alignment horizontal="left" vertical="center" wrapText="1"/>
    </xf>
    <xf numFmtId="0" fontId="10" fillId="0" borderId="1" xfId="1" applyFont="1" applyBorder="1" applyAlignment="1">
      <alignment horizontal="left" vertical="center" wrapText="1"/>
    </xf>
    <xf numFmtId="0" fontId="15" fillId="0" borderId="10" xfId="1" applyFont="1" applyBorder="1" applyAlignment="1">
      <alignment horizontal="center" vertical="center" wrapText="1"/>
    </xf>
    <xf numFmtId="0" fontId="8" fillId="0" borderId="11" xfId="1" applyFont="1" applyBorder="1" applyAlignment="1">
      <alignment horizontal="center" vertical="center" wrapText="1"/>
    </xf>
    <xf numFmtId="0" fontId="8" fillId="0" borderId="10" xfId="1" applyFont="1" applyBorder="1" applyAlignment="1">
      <alignment horizontal="left" vertical="center" wrapText="1"/>
    </xf>
    <xf numFmtId="0" fontId="8" fillId="0" borderId="1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4" xfId="1" applyFont="1" applyBorder="1" applyAlignment="1">
      <alignment horizontal="center" vertical="center" wrapText="1"/>
    </xf>
    <xf numFmtId="0" fontId="16" fillId="0" borderId="1" xfId="1" applyFont="1" applyBorder="1" applyAlignment="1">
      <alignment horizontal="left" vertical="center" wrapText="1"/>
    </xf>
    <xf numFmtId="0" fontId="10" fillId="0" borderId="6" xfId="1" applyFont="1" applyBorder="1" applyAlignment="1">
      <alignment horizontal="left" vertical="center" wrapText="1"/>
    </xf>
    <xf numFmtId="0" fontId="3" fillId="0" borderId="0" xfId="2" applyFont="1" applyBorder="1" applyAlignment="1">
      <alignment horizontal="center"/>
    </xf>
    <xf numFmtId="0" fontId="8" fillId="2" borderId="10" xfId="1" applyFont="1" applyFill="1" applyBorder="1" applyAlignment="1">
      <alignment horizontal="center" vertical="center"/>
    </xf>
    <xf numFmtId="0" fontId="11" fillId="0" borderId="10" xfId="1" applyFont="1" applyBorder="1" applyAlignment="1">
      <alignment horizontal="center" vertical="center" wrapText="1"/>
    </xf>
    <xf numFmtId="0" fontId="10" fillId="0" borderId="13" xfId="1" applyFont="1" applyBorder="1" applyAlignment="1">
      <alignment horizontal="center" vertical="center" wrapText="1"/>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cellXfs>
  <cellStyles count="3">
    <cellStyle name="常规" xfId="0" builtinId="0"/>
    <cellStyle name="常规 5 2" xfId="1"/>
    <cellStyle name="常规_c-资产类" xfId="2"/>
  </cellStyles>
  <dxfs count="0"/>
  <tableStyles count="0" defaultTableStyle="TableStyleMedium2" defaultPivotStyle="PivotStyleLight16"/>
  <colors>
    <mruColors>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76</xdr:row>
      <xdr:rowOff>171450</xdr:rowOff>
    </xdr:from>
    <xdr:to>
      <xdr:col>4</xdr:col>
      <xdr:colOff>611505</xdr:colOff>
      <xdr:row>105</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19058255"/>
          <a:ext cx="4488180" cy="495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凭证核对内容"/>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param"/>
      <sheetName val="Traduction"/>
      <sheetName val="UFPrn20061113135115"/>
      <sheetName val="35.1租赁明细"/>
      <sheetName val="核算项目余额表"/>
      <sheetName val="ZA 货币资金"/>
      <sheetName val="Toolbox"/>
      <sheetName val="KEY DATA"/>
      <sheetName val="库存商品余额表.dbf"/>
      <sheetName val="佳砼负债表"/>
      <sheetName val="Collateral"/>
      <sheetName val="Disposition"/>
      <sheetName val="I110 Breakdown 200812(Audited)"/>
      <sheetName val="成本调整明细表"/>
      <sheetName val="试算平衡表"/>
      <sheetName val="UFPrn20060705140320"/>
      <sheetName val="UFPrn20060705113520"/>
      <sheetName val="资产负债表(本部原报)"/>
      <sheetName val="明细分类账"/>
      <sheetName val="其他液氨采购"/>
      <sheetName val="长期借款"/>
      <sheetName val="房屋及建筑物"/>
      <sheetName val="内销硫酸期初"/>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Z01 资产负债表(企财01表)"/>
      <sheetName val="Z02 利润表(企财02表)"/>
      <sheetName val="Z03 现金流量表(企财03表)"/>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企业表一"/>
      <sheetName val="M-5C"/>
      <sheetName val="M-5A"/>
      <sheetName val="表头"/>
      <sheetName val="明细表E6-2"/>
      <sheetName val="客户余额表"/>
      <sheetName val="其他货币资金.dbf"/>
      <sheetName val="银行存款.dbf"/>
      <sheetName val="Sheet2 (3)"/>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设备部房屋"/>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润表项目"/>
      <sheetName val="W"/>
      <sheetName val="基本情况表"/>
      <sheetName val="2010年试算平衡表"/>
      <sheetName val="本年试算平衡表"/>
      <sheetName val="资产负债表原报 (2)"/>
      <sheetName val="账上导出数（包括暂估）"/>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6"/>
  <sheetViews>
    <sheetView tabSelected="1" view="pageBreakPreview" topLeftCell="A13" zoomScaleNormal="130" workbookViewId="0">
      <selection activeCell="C16" sqref="C16:C17"/>
    </sheetView>
  </sheetViews>
  <sheetFormatPr defaultColWidth="9" defaultRowHeight="13.8" x14ac:dyDescent="0.25"/>
  <cols>
    <col min="1" max="1" width="23.21875" style="25" customWidth="1"/>
    <col min="2" max="2" width="7" style="25" customWidth="1"/>
    <col min="3" max="3" width="6" style="25" customWidth="1"/>
    <col min="4" max="4" width="21" style="25" customWidth="1"/>
    <col min="5" max="5" width="21.88671875" style="25" customWidth="1"/>
    <col min="6" max="6" width="13.109375" style="25" customWidth="1"/>
    <col min="7" max="16384" width="9" style="25"/>
  </cols>
  <sheetData>
    <row r="1" spans="1:6" ht="19.95" customHeight="1" x14ac:dyDescent="0.25">
      <c r="A1" s="38" t="s">
        <v>0</v>
      </c>
      <c r="B1" s="39"/>
      <c r="C1" s="39"/>
      <c r="D1" s="39"/>
      <c r="E1" s="39"/>
      <c r="F1" s="39"/>
    </row>
    <row r="2" spans="1:6" ht="19.95" customHeight="1" x14ac:dyDescent="0.25">
      <c r="A2" s="40" t="s">
        <v>1</v>
      </c>
      <c r="B2" s="41"/>
      <c r="C2" s="41"/>
      <c r="D2" s="41"/>
      <c r="E2" s="41"/>
      <c r="F2" s="41"/>
    </row>
    <row r="3" spans="1:6" ht="19.95" customHeight="1" x14ac:dyDescent="0.25">
      <c r="A3" s="26" t="s">
        <v>2</v>
      </c>
      <c r="D3" s="5" t="s">
        <v>3</v>
      </c>
      <c r="E3" s="26" t="s">
        <v>4</v>
      </c>
      <c r="F3" s="26" t="s">
        <v>5</v>
      </c>
    </row>
    <row r="4" spans="1:6" ht="19.95" customHeight="1" x14ac:dyDescent="0.25">
      <c r="A4" s="26" t="s">
        <v>6</v>
      </c>
      <c r="D4" s="26" t="s">
        <v>7</v>
      </c>
      <c r="E4" s="26" t="s">
        <v>8</v>
      </c>
      <c r="F4" s="26" t="s">
        <v>9</v>
      </c>
    </row>
    <row r="5" spans="1:6" ht="19.95" customHeight="1" x14ac:dyDescent="0.25">
      <c r="A5" s="27" t="s">
        <v>10</v>
      </c>
      <c r="B5" s="7"/>
      <c r="C5" s="7"/>
      <c r="D5" s="8"/>
      <c r="E5" s="7"/>
      <c r="F5" s="9"/>
    </row>
    <row r="6" spans="1:6" ht="19.95" customHeight="1" x14ac:dyDescent="0.25">
      <c r="A6" s="10"/>
      <c r="B6" s="5"/>
      <c r="C6" s="5"/>
      <c r="D6" s="11"/>
      <c r="E6" s="5"/>
      <c r="F6" s="12"/>
    </row>
    <row r="7" spans="1:6" ht="19.95" customHeight="1" x14ac:dyDescent="0.25">
      <c r="A7" s="10"/>
      <c r="B7" s="5"/>
      <c r="C7" s="5"/>
      <c r="D7" s="11"/>
      <c r="E7" s="5"/>
      <c r="F7" s="12"/>
    </row>
    <row r="8" spans="1:6" ht="19.95" customHeight="1" x14ac:dyDescent="0.25">
      <c r="A8" s="13"/>
      <c r="B8" s="14"/>
      <c r="C8" s="14"/>
      <c r="D8" s="15"/>
      <c r="E8" s="14"/>
      <c r="F8" s="16"/>
    </row>
    <row r="9" spans="1:6" s="24" customFormat="1" ht="19.95" customHeight="1" x14ac:dyDescent="0.25">
      <c r="A9" s="42" t="s">
        <v>11</v>
      </c>
      <c r="B9" s="43"/>
      <c r="C9" s="28" t="s">
        <v>12</v>
      </c>
      <c r="D9" s="44" t="s">
        <v>13</v>
      </c>
      <c r="E9" s="45"/>
      <c r="F9" s="28" t="s">
        <v>14</v>
      </c>
    </row>
    <row r="10" spans="1:6" s="24" customFormat="1" ht="68.25" customHeight="1" x14ac:dyDescent="0.25">
      <c r="A10" s="57" t="s">
        <v>15</v>
      </c>
      <c r="B10" s="47"/>
      <c r="C10" s="55"/>
      <c r="D10" s="46"/>
      <c r="E10" s="47"/>
      <c r="F10" s="19"/>
    </row>
    <row r="11" spans="1:6" s="24" customFormat="1" ht="19.95" customHeight="1" x14ac:dyDescent="0.25">
      <c r="A11" s="58"/>
      <c r="B11" s="49"/>
      <c r="C11" s="56"/>
      <c r="D11" s="48" t="str">
        <f>IF(C10="否","不属于控制偏差；进入步骤六",IF(C10="是","进入步骤二",""))</f>
        <v/>
      </c>
      <c r="E11" s="49"/>
      <c r="F11" s="20"/>
    </row>
    <row r="12" spans="1:6" s="24" customFormat="1" ht="68.25" customHeight="1" x14ac:dyDescent="0.25">
      <c r="A12" s="57" t="s">
        <v>16</v>
      </c>
      <c r="B12" s="47"/>
      <c r="C12" s="55"/>
      <c r="D12" s="46"/>
      <c r="E12" s="47"/>
      <c r="F12" s="19"/>
    </row>
    <row r="13" spans="1:6" s="24" customFormat="1" ht="19.95" customHeight="1" x14ac:dyDescent="0.25">
      <c r="A13" s="58"/>
      <c r="B13" s="49"/>
      <c r="C13" s="56"/>
      <c r="D13" s="48" t="str">
        <f>IF(C12="随机性偏差","确定应对措施；进入步骤三",IF(OR(C12="系统性偏差",C12="人为偏差"),"属于控制缺陷；进入步骤五",""))</f>
        <v/>
      </c>
      <c r="E13" s="49"/>
      <c r="F13" s="20"/>
    </row>
    <row r="14" spans="1:6" s="24" customFormat="1" ht="72.75" customHeight="1" x14ac:dyDescent="0.25">
      <c r="A14" s="57" t="s">
        <v>17</v>
      </c>
      <c r="B14" s="47"/>
      <c r="C14" s="55"/>
      <c r="D14" s="46"/>
      <c r="E14" s="47"/>
      <c r="F14" s="19"/>
    </row>
    <row r="15" spans="1:6" s="24" customFormat="1" ht="19.95" customHeight="1" x14ac:dyDescent="0.25">
      <c r="A15" s="58"/>
      <c r="B15" s="49"/>
      <c r="C15" s="56"/>
      <c r="D15" s="48" t="str">
        <f>IF(C14="直接认定为偏差","进入步骤五",IF(C14="扩大样本量","进入步骤四",""))</f>
        <v/>
      </c>
      <c r="E15" s="49"/>
      <c r="F15" s="20"/>
    </row>
    <row r="16" spans="1:6" s="24" customFormat="1" ht="69" customHeight="1" x14ac:dyDescent="0.25">
      <c r="A16" s="57" t="s">
        <v>18</v>
      </c>
      <c r="B16" s="47"/>
      <c r="C16" s="55"/>
      <c r="D16" s="46"/>
      <c r="E16" s="47"/>
      <c r="F16" s="19"/>
    </row>
    <row r="17" spans="1:6" s="24" customFormat="1" ht="19.95" customHeight="1" x14ac:dyDescent="0.25">
      <c r="A17" s="58"/>
      <c r="B17" s="49"/>
      <c r="C17" s="56"/>
      <c r="D17" s="48" t="str">
        <f>IF(C16="否","控制有效",IF(C16="是","该控制无效；进入步骤五",""))</f>
        <v/>
      </c>
      <c r="E17" s="49"/>
      <c r="F17" s="20"/>
    </row>
    <row r="18" spans="1:6" s="24" customFormat="1" ht="19.95" customHeight="1" x14ac:dyDescent="0.25">
      <c r="A18" s="57" t="s">
        <v>19</v>
      </c>
      <c r="B18" s="47"/>
      <c r="C18" s="55" t="str">
        <f>IF(OR(D15="进入步骤五",D17="该控制无效；进入步骤五"),"评价缺陷","")</f>
        <v/>
      </c>
      <c r="D18" s="50"/>
      <c r="E18" s="47"/>
      <c r="F18" s="18"/>
    </row>
    <row r="19" spans="1:6" s="24" customFormat="1" ht="19.95" customHeight="1" x14ac:dyDescent="0.25">
      <c r="A19" s="58"/>
      <c r="B19" s="49"/>
      <c r="C19" s="56"/>
      <c r="D19" s="48" t="str">
        <f>IF(OR(D15="进入步骤五",D17="该控制无效；进入步骤五"),"进入内部控制缺陷评价底稿","")</f>
        <v/>
      </c>
      <c r="E19" s="49"/>
      <c r="F19" s="21" t="str">
        <f>IF(LEN(D19)&gt;0,"A14","")</f>
        <v/>
      </c>
    </row>
    <row r="20" spans="1:6" s="24" customFormat="1" ht="97.5" customHeight="1" x14ac:dyDescent="0.25">
      <c r="A20" s="57" t="s">
        <v>20</v>
      </c>
      <c r="B20" s="47"/>
      <c r="C20" s="55"/>
      <c r="D20" s="46"/>
      <c r="E20" s="47"/>
      <c r="F20" s="19"/>
    </row>
    <row r="21" spans="1:6" s="24" customFormat="1" ht="19.95" customHeight="1" x14ac:dyDescent="0.25">
      <c r="A21" s="58"/>
      <c r="B21" s="49"/>
      <c r="C21" s="56"/>
      <c r="D21" s="48" t="str">
        <f>IF(C20="否","该控制例外情况不构成偏差或缺陷",IF(C20="是","存在设计缺陷；回到步骤五",""))</f>
        <v/>
      </c>
      <c r="E21" s="49"/>
      <c r="F21" s="20"/>
    </row>
    <row r="22" spans="1:6" s="24" customFormat="1" ht="45.75" customHeight="1" x14ac:dyDescent="0.25">
      <c r="A22" s="51" t="s">
        <v>21</v>
      </c>
      <c r="B22" s="52"/>
      <c r="C22" s="22"/>
      <c r="D22" s="53"/>
      <c r="E22" s="54"/>
      <c r="F22" s="23"/>
    </row>
    <row r="23" spans="1:6" s="24" customFormat="1" x14ac:dyDescent="0.25"/>
    <row r="24" spans="1:6" s="24" customFormat="1" x14ac:dyDescent="0.25"/>
    <row r="25" spans="1:6" x14ac:dyDescent="0.25">
      <c r="A25" s="29" t="s">
        <v>22</v>
      </c>
      <c r="B25" s="30"/>
      <c r="C25" s="30"/>
      <c r="D25" s="30"/>
      <c r="E25" s="30"/>
      <c r="F25" s="30"/>
    </row>
    <row r="26" spans="1:6" x14ac:dyDescent="0.25">
      <c r="A26" s="29" t="s">
        <v>23</v>
      </c>
      <c r="B26" s="30"/>
      <c r="C26" s="30"/>
      <c r="D26" s="30"/>
      <c r="E26" s="30"/>
      <c r="F26" s="30"/>
    </row>
    <row r="27" spans="1:6" x14ac:dyDescent="0.25">
      <c r="A27" s="31" t="s">
        <v>24</v>
      </c>
      <c r="B27" s="30"/>
      <c r="C27" s="30"/>
      <c r="D27" s="30"/>
      <c r="E27" s="30"/>
      <c r="F27" s="30"/>
    </row>
    <row r="28" spans="1:6" x14ac:dyDescent="0.25">
      <c r="A28" s="31" t="s">
        <v>25</v>
      </c>
      <c r="B28" s="30"/>
      <c r="C28" s="30"/>
      <c r="D28" s="30"/>
      <c r="E28" s="30"/>
      <c r="F28" s="30"/>
    </row>
    <row r="29" spans="1:6" x14ac:dyDescent="0.25">
      <c r="A29" s="31" t="s">
        <v>26</v>
      </c>
      <c r="B29" s="30"/>
      <c r="C29" s="30"/>
      <c r="D29" s="30"/>
      <c r="E29" s="30"/>
      <c r="F29" s="30"/>
    </row>
    <row r="30" spans="1:6" x14ac:dyDescent="0.25">
      <c r="A30" s="31" t="s">
        <v>27</v>
      </c>
      <c r="B30" s="30"/>
      <c r="C30" s="30"/>
      <c r="D30" s="30"/>
      <c r="E30" s="30"/>
      <c r="F30" s="30"/>
    </row>
    <row r="31" spans="1:6" x14ac:dyDescent="0.25">
      <c r="A31" s="31" t="s">
        <v>28</v>
      </c>
      <c r="B31" s="30"/>
      <c r="C31" s="30"/>
      <c r="D31" s="30"/>
      <c r="E31" s="30"/>
      <c r="F31" s="30"/>
    </row>
    <row r="32" spans="1:6" x14ac:dyDescent="0.25">
      <c r="A32" s="31" t="s">
        <v>29</v>
      </c>
      <c r="B32" s="30"/>
      <c r="C32" s="30"/>
      <c r="D32" s="30"/>
      <c r="E32" s="30"/>
      <c r="F32" s="30"/>
    </row>
    <row r="33" spans="1:6" x14ac:dyDescent="0.25">
      <c r="A33" s="31" t="s">
        <v>30</v>
      </c>
      <c r="B33" s="30"/>
      <c r="C33" s="30"/>
      <c r="D33" s="30"/>
      <c r="E33" s="30"/>
      <c r="F33" s="30"/>
    </row>
    <row r="34" spans="1:6" x14ac:dyDescent="0.25">
      <c r="A34" s="31" t="s">
        <v>31</v>
      </c>
      <c r="B34" s="30"/>
      <c r="C34" s="30"/>
      <c r="D34" s="30"/>
      <c r="E34" s="30"/>
      <c r="F34" s="30"/>
    </row>
    <row r="35" spans="1:6" x14ac:dyDescent="0.25">
      <c r="A35" s="31" t="s">
        <v>32</v>
      </c>
      <c r="B35" s="30"/>
      <c r="C35" s="30"/>
      <c r="D35" s="30"/>
      <c r="E35" s="30"/>
      <c r="F35" s="30"/>
    </row>
    <row r="36" spans="1:6" x14ac:dyDescent="0.25">
      <c r="A36" s="31" t="s">
        <v>33</v>
      </c>
      <c r="B36" s="30"/>
      <c r="C36" s="30"/>
      <c r="D36" s="30"/>
      <c r="E36" s="30"/>
      <c r="F36" s="30"/>
    </row>
    <row r="37" spans="1:6" s="24" customFormat="1" ht="14.25" customHeight="1" x14ac:dyDescent="0.25">
      <c r="A37" s="29" t="s">
        <v>34</v>
      </c>
      <c r="B37" s="30"/>
      <c r="C37" s="30"/>
      <c r="D37" s="30"/>
      <c r="E37" s="30"/>
      <c r="F37" s="30"/>
    </row>
    <row r="38" spans="1:6" x14ac:dyDescent="0.25">
      <c r="A38" s="31" t="s">
        <v>35</v>
      </c>
      <c r="B38" s="30"/>
      <c r="C38" s="30"/>
      <c r="D38" s="30"/>
      <c r="E38" s="30"/>
      <c r="F38" s="30"/>
    </row>
    <row r="39" spans="1:6" x14ac:dyDescent="0.25">
      <c r="A39" s="31" t="s">
        <v>36</v>
      </c>
      <c r="B39" s="30"/>
      <c r="C39" s="30"/>
      <c r="D39" s="30"/>
      <c r="E39" s="30"/>
      <c r="F39" s="30"/>
    </row>
    <row r="40" spans="1:6" x14ac:dyDescent="0.25">
      <c r="A40" s="31" t="s">
        <v>37</v>
      </c>
      <c r="B40" s="30"/>
      <c r="C40" s="30"/>
      <c r="D40" s="30"/>
      <c r="E40" s="30"/>
      <c r="F40" s="30"/>
    </row>
    <row r="41" spans="1:6" x14ac:dyDescent="0.25">
      <c r="A41" s="32" t="s">
        <v>38</v>
      </c>
      <c r="B41" s="33"/>
      <c r="C41" s="33"/>
      <c r="D41" s="33"/>
      <c r="E41" s="33"/>
      <c r="F41" s="33"/>
    </row>
    <row r="42" spans="1:6" x14ac:dyDescent="0.25">
      <c r="A42" s="34"/>
      <c r="B42" s="33"/>
      <c r="C42" s="33"/>
      <c r="D42" s="33"/>
      <c r="E42" s="33"/>
      <c r="F42" s="33"/>
    </row>
    <row r="43" spans="1:6" x14ac:dyDescent="0.25">
      <c r="A43" s="35" t="s">
        <v>39</v>
      </c>
      <c r="B43" s="30"/>
      <c r="C43" s="30"/>
      <c r="D43" s="30"/>
      <c r="E43" s="30"/>
      <c r="F43" s="30"/>
    </row>
    <row r="44" spans="1:6" x14ac:dyDescent="0.25">
      <c r="A44" s="31" t="s">
        <v>40</v>
      </c>
      <c r="B44" s="30"/>
      <c r="C44" s="30"/>
      <c r="D44" s="30"/>
      <c r="E44" s="30"/>
      <c r="F44" s="30"/>
    </row>
    <row r="45" spans="1:6" x14ac:dyDescent="0.25">
      <c r="A45" s="31" t="s">
        <v>41</v>
      </c>
      <c r="B45" s="30"/>
      <c r="C45" s="30"/>
      <c r="D45" s="30"/>
      <c r="E45" s="30"/>
      <c r="F45" s="30"/>
    </row>
    <row r="46" spans="1:6" x14ac:dyDescent="0.25">
      <c r="A46" s="31" t="s">
        <v>42</v>
      </c>
      <c r="B46" s="30"/>
      <c r="C46" s="30"/>
      <c r="D46" s="30"/>
      <c r="E46" s="30"/>
      <c r="F46" s="30"/>
    </row>
    <row r="47" spans="1:6" x14ac:dyDescent="0.25">
      <c r="A47" s="31" t="s">
        <v>43</v>
      </c>
      <c r="B47" s="30"/>
      <c r="C47" s="30"/>
      <c r="D47" s="30"/>
      <c r="E47" s="30"/>
      <c r="F47" s="30"/>
    </row>
    <row r="48" spans="1:6" x14ac:dyDescent="0.25">
      <c r="A48" s="31" t="s">
        <v>44</v>
      </c>
      <c r="B48" s="30"/>
      <c r="C48" s="30"/>
      <c r="D48" s="30"/>
      <c r="E48" s="30"/>
      <c r="F48" s="30"/>
    </row>
    <row r="49" spans="1:6" x14ac:dyDescent="0.25">
      <c r="A49" s="31" t="s">
        <v>45</v>
      </c>
      <c r="B49" s="30"/>
      <c r="C49" s="30"/>
      <c r="D49" s="30"/>
      <c r="E49" s="30"/>
      <c r="F49" s="30"/>
    </row>
    <row r="50" spans="1:6" x14ac:dyDescent="0.25">
      <c r="A50" s="31" t="s">
        <v>46</v>
      </c>
      <c r="B50" s="30"/>
      <c r="C50" s="30"/>
      <c r="D50" s="30"/>
      <c r="E50" s="30"/>
      <c r="F50" s="30"/>
    </row>
    <row r="51" spans="1:6" x14ac:dyDescent="0.25">
      <c r="A51" s="31" t="s">
        <v>47</v>
      </c>
      <c r="B51" s="30"/>
      <c r="C51" s="30"/>
      <c r="D51" s="30"/>
      <c r="E51" s="30"/>
      <c r="F51" s="30"/>
    </row>
    <row r="52" spans="1:6" x14ac:dyDescent="0.25">
      <c r="A52" s="31" t="s">
        <v>48</v>
      </c>
      <c r="B52" s="30"/>
      <c r="C52" s="30"/>
      <c r="D52" s="30"/>
      <c r="E52" s="30"/>
      <c r="F52" s="30"/>
    </row>
    <row r="53" spans="1:6" x14ac:dyDescent="0.25">
      <c r="A53" s="31" t="s">
        <v>49</v>
      </c>
      <c r="B53" s="30"/>
      <c r="C53" s="30"/>
      <c r="D53" s="30"/>
      <c r="E53" s="30"/>
      <c r="F53" s="30"/>
    </row>
    <row r="54" spans="1:6" x14ac:dyDescent="0.25">
      <c r="A54" s="31" t="s">
        <v>50</v>
      </c>
      <c r="B54" s="30"/>
      <c r="C54" s="30"/>
      <c r="D54" s="30"/>
      <c r="E54" s="30"/>
      <c r="F54" s="30"/>
    </row>
    <row r="55" spans="1:6" x14ac:dyDescent="0.25">
      <c r="A55" s="31" t="s">
        <v>51</v>
      </c>
      <c r="B55" s="30"/>
      <c r="C55" s="30"/>
      <c r="D55" s="30"/>
      <c r="E55" s="30"/>
      <c r="F55" s="30"/>
    </row>
    <row r="56" spans="1:6" x14ac:dyDescent="0.25">
      <c r="A56" s="36"/>
      <c r="B56" s="30"/>
      <c r="C56" s="30"/>
      <c r="D56" s="30"/>
      <c r="E56" s="30"/>
      <c r="F56" s="30"/>
    </row>
    <row r="57" spans="1:6" x14ac:dyDescent="0.25">
      <c r="A57" s="29" t="s">
        <v>52</v>
      </c>
    </row>
    <row r="58" spans="1:6" x14ac:dyDescent="0.25">
      <c r="A58" s="31" t="s">
        <v>53</v>
      </c>
    </row>
    <row r="59" spans="1:6" x14ac:dyDescent="0.25">
      <c r="A59" s="32" t="s">
        <v>54</v>
      </c>
    </row>
    <row r="60" spans="1:6" x14ac:dyDescent="0.25">
      <c r="A60" s="32" t="s">
        <v>55</v>
      </c>
    </row>
    <row r="61" spans="1:6" x14ac:dyDescent="0.25">
      <c r="A61" s="32" t="s">
        <v>56</v>
      </c>
    </row>
    <row r="62" spans="1:6" x14ac:dyDescent="0.25">
      <c r="A62" s="32" t="s">
        <v>57</v>
      </c>
    </row>
    <row r="63" spans="1:6" x14ac:dyDescent="0.25">
      <c r="A63" s="32" t="s">
        <v>58</v>
      </c>
    </row>
    <row r="65" spans="1:1" x14ac:dyDescent="0.25">
      <c r="A65" s="29" t="s">
        <v>59</v>
      </c>
    </row>
    <row r="66" spans="1:1" x14ac:dyDescent="0.25">
      <c r="A66" s="32" t="s">
        <v>60</v>
      </c>
    </row>
    <row r="67" spans="1:1" x14ac:dyDescent="0.25">
      <c r="A67" s="32" t="s">
        <v>61</v>
      </c>
    </row>
    <row r="68" spans="1:1" x14ac:dyDescent="0.25">
      <c r="A68" s="32" t="s">
        <v>62</v>
      </c>
    </row>
    <row r="69" spans="1:1" x14ac:dyDescent="0.25">
      <c r="A69" s="32" t="s">
        <v>63</v>
      </c>
    </row>
    <row r="70" spans="1:1" x14ac:dyDescent="0.25">
      <c r="A70" s="34"/>
    </row>
    <row r="72" spans="1:1" x14ac:dyDescent="0.25">
      <c r="A72" s="29" t="s">
        <v>64</v>
      </c>
    </row>
    <row r="73" spans="1:1" x14ac:dyDescent="0.25">
      <c r="A73" s="37" t="s">
        <v>65</v>
      </c>
    </row>
    <row r="74" spans="1:1" x14ac:dyDescent="0.25">
      <c r="A74" s="37" t="s">
        <v>66</v>
      </c>
    </row>
    <row r="75" spans="1:1" x14ac:dyDescent="0.25">
      <c r="A75" s="37" t="s">
        <v>67</v>
      </c>
    </row>
    <row r="76" spans="1:1" x14ac:dyDescent="0.25">
      <c r="A76" s="34"/>
    </row>
  </sheetData>
  <mergeCells count="30">
    <mergeCell ref="D21:E21"/>
    <mergeCell ref="A22:B22"/>
    <mergeCell ref="D22:E22"/>
    <mergeCell ref="C10:C11"/>
    <mergeCell ref="C12:C13"/>
    <mergeCell ref="C14:C15"/>
    <mergeCell ref="C16:C17"/>
    <mergeCell ref="C18:C19"/>
    <mergeCell ref="C20:C21"/>
    <mergeCell ref="A20:B21"/>
    <mergeCell ref="A16:B17"/>
    <mergeCell ref="A18:B19"/>
    <mergeCell ref="A12:B13"/>
    <mergeCell ref="A14:B15"/>
    <mergeCell ref="A10:B11"/>
    <mergeCell ref="D16:E16"/>
    <mergeCell ref="D17:E17"/>
    <mergeCell ref="D18:E18"/>
    <mergeCell ref="D19:E19"/>
    <mergeCell ref="D20:E20"/>
    <mergeCell ref="D11:E11"/>
    <mergeCell ref="D12:E12"/>
    <mergeCell ref="D13:E13"/>
    <mergeCell ref="D14:E14"/>
    <mergeCell ref="D15:E15"/>
    <mergeCell ref="A1:F1"/>
    <mergeCell ref="A2:F2"/>
    <mergeCell ref="A9:B9"/>
    <mergeCell ref="D9:E9"/>
    <mergeCell ref="D10:E10"/>
  </mergeCells>
  <phoneticPr fontId="33" type="noConversion"/>
  <dataValidations count="3">
    <dataValidation type="list" allowBlank="1" showInputMessage="1" showErrorMessage="1" sqref="C10:C11 C16:C17 C20:C21">
      <formula1>"是,否"</formula1>
    </dataValidation>
    <dataValidation type="list" allowBlank="1" showInputMessage="1" showErrorMessage="1" sqref="C12:C13">
      <formula1>"系统性偏差,人为偏差,随机性偏差"</formula1>
    </dataValidation>
    <dataValidation type="list" allowBlank="1" showInputMessage="1" showErrorMessage="1" sqref="C14:C15">
      <formula1>"扩大样本量,直接认定为偏差"</formula1>
    </dataValidation>
  </dataValidations>
  <pageMargins left="0.70866141732283505" right="0.43307086614173201" top="0.62992125984252001" bottom="0.47244094488188998" header="0.31496062992126" footer="0.31496062992126"/>
  <pageSetup paperSize="9" scale="92" orientation="portrait" blackAndWhite="1"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view="pageBreakPreview" zoomScaleNormal="130" workbookViewId="0">
      <selection activeCell="E6" sqref="E6"/>
    </sheetView>
  </sheetViews>
  <sheetFormatPr defaultColWidth="9" defaultRowHeight="13.8" x14ac:dyDescent="0.25"/>
  <cols>
    <col min="1" max="1" width="23.21875" style="2" customWidth="1"/>
    <col min="2" max="2" width="5.109375" style="2" customWidth="1"/>
    <col min="3" max="3" width="4.77734375" style="2" customWidth="1"/>
    <col min="4" max="4" width="16.88671875" style="2" customWidth="1"/>
    <col min="5" max="5" width="17" style="2" customWidth="1"/>
    <col min="6" max="6" width="12.33203125" style="2" customWidth="1"/>
    <col min="7" max="16384" width="9" style="2"/>
  </cols>
  <sheetData>
    <row r="1" spans="1:6" ht="20.100000000000001" customHeight="1" x14ac:dyDescent="0.3">
      <c r="A1" s="59" t="s">
        <v>0</v>
      </c>
      <c r="B1" s="59"/>
      <c r="C1" s="59"/>
      <c r="D1" s="59"/>
      <c r="E1" s="59"/>
      <c r="F1" s="59"/>
    </row>
    <row r="2" spans="1:6" ht="24.9" customHeight="1" x14ac:dyDescent="0.25">
      <c r="A2" s="41" t="s">
        <v>68</v>
      </c>
      <c r="B2" s="41"/>
      <c r="C2" s="41"/>
      <c r="D2" s="41"/>
      <c r="E2" s="41"/>
      <c r="F2" s="41"/>
    </row>
    <row r="3" spans="1:6" ht="17.25" customHeight="1" x14ac:dyDescent="0.25">
      <c r="A3" s="3" t="s">
        <v>69</v>
      </c>
      <c r="B3" s="4"/>
      <c r="C3" s="4"/>
      <c r="D3" s="5" t="s">
        <v>70</v>
      </c>
      <c r="E3" s="5" t="s">
        <v>71</v>
      </c>
      <c r="F3" s="5" t="s">
        <v>5</v>
      </c>
    </row>
    <row r="4" spans="1:6" ht="17.25" customHeight="1" x14ac:dyDescent="0.25">
      <c r="A4" s="5" t="s">
        <v>72</v>
      </c>
      <c r="B4" s="4"/>
      <c r="C4" s="4"/>
      <c r="D4" s="5" t="s">
        <v>73</v>
      </c>
      <c r="E4" s="5" t="s">
        <v>74</v>
      </c>
      <c r="F4" s="5" t="s">
        <v>9</v>
      </c>
    </row>
    <row r="5" spans="1:6" ht="17.25" customHeight="1" x14ac:dyDescent="0.25">
      <c r="A5" s="6" t="s">
        <v>10</v>
      </c>
      <c r="B5" s="7"/>
      <c r="C5" s="7"/>
      <c r="D5" s="8"/>
      <c r="E5" s="7"/>
      <c r="F5" s="9"/>
    </row>
    <row r="6" spans="1:6" ht="17.25" customHeight="1" x14ac:dyDescent="0.25">
      <c r="A6" s="10" t="s">
        <v>75</v>
      </c>
      <c r="B6" s="5"/>
      <c r="C6" s="5"/>
      <c r="D6" s="11"/>
      <c r="E6" s="5"/>
      <c r="F6" s="12"/>
    </row>
    <row r="7" spans="1:6" ht="17.25" customHeight="1" x14ac:dyDescent="0.25">
      <c r="A7" s="13" t="s">
        <v>76</v>
      </c>
      <c r="B7" s="14"/>
      <c r="C7" s="14"/>
      <c r="D7" s="15"/>
      <c r="E7" s="14"/>
      <c r="F7" s="16"/>
    </row>
    <row r="8" spans="1:6" s="1" customFormat="1" ht="18.75" customHeight="1" x14ac:dyDescent="0.25">
      <c r="A8" s="43" t="s">
        <v>11</v>
      </c>
      <c r="B8" s="43"/>
      <c r="C8" s="17" t="s">
        <v>12</v>
      </c>
      <c r="D8" s="60" t="s">
        <v>13</v>
      </c>
      <c r="E8" s="45"/>
      <c r="F8" s="17" t="s">
        <v>14</v>
      </c>
    </row>
    <row r="9" spans="1:6" s="1" customFormat="1" ht="33.75" customHeight="1" x14ac:dyDescent="0.25">
      <c r="A9" s="46" t="s">
        <v>77</v>
      </c>
      <c r="B9" s="47"/>
      <c r="C9" s="55" t="s">
        <v>78</v>
      </c>
      <c r="D9" s="46" t="s">
        <v>79</v>
      </c>
      <c r="E9" s="47"/>
      <c r="F9" s="19"/>
    </row>
    <row r="10" spans="1:6" s="1" customFormat="1" ht="17.25" customHeight="1" x14ac:dyDescent="0.25">
      <c r="A10" s="63"/>
      <c r="B10" s="64"/>
      <c r="C10" s="62"/>
      <c r="D10" s="48" t="str">
        <f>IF(C9="是","进入步骤二","")</f>
        <v>进入步骤二</v>
      </c>
      <c r="E10" s="49"/>
      <c r="F10" s="20"/>
    </row>
    <row r="11" spans="1:6" s="1" customFormat="1" ht="35.25" customHeight="1" x14ac:dyDescent="0.25">
      <c r="A11" s="63"/>
      <c r="B11" s="64"/>
      <c r="C11" s="62"/>
      <c r="D11" s="50"/>
      <c r="E11" s="47"/>
      <c r="F11" s="19"/>
    </row>
    <row r="12" spans="1:6" s="1" customFormat="1" ht="36" customHeight="1" x14ac:dyDescent="0.25">
      <c r="A12" s="46" t="s">
        <v>80</v>
      </c>
      <c r="B12" s="47"/>
      <c r="C12" s="55" t="s">
        <v>81</v>
      </c>
      <c r="D12" s="46"/>
      <c r="E12" s="47"/>
      <c r="F12" s="19"/>
    </row>
    <row r="13" spans="1:6" s="1" customFormat="1" ht="17.25" customHeight="1" x14ac:dyDescent="0.25">
      <c r="A13" s="63"/>
      <c r="B13" s="64"/>
      <c r="C13" s="62"/>
      <c r="D13" s="48" t="str">
        <f>IF(OR(C12="系统性偏差",C12="人为偏差"),"属于控制缺陷；进入步骤五","")</f>
        <v/>
      </c>
      <c r="E13" s="49"/>
      <c r="F13" s="20"/>
    </row>
    <row r="14" spans="1:6" s="1" customFormat="1" ht="45" customHeight="1" x14ac:dyDescent="0.25">
      <c r="A14" s="63"/>
      <c r="B14" s="64"/>
      <c r="C14" s="62"/>
      <c r="D14" s="50" t="s">
        <v>82</v>
      </c>
      <c r="E14" s="47"/>
      <c r="F14" s="19"/>
    </row>
    <row r="15" spans="1:6" s="1" customFormat="1" ht="17.25" customHeight="1" x14ac:dyDescent="0.25">
      <c r="A15" s="58"/>
      <c r="B15" s="49"/>
      <c r="C15" s="56"/>
      <c r="D15" s="48" t="str">
        <f>IF(C12="随机性偏差","确定应对措施；进入步骤三","")</f>
        <v>确定应对措施；进入步骤三</v>
      </c>
      <c r="E15" s="49"/>
      <c r="F15" s="20"/>
    </row>
    <row r="16" spans="1:6" s="1" customFormat="1" ht="36" customHeight="1" x14ac:dyDescent="0.25">
      <c r="A16" s="46" t="s">
        <v>83</v>
      </c>
      <c r="B16" s="47"/>
      <c r="C16" s="55" t="s">
        <v>84</v>
      </c>
      <c r="D16" s="46" t="s">
        <v>85</v>
      </c>
      <c r="E16" s="47"/>
      <c r="F16" s="19"/>
    </row>
    <row r="17" spans="1:6" s="1" customFormat="1" ht="18" customHeight="1" x14ac:dyDescent="0.25">
      <c r="A17" s="63"/>
      <c r="B17" s="64"/>
      <c r="C17" s="62"/>
      <c r="D17" s="48" t="str">
        <f>IF(C16="扩大样本量","进入步骤四","")</f>
        <v>进入步骤四</v>
      </c>
      <c r="E17" s="49"/>
      <c r="F17" s="20"/>
    </row>
    <row r="18" spans="1:6" s="1" customFormat="1" ht="18" customHeight="1" x14ac:dyDescent="0.25">
      <c r="A18" s="63"/>
      <c r="B18" s="64"/>
      <c r="C18" s="62"/>
      <c r="D18" s="50"/>
      <c r="E18" s="47"/>
      <c r="F18" s="19"/>
    </row>
    <row r="19" spans="1:6" s="1" customFormat="1" ht="18" customHeight="1" x14ac:dyDescent="0.25">
      <c r="A19" s="58"/>
      <c r="B19" s="49"/>
      <c r="C19" s="56"/>
      <c r="D19" s="48" t="str">
        <f>IF(C16="直接认定为偏差","进入步骤五","")</f>
        <v/>
      </c>
      <c r="E19" s="49"/>
      <c r="F19" s="20"/>
    </row>
    <row r="20" spans="1:6" s="1" customFormat="1" ht="19.5" customHeight="1" x14ac:dyDescent="0.25">
      <c r="A20" s="46" t="s">
        <v>86</v>
      </c>
      <c r="B20" s="47"/>
      <c r="C20" s="55" t="s">
        <v>87</v>
      </c>
      <c r="D20" s="46"/>
      <c r="E20" s="47"/>
      <c r="F20" s="19"/>
    </row>
    <row r="21" spans="1:6" s="1" customFormat="1" ht="17.25" customHeight="1" x14ac:dyDescent="0.25">
      <c r="A21" s="63"/>
      <c r="B21" s="64"/>
      <c r="C21" s="62"/>
      <c r="D21" s="48" t="str">
        <f>IF(C20="是","该控制无效；进入步骤五","")</f>
        <v/>
      </c>
      <c r="E21" s="49"/>
      <c r="F21" s="20"/>
    </row>
    <row r="22" spans="1:6" s="1" customFormat="1" ht="33.75" customHeight="1" x14ac:dyDescent="0.25">
      <c r="A22" s="63"/>
      <c r="B22" s="64"/>
      <c r="C22" s="62"/>
      <c r="D22" s="46" t="s">
        <v>88</v>
      </c>
      <c r="E22" s="47"/>
      <c r="F22" s="19"/>
    </row>
    <row r="23" spans="1:6" s="1" customFormat="1" ht="17.25" customHeight="1" x14ac:dyDescent="0.25">
      <c r="A23" s="58"/>
      <c r="B23" s="49"/>
      <c r="C23" s="56"/>
      <c r="D23" s="48" t="str">
        <f>IF(C20="否","控制有效","")</f>
        <v>控制有效</v>
      </c>
      <c r="E23" s="49"/>
      <c r="F23" s="20"/>
    </row>
    <row r="24" spans="1:6" s="1" customFormat="1" ht="21" customHeight="1" x14ac:dyDescent="0.25">
      <c r="A24" s="46" t="s">
        <v>89</v>
      </c>
      <c r="B24" s="47"/>
      <c r="C24" s="55" t="str">
        <f>IF(OR(D19="进入步骤五",D21="该控制无效；进入步骤五"),"评价缺陷","")</f>
        <v/>
      </c>
      <c r="D24" s="50"/>
      <c r="E24" s="47"/>
      <c r="F24" s="18"/>
    </row>
    <row r="25" spans="1:6" s="1" customFormat="1" ht="21" customHeight="1" x14ac:dyDescent="0.25">
      <c r="A25" s="58"/>
      <c r="B25" s="49"/>
      <c r="C25" s="56"/>
      <c r="D25" s="48" t="str">
        <f>IF(C24="评价缺陷","进入内部控制缺陷评价底稿","")</f>
        <v/>
      </c>
      <c r="E25" s="49"/>
      <c r="F25" s="21" t="str">
        <f>IF(LEN(D25)&gt;0,"T2","")</f>
        <v/>
      </c>
    </row>
    <row r="26" spans="1:6" s="1" customFormat="1" ht="26.25" customHeight="1" x14ac:dyDescent="0.25">
      <c r="A26" s="46" t="s">
        <v>90</v>
      </c>
      <c r="B26" s="47"/>
      <c r="C26" s="55"/>
      <c r="D26" s="46"/>
      <c r="E26" s="47"/>
      <c r="F26" s="19"/>
    </row>
    <row r="27" spans="1:6" s="1" customFormat="1" ht="19.5" customHeight="1" x14ac:dyDescent="0.25">
      <c r="A27" s="63"/>
      <c r="B27" s="64"/>
      <c r="C27" s="62"/>
      <c r="D27" s="48" t="str">
        <f>IF(C26="是","存在设计缺陷；回到步骤五","")</f>
        <v/>
      </c>
      <c r="E27" s="49"/>
      <c r="F27" s="20"/>
    </row>
    <row r="28" spans="1:6" s="1" customFormat="1" ht="30.75" customHeight="1" x14ac:dyDescent="0.25">
      <c r="A28" s="63"/>
      <c r="B28" s="64"/>
      <c r="C28" s="62"/>
      <c r="D28" s="50"/>
      <c r="E28" s="47"/>
      <c r="F28" s="19"/>
    </row>
    <row r="29" spans="1:6" s="1" customFormat="1" ht="19.5" customHeight="1" x14ac:dyDescent="0.25">
      <c r="A29" s="58"/>
      <c r="B29" s="49"/>
      <c r="C29" s="56"/>
      <c r="D29" s="48" t="str">
        <f>IF(C26="否","该控制例外情况不构成偏差或缺陷","")</f>
        <v/>
      </c>
      <c r="E29" s="49"/>
      <c r="F29" s="20"/>
    </row>
    <row r="30" spans="1:6" s="1" customFormat="1" ht="39" customHeight="1" x14ac:dyDescent="0.25">
      <c r="A30" s="61" t="s">
        <v>21</v>
      </c>
      <c r="B30" s="52"/>
      <c r="C30" s="22"/>
      <c r="D30" s="53" t="s">
        <v>91</v>
      </c>
      <c r="E30" s="54"/>
      <c r="F30" s="23"/>
    </row>
    <row r="31" spans="1:6" s="1" customFormat="1" ht="13.2" x14ac:dyDescent="0.25"/>
    <row r="32" spans="1:6" s="1" customFormat="1" ht="13.2" x14ac:dyDescent="0.25"/>
  </sheetData>
  <mergeCells count="39">
    <mergeCell ref="A30:B30"/>
    <mergeCell ref="D30:E30"/>
    <mergeCell ref="C9:C11"/>
    <mergeCell ref="C12:C15"/>
    <mergeCell ref="C16:C19"/>
    <mergeCell ref="C20:C23"/>
    <mergeCell ref="C24:C25"/>
    <mergeCell ref="C26:C29"/>
    <mergeCell ref="A24:B25"/>
    <mergeCell ref="A26:B29"/>
    <mergeCell ref="A20:B23"/>
    <mergeCell ref="A16:B19"/>
    <mergeCell ref="A12:B15"/>
    <mergeCell ref="A9:B11"/>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10:E10"/>
    <mergeCell ref="D11:E11"/>
    <mergeCell ref="D12:E12"/>
    <mergeCell ref="D13:E13"/>
    <mergeCell ref="D14:E14"/>
    <mergeCell ref="A1:F1"/>
    <mergeCell ref="A2:F2"/>
    <mergeCell ref="A8:B8"/>
    <mergeCell ref="D8:E8"/>
    <mergeCell ref="D9:E9"/>
  </mergeCells>
  <phoneticPr fontId="33" type="noConversion"/>
  <dataValidations count="3">
    <dataValidation type="list" allowBlank="1" showInputMessage="1" showErrorMessage="1" sqref="C9:C11 C20:C23 C26:C29">
      <formula1>"是,否"</formula1>
    </dataValidation>
    <dataValidation type="list" allowBlank="1" showInputMessage="1" showErrorMessage="1" sqref="C12:C15">
      <formula1>"系统性偏差,人为偏差,随机性偏差"</formula1>
    </dataValidation>
    <dataValidation type="list" allowBlank="1" showInputMessage="1" showErrorMessage="1" sqref="C16:C19">
      <formula1>"扩大样本量,直接认定为偏差"</formula1>
    </dataValidation>
  </dataValidations>
  <pageMargins left="0.70866141732283505" right="0.43307086614173201" top="0.62992125984252001" bottom="0.47244094488188998" header="0.31496062992126" footer="0.31496062992126"/>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C6-2评价控制偏差</vt:lpstr>
      <vt:lpstr>示例-评价控制偏差（不打印）</vt:lpstr>
      <vt:lpstr>'C6-2评价控制偏差'!Print_Area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dcterms:created xsi:type="dcterms:W3CDTF">2019-09-09T04:55:00Z</dcterms:created>
  <dcterms:modified xsi:type="dcterms:W3CDTF">2025-09-29T09:06:20Z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86BAB08FACDD40208027258A4E9B4179_12</vt:lpwstr>
  </property>
  <property fmtid="{D5CDD505-2E9C-101B-9397-08002B2CF9AE}" pid="3" name="KSOProductBuildVer">
    <vt:lpwstr>2052-12.1.0.22529</vt:lpwstr>
  </property>
</Properties>
</file>