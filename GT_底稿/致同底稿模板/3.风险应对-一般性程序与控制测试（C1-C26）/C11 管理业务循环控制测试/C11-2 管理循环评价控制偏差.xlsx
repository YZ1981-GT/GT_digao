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C2至C15-业务层面控制测试\C11 管理业务循环控制测试\"/>
    </mc:Choice>
  </mc:AlternateContent>
  <bookViews>
    <workbookView xWindow="0" yWindow="0" windowWidth="23040" windowHeight="9144"/>
  </bookViews>
  <sheets>
    <sheet name="C11-2评价控制偏差" sheetId="1" r:id="rId1"/>
    <sheet name="示例-评价控制偏差（不打印）" sheetId="2" r:id="rId2"/>
  </sheets>
  <externalReferences>
    <externalReference r:id="rId3"/>
    <externalReference r:id="rId4"/>
    <externalReference r:id="rId5"/>
    <externalReference r:id="rId6"/>
    <externalReference r:id="rId7"/>
    <externalReference r:id="rId8"/>
    <externalReference r:id="rId9"/>
  </externalReferences>
  <definedNames>
    <definedName name="_1、">#REF!</definedName>
    <definedName name="_1、受本循环影响的相关交易和账户余额">#REF!</definedName>
    <definedName name="_2、主要业务活动">#REF!</definedName>
    <definedName name="_2、注册会计师通常应在本循环中了解与上述业务活动相关的内部控制_如果计划在其他业务循环中对上述">#REF!</definedName>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0">'C11-2评价控制偏差'!$A$1:$F$22</definedName>
    <definedName name="_xlnm.Print_Area" localSheetId="1">'示例-评价控制偏差（不打印）'!$A$1:$F$31</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1" i="1" l="1"/>
  <c r="D30" i="2" l="1"/>
  <c r="D28" i="2"/>
  <c r="D24" i="2"/>
  <c r="D22" i="2"/>
  <c r="D20" i="2"/>
  <c r="D18" i="2"/>
  <c r="D16" i="2"/>
  <c r="D14" i="2"/>
  <c r="D12" i="2"/>
  <c r="D10" i="2"/>
  <c r="D21" i="1"/>
  <c r="D17" i="1"/>
  <c r="D15" i="1"/>
  <c r="D13" i="1"/>
  <c r="D19" i="1" l="1"/>
  <c r="F19" i="1" s="1"/>
  <c r="C25" i="2"/>
  <c r="D26" i="2" s="1"/>
  <c r="F26" i="2" s="1"/>
</calcChain>
</file>

<file path=xl/sharedStrings.xml><?xml version="1.0" encoding="utf-8"?>
<sst xmlns="http://schemas.openxmlformats.org/spreadsheetml/2006/main" count="105" uniqueCount="103">
  <si>
    <r>
      <rPr>
        <b/>
        <sz val="10"/>
        <rFont val="宋体"/>
        <family val="3"/>
        <charset val="134"/>
      </rPr>
      <t>致同会计师事务所</t>
    </r>
    <phoneticPr fontId="5" type="noConversion"/>
  </si>
  <si>
    <r>
      <rPr>
        <b/>
        <sz val="10"/>
        <color indexed="8"/>
        <rFont val="宋体"/>
        <family val="3"/>
        <charset val="134"/>
      </rPr>
      <t>评价步骤</t>
    </r>
    <phoneticPr fontId="5" type="noConversion"/>
  </si>
  <si>
    <r>
      <rPr>
        <b/>
        <sz val="10"/>
        <color indexed="8"/>
        <rFont val="宋体"/>
        <family val="3"/>
        <charset val="134"/>
      </rPr>
      <t>是</t>
    </r>
    <r>
      <rPr>
        <b/>
        <sz val="10"/>
        <color indexed="8"/>
        <rFont val="Arial Narrow"/>
        <family val="2"/>
      </rPr>
      <t>/</t>
    </r>
    <r>
      <rPr>
        <b/>
        <sz val="10"/>
        <color indexed="8"/>
        <rFont val="宋体"/>
        <family val="3"/>
        <charset val="134"/>
      </rPr>
      <t>否</t>
    </r>
    <phoneticPr fontId="5" type="noConversion"/>
  </si>
  <si>
    <r>
      <rPr>
        <b/>
        <sz val="10"/>
        <color indexed="8"/>
        <rFont val="宋体"/>
        <family val="3"/>
        <charset val="134"/>
      </rPr>
      <t>评价分析过程</t>
    </r>
    <phoneticPr fontId="5" type="noConversion"/>
  </si>
  <si>
    <r>
      <rPr>
        <b/>
        <sz val="10"/>
        <color indexed="8"/>
        <rFont val="宋体"/>
        <family val="3"/>
        <charset val="134"/>
      </rPr>
      <t>备注</t>
    </r>
    <phoneticPr fontId="5" type="noConversion"/>
  </si>
  <si>
    <r>
      <rPr>
        <sz val="10"/>
        <color indexed="8"/>
        <rFont val="宋体"/>
        <family val="3"/>
        <charset val="134"/>
      </rPr>
      <t xml:space="preserve">步骤一：
确认发现的控制例外情况（选定的样本无法执行控制测试）是否属于控制偏差（内部控制运行偏离设计）？
</t>
    </r>
    <r>
      <rPr>
        <sz val="10"/>
        <color indexed="12"/>
        <rFont val="Arial Narrow"/>
        <family val="2"/>
      </rPr>
      <t>[</t>
    </r>
    <r>
      <rPr>
        <sz val="10"/>
        <color indexed="12"/>
        <rFont val="宋体"/>
        <family val="3"/>
        <charset val="134"/>
      </rPr>
      <t>注</t>
    </r>
    <r>
      <rPr>
        <sz val="10"/>
        <color indexed="12"/>
        <rFont val="Arial Narrow"/>
        <family val="2"/>
      </rPr>
      <t>1]</t>
    </r>
    <phoneticPr fontId="5" type="noConversion"/>
  </si>
  <si>
    <r>
      <rPr>
        <sz val="10"/>
        <color indexed="8"/>
        <rFont val="宋体"/>
        <family val="3"/>
        <charset val="134"/>
      </rPr>
      <t xml:space="preserve">步骤二：
确定控制偏差的性质：系统性偏差？人为有意造成的偏差？随机性偏差？
</t>
    </r>
    <r>
      <rPr>
        <sz val="10"/>
        <color indexed="12"/>
        <rFont val="Arial Narrow"/>
        <family val="2"/>
      </rPr>
      <t>[</t>
    </r>
    <r>
      <rPr>
        <sz val="10"/>
        <color indexed="12"/>
        <rFont val="宋体"/>
        <family val="3"/>
        <charset val="134"/>
      </rPr>
      <t>注</t>
    </r>
    <r>
      <rPr>
        <sz val="10"/>
        <color indexed="12"/>
        <rFont val="Arial Narrow"/>
        <family val="2"/>
      </rPr>
      <t>2]</t>
    </r>
    <phoneticPr fontId="5" type="noConversion"/>
  </si>
  <si>
    <r>
      <rPr>
        <sz val="10"/>
        <color indexed="8"/>
        <rFont val="宋体"/>
        <family val="3"/>
        <charset val="134"/>
      </rPr>
      <t xml:space="preserve">步骤三：
对于随机性的偏差，确定适当的审计应对措施：扩大样本量进行测试？直接将该项控制偏差视作缺陷？
</t>
    </r>
    <r>
      <rPr>
        <sz val="10"/>
        <color indexed="12"/>
        <rFont val="Arial Narrow"/>
        <family val="2"/>
      </rPr>
      <t>[</t>
    </r>
    <r>
      <rPr>
        <sz val="10"/>
        <color indexed="12"/>
        <rFont val="宋体"/>
        <family val="3"/>
        <charset val="134"/>
      </rPr>
      <t>注</t>
    </r>
    <r>
      <rPr>
        <sz val="10"/>
        <color indexed="12"/>
        <rFont val="Arial Narrow"/>
        <family val="2"/>
      </rPr>
      <t>3]</t>
    </r>
    <phoneticPr fontId="5" type="noConversion"/>
  </si>
  <si>
    <r>
      <rPr>
        <sz val="10"/>
        <color indexed="8"/>
        <rFont val="宋体"/>
        <family val="3"/>
        <charset val="134"/>
      </rPr>
      <t xml:space="preserve">步骤四：
根据发现的控制偏差的数量来确定扩大样本量的范围，扩大样本量进行测试后是否发现新的偏差？
</t>
    </r>
    <r>
      <rPr>
        <sz val="10"/>
        <color indexed="12"/>
        <rFont val="Arial Narrow"/>
        <family val="2"/>
      </rPr>
      <t>[</t>
    </r>
    <r>
      <rPr>
        <sz val="10"/>
        <color indexed="12"/>
        <rFont val="宋体"/>
        <family val="3"/>
        <charset val="134"/>
      </rPr>
      <t>注</t>
    </r>
    <r>
      <rPr>
        <sz val="10"/>
        <color indexed="12"/>
        <rFont val="Arial Narrow"/>
        <family val="2"/>
      </rPr>
      <t>4]</t>
    </r>
    <phoneticPr fontId="5" type="noConversion"/>
  </si>
  <si>
    <r>
      <rPr>
        <sz val="10"/>
        <color indexed="8"/>
        <rFont val="宋体"/>
        <family val="3"/>
        <charset val="134"/>
      </rPr>
      <t>步骤五：</t>
    </r>
    <r>
      <rPr>
        <sz val="10"/>
        <color indexed="8"/>
        <rFont val="Arial Narrow"/>
        <family val="2"/>
      </rPr>
      <t xml:space="preserve">
</t>
    </r>
    <r>
      <rPr>
        <sz val="10"/>
        <color indexed="8"/>
        <rFont val="宋体"/>
        <family val="3"/>
        <charset val="134"/>
      </rPr>
      <t>评价控制缺陷。</t>
    </r>
    <r>
      <rPr>
        <sz val="10"/>
        <color indexed="8"/>
        <rFont val="Arial Narrow"/>
        <family val="2"/>
      </rPr>
      <t xml:space="preserve">
</t>
    </r>
    <r>
      <rPr>
        <sz val="10"/>
        <color indexed="12"/>
        <rFont val="Arial Narrow"/>
        <family val="2"/>
      </rPr>
      <t>[</t>
    </r>
    <r>
      <rPr>
        <sz val="10"/>
        <color indexed="12"/>
        <rFont val="宋体"/>
        <family val="3"/>
        <charset val="134"/>
      </rPr>
      <t>注</t>
    </r>
    <r>
      <rPr>
        <sz val="10"/>
        <color indexed="12"/>
        <rFont val="Arial Narrow"/>
        <family val="2"/>
      </rPr>
      <t>5]</t>
    </r>
    <phoneticPr fontId="5" type="noConversion"/>
  </si>
  <si>
    <r>
      <rPr>
        <sz val="10"/>
        <color indexed="8"/>
        <rFont val="宋体"/>
        <family val="3"/>
        <charset val="134"/>
      </rPr>
      <t xml:space="preserve">步骤六：
若确定发现的控制例外情况不属于控制偏差，则可以选取替代样本以获得证明控制运行有效的充分、适当的审计证据。
但需确定控制例外情况是否表明相关控制的设计存在缺陷？
</t>
    </r>
    <r>
      <rPr>
        <sz val="10"/>
        <color indexed="12"/>
        <rFont val="Arial Narrow"/>
        <family val="2"/>
      </rPr>
      <t>[</t>
    </r>
    <r>
      <rPr>
        <sz val="10"/>
        <color indexed="12"/>
        <rFont val="宋体"/>
        <family val="3"/>
        <charset val="134"/>
      </rPr>
      <t>注</t>
    </r>
    <r>
      <rPr>
        <sz val="10"/>
        <color indexed="12"/>
        <rFont val="Arial Narrow"/>
        <family val="2"/>
      </rPr>
      <t>6]</t>
    </r>
    <phoneticPr fontId="5" type="noConversion"/>
  </si>
  <si>
    <r>
      <rPr>
        <b/>
        <sz val="10"/>
        <color indexed="8"/>
        <rFont val="宋体"/>
        <family val="3"/>
        <charset val="134"/>
      </rPr>
      <t>评</t>
    </r>
    <r>
      <rPr>
        <b/>
        <sz val="10"/>
        <color indexed="8"/>
        <rFont val="Arial Narrow"/>
        <family val="2"/>
      </rPr>
      <t xml:space="preserve"> </t>
    </r>
    <r>
      <rPr>
        <b/>
        <sz val="10"/>
        <color indexed="8"/>
        <rFont val="宋体"/>
        <family val="3"/>
        <charset val="134"/>
      </rPr>
      <t>价</t>
    </r>
    <r>
      <rPr>
        <b/>
        <sz val="10"/>
        <color indexed="8"/>
        <rFont val="Arial Narrow"/>
        <family val="2"/>
      </rPr>
      <t xml:space="preserve"> </t>
    </r>
    <r>
      <rPr>
        <b/>
        <sz val="10"/>
        <color indexed="8"/>
        <rFont val="宋体"/>
        <family val="3"/>
        <charset val="134"/>
      </rPr>
      <t>结</t>
    </r>
    <r>
      <rPr>
        <b/>
        <sz val="10"/>
        <color indexed="8"/>
        <rFont val="Arial Narrow"/>
        <family val="2"/>
      </rPr>
      <t xml:space="preserve"> </t>
    </r>
    <r>
      <rPr>
        <b/>
        <sz val="10"/>
        <color indexed="8"/>
        <rFont val="宋体"/>
        <family val="3"/>
        <charset val="134"/>
      </rPr>
      <t>论</t>
    </r>
    <phoneticPr fontId="5" type="noConversion"/>
  </si>
  <si>
    <r>
      <rPr>
        <b/>
        <sz val="10"/>
        <color indexed="12"/>
        <rFont val="宋体"/>
        <family val="3"/>
        <charset val="134"/>
      </rPr>
      <t>注</t>
    </r>
    <r>
      <rPr>
        <b/>
        <sz val="10"/>
        <color indexed="12"/>
        <rFont val="Arial"/>
        <family val="2"/>
      </rPr>
      <t>1</t>
    </r>
    <r>
      <rPr>
        <b/>
        <sz val="10"/>
        <color indexed="12"/>
        <rFont val="宋体"/>
        <family val="3"/>
        <charset val="134"/>
      </rPr>
      <t>：控制例外情况及控制偏差</t>
    </r>
    <phoneticPr fontId="5" type="noConversion"/>
  </si>
  <si>
    <r>
      <rPr>
        <b/>
        <sz val="10"/>
        <color indexed="12"/>
        <rFont val="宋体"/>
        <family val="3"/>
        <charset val="134"/>
      </rPr>
      <t>控制例外情况</t>
    </r>
    <phoneticPr fontId="5" type="noConversion"/>
  </si>
  <si>
    <r>
      <rPr>
        <sz val="10"/>
        <color indexed="12"/>
        <rFont val="宋体"/>
        <family val="3"/>
        <charset val="134"/>
      </rPr>
      <t>对于一个选定的样本或替代性样本，如果无法执行注册会计师所设计的控制测试或适当的替代性测试，则注册会计师应认为</t>
    </r>
    <phoneticPr fontId="5" type="noConversion"/>
  </si>
  <si>
    <r>
      <rPr>
        <sz val="10"/>
        <color indexed="12"/>
        <rFont val="宋体"/>
        <family val="3"/>
        <charset val="134"/>
      </rPr>
      <t>该样本是一项控制例外情况。</t>
    </r>
    <phoneticPr fontId="5" type="noConversion"/>
  </si>
  <si>
    <r>
      <rPr>
        <sz val="10"/>
        <color indexed="12"/>
        <rFont val="宋体"/>
        <family val="3"/>
        <charset val="134"/>
      </rPr>
      <t>例如，对于一个选定的样本，如果由于企业不能提供支持性文档而无法执行控制测试，则其属于一项控制例外情况并需要</t>
    </r>
    <phoneticPr fontId="5" type="noConversion"/>
  </si>
  <si>
    <r>
      <rPr>
        <sz val="10"/>
        <color indexed="12"/>
        <rFont val="宋体"/>
        <family val="3"/>
        <charset val="134"/>
      </rPr>
      <t>确定适当的应对措施。</t>
    </r>
    <phoneticPr fontId="5" type="noConversion"/>
  </si>
  <si>
    <r>
      <rPr>
        <sz val="10"/>
        <color indexed="12"/>
        <rFont val="宋体"/>
        <family val="3"/>
        <charset val="134"/>
      </rPr>
      <t>对于发现的控制例外情况，首先应当确定其是否构成一项控制偏差。</t>
    </r>
    <phoneticPr fontId="5" type="noConversion"/>
  </si>
  <si>
    <r>
      <rPr>
        <sz val="10"/>
        <color indexed="12"/>
        <rFont val="宋体"/>
        <family val="3"/>
        <charset val="134"/>
      </rPr>
      <t>当出现以下情况时，一般可以认为控制例外情况不是控制偏差：</t>
    </r>
    <phoneticPr fontId="5" type="noConversion"/>
  </si>
  <si>
    <r>
      <rPr>
        <sz val="10"/>
        <color indexed="12"/>
        <rFont val="宋体"/>
        <family val="3"/>
        <charset val="134"/>
      </rPr>
      <t>（</t>
    </r>
    <r>
      <rPr>
        <sz val="10"/>
        <color indexed="12"/>
        <rFont val="Arial"/>
        <family val="2"/>
      </rPr>
      <t>1</t>
    </r>
    <r>
      <rPr>
        <sz val="10"/>
        <color indexed="12"/>
        <rFont val="宋体"/>
        <family val="3"/>
        <charset val="134"/>
      </rPr>
      <t>）根据进一步的了解和评价，注册会计师确定识别出的例外情况事实上不是对控制预设目标的偏离，即注册会计师原先</t>
    </r>
    <phoneticPr fontId="5" type="noConversion"/>
  </si>
  <si>
    <r>
      <rPr>
        <sz val="10"/>
        <color indexed="12"/>
        <rFont val="宋体"/>
        <family val="3"/>
        <charset val="134"/>
      </rPr>
      <t>对重大业务流程及相关控制的理解有误。</t>
    </r>
    <phoneticPr fontId="5" type="noConversion"/>
  </si>
  <si>
    <r>
      <rPr>
        <sz val="10"/>
        <color indexed="12"/>
        <rFont val="宋体"/>
        <family val="3"/>
        <charset val="134"/>
      </rPr>
      <t>（</t>
    </r>
    <r>
      <rPr>
        <sz val="10"/>
        <color indexed="12"/>
        <rFont val="Arial"/>
        <family val="2"/>
      </rPr>
      <t>2</t>
    </r>
    <r>
      <rPr>
        <sz val="10"/>
        <color indexed="12"/>
        <rFont val="宋体"/>
        <family val="3"/>
        <charset val="134"/>
      </rPr>
      <t>）基于对控制设计的了解，注册会计师能够通过追加执行除询问以外的审计程序获取充分、适当的审计证据，以确认该</t>
    </r>
    <phoneticPr fontId="5" type="noConversion"/>
  </si>
  <si>
    <r>
      <rPr>
        <sz val="10"/>
        <color indexed="12"/>
        <rFont val="宋体"/>
        <family val="3"/>
        <charset val="134"/>
      </rPr>
      <t>例外情况引发的错误在可以接受的水平，即小于临界值（明显微小的错报金额</t>
    </r>
    <r>
      <rPr>
        <sz val="10"/>
        <color indexed="12"/>
        <rFont val="Arial"/>
        <family val="2"/>
      </rPr>
      <t>SAD</t>
    </r>
    <r>
      <rPr>
        <sz val="10"/>
        <color indexed="12"/>
        <rFont val="宋体"/>
        <family val="3"/>
        <charset val="134"/>
      </rPr>
      <t>）。</t>
    </r>
    <phoneticPr fontId="5" type="noConversion"/>
  </si>
  <si>
    <r>
      <rPr>
        <b/>
        <sz val="10"/>
        <color indexed="12"/>
        <rFont val="宋体"/>
        <family val="3"/>
        <charset val="134"/>
      </rPr>
      <t>控制偏差</t>
    </r>
    <phoneticPr fontId="5" type="noConversion"/>
  </si>
  <si>
    <r>
      <rPr>
        <sz val="10"/>
        <color indexed="12"/>
        <rFont val="宋体"/>
        <family val="3"/>
        <charset val="134"/>
      </rPr>
      <t>控制偏差即内部控制运行偏离设计的情况，是指在内部控制测试中，注册会计师选择进行测试的某个控制没有按照设计的</t>
    </r>
    <phoneticPr fontId="5" type="noConversion"/>
  </si>
  <si>
    <r>
      <rPr>
        <sz val="10"/>
        <color indexed="12"/>
        <rFont val="宋体"/>
        <family val="3"/>
        <charset val="134"/>
      </rPr>
      <t>要求被有效执行或者没有被执行。</t>
    </r>
    <phoneticPr fontId="5" type="noConversion"/>
  </si>
  <si>
    <r>
      <rPr>
        <sz val="10"/>
        <color indexed="12"/>
        <rFont val="宋体"/>
        <family val="3"/>
        <charset val="134"/>
      </rPr>
      <t>发生控制偏差往往是由于执行控制的人员在收集或处理数据时发生错误、没有进行适当的跟进，或者没有足够的能力和意愿</t>
    </r>
    <phoneticPr fontId="5" type="noConversion"/>
  </si>
  <si>
    <r>
      <rPr>
        <sz val="10"/>
        <color indexed="12"/>
        <rFont val="宋体"/>
        <family val="3"/>
        <charset val="134"/>
      </rPr>
      <t>去执行有效的控制。</t>
    </r>
    <phoneticPr fontId="5" type="noConversion"/>
  </si>
  <si>
    <r>
      <rPr>
        <b/>
        <sz val="10"/>
        <color indexed="12"/>
        <rFont val="宋体"/>
        <family val="3"/>
        <charset val="134"/>
      </rPr>
      <t>注</t>
    </r>
    <r>
      <rPr>
        <b/>
        <sz val="10"/>
        <color indexed="12"/>
        <rFont val="Arial"/>
        <family val="2"/>
      </rPr>
      <t>2</t>
    </r>
    <r>
      <rPr>
        <b/>
        <sz val="10"/>
        <color indexed="12"/>
        <rFont val="宋体"/>
        <family val="3"/>
        <charset val="134"/>
      </rPr>
      <t>：控制偏差的性质</t>
    </r>
    <phoneticPr fontId="5" type="noConversion"/>
  </si>
  <si>
    <r>
      <rPr>
        <sz val="10"/>
        <color indexed="12"/>
        <rFont val="宋体"/>
        <family val="3"/>
        <charset val="134"/>
      </rPr>
      <t>系统性偏差是指在相似情形下，预计都会发生的错误。</t>
    </r>
    <phoneticPr fontId="5" type="noConversion"/>
  </si>
  <si>
    <r>
      <rPr>
        <sz val="10"/>
        <color indexed="12"/>
        <rFont val="宋体"/>
        <family val="3"/>
        <charset val="134"/>
      </rPr>
      <t>随机性偏差是指偶然发生的错误。随机性偏差是由某一孤立事件引起的，该事件只有在特定条件下才会重复发生，因而</t>
    </r>
    <phoneticPr fontId="5" type="noConversion"/>
  </si>
  <si>
    <r>
      <rPr>
        <sz val="10"/>
        <color indexed="12"/>
        <rFont val="宋体"/>
        <family val="3"/>
        <charset val="134"/>
      </rPr>
      <t>随机性偏差对总体误差不具有代表性。</t>
    </r>
    <phoneticPr fontId="5" type="noConversion"/>
  </si>
  <si>
    <r>
      <rPr>
        <sz val="10"/>
        <color indexed="12"/>
        <rFont val="宋体"/>
        <family val="3"/>
        <charset val="134"/>
      </rPr>
      <t>如果发现的控制偏差是系统性偏差或人为有意造成的偏差，注册会计师应当考虑是否存在舞弊的迹象以及对审计方案的影响。</t>
    </r>
    <phoneticPr fontId="5" type="noConversion"/>
  </si>
  <si>
    <r>
      <rPr>
        <sz val="10"/>
        <color indexed="12"/>
        <rFont val="宋体"/>
        <family val="3"/>
        <charset val="134"/>
      </rPr>
      <t>注册会计师在将控制偏差确认为随机性的时候需要谨慎，在得出该结论之前，应当实施追加的审计程序，以高度确信该偏差</t>
    </r>
    <phoneticPr fontId="5" type="noConversion"/>
  </si>
  <si>
    <r>
      <rPr>
        <sz val="10"/>
        <color indexed="12"/>
        <rFont val="宋体"/>
        <family val="3"/>
        <charset val="134"/>
      </rPr>
      <t>对总体误差不具有代表性。</t>
    </r>
    <phoneticPr fontId="5" type="noConversion"/>
  </si>
  <si>
    <r>
      <rPr>
        <sz val="10"/>
        <color indexed="12"/>
        <rFont val="宋体"/>
        <family val="3"/>
        <charset val="134"/>
      </rPr>
      <t>在评价控制偏差的性质时，需要考虑：</t>
    </r>
    <phoneticPr fontId="5" type="noConversion"/>
  </si>
  <si>
    <r>
      <rPr>
        <sz val="10"/>
        <color indexed="12"/>
        <rFont val="宋体"/>
        <family val="3"/>
        <charset val="134"/>
      </rPr>
      <t>（</t>
    </r>
    <r>
      <rPr>
        <sz val="10"/>
        <color indexed="12"/>
        <rFont val="Arial"/>
        <family val="2"/>
      </rPr>
      <t>1</t>
    </r>
    <r>
      <rPr>
        <sz val="10"/>
        <color indexed="12"/>
        <rFont val="宋体"/>
        <family val="3"/>
        <charset val="134"/>
      </rPr>
      <t>）控制偏差是否具有共同的特征。例如，控制偏差发生在某些特定类型的业务、地点或生产线中，或者发生在同样的人员</t>
    </r>
    <phoneticPr fontId="5" type="noConversion"/>
  </si>
  <si>
    <r>
      <rPr>
        <sz val="10"/>
        <color indexed="12"/>
        <rFont val="宋体"/>
        <family val="3"/>
        <charset val="134"/>
      </rPr>
      <t>执行控制时，抑或是发生在某一特定的时期。</t>
    </r>
    <phoneticPr fontId="5" type="noConversion"/>
  </si>
  <si>
    <r>
      <rPr>
        <sz val="10"/>
        <color indexed="12"/>
        <rFont val="宋体"/>
        <family val="3"/>
        <charset val="134"/>
      </rPr>
      <t>（</t>
    </r>
    <r>
      <rPr>
        <sz val="10"/>
        <color indexed="12"/>
        <rFont val="Arial"/>
        <family val="2"/>
      </rPr>
      <t>2</t>
    </r>
    <r>
      <rPr>
        <sz val="10"/>
        <color indexed="12"/>
        <rFont val="宋体"/>
        <family val="3"/>
        <charset val="134"/>
      </rPr>
      <t>）控制偏差是否是由于基础工作错误造成的。例如，控制偏差是由于错误的公司或计算造成的，或者是基于不完整或</t>
    </r>
    <phoneticPr fontId="5" type="noConversion"/>
  </si>
  <si>
    <r>
      <rPr>
        <sz val="10"/>
        <color indexed="12"/>
        <rFont val="宋体"/>
        <family val="3"/>
        <charset val="134"/>
      </rPr>
      <t>不准确的数据造成的。</t>
    </r>
    <phoneticPr fontId="5" type="noConversion"/>
  </si>
  <si>
    <r>
      <rPr>
        <sz val="10"/>
        <color indexed="12"/>
        <rFont val="宋体"/>
        <family val="3"/>
        <charset val="134"/>
      </rPr>
      <t>如果确认偏差时系统性的或人为有意造成的，应直接将该控制偏差视为一项内部控制缺陷。</t>
    </r>
    <phoneticPr fontId="5" type="noConversion"/>
  </si>
  <si>
    <r>
      <rPr>
        <b/>
        <sz val="10"/>
        <color indexed="12"/>
        <rFont val="宋体"/>
        <family val="3"/>
        <charset val="134"/>
      </rPr>
      <t>注</t>
    </r>
    <r>
      <rPr>
        <b/>
        <sz val="10"/>
        <color indexed="12"/>
        <rFont val="Arial"/>
        <family val="2"/>
      </rPr>
      <t>3</t>
    </r>
    <r>
      <rPr>
        <b/>
        <sz val="10"/>
        <color indexed="12"/>
        <rFont val="宋体"/>
        <family val="3"/>
        <charset val="134"/>
      </rPr>
      <t>：随机性偏差的应对措施</t>
    </r>
    <phoneticPr fontId="5" type="noConversion"/>
  </si>
  <si>
    <r>
      <rPr>
        <sz val="10"/>
        <color indexed="12"/>
        <rFont val="宋体"/>
        <family val="3"/>
        <charset val="134"/>
      </rPr>
      <t>如果认为一项控制偏差是随机的，则应当确定适当的审计应对措施。包括：</t>
    </r>
    <phoneticPr fontId="5" type="noConversion"/>
  </si>
  <si>
    <r>
      <rPr>
        <sz val="10"/>
        <color indexed="12"/>
        <rFont val="宋体"/>
        <family val="3"/>
        <charset val="134"/>
      </rPr>
      <t>（</t>
    </r>
    <r>
      <rPr>
        <sz val="10"/>
        <color indexed="12"/>
        <rFont val="Arial"/>
        <family val="2"/>
      </rPr>
      <t>1</t>
    </r>
    <r>
      <rPr>
        <sz val="10"/>
        <color indexed="12"/>
        <rFont val="宋体"/>
        <family val="3"/>
        <charset val="134"/>
      </rPr>
      <t>）扩大样本量进行测试，从而确定测试发现的错误率在可容忍范围内；</t>
    </r>
    <phoneticPr fontId="5" type="noConversion"/>
  </si>
  <si>
    <r>
      <rPr>
        <sz val="10"/>
        <color indexed="12"/>
        <rFont val="宋体"/>
        <family val="3"/>
        <charset val="134"/>
      </rPr>
      <t>（</t>
    </r>
    <r>
      <rPr>
        <sz val="10"/>
        <color indexed="12"/>
        <rFont val="Arial"/>
        <family val="2"/>
      </rPr>
      <t>2</t>
    </r>
    <r>
      <rPr>
        <sz val="10"/>
        <color indexed="12"/>
        <rFont val="宋体"/>
        <family val="3"/>
        <charset val="134"/>
      </rPr>
      <t>）直接将该项控制偏差视作一项内部控制缺陷。</t>
    </r>
    <phoneticPr fontId="5" type="noConversion"/>
  </si>
  <si>
    <r>
      <rPr>
        <sz val="10"/>
        <color indexed="12"/>
        <rFont val="宋体"/>
        <family val="3"/>
        <charset val="134"/>
      </rPr>
      <t>如果决定扩大样本量进行测试，注册会计师应当根据发现的控制偏差的数量来确定扩大样本量的范围。例如，对于每日发生</t>
    </r>
    <phoneticPr fontId="5" type="noConversion"/>
  </si>
  <si>
    <r>
      <rPr>
        <sz val="10"/>
        <color indexed="12"/>
        <rFont val="宋体"/>
        <family val="3"/>
        <charset val="134"/>
      </rPr>
      <t>多次的控制，如果初始样本规模为</t>
    </r>
    <r>
      <rPr>
        <sz val="10"/>
        <color indexed="12"/>
        <rFont val="Arial"/>
        <family val="2"/>
      </rPr>
      <t>25</t>
    </r>
    <r>
      <rPr>
        <sz val="10"/>
        <color indexed="12"/>
        <rFont val="宋体"/>
        <family val="3"/>
        <charset val="134"/>
      </rPr>
      <t>个，当测试发现一项控制偏差，且该偏差不是系统性偏差时，注册会计师扩大样本规模</t>
    </r>
    <phoneticPr fontId="5" type="noConversion"/>
  </si>
  <si>
    <r>
      <rPr>
        <sz val="10"/>
        <color indexed="12"/>
        <rFont val="宋体"/>
        <family val="3"/>
        <charset val="134"/>
      </rPr>
      <t>进行测试，所增加的样本规模至少为</t>
    </r>
    <r>
      <rPr>
        <sz val="10"/>
        <color indexed="12"/>
        <rFont val="Arial"/>
        <family val="2"/>
      </rPr>
      <t>15</t>
    </r>
    <r>
      <rPr>
        <sz val="10"/>
        <color indexed="12"/>
        <rFont val="宋体"/>
        <family val="3"/>
        <charset val="134"/>
      </rPr>
      <t>个。</t>
    </r>
    <phoneticPr fontId="5" type="noConversion"/>
  </si>
  <si>
    <r>
      <rPr>
        <b/>
        <sz val="10"/>
        <color indexed="12"/>
        <rFont val="宋体"/>
        <family val="3"/>
        <charset val="134"/>
      </rPr>
      <t>注</t>
    </r>
    <r>
      <rPr>
        <b/>
        <sz val="10"/>
        <color indexed="12"/>
        <rFont val="Arial"/>
        <family val="2"/>
      </rPr>
      <t>4</t>
    </r>
    <r>
      <rPr>
        <b/>
        <sz val="10"/>
        <color indexed="12"/>
        <rFont val="宋体"/>
        <family val="3"/>
        <charset val="134"/>
      </rPr>
      <t>：扩大样本量后的测试结果</t>
    </r>
    <phoneticPr fontId="5" type="noConversion"/>
  </si>
  <si>
    <r>
      <rPr>
        <sz val="10"/>
        <color indexed="12"/>
        <rFont val="宋体"/>
        <family val="3"/>
        <charset val="134"/>
      </rPr>
      <t>如果扩大样本量测试后再次发现偏差，则注册会计师可以得出该控制无效的结论。</t>
    </r>
    <phoneticPr fontId="5" type="noConversion"/>
  </si>
  <si>
    <r>
      <rPr>
        <sz val="10"/>
        <color indexed="12"/>
        <rFont val="宋体"/>
        <family val="3"/>
        <charset val="134"/>
      </rPr>
      <t>如果扩大样本量测试没有再次发现偏差，则注册会计师可以得出该控制有效的结论。即尽管存在一项控制偏差，但测试范围</t>
    </r>
    <phoneticPr fontId="5" type="noConversion"/>
  </si>
  <si>
    <r>
      <rPr>
        <sz val="10"/>
        <color indexed="12"/>
        <rFont val="宋体"/>
        <family val="3"/>
        <charset val="134"/>
      </rPr>
      <t>内的错误率在可容忍范围内且该控制偏差不具有代表性。</t>
    </r>
    <phoneticPr fontId="5" type="noConversion"/>
  </si>
  <si>
    <r>
      <rPr>
        <sz val="10"/>
        <color indexed="12"/>
        <rFont val="宋体"/>
        <family val="3"/>
        <charset val="134"/>
      </rPr>
      <t>单项控制并非一定要毫无偏差地运行，才被认为有效。</t>
    </r>
    <phoneticPr fontId="5" type="noConversion"/>
  </si>
  <si>
    <t>若确定发现的控制例外情况不属于控制偏差，则可以选取替代样本以获得证明控制运行有效的充分、适当的审计证据。</t>
    <phoneticPr fontId="5" type="noConversion"/>
  </si>
  <si>
    <t>但需确定控制例外情况是否表明相关控制的设计存在缺陷。</t>
    <phoneticPr fontId="5" type="noConversion"/>
  </si>
  <si>
    <t>设计缺陷是指缺少为实现控制目标所必需的控制，或现有控制设计不适当、即使正常运行也难以实现预期的控制目标。</t>
    <phoneticPr fontId="5" type="noConversion"/>
  </si>
  <si>
    <r>
      <rPr>
        <b/>
        <sz val="12"/>
        <rFont val="宋体"/>
        <family val="3"/>
        <charset val="134"/>
      </rPr>
      <t>示例</t>
    </r>
    <r>
      <rPr>
        <b/>
        <sz val="12"/>
        <rFont val="Arial Narrow"/>
        <family val="2"/>
      </rPr>
      <t>-</t>
    </r>
    <r>
      <rPr>
        <b/>
        <sz val="12"/>
        <rFont val="宋体"/>
        <family val="3"/>
        <charset val="134"/>
      </rPr>
      <t>评价控制偏差</t>
    </r>
    <phoneticPr fontId="5" type="noConversion"/>
  </si>
  <si>
    <r>
      <rPr>
        <sz val="10"/>
        <rFont val="宋体"/>
        <family val="3"/>
        <charset val="134"/>
      </rPr>
      <t>编制人：</t>
    </r>
    <r>
      <rPr>
        <sz val="10"/>
        <rFont val="Arial Narrow"/>
        <family val="2"/>
      </rPr>
      <t>BBB</t>
    </r>
    <phoneticPr fontId="5" type="noConversion"/>
  </si>
  <si>
    <r>
      <rPr>
        <sz val="10"/>
        <rFont val="宋体"/>
        <family val="3"/>
        <charset val="134"/>
      </rPr>
      <t>复核人：</t>
    </r>
    <r>
      <rPr>
        <sz val="10"/>
        <rFont val="Arial Narrow"/>
        <family val="2"/>
      </rPr>
      <t>DDD</t>
    </r>
    <phoneticPr fontId="5" type="noConversion"/>
  </si>
  <si>
    <r>
      <rPr>
        <sz val="10"/>
        <rFont val="宋体"/>
        <family val="3"/>
        <charset val="134"/>
      </rPr>
      <t>页</t>
    </r>
    <r>
      <rPr>
        <sz val="10"/>
        <rFont val="Arial Narrow"/>
        <family val="2"/>
      </rPr>
      <t xml:space="preserve">   </t>
    </r>
    <r>
      <rPr>
        <sz val="10"/>
        <rFont val="宋体"/>
        <family val="3"/>
        <charset val="134"/>
      </rPr>
      <t>次：</t>
    </r>
    <phoneticPr fontId="5" type="noConversion"/>
  </si>
  <si>
    <r>
      <rPr>
        <b/>
        <sz val="10"/>
        <rFont val="方正姚体"/>
        <family val="3"/>
        <charset val="134"/>
      </rPr>
      <t>控制例外情况描述：</t>
    </r>
    <phoneticPr fontId="5" type="noConversion"/>
  </si>
  <si>
    <r>
      <rPr>
        <b/>
        <sz val="10"/>
        <color indexed="8"/>
        <rFont val="宋体"/>
        <family val="3"/>
        <charset val="134"/>
      </rPr>
      <t>评价分析过程</t>
    </r>
    <phoneticPr fontId="5" type="noConversion"/>
  </si>
  <si>
    <r>
      <rPr>
        <b/>
        <sz val="10"/>
        <color indexed="8"/>
        <rFont val="宋体"/>
        <family val="3"/>
        <charset val="134"/>
      </rPr>
      <t>备注</t>
    </r>
    <phoneticPr fontId="5" type="noConversion"/>
  </si>
  <si>
    <r>
      <rPr>
        <sz val="10"/>
        <color indexed="8"/>
        <rFont val="宋体"/>
        <family val="3"/>
        <charset val="134"/>
      </rPr>
      <t>步骤一：
确认发现的控制例外情况（选定的样本无法执行控制测试）是否属于控制偏差（内部控制运行偏离设计）？</t>
    </r>
    <phoneticPr fontId="5" type="noConversion"/>
  </si>
  <si>
    <r>
      <rPr>
        <sz val="10"/>
        <color theme="1"/>
        <rFont val="Arial"/>
        <family val="2"/>
      </rPr>
      <t>是</t>
    </r>
  </si>
  <si>
    <r>
      <rPr>
        <sz val="10"/>
        <color indexed="8"/>
        <rFont val="宋体"/>
        <family val="3"/>
        <charset val="134"/>
      </rPr>
      <t>该控制例外情况影响销售收入的金额，且金额不属于无关紧要。</t>
    </r>
    <phoneticPr fontId="5" type="noConversion"/>
  </si>
  <si>
    <r>
      <rPr>
        <sz val="10"/>
        <color indexed="8"/>
        <rFont val="宋体"/>
        <family val="3"/>
        <charset val="134"/>
      </rPr>
      <t>步骤二：
确定控制偏差的性质：系统性偏差？人为有意造成的偏差？随机性偏差？</t>
    </r>
    <phoneticPr fontId="5" type="noConversion"/>
  </si>
  <si>
    <r>
      <rPr>
        <sz val="10"/>
        <color theme="1"/>
        <rFont val="Arial"/>
        <family val="2"/>
      </rPr>
      <t>随机性偏差</t>
    </r>
  </si>
  <si>
    <r>
      <rPr>
        <sz val="10"/>
        <color theme="1"/>
        <rFont val="宋体"/>
        <family val="3"/>
        <charset val="134"/>
      </rPr>
      <t>注册会计师确定这只是众多地区中唯一的一个没有报告投诉率的，而且其他所有月份都完成了投诉率的报告。</t>
    </r>
    <phoneticPr fontId="5" type="noConversion"/>
  </si>
  <si>
    <r>
      <rPr>
        <sz val="10"/>
        <color indexed="8"/>
        <rFont val="宋体"/>
        <family val="3"/>
        <charset val="134"/>
      </rPr>
      <t>步骤三：
对于随机性的偏差，确定适当的审计应对措施：扩大样本量进行测试？直接将该项控制偏差视作缺陷？</t>
    </r>
    <phoneticPr fontId="5" type="noConversion"/>
  </si>
  <si>
    <r>
      <rPr>
        <sz val="10"/>
        <color theme="1"/>
        <rFont val="Arial"/>
        <family val="2"/>
      </rPr>
      <t>扩大样本量</t>
    </r>
  </si>
  <si>
    <r>
      <rPr>
        <sz val="10"/>
        <color indexed="8"/>
        <rFont val="宋体"/>
        <family val="3"/>
        <charset val="134"/>
      </rPr>
      <t>注册会计师确定该项控制偏差是随机性的，并应扩大样本量来予以确认。</t>
    </r>
    <phoneticPr fontId="5" type="noConversion"/>
  </si>
  <si>
    <r>
      <rPr>
        <sz val="10"/>
        <color indexed="8"/>
        <rFont val="宋体"/>
        <family val="3"/>
        <charset val="134"/>
      </rPr>
      <t>步骤四：
根据发现的控制偏差的数量来确定扩大样本量的范围，扩大样本量进行测试后是否发现新的偏差？</t>
    </r>
    <phoneticPr fontId="5" type="noConversion"/>
  </si>
  <si>
    <r>
      <rPr>
        <sz val="10"/>
        <color theme="1"/>
        <rFont val="Arial"/>
        <family val="2"/>
      </rPr>
      <t>否</t>
    </r>
  </si>
  <si>
    <r>
      <rPr>
        <sz val="10"/>
        <color indexed="8"/>
        <rFont val="宋体"/>
        <family val="3"/>
        <charset val="134"/>
      </rPr>
      <t>尽管存在一项控制偏差，但测试范围内的错误率在可容忍范围内且该控制偏差不具有代表性。</t>
    </r>
    <phoneticPr fontId="5" type="noConversion"/>
  </si>
  <si>
    <r>
      <rPr>
        <sz val="10"/>
        <color indexed="8"/>
        <rFont val="宋体"/>
        <family val="3"/>
        <charset val="134"/>
      </rPr>
      <t>步骤五：</t>
    </r>
    <r>
      <rPr>
        <sz val="10"/>
        <color indexed="8"/>
        <rFont val="Arial Narrow"/>
        <family val="2"/>
      </rPr>
      <t xml:space="preserve">
</t>
    </r>
    <r>
      <rPr>
        <sz val="10"/>
        <color indexed="8"/>
        <rFont val="宋体"/>
        <family val="3"/>
        <charset val="134"/>
      </rPr>
      <t>评价控制缺陷。</t>
    </r>
    <r>
      <rPr>
        <sz val="10"/>
        <color indexed="8"/>
        <rFont val="Arial"/>
        <family val="2"/>
      </rPr>
      <t/>
    </r>
    <phoneticPr fontId="5" type="noConversion"/>
  </si>
  <si>
    <r>
      <rPr>
        <sz val="10"/>
        <color indexed="8"/>
        <rFont val="宋体"/>
        <family val="3"/>
        <charset val="134"/>
      </rPr>
      <t>步骤六：
若确定发现的控制例外情况不属于控制偏差，则可以选取替代样本以获得证明控制运行有效的充分、适当的审计证据。
但需确定控制例外情况是否表明相关控制的设计存在缺陷？</t>
    </r>
    <phoneticPr fontId="5" type="noConversion"/>
  </si>
  <si>
    <t>注5：评价是否构成设计缺陷</t>
    <phoneticPr fontId="5" type="noConversion"/>
  </si>
  <si>
    <t>该控制例外情况不构成控制偏差，控制有效</t>
    <phoneticPr fontId="4" type="noConversion"/>
  </si>
  <si>
    <t>该控制例外情况属于系统性偏差，构成控制缺陷</t>
    <phoneticPr fontId="4" type="noConversion"/>
  </si>
  <si>
    <t>该控制例外情况属于随机性偏差，扩大样本量测试后仍发现偏差，构成控制缺陷</t>
    <phoneticPr fontId="4" type="noConversion"/>
  </si>
  <si>
    <t>该控制例外情况属于随机性偏差，扩大样本量测试后未发现偏差，控制有效</t>
    <phoneticPr fontId="4" type="noConversion"/>
  </si>
  <si>
    <t>被审计单位：甲公司</t>
    <phoneticPr fontId="5" type="noConversion"/>
  </si>
  <si>
    <r>
      <rPr>
        <sz val="10"/>
        <rFont val="宋体"/>
        <family val="3"/>
        <charset val="134"/>
      </rPr>
      <t>截止日：</t>
    </r>
    <r>
      <rPr>
        <sz val="10"/>
        <rFont val="Arial Narrow"/>
        <family val="2"/>
      </rPr>
      <t>2020</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5" type="noConversion"/>
  </si>
  <si>
    <r>
      <rPr>
        <sz val="10"/>
        <rFont val="宋体"/>
        <family val="3"/>
        <charset val="134"/>
      </rPr>
      <t>编制日期：</t>
    </r>
    <r>
      <rPr>
        <sz val="10"/>
        <rFont val="Arial Narrow"/>
        <family val="2"/>
      </rPr>
      <t>2014.1.5</t>
    </r>
    <phoneticPr fontId="5" type="noConversion"/>
  </si>
  <si>
    <r>
      <rPr>
        <sz val="10"/>
        <rFont val="宋体"/>
        <family val="3"/>
        <charset val="134"/>
      </rPr>
      <t>复核日期：</t>
    </r>
    <r>
      <rPr>
        <sz val="10"/>
        <rFont val="Arial Narrow"/>
        <family val="2"/>
      </rPr>
      <t>2014.1.8</t>
    </r>
    <phoneticPr fontId="5" type="noConversion"/>
  </si>
  <si>
    <t>经理层监督客户投诉的数量及类型并把这些信息作为估计销售退回的依据。然而，注册会计师在执行控制测试</t>
    <phoneticPr fontId="5" type="noConversion"/>
  </si>
  <si>
    <t>时发现某一期间计算出的投诉率没有包含某一地区收到的投诉。</t>
    <phoneticPr fontId="5" type="noConversion"/>
  </si>
  <si>
    <r>
      <rPr>
        <b/>
        <sz val="10"/>
        <color indexed="8"/>
        <rFont val="宋体"/>
        <family val="3"/>
        <charset val="134"/>
      </rPr>
      <t>评</t>
    </r>
    <r>
      <rPr>
        <b/>
        <sz val="10"/>
        <color indexed="8"/>
        <rFont val="Arial Narrow"/>
        <family val="2"/>
      </rPr>
      <t xml:space="preserve"> </t>
    </r>
    <r>
      <rPr>
        <b/>
        <sz val="10"/>
        <color indexed="8"/>
        <rFont val="宋体"/>
        <family val="3"/>
        <charset val="134"/>
      </rPr>
      <t>价</t>
    </r>
    <r>
      <rPr>
        <b/>
        <sz val="10"/>
        <color indexed="8"/>
        <rFont val="Arial Narrow"/>
        <family val="2"/>
      </rPr>
      <t xml:space="preserve"> </t>
    </r>
    <r>
      <rPr>
        <b/>
        <sz val="10"/>
        <color indexed="8"/>
        <rFont val="宋体"/>
        <family val="3"/>
        <charset val="134"/>
      </rPr>
      <t>结</t>
    </r>
    <r>
      <rPr>
        <b/>
        <sz val="10"/>
        <color indexed="8"/>
        <rFont val="Arial Narrow"/>
        <family val="2"/>
      </rPr>
      <t xml:space="preserve"> </t>
    </r>
    <r>
      <rPr>
        <b/>
        <sz val="10"/>
        <color indexed="8"/>
        <rFont val="宋体"/>
        <family val="3"/>
        <charset val="134"/>
      </rPr>
      <t>论</t>
    </r>
    <phoneticPr fontId="5" type="noConversion"/>
  </si>
  <si>
    <t>该控制例外情况属于随机性偏差，扩大样本量测试后未发现偏差，控制有效</t>
    <phoneticPr fontId="5" type="noConversion"/>
  </si>
  <si>
    <t>控制例外情况描述：</t>
    <phoneticPr fontId="5" type="noConversion"/>
  </si>
  <si>
    <r>
      <rPr>
        <sz val="10"/>
        <rFont val="宋体"/>
        <family val="3"/>
        <charset val="134"/>
      </rPr>
      <t>被审计单位：</t>
    </r>
    <phoneticPr fontId="4" type="noConversion"/>
  </si>
  <si>
    <r>
      <rPr>
        <sz val="10"/>
        <rFont val="宋体"/>
        <family val="3"/>
        <charset val="134"/>
      </rPr>
      <t>编制人：</t>
    </r>
    <phoneticPr fontId="4" type="noConversion"/>
  </si>
  <si>
    <r>
      <rPr>
        <sz val="10"/>
        <rFont val="宋体"/>
        <family val="3"/>
        <charset val="134"/>
      </rPr>
      <t>编制日期：</t>
    </r>
    <phoneticPr fontId="4"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</si>
  <si>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4" type="noConversion"/>
  </si>
  <si>
    <r>
      <rPr>
        <sz val="10"/>
        <rFont val="宋体"/>
        <family val="3"/>
        <charset val="134"/>
      </rPr>
      <t>复核人：</t>
    </r>
    <phoneticPr fontId="4" type="noConversion"/>
  </si>
  <si>
    <r>
      <rPr>
        <sz val="10"/>
        <rFont val="宋体"/>
        <family val="3"/>
        <charset val="134"/>
      </rPr>
      <t>复核日期：</t>
    </r>
    <phoneticPr fontId="4" type="noConversion"/>
  </si>
  <si>
    <r>
      <rPr>
        <sz val="10"/>
        <rFont val="宋体"/>
        <family val="3"/>
        <charset val="134"/>
      </rPr>
      <t>页</t>
    </r>
    <r>
      <rPr>
        <sz val="10"/>
        <rFont val="Arial Narrow"/>
        <family val="2"/>
      </rPr>
      <t xml:space="preserve">   </t>
    </r>
    <r>
      <rPr>
        <sz val="10"/>
        <rFont val="宋体"/>
        <family val="3"/>
        <charset val="134"/>
      </rPr>
      <t>次：</t>
    </r>
    <phoneticPr fontId="5" type="noConversion"/>
  </si>
  <si>
    <t>致同会计师事务所</t>
    <phoneticPr fontId="5" type="noConversion"/>
  </si>
  <si>
    <r>
      <rPr>
        <sz val="10"/>
        <rFont val="宋体"/>
        <family val="3"/>
        <charset val="134"/>
      </rPr>
      <t>索引号：</t>
    </r>
    <r>
      <rPr>
        <sz val="10"/>
        <rFont val="Arial Narrow"/>
        <family val="2"/>
      </rPr>
      <t>C11-2</t>
    </r>
    <phoneticPr fontId="5" type="noConversion"/>
  </si>
  <si>
    <t>管理循环评价控制偏差</t>
    <phoneticPr fontId="5" type="noConversion"/>
  </si>
  <si>
    <r>
      <rPr>
        <sz val="10"/>
        <rFont val="宋体"/>
        <family val="3"/>
        <charset val="134"/>
      </rPr>
      <t>索引号：</t>
    </r>
    <r>
      <rPr>
        <sz val="10"/>
        <rFont val="Arial Narrow"/>
        <family val="2"/>
      </rPr>
      <t>C11-2</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</si>
</sst>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6" x14ac:knownFonts="1">
    <font>
      <sz val="11"/>
      <color theme="1"/>
      <name val="等线"/>
      <family val="2"/>
      <charset val="134"/>
      <scheme val="minor"/>
    </font>
    <font>
      <sz val="12"/>
      <name val="Times New Roman"/>
      <family val="1"/>
    </font>
    <font>
      <b/>
      <sz val="10"/>
      <name val="Arial Narrow"/>
      <family val="2"/>
    </font>
    <font>
      <b/>
      <sz val="10"/>
      <name val="宋体"/>
      <family val="3"/>
      <charset val="134"/>
    </font>
    <font>
      <sz val="9"/>
      <name val="等线"/>
      <family val="2"/>
      <charset val="134"/>
      <scheme val="minor"/>
    </font>
    <font>
      <sz val="9"/>
      <name val="宋体"/>
      <family val="3"/>
      <charset val="134"/>
    </font>
    <font>
      <sz val="11"/>
      <color theme="1"/>
      <name val="等线"/>
      <family val="3"/>
      <charset val="134"/>
      <scheme val="minor"/>
    </font>
    <font>
      <sz val="11"/>
      <color theme="1"/>
      <name val="Arial"/>
      <family val="2"/>
    </font>
    <font>
      <b/>
      <sz val="12"/>
      <name val="Arial Narrow"/>
      <family val="2"/>
    </font>
    <font>
      <b/>
      <sz val="12"/>
      <name val="宋体"/>
      <family val="3"/>
      <charset val="134"/>
    </font>
    <font>
      <sz val="10"/>
      <name val="Arial Narrow"/>
      <family val="2"/>
    </font>
    <font>
      <sz val="11"/>
      <color theme="1"/>
      <name val="Arial Narrow"/>
      <family val="2"/>
    </font>
    <font>
      <sz val="10"/>
      <name val="宋体"/>
      <family val="3"/>
      <charset val="134"/>
    </font>
    <font>
      <b/>
      <sz val="10"/>
      <name val="方正姚体"/>
      <family val="3"/>
      <charset val="134"/>
    </font>
    <font>
      <b/>
      <sz val="10"/>
      <color theme="1"/>
      <name val="Arial Narrow"/>
      <family val="2"/>
    </font>
    <font>
      <b/>
      <sz val="10"/>
      <color indexed="8"/>
      <name val="宋体"/>
      <family val="3"/>
      <charset val="134"/>
    </font>
    <font>
      <b/>
      <sz val="10"/>
      <color indexed="8"/>
      <name val="Arial Narrow"/>
      <family val="2"/>
    </font>
    <font>
      <sz val="10"/>
      <color theme="1"/>
      <name val="Arial"/>
      <family val="2"/>
    </font>
    <font>
      <sz val="10"/>
      <color theme="1"/>
      <name val="Arial Narrow"/>
      <family val="2"/>
    </font>
    <font>
      <sz val="10"/>
      <color indexed="8"/>
      <name val="宋体"/>
      <family val="3"/>
      <charset val="134"/>
    </font>
    <font>
      <sz val="10"/>
      <color indexed="12"/>
      <name val="Arial Narrow"/>
      <family val="2"/>
    </font>
    <font>
      <sz val="10"/>
      <color indexed="12"/>
      <name val="宋体"/>
      <family val="3"/>
      <charset val="134"/>
    </font>
    <font>
      <sz val="10"/>
      <color indexed="8"/>
      <name val="Arial Narrow"/>
      <family val="2"/>
    </font>
    <font>
      <b/>
      <sz val="10"/>
      <color indexed="10"/>
      <name val="宋体"/>
      <family val="3"/>
      <charset val="134"/>
    </font>
    <font>
      <b/>
      <sz val="10"/>
      <color indexed="10"/>
      <name val="Arial Narrow"/>
      <family val="2"/>
    </font>
    <font>
      <b/>
      <sz val="10"/>
      <color indexed="12"/>
      <name val="Arial"/>
      <family val="2"/>
    </font>
    <font>
      <b/>
      <sz val="10"/>
      <color indexed="12"/>
      <name val="宋体"/>
      <family val="3"/>
      <charset val="134"/>
    </font>
    <font>
      <sz val="10"/>
      <color rgb="FF0000CC"/>
      <name val="Arial"/>
      <family val="2"/>
    </font>
    <font>
      <sz val="10"/>
      <color rgb="FF0000FF"/>
      <name val="Arial"/>
      <family val="2"/>
    </font>
    <font>
      <sz val="10"/>
      <color indexed="12"/>
      <name val="Arial"/>
      <family val="2"/>
    </font>
    <font>
      <b/>
      <sz val="10"/>
      <color rgb="FF0000FF"/>
      <name val="Arial"/>
      <family val="2"/>
    </font>
    <font>
      <sz val="10"/>
      <color rgb="FF0000FF"/>
      <name val="宋体"/>
      <family val="3"/>
      <charset val="134"/>
    </font>
    <font>
      <sz val="10"/>
      <color theme="1"/>
      <name val="宋体"/>
      <family val="3"/>
      <charset val="134"/>
    </font>
    <font>
      <sz val="10"/>
      <color indexed="8"/>
      <name val="Arial"/>
      <family val="2"/>
    </font>
    <font>
      <sz val="10"/>
      <color rgb="FF0000CC"/>
      <name val="宋体"/>
      <family val="3"/>
      <charset val="134"/>
    </font>
    <font>
      <b/>
      <sz val="14"/>
      <name val="宋体"/>
      <family val="3"/>
      <charset val="134"/>
    </font>
  </fonts>
  <fills count="3">
    <fill>
      <patternFill patternType="none"/>
    </fill>
    <fill>
      <patternFill patternType="gray125"/>
    </fill>
    <fill>
      <patternFill patternType="solid">
        <fgColor rgb="FFE4DFEC"/>
        <bgColor indexed="64"/>
      </patternFill>
    </fill>
  </fills>
  <borders count="15">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style="hair">
        <color indexed="64"/>
      </right>
      <top/>
      <bottom/>
      <diagonal/>
    </border>
  </borders>
  <cellStyleXfs count="3">
    <xf numFmtId="0" fontId="0" fillId="0" borderId="0">
      <alignment vertical="center"/>
    </xf>
    <xf numFmtId="0" fontId="1" fillId="0" borderId="0"/>
    <xf numFmtId="0" fontId="6" fillId="0" borderId="0">
      <alignment vertical="center"/>
    </xf>
  </cellStyleXfs>
  <cellXfs count="62">
    <xf numFmtId="0" fontId="0" fillId="0" borderId="0" xfId="0">
      <alignment vertical="center"/>
    </xf>
    <xf numFmtId="0" fontId="7" fillId="0" borderId="0" xfId="2" applyFont="1" applyBorder="1">
      <alignment vertical="center"/>
    </xf>
    <xf numFmtId="0" fontId="10" fillId="0" borderId="0" xfId="2" applyFont="1" applyBorder="1" applyAlignment="1" applyProtection="1">
      <alignment horizontal="left" vertical="center"/>
      <protection locked="0"/>
    </xf>
    <xf numFmtId="0" fontId="11" fillId="0" borderId="0" xfId="2" applyFont="1" applyBorder="1">
      <alignment vertical="center"/>
    </xf>
    <xf numFmtId="0" fontId="2" fillId="0" borderId="1" xfId="2" applyFont="1" applyBorder="1" applyAlignment="1" applyProtection="1">
      <alignment horizontal="left" vertical="center"/>
      <protection locked="0"/>
    </xf>
    <xf numFmtId="0" fontId="10" fillId="0" borderId="2" xfId="2" applyFont="1" applyBorder="1" applyAlignment="1" applyProtection="1">
      <alignment horizontal="left" vertical="center"/>
      <protection locked="0"/>
    </xf>
    <xf numFmtId="0" fontId="10" fillId="0" borderId="2" xfId="2" applyFont="1" applyBorder="1" applyAlignment="1" applyProtection="1">
      <alignment horizontal="right" vertical="center"/>
      <protection locked="0"/>
    </xf>
    <xf numFmtId="49" fontId="10" fillId="0" borderId="3" xfId="2" applyNumberFormat="1" applyFont="1" applyBorder="1" applyAlignment="1" applyProtection="1">
      <alignment horizontal="centerContinuous" vertical="center"/>
      <protection locked="0"/>
    </xf>
    <xf numFmtId="0" fontId="10" fillId="0" borderId="4" xfId="2" applyFont="1" applyBorder="1" applyAlignment="1" applyProtection="1">
      <alignment horizontal="left" vertical="center"/>
      <protection locked="0"/>
    </xf>
    <xf numFmtId="0" fontId="10" fillId="0" borderId="0" xfId="2" applyFont="1" applyBorder="1" applyAlignment="1" applyProtection="1">
      <alignment horizontal="right" vertical="center"/>
      <protection locked="0"/>
    </xf>
    <xf numFmtId="49" fontId="10" fillId="0" borderId="5" xfId="2" applyNumberFormat="1" applyFont="1" applyBorder="1" applyAlignment="1" applyProtection="1">
      <alignment horizontal="centerContinuous" vertical="center"/>
      <protection locked="0"/>
    </xf>
    <xf numFmtId="0" fontId="10" fillId="0" borderId="6" xfId="2" applyFont="1" applyBorder="1" applyAlignment="1" applyProtection="1">
      <alignment horizontal="left" vertical="center"/>
      <protection locked="0"/>
    </xf>
    <xf numFmtId="0" fontId="10" fillId="0" borderId="7" xfId="2" applyFont="1" applyBorder="1" applyAlignment="1" applyProtection="1">
      <alignment horizontal="left" vertical="center"/>
      <protection locked="0"/>
    </xf>
    <xf numFmtId="0" fontId="10" fillId="0" borderId="7" xfId="2" applyFont="1" applyBorder="1" applyAlignment="1" applyProtection="1">
      <alignment horizontal="right" vertical="center"/>
      <protection locked="0"/>
    </xf>
    <xf numFmtId="49" fontId="10" fillId="0" borderId="8" xfId="2" applyNumberFormat="1" applyFont="1" applyBorder="1" applyAlignment="1" applyProtection="1">
      <alignment horizontal="centerContinuous" vertical="center"/>
      <protection locked="0"/>
    </xf>
    <xf numFmtId="0" fontId="17" fillId="0" borderId="0" xfId="2" applyFont="1" applyBorder="1">
      <alignment vertical="center"/>
    </xf>
    <xf numFmtId="0" fontId="18" fillId="0" borderId="12" xfId="2" applyFont="1" applyBorder="1" applyAlignment="1">
      <alignment horizontal="left" vertical="center" wrapText="1"/>
    </xf>
    <xf numFmtId="0" fontId="18" fillId="0" borderId="13" xfId="2" applyFont="1" applyBorder="1" applyAlignment="1">
      <alignment horizontal="left" vertical="center" wrapText="1"/>
    </xf>
    <xf numFmtId="0" fontId="18" fillId="0" borderId="12" xfId="2" applyFont="1" applyBorder="1" applyAlignment="1">
      <alignment horizontal="center" vertical="center" wrapText="1"/>
    </xf>
    <xf numFmtId="0" fontId="18" fillId="0" borderId="13" xfId="2" applyFont="1" applyBorder="1" applyAlignment="1">
      <alignment horizontal="center" vertical="center" wrapText="1"/>
    </xf>
    <xf numFmtId="0" fontId="18" fillId="0" borderId="9" xfId="2" applyFont="1" applyBorder="1" applyAlignment="1">
      <alignment horizontal="center" vertical="center" wrapText="1"/>
    </xf>
    <xf numFmtId="0" fontId="14" fillId="0" borderId="9" xfId="2" applyFont="1" applyBorder="1" applyAlignment="1">
      <alignment horizontal="left" vertical="center" wrapText="1"/>
    </xf>
    <xf numFmtId="0" fontId="25" fillId="0" borderId="0" xfId="2" applyFont="1" applyBorder="1" applyAlignment="1">
      <alignment vertical="center"/>
    </xf>
    <xf numFmtId="0" fontId="27" fillId="0" borderId="0" xfId="2" applyFont="1" applyBorder="1" applyAlignment="1">
      <alignment vertical="center" wrapText="1"/>
    </xf>
    <xf numFmtId="0" fontId="28" fillId="0" borderId="0" xfId="2" applyFont="1" applyBorder="1" applyAlignment="1">
      <alignment vertical="center"/>
    </xf>
    <xf numFmtId="0" fontId="28" fillId="0" borderId="0" xfId="2" applyFont="1" applyBorder="1">
      <alignment vertical="center"/>
    </xf>
    <xf numFmtId="0" fontId="27" fillId="0" borderId="0" xfId="2" applyFont="1" applyBorder="1">
      <alignment vertical="center"/>
    </xf>
    <xf numFmtId="0" fontId="30" fillId="0" borderId="0" xfId="2" applyFont="1" applyBorder="1" applyAlignment="1">
      <alignment vertical="center" wrapText="1"/>
    </xf>
    <xf numFmtId="0" fontId="29" fillId="0" borderId="0" xfId="2" applyFont="1" applyBorder="1" applyAlignment="1">
      <alignment vertical="center"/>
    </xf>
    <xf numFmtId="0" fontId="31" fillId="0" borderId="0" xfId="2" applyFont="1" applyBorder="1">
      <alignment vertical="center"/>
    </xf>
    <xf numFmtId="0" fontId="26" fillId="0" borderId="0" xfId="2" applyFont="1" applyBorder="1" applyAlignment="1">
      <alignment vertical="center"/>
    </xf>
    <xf numFmtId="0" fontId="32" fillId="0" borderId="0" xfId="2" applyFont="1" applyBorder="1">
      <alignment vertical="center"/>
    </xf>
    <xf numFmtId="0" fontId="34" fillId="0" borderId="0" xfId="2" applyFont="1" applyBorder="1">
      <alignment vertical="center"/>
    </xf>
    <xf numFmtId="0" fontId="14" fillId="2" borderId="9" xfId="2" applyFont="1" applyFill="1" applyBorder="1" applyAlignment="1">
      <alignment horizontal="center" vertical="center"/>
    </xf>
    <xf numFmtId="0" fontId="12" fillId="0" borderId="0" xfId="2" applyFont="1" applyBorder="1" applyAlignment="1" applyProtection="1">
      <alignment horizontal="left" vertical="center"/>
      <protection locked="0"/>
    </xf>
    <xf numFmtId="0" fontId="12" fillId="0" borderId="4" xfId="2" applyFont="1" applyBorder="1" applyAlignment="1" applyProtection="1">
      <alignment horizontal="left" vertical="center"/>
      <protection locked="0"/>
    </xf>
    <xf numFmtId="0" fontId="12" fillId="0" borderId="6" xfId="2" applyFont="1" applyBorder="1" applyAlignment="1" applyProtection="1">
      <alignment horizontal="left" vertical="center"/>
      <protection locked="0"/>
    </xf>
    <xf numFmtId="0" fontId="3" fillId="0" borderId="1" xfId="2" applyFont="1" applyBorder="1" applyAlignment="1" applyProtection="1">
      <alignment horizontal="left" vertical="center"/>
      <protection locked="0"/>
    </xf>
    <xf numFmtId="0" fontId="9" fillId="0" borderId="0" xfId="1" applyFont="1" applyBorder="1" applyAlignment="1">
      <alignment horizontal="center" vertical="center"/>
    </xf>
    <xf numFmtId="0" fontId="35" fillId="0" borderId="0" xfId="2" applyFont="1" applyBorder="1" applyAlignment="1" applyProtection="1">
      <alignment horizontal="center" vertical="center"/>
      <protection locked="0"/>
    </xf>
    <xf numFmtId="0" fontId="14" fillId="2" borderId="9" xfId="2" applyFont="1" applyFill="1" applyBorder="1" applyAlignment="1">
      <alignment horizontal="center" vertical="center"/>
    </xf>
    <xf numFmtId="0" fontId="14" fillId="2" borderId="10" xfId="2" applyFont="1" applyFill="1" applyBorder="1" applyAlignment="1">
      <alignment horizontal="center" vertical="center"/>
    </xf>
    <xf numFmtId="0" fontId="14" fillId="2" borderId="11" xfId="2" applyFont="1" applyFill="1" applyBorder="1" applyAlignment="1">
      <alignment horizontal="center" vertical="center"/>
    </xf>
    <xf numFmtId="0" fontId="18" fillId="0" borderId="1" xfId="2" applyFont="1" applyBorder="1" applyAlignment="1">
      <alignment horizontal="left" vertical="center" wrapText="1"/>
    </xf>
    <xf numFmtId="0" fontId="18" fillId="0" borderId="3" xfId="2" applyFont="1" applyBorder="1" applyAlignment="1">
      <alignment horizontal="left" vertical="center" wrapText="1"/>
    </xf>
    <xf numFmtId="0" fontId="18" fillId="0" borderId="6" xfId="2" applyFont="1" applyBorder="1" applyAlignment="1">
      <alignment horizontal="left" vertical="center" wrapText="1"/>
    </xf>
    <xf numFmtId="0" fontId="18" fillId="0" borderId="8" xfId="2" applyFont="1" applyBorder="1" applyAlignment="1">
      <alignment horizontal="left" vertical="center" wrapText="1"/>
    </xf>
    <xf numFmtId="0" fontId="18" fillId="0" borderId="12" xfId="2" applyFont="1" applyBorder="1" applyAlignment="1">
      <alignment horizontal="center" vertical="center" wrapText="1"/>
    </xf>
    <xf numFmtId="0" fontId="18" fillId="0" borderId="13" xfId="2" applyFont="1" applyBorder="1" applyAlignment="1">
      <alignment horizontal="center" vertical="center" wrapText="1"/>
    </xf>
    <xf numFmtId="0" fontId="19" fillId="0" borderId="1" xfId="2" applyFont="1" applyBorder="1" applyAlignment="1">
      <alignment horizontal="left" vertical="center" wrapText="1"/>
    </xf>
    <xf numFmtId="0" fontId="22" fillId="0" borderId="6" xfId="2" applyFont="1" applyBorder="1" applyAlignment="1">
      <alignment horizontal="left" vertical="center" wrapText="1"/>
    </xf>
    <xf numFmtId="0" fontId="22" fillId="0" borderId="1" xfId="2" applyFont="1" applyBorder="1" applyAlignment="1">
      <alignment horizontal="left" vertical="center" wrapText="1"/>
    </xf>
    <xf numFmtId="0" fontId="16" fillId="0" borderId="10" xfId="2" applyFont="1" applyBorder="1" applyAlignment="1">
      <alignment horizontal="center" vertical="center" wrapText="1"/>
    </xf>
    <xf numFmtId="0" fontId="14" fillId="0" borderId="11" xfId="2" applyFont="1" applyBorder="1" applyAlignment="1">
      <alignment horizontal="center" vertical="center" wrapText="1"/>
    </xf>
    <xf numFmtId="0" fontId="24" fillId="0" borderId="10" xfId="2" applyFont="1" applyBorder="1" applyAlignment="1">
      <alignment horizontal="left" vertical="center" wrapText="1"/>
    </xf>
    <xf numFmtId="0" fontId="14" fillId="0" borderId="11" xfId="2" applyFont="1" applyBorder="1" applyAlignment="1">
      <alignment horizontal="left" vertical="center" wrapText="1"/>
    </xf>
    <xf numFmtId="0" fontId="2" fillId="0" borderId="0" xfId="1" applyFont="1" applyBorder="1" applyAlignment="1">
      <alignment horizontal="center"/>
    </xf>
    <xf numFmtId="0" fontId="8" fillId="0" borderId="0" xfId="2" applyFont="1" applyBorder="1" applyAlignment="1" applyProtection="1">
      <alignment horizontal="center" vertical="center"/>
      <protection locked="0"/>
    </xf>
    <xf numFmtId="0" fontId="18" fillId="0" borderId="4" xfId="2" applyFont="1" applyBorder="1" applyAlignment="1">
      <alignment horizontal="left" vertical="center" wrapText="1"/>
    </xf>
    <xf numFmtId="0" fontId="18" fillId="0" borderId="5" xfId="2" applyFont="1" applyBorder="1" applyAlignment="1">
      <alignment horizontal="left" vertical="center" wrapText="1"/>
    </xf>
    <xf numFmtId="0" fontId="18" fillId="0" borderId="14" xfId="2" applyFont="1" applyBorder="1" applyAlignment="1">
      <alignment horizontal="center" vertical="center" wrapText="1"/>
    </xf>
    <xf numFmtId="0" fontId="23" fillId="0" borderId="10" xfId="2" applyFont="1" applyBorder="1" applyAlignment="1">
      <alignment horizontal="left" vertical="center" wrapText="1"/>
    </xf>
  </cellXfs>
  <cellStyles count="3">
    <cellStyle name="常规" xfId="0" builtinId="0"/>
    <cellStyle name="常规 5 2" xfId="2"/>
    <cellStyle name="常规_c-资产类" xfId="1"/>
  </cellStyles>
  <dxfs count="0"/>
  <tableStyles count="0" defaultTableStyle="TableStyleMedium2" defaultPivotStyle="PivotStyleLight16"/>
  <colors>
    <mruColors>
      <color rgb="FFE4DFE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75</xdr:row>
      <xdr:rowOff>171450</xdr:rowOff>
    </xdr:from>
    <xdr:to>
      <xdr:col>4</xdr:col>
      <xdr:colOff>443865</xdr:colOff>
      <xdr:row>104</xdr:row>
      <xdr:rowOff>47625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9402425"/>
          <a:ext cx="4914900" cy="5124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明细输入"/>
      <sheetName val="产值平衡表"/>
      <sheetName val="索引"/>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XL4Poppy"/>
      <sheetName val="码表"/>
      <sheetName val="台帐"/>
      <sheetName val="Sheet1 (11)"/>
      <sheetName val="基本情况表"/>
      <sheetName val="11应收帐款"/>
      <sheetName val="_x0000__x0000__x0000__x0000__x0000__x0000__x0000__x0000_"/>
      <sheetName val="23产成品 "/>
      <sheetName val="B30111"/>
      <sheetName val="现金"/>
      <sheetName val="&lt;原报&gt;资产负债表"/>
      <sheetName val="设置"/>
      <sheetName val="03年1季度"/>
      <sheetName val="master"/>
      <sheetName val="包增减变动"/>
      <sheetName val="FA Breakdown"/>
      <sheetName val="收入、人数真实数据--曲线"/>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param"/>
      <sheetName val="Traduction"/>
      <sheetName val="UFPrn20061113135115"/>
      <sheetName val="35.1租赁明细"/>
      <sheetName val="核算项目余额表"/>
      <sheetName val="ZA 货币资金"/>
      <sheetName val="Toolbox"/>
      <sheetName val="KEY DATA"/>
      <sheetName val="库存商品余额表.dbf"/>
      <sheetName val="佳砼负债表"/>
      <sheetName val="Collateral"/>
      <sheetName val="Disposition"/>
      <sheetName val="I110 Breakdown 200812(Audited)"/>
      <sheetName val="成本调整明细表"/>
      <sheetName val="试算平衡表"/>
      <sheetName val="UFPrn20060705140320"/>
      <sheetName val="UFPrn20060705113520"/>
      <sheetName val="资产负债表(本部原报)"/>
      <sheetName val="明细分类账"/>
      <sheetName val="其他液氨采购"/>
      <sheetName val="长期借款"/>
      <sheetName val="房屋及建筑物"/>
      <sheetName val="内销硫酸期初"/>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Z01 资产负债表(企财01表)"/>
      <sheetName val="Z02 利润表(企财02表)"/>
      <sheetName val="Z03 现金流量表(企财03表)"/>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000__x0000__x0000__x0000_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_x0000_"/>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_x001f_0-BS_؁"/>
      <sheetName val="Dropdown list"/>
      <sheetName val="dm"/>
      <sheetName val="sd"/>
      <sheetName val="7a.Other Inc Exp"/>
      <sheetName val="account"/>
      <sheetName val="2002 VS 2003"/>
      <sheetName val="Data List"/>
      <sheetName val="内仓免税进口"/>
      <sheetName val="original2"/>
      <sheetName val="长_x0013_"/>
      <sheetName val="_x0000_*_x0000__x0000__x0000_ª¥$_x0004__x0000__x0000__x0000__x0000_RÝ_x0013__x0000_RÝ"/>
      <sheetName val="_x0000__x0000__x0000__x0000__x0000__x0000__x0000__x0007__x0000__x0000__x0000_zà_x0013__x0000__x0000__x0000__x0000__x0000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_x0000__x0000__x0000_Ԁ_x0000_"/>
      <sheetName val="财务费用明细表"/>
      <sheetName val="长期待摊费用明细表"/>
      <sheetName val="产品销售收入与成本明细表"/>
      <sheetName val="UFPrn20080725145132"/>
      <sheetName val="F130&quot;"/>
      <sheetName val="A3"/>
      <sheetName val="機種対応表(無断変更禁止)"/>
      <sheetName val="_x0000_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0__x0007__x0000__x0000__x0"/>
      <sheetName val="_x0000__x0001__x0000__x0000__x0"/>
      <sheetName val="_x005f_x0000__x005f_x0007__x005"/>
      <sheetName val="_x005f_x0000__x005f_x0000__x005"/>
      <sheetName val="_x005f_x0000__x005f_x0001__x005"/>
      <sheetName val="_x0000___x0000__x0000__x0000_ª¥"/>
      <sheetName val="收回以前年度已స_x0000__x0000__x0000_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0__x0007__x0000__x0000__x0000_¨/_x0016__x0000__x0000__x0000__x0000__x0000_†Ý_x0013__x0000_†Ý"/>
      <sheetName val="_x0000__x0001__x0000__x0000__x0000_¨/_x0016__x0000__x0000__x0000__x0000__x0000_†Ý_x0013__x0000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0__x0007__x005"/>
      <sheetName val="_x0000__x0000__x005"/>
      <sheetName val="_x0000__x0001__x005"/>
      <sheetName val="_x005f_x001f_0-BS_x"/>
      <sheetName val="_x005f_x0000__x005f"/>
      <sheetName val="表外项目_x005f_x005f_x0"/>
      <sheetName val="_x0000___x0000__x00"/>
      <sheetName val="_x005f_x005f_"/>
      <sheetName val="收回以前年度已స_x0000__x00"/>
      <sheetName val="同业存放Ⱦ_x005f_x005f_x005f_x005f_x"/>
      <sheetName val="长_x005f_x005f_x005f_x005f_x005"/>
      <sheetName val="_x0000_*_x0000__x0000__x0000_ª¥"/>
      <sheetName val="_x0007__x0000_¨__x0016__x0000_†"/>
      <sheetName val="_x0001__x0000_¨__x0016__x0000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0__x0007__x0000__x0000__x0000_¨/_x0016__x0000__x0000__x0000__x0000__x0000_Ý_x0013__x0000_Ý"/>
      <sheetName val="[分析表.XLS]_x0000__x0001__x0000__x0000__x0000_¨/_x0016__x0000__x0000__x0000__x0000__x0000_Ý_x0013__x0000_Ý"/>
      <sheetName val="[分析表.XLS]_x0000__x0007__x0000__x0000__x0000_¨/_x0016__x0000__x0000__x0000__x0000__x0000_†Ý_x0013__x0000_†Ý"/>
      <sheetName val="[分析表.XLS]_x0000__x0001__x0000__x0000__x0000_¨/_x0016__x0000__x0000__x0000__x0000__x0000_†Ý_x0013__x0000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0__x0007__x0000__x0000_"/>
      <sheetName val="[分析表.XLS][分析表.XLS][分析表.XLS]_x0000__x0001__x0000__x0000_"/>
      <sheetName val="报表附注"/>
      <sheetName val="Sample"/>
      <sheetName val="[分析表.XLS][分析表.XLS]_x0000__x0007__x0000__x0000__x0000_¨/_x0016__x0000__x0000__x0000__x0000__x0000_"/>
      <sheetName val="[分析表.XLS][分析表.XLS]_x0000__x0001__x0000__x0000__x0000_¨/_x0016__x0000__x0000__x0000__x0000__x0000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_x0000__x0000_"/>
      <sheetName val="_x0000__x0016_Ù"/>
      <sheetName val="_x0000__x0000__x0000__x0016_Û_x0013__x0000_BÝ_x0013__x0000__x0000__x0000__x0000__x0000__x0000__x0000__x0000__x0000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00_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_x0000_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0__x0007__x0000__"/>
      <sheetName val="_分析表.XLS__x0000__x0001__x0000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0__x0007__x0000__x0000__x0000_¨/_x0016__x0000__x0000__x0000__x0000__x0000_F_x0000_᠀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0__x0005__x0000__x0007__x0000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00_¨/_x0016__x0000_†Ý_x0013__x0000_†Ý"/>
      <sheetName val="[分析表.XLS][分析表.XLS]_x0001__x0000_¨/_x0016__x0000_†Ý_x0013__x0000_†Ý"/>
      <sheetName val="_x0000_*_x0000__x0000__x0000_??$_x0004__x0000__x0000__x0000__x0000_R?_x0013__x0000_R?"/>
      <sheetName val="_x0000__x0000__x0000__x0000__x0000__x0000__x0000__x0007__x0000__x0000__x0000_z?_x0013__x0000__x0000__x0000__x0000__x0000_"/>
      <sheetName val="_x0000__x0000__x0000__x0016_Û_x"/>
      <sheetName val="_x0000___x0000__x0000__x0000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0__x0007"/>
      <sheetName val="_分析表.XLS__分析表.XLS__x0000__x0001"/>
      <sheetName val="_x0000_*_x0000__x0000__x0000_$"/>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x0000_¨__x0016"/>
      <sheetName val="_分析表.XLS__x0001__x0000_¨__x0016"/>
      <sheetName val="分析表L1-3-2"/>
      <sheetName val="明细项目"/>
      <sheetName val="pp1p"/>
      <sheetName val="pp3p "/>
      <sheetName val="pp3p_NC"/>
      <sheetName val="ppht"/>
      <sheetName val="vc"/>
      <sheetName val="附注披露信息(上市公司)D3-1"/>
      <sheetName val="_x0000__x0005__x0000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x0000_¨__x0016__x0000_"/>
      <sheetName val="_x0001__x0000_¨__x0016__x0000_"/>
      <sheetName val="P1012001"/>
      <sheetName val="2002-CMHK"/>
      <sheetName val="_x005f_x0000_*_x005f_x0000__x005f_x0000__x005f_x0000_??"/>
      <sheetName val="农业人口"/>
      <sheetName val="公检法司编制"/>
      <sheetName val="行政编制"/>
      <sheetName val="C1"/>
      <sheetName val="财务报表"/>
      <sheetName val="利分Ƞ_x0000_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_x0000_óx1,$_x001a__x0000_ôøØ_x0004__x0016__x0000__x0000__x0000_,$_x001a__x0000_HøØ_x0004_("/>
      <sheetName val="_x0000_óx1,$_x001a__x0000_´«_x0001__x0016__x0000__x0000__x0000_,$_x001a__x0000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x0000_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00_*_x0000__x00"/>
      <sheetName val="_x005f_x005f_x005f_x005f_x005f_x005f_x005f_x005f_"/>
      <sheetName val="F-1 BS "/>
      <sheetName val="Enhanced FASB 123"/>
      <sheetName val="预算分录ETY"/>
      <sheetName val="Budget"/>
      <sheetName val="삅ོ䚋栠Ѫ_x0000_ࡪ㋨ﯾ_xffff_ﱅ잃蔐緀薼"/>
      <sheetName val="삅ོ䚋栠Ѫ_x0000_ࡪ㋨ﯾ_xffff_ﱅ"/>
      <sheetName val="삅ོ䚋栠Ѫ_x0000_ࡪ㋨ﯾ_xffff_ﱅ잃蔐緀"/>
      <sheetName val="삅ོ䚋栠Ѫ_x0000_ࡪ㋨"/>
      <sheetName val="삅ོ䚋栠Ѫ_x0000_ࡪ㋨ﯾ_xffff_ﱅ잃"/>
      <sheetName val="삅ོ䚋栠Ѫ_x0000_ࡪ㋨ﯾ_xffff_ﱅ잃蔐緀薼糀謋"/>
      <sheetName val="삅ོ䚋栠Ѫ_x0000_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0__x0007__x0000__x0000__x0000_?/_x0016__x0000__x0000__x0000__x0000__x0000_??_x0013__x0000_??"/>
      <sheetName val="_x0000__x0000__x0000__x0000__x0000__x0000__x0000__x0007__x0000__x0000__x0000_??_x0013__x0000__x0000__x0000__x0000__x0000_"/>
      <sheetName val="_x0000__x0001__x0000__x0000__x0000_?/_x0016__x0000__x0000__x0000__x0000__x0000_??_x0013__x0000_??"/>
      <sheetName val="_x0000_?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_x0000_ª¥$_x0004__x0000_RÝ_x00"/>
      <sheetName val="_x0000_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_x0000_"/>
      <sheetName val="预付货類"/>
      <sheetName val="_x0000__x0000__x0000__x0001__x0000__x0000__x0008_à_x0013__x0000__x0000__x0000__x0007__x0000__x0000__x0000_¨/_x0016__x0000__x0000__x0000__x0000__x0000_Ý_x0013__x0000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0_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0__x0007__x0000__x0000__x0000_?/_x0016__x0000__x0000__x0000__x0000__x0000_??_x0013__x0000_??"/>
      <sheetName val="[分析表.XLS]_x0000__x0001__x0000__x0000__x0000_?/_x0016__x0000__x0000__x0000__x0000__x0000_??_x0013__x0000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_x0000_"/>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_x0000_*_x0000__x0000__x0000_ª¥$ _x0000__x0000__x0000__x0000_RÝ _x0000_RÝ"/>
      <sheetName val="_x0000__x0000__x0000__x0000__x0000__x0000__x0000_ _x0000__x0000__x0000_zà _x0000__x0000__x0000__x0000__x0000_"/>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_x0000_缀"/>
      <sheetName val="260.0020應收帳齡表-20ԯ_x0000_缀_x0000__x0000_"/>
      <sheetName val="260.0020應收帳齡表-20ᩖⰀᩗ䈀"/>
      <sheetName val="260.0020應收帳齡表-20씀렖ԯ_x0000_缀"/>
      <sheetName val="260.0020應收帳齡表-20耀ፓ찀ፓ䈀"/>
      <sheetName val="260.0020應收帳齡表-20⁉씀ᰖԯ"/>
      <sheetName val="260.0020應收帳齡表-20ꀀ⁓⁓씀"/>
      <sheetName val="260.0020應收帳齡表-20䠀≙씀밖ԯ"/>
      <sheetName val="260.0020應收帳齡表-20씀搖ԯ_x0000_缀"/>
      <sheetName val="260.0020應收帳齡表-20씀︖ԯ_x0000_缀"/>
      <sheetName val="260.0020應收帳齡表-20씀㰖ԯ_x0000_缀"/>
      <sheetName val="for retest"/>
      <sheetName val="260.0020應收帳齡表-20ᡶ촰렲㄁"/>
      <sheetName val="260.0020應收帳齡表-20ᡴ렞灶㄂"/>
      <sheetName val="260.0020應收帳齡表-20_x0000__x0000_砀嶲밥"/>
      <sheetName val="260.0020應收帳齡表-20ᡶ褰렖㄁"/>
      <sheetName val="260.0020應收帳齡表-20ᡶꬰ렟㄁"/>
      <sheetName val="260.0020應收帳齡表-20ᡵﰰ렝摶㄁"/>
      <sheetName val="260.0020應收帳齡表-20ృ_x0001__x0000_退"/>
      <sheetName val="260.0020應收帳齡表-20㄂䧊_x0001__x0000_쀀"/>
      <sheetName val="260.0020應收帳齡表-20ﴀ⑅롶屶㄁"/>
      <sheetName val="镽期债券投资䗽癈蓘Ȥ䏧ā_x0000_"/>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_x0000__x0000_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_x0000_堀"/>
      <sheetName val="260.0020應收帳齡表-20塴嘇㠁ㄩ_x0000_"/>
      <sheetName val="收回以前年度已స_x005f_x0000__x005f_x0000__슔ଁ麿_x0000__x0000_㠀ਢ"/>
      <sheetName val="260.0020應收帳齡表-20ᡷ퐰犔ଂ"/>
      <sheetName val="260.0020應收帳齡表-20ᡷ崰犔ଂ"/>
      <sheetName val="镽期债券投资_x0000__x0000_☑䛜D賈"/>
      <sheetName val="260.0020應收帳齡表-20ଂ㒿_x0001__x0000__xd800_"/>
      <sheetName val="260.0020應收帳齡表-20ଂ㒿_x0001__x0000_怀"/>
      <sheetName val="镽期债券投资뼋Ĵ_x0000__x0000_猪㋵䛜"/>
      <sheetName val="镽期债券投资_x0000__x0000_֠㉘䛜D賈"/>
      <sheetName val="镽期债券投资_x0000__x0000_䄈⌅䛜*轌"/>
      <sheetName val="收回以前年度已స_x005f_x0000__x005f_x0000__塴嘇㠁ㄩ_x0000__x0000_웧"/>
      <sheetName val="收回以前年度已స_x005f_x0000__x005f_x0000__塴將㠂㜩_x0001__x0000_番"/>
      <sheetName val="260.0020應收帳齡表-20_x0001__x0000_䠀곋ణ"/>
      <sheetName val="260.0020應收帳齡表-20_x0001__x0000_怀蠕ె"/>
      <sheetName val="260.0020應收帳齡表-20_x0001__x0000_ 째ఠ"/>
      <sheetName val="260.0020應收帳齡表-20ᡷ犔ଂ"/>
      <sheetName val="260.0020應收帳齡表-20_x0001__x0000__xdc2f_"/>
      <sheetName val="260.0020應收帳齡表-20_x0001__x0000_　娖Ⰸ"/>
      <sheetName val="260.0020應收帳齡表-20_x0001__x0000_砀ޔⰱ"/>
      <sheetName val="收回以前年度已స_x005f_x0000__x005f_x0000___x0001__x0000_຅ﰩ䙆尀㲐"/>
      <sheetName val="260.0020應收帳齡表-20_x0001__x0000_⠀㖑ⰽ"/>
      <sheetName val="260.0020應收帳齡表-20_x0001__x0000_렀烝ⰾ"/>
      <sheetName val="收回以前年度已స_x005f_x0000__x005f_x0000___x0001__x0000_저湓నᝇ㪒"/>
      <sheetName val="260.0020應收帳齡表-20_x0000__x0000_栀㟥䰘"/>
      <sheetName val="260.0020應收帳齡表-20_x0000__x0000_ꉥ䰘"/>
      <sheetName val="260.0020應收帳齡表-20䁵䄲堣✇㠂"/>
      <sheetName val="260.0020應收帳齡表-20硵ᴧ堬✇㠂"/>
      <sheetName val="260.0020應收帳齡表-20_x0001__x0000_堀윊밚"/>
      <sheetName val="Shee_x0002_??"/>
      <sheetName val="镽期债券投资_x0000__x0000_➨䘤I遜"/>
      <sheetName val="镽期债券投资_x0000__x0000_쾠⟒䘤I遜"/>
      <sheetName val="收回以前年度已స_x005f_x0000__x005f_x0000___x0001__x0000_倀먃ꐡ㡆谀ゐ"/>
      <sheetName val="260.0020應收帳齡表-20䁵⨲쀡悖"/>
      <sheetName val="260.0020應收帳齡表-20硵㌧쀗悖"/>
      <sheetName val="260.0020應收帳齡表-20㠁倩_x0000__x0000_㠀"/>
      <sheetName val="260.0020應收帳齡表-20堝朇㠂䈩_x0001_"/>
      <sheetName val="260.0020應收帳齡表-20㠂䈩_x0001__x0000_렀"/>
      <sheetName val="[分析表.XLS]?_x0007_???¨/_x0016_?????†Ý_x0013_?†Ý"/>
      <sheetName val="[分析表.XLS]?_x0001_???¨/_x0016_?????†Ý_x0013_?†Ý"/>
      <sheetName val="其他应收—单位往_x0000_"/>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00_¨/_x0016__x0000_†"/>
      <sheetName val="_x0001__x0000_¨/_x0016__x0000_†"/>
      <sheetName val="Lookup Tables"/>
      <sheetName val="_x0000_*_x0000__x0000__x0000_??"/>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_x0000_*_x0000__x0000__x0000_ª¥$_x0004__x0000__x0000__x0000__x0"/>
      <sheetName val="_x0000__x0007__x0000__x0000__x0000_¨/_x0016__x0000__x0000__x000"/>
      <sheetName val="_x0000__x0001__x0000__x0000__x0000_¨/_x0016__x0000__x0000__x000"/>
      <sheetName val="M-5A_x0000_lL"/>
      <sheetName val="M-5C_x0000_lL"/>
      <sheetName val="企业表一@_x0018__x0000_in_x0018__x0000_"/>
      <sheetName val="M-5A_x0000__x0018__x0000_"/>
      <sheetName val="M-5C_x0000__x0018__x0000_"/>
      <sheetName val="260.0020應收帳齡表-20ԯ_x0000_缀_x0000"/>
      <sheetName val="_x0000_óx1,$_x001a__x0000_ôøØ_"/>
      <sheetName val="_x0000_óx1,$_x001a__x0000_´«_"/>
      <sheetName val="同业/_x0000_退"/>
      <sheetName val="同业_x0000__x0000_ࠀ"/>
      <sheetName val="衍生金蚍工具_x0001__x0000_退"/>
      <sheetName val="镽期债券投资憎ą_x0000__x0000_倸㪞㲌"/>
      <sheetName val="镽期债券投资憎ą_x0000__x0000_㝸⦹㲌"/>
      <sheetName val="镽期债券投资㑠_x0000_雠ŉ憎%_x0000_"/>
      <sheetName val="镽期债券投资憎%_x0000__x0000_磘ㄙ䰌"/>
      <sheetName val="镽期债券投资_x0000__x0000_㑨㬼㲬Жࡰ"/>
      <sheetName val="镽期债券投资憎G_x0000__x0000_⊸⇨䰌"/>
      <sheetName val="镽期债券投资㑠_x0000_雠ū憎G_x0000_"/>
      <sheetName val="镽期债券投资㑠_x0000_雠ȩ憎ą_x0000_"/>
      <sheetName val="镽期债券投资憎ą_x0000__x0000_㈈▙䰌"/>
      <sheetName val="镽期债券投资憎ą_x0000__x0000_뻸⓰㲌"/>
      <sheetName val="镽期债券投资憎ą_x0000__x0000_퓐⇣㲌"/>
      <sheetName val="镽期债券投资憎ą_x0000__x0000_툘⸰䰜"/>
      <sheetName val="镽期债券投资憎ą_x0000__x0000_툈㌞㲌"/>
      <sheetName val="镽期债券投资憎ñ_x0000__x0000_緐≗㲌"/>
      <sheetName val="镽期债券投资憎ñ_x0000__x0000_샐䬩㲌"/>
      <sheetName val="镽期债券投资憎ñ_x0000__x0000_꣸⧧㲌"/>
      <sheetName val="镽期债券投资憎ñ_x0000__x0000_桘⨩䰌"/>
      <sheetName val="镽期债券投资憎ñ_x0000__x0000_憰≓㲌"/>
      <sheetName val="镽期债券投资㑠_x0000_雠ȕ憎ñ_x0000_"/>
      <sheetName val="镽期债券投资憎Ö_x0000__x0000_꾀ㆀ㲌"/>
      <sheetName val="镽期债券投资_x0000__x0000_械㲙㳜Ўࡰ"/>
      <sheetName val="镽期债券投资_x0000__x0000_䛈㹮㳜и徐"/>
      <sheetName val="镽期债券投资촳¦_x0000__x0000_袨垷㳜"/>
      <sheetName val="镽期债券投资_x0000__x0000_ﱨ垶㳜и往"/>
      <sheetName val="镽期债券投资_x0000__x0000_䃐䴆㳜и徐"/>
      <sheetName val="镽期债券投资_x0000__x0000_忸坆㳜и徐"/>
      <sheetName val="镽期债券投资_x0000__x0000_筰坋㳜и徐"/>
      <sheetName val="镽期债券投资_x0000__x0000_㐈䵣㳜и往"/>
      <sheetName val="镽期债券投资_x0000__x0000__xdaf0_坋㳜и往"/>
      <sheetName val="镽期债券投资촳¦_x0000__x0000_뫨垷㳜"/>
      <sheetName val="镽期债券投资_x0000__x0000_๘㕛㳜҈ࢰ"/>
      <sheetName val="镽期债券投资촳¦_x0000__x0000_⾰㲔㳜"/>
      <sheetName val="镽期债券投资촳¦_x0000__x0000_쑰㡶㳜"/>
      <sheetName val="镽期债券投资촳¦_x0000__x0000_疀嫡㳜"/>
      <sheetName val="镽期债券投资_x0000__x0000_㼐懮䯜ҕࡰ"/>
      <sheetName val="镽期债券投资_x0000__x0000_篸㈤㼬öࡰ"/>
      <sheetName val="镽期债券投资憎Ê_x0000__x0000_ꍰᵋ㳼"/>
      <sheetName val="[分析表.XLS][分析表.XLS][分析表.XLS]_x0007__x0000_¨/"/>
      <sheetName val="[分析表.XLS][分析表.XLS][分析表.XLS]_x0001__x0000_¨/"/>
      <sheetName val="[分析表.XLS]_x0000__x0007__x0000__x0000__x0000_¨/_x0016__x0000__x0000__x000"/>
      <sheetName val="[分析表.XLS]_x0000__x0001__x0000__x0000__x0000_¨/_x0016__x0000__x0000__x000"/>
      <sheetName val="M-5A_x0000_ma"/>
      <sheetName val="M-5C_x0000_ma"/>
      <sheetName val="[分析表.XLS]_x0000__x0000__x0000__x0001__x0000__x0000__x0008_à_x0013__x0000__x0000__x0000__x0007__x0000__x0000__x0000_¨/_x0016__x0000__x0000__x0000_"/>
      <sheetName val="[分析表.XLS][分析表.XLS]_x0000__x0000__x0000__x0001__x0000__x0000__x0008_à_x0013__x0000__x0000__x0000__x0007_"/>
      <sheetName val="_x0007__x0000_¨__x0"/>
      <sheetName val="_x0001__x0000_¨__x0"/>
      <sheetName val="__x0001____¨__x0016____Ԁ_x0000__x0000__x0000_Ꮆ䰀꠳"/>
      <sheetName val="短期投资国债맫Ł_x0000__x0000_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x0000___x0000__x0000__x0000_??"/>
      <sheetName val="_x0000_â_1"/>
      <sheetName val="_x0000___1"/>
      <sheetName val="_x0000_â_2"/>
      <sheetName val="_x0000___2"/>
      <sheetName val="_x0000_â_3"/>
      <sheetName val="_x0000___3"/>
      <sheetName val="_x0000_â_4"/>
      <sheetName val="_x0000___4"/>
      <sheetName val="收回以前年度已స_x0000__x0000__슔ଁ麿"/>
      <sheetName val="收回以前年度已స_x0000__x0000__塴嘇㠁ㄩ"/>
      <sheetName val="收回以前年度已స_x0000__x0000__塴將㠂㜩_x0001_"/>
      <sheetName val="收回以前年度已స_x0000__x0000___x0001_"/>
      <sheetName val="_x001f_0︭뻕ԯ_x0000_缀"/>
      <sheetName val="[分析表.XLS]_x0000__x0007__x0000__x0000__x0000_¨/_x0016__x0000__x0"/>
      <sheetName val="[分析表.XLS]_x0000__x0001__x0000__x0000__x0000_¨/_x0016__x0000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s>
    <sheetDataSet>
      <sheetData sheetId="0">
        <row r="6">
          <cell r="C6">
            <v>0</v>
          </cell>
        </row>
      </sheetData>
      <sheetData sheetId="1">
        <row r="6">
          <cell r="C6">
            <v>0</v>
          </cell>
        </row>
      </sheetData>
      <sheetData sheetId="2">
        <row r="6">
          <cell r="C6">
            <v>0</v>
          </cell>
        </row>
      </sheetData>
      <sheetData sheetId="3">
        <row r="6">
          <cell r="C6">
            <v>0</v>
          </cell>
        </row>
      </sheetData>
      <sheetData sheetId="4">
        <row r="6">
          <cell r="C6">
            <v>0</v>
          </cell>
        </row>
      </sheetData>
      <sheetData sheetId="5">
        <row r="6">
          <cell r="C6">
            <v>0</v>
          </cell>
        </row>
      </sheetData>
      <sheetData sheetId="6">
        <row r="6">
          <cell r="C6">
            <v>0</v>
          </cell>
        </row>
      </sheetData>
      <sheetData sheetId="7">
        <row r="6">
          <cell r="C6">
            <v>0</v>
          </cell>
        </row>
      </sheetData>
      <sheetData sheetId="8">
        <row r="6">
          <cell r="C6">
            <v>0</v>
          </cell>
        </row>
      </sheetData>
      <sheetData sheetId="9" refreshError="1">
        <row r="6">
          <cell r="C6">
            <v>0</v>
          </cell>
        </row>
        <row r="20">
          <cell r="E20">
            <v>0</v>
          </cell>
          <cell r="F20">
            <v>0</v>
          </cell>
        </row>
      </sheetData>
      <sheetData sheetId="10">
        <row r="6">
          <cell r="C6">
            <v>0</v>
          </cell>
        </row>
      </sheetData>
      <sheetData sheetId="11" refreshError="1">
        <row r="6">
          <cell r="C6">
            <v>0</v>
          </cell>
        </row>
        <row r="10">
          <cell r="B10">
            <v>0</v>
          </cell>
        </row>
      </sheetData>
      <sheetData sheetId="12">
        <row r="6">
          <cell r="C6">
            <v>0</v>
          </cell>
        </row>
      </sheetData>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ow r="10">
          <cell r="C10" t="str">
            <v>衍生金融资产</v>
          </cell>
        </row>
      </sheetData>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ow r="6">
          <cell r="F6">
            <v>5000</v>
          </cell>
        </row>
      </sheetData>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row r="24">
          <cell r="B24">
            <v>0</v>
          </cell>
        </row>
      </sheetData>
      <sheetData sheetId="2966">
        <row r="6">
          <cell r="C6">
            <v>0</v>
          </cell>
        </row>
      </sheetData>
      <sheetData sheetId="2967">
        <row r="24">
          <cell r="B24">
            <v>0</v>
          </cell>
        </row>
      </sheetData>
      <sheetData sheetId="2968">
        <row r="6">
          <cell r="C6">
            <v>0</v>
          </cell>
        </row>
      </sheetData>
      <sheetData sheetId="2969">
        <row r="6">
          <cell r="C6">
            <v>0</v>
          </cell>
        </row>
      </sheetData>
      <sheetData sheetId="2970">
        <row r="6">
          <cell r="C6">
            <v>0</v>
          </cell>
        </row>
      </sheetData>
      <sheetData sheetId="2971">
        <row r="6">
          <cell r="C6">
            <v>0</v>
          </cell>
        </row>
      </sheetData>
      <sheetData sheetId="2972">
        <row r="6">
          <cell r="C6">
            <v>0</v>
          </cell>
        </row>
      </sheetData>
      <sheetData sheetId="2973">
        <row r="6">
          <cell r="C6">
            <v>0</v>
          </cell>
        </row>
      </sheetData>
      <sheetData sheetId="2974">
        <row r="6">
          <cell r="C6">
            <v>0</v>
          </cell>
        </row>
      </sheetData>
      <sheetData sheetId="2975">
        <row r="6">
          <cell r="C6">
            <v>0</v>
          </cell>
        </row>
      </sheetData>
      <sheetData sheetId="2976">
        <row r="24">
          <cell r="B24">
            <v>0</v>
          </cell>
        </row>
      </sheetData>
      <sheetData sheetId="2977">
        <row r="6">
          <cell r="C6">
            <v>0</v>
          </cell>
        </row>
      </sheetData>
      <sheetData sheetId="2978">
        <row r="24">
          <cell r="B24">
            <v>0</v>
          </cell>
        </row>
      </sheetData>
      <sheetData sheetId="2979">
        <row r="6">
          <cell r="C6">
            <v>0</v>
          </cell>
        </row>
      </sheetData>
      <sheetData sheetId="2980"/>
      <sheetData sheetId="2981"/>
      <sheetData sheetId="2982"/>
      <sheetData sheetId="2983"/>
      <sheetData sheetId="2984"/>
      <sheetData sheetId="2985"/>
      <sheetData sheetId="2986"/>
      <sheetData sheetId="2987"/>
      <sheetData sheetId="2988">
        <row r="6">
          <cell r="C6">
            <v>0</v>
          </cell>
        </row>
      </sheetData>
      <sheetData sheetId="2989">
        <row r="6">
          <cell r="C6">
            <v>0</v>
          </cell>
        </row>
      </sheetData>
      <sheetData sheetId="2990">
        <row r="6">
          <cell r="C6">
            <v>0</v>
          </cell>
        </row>
      </sheetData>
      <sheetData sheetId="2991">
        <row r="6">
          <cell r="C6">
            <v>0</v>
          </cell>
        </row>
      </sheetData>
      <sheetData sheetId="2992">
        <row r="6">
          <cell r="C6">
            <v>0</v>
          </cell>
        </row>
      </sheetData>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row r="24">
          <cell r="B24">
            <v>0</v>
          </cell>
        </row>
      </sheetData>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row r="24">
          <cell r="B24">
            <v>0</v>
          </cell>
        </row>
      </sheetData>
      <sheetData sheetId="3029"/>
      <sheetData sheetId="3030">
        <row r="24">
          <cell r="B24">
            <v>0</v>
          </cell>
        </row>
      </sheetData>
      <sheetData sheetId="3031"/>
      <sheetData sheetId="3032">
        <row r="24">
          <cell r="B24">
            <v>0</v>
          </cell>
        </row>
      </sheetData>
      <sheetData sheetId="3033"/>
      <sheetData sheetId="3034"/>
      <sheetData sheetId="3035">
        <row r="10">
          <cell r="B10">
            <v>0</v>
          </cell>
        </row>
      </sheetData>
      <sheetData sheetId="3036">
        <row r="24">
          <cell r="B24">
            <v>0</v>
          </cell>
        </row>
      </sheetData>
      <sheetData sheetId="3037"/>
      <sheetData sheetId="3038"/>
      <sheetData sheetId="3039">
        <row r="24">
          <cell r="B24">
            <v>0</v>
          </cell>
        </row>
      </sheetData>
      <sheetData sheetId="3040">
        <row r="24">
          <cell r="B24">
            <v>0</v>
          </cell>
        </row>
      </sheetData>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row r="6">
          <cell r="C6">
            <v>0</v>
          </cell>
        </row>
      </sheetData>
      <sheetData sheetId="3054">
        <row r="6">
          <cell r="C6">
            <v>0</v>
          </cell>
        </row>
      </sheetData>
      <sheetData sheetId="3055"/>
      <sheetData sheetId="3056"/>
      <sheetData sheetId="3057"/>
      <sheetData sheetId="3058"/>
      <sheetData sheetId="3059"/>
      <sheetData sheetId="3060"/>
      <sheetData sheetId="3061"/>
      <sheetData sheetId="3062"/>
      <sheetData sheetId="3063"/>
      <sheetData sheetId="3064">
        <row r="24">
          <cell r="B24">
            <v>0</v>
          </cell>
        </row>
      </sheetData>
      <sheetData sheetId="3065"/>
      <sheetData sheetId="3066"/>
      <sheetData sheetId="3067"/>
      <sheetData sheetId="3068"/>
      <sheetData sheetId="3069"/>
      <sheetData sheetId="3070">
        <row r="24">
          <cell r="B24">
            <v>0</v>
          </cell>
        </row>
      </sheetData>
      <sheetData sheetId="3071"/>
      <sheetData sheetId="3072">
        <row r="24">
          <cell r="B24">
            <v>0</v>
          </cell>
        </row>
      </sheetData>
      <sheetData sheetId="3073">
        <row r="6">
          <cell r="C6">
            <v>0</v>
          </cell>
        </row>
      </sheetData>
      <sheetData sheetId="3074">
        <row r="10">
          <cell r="C10" t="str">
            <v>衍生金融资产</v>
          </cell>
        </row>
      </sheetData>
      <sheetData sheetId="3075"/>
      <sheetData sheetId="3076"/>
      <sheetData sheetId="3077">
        <row r="6">
          <cell r="C6">
            <v>0</v>
          </cell>
        </row>
      </sheetData>
      <sheetData sheetId="3078">
        <row r="6">
          <cell r="C6">
            <v>0</v>
          </cell>
        </row>
      </sheetData>
      <sheetData sheetId="3079"/>
      <sheetData sheetId="3080"/>
      <sheetData sheetId="3081"/>
      <sheetData sheetId="3082">
        <row r="6">
          <cell r="C6">
            <v>0</v>
          </cell>
        </row>
      </sheetData>
      <sheetData sheetId="3083">
        <row r="24">
          <cell r="B24">
            <v>0</v>
          </cell>
        </row>
      </sheetData>
      <sheetData sheetId="3084"/>
      <sheetData sheetId="3085"/>
      <sheetData sheetId="3086"/>
      <sheetData sheetId="3087">
        <row r="24">
          <cell r="B24">
            <v>0</v>
          </cell>
        </row>
      </sheetData>
      <sheetData sheetId="3088"/>
      <sheetData sheetId="3089"/>
      <sheetData sheetId="3090"/>
      <sheetData sheetId="3091">
        <row r="24">
          <cell r="B24">
            <v>0</v>
          </cell>
        </row>
      </sheetData>
      <sheetData sheetId="3092"/>
      <sheetData sheetId="3093">
        <row r="6">
          <cell r="C6">
            <v>0</v>
          </cell>
        </row>
      </sheetData>
      <sheetData sheetId="3094">
        <row r="6">
          <cell r="C6">
            <v>0</v>
          </cell>
        </row>
      </sheetData>
      <sheetData sheetId="3095">
        <row r="6">
          <cell r="C6">
            <v>0</v>
          </cell>
        </row>
      </sheetData>
      <sheetData sheetId="3096">
        <row r="6">
          <cell r="C6">
            <v>0</v>
          </cell>
        </row>
      </sheetData>
      <sheetData sheetId="3097">
        <row r="6">
          <cell r="C6">
            <v>0</v>
          </cell>
        </row>
      </sheetData>
      <sheetData sheetId="3098">
        <row r="6">
          <cell r="C6">
            <v>0</v>
          </cell>
        </row>
      </sheetData>
      <sheetData sheetId="3099">
        <row r="6">
          <cell r="C6">
            <v>0</v>
          </cell>
        </row>
      </sheetData>
      <sheetData sheetId="3100">
        <row r="6">
          <cell r="C6">
            <v>0</v>
          </cell>
        </row>
      </sheetData>
      <sheetData sheetId="3101">
        <row r="6">
          <cell r="C6">
            <v>0</v>
          </cell>
        </row>
      </sheetData>
      <sheetData sheetId="3102">
        <row r="6">
          <cell r="C6">
            <v>0</v>
          </cell>
        </row>
      </sheetData>
      <sheetData sheetId="3103">
        <row r="24">
          <cell r="B24">
            <v>0</v>
          </cell>
        </row>
      </sheetData>
      <sheetData sheetId="3104">
        <row r="24">
          <cell r="B24">
            <v>0</v>
          </cell>
        </row>
      </sheetData>
      <sheetData sheetId="3105">
        <row r="6">
          <cell r="C6">
            <v>0</v>
          </cell>
        </row>
      </sheetData>
      <sheetData sheetId="3106">
        <row r="6">
          <cell r="C6">
            <v>0</v>
          </cell>
        </row>
      </sheetData>
      <sheetData sheetId="3107">
        <row r="6">
          <cell r="C6">
            <v>0</v>
          </cell>
        </row>
      </sheetData>
      <sheetData sheetId="3108">
        <row r="6">
          <cell r="C6">
            <v>0</v>
          </cell>
        </row>
      </sheetData>
      <sheetData sheetId="3109">
        <row r="6">
          <cell r="C6">
            <v>0</v>
          </cell>
        </row>
      </sheetData>
      <sheetData sheetId="3110">
        <row r="6">
          <cell r="C6">
            <v>0</v>
          </cell>
        </row>
      </sheetData>
      <sheetData sheetId="3111">
        <row r="6">
          <cell r="C6">
            <v>0</v>
          </cell>
        </row>
      </sheetData>
      <sheetData sheetId="3112">
        <row r="24">
          <cell r="B24">
            <v>0</v>
          </cell>
        </row>
      </sheetData>
      <sheetData sheetId="3113">
        <row r="6">
          <cell r="C6">
            <v>0</v>
          </cell>
        </row>
      </sheetData>
      <sheetData sheetId="3114">
        <row r="24">
          <cell r="B24">
            <v>0</v>
          </cell>
        </row>
      </sheetData>
      <sheetData sheetId="3115">
        <row r="24">
          <cell r="B24">
            <v>0</v>
          </cell>
        </row>
      </sheetData>
      <sheetData sheetId="3116">
        <row r="24">
          <cell r="B24">
            <v>0</v>
          </cell>
        </row>
      </sheetData>
      <sheetData sheetId="3117">
        <row r="6">
          <cell r="C6">
            <v>0</v>
          </cell>
        </row>
      </sheetData>
      <sheetData sheetId="3118">
        <row r="24">
          <cell r="B24">
            <v>0</v>
          </cell>
        </row>
      </sheetData>
      <sheetData sheetId="3119">
        <row r="24">
          <cell r="B24">
            <v>0</v>
          </cell>
        </row>
      </sheetData>
      <sheetData sheetId="3120">
        <row r="24">
          <cell r="B24">
            <v>0</v>
          </cell>
        </row>
      </sheetData>
      <sheetData sheetId="3121">
        <row r="6">
          <cell r="C6">
            <v>13428470678.063999</v>
          </cell>
        </row>
      </sheetData>
      <sheetData sheetId="3122">
        <row r="24">
          <cell r="B24">
            <v>0</v>
          </cell>
        </row>
      </sheetData>
      <sheetData sheetId="3123">
        <row r="6">
          <cell r="C6">
            <v>0</v>
          </cell>
        </row>
      </sheetData>
      <sheetData sheetId="3124">
        <row r="6">
          <cell r="C6">
            <v>13428470678.063999</v>
          </cell>
        </row>
      </sheetData>
      <sheetData sheetId="3125">
        <row r="6">
          <cell r="C6">
            <v>13428470678.063999</v>
          </cell>
        </row>
      </sheetData>
      <sheetData sheetId="3126">
        <row r="24">
          <cell r="B24">
            <v>0</v>
          </cell>
        </row>
      </sheetData>
      <sheetData sheetId="3127">
        <row r="24">
          <cell r="B24">
            <v>0</v>
          </cell>
        </row>
      </sheetData>
      <sheetData sheetId="3128">
        <row r="24">
          <cell r="B24">
            <v>0</v>
          </cell>
        </row>
      </sheetData>
      <sheetData sheetId="3129">
        <row r="6">
          <cell r="C6">
            <v>13428470678.063999</v>
          </cell>
        </row>
      </sheetData>
      <sheetData sheetId="3130">
        <row r="6">
          <cell r="C6">
            <v>13428470678.063999</v>
          </cell>
        </row>
      </sheetData>
      <sheetData sheetId="3131"/>
      <sheetData sheetId="3132">
        <row r="6">
          <cell r="C6">
            <v>13428470678.063999</v>
          </cell>
        </row>
      </sheetData>
      <sheetData sheetId="3133"/>
      <sheetData sheetId="3134"/>
      <sheetData sheetId="3135"/>
      <sheetData sheetId="3136"/>
      <sheetData sheetId="3137">
        <row r="24">
          <cell r="B24">
            <v>0</v>
          </cell>
        </row>
      </sheetData>
      <sheetData sheetId="3138"/>
      <sheetData sheetId="3139">
        <row r="24">
          <cell r="B24">
            <v>0</v>
          </cell>
        </row>
      </sheetData>
      <sheetData sheetId="3140"/>
      <sheetData sheetId="3141">
        <row r="24">
          <cell r="B24">
            <v>0</v>
          </cell>
        </row>
      </sheetData>
      <sheetData sheetId="3142"/>
      <sheetData sheetId="3143">
        <row r="24">
          <cell r="B24">
            <v>0</v>
          </cell>
        </row>
      </sheetData>
      <sheetData sheetId="3144">
        <row r="10">
          <cell r="B10">
            <v>0</v>
          </cell>
        </row>
      </sheetData>
      <sheetData sheetId="3145">
        <row r="24">
          <cell r="B24">
            <v>0</v>
          </cell>
        </row>
      </sheetData>
      <sheetData sheetId="3146">
        <row r="24">
          <cell r="B24">
            <v>0</v>
          </cell>
        </row>
      </sheetData>
      <sheetData sheetId="3147"/>
      <sheetData sheetId="3148"/>
      <sheetData sheetId="3149">
        <row r="24">
          <cell r="B24">
            <v>0</v>
          </cell>
        </row>
      </sheetData>
      <sheetData sheetId="3150">
        <row r="10">
          <cell r="B10">
            <v>0</v>
          </cell>
        </row>
      </sheetData>
      <sheetData sheetId="3151">
        <row r="24">
          <cell r="B24">
            <v>0</v>
          </cell>
        </row>
      </sheetData>
      <sheetData sheetId="3152">
        <row r="24">
          <cell r="B24">
            <v>0</v>
          </cell>
        </row>
      </sheetData>
      <sheetData sheetId="3153"/>
      <sheetData sheetId="3154"/>
      <sheetData sheetId="3155"/>
      <sheetData sheetId="3156"/>
      <sheetData sheetId="3157"/>
      <sheetData sheetId="3158"/>
      <sheetData sheetId="3159"/>
      <sheetData sheetId="3160"/>
      <sheetData sheetId="3161">
        <row r="6">
          <cell r="C6">
            <v>0</v>
          </cell>
        </row>
      </sheetData>
      <sheetData sheetId="3162">
        <row r="6">
          <cell r="C6">
            <v>0</v>
          </cell>
        </row>
      </sheetData>
      <sheetData sheetId="3163"/>
      <sheetData sheetId="3164"/>
      <sheetData sheetId="3165">
        <row r="6">
          <cell r="C6">
            <v>0</v>
          </cell>
        </row>
      </sheetData>
      <sheetData sheetId="3166">
        <row r="6">
          <cell r="C6">
            <v>0</v>
          </cell>
        </row>
      </sheetData>
      <sheetData sheetId="3167"/>
      <sheetData sheetId="3168"/>
      <sheetData sheetId="3169">
        <row r="24">
          <cell r="B24">
            <v>0</v>
          </cell>
        </row>
      </sheetData>
      <sheetData sheetId="3170"/>
      <sheetData sheetId="3171"/>
      <sheetData sheetId="3172"/>
      <sheetData sheetId="3173">
        <row r="24">
          <cell r="B24">
            <v>0</v>
          </cell>
        </row>
      </sheetData>
      <sheetData sheetId="3174"/>
      <sheetData sheetId="3175"/>
      <sheetData sheetId="3176"/>
      <sheetData sheetId="3177">
        <row r="24">
          <cell r="B24">
            <v>0</v>
          </cell>
        </row>
      </sheetData>
      <sheetData sheetId="3178"/>
      <sheetData sheetId="3179">
        <row r="24">
          <cell r="B24">
            <v>0</v>
          </cell>
        </row>
      </sheetData>
      <sheetData sheetId="3180"/>
      <sheetData sheetId="3181">
        <row r="24">
          <cell r="B24">
            <v>0</v>
          </cell>
        </row>
      </sheetData>
      <sheetData sheetId="3182"/>
      <sheetData sheetId="3183">
        <row r="24">
          <cell r="B24">
            <v>0</v>
          </cell>
        </row>
      </sheetData>
      <sheetData sheetId="3184"/>
      <sheetData sheetId="3185">
        <row r="24">
          <cell r="B24">
            <v>0</v>
          </cell>
        </row>
      </sheetData>
      <sheetData sheetId="3186">
        <row r="10">
          <cell r="B10">
            <v>0</v>
          </cell>
        </row>
      </sheetData>
      <sheetData sheetId="3187">
        <row r="24">
          <cell r="B24">
            <v>0</v>
          </cell>
        </row>
      </sheetData>
      <sheetData sheetId="3188"/>
      <sheetData sheetId="3189"/>
      <sheetData sheetId="3190">
        <row r="10">
          <cell r="B10">
            <v>0</v>
          </cell>
        </row>
      </sheetData>
      <sheetData sheetId="3191">
        <row r="24">
          <cell r="B24">
            <v>0</v>
          </cell>
        </row>
      </sheetData>
      <sheetData sheetId="3192">
        <row r="24">
          <cell r="B24">
            <v>0</v>
          </cell>
        </row>
      </sheetData>
      <sheetData sheetId="3193"/>
      <sheetData sheetId="3194"/>
      <sheetData sheetId="3195"/>
      <sheetData sheetId="3196"/>
      <sheetData sheetId="3197"/>
      <sheetData sheetId="3198"/>
      <sheetData sheetId="3199"/>
      <sheetData sheetId="3200"/>
      <sheetData sheetId="3201"/>
      <sheetData sheetId="3202"/>
      <sheetData sheetId="3203"/>
      <sheetData sheetId="3204">
        <row r="6">
          <cell r="C6">
            <v>0</v>
          </cell>
        </row>
      </sheetData>
      <sheetData sheetId="3205">
        <row r="6">
          <cell r="C6">
            <v>0</v>
          </cell>
        </row>
      </sheetData>
      <sheetData sheetId="3206"/>
      <sheetData sheetId="3207">
        <row r="24">
          <cell r="B24">
            <v>0</v>
          </cell>
        </row>
      </sheetData>
      <sheetData sheetId="3208">
        <row r="6">
          <cell r="C6">
            <v>0</v>
          </cell>
        </row>
      </sheetData>
      <sheetData sheetId="3209">
        <row r="6">
          <cell r="C6">
            <v>0</v>
          </cell>
        </row>
      </sheetData>
      <sheetData sheetId="3210">
        <row r="6">
          <cell r="C6">
            <v>13428470678.063999</v>
          </cell>
        </row>
      </sheetData>
      <sheetData sheetId="3211">
        <row r="6">
          <cell r="C6">
            <v>13428470678.063999</v>
          </cell>
        </row>
      </sheetData>
      <sheetData sheetId="3212"/>
      <sheetData sheetId="3213">
        <row r="6">
          <cell r="C6">
            <v>13428470678.063999</v>
          </cell>
        </row>
      </sheetData>
      <sheetData sheetId="3214">
        <row r="6">
          <cell r="C6">
            <v>13428470678.063999</v>
          </cell>
        </row>
      </sheetData>
      <sheetData sheetId="3215">
        <row r="6">
          <cell r="C6">
            <v>13428470678.063999</v>
          </cell>
        </row>
      </sheetData>
      <sheetData sheetId="3216"/>
      <sheetData sheetId="3217"/>
      <sheetData sheetId="3218"/>
      <sheetData sheetId="3219">
        <row r="24">
          <cell r="B24">
            <v>0</v>
          </cell>
        </row>
      </sheetData>
      <sheetData sheetId="3220">
        <row r="6">
          <cell r="C6">
            <v>0</v>
          </cell>
        </row>
      </sheetData>
      <sheetData sheetId="3221">
        <row r="6">
          <cell r="C6">
            <v>0</v>
          </cell>
        </row>
      </sheetData>
      <sheetData sheetId="3222">
        <row r="6">
          <cell r="C6">
            <v>0</v>
          </cell>
        </row>
      </sheetData>
      <sheetData sheetId="3223">
        <row r="6">
          <cell r="C6">
            <v>0</v>
          </cell>
        </row>
      </sheetData>
      <sheetData sheetId="3224">
        <row r="6">
          <cell r="C6">
            <v>0</v>
          </cell>
        </row>
      </sheetData>
      <sheetData sheetId="3225">
        <row r="6">
          <cell r="C6">
            <v>0</v>
          </cell>
        </row>
      </sheetData>
      <sheetData sheetId="3226">
        <row r="6">
          <cell r="C6">
            <v>0</v>
          </cell>
        </row>
      </sheetData>
      <sheetData sheetId="3227">
        <row r="6">
          <cell r="C6">
            <v>0</v>
          </cell>
        </row>
      </sheetData>
      <sheetData sheetId="3228">
        <row r="6">
          <cell r="C6">
            <v>0</v>
          </cell>
        </row>
      </sheetData>
      <sheetData sheetId="3229">
        <row r="6">
          <cell r="C6">
            <v>0</v>
          </cell>
        </row>
      </sheetData>
      <sheetData sheetId="3230">
        <row r="24">
          <cell r="B24">
            <v>0</v>
          </cell>
        </row>
      </sheetData>
      <sheetData sheetId="3231">
        <row r="6">
          <cell r="C6">
            <v>0</v>
          </cell>
        </row>
      </sheetData>
      <sheetData sheetId="3232">
        <row r="24">
          <cell r="B24">
            <v>0</v>
          </cell>
        </row>
      </sheetData>
      <sheetData sheetId="3233">
        <row r="6">
          <cell r="C6">
            <v>0</v>
          </cell>
        </row>
      </sheetData>
      <sheetData sheetId="3234">
        <row r="24">
          <cell r="B24">
            <v>0</v>
          </cell>
        </row>
      </sheetData>
      <sheetData sheetId="3235">
        <row r="6">
          <cell r="C6">
            <v>0</v>
          </cell>
        </row>
      </sheetData>
      <sheetData sheetId="3236">
        <row r="6">
          <cell r="C6">
            <v>0</v>
          </cell>
        </row>
      </sheetData>
      <sheetData sheetId="3237">
        <row r="6">
          <cell r="C6">
            <v>0</v>
          </cell>
        </row>
      </sheetData>
      <sheetData sheetId="3238">
        <row r="24">
          <cell r="B24">
            <v>0</v>
          </cell>
        </row>
      </sheetData>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row r="6">
          <cell r="C6">
            <v>0</v>
          </cell>
        </row>
      </sheetData>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ow r="6">
          <cell r="C6">
            <v>4192.2448939999995</v>
          </cell>
        </row>
      </sheetData>
      <sheetData sheetId="3614"/>
      <sheetData sheetId="3615">
        <row r="6">
          <cell r="C6">
            <v>4192.2448939999995</v>
          </cell>
        </row>
      </sheetData>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ow r="24">
          <cell r="B24">
            <v>0</v>
          </cell>
        </row>
      </sheetData>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ow r="24">
          <cell r="B24">
            <v>0</v>
          </cell>
        </row>
      </sheetData>
      <sheetData sheetId="3689">
        <row r="6">
          <cell r="C6">
            <v>0</v>
          </cell>
        </row>
      </sheetData>
      <sheetData sheetId="3690">
        <row r="24">
          <cell r="B24">
            <v>0</v>
          </cell>
        </row>
      </sheetData>
      <sheetData sheetId="3691">
        <row r="6">
          <cell r="C6">
            <v>0</v>
          </cell>
        </row>
      </sheetData>
      <sheetData sheetId="3692">
        <row r="6">
          <cell r="C6">
            <v>0</v>
          </cell>
        </row>
      </sheetData>
      <sheetData sheetId="3693">
        <row r="6">
          <cell r="C6">
            <v>0</v>
          </cell>
        </row>
      </sheetData>
      <sheetData sheetId="3694">
        <row r="6">
          <cell r="C6">
            <v>0</v>
          </cell>
        </row>
      </sheetData>
      <sheetData sheetId="3695">
        <row r="6">
          <cell r="C6">
            <v>0</v>
          </cell>
        </row>
      </sheetData>
      <sheetData sheetId="3696">
        <row r="6">
          <cell r="C6">
            <v>0</v>
          </cell>
        </row>
      </sheetData>
      <sheetData sheetId="3697">
        <row r="6">
          <cell r="C6">
            <v>0</v>
          </cell>
        </row>
      </sheetData>
      <sheetData sheetId="3698">
        <row r="6">
          <cell r="C6">
            <v>0</v>
          </cell>
        </row>
      </sheetData>
      <sheetData sheetId="3699">
        <row r="6">
          <cell r="C6">
            <v>0</v>
          </cell>
        </row>
      </sheetData>
      <sheetData sheetId="3700">
        <row r="6">
          <cell r="C6">
            <v>0</v>
          </cell>
        </row>
      </sheetData>
      <sheetData sheetId="3701">
        <row r="24">
          <cell r="B24">
            <v>0</v>
          </cell>
        </row>
      </sheetData>
      <sheetData sheetId="3702">
        <row r="6">
          <cell r="C6">
            <v>0</v>
          </cell>
        </row>
      </sheetData>
      <sheetData sheetId="3703">
        <row r="24">
          <cell r="B24">
            <v>0</v>
          </cell>
        </row>
      </sheetData>
      <sheetData sheetId="3704">
        <row r="6">
          <cell r="C6">
            <v>13428470678.063999</v>
          </cell>
        </row>
      </sheetData>
      <sheetData sheetId="3705">
        <row r="6">
          <cell r="C6">
            <v>0</v>
          </cell>
        </row>
      </sheetData>
      <sheetData sheetId="3706">
        <row r="6">
          <cell r="C6">
            <v>0</v>
          </cell>
        </row>
      </sheetData>
      <sheetData sheetId="3707">
        <row r="6">
          <cell r="C6">
            <v>13428470678.063999</v>
          </cell>
        </row>
      </sheetData>
      <sheetData sheetId="3708">
        <row r="6">
          <cell r="C6">
            <v>0</v>
          </cell>
        </row>
      </sheetData>
      <sheetData sheetId="3709">
        <row r="24">
          <cell r="B24">
            <v>0</v>
          </cell>
        </row>
      </sheetData>
      <sheetData sheetId="3710">
        <row r="6">
          <cell r="C6">
            <v>13428470678.063999</v>
          </cell>
        </row>
      </sheetData>
      <sheetData sheetId="3711">
        <row r="6">
          <cell r="C6">
            <v>13428470678.063999</v>
          </cell>
        </row>
      </sheetData>
      <sheetData sheetId="3712">
        <row r="24">
          <cell r="B24">
            <v>0</v>
          </cell>
        </row>
      </sheetData>
      <sheetData sheetId="3713">
        <row r="24">
          <cell r="B24">
            <v>0</v>
          </cell>
        </row>
      </sheetData>
      <sheetData sheetId="3714">
        <row r="6">
          <cell r="C6">
            <v>0</v>
          </cell>
        </row>
      </sheetData>
      <sheetData sheetId="3715">
        <row r="10">
          <cell r="C10" t="str">
            <v>衍生金融资产</v>
          </cell>
        </row>
      </sheetData>
      <sheetData sheetId="3716">
        <row r="24">
          <cell r="B24">
            <v>0</v>
          </cell>
        </row>
      </sheetData>
      <sheetData sheetId="3717">
        <row r="24">
          <cell r="B24">
            <v>0</v>
          </cell>
        </row>
      </sheetData>
      <sheetData sheetId="3718">
        <row r="6">
          <cell r="C6">
            <v>0</v>
          </cell>
        </row>
      </sheetData>
      <sheetData sheetId="3719">
        <row r="24">
          <cell r="B24">
            <v>0</v>
          </cell>
        </row>
      </sheetData>
      <sheetData sheetId="3720">
        <row r="6">
          <cell r="C6">
            <v>0</v>
          </cell>
        </row>
      </sheetData>
      <sheetData sheetId="3721">
        <row r="24">
          <cell r="B24">
            <v>0</v>
          </cell>
        </row>
      </sheetData>
      <sheetData sheetId="3722">
        <row r="6">
          <cell r="C6">
            <v>0</v>
          </cell>
        </row>
      </sheetData>
      <sheetData sheetId="3723">
        <row r="6">
          <cell r="C6">
            <v>0</v>
          </cell>
        </row>
      </sheetData>
      <sheetData sheetId="3724">
        <row r="6">
          <cell r="C6">
            <v>0</v>
          </cell>
        </row>
      </sheetData>
      <sheetData sheetId="3725">
        <row r="6">
          <cell r="C6">
            <v>0</v>
          </cell>
        </row>
      </sheetData>
      <sheetData sheetId="3726">
        <row r="6">
          <cell r="C6">
            <v>0</v>
          </cell>
        </row>
      </sheetData>
      <sheetData sheetId="3727">
        <row r="6">
          <cell r="C6">
            <v>0</v>
          </cell>
        </row>
      </sheetData>
      <sheetData sheetId="3728">
        <row r="6">
          <cell r="C6">
            <v>0</v>
          </cell>
        </row>
      </sheetData>
      <sheetData sheetId="3729">
        <row r="6">
          <cell r="C6">
            <v>0</v>
          </cell>
        </row>
      </sheetData>
      <sheetData sheetId="3730">
        <row r="6">
          <cell r="C6">
            <v>0</v>
          </cell>
        </row>
      </sheetData>
      <sheetData sheetId="3731">
        <row r="6">
          <cell r="C6">
            <v>0</v>
          </cell>
        </row>
      </sheetData>
      <sheetData sheetId="3732">
        <row r="6">
          <cell r="C6">
            <v>0</v>
          </cell>
        </row>
      </sheetData>
      <sheetData sheetId="3733">
        <row r="6">
          <cell r="C6">
            <v>0</v>
          </cell>
        </row>
      </sheetData>
      <sheetData sheetId="3734">
        <row r="6">
          <cell r="C6">
            <v>0</v>
          </cell>
        </row>
      </sheetData>
      <sheetData sheetId="3735">
        <row r="6">
          <cell r="C6">
            <v>0</v>
          </cell>
        </row>
      </sheetData>
      <sheetData sheetId="3736">
        <row r="24">
          <cell r="B24">
            <v>0</v>
          </cell>
        </row>
      </sheetData>
      <sheetData sheetId="3737">
        <row r="6">
          <cell r="C6">
            <v>0</v>
          </cell>
        </row>
      </sheetData>
      <sheetData sheetId="3738">
        <row r="24">
          <cell r="B24">
            <v>0</v>
          </cell>
        </row>
      </sheetData>
      <sheetData sheetId="3739">
        <row r="24">
          <cell r="B24">
            <v>0</v>
          </cell>
        </row>
      </sheetData>
      <sheetData sheetId="3740">
        <row r="24">
          <cell r="B24">
            <v>0</v>
          </cell>
        </row>
      </sheetData>
      <sheetData sheetId="3741"/>
      <sheetData sheetId="3742">
        <row r="24">
          <cell r="B24">
            <v>0</v>
          </cell>
        </row>
      </sheetData>
      <sheetData sheetId="3743">
        <row r="6">
          <cell r="C6">
            <v>0</v>
          </cell>
        </row>
      </sheetData>
      <sheetData sheetId="3744">
        <row r="24">
          <cell r="B24">
            <v>0</v>
          </cell>
        </row>
      </sheetData>
      <sheetData sheetId="3745">
        <row r="6">
          <cell r="C6">
            <v>0</v>
          </cell>
        </row>
      </sheetData>
      <sheetData sheetId="3746">
        <row r="6">
          <cell r="C6">
            <v>0</v>
          </cell>
        </row>
      </sheetData>
      <sheetData sheetId="3747">
        <row r="6">
          <cell r="C6">
            <v>0</v>
          </cell>
        </row>
      </sheetData>
      <sheetData sheetId="3748">
        <row r="6">
          <cell r="C6">
            <v>0</v>
          </cell>
        </row>
      </sheetData>
      <sheetData sheetId="3749">
        <row r="6">
          <cell r="C6">
            <v>0</v>
          </cell>
        </row>
      </sheetData>
      <sheetData sheetId="3750">
        <row r="6">
          <cell r="C6">
            <v>0</v>
          </cell>
        </row>
      </sheetData>
      <sheetData sheetId="3751">
        <row r="6">
          <cell r="C6">
            <v>0</v>
          </cell>
        </row>
      </sheetData>
      <sheetData sheetId="3752">
        <row r="6">
          <cell r="C6">
            <v>0</v>
          </cell>
        </row>
      </sheetData>
      <sheetData sheetId="3753">
        <row r="6">
          <cell r="C6">
            <v>0</v>
          </cell>
        </row>
      </sheetData>
      <sheetData sheetId="3754">
        <row r="6">
          <cell r="C6">
            <v>0</v>
          </cell>
        </row>
      </sheetData>
      <sheetData sheetId="3755">
        <row r="6">
          <cell r="C6">
            <v>0</v>
          </cell>
        </row>
      </sheetData>
      <sheetData sheetId="3756">
        <row r="6">
          <cell r="C6">
            <v>0</v>
          </cell>
        </row>
      </sheetData>
      <sheetData sheetId="3757">
        <row r="6">
          <cell r="C6">
            <v>0</v>
          </cell>
        </row>
      </sheetData>
      <sheetData sheetId="3758">
        <row r="6">
          <cell r="C6">
            <v>0</v>
          </cell>
        </row>
      </sheetData>
      <sheetData sheetId="3759">
        <row r="24">
          <cell r="B24">
            <v>0</v>
          </cell>
        </row>
      </sheetData>
      <sheetData sheetId="3760">
        <row r="6">
          <cell r="C6">
            <v>0</v>
          </cell>
        </row>
      </sheetData>
      <sheetData sheetId="3761">
        <row r="24">
          <cell r="B24">
            <v>0</v>
          </cell>
        </row>
      </sheetData>
      <sheetData sheetId="3762">
        <row r="24">
          <cell r="B24">
            <v>0</v>
          </cell>
        </row>
      </sheetData>
      <sheetData sheetId="3763">
        <row r="24">
          <cell r="B24">
            <v>0</v>
          </cell>
        </row>
      </sheetData>
      <sheetData sheetId="3764">
        <row r="6">
          <cell r="C6">
            <v>13428470678.063999</v>
          </cell>
        </row>
      </sheetData>
      <sheetData sheetId="3765">
        <row r="24">
          <cell r="B24">
            <v>0</v>
          </cell>
        </row>
      </sheetData>
      <sheetData sheetId="3766">
        <row r="24">
          <cell r="B24">
            <v>0</v>
          </cell>
        </row>
      </sheetData>
      <sheetData sheetId="3767">
        <row r="24">
          <cell r="B24">
            <v>0</v>
          </cell>
        </row>
      </sheetData>
      <sheetData sheetId="3768">
        <row r="6">
          <cell r="C6">
            <v>13428470678.063999</v>
          </cell>
        </row>
      </sheetData>
      <sheetData sheetId="3769">
        <row r="24">
          <cell r="B24">
            <v>0</v>
          </cell>
        </row>
      </sheetData>
      <sheetData sheetId="3770">
        <row r="24">
          <cell r="B24">
            <v>0</v>
          </cell>
        </row>
      </sheetData>
      <sheetData sheetId="3771">
        <row r="24">
          <cell r="B24">
            <v>0</v>
          </cell>
        </row>
      </sheetData>
      <sheetData sheetId="3772">
        <row r="10">
          <cell r="C10" t="str">
            <v>衍生金融资产</v>
          </cell>
        </row>
      </sheetData>
      <sheetData sheetId="3773">
        <row r="6">
          <cell r="C6">
            <v>0</v>
          </cell>
        </row>
      </sheetData>
      <sheetData sheetId="3774">
        <row r="24">
          <cell r="B24">
            <v>0</v>
          </cell>
        </row>
      </sheetData>
      <sheetData sheetId="3775">
        <row r="24">
          <cell r="B24">
            <v>0</v>
          </cell>
        </row>
      </sheetData>
      <sheetData sheetId="3776">
        <row r="24">
          <cell r="B24">
            <v>0</v>
          </cell>
        </row>
      </sheetData>
      <sheetData sheetId="3777">
        <row r="6">
          <cell r="C6">
            <v>0</v>
          </cell>
        </row>
      </sheetData>
      <sheetData sheetId="3778">
        <row r="6">
          <cell r="C6">
            <v>0</v>
          </cell>
        </row>
      </sheetData>
      <sheetData sheetId="3779">
        <row r="6">
          <cell r="C6">
            <v>0</v>
          </cell>
        </row>
      </sheetData>
      <sheetData sheetId="3780">
        <row r="6">
          <cell r="C6">
            <v>0</v>
          </cell>
        </row>
      </sheetData>
      <sheetData sheetId="3781">
        <row r="6">
          <cell r="C6">
            <v>0</v>
          </cell>
        </row>
      </sheetData>
      <sheetData sheetId="3782">
        <row r="6">
          <cell r="C6">
            <v>0</v>
          </cell>
        </row>
      </sheetData>
      <sheetData sheetId="3783">
        <row r="6">
          <cell r="C6">
            <v>0</v>
          </cell>
        </row>
      </sheetData>
      <sheetData sheetId="3784">
        <row r="6">
          <cell r="C6">
            <v>0</v>
          </cell>
        </row>
      </sheetData>
      <sheetData sheetId="3785">
        <row r="6">
          <cell r="C6">
            <v>0</v>
          </cell>
        </row>
      </sheetData>
      <sheetData sheetId="3786">
        <row r="6">
          <cell r="C6">
            <v>0</v>
          </cell>
        </row>
      </sheetData>
      <sheetData sheetId="3787">
        <row r="6">
          <cell r="C6">
            <v>0</v>
          </cell>
        </row>
      </sheetData>
      <sheetData sheetId="3788">
        <row r="6">
          <cell r="C6">
            <v>13428470678.063999</v>
          </cell>
        </row>
      </sheetData>
      <sheetData sheetId="3789">
        <row r="6">
          <cell r="C6">
            <v>0</v>
          </cell>
        </row>
      </sheetData>
      <sheetData sheetId="3790">
        <row r="6">
          <cell r="C6">
            <v>0</v>
          </cell>
        </row>
      </sheetData>
      <sheetData sheetId="3791">
        <row r="6">
          <cell r="C6">
            <v>0</v>
          </cell>
        </row>
      </sheetData>
      <sheetData sheetId="3792">
        <row r="6">
          <cell r="C6">
            <v>0</v>
          </cell>
        </row>
      </sheetData>
      <sheetData sheetId="3793">
        <row r="6">
          <cell r="C6">
            <v>0</v>
          </cell>
        </row>
      </sheetData>
      <sheetData sheetId="3794">
        <row r="6">
          <cell r="C6">
            <v>0</v>
          </cell>
        </row>
      </sheetData>
      <sheetData sheetId="3795">
        <row r="6">
          <cell r="C6">
            <v>0</v>
          </cell>
        </row>
      </sheetData>
      <sheetData sheetId="3796">
        <row r="6">
          <cell r="C6">
            <v>0</v>
          </cell>
        </row>
      </sheetData>
      <sheetData sheetId="3797">
        <row r="6">
          <cell r="C6">
            <v>0</v>
          </cell>
        </row>
      </sheetData>
      <sheetData sheetId="3798">
        <row r="6">
          <cell r="C6">
            <v>0</v>
          </cell>
        </row>
      </sheetData>
      <sheetData sheetId="3799">
        <row r="6">
          <cell r="C6">
            <v>0</v>
          </cell>
        </row>
      </sheetData>
      <sheetData sheetId="3800">
        <row r="6">
          <cell r="C6">
            <v>0</v>
          </cell>
        </row>
      </sheetData>
      <sheetData sheetId="3801">
        <row r="6">
          <cell r="C6">
            <v>13428470678.063999</v>
          </cell>
        </row>
      </sheetData>
      <sheetData sheetId="3802">
        <row r="6">
          <cell r="C6">
            <v>0</v>
          </cell>
        </row>
      </sheetData>
      <sheetData sheetId="3803">
        <row r="10">
          <cell r="C10" t="str">
            <v>衍生金融资产</v>
          </cell>
        </row>
      </sheetData>
      <sheetData sheetId="3804">
        <row r="6">
          <cell r="C6">
            <v>0</v>
          </cell>
        </row>
      </sheetData>
      <sheetData sheetId="3805">
        <row r="6">
          <cell r="C6">
            <v>13428470678.063999</v>
          </cell>
        </row>
      </sheetData>
      <sheetData sheetId="3806">
        <row r="6">
          <cell r="C6">
            <v>0</v>
          </cell>
        </row>
      </sheetData>
      <sheetData sheetId="3807">
        <row r="24">
          <cell r="B24">
            <v>0</v>
          </cell>
        </row>
      </sheetData>
      <sheetData sheetId="3808">
        <row r="6">
          <cell r="C6">
            <v>13428470678.063999</v>
          </cell>
        </row>
      </sheetData>
      <sheetData sheetId="3809">
        <row r="6">
          <cell r="C6">
            <v>13428470678.063999</v>
          </cell>
        </row>
      </sheetData>
      <sheetData sheetId="3810">
        <row r="6">
          <cell r="C6">
            <v>0</v>
          </cell>
        </row>
      </sheetData>
      <sheetData sheetId="3811">
        <row r="6">
          <cell r="C6">
            <v>13428470678.063999</v>
          </cell>
        </row>
      </sheetData>
      <sheetData sheetId="3812">
        <row r="6">
          <cell r="C6">
            <v>0</v>
          </cell>
        </row>
      </sheetData>
      <sheetData sheetId="3813">
        <row r="6">
          <cell r="C6">
            <v>0</v>
          </cell>
        </row>
      </sheetData>
      <sheetData sheetId="3814">
        <row r="6">
          <cell r="C6">
            <v>0</v>
          </cell>
        </row>
      </sheetData>
      <sheetData sheetId="3815">
        <row r="6">
          <cell r="C6">
            <v>0</v>
          </cell>
        </row>
      </sheetData>
      <sheetData sheetId="3816">
        <row r="6">
          <cell r="C6">
            <v>0</v>
          </cell>
        </row>
      </sheetData>
      <sheetData sheetId="3817">
        <row r="6">
          <cell r="C6">
            <v>0</v>
          </cell>
        </row>
      </sheetData>
      <sheetData sheetId="3818">
        <row r="6">
          <cell r="C6">
            <v>0</v>
          </cell>
        </row>
      </sheetData>
      <sheetData sheetId="3819">
        <row r="6">
          <cell r="C6">
            <v>0</v>
          </cell>
        </row>
      </sheetData>
      <sheetData sheetId="3820">
        <row r="6">
          <cell r="C6">
            <v>0</v>
          </cell>
        </row>
      </sheetData>
      <sheetData sheetId="3821">
        <row r="6">
          <cell r="C6">
            <v>0</v>
          </cell>
        </row>
      </sheetData>
      <sheetData sheetId="3822">
        <row r="6">
          <cell r="C6">
            <v>0</v>
          </cell>
        </row>
      </sheetData>
      <sheetData sheetId="3823">
        <row r="6">
          <cell r="C6">
            <v>0</v>
          </cell>
        </row>
      </sheetData>
      <sheetData sheetId="3824">
        <row r="6">
          <cell r="C6">
            <v>0</v>
          </cell>
        </row>
      </sheetData>
      <sheetData sheetId="3825">
        <row r="6">
          <cell r="C6">
            <v>0</v>
          </cell>
        </row>
      </sheetData>
      <sheetData sheetId="3826">
        <row r="6">
          <cell r="C6">
            <v>13428470678.063999</v>
          </cell>
        </row>
      </sheetData>
      <sheetData sheetId="3827">
        <row r="6">
          <cell r="C6">
            <v>13428470678.063999</v>
          </cell>
        </row>
      </sheetData>
      <sheetData sheetId="3828">
        <row r="6">
          <cell r="C6">
            <v>13428470678.063999</v>
          </cell>
        </row>
      </sheetData>
      <sheetData sheetId="3829">
        <row r="24">
          <cell r="B24">
            <v>0</v>
          </cell>
        </row>
      </sheetData>
      <sheetData sheetId="3830">
        <row r="10">
          <cell r="C10" t="str">
            <v>衍生金融资产</v>
          </cell>
        </row>
      </sheetData>
      <sheetData sheetId="3831">
        <row r="6">
          <cell r="C6">
            <v>13428470678.063999</v>
          </cell>
        </row>
      </sheetData>
      <sheetData sheetId="3832">
        <row r="6">
          <cell r="C6">
            <v>13428470678.063999</v>
          </cell>
        </row>
      </sheetData>
      <sheetData sheetId="3833">
        <row r="6">
          <cell r="C6">
            <v>0</v>
          </cell>
        </row>
      </sheetData>
      <sheetData sheetId="3834">
        <row r="6">
          <cell r="C6">
            <v>13428470678.063999</v>
          </cell>
        </row>
      </sheetData>
      <sheetData sheetId="3835">
        <row r="6">
          <cell r="C6">
            <v>13428470678.063999</v>
          </cell>
        </row>
      </sheetData>
      <sheetData sheetId="3836">
        <row r="6">
          <cell r="C6">
            <v>13428470678.063999</v>
          </cell>
        </row>
      </sheetData>
      <sheetData sheetId="3837">
        <row r="6">
          <cell r="C6">
            <v>0</v>
          </cell>
        </row>
      </sheetData>
      <sheetData sheetId="3838">
        <row r="6">
          <cell r="C6">
            <v>0</v>
          </cell>
        </row>
      </sheetData>
      <sheetData sheetId="3839">
        <row r="6">
          <cell r="C6">
            <v>0</v>
          </cell>
        </row>
      </sheetData>
      <sheetData sheetId="3840">
        <row r="6">
          <cell r="C6">
            <v>0</v>
          </cell>
        </row>
      </sheetData>
      <sheetData sheetId="3841">
        <row r="6">
          <cell r="C6">
            <v>0</v>
          </cell>
        </row>
      </sheetData>
      <sheetData sheetId="3842">
        <row r="6">
          <cell r="C6">
            <v>0</v>
          </cell>
        </row>
      </sheetData>
      <sheetData sheetId="3843">
        <row r="6">
          <cell r="C6">
            <v>0</v>
          </cell>
        </row>
      </sheetData>
      <sheetData sheetId="3844">
        <row r="6">
          <cell r="C6">
            <v>13428470678.063999</v>
          </cell>
        </row>
      </sheetData>
      <sheetData sheetId="3845">
        <row r="6">
          <cell r="C6">
            <v>13428470678.063999</v>
          </cell>
        </row>
      </sheetData>
      <sheetData sheetId="3846">
        <row r="6">
          <cell r="C6">
            <v>0</v>
          </cell>
        </row>
      </sheetData>
      <sheetData sheetId="3847">
        <row r="6">
          <cell r="C6">
            <v>0</v>
          </cell>
        </row>
      </sheetData>
      <sheetData sheetId="3848">
        <row r="6">
          <cell r="C6">
            <v>0</v>
          </cell>
        </row>
      </sheetData>
      <sheetData sheetId="3849">
        <row r="6">
          <cell r="C6">
            <v>13428470678.063999</v>
          </cell>
        </row>
      </sheetData>
      <sheetData sheetId="3850">
        <row r="6">
          <cell r="C6">
            <v>0</v>
          </cell>
        </row>
      </sheetData>
      <sheetData sheetId="3851">
        <row r="6">
          <cell r="C6">
            <v>13428470678.063999</v>
          </cell>
        </row>
      </sheetData>
      <sheetData sheetId="3852">
        <row r="6">
          <cell r="C6">
            <v>0</v>
          </cell>
        </row>
      </sheetData>
      <sheetData sheetId="3853">
        <row r="6">
          <cell r="C6">
            <v>0</v>
          </cell>
        </row>
      </sheetData>
      <sheetData sheetId="3854">
        <row r="6">
          <cell r="C6">
            <v>0</v>
          </cell>
        </row>
      </sheetData>
      <sheetData sheetId="3855">
        <row r="6">
          <cell r="C6">
            <v>0</v>
          </cell>
        </row>
      </sheetData>
      <sheetData sheetId="3856">
        <row r="6">
          <cell r="C6">
            <v>0</v>
          </cell>
        </row>
      </sheetData>
      <sheetData sheetId="3857">
        <row r="6">
          <cell r="C6">
            <v>0</v>
          </cell>
        </row>
      </sheetData>
      <sheetData sheetId="3858">
        <row r="6">
          <cell r="C6">
            <v>0</v>
          </cell>
        </row>
      </sheetData>
      <sheetData sheetId="3859">
        <row r="6">
          <cell r="C6">
            <v>0</v>
          </cell>
        </row>
      </sheetData>
      <sheetData sheetId="3860">
        <row r="6">
          <cell r="C6">
            <v>0</v>
          </cell>
        </row>
      </sheetData>
      <sheetData sheetId="3861">
        <row r="6">
          <cell r="C6">
            <v>0</v>
          </cell>
        </row>
      </sheetData>
      <sheetData sheetId="3862">
        <row r="6">
          <cell r="C6">
            <v>13428470678.063999</v>
          </cell>
        </row>
      </sheetData>
      <sheetData sheetId="3863">
        <row r="6">
          <cell r="C6">
            <v>0</v>
          </cell>
        </row>
      </sheetData>
      <sheetData sheetId="3864">
        <row r="6">
          <cell r="C6">
            <v>13428470678.063999</v>
          </cell>
        </row>
      </sheetData>
      <sheetData sheetId="3865">
        <row r="6">
          <cell r="C6">
            <v>0</v>
          </cell>
        </row>
      </sheetData>
      <sheetData sheetId="3866">
        <row r="10">
          <cell r="C10" t="str">
            <v>衍生金融资产</v>
          </cell>
        </row>
      </sheetData>
      <sheetData sheetId="3867">
        <row r="6">
          <cell r="C6">
            <v>0</v>
          </cell>
        </row>
      </sheetData>
      <sheetData sheetId="3868">
        <row r="6">
          <cell r="C6">
            <v>13428470678.063999</v>
          </cell>
        </row>
      </sheetData>
      <sheetData sheetId="3869">
        <row r="6">
          <cell r="C6">
            <v>0</v>
          </cell>
        </row>
      </sheetData>
      <sheetData sheetId="3870">
        <row r="6">
          <cell r="C6">
            <v>13428470678.063999</v>
          </cell>
        </row>
      </sheetData>
      <sheetData sheetId="3871">
        <row r="6">
          <cell r="C6">
            <v>13428470678.063999</v>
          </cell>
        </row>
      </sheetData>
      <sheetData sheetId="3872">
        <row r="6">
          <cell r="C6">
            <v>13428470678.063999</v>
          </cell>
        </row>
      </sheetData>
      <sheetData sheetId="3873">
        <row r="6">
          <cell r="C6">
            <v>0</v>
          </cell>
        </row>
      </sheetData>
      <sheetData sheetId="3874">
        <row r="6">
          <cell r="C6">
            <v>13428470678.063999</v>
          </cell>
        </row>
      </sheetData>
      <sheetData sheetId="3875">
        <row r="6">
          <cell r="C6">
            <v>0</v>
          </cell>
        </row>
      </sheetData>
      <sheetData sheetId="3876">
        <row r="6">
          <cell r="C6">
            <v>0</v>
          </cell>
        </row>
      </sheetData>
      <sheetData sheetId="3877">
        <row r="6">
          <cell r="C6">
            <v>0</v>
          </cell>
        </row>
      </sheetData>
      <sheetData sheetId="3878">
        <row r="6">
          <cell r="C6">
            <v>0</v>
          </cell>
        </row>
      </sheetData>
      <sheetData sheetId="3879">
        <row r="6">
          <cell r="C6">
            <v>0</v>
          </cell>
        </row>
      </sheetData>
      <sheetData sheetId="3880">
        <row r="6">
          <cell r="C6">
            <v>0</v>
          </cell>
        </row>
      </sheetData>
      <sheetData sheetId="3881">
        <row r="6">
          <cell r="C6">
            <v>0</v>
          </cell>
        </row>
      </sheetData>
      <sheetData sheetId="3882">
        <row r="6">
          <cell r="C6">
            <v>0</v>
          </cell>
        </row>
      </sheetData>
      <sheetData sheetId="3883">
        <row r="6">
          <cell r="C6">
            <v>0</v>
          </cell>
        </row>
      </sheetData>
      <sheetData sheetId="3884">
        <row r="6">
          <cell r="C6">
            <v>0</v>
          </cell>
        </row>
      </sheetData>
      <sheetData sheetId="3885">
        <row r="6">
          <cell r="C6">
            <v>13428470678.063999</v>
          </cell>
        </row>
      </sheetData>
      <sheetData sheetId="3886">
        <row r="6">
          <cell r="C6">
            <v>0</v>
          </cell>
        </row>
      </sheetData>
      <sheetData sheetId="3887">
        <row r="6">
          <cell r="C6">
            <v>0</v>
          </cell>
        </row>
      </sheetData>
      <sheetData sheetId="3888">
        <row r="6">
          <cell r="C6">
            <v>0</v>
          </cell>
        </row>
      </sheetData>
      <sheetData sheetId="3889">
        <row r="6">
          <cell r="C6">
            <v>13428470678.063999</v>
          </cell>
        </row>
      </sheetData>
      <sheetData sheetId="3890">
        <row r="6">
          <cell r="C6">
            <v>13428470678.063999</v>
          </cell>
        </row>
      </sheetData>
      <sheetData sheetId="3891">
        <row r="6">
          <cell r="C6">
            <v>13428470678.063999</v>
          </cell>
        </row>
      </sheetData>
      <sheetData sheetId="3892">
        <row r="10">
          <cell r="C10" t="str">
            <v>衍生金融资产</v>
          </cell>
        </row>
      </sheetData>
      <sheetData sheetId="3893">
        <row r="6">
          <cell r="C6">
            <v>13428470678.063999</v>
          </cell>
        </row>
      </sheetData>
      <sheetData sheetId="3894">
        <row r="6">
          <cell r="C6">
            <v>13428470678.063999</v>
          </cell>
        </row>
      </sheetData>
      <sheetData sheetId="3895">
        <row r="6">
          <cell r="C6">
            <v>13428470678.063999</v>
          </cell>
        </row>
      </sheetData>
      <sheetData sheetId="3896">
        <row r="6">
          <cell r="C6">
            <v>0</v>
          </cell>
        </row>
      </sheetData>
      <sheetData sheetId="3897">
        <row r="6">
          <cell r="C6">
            <v>13428470678.063999</v>
          </cell>
        </row>
      </sheetData>
      <sheetData sheetId="3898">
        <row r="6">
          <cell r="C6">
            <v>13428470678.063999</v>
          </cell>
        </row>
      </sheetData>
      <sheetData sheetId="3899">
        <row r="6">
          <cell r="C6">
            <v>13428470678.063999</v>
          </cell>
        </row>
      </sheetData>
      <sheetData sheetId="3900">
        <row r="6">
          <cell r="C6">
            <v>0</v>
          </cell>
        </row>
      </sheetData>
      <sheetData sheetId="3901">
        <row r="6">
          <cell r="C6">
            <v>0</v>
          </cell>
        </row>
      </sheetData>
      <sheetData sheetId="3902">
        <row r="6">
          <cell r="C6">
            <v>0</v>
          </cell>
        </row>
      </sheetData>
      <sheetData sheetId="3903">
        <row r="6">
          <cell r="C6">
            <v>0</v>
          </cell>
        </row>
      </sheetData>
      <sheetData sheetId="3904">
        <row r="6">
          <cell r="C6">
            <v>0</v>
          </cell>
        </row>
      </sheetData>
      <sheetData sheetId="3905">
        <row r="6">
          <cell r="C6">
            <v>0</v>
          </cell>
        </row>
      </sheetData>
      <sheetData sheetId="3906">
        <row r="6">
          <cell r="C6">
            <v>0</v>
          </cell>
        </row>
      </sheetData>
      <sheetData sheetId="3907">
        <row r="6">
          <cell r="C6">
            <v>13428470678.063999</v>
          </cell>
        </row>
      </sheetData>
      <sheetData sheetId="3908">
        <row r="6">
          <cell r="C6">
            <v>13428470678.063999</v>
          </cell>
        </row>
      </sheetData>
      <sheetData sheetId="3909">
        <row r="6">
          <cell r="C6">
            <v>0</v>
          </cell>
        </row>
      </sheetData>
      <sheetData sheetId="3910">
        <row r="6">
          <cell r="C6">
            <v>0</v>
          </cell>
        </row>
      </sheetData>
      <sheetData sheetId="3911">
        <row r="6">
          <cell r="C6">
            <v>0</v>
          </cell>
        </row>
      </sheetData>
      <sheetData sheetId="3912">
        <row r="6">
          <cell r="C6">
            <v>13428470678.063999</v>
          </cell>
        </row>
      </sheetData>
      <sheetData sheetId="3913">
        <row r="6">
          <cell r="C6">
            <v>0</v>
          </cell>
        </row>
      </sheetData>
      <sheetData sheetId="3914">
        <row r="6">
          <cell r="C6">
            <v>13428470678.063999</v>
          </cell>
        </row>
      </sheetData>
      <sheetData sheetId="3915">
        <row r="6">
          <cell r="C6">
            <v>13428470678.063999</v>
          </cell>
        </row>
      </sheetData>
      <sheetData sheetId="3916">
        <row r="6">
          <cell r="C6">
            <v>13428470678.063999</v>
          </cell>
        </row>
      </sheetData>
      <sheetData sheetId="3917">
        <row r="6">
          <cell r="C6">
            <v>13428470678.063999</v>
          </cell>
        </row>
      </sheetData>
      <sheetData sheetId="3918">
        <row r="24">
          <cell r="B24">
            <v>0</v>
          </cell>
        </row>
      </sheetData>
      <sheetData sheetId="3919">
        <row r="6">
          <cell r="C6">
            <v>13428470678.063999</v>
          </cell>
        </row>
      </sheetData>
      <sheetData sheetId="3920">
        <row r="24">
          <cell r="B24">
            <v>0</v>
          </cell>
        </row>
      </sheetData>
      <sheetData sheetId="3921">
        <row r="6">
          <cell r="C6">
            <v>13428470678.063999</v>
          </cell>
        </row>
      </sheetData>
      <sheetData sheetId="3922">
        <row r="24">
          <cell r="B24">
            <v>0</v>
          </cell>
        </row>
      </sheetData>
      <sheetData sheetId="3923">
        <row r="10">
          <cell r="C10" t="str">
            <v>衍生金融资产</v>
          </cell>
        </row>
      </sheetData>
      <sheetData sheetId="3924">
        <row r="6">
          <cell r="C6">
            <v>0</v>
          </cell>
        </row>
      </sheetData>
      <sheetData sheetId="3925">
        <row r="6">
          <cell r="C6">
            <v>13428470678.063999</v>
          </cell>
        </row>
      </sheetData>
      <sheetData sheetId="3926">
        <row r="10">
          <cell r="C10" t="str">
            <v>衍生金融资产</v>
          </cell>
        </row>
      </sheetData>
      <sheetData sheetId="3927">
        <row r="6">
          <cell r="C6">
            <v>13428470678.063999</v>
          </cell>
        </row>
      </sheetData>
      <sheetData sheetId="3928">
        <row r="6">
          <cell r="C6">
            <v>0</v>
          </cell>
        </row>
      </sheetData>
      <sheetData sheetId="3929">
        <row r="6">
          <cell r="C6">
            <v>13428470678.063999</v>
          </cell>
        </row>
      </sheetData>
      <sheetData sheetId="3930">
        <row r="6">
          <cell r="C6">
            <v>13428470678.063999</v>
          </cell>
        </row>
      </sheetData>
      <sheetData sheetId="3931">
        <row r="6">
          <cell r="C6">
            <v>13428470678.063999</v>
          </cell>
        </row>
      </sheetData>
      <sheetData sheetId="3932">
        <row r="10">
          <cell r="C10" t="str">
            <v>衍生金融资产</v>
          </cell>
        </row>
      </sheetData>
      <sheetData sheetId="3933">
        <row r="6">
          <cell r="C6">
            <v>13428470678.063999</v>
          </cell>
        </row>
      </sheetData>
      <sheetData sheetId="3934">
        <row r="6">
          <cell r="C6">
            <v>13428470678.063999</v>
          </cell>
        </row>
      </sheetData>
      <sheetData sheetId="3935">
        <row r="6">
          <cell r="C6">
            <v>13428470678.063999</v>
          </cell>
        </row>
      </sheetData>
      <sheetData sheetId="3936">
        <row r="6">
          <cell r="C6">
            <v>13428470678.063999</v>
          </cell>
        </row>
      </sheetData>
      <sheetData sheetId="3937">
        <row r="6">
          <cell r="C6">
            <v>0</v>
          </cell>
        </row>
      </sheetData>
      <sheetData sheetId="3938">
        <row r="6">
          <cell r="C6">
            <v>0</v>
          </cell>
        </row>
      </sheetData>
      <sheetData sheetId="3939" refreshError="1"/>
      <sheetData sheetId="3940" refreshError="1"/>
      <sheetData sheetId="3941">
        <row r="6">
          <cell r="C6">
            <v>13428470678.063999</v>
          </cell>
        </row>
      </sheetData>
      <sheetData sheetId="3942">
        <row r="6">
          <cell r="C6">
            <v>0</v>
          </cell>
        </row>
      </sheetData>
      <sheetData sheetId="3943" refreshError="1"/>
      <sheetData sheetId="3944" refreshError="1"/>
      <sheetData sheetId="3945">
        <row r="6">
          <cell r="C6">
            <v>13428470678.063999</v>
          </cell>
        </row>
      </sheetData>
      <sheetData sheetId="3946">
        <row r="6">
          <cell r="C6">
            <v>13428470678.063999</v>
          </cell>
        </row>
      </sheetData>
      <sheetData sheetId="3947">
        <row r="6">
          <cell r="C6">
            <v>13428470678.063999</v>
          </cell>
        </row>
      </sheetData>
      <sheetData sheetId="3948">
        <row r="6">
          <cell r="C6">
            <v>13428470678.063999</v>
          </cell>
        </row>
      </sheetData>
      <sheetData sheetId="3949">
        <row r="6">
          <cell r="C6">
            <v>13428470678.063999</v>
          </cell>
        </row>
      </sheetData>
      <sheetData sheetId="3950">
        <row r="6">
          <cell r="C6">
            <v>13428470678.063999</v>
          </cell>
        </row>
      </sheetData>
      <sheetData sheetId="3951">
        <row r="6">
          <cell r="C6">
            <v>13428470678.063999</v>
          </cell>
        </row>
      </sheetData>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ow r="6">
          <cell r="C6">
            <v>13428470678.063999</v>
          </cell>
        </row>
      </sheetData>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ow r="24">
          <cell r="B24">
            <v>0</v>
          </cell>
        </row>
      </sheetData>
      <sheetData sheetId="4005" refreshError="1"/>
      <sheetData sheetId="4006" refreshError="1"/>
      <sheetData sheetId="4007" refreshError="1"/>
      <sheetData sheetId="4008">
        <row r="6">
          <cell r="C6">
            <v>13428470678.063999</v>
          </cell>
        </row>
      </sheetData>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ow r="24">
          <cell r="B24">
            <v>0</v>
          </cell>
        </row>
      </sheetData>
      <sheetData sheetId="4155">
        <row r="24">
          <cell r="B24">
            <v>0</v>
          </cell>
        </row>
      </sheetData>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ow r="6">
          <cell r="C6">
            <v>0</v>
          </cell>
        </row>
      </sheetData>
      <sheetData sheetId="4290">
        <row r="6">
          <cell r="C6">
            <v>0</v>
          </cell>
        </row>
      </sheetData>
      <sheetData sheetId="4291">
        <row r="6">
          <cell r="C6">
            <v>0</v>
          </cell>
        </row>
      </sheetData>
      <sheetData sheetId="4292">
        <row r="6">
          <cell r="C6">
            <v>0</v>
          </cell>
        </row>
      </sheetData>
      <sheetData sheetId="4293">
        <row r="6">
          <cell r="C6">
            <v>13428470678.063999</v>
          </cell>
        </row>
      </sheetData>
      <sheetData sheetId="4294">
        <row r="6">
          <cell r="C6">
            <v>0</v>
          </cell>
        </row>
      </sheetData>
      <sheetData sheetId="4295">
        <row r="6">
          <cell r="C6">
            <v>0</v>
          </cell>
        </row>
      </sheetData>
      <sheetData sheetId="4296">
        <row r="6">
          <cell r="C6">
            <v>0</v>
          </cell>
        </row>
      </sheetData>
      <sheetData sheetId="4297">
        <row r="6">
          <cell r="C6">
            <v>13428470678.063999</v>
          </cell>
        </row>
      </sheetData>
      <sheetData sheetId="4298">
        <row r="6">
          <cell r="C6">
            <v>0</v>
          </cell>
        </row>
      </sheetData>
      <sheetData sheetId="4299" refreshError="1"/>
      <sheetData sheetId="4300" refreshError="1"/>
      <sheetData sheetId="4301" refreshError="1"/>
      <sheetData sheetId="4302" refreshError="1"/>
      <sheetData sheetId="4303" refreshError="1"/>
      <sheetData sheetId="4304">
        <row r="6">
          <cell r="C6">
            <v>0</v>
          </cell>
        </row>
      </sheetData>
      <sheetData sheetId="4305">
        <row r="6">
          <cell r="C6">
            <v>13428470678.063999</v>
          </cell>
        </row>
      </sheetData>
      <sheetData sheetId="4306">
        <row r="6">
          <cell r="C6">
            <v>0</v>
          </cell>
        </row>
      </sheetData>
      <sheetData sheetId="4307">
        <row r="6">
          <cell r="C6">
            <v>0</v>
          </cell>
        </row>
      </sheetData>
      <sheetData sheetId="4308">
        <row r="6">
          <cell r="C6">
            <v>0</v>
          </cell>
        </row>
      </sheetData>
      <sheetData sheetId="4309">
        <row r="6">
          <cell r="C6">
            <v>13428470678.063999</v>
          </cell>
        </row>
      </sheetData>
      <sheetData sheetId="4310">
        <row r="6">
          <cell r="C6">
            <v>13428470678.063999</v>
          </cell>
        </row>
      </sheetData>
      <sheetData sheetId="4311">
        <row r="6">
          <cell r="C6">
            <v>13428470678.063999</v>
          </cell>
        </row>
      </sheetData>
      <sheetData sheetId="4312">
        <row r="6">
          <cell r="C6">
            <v>13428470678.063999</v>
          </cell>
        </row>
      </sheetData>
      <sheetData sheetId="4313" refreshError="1"/>
      <sheetData sheetId="4314">
        <row r="24">
          <cell r="B24">
            <v>0</v>
          </cell>
        </row>
      </sheetData>
      <sheetData sheetId="4315">
        <row r="6">
          <cell r="C6">
            <v>0</v>
          </cell>
        </row>
      </sheetData>
      <sheetData sheetId="4316">
        <row r="6">
          <cell r="C6">
            <v>0</v>
          </cell>
        </row>
      </sheetData>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ow r="6">
          <cell r="C6">
            <v>13428470678.063999</v>
          </cell>
        </row>
      </sheetData>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ow r="24">
          <cell r="B24">
            <v>0</v>
          </cell>
        </row>
      </sheetData>
      <sheetData sheetId="4839">
        <row r="24">
          <cell r="B24">
            <v>0</v>
          </cell>
        </row>
      </sheetData>
      <sheetData sheetId="4840">
        <row r="24">
          <cell r="B24">
            <v>0</v>
          </cell>
        </row>
      </sheetData>
      <sheetData sheetId="4841">
        <row r="24">
          <cell r="B24">
            <v>0</v>
          </cell>
        </row>
      </sheetData>
      <sheetData sheetId="4842">
        <row r="24">
          <cell r="B24">
            <v>0</v>
          </cell>
        </row>
      </sheetData>
      <sheetData sheetId="4843">
        <row r="24">
          <cell r="B24">
            <v>0</v>
          </cell>
        </row>
      </sheetData>
      <sheetData sheetId="4844"/>
      <sheetData sheetId="4845">
        <row r="24">
          <cell r="B24">
            <v>0</v>
          </cell>
        </row>
      </sheetData>
      <sheetData sheetId="4846">
        <row r="24">
          <cell r="B24">
            <v>0</v>
          </cell>
        </row>
      </sheetData>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ow r="6">
          <cell r="C6">
            <v>0</v>
          </cell>
        </row>
      </sheetData>
      <sheetData sheetId="4873"/>
      <sheetData sheetId="4874"/>
      <sheetData sheetId="4875">
        <row r="24">
          <cell r="B24">
            <v>0</v>
          </cell>
        </row>
      </sheetData>
      <sheetData sheetId="4876">
        <row r="6">
          <cell r="C6">
            <v>0</v>
          </cell>
        </row>
      </sheetData>
      <sheetData sheetId="4877">
        <row r="6">
          <cell r="C6">
            <v>0</v>
          </cell>
        </row>
      </sheetData>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row r="24">
          <cell r="B24">
            <v>0</v>
          </cell>
        </row>
      </sheetData>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row r="3">
          <cell r="A3">
            <v>60232501088</v>
          </cell>
        </row>
      </sheetData>
      <sheetData sheetId="4968" refreshError="1"/>
      <sheetData sheetId="4969" refreshError="1"/>
      <sheetData sheetId="4970" refreshError="1"/>
      <sheetData sheetId="4971">
        <row r="24">
          <cell r="B24">
            <v>0</v>
          </cell>
        </row>
      </sheetData>
      <sheetData sheetId="4972">
        <row r="24">
          <cell r="B24">
            <v>0</v>
          </cell>
        </row>
      </sheetData>
      <sheetData sheetId="4973">
        <row r="24">
          <cell r="B24">
            <v>0</v>
          </cell>
        </row>
      </sheetData>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ow r="6">
          <cell r="C6">
            <v>0</v>
          </cell>
        </row>
      </sheetData>
      <sheetData sheetId="4984">
        <row r="6">
          <cell r="C6">
            <v>0</v>
          </cell>
        </row>
      </sheetData>
      <sheetData sheetId="4985"/>
      <sheetData sheetId="4986">
        <row r="3">
          <cell r="A3">
            <v>60232501088</v>
          </cell>
        </row>
      </sheetData>
      <sheetData sheetId="4987">
        <row r="24">
          <cell r="B24">
            <v>0</v>
          </cell>
        </row>
      </sheetData>
      <sheetData sheetId="4988">
        <row r="6">
          <cell r="C6">
            <v>0</v>
          </cell>
        </row>
      </sheetData>
      <sheetData sheetId="4989">
        <row r="6">
          <cell r="C6">
            <v>0</v>
          </cell>
        </row>
      </sheetData>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ow r="6">
          <cell r="F6">
            <v>5000</v>
          </cell>
        </row>
      </sheetData>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row r="24">
          <cell r="B24">
            <v>0</v>
          </cell>
        </row>
      </sheetData>
      <sheetData sheetId="5513">
        <row r="24">
          <cell r="B24">
            <v>0</v>
          </cell>
        </row>
      </sheetData>
      <sheetData sheetId="5514">
        <row r="24">
          <cell r="B24">
            <v>0</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row r="24">
          <cell r="B24">
            <v>0</v>
          </cell>
        </row>
      </sheetData>
      <sheetData sheetId="5532">
        <row r="24">
          <cell r="B24">
            <v>0</v>
          </cell>
        </row>
      </sheetData>
      <sheetData sheetId="5533">
        <row r="24">
          <cell r="B24">
            <v>0</v>
          </cell>
        </row>
      </sheetData>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row r="10">
          <cell r="B10">
            <v>0</v>
          </cell>
        </row>
      </sheetData>
      <sheetData sheetId="5767"/>
      <sheetData sheetId="5768">
        <row r="6">
          <cell r="C6">
            <v>13428470678.063999</v>
          </cell>
        </row>
      </sheetData>
      <sheetData sheetId="5769">
        <row r="24">
          <cell r="B24">
            <v>0</v>
          </cell>
        </row>
      </sheetData>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row r="10">
          <cell r="B10">
            <v>0</v>
          </cell>
        </row>
      </sheetData>
      <sheetData sheetId="5786"/>
      <sheetData sheetId="5787"/>
      <sheetData sheetId="5788">
        <row r="24">
          <cell r="B24">
            <v>0</v>
          </cell>
        </row>
      </sheetData>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row r="10">
          <cell r="B10">
            <v>0</v>
          </cell>
        </row>
      </sheetData>
      <sheetData sheetId="5820"/>
      <sheetData sheetId="5821"/>
      <sheetData sheetId="5822">
        <row r="24">
          <cell r="B24">
            <v>0</v>
          </cell>
        </row>
      </sheetData>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row r="10">
          <cell r="B10">
            <v>0</v>
          </cell>
        </row>
      </sheetData>
      <sheetData sheetId="5839"/>
      <sheetData sheetId="5840"/>
      <sheetData sheetId="5841">
        <row r="24">
          <cell r="B24">
            <v>0</v>
          </cell>
        </row>
      </sheetData>
      <sheetData sheetId="5842"/>
      <sheetData sheetId="5843"/>
      <sheetData sheetId="5844"/>
      <sheetData sheetId="5845"/>
      <sheetData sheetId="5846"/>
      <sheetData sheetId="5847"/>
      <sheetData sheetId="5848"/>
      <sheetData sheetId="5849"/>
      <sheetData sheetId="5850">
        <row r="3">
          <cell r="A3">
            <v>60232501088</v>
          </cell>
        </row>
      </sheetData>
      <sheetData sheetId="5851"/>
      <sheetData sheetId="5852"/>
      <sheetData sheetId="5853"/>
      <sheetData sheetId="5854"/>
      <sheetData sheetId="5855"/>
      <sheetData sheetId="5856"/>
      <sheetData sheetId="5857"/>
      <sheetData sheetId="5858"/>
      <sheetData sheetId="5859"/>
      <sheetData sheetId="5860">
        <row r="24">
          <cell r="B24">
            <v>0</v>
          </cell>
        </row>
      </sheetData>
      <sheetData sheetId="5861"/>
      <sheetData sheetId="5862"/>
      <sheetData sheetId="5863"/>
      <sheetData sheetId="5864"/>
      <sheetData sheetId="5865"/>
      <sheetData sheetId="5866"/>
      <sheetData sheetId="5867">
        <row r="10">
          <cell r="B10">
            <v>0</v>
          </cell>
        </row>
      </sheetData>
      <sheetData sheetId="5868"/>
      <sheetData sheetId="5869">
        <row r="3">
          <cell r="A3">
            <v>60232501088</v>
          </cell>
        </row>
      </sheetData>
      <sheetData sheetId="5870">
        <row r="24">
          <cell r="B24">
            <v>0</v>
          </cell>
        </row>
      </sheetData>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row r="10">
          <cell r="B10">
            <v>0</v>
          </cell>
        </row>
      </sheetData>
      <sheetData sheetId="5887"/>
      <sheetData sheetId="5888">
        <row r="6">
          <cell r="C6">
            <v>13428470678.063999</v>
          </cell>
        </row>
      </sheetData>
      <sheetData sheetId="5889">
        <row r="24">
          <cell r="B24">
            <v>0</v>
          </cell>
        </row>
      </sheetData>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row r="3">
          <cell r="A3">
            <v>60232501088</v>
          </cell>
        </row>
      </sheetData>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row r="3">
          <cell r="A3">
            <v>60232501088</v>
          </cell>
        </row>
      </sheetData>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row r="10">
          <cell r="B10">
            <v>0</v>
          </cell>
        </row>
      </sheetData>
      <sheetData sheetId="5936"/>
      <sheetData sheetId="5937">
        <row r="6">
          <cell r="C6">
            <v>13428470678.063999</v>
          </cell>
        </row>
      </sheetData>
      <sheetData sheetId="5938">
        <row r="24">
          <cell r="B24">
            <v>0</v>
          </cell>
        </row>
      </sheetData>
      <sheetData sheetId="5939">
        <row r="10">
          <cell r="B10">
            <v>0</v>
          </cell>
        </row>
      </sheetData>
      <sheetData sheetId="5940"/>
      <sheetData sheetId="5941">
        <row r="3">
          <cell r="A3">
            <v>60232501088</v>
          </cell>
        </row>
      </sheetData>
      <sheetData sheetId="5942">
        <row r="24">
          <cell r="B24">
            <v>0</v>
          </cell>
        </row>
      </sheetData>
      <sheetData sheetId="5943"/>
      <sheetData sheetId="5944"/>
      <sheetData sheetId="5945"/>
      <sheetData sheetId="5946"/>
      <sheetData sheetId="5947"/>
      <sheetData sheetId="5948"/>
      <sheetData sheetId="5949"/>
      <sheetData sheetId="5950"/>
      <sheetData sheetId="5951">
        <row r="3">
          <cell r="A3">
            <v>60232501088</v>
          </cell>
        </row>
      </sheetData>
      <sheetData sheetId="5952"/>
      <sheetData sheetId="5953"/>
      <sheetData sheetId="5954">
        <row r="10">
          <cell r="B10">
            <v>0</v>
          </cell>
        </row>
      </sheetData>
      <sheetData sheetId="5955"/>
      <sheetData sheetId="5956"/>
      <sheetData sheetId="5957">
        <row r="24">
          <cell r="B24">
            <v>0</v>
          </cell>
        </row>
      </sheetData>
      <sheetData sheetId="5958">
        <row r="10">
          <cell r="B10">
            <v>0</v>
          </cell>
        </row>
      </sheetData>
      <sheetData sheetId="5959"/>
      <sheetData sheetId="5960">
        <row r="6">
          <cell r="C6">
            <v>13428470678.063999</v>
          </cell>
        </row>
      </sheetData>
      <sheetData sheetId="5961">
        <row r="24">
          <cell r="B24">
            <v>0</v>
          </cell>
        </row>
      </sheetData>
      <sheetData sheetId="5962"/>
      <sheetData sheetId="5963"/>
      <sheetData sheetId="5964"/>
      <sheetData sheetId="5965"/>
      <sheetData sheetId="5966"/>
      <sheetData sheetId="5967"/>
      <sheetData sheetId="5968"/>
      <sheetData sheetId="5969"/>
      <sheetData sheetId="5970">
        <row r="3">
          <cell r="A3">
            <v>60232501088</v>
          </cell>
        </row>
      </sheetData>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row r="10">
          <cell r="B10">
            <v>0</v>
          </cell>
        </row>
      </sheetData>
      <sheetData sheetId="5988">
        <row r="10">
          <cell r="B10">
            <v>0</v>
          </cell>
        </row>
      </sheetData>
      <sheetData sheetId="5989"/>
      <sheetData sheetId="5990"/>
      <sheetData sheetId="5991">
        <row r="24">
          <cell r="B24">
            <v>0</v>
          </cell>
        </row>
      </sheetData>
      <sheetData sheetId="5992"/>
      <sheetData sheetId="5993"/>
      <sheetData sheetId="5994"/>
      <sheetData sheetId="5995"/>
      <sheetData sheetId="5996"/>
      <sheetData sheetId="5997"/>
      <sheetData sheetId="5998"/>
      <sheetData sheetId="5999"/>
      <sheetData sheetId="6000"/>
      <sheetData sheetId="6001"/>
      <sheetData sheetId="6002">
        <row r="10">
          <cell r="B10">
            <v>0</v>
          </cell>
        </row>
      </sheetData>
      <sheetData sheetId="6003">
        <row r="10">
          <cell r="B10">
            <v>0</v>
          </cell>
        </row>
      </sheetData>
      <sheetData sheetId="6004"/>
      <sheetData sheetId="6005"/>
      <sheetData sheetId="6006">
        <row r="24">
          <cell r="B24">
            <v>0</v>
          </cell>
        </row>
      </sheetData>
      <sheetData sheetId="6007">
        <row r="10">
          <cell r="B10">
            <v>0</v>
          </cell>
        </row>
      </sheetData>
      <sheetData sheetId="6008"/>
      <sheetData sheetId="6009"/>
      <sheetData sheetId="6010">
        <row r="24">
          <cell r="B24">
            <v>0</v>
          </cell>
        </row>
      </sheetData>
      <sheetData sheetId="6011"/>
      <sheetData sheetId="6012"/>
      <sheetData sheetId="6013"/>
      <sheetData sheetId="6014"/>
      <sheetData sheetId="6015">
        <row r="3">
          <cell r="A3">
            <v>60232501088</v>
          </cell>
        </row>
      </sheetData>
      <sheetData sheetId="6016"/>
      <sheetData sheetId="6017"/>
      <sheetData sheetId="6018"/>
      <sheetData sheetId="6019">
        <row r="3">
          <cell r="A3">
            <v>60232501088</v>
          </cell>
        </row>
      </sheetData>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row r="10">
          <cell r="B10">
            <v>0</v>
          </cell>
        </row>
      </sheetData>
      <sheetData sheetId="6033"/>
      <sheetData sheetId="6034">
        <row r="3">
          <cell r="A3">
            <v>60232501088</v>
          </cell>
        </row>
      </sheetData>
      <sheetData sheetId="6035">
        <row r="24">
          <cell r="B24">
            <v>0</v>
          </cell>
        </row>
      </sheetData>
      <sheetData sheetId="6036">
        <row r="10">
          <cell r="B10">
            <v>0</v>
          </cell>
        </row>
      </sheetData>
      <sheetData sheetId="6037"/>
      <sheetData sheetId="6038">
        <row r="3">
          <cell r="A3">
            <v>60232501088</v>
          </cell>
        </row>
      </sheetData>
      <sheetData sheetId="6039">
        <row r="24">
          <cell r="B24">
            <v>0</v>
          </cell>
        </row>
      </sheetData>
      <sheetData sheetId="6040"/>
      <sheetData sheetId="6041"/>
      <sheetData sheetId="6042"/>
      <sheetData sheetId="6043"/>
      <sheetData sheetId="6044"/>
      <sheetData sheetId="6045"/>
      <sheetData sheetId="6046"/>
      <sheetData sheetId="6047"/>
      <sheetData sheetId="6048"/>
      <sheetData sheetId="6049"/>
      <sheetData sheetId="6050"/>
      <sheetData sheetId="6051">
        <row r="10">
          <cell r="B10">
            <v>0</v>
          </cell>
        </row>
      </sheetData>
      <sheetData sheetId="6052"/>
      <sheetData sheetId="6053">
        <row r="6">
          <cell r="C6">
            <v>13428470678.063999</v>
          </cell>
        </row>
      </sheetData>
      <sheetData sheetId="6054">
        <row r="24">
          <cell r="B24">
            <v>0</v>
          </cell>
        </row>
      </sheetData>
      <sheetData sheetId="6055">
        <row r="10">
          <cell r="B10">
            <v>0</v>
          </cell>
        </row>
      </sheetData>
      <sheetData sheetId="6056"/>
      <sheetData sheetId="6057">
        <row r="6">
          <cell r="C6">
            <v>13428470678.063999</v>
          </cell>
        </row>
      </sheetData>
      <sheetData sheetId="6058">
        <row r="24">
          <cell r="B24">
            <v>0</v>
          </cell>
        </row>
      </sheetData>
      <sheetData sheetId="6059"/>
      <sheetData sheetId="6060"/>
      <sheetData sheetId="6061"/>
      <sheetData sheetId="6062"/>
      <sheetData sheetId="6063"/>
      <sheetData sheetId="6064"/>
      <sheetData sheetId="6065"/>
      <sheetData sheetId="6066"/>
      <sheetData sheetId="6067">
        <row r="3">
          <cell r="A3">
            <v>60232501088</v>
          </cell>
        </row>
      </sheetData>
      <sheetData sheetId="6068">
        <row r="3">
          <cell r="A3">
            <v>60232501088</v>
          </cell>
        </row>
      </sheetData>
      <sheetData sheetId="6069"/>
      <sheetData sheetId="6070">
        <row r="10">
          <cell r="B10">
            <v>0</v>
          </cell>
        </row>
      </sheetData>
      <sheetData sheetId="6071"/>
      <sheetData sheetId="6072">
        <row r="3">
          <cell r="A3">
            <v>60232501088</v>
          </cell>
        </row>
      </sheetData>
      <sheetData sheetId="6073">
        <row r="24">
          <cell r="B24">
            <v>0</v>
          </cell>
        </row>
      </sheetData>
      <sheetData sheetId="6074">
        <row r="10">
          <cell r="B10">
            <v>0</v>
          </cell>
        </row>
      </sheetData>
      <sheetData sheetId="6075"/>
      <sheetData sheetId="6076"/>
      <sheetData sheetId="6077">
        <row r="24">
          <cell r="B24">
            <v>0</v>
          </cell>
        </row>
      </sheetData>
      <sheetData sheetId="6078"/>
      <sheetData sheetId="6079"/>
      <sheetData sheetId="6080"/>
      <sheetData sheetId="6081"/>
      <sheetData sheetId="6082"/>
      <sheetData sheetId="6083"/>
      <sheetData sheetId="6084"/>
      <sheetData sheetId="6085"/>
      <sheetData sheetId="6086">
        <row r="3">
          <cell r="A3">
            <v>60232501088</v>
          </cell>
        </row>
      </sheetData>
      <sheetData sheetId="6087">
        <row r="3">
          <cell r="A3">
            <v>60232501088</v>
          </cell>
        </row>
      </sheetData>
      <sheetData sheetId="6088"/>
      <sheetData sheetId="6089"/>
      <sheetData sheetId="6090"/>
      <sheetData sheetId="6091">
        <row r="3">
          <cell r="A3">
            <v>60232501088</v>
          </cell>
        </row>
      </sheetData>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YS02-02"/>
      <sheetName val="主营业务税金及附加Dy"/>
      <sheetName val="应收账款Dy"/>
      <sheetName val="PTC"/>
      <sheetName val="Stock turnove_x0002_"/>
      <sheetName val="收入明细－按客户"/>
      <sheetName val="2006"/>
      <sheetName val="折旧测试2007"/>
      <sheetName val="剥离前"/>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Stock turnove_x005f_x0002_"/>
      <sheetName val="中山低值"/>
      <sheetName val="original"/>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余额表"/>
      <sheetName val="XL4Poppy"/>
      <sheetName val="凤县折旧测算"/>
      <sheetName val="Worksheet in 8240 COS breakdown"/>
      <sheetName val="BALANCE SHEET"/>
      <sheetName val="1-6yue"/>
      <sheetName val="税金汇总"/>
      <sheetName val="目錄"/>
      <sheetName val="FA-2"/>
      <sheetName val="7-11销售"/>
      <sheetName val="制造费用"/>
      <sheetName val="关联交易-存款"/>
      <sheetName val="报表科目"/>
      <sheetName val="应收账款贷方余额表"/>
      <sheetName val="应收账款借方余额表"/>
      <sheetName val="应收账款余额表"/>
      <sheetName val="试算"/>
      <sheetName val="09差异分摊计算表"/>
      <sheetName val="08差异分摊计算表"/>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Sheet1"/>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PTC"/>
      <sheetName val="表头"/>
      <sheetName val="coding"/>
      <sheetName val="基础数据"/>
      <sheetName val="三兴2"/>
      <sheetName val="Toolbox"/>
      <sheetName val="Appendix"/>
      <sheetName val="PRC BS"/>
      <sheetName val="完"/>
      <sheetName val="인사현황(부서)"/>
      <sheetName val="Cover"/>
      <sheetName val="营业费用测试"/>
      <sheetName val="KKKKKKKK"/>
      <sheetName val="YS02-02"/>
      <sheetName val="管理费用(集团董事会)"/>
      <sheetName val="C_301"/>
      <sheetName val="C_311"/>
      <sheetName val="C_318"/>
      <sheetName val="P12 TB SZ"/>
      <sheetName val="B"/>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资产负债表"/>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利润表项目"/>
      <sheetName val="W"/>
      <sheetName val="基本情况表"/>
      <sheetName val="2010年试算平衡表"/>
      <sheetName val="本年试算平衡表"/>
      <sheetName val="资产负债表原报 (2)"/>
      <sheetName val="Sheet1 (11)"/>
      <sheetName val="权益变动"/>
      <sheetName val="账上导出数（包括暂估）"/>
      <sheetName val="eqpmad2"/>
      <sheetName val="应收票据函证控制表"/>
      <sheetName val="POWER ASSUMPTIONS"/>
      <sheetName val="房屋及建筑物"/>
      <sheetName val="广告费测试表"/>
      <sheetName val="包增减变动"/>
      <sheetName val="明细分类账"/>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YS02-02"/>
      <sheetName val="Tickmarks"/>
      <sheetName val="Sales branch breakdown"/>
      <sheetName val="应付账款04"/>
      <sheetName val="预付账款04"/>
      <sheetName val="固定资产04"/>
      <sheetName val="累计折旧04"/>
      <sheetName val="固定资产清理04"/>
      <sheetName val="在建工程-杏花镇"/>
      <sheetName val="在建工程-新厂区"/>
      <sheetName val="应付票据04"/>
      <sheetName val="Financ. Overview"/>
      <sheetName val="1_阿联酋_迪拜"/>
      <sheetName val="固定资产清单"/>
      <sheetName val="车辆价值计算表"/>
      <sheetName val="科目余额表1"/>
      <sheetName val="存货程序表"/>
      <sheetName val="基本信息"/>
      <sheetName val="dxnsjtempsheet"/>
      <sheetName val="٥Ā应"/>
      <sheetName val="函证汇总表"/>
      <sheetName val="营业费用Dy"/>
      <sheetName val="主营业务收入Dy"/>
      <sheetName val="应缴增值税测算明细表（按月）"/>
      <sheetName val="Open"/>
      <sheetName val="营业收入审定表"/>
      <sheetName val="应付帐款明细表1-12月"/>
      <sheetName val="余良卿9月"/>
      <sheetName val="56330-账面 (2)"/>
      <sheetName val="PIT"/>
      <sheetName val="Links"/>
      <sheetName val="Lead"/>
      <sheetName val="资产负债表(本部原报)"/>
      <sheetName val="科目余额表正式"/>
      <sheetName val="erp测算"/>
      <sheetName val="Validation source"/>
      <sheetName val="会计科目"/>
      <sheetName val="PER SALES ORG"/>
      <sheetName val="盈余公积 （合并)"/>
      <sheetName val="审计调整"/>
      <sheetName val="标本-资产"/>
      <sheetName val="合"/>
      <sheetName val="审定BS"/>
      <sheetName val="审定IN"/>
      <sheetName val="其他科目"/>
      <sheetName val="原材料（系统）"/>
      <sheetName val="Sale summary"/>
      <sheetName val="2007年其他应收款明细表 (2)"/>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管理费用程序表"/>
      <sheetName val="南通对尚玛可销售开票汇总表"/>
      <sheetName val="原报调整分录"/>
      <sheetName val="审计调整分录"/>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本部固定明细"/>
      <sheetName val="预付账款明细表"/>
      <sheetName val="内部购进明细表"/>
      <sheetName val="客户编码"/>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0__x0000__x000d_[分析表.XLS]G9-1_x0000__x0000_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000__x0000__x0000__x0000__x0"/>
      <sheetName val="其他科目_x0000__x0000_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0__x0000__x000a_[分析表.XLS]G9-1_x0000__x0000_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0__x0000__x000d_[分析表.X"/>
      <sheetName val="其他科目_x005f_x0000__x005f_x0000__"/>
      <sheetName val="其他科目_x0000__x0000_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_x0000__x0000__x0000__x0000__x0000__x0000__x0000__x0000__x0000__x0000__x0000__x0000__x0000__x0000__x0000__x0000__x0000__x0000_"/>
      <sheetName val="B_x0000__x0000__x0000_Ⴜ0Ӌ痨_x0002__x0000_郢ሃΨ_x0000_ଊ痨郢ሃ_x001c_绺"/>
      <sheetName val="B8_x0000__x0000_Ⴌ4Ӌ瘠_x0002__x0000_ඦΨ_x0000_ଊ瘠ඦ_x001c_绺"/>
      <sheetName val="H101(OK)"/>
      <sheetName val="A包装物"/>
      <sheetName val="C包装物"/>
      <sheetName val="材料明细账"/>
      <sheetName val="Be_x0000__x0000__x0000__x0000__x0000__x0000__x0000__x0000__x0000__x0000__x0000__x0000__x0000__x0000__x0000__x0000__x0000__x0000_"/>
      <sheetName val="Price List"/>
      <sheetName val="管理费用明细"/>
      <sheetName val="Bgሀြ0슌沅_x0000__x0000_舤殉腼殉ㅏ怆 ɂሀ"/>
      <sheetName val="Bgैာ4슌櫂_x0000__x0000_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x0000__x0000__"/>
      <sheetName val="_x005f_x005f_x005f_x0000__x005f"/>
      <sheetName val="其他科目_x005f_x005f_x005f_x005f_x0"/>
      <sheetName val="_x005f_x005f_x005f_x005f_"/>
      <sheetName val="_x0000__x0000_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x0000__x0000_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_x0000__x0000__x0000_h"/>
      <sheetName val="_x0002__x0000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_x0000_"/>
      <sheetName val="2010年台ᮀ"/>
      <sheetName val="2010年台厰"/>
      <sheetName val="2010年台"/>
      <sheetName val="其他科目_x000a__分析表_XLS_G9-1_x000a_"/>
      <sheetName val="固定资产类别年统计表 (2)"/>
      <sheetName val="补贴收入明细表"/>
      <sheetName val="CM_x0000_"/>
      <sheetName val="其他科目_x005f_x0000__x_x0000__x0000_髈↉ーɭ"/>
      <sheetName val="其他科目_x0000__x"/>
      <sheetName val="_x0000_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x0000__x0000__x0000__x0000__"/>
      <sheetName val="B_x0000__x0000__x0000_Ⴜ0Ӌ痨_x000"/>
      <sheetName val="B8_x0000__x0000_Ⴌ4Ӌ瘠_x0002__x00"/>
      <sheetName val="Be_x0000__x0000__x0000__x0000__"/>
      <sheetName val="Bgሀြ0슌沅_x0000__x0000_舤殉腼殉ㅏ怆 ɂሀ"/>
      <sheetName val="Bgैာ4슌櫂_x0000__x0000_舤槆腼槆ॽᔒ@Ʉ_x"/>
      <sheetName val="其他科目_x005f_x0000__x_x0000_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_x0000__x0000_[分析表.XLS]G9-1_x0000__x0000_[分"/>
      <sheetName val="其他科目_x0000__x0000__分析表.X"/>
      <sheetName val="其他科目_x0000__x0000_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0__x0000_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00__x0000__x00"/>
      <sheetName val="社保表"/>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0__x0000__x000d_[分析表_X"/>
      <sheetName val="其他科目_x0000__x0000_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BKD-星舟科技(按客户）"/>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工企资产负债表"/>
      <sheetName val="财政供养人员增幅"/>
      <sheetName val="CE_P"/>
      <sheetName val="conWP"/>
      <sheetName val="母公司TB"/>
      <sheetName val="短期借款汇总表"/>
      <sheetName val="长期借款汇总表"/>
      <sheetName val="FB1"/>
      <sheetName val="FB1 (2)"/>
      <sheetName val="Tax Payment test"/>
      <sheetName val="BKD"/>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其他科目_分析表_XLS_G9-1_分"/>
      <sheetName val="10-12"/>
      <sheetName val="Sheet314"/>
      <sheetName val="Sheet1746"/>
      <sheetName val="Sheet1747"/>
      <sheetName val="字段表"/>
      <sheetName val="B1-1001"/>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sheetData sheetId="3148"/>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sheetData sheetId="3175"/>
      <sheetData sheetId="3176"/>
      <sheetData sheetId="3177"/>
      <sheetData sheetId="3178"/>
      <sheetData sheetId="3179"/>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75"/>
  <sheetViews>
    <sheetView tabSelected="1" view="pageBreakPreview" topLeftCell="A13" zoomScaleNormal="130" zoomScaleSheetLayoutView="100" workbookViewId="0">
      <selection activeCell="K18" sqref="K18"/>
    </sheetView>
  </sheetViews>
  <sheetFormatPr defaultColWidth="9" defaultRowHeight="13.8" x14ac:dyDescent="0.25"/>
  <cols>
    <col min="1" max="1" width="23.21875" style="1" customWidth="1"/>
    <col min="2" max="2" width="7" style="1" customWidth="1"/>
    <col min="3" max="3" width="8.44140625" style="1" customWidth="1"/>
    <col min="4" max="4" width="21" style="1" customWidth="1"/>
    <col min="5" max="5" width="19.77734375" style="1" customWidth="1"/>
    <col min="6" max="6" width="13.109375" style="1" customWidth="1"/>
    <col min="7" max="8" width="9" style="1"/>
    <col min="9" max="9" width="9" style="1" hidden="1" customWidth="1"/>
    <col min="10" max="16384" width="9" style="1"/>
  </cols>
  <sheetData>
    <row r="1" spans="1:6" ht="20.100000000000001" customHeight="1" x14ac:dyDescent="0.25">
      <c r="A1" s="38" t="s">
        <v>99</v>
      </c>
      <c r="B1" s="38"/>
      <c r="C1" s="38"/>
      <c r="D1" s="38"/>
      <c r="E1" s="38"/>
      <c r="F1" s="38"/>
    </row>
    <row r="2" spans="1:6" ht="24.9" customHeight="1" x14ac:dyDescent="0.25">
      <c r="A2" s="39" t="s">
        <v>101</v>
      </c>
      <c r="B2" s="39"/>
      <c r="C2" s="39"/>
      <c r="D2" s="39"/>
      <c r="E2" s="39"/>
      <c r="F2" s="39"/>
    </row>
    <row r="3" spans="1:6" ht="17.25" customHeight="1" x14ac:dyDescent="0.25">
      <c r="A3" s="2" t="s">
        <v>92</v>
      </c>
      <c r="B3" s="3"/>
      <c r="C3" s="3"/>
      <c r="D3" s="2" t="s">
        <v>93</v>
      </c>
      <c r="E3" s="2" t="s">
        <v>94</v>
      </c>
      <c r="F3" s="2" t="s">
        <v>100</v>
      </c>
    </row>
    <row r="4" spans="1:6" ht="17.25" customHeight="1" x14ac:dyDescent="0.25">
      <c r="A4" s="2" t="s">
        <v>95</v>
      </c>
      <c r="B4" s="3"/>
      <c r="C4" s="3"/>
      <c r="D4" s="2" t="s">
        <v>96</v>
      </c>
      <c r="E4" s="2" t="s">
        <v>97</v>
      </c>
      <c r="F4" s="2" t="s">
        <v>98</v>
      </c>
    </row>
    <row r="5" spans="1:6" ht="17.25" customHeight="1" x14ac:dyDescent="0.25">
      <c r="A5" s="37" t="s">
        <v>91</v>
      </c>
      <c r="B5" s="5"/>
      <c r="C5" s="5"/>
      <c r="D5" s="6"/>
      <c r="E5" s="5"/>
      <c r="F5" s="7"/>
    </row>
    <row r="6" spans="1:6" ht="17.25" customHeight="1" x14ac:dyDescent="0.25">
      <c r="A6" s="8"/>
      <c r="B6" s="2"/>
      <c r="C6" s="2"/>
      <c r="D6" s="9"/>
      <c r="E6" s="2"/>
      <c r="F6" s="10"/>
    </row>
    <row r="7" spans="1:6" ht="17.25" customHeight="1" x14ac:dyDescent="0.25">
      <c r="A7" s="8"/>
      <c r="B7" s="2"/>
      <c r="C7" s="2"/>
      <c r="D7" s="9"/>
      <c r="E7" s="2"/>
      <c r="F7" s="10"/>
    </row>
    <row r="8" spans="1:6" ht="17.25" customHeight="1" x14ac:dyDescent="0.25">
      <c r="A8" s="11"/>
      <c r="B8" s="12"/>
      <c r="C8" s="12"/>
      <c r="D8" s="13"/>
      <c r="E8" s="12"/>
      <c r="F8" s="14"/>
    </row>
    <row r="9" spans="1:6" s="15" customFormat="1" ht="18.75" customHeight="1" x14ac:dyDescent="0.25">
      <c r="A9" s="40" t="s">
        <v>1</v>
      </c>
      <c r="B9" s="40"/>
      <c r="C9" s="33" t="s">
        <v>2</v>
      </c>
      <c r="D9" s="41" t="s">
        <v>3</v>
      </c>
      <c r="E9" s="42"/>
      <c r="F9" s="33" t="s">
        <v>4</v>
      </c>
    </row>
    <row r="10" spans="1:6" s="15" customFormat="1" ht="68.25" customHeight="1" x14ac:dyDescent="0.25">
      <c r="A10" s="43" t="s">
        <v>5</v>
      </c>
      <c r="B10" s="44"/>
      <c r="C10" s="47"/>
      <c r="D10" s="49"/>
      <c r="E10" s="44"/>
      <c r="F10" s="16"/>
    </row>
    <row r="11" spans="1:6" s="15" customFormat="1" ht="17.25" customHeight="1" x14ac:dyDescent="0.25">
      <c r="A11" s="45"/>
      <c r="B11" s="46"/>
      <c r="C11" s="48"/>
      <c r="D11" s="50" t="str">
        <f>IF(C10="否","不属于控制偏差；进入步骤六",IF(C10="是","进入步骤二",""))</f>
        <v/>
      </c>
      <c r="E11" s="46"/>
      <c r="F11" s="17"/>
    </row>
    <row r="12" spans="1:6" s="15" customFormat="1" ht="68.25" customHeight="1" x14ac:dyDescent="0.25">
      <c r="A12" s="43" t="s">
        <v>6</v>
      </c>
      <c r="B12" s="44"/>
      <c r="C12" s="47"/>
      <c r="D12" s="51"/>
      <c r="E12" s="44"/>
      <c r="F12" s="16"/>
    </row>
    <row r="13" spans="1:6" s="15" customFormat="1" ht="17.25" customHeight="1" x14ac:dyDescent="0.25">
      <c r="A13" s="45"/>
      <c r="B13" s="46"/>
      <c r="C13" s="48"/>
      <c r="D13" s="50" t="str">
        <f>IF(C12="随机性偏差","确定应对措施；进入步骤三",IF(OR(C12="系统性偏差",C12="人为偏差"),"属于控制缺陷；进入步骤五",""))</f>
        <v/>
      </c>
      <c r="E13" s="46"/>
      <c r="F13" s="17"/>
    </row>
    <row r="14" spans="1:6" s="15" customFormat="1" ht="72.75" customHeight="1" x14ac:dyDescent="0.25">
      <c r="A14" s="43" t="s">
        <v>7</v>
      </c>
      <c r="B14" s="44"/>
      <c r="C14" s="47"/>
      <c r="D14" s="51"/>
      <c r="E14" s="44"/>
      <c r="F14" s="16"/>
    </row>
    <row r="15" spans="1:6" s="15" customFormat="1" ht="18" customHeight="1" x14ac:dyDescent="0.25">
      <c r="A15" s="45"/>
      <c r="B15" s="46"/>
      <c r="C15" s="48"/>
      <c r="D15" s="50" t="str">
        <f>IF(C14="直接认定为偏差","进入步骤五",IF(C14="扩大样本量","进入步骤四",""))</f>
        <v/>
      </c>
      <c r="E15" s="46"/>
      <c r="F15" s="17"/>
    </row>
    <row r="16" spans="1:6" s="15" customFormat="1" ht="69" customHeight="1" x14ac:dyDescent="0.25">
      <c r="A16" s="43" t="s">
        <v>8</v>
      </c>
      <c r="B16" s="44"/>
      <c r="C16" s="47"/>
      <c r="D16" s="51"/>
      <c r="E16" s="44"/>
      <c r="F16" s="16"/>
    </row>
    <row r="17" spans="1:9" s="15" customFormat="1" ht="17.25" customHeight="1" x14ac:dyDescent="0.25">
      <c r="A17" s="45"/>
      <c r="B17" s="46"/>
      <c r="C17" s="48"/>
      <c r="D17" s="50" t="str">
        <f>IF(C16="否","控制有效",IF(C16="是","该控制无效；进入步骤五",""))</f>
        <v/>
      </c>
      <c r="E17" s="46"/>
      <c r="F17" s="17"/>
    </row>
    <row r="18" spans="1:9" s="15" customFormat="1" ht="21" customHeight="1" x14ac:dyDescent="0.25">
      <c r="A18" s="51" t="s">
        <v>9</v>
      </c>
      <c r="B18" s="44"/>
      <c r="C18" s="47"/>
      <c r="D18" s="43"/>
      <c r="E18" s="44"/>
      <c r="F18" s="18"/>
    </row>
    <row r="19" spans="1:9" s="15" customFormat="1" ht="21" customHeight="1" x14ac:dyDescent="0.25">
      <c r="A19" s="45"/>
      <c r="B19" s="46"/>
      <c r="C19" s="48"/>
      <c r="D19" s="50" t="str">
        <f>IF(OR(D15="进入步骤五",D17="该控制无效；进入步骤五"),"进入内部控制缺陷评价底稿","")</f>
        <v/>
      </c>
      <c r="E19" s="46"/>
      <c r="F19" s="19" t="str">
        <f>IF(LEN(D19)&gt;0,"A14","")</f>
        <v/>
      </c>
    </row>
    <row r="20" spans="1:9" s="15" customFormat="1" ht="97.5" customHeight="1" x14ac:dyDescent="0.25">
      <c r="A20" s="51" t="s">
        <v>10</v>
      </c>
      <c r="B20" s="44"/>
      <c r="C20" s="47"/>
      <c r="D20" s="51"/>
      <c r="E20" s="44"/>
      <c r="F20" s="16"/>
    </row>
    <row r="21" spans="1:9" s="15" customFormat="1" ht="19.5" customHeight="1" x14ac:dyDescent="0.25">
      <c r="A21" s="45"/>
      <c r="B21" s="46"/>
      <c r="C21" s="48"/>
      <c r="D21" s="50" t="str">
        <f>IF(C20="否","该控制例外情况不构成偏差或缺陷",IF(C20="是","存在设计缺陷；回到步骤五",""))</f>
        <v/>
      </c>
      <c r="E21" s="46"/>
      <c r="F21" s="17"/>
    </row>
    <row r="22" spans="1:9" s="15" customFormat="1" ht="45.75" customHeight="1" x14ac:dyDescent="0.25">
      <c r="A22" s="52" t="s">
        <v>89</v>
      </c>
      <c r="B22" s="53"/>
      <c r="C22" s="20"/>
      <c r="D22" s="54"/>
      <c r="E22" s="55"/>
      <c r="F22" s="21"/>
      <c r="I22" s="31"/>
    </row>
    <row r="23" spans="1:9" s="15" customFormat="1" ht="13.2" x14ac:dyDescent="0.25"/>
    <row r="24" spans="1:9" s="15" customFormat="1" ht="13.2" x14ac:dyDescent="0.25">
      <c r="I24" s="32" t="s">
        <v>79</v>
      </c>
    </row>
    <row r="25" spans="1:9" x14ac:dyDescent="0.25">
      <c r="A25" s="22" t="s">
        <v>12</v>
      </c>
      <c r="B25" s="23"/>
      <c r="C25" s="23"/>
      <c r="D25" s="23"/>
      <c r="E25" s="23"/>
      <c r="F25" s="23"/>
      <c r="I25" s="32" t="s">
        <v>82</v>
      </c>
    </row>
    <row r="26" spans="1:9" x14ac:dyDescent="0.25">
      <c r="A26" s="22" t="s">
        <v>13</v>
      </c>
      <c r="B26" s="23"/>
      <c r="C26" s="23"/>
      <c r="D26" s="23"/>
      <c r="E26" s="23"/>
      <c r="F26" s="23"/>
      <c r="I26" s="32" t="s">
        <v>81</v>
      </c>
    </row>
    <row r="27" spans="1:9" x14ac:dyDescent="0.25">
      <c r="A27" s="24" t="s">
        <v>14</v>
      </c>
      <c r="B27" s="23"/>
      <c r="C27" s="23"/>
      <c r="D27" s="23"/>
      <c r="E27" s="23"/>
      <c r="F27" s="23"/>
      <c r="I27" s="32" t="s">
        <v>80</v>
      </c>
    </row>
    <row r="28" spans="1:9" x14ac:dyDescent="0.25">
      <c r="A28" s="24" t="s">
        <v>15</v>
      </c>
      <c r="B28" s="23"/>
      <c r="C28" s="23"/>
      <c r="D28" s="23"/>
      <c r="E28" s="23"/>
      <c r="F28" s="23"/>
    </row>
    <row r="29" spans="1:9" x14ac:dyDescent="0.25">
      <c r="A29" s="24" t="s">
        <v>16</v>
      </c>
      <c r="B29" s="23"/>
      <c r="C29" s="23"/>
      <c r="D29" s="23"/>
      <c r="E29" s="23"/>
      <c r="F29" s="23"/>
      <c r="I29" s="31"/>
    </row>
    <row r="30" spans="1:9" x14ac:dyDescent="0.25">
      <c r="A30" s="24" t="s">
        <v>17</v>
      </c>
      <c r="B30" s="23"/>
      <c r="C30" s="23"/>
      <c r="D30" s="23"/>
      <c r="E30" s="23"/>
      <c r="F30" s="23"/>
    </row>
    <row r="31" spans="1:9" x14ac:dyDescent="0.25">
      <c r="A31" s="24" t="s">
        <v>18</v>
      </c>
      <c r="B31" s="23"/>
      <c r="C31" s="23"/>
      <c r="D31" s="23"/>
      <c r="E31" s="23"/>
      <c r="F31" s="23"/>
    </row>
    <row r="32" spans="1:9" x14ac:dyDescent="0.25">
      <c r="A32" s="24" t="s">
        <v>19</v>
      </c>
      <c r="B32" s="23"/>
      <c r="C32" s="23"/>
      <c r="D32" s="23"/>
      <c r="E32" s="23"/>
      <c r="F32" s="23"/>
    </row>
    <row r="33" spans="1:6" x14ac:dyDescent="0.25">
      <c r="A33" s="24" t="s">
        <v>20</v>
      </c>
      <c r="B33" s="23"/>
      <c r="C33" s="23"/>
      <c r="D33" s="23"/>
      <c r="E33" s="23"/>
      <c r="F33" s="23"/>
    </row>
    <row r="34" spans="1:6" x14ac:dyDescent="0.25">
      <c r="A34" s="24" t="s">
        <v>21</v>
      </c>
      <c r="B34" s="23"/>
      <c r="C34" s="23"/>
      <c r="D34" s="23"/>
      <c r="E34" s="23"/>
      <c r="F34" s="23"/>
    </row>
    <row r="35" spans="1:6" x14ac:dyDescent="0.25">
      <c r="A35" s="24" t="s">
        <v>22</v>
      </c>
      <c r="B35" s="23"/>
      <c r="C35" s="23"/>
      <c r="D35" s="23"/>
      <c r="E35" s="23"/>
      <c r="F35" s="23"/>
    </row>
    <row r="36" spans="1:6" x14ac:dyDescent="0.25">
      <c r="A36" s="24" t="s">
        <v>23</v>
      </c>
      <c r="B36" s="23"/>
      <c r="C36" s="23"/>
      <c r="D36" s="23"/>
      <c r="E36" s="23"/>
      <c r="F36" s="23"/>
    </row>
    <row r="37" spans="1:6" s="15" customFormat="1" ht="14.25" customHeight="1" x14ac:dyDescent="0.25">
      <c r="A37" s="22" t="s">
        <v>24</v>
      </c>
      <c r="B37" s="23"/>
      <c r="C37" s="23"/>
      <c r="D37" s="23"/>
      <c r="E37" s="23"/>
      <c r="F37" s="23"/>
    </row>
    <row r="38" spans="1:6" x14ac:dyDescent="0.25">
      <c r="A38" s="24" t="s">
        <v>25</v>
      </c>
      <c r="B38" s="23"/>
      <c r="C38" s="23"/>
      <c r="D38" s="23"/>
      <c r="E38" s="23"/>
      <c r="F38" s="23"/>
    </row>
    <row r="39" spans="1:6" x14ac:dyDescent="0.25">
      <c r="A39" s="24" t="s">
        <v>26</v>
      </c>
      <c r="B39" s="23"/>
      <c r="C39" s="23"/>
      <c r="D39" s="23"/>
      <c r="E39" s="23"/>
      <c r="F39" s="23"/>
    </row>
    <row r="40" spans="1:6" x14ac:dyDescent="0.25">
      <c r="A40" s="24" t="s">
        <v>27</v>
      </c>
      <c r="B40" s="23"/>
      <c r="C40" s="23"/>
      <c r="D40" s="23"/>
      <c r="E40" s="23"/>
      <c r="F40" s="23"/>
    </row>
    <row r="41" spans="1:6" x14ac:dyDescent="0.25">
      <c r="A41" s="25" t="s">
        <v>28</v>
      </c>
      <c r="B41" s="26"/>
      <c r="C41" s="26"/>
      <c r="D41" s="26"/>
      <c r="E41" s="26"/>
      <c r="F41" s="26"/>
    </row>
    <row r="42" spans="1:6" x14ac:dyDescent="0.25">
      <c r="A42" s="25"/>
      <c r="B42" s="26"/>
      <c r="C42" s="26"/>
      <c r="D42" s="26"/>
      <c r="E42" s="26"/>
      <c r="F42" s="26"/>
    </row>
    <row r="43" spans="1:6" x14ac:dyDescent="0.25">
      <c r="A43" s="27" t="s">
        <v>29</v>
      </c>
      <c r="B43" s="23"/>
      <c r="C43" s="23"/>
      <c r="D43" s="23"/>
      <c r="E43" s="23"/>
      <c r="F43" s="23"/>
    </row>
    <row r="44" spans="1:6" x14ac:dyDescent="0.25">
      <c r="A44" s="24" t="s">
        <v>30</v>
      </c>
      <c r="B44" s="23"/>
      <c r="C44" s="23"/>
      <c r="D44" s="23"/>
      <c r="E44" s="23"/>
      <c r="F44" s="23"/>
    </row>
    <row r="45" spans="1:6" x14ac:dyDescent="0.25">
      <c r="A45" s="24" t="s">
        <v>31</v>
      </c>
      <c r="B45" s="23"/>
      <c r="C45" s="23"/>
      <c r="D45" s="23"/>
      <c r="E45" s="23"/>
      <c r="F45" s="23"/>
    </row>
    <row r="46" spans="1:6" x14ac:dyDescent="0.25">
      <c r="A46" s="24" t="s">
        <v>32</v>
      </c>
      <c r="B46" s="23"/>
      <c r="C46" s="23"/>
      <c r="D46" s="23"/>
      <c r="E46" s="23"/>
      <c r="F46" s="23"/>
    </row>
    <row r="47" spans="1:6" x14ac:dyDescent="0.25">
      <c r="A47" s="24" t="s">
        <v>33</v>
      </c>
      <c r="B47" s="23"/>
      <c r="C47" s="23"/>
      <c r="D47" s="23"/>
      <c r="E47" s="23"/>
      <c r="F47" s="23"/>
    </row>
    <row r="48" spans="1:6" x14ac:dyDescent="0.25">
      <c r="A48" s="24" t="s">
        <v>34</v>
      </c>
      <c r="B48" s="23"/>
      <c r="C48" s="23"/>
      <c r="D48" s="23"/>
      <c r="E48" s="23"/>
      <c r="F48" s="23"/>
    </row>
    <row r="49" spans="1:6" x14ac:dyDescent="0.25">
      <c r="A49" s="24" t="s">
        <v>35</v>
      </c>
      <c r="B49" s="23"/>
      <c r="C49" s="23"/>
      <c r="D49" s="23"/>
      <c r="E49" s="23"/>
      <c r="F49" s="23"/>
    </row>
    <row r="50" spans="1:6" x14ac:dyDescent="0.25">
      <c r="A50" s="24" t="s">
        <v>36</v>
      </c>
      <c r="B50" s="23"/>
      <c r="C50" s="23"/>
      <c r="D50" s="23"/>
      <c r="E50" s="23"/>
      <c r="F50" s="23"/>
    </row>
    <row r="51" spans="1:6" x14ac:dyDescent="0.25">
      <c r="A51" s="24" t="s">
        <v>37</v>
      </c>
      <c r="B51" s="23"/>
      <c r="C51" s="23"/>
      <c r="D51" s="23"/>
      <c r="E51" s="23"/>
      <c r="F51" s="23"/>
    </row>
    <row r="52" spans="1:6" x14ac:dyDescent="0.25">
      <c r="A52" s="24" t="s">
        <v>38</v>
      </c>
      <c r="B52" s="23"/>
      <c r="C52" s="23"/>
      <c r="D52" s="23"/>
      <c r="E52" s="23"/>
      <c r="F52" s="23"/>
    </row>
    <row r="53" spans="1:6" x14ac:dyDescent="0.25">
      <c r="A53" s="24" t="s">
        <v>39</v>
      </c>
      <c r="B53" s="23"/>
      <c r="C53" s="23"/>
      <c r="D53" s="23"/>
      <c r="E53" s="23"/>
      <c r="F53" s="23"/>
    </row>
    <row r="54" spans="1:6" x14ac:dyDescent="0.25">
      <c r="A54" s="24" t="s">
        <v>40</v>
      </c>
      <c r="B54" s="23"/>
      <c r="C54" s="23"/>
      <c r="D54" s="23"/>
      <c r="E54" s="23"/>
      <c r="F54" s="23"/>
    </row>
    <row r="55" spans="1:6" x14ac:dyDescent="0.25">
      <c r="A55" s="24" t="s">
        <v>41</v>
      </c>
      <c r="B55" s="23"/>
      <c r="C55" s="23"/>
      <c r="D55" s="23"/>
      <c r="E55" s="23"/>
      <c r="F55" s="23"/>
    </row>
    <row r="56" spans="1:6" x14ac:dyDescent="0.25">
      <c r="A56" s="24"/>
      <c r="B56" s="23"/>
      <c r="C56" s="23"/>
      <c r="D56" s="23"/>
      <c r="E56" s="23"/>
      <c r="F56" s="23"/>
    </row>
    <row r="57" spans="1:6" x14ac:dyDescent="0.25">
      <c r="A57" s="22" t="s">
        <v>42</v>
      </c>
    </row>
    <row r="58" spans="1:6" x14ac:dyDescent="0.25">
      <c r="A58" s="28" t="s">
        <v>43</v>
      </c>
    </row>
    <row r="59" spans="1:6" x14ac:dyDescent="0.25">
      <c r="A59" s="25" t="s">
        <v>44</v>
      </c>
    </row>
    <row r="60" spans="1:6" x14ac:dyDescent="0.25">
      <c r="A60" s="25" t="s">
        <v>45</v>
      </c>
    </row>
    <row r="61" spans="1:6" x14ac:dyDescent="0.25">
      <c r="A61" s="25" t="s">
        <v>46</v>
      </c>
    </row>
    <row r="62" spans="1:6" x14ac:dyDescent="0.25">
      <c r="A62" s="25" t="s">
        <v>47</v>
      </c>
    </row>
    <row r="63" spans="1:6" x14ac:dyDescent="0.25">
      <c r="A63" s="25" t="s">
        <v>48</v>
      </c>
    </row>
    <row r="65" spans="1:1" x14ac:dyDescent="0.25">
      <c r="A65" s="22" t="s">
        <v>49</v>
      </c>
    </row>
    <row r="66" spans="1:1" x14ac:dyDescent="0.25">
      <c r="A66" s="25" t="s">
        <v>50</v>
      </c>
    </row>
    <row r="67" spans="1:1" x14ac:dyDescent="0.25">
      <c r="A67" s="25" t="s">
        <v>51</v>
      </c>
    </row>
    <row r="68" spans="1:1" x14ac:dyDescent="0.25">
      <c r="A68" s="25" t="s">
        <v>52</v>
      </c>
    </row>
    <row r="69" spans="1:1" x14ac:dyDescent="0.25">
      <c r="A69" s="25" t="s">
        <v>53</v>
      </c>
    </row>
    <row r="70" spans="1:1" x14ac:dyDescent="0.25">
      <c r="A70" s="25"/>
    </row>
    <row r="71" spans="1:1" x14ac:dyDescent="0.25">
      <c r="A71" s="30" t="s">
        <v>78</v>
      </c>
    </row>
    <row r="72" spans="1:1" x14ac:dyDescent="0.25">
      <c r="A72" s="29" t="s">
        <v>54</v>
      </c>
    </row>
    <row r="73" spans="1:1" x14ac:dyDescent="0.25">
      <c r="A73" s="29" t="s">
        <v>55</v>
      </c>
    </row>
    <row r="74" spans="1:1" x14ac:dyDescent="0.25">
      <c r="A74" s="29" t="s">
        <v>56</v>
      </c>
    </row>
    <row r="75" spans="1:1" x14ac:dyDescent="0.25">
      <c r="A75" s="25"/>
    </row>
  </sheetData>
  <mergeCells count="30">
    <mergeCell ref="A20:B21"/>
    <mergeCell ref="C20:C21"/>
    <mergeCell ref="D20:E20"/>
    <mergeCell ref="D21:E21"/>
    <mergeCell ref="A22:B22"/>
    <mergeCell ref="D22:E22"/>
    <mergeCell ref="A16:B17"/>
    <mergeCell ref="C16:C17"/>
    <mergeCell ref="D16:E16"/>
    <mergeCell ref="D17:E17"/>
    <mergeCell ref="A18:B19"/>
    <mergeCell ref="C18:C19"/>
    <mergeCell ref="D18:E18"/>
    <mergeCell ref="D19:E19"/>
    <mergeCell ref="A12:B13"/>
    <mergeCell ref="C12:C13"/>
    <mergeCell ref="D12:E12"/>
    <mergeCell ref="D13:E13"/>
    <mergeCell ref="A14:B15"/>
    <mergeCell ref="C14:C15"/>
    <mergeCell ref="D14:E14"/>
    <mergeCell ref="D15:E15"/>
    <mergeCell ref="A1:F1"/>
    <mergeCell ref="A2:F2"/>
    <mergeCell ref="A9:B9"/>
    <mergeCell ref="D9:E9"/>
    <mergeCell ref="A10:B11"/>
    <mergeCell ref="C10:C11"/>
    <mergeCell ref="D10:E10"/>
    <mergeCell ref="D11:E11"/>
  </mergeCells>
  <phoneticPr fontId="4" type="noConversion"/>
  <dataValidations count="4">
    <dataValidation type="list" allowBlank="1" showInputMessage="1" showErrorMessage="1" sqref="C14:C15">
      <formula1>"扩大样本量,直接认定为偏差"</formula1>
    </dataValidation>
    <dataValidation type="list" allowBlank="1" showInputMessage="1" showErrorMessage="1" sqref="C12:C13">
      <formula1>"系统性偏差,人为偏差,随机性偏差"</formula1>
    </dataValidation>
    <dataValidation type="list" allowBlank="1" showInputMessage="1" showErrorMessage="1" sqref="C10:C11 C16:C17 C20:C21">
      <formula1>"是,否"</formula1>
    </dataValidation>
    <dataValidation type="list" allowBlank="1" showInputMessage="1" showErrorMessage="1" sqref="D22:E22">
      <formula1>$I$24:$I$27</formula1>
    </dataValidation>
  </dataValidations>
  <pageMargins left="0.70866141732283472" right="0.43307086614173229" top="0.62992125984251968" bottom="0.47244094488188981" header="0.31496062992125984" footer="0.31496062992125984"/>
  <pageSetup paperSize="9" scale="92" orientation="portrait" blackAndWhite="1" r:id="rId1"/>
  <headerFooter>
    <oddFooter>&amp;C&amp;P/&amp;N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92D050"/>
  </sheetPr>
  <dimension ref="A1:F33"/>
  <sheetViews>
    <sheetView view="pageBreakPreview" zoomScaleNormal="130" zoomScaleSheetLayoutView="100" workbookViewId="0">
      <selection activeCell="K10" sqref="K10"/>
    </sheetView>
  </sheetViews>
  <sheetFormatPr defaultColWidth="9" defaultRowHeight="13.8" x14ac:dyDescent="0.25"/>
  <cols>
    <col min="1" max="1" width="23.21875" style="1" customWidth="1"/>
    <col min="2" max="2" width="5.109375" style="1" customWidth="1"/>
    <col min="3" max="3" width="4.77734375" style="1" customWidth="1"/>
    <col min="4" max="4" width="16.88671875" style="1" customWidth="1"/>
    <col min="5" max="5" width="19.109375" style="1" customWidth="1"/>
    <col min="6" max="6" width="12.33203125" style="1" customWidth="1"/>
    <col min="7" max="16384" width="9" style="1"/>
  </cols>
  <sheetData>
    <row r="1" spans="1:6" ht="20.100000000000001" customHeight="1" x14ac:dyDescent="0.3">
      <c r="A1" s="56" t="s">
        <v>0</v>
      </c>
      <c r="B1" s="56"/>
      <c r="C1" s="56"/>
      <c r="D1" s="56"/>
      <c r="E1" s="56"/>
      <c r="F1" s="56"/>
    </row>
    <row r="2" spans="1:6" ht="24.9" customHeight="1" x14ac:dyDescent="0.25">
      <c r="A2" s="57" t="s">
        <v>57</v>
      </c>
      <c r="B2" s="57"/>
      <c r="C2" s="57"/>
      <c r="D2" s="57"/>
      <c r="E2" s="57"/>
      <c r="F2" s="57"/>
    </row>
    <row r="3" spans="1:6" ht="17.25" customHeight="1" x14ac:dyDescent="0.25">
      <c r="A3" s="34" t="s">
        <v>83</v>
      </c>
      <c r="B3" s="3"/>
      <c r="C3" s="3"/>
      <c r="D3" s="2" t="s">
        <v>58</v>
      </c>
      <c r="E3" s="2" t="s">
        <v>85</v>
      </c>
      <c r="F3" s="2" t="s">
        <v>102</v>
      </c>
    </row>
    <row r="4" spans="1:6" ht="17.25" customHeight="1" x14ac:dyDescent="0.25">
      <c r="A4" s="2" t="s">
        <v>84</v>
      </c>
      <c r="B4" s="3"/>
      <c r="C4" s="3"/>
      <c r="D4" s="2" t="s">
        <v>59</v>
      </c>
      <c r="E4" s="2" t="s">
        <v>86</v>
      </c>
      <c r="F4" s="2" t="s">
        <v>60</v>
      </c>
    </row>
    <row r="5" spans="1:6" ht="17.25" customHeight="1" x14ac:dyDescent="0.25">
      <c r="A5" s="4" t="s">
        <v>61</v>
      </c>
      <c r="B5" s="5"/>
      <c r="C5" s="5"/>
      <c r="D5" s="6"/>
      <c r="E5" s="5"/>
      <c r="F5" s="7"/>
    </row>
    <row r="6" spans="1:6" ht="17.25" customHeight="1" x14ac:dyDescent="0.25">
      <c r="A6" s="35" t="s">
        <v>87</v>
      </c>
      <c r="B6" s="2"/>
      <c r="C6" s="2"/>
      <c r="D6" s="9"/>
      <c r="E6" s="2"/>
      <c r="F6" s="10"/>
    </row>
    <row r="7" spans="1:6" ht="17.25" customHeight="1" x14ac:dyDescent="0.25">
      <c r="A7" s="36" t="s">
        <v>88</v>
      </c>
      <c r="B7" s="12"/>
      <c r="C7" s="12"/>
      <c r="D7" s="13"/>
      <c r="E7" s="12"/>
      <c r="F7" s="14"/>
    </row>
    <row r="8" spans="1:6" s="15" customFormat="1" ht="18.75" customHeight="1" x14ac:dyDescent="0.25">
      <c r="A8" s="40" t="s">
        <v>1</v>
      </c>
      <c r="B8" s="40"/>
      <c r="C8" s="33" t="s">
        <v>2</v>
      </c>
      <c r="D8" s="41" t="s">
        <v>62</v>
      </c>
      <c r="E8" s="42"/>
      <c r="F8" s="33" t="s">
        <v>63</v>
      </c>
    </row>
    <row r="9" spans="1:6" s="15" customFormat="1" ht="33.75" customHeight="1" x14ac:dyDescent="0.25">
      <c r="A9" s="51" t="s">
        <v>64</v>
      </c>
      <c r="B9" s="44"/>
      <c r="C9" s="47" t="s">
        <v>65</v>
      </c>
      <c r="D9" s="51" t="s">
        <v>66</v>
      </c>
      <c r="E9" s="44"/>
      <c r="F9" s="16"/>
    </row>
    <row r="10" spans="1:6" s="15" customFormat="1" ht="17.25" customHeight="1" x14ac:dyDescent="0.25">
      <c r="A10" s="58"/>
      <c r="B10" s="59"/>
      <c r="C10" s="60"/>
      <c r="D10" s="50" t="str">
        <f>IF(C9="是","进入步骤二","")</f>
        <v>进入步骤二</v>
      </c>
      <c r="E10" s="46"/>
      <c r="F10" s="17"/>
    </row>
    <row r="11" spans="1:6" s="15" customFormat="1" ht="35.25" customHeight="1" x14ac:dyDescent="0.25">
      <c r="A11" s="58"/>
      <c r="B11" s="59"/>
      <c r="C11" s="60"/>
      <c r="D11" s="43"/>
      <c r="E11" s="44"/>
      <c r="F11" s="16"/>
    </row>
    <row r="12" spans="1:6" s="15" customFormat="1" ht="17.25" customHeight="1" x14ac:dyDescent="0.25">
      <c r="A12" s="45"/>
      <c r="B12" s="46"/>
      <c r="C12" s="48"/>
      <c r="D12" s="50" t="str">
        <f>IF(C9="否","不属于控制偏差；进入步骤六","")</f>
        <v/>
      </c>
      <c r="E12" s="46"/>
      <c r="F12" s="17"/>
    </row>
    <row r="13" spans="1:6" s="15" customFormat="1" ht="36" customHeight="1" x14ac:dyDescent="0.25">
      <c r="A13" s="51" t="s">
        <v>67</v>
      </c>
      <c r="B13" s="44"/>
      <c r="C13" s="47" t="s">
        <v>68</v>
      </c>
      <c r="D13" s="51"/>
      <c r="E13" s="44"/>
      <c r="F13" s="16"/>
    </row>
    <row r="14" spans="1:6" s="15" customFormat="1" ht="17.25" customHeight="1" x14ac:dyDescent="0.25">
      <c r="A14" s="58"/>
      <c r="B14" s="59"/>
      <c r="C14" s="60"/>
      <c r="D14" s="50" t="str">
        <f>IF(OR(C13="系统性偏差",C13="人为偏差"),"属于控制缺陷；进入步骤五","")</f>
        <v/>
      </c>
      <c r="E14" s="46"/>
      <c r="F14" s="17"/>
    </row>
    <row r="15" spans="1:6" s="15" customFormat="1" ht="45" customHeight="1" x14ac:dyDescent="0.25">
      <c r="A15" s="58"/>
      <c r="B15" s="59"/>
      <c r="C15" s="60"/>
      <c r="D15" s="43" t="s">
        <v>69</v>
      </c>
      <c r="E15" s="44"/>
      <c r="F15" s="16"/>
    </row>
    <row r="16" spans="1:6" s="15" customFormat="1" ht="17.25" customHeight="1" x14ac:dyDescent="0.25">
      <c r="A16" s="45"/>
      <c r="B16" s="46"/>
      <c r="C16" s="48"/>
      <c r="D16" s="50" t="str">
        <f>IF(C13="随机性偏差","确定应对措施；进入步骤三","")</f>
        <v>确定应对措施；进入步骤三</v>
      </c>
      <c r="E16" s="46"/>
      <c r="F16" s="17"/>
    </row>
    <row r="17" spans="1:6" s="15" customFormat="1" ht="36" customHeight="1" x14ac:dyDescent="0.25">
      <c r="A17" s="51" t="s">
        <v>70</v>
      </c>
      <c r="B17" s="44"/>
      <c r="C17" s="47" t="s">
        <v>71</v>
      </c>
      <c r="D17" s="51" t="s">
        <v>72</v>
      </c>
      <c r="E17" s="44"/>
      <c r="F17" s="16"/>
    </row>
    <row r="18" spans="1:6" s="15" customFormat="1" ht="18" customHeight="1" x14ac:dyDescent="0.25">
      <c r="A18" s="58"/>
      <c r="B18" s="59"/>
      <c r="C18" s="60"/>
      <c r="D18" s="50" t="str">
        <f>IF(C17="扩大样本量","进入步骤四","")</f>
        <v>进入步骤四</v>
      </c>
      <c r="E18" s="46"/>
      <c r="F18" s="17"/>
    </row>
    <row r="19" spans="1:6" s="15" customFormat="1" ht="18" customHeight="1" x14ac:dyDescent="0.25">
      <c r="A19" s="58"/>
      <c r="B19" s="59"/>
      <c r="C19" s="60"/>
      <c r="D19" s="43"/>
      <c r="E19" s="44"/>
      <c r="F19" s="16"/>
    </row>
    <row r="20" spans="1:6" s="15" customFormat="1" ht="18" customHeight="1" x14ac:dyDescent="0.25">
      <c r="A20" s="45"/>
      <c r="B20" s="46"/>
      <c r="C20" s="48"/>
      <c r="D20" s="50" t="str">
        <f>IF(C17="直接认定为偏差","进入步骤五","")</f>
        <v/>
      </c>
      <c r="E20" s="46"/>
      <c r="F20" s="17"/>
    </row>
    <row r="21" spans="1:6" s="15" customFormat="1" ht="19.5" customHeight="1" x14ac:dyDescent="0.25">
      <c r="A21" s="51" t="s">
        <v>73</v>
      </c>
      <c r="B21" s="44"/>
      <c r="C21" s="47" t="s">
        <v>74</v>
      </c>
      <c r="D21" s="51"/>
      <c r="E21" s="44"/>
      <c r="F21" s="16"/>
    </row>
    <row r="22" spans="1:6" s="15" customFormat="1" ht="17.25" customHeight="1" x14ac:dyDescent="0.25">
      <c r="A22" s="58"/>
      <c r="B22" s="59"/>
      <c r="C22" s="60"/>
      <c r="D22" s="50" t="str">
        <f>IF(C21="是","该控制无效；进入步骤五","")</f>
        <v/>
      </c>
      <c r="E22" s="46"/>
      <c r="F22" s="17"/>
    </row>
    <row r="23" spans="1:6" s="15" customFormat="1" ht="33.75" customHeight="1" x14ac:dyDescent="0.25">
      <c r="A23" s="58"/>
      <c r="B23" s="59"/>
      <c r="C23" s="60"/>
      <c r="D23" s="51" t="s">
        <v>75</v>
      </c>
      <c r="E23" s="44"/>
      <c r="F23" s="16"/>
    </row>
    <row r="24" spans="1:6" s="15" customFormat="1" ht="17.25" customHeight="1" x14ac:dyDescent="0.25">
      <c r="A24" s="45"/>
      <c r="B24" s="46"/>
      <c r="C24" s="48"/>
      <c r="D24" s="50" t="str">
        <f>IF(C21="否","控制有效","")</f>
        <v>控制有效</v>
      </c>
      <c r="E24" s="46"/>
      <c r="F24" s="17"/>
    </row>
    <row r="25" spans="1:6" s="15" customFormat="1" ht="21" customHeight="1" x14ac:dyDescent="0.25">
      <c r="A25" s="51" t="s">
        <v>76</v>
      </c>
      <c r="B25" s="44"/>
      <c r="C25" s="47" t="str">
        <f>IF(OR(D20="进入步骤五",D22="该控制无效；进入步骤五"),"评价缺陷","")</f>
        <v/>
      </c>
      <c r="D25" s="43"/>
      <c r="E25" s="44"/>
      <c r="F25" s="18"/>
    </row>
    <row r="26" spans="1:6" s="15" customFormat="1" ht="21" customHeight="1" x14ac:dyDescent="0.25">
      <c r="A26" s="45"/>
      <c r="B26" s="46"/>
      <c r="C26" s="48"/>
      <c r="D26" s="50" t="str">
        <f>IF(C25="评价缺陷","进入内部控制缺陷评价底稿","")</f>
        <v/>
      </c>
      <c r="E26" s="46"/>
      <c r="F26" s="19" t="str">
        <f>IF(LEN(D26)&gt;0,"T2","")</f>
        <v/>
      </c>
    </row>
    <row r="27" spans="1:6" s="15" customFormat="1" ht="26.25" customHeight="1" x14ac:dyDescent="0.25">
      <c r="A27" s="51" t="s">
        <v>77</v>
      </c>
      <c r="B27" s="44"/>
      <c r="C27" s="47"/>
      <c r="D27" s="51"/>
      <c r="E27" s="44"/>
      <c r="F27" s="16"/>
    </row>
    <row r="28" spans="1:6" s="15" customFormat="1" ht="19.5" customHeight="1" x14ac:dyDescent="0.25">
      <c r="A28" s="58"/>
      <c r="B28" s="59"/>
      <c r="C28" s="60"/>
      <c r="D28" s="50" t="str">
        <f>IF(C27="是","存在设计缺陷；回到步骤五","")</f>
        <v/>
      </c>
      <c r="E28" s="46"/>
      <c r="F28" s="17"/>
    </row>
    <row r="29" spans="1:6" s="15" customFormat="1" ht="30.75" customHeight="1" x14ac:dyDescent="0.25">
      <c r="A29" s="58"/>
      <c r="B29" s="59"/>
      <c r="C29" s="60"/>
      <c r="D29" s="43"/>
      <c r="E29" s="44"/>
      <c r="F29" s="16"/>
    </row>
    <row r="30" spans="1:6" s="15" customFormat="1" ht="19.5" customHeight="1" x14ac:dyDescent="0.25">
      <c r="A30" s="45"/>
      <c r="B30" s="46"/>
      <c r="C30" s="48"/>
      <c r="D30" s="50" t="str">
        <f>IF(C27="否","该控制例外情况不构成偏差或缺陷","")</f>
        <v/>
      </c>
      <c r="E30" s="46"/>
      <c r="F30" s="17"/>
    </row>
    <row r="31" spans="1:6" s="15" customFormat="1" ht="39" customHeight="1" x14ac:dyDescent="0.25">
      <c r="A31" s="52" t="s">
        <v>11</v>
      </c>
      <c r="B31" s="53"/>
      <c r="C31" s="20"/>
      <c r="D31" s="61" t="s">
        <v>90</v>
      </c>
      <c r="E31" s="55"/>
      <c r="F31" s="21"/>
    </row>
    <row r="32" spans="1:6" s="15" customFormat="1" ht="13.2" x14ac:dyDescent="0.25"/>
    <row r="33" s="15" customFormat="1" ht="13.2" x14ac:dyDescent="0.25"/>
  </sheetData>
  <mergeCells count="40">
    <mergeCell ref="A31:B31"/>
    <mergeCell ref="D31:E31"/>
    <mergeCell ref="A25:B26"/>
    <mergeCell ref="C25:C26"/>
    <mergeCell ref="D25:E25"/>
    <mergeCell ref="D26:E26"/>
    <mergeCell ref="A27:B30"/>
    <mergeCell ref="C27:C30"/>
    <mergeCell ref="D27:E27"/>
    <mergeCell ref="D28:E28"/>
    <mergeCell ref="D29:E29"/>
    <mergeCell ref="D30:E30"/>
    <mergeCell ref="A21:B24"/>
    <mergeCell ref="C21:C24"/>
    <mergeCell ref="D21:E21"/>
    <mergeCell ref="D22:E22"/>
    <mergeCell ref="D23:E23"/>
    <mergeCell ref="D24:E24"/>
    <mergeCell ref="A17:B20"/>
    <mergeCell ref="C17:C20"/>
    <mergeCell ref="D17:E17"/>
    <mergeCell ref="D18:E18"/>
    <mergeCell ref="D19:E19"/>
    <mergeCell ref="D20:E20"/>
    <mergeCell ref="A13:B16"/>
    <mergeCell ref="C13:C16"/>
    <mergeCell ref="D13:E13"/>
    <mergeCell ref="D14:E14"/>
    <mergeCell ref="D15:E15"/>
    <mergeCell ref="D16:E16"/>
    <mergeCell ref="A1:F1"/>
    <mergeCell ref="A2:F2"/>
    <mergeCell ref="A8:B8"/>
    <mergeCell ref="D8:E8"/>
    <mergeCell ref="A9:B12"/>
    <mergeCell ref="C9:C12"/>
    <mergeCell ref="D9:E9"/>
    <mergeCell ref="D10:E10"/>
    <mergeCell ref="D11:E11"/>
    <mergeCell ref="D12:E12"/>
  </mergeCells>
  <phoneticPr fontId="4" type="noConversion"/>
  <dataValidations count="3">
    <dataValidation type="list" allowBlank="1" showInputMessage="1" showErrorMessage="1" sqref="C9:C12 C21:C24 C27:C30">
      <formula1>"是,否"</formula1>
    </dataValidation>
    <dataValidation type="list" allowBlank="1" showInputMessage="1" showErrorMessage="1" sqref="C13:C16">
      <formula1>"系统性偏差,人为偏差,随机性偏差"</formula1>
    </dataValidation>
    <dataValidation type="list" allowBlank="1" showInputMessage="1" showErrorMessage="1" sqref="C17:C20">
      <formula1>"扩大样本量,直接认定为偏差"</formula1>
    </dataValidation>
  </dataValidations>
  <pageMargins left="0.70866141732283472" right="0.43307086614173229" top="0.62992125984251968" bottom="0.47244094488188981" header="0.31496062992125984" footer="0.31496062992125984"/>
  <pageSetup paperSize="9" orientation="portrait" blackAndWhite="1"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C11-2评价控制偏差</vt:lpstr>
      <vt:lpstr>示例-评价控制偏差（不打印）</vt:lpstr>
      <vt:lpstr>'C11-2评价控制偏差'!Print_Area</vt:lpstr>
      <vt:lpstr>'示例-评价控制偏差（不打印）'!Print_Area</vt:lpstr>
    </vt:vector>
  </TitlesOfParts>
  <Company>administrator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1</cp:lastModifiedBy>
  <cp:lastPrinted>2025-08-20T05:39:14Z</cp:lastPrinted>
  <dcterms:created xsi:type="dcterms:W3CDTF">2019-09-09T04:38:26Z</dcterms:created>
  <dcterms:modified xsi:type="dcterms:W3CDTF">2025-09-29T09:08:30Z</dcterms:modified>
</cp:coreProperties>
</file>