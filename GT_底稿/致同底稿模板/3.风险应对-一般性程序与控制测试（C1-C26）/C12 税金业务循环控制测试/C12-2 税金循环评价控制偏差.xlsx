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12 税金业务循环控制测试\"/>
    </mc:Choice>
  </mc:AlternateContent>
  <bookViews>
    <workbookView xWindow="0" yWindow="0" windowWidth="22188" windowHeight="9180"/>
  </bookViews>
  <sheets>
    <sheet name="C11-2评价控制偏差" sheetId="1" r:id="rId1"/>
    <sheet name="示例-评价控制偏差（不打印）" sheetId="2" r:id="rId2"/>
  </sheets>
  <externalReferences>
    <externalReference r:id="rId3"/>
    <externalReference r:id="rId4"/>
    <externalReference r:id="rId5"/>
    <externalReference r:id="rId6"/>
    <externalReference r:id="rId7"/>
    <externalReference r:id="rId8"/>
    <externalReference r:id="rId9"/>
  </externalReferences>
  <definedNames>
    <definedName name="_1、">#REF!</definedName>
    <definedName name="_1、受本循环影响的相关交易和账户余额">#REF!</definedName>
    <definedName name="_2、主要业务活动">#REF!</definedName>
    <definedName name="_2、注册会计师通常应在本循环中了解与上述业务活动相关的内部控制_如果计划在其他业务循环中对上述">#REF!</definedName>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'C11-2评价控制偏差'!$A$1:$F$22</definedName>
    <definedName name="_xlnm.Print_Area" localSheetId="1">'示例-评价控制偏差（不打印）'!$A$1:$F$31</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2" l="1"/>
  <c r="D28" i="2"/>
  <c r="F26" i="2"/>
  <c r="D26" i="2"/>
  <c r="C25" i="2"/>
  <c r="D24" i="2"/>
  <c r="D22" i="2"/>
  <c r="D20" i="2"/>
  <c r="D18" i="2"/>
  <c r="D16" i="2"/>
  <c r="D14" i="2"/>
  <c r="D12" i="2"/>
  <c r="D10" i="2"/>
  <c r="D21" i="1"/>
  <c r="D17" i="1"/>
  <c r="D19" i="1" s="1"/>
  <c r="F19" i="1" s="1"/>
  <c r="D15" i="1"/>
  <c r="D13" i="1"/>
  <c r="D11" i="1"/>
</calcChain>
</file>

<file path=xl/sharedStrings.xml><?xml version="1.0" encoding="utf-8"?>
<sst xmlns="http://schemas.openxmlformats.org/spreadsheetml/2006/main" count="105" uniqueCount="97">
  <si>
    <r>
      <rPr>
        <b/>
        <sz val="12"/>
        <rFont val="宋体"/>
        <charset val="134"/>
      </rPr>
      <t>致同会计师事务所</t>
    </r>
  </si>
  <si>
    <r>
      <rPr>
        <b/>
        <sz val="14"/>
        <rFont val="宋体"/>
        <charset val="134"/>
      </rPr>
      <t>税金循环评价控制偏差</t>
    </r>
  </si>
  <si>
    <r>
      <rPr>
        <sz val="10"/>
        <rFont val="宋体"/>
        <charset val="134"/>
      </rPr>
      <t>被审计单位：</t>
    </r>
  </si>
  <si>
    <r>
      <rPr>
        <sz val="10"/>
        <rFont val="宋体"/>
        <charset val="134"/>
      </rPr>
      <t>编制人：</t>
    </r>
  </si>
  <si>
    <r>
      <rPr>
        <sz val="10"/>
        <rFont val="宋体"/>
        <charset val="134"/>
      </rPr>
      <t>编制日期：</t>
    </r>
  </si>
  <si>
    <r>
      <rPr>
        <sz val="10"/>
        <rFont val="宋体"/>
        <charset val="134"/>
      </rPr>
      <t>索引号：</t>
    </r>
    <r>
      <rPr>
        <sz val="10"/>
        <rFont val="Arial Narrow"/>
        <family val="2"/>
      </rPr>
      <t>C12-2</t>
    </r>
  </si>
  <si>
    <r>
      <rPr>
        <sz val="10"/>
        <rFont val="宋体"/>
        <charset val="134"/>
      </rPr>
      <t>截止日：</t>
    </r>
    <r>
      <rPr>
        <sz val="10"/>
        <rFont val="Arial Narrow"/>
        <family val="2"/>
      </rPr>
      <t>202X</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</si>
  <si>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</si>
  <si>
    <r>
      <rPr>
        <sz val="10"/>
        <rFont val="宋体"/>
        <charset val="134"/>
      </rPr>
      <t>复核日期：</t>
    </r>
  </si>
  <si>
    <r>
      <rPr>
        <sz val="10"/>
        <rFont val="宋体"/>
        <charset val="134"/>
      </rPr>
      <t>页</t>
    </r>
    <r>
      <rPr>
        <sz val="10"/>
        <rFont val="Arial Narrow"/>
        <family val="2"/>
      </rPr>
      <t xml:space="preserve">   </t>
    </r>
    <r>
      <rPr>
        <sz val="10"/>
        <rFont val="宋体"/>
        <charset val="134"/>
      </rPr>
      <t>次：</t>
    </r>
  </si>
  <si>
    <r>
      <rPr>
        <b/>
        <sz val="10"/>
        <rFont val="宋体"/>
        <charset val="134"/>
      </rPr>
      <t>控制例外情况描述：</t>
    </r>
  </si>
  <si>
    <r>
      <rPr>
        <b/>
        <sz val="10"/>
        <color indexed="8"/>
        <rFont val="宋体"/>
        <charset val="134"/>
      </rPr>
      <t>评价步骤</t>
    </r>
  </si>
  <si>
    <r>
      <rPr>
        <b/>
        <sz val="10"/>
        <color indexed="8"/>
        <rFont val="宋体"/>
        <charset val="134"/>
      </rPr>
      <t>是</t>
    </r>
    <r>
      <rPr>
        <b/>
        <sz val="10"/>
        <color indexed="8"/>
        <rFont val="Arial Narrow"/>
        <family val="2"/>
      </rPr>
      <t>/</t>
    </r>
    <r>
      <rPr>
        <b/>
        <sz val="10"/>
        <color indexed="8"/>
        <rFont val="宋体"/>
        <charset val="134"/>
      </rPr>
      <t>否</t>
    </r>
  </si>
  <si>
    <r>
      <rPr>
        <b/>
        <sz val="10"/>
        <color indexed="8"/>
        <rFont val="宋体"/>
        <charset val="134"/>
      </rPr>
      <t>评价分析过程</t>
    </r>
  </si>
  <si>
    <r>
      <rPr>
        <b/>
        <sz val="10"/>
        <color indexed="8"/>
        <rFont val="宋体"/>
        <charset val="134"/>
      </rPr>
      <t>备注</t>
    </r>
  </si>
  <si>
    <r>
      <rPr>
        <sz val="10"/>
        <color indexed="8"/>
        <rFont val="宋体"/>
        <charset val="134"/>
      </rPr>
      <t>步骤一：</t>
    </r>
    <r>
      <rPr>
        <sz val="10"/>
        <color indexed="8"/>
        <rFont val="Arial Narrow"/>
        <family val="2"/>
      </rPr>
      <t xml:space="preserve">
</t>
    </r>
    <r>
      <rPr>
        <sz val="10"/>
        <color indexed="8"/>
        <rFont val="宋体"/>
        <charset val="134"/>
      </rPr>
      <t>确认发现的控制例外情况（选定的样本无法执行控制测试）是否属于控制偏差（内部控制运行偏离设计）？</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1]</t>
    </r>
  </si>
  <si>
    <r>
      <rPr>
        <sz val="10"/>
        <color indexed="8"/>
        <rFont val="宋体"/>
        <charset val="134"/>
      </rPr>
      <t>步骤二：</t>
    </r>
    <r>
      <rPr>
        <sz val="10"/>
        <color indexed="8"/>
        <rFont val="Arial Narrow"/>
        <family val="2"/>
      </rPr>
      <t xml:space="preserve">
</t>
    </r>
    <r>
      <rPr>
        <sz val="10"/>
        <color indexed="8"/>
        <rFont val="宋体"/>
        <charset val="134"/>
      </rPr>
      <t>确定控制偏差的性质：系统性偏差？人为有意造成的偏差？随机性偏差？</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2]</t>
    </r>
  </si>
  <si>
    <r>
      <rPr>
        <sz val="10"/>
        <color indexed="8"/>
        <rFont val="宋体"/>
        <charset val="134"/>
      </rPr>
      <t>步骤三：</t>
    </r>
    <r>
      <rPr>
        <sz val="10"/>
        <color indexed="8"/>
        <rFont val="Arial Narrow"/>
        <family val="2"/>
      </rPr>
      <t xml:space="preserve">
</t>
    </r>
    <r>
      <rPr>
        <sz val="10"/>
        <color indexed="8"/>
        <rFont val="宋体"/>
        <charset val="134"/>
      </rPr>
      <t>对于随机性的偏差，确定适当的审计应对措施：扩大样本量进行测试？直接将该项控制偏差视作缺陷？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3]</t>
    </r>
  </si>
  <si>
    <r>
      <rPr>
        <sz val="10"/>
        <color indexed="8"/>
        <rFont val="宋体"/>
        <charset val="134"/>
      </rPr>
      <t>步骤四：</t>
    </r>
    <r>
      <rPr>
        <sz val="10"/>
        <color indexed="8"/>
        <rFont val="Arial Narrow"/>
        <family val="2"/>
      </rPr>
      <t xml:space="preserve">
</t>
    </r>
    <r>
      <rPr>
        <sz val="10"/>
        <color indexed="8"/>
        <rFont val="宋体"/>
        <charset val="134"/>
      </rPr>
      <t>根据发现的控制偏差的数量来确定扩大样本量的范围，扩大样本量进行测试后是否发现新的偏差？</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4]</t>
    </r>
  </si>
  <si>
    <r>
      <rPr>
        <sz val="10"/>
        <color indexed="8"/>
        <rFont val="宋体"/>
        <charset val="134"/>
      </rPr>
      <t>步骤五：</t>
    </r>
    <r>
      <rPr>
        <sz val="10"/>
        <color indexed="8"/>
        <rFont val="Arial Narrow"/>
        <family val="2"/>
      </rPr>
      <t xml:space="preserve">
</t>
    </r>
    <r>
      <rPr>
        <sz val="10"/>
        <color indexed="8"/>
        <rFont val="宋体"/>
        <charset val="134"/>
      </rPr>
      <t>评价控制缺陷。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5]</t>
    </r>
  </si>
  <si>
    <r>
      <rPr>
        <sz val="10"/>
        <color indexed="8"/>
        <rFont val="宋体"/>
        <charset val="134"/>
      </rPr>
      <t>步骤六：</t>
    </r>
    <r>
      <rPr>
        <sz val="10"/>
        <color indexed="8"/>
        <rFont val="Arial Narrow"/>
        <family val="2"/>
      </rPr>
      <t xml:space="preserve">
</t>
    </r>
    <r>
      <rPr>
        <sz val="10"/>
        <color indexed="8"/>
        <rFont val="宋体"/>
        <charset val="134"/>
      </rPr>
      <t>若确定发现的控制例外情况不属于控制偏差，则可以选取替代样本以获得证明控制运行有效的充分、适当的审计证据。</t>
    </r>
    <r>
      <rPr>
        <sz val="10"/>
        <color indexed="8"/>
        <rFont val="Arial Narrow"/>
        <family val="2"/>
      </rPr>
      <t xml:space="preserve">
</t>
    </r>
    <r>
      <rPr>
        <sz val="10"/>
        <color indexed="8"/>
        <rFont val="宋体"/>
        <charset val="134"/>
      </rPr>
      <t>但需确定控制例外情况是否表明相关控制的设计存在缺陷？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6]</t>
    </r>
  </si>
  <si>
    <r>
      <rPr>
        <b/>
        <sz val="10"/>
        <color indexed="8"/>
        <rFont val="宋体"/>
        <charset val="134"/>
      </rPr>
      <t>评</t>
    </r>
    <r>
      <rPr>
        <b/>
        <sz val="10"/>
        <color indexed="8"/>
        <rFont val="Arial Narrow"/>
        <family val="2"/>
      </rPr>
      <t xml:space="preserve"> </t>
    </r>
    <r>
      <rPr>
        <b/>
        <sz val="10"/>
        <color indexed="8"/>
        <rFont val="宋体"/>
        <charset val="134"/>
      </rPr>
      <t>价</t>
    </r>
    <r>
      <rPr>
        <b/>
        <sz val="10"/>
        <color indexed="8"/>
        <rFont val="Arial Narrow"/>
        <family val="2"/>
      </rPr>
      <t xml:space="preserve"> </t>
    </r>
    <r>
      <rPr>
        <b/>
        <sz val="10"/>
        <color indexed="8"/>
        <rFont val="宋体"/>
        <charset val="134"/>
      </rPr>
      <t>结</t>
    </r>
    <r>
      <rPr>
        <b/>
        <sz val="10"/>
        <color indexed="8"/>
        <rFont val="Arial Narrow"/>
        <family val="2"/>
      </rPr>
      <t xml:space="preserve"> </t>
    </r>
    <r>
      <rPr>
        <b/>
        <sz val="10"/>
        <color indexed="8"/>
        <rFont val="宋体"/>
        <charset val="134"/>
      </rPr>
      <t>论</t>
    </r>
  </si>
  <si>
    <t>该控制例外情况不构成控制偏差，控制有效</t>
  </si>
  <si>
    <r>
      <rPr>
        <b/>
        <sz val="10"/>
        <color indexed="12"/>
        <rFont val="宋体"/>
        <charset val="134"/>
      </rPr>
      <t>注</t>
    </r>
    <r>
      <rPr>
        <b/>
        <sz val="10"/>
        <color indexed="12"/>
        <rFont val="Arial Narrow"/>
        <family val="2"/>
      </rPr>
      <t>1</t>
    </r>
    <r>
      <rPr>
        <b/>
        <sz val="10"/>
        <color indexed="12"/>
        <rFont val="宋体"/>
        <charset val="134"/>
      </rPr>
      <t>：控制例外情况及控制偏差</t>
    </r>
  </si>
  <si>
    <t>该控制例外情况属于随机性偏差，扩大样本量测试后未发现偏差，控制有效</t>
  </si>
  <si>
    <r>
      <rPr>
        <b/>
        <sz val="10"/>
        <color indexed="12"/>
        <rFont val="宋体"/>
        <charset val="134"/>
      </rPr>
      <t>控制例外情况</t>
    </r>
  </si>
  <si>
    <t>该控制例外情况属于随机性偏差，扩大样本量测试后仍发现偏差，构成控制缺陷</t>
  </si>
  <si>
    <r>
      <rPr>
        <sz val="10"/>
        <color indexed="12"/>
        <rFont val="宋体"/>
        <charset val="134"/>
      </rPr>
      <t>对于一个选定的样本或替代性样本，如果无法执行注册会计师所设计的控制测试或适当的替代性测试，则注册会计师应认为</t>
    </r>
  </si>
  <si>
    <t>该控制例外情况属于系统性偏差，构成控制缺陷</t>
  </si>
  <si>
    <r>
      <rPr>
        <sz val="10"/>
        <color indexed="12"/>
        <rFont val="宋体"/>
        <charset val="134"/>
      </rPr>
      <t>该样本是一项控制例外情况。</t>
    </r>
  </si>
  <si>
    <r>
      <rPr>
        <sz val="10"/>
        <color indexed="12"/>
        <rFont val="宋体"/>
        <charset val="134"/>
      </rPr>
      <t>例如，对于一个选定的样本，如果由于企业不能提供支持性文档而无法执行控制测试，则其属于一项控制例外情况并需要</t>
    </r>
  </si>
  <si>
    <r>
      <rPr>
        <sz val="10"/>
        <color indexed="12"/>
        <rFont val="宋体"/>
        <charset val="134"/>
      </rPr>
      <t>确定适当的应对措施。</t>
    </r>
  </si>
  <si>
    <r>
      <rPr>
        <sz val="10"/>
        <color indexed="12"/>
        <rFont val="宋体"/>
        <charset val="134"/>
      </rPr>
      <t>对于发现的控制例外情况，首先应当确定其是否构成一项控制偏差。</t>
    </r>
  </si>
  <si>
    <r>
      <rPr>
        <sz val="10"/>
        <color indexed="12"/>
        <rFont val="宋体"/>
        <charset val="134"/>
      </rPr>
      <t>当出现以下情况时，一般可以认为控制例外情况不是控制偏差：</t>
    </r>
  </si>
  <si>
    <r>
      <rPr>
        <sz val="10"/>
        <color indexed="12"/>
        <rFont val="宋体"/>
        <charset val="134"/>
      </rPr>
      <t>（</t>
    </r>
    <r>
      <rPr>
        <sz val="10"/>
        <color indexed="12"/>
        <rFont val="Arial Narrow"/>
        <family val="2"/>
      </rPr>
      <t>1</t>
    </r>
    <r>
      <rPr>
        <sz val="10"/>
        <color indexed="12"/>
        <rFont val="宋体"/>
        <charset val="134"/>
      </rPr>
      <t>）根据进一步的了解和评价，注册会计师确定识别出的例外情况事实上不是对控制预设目标的偏离，即注册会计师原先</t>
    </r>
  </si>
  <si>
    <r>
      <rPr>
        <sz val="10"/>
        <color indexed="12"/>
        <rFont val="宋体"/>
        <charset val="134"/>
      </rPr>
      <t>对重大业务流程及相关控制的理解有误。</t>
    </r>
  </si>
  <si>
    <r>
      <rPr>
        <sz val="10"/>
        <color indexed="12"/>
        <rFont val="宋体"/>
        <charset val="134"/>
      </rPr>
      <t>（</t>
    </r>
    <r>
      <rPr>
        <sz val="10"/>
        <color indexed="12"/>
        <rFont val="Arial Narrow"/>
        <family val="2"/>
      </rPr>
      <t>2</t>
    </r>
    <r>
      <rPr>
        <sz val="10"/>
        <color indexed="12"/>
        <rFont val="宋体"/>
        <charset val="134"/>
      </rPr>
      <t>）基于对控制设计的了解，注册会计师能够通过追加执行除询问以外的审计程序获取充分、适当的审计证据，以确认该</t>
    </r>
  </si>
  <si>
    <r>
      <rPr>
        <sz val="10"/>
        <color indexed="12"/>
        <rFont val="宋体"/>
        <charset val="134"/>
      </rPr>
      <t>例外情况引发的错误在可以接受的水平，即小于临界值（明显微小的错报金额</t>
    </r>
    <r>
      <rPr>
        <sz val="10"/>
        <color indexed="12"/>
        <rFont val="Arial Narrow"/>
        <family val="2"/>
      </rPr>
      <t>SAD</t>
    </r>
    <r>
      <rPr>
        <sz val="10"/>
        <color indexed="12"/>
        <rFont val="宋体"/>
        <charset val="134"/>
      </rPr>
      <t>）。</t>
    </r>
  </si>
  <si>
    <r>
      <rPr>
        <b/>
        <sz val="10"/>
        <color indexed="12"/>
        <rFont val="宋体"/>
        <charset val="134"/>
      </rPr>
      <t>控制偏差</t>
    </r>
  </si>
  <si>
    <r>
      <rPr>
        <sz val="10"/>
        <color indexed="12"/>
        <rFont val="宋体"/>
        <charset val="134"/>
      </rPr>
      <t>控制偏差即内部控制运行偏离设计的情况，是指在内部控制测试中，注册会计师选择进行测试的某个控制没有按照设计的</t>
    </r>
  </si>
  <si>
    <r>
      <rPr>
        <sz val="10"/>
        <color indexed="12"/>
        <rFont val="宋体"/>
        <charset val="134"/>
      </rPr>
      <t>要求被有效执行或者没有被执行。</t>
    </r>
  </si>
  <si>
    <r>
      <rPr>
        <sz val="10"/>
        <color indexed="12"/>
        <rFont val="宋体"/>
        <charset val="134"/>
      </rPr>
      <t>发生控制偏差往往是由于执行控制的人员在收集或处理数据时发生错误、没有进行适当的跟进，或者没有足够的能力和意愿</t>
    </r>
  </si>
  <si>
    <r>
      <rPr>
        <sz val="10"/>
        <color indexed="12"/>
        <rFont val="宋体"/>
        <charset val="134"/>
      </rPr>
      <t>去执行有效的控制。</t>
    </r>
  </si>
  <si>
    <r>
      <rPr>
        <b/>
        <sz val="10"/>
        <color indexed="12"/>
        <rFont val="宋体"/>
        <charset val="134"/>
      </rPr>
      <t>注</t>
    </r>
    <r>
      <rPr>
        <b/>
        <sz val="10"/>
        <color indexed="12"/>
        <rFont val="Arial Narrow"/>
        <family val="2"/>
      </rPr>
      <t>2</t>
    </r>
    <r>
      <rPr>
        <b/>
        <sz val="10"/>
        <color indexed="12"/>
        <rFont val="宋体"/>
        <charset val="134"/>
      </rPr>
      <t>：控制偏差的性质</t>
    </r>
  </si>
  <si>
    <r>
      <rPr>
        <sz val="10"/>
        <color indexed="12"/>
        <rFont val="宋体"/>
        <charset val="134"/>
      </rPr>
      <t>系统性偏差是指在相似情形下，预计都会发生的错误。</t>
    </r>
  </si>
  <si>
    <r>
      <rPr>
        <sz val="10"/>
        <color indexed="12"/>
        <rFont val="宋体"/>
        <charset val="134"/>
      </rPr>
      <t>随机性偏差是指偶然发生的错误。随机性偏差是由某一孤立事件引起的，该事件只有在特定条件下才会重复发生，因而</t>
    </r>
  </si>
  <si>
    <r>
      <rPr>
        <sz val="10"/>
        <color indexed="12"/>
        <rFont val="宋体"/>
        <charset val="134"/>
      </rPr>
      <t>随机性偏差对总体误差不具有代表性。</t>
    </r>
  </si>
  <si>
    <r>
      <rPr>
        <sz val="10"/>
        <color indexed="12"/>
        <rFont val="宋体"/>
        <charset val="134"/>
      </rPr>
      <t>如果发现的控制偏差是系统性偏差或人为有意造成的偏差，注册会计师应当考虑是否存在舞弊的迹象以及对审计方案的影响。</t>
    </r>
  </si>
  <si>
    <r>
      <rPr>
        <sz val="10"/>
        <color indexed="12"/>
        <rFont val="宋体"/>
        <charset val="134"/>
      </rPr>
      <t>注册会计师在将控制偏差确认为随机性的时候需要谨慎，在得出该结论之前，应当实施追加的审计程序，以高度确信该偏差</t>
    </r>
  </si>
  <si>
    <r>
      <rPr>
        <sz val="10"/>
        <color indexed="12"/>
        <rFont val="宋体"/>
        <charset val="134"/>
      </rPr>
      <t>对总体误差不具有代表性。</t>
    </r>
  </si>
  <si>
    <r>
      <rPr>
        <sz val="10"/>
        <color indexed="12"/>
        <rFont val="宋体"/>
        <charset val="134"/>
      </rPr>
      <t>在评价控制偏差的性质时，需要考虑：</t>
    </r>
  </si>
  <si>
    <r>
      <rPr>
        <sz val="10"/>
        <color indexed="12"/>
        <rFont val="宋体"/>
        <charset val="134"/>
      </rPr>
      <t>（</t>
    </r>
    <r>
      <rPr>
        <sz val="10"/>
        <color indexed="12"/>
        <rFont val="Arial Narrow"/>
        <family val="2"/>
      </rPr>
      <t>1</t>
    </r>
    <r>
      <rPr>
        <sz val="10"/>
        <color indexed="12"/>
        <rFont val="宋体"/>
        <charset val="134"/>
      </rPr>
      <t>）控制偏差是否具有共同的特征。例如，控制偏差发生在某些特定类型的业务、地点或生产线中，或者发生在同样的人员</t>
    </r>
  </si>
  <si>
    <r>
      <rPr>
        <sz val="10"/>
        <color indexed="12"/>
        <rFont val="宋体"/>
        <charset val="134"/>
      </rPr>
      <t>执行控制时，抑或是发生在某一特定的时期。</t>
    </r>
  </si>
  <si>
    <r>
      <rPr>
        <sz val="10"/>
        <color indexed="12"/>
        <rFont val="宋体"/>
        <charset val="134"/>
      </rPr>
      <t>（</t>
    </r>
    <r>
      <rPr>
        <sz val="10"/>
        <color indexed="12"/>
        <rFont val="Arial Narrow"/>
        <family val="2"/>
      </rPr>
      <t>2</t>
    </r>
    <r>
      <rPr>
        <sz val="10"/>
        <color indexed="12"/>
        <rFont val="宋体"/>
        <charset val="134"/>
      </rPr>
      <t>）控制偏差是否是由于基础工作错误造成的。例如，控制偏差是由于错误的公司或计算造成的，或者是基于不完整或</t>
    </r>
  </si>
  <si>
    <r>
      <rPr>
        <sz val="10"/>
        <color indexed="12"/>
        <rFont val="宋体"/>
        <charset val="134"/>
      </rPr>
      <t>不准确的数据造成的。</t>
    </r>
  </si>
  <si>
    <r>
      <rPr>
        <sz val="10"/>
        <color indexed="12"/>
        <rFont val="宋体"/>
        <charset val="134"/>
      </rPr>
      <t>如果确认偏差时系统性的或人为有意造成的，应直接将该控制偏差视为一项内部控制缺陷。</t>
    </r>
  </si>
  <si>
    <r>
      <rPr>
        <b/>
        <sz val="10"/>
        <color indexed="12"/>
        <rFont val="宋体"/>
        <charset val="134"/>
      </rPr>
      <t>注</t>
    </r>
    <r>
      <rPr>
        <b/>
        <sz val="10"/>
        <color indexed="12"/>
        <rFont val="Arial Narrow"/>
        <family val="2"/>
      </rPr>
      <t>3</t>
    </r>
    <r>
      <rPr>
        <b/>
        <sz val="10"/>
        <color indexed="12"/>
        <rFont val="宋体"/>
        <charset val="134"/>
      </rPr>
      <t>：随机性偏差的应对措施</t>
    </r>
  </si>
  <si>
    <r>
      <rPr>
        <sz val="10"/>
        <color indexed="12"/>
        <rFont val="宋体"/>
        <charset val="134"/>
      </rPr>
      <t>如果认为一项控制偏差是随机的，则应当确定适当的审计应对措施。包括：</t>
    </r>
  </si>
  <si>
    <r>
      <rPr>
        <sz val="10"/>
        <color indexed="12"/>
        <rFont val="宋体"/>
        <charset val="134"/>
      </rPr>
      <t>（</t>
    </r>
    <r>
      <rPr>
        <sz val="10"/>
        <color indexed="12"/>
        <rFont val="Arial Narrow"/>
        <family val="2"/>
      </rPr>
      <t>1</t>
    </r>
    <r>
      <rPr>
        <sz val="10"/>
        <color indexed="12"/>
        <rFont val="宋体"/>
        <charset val="134"/>
      </rPr>
      <t>）扩大样本量进行测试，从而确定测试发现的错误率在可容忍范围内；</t>
    </r>
  </si>
  <si>
    <r>
      <rPr>
        <sz val="10"/>
        <color indexed="12"/>
        <rFont val="宋体"/>
        <charset val="134"/>
      </rPr>
      <t>（</t>
    </r>
    <r>
      <rPr>
        <sz val="10"/>
        <color indexed="12"/>
        <rFont val="Arial Narrow"/>
        <family val="2"/>
      </rPr>
      <t>2</t>
    </r>
    <r>
      <rPr>
        <sz val="10"/>
        <color indexed="12"/>
        <rFont val="宋体"/>
        <charset val="134"/>
      </rPr>
      <t>）直接将该项控制偏差视作一项内部控制缺陷。</t>
    </r>
  </si>
  <si>
    <r>
      <rPr>
        <sz val="10"/>
        <color indexed="12"/>
        <rFont val="宋体"/>
        <charset val="134"/>
      </rPr>
      <t>如果决定扩大样本量进行测试，注册会计师应当根据发现的控制偏差的数量来确定扩大样本量的范围。例如，对于每日发生</t>
    </r>
  </si>
  <si>
    <r>
      <rPr>
        <sz val="10"/>
        <color indexed="12"/>
        <rFont val="宋体"/>
        <charset val="134"/>
      </rPr>
      <t>多次的控制，如果初始样本规模为</t>
    </r>
    <r>
      <rPr>
        <sz val="10"/>
        <color indexed="12"/>
        <rFont val="Arial Narrow"/>
        <family val="2"/>
      </rPr>
      <t>25</t>
    </r>
    <r>
      <rPr>
        <sz val="10"/>
        <color indexed="12"/>
        <rFont val="宋体"/>
        <charset val="134"/>
      </rPr>
      <t>个，当测试发现一项控制偏差，且该偏差不是系统性偏差时，注册会计师扩大样本规模</t>
    </r>
  </si>
  <si>
    <r>
      <rPr>
        <sz val="10"/>
        <color indexed="12"/>
        <rFont val="宋体"/>
        <charset val="134"/>
      </rPr>
      <t>进行测试，所增加的样本规模至少为</t>
    </r>
    <r>
      <rPr>
        <sz val="10"/>
        <color indexed="12"/>
        <rFont val="Arial Narrow"/>
        <family val="2"/>
      </rPr>
      <t>15</t>
    </r>
    <r>
      <rPr>
        <sz val="10"/>
        <color indexed="12"/>
        <rFont val="宋体"/>
        <charset val="134"/>
      </rPr>
      <t>个。</t>
    </r>
  </si>
  <si>
    <r>
      <rPr>
        <b/>
        <sz val="10"/>
        <color indexed="12"/>
        <rFont val="宋体"/>
        <charset val="134"/>
      </rPr>
      <t>注</t>
    </r>
    <r>
      <rPr>
        <b/>
        <sz val="10"/>
        <color indexed="12"/>
        <rFont val="Arial Narrow"/>
        <family val="2"/>
      </rPr>
      <t>4</t>
    </r>
    <r>
      <rPr>
        <b/>
        <sz val="10"/>
        <color indexed="12"/>
        <rFont val="宋体"/>
        <charset val="134"/>
      </rPr>
      <t>：扩大样本量后的测试结果</t>
    </r>
  </si>
  <si>
    <r>
      <rPr>
        <sz val="10"/>
        <color indexed="12"/>
        <rFont val="宋体"/>
        <charset val="134"/>
      </rPr>
      <t>如果扩大样本量测试后再次发现偏差，则注册会计师可以得出该控制无效的结论。</t>
    </r>
  </si>
  <si>
    <r>
      <rPr>
        <sz val="10"/>
        <color indexed="12"/>
        <rFont val="宋体"/>
        <charset val="134"/>
      </rPr>
      <t>如果扩大样本量测试没有再次发现偏差，则注册会计师可以得出该控制有效的结论。即尽管存在一项控制偏差，但测试范围</t>
    </r>
  </si>
  <si>
    <r>
      <rPr>
        <sz val="10"/>
        <color indexed="12"/>
        <rFont val="宋体"/>
        <charset val="134"/>
      </rPr>
      <t>内的错误率在可容忍范围内且该控制偏差不具有代表性。</t>
    </r>
  </si>
  <si>
    <r>
      <rPr>
        <sz val="10"/>
        <color indexed="12"/>
        <rFont val="宋体"/>
        <charset val="134"/>
      </rPr>
      <t>单项控制并非一定要毫无偏差地运行，才被认为有效。</t>
    </r>
  </si>
  <si>
    <r>
      <rPr>
        <b/>
        <sz val="10"/>
        <color indexed="12"/>
        <rFont val="宋体"/>
        <charset val="134"/>
      </rPr>
      <t>注</t>
    </r>
    <r>
      <rPr>
        <b/>
        <sz val="10"/>
        <color indexed="12"/>
        <rFont val="Arial Narrow"/>
        <family val="2"/>
      </rPr>
      <t>5</t>
    </r>
    <r>
      <rPr>
        <b/>
        <sz val="10"/>
        <color indexed="12"/>
        <rFont val="宋体"/>
        <charset val="134"/>
      </rPr>
      <t>：评价是否构成设计缺陷</t>
    </r>
  </si>
  <si>
    <r>
      <rPr>
        <sz val="10"/>
        <color rgb="FF0000FF"/>
        <rFont val="宋体"/>
        <charset val="134"/>
      </rPr>
      <t>若确定发现的控制例外情况不属于控制偏差，则可以选取替代样本以获得证明控制运行有效的充分、适当的审计证据。</t>
    </r>
  </si>
  <si>
    <r>
      <rPr>
        <sz val="10"/>
        <color rgb="FF0000FF"/>
        <rFont val="宋体"/>
        <charset val="134"/>
      </rPr>
      <t>但需确定控制例外情况是否表明相关控制的设计存在缺陷。</t>
    </r>
  </si>
  <si>
    <r>
      <rPr>
        <sz val="10"/>
        <color rgb="FF0000FF"/>
        <rFont val="宋体"/>
        <charset val="134"/>
      </rPr>
      <t>设计缺陷是指缺少为实现控制目标所必需的控制，或现有控制设计不适当、即使正常运行也难以实现预期的控制目标。</t>
    </r>
  </si>
  <si>
    <r>
      <rPr>
        <b/>
        <sz val="10"/>
        <rFont val="宋体"/>
        <charset val="134"/>
      </rPr>
      <t>致同会计师事务所</t>
    </r>
  </si>
  <si>
    <r>
      <rPr>
        <b/>
        <sz val="12"/>
        <rFont val="宋体"/>
        <charset val="134"/>
      </rPr>
      <t>示例</t>
    </r>
    <r>
      <rPr>
        <b/>
        <sz val="12"/>
        <rFont val="Arial Narrow"/>
        <family val="2"/>
      </rPr>
      <t>-</t>
    </r>
    <r>
      <rPr>
        <b/>
        <sz val="12"/>
        <rFont val="宋体"/>
        <charset val="134"/>
      </rPr>
      <t>评价控制偏差</t>
    </r>
  </si>
  <si>
    <t>被审计单位：甲公司</t>
  </si>
  <si>
    <r>
      <rPr>
        <sz val="10"/>
        <rFont val="宋体"/>
        <charset val="134"/>
      </rPr>
      <t>编制人：</t>
    </r>
    <r>
      <rPr>
        <sz val="10"/>
        <rFont val="Arial Narrow"/>
        <family val="2"/>
      </rPr>
      <t>BBB</t>
    </r>
  </si>
  <si>
    <r>
      <rPr>
        <sz val="10"/>
        <rFont val="宋体"/>
        <charset val="134"/>
      </rPr>
      <t>编制日期：</t>
    </r>
    <r>
      <rPr>
        <sz val="10"/>
        <rFont val="Arial Narrow"/>
        <family val="2"/>
      </rPr>
      <t>2014.1.5</t>
    </r>
  </si>
  <si>
    <r>
      <rPr>
        <sz val="10"/>
        <rFont val="宋体"/>
        <charset val="134"/>
      </rPr>
      <t>截止日：</t>
    </r>
    <r>
      <rPr>
        <sz val="10"/>
        <rFont val="Arial Narrow"/>
        <family val="2"/>
      </rPr>
      <t>2020</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</si>
  <si>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r>
      <rPr>
        <sz val="10"/>
        <rFont val="Arial Narrow"/>
        <family val="2"/>
      </rPr>
      <t>DDD</t>
    </r>
  </si>
  <si>
    <r>
      <rPr>
        <sz val="10"/>
        <rFont val="宋体"/>
        <charset val="134"/>
      </rPr>
      <t>复核日期：</t>
    </r>
    <r>
      <rPr>
        <sz val="10"/>
        <rFont val="Arial Narrow"/>
        <family val="2"/>
      </rPr>
      <t>2014.1.8</t>
    </r>
  </si>
  <si>
    <r>
      <rPr>
        <b/>
        <sz val="10"/>
        <rFont val="方正姚体"/>
        <charset val="134"/>
      </rPr>
      <t>控制例外情况描述：</t>
    </r>
  </si>
  <si>
    <t>经理层监督客户投诉的数量及类型并把这些信息作为估计销售退回的依据。然而，注册会计师在执行控制测试</t>
  </si>
  <si>
    <t>时发现某一期间计算出的投诉率没有包含某一地区收到的投诉。</t>
  </si>
  <si>
    <r>
      <rPr>
        <sz val="10"/>
        <color indexed="8"/>
        <rFont val="宋体"/>
        <charset val="134"/>
      </rPr>
      <t>步骤一：
确认发现的控制例外情况（选定的样本无法执行控制测试）是否属于控制偏差（内部控制运行偏离设计）？</t>
    </r>
  </si>
  <si>
    <r>
      <rPr>
        <sz val="10"/>
        <color theme="1"/>
        <rFont val="Arial"/>
        <family val="2"/>
      </rPr>
      <t>是</t>
    </r>
  </si>
  <si>
    <r>
      <rPr>
        <sz val="10"/>
        <color indexed="8"/>
        <rFont val="宋体"/>
        <charset val="134"/>
      </rPr>
      <t>该控制例外情况影响销售收入的金额，且金额不属于无关紧要。</t>
    </r>
  </si>
  <si>
    <r>
      <rPr>
        <sz val="10"/>
        <color indexed="8"/>
        <rFont val="宋体"/>
        <charset val="134"/>
      </rPr>
      <t>步骤二：
确定控制偏差的性质：系统性偏差？人为有意造成的偏差？随机性偏差？</t>
    </r>
  </si>
  <si>
    <r>
      <rPr>
        <sz val="10"/>
        <color theme="1"/>
        <rFont val="Arial"/>
        <family val="2"/>
      </rPr>
      <t>随机性偏差</t>
    </r>
  </si>
  <si>
    <r>
      <rPr>
        <sz val="10"/>
        <color theme="1"/>
        <rFont val="宋体"/>
        <charset val="134"/>
      </rPr>
      <t>注册会计师确定这只是众多地区中唯一的一个没有报告投诉率的，而且其他所有月份都完成了投诉率的报告。</t>
    </r>
  </si>
  <si>
    <r>
      <rPr>
        <sz val="10"/>
        <color indexed="8"/>
        <rFont val="宋体"/>
        <charset val="134"/>
      </rPr>
      <t>步骤三：
对于随机性的偏差，确定适当的审计应对措施：扩大样本量进行测试？直接将该项控制偏差视作缺陷？</t>
    </r>
  </si>
  <si>
    <r>
      <rPr>
        <sz val="10"/>
        <color theme="1"/>
        <rFont val="Arial"/>
        <family val="2"/>
      </rPr>
      <t>扩大样本量</t>
    </r>
  </si>
  <si>
    <r>
      <rPr>
        <sz val="10"/>
        <color indexed="8"/>
        <rFont val="宋体"/>
        <charset val="134"/>
      </rPr>
      <t>注册会计师确定该项控制偏差是随机性的，并应扩大样本量来予以确认。</t>
    </r>
  </si>
  <si>
    <r>
      <rPr>
        <sz val="10"/>
        <color indexed="8"/>
        <rFont val="宋体"/>
        <charset val="134"/>
      </rPr>
      <t>步骤四：
根据发现的控制偏差的数量来确定扩大样本量的范围，扩大样本量进行测试后是否发现新的偏差？</t>
    </r>
  </si>
  <si>
    <r>
      <rPr>
        <sz val="10"/>
        <color theme="1"/>
        <rFont val="Arial"/>
        <family val="2"/>
      </rPr>
      <t>否</t>
    </r>
  </si>
  <si>
    <r>
      <rPr>
        <sz val="10"/>
        <color indexed="8"/>
        <rFont val="宋体"/>
        <charset val="134"/>
      </rPr>
      <t>尽管存在一项控制偏差，但测试范围内的错误率在可容忍范围内且该控制偏差不具有代表性。</t>
    </r>
  </si>
  <si>
    <r>
      <rPr>
        <sz val="10"/>
        <color indexed="8"/>
        <rFont val="宋体"/>
        <charset val="134"/>
      </rPr>
      <t>步骤五：</t>
    </r>
    <r>
      <rPr>
        <sz val="10"/>
        <color indexed="8"/>
        <rFont val="Arial Narrow"/>
        <family val="2"/>
      </rPr>
      <t xml:space="preserve">
</t>
    </r>
    <r>
      <rPr>
        <sz val="10"/>
        <color indexed="8"/>
        <rFont val="宋体"/>
        <charset val="134"/>
      </rPr>
      <t>评价控制缺陷。</t>
    </r>
  </si>
  <si>
    <r>
      <rPr>
        <sz val="10"/>
        <color indexed="8"/>
        <rFont val="宋体"/>
        <charset val="134"/>
      </rPr>
      <t>步骤六：
若确定发现的控制例外情况不属于控制偏差，则可以选取替代样本以获得证明控制运行有效的充分、适当的审计证据。
但需确定控制例外情况是否表明相关控制的设计存在缺陷？</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</si>
</sst>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9" x14ac:knownFonts="1">
    <font>
      <sz val="11"/>
      <color theme="1"/>
      <name val="等线"/>
      <charset val="134"/>
      <scheme val="minor"/>
    </font>
    <font>
      <sz val="10"/>
      <color theme="1"/>
      <name val="Arial"/>
      <family val="2"/>
    </font>
    <font>
      <sz val="11"/>
      <color theme="1"/>
      <name val="Arial"/>
      <family val="2"/>
    </font>
    <font>
      <b/>
      <sz val="10"/>
      <name val="Arial Narrow"/>
      <family val="2"/>
    </font>
    <font>
      <b/>
      <sz val="12"/>
      <name val="Arial Narrow"/>
      <family val="2"/>
    </font>
    <font>
      <sz val="10"/>
      <name val="宋体"/>
      <charset val="134"/>
    </font>
    <font>
      <sz val="11"/>
      <color theme="1"/>
      <name val="Arial Narrow"/>
      <family val="2"/>
    </font>
    <font>
      <sz val="10"/>
      <name val="Arial Narrow"/>
      <family val="2"/>
    </font>
    <font>
      <b/>
      <sz val="10"/>
      <color theme="1"/>
      <name val="Arial Narrow"/>
      <family val="2"/>
    </font>
    <font>
      <sz val="10"/>
      <color indexed="8"/>
      <name val="Arial Narrow"/>
      <family val="2"/>
    </font>
    <font>
      <sz val="10"/>
      <color theme="1"/>
      <name val="Arial Narrow"/>
      <family val="2"/>
    </font>
    <font>
      <b/>
      <sz val="10"/>
      <color indexed="8"/>
      <name val="Arial Narrow"/>
      <family val="2"/>
    </font>
    <font>
      <b/>
      <sz val="10"/>
      <color indexed="10"/>
      <name val="宋体"/>
      <charset val="134"/>
    </font>
    <font>
      <b/>
      <sz val="12"/>
      <name val="Arial Narrow"/>
      <family val="2"/>
    </font>
    <font>
      <b/>
      <sz val="14"/>
      <name val="Arial Narrow"/>
      <family val="2"/>
    </font>
    <font>
      <sz val="10"/>
      <name val="Arial Narrow"/>
      <family val="2"/>
    </font>
    <font>
      <b/>
      <sz val="10"/>
      <name val="Arial Narrow"/>
      <family val="2"/>
    </font>
    <font>
      <b/>
      <sz val="10"/>
      <color indexed="8"/>
      <name val="Arial Narrow"/>
      <family val="2"/>
    </font>
    <font>
      <sz val="10"/>
      <color indexed="8"/>
      <name val="Arial Narrow"/>
      <family val="2"/>
    </font>
    <font>
      <b/>
      <sz val="10"/>
      <color indexed="10"/>
      <name val="Arial Narrow"/>
      <family val="2"/>
    </font>
    <font>
      <b/>
      <sz val="10"/>
      <color indexed="12"/>
      <name val="Arial Narrow"/>
      <family val="2"/>
    </font>
    <font>
      <sz val="10"/>
      <color rgb="FF0000CC"/>
      <name val="Arial Narrow"/>
      <family val="2"/>
    </font>
    <font>
      <sz val="10"/>
      <color indexed="12"/>
      <name val="Arial Narrow"/>
      <family val="2"/>
    </font>
    <font>
      <sz val="10"/>
      <color rgb="FF0000FF"/>
      <name val="Arial Narrow"/>
      <family val="2"/>
    </font>
    <font>
      <sz val="10"/>
      <color theme="1"/>
      <name val="宋体"/>
      <charset val="134"/>
    </font>
    <font>
      <sz val="10"/>
      <color rgb="FF0000CC"/>
      <name val="宋体"/>
      <charset val="134"/>
    </font>
    <font>
      <sz val="10"/>
      <color rgb="FF0000FF"/>
      <name val="Arial Narrow"/>
      <family val="2"/>
    </font>
    <font>
      <sz val="11"/>
      <color theme="1"/>
      <name val="等线"/>
      <charset val="134"/>
      <scheme val="minor"/>
    </font>
    <font>
      <sz val="12"/>
      <name val="Times New Roman"/>
      <family val="1"/>
    </font>
    <font>
      <sz val="10"/>
      <color indexed="12"/>
      <name val="宋体"/>
      <charset val="134"/>
    </font>
    <font>
      <b/>
      <sz val="10"/>
      <color indexed="8"/>
      <name val="宋体"/>
      <charset val="134"/>
    </font>
    <font>
      <sz val="10"/>
      <color indexed="8"/>
      <name val="宋体"/>
      <charset val="134"/>
    </font>
    <font>
      <b/>
      <sz val="10"/>
      <color indexed="12"/>
      <name val="宋体"/>
      <charset val="134"/>
    </font>
    <font>
      <b/>
      <sz val="10"/>
      <name val="方正姚体"/>
      <charset val="134"/>
    </font>
    <font>
      <sz val="10"/>
      <color rgb="FF0000FF"/>
      <name val="宋体"/>
      <charset val="134"/>
    </font>
    <font>
      <b/>
      <sz val="14"/>
      <name val="宋体"/>
      <charset val="134"/>
    </font>
    <font>
      <b/>
      <sz val="10"/>
      <name val="宋体"/>
      <charset val="134"/>
    </font>
    <font>
      <b/>
      <sz val="12"/>
      <name val="宋体"/>
      <charset val="134"/>
    </font>
    <font>
      <sz val="9"/>
      <name val="等线"/>
      <family val="3"/>
      <charset val="134"/>
      <scheme val="minor"/>
    </font>
  </fonts>
  <fills count="3">
    <fill>
      <patternFill patternType="none"/>
    </fill>
    <fill>
      <patternFill patternType="gray125"/>
    </fill>
    <fill>
      <patternFill patternType="solid">
        <fgColor rgb="FFE4DFEC"/>
        <bgColor indexed="64"/>
      </patternFill>
    </fill>
  </fills>
  <borders count="15">
    <border>
      <left/>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s>
  <cellStyleXfs count="3">
    <xf numFmtId="0" fontId="0" fillId="0" borderId="0">
      <alignment vertical="center"/>
    </xf>
    <xf numFmtId="0" fontId="27" fillId="0" borderId="0">
      <alignment vertical="center"/>
    </xf>
    <xf numFmtId="0" fontId="28" fillId="0" borderId="0"/>
  </cellStyleXfs>
  <cellXfs count="68">
    <xf numFmtId="0" fontId="0" fillId="0" borderId="0" xfId="0">
      <alignment vertical="center"/>
    </xf>
    <xf numFmtId="0" fontId="1" fillId="0" borderId="0" xfId="1" applyFont="1" applyBorder="1">
      <alignment vertical="center"/>
    </xf>
    <xf numFmtId="0" fontId="2" fillId="0" borderId="0" xfId="1" applyFont="1" applyBorder="1">
      <alignment vertical="center"/>
    </xf>
    <xf numFmtId="0" fontId="5" fillId="0" borderId="0" xfId="1" applyFont="1" applyBorder="1" applyAlignment="1" applyProtection="1">
      <alignment horizontal="left" vertical="center"/>
      <protection locked="0"/>
    </xf>
    <xf numFmtId="0" fontId="6" fillId="0" borderId="0" xfId="1" applyFont="1" applyBorder="1">
      <alignment vertical="center"/>
    </xf>
    <xf numFmtId="0" fontId="7" fillId="0" borderId="0" xfId="1" applyFont="1" applyBorder="1" applyAlignment="1" applyProtection="1">
      <alignment horizontal="left" vertical="center"/>
      <protection locked="0"/>
    </xf>
    <xf numFmtId="0" fontId="3" fillId="0" borderId="1" xfId="1" applyFont="1" applyBorder="1" applyAlignment="1" applyProtection="1">
      <alignment horizontal="left" vertical="center"/>
      <protection locked="0"/>
    </xf>
    <xf numFmtId="0" fontId="7" fillId="0" borderId="2" xfId="1" applyFont="1" applyBorder="1" applyAlignment="1" applyProtection="1">
      <alignment horizontal="left" vertical="center"/>
      <protection locked="0"/>
    </xf>
    <xf numFmtId="0" fontId="7" fillId="0" borderId="2" xfId="1" applyFont="1" applyBorder="1" applyAlignment="1" applyProtection="1">
      <alignment horizontal="right" vertical="center"/>
      <protection locked="0"/>
    </xf>
    <xf numFmtId="49" fontId="7" fillId="0" borderId="3" xfId="1" applyNumberFormat="1" applyFont="1" applyBorder="1" applyAlignment="1" applyProtection="1">
      <alignment horizontal="centerContinuous" vertical="center"/>
      <protection locked="0"/>
    </xf>
    <xf numFmtId="0" fontId="5" fillId="0" borderId="4" xfId="1" applyFont="1" applyBorder="1" applyAlignment="1" applyProtection="1">
      <alignment horizontal="left" vertical="center"/>
      <protection locked="0"/>
    </xf>
    <xf numFmtId="0" fontId="7" fillId="0" borderId="0" xfId="1" applyFont="1" applyBorder="1" applyAlignment="1" applyProtection="1">
      <alignment horizontal="right" vertical="center"/>
      <protection locked="0"/>
    </xf>
    <xf numFmtId="49" fontId="7" fillId="0" borderId="5" xfId="1" applyNumberFormat="1" applyFont="1" applyBorder="1" applyAlignment="1" applyProtection="1">
      <alignment horizontal="centerContinuous" vertical="center"/>
      <protection locked="0"/>
    </xf>
    <xf numFmtId="0" fontId="5" fillId="0" borderId="6" xfId="1" applyFont="1" applyBorder="1" applyAlignment="1" applyProtection="1">
      <alignment horizontal="left" vertical="center"/>
      <protection locked="0"/>
    </xf>
    <xf numFmtId="0" fontId="7" fillId="0" borderId="7" xfId="1" applyFont="1" applyBorder="1" applyAlignment="1" applyProtection="1">
      <alignment horizontal="left" vertical="center"/>
      <protection locked="0"/>
    </xf>
    <xf numFmtId="0" fontId="7" fillId="0" borderId="7" xfId="1" applyFont="1" applyBorder="1" applyAlignment="1" applyProtection="1">
      <alignment horizontal="right" vertical="center"/>
      <protection locked="0"/>
    </xf>
    <xf numFmtId="49" fontId="7" fillId="0" borderId="8" xfId="1" applyNumberFormat="1" applyFont="1" applyBorder="1" applyAlignment="1" applyProtection="1">
      <alignment horizontal="centerContinuous" vertical="center"/>
      <protection locked="0"/>
    </xf>
    <xf numFmtId="0" fontId="8" fillId="2" borderId="9" xfId="1" applyFont="1" applyFill="1" applyBorder="1" applyAlignment="1">
      <alignment horizontal="center" vertical="center"/>
    </xf>
    <xf numFmtId="0" fontId="10" fillId="0" borderId="12" xfId="1" applyFont="1" applyBorder="1" applyAlignment="1">
      <alignment horizontal="center" vertical="center" wrapText="1"/>
    </xf>
    <xf numFmtId="0" fontId="10" fillId="0" borderId="12" xfId="1" applyFont="1" applyBorder="1" applyAlignment="1">
      <alignment horizontal="left" vertical="center" wrapText="1"/>
    </xf>
    <xf numFmtId="0" fontId="10" fillId="0" borderId="14" xfId="1" applyFont="1" applyBorder="1" applyAlignment="1">
      <alignment horizontal="left" vertical="center" wrapText="1"/>
    </xf>
    <xf numFmtId="0" fontId="10" fillId="0" borderId="14" xfId="1" applyFont="1" applyBorder="1" applyAlignment="1">
      <alignment horizontal="center" vertical="center" wrapText="1"/>
    </xf>
    <xf numFmtId="0" fontId="10" fillId="0" borderId="9" xfId="1" applyFont="1" applyBorder="1" applyAlignment="1">
      <alignment horizontal="center" vertical="center" wrapText="1"/>
    </xf>
    <xf numFmtId="0" fontId="8" fillId="0" borderId="9" xfId="1" applyFont="1" applyBorder="1" applyAlignment="1">
      <alignment horizontal="left" vertical="center" wrapText="1"/>
    </xf>
    <xf numFmtId="0" fontId="15" fillId="0" borderId="0" xfId="1" applyFont="1" applyBorder="1" applyAlignment="1" applyProtection="1">
      <alignment horizontal="left" vertical="center"/>
      <protection locked="0"/>
    </xf>
    <xf numFmtId="0" fontId="16" fillId="0" borderId="1" xfId="1" applyFont="1" applyBorder="1" applyAlignment="1" applyProtection="1">
      <alignment horizontal="left" vertical="center"/>
      <protection locked="0"/>
    </xf>
    <xf numFmtId="0" fontId="7" fillId="0" borderId="4" xfId="1" applyFont="1" applyBorder="1" applyAlignment="1" applyProtection="1">
      <alignment horizontal="left" vertical="center"/>
      <protection locked="0"/>
    </xf>
    <xf numFmtId="0" fontId="7" fillId="0" borderId="6" xfId="1" applyFont="1" applyBorder="1" applyAlignment="1" applyProtection="1">
      <alignment horizontal="left" vertical="center"/>
      <protection locked="0"/>
    </xf>
    <xf numFmtId="0" fontId="17" fillId="2" borderId="9" xfId="1" applyFont="1" applyFill="1" applyBorder="1" applyAlignment="1">
      <alignment horizontal="center" vertical="center"/>
    </xf>
    <xf numFmtId="0" fontId="10" fillId="0" borderId="0" xfId="1" applyFont="1" applyBorder="1">
      <alignment vertical="center"/>
    </xf>
    <xf numFmtId="0" fontId="20" fillId="0" borderId="0" xfId="1" applyFont="1" applyBorder="1" applyAlignment="1">
      <alignment vertical="center"/>
    </xf>
    <xf numFmtId="0" fontId="21" fillId="0" borderId="0" xfId="1" applyFont="1" applyBorder="1" applyAlignment="1">
      <alignment vertical="center" wrapText="1"/>
    </xf>
    <xf numFmtId="0" fontId="22" fillId="0" borderId="0" xfId="1" applyFont="1" applyBorder="1" applyAlignment="1">
      <alignment vertical="center"/>
    </xf>
    <xf numFmtId="0" fontId="22" fillId="0" borderId="0" xfId="1" applyFont="1" applyBorder="1">
      <alignment vertical="center"/>
    </xf>
    <xf numFmtId="0" fontId="21" fillId="0" borderId="0" xfId="1" applyFont="1" applyBorder="1">
      <alignment vertical="center"/>
    </xf>
    <xf numFmtId="0" fontId="23" fillId="0" borderId="0" xfId="1" applyFont="1" applyBorder="1">
      <alignment vertical="center"/>
    </xf>
    <xf numFmtId="0" fontId="20" fillId="0" borderId="0" xfId="1" applyFont="1" applyBorder="1" applyAlignment="1">
      <alignment vertical="center" wrapText="1"/>
    </xf>
    <xf numFmtId="0" fontId="23" fillId="0" borderId="0" xfId="1" applyFont="1" applyBorder="1" applyAlignment="1">
      <alignment vertical="center"/>
    </xf>
    <xf numFmtId="0" fontId="24" fillId="0" borderId="0" xfId="1" applyFont="1" applyBorder="1">
      <alignment vertical="center"/>
    </xf>
    <xf numFmtId="0" fontId="25" fillId="0" borderId="0" xfId="1" applyFont="1" applyBorder="1">
      <alignment vertical="center"/>
    </xf>
    <xf numFmtId="0" fontId="26" fillId="0" borderId="0" xfId="1" applyFont="1" applyBorder="1">
      <alignment vertical="center"/>
    </xf>
    <xf numFmtId="0" fontId="13" fillId="0" borderId="0" xfId="2" applyFont="1" applyBorder="1" applyAlignment="1">
      <alignment horizontal="center" vertical="center"/>
    </xf>
    <xf numFmtId="0" fontId="14" fillId="0" borderId="0" xfId="1" applyFont="1" applyBorder="1" applyAlignment="1" applyProtection="1">
      <alignment horizontal="center" vertical="center"/>
      <protection locked="0"/>
    </xf>
    <xf numFmtId="0" fontId="17" fillId="2" borderId="9" xfId="1" applyFont="1" applyFill="1" applyBorder="1" applyAlignment="1">
      <alignment horizontal="center" vertical="center"/>
    </xf>
    <xf numFmtId="0" fontId="8" fillId="2" borderId="9" xfId="1" applyFont="1" applyFill="1" applyBorder="1" applyAlignment="1">
      <alignment horizontal="center" vertical="center"/>
    </xf>
    <xf numFmtId="0" fontId="17" fillId="2" borderId="10" xfId="1" applyFont="1" applyFill="1" applyBorder="1" applyAlignment="1">
      <alignment horizontal="center" vertical="center"/>
    </xf>
    <xf numFmtId="0" fontId="8" fillId="2" borderId="11" xfId="1" applyFont="1" applyFill="1" applyBorder="1" applyAlignment="1">
      <alignment horizontal="center" vertical="center"/>
    </xf>
    <xf numFmtId="0" fontId="18" fillId="0" borderId="1" xfId="1" applyFont="1" applyBorder="1" applyAlignment="1">
      <alignment horizontal="left" vertical="center" wrapText="1"/>
    </xf>
    <xf numFmtId="0" fontId="10" fillId="0" borderId="3" xfId="1" applyFont="1" applyBorder="1" applyAlignment="1">
      <alignment horizontal="left" vertical="center" wrapText="1"/>
    </xf>
    <xf numFmtId="0" fontId="9" fillId="0" borderId="6" xfId="1" applyFont="1" applyBorder="1" applyAlignment="1">
      <alignment horizontal="left" vertical="center" wrapText="1"/>
    </xf>
    <xf numFmtId="0" fontId="10" fillId="0" borderId="8" xfId="1" applyFont="1" applyBorder="1" applyAlignment="1">
      <alignment horizontal="left" vertical="center" wrapText="1"/>
    </xf>
    <xf numFmtId="0" fontId="9" fillId="0" borderId="1" xfId="1" applyFont="1" applyBorder="1" applyAlignment="1">
      <alignment horizontal="left" vertical="center" wrapText="1"/>
    </xf>
    <xf numFmtId="0" fontId="10" fillId="0" borderId="1" xfId="1" applyFont="1" applyBorder="1" applyAlignment="1">
      <alignment horizontal="left" vertical="center" wrapText="1"/>
    </xf>
    <xf numFmtId="0" fontId="17" fillId="0" borderId="10" xfId="1" applyFont="1" applyBorder="1" applyAlignment="1">
      <alignment horizontal="center" vertical="center" wrapText="1"/>
    </xf>
    <xf numFmtId="0" fontId="8" fillId="0" borderId="11" xfId="1" applyFont="1" applyBorder="1" applyAlignment="1">
      <alignment horizontal="center" vertical="center" wrapText="1"/>
    </xf>
    <xf numFmtId="0" fontId="19" fillId="0" borderId="10" xfId="1" applyFont="1" applyBorder="1" applyAlignment="1">
      <alignment horizontal="left" vertical="center" wrapText="1"/>
    </xf>
    <xf numFmtId="0" fontId="8" fillId="0" borderId="11" xfId="1" applyFont="1" applyBorder="1" applyAlignment="1">
      <alignment horizontal="left" vertical="center" wrapText="1"/>
    </xf>
    <xf numFmtId="0" fontId="10" fillId="0" borderId="12" xfId="1" applyFont="1" applyBorder="1" applyAlignment="1">
      <alignment horizontal="center" vertical="center" wrapText="1"/>
    </xf>
    <xf numFmtId="0" fontId="10" fillId="0" borderId="14" xfId="1" applyFont="1" applyBorder="1" applyAlignment="1">
      <alignment horizontal="center" vertical="center" wrapText="1"/>
    </xf>
    <xf numFmtId="0" fontId="10" fillId="0" borderId="6" xfId="1" applyFont="1" applyBorder="1" applyAlignment="1">
      <alignment horizontal="left" vertical="center" wrapText="1"/>
    </xf>
    <xf numFmtId="0" fontId="3" fillId="0" borderId="0" xfId="2" applyFont="1" applyBorder="1" applyAlignment="1">
      <alignment horizontal="center"/>
    </xf>
    <xf numFmtId="0" fontId="4" fillId="0" borderId="0" xfId="1" applyFont="1" applyBorder="1" applyAlignment="1" applyProtection="1">
      <alignment horizontal="center" vertical="center"/>
      <protection locked="0"/>
    </xf>
    <xf numFmtId="0" fontId="8" fillId="2" borderId="10" xfId="1" applyFont="1" applyFill="1" applyBorder="1" applyAlignment="1">
      <alignment horizontal="center" vertical="center"/>
    </xf>
    <xf numFmtId="0" fontId="11" fillId="0" borderId="10" xfId="1" applyFont="1" applyBorder="1" applyAlignment="1">
      <alignment horizontal="center" vertical="center" wrapText="1"/>
    </xf>
    <xf numFmtId="0" fontId="12" fillId="0" borderId="10" xfId="1" applyFont="1" applyBorder="1" applyAlignment="1">
      <alignment horizontal="left" vertical="center" wrapText="1"/>
    </xf>
    <xf numFmtId="0" fontId="10" fillId="0" borderId="13" xfId="1" applyFont="1" applyBorder="1" applyAlignment="1">
      <alignment horizontal="center" vertical="center" wrapText="1"/>
    </xf>
    <xf numFmtId="0" fontId="10" fillId="0" borderId="4" xfId="1" applyFont="1" applyBorder="1" applyAlignment="1">
      <alignment horizontal="left" vertical="center" wrapText="1"/>
    </xf>
    <xf numFmtId="0" fontId="10" fillId="0" borderId="5" xfId="1" applyFont="1" applyBorder="1" applyAlignment="1">
      <alignment horizontal="left" vertical="center" wrapText="1"/>
    </xf>
  </cellXfs>
  <cellStyles count="3">
    <cellStyle name="常规" xfId="0" builtinId="0"/>
    <cellStyle name="常规 5 2" xfId="1"/>
    <cellStyle name="常规_c-资产类" xfId="2"/>
  </cellStyles>
  <dxfs count="0"/>
  <tableStyles count="0" defaultTableStyle="TableStyleMedium2" defaultPivotStyle="PivotStyleLight16"/>
  <colors>
    <mruColors>
      <color rgb="FFE4DFE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75</xdr:row>
      <xdr:rowOff>171450</xdr:rowOff>
    </xdr:from>
    <xdr:to>
      <xdr:col>4</xdr:col>
      <xdr:colOff>443865</xdr:colOff>
      <xdr:row>104</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18882995"/>
          <a:ext cx="4488180" cy="495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明细输入"/>
      <sheetName val="产值平衡表"/>
      <sheetName val="索引"/>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XL4Poppy"/>
      <sheetName val="码表"/>
      <sheetName val="台帐"/>
      <sheetName val="Sheet1 (11)"/>
      <sheetName val="基本情况表"/>
      <sheetName val="11应收帐款"/>
      <sheetName val=""/>
      <sheetName val="23产成品 "/>
      <sheetName val="B30111"/>
      <sheetName val="现金"/>
      <sheetName val="&lt;原报&gt;资产负债表"/>
      <sheetName val="设置"/>
      <sheetName val="03年1季度"/>
      <sheetName val="master"/>
      <sheetName val="包增减变动"/>
      <sheetName val="FA Breakdown"/>
      <sheetName val="收入、人数真实数据--曲线"/>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param"/>
      <sheetName val="Traduction"/>
      <sheetName val="UFPrn20061113135115"/>
      <sheetName val="35.1租赁明细"/>
      <sheetName val="核算项目余额表"/>
      <sheetName val="ZA 货币资金"/>
      <sheetName val="Toolbox"/>
      <sheetName val="KEY DATA"/>
      <sheetName val="库存商品余额表.dbf"/>
      <sheetName val="佳砼负债表"/>
      <sheetName val="Collateral"/>
      <sheetName val="Disposition"/>
      <sheetName val="I110 Breakdown 200812(Audited)"/>
      <sheetName val="成本调整明细表"/>
      <sheetName val="试算平衡表"/>
      <sheetName val="UFPrn20060705140320"/>
      <sheetName val="UFPrn20060705113520"/>
      <sheetName val="资产负债表(本部原报)"/>
      <sheetName val="明细分类账"/>
      <sheetName val="其他液氨采购"/>
      <sheetName val="长期借款"/>
      <sheetName val="房屋及建筑物"/>
      <sheetName val="内销硫酸期初"/>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Z01 资产负债表(企财01表)"/>
      <sheetName val="Z02 利润表(企财02表)"/>
      <sheetName val="Z03 现金流量表(企财03表)"/>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
      <sheetName val="长_x0013_"/>
      <sheetName val="_x0007_¨/_x0016_Ý_x0013_Ý"/>
      <sheetName val="_x0007_®à_x0013_"/>
      <sheetName val="_x0001_¨/_x0016_Ý_x0013_Ý"/>
      <sheetName val="_x001f_0-BS_؁"/>
      <sheetName val="Dropdown list"/>
      <sheetName val="dm"/>
      <sheetName val="sd"/>
      <sheetName val="7a.Other Inc Exp"/>
      <sheetName val="account"/>
      <sheetName val="2002 VS 2003"/>
      <sheetName val="Data List"/>
      <sheetName val="内仓免税进口"/>
      <sheetName val="original2"/>
      <sheetName val="长_x0013_"/>
      <sheetName val="*ª¥$_x0004_RÝ_x0013_RÝ"/>
      <sheetName val="_x0007_zà_x0013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Ԁ"/>
      <sheetName val="财务费用明细表"/>
      <sheetName val="长期待摊费用明细表"/>
      <sheetName val="产品销售收入与成本明细表"/>
      <sheetName val="UFPrn20080725145132"/>
      <sheetName val="F130&quot;"/>
      <sheetName val="A3"/>
      <sheetName val="機種対応表(無断変更禁止)"/>
      <sheetName val="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7__x0"/>
      <sheetName val="_x0001__x0"/>
      <sheetName val="_x005f_x0000__x005f_x0007__x005"/>
      <sheetName val="_x005f_x0000__x005f_x0000__x005"/>
      <sheetName val="_x005f_x0000__x005f_x0001__x005"/>
      <sheetName val="_ª¥"/>
      <sheetName val="收回以前年度已స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7_¨/_x0016_†Ý_x0013_†Ý"/>
      <sheetName val="_x0001_¨/_x0016_†Ý_x0013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7__x005"/>
      <sheetName val="_x005"/>
      <sheetName val="_x0001__x005"/>
      <sheetName val="_x005f_x001f_0-BS_x"/>
      <sheetName val="_x005f_x0000__x005f"/>
      <sheetName val="表外项目_x005f_x005f_x0"/>
      <sheetName val="__x00"/>
      <sheetName val="_x005f_x005f_"/>
      <sheetName val="收回以前年度已స_x00"/>
      <sheetName val="同业存放Ⱦ_x005f_x005f_x005f_x005f_x"/>
      <sheetName val="长_x005f_x005f_x005f_x005f_x005"/>
      <sheetName val="*ª¥"/>
      <sheetName val="_x0007_¨__x0016_†"/>
      <sheetName val="_x0001_¨__x0016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7_¨/_x0016_Ý_x0013_Ý"/>
      <sheetName val="[分析表.XLS]_x0001_¨/_x0016_Ý_x0013_Ý"/>
      <sheetName val="[分析表.XLS]_x0007_¨/_x0016_†Ý_x0013_†Ý"/>
      <sheetName val="[分析表.XLS]_x0001_¨/_x0016_†Ý_x0013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7_"/>
      <sheetName val="[分析表.XLS][分析表.XLS][分析表.XLS]_x0001_"/>
      <sheetName val="报表附注"/>
      <sheetName val="Sample"/>
      <sheetName val="[分析表.XLS][分析表.XLS]_x0007_¨/_x0016_"/>
      <sheetName val="[分析表.XLS][分析表.XLS]_x0001_¨/_x0016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
      <sheetName val="_x0016_Ù"/>
      <sheetName val="_x0016_Û_x0013_BÝ_x0013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7__"/>
      <sheetName val="_分析表.XLS__x0001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7_¨/_x0016_F᠀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5__x0007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16_†Ý_x0013_†Ý"/>
      <sheetName val="[分析表.XLS][分析表.XLS]_x0001_¨/_x0016_†Ý_x0013_†Ý"/>
      <sheetName val="*??$_x0004_R?_x0013_R?"/>
      <sheetName val="_x0007_z?_x0013_"/>
      <sheetName val="_x0016_Û_x"/>
      <sheetName val="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7"/>
      <sheetName val="_分析表.XLS__分析表.XLS__x0001"/>
      <sheetName val="*$"/>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_x0016"/>
      <sheetName val="_分析表.XLS__x0001_¨__x0016"/>
      <sheetName val="分析表L1-3-2"/>
      <sheetName val="明细项目"/>
      <sheetName val="pp1p"/>
      <sheetName val="pp3p "/>
      <sheetName val="pp3p_NC"/>
      <sheetName val="ppht"/>
      <sheetName val="vc"/>
      <sheetName val="附注披露信息(上市公司)D3-1"/>
      <sheetName val="_x0005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_x0016_"/>
      <sheetName val="_x0001_¨__x0016_"/>
      <sheetName val="P1012001"/>
      <sheetName val="2002-CMHK"/>
      <sheetName val="_x005f_x0000_*_x005f_x0000__x005f_x0000__x005f_x0000_??"/>
      <sheetName val="农业人口"/>
      <sheetName val="公检法司编制"/>
      <sheetName val="行政编制"/>
      <sheetName val="C1"/>
      <sheetName val="财务报表"/>
      <sheetName val="利分Ƞ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óx1,$_x001a_ôøØ_x0004__x0016_,$_x001a_HøØ_x0004_("/>
      <sheetName val="óx1,$_x001a_´«_x0001__x0016_,$_x001a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
      <sheetName val="_x005f_x005f_x005f_x005f_x005f_x005f_x005f_x005f_"/>
      <sheetName val="F-1 BS "/>
      <sheetName val="Enhanced FASB 123"/>
      <sheetName val="预算分录ETY"/>
      <sheetName val="Budget"/>
      <sheetName val="삅ོ䚋栠Ѫࡪ㋨ﯾ_xffff_ﱅ잃蔐緀薼"/>
      <sheetName val="삅ོ䚋栠Ѫࡪ㋨ﯾ_xffff_ﱅ"/>
      <sheetName val="삅ོ䚋栠Ѫࡪ㋨ﯾ_xffff_ﱅ잃蔐緀"/>
      <sheetName val="삅ོ䚋栠Ѫࡪ㋨"/>
      <sheetName val="삅ོ䚋栠Ѫࡪ㋨ﯾ_xffff_ﱅ잃"/>
      <sheetName val="삅ོ䚋栠Ѫࡪ㋨ﯾ_xffff_ﱅ잃蔐緀薼糀謋"/>
      <sheetName val="삅ོ䚋栠Ѫ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7_?/_x0016_??_x0013_??"/>
      <sheetName val="_x0007_??_x0013_"/>
      <sheetName val="_x0001_?/_x0016_??_x0013_??"/>
      <sheetName val="?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ª¥$_x0004_RÝ_x00"/>
      <sheetName val="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
      <sheetName val="预付货類"/>
      <sheetName val="_x0001__x0008_à_x0013__x0007_¨/_x0016_Ý_x0013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7_?/_x0016_??_x0013_??"/>
      <sheetName val="[分析表.XLS]_x0001_?/_x0016_??_x0013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ª¥$ RÝ RÝ"/>
      <sheetName val=" zà "/>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缀"/>
      <sheetName val="260.0020應收帳齡表-20ԯ缀"/>
      <sheetName val="260.0020應收帳齡表-20ᩖⰀᩗ䈀"/>
      <sheetName val="260.0020應收帳齡表-20씀렖ԯ缀"/>
      <sheetName val="260.0020應收帳齡表-20耀ፓ찀ፓ䈀"/>
      <sheetName val="260.0020應收帳齡表-20⁉씀ᰖԯ"/>
      <sheetName val="260.0020應收帳齡表-20ꀀ⁓⁓씀"/>
      <sheetName val="260.0020應收帳齡表-20䠀≙씀밖ԯ"/>
      <sheetName val="260.0020應收帳齡表-20씀搖ԯ缀"/>
      <sheetName val="260.0020應收帳齡表-20씀︖ԯ缀"/>
      <sheetName val="260.0020應收帳齡表-20씀㰖ԯ缀"/>
      <sheetName val="for retest"/>
      <sheetName val="260.0020應收帳齡表-20ᡶ촰렲㄁"/>
      <sheetName val="260.0020應收帳齡表-20ᡴ렞灶㄂"/>
      <sheetName val="260.0020應收帳齡表-20砀嶲밥"/>
      <sheetName val="260.0020應收帳齡表-20ᡶ褰렖㄁"/>
      <sheetName val="260.0020應收帳齡表-20ᡶꬰ렟㄁"/>
      <sheetName val="260.0020應收帳齡表-20ᡵﰰ렝摶㄁"/>
      <sheetName val="260.0020應收帳齡表-20ృ_x0001_退"/>
      <sheetName val="260.0020應收帳齡表-20㄂䧊_x0001_쀀"/>
      <sheetName val="260.0020應收帳齡表-20ﴀ⑅롶屶㄁"/>
      <sheetName val="镽期债券投资䗽癈蓘Ȥ䏧ā"/>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堀"/>
      <sheetName val="260.0020應收帳齡表-20塴嘇㠁ㄩ"/>
      <sheetName val="收回以前年度已స_x005f_x0000__x005f_x0000__슔ଁ麿㠀ਢ"/>
      <sheetName val="260.0020應收帳齡表-20ᡷ퐰犔ଂ"/>
      <sheetName val="260.0020應收帳齡表-20ᡷ崰犔ଂ"/>
      <sheetName val="镽期债券投资☑䛜D賈"/>
      <sheetName val="260.0020應收帳齡表-20ଂ㒿_x0001__xd800_"/>
      <sheetName val="260.0020應收帳齡表-20ଂ㒿_x0001_怀"/>
      <sheetName val="镽期债券投资뼋Ĵ猪㋵䛜"/>
      <sheetName val="镽期债券投资֠㉘䛜D賈"/>
      <sheetName val="镽期债券投资䄈⌅䛜*轌"/>
      <sheetName val="收回以前年度已స_x005f_x0000__x005f_x0000__塴嘇㠁ㄩ웧"/>
      <sheetName val="收回以前年度已స_x005f_x0000__x005f_x0000__塴將㠂㜩_x0001_番"/>
      <sheetName val="260.0020應收帳齡表-20_x0001_䠀곋ణ"/>
      <sheetName val="260.0020應收帳齡表-20_x0001_怀蠕ె"/>
      <sheetName val="260.0020應收帳齡表-20_x0001_ 째ఠ"/>
      <sheetName val="260.0020應收帳齡表-20ᡷ犔ଂ"/>
      <sheetName val="260.0020應收帳齡表-20_x0001__xdc2f_"/>
      <sheetName val="260.0020應收帳齡表-20_x0001_　娖Ⰸ"/>
      <sheetName val="260.0020應收帳齡表-20_x0001_砀ޔⰱ"/>
      <sheetName val="收回以前年度已స_x005f_x0000__x005f_x0000___x0001_຅ﰩ䙆尀㲐"/>
      <sheetName val="260.0020應收帳齡表-20_x0001_⠀㖑ⰽ"/>
      <sheetName val="260.0020應收帳齡表-20_x0001_렀烝ⰾ"/>
      <sheetName val="收回以前年度已స_x005f_x0000__x005f_x0000___x0001_저湓నᝇ㪒"/>
      <sheetName val="260.0020應收帳齡表-20栀㟥䰘"/>
      <sheetName val="260.0020應收帳齡表-20ꉥ䰘"/>
      <sheetName val="260.0020應收帳齡表-20䁵䄲堣✇㠂"/>
      <sheetName val="260.0020應收帳齡表-20硵ᴧ堬✇㠂"/>
      <sheetName val="260.0020應收帳齡表-20_x0001_堀윊밚"/>
      <sheetName val="Shee_x0002_??"/>
      <sheetName val="镽期债券投资➨䘤I遜"/>
      <sheetName val="镽期债券投资쾠⟒䘤I遜"/>
      <sheetName val="收回以前年度已స_x005f_x0000__x005f_x0000___x0001_倀먃ꐡ㡆谀ゐ"/>
      <sheetName val="260.0020應收帳齡表-20䁵⨲쀡悖"/>
      <sheetName val="260.0020應收帳齡表-20硵㌧쀗悖"/>
      <sheetName val="260.0020應收帳齡表-20㠁倩㠀"/>
      <sheetName val="260.0020應收帳齡表-20堝朇㠂䈩_x0001_"/>
      <sheetName val="260.0020應收帳齡表-20㠂䈩_x0001_렀"/>
      <sheetName val="[分析表.XLS]?_x0007_???¨/_x0016_?????†Ý_x0013_?†Ý"/>
      <sheetName val="[分析表.XLS]?_x0001_???¨/_x0016_?????†Ý_x0013_?†Ý"/>
      <sheetName val="其他应收—单位往"/>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16_†"/>
      <sheetName val="_x0001_¨/_x0016_†"/>
      <sheetName val="Lookup Tables"/>
      <sheetName val="*??"/>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ª¥$_x0004__x0"/>
      <sheetName val="_x0007_¨/_x0016__x000"/>
      <sheetName val="_x0001_¨/_x0016__x000"/>
      <sheetName val="M-5AlL"/>
      <sheetName val="M-5ClL"/>
      <sheetName val="企业表一@_x0018_in_x0018_"/>
      <sheetName val="M-5A_x0018_"/>
      <sheetName val="M-5C_x0018_"/>
      <sheetName val="260.0020應收帳齡表-20ԯ缀_x0000"/>
      <sheetName val="óx1,$_x001a_ôøØ_"/>
      <sheetName val="óx1,$_x001a_´«_"/>
      <sheetName val="同业/退"/>
      <sheetName val="同业ࠀ"/>
      <sheetName val="衍生金蚍工具_x0001_退"/>
      <sheetName val="镽期债券投资憎ą倸㪞㲌"/>
      <sheetName val="镽期债券投资憎ą㝸⦹㲌"/>
      <sheetName val="镽期债券投资㑠雠ŉ憎%"/>
      <sheetName val="镽期债券投资憎%磘ㄙ䰌"/>
      <sheetName val="镽期债券投资㑨㬼㲬Жࡰ"/>
      <sheetName val="镽期债券投资憎G⊸⇨䰌"/>
      <sheetName val="镽期债券投资㑠雠ū憎G"/>
      <sheetName val="镽期债券投资㑠雠ȩ憎ą"/>
      <sheetName val="镽期债券投资憎ą㈈▙䰌"/>
      <sheetName val="镽期债券投资憎ą뻸⓰㲌"/>
      <sheetName val="镽期债券投资憎ą퓐⇣㲌"/>
      <sheetName val="镽期债券投资憎ą툘⸰䰜"/>
      <sheetName val="镽期债券投资憎ą툈㌞㲌"/>
      <sheetName val="镽期债券投资憎ñ緐≗㲌"/>
      <sheetName val="镽期债券投资憎ñ샐䬩㲌"/>
      <sheetName val="镽期债券投资憎ñ꣸⧧㲌"/>
      <sheetName val="镽期债券投资憎ñ桘⨩䰌"/>
      <sheetName val="镽期债券投资憎ñ憰≓㲌"/>
      <sheetName val="镽期债券投资㑠雠ȕ憎ñ"/>
      <sheetName val="镽期债券投资憎Ö꾀ㆀ㲌"/>
      <sheetName val="镽期债券投资械㲙㳜Ўࡰ"/>
      <sheetName val="镽期债券投资䛈㹮㳜и徐"/>
      <sheetName val="镽期债券投资촳¦袨垷㳜"/>
      <sheetName val="镽期债券投资ﱨ垶㳜и往"/>
      <sheetName val="镽期债券投资䃐䴆㳜и徐"/>
      <sheetName val="镽期债券投资忸坆㳜и徐"/>
      <sheetName val="镽期债券投资筰坋㳜и徐"/>
      <sheetName val="镽期债券投资㐈䵣㳜и往"/>
      <sheetName val="镽期债券投资_xdaf0_坋㳜и往"/>
      <sheetName val="镽期债券投资촳¦뫨垷㳜"/>
      <sheetName val="镽期债券投资๘㕛㳜҈ࢰ"/>
      <sheetName val="镽期债券投资촳¦⾰㲔㳜"/>
      <sheetName val="镽期债券投资촳¦쑰㡶㳜"/>
      <sheetName val="镽期债券投资촳¦疀嫡㳜"/>
      <sheetName val="镽期债券投资㼐懮䯜ҕࡰ"/>
      <sheetName val="镽期债券投资篸㈤㼬öࡰ"/>
      <sheetName val="镽期债券投资憎Êꍰᵋ㳼"/>
      <sheetName val="[分析表.XLS][分析表.XLS][分析表.XLS]_x0007_¨/"/>
      <sheetName val="[分析表.XLS][分析表.XLS][分析表.XLS]_x0001_¨/"/>
      <sheetName val="[分析表.XLS]_x0007_¨/_x0016__x000"/>
      <sheetName val="[分析表.XLS]_x0001_¨/_x0016__x000"/>
      <sheetName val="M-5Ama"/>
      <sheetName val="M-5Cma"/>
      <sheetName val="[分析表.XLS]_x0001__x0008_à_x0013__x0007_¨/_x0016_"/>
      <sheetName val="[分析表.XLS][分析表.XLS]_x0001__x0008_à_x0013__x0007_"/>
      <sheetName val="_x0007_¨__x0"/>
      <sheetName val="_x0001_¨__x0"/>
      <sheetName val="__x0001____¨__x0016____ԀᎶ䰀꠳"/>
      <sheetName val="短期投资国债맫Ł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
      <sheetName val="â_1"/>
      <sheetName val="__1"/>
      <sheetName val="â_2"/>
      <sheetName val="__2"/>
      <sheetName val="â_3"/>
      <sheetName val="__3"/>
      <sheetName val="â_4"/>
      <sheetName val="__4"/>
      <sheetName val="收回以前年度已స_슔ଁ麿"/>
      <sheetName val="收回以前年度已స_塴嘇㠁ㄩ"/>
      <sheetName val="收回以前年度已స_塴將㠂㜩_x0001_"/>
      <sheetName val="收回以前年度已స__x0001_"/>
      <sheetName val="_x001f_0︭뻕ԯ缀"/>
      <sheetName val="[分析表.XLS]_x0007_¨/_x0016__x0"/>
      <sheetName val="[分析表.XLS]_x0001_¨/_x0016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sheetData sheetId="3614"/>
      <sheetData sheetId="3615"/>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refreshError="1"/>
      <sheetData sheetId="3940" refreshError="1"/>
      <sheetData sheetId="3941"/>
      <sheetData sheetId="3942"/>
      <sheetData sheetId="3943" refreshError="1"/>
      <sheetData sheetId="3944" refreshError="1"/>
      <sheetData sheetId="3945"/>
      <sheetData sheetId="3946"/>
      <sheetData sheetId="3947"/>
      <sheetData sheetId="3948"/>
      <sheetData sheetId="3949"/>
      <sheetData sheetId="3950"/>
      <sheetData sheetId="395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sheetData sheetId="4155"/>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sheetData sheetId="4290"/>
      <sheetData sheetId="4291"/>
      <sheetData sheetId="4292"/>
      <sheetData sheetId="4293"/>
      <sheetData sheetId="4294"/>
      <sheetData sheetId="4295"/>
      <sheetData sheetId="4296"/>
      <sheetData sheetId="4297"/>
      <sheetData sheetId="4298"/>
      <sheetData sheetId="4299" refreshError="1"/>
      <sheetData sheetId="4300" refreshError="1"/>
      <sheetData sheetId="4301" refreshError="1"/>
      <sheetData sheetId="4302" refreshError="1"/>
      <sheetData sheetId="4303" refreshError="1"/>
      <sheetData sheetId="4304"/>
      <sheetData sheetId="4305"/>
      <sheetData sheetId="4306"/>
      <sheetData sheetId="4307"/>
      <sheetData sheetId="4308"/>
      <sheetData sheetId="4309"/>
      <sheetData sheetId="4310"/>
      <sheetData sheetId="4311"/>
      <sheetData sheetId="4312"/>
      <sheetData sheetId="4313" refreshError="1"/>
      <sheetData sheetId="4314"/>
      <sheetData sheetId="4315"/>
      <sheetData sheetId="4316"/>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sheetData sheetId="4839"/>
      <sheetData sheetId="4840"/>
      <sheetData sheetId="4841"/>
      <sheetData sheetId="4842"/>
      <sheetData sheetId="4843"/>
      <sheetData sheetId="4844"/>
      <sheetData sheetId="4845"/>
      <sheetData sheetId="4846"/>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sheetData sheetId="4873"/>
      <sheetData sheetId="4874"/>
      <sheetData sheetId="4875"/>
      <sheetData sheetId="4876"/>
      <sheetData sheetId="4877"/>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sheetData sheetId="4968" refreshError="1"/>
      <sheetData sheetId="4969" refreshError="1"/>
      <sheetData sheetId="4970" refreshError="1"/>
      <sheetData sheetId="4971"/>
      <sheetData sheetId="4972"/>
      <sheetData sheetId="4973"/>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sheetData sheetId="4984"/>
      <sheetData sheetId="4985"/>
      <sheetData sheetId="4986"/>
      <sheetData sheetId="4987"/>
      <sheetData sheetId="4988"/>
      <sheetData sheetId="4989"/>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YS02-02"/>
      <sheetName val="主营业务税金及附加Dy"/>
      <sheetName val="应收账款Dy"/>
      <sheetName val="PTC"/>
      <sheetName val="Stock turnove_x0002_"/>
      <sheetName val="收入明细－按客户"/>
      <sheetName val="2006"/>
      <sheetName val="折旧测试2007"/>
      <sheetName val="剥离前"/>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Stock turnove_x005f_x0002_"/>
      <sheetName val="中山低值"/>
      <sheetName val="original"/>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余额表"/>
      <sheetName val="XL4Poppy"/>
      <sheetName val="凤县折旧测算"/>
      <sheetName val="Worksheet in 8240 COS breakdown"/>
      <sheetName val="BALANCE SHEET"/>
      <sheetName val="1-6yue"/>
      <sheetName val="税金汇总"/>
      <sheetName val="目錄"/>
      <sheetName val="FA-2"/>
      <sheetName val="7-11销售"/>
      <sheetName val="制造费用"/>
      <sheetName val="关联交易-存款"/>
      <sheetName val="报表科目"/>
      <sheetName val="应收账款贷方余额表"/>
      <sheetName val="应收账款借方余额表"/>
      <sheetName val="应收账款余额表"/>
      <sheetName val="试算"/>
      <sheetName val="09差异分摊计算表"/>
      <sheetName val="08差异分摊计算表"/>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Sheet1"/>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PTC"/>
      <sheetName val="表头"/>
      <sheetName val="coding"/>
      <sheetName val="基础数据"/>
      <sheetName val="三兴2"/>
      <sheetName val="Toolbox"/>
      <sheetName val="Appendix"/>
      <sheetName val="PRC BS"/>
      <sheetName val="完"/>
      <sheetName val="인사현황(부서)"/>
      <sheetName val="Cover"/>
      <sheetName val="营业费用测试"/>
      <sheetName val="KKKKKKKK"/>
      <sheetName val="YS02-02"/>
      <sheetName val="管理费用(集团董事会)"/>
      <sheetName val="C_301"/>
      <sheetName val="C_311"/>
      <sheetName val="C_318"/>
      <sheetName val="P12 TB SZ"/>
      <sheetName val="B"/>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资产负债表"/>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5f"/>
      <sheetName val="__2"/>
      <sheetName val="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d_[分析表.XLS]G9-1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
      <sheetName val="其他科目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a_[分析表.XLS]G9-1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d_[分析表.X"/>
      <sheetName val="其他科目_x005f_x0000__x005f_x0000__"/>
      <sheetName val="其他科目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Ⴜ0Ӌ痨_x0002_郢ሃΨଊ痨郢ሃ_x001c_绺"/>
      <sheetName val="B8Ⴌ4Ӌ瘠_x0002_ඦΨଊ瘠ඦ_x001c_绺"/>
      <sheetName val="H101(OK)"/>
      <sheetName val="A包装物"/>
      <sheetName val="C包装物"/>
      <sheetName val="材料明细账"/>
      <sheetName val="Be"/>
      <sheetName val="Price List"/>
      <sheetName val="管理费用明细"/>
      <sheetName val="Bgሀြ0슌沅舤殉腼殉ㅏ怆 ɂሀ"/>
      <sheetName val="Bgैာ4슌櫂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
      <sheetName val="_x005f_x005f_x005f_x0000__x005f"/>
      <sheetName val="其他科目_x005f_x005f_x005f_x005f_x0"/>
      <sheetName val="_x005f_x005f_x005f_x005f_"/>
      <sheetName val="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h"/>
      <sheetName val="_x0002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
      <sheetName val="2010年台ᮀ"/>
      <sheetName val="2010年台厰"/>
      <sheetName val="2010年台"/>
      <sheetName val="其他科目_x000a__分析表_XLS_G9-1_x000a_"/>
      <sheetName val="固定资产类别年统计表 (2)"/>
      <sheetName val="补贴收入明细表"/>
      <sheetName val="CM"/>
      <sheetName val="其他科目_x005f_x0000__x髈↉ーɭ"/>
      <sheetName val="其他科目_x"/>
      <sheetName val="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d_[分析表_X"/>
      <sheetName val="其他科目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75"/>
  <sheetViews>
    <sheetView tabSelected="1" view="pageBreakPreview" topLeftCell="A13" zoomScaleNormal="130" workbookViewId="0">
      <selection activeCell="J16" sqref="J16"/>
    </sheetView>
  </sheetViews>
  <sheetFormatPr defaultColWidth="9" defaultRowHeight="13.8" x14ac:dyDescent="0.25"/>
  <cols>
    <col min="1" max="1" width="23.21875" style="4" customWidth="1"/>
    <col min="2" max="2" width="7" style="4" customWidth="1"/>
    <col min="3" max="3" width="8.44140625" style="4" customWidth="1"/>
    <col min="4" max="4" width="21" style="4" customWidth="1"/>
    <col min="5" max="5" width="19.77734375" style="4" customWidth="1"/>
    <col min="6" max="6" width="13.109375" style="4" customWidth="1"/>
    <col min="7" max="8" width="9" style="2"/>
    <col min="9" max="9" width="9" style="2" hidden="1" customWidth="1"/>
    <col min="10" max="16384" width="9" style="2"/>
  </cols>
  <sheetData>
    <row r="1" spans="1:6" ht="19.95" customHeight="1" x14ac:dyDescent="0.25">
      <c r="A1" s="41" t="s">
        <v>0</v>
      </c>
      <c r="B1" s="41"/>
      <c r="C1" s="41"/>
      <c r="D1" s="41"/>
      <c r="E1" s="41"/>
      <c r="F1" s="41"/>
    </row>
    <row r="2" spans="1:6" ht="19.95" customHeight="1" x14ac:dyDescent="0.25">
      <c r="A2" s="42" t="s">
        <v>1</v>
      </c>
      <c r="B2" s="42"/>
      <c r="C2" s="42"/>
      <c r="D2" s="42"/>
      <c r="E2" s="42"/>
      <c r="F2" s="42"/>
    </row>
    <row r="3" spans="1:6" ht="19.95" customHeight="1" x14ac:dyDescent="0.25">
      <c r="A3" s="24" t="s">
        <v>2</v>
      </c>
      <c r="D3" s="24" t="s">
        <v>3</v>
      </c>
      <c r="E3" s="24" t="s">
        <v>4</v>
      </c>
      <c r="F3" s="24" t="s">
        <v>5</v>
      </c>
    </row>
    <row r="4" spans="1:6" ht="19.95" customHeight="1" x14ac:dyDescent="0.25">
      <c r="A4" s="24" t="s">
        <v>6</v>
      </c>
      <c r="D4" s="24" t="s">
        <v>7</v>
      </c>
      <c r="E4" s="24" t="s">
        <v>8</v>
      </c>
      <c r="F4" s="24" t="s">
        <v>9</v>
      </c>
    </row>
    <row r="5" spans="1:6" ht="19.95" customHeight="1" x14ac:dyDescent="0.25">
      <c r="A5" s="25" t="s">
        <v>10</v>
      </c>
      <c r="B5" s="7"/>
      <c r="C5" s="7"/>
      <c r="D5" s="8"/>
      <c r="E5" s="7"/>
      <c r="F5" s="9"/>
    </row>
    <row r="6" spans="1:6" ht="19.95" customHeight="1" x14ac:dyDescent="0.25">
      <c r="A6" s="26"/>
      <c r="B6" s="5"/>
      <c r="C6" s="5"/>
      <c r="D6" s="11"/>
      <c r="E6" s="5"/>
      <c r="F6" s="12"/>
    </row>
    <row r="7" spans="1:6" ht="19.95" customHeight="1" x14ac:dyDescent="0.25">
      <c r="A7" s="26"/>
      <c r="B7" s="5"/>
      <c r="C7" s="5"/>
      <c r="D7" s="11"/>
      <c r="E7" s="5"/>
      <c r="F7" s="12"/>
    </row>
    <row r="8" spans="1:6" ht="19.95" customHeight="1" x14ac:dyDescent="0.25">
      <c r="A8" s="27"/>
      <c r="B8" s="14"/>
      <c r="C8" s="14"/>
      <c r="D8" s="15"/>
      <c r="E8" s="14"/>
      <c r="F8" s="16"/>
    </row>
    <row r="9" spans="1:6" s="1" customFormat="1" ht="19.95" customHeight="1" x14ac:dyDescent="0.25">
      <c r="A9" s="43" t="s">
        <v>11</v>
      </c>
      <c r="B9" s="44"/>
      <c r="C9" s="28" t="s">
        <v>12</v>
      </c>
      <c r="D9" s="45" t="s">
        <v>13</v>
      </c>
      <c r="E9" s="46"/>
      <c r="F9" s="28" t="s">
        <v>14</v>
      </c>
    </row>
    <row r="10" spans="1:6" s="1" customFormat="1" ht="68.25" customHeight="1" x14ac:dyDescent="0.25">
      <c r="A10" s="47" t="s">
        <v>15</v>
      </c>
      <c r="B10" s="48"/>
      <c r="C10" s="57"/>
      <c r="D10" s="47"/>
      <c r="E10" s="48"/>
      <c r="F10" s="19"/>
    </row>
    <row r="11" spans="1:6" s="1" customFormat="1" ht="19.95" customHeight="1" x14ac:dyDescent="0.25">
      <c r="A11" s="59"/>
      <c r="B11" s="50"/>
      <c r="C11" s="58"/>
      <c r="D11" s="49" t="str">
        <f>IF(C10="否","不属于控制偏差；进入步骤六",IF(C10="是","进入步骤二",""))</f>
        <v/>
      </c>
      <c r="E11" s="50"/>
      <c r="F11" s="20"/>
    </row>
    <row r="12" spans="1:6" s="1" customFormat="1" ht="68.25" customHeight="1" x14ac:dyDescent="0.25">
      <c r="A12" s="47" t="s">
        <v>16</v>
      </c>
      <c r="B12" s="48"/>
      <c r="C12" s="57"/>
      <c r="D12" s="51"/>
      <c r="E12" s="48"/>
      <c r="F12" s="19"/>
    </row>
    <row r="13" spans="1:6" s="1" customFormat="1" ht="19.95" customHeight="1" x14ac:dyDescent="0.25">
      <c r="A13" s="59"/>
      <c r="B13" s="50"/>
      <c r="C13" s="58"/>
      <c r="D13" s="49" t="str">
        <f>IF(C12="随机性偏差","确定应对措施；进入步骤三",IF(OR(C12="系统性偏差",C12="人为偏差"),"属于控制缺陷；进入步骤五",""))</f>
        <v/>
      </c>
      <c r="E13" s="50"/>
      <c r="F13" s="20"/>
    </row>
    <row r="14" spans="1:6" s="1" customFormat="1" ht="72.75" customHeight="1" x14ac:dyDescent="0.25">
      <c r="A14" s="47" t="s">
        <v>17</v>
      </c>
      <c r="B14" s="48"/>
      <c r="C14" s="57"/>
      <c r="D14" s="51"/>
      <c r="E14" s="48"/>
      <c r="F14" s="19"/>
    </row>
    <row r="15" spans="1:6" s="1" customFormat="1" ht="19.95" customHeight="1" x14ac:dyDescent="0.25">
      <c r="A15" s="59"/>
      <c r="B15" s="50"/>
      <c r="C15" s="58"/>
      <c r="D15" s="49" t="str">
        <f>IF(C14="直接认定为偏差","进入步骤五",IF(C14="扩大样本量","进入步骤四",""))</f>
        <v/>
      </c>
      <c r="E15" s="50"/>
      <c r="F15" s="20"/>
    </row>
    <row r="16" spans="1:6" s="1" customFormat="1" ht="69" customHeight="1" x14ac:dyDescent="0.25">
      <c r="A16" s="47" t="s">
        <v>18</v>
      </c>
      <c r="B16" s="48"/>
      <c r="C16" s="57"/>
      <c r="D16" s="51"/>
      <c r="E16" s="48"/>
      <c r="F16" s="19"/>
    </row>
    <row r="17" spans="1:9" s="1" customFormat="1" ht="19.95" customHeight="1" x14ac:dyDescent="0.25">
      <c r="A17" s="59"/>
      <c r="B17" s="50"/>
      <c r="C17" s="58"/>
      <c r="D17" s="49" t="str">
        <f>IF(C16="否","控制有效",IF(C16="是","该控制无效；进入步骤五",""))</f>
        <v/>
      </c>
      <c r="E17" s="50"/>
      <c r="F17" s="20"/>
    </row>
    <row r="18" spans="1:9" s="1" customFormat="1" ht="19.95" customHeight="1" x14ac:dyDescent="0.25">
      <c r="A18" s="47" t="s">
        <v>19</v>
      </c>
      <c r="B18" s="48"/>
      <c r="C18" s="57"/>
      <c r="D18" s="52"/>
      <c r="E18" s="48"/>
      <c r="F18" s="18"/>
    </row>
    <row r="19" spans="1:9" s="1" customFormat="1" ht="19.95" customHeight="1" x14ac:dyDescent="0.25">
      <c r="A19" s="59"/>
      <c r="B19" s="50"/>
      <c r="C19" s="58"/>
      <c r="D19" s="49" t="str">
        <f>IF(OR(D15="进入步骤五",D17="该控制无效；进入步骤五"),"进入内部控制缺陷评价底稿","")</f>
        <v/>
      </c>
      <c r="E19" s="50"/>
      <c r="F19" s="21" t="str">
        <f>IF(LEN(D19)&gt;0,"A14","")</f>
        <v/>
      </c>
    </row>
    <row r="20" spans="1:9" s="1" customFormat="1" ht="97.5" customHeight="1" x14ac:dyDescent="0.25">
      <c r="A20" s="47" t="s">
        <v>20</v>
      </c>
      <c r="B20" s="48"/>
      <c r="C20" s="57"/>
      <c r="D20" s="51"/>
      <c r="E20" s="48"/>
      <c r="F20" s="19"/>
    </row>
    <row r="21" spans="1:9" s="1" customFormat="1" ht="19.95" customHeight="1" x14ac:dyDescent="0.25">
      <c r="A21" s="59"/>
      <c r="B21" s="50"/>
      <c r="C21" s="58"/>
      <c r="D21" s="49" t="str">
        <f>IF(C20="否","该控制例外情况不构成偏差或缺陷",IF(C20="是","存在设计缺陷；回到步骤五",""))</f>
        <v/>
      </c>
      <c r="E21" s="50"/>
      <c r="F21" s="20"/>
    </row>
    <row r="22" spans="1:9" s="1" customFormat="1" ht="45.75" customHeight="1" x14ac:dyDescent="0.25">
      <c r="A22" s="53" t="s">
        <v>21</v>
      </c>
      <c r="B22" s="54"/>
      <c r="C22" s="22"/>
      <c r="D22" s="55"/>
      <c r="E22" s="56"/>
      <c r="F22" s="23"/>
      <c r="I22" s="38"/>
    </row>
    <row r="23" spans="1:9" s="1" customFormat="1" x14ac:dyDescent="0.25">
      <c r="A23" s="29"/>
      <c r="B23" s="29"/>
      <c r="C23" s="29"/>
      <c r="D23" s="29"/>
      <c r="E23" s="29"/>
      <c r="F23" s="29"/>
    </row>
    <row r="24" spans="1:9" s="1" customFormat="1" x14ac:dyDescent="0.25">
      <c r="A24" s="29"/>
      <c r="B24" s="29"/>
      <c r="C24" s="29"/>
      <c r="D24" s="29"/>
      <c r="E24" s="29"/>
      <c r="F24" s="29"/>
      <c r="I24" s="39" t="s">
        <v>22</v>
      </c>
    </row>
    <row r="25" spans="1:9" x14ac:dyDescent="0.25">
      <c r="A25" s="30" t="s">
        <v>23</v>
      </c>
      <c r="B25" s="31"/>
      <c r="C25" s="31"/>
      <c r="D25" s="31"/>
      <c r="E25" s="31"/>
      <c r="F25" s="31"/>
      <c r="I25" s="39" t="s">
        <v>24</v>
      </c>
    </row>
    <row r="26" spans="1:9" x14ac:dyDescent="0.25">
      <c r="A26" s="30" t="s">
        <v>25</v>
      </c>
      <c r="B26" s="31"/>
      <c r="C26" s="31"/>
      <c r="D26" s="31"/>
      <c r="E26" s="31"/>
      <c r="F26" s="31"/>
      <c r="I26" s="39" t="s">
        <v>26</v>
      </c>
    </row>
    <row r="27" spans="1:9" x14ac:dyDescent="0.25">
      <c r="A27" s="32" t="s">
        <v>27</v>
      </c>
      <c r="B27" s="31"/>
      <c r="C27" s="31"/>
      <c r="D27" s="31"/>
      <c r="E27" s="31"/>
      <c r="F27" s="31"/>
      <c r="I27" s="39" t="s">
        <v>28</v>
      </c>
    </row>
    <row r="28" spans="1:9" x14ac:dyDescent="0.25">
      <c r="A28" s="32" t="s">
        <v>29</v>
      </c>
      <c r="B28" s="31"/>
      <c r="C28" s="31"/>
      <c r="D28" s="31"/>
      <c r="E28" s="31"/>
      <c r="F28" s="31"/>
    </row>
    <row r="29" spans="1:9" x14ac:dyDescent="0.25">
      <c r="A29" s="32" t="s">
        <v>30</v>
      </c>
      <c r="B29" s="31"/>
      <c r="C29" s="31"/>
      <c r="D29" s="31"/>
      <c r="E29" s="31"/>
      <c r="F29" s="31"/>
      <c r="I29" s="38"/>
    </row>
    <row r="30" spans="1:9" x14ac:dyDescent="0.25">
      <c r="A30" s="32" t="s">
        <v>31</v>
      </c>
      <c r="B30" s="31"/>
      <c r="C30" s="31"/>
      <c r="D30" s="31"/>
      <c r="E30" s="31"/>
      <c r="F30" s="31"/>
    </row>
    <row r="31" spans="1:9" x14ac:dyDescent="0.25">
      <c r="A31" s="32" t="s">
        <v>32</v>
      </c>
      <c r="B31" s="31"/>
      <c r="C31" s="31"/>
      <c r="D31" s="31"/>
      <c r="E31" s="31"/>
      <c r="F31" s="31"/>
    </row>
    <row r="32" spans="1:9" x14ac:dyDescent="0.25">
      <c r="A32" s="32" t="s">
        <v>33</v>
      </c>
      <c r="B32" s="31"/>
      <c r="C32" s="31"/>
      <c r="D32" s="31"/>
      <c r="E32" s="31"/>
      <c r="F32" s="31"/>
    </row>
    <row r="33" spans="1:6" x14ac:dyDescent="0.25">
      <c r="A33" s="32" t="s">
        <v>34</v>
      </c>
      <c r="B33" s="31"/>
      <c r="C33" s="31"/>
      <c r="D33" s="31"/>
      <c r="E33" s="31"/>
      <c r="F33" s="31"/>
    </row>
    <row r="34" spans="1:6" x14ac:dyDescent="0.25">
      <c r="A34" s="32" t="s">
        <v>35</v>
      </c>
      <c r="B34" s="31"/>
      <c r="C34" s="31"/>
      <c r="D34" s="31"/>
      <c r="E34" s="31"/>
      <c r="F34" s="31"/>
    </row>
    <row r="35" spans="1:6" x14ac:dyDescent="0.25">
      <c r="A35" s="32" t="s">
        <v>36</v>
      </c>
      <c r="B35" s="31"/>
      <c r="C35" s="31"/>
      <c r="D35" s="31"/>
      <c r="E35" s="31"/>
      <c r="F35" s="31"/>
    </row>
    <row r="36" spans="1:6" x14ac:dyDescent="0.25">
      <c r="A36" s="32" t="s">
        <v>37</v>
      </c>
      <c r="B36" s="31"/>
      <c r="C36" s="31"/>
      <c r="D36" s="31"/>
      <c r="E36" s="31"/>
      <c r="F36" s="31"/>
    </row>
    <row r="37" spans="1:6" s="1" customFormat="1" ht="14.25" customHeight="1" x14ac:dyDescent="0.25">
      <c r="A37" s="30" t="s">
        <v>38</v>
      </c>
      <c r="B37" s="31"/>
      <c r="C37" s="31"/>
      <c r="D37" s="31"/>
      <c r="E37" s="31"/>
      <c r="F37" s="31"/>
    </row>
    <row r="38" spans="1:6" x14ac:dyDescent="0.25">
      <c r="A38" s="32" t="s">
        <v>39</v>
      </c>
      <c r="B38" s="31"/>
      <c r="C38" s="31"/>
      <c r="D38" s="31"/>
      <c r="E38" s="31"/>
      <c r="F38" s="31"/>
    </row>
    <row r="39" spans="1:6" x14ac:dyDescent="0.25">
      <c r="A39" s="32" t="s">
        <v>40</v>
      </c>
      <c r="B39" s="31"/>
      <c r="C39" s="31"/>
      <c r="D39" s="31"/>
      <c r="E39" s="31"/>
      <c r="F39" s="31"/>
    </row>
    <row r="40" spans="1:6" x14ac:dyDescent="0.25">
      <c r="A40" s="32" t="s">
        <v>41</v>
      </c>
      <c r="B40" s="31"/>
      <c r="C40" s="31"/>
      <c r="D40" s="31"/>
      <c r="E40" s="31"/>
      <c r="F40" s="31"/>
    </row>
    <row r="41" spans="1:6" x14ac:dyDescent="0.25">
      <c r="A41" s="33" t="s">
        <v>42</v>
      </c>
      <c r="B41" s="34"/>
      <c r="C41" s="34"/>
      <c r="D41" s="34"/>
      <c r="E41" s="34"/>
      <c r="F41" s="34"/>
    </row>
    <row r="42" spans="1:6" x14ac:dyDescent="0.25">
      <c r="A42" s="35"/>
      <c r="B42" s="34"/>
      <c r="C42" s="34"/>
      <c r="D42" s="34"/>
      <c r="E42" s="34"/>
      <c r="F42" s="34"/>
    </row>
    <row r="43" spans="1:6" x14ac:dyDescent="0.25">
      <c r="A43" s="36" t="s">
        <v>43</v>
      </c>
      <c r="B43" s="31"/>
      <c r="C43" s="31"/>
      <c r="D43" s="31"/>
      <c r="E43" s="31"/>
      <c r="F43" s="31"/>
    </row>
    <row r="44" spans="1:6" x14ac:dyDescent="0.25">
      <c r="A44" s="32" t="s">
        <v>44</v>
      </c>
      <c r="B44" s="31"/>
      <c r="C44" s="31"/>
      <c r="D44" s="31"/>
      <c r="E44" s="31"/>
      <c r="F44" s="31"/>
    </row>
    <row r="45" spans="1:6" x14ac:dyDescent="0.25">
      <c r="A45" s="32" t="s">
        <v>45</v>
      </c>
      <c r="B45" s="31"/>
      <c r="C45" s="31"/>
      <c r="D45" s="31"/>
      <c r="E45" s="31"/>
      <c r="F45" s="31"/>
    </row>
    <row r="46" spans="1:6" x14ac:dyDescent="0.25">
      <c r="A46" s="32" t="s">
        <v>46</v>
      </c>
      <c r="B46" s="31"/>
      <c r="C46" s="31"/>
      <c r="D46" s="31"/>
      <c r="E46" s="31"/>
      <c r="F46" s="31"/>
    </row>
    <row r="47" spans="1:6" x14ac:dyDescent="0.25">
      <c r="A47" s="32" t="s">
        <v>47</v>
      </c>
      <c r="B47" s="31"/>
      <c r="C47" s="31"/>
      <c r="D47" s="31"/>
      <c r="E47" s="31"/>
      <c r="F47" s="31"/>
    </row>
    <row r="48" spans="1:6" x14ac:dyDescent="0.25">
      <c r="A48" s="32" t="s">
        <v>48</v>
      </c>
      <c r="B48" s="31"/>
      <c r="C48" s="31"/>
      <c r="D48" s="31"/>
      <c r="E48" s="31"/>
      <c r="F48" s="31"/>
    </row>
    <row r="49" spans="1:6" x14ac:dyDescent="0.25">
      <c r="A49" s="32" t="s">
        <v>49</v>
      </c>
      <c r="B49" s="31"/>
      <c r="C49" s="31"/>
      <c r="D49" s="31"/>
      <c r="E49" s="31"/>
      <c r="F49" s="31"/>
    </row>
    <row r="50" spans="1:6" x14ac:dyDescent="0.25">
      <c r="A50" s="32" t="s">
        <v>50</v>
      </c>
      <c r="B50" s="31"/>
      <c r="C50" s="31"/>
      <c r="D50" s="31"/>
      <c r="E50" s="31"/>
      <c r="F50" s="31"/>
    </row>
    <row r="51" spans="1:6" x14ac:dyDescent="0.25">
      <c r="A51" s="32" t="s">
        <v>51</v>
      </c>
      <c r="B51" s="31"/>
      <c r="C51" s="31"/>
      <c r="D51" s="31"/>
      <c r="E51" s="31"/>
      <c r="F51" s="31"/>
    </row>
    <row r="52" spans="1:6" x14ac:dyDescent="0.25">
      <c r="A52" s="32" t="s">
        <v>52</v>
      </c>
      <c r="B52" s="31"/>
      <c r="C52" s="31"/>
      <c r="D52" s="31"/>
      <c r="E52" s="31"/>
      <c r="F52" s="31"/>
    </row>
    <row r="53" spans="1:6" x14ac:dyDescent="0.25">
      <c r="A53" s="32" t="s">
        <v>53</v>
      </c>
      <c r="B53" s="31"/>
      <c r="C53" s="31"/>
      <c r="D53" s="31"/>
      <c r="E53" s="31"/>
      <c r="F53" s="31"/>
    </row>
    <row r="54" spans="1:6" x14ac:dyDescent="0.25">
      <c r="A54" s="32" t="s">
        <v>54</v>
      </c>
      <c r="B54" s="31"/>
      <c r="C54" s="31"/>
      <c r="D54" s="31"/>
      <c r="E54" s="31"/>
      <c r="F54" s="31"/>
    </row>
    <row r="55" spans="1:6" x14ac:dyDescent="0.25">
      <c r="A55" s="32" t="s">
        <v>55</v>
      </c>
      <c r="B55" s="31"/>
      <c r="C55" s="31"/>
      <c r="D55" s="31"/>
      <c r="E55" s="31"/>
      <c r="F55" s="31"/>
    </row>
    <row r="56" spans="1:6" x14ac:dyDescent="0.25">
      <c r="A56" s="37"/>
      <c r="B56" s="31"/>
      <c r="C56" s="31"/>
      <c r="D56" s="31"/>
      <c r="E56" s="31"/>
      <c r="F56" s="31"/>
    </row>
    <row r="57" spans="1:6" x14ac:dyDescent="0.25">
      <c r="A57" s="30" t="s">
        <v>56</v>
      </c>
    </row>
    <row r="58" spans="1:6" x14ac:dyDescent="0.25">
      <c r="A58" s="32" t="s">
        <v>57</v>
      </c>
    </row>
    <row r="59" spans="1:6" x14ac:dyDescent="0.25">
      <c r="A59" s="33" t="s">
        <v>58</v>
      </c>
    </row>
    <row r="60" spans="1:6" x14ac:dyDescent="0.25">
      <c r="A60" s="33" t="s">
        <v>59</v>
      </c>
    </row>
    <row r="61" spans="1:6" x14ac:dyDescent="0.25">
      <c r="A61" s="33" t="s">
        <v>60</v>
      </c>
    </row>
    <row r="62" spans="1:6" x14ac:dyDescent="0.25">
      <c r="A62" s="33" t="s">
        <v>61</v>
      </c>
    </row>
    <row r="63" spans="1:6" x14ac:dyDescent="0.25">
      <c r="A63" s="33" t="s">
        <v>62</v>
      </c>
    </row>
    <row r="65" spans="1:1" x14ac:dyDescent="0.25">
      <c r="A65" s="30" t="s">
        <v>63</v>
      </c>
    </row>
    <row r="66" spans="1:1" x14ac:dyDescent="0.25">
      <c r="A66" s="33" t="s">
        <v>64</v>
      </c>
    </row>
    <row r="67" spans="1:1" x14ac:dyDescent="0.25">
      <c r="A67" s="33" t="s">
        <v>65</v>
      </c>
    </row>
    <row r="68" spans="1:1" x14ac:dyDescent="0.25">
      <c r="A68" s="33" t="s">
        <v>66</v>
      </c>
    </row>
    <row r="69" spans="1:1" x14ac:dyDescent="0.25">
      <c r="A69" s="33" t="s">
        <v>67</v>
      </c>
    </row>
    <row r="70" spans="1:1" x14ac:dyDescent="0.25">
      <c r="A70" s="35"/>
    </row>
    <row r="71" spans="1:1" x14ac:dyDescent="0.25">
      <c r="A71" s="30" t="s">
        <v>68</v>
      </c>
    </row>
    <row r="72" spans="1:1" x14ac:dyDescent="0.25">
      <c r="A72" s="40" t="s">
        <v>69</v>
      </c>
    </row>
    <row r="73" spans="1:1" x14ac:dyDescent="0.25">
      <c r="A73" s="40" t="s">
        <v>70</v>
      </c>
    </row>
    <row r="74" spans="1:1" x14ac:dyDescent="0.25">
      <c r="A74" s="40" t="s">
        <v>71</v>
      </c>
    </row>
    <row r="75" spans="1:1" x14ac:dyDescent="0.25">
      <c r="A75" s="35"/>
    </row>
  </sheetData>
  <mergeCells count="30">
    <mergeCell ref="D21:E21"/>
    <mergeCell ref="A22:B22"/>
    <mergeCell ref="D22:E22"/>
    <mergeCell ref="C10:C11"/>
    <mergeCell ref="C12:C13"/>
    <mergeCell ref="C14:C15"/>
    <mergeCell ref="C16:C17"/>
    <mergeCell ref="C18:C19"/>
    <mergeCell ref="C20:C21"/>
    <mergeCell ref="A20:B21"/>
    <mergeCell ref="A16:B17"/>
    <mergeCell ref="A18:B19"/>
    <mergeCell ref="A12:B13"/>
    <mergeCell ref="A14:B15"/>
    <mergeCell ref="A10:B11"/>
    <mergeCell ref="D16:E16"/>
    <mergeCell ref="D17:E17"/>
    <mergeCell ref="D18:E18"/>
    <mergeCell ref="D19:E19"/>
    <mergeCell ref="D20:E20"/>
    <mergeCell ref="D11:E11"/>
    <mergeCell ref="D12:E12"/>
    <mergeCell ref="D13:E13"/>
    <mergeCell ref="D14:E14"/>
    <mergeCell ref="D15:E15"/>
    <mergeCell ref="A1:F1"/>
    <mergeCell ref="A2:F2"/>
    <mergeCell ref="A9:B9"/>
    <mergeCell ref="D9:E9"/>
    <mergeCell ref="D10:E10"/>
  </mergeCells>
  <phoneticPr fontId="38" type="noConversion"/>
  <dataValidations count="4">
    <dataValidation type="list" allowBlank="1" showInputMessage="1" showErrorMessage="1" sqref="D22:E22">
      <formula1>$I$24:$I$27</formula1>
    </dataValidation>
    <dataValidation type="list" allowBlank="1" showInputMessage="1" showErrorMessage="1" sqref="C10:C11 C16:C17 C20:C21">
      <formula1>"是,否"</formula1>
    </dataValidation>
    <dataValidation type="list" allowBlank="1" showInputMessage="1" showErrorMessage="1" sqref="C12:C13">
      <formula1>"系统性偏差,人为偏差,随机性偏差"</formula1>
    </dataValidation>
    <dataValidation type="list" allowBlank="1" showInputMessage="1" showErrorMessage="1" sqref="C14:C15">
      <formula1>"扩大样本量,直接认定为偏差"</formula1>
    </dataValidation>
  </dataValidations>
  <pageMargins left="0.70866141732283505" right="0.43307086614173201" top="0.62992125984252001" bottom="0.47244094488188998" header="0.31496062992126" footer="0.31496062992126"/>
  <pageSetup paperSize="9" scale="92" orientation="portrait" blackAndWhite="1" r:id="rId1"/>
  <headerFooter>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92D050"/>
  </sheetPr>
  <dimension ref="A1:F33"/>
  <sheetViews>
    <sheetView view="pageBreakPreview" zoomScaleNormal="130" workbookViewId="0">
      <selection activeCell="K10" sqref="K10"/>
    </sheetView>
  </sheetViews>
  <sheetFormatPr defaultColWidth="9" defaultRowHeight="13.8" x14ac:dyDescent="0.25"/>
  <cols>
    <col min="1" max="1" width="23.21875" style="2" customWidth="1"/>
    <col min="2" max="2" width="5.109375" style="2" customWidth="1"/>
    <col min="3" max="3" width="4.77734375" style="2" customWidth="1"/>
    <col min="4" max="4" width="16.88671875" style="2" customWidth="1"/>
    <col min="5" max="5" width="19.109375" style="2" customWidth="1"/>
    <col min="6" max="6" width="12.33203125" style="2" customWidth="1"/>
    <col min="7" max="16384" width="9" style="2"/>
  </cols>
  <sheetData>
    <row r="1" spans="1:6" ht="20.100000000000001" customHeight="1" x14ac:dyDescent="0.3">
      <c r="A1" s="60" t="s">
        <v>72</v>
      </c>
      <c r="B1" s="60"/>
      <c r="C1" s="60"/>
      <c r="D1" s="60"/>
      <c r="E1" s="60"/>
      <c r="F1" s="60"/>
    </row>
    <row r="2" spans="1:6" ht="24.9" customHeight="1" x14ac:dyDescent="0.25">
      <c r="A2" s="61" t="s">
        <v>73</v>
      </c>
      <c r="B2" s="61"/>
      <c r="C2" s="61"/>
      <c r="D2" s="61"/>
      <c r="E2" s="61"/>
      <c r="F2" s="61"/>
    </row>
    <row r="3" spans="1:6" ht="17.25" customHeight="1" x14ac:dyDescent="0.25">
      <c r="A3" s="3" t="s">
        <v>74</v>
      </c>
      <c r="B3" s="4"/>
      <c r="C3" s="4"/>
      <c r="D3" s="5" t="s">
        <v>75</v>
      </c>
      <c r="E3" s="5" t="s">
        <v>76</v>
      </c>
      <c r="F3" s="5" t="s">
        <v>5</v>
      </c>
    </row>
    <row r="4" spans="1:6" ht="17.25" customHeight="1" x14ac:dyDescent="0.25">
      <c r="A4" s="5" t="s">
        <v>77</v>
      </c>
      <c r="B4" s="4"/>
      <c r="C4" s="4"/>
      <c r="D4" s="5" t="s">
        <v>78</v>
      </c>
      <c r="E4" s="5" t="s">
        <v>79</v>
      </c>
      <c r="F4" s="5" t="s">
        <v>9</v>
      </c>
    </row>
    <row r="5" spans="1:6" ht="17.25" customHeight="1" x14ac:dyDescent="0.25">
      <c r="A5" s="6" t="s">
        <v>80</v>
      </c>
      <c r="B5" s="7"/>
      <c r="C5" s="7"/>
      <c r="D5" s="8"/>
      <c r="E5" s="7"/>
      <c r="F5" s="9"/>
    </row>
    <row r="6" spans="1:6" ht="17.25" customHeight="1" x14ac:dyDescent="0.25">
      <c r="A6" s="10" t="s">
        <v>81</v>
      </c>
      <c r="B6" s="5"/>
      <c r="C6" s="5"/>
      <c r="D6" s="11"/>
      <c r="E6" s="5"/>
      <c r="F6" s="12"/>
    </row>
    <row r="7" spans="1:6" ht="17.25" customHeight="1" x14ac:dyDescent="0.25">
      <c r="A7" s="13" t="s">
        <v>82</v>
      </c>
      <c r="B7" s="14"/>
      <c r="C7" s="14"/>
      <c r="D7" s="15"/>
      <c r="E7" s="14"/>
      <c r="F7" s="16"/>
    </row>
    <row r="8" spans="1:6" s="1" customFormat="1" ht="18.75" customHeight="1" x14ac:dyDescent="0.25">
      <c r="A8" s="44" t="s">
        <v>11</v>
      </c>
      <c r="B8" s="44"/>
      <c r="C8" s="17" t="s">
        <v>12</v>
      </c>
      <c r="D8" s="62" t="s">
        <v>13</v>
      </c>
      <c r="E8" s="46"/>
      <c r="F8" s="17" t="s">
        <v>14</v>
      </c>
    </row>
    <row r="9" spans="1:6" s="1" customFormat="1" ht="33.75" customHeight="1" x14ac:dyDescent="0.25">
      <c r="A9" s="51" t="s">
        <v>83</v>
      </c>
      <c r="B9" s="48"/>
      <c r="C9" s="57" t="s">
        <v>84</v>
      </c>
      <c r="D9" s="51" t="s">
        <v>85</v>
      </c>
      <c r="E9" s="48"/>
      <c r="F9" s="19"/>
    </row>
    <row r="10" spans="1:6" s="1" customFormat="1" ht="17.25" customHeight="1" x14ac:dyDescent="0.25">
      <c r="A10" s="66"/>
      <c r="B10" s="67"/>
      <c r="C10" s="65"/>
      <c r="D10" s="49" t="str">
        <f>IF(C9="是","进入步骤二","")</f>
        <v>进入步骤二</v>
      </c>
      <c r="E10" s="50"/>
      <c r="F10" s="20"/>
    </row>
    <row r="11" spans="1:6" s="1" customFormat="1" ht="35.25" customHeight="1" x14ac:dyDescent="0.25">
      <c r="A11" s="66"/>
      <c r="B11" s="67"/>
      <c r="C11" s="65"/>
      <c r="D11" s="52"/>
      <c r="E11" s="48"/>
      <c r="F11" s="19"/>
    </row>
    <row r="12" spans="1:6" s="1" customFormat="1" ht="17.25" customHeight="1" x14ac:dyDescent="0.25">
      <c r="A12" s="59"/>
      <c r="B12" s="50"/>
      <c r="C12" s="58"/>
      <c r="D12" s="49" t="str">
        <f>IF(C9="否","不属于控制偏差；进入步骤六","")</f>
        <v/>
      </c>
      <c r="E12" s="50"/>
      <c r="F12" s="20"/>
    </row>
    <row r="13" spans="1:6" s="1" customFormat="1" ht="36" customHeight="1" x14ac:dyDescent="0.25">
      <c r="A13" s="51" t="s">
        <v>86</v>
      </c>
      <c r="B13" s="48"/>
      <c r="C13" s="57" t="s">
        <v>87</v>
      </c>
      <c r="D13" s="51"/>
      <c r="E13" s="48"/>
      <c r="F13" s="19"/>
    </row>
    <row r="14" spans="1:6" s="1" customFormat="1" ht="17.25" customHeight="1" x14ac:dyDescent="0.25">
      <c r="A14" s="66"/>
      <c r="B14" s="67"/>
      <c r="C14" s="65"/>
      <c r="D14" s="49" t="str">
        <f>IF(OR(C13="系统性偏差",C13="人为偏差"),"属于控制缺陷；进入步骤五","")</f>
        <v/>
      </c>
      <c r="E14" s="50"/>
      <c r="F14" s="20"/>
    </row>
    <row r="15" spans="1:6" s="1" customFormat="1" ht="45" customHeight="1" x14ac:dyDescent="0.25">
      <c r="A15" s="66"/>
      <c r="B15" s="67"/>
      <c r="C15" s="65"/>
      <c r="D15" s="52" t="s">
        <v>88</v>
      </c>
      <c r="E15" s="48"/>
      <c r="F15" s="19"/>
    </row>
    <row r="16" spans="1:6" s="1" customFormat="1" ht="17.25" customHeight="1" x14ac:dyDescent="0.25">
      <c r="A16" s="59"/>
      <c r="B16" s="50"/>
      <c r="C16" s="58"/>
      <c r="D16" s="49" t="str">
        <f>IF(C13="随机性偏差","确定应对措施；进入步骤三","")</f>
        <v>确定应对措施；进入步骤三</v>
      </c>
      <c r="E16" s="50"/>
      <c r="F16" s="20"/>
    </row>
    <row r="17" spans="1:6" s="1" customFormat="1" ht="36" customHeight="1" x14ac:dyDescent="0.25">
      <c r="A17" s="51" t="s">
        <v>89</v>
      </c>
      <c r="B17" s="48"/>
      <c r="C17" s="57" t="s">
        <v>90</v>
      </c>
      <c r="D17" s="51" t="s">
        <v>91</v>
      </c>
      <c r="E17" s="48"/>
      <c r="F17" s="19"/>
    </row>
    <row r="18" spans="1:6" s="1" customFormat="1" ht="18" customHeight="1" x14ac:dyDescent="0.25">
      <c r="A18" s="66"/>
      <c r="B18" s="67"/>
      <c r="C18" s="65"/>
      <c r="D18" s="49" t="str">
        <f>IF(C17="扩大样本量","进入步骤四","")</f>
        <v>进入步骤四</v>
      </c>
      <c r="E18" s="50"/>
      <c r="F18" s="20"/>
    </row>
    <row r="19" spans="1:6" s="1" customFormat="1" ht="18" customHeight="1" x14ac:dyDescent="0.25">
      <c r="A19" s="66"/>
      <c r="B19" s="67"/>
      <c r="C19" s="65"/>
      <c r="D19" s="52"/>
      <c r="E19" s="48"/>
      <c r="F19" s="19"/>
    </row>
    <row r="20" spans="1:6" s="1" customFormat="1" ht="18" customHeight="1" x14ac:dyDescent="0.25">
      <c r="A20" s="59"/>
      <c r="B20" s="50"/>
      <c r="C20" s="58"/>
      <c r="D20" s="49" t="str">
        <f>IF(C17="直接认定为偏差","进入步骤五","")</f>
        <v/>
      </c>
      <c r="E20" s="50"/>
      <c r="F20" s="20"/>
    </row>
    <row r="21" spans="1:6" s="1" customFormat="1" ht="19.5" customHeight="1" x14ac:dyDescent="0.25">
      <c r="A21" s="51" t="s">
        <v>92</v>
      </c>
      <c r="B21" s="48"/>
      <c r="C21" s="57" t="s">
        <v>93</v>
      </c>
      <c r="D21" s="51"/>
      <c r="E21" s="48"/>
      <c r="F21" s="19"/>
    </row>
    <row r="22" spans="1:6" s="1" customFormat="1" ht="17.25" customHeight="1" x14ac:dyDescent="0.25">
      <c r="A22" s="66"/>
      <c r="B22" s="67"/>
      <c r="C22" s="65"/>
      <c r="D22" s="49" t="str">
        <f>IF(C21="是","该控制无效；进入步骤五","")</f>
        <v/>
      </c>
      <c r="E22" s="50"/>
      <c r="F22" s="20"/>
    </row>
    <row r="23" spans="1:6" s="1" customFormat="1" ht="33.75" customHeight="1" x14ac:dyDescent="0.25">
      <c r="A23" s="66"/>
      <c r="B23" s="67"/>
      <c r="C23" s="65"/>
      <c r="D23" s="51" t="s">
        <v>94</v>
      </c>
      <c r="E23" s="48"/>
      <c r="F23" s="19"/>
    </row>
    <row r="24" spans="1:6" s="1" customFormat="1" ht="17.25" customHeight="1" x14ac:dyDescent="0.25">
      <c r="A24" s="59"/>
      <c r="B24" s="50"/>
      <c r="C24" s="58"/>
      <c r="D24" s="49" t="str">
        <f>IF(C21="否","控制有效","")</f>
        <v>控制有效</v>
      </c>
      <c r="E24" s="50"/>
      <c r="F24" s="20"/>
    </row>
    <row r="25" spans="1:6" s="1" customFormat="1" ht="21" customHeight="1" x14ac:dyDescent="0.25">
      <c r="A25" s="51" t="s">
        <v>95</v>
      </c>
      <c r="B25" s="48"/>
      <c r="C25" s="57" t="str">
        <f>IF(OR(D20="进入步骤五",D22="该控制无效；进入步骤五"),"评价缺陷","")</f>
        <v/>
      </c>
      <c r="D25" s="52"/>
      <c r="E25" s="48"/>
      <c r="F25" s="18"/>
    </row>
    <row r="26" spans="1:6" s="1" customFormat="1" ht="21" customHeight="1" x14ac:dyDescent="0.25">
      <c r="A26" s="59"/>
      <c r="B26" s="50"/>
      <c r="C26" s="58"/>
      <c r="D26" s="49" t="str">
        <f>IF(C25="评价缺陷","进入内部控制缺陷评价底稿","")</f>
        <v/>
      </c>
      <c r="E26" s="50"/>
      <c r="F26" s="21" t="str">
        <f>IF(LEN(D26)&gt;0,"T2","")</f>
        <v/>
      </c>
    </row>
    <row r="27" spans="1:6" s="1" customFormat="1" ht="26.25" customHeight="1" x14ac:dyDescent="0.25">
      <c r="A27" s="51" t="s">
        <v>96</v>
      </c>
      <c r="B27" s="48"/>
      <c r="C27" s="57"/>
      <c r="D27" s="51"/>
      <c r="E27" s="48"/>
      <c r="F27" s="19"/>
    </row>
    <row r="28" spans="1:6" s="1" customFormat="1" ht="19.5" customHeight="1" x14ac:dyDescent="0.25">
      <c r="A28" s="66"/>
      <c r="B28" s="67"/>
      <c r="C28" s="65"/>
      <c r="D28" s="49" t="str">
        <f>IF(C27="是","存在设计缺陷；回到步骤五","")</f>
        <v/>
      </c>
      <c r="E28" s="50"/>
      <c r="F28" s="20"/>
    </row>
    <row r="29" spans="1:6" s="1" customFormat="1" ht="30.75" customHeight="1" x14ac:dyDescent="0.25">
      <c r="A29" s="66"/>
      <c r="B29" s="67"/>
      <c r="C29" s="65"/>
      <c r="D29" s="52"/>
      <c r="E29" s="48"/>
      <c r="F29" s="19"/>
    </row>
    <row r="30" spans="1:6" s="1" customFormat="1" ht="19.5" customHeight="1" x14ac:dyDescent="0.25">
      <c r="A30" s="59"/>
      <c r="B30" s="50"/>
      <c r="C30" s="58"/>
      <c r="D30" s="49" t="str">
        <f>IF(C27="否","该控制例外情况不构成偏差或缺陷","")</f>
        <v/>
      </c>
      <c r="E30" s="50"/>
      <c r="F30" s="20"/>
    </row>
    <row r="31" spans="1:6" s="1" customFormat="1" ht="39" customHeight="1" x14ac:dyDescent="0.25">
      <c r="A31" s="63" t="s">
        <v>21</v>
      </c>
      <c r="B31" s="54"/>
      <c r="C31" s="22"/>
      <c r="D31" s="64" t="s">
        <v>24</v>
      </c>
      <c r="E31" s="56"/>
      <c r="F31" s="23"/>
    </row>
    <row r="32" spans="1:6" s="1" customFormat="1" ht="13.2" x14ac:dyDescent="0.25"/>
    <row r="33" s="1" customFormat="1" ht="13.2" x14ac:dyDescent="0.25"/>
  </sheetData>
  <mergeCells count="40">
    <mergeCell ref="D30:E30"/>
    <mergeCell ref="A31:B31"/>
    <mergeCell ref="D31:E31"/>
    <mergeCell ref="C9:C12"/>
    <mergeCell ref="C13:C16"/>
    <mergeCell ref="C17:C20"/>
    <mergeCell ref="C21:C24"/>
    <mergeCell ref="C25:C26"/>
    <mergeCell ref="C27:C30"/>
    <mergeCell ref="A25:B26"/>
    <mergeCell ref="A27:B30"/>
    <mergeCell ref="A21:B24"/>
    <mergeCell ref="A17:B20"/>
    <mergeCell ref="A13:B16"/>
    <mergeCell ref="A9:B12"/>
    <mergeCell ref="D25:E25"/>
    <mergeCell ref="D26:E26"/>
    <mergeCell ref="D27:E27"/>
    <mergeCell ref="D28:E28"/>
    <mergeCell ref="D29:E29"/>
    <mergeCell ref="D20:E20"/>
    <mergeCell ref="D21:E21"/>
    <mergeCell ref="D22:E22"/>
    <mergeCell ref="D23:E23"/>
    <mergeCell ref="D24:E24"/>
    <mergeCell ref="D15:E15"/>
    <mergeCell ref="D16:E16"/>
    <mergeCell ref="D17:E17"/>
    <mergeCell ref="D18:E18"/>
    <mergeCell ref="D19:E19"/>
    <mergeCell ref="D10:E10"/>
    <mergeCell ref="D11:E11"/>
    <mergeCell ref="D12:E12"/>
    <mergeCell ref="D13:E13"/>
    <mergeCell ref="D14:E14"/>
    <mergeCell ref="A1:F1"/>
    <mergeCell ref="A2:F2"/>
    <mergeCell ref="A8:B8"/>
    <mergeCell ref="D8:E8"/>
    <mergeCell ref="D9:E9"/>
  </mergeCells>
  <phoneticPr fontId="38" type="noConversion"/>
  <dataValidations count="3">
    <dataValidation type="list" allowBlank="1" showInputMessage="1" showErrorMessage="1" sqref="C9:C12 C21:C24 C27:C30">
      <formula1>"是,否"</formula1>
    </dataValidation>
    <dataValidation type="list" allowBlank="1" showInputMessage="1" showErrorMessage="1" sqref="C13:C16">
      <formula1>"系统性偏差,人为偏差,随机性偏差"</formula1>
    </dataValidation>
    <dataValidation type="list" allowBlank="1" showInputMessage="1" showErrorMessage="1" sqref="C17:C20">
      <formula1>"扩大样本量,直接认定为偏差"</formula1>
    </dataValidation>
  </dataValidations>
  <pageMargins left="0.70866141732283505" right="0.43307086614173201" top="0.62992125984252001" bottom="0.47244094488188998" header="0.31496062992126" footer="0.31496062992126"/>
  <pageSetup paperSize="9" orientation="portrait" blackAndWhite="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C11-2评价控制偏差</vt:lpstr>
      <vt:lpstr>示例-评价控制偏差（不打印）</vt:lpstr>
      <vt:lpstr>'C11-2评价控制偏差'!Print_Area</vt:lpstr>
      <vt:lpstr>'示例-评价控制偏差（不打印）'!Print_Area</vt:lpstr>
    </vt:vector>
  </TitlesOfParts>
  <Company>administrator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1</cp:lastModifiedBy>
  <cp:lastPrinted>2025-08-20T05:39:00Z</cp:lastPrinted>
  <dcterms:created xsi:type="dcterms:W3CDTF">2019-09-09T04:38:00Z</dcterms:created>
  <dcterms:modified xsi:type="dcterms:W3CDTF">2025-09-29T09:08:56Z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B367F9E846384ED1B78A000BE1A15122_12</vt:lpwstr>
  </property>
  <property fmtid="{D5CDD505-2E9C-101B-9397-08002B2CF9AE}" pid="3" name="KSOProductBuildVer">
    <vt:lpwstr>2052-12.1.0.22529</vt:lpwstr>
  </property>
</Properties>
</file>