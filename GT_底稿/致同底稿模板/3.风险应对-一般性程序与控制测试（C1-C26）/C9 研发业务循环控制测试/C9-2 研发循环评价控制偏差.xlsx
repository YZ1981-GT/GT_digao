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9 研发业务循环控制测试\"/>
    </mc:Choice>
  </mc:AlternateContent>
  <bookViews>
    <workbookView xWindow="0" yWindow="0" windowWidth="22188" windowHeight="9180"/>
  </bookViews>
  <sheets>
    <sheet name="C9-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'C9-2评价控制偏差'!$A$1:$F$22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<sst xmlns="http://schemas.openxmlformats.org/spreadsheetml/2006/main" count="105" uniqueCount="98">
  <si>
    <r>
      <rPr>
        <b/>
        <sz val="12"/>
        <rFont val="宋体"/>
        <charset val="134"/>
      </rPr>
      <t>致同会计师事务所</t>
    </r>
  </si>
  <si>
    <r>
      <rPr>
        <b/>
        <sz val="14"/>
        <rFont val="宋体"/>
        <charset val="134"/>
      </rPr>
      <t>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</si>
  <si>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</si>
  <si>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</si>
  <si>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</si>
  <si>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C9-2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</si>
  <si>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</si>
  <si>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</si>
  <si>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</si>
  <si>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</si>
  <si>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</si>
  <si>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</si>
  <si>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</si>
  <si>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</si>
  <si>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</si>
  <si>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</si>
  <si>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</si>
  <si>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</si>
  <si>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</si>
  <si>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</si>
  <si>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</si>
  <si>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</si>
  <si>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r>
      <rPr>
        <sz val="10"/>
        <color rgb="FF0000CC"/>
        <rFont val="宋体"/>
        <charset val="134"/>
      </rPr>
      <t>该控制例外情况不构成控制偏差，控制有效</t>
    </r>
  </si>
  <si>
    <r>
      <rPr>
        <b/>
        <sz val="10"/>
        <color indexed="12"/>
        <rFont val="宋体"/>
        <charset val="134"/>
      </rPr>
      <t>注</t>
    </r>
    <r>
      <rPr>
        <b/>
        <sz val="10"/>
        <color indexed="12"/>
        <rFont val="Arial Narrow"/>
        <family val="2"/>
      </rPr>
      <t>1</t>
    </r>
    <r>
      <rPr>
        <b/>
        <sz val="10"/>
        <color indexed="12"/>
        <rFont val="宋体"/>
        <charset val="134"/>
      </rPr>
      <t>：控制例外情况及控制偏差</t>
    </r>
  </si>
  <si>
    <r>
      <rPr>
        <sz val="10"/>
        <color rgb="FF0000CC"/>
        <rFont val="宋体"/>
        <charset val="134"/>
      </rPr>
      <t>该控制例外情况属于随机性偏差，扩大样本量测试后未发现偏差，控制有效</t>
    </r>
  </si>
  <si>
    <r>
      <rPr>
        <b/>
        <sz val="10"/>
        <color indexed="12"/>
        <rFont val="宋体"/>
        <charset val="134"/>
      </rPr>
      <t>控制例外情况</t>
    </r>
  </si>
  <si>
    <r>
      <rPr>
        <sz val="10"/>
        <color rgb="FF0000CC"/>
        <rFont val="宋体"/>
        <charset val="134"/>
      </rPr>
      <t>该控制例外情况属于随机性偏差，扩大样本量测试后仍发现偏差，构成控制缺陷</t>
    </r>
  </si>
  <si>
    <r>
      <rPr>
        <sz val="10"/>
        <color indexed="12"/>
        <rFont val="宋体"/>
        <charset val="134"/>
      </rPr>
      <t>对于一个选定的样本或替代性样本，如果无法执行注册会计师所设计的控制测试或适当的替代性测试，则注册会计师应认为</t>
    </r>
  </si>
  <si>
    <r>
      <rPr>
        <sz val="10"/>
        <color rgb="FF0000CC"/>
        <rFont val="宋体"/>
        <charset val="134"/>
      </rPr>
      <t>该控制例外情况属于系统性偏差，构成控制缺陷</t>
    </r>
  </si>
  <si>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</si>
  <si>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</si>
  <si>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</si>
  <si>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</si>
  <si>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</si>
  <si>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</si>
  <si>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</si>
  <si>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</si>
  <si>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</si>
  <si>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</si>
  <si>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</si>
  <si>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</si>
  <si>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</si>
  <si>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</si>
  <si>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</si>
  <si>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</si>
  <si>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</si>
  <si>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</si>
  <si>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</si>
  <si>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</si>
  <si>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</si>
  <si>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</si>
  <si>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</si>
  <si>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</si>
  <si>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</si>
  <si>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</si>
  <si>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</si>
  <si>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</si>
  <si>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</si>
  <si>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</si>
  <si>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</si>
  <si>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</si>
  <si>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</si>
  <si>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</si>
  <si>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</si>
  <si>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</si>
  <si>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</si>
  <si>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</si>
  <si>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</si>
  <si>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</si>
  <si>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</si>
  <si>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</si>
  <si>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</si>
  <si>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</si>
  <si>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</si>
  <si>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</si>
  <si>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</si>
  <si>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</si>
  <si>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</si>
  <si>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</si>
  <si>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</si>
  <si>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</si>
  <si>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</si>
  <si>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</si>
  <si>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</si>
  <si>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</si>
  <si>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</si>
  <si>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</si>
  <si>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</si>
  <si>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</si>
  <si>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</si>
  <si>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</si>
  <si>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</si>
  <si>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</si>
  <si>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</si>
  <si>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</si>
  <si>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</si>
  <si>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</si>
  <si>
    <t>该控制例外情况属于随机性偏差，扩大样本量测试后未发现偏差，控制有效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</si>
</sst>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Arial Narrow"/>
      <family val="2"/>
    </font>
    <font>
      <b/>
      <sz val="14"/>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b/>
      <sz val="10"/>
      <color indexed="10"/>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theme="1"/>
      <name val="Arial Narrow"/>
      <family val="2"/>
    </font>
    <font>
      <sz val="10"/>
      <color rgb="FF0000CC"/>
      <name val="Arial Narrow"/>
      <family val="2"/>
    </font>
    <font>
      <sz val="10"/>
      <color rgb="FF0000FF"/>
      <name val="Arial Narrow"/>
      <family val="2"/>
    </font>
    <font>
      <sz val="11"/>
      <color theme="1"/>
      <name val="等线"/>
      <charset val="134"/>
      <scheme val="minor"/>
    </font>
    <font>
      <sz val="12"/>
      <name val="Times New Roman"/>
      <family val="1"/>
    </font>
    <font>
      <sz val="10"/>
      <color indexed="12"/>
      <name val="宋体"/>
      <charset val="134"/>
    </font>
    <font>
      <sz val="10"/>
      <color rgb="FF0000CC"/>
      <name val="宋体"/>
      <charset val="134"/>
    </font>
    <font>
      <sz val="10"/>
      <color rgb="FF0000FF"/>
      <name val="宋体"/>
      <charset val="134"/>
    </font>
    <font>
      <b/>
      <sz val="10"/>
      <color indexed="12"/>
      <name val="宋体"/>
      <charset val="134"/>
    </font>
    <font>
      <sz val="10"/>
      <color indexed="8"/>
      <name val="宋体"/>
      <charset val="134"/>
    </font>
    <font>
      <b/>
      <sz val="10"/>
      <name val="宋体"/>
      <charset val="134"/>
    </font>
    <font>
      <b/>
      <sz val="10"/>
      <color indexed="8"/>
      <name val="宋体"/>
      <charset val="134"/>
    </font>
    <font>
      <sz val="10"/>
      <color theme="1"/>
      <name val="宋体"/>
      <charset val="134"/>
    </font>
    <font>
      <b/>
      <sz val="10"/>
      <name val="方正姚体"/>
      <charset val="134"/>
    </font>
    <font>
      <b/>
      <sz val="14"/>
      <name val="宋体"/>
      <charset val="134"/>
    </font>
    <font>
      <b/>
      <sz val="12"/>
      <name val="宋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9">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0" fillId="0" borderId="0" xfId="1" applyFont="1" applyBorder="1" applyAlignment="1">
      <alignment vertical="center"/>
    </xf>
    <xf numFmtId="0" fontId="6" fillId="0" borderId="0" xfId="1" applyFont="1" applyBorder="1" applyAlignment="1">
      <alignment vertical="center"/>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7" fillId="2" borderId="9" xfId="1" applyFont="1" applyFill="1" applyBorder="1" applyAlignment="1">
      <alignment horizontal="center" vertical="center"/>
    </xf>
    <xf numFmtId="0" fontId="20" fillId="0" borderId="0" xfId="1" applyFont="1" applyBorder="1" applyAlignment="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2" fillId="0" borderId="0" xfId="1" applyFont="1" applyBorder="1" applyAlignment="1">
      <alignment vertical="center"/>
    </xf>
    <xf numFmtId="0" fontId="21" fillId="0" borderId="0" xfId="1" applyFont="1" applyBorder="1" applyAlignment="1">
      <alignment vertical="center"/>
    </xf>
    <xf numFmtId="0" fontId="23" fillId="0" borderId="0" xfId="1" applyFont="1" applyBorder="1" applyAlignment="1">
      <alignment vertical="center"/>
    </xf>
    <xf numFmtId="0" fontId="20"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pplyAlignment="1">
      <alignment vertical="center"/>
    </xf>
    <xf numFmtId="0" fontId="25" fillId="0" borderId="0" xfId="1" applyFont="1" applyBorder="1" applyAlignment="1">
      <alignment vertical="center"/>
    </xf>
    <xf numFmtId="0" fontId="26" fillId="0" borderId="0" xfId="1" applyFont="1" applyBorder="1" applyAlignment="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17"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7"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8"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7"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9"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8299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3" zoomScaleNormal="130" workbookViewId="0">
      <selection activeCell="H16" sqref="H16"/>
    </sheetView>
  </sheetViews>
  <sheetFormatPr defaultColWidth="9" defaultRowHeight="13.8" x14ac:dyDescent="0.25"/>
  <cols>
    <col min="1" max="1" width="23.21875" style="25" customWidth="1"/>
    <col min="2" max="2" width="7" style="25" customWidth="1"/>
    <col min="3" max="3" width="8.44140625" style="25" customWidth="1"/>
    <col min="4" max="4" width="21" style="25" customWidth="1"/>
    <col min="5" max="5" width="19.77734375" style="25" customWidth="1"/>
    <col min="6" max="6" width="13.109375" style="25" customWidth="1"/>
    <col min="7" max="8" width="9" style="25"/>
    <col min="9" max="9" width="9" style="25" hidden="1" customWidth="1"/>
    <col min="10" max="16384" width="9" style="25"/>
  </cols>
  <sheetData>
    <row r="1" spans="1:6" ht="19.95" customHeight="1" x14ac:dyDescent="0.25">
      <c r="A1" s="42" t="s">
        <v>0</v>
      </c>
      <c r="B1" s="42"/>
      <c r="C1" s="42"/>
      <c r="D1" s="42"/>
      <c r="E1" s="42"/>
      <c r="F1" s="42"/>
    </row>
    <row r="2" spans="1:6" ht="19.95" customHeight="1" x14ac:dyDescent="0.25">
      <c r="A2" s="43" t="s">
        <v>1</v>
      </c>
      <c r="B2" s="43"/>
      <c r="C2" s="43"/>
      <c r="D2" s="43"/>
      <c r="E2" s="43"/>
      <c r="F2" s="43"/>
    </row>
    <row r="3" spans="1:6" ht="19.95" customHeight="1" x14ac:dyDescent="0.25">
      <c r="A3" s="26" t="s">
        <v>2</v>
      </c>
      <c r="D3" s="26" t="s">
        <v>3</v>
      </c>
      <c r="E3" s="26" t="s">
        <v>4</v>
      </c>
      <c r="F3" s="26" t="s">
        <v>5</v>
      </c>
    </row>
    <row r="4" spans="1:6" ht="19.95" customHeight="1" x14ac:dyDescent="0.25">
      <c r="A4" s="26" t="s">
        <v>6</v>
      </c>
      <c r="D4" s="26" t="s">
        <v>7</v>
      </c>
      <c r="E4" s="26" t="s">
        <v>8</v>
      </c>
      <c r="F4" s="26" t="s">
        <v>9</v>
      </c>
    </row>
    <row r="5" spans="1:6" ht="19.95" customHeight="1" x14ac:dyDescent="0.25">
      <c r="A5" s="27" t="s">
        <v>10</v>
      </c>
      <c r="B5" s="7"/>
      <c r="C5" s="7"/>
      <c r="D5" s="8"/>
      <c r="E5" s="7"/>
      <c r="F5" s="9"/>
    </row>
    <row r="6" spans="1:6" ht="19.95" customHeight="1" x14ac:dyDescent="0.25">
      <c r="A6" s="28"/>
      <c r="B6" s="5"/>
      <c r="C6" s="5"/>
      <c r="D6" s="11"/>
      <c r="E6" s="5"/>
      <c r="F6" s="12"/>
    </row>
    <row r="7" spans="1:6" ht="19.95" customHeight="1" x14ac:dyDescent="0.25">
      <c r="A7" s="28"/>
      <c r="B7" s="5"/>
      <c r="C7" s="5"/>
      <c r="D7" s="11"/>
      <c r="E7" s="5"/>
      <c r="F7" s="12"/>
    </row>
    <row r="8" spans="1:6" ht="19.95" customHeight="1" x14ac:dyDescent="0.25">
      <c r="A8" s="29"/>
      <c r="B8" s="14"/>
      <c r="C8" s="14"/>
      <c r="D8" s="15"/>
      <c r="E8" s="14"/>
      <c r="F8" s="16"/>
    </row>
    <row r="9" spans="1:6" s="24" customFormat="1" ht="19.95" customHeight="1" x14ac:dyDescent="0.25">
      <c r="A9" s="44" t="s">
        <v>11</v>
      </c>
      <c r="B9" s="45"/>
      <c r="C9" s="30" t="s">
        <v>12</v>
      </c>
      <c r="D9" s="46" t="s">
        <v>13</v>
      </c>
      <c r="E9" s="47"/>
      <c r="F9" s="30" t="s">
        <v>14</v>
      </c>
    </row>
    <row r="10" spans="1:6" s="24" customFormat="1" ht="68.25" customHeight="1" x14ac:dyDescent="0.25">
      <c r="A10" s="48" t="s">
        <v>15</v>
      </c>
      <c r="B10" s="49"/>
      <c r="C10" s="58"/>
      <c r="D10" s="48"/>
      <c r="E10" s="49"/>
      <c r="F10" s="19"/>
    </row>
    <row r="11" spans="1:6" s="24" customFormat="1" ht="19.95" customHeight="1" x14ac:dyDescent="0.25">
      <c r="A11" s="60"/>
      <c r="B11" s="51"/>
      <c r="C11" s="59"/>
      <c r="D11" s="50" t="str">
        <f>IF(C10="否","不属于控制偏差；进入步骤六",IF(C10="是","进入步骤二",""))</f>
        <v/>
      </c>
      <c r="E11" s="51"/>
      <c r="F11" s="20"/>
    </row>
    <row r="12" spans="1:6" s="24" customFormat="1" ht="68.25" customHeight="1" x14ac:dyDescent="0.25">
      <c r="A12" s="48" t="s">
        <v>16</v>
      </c>
      <c r="B12" s="49"/>
      <c r="C12" s="58"/>
      <c r="D12" s="52"/>
      <c r="E12" s="49"/>
      <c r="F12" s="19"/>
    </row>
    <row r="13" spans="1:6" s="24" customFormat="1" ht="19.95" customHeight="1" x14ac:dyDescent="0.25">
      <c r="A13" s="60"/>
      <c r="B13" s="51"/>
      <c r="C13" s="59"/>
      <c r="D13" s="50" t="str">
        <f>IF(C12="随机性偏差","确定应对措施；进入步骤三",IF(OR(C12="系统性偏差",C12="人为偏差"),"属于控制缺陷；进入步骤五",""))</f>
        <v/>
      </c>
      <c r="E13" s="51"/>
      <c r="F13" s="20"/>
    </row>
    <row r="14" spans="1:6" s="24" customFormat="1" ht="72.75" customHeight="1" x14ac:dyDescent="0.25">
      <c r="A14" s="48" t="s">
        <v>17</v>
      </c>
      <c r="B14" s="49"/>
      <c r="C14" s="58"/>
      <c r="D14" s="52"/>
      <c r="E14" s="49"/>
      <c r="F14" s="19"/>
    </row>
    <row r="15" spans="1:6" s="24" customFormat="1" ht="19.95" customHeight="1" x14ac:dyDescent="0.25">
      <c r="A15" s="60"/>
      <c r="B15" s="51"/>
      <c r="C15" s="59"/>
      <c r="D15" s="50" t="str">
        <f>IF(C14="直接认定为偏差","进入步骤五",IF(C14="扩大样本量","进入步骤四",""))</f>
        <v/>
      </c>
      <c r="E15" s="51"/>
      <c r="F15" s="20"/>
    </row>
    <row r="16" spans="1:6" s="24" customFormat="1" ht="69" customHeight="1" x14ac:dyDescent="0.25">
      <c r="A16" s="48" t="s">
        <v>18</v>
      </c>
      <c r="B16" s="49"/>
      <c r="C16" s="58"/>
      <c r="D16" s="52"/>
      <c r="E16" s="49"/>
      <c r="F16" s="19"/>
    </row>
    <row r="17" spans="1:9" s="24" customFormat="1" ht="19.95" customHeight="1" x14ac:dyDescent="0.25">
      <c r="A17" s="60"/>
      <c r="B17" s="51"/>
      <c r="C17" s="59"/>
      <c r="D17" s="50" t="str">
        <f>IF(C16="否","控制有效",IF(C16="是","该控制无效；进入步骤五",""))</f>
        <v/>
      </c>
      <c r="E17" s="51"/>
      <c r="F17" s="20"/>
    </row>
    <row r="18" spans="1:9" s="24" customFormat="1" ht="19.95" customHeight="1" x14ac:dyDescent="0.25">
      <c r="A18" s="48" t="s">
        <v>19</v>
      </c>
      <c r="B18" s="49"/>
      <c r="C18" s="58"/>
      <c r="D18" s="53"/>
      <c r="E18" s="49"/>
      <c r="F18" s="18"/>
    </row>
    <row r="19" spans="1:9" s="24" customFormat="1" ht="19.95" customHeight="1" x14ac:dyDescent="0.25">
      <c r="A19" s="60"/>
      <c r="B19" s="51"/>
      <c r="C19" s="59"/>
      <c r="D19" s="50" t="str">
        <f>IF(OR(D15="进入步骤五",D17="该控制无效；进入步骤五"),"进入内部控制缺陷评价底稿","")</f>
        <v/>
      </c>
      <c r="E19" s="51"/>
      <c r="F19" s="21" t="str">
        <f>IF(LEN(D19)&gt;0,"A14","")</f>
        <v/>
      </c>
    </row>
    <row r="20" spans="1:9" s="24" customFormat="1" ht="97.5" customHeight="1" x14ac:dyDescent="0.25">
      <c r="A20" s="48" t="s">
        <v>20</v>
      </c>
      <c r="B20" s="49"/>
      <c r="C20" s="58"/>
      <c r="D20" s="52"/>
      <c r="E20" s="49"/>
      <c r="F20" s="19"/>
    </row>
    <row r="21" spans="1:9" s="24" customFormat="1" ht="19.95" customHeight="1" x14ac:dyDescent="0.25">
      <c r="A21" s="60"/>
      <c r="B21" s="51"/>
      <c r="C21" s="59"/>
      <c r="D21" s="50" t="str">
        <f>IF(C20="否","该控制例外情况不构成偏差或缺陷",IF(C20="是","存在设计缺陷；回到步骤五",""))</f>
        <v/>
      </c>
      <c r="E21" s="51"/>
      <c r="F21" s="20"/>
    </row>
    <row r="22" spans="1:9" s="24" customFormat="1" ht="45.75" customHeight="1" x14ac:dyDescent="0.25">
      <c r="A22" s="54" t="s">
        <v>21</v>
      </c>
      <c r="B22" s="55"/>
      <c r="C22" s="22"/>
      <c r="D22" s="56"/>
      <c r="E22" s="57"/>
      <c r="F22" s="23"/>
      <c r="I22" s="39"/>
    </row>
    <row r="23" spans="1:9" s="24" customFormat="1" x14ac:dyDescent="0.25"/>
    <row r="24" spans="1:9" s="24" customFormat="1" x14ac:dyDescent="0.25">
      <c r="I24" s="40" t="s">
        <v>22</v>
      </c>
    </row>
    <row r="25" spans="1:9" x14ac:dyDescent="0.25">
      <c r="A25" s="31" t="s">
        <v>23</v>
      </c>
      <c r="B25" s="32"/>
      <c r="C25" s="32"/>
      <c r="D25" s="32"/>
      <c r="E25" s="32"/>
      <c r="F25" s="32"/>
      <c r="I25" s="40" t="s">
        <v>24</v>
      </c>
    </row>
    <row r="26" spans="1:9" x14ac:dyDescent="0.25">
      <c r="A26" s="31" t="s">
        <v>25</v>
      </c>
      <c r="B26" s="32"/>
      <c r="C26" s="32"/>
      <c r="D26" s="32"/>
      <c r="E26" s="32"/>
      <c r="F26" s="32"/>
      <c r="I26" s="40" t="s">
        <v>26</v>
      </c>
    </row>
    <row r="27" spans="1:9" x14ac:dyDescent="0.25">
      <c r="A27" s="33" t="s">
        <v>27</v>
      </c>
      <c r="B27" s="32"/>
      <c r="C27" s="32"/>
      <c r="D27" s="32"/>
      <c r="E27" s="32"/>
      <c r="F27" s="32"/>
      <c r="I27" s="40" t="s">
        <v>28</v>
      </c>
    </row>
    <row r="28" spans="1:9" x14ac:dyDescent="0.25">
      <c r="A28" s="33" t="s">
        <v>29</v>
      </c>
      <c r="B28" s="32"/>
      <c r="C28" s="32"/>
      <c r="D28" s="32"/>
      <c r="E28" s="32"/>
      <c r="F28" s="32"/>
    </row>
    <row r="29" spans="1:9" x14ac:dyDescent="0.25">
      <c r="A29" s="33" t="s">
        <v>30</v>
      </c>
      <c r="B29" s="32"/>
      <c r="C29" s="32"/>
      <c r="D29" s="32"/>
      <c r="E29" s="32"/>
      <c r="F29" s="32"/>
      <c r="I29" s="39"/>
    </row>
    <row r="30" spans="1:9" x14ac:dyDescent="0.25">
      <c r="A30" s="33" t="s">
        <v>31</v>
      </c>
      <c r="B30" s="32"/>
      <c r="C30" s="32"/>
      <c r="D30" s="32"/>
      <c r="E30" s="32"/>
      <c r="F30" s="32"/>
    </row>
    <row r="31" spans="1:9" x14ac:dyDescent="0.25">
      <c r="A31" s="33" t="s">
        <v>32</v>
      </c>
      <c r="B31" s="32"/>
      <c r="C31" s="32"/>
      <c r="D31" s="32"/>
      <c r="E31" s="32"/>
      <c r="F31" s="32"/>
    </row>
    <row r="32" spans="1:9" x14ac:dyDescent="0.25">
      <c r="A32" s="33" t="s">
        <v>33</v>
      </c>
      <c r="B32" s="32"/>
      <c r="C32" s="32"/>
      <c r="D32" s="32"/>
      <c r="E32" s="32"/>
      <c r="F32" s="32"/>
    </row>
    <row r="33" spans="1:6" x14ac:dyDescent="0.25">
      <c r="A33" s="33" t="s">
        <v>34</v>
      </c>
      <c r="B33" s="32"/>
      <c r="C33" s="32"/>
      <c r="D33" s="32"/>
      <c r="E33" s="32"/>
      <c r="F33" s="32"/>
    </row>
    <row r="34" spans="1:6" x14ac:dyDescent="0.25">
      <c r="A34" s="33" t="s">
        <v>35</v>
      </c>
      <c r="B34" s="32"/>
      <c r="C34" s="32"/>
      <c r="D34" s="32"/>
      <c r="E34" s="32"/>
      <c r="F34" s="32"/>
    </row>
    <row r="35" spans="1:6" x14ac:dyDescent="0.25">
      <c r="A35" s="33" t="s">
        <v>36</v>
      </c>
      <c r="B35" s="32"/>
      <c r="C35" s="32"/>
      <c r="D35" s="32"/>
      <c r="E35" s="32"/>
      <c r="F35" s="32"/>
    </row>
    <row r="36" spans="1:6" x14ac:dyDescent="0.25">
      <c r="A36" s="33" t="s">
        <v>37</v>
      </c>
      <c r="B36" s="32"/>
      <c r="C36" s="32"/>
      <c r="D36" s="32"/>
      <c r="E36" s="32"/>
      <c r="F36" s="32"/>
    </row>
    <row r="37" spans="1:6" s="24" customFormat="1" ht="14.25" customHeight="1" x14ac:dyDescent="0.25">
      <c r="A37" s="31" t="s">
        <v>38</v>
      </c>
      <c r="B37" s="32"/>
      <c r="C37" s="32"/>
      <c r="D37" s="32"/>
      <c r="E37" s="32"/>
      <c r="F37" s="32"/>
    </row>
    <row r="38" spans="1:6" x14ac:dyDescent="0.25">
      <c r="A38" s="33" t="s">
        <v>39</v>
      </c>
      <c r="B38" s="32"/>
      <c r="C38" s="32"/>
      <c r="D38" s="32"/>
      <c r="E38" s="32"/>
      <c r="F38" s="32"/>
    </row>
    <row r="39" spans="1:6" x14ac:dyDescent="0.25">
      <c r="A39" s="33" t="s">
        <v>40</v>
      </c>
      <c r="B39" s="32"/>
      <c r="C39" s="32"/>
      <c r="D39" s="32"/>
      <c r="E39" s="32"/>
      <c r="F39" s="32"/>
    </row>
    <row r="40" spans="1:6" x14ac:dyDescent="0.25">
      <c r="A40" s="33" t="s">
        <v>41</v>
      </c>
      <c r="B40" s="32"/>
      <c r="C40" s="32"/>
      <c r="D40" s="32"/>
      <c r="E40" s="32"/>
      <c r="F40" s="32"/>
    </row>
    <row r="41" spans="1:6" x14ac:dyDescent="0.25">
      <c r="A41" s="34" t="s">
        <v>42</v>
      </c>
      <c r="B41" s="35"/>
      <c r="C41" s="35"/>
      <c r="D41" s="35"/>
      <c r="E41" s="35"/>
      <c r="F41" s="35"/>
    </row>
    <row r="42" spans="1:6" x14ac:dyDescent="0.25">
      <c r="A42" s="36"/>
      <c r="B42" s="35"/>
      <c r="C42" s="35"/>
      <c r="D42" s="35"/>
      <c r="E42" s="35"/>
      <c r="F42" s="35"/>
    </row>
    <row r="43" spans="1:6" x14ac:dyDescent="0.25">
      <c r="A43" s="37" t="s">
        <v>43</v>
      </c>
      <c r="B43" s="32"/>
      <c r="C43" s="32"/>
      <c r="D43" s="32"/>
      <c r="E43" s="32"/>
      <c r="F43" s="32"/>
    </row>
    <row r="44" spans="1:6" x14ac:dyDescent="0.25">
      <c r="A44" s="33" t="s">
        <v>44</v>
      </c>
      <c r="B44" s="32"/>
      <c r="C44" s="32"/>
      <c r="D44" s="32"/>
      <c r="E44" s="32"/>
      <c r="F44" s="32"/>
    </row>
    <row r="45" spans="1:6" x14ac:dyDescent="0.25">
      <c r="A45" s="33" t="s">
        <v>45</v>
      </c>
      <c r="B45" s="32"/>
      <c r="C45" s="32"/>
      <c r="D45" s="32"/>
      <c r="E45" s="32"/>
      <c r="F45" s="32"/>
    </row>
    <row r="46" spans="1:6" x14ac:dyDescent="0.25">
      <c r="A46" s="33" t="s">
        <v>46</v>
      </c>
      <c r="B46" s="32"/>
      <c r="C46" s="32"/>
      <c r="D46" s="32"/>
      <c r="E46" s="32"/>
      <c r="F46" s="32"/>
    </row>
    <row r="47" spans="1:6" x14ac:dyDescent="0.25">
      <c r="A47" s="33" t="s">
        <v>47</v>
      </c>
      <c r="B47" s="32"/>
      <c r="C47" s="32"/>
      <c r="D47" s="32"/>
      <c r="E47" s="32"/>
      <c r="F47" s="32"/>
    </row>
    <row r="48" spans="1:6" x14ac:dyDescent="0.25">
      <c r="A48" s="33" t="s">
        <v>48</v>
      </c>
      <c r="B48" s="32"/>
      <c r="C48" s="32"/>
      <c r="D48" s="32"/>
      <c r="E48" s="32"/>
      <c r="F48" s="32"/>
    </row>
    <row r="49" spans="1:6" x14ac:dyDescent="0.25">
      <c r="A49" s="33" t="s">
        <v>49</v>
      </c>
      <c r="B49" s="32"/>
      <c r="C49" s="32"/>
      <c r="D49" s="32"/>
      <c r="E49" s="32"/>
      <c r="F49" s="32"/>
    </row>
    <row r="50" spans="1:6" x14ac:dyDescent="0.25">
      <c r="A50" s="33" t="s">
        <v>50</v>
      </c>
      <c r="B50" s="32"/>
      <c r="C50" s="32"/>
      <c r="D50" s="32"/>
      <c r="E50" s="32"/>
      <c r="F50" s="32"/>
    </row>
    <row r="51" spans="1:6" x14ac:dyDescent="0.25">
      <c r="A51" s="33" t="s">
        <v>51</v>
      </c>
      <c r="B51" s="32"/>
      <c r="C51" s="32"/>
      <c r="D51" s="32"/>
      <c r="E51" s="32"/>
      <c r="F51" s="32"/>
    </row>
    <row r="52" spans="1:6" x14ac:dyDescent="0.25">
      <c r="A52" s="33" t="s">
        <v>52</v>
      </c>
      <c r="B52" s="32"/>
      <c r="C52" s="32"/>
      <c r="D52" s="32"/>
      <c r="E52" s="32"/>
      <c r="F52" s="32"/>
    </row>
    <row r="53" spans="1:6" x14ac:dyDescent="0.25">
      <c r="A53" s="33" t="s">
        <v>53</v>
      </c>
      <c r="B53" s="32"/>
      <c r="C53" s="32"/>
      <c r="D53" s="32"/>
      <c r="E53" s="32"/>
      <c r="F53" s="32"/>
    </row>
    <row r="54" spans="1:6" x14ac:dyDescent="0.25">
      <c r="A54" s="33" t="s">
        <v>54</v>
      </c>
      <c r="B54" s="32"/>
      <c r="C54" s="32"/>
      <c r="D54" s="32"/>
      <c r="E54" s="32"/>
      <c r="F54" s="32"/>
    </row>
    <row r="55" spans="1:6" x14ac:dyDescent="0.25">
      <c r="A55" s="33" t="s">
        <v>55</v>
      </c>
      <c r="B55" s="32"/>
      <c r="C55" s="32"/>
      <c r="D55" s="32"/>
      <c r="E55" s="32"/>
      <c r="F55" s="32"/>
    </row>
    <row r="56" spans="1:6" x14ac:dyDescent="0.25">
      <c r="A56" s="38"/>
      <c r="B56" s="32"/>
      <c r="C56" s="32"/>
      <c r="D56" s="32"/>
      <c r="E56" s="32"/>
      <c r="F56" s="32"/>
    </row>
    <row r="57" spans="1:6" x14ac:dyDescent="0.25">
      <c r="A57" s="31" t="s">
        <v>56</v>
      </c>
    </row>
    <row r="58" spans="1:6" x14ac:dyDescent="0.25">
      <c r="A58" s="33" t="s">
        <v>57</v>
      </c>
    </row>
    <row r="59" spans="1:6" x14ac:dyDescent="0.25">
      <c r="A59" s="34" t="s">
        <v>58</v>
      </c>
    </row>
    <row r="60" spans="1:6" x14ac:dyDescent="0.25">
      <c r="A60" s="34" t="s">
        <v>59</v>
      </c>
    </row>
    <row r="61" spans="1:6" x14ac:dyDescent="0.25">
      <c r="A61" s="34" t="s">
        <v>60</v>
      </c>
    </row>
    <row r="62" spans="1:6" x14ac:dyDescent="0.25">
      <c r="A62" s="34" t="s">
        <v>61</v>
      </c>
    </row>
    <row r="63" spans="1:6" x14ac:dyDescent="0.25">
      <c r="A63" s="34" t="s">
        <v>62</v>
      </c>
    </row>
    <row r="65" spans="1:1" x14ac:dyDescent="0.25">
      <c r="A65" s="31" t="s">
        <v>63</v>
      </c>
    </row>
    <row r="66" spans="1:1" x14ac:dyDescent="0.25">
      <c r="A66" s="34" t="s">
        <v>64</v>
      </c>
    </row>
    <row r="67" spans="1:1" x14ac:dyDescent="0.25">
      <c r="A67" s="34" t="s">
        <v>65</v>
      </c>
    </row>
    <row r="68" spans="1:1" x14ac:dyDescent="0.25">
      <c r="A68" s="34" t="s">
        <v>66</v>
      </c>
    </row>
    <row r="69" spans="1:1" x14ac:dyDescent="0.25">
      <c r="A69" s="34" t="s">
        <v>67</v>
      </c>
    </row>
    <row r="70" spans="1:1" x14ac:dyDescent="0.25">
      <c r="A70" s="36"/>
    </row>
    <row r="71" spans="1:1" x14ac:dyDescent="0.25">
      <c r="A71" s="31" t="s">
        <v>68</v>
      </c>
    </row>
    <row r="72" spans="1:1" x14ac:dyDescent="0.25">
      <c r="A72" s="41" t="s">
        <v>69</v>
      </c>
    </row>
    <row r="73" spans="1:1" x14ac:dyDescent="0.25">
      <c r="A73" s="41" t="s">
        <v>70</v>
      </c>
    </row>
    <row r="74" spans="1:1" x14ac:dyDescent="0.25">
      <c r="A74" s="41" t="s">
        <v>71</v>
      </c>
    </row>
    <row r="75" spans="1:1" x14ac:dyDescent="0.25">
      <c r="A75" s="36"/>
    </row>
  </sheetData>
  <mergeCells count="30">
    <mergeCell ref="D21:E21"/>
    <mergeCell ref="A22:B22"/>
    <mergeCell ref="D22:E22"/>
    <mergeCell ref="C10:C11"/>
    <mergeCell ref="C12:C13"/>
    <mergeCell ref="C14:C15"/>
    <mergeCell ref="C16:C17"/>
    <mergeCell ref="C18:C19"/>
    <mergeCell ref="C20:C21"/>
    <mergeCell ref="A10:B11"/>
    <mergeCell ref="A12:B13"/>
    <mergeCell ref="A14:B15"/>
    <mergeCell ref="A16:B17"/>
    <mergeCell ref="A18:B19"/>
    <mergeCell ref="A20:B2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40"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L8" sqref="L8"/>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61" t="s">
        <v>72</v>
      </c>
      <c r="B1" s="61"/>
      <c r="C1" s="61"/>
      <c r="D1" s="61"/>
      <c r="E1" s="61"/>
      <c r="F1" s="61"/>
    </row>
    <row r="2" spans="1:6" ht="24.9" customHeight="1" x14ac:dyDescent="0.25">
      <c r="A2" s="62" t="s">
        <v>73</v>
      </c>
      <c r="B2" s="62"/>
      <c r="C2" s="62"/>
      <c r="D2" s="62"/>
      <c r="E2" s="62"/>
      <c r="F2" s="62"/>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5" t="s">
        <v>11</v>
      </c>
      <c r="B8" s="45"/>
      <c r="C8" s="17" t="s">
        <v>12</v>
      </c>
      <c r="D8" s="63" t="s">
        <v>13</v>
      </c>
      <c r="E8" s="47"/>
      <c r="F8" s="17" t="s">
        <v>14</v>
      </c>
    </row>
    <row r="9" spans="1:6" s="1" customFormat="1" ht="33.75" customHeight="1" x14ac:dyDescent="0.25">
      <c r="A9" s="52" t="s">
        <v>83</v>
      </c>
      <c r="B9" s="49"/>
      <c r="C9" s="58" t="s">
        <v>84</v>
      </c>
      <c r="D9" s="52" t="s">
        <v>85</v>
      </c>
      <c r="E9" s="49"/>
      <c r="F9" s="19"/>
    </row>
    <row r="10" spans="1:6" s="1" customFormat="1" ht="17.25" customHeight="1" x14ac:dyDescent="0.25">
      <c r="A10" s="67"/>
      <c r="B10" s="68"/>
      <c r="C10" s="66"/>
      <c r="D10" s="50" t="str">
        <f>IF(C9="是","进入步骤二","")</f>
        <v>进入步骤二</v>
      </c>
      <c r="E10" s="51"/>
      <c r="F10" s="20"/>
    </row>
    <row r="11" spans="1:6" s="1" customFormat="1" ht="35.25" customHeight="1" x14ac:dyDescent="0.25">
      <c r="A11" s="67"/>
      <c r="B11" s="68"/>
      <c r="C11" s="66"/>
      <c r="D11" s="53"/>
      <c r="E11" s="49"/>
      <c r="F11" s="19"/>
    </row>
    <row r="12" spans="1:6" s="1" customFormat="1" ht="17.25" customHeight="1" x14ac:dyDescent="0.25">
      <c r="A12" s="60"/>
      <c r="B12" s="51"/>
      <c r="C12" s="59"/>
      <c r="D12" s="50" t="str">
        <f>IF(C9="否","不属于控制偏差；进入步骤六","")</f>
        <v/>
      </c>
      <c r="E12" s="51"/>
      <c r="F12" s="20"/>
    </row>
    <row r="13" spans="1:6" s="1" customFormat="1" ht="36" customHeight="1" x14ac:dyDescent="0.25">
      <c r="A13" s="52" t="s">
        <v>86</v>
      </c>
      <c r="B13" s="49"/>
      <c r="C13" s="58" t="s">
        <v>87</v>
      </c>
      <c r="D13" s="52"/>
      <c r="E13" s="49"/>
      <c r="F13" s="19"/>
    </row>
    <row r="14" spans="1:6" s="1" customFormat="1" ht="17.25" customHeight="1" x14ac:dyDescent="0.25">
      <c r="A14" s="67"/>
      <c r="B14" s="68"/>
      <c r="C14" s="66"/>
      <c r="D14" s="50" t="str">
        <f>IF(OR(C13="系统性偏差",C13="人为偏差"),"属于控制缺陷；进入步骤五","")</f>
        <v/>
      </c>
      <c r="E14" s="51"/>
      <c r="F14" s="20"/>
    </row>
    <row r="15" spans="1:6" s="1" customFormat="1" ht="45" customHeight="1" x14ac:dyDescent="0.25">
      <c r="A15" s="67"/>
      <c r="B15" s="68"/>
      <c r="C15" s="66"/>
      <c r="D15" s="53" t="s">
        <v>88</v>
      </c>
      <c r="E15" s="49"/>
      <c r="F15" s="19"/>
    </row>
    <row r="16" spans="1:6" s="1" customFormat="1" ht="17.25" customHeight="1" x14ac:dyDescent="0.25">
      <c r="A16" s="60"/>
      <c r="B16" s="51"/>
      <c r="C16" s="59"/>
      <c r="D16" s="50" t="str">
        <f>IF(C13="随机性偏差","确定应对措施；进入步骤三","")</f>
        <v>确定应对措施；进入步骤三</v>
      </c>
      <c r="E16" s="51"/>
      <c r="F16" s="20"/>
    </row>
    <row r="17" spans="1:6" s="1" customFormat="1" ht="36" customHeight="1" x14ac:dyDescent="0.25">
      <c r="A17" s="52" t="s">
        <v>89</v>
      </c>
      <c r="B17" s="49"/>
      <c r="C17" s="58" t="s">
        <v>90</v>
      </c>
      <c r="D17" s="52" t="s">
        <v>91</v>
      </c>
      <c r="E17" s="49"/>
      <c r="F17" s="19"/>
    </row>
    <row r="18" spans="1:6" s="1" customFormat="1" ht="18" customHeight="1" x14ac:dyDescent="0.25">
      <c r="A18" s="67"/>
      <c r="B18" s="68"/>
      <c r="C18" s="66"/>
      <c r="D18" s="50" t="str">
        <f>IF(C17="扩大样本量","进入步骤四","")</f>
        <v>进入步骤四</v>
      </c>
      <c r="E18" s="51"/>
      <c r="F18" s="20"/>
    </row>
    <row r="19" spans="1:6" s="1" customFormat="1" ht="18" customHeight="1" x14ac:dyDescent="0.25">
      <c r="A19" s="67"/>
      <c r="B19" s="68"/>
      <c r="C19" s="66"/>
      <c r="D19" s="53"/>
      <c r="E19" s="49"/>
      <c r="F19" s="19"/>
    </row>
    <row r="20" spans="1:6" s="1" customFormat="1" ht="18" customHeight="1" x14ac:dyDescent="0.25">
      <c r="A20" s="60"/>
      <c r="B20" s="51"/>
      <c r="C20" s="59"/>
      <c r="D20" s="50" t="str">
        <f>IF(C17="直接认定为偏差","进入步骤五","")</f>
        <v/>
      </c>
      <c r="E20" s="51"/>
      <c r="F20" s="20"/>
    </row>
    <row r="21" spans="1:6" s="1" customFormat="1" ht="19.5" customHeight="1" x14ac:dyDescent="0.25">
      <c r="A21" s="52" t="s">
        <v>92</v>
      </c>
      <c r="B21" s="49"/>
      <c r="C21" s="58" t="s">
        <v>93</v>
      </c>
      <c r="D21" s="52"/>
      <c r="E21" s="49"/>
      <c r="F21" s="19"/>
    </row>
    <row r="22" spans="1:6" s="1" customFormat="1" ht="17.25" customHeight="1" x14ac:dyDescent="0.25">
      <c r="A22" s="67"/>
      <c r="B22" s="68"/>
      <c r="C22" s="66"/>
      <c r="D22" s="50" t="str">
        <f>IF(C21="是","该控制无效；进入步骤五","")</f>
        <v/>
      </c>
      <c r="E22" s="51"/>
      <c r="F22" s="20"/>
    </row>
    <row r="23" spans="1:6" s="1" customFormat="1" ht="33.75" customHeight="1" x14ac:dyDescent="0.25">
      <c r="A23" s="67"/>
      <c r="B23" s="68"/>
      <c r="C23" s="66"/>
      <c r="D23" s="52" t="s">
        <v>94</v>
      </c>
      <c r="E23" s="49"/>
      <c r="F23" s="19"/>
    </row>
    <row r="24" spans="1:6" s="1" customFormat="1" ht="17.25" customHeight="1" x14ac:dyDescent="0.25">
      <c r="A24" s="60"/>
      <c r="B24" s="51"/>
      <c r="C24" s="59"/>
      <c r="D24" s="50" t="str">
        <f>IF(C21="否","控制有效","")</f>
        <v>控制有效</v>
      </c>
      <c r="E24" s="51"/>
      <c r="F24" s="20"/>
    </row>
    <row r="25" spans="1:6" s="1" customFormat="1" ht="21" customHeight="1" x14ac:dyDescent="0.25">
      <c r="A25" s="52" t="s">
        <v>95</v>
      </c>
      <c r="B25" s="49"/>
      <c r="C25" s="58" t="str">
        <f>IF(OR(D20="进入步骤五",D22="该控制无效；进入步骤五"),"评价缺陷","")</f>
        <v/>
      </c>
      <c r="D25" s="53"/>
      <c r="E25" s="49"/>
      <c r="F25" s="18"/>
    </row>
    <row r="26" spans="1:6" s="1" customFormat="1" ht="21" customHeight="1" x14ac:dyDescent="0.25">
      <c r="A26" s="60"/>
      <c r="B26" s="51"/>
      <c r="C26" s="59"/>
      <c r="D26" s="50" t="str">
        <f>IF(C25="评价缺陷","进入内部控制缺陷评价底稿","")</f>
        <v/>
      </c>
      <c r="E26" s="51"/>
      <c r="F26" s="21" t="str">
        <f>IF(LEN(D26)&gt;0,"T2","")</f>
        <v/>
      </c>
    </row>
    <row r="27" spans="1:6" s="1" customFormat="1" ht="26.25" customHeight="1" x14ac:dyDescent="0.25">
      <c r="A27" s="52" t="s">
        <v>96</v>
      </c>
      <c r="B27" s="49"/>
      <c r="C27" s="58"/>
      <c r="D27" s="52"/>
      <c r="E27" s="49"/>
      <c r="F27" s="19"/>
    </row>
    <row r="28" spans="1:6" s="1" customFormat="1" ht="19.5" customHeight="1" x14ac:dyDescent="0.25">
      <c r="A28" s="67"/>
      <c r="B28" s="68"/>
      <c r="C28" s="66"/>
      <c r="D28" s="50" t="str">
        <f>IF(C27="是","存在设计缺陷；回到步骤五","")</f>
        <v/>
      </c>
      <c r="E28" s="51"/>
      <c r="F28" s="20"/>
    </row>
    <row r="29" spans="1:6" s="1" customFormat="1" ht="30.75" customHeight="1" x14ac:dyDescent="0.25">
      <c r="A29" s="67"/>
      <c r="B29" s="68"/>
      <c r="C29" s="66"/>
      <c r="D29" s="53"/>
      <c r="E29" s="49"/>
      <c r="F29" s="19"/>
    </row>
    <row r="30" spans="1:6" s="1" customFormat="1" ht="19.5" customHeight="1" x14ac:dyDescent="0.25">
      <c r="A30" s="60"/>
      <c r="B30" s="51"/>
      <c r="C30" s="59"/>
      <c r="D30" s="50" t="str">
        <f>IF(C27="否","该控制例外情况不构成偏差或缺陷","")</f>
        <v/>
      </c>
      <c r="E30" s="51"/>
      <c r="F30" s="20"/>
    </row>
    <row r="31" spans="1:6" s="1" customFormat="1" ht="39" customHeight="1" x14ac:dyDescent="0.25">
      <c r="A31" s="64" t="s">
        <v>21</v>
      </c>
      <c r="B31" s="55"/>
      <c r="C31" s="22"/>
      <c r="D31" s="65" t="s">
        <v>97</v>
      </c>
      <c r="E31" s="57"/>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9:B12"/>
    <mergeCell ref="A13:B16"/>
    <mergeCell ref="A17:B20"/>
    <mergeCell ref="A21:B24"/>
    <mergeCell ref="A25:B26"/>
    <mergeCell ref="A27:B30"/>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40"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C9-2评价控制偏差</vt:lpstr>
      <vt:lpstr>示例-评价控制偏差（不打印）</vt:lpstr>
      <vt:lpstr>'C9-2评价控制偏差'!Print_Area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02684384DEF74BF692FDDE2C9D1423DD_12</vt:lpwstr>
  </property>
  <property fmtid="{D5CDD505-2E9C-101B-9397-08002B2CF9AE}" pid="3" name="KSOProductBuildVer">
    <vt:lpwstr>2052-12.1.0.22529</vt:lpwstr>
  </property>
</Properties>
</file>