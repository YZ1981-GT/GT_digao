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5.底稿模板\2025年底稿修订\1.已修订底稿\2025年底稿模板-10.31\E 货币资金循环\"/>
    </mc:Choice>
  </mc:AlternateContent>
  <bookViews>
    <workbookView xWindow="-108" yWindow="-108" windowWidth="19416" windowHeight="10416" tabRatio="877"/>
  </bookViews>
  <sheets>
    <sheet name="底稿目录" sheetId="2" r:id="rId1"/>
    <sheet name="货币资金实质性程序表E26A" sheetId="13" r:id="rId2"/>
    <sheet name="现金交易分析E1-26" sheetId="3" r:id="rId3"/>
    <sheet name="现金截止测试E1-27" sheetId="16" r:id="rId4"/>
    <sheet name="现金收支检查表E1-28" sheetId="15" r:id="rId5"/>
    <sheet name="银行账户分析E1-29" sheetId="6" r:id="rId6"/>
    <sheet name="存款规模与利息收入匹配性分析E1-30" sheetId="12" r:id="rId7"/>
    <sheet name="银行流水双向核对表E1-31" sheetId="17" r:id="rId8"/>
    <sheet name="董监高及关键岗位流水核查E1-32" sheetId="11" r:id="rId9"/>
  </sheets>
  <externalReferences>
    <externalReference r:id="rId10"/>
    <externalReference r:id="rId11"/>
  </externalReferences>
  <definedNames>
    <definedName name="_xlnm._FilterDatabase" localSheetId="1" hidden="1">货币资金实质性程序表E26A!#REF!</definedName>
    <definedName name="OLE_LINK1" localSheetId="1">货币资金实质性程序表E26A!#REF!</definedName>
    <definedName name="OLE_LINK2" localSheetId="1">货币资金实质性程序表E26A!#REF!</definedName>
    <definedName name="_xlnm.Print_Area" localSheetId="6">'存款规模与利息收入匹配性分析E1-30'!$A$1:$S$391</definedName>
    <definedName name="_xlnm.Print_Area" localSheetId="8">'董监高及关键岗位流水核查E1-32'!$A$1:$R$36</definedName>
    <definedName name="_xlnm.Print_Area" localSheetId="1">货币资金实质性程序表E26A!$A$1:$J$29</definedName>
    <definedName name="_xlnm.Print_Area" localSheetId="2">'现金交易分析E1-26'!$A$1:$M$61</definedName>
    <definedName name="_xlnm.Print_Area" localSheetId="3">'现金截止测试E1-27'!$A$1:$H$48</definedName>
    <definedName name="_xlnm.Print_Area" localSheetId="4">'现金收支检查表E1-28'!$A$1:$T$71</definedName>
    <definedName name="_xlnm.Print_Area" localSheetId="7">'银行流水双向核对表E1-31'!$A$1:$Q$88</definedName>
    <definedName name="_xlnm.Print_Area" localSheetId="5">'银行账户分析E1-29'!$A$1:$O$36</definedName>
    <definedName name="_xlnm.Print_Titles" localSheetId="6">'存款规模与利息收入匹配性分析E1-30'!$A:$A,'存款规模与利息收入匹配性分析E1-30'!$11:$14</definedName>
    <definedName name="_xlnm.Print_Titles" localSheetId="8">'董监高及关键岗位流水核查E1-32'!$A:$A,'董监高及关键岗位流水核查E1-32'!$10:$10</definedName>
    <definedName name="_xlnm.Print_Titles" localSheetId="1">货币资金实质性程序表E26A!$15:$16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 i="17" l="1"/>
  <c r="H84" i="17"/>
  <c r="I85" i="17"/>
  <c r="H85" i="17"/>
  <c r="G85" i="17"/>
  <c r="F85" i="17"/>
  <c r="G84" i="17"/>
  <c r="F84" i="17"/>
  <c r="E85" i="17"/>
  <c r="E84" i="17"/>
  <c r="H28" i="17"/>
  <c r="F29" i="17"/>
  <c r="E29" i="17"/>
  <c r="C29" i="17"/>
  <c r="J29" i="17" s="1"/>
  <c r="K29" i="17" s="1"/>
  <c r="B29" i="17"/>
  <c r="H29" i="17" s="1"/>
  <c r="I29" i="17" s="1"/>
  <c r="D4" i="16" l="1"/>
  <c r="D3" i="16"/>
  <c r="C4" i="16"/>
  <c r="C3" i="16"/>
  <c r="A4" i="16"/>
  <c r="A3" i="16"/>
  <c r="F69" i="15" l="1"/>
  <c r="F68" i="15"/>
  <c r="G69" i="15"/>
  <c r="G68" i="15"/>
  <c r="G65" i="15"/>
  <c r="G40" i="15"/>
  <c r="H69" i="15" l="1"/>
  <c r="H68" i="15"/>
  <c r="R3" i="11"/>
  <c r="Q3" i="17"/>
  <c r="S3" i="12"/>
  <c r="O3" i="6"/>
  <c r="T3" i="15"/>
  <c r="H3" i="16"/>
  <c r="J33" i="11" l="1"/>
  <c r="I33" i="11"/>
  <c r="L80" i="17"/>
  <c r="K80" i="17"/>
  <c r="E80" i="17"/>
  <c r="L57" i="17" l="1"/>
  <c r="H57" i="17"/>
  <c r="G57" i="17"/>
  <c r="L17" i="17"/>
  <c r="M17" i="17" s="1"/>
  <c r="J17" i="17"/>
  <c r="K17" i="17" s="1"/>
  <c r="H17" i="17"/>
  <c r="I17" i="17" s="1"/>
  <c r="L28" i="17" l="1"/>
  <c r="M28" i="17" s="1"/>
  <c r="J28" i="17"/>
  <c r="K28" i="17" s="1"/>
  <c r="I28" i="17"/>
  <c r="L27" i="17"/>
  <c r="M27" i="17" s="1"/>
  <c r="J27" i="17"/>
  <c r="K27" i="17" s="1"/>
  <c r="H27" i="17"/>
  <c r="I27" i="17" s="1"/>
  <c r="L26" i="17"/>
  <c r="M26" i="17" s="1"/>
  <c r="J26" i="17"/>
  <c r="K26" i="17" s="1"/>
  <c r="H26" i="17"/>
  <c r="I26" i="17" s="1"/>
  <c r="L25" i="17"/>
  <c r="M25" i="17" s="1"/>
  <c r="J25" i="17"/>
  <c r="K25" i="17" s="1"/>
  <c r="H25" i="17"/>
  <c r="I25" i="17" s="1"/>
  <c r="L24" i="17"/>
  <c r="M24" i="17" s="1"/>
  <c r="J24" i="17"/>
  <c r="K24" i="17" s="1"/>
  <c r="H24" i="17"/>
  <c r="I24" i="17" s="1"/>
  <c r="L23" i="17"/>
  <c r="M23" i="17" s="1"/>
  <c r="J23" i="17"/>
  <c r="K23" i="17" s="1"/>
  <c r="H23" i="17"/>
  <c r="I23" i="17" s="1"/>
  <c r="L22" i="17"/>
  <c r="M22" i="17" s="1"/>
  <c r="J22" i="17"/>
  <c r="K22" i="17" s="1"/>
  <c r="H22" i="17"/>
  <c r="I22" i="17" s="1"/>
  <c r="L21" i="17"/>
  <c r="M21" i="17" s="1"/>
  <c r="J21" i="17"/>
  <c r="K21" i="17" s="1"/>
  <c r="H21" i="17"/>
  <c r="I21" i="17" s="1"/>
  <c r="L20" i="17"/>
  <c r="M20" i="17" s="1"/>
  <c r="J20" i="17"/>
  <c r="K20" i="17" s="1"/>
  <c r="H20" i="17"/>
  <c r="I20" i="17" s="1"/>
  <c r="L19" i="17"/>
  <c r="M19" i="17" s="1"/>
  <c r="J19" i="17"/>
  <c r="K19" i="17" s="1"/>
  <c r="H19" i="17"/>
  <c r="I19" i="17" s="1"/>
  <c r="L18" i="17"/>
  <c r="M18" i="17" s="1"/>
  <c r="J18" i="17"/>
  <c r="K18" i="17" s="1"/>
  <c r="H18" i="17"/>
  <c r="I18" i="17" s="1"/>
  <c r="J4" i="17"/>
  <c r="E4" i="17"/>
  <c r="A4" i="17"/>
  <c r="J3" i="17"/>
  <c r="E3" i="17"/>
  <c r="A3" i="17"/>
  <c r="J4" i="15" l="1"/>
  <c r="E4" i="15"/>
  <c r="A4" i="15"/>
  <c r="J3" i="15"/>
  <c r="E3" i="15"/>
  <c r="A3" i="15"/>
  <c r="J3" i="13" l="1"/>
  <c r="M3" i="3"/>
  <c r="D3" i="13"/>
  <c r="F3" i="13"/>
  <c r="D4" i="13"/>
  <c r="F4" i="13"/>
  <c r="A4" i="13"/>
  <c r="A3" i="13"/>
  <c r="K4" i="11"/>
  <c r="H4" i="11"/>
  <c r="A4" i="11"/>
  <c r="K3" i="11"/>
  <c r="H3" i="11"/>
  <c r="A3" i="11"/>
  <c r="E4" i="12"/>
  <c r="E3" i="12"/>
  <c r="I4" i="12"/>
  <c r="I3"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Q367" i="12"/>
  <c r="Q368" i="12"/>
  <c r="Q369" i="12"/>
  <c r="Q370" i="12"/>
  <c r="Q371" i="12"/>
  <c r="Q372" i="12"/>
  <c r="Q373" i="12"/>
  <c r="Q374" i="12"/>
  <c r="Q375" i="12"/>
  <c r="Q376" i="12"/>
  <c r="Q377" i="12"/>
  <c r="Q378" i="12"/>
  <c r="Q379" i="12"/>
  <c r="L15"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15" i="12"/>
  <c r="A4" i="12"/>
  <c r="A3" i="12"/>
  <c r="S372" i="12" l="1"/>
  <c r="S364" i="12"/>
  <c r="S356" i="12"/>
  <c r="S348" i="12"/>
  <c r="S340" i="12"/>
  <c r="S332" i="12"/>
  <c r="S324" i="12"/>
  <c r="S316" i="12"/>
  <c r="S308" i="12"/>
  <c r="S300" i="12"/>
  <c r="S292" i="12"/>
  <c r="S284" i="12"/>
  <c r="S276" i="12"/>
  <c r="S268" i="12"/>
  <c r="S260" i="12"/>
  <c r="S252" i="12"/>
  <c r="S244" i="12"/>
  <c r="S236" i="12"/>
  <c r="S228" i="12"/>
  <c r="S220" i="12"/>
  <c r="S212" i="12"/>
  <c r="S204" i="12"/>
  <c r="S196" i="12"/>
  <c r="S188" i="12"/>
  <c r="S180" i="12"/>
  <c r="S172" i="12"/>
  <c r="S164" i="12"/>
  <c r="S156" i="12"/>
  <c r="S148" i="12"/>
  <c r="S140" i="12"/>
  <c r="S132" i="12"/>
  <c r="S124" i="12"/>
  <c r="S116" i="12"/>
  <c r="S108" i="12"/>
  <c r="S100" i="12"/>
  <c r="S92" i="12"/>
  <c r="S84" i="12"/>
  <c r="S76" i="12"/>
  <c r="S68" i="12"/>
  <c r="S60" i="12"/>
  <c r="S52" i="12"/>
  <c r="S44" i="12"/>
  <c r="S36" i="12"/>
  <c r="S28" i="12"/>
  <c r="S20" i="12"/>
  <c r="S376" i="12"/>
  <c r="S360" i="12"/>
  <c r="S344" i="12"/>
  <c r="S328" i="12"/>
  <c r="S312" i="12"/>
  <c r="S296" i="12"/>
  <c r="S280" i="12"/>
  <c r="S264" i="12"/>
  <c r="S256" i="12"/>
  <c r="S240" i="12"/>
  <c r="S224" i="12"/>
  <c r="S216" i="12"/>
  <c r="S208" i="12"/>
  <c r="S200" i="12"/>
  <c r="S184" i="12"/>
  <c r="S176" i="12"/>
  <c r="S168" i="12"/>
  <c r="S160" i="12"/>
  <c r="S152" i="12"/>
  <c r="S144" i="12"/>
  <c r="S136" i="12"/>
  <c r="S128" i="12"/>
  <c r="S120" i="12"/>
  <c r="S112" i="12"/>
  <c r="S104" i="12"/>
  <c r="S96" i="12"/>
  <c r="S88" i="12"/>
  <c r="S80" i="12"/>
  <c r="S72" i="12"/>
  <c r="S64" i="12"/>
  <c r="S56" i="12"/>
  <c r="S48" i="12"/>
  <c r="S40" i="12"/>
  <c r="S32" i="12"/>
  <c r="S24" i="12"/>
  <c r="S16" i="12"/>
  <c r="S368" i="12"/>
  <c r="S352" i="12"/>
  <c r="S336" i="12"/>
  <c r="S320" i="12"/>
  <c r="S304" i="12"/>
  <c r="S288" i="12"/>
  <c r="S272" i="12"/>
  <c r="S248" i="12"/>
  <c r="S232" i="12"/>
  <c r="S192" i="12"/>
  <c r="S357" i="12"/>
  <c r="S15" i="12"/>
  <c r="S346" i="12"/>
  <c r="S298" i="12"/>
  <c r="S250" i="12"/>
  <c r="S194" i="12"/>
  <c r="S146" i="12"/>
  <c r="S138" i="12"/>
  <c r="S130" i="12"/>
  <c r="S82" i="12"/>
  <c r="S74" i="12"/>
  <c r="S66" i="12"/>
  <c r="S58" i="12"/>
  <c r="S50" i="12"/>
  <c r="S42" i="12"/>
  <c r="S34" i="12"/>
  <c r="S26" i="12"/>
  <c r="S18" i="12"/>
  <c r="S362" i="12"/>
  <c r="S314" i="12"/>
  <c r="S282" i="12"/>
  <c r="S242" i="12"/>
  <c r="S202" i="12"/>
  <c r="S154" i="12"/>
  <c r="S122" i="12"/>
  <c r="S329" i="12"/>
  <c r="S313" i="12"/>
  <c r="S273" i="12"/>
  <c r="S265" i="12"/>
  <c r="S257" i="12"/>
  <c r="S249" i="12"/>
  <c r="S241" i="12"/>
  <c r="S233" i="12"/>
  <c r="S225" i="12"/>
  <c r="S217" i="12"/>
  <c r="S209" i="12"/>
  <c r="S201" i="12"/>
  <c r="S193" i="12"/>
  <c r="S185" i="12"/>
  <c r="S177" i="12"/>
  <c r="S169" i="12"/>
  <c r="S161" i="12"/>
  <c r="S153" i="12"/>
  <c r="S145" i="12"/>
  <c r="S137" i="12"/>
  <c r="S129" i="12"/>
  <c r="S121" i="12"/>
  <c r="S113" i="12"/>
  <c r="S105" i="12"/>
  <c r="S97" i="12"/>
  <c r="S89" i="12"/>
  <c r="S81" i="12"/>
  <c r="S73" i="12"/>
  <c r="S65" i="12"/>
  <c r="S57" i="12"/>
  <c r="S49" i="12"/>
  <c r="S41" i="12"/>
  <c r="S33" i="12"/>
  <c r="S25" i="12"/>
  <c r="S17" i="12"/>
  <c r="S338" i="12"/>
  <c r="S290" i="12"/>
  <c r="S218" i="12"/>
  <c r="S170" i="12"/>
  <c r="S114" i="12"/>
  <c r="S305" i="12"/>
  <c r="S370" i="12"/>
  <c r="S322" i="12"/>
  <c r="S266" i="12"/>
  <c r="S226" i="12"/>
  <c r="S178" i="12"/>
  <c r="S98" i="12"/>
  <c r="S353" i="12"/>
  <c r="S281" i="12"/>
  <c r="S378" i="12"/>
  <c r="S330" i="12"/>
  <c r="S258" i="12"/>
  <c r="S210" i="12"/>
  <c r="S162" i="12"/>
  <c r="S90" i="12"/>
  <c r="S345" i="12"/>
  <c r="S289" i="12"/>
  <c r="S354" i="12"/>
  <c r="S306" i="12"/>
  <c r="S274" i="12"/>
  <c r="S234" i="12"/>
  <c r="S186" i="12"/>
  <c r="S106" i="12"/>
  <c r="S361" i="12"/>
  <c r="S337" i="12"/>
  <c r="S321" i="12"/>
  <c r="S297" i="12"/>
  <c r="S373" i="12"/>
  <c r="S374" i="12"/>
  <c r="S366" i="12"/>
  <c r="S358" i="12"/>
  <c r="S350" i="12"/>
  <c r="S349" i="12"/>
  <c r="S365" i="12"/>
  <c r="S379" i="12"/>
  <c r="S371" i="12"/>
  <c r="S363" i="12"/>
  <c r="S355" i="12"/>
  <c r="S347" i="12"/>
  <c r="S339" i="12"/>
  <c r="S377" i="12"/>
  <c r="S369" i="12"/>
  <c r="S342" i="12"/>
  <c r="S334" i="12"/>
  <c r="S326" i="12"/>
  <c r="S318" i="12"/>
  <c r="S310" i="12"/>
  <c r="S302" i="12"/>
  <c r="S294" i="12"/>
  <c r="S286" i="12"/>
  <c r="S278" i="12"/>
  <c r="S270" i="12"/>
  <c r="S262" i="12"/>
  <c r="S254" i="12"/>
  <c r="S246" i="12"/>
  <c r="S238" i="12"/>
  <c r="S230" i="12"/>
  <c r="S222" i="12"/>
  <c r="S214" i="12"/>
  <c r="S206" i="12"/>
  <c r="S198" i="12"/>
  <c r="S190" i="12"/>
  <c r="S182" i="12"/>
  <c r="S174" i="12"/>
  <c r="S166" i="12"/>
  <c r="S158" i="12"/>
  <c r="S150" i="12"/>
  <c r="S142" i="12"/>
  <c r="S134" i="12"/>
  <c r="S126" i="12"/>
  <c r="S118" i="12"/>
  <c r="S110" i="12"/>
  <c r="S102" i="12"/>
  <c r="S94" i="12"/>
  <c r="S86" i="12"/>
  <c r="S78" i="12"/>
  <c r="S70" i="12"/>
  <c r="S62" i="12"/>
  <c r="S54" i="12"/>
  <c r="S46" i="12"/>
  <c r="S38" i="12"/>
  <c r="S30" i="12"/>
  <c r="S22" i="12"/>
  <c r="S341" i="12"/>
  <c r="S333" i="12"/>
  <c r="S325" i="12"/>
  <c r="S317" i="12"/>
  <c r="S309" i="12"/>
  <c r="S301" i="12"/>
  <c r="S293" i="12"/>
  <c r="S285" i="12"/>
  <c r="S277" i="12"/>
  <c r="S269" i="12"/>
  <c r="S261" i="12"/>
  <c r="S253" i="12"/>
  <c r="S245" i="12"/>
  <c r="S237" i="12"/>
  <c r="S229" i="12"/>
  <c r="S221" i="12"/>
  <c r="S213" i="12"/>
  <c r="S205" i="12"/>
  <c r="S197" i="12"/>
  <c r="S189" i="12"/>
  <c r="S181" i="12"/>
  <c r="S173" i="12"/>
  <c r="S165" i="12"/>
  <c r="S157" i="12"/>
  <c r="S149" i="12"/>
  <c r="S141" i="12"/>
  <c r="S133" i="12"/>
  <c r="S125" i="12"/>
  <c r="S117" i="12"/>
  <c r="S109" i="12"/>
  <c r="S101" i="12"/>
  <c r="S93" i="12"/>
  <c r="S85" i="12"/>
  <c r="S77" i="12"/>
  <c r="S69" i="12"/>
  <c r="S61" i="12"/>
  <c r="S53" i="12"/>
  <c r="S45" i="12"/>
  <c r="S37" i="12"/>
  <c r="S29" i="12"/>
  <c r="S21" i="12"/>
  <c r="S331" i="12"/>
  <c r="S323" i="12"/>
  <c r="S315" i="12"/>
  <c r="S307" i="12"/>
  <c r="S299" i="12"/>
  <c r="S291" i="12"/>
  <c r="S283" i="12"/>
  <c r="S275" i="12"/>
  <c r="S267" i="12"/>
  <c r="S259" i="12"/>
  <c r="S251" i="12"/>
  <c r="S243" i="12"/>
  <c r="S235" i="12"/>
  <c r="S227" i="12"/>
  <c r="S219" i="12"/>
  <c r="S211" i="12"/>
  <c r="S203" i="12"/>
  <c r="S195" i="12"/>
  <c r="S187" i="12"/>
  <c r="S179" i="12"/>
  <c r="S171" i="12"/>
  <c r="S163" i="12"/>
  <c r="S155" i="12"/>
  <c r="S147" i="12"/>
  <c r="S139" i="12"/>
  <c r="S131" i="12"/>
  <c r="S123" i="12"/>
  <c r="S115" i="12"/>
  <c r="S107" i="12"/>
  <c r="S99" i="12"/>
  <c r="S91" i="12"/>
  <c r="S83" i="12"/>
  <c r="S75" i="12"/>
  <c r="S67" i="12"/>
  <c r="S59" i="12"/>
  <c r="S51" i="12"/>
  <c r="S43" i="12"/>
  <c r="S35" i="12"/>
  <c r="S27" i="12"/>
  <c r="S19" i="12"/>
  <c r="S375" i="12"/>
  <c r="S367" i="12"/>
  <c r="S359" i="12"/>
  <c r="S351" i="12"/>
  <c r="S343" i="12"/>
  <c r="S335" i="12"/>
  <c r="S327" i="12"/>
  <c r="S319" i="12"/>
  <c r="S311" i="12"/>
  <c r="S303" i="12"/>
  <c r="S295" i="12"/>
  <c r="S287" i="12"/>
  <c r="S279" i="12"/>
  <c r="S271" i="12"/>
  <c r="S263" i="12"/>
  <c r="S255" i="12"/>
  <c r="S247" i="12"/>
  <c r="S239" i="12"/>
  <c r="S231" i="12"/>
  <c r="S223" i="12"/>
  <c r="S215" i="12"/>
  <c r="S207" i="12"/>
  <c r="S199" i="12"/>
  <c r="S191" i="12"/>
  <c r="S183" i="12"/>
  <c r="S175" i="12"/>
  <c r="S167" i="12"/>
  <c r="S159" i="12"/>
  <c r="S151" i="12"/>
  <c r="S143" i="12"/>
  <c r="S135" i="12"/>
  <c r="S127" i="12"/>
  <c r="S119" i="12"/>
  <c r="S111" i="12"/>
  <c r="S103" i="12"/>
  <c r="S95" i="12"/>
  <c r="S87" i="12"/>
  <c r="S79" i="12"/>
  <c r="S71" i="12"/>
  <c r="S63" i="12"/>
  <c r="S55" i="12"/>
  <c r="S47" i="12"/>
  <c r="S39" i="12"/>
  <c r="S31" i="12"/>
  <c r="S23" i="12"/>
  <c r="Q380" i="12"/>
  <c r="L380" i="12"/>
  <c r="D380" i="12"/>
  <c r="G380" i="12"/>
  <c r="S380" i="12" l="1"/>
  <c r="B384" i="12" s="1"/>
  <c r="B386" i="12" s="1"/>
  <c r="J4" i="6" l="1"/>
  <c r="E4" i="6"/>
  <c r="A4" i="6"/>
  <c r="J3" i="6"/>
  <c r="E3" i="6"/>
  <c r="A3" i="6"/>
  <c r="I4" i="3" l="1"/>
  <c r="E4" i="3"/>
  <c r="A4" i="3"/>
  <c r="I3" i="3"/>
  <c r="E3" i="3"/>
  <c r="A3" i="3"/>
  <c r="L44" i="3"/>
  <c r="K44" i="3"/>
  <c r="F44" i="3"/>
  <c r="E44" i="3"/>
  <c r="L43" i="3"/>
  <c r="K43" i="3"/>
  <c r="F43" i="3"/>
  <c r="E43" i="3"/>
  <c r="L42" i="3"/>
  <c r="K42" i="3"/>
  <c r="F42" i="3"/>
  <c r="E42" i="3"/>
  <c r="L41" i="3"/>
  <c r="K41" i="3"/>
  <c r="F41" i="3"/>
  <c r="E41" i="3"/>
  <c r="L40" i="3"/>
  <c r="K40" i="3"/>
  <c r="F40" i="3"/>
  <c r="E40" i="3"/>
  <c r="L39" i="3"/>
  <c r="K39" i="3"/>
  <c r="F39" i="3"/>
  <c r="E39" i="3"/>
  <c r="L38" i="3"/>
  <c r="K38" i="3"/>
  <c r="F38" i="3"/>
  <c r="E38" i="3"/>
  <c r="L37" i="3"/>
  <c r="K37" i="3"/>
  <c r="F37" i="3"/>
  <c r="E37" i="3"/>
  <c r="L36" i="3"/>
  <c r="K36" i="3"/>
  <c r="F36" i="3"/>
  <c r="E36" i="3"/>
  <c r="L35" i="3"/>
  <c r="K35" i="3"/>
  <c r="F35" i="3"/>
  <c r="E35" i="3"/>
  <c r="I24" i="3"/>
  <c r="L24" i="3" s="1"/>
  <c r="H24" i="3"/>
  <c r="C24" i="3"/>
  <c r="F24" i="3" s="1"/>
  <c r="B24" i="3"/>
  <c r="L23" i="3"/>
  <c r="K23" i="3"/>
  <c r="F23" i="3"/>
  <c r="E23" i="3"/>
  <c r="L22" i="3"/>
  <c r="K22" i="3"/>
  <c r="F22" i="3"/>
  <c r="E22" i="3"/>
  <c r="L21" i="3"/>
  <c r="K21" i="3"/>
  <c r="F21" i="3"/>
  <c r="E21" i="3"/>
  <c r="L20" i="3"/>
  <c r="K20" i="3"/>
  <c r="F20" i="3"/>
  <c r="E20" i="3"/>
  <c r="L19" i="3"/>
  <c r="K19" i="3"/>
  <c r="F19" i="3"/>
  <c r="E19" i="3"/>
  <c r="L18" i="3"/>
  <c r="K18" i="3"/>
  <c r="F18" i="3"/>
  <c r="E18" i="3"/>
  <c r="L17" i="3"/>
  <c r="K17" i="3"/>
  <c r="F17" i="3"/>
  <c r="E17" i="3"/>
  <c r="L16" i="3"/>
  <c r="K16" i="3"/>
  <c r="F16" i="3"/>
  <c r="E16" i="3"/>
  <c r="L15" i="3"/>
  <c r="K15" i="3"/>
  <c r="F15" i="3"/>
  <c r="E15" i="3"/>
  <c r="L14" i="3"/>
  <c r="K14" i="3"/>
  <c r="F14" i="3"/>
  <c r="E14" i="3"/>
  <c r="L13" i="3"/>
  <c r="K13" i="3"/>
  <c r="F13" i="3"/>
  <c r="E13" i="3"/>
  <c r="L12" i="3"/>
  <c r="K12" i="3"/>
  <c r="F12" i="3"/>
  <c r="E12" i="3"/>
  <c r="E24" i="3" l="1"/>
  <c r="K24" i="3"/>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14" authorId="0" shapeId="0">
      <text>
        <r>
          <rPr>
            <b/>
            <sz val="9"/>
            <color indexed="81"/>
            <rFont val="宋体"/>
            <family val="3"/>
            <charset val="134"/>
          </rPr>
          <t>Windows 用户:</t>
        </r>
        <r>
          <rPr>
            <sz val="9"/>
            <color indexed="81"/>
            <rFont val="宋体"/>
            <family val="3"/>
            <charset val="134"/>
          </rPr>
          <t xml:space="preserve">
可运用事务所开发的银行流水核对系统进行全部样本进行核对，系统所在位置：致同内网-应用系统-致同审计效率工具-银行流水核查工具（识别+核对），可将系统的核对结果导出作为底稿，并进一步检查支持性文件</t>
        </r>
      </text>
    </comment>
  </commentList>
</comments>
</file>

<file path=xl/sharedStrings.xml><?xml version="1.0" encoding="utf-8"?>
<sst xmlns="http://schemas.openxmlformats.org/spreadsheetml/2006/main" count="636" uniqueCount="501">
  <si>
    <t>致同会计师事务所</t>
  </si>
  <si>
    <r>
      <rPr>
        <b/>
        <sz val="10"/>
        <rFont val="宋体"/>
        <family val="3"/>
        <charset val="134"/>
      </rPr>
      <t>一、审计目标：</t>
    </r>
    <phoneticPr fontId="7" type="noConversion"/>
  </si>
  <si>
    <r>
      <rPr>
        <b/>
        <sz val="10"/>
        <rFont val="宋体"/>
        <family val="3"/>
        <charset val="134"/>
      </rPr>
      <t>二、审计过程：</t>
    </r>
    <phoneticPr fontId="7" type="noConversion"/>
  </si>
  <si>
    <r>
      <rPr>
        <b/>
        <sz val="10"/>
        <color rgb="FF000000"/>
        <rFont val="宋体"/>
        <family val="3"/>
        <charset val="134"/>
      </rPr>
      <t>合</t>
    </r>
    <r>
      <rPr>
        <b/>
        <sz val="10"/>
        <color rgb="FF000000"/>
        <rFont val="Arial Narrow"/>
        <family val="2"/>
      </rPr>
      <t xml:space="preserve">  </t>
    </r>
    <r>
      <rPr>
        <b/>
        <sz val="10"/>
        <color rgb="FF000000"/>
        <rFont val="宋体"/>
        <family val="3"/>
        <charset val="134"/>
      </rPr>
      <t>计</t>
    </r>
  </si>
  <si>
    <r>
      <rPr>
        <b/>
        <sz val="10"/>
        <color rgb="FF000000"/>
        <rFont val="宋体"/>
        <family val="3"/>
        <charset val="134"/>
      </rPr>
      <t>月均金额</t>
    </r>
  </si>
  <si>
    <r>
      <rPr>
        <b/>
        <sz val="10"/>
        <color rgb="FF000000"/>
        <rFont val="宋体"/>
        <family val="3"/>
        <charset val="134"/>
      </rPr>
      <t>占当期比重</t>
    </r>
  </si>
  <si>
    <r>
      <t>0~~A</t>
    </r>
    <r>
      <rPr>
        <sz val="10"/>
        <color theme="1"/>
        <rFont val="宋体"/>
        <family val="3"/>
        <charset val="134"/>
      </rPr>
      <t>万元</t>
    </r>
    <phoneticPr fontId="14" type="noConversion"/>
  </si>
  <si>
    <r>
      <t>A~B</t>
    </r>
    <r>
      <rPr>
        <sz val="10"/>
        <color theme="1"/>
        <rFont val="宋体"/>
        <family val="3"/>
        <charset val="134"/>
      </rPr>
      <t>万元</t>
    </r>
    <phoneticPr fontId="14" type="noConversion"/>
  </si>
  <si>
    <t>……</t>
    <phoneticPr fontId="14" type="noConversion"/>
  </si>
  <si>
    <r>
      <rPr>
        <sz val="10"/>
        <color rgb="FF0000FF"/>
        <rFont val="宋体"/>
        <family val="3"/>
        <charset val="134"/>
      </rPr>
      <t>【现金销售收款金额分层，根据发行人的情况确定】</t>
    </r>
    <phoneticPr fontId="7" type="noConversion"/>
  </si>
  <si>
    <r>
      <rPr>
        <sz val="10"/>
        <color rgb="FF000000"/>
        <rFont val="宋体"/>
        <family val="3"/>
        <charset val="134"/>
      </rPr>
      <t>当期总客户数</t>
    </r>
  </si>
  <si>
    <r>
      <rPr>
        <sz val="10"/>
        <color rgb="FF000000"/>
        <rFont val="宋体"/>
        <family val="3"/>
        <charset val="134"/>
      </rPr>
      <t>当期总供应商数</t>
    </r>
    <phoneticPr fontId="7" type="noConversion"/>
  </si>
  <si>
    <r>
      <rPr>
        <sz val="10"/>
        <color rgb="FF000000"/>
        <rFont val="宋体"/>
        <family val="3"/>
        <charset val="134"/>
      </rPr>
      <t>涉现收款客户数</t>
    </r>
  </si>
  <si>
    <r>
      <rPr>
        <sz val="10"/>
        <color rgb="FF000000"/>
        <rFont val="宋体"/>
        <family val="3"/>
        <charset val="134"/>
      </rPr>
      <t>涉现付款供应商数</t>
    </r>
    <phoneticPr fontId="7" type="noConversion"/>
  </si>
  <si>
    <r>
      <rPr>
        <sz val="10"/>
        <color rgb="FF000000"/>
        <rFont val="宋体"/>
        <family val="3"/>
        <charset val="134"/>
      </rPr>
      <t>涉现收款客户占比</t>
    </r>
  </si>
  <si>
    <r>
      <rPr>
        <sz val="10"/>
        <color rgb="FF000000"/>
        <rFont val="宋体"/>
        <family val="3"/>
        <charset val="134"/>
      </rPr>
      <t>涉现付款供应商占比</t>
    </r>
    <phoneticPr fontId="7" type="noConversion"/>
  </si>
  <si>
    <r>
      <rPr>
        <sz val="10"/>
        <color rgb="FF000000"/>
        <rFont val="宋体"/>
        <family val="3"/>
        <charset val="134"/>
      </rPr>
      <t>涉现客户平均现金收款金额</t>
    </r>
  </si>
  <si>
    <r>
      <rPr>
        <sz val="10"/>
        <color rgb="FF000000"/>
        <rFont val="宋体"/>
        <family val="3"/>
        <charset val="134"/>
      </rPr>
      <t>涉现供应商平均现金付款金额</t>
    </r>
    <phoneticPr fontId="7" type="noConversion"/>
  </si>
  <si>
    <r>
      <rPr>
        <sz val="10"/>
        <color rgb="FF000000"/>
        <rFont val="宋体"/>
        <family val="3"/>
        <charset val="134"/>
      </rPr>
      <t>前</t>
    </r>
    <r>
      <rPr>
        <sz val="10"/>
        <color rgb="FF000000"/>
        <rFont val="Arial Narrow"/>
        <family val="2"/>
      </rPr>
      <t>50</t>
    </r>
    <r>
      <rPr>
        <sz val="10"/>
        <color rgb="FF000000"/>
        <rFont val="宋体"/>
        <family val="3"/>
        <charset val="134"/>
      </rPr>
      <t>名现金收款客户占总收入比</t>
    </r>
  </si>
  <si>
    <r>
      <rPr>
        <sz val="10"/>
        <color rgb="FF000000"/>
        <rFont val="宋体"/>
        <family val="3"/>
        <charset val="134"/>
      </rPr>
      <t>前</t>
    </r>
    <r>
      <rPr>
        <sz val="10"/>
        <color rgb="FF000000"/>
        <rFont val="Arial Narrow"/>
        <family val="2"/>
      </rPr>
      <t>50</t>
    </r>
    <r>
      <rPr>
        <sz val="10"/>
        <color rgb="FF000000"/>
        <rFont val="宋体"/>
        <family val="3"/>
        <charset val="134"/>
      </rPr>
      <t>名现金付款供应商占总采购比</t>
    </r>
    <phoneticPr fontId="7" type="noConversion"/>
  </si>
  <si>
    <r>
      <rPr>
        <sz val="10"/>
        <color rgb="FF000000"/>
        <rFont val="宋体"/>
        <family val="3"/>
        <charset val="134"/>
      </rPr>
      <t>仅现收款客户数</t>
    </r>
  </si>
  <si>
    <r>
      <rPr>
        <sz val="10"/>
        <color rgb="FF000000"/>
        <rFont val="宋体"/>
        <family val="3"/>
        <charset val="134"/>
      </rPr>
      <t>仅现付款供应商数</t>
    </r>
    <phoneticPr fontId="7" type="noConversion"/>
  </si>
  <si>
    <r>
      <rPr>
        <sz val="10"/>
        <color rgb="FF000000"/>
        <rFont val="宋体"/>
        <family val="3"/>
        <charset val="134"/>
      </rPr>
      <t>仅现收款客户数占总客户数之比</t>
    </r>
  </si>
  <si>
    <r>
      <rPr>
        <sz val="10"/>
        <color rgb="FF000000"/>
        <rFont val="宋体"/>
        <family val="3"/>
        <charset val="134"/>
      </rPr>
      <t>仅现付款供应商占总供应商数之比</t>
    </r>
    <phoneticPr fontId="7" type="noConversion"/>
  </si>
  <si>
    <r>
      <rPr>
        <sz val="10"/>
        <color rgb="FF000000"/>
        <rFont val="宋体"/>
        <family val="3"/>
        <charset val="134"/>
      </rPr>
      <t>仅现收款客户收款总额</t>
    </r>
  </si>
  <si>
    <r>
      <rPr>
        <sz val="10"/>
        <color rgb="FF000000"/>
        <rFont val="宋体"/>
        <family val="3"/>
        <charset val="134"/>
      </rPr>
      <t>仅现付款供应商付款总额</t>
    </r>
    <phoneticPr fontId="7" type="noConversion"/>
  </si>
  <si>
    <r>
      <rPr>
        <sz val="10"/>
        <color rgb="FF000000"/>
        <rFont val="宋体"/>
        <family val="3"/>
        <charset val="134"/>
      </rPr>
      <t>仅现收款客户占总收入之比</t>
    </r>
  </si>
  <si>
    <r>
      <rPr>
        <sz val="10"/>
        <color rgb="FF000000"/>
        <rFont val="宋体"/>
        <family val="3"/>
        <charset val="134"/>
      </rPr>
      <t>仅现付款供应商占总采购金额之比</t>
    </r>
    <phoneticPr fontId="7" type="noConversion"/>
  </si>
  <si>
    <r>
      <rPr>
        <b/>
        <sz val="10"/>
        <rFont val="宋体"/>
        <family val="3"/>
        <charset val="134"/>
      </rPr>
      <t>四、审计结论：</t>
    </r>
    <phoneticPr fontId="7" type="noConversion"/>
  </si>
  <si>
    <r>
      <rPr>
        <b/>
        <sz val="10"/>
        <rFont val="宋体"/>
        <family val="3"/>
        <charset val="134"/>
      </rPr>
      <t>现金销售收款的总体情况</t>
    </r>
    <phoneticPr fontId="14" type="noConversion"/>
  </si>
  <si>
    <r>
      <rPr>
        <b/>
        <sz val="10"/>
        <rFont val="宋体"/>
        <family val="3"/>
        <charset val="134"/>
      </rPr>
      <t>现金采购付款的总体情况</t>
    </r>
    <phoneticPr fontId="14" type="noConversion"/>
  </si>
  <si>
    <r>
      <rPr>
        <b/>
        <sz val="10"/>
        <color rgb="FF000000"/>
        <rFont val="宋体"/>
        <family val="3"/>
        <charset val="134"/>
      </rPr>
      <t>月份</t>
    </r>
    <phoneticPr fontId="14" type="noConversion"/>
  </si>
  <si>
    <r>
      <rPr>
        <b/>
        <sz val="10"/>
        <color rgb="FF000000"/>
        <rFont val="宋体"/>
        <family val="3"/>
        <charset val="134"/>
      </rPr>
      <t>项目</t>
    </r>
    <phoneticPr fontId="14" type="noConversion"/>
  </si>
  <si>
    <r>
      <rPr>
        <b/>
        <sz val="10"/>
        <rFont val="宋体"/>
        <family val="3"/>
        <charset val="134"/>
      </rPr>
      <t>备注</t>
    </r>
    <phoneticPr fontId="14" type="noConversion"/>
  </si>
  <si>
    <r>
      <rPr>
        <b/>
        <sz val="10"/>
        <rFont val="宋体"/>
        <family val="3"/>
        <charset val="134"/>
      </rPr>
      <t>三、审计说明：</t>
    </r>
    <phoneticPr fontId="7" type="noConversion"/>
  </si>
  <si>
    <r>
      <rPr>
        <b/>
        <sz val="10"/>
        <rFont val="宋体"/>
        <family val="3"/>
        <charset val="134"/>
      </rPr>
      <t>财务报表的认定　</t>
    </r>
  </si>
  <si>
    <t>程序分类</t>
    <phoneticPr fontId="14" type="noConversion"/>
  </si>
  <si>
    <t>权利和义务</t>
    <phoneticPr fontId="14" type="noConversion"/>
  </si>
  <si>
    <t>…</t>
    <phoneticPr fontId="14" type="noConversion"/>
  </si>
  <si>
    <t>——</t>
    <phoneticPr fontId="14" type="noConversion"/>
  </si>
  <si>
    <t>E1-32</t>
  </si>
  <si>
    <t>E1-33</t>
  </si>
  <si>
    <t>E1-34</t>
  </si>
  <si>
    <t>银行账户分析表</t>
    <phoneticPr fontId="7" type="noConversion"/>
  </si>
  <si>
    <t>存款规模与利息收入匹配性分析</t>
    <phoneticPr fontId="7" type="noConversion"/>
  </si>
  <si>
    <r>
      <rPr>
        <b/>
        <sz val="11"/>
        <rFont val="宋体"/>
        <family val="3"/>
        <charset val="134"/>
      </rPr>
      <t>底稿开列时，可先在以下单元格填写有关内容，以便其他底稿引用有关数据：</t>
    </r>
    <phoneticPr fontId="7" type="noConversion"/>
  </si>
  <si>
    <r>
      <rPr>
        <b/>
        <sz val="11"/>
        <color indexed="8"/>
        <rFont val="宋体"/>
        <family val="3"/>
        <charset val="134"/>
      </rPr>
      <t>序号</t>
    </r>
  </si>
  <si>
    <r>
      <rPr>
        <b/>
        <sz val="11"/>
        <color indexed="8"/>
        <rFont val="宋体"/>
        <family val="3"/>
        <charset val="134"/>
      </rPr>
      <t>内容</t>
    </r>
  </si>
  <si>
    <r>
      <rPr>
        <b/>
        <sz val="11"/>
        <color indexed="8"/>
        <rFont val="宋体"/>
        <family val="3"/>
        <charset val="134"/>
      </rPr>
      <t>索引号</t>
    </r>
  </si>
  <si>
    <r>
      <rPr>
        <b/>
        <sz val="11"/>
        <color indexed="8"/>
        <rFont val="宋体"/>
        <family val="3"/>
        <charset val="134"/>
      </rPr>
      <t>备注</t>
    </r>
  </si>
  <si>
    <r>
      <rPr>
        <sz val="11"/>
        <rFont val="宋体"/>
        <family val="3"/>
        <charset val="134"/>
      </rPr>
      <t>自定义底稿</t>
    </r>
    <phoneticPr fontId="14" type="noConversion"/>
  </si>
  <si>
    <r>
      <rPr>
        <sz val="10"/>
        <rFont val="宋体"/>
        <family val="3"/>
        <charset val="134"/>
      </rPr>
      <t>获取全部账号每日存款余额，根据利率计算全年利息收入，与账面实际利息收入核对</t>
    </r>
    <phoneticPr fontId="14" type="noConversion"/>
  </si>
  <si>
    <r>
      <rPr>
        <b/>
        <sz val="10"/>
        <color theme="1"/>
        <rFont val="宋体"/>
        <family val="3"/>
        <charset val="134"/>
      </rPr>
      <t>序号</t>
    </r>
  </si>
  <si>
    <r>
      <rPr>
        <b/>
        <sz val="10"/>
        <color theme="1"/>
        <rFont val="宋体"/>
        <family val="3"/>
        <charset val="134"/>
      </rPr>
      <t>账号</t>
    </r>
  </si>
  <si>
    <r>
      <rPr>
        <b/>
        <sz val="10"/>
        <color theme="1"/>
        <rFont val="宋体"/>
        <family val="3"/>
        <charset val="134"/>
      </rPr>
      <t>卡片类型</t>
    </r>
  </si>
  <si>
    <r>
      <rPr>
        <b/>
        <sz val="10"/>
        <color theme="1"/>
        <rFont val="宋体"/>
        <family val="3"/>
        <charset val="134"/>
      </rPr>
      <t>币种</t>
    </r>
  </si>
  <si>
    <r>
      <rPr>
        <b/>
        <sz val="10"/>
        <color theme="1"/>
        <rFont val="宋体"/>
        <family val="3"/>
        <charset val="134"/>
      </rPr>
      <t>摘要</t>
    </r>
  </si>
  <si>
    <r>
      <rPr>
        <b/>
        <sz val="10"/>
        <color theme="1"/>
        <rFont val="宋体"/>
        <family val="3"/>
        <charset val="134"/>
      </rPr>
      <t>收入金额</t>
    </r>
  </si>
  <si>
    <r>
      <rPr>
        <b/>
        <sz val="10"/>
        <color theme="1"/>
        <rFont val="宋体"/>
        <family val="3"/>
        <charset val="134"/>
      </rPr>
      <t>支出金额</t>
    </r>
  </si>
  <si>
    <r>
      <rPr>
        <b/>
        <sz val="10"/>
        <color theme="1"/>
        <rFont val="宋体"/>
        <family val="3"/>
        <charset val="134"/>
      </rPr>
      <t>对方户名</t>
    </r>
  </si>
  <si>
    <r>
      <rPr>
        <b/>
        <sz val="10"/>
        <color theme="1"/>
        <rFont val="宋体"/>
        <family val="3"/>
        <charset val="134"/>
      </rPr>
      <t>对方账号</t>
    </r>
  </si>
  <si>
    <r>
      <rPr>
        <b/>
        <sz val="10"/>
        <color theme="1"/>
        <rFont val="宋体"/>
        <family val="3"/>
        <charset val="134"/>
      </rPr>
      <t>交易背景</t>
    </r>
  </si>
  <si>
    <r>
      <rPr>
        <b/>
        <sz val="10"/>
        <color theme="1"/>
        <rFont val="宋体"/>
        <family val="3"/>
        <charset val="134"/>
      </rPr>
      <t>备注</t>
    </r>
  </si>
  <si>
    <r>
      <rPr>
        <b/>
        <sz val="10"/>
        <rFont val="宋体"/>
        <family val="3"/>
        <charset val="134"/>
      </rPr>
      <t>日期</t>
    </r>
    <phoneticPr fontId="14" type="noConversion"/>
  </si>
  <si>
    <r>
      <rPr>
        <b/>
        <sz val="10"/>
        <rFont val="宋体"/>
        <family val="3"/>
        <charset val="134"/>
      </rPr>
      <t>活期存款</t>
    </r>
    <phoneticPr fontId="14" type="noConversion"/>
  </si>
  <si>
    <r>
      <rPr>
        <b/>
        <sz val="10"/>
        <rFont val="宋体"/>
        <family val="3"/>
        <charset val="134"/>
      </rPr>
      <t>七天通知存款</t>
    </r>
    <phoneticPr fontId="14" type="noConversion"/>
  </si>
  <si>
    <r>
      <rPr>
        <b/>
        <sz val="10"/>
        <rFont val="宋体"/>
        <family val="3"/>
        <charset val="134"/>
      </rPr>
      <t>大额存单</t>
    </r>
    <phoneticPr fontId="14" type="noConversion"/>
  </si>
  <si>
    <r>
      <t>XX</t>
    </r>
    <r>
      <rPr>
        <b/>
        <sz val="10"/>
        <rFont val="宋体"/>
        <family val="3"/>
        <charset val="134"/>
      </rPr>
      <t>银行</t>
    </r>
    <phoneticPr fontId="14" type="noConversion"/>
  </si>
  <si>
    <r>
      <rPr>
        <b/>
        <sz val="10"/>
        <rFont val="宋体"/>
        <family val="3"/>
        <charset val="134"/>
      </rPr>
      <t>利息收入</t>
    </r>
    <phoneticPr fontId="14" type="noConversion"/>
  </si>
  <si>
    <r>
      <rPr>
        <b/>
        <sz val="10"/>
        <rFont val="宋体"/>
        <family val="3"/>
        <charset val="134"/>
      </rPr>
      <t>利息收入合计</t>
    </r>
    <phoneticPr fontId="14" type="noConversion"/>
  </si>
  <si>
    <r>
      <rPr>
        <b/>
        <sz val="10"/>
        <rFont val="宋体"/>
        <family val="3"/>
        <charset val="134"/>
      </rPr>
      <t>年利率</t>
    </r>
    <phoneticPr fontId="14" type="noConversion"/>
  </si>
  <si>
    <r>
      <rPr>
        <b/>
        <sz val="10"/>
        <rFont val="宋体"/>
        <family val="3"/>
        <charset val="134"/>
      </rPr>
      <t>银行账号</t>
    </r>
    <r>
      <rPr>
        <b/>
        <sz val="10"/>
        <rFont val="Arial Narrow"/>
        <family val="2"/>
      </rPr>
      <t>1</t>
    </r>
    <phoneticPr fontId="14" type="noConversion"/>
  </si>
  <si>
    <r>
      <rPr>
        <b/>
        <sz val="10"/>
        <rFont val="宋体"/>
        <family val="3"/>
        <charset val="134"/>
      </rPr>
      <t>年化利率</t>
    </r>
    <phoneticPr fontId="14" type="noConversion"/>
  </si>
  <si>
    <r>
      <rPr>
        <b/>
        <sz val="10"/>
        <rFont val="宋体"/>
        <family val="3"/>
        <charset val="134"/>
      </rPr>
      <t>银行账号</t>
    </r>
    <r>
      <rPr>
        <b/>
        <sz val="10"/>
        <rFont val="Arial Narrow"/>
        <family val="2"/>
      </rPr>
      <t>2</t>
    </r>
    <phoneticPr fontId="14" type="noConversion"/>
  </si>
  <si>
    <r>
      <rPr>
        <b/>
        <sz val="10"/>
        <rFont val="宋体"/>
        <family val="3"/>
        <charset val="134"/>
      </rPr>
      <t>合计</t>
    </r>
    <phoneticPr fontId="14" type="noConversion"/>
  </si>
  <si>
    <r>
      <rPr>
        <sz val="11"/>
        <color theme="1"/>
        <rFont val="宋体"/>
        <family val="3"/>
        <charset val="134"/>
      </rPr>
      <t>金额</t>
    </r>
    <phoneticPr fontId="14" type="noConversion"/>
  </si>
  <si>
    <r>
      <rPr>
        <sz val="11"/>
        <color theme="1"/>
        <rFont val="宋体"/>
        <family val="3"/>
        <charset val="134"/>
      </rPr>
      <t>测算利息收入</t>
    </r>
    <phoneticPr fontId="14" type="noConversion"/>
  </si>
  <si>
    <r>
      <rPr>
        <sz val="11"/>
        <color theme="1"/>
        <rFont val="宋体"/>
        <family val="3"/>
        <charset val="134"/>
      </rPr>
      <t>账面利息收入</t>
    </r>
    <phoneticPr fontId="14" type="noConversion"/>
  </si>
  <si>
    <r>
      <rPr>
        <sz val="11"/>
        <color theme="1"/>
        <rFont val="宋体"/>
        <family val="3"/>
        <charset val="134"/>
      </rPr>
      <t>差异</t>
    </r>
    <phoneticPr fontId="14" type="noConversion"/>
  </si>
  <si>
    <r>
      <rPr>
        <b/>
        <sz val="11"/>
        <color theme="1"/>
        <rFont val="宋体"/>
        <family val="3"/>
        <charset val="134"/>
      </rPr>
      <t>四、审计结论：</t>
    </r>
    <phoneticPr fontId="14" type="noConversion"/>
  </si>
  <si>
    <r>
      <rPr>
        <sz val="10"/>
        <rFont val="宋体"/>
        <family val="3"/>
        <charset val="134"/>
      </rPr>
      <t>页次：</t>
    </r>
  </si>
  <si>
    <r>
      <rPr>
        <b/>
        <sz val="10"/>
        <color theme="1"/>
        <rFont val="宋体"/>
        <family val="3"/>
        <charset val="134"/>
      </rPr>
      <t>（二）公司账户情况分析</t>
    </r>
    <phoneticPr fontId="14" type="noConversion"/>
  </si>
  <si>
    <t>现金交易分析表</t>
    <phoneticPr fontId="7" type="noConversion"/>
  </si>
  <si>
    <r>
      <rPr>
        <sz val="10"/>
        <rFont val="宋体"/>
        <family val="3"/>
        <charset val="134"/>
      </rPr>
      <t>索引号：</t>
    </r>
    <phoneticPr fontId="7" type="noConversion"/>
  </si>
  <si>
    <r>
      <rPr>
        <b/>
        <sz val="10"/>
        <rFont val="宋体"/>
        <family val="3"/>
        <charset val="134"/>
      </rPr>
      <t>（一）现金销售收款、采购付款的总体情况</t>
    </r>
    <phoneticPr fontId="7" type="noConversion"/>
  </si>
  <si>
    <r>
      <rPr>
        <b/>
        <sz val="10"/>
        <rFont val="宋体"/>
        <family val="3"/>
        <charset val="134"/>
      </rPr>
      <t>本期金额</t>
    </r>
    <phoneticPr fontId="14" type="noConversion"/>
  </si>
  <si>
    <r>
      <rPr>
        <b/>
        <sz val="10"/>
        <rFont val="宋体"/>
        <family val="3"/>
        <charset val="134"/>
      </rPr>
      <t>上期金额</t>
    </r>
    <phoneticPr fontId="14" type="noConversion"/>
  </si>
  <si>
    <r>
      <rPr>
        <b/>
        <sz val="10"/>
        <rFont val="宋体"/>
        <family val="3"/>
        <charset val="134"/>
      </rPr>
      <t>本期变动</t>
    </r>
    <phoneticPr fontId="14" type="noConversion"/>
  </si>
  <si>
    <r>
      <rPr>
        <b/>
        <sz val="10"/>
        <rFont val="宋体"/>
        <family val="3"/>
        <charset val="134"/>
      </rPr>
      <t>上期变动</t>
    </r>
    <phoneticPr fontId="14" type="noConversion"/>
  </si>
  <si>
    <r>
      <rPr>
        <b/>
        <sz val="10"/>
        <color rgb="FF000000"/>
        <rFont val="宋体"/>
        <family val="3"/>
        <charset val="134"/>
      </rPr>
      <t>当期含税收入</t>
    </r>
    <phoneticPr fontId="14" type="noConversion"/>
  </si>
  <si>
    <r>
      <rPr>
        <b/>
        <sz val="10"/>
        <color rgb="FF000000"/>
        <rFont val="宋体"/>
        <family val="3"/>
        <charset val="134"/>
      </rPr>
      <t>当期含税支出</t>
    </r>
    <phoneticPr fontId="7" type="noConversion"/>
  </si>
  <si>
    <r>
      <rPr>
        <b/>
        <sz val="10"/>
        <rFont val="宋体"/>
        <family val="3"/>
        <charset val="134"/>
      </rPr>
      <t>（二）现金销售、采购合理性分析</t>
    </r>
    <phoneticPr fontId="7" type="noConversion"/>
  </si>
  <si>
    <r>
      <rPr>
        <b/>
        <sz val="10"/>
        <rFont val="宋体"/>
        <family val="3"/>
        <charset val="134"/>
      </rPr>
      <t>（三）现金销售收款、采购付款的金额分布情况</t>
    </r>
    <phoneticPr fontId="7" type="noConversion"/>
  </si>
  <si>
    <r>
      <rPr>
        <b/>
        <sz val="10"/>
        <rFont val="宋体"/>
        <family val="3"/>
        <charset val="134"/>
      </rPr>
      <t>现金销售收款</t>
    </r>
    <phoneticPr fontId="14" type="noConversion"/>
  </si>
  <si>
    <r>
      <rPr>
        <b/>
        <sz val="10"/>
        <rFont val="宋体"/>
        <family val="3"/>
        <charset val="134"/>
      </rPr>
      <t>现金采购付款</t>
    </r>
    <phoneticPr fontId="14" type="noConversion"/>
  </si>
  <si>
    <r>
      <rPr>
        <b/>
        <sz val="10"/>
        <rFont val="宋体"/>
        <family val="3"/>
        <charset val="134"/>
      </rPr>
      <t>项目</t>
    </r>
    <phoneticPr fontId="14" type="noConversion"/>
  </si>
  <si>
    <r>
      <rPr>
        <sz val="10"/>
        <color theme="1"/>
        <rFont val="宋体"/>
        <family val="3"/>
        <charset val="134"/>
      </rPr>
      <t>现金销售总额</t>
    </r>
    <phoneticPr fontId="14" type="noConversion"/>
  </si>
  <si>
    <r>
      <rPr>
        <sz val="10"/>
        <color theme="1"/>
        <rFont val="宋体"/>
        <family val="3"/>
        <charset val="134"/>
      </rPr>
      <t>现金采购总额</t>
    </r>
    <phoneticPr fontId="14" type="noConversion"/>
  </si>
  <si>
    <r>
      <rPr>
        <sz val="10"/>
        <color theme="1"/>
        <rFont val="宋体"/>
        <family val="3"/>
        <charset val="134"/>
      </rPr>
      <t>现金销售笔数</t>
    </r>
    <phoneticPr fontId="14" type="noConversion"/>
  </si>
  <si>
    <r>
      <rPr>
        <sz val="10"/>
        <color theme="1"/>
        <rFont val="宋体"/>
        <family val="3"/>
        <charset val="134"/>
      </rPr>
      <t>现金采购笔数</t>
    </r>
    <phoneticPr fontId="14" type="noConversion"/>
  </si>
  <si>
    <r>
      <rPr>
        <sz val="10"/>
        <color theme="1"/>
        <rFont val="宋体"/>
        <family val="3"/>
        <charset val="134"/>
      </rPr>
      <t>平均每笔金额</t>
    </r>
    <phoneticPr fontId="14" type="noConversion"/>
  </si>
  <si>
    <r>
      <rPr>
        <sz val="10"/>
        <color theme="1"/>
        <rFont val="宋体"/>
        <family val="3"/>
        <charset val="134"/>
      </rPr>
      <t>其中：</t>
    </r>
    <phoneticPr fontId="14" type="noConversion"/>
  </si>
  <si>
    <r>
      <t>A~B</t>
    </r>
    <r>
      <rPr>
        <sz val="10"/>
        <color theme="1"/>
        <rFont val="宋体"/>
        <family val="3"/>
        <charset val="134"/>
      </rPr>
      <t>万元</t>
    </r>
  </si>
  <si>
    <r>
      <rPr>
        <b/>
        <sz val="10"/>
        <rFont val="宋体"/>
        <family val="3"/>
        <charset val="134"/>
      </rPr>
      <t>（四）现金销售收入、采购付款概要分析表</t>
    </r>
    <phoneticPr fontId="7" type="noConversion"/>
  </si>
  <si>
    <r>
      <rPr>
        <b/>
        <sz val="10"/>
        <rFont val="宋体"/>
        <family val="3"/>
        <charset val="134"/>
      </rPr>
      <t>现金销售收入概要分析表</t>
    </r>
    <phoneticPr fontId="14" type="noConversion"/>
  </si>
  <si>
    <r>
      <rPr>
        <b/>
        <sz val="10"/>
        <rFont val="宋体"/>
        <family val="3"/>
        <charset val="134"/>
      </rPr>
      <t>现金采购付款概要分析表</t>
    </r>
    <phoneticPr fontId="14" type="noConversion"/>
  </si>
  <si>
    <r>
      <rPr>
        <b/>
        <sz val="10"/>
        <rFont val="宋体"/>
        <family val="3"/>
        <charset val="134"/>
      </rPr>
      <t>本期</t>
    </r>
    <phoneticPr fontId="14" type="noConversion"/>
  </si>
  <si>
    <r>
      <rPr>
        <b/>
        <sz val="12"/>
        <color indexed="8"/>
        <rFont val="宋体"/>
        <family val="3"/>
        <charset val="134"/>
      </rPr>
      <t>致同会计师事务所</t>
    </r>
    <phoneticPr fontId="7" type="noConversion"/>
  </si>
  <si>
    <r>
      <rPr>
        <b/>
        <sz val="10"/>
        <rFont val="宋体"/>
        <family val="3"/>
        <charset val="134"/>
      </rPr>
      <t>二、审计目标与认定对应关系</t>
    </r>
    <phoneticPr fontId="7" type="noConversion"/>
  </si>
  <si>
    <r>
      <rPr>
        <b/>
        <sz val="10"/>
        <rFont val="宋体"/>
        <family val="3"/>
        <charset val="134"/>
      </rPr>
      <t>审计目标</t>
    </r>
  </si>
  <si>
    <r>
      <rPr>
        <sz val="10"/>
        <rFont val="宋体"/>
        <family val="3"/>
        <charset val="134"/>
      </rPr>
      <t>存在</t>
    </r>
    <phoneticPr fontId="7" type="noConversion"/>
  </si>
  <si>
    <r>
      <t>B.</t>
    </r>
    <r>
      <rPr>
        <sz val="10"/>
        <rFont val="宋体"/>
        <family val="3"/>
        <charset val="134"/>
      </rPr>
      <t>所有应当记录的货币资金均已记录，所有应当包括在财务报表中的相关披露均已包括</t>
    </r>
    <phoneticPr fontId="7" type="noConversion"/>
  </si>
  <si>
    <r>
      <t>E.</t>
    </r>
    <r>
      <rPr>
        <sz val="10"/>
        <rFont val="宋体"/>
        <family val="3"/>
        <charset val="134"/>
      </rPr>
      <t>货币资金已被恰当地汇总或分解且表述清楚，相关披露在按照企业会计准则的编制基础下是相关的、可理解的</t>
    </r>
    <phoneticPr fontId="7" type="noConversion"/>
  </si>
  <si>
    <t>货币资金</t>
    <phoneticPr fontId="6" type="noConversion"/>
  </si>
  <si>
    <t>序号</t>
    <phoneticPr fontId="14" type="noConversion"/>
  </si>
  <si>
    <t>对应LEAP程序</t>
    <phoneticPr fontId="14" type="noConversion"/>
  </si>
  <si>
    <t>财务报表的认定</t>
    <phoneticPr fontId="14" type="noConversion"/>
  </si>
  <si>
    <t>底稿索引号</t>
    <phoneticPr fontId="14" type="noConversion"/>
  </si>
  <si>
    <t>存在</t>
    <phoneticPr fontId="14" type="noConversion"/>
  </si>
  <si>
    <t>完整性</t>
    <phoneticPr fontId="14" type="noConversion"/>
  </si>
  <si>
    <t>准确性、计价和分摊</t>
    <phoneticPr fontId="14" type="noConversion"/>
  </si>
  <si>
    <t>列报</t>
    <phoneticPr fontId="14" type="noConversion"/>
  </si>
  <si>
    <t>√</t>
    <phoneticPr fontId="7" type="noConversion"/>
  </si>
  <si>
    <t>√</t>
    <phoneticPr fontId="7" type="noConversion"/>
  </si>
  <si>
    <t>现金交易的原因、所在行业常用的结算方式、现金交易比例较高的合理性、是否与其业务性质相匹配？</t>
    <phoneticPr fontId="14" type="noConversion"/>
  </si>
  <si>
    <t>结合客户或供应商走访程序，选取现金结算量较大的交易对方进行实地观察或询问，关注交易对方经营业务的性质、规模与收付款项的性质、规模是否一致。</t>
    <phoneticPr fontId="6" type="noConversion"/>
  </si>
  <si>
    <t>大额现金交易</t>
    <phoneticPr fontId="7" type="noConversion"/>
  </si>
  <si>
    <t>银行存款</t>
    <phoneticPr fontId="7" type="noConversion"/>
  </si>
  <si>
    <t>实施现金截止测试，抽查资产负债表日前后若干天一定金额以上现金收支凭证进行检查，如果跨期收支事项，考虑是否应进行调整。</t>
    <phoneticPr fontId="14"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</si>
  <si>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</si>
  <si>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t>2.</t>
    </r>
    <r>
      <rPr>
        <sz val="10"/>
        <rFont val="宋体"/>
        <family val="3"/>
        <charset val="134"/>
      </rPr>
      <t>所有应当记录的货币资金均已记录，所有应当包括在财务报表中的相关披露均已包括。</t>
    </r>
    <r>
      <rPr>
        <sz val="10"/>
        <rFont val="Arial Narrow"/>
        <family val="2"/>
      </rPr>
      <t xml:space="preserve"> </t>
    </r>
  </si>
  <si>
    <r>
      <rPr>
        <b/>
        <sz val="10"/>
        <rFont val="宋体"/>
        <family val="3"/>
        <charset val="134"/>
      </rPr>
      <t>二、审计过程</t>
    </r>
    <phoneticPr fontId="7" type="noConversion"/>
  </si>
  <si>
    <r>
      <rPr>
        <b/>
        <sz val="10"/>
        <rFont val="宋体"/>
        <family val="3"/>
        <charset val="134"/>
      </rPr>
      <t>测试凭证内容</t>
    </r>
  </si>
  <si>
    <r>
      <rPr>
        <b/>
        <sz val="10"/>
        <rFont val="宋体"/>
        <family val="3"/>
        <charset val="134"/>
      </rPr>
      <t>收付款凭单日期</t>
    </r>
  </si>
  <si>
    <r>
      <rPr>
        <b/>
        <sz val="10"/>
        <rFont val="宋体"/>
        <family val="3"/>
        <charset val="134"/>
      </rPr>
      <t>日期</t>
    </r>
  </si>
  <si>
    <r>
      <rPr>
        <b/>
        <sz val="10"/>
        <rFont val="宋体"/>
        <family val="3"/>
        <charset val="134"/>
      </rPr>
      <t>借方金额</t>
    </r>
  </si>
  <si>
    <r>
      <rPr>
        <b/>
        <sz val="10"/>
        <rFont val="宋体"/>
        <family val="3"/>
        <charset val="134"/>
      </rPr>
      <t>贷方金额</t>
    </r>
  </si>
  <si>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</si>
  <si>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</si>
  <si>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一、测试目标：</t>
    <phoneticPr fontId="6" type="noConversion"/>
  </si>
  <si>
    <r>
      <t>1.</t>
    </r>
    <r>
      <rPr>
        <sz val="10"/>
        <rFont val="宋体"/>
        <family val="3"/>
        <charset val="134"/>
      </rPr>
      <t>资产负债表中记录的货币资金是存在的，且已经记录在恰当的账户中；</t>
    </r>
    <r>
      <rPr>
        <sz val="10"/>
        <rFont val="Arial Narrow"/>
        <family val="2"/>
      </rPr>
      <t>2.</t>
    </r>
    <r>
      <rPr>
        <sz val="10"/>
        <rFont val="宋体"/>
        <family val="3"/>
        <charset val="134"/>
      </rPr>
      <t>记录的货币资金由被审计单位拥有或控制；</t>
    </r>
    <r>
      <rPr>
        <sz val="10"/>
        <rFont val="Arial Narrow"/>
        <family val="2"/>
      </rPr>
      <t/>
    </r>
    <phoneticPr fontId="6" type="noConversion"/>
  </si>
  <si>
    <r>
      <t>3.</t>
    </r>
    <r>
      <rPr>
        <sz val="10"/>
        <rFont val="宋体"/>
        <family val="3"/>
        <charset val="134"/>
      </rPr>
      <t>货币资金以恰当的金额包括在财务报表中，与之相关的计价或分摊调整已恰当记录，相关披露已得到恰当计量和描述</t>
    </r>
    <r>
      <rPr>
        <sz val="10"/>
        <rFont val="Arial Narrow"/>
        <family val="2"/>
      </rPr>
      <t xml:space="preserve"> </t>
    </r>
    <phoneticPr fontId="6" type="noConversion"/>
  </si>
  <si>
    <r>
      <rPr>
        <b/>
        <sz val="10"/>
        <rFont val="宋体"/>
        <family val="3"/>
        <charset val="134"/>
      </rPr>
      <t>二、样本选取标准与规模：</t>
    </r>
    <phoneticPr fontId="61" type="noConversion"/>
  </si>
  <si>
    <t>测试总体：</t>
    <phoneticPr fontId="7" type="noConversion"/>
  </si>
  <si>
    <t>特定样本：</t>
    <phoneticPr fontId="7" type="noConversion"/>
  </si>
  <si>
    <t>XX金额以上（大额）、关联方/关联交易形成的款项、XX异常款项全部测试，共XX笔；</t>
    <phoneticPr fontId="7" type="noConversion"/>
  </si>
  <si>
    <t>抽样总体：</t>
    <phoneticPr fontId="7" type="noConversion"/>
  </si>
  <si>
    <t>测试总体扣除特定样本以外的样本，共XX笔、金额XX</t>
    <phoneticPr fontId="7" type="noConversion"/>
  </si>
  <si>
    <t>确定的抽样样本量：</t>
    <phoneticPr fontId="7" type="noConversion"/>
  </si>
  <si>
    <t>抽取XX笔</t>
    <phoneticPr fontId="7" type="noConversion"/>
  </si>
  <si>
    <t>（如果使用了样本计算器计算样本量，样本量计算过程见&lt;XX&gt;底稿）</t>
    <phoneticPr fontId="7" type="noConversion"/>
  </si>
  <si>
    <t>抽样方法：</t>
    <phoneticPr fontId="7" type="noConversion"/>
  </si>
  <si>
    <t>抽样过程：</t>
    <phoneticPr fontId="7" type="noConversion"/>
  </si>
  <si>
    <t>使用IDEA（XX抽样工具）选择XX数量、金额XX的样本进行测试，抽样工具中的样本选择过程和结果见&lt;XX&gt;底稿</t>
    <phoneticPr fontId="7" type="noConversion"/>
  </si>
  <si>
    <r>
      <rPr>
        <b/>
        <sz val="10"/>
        <rFont val="宋体"/>
        <family val="3"/>
        <charset val="134"/>
      </rPr>
      <t>三、测试：</t>
    </r>
    <phoneticPr fontId="61" type="noConversion"/>
  </si>
  <si>
    <t>1.本期借方金额检查</t>
    <phoneticPr fontId="7" type="noConversion"/>
  </si>
  <si>
    <r>
      <rPr>
        <b/>
        <sz val="10"/>
        <rFont val="宋体"/>
        <family val="3"/>
        <charset val="134"/>
      </rPr>
      <t>所属科目</t>
    </r>
    <phoneticPr fontId="7" type="noConversion"/>
  </si>
  <si>
    <r>
      <rPr>
        <b/>
        <sz val="10"/>
        <rFont val="宋体"/>
        <family val="3"/>
        <charset val="134"/>
      </rPr>
      <t>凭证编号</t>
    </r>
  </si>
  <si>
    <r>
      <rPr>
        <b/>
        <sz val="10"/>
        <rFont val="宋体"/>
        <family val="3"/>
        <charset val="134"/>
      </rPr>
      <t>业务内容</t>
    </r>
    <phoneticPr fontId="7" type="noConversion"/>
  </si>
  <si>
    <r>
      <rPr>
        <b/>
        <sz val="10"/>
        <rFont val="宋体"/>
        <family val="3"/>
        <charset val="134"/>
      </rPr>
      <t>对方科目</t>
    </r>
    <phoneticPr fontId="7" type="noConversion"/>
  </si>
  <si>
    <r>
      <rPr>
        <b/>
        <sz val="10"/>
        <rFont val="宋体"/>
        <family val="3"/>
        <charset val="134"/>
      </rPr>
      <t>对方明细科目</t>
    </r>
    <phoneticPr fontId="7" type="noConversion"/>
  </si>
  <si>
    <r>
      <rPr>
        <b/>
        <sz val="10"/>
        <rFont val="宋体"/>
        <family val="3"/>
        <charset val="134"/>
      </rPr>
      <t>借方金额</t>
    </r>
    <phoneticPr fontId="7" type="noConversion"/>
  </si>
  <si>
    <t>……</t>
    <phoneticPr fontId="7" type="noConversion"/>
  </si>
  <si>
    <r>
      <rPr>
        <b/>
        <sz val="10"/>
        <rFont val="宋体"/>
        <family val="3"/>
        <charset val="134"/>
      </rPr>
      <t>索引号</t>
    </r>
    <phoneticPr fontId="7" type="noConversion"/>
  </si>
  <si>
    <r>
      <rPr>
        <b/>
        <sz val="10"/>
        <rFont val="宋体"/>
        <family val="3"/>
        <charset val="134"/>
      </rPr>
      <t>是否异常</t>
    </r>
    <phoneticPr fontId="7" type="noConversion"/>
  </si>
  <si>
    <r>
      <rPr>
        <b/>
        <sz val="10"/>
        <rFont val="宋体"/>
        <family val="3"/>
        <charset val="134"/>
      </rPr>
      <t>日期</t>
    </r>
    <phoneticPr fontId="7" type="noConversion"/>
  </si>
  <si>
    <r>
      <rPr>
        <b/>
        <sz val="10"/>
        <rFont val="宋体"/>
        <family val="3"/>
        <charset val="134"/>
      </rPr>
      <t>金额</t>
    </r>
    <phoneticPr fontId="7" type="noConversion"/>
  </si>
  <si>
    <r>
      <rPr>
        <b/>
        <sz val="10"/>
        <color rgb="FFFF0000"/>
        <rFont val="宋体"/>
        <family val="3"/>
        <charset val="134"/>
      </rPr>
      <t>日期</t>
    </r>
    <r>
      <rPr>
        <b/>
        <sz val="10"/>
        <color rgb="FFFF0000"/>
        <rFont val="Arial Narrow"/>
        <family val="2"/>
      </rPr>
      <t>/</t>
    </r>
    <r>
      <rPr>
        <b/>
        <sz val="10"/>
        <color rgb="FFFF0000"/>
        <rFont val="宋体"/>
        <family val="3"/>
        <charset val="134"/>
      </rPr>
      <t>编号</t>
    </r>
  </si>
  <si>
    <t>2.本期贷方金额检查</t>
    <phoneticPr fontId="7" type="noConversion"/>
  </si>
  <si>
    <r>
      <rPr>
        <b/>
        <sz val="10"/>
        <rFont val="宋体"/>
        <family val="3"/>
        <charset val="134"/>
      </rPr>
      <t>贷方金额</t>
    </r>
    <phoneticPr fontId="7" type="noConversion"/>
  </si>
  <si>
    <t>……</t>
    <phoneticPr fontId="7" type="noConversion"/>
  </si>
  <si>
    <t>是否经过恰当审批</t>
    <phoneticPr fontId="7" type="noConversion"/>
  </si>
  <si>
    <r>
      <rPr>
        <b/>
        <sz val="10"/>
        <rFont val="宋体"/>
        <family val="3"/>
        <charset val="134"/>
      </rPr>
      <t>四、审计说明：</t>
    </r>
    <phoneticPr fontId="61" type="noConversion"/>
  </si>
  <si>
    <r>
      <rPr>
        <b/>
        <sz val="10"/>
        <rFont val="宋体"/>
        <family val="3"/>
        <charset val="134"/>
      </rPr>
      <t>五、审计结论：</t>
    </r>
    <phoneticPr fontId="7" type="noConversion"/>
  </si>
  <si>
    <t>提示：</t>
    <phoneticPr fontId="6" type="noConversion"/>
  </si>
  <si>
    <t>如现金借方发生额所有凭证共XX笔金额XX、贷方发生额所有凭证共XX笔金额XX</t>
    <phoneticPr fontId="7" type="noConversion"/>
  </si>
  <si>
    <r>
      <rPr>
        <b/>
        <sz val="10"/>
        <color rgb="FFFF0000"/>
        <rFont val="宋体"/>
        <family val="3"/>
        <charset val="134"/>
      </rPr>
      <t>收入测试内容说明：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2.</t>
    </r>
    <r>
      <rPr>
        <sz val="10"/>
        <color rgb="FFFF0000"/>
        <rFont val="宋体"/>
        <family val="3"/>
        <charset val="134"/>
      </rPr>
      <t>收款凭证记录信息与付款人、交款金额是否相符；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r>
      <rPr>
        <sz val="10"/>
        <color rgb="FFFF0000"/>
        <rFont val="宋体"/>
        <family val="3"/>
        <charset val="134"/>
      </rPr>
      <t>付款人是否与合同</t>
    </r>
    <r>
      <rPr>
        <sz val="10"/>
        <color rgb="FFFF0000"/>
        <rFont val="Arial Narrow"/>
        <family val="2"/>
      </rPr>
      <t>/</t>
    </r>
    <r>
      <rPr>
        <sz val="10"/>
        <color rgb="FFFF0000"/>
        <rFont val="宋体"/>
        <family val="3"/>
        <charset val="134"/>
      </rPr>
      <t>订单等核对一致；</t>
    </r>
    <r>
      <rPr>
        <sz val="10"/>
        <color rgb="FFFF0000"/>
        <rFont val="Arial Narrow"/>
        <family val="2"/>
      </rPr>
      <t>6.</t>
    </r>
    <r>
      <rPr>
        <sz val="10"/>
        <color rgb="FFFF0000"/>
        <rFont val="宋体"/>
        <family val="3"/>
        <charset val="134"/>
      </rPr>
      <t>……</t>
    </r>
    <phoneticPr fontId="7" type="noConversion"/>
  </si>
  <si>
    <t>日期</t>
  </si>
  <si>
    <t>日期</t>
    <phoneticPr fontId="7" type="noConversion"/>
  </si>
  <si>
    <t>客户名称</t>
    <phoneticPr fontId="7" type="noConversion"/>
  </si>
  <si>
    <t>结算方式</t>
    <phoneticPr fontId="7" type="noConversion"/>
  </si>
  <si>
    <t>付款人（需签字）</t>
    <phoneticPr fontId="7" type="noConversion"/>
  </si>
  <si>
    <t>收据/收款单</t>
    <phoneticPr fontId="7" type="noConversion"/>
  </si>
  <si>
    <t>签收/验收单</t>
    <phoneticPr fontId="6" type="noConversion"/>
  </si>
  <si>
    <t>签/验收人（需签字）</t>
    <phoneticPr fontId="7" type="noConversion"/>
  </si>
  <si>
    <t>付款审批单</t>
    <phoneticPr fontId="7" type="noConversion"/>
  </si>
  <si>
    <t>收款人</t>
    <phoneticPr fontId="7" type="noConversion"/>
  </si>
  <si>
    <t>支付方式</t>
    <phoneticPr fontId="7" type="noConversion"/>
  </si>
  <si>
    <r>
      <rPr>
        <b/>
        <sz val="10"/>
        <rFont val="宋体"/>
        <family val="3"/>
        <charset val="134"/>
      </rPr>
      <t>日期</t>
    </r>
    <r>
      <rPr>
        <b/>
        <sz val="10"/>
        <rFont val="Arial Narrow"/>
        <family val="2"/>
      </rPr>
      <t>/</t>
    </r>
    <r>
      <rPr>
        <b/>
        <sz val="10"/>
        <rFont val="宋体"/>
        <family val="3"/>
        <charset val="134"/>
      </rPr>
      <t>编号</t>
    </r>
    <phoneticPr fontId="7" type="noConversion"/>
  </si>
  <si>
    <t>销售合同/协议/订单</t>
    <phoneticPr fontId="7" type="noConversion"/>
  </si>
  <si>
    <t>合同金额</t>
    <phoneticPr fontId="7" type="noConversion"/>
  </si>
  <si>
    <t>供应商名称</t>
    <phoneticPr fontId="7" type="noConversion"/>
  </si>
  <si>
    <t>入库单/验收单</t>
    <phoneticPr fontId="6" type="noConversion"/>
  </si>
  <si>
    <t>……</t>
    <phoneticPr fontId="6" type="noConversion"/>
  </si>
  <si>
    <t>日期/编号</t>
  </si>
  <si>
    <r>
      <rPr>
        <b/>
        <sz val="10"/>
        <color rgb="FFFF0000"/>
        <rFont val="宋体"/>
        <family val="3"/>
        <charset val="134"/>
      </rPr>
      <t>支出测试内容说明：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2.</t>
    </r>
    <r>
      <rPr>
        <sz val="10"/>
        <color rgb="FFFF0000"/>
        <rFont val="宋体"/>
        <family val="3"/>
        <charset val="134"/>
      </rPr>
      <t>付款凭证记录信息与收款人、支付方式是否相符；</t>
    </r>
    <r>
      <rPr>
        <sz val="10"/>
        <color rgb="FFFF0000"/>
        <rFont val="Arial Narrow"/>
        <family val="2"/>
      </rPr>
      <t>3.</t>
    </r>
    <r>
      <rPr>
        <sz val="10"/>
        <color rgb="FFFF0000"/>
        <rFont val="宋体"/>
        <family val="3"/>
        <charset val="134"/>
      </rPr>
      <t>付款的授权审批手续是否齐全、签章完整；</t>
    </r>
    <r>
      <rPr>
        <sz val="10"/>
        <color rgb="FFFF0000"/>
        <rFont val="Arial Narrow"/>
        <family val="2"/>
      </rPr>
      <t>4.</t>
    </r>
    <r>
      <rPr>
        <sz val="10"/>
        <color rgb="FFFF0000"/>
        <rFont val="宋体"/>
        <family val="3"/>
        <charset val="134"/>
      </rPr>
      <t>原始凭证具有合法的发票或依据；</t>
    </r>
    <r>
      <rPr>
        <sz val="10"/>
        <color rgb="FFFF0000"/>
        <rFont val="Arial Narrow"/>
        <family val="2"/>
      </rPr>
      <t>5.</t>
    </r>
    <r>
      <rPr>
        <sz val="10"/>
        <color rgb="FFFF0000"/>
        <rFont val="宋体"/>
        <family val="3"/>
        <charset val="134"/>
      </rPr>
      <t>原始凭证的内容与付款凭证业务内容是否一致；</t>
    </r>
    <r>
      <rPr>
        <sz val="10"/>
        <color rgb="FFFF0000"/>
        <rFont val="Arial Narrow"/>
        <family val="2"/>
      </rPr>
      <t>6.</t>
    </r>
    <r>
      <rPr>
        <sz val="10"/>
        <color rgb="FFFF0000"/>
        <rFont val="宋体"/>
        <family val="3"/>
        <charset val="134"/>
      </rPr>
      <t>账务处理是否正确；</t>
    </r>
    <r>
      <rPr>
        <sz val="10"/>
        <color rgb="FFFF0000"/>
        <rFont val="Arial Narrow"/>
        <family val="2"/>
      </rPr>
      <t>7.</t>
    </r>
    <r>
      <rPr>
        <sz val="10"/>
        <color rgb="FFFF0000"/>
        <rFont val="宋体"/>
        <family val="3"/>
        <charset val="134"/>
      </rPr>
      <t>是否记录于恰当的会计期间；</t>
    </r>
    <r>
      <rPr>
        <sz val="10"/>
        <color rgb="FFFF0000"/>
        <rFont val="Arial Narrow"/>
        <family val="2"/>
      </rPr>
      <t>8.</t>
    </r>
    <r>
      <rPr>
        <sz val="10"/>
        <color rgb="FFFF0000"/>
        <rFont val="宋体"/>
        <family val="3"/>
        <charset val="134"/>
      </rPr>
      <t>……</t>
    </r>
    <phoneticPr fontId="7" type="noConversion"/>
  </si>
  <si>
    <r>
      <rPr>
        <sz val="10"/>
        <rFont val="宋体"/>
        <family val="3"/>
        <charset val="134"/>
      </rPr>
      <t>√</t>
    </r>
    <phoneticPr fontId="14" type="noConversion"/>
  </si>
  <si>
    <t>√</t>
    <phoneticPr fontId="7" type="noConversion"/>
  </si>
  <si>
    <t>√</t>
    <phoneticPr fontId="7" type="noConversion"/>
  </si>
  <si>
    <t>√</t>
    <phoneticPr fontId="7" type="noConversion"/>
  </si>
  <si>
    <t>√</t>
    <phoneticPr fontId="7" type="noConversion"/>
  </si>
  <si>
    <t>库存现金收支检查表</t>
    <phoneticPr fontId="7" type="noConversion"/>
  </si>
  <si>
    <r>
      <rPr>
        <b/>
        <sz val="10"/>
        <rFont val="宋体"/>
        <family val="3"/>
        <charset val="134"/>
      </rPr>
      <t>一、审计目标</t>
    </r>
    <phoneticPr fontId="7" type="noConversion"/>
  </si>
  <si>
    <r>
      <t>1.</t>
    </r>
    <r>
      <rPr>
        <sz val="10"/>
        <rFont val="宋体"/>
        <family val="3"/>
        <charset val="134"/>
      </rPr>
      <t>资产负债表中记录的货币资金是存在的，且已记录于恰当的账户；</t>
    </r>
    <phoneticPr fontId="6" type="noConversion"/>
  </si>
  <si>
    <t>提示：如果存在跨期舞弊风险或者所检查样本中发现有跨期的，应扩大测试期间和样本，甚至可以考虑将截止测试期间延长至审计报告日。同时考虑是否存在内控缺陷。</t>
  </si>
  <si>
    <t>其他原始凭单日期</t>
    <phoneticPr fontId="6" type="noConversion"/>
  </si>
  <si>
    <r>
      <rPr>
        <b/>
        <sz val="10"/>
        <rFont val="宋体"/>
        <family val="3"/>
        <charset val="134"/>
      </rPr>
      <t>是否跨期</t>
    </r>
    <phoneticPr fontId="6" type="noConversion"/>
  </si>
  <si>
    <t>凭证编号</t>
  </si>
  <si>
    <t>业务内容</t>
  </si>
  <si>
    <r>
      <rPr>
        <b/>
        <sz val="10"/>
        <rFont val="宋体"/>
        <family val="3"/>
        <charset val="134"/>
      </rPr>
      <t>三、审计说明：</t>
    </r>
    <phoneticPr fontId="7" type="noConversion"/>
  </si>
  <si>
    <r>
      <rPr>
        <b/>
        <sz val="10"/>
        <rFont val="宋体"/>
        <family val="3"/>
        <charset val="134"/>
      </rPr>
      <t>四、审计结论：</t>
    </r>
    <phoneticPr fontId="7" type="noConversion"/>
  </si>
  <si>
    <t>库存现金截止测试</t>
    <phoneticPr fontId="7" type="noConversion"/>
  </si>
  <si>
    <r>
      <rPr>
        <sz val="10"/>
        <rFont val="宋体"/>
        <family val="3"/>
        <charset val="134"/>
      </rPr>
      <t>从现金日记账中抽取资产负债表日前（</t>
    </r>
    <r>
      <rPr>
        <u/>
        <sz val="10"/>
        <rFont val="Arial Narrow"/>
        <family val="2"/>
      </rPr>
      <t xml:space="preserve">    </t>
    </r>
    <r>
      <rPr>
        <sz val="10"/>
        <rFont val="宋体"/>
        <family val="3"/>
        <charset val="134"/>
      </rPr>
      <t>）天、后（</t>
    </r>
    <r>
      <rPr>
        <u/>
        <sz val="10"/>
        <rFont val="Arial Narrow"/>
        <family val="2"/>
      </rPr>
      <t xml:space="preserve">    </t>
    </r>
    <r>
      <rPr>
        <sz val="10"/>
        <rFont val="宋体"/>
        <family val="3"/>
        <charset val="134"/>
      </rPr>
      <t>）天，且金额大于</t>
    </r>
    <r>
      <rPr>
        <sz val="10"/>
        <rFont val="Arial Narrow"/>
        <family val="2"/>
      </rPr>
      <t xml:space="preserve"> </t>
    </r>
    <r>
      <rPr>
        <u/>
        <sz val="10"/>
        <rFont val="Arial Narrow"/>
        <family val="2"/>
      </rPr>
      <t xml:space="preserve">        </t>
    </r>
    <r>
      <rPr>
        <sz val="10"/>
        <rFont val="宋体"/>
        <family val="3"/>
        <charset val="134"/>
      </rPr>
      <t>元的记账凭证，与收付款凭单以及其他原始凭单核对</t>
    </r>
    <phoneticPr fontId="7" type="noConversion"/>
  </si>
  <si>
    <t xml:space="preserve">应对措施-实质性/非实质性分析程序 </t>
  </si>
  <si>
    <t xml:space="preserve">应对措施-函证 </t>
  </si>
  <si>
    <t>应对措施-检查</t>
  </si>
  <si>
    <t>应对措施-检查（选择“执行延申检查”）</t>
  </si>
  <si>
    <t>1.如涉及现金销售，检查销售合同、发货凭证、收款单证等原始凭证是否完整、一致，核对付款方和付款金额与合同、订单、出库单是否一致，以确定款项确实由客户支付；</t>
    <phoneticPr fontId="6" type="noConversion"/>
  </si>
  <si>
    <t>2.如涉及现金采购，检查采购合同、入库单、采购发票、付款单证等原始凭证是否完整、一致，核对收款方和收款金额与合同、订单、入库单是否一致，以确定款项确实向供应商支付；</t>
    <phoneticPr fontId="6" type="noConversion"/>
  </si>
  <si>
    <t>3.现金交易应根据行业特点注重外部证据的检查，例如：对于农业行业，针对农产品管理特点，可以获取质检报告、检验检疫合格证、采伐资质、由税务局代开发票的资料副本等外部信息，验证其交易真实性</t>
    <phoneticPr fontId="6" type="noConversion"/>
  </si>
  <si>
    <t>4.检查被审计单位现金退回记录，了解退回原因，分析其合理性；与退货记录、发票、运输等相关原始单据进行核对，确定相关会计处理是否恰当。</t>
    <phoneticPr fontId="6" type="noConversion"/>
  </si>
  <si>
    <t>在企业人员陪同下到人民银行或基本存款账户开户行查询并打印《已开立银行结算账户清单》，观察银行办事人员的查询、打印过程，并检查被审计单位账面记录的银行人民币结算账户是否完整</t>
    <phoneticPr fontId="14" type="noConversion"/>
  </si>
  <si>
    <t>……</t>
    <phoneticPr fontId="14" type="noConversion"/>
  </si>
  <si>
    <r>
      <rPr>
        <b/>
        <sz val="10"/>
        <color theme="1"/>
        <rFont val="宋体"/>
        <family val="3"/>
        <charset val="134"/>
      </rPr>
      <t>项目</t>
    </r>
    <phoneticPr fontId="14" type="noConversion"/>
  </si>
  <si>
    <r>
      <t>2025</t>
    </r>
    <r>
      <rPr>
        <b/>
        <sz val="10"/>
        <color rgb="FFFF0000"/>
        <rFont val="宋体"/>
        <family val="3"/>
        <charset val="134"/>
      </rPr>
      <t>年</t>
    </r>
    <phoneticPr fontId="14" type="noConversion"/>
  </si>
  <si>
    <r>
      <t>2023</t>
    </r>
    <r>
      <rPr>
        <b/>
        <sz val="10"/>
        <color rgb="FFFF0000"/>
        <rFont val="宋体"/>
        <family val="3"/>
        <charset val="134"/>
      </rPr>
      <t>年</t>
    </r>
    <phoneticPr fontId="14" type="noConversion"/>
  </si>
  <si>
    <t>与企业信息核对一致</t>
    <phoneticPr fontId="14" type="noConversion"/>
  </si>
  <si>
    <t>销户原因</t>
    <phoneticPr fontId="14" type="noConversion"/>
  </si>
  <si>
    <t>开户原因</t>
    <phoneticPr fontId="14" type="noConversion"/>
  </si>
  <si>
    <t>账户开户地是否有经济业务</t>
    <phoneticPr fontId="14" type="noConversion"/>
  </si>
  <si>
    <t>无经济业务地开户数量</t>
    <phoneticPr fontId="14" type="noConversion"/>
  </si>
  <si>
    <t>是否与业务规模匹配</t>
    <phoneticPr fontId="14" type="noConversion"/>
  </si>
  <si>
    <t>是否频繁开户</t>
    <phoneticPr fontId="14" type="noConversion"/>
  </si>
  <si>
    <t>是否频繁销户</t>
    <phoneticPr fontId="14" type="noConversion"/>
  </si>
  <si>
    <t>提示：</t>
    <phoneticPr fontId="14" type="noConversion"/>
  </si>
  <si>
    <t>1.应询问办理货币资金业务的相关人员（如出纳），了解银行账户的开立、使用、注销等情况。</t>
    <phoneticPr fontId="14" type="noConversion"/>
  </si>
  <si>
    <t xml:space="preserve">2.结合企业信用报告，核对开户信息。                             </t>
    <phoneticPr fontId="14" type="noConversion"/>
  </si>
  <si>
    <t>3.如果对被审计单位外币银行账户的完整性存有疑虑，可以查阅被审计单位的公章使用登记，检查其中是否有使用公章申请开户的情况，如有，检查该账户是否已列入被审计单位提供的银行账户清单中。或者向负责保管网银密钥（UKey）的人员获取被审计单位开通网银的账户清单，实地观察该人员登录被审计单位网银系统，打印相关银行开立的所有银行账户清单，并与被审计单位管理层提供的信息进行比较，以检查其完整性如可行，注册会计师可以考虑与被审计单位人员一同前往被审计单位所在地人民银行外汇管理局，现场查询被审计单位的外币银行账户情况。</t>
    <phoneticPr fontId="14" type="noConversion"/>
  </si>
  <si>
    <t>4.对银行账户开立数量与企业实际的业务规模不匹配、在没有经营业务的地区开立银行账户、企业资金存放于管理层或员工个人账户等异常情形应重点关注是否存在舞弊</t>
    <phoneticPr fontId="14" type="noConversion"/>
  </si>
  <si>
    <t>（1）被审计单位以各种理由不配合注册会计师实施银行函证、不配合注册会计师至人民银行或基本户开户行打印《已开立银行结算账户清单》；</t>
    <phoneticPr fontId="14" type="noConversion"/>
  </si>
  <si>
    <t>（2）银行账户开立数量与企业实际的业务规模不匹配，或存在多个零余额账户且长期不注销；</t>
    <phoneticPr fontId="14" type="noConversion"/>
  </si>
  <si>
    <t>（3）在没有经营业务的地区开立银行账户，或将高额资金存放其经营和注册地之外的异地；</t>
    <phoneticPr fontId="14" type="noConversion"/>
  </si>
  <si>
    <t>（6）违反货币资金存放和使用规定，如上市公司募集资金违规用于质押、未经批准开立账户转移募集资金、未经许可将募集资金转作其他用途等；</t>
    <phoneticPr fontId="14" type="noConversion"/>
  </si>
  <si>
    <r>
      <rPr>
        <sz val="11"/>
        <color rgb="FF0000FF"/>
        <rFont val="宋体"/>
        <family val="3"/>
        <charset val="134"/>
      </rPr>
      <t>（</t>
    </r>
    <r>
      <rPr>
        <sz val="11"/>
        <color rgb="FF0000FF"/>
        <rFont val="Arial Narrow"/>
        <family val="2"/>
      </rPr>
      <t>4</t>
    </r>
    <r>
      <rPr>
        <sz val="11"/>
        <color rgb="FF0000FF"/>
        <rFont val="宋体"/>
        <family val="3"/>
        <charset val="134"/>
      </rPr>
      <t>）上市公司大额资金进行集中存放或异地</t>
    </r>
    <r>
      <rPr>
        <sz val="11"/>
        <color rgb="FF0000FF"/>
        <rFont val="Arial Narrow"/>
        <family val="2"/>
      </rPr>
      <t xml:space="preserve"> </t>
    </r>
    <r>
      <rPr>
        <sz val="11"/>
        <color rgb="FF0000FF"/>
        <rFont val="宋体"/>
        <family val="3"/>
        <charset val="134"/>
      </rPr>
      <t>存放、频繁开立和注销银行账户、突然注销当期交易较为活跃的银行账户等异常情形；</t>
    </r>
    <phoneticPr fontId="14" type="noConversion"/>
  </si>
  <si>
    <r>
      <rPr>
        <sz val="11"/>
        <color rgb="FF0000FF"/>
        <rFont val="宋体"/>
        <family val="3"/>
        <charset val="134"/>
      </rPr>
      <t>（</t>
    </r>
    <r>
      <rPr>
        <sz val="11"/>
        <color rgb="FF0000FF"/>
        <rFont val="Arial Narrow"/>
        <family val="2"/>
      </rPr>
      <t>5</t>
    </r>
    <r>
      <rPr>
        <sz val="11"/>
        <color rgb="FF0000FF"/>
        <rFont val="宋体"/>
        <family val="3"/>
        <charset val="134"/>
      </rPr>
      <t>）企业资金存放于管理层或员工个人账户，或与个人账户资金交易频繁且单笔金额较大；</t>
    </r>
    <phoneticPr fontId="14" type="noConversion"/>
  </si>
  <si>
    <r>
      <t>5.</t>
    </r>
    <r>
      <rPr>
        <b/>
        <sz val="11"/>
        <color rgb="FF0000FF"/>
        <rFont val="宋体"/>
        <family val="3"/>
        <charset val="134"/>
      </rPr>
      <t>关注银行账户以下异常情形：</t>
    </r>
    <phoneticPr fontId="14" type="noConversion"/>
  </si>
  <si>
    <t>（7）与实际控制人、银行（或财务公司）签订集团现金管理账户协议。</t>
    <phoneticPr fontId="14" type="noConversion"/>
  </si>
  <si>
    <t>测算银行存款当期累计日利息与利息收入是否匹配：
取得活期银行存款每日余额，按活期银行存款日利率测算每日利息；取得定期存款明细，按定期存款利率、存款期限测算每日利息；将测算的当期利息收入与账面利息收入核对是否一致。</t>
    <phoneticPr fontId="7" type="noConversion"/>
  </si>
  <si>
    <t>√</t>
    <phoneticPr fontId="7" type="noConversion"/>
  </si>
  <si>
    <t>√</t>
    <phoneticPr fontId="7" type="noConversion"/>
  </si>
  <si>
    <t>银行流水双向核对表</t>
    <phoneticPr fontId="7" type="noConversion"/>
  </si>
  <si>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</si>
  <si>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</si>
  <si>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r>
      <rPr>
        <b/>
        <sz val="10"/>
        <rFont val="宋体"/>
        <family val="3"/>
        <charset val="134"/>
      </rPr>
      <t>一、审计目标：</t>
    </r>
    <phoneticPr fontId="7" type="noConversion"/>
  </si>
  <si>
    <r>
      <rPr>
        <b/>
        <sz val="10"/>
        <rFont val="宋体"/>
        <family val="3"/>
        <charset val="134"/>
      </rPr>
      <t>二、审计过程：</t>
    </r>
    <phoneticPr fontId="7" type="noConversion"/>
  </si>
  <si>
    <r>
      <rPr>
        <b/>
        <sz val="10"/>
        <color theme="1"/>
        <rFont val="宋体"/>
        <family val="3"/>
        <charset val="134"/>
      </rPr>
      <t>月</t>
    </r>
    <phoneticPr fontId="6" type="noConversion"/>
  </si>
  <si>
    <r>
      <rPr>
        <b/>
        <sz val="10"/>
        <color theme="1"/>
        <rFont val="宋体"/>
        <family val="3"/>
        <charset val="134"/>
      </rPr>
      <t>余额</t>
    </r>
    <phoneticPr fontId="6" type="noConversion"/>
  </si>
  <si>
    <r>
      <rPr>
        <b/>
        <sz val="10"/>
        <color theme="1"/>
        <rFont val="宋体"/>
        <family val="3"/>
        <charset val="134"/>
      </rPr>
      <t>收入</t>
    </r>
    <phoneticPr fontId="6" type="noConversion"/>
  </si>
  <si>
    <r>
      <rPr>
        <b/>
        <sz val="10"/>
        <color theme="1"/>
        <rFont val="宋体"/>
        <family val="3"/>
        <charset val="134"/>
      </rPr>
      <t>支出</t>
    </r>
    <phoneticPr fontId="6" type="noConversion"/>
  </si>
  <si>
    <r>
      <rPr>
        <b/>
        <sz val="10"/>
        <color theme="1"/>
        <rFont val="宋体"/>
        <family val="3"/>
        <charset val="134"/>
      </rPr>
      <t>余额</t>
    </r>
    <phoneticPr fontId="6" type="noConversion"/>
  </si>
  <si>
    <r>
      <rPr>
        <b/>
        <sz val="10"/>
        <color theme="1"/>
        <rFont val="宋体"/>
        <family val="3"/>
        <charset val="134"/>
      </rPr>
      <t>差额</t>
    </r>
    <phoneticPr fontId="6" type="noConversion"/>
  </si>
  <si>
    <r>
      <rPr>
        <b/>
        <sz val="10"/>
        <color theme="1"/>
        <rFont val="宋体"/>
        <family val="3"/>
        <charset val="134"/>
      </rPr>
      <t>差异率</t>
    </r>
    <phoneticPr fontId="6" type="noConversion"/>
  </si>
  <si>
    <r>
      <rPr>
        <b/>
        <sz val="10"/>
        <color theme="1"/>
        <rFont val="宋体"/>
        <family val="3"/>
        <charset val="134"/>
      </rPr>
      <t>差额</t>
    </r>
    <phoneticPr fontId="6" type="noConversion"/>
  </si>
  <si>
    <r>
      <rPr>
        <b/>
        <sz val="10"/>
        <color theme="1"/>
        <rFont val="宋体"/>
        <family val="3"/>
        <charset val="134"/>
      </rPr>
      <t>差异率</t>
    </r>
    <phoneticPr fontId="6" type="noConversion"/>
  </si>
  <si>
    <r>
      <rPr>
        <b/>
        <sz val="10"/>
        <rFont val="宋体"/>
        <family val="3"/>
        <charset val="134"/>
      </rPr>
      <t>记账凭证</t>
    </r>
    <phoneticPr fontId="14" type="noConversion"/>
  </si>
  <si>
    <r>
      <rPr>
        <b/>
        <sz val="10"/>
        <color theme="1"/>
        <rFont val="宋体"/>
        <family val="3"/>
        <charset val="134"/>
      </rPr>
      <t>银行对账单</t>
    </r>
    <phoneticPr fontId="14" type="noConversion"/>
  </si>
  <si>
    <r>
      <rPr>
        <b/>
        <sz val="10"/>
        <rFont val="宋体"/>
        <family val="3"/>
        <charset val="134"/>
      </rPr>
      <t>信息是否核对一致</t>
    </r>
    <phoneticPr fontId="14" type="noConversion"/>
  </si>
  <si>
    <r>
      <rPr>
        <b/>
        <sz val="10"/>
        <rFont val="宋体"/>
        <family val="3"/>
        <charset val="134"/>
      </rPr>
      <t>核查结论</t>
    </r>
    <phoneticPr fontId="14" type="noConversion"/>
  </si>
  <si>
    <r>
      <rPr>
        <b/>
        <sz val="10"/>
        <color theme="1"/>
        <rFont val="宋体"/>
        <family val="3"/>
        <charset val="134"/>
      </rPr>
      <t>日期</t>
    </r>
    <phoneticPr fontId="14" type="noConversion"/>
  </si>
  <si>
    <r>
      <rPr>
        <b/>
        <sz val="10"/>
        <color theme="1"/>
        <rFont val="宋体"/>
        <family val="3"/>
        <charset val="134"/>
      </rPr>
      <t>凭证号</t>
    </r>
  </si>
  <si>
    <r>
      <rPr>
        <b/>
        <sz val="10"/>
        <color theme="1"/>
        <rFont val="宋体"/>
        <family val="3"/>
        <charset val="134"/>
      </rPr>
      <t>对方科目</t>
    </r>
  </si>
  <si>
    <r>
      <rPr>
        <b/>
        <sz val="10"/>
        <color theme="1"/>
        <rFont val="宋体"/>
        <family val="3"/>
        <charset val="134"/>
      </rPr>
      <t>往来单位</t>
    </r>
    <phoneticPr fontId="14" type="noConversion"/>
  </si>
  <si>
    <r>
      <rPr>
        <b/>
        <sz val="10"/>
        <color theme="1"/>
        <rFont val="宋体"/>
        <family val="3"/>
        <charset val="134"/>
      </rPr>
      <t>借方金额</t>
    </r>
  </si>
  <si>
    <r>
      <rPr>
        <b/>
        <sz val="10"/>
        <color theme="1"/>
        <rFont val="宋体"/>
        <family val="3"/>
        <charset val="134"/>
      </rPr>
      <t>贷方金额</t>
    </r>
  </si>
  <si>
    <r>
      <rPr>
        <b/>
        <sz val="10"/>
        <color theme="1"/>
        <rFont val="宋体"/>
        <family val="3"/>
        <charset val="134"/>
      </rPr>
      <t>收款</t>
    </r>
    <r>
      <rPr>
        <b/>
        <sz val="10"/>
        <color theme="1"/>
        <rFont val="Arial Narrow"/>
        <family val="2"/>
      </rPr>
      <t>/</t>
    </r>
    <r>
      <rPr>
        <b/>
        <sz val="10"/>
        <color theme="1"/>
        <rFont val="宋体"/>
        <family val="3"/>
        <charset val="134"/>
      </rPr>
      <t>付款日期</t>
    </r>
  </si>
  <si>
    <r>
      <rPr>
        <b/>
        <sz val="10"/>
        <color theme="1"/>
        <rFont val="宋体"/>
        <family val="3"/>
        <charset val="134"/>
      </rPr>
      <t>收款方</t>
    </r>
    <r>
      <rPr>
        <b/>
        <sz val="10"/>
        <color theme="1"/>
        <rFont val="Arial Narrow"/>
        <family val="2"/>
      </rPr>
      <t>/</t>
    </r>
    <r>
      <rPr>
        <b/>
        <sz val="10"/>
        <color theme="1"/>
        <rFont val="宋体"/>
        <family val="3"/>
        <charset val="134"/>
      </rPr>
      <t>付款方</t>
    </r>
  </si>
  <si>
    <r>
      <rPr>
        <b/>
        <sz val="10"/>
        <color theme="1"/>
        <rFont val="宋体"/>
        <family val="3"/>
        <charset val="134"/>
      </rPr>
      <t>收入</t>
    </r>
    <r>
      <rPr>
        <b/>
        <sz val="10"/>
        <color theme="1"/>
        <rFont val="Arial Narrow"/>
        <family val="2"/>
      </rPr>
      <t>/</t>
    </r>
    <r>
      <rPr>
        <b/>
        <sz val="10"/>
        <color theme="1"/>
        <rFont val="宋体"/>
        <family val="3"/>
        <charset val="134"/>
      </rPr>
      <t>支付金额</t>
    </r>
    <phoneticPr fontId="14" type="noConversion"/>
  </si>
  <si>
    <r>
      <rPr>
        <b/>
        <sz val="10"/>
        <rFont val="宋体"/>
        <family val="3"/>
        <charset val="134"/>
      </rPr>
      <t>记账凭证</t>
    </r>
    <phoneticPr fontId="14" type="noConversion"/>
  </si>
  <si>
    <r>
      <rPr>
        <b/>
        <sz val="10"/>
        <rFont val="宋体"/>
        <family val="3"/>
        <charset val="134"/>
      </rPr>
      <t>核查结论</t>
    </r>
    <phoneticPr fontId="14" type="noConversion"/>
  </si>
  <si>
    <r>
      <rPr>
        <b/>
        <sz val="10"/>
        <color theme="1"/>
        <rFont val="宋体"/>
        <family val="3"/>
        <charset val="134"/>
      </rPr>
      <t>收入</t>
    </r>
    <r>
      <rPr>
        <b/>
        <sz val="10"/>
        <color theme="1"/>
        <rFont val="Arial Narrow"/>
        <family val="2"/>
      </rPr>
      <t>/</t>
    </r>
    <r>
      <rPr>
        <b/>
        <sz val="10"/>
        <color theme="1"/>
        <rFont val="宋体"/>
        <family val="3"/>
        <charset val="134"/>
      </rPr>
      <t>支付金额</t>
    </r>
    <phoneticPr fontId="14" type="noConversion"/>
  </si>
  <si>
    <r>
      <rPr>
        <b/>
        <sz val="10"/>
        <color theme="1"/>
        <rFont val="宋体"/>
        <family val="3"/>
        <charset val="134"/>
      </rPr>
      <t>往来单位</t>
    </r>
    <phoneticPr fontId="14" type="noConversion"/>
  </si>
  <si>
    <r>
      <rPr>
        <b/>
        <sz val="10"/>
        <rFont val="宋体"/>
        <family val="3"/>
        <charset val="134"/>
      </rPr>
      <t>三、审计说明：</t>
    </r>
    <phoneticPr fontId="7" type="noConversion"/>
  </si>
  <si>
    <r>
      <rPr>
        <b/>
        <sz val="10"/>
        <rFont val="宋体"/>
        <family val="3"/>
        <charset val="134"/>
      </rPr>
      <t>四、审计结论：</t>
    </r>
    <phoneticPr fontId="7" type="noConversion"/>
  </si>
  <si>
    <t>提示：</t>
    <phoneticPr fontId="6" type="noConversion"/>
  </si>
  <si>
    <t>（1）公司资金管理相关内部控制制度是否存在较大缺陷;</t>
    <phoneticPr fontId="6" type="noConversion"/>
  </si>
  <si>
    <t>（2）是否存在银行账户不受公司控制或未在公司财务核算中全面反映的情况,是否存在公司银行开户数量等与业务需要不符的情况;</t>
    <phoneticPr fontId="6" type="noConversion"/>
  </si>
  <si>
    <t>（3）公司大额资金往来是否存在重大异常,是否与公司经营活动、资产购置、对外投资等不相匹配;</t>
    <phoneticPr fontId="6" type="noConversion"/>
  </si>
  <si>
    <t>（4）公司与控股股东、实际控制人、董事、监事、高管、关键岗位人员等是否存在异常大额资金往来;</t>
    <phoneticPr fontId="6" type="noConversion"/>
  </si>
  <si>
    <t>（5）公司是否存在大额或频繁取现的情形,是否无合理解释;公司同一账户或不同账户之间,是否存在金额、日期相近的异常大额资金进出的情形,是否无合理解释;</t>
    <phoneticPr fontId="6" type="noConversion"/>
  </si>
  <si>
    <t>（6）公司是否存在大额购买无实物形态资产或服务（如商标、专利技术、咨询服务等）的情形,如存在,相关交易的商业合理性是否存在疑问;</t>
    <phoneticPr fontId="6" type="noConversion"/>
  </si>
  <si>
    <t>（7）公司实际控制人个人账户大额资金往来较多且无合理解释,或者频繁出现大额存现、取现情形;</t>
    <phoneticPr fontId="6" type="noConversion"/>
  </si>
  <si>
    <t>（8）控股股东、实际控制人、董事、监事、高管、关键岗位人员是否从公司获得大额现金分红款、薪酬或资产转让款,转让公司股权获得大额股权转让款,主要资金流向或用途存在重大异常;</t>
    <phoneticPr fontId="6" type="noConversion"/>
  </si>
  <si>
    <t>（9）控股股东、实际控制人、董事、监事、高管、关键岗位人员与公司关联方、客户、供应商是否存在异常大额资金往来;</t>
    <phoneticPr fontId="6" type="noConversion"/>
  </si>
  <si>
    <t>（10）是否存在关联方代公司收取客户款项或支付供应商款项的情形。</t>
  </si>
  <si>
    <t>（1）公司备用金、对外付款等资金管理存在重大不规范情形;</t>
    <phoneticPr fontId="6" type="noConversion"/>
  </si>
  <si>
    <t>（2）公司毛利率、期间费用率、销售净利率等指标各期存在较大异常变化,或者与同行业公司存在重大不一致;</t>
    <phoneticPr fontId="6" type="noConversion"/>
  </si>
  <si>
    <t>（3）公司经销模式占比较高或大幅高于同行业公司,且经销毛利率存在较大异常;</t>
    <phoneticPr fontId="6" type="noConversion"/>
  </si>
  <si>
    <t>（4）公司将部分生产环节委托其他方进行加工的,且委托加工费用大幅变动,或者单位成本、毛利率大幅异于同行业;</t>
    <phoneticPr fontId="6" type="noConversion"/>
  </si>
  <si>
    <t>（5）公司采购总额中进口占比较高或者销售总额中出口占比较高,且对应的采购单价、销售单价、境外供应商或客户资质存在较大异常;</t>
    <phoneticPr fontId="6" type="noConversion"/>
  </si>
  <si>
    <t>（6）公司重大购销交易、对外投资或大额收付款,在商业合理性方面存在疑问;</t>
    <phoneticPr fontId="6" type="noConversion"/>
  </si>
  <si>
    <t>（7）董事、监事、高管、关键岗位人员薪酬水平发生重大变化;</t>
    <phoneticPr fontId="6" type="noConversion"/>
  </si>
  <si>
    <t>（8）其他异常情况。</t>
  </si>
  <si>
    <t>了解现金交易对方的情况，是否为关联方，结合销售或采购交易询证函，向主要的现金交易对方函证被审计期间内发生的交易金额。</t>
    <phoneticPr fontId="6" type="noConversion"/>
  </si>
  <si>
    <t>提示：</t>
    <phoneticPr fontId="14" type="noConversion"/>
  </si>
  <si>
    <r>
      <t>2.</t>
    </r>
    <r>
      <rPr>
        <sz val="10"/>
        <color rgb="FF0000FF"/>
        <rFont val="宋体"/>
        <family val="3"/>
        <charset val="134"/>
      </rPr>
      <t>在业务流程层面内控控制底稿中完成了解与现金交易相关的内部控制、并测试其有效性；</t>
    </r>
    <r>
      <rPr>
        <sz val="10"/>
        <color rgb="FF0000FF"/>
        <rFont val="Arial Narrow"/>
        <family val="2"/>
      </rPr>
      <t xml:space="preserve"> </t>
    </r>
    <phoneticPr fontId="14" type="noConversion"/>
  </si>
  <si>
    <r>
      <t>1.</t>
    </r>
    <r>
      <rPr>
        <sz val="10"/>
        <color rgb="FF0000FF"/>
        <rFont val="宋体"/>
        <family val="3"/>
        <charset val="134"/>
      </rPr>
      <t>结合相关收入确认及成本核算的原则与依据，是否存在体外循环或虚构业务情形；</t>
    </r>
    <r>
      <rPr>
        <sz val="12"/>
        <rFont val="Arial Narrow"/>
        <family val="2"/>
      </rPr>
      <t/>
    </r>
    <phoneticPr fontId="14" type="noConversion"/>
  </si>
  <si>
    <r>
      <t>3.</t>
    </r>
    <r>
      <rPr>
        <sz val="10"/>
        <color rgb="FF0000FF"/>
        <rFont val="宋体"/>
        <family val="3"/>
        <charset val="134"/>
      </rPr>
      <t>关注公司实际控制人及发行人董监高等关联方是否与客户或供应商存在资金往来</t>
    </r>
    <phoneticPr fontId="14" type="noConversion"/>
  </si>
  <si>
    <t>抽取样本检查大额现金收支交易，关注大额现金使用范围是否符合《现金管理暂行条例》的规定；检查现金销售和采购的原始凭证是否齐全，记账凭证与原始凭证是否记录一致，签字的付款方和收款方是否与合同/订单、验收单等一致，注重与其他外部证据核对是否一致；关注是否存在现金退回交易。</t>
    <phoneticPr fontId="7" type="noConversion"/>
  </si>
  <si>
    <t>亲自从被审计单位的主要/可疑的开户银行获得带有交易对手名称的详式银行对账单（银行流水电子版或打印版），并执行双向核对测试，检查交易对手、金额、业务内容、印章等是否一致：
（1）从银行日记账借贷方发生额中选取大额/异常记录，追查至银行对账单（流水）及相关支持性文件；
（2）从银行对账单（流水）中选取大额/异常流入、流出记录，追查至账面记录及支持性文件；</t>
    <phoneticPr fontId="7" type="noConversion"/>
  </si>
  <si>
    <t>对获取银行对账单的过程的说明：</t>
    <phoneticPr fontId="14" type="noConversion"/>
  </si>
  <si>
    <r>
      <t>1</t>
    </r>
    <r>
      <rPr>
        <sz val="10"/>
        <color rgb="FFFF0000"/>
        <rFont val="宋体"/>
        <family val="3"/>
        <charset val="134"/>
      </rPr>
      <t>、如果亲自到银行打印银行流水，应对纸质银行流水保持全过程控制，并记录：</t>
    </r>
    <r>
      <rPr>
        <sz val="10"/>
        <color rgb="FFFF0000"/>
        <rFont val="Arial Narrow"/>
        <family val="2"/>
      </rPr>
      <t>202X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日，审计人员</t>
    </r>
    <r>
      <rPr>
        <sz val="10"/>
        <color rgb="FFFF0000"/>
        <rFont val="Arial Narrow"/>
        <family val="2"/>
      </rPr>
      <t>XX</t>
    </r>
    <r>
      <rPr>
        <sz val="10"/>
        <color rgb="FFFF0000"/>
        <rFont val="宋体"/>
        <family val="3"/>
        <charset val="134"/>
      </rPr>
      <t>在被审计单位</t>
    </r>
    <r>
      <rPr>
        <sz val="10"/>
        <color rgb="FFFF0000"/>
        <rFont val="Arial Narrow"/>
        <family val="2"/>
      </rPr>
      <t>XX</t>
    </r>
    <r>
      <rPr>
        <sz val="10"/>
        <color rgb="FFFF0000"/>
        <rFont val="宋体"/>
        <family val="3"/>
        <charset val="134"/>
      </rPr>
      <t>的陪同下前往</t>
    </r>
    <r>
      <rPr>
        <sz val="10"/>
        <color rgb="FFFF0000"/>
        <rFont val="Arial Narrow"/>
        <family val="2"/>
      </rPr>
      <t>XX</t>
    </r>
    <r>
      <rPr>
        <sz val="10"/>
        <color rgb="FFFF0000"/>
        <rFont val="宋体"/>
        <family val="3"/>
        <charset val="134"/>
      </rPr>
      <t>银行，打印银行对账单后直接交给审计人员</t>
    </r>
    <r>
      <rPr>
        <sz val="10"/>
        <color rgb="FFFF0000"/>
        <rFont val="Arial Narrow"/>
        <family val="2"/>
      </rPr>
      <t>XX</t>
    </r>
    <r>
      <rPr>
        <sz val="10"/>
        <color rgb="FFFF0000"/>
        <rFont val="宋体"/>
        <family val="3"/>
        <charset val="134"/>
      </rPr>
      <t>。</t>
    </r>
    <phoneticPr fontId="6" type="noConversion"/>
  </si>
  <si>
    <r>
      <t>2</t>
    </r>
    <r>
      <rPr>
        <sz val="10"/>
        <color rgb="FFFF0000"/>
        <rFont val="宋体"/>
        <family val="3"/>
        <charset val="134"/>
      </rPr>
      <t>、如果从获取的从网银中下载的电子版银行流水，应观察下载银行流水的全过程，防止被修改，并记录：</t>
    </r>
    <r>
      <rPr>
        <sz val="10"/>
        <color rgb="FFFF0000"/>
        <rFont val="Arial Narrow"/>
        <family val="2"/>
      </rPr>
      <t>202X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color rgb="FFFF0000"/>
        <rFont val="Arial Narrow"/>
        <family val="2"/>
      </rPr>
      <t xml:space="preserve"> XX</t>
    </r>
    <r>
      <rPr>
        <sz val="10"/>
        <color rgb="FFFF0000"/>
        <rFont val="宋体"/>
        <family val="3"/>
        <charset val="134"/>
      </rPr>
      <t>点</t>
    </r>
    <r>
      <rPr>
        <sz val="10"/>
        <color rgb="FFFF0000"/>
        <rFont val="Arial Narrow"/>
        <family val="2"/>
      </rPr>
      <t>XX</t>
    </r>
    <r>
      <rPr>
        <sz val="10"/>
        <color rgb="FFFF0000"/>
        <rFont val="宋体"/>
        <family val="3"/>
        <charset val="134"/>
      </rPr>
      <t>分，审计人员</t>
    </r>
    <r>
      <rPr>
        <sz val="10"/>
        <color rgb="FFFF0000"/>
        <rFont val="Arial Narrow"/>
        <family val="2"/>
      </rPr>
      <t>XX</t>
    </r>
    <r>
      <rPr>
        <sz val="10"/>
        <color rgb="FFFF0000"/>
        <rFont val="宋体"/>
        <family val="3"/>
        <charset val="134"/>
      </rPr>
      <t>亲自现场观察被审计单位出纳</t>
    </r>
    <r>
      <rPr>
        <sz val="10"/>
        <color rgb="FFFF0000"/>
        <rFont val="Arial Narrow"/>
        <family val="2"/>
      </rPr>
      <t>XX</t>
    </r>
    <r>
      <rPr>
        <sz val="10"/>
        <color rgb="FFFF0000"/>
        <rFont val="宋体"/>
        <family val="3"/>
        <charset val="134"/>
      </rPr>
      <t>登录</t>
    </r>
    <r>
      <rPr>
        <sz val="10"/>
        <color rgb="FFFF0000"/>
        <rFont val="Arial Narrow"/>
        <family val="2"/>
      </rPr>
      <t>XX</t>
    </r>
    <r>
      <rPr>
        <sz val="10"/>
        <color rgb="FFFF0000"/>
        <rFont val="宋体"/>
        <family val="3"/>
        <charset val="134"/>
      </rPr>
      <t>银行</t>
    </r>
    <r>
      <rPr>
        <sz val="10"/>
        <color rgb="FFFF0000"/>
        <rFont val="Arial Narrow"/>
        <family val="2"/>
      </rPr>
      <t>XX</t>
    </r>
    <r>
      <rPr>
        <sz val="10"/>
        <color rgb="FFFF0000"/>
        <rFont val="宋体"/>
        <family val="3"/>
        <charset val="134"/>
      </rPr>
      <t>账户并操作网银系统下载信息的过程，已观察网银中显示和下载的信息与提供给注册会计师对账单中信息一致，出纳</t>
    </r>
    <r>
      <rPr>
        <sz val="10"/>
        <color rgb="FFFF0000"/>
        <rFont val="Arial Narrow"/>
        <family val="2"/>
      </rPr>
      <t>XX</t>
    </r>
    <r>
      <rPr>
        <sz val="10"/>
        <color rgb="FFFF0000"/>
        <rFont val="宋体"/>
        <family val="3"/>
        <charset val="134"/>
      </rPr>
      <t>下载银行对账单后现场直接以邮件方式发送给审计人员</t>
    </r>
    <r>
      <rPr>
        <sz val="10"/>
        <color rgb="FFFF0000"/>
        <rFont val="Arial Narrow"/>
        <family val="2"/>
      </rPr>
      <t>XX</t>
    </r>
    <r>
      <rPr>
        <sz val="10"/>
        <color rgb="FFFF0000"/>
        <rFont val="宋体"/>
        <family val="3"/>
        <charset val="134"/>
      </rPr>
      <t>。</t>
    </r>
    <phoneticPr fontId="6" type="noConversion"/>
  </si>
  <si>
    <t>开户银行：</t>
    <phoneticPr fontId="14" type="noConversion"/>
  </si>
  <si>
    <t>账号：</t>
    <phoneticPr fontId="6" type="noConversion"/>
  </si>
  <si>
    <r>
      <t>3</t>
    </r>
    <r>
      <rPr>
        <sz val="10"/>
        <color theme="1"/>
        <rFont val="宋体"/>
        <family val="3"/>
        <charset val="134"/>
      </rPr>
      <t>月</t>
    </r>
  </si>
  <si>
    <r>
      <t>4</t>
    </r>
    <r>
      <rPr>
        <sz val="10"/>
        <color theme="1"/>
        <rFont val="宋体"/>
        <family val="3"/>
        <charset val="134"/>
      </rPr>
      <t>月</t>
    </r>
  </si>
  <si>
    <r>
      <t>5</t>
    </r>
    <r>
      <rPr>
        <sz val="10"/>
        <color theme="1"/>
        <rFont val="宋体"/>
        <family val="3"/>
        <charset val="134"/>
      </rPr>
      <t>月</t>
    </r>
  </si>
  <si>
    <r>
      <t>6</t>
    </r>
    <r>
      <rPr>
        <sz val="10"/>
        <color theme="1"/>
        <rFont val="宋体"/>
        <family val="3"/>
        <charset val="134"/>
      </rPr>
      <t>月</t>
    </r>
  </si>
  <si>
    <r>
      <t>7</t>
    </r>
    <r>
      <rPr>
        <sz val="10"/>
        <color theme="1"/>
        <rFont val="宋体"/>
        <family val="3"/>
        <charset val="134"/>
      </rPr>
      <t>月</t>
    </r>
  </si>
  <si>
    <r>
      <t>8</t>
    </r>
    <r>
      <rPr>
        <sz val="10"/>
        <color theme="1"/>
        <rFont val="宋体"/>
        <family val="3"/>
        <charset val="134"/>
      </rPr>
      <t>月</t>
    </r>
  </si>
  <si>
    <r>
      <t>9</t>
    </r>
    <r>
      <rPr>
        <sz val="10"/>
        <color theme="1"/>
        <rFont val="宋体"/>
        <family val="3"/>
        <charset val="134"/>
      </rPr>
      <t>月</t>
    </r>
  </si>
  <si>
    <r>
      <t>10</t>
    </r>
    <r>
      <rPr>
        <sz val="10"/>
        <color theme="1"/>
        <rFont val="宋体"/>
        <family val="3"/>
        <charset val="134"/>
      </rPr>
      <t>月</t>
    </r>
  </si>
  <si>
    <r>
      <t>11</t>
    </r>
    <r>
      <rPr>
        <sz val="10"/>
        <color theme="1"/>
        <rFont val="宋体"/>
        <family val="3"/>
        <charset val="134"/>
      </rPr>
      <t>月</t>
    </r>
  </si>
  <si>
    <r>
      <t>12</t>
    </r>
    <r>
      <rPr>
        <sz val="10"/>
        <color theme="1"/>
        <rFont val="宋体"/>
        <family val="3"/>
        <charset val="134"/>
      </rPr>
      <t>月</t>
    </r>
  </si>
  <si>
    <r>
      <t>1</t>
    </r>
    <r>
      <rPr>
        <sz val="10"/>
        <color theme="1"/>
        <rFont val="宋体"/>
        <family val="3"/>
        <charset val="134"/>
      </rPr>
      <t>月</t>
    </r>
    <phoneticPr fontId="6" type="noConversion"/>
  </si>
  <si>
    <r>
      <t>2</t>
    </r>
    <r>
      <rPr>
        <sz val="10"/>
        <color theme="1"/>
        <rFont val="宋体"/>
        <family val="3"/>
        <charset val="134"/>
      </rPr>
      <t>月</t>
    </r>
    <phoneticPr fontId="6" type="noConversion"/>
  </si>
  <si>
    <t>银行对账单/流水</t>
    <phoneticPr fontId="6" type="noConversion"/>
  </si>
  <si>
    <t>借方发生额</t>
    <phoneticPr fontId="6" type="noConversion"/>
  </si>
  <si>
    <t>借方发生额</t>
    <phoneticPr fontId="6" type="noConversion"/>
  </si>
  <si>
    <t>贷方发生额</t>
    <phoneticPr fontId="6" type="noConversion"/>
  </si>
  <si>
    <t>贷方发生额</t>
    <phoneticPr fontId="6" type="noConversion"/>
  </si>
  <si>
    <t>摘要/附言</t>
  </si>
  <si>
    <t>摘要/附言</t>
    <phoneticPr fontId="6" type="noConversion"/>
  </si>
  <si>
    <t>不一致原因</t>
    <phoneticPr fontId="14" type="noConversion"/>
  </si>
  <si>
    <r>
      <rPr>
        <b/>
        <sz val="10"/>
        <rFont val="宋体"/>
        <family val="3"/>
        <charset val="134"/>
      </rPr>
      <t>大额的检查标准：大于</t>
    </r>
    <r>
      <rPr>
        <b/>
        <sz val="10"/>
        <rFont val="Arial Narrow"/>
        <family val="2"/>
      </rPr>
      <t>______</t>
    </r>
    <r>
      <rPr>
        <b/>
        <sz val="10"/>
        <rFont val="宋体"/>
        <family val="3"/>
        <charset val="134"/>
      </rPr>
      <t>元</t>
    </r>
    <phoneticPr fontId="14" type="noConversion"/>
  </si>
  <si>
    <t>（一）检查的银行对账单/流水发生额、余额与银行日记账核对</t>
    <phoneticPr fontId="14" type="noConversion"/>
  </si>
  <si>
    <t>银行日记账</t>
    <phoneticPr fontId="6" type="noConversion"/>
  </si>
  <si>
    <t>合计</t>
    <phoneticPr fontId="6" type="noConversion"/>
  </si>
  <si>
    <t>（三）从银行流水/对账单检查至银行存款日记账</t>
    <phoneticPr fontId="14" type="noConversion"/>
  </si>
  <si>
    <t>业务内容</t>
    <phoneticPr fontId="6" type="noConversion"/>
  </si>
  <si>
    <r>
      <rPr>
        <b/>
        <sz val="10"/>
        <rFont val="宋体"/>
        <family val="3"/>
        <charset val="134"/>
      </rPr>
      <t>（二）从银行日记账记录检查至银行</t>
    </r>
    <r>
      <rPr>
        <b/>
        <sz val="10"/>
        <rFont val="等线"/>
        <family val="3"/>
        <charset val="134"/>
      </rPr>
      <t>流水/</t>
    </r>
    <r>
      <rPr>
        <b/>
        <sz val="10"/>
        <rFont val="宋体"/>
        <family val="3"/>
        <charset val="134"/>
      </rPr>
      <t>对账单</t>
    </r>
    <phoneticPr fontId="14" type="noConversion"/>
  </si>
  <si>
    <t>双向交易</t>
    <phoneticPr fontId="6" type="noConversion"/>
  </si>
  <si>
    <t>……</t>
    <phoneticPr fontId="6" type="noConversion"/>
  </si>
  <si>
    <r>
      <rPr>
        <sz val="10"/>
        <color rgb="FFFF0000"/>
        <rFont val="宋体"/>
        <family val="3"/>
        <charset val="134"/>
      </rPr>
      <t>关联交易</t>
    </r>
    <r>
      <rPr>
        <sz val="10"/>
        <color theme="1"/>
        <rFont val="Arial Narrow"/>
        <family val="2"/>
      </rPr>
      <t/>
    </r>
    <phoneticPr fontId="6" type="noConversion"/>
  </si>
  <si>
    <r>
      <rPr>
        <sz val="10"/>
        <color rgb="FFFF0000"/>
        <rFont val="宋体"/>
        <family val="3"/>
        <charset val="134"/>
      </rPr>
      <t>大额</t>
    </r>
    <r>
      <rPr>
        <sz val="10"/>
        <color rgb="FFFF0000"/>
        <rFont val="Arial Narrow"/>
        <family val="2"/>
      </rPr>
      <t/>
    </r>
    <phoneticPr fontId="6" type="noConversion"/>
  </si>
  <si>
    <r>
      <rPr>
        <sz val="10"/>
        <color indexed="12"/>
        <rFont val="Arial Narrow"/>
        <family val="2"/>
      </rPr>
      <t>2.</t>
    </r>
    <r>
      <rPr>
        <sz val="10"/>
        <color indexed="12"/>
        <rFont val="宋体"/>
        <family val="3"/>
        <charset val="134"/>
      </rPr>
      <t>在被审计单位应用的网银是常见的商业银行开发、运用</t>
    </r>
    <r>
      <rPr>
        <sz val="10"/>
        <color indexed="12"/>
        <rFont val="Arial Narrow"/>
        <family val="2"/>
      </rPr>
      <t>U</t>
    </r>
    <r>
      <rPr>
        <sz val="10"/>
        <color indexed="12"/>
        <rFont val="宋体"/>
        <family val="3"/>
        <charset val="134"/>
      </rPr>
      <t>盾等方式的通用网银系统情况下，如果项目组采用从网银导出电子对账单，以此为基础执行数据分析等程序。建议通过如下方式进行核对：</t>
    </r>
    <phoneticPr fontId="6" type="noConversion"/>
  </si>
  <si>
    <r>
      <rPr>
        <sz val="10"/>
        <color indexed="12"/>
        <rFont val="宋体"/>
        <family val="2"/>
        <charset val="134"/>
      </rPr>
      <t>（</t>
    </r>
    <r>
      <rPr>
        <sz val="10"/>
        <color indexed="12"/>
        <rFont val="Arial Narrow"/>
        <family val="2"/>
      </rPr>
      <t>1</t>
    </r>
    <r>
      <rPr>
        <sz val="10"/>
        <color indexed="12"/>
        <rFont val="宋体"/>
        <family val="2"/>
        <charset val="134"/>
      </rPr>
      <t>）</t>
    </r>
    <r>
      <rPr>
        <sz val="10"/>
        <color rgb="FF0000FF"/>
        <rFont val="宋体"/>
        <family val="2"/>
        <charset val="134"/>
      </rPr>
      <t>于审计外勤现场，由项目组成员实地观察出纳从网银账户导出网银流水，并现场直接拷贝。</t>
    </r>
    <phoneticPr fontId="6" type="noConversion"/>
  </si>
  <si>
    <r>
      <rPr>
        <sz val="10"/>
        <color indexed="12"/>
        <rFont val="宋体"/>
        <family val="3"/>
        <charset val="134"/>
      </rPr>
      <t>（</t>
    </r>
    <r>
      <rPr>
        <sz val="10"/>
        <color indexed="12"/>
        <rFont val="Arial Narrow"/>
        <family val="2"/>
      </rPr>
      <t>2</t>
    </r>
    <r>
      <rPr>
        <sz val="10"/>
        <color indexed="12"/>
        <rFont val="宋体"/>
        <family val="3"/>
        <charset val="134"/>
      </rPr>
      <t>）在取得网银流水转换为</t>
    </r>
    <r>
      <rPr>
        <sz val="10"/>
        <color indexed="12"/>
        <rFont val="Arial Narrow"/>
        <family val="2"/>
      </rPr>
      <t>excel</t>
    </r>
    <r>
      <rPr>
        <sz val="10"/>
        <color indexed="12"/>
        <rFont val="宋体"/>
        <family val="3"/>
        <charset val="134"/>
      </rPr>
      <t>电子数据后，应立即核对电子数据与网银信息的一致性：</t>
    </r>
    <phoneticPr fontId="6" type="noConversion"/>
  </si>
  <si>
    <t xml:space="preserve">    ①按照自然排序核对第一条、最后一条记录，以及发生额、余额；</t>
    <phoneticPr fontId="6" type="noConversion"/>
  </si>
  <si>
    <r>
      <rPr>
        <sz val="10"/>
        <color indexed="12"/>
        <rFont val="Arial Narrow"/>
        <family val="2"/>
      </rPr>
      <t xml:space="preserve">         </t>
    </r>
    <r>
      <rPr>
        <sz val="10"/>
        <color indexed="12"/>
        <rFont val="宋体"/>
        <family val="3"/>
        <charset val="134"/>
      </rPr>
      <t>②随机选取若干（例如</t>
    </r>
    <r>
      <rPr>
        <sz val="10"/>
        <color indexed="12"/>
        <rFont val="Arial Narrow"/>
        <family val="2"/>
      </rPr>
      <t>5</t>
    </r>
    <r>
      <rPr>
        <sz val="10"/>
        <color indexed="12"/>
        <rFont val="宋体"/>
        <family val="3"/>
        <charset val="134"/>
      </rPr>
      <t>条）中间的记录，核对是否一致；</t>
    </r>
    <phoneticPr fontId="6" type="noConversion"/>
  </si>
  <si>
    <t xml:space="preserve">    ③将核对的网银截屏保存，就核对结果形成底稿记录。（记录内容包括核对时间、执行人、被审计单位人员、核对记录的选取方法、核对结果等。）</t>
    <phoneticPr fontId="6" type="noConversion"/>
  </si>
  <si>
    <r>
      <rPr>
        <sz val="10"/>
        <color indexed="12"/>
        <rFont val="宋体"/>
        <family val="3"/>
        <charset val="134"/>
      </rPr>
      <t>（</t>
    </r>
    <r>
      <rPr>
        <sz val="10"/>
        <color indexed="12"/>
        <rFont val="Arial Narrow"/>
        <family val="2"/>
      </rPr>
      <t>3</t>
    </r>
    <r>
      <rPr>
        <sz val="10"/>
        <color indexed="12"/>
        <rFont val="宋体"/>
        <family val="3"/>
        <charset val="134"/>
      </rPr>
      <t>）将网银的发生额、期初余额和期末余额与银行账户日记账进行核对，以确保所有交易全部记账。</t>
    </r>
    <phoneticPr fontId="6" type="noConversion"/>
  </si>
  <si>
    <t>检查原因</t>
    <phoneticPr fontId="14" type="noConversion"/>
  </si>
  <si>
    <r>
      <t>3.</t>
    </r>
    <r>
      <rPr>
        <sz val="10"/>
        <color indexed="12"/>
        <rFont val="宋体"/>
        <family val="3"/>
        <charset val="134"/>
      </rPr>
      <t>如果各个银行开放的数据时限不一致，有的是最近</t>
    </r>
    <r>
      <rPr>
        <sz val="10"/>
        <color indexed="12"/>
        <rFont val="Arial Narrow"/>
        <family val="2"/>
      </rPr>
      <t>1</t>
    </r>
    <r>
      <rPr>
        <sz val="10"/>
        <color indexed="12"/>
        <rFont val="宋体"/>
        <family val="3"/>
        <charset val="134"/>
      </rPr>
      <t>年、有的是最近</t>
    </r>
    <r>
      <rPr>
        <sz val="10"/>
        <color indexed="12"/>
        <rFont val="Arial Narrow"/>
        <family val="2"/>
      </rPr>
      <t>6</t>
    </r>
    <r>
      <rPr>
        <sz val="10"/>
        <color indexed="12"/>
        <rFont val="宋体"/>
        <family val="3"/>
        <charset val="134"/>
      </rPr>
      <t>个月、有的是最近</t>
    </r>
    <r>
      <rPr>
        <sz val="10"/>
        <color indexed="12"/>
        <rFont val="Arial Narrow"/>
        <family val="2"/>
      </rPr>
      <t>3</t>
    </r>
    <r>
      <rPr>
        <sz val="10"/>
        <color indexed="12"/>
        <rFont val="宋体"/>
        <family val="3"/>
        <charset val="134"/>
      </rPr>
      <t>个月，对于网银无法取数的部分，还是需要从银行获取对账单，并参照上述（</t>
    </r>
    <r>
      <rPr>
        <sz val="10"/>
        <color indexed="12"/>
        <rFont val="Arial Narrow"/>
        <family val="2"/>
      </rPr>
      <t>3</t>
    </r>
    <r>
      <rPr>
        <sz val="10"/>
        <color indexed="12"/>
        <rFont val="宋体"/>
        <family val="3"/>
        <charset val="134"/>
      </rPr>
      <t>）执行核对程序。</t>
    </r>
    <phoneticPr fontId="6" type="noConversion"/>
  </si>
  <si>
    <t>4.如果审计业务风险较高（例如IPO申报、存在舞弊迹象等）将上述方法取得的电子版网银与银行柜台（或ATM）打印的银行对账单执行核对，检查发生额、期初余额和期末余额是否一致。检查的范围根据重要性水平、舞弊风险高低，由注册会计师判断确定。</t>
    <phoneticPr fontId="6" type="noConversion"/>
  </si>
  <si>
    <t>5.如果被审计单位使用的网银系统是订制化的，例如嵌入到企业的财务系统，与外部银行的系统数据自动接口（常见于大型互联网平台、财务公司等专业金融机构），则使用网银数据作为PBC的前提是必须执行ITGC和ITAC测试。</t>
    <phoneticPr fontId="6" type="noConversion"/>
  </si>
  <si>
    <t>7.根据《监管规则适用指引-发行类第5号》,会计师在资金流水核查中，公司在报告期内存在以下情形的,应考虑是否需要扩大资金流水核查范围:</t>
    <phoneticPr fontId="6" type="noConversion"/>
  </si>
  <si>
    <r>
      <t>8.</t>
    </r>
    <r>
      <rPr>
        <sz val="10"/>
        <color indexed="12"/>
        <rFont val="宋体"/>
        <family val="3"/>
        <charset val="134"/>
      </rPr>
      <t>评估公司所处经营环境、行业类型、业务流程、规范运作水平、主要财务数据水平及变动趋势等因素</t>
    </r>
    <r>
      <rPr>
        <sz val="10"/>
        <color indexed="12"/>
        <rFont val="Arial Narrow"/>
        <family val="2"/>
      </rPr>
      <t>,</t>
    </r>
    <r>
      <rPr>
        <sz val="10"/>
        <color indexed="12"/>
        <rFont val="宋体"/>
        <family val="3"/>
        <charset val="134"/>
      </rPr>
      <t>确定公司相关资金流水核查的具体程序和异常标准</t>
    </r>
    <r>
      <rPr>
        <sz val="10"/>
        <color indexed="12"/>
        <rFont val="Arial Narrow"/>
        <family val="2"/>
      </rPr>
      <t>,</t>
    </r>
    <r>
      <rPr>
        <sz val="10"/>
        <color indexed="12"/>
        <rFont val="宋体"/>
        <family val="3"/>
        <charset val="134"/>
      </rPr>
      <t>以合理保证公司财务报表不存在重大错报风险。公司及其控股股东、实际控制人、董事、监事、高管等相关人员应按照诚实信用原则</t>
    </r>
    <r>
      <rPr>
        <sz val="10"/>
        <color indexed="12"/>
        <rFont val="Arial Narrow"/>
        <family val="2"/>
      </rPr>
      <t>,</t>
    </r>
    <r>
      <rPr>
        <sz val="10"/>
        <color indexed="12"/>
        <rFont val="宋体"/>
        <family val="3"/>
        <charset val="134"/>
      </rPr>
      <t>向中介机构提供完整的银行账户信息</t>
    </r>
    <r>
      <rPr>
        <sz val="10"/>
        <color indexed="12"/>
        <rFont val="Arial Narrow"/>
        <family val="2"/>
      </rPr>
      <t>,</t>
    </r>
    <r>
      <rPr>
        <sz val="10"/>
        <color indexed="12"/>
        <rFont val="宋体"/>
        <family val="3"/>
        <charset val="134"/>
      </rPr>
      <t>配合中介机构核查资金流水。中介机构应勤勉尽责</t>
    </r>
    <r>
      <rPr>
        <sz val="10"/>
        <color indexed="12"/>
        <rFont val="Arial Narrow"/>
        <family val="2"/>
      </rPr>
      <t>,</t>
    </r>
    <r>
      <rPr>
        <sz val="10"/>
        <color indexed="12"/>
        <rFont val="宋体"/>
        <family val="3"/>
        <charset val="134"/>
      </rPr>
      <t>采用可靠手段获取核查资料</t>
    </r>
    <r>
      <rPr>
        <sz val="10"/>
        <color indexed="12"/>
        <rFont val="Arial Narrow"/>
        <family val="2"/>
      </rPr>
      <t>,</t>
    </r>
    <r>
      <rPr>
        <sz val="10"/>
        <color indexed="12"/>
        <rFont val="宋体"/>
        <family val="3"/>
        <charset val="134"/>
      </rPr>
      <t>在确定核查范围、实施核查程序方面保持应有的职业谨慎。在符合银行账户查询相关法律法规的前提下</t>
    </r>
    <r>
      <rPr>
        <sz val="10"/>
        <color indexed="12"/>
        <rFont val="Arial Narrow"/>
        <family val="2"/>
      </rPr>
      <t>,</t>
    </r>
    <r>
      <rPr>
        <sz val="10"/>
        <color indexed="12"/>
        <rFont val="宋体"/>
        <family val="3"/>
        <charset val="134"/>
      </rPr>
      <t>资金流水核查范围除公司银行账户资金流水以外</t>
    </r>
    <r>
      <rPr>
        <sz val="10"/>
        <color indexed="12"/>
        <rFont val="Arial Narrow"/>
        <family val="2"/>
      </rPr>
      <t>,</t>
    </r>
    <r>
      <rPr>
        <sz val="10"/>
        <color indexed="12"/>
        <rFont val="宋体"/>
        <family val="3"/>
        <charset val="134"/>
      </rPr>
      <t>结合公司实际情况</t>
    </r>
    <r>
      <rPr>
        <sz val="10"/>
        <color indexed="12"/>
        <rFont val="Arial Narrow"/>
        <family val="2"/>
      </rPr>
      <t>,</t>
    </r>
    <r>
      <rPr>
        <sz val="10"/>
        <color indexed="12"/>
        <rFont val="宋体"/>
        <family val="3"/>
        <charset val="134"/>
      </rPr>
      <t>还可能包括控股股东、实际控制人、公司主要关联方、董事、监事、高管、关键岗位人员等开立或控制的银行账户资金流水</t>
    </r>
    <r>
      <rPr>
        <sz val="10"/>
        <color indexed="12"/>
        <rFont val="Arial Narrow"/>
        <family val="2"/>
      </rPr>
      <t>,</t>
    </r>
    <r>
      <rPr>
        <sz val="10"/>
        <color indexed="12"/>
        <rFont val="宋体"/>
        <family val="3"/>
        <charset val="134"/>
      </rPr>
      <t>以及与上述银行账户发生异常往来的公司关联方及员工开立或控制的银行账户资金流水。</t>
    </r>
    <phoneticPr fontId="6" type="noConversion"/>
  </si>
  <si>
    <r>
      <t>6.</t>
    </r>
    <r>
      <rPr>
        <sz val="10"/>
        <color indexed="12"/>
        <rFont val="宋体"/>
        <family val="3"/>
        <charset val="134"/>
      </rPr>
      <t>根据《监管规则适用指引</t>
    </r>
    <r>
      <rPr>
        <sz val="10"/>
        <color indexed="12"/>
        <rFont val="Arial Narrow"/>
        <family val="2"/>
      </rPr>
      <t>-</t>
    </r>
    <r>
      <rPr>
        <sz val="10"/>
        <color indexed="12"/>
        <rFont val="宋体"/>
        <family val="3"/>
        <charset val="134"/>
      </rPr>
      <t>发行类第</t>
    </r>
    <r>
      <rPr>
        <sz val="10"/>
        <color indexed="12"/>
        <rFont val="Arial Narrow"/>
        <family val="2"/>
      </rPr>
      <t>5</t>
    </r>
    <r>
      <rPr>
        <sz val="10"/>
        <color indexed="12"/>
        <rFont val="宋体"/>
        <family val="3"/>
        <charset val="134"/>
      </rPr>
      <t>号》</t>
    </r>
    <r>
      <rPr>
        <sz val="10"/>
        <color indexed="12"/>
        <rFont val="Arial Narrow"/>
        <family val="2"/>
      </rPr>
      <t>,</t>
    </r>
    <r>
      <rPr>
        <sz val="10"/>
        <color indexed="12"/>
        <rFont val="宋体"/>
        <family val="3"/>
        <charset val="134"/>
      </rPr>
      <t>会计师在资金流水核查中，应结合重要性原则和支持核查结论需要，重点核查报告期内发生的以下事项：</t>
    </r>
    <phoneticPr fontId="6" type="noConversion"/>
  </si>
  <si>
    <t>控股股东、实际控制人、发行人主要关联方、董事、监事、高管、关键岗位人员及其他关联方资金流水核查：
（1）获取资金流水核查范围的全部银行账户流水，并取得银行账户信息完整性承诺函；
（2）核查资金流水中的交易对手存在与被审计单位、被审计单位的客户和供应商、与被审计单位相同的其他交易对手、频繁或大额存现/取现等异常交易。</t>
    <phoneticPr fontId="7" type="noConversion"/>
  </si>
  <si>
    <t>交易对手是否为被审计单位客户或供应商</t>
    <phoneticPr fontId="6" type="noConversion"/>
  </si>
  <si>
    <t>是否为被审计单位共同的其他交易对手</t>
    <phoneticPr fontId="6" type="noConversion"/>
  </si>
  <si>
    <t>其他异常</t>
    <phoneticPr fontId="6" type="noConversion"/>
  </si>
  <si>
    <t>交易对手是否为被审计单位</t>
    <phoneticPr fontId="6" type="noConversion"/>
  </si>
  <si>
    <t>合计</t>
    <phoneticPr fontId="6" type="noConversion"/>
  </si>
  <si>
    <t>常规程序</t>
  </si>
  <si>
    <t>√</t>
    <phoneticPr fontId="7" type="noConversion"/>
  </si>
  <si>
    <t>姓名：</t>
    <phoneticPr fontId="6" type="noConversion"/>
  </si>
  <si>
    <t>开户行</t>
    <phoneticPr fontId="6" type="noConversion"/>
  </si>
  <si>
    <t>账号/卡号</t>
    <phoneticPr fontId="6" type="noConversion"/>
  </si>
  <si>
    <t>交易日期</t>
    <phoneticPr fontId="6" type="noConversion"/>
  </si>
  <si>
    <t>职位：</t>
    <phoneticPr fontId="6" type="noConversion"/>
  </si>
  <si>
    <t>董监高关键岗位人员及其他关联方资金流水核查</t>
    <phoneticPr fontId="7" type="noConversion"/>
  </si>
  <si>
    <r>
      <rPr>
        <b/>
        <sz val="10"/>
        <rFont val="宋体"/>
        <family val="3"/>
        <charset val="134"/>
      </rPr>
      <t>（一）</t>
    </r>
    <phoneticPr fontId="7" type="noConversion"/>
  </si>
  <si>
    <t>IPO/上市/新三板/重组/舞弊应对</t>
    <phoneticPr fontId="6" type="noConversion"/>
  </si>
  <si>
    <t>IPO/上市/新三板/重组/舞弊应对</t>
    <phoneticPr fontId="6" type="noConversion"/>
  </si>
  <si>
    <r>
      <rPr>
        <sz val="10"/>
        <rFont val="宋体"/>
        <family val="3"/>
        <charset val="134"/>
      </rPr>
      <t>分析现金交易的成因，与其所在行业常用的结算方式是否明显不同，判断其合理性，统计分析现金交易的总体情况：</t>
    </r>
    <r>
      <rPr>
        <sz val="10"/>
        <color theme="1"/>
        <rFont val="宋体"/>
        <family val="3"/>
        <charset val="134"/>
      </rPr>
      <t xml:space="preserve">
</t>
    </r>
    <r>
      <rPr>
        <sz val="10"/>
        <rFont val="宋体"/>
        <family val="3"/>
        <charset val="134"/>
      </rPr>
      <t>（1）逐月统计报告期内现金销售收（付）款金额，核查现金收（付）款异常波动的原因,根据被审计单位情况分层统计分析；</t>
    </r>
    <r>
      <rPr>
        <sz val="10"/>
        <color theme="1"/>
        <rFont val="宋体"/>
        <family val="3"/>
        <charset val="134"/>
      </rPr>
      <t xml:space="preserve">
（2）分析现金销售收款、采购付款的金额分布情况及两期对比；分析现金销售收入、采购付款涉及客户、供应商情况；
（3）关注库存现金规模明显超过业务周转所需资金。</t>
    </r>
    <phoneticPr fontId="14" type="noConversion"/>
  </si>
  <si>
    <t>货币资金实质性程序表</t>
    <phoneticPr fontId="7" type="noConversion"/>
  </si>
  <si>
    <t>页  次：</t>
    <phoneticPr fontId="14" type="noConversion"/>
  </si>
  <si>
    <r>
      <t>A.</t>
    </r>
    <r>
      <rPr>
        <sz val="10"/>
        <rFont val="宋体"/>
        <family val="3"/>
        <charset val="134"/>
      </rPr>
      <t>资产负债表中记录的货币资金是存在的，且已记录于恰当的账户</t>
    </r>
    <r>
      <rPr>
        <sz val="10"/>
        <rFont val="Arial Narrow"/>
        <family val="2"/>
      </rPr>
      <t xml:space="preserve"> </t>
    </r>
    <phoneticPr fontId="7" type="noConversion"/>
  </si>
  <si>
    <r>
      <t>2.</t>
    </r>
    <r>
      <rPr>
        <sz val="10"/>
        <rFont val="宋体"/>
        <family val="3"/>
        <charset val="134"/>
      </rPr>
      <t>货币资金以恰当的金额包括在财务报表中，与之相关的计价或分摊调整已恰当记录，相关披露已得到恰当计量和描述</t>
    </r>
    <phoneticPr fontId="14" type="noConversion"/>
  </si>
  <si>
    <r>
      <t>1.</t>
    </r>
    <r>
      <rPr>
        <sz val="10"/>
        <rFont val="宋体"/>
        <family val="3"/>
        <charset val="134"/>
      </rPr>
      <t>资产负债表中记录的货币资金是存在的，且已记录于恰当的账户；</t>
    </r>
    <r>
      <rPr>
        <sz val="10"/>
        <rFont val="Arial Narrow"/>
        <family val="2"/>
      </rPr>
      <t xml:space="preserve"> </t>
    </r>
    <phoneticPr fontId="14" type="noConversion"/>
  </si>
  <si>
    <t>E1-26</t>
    <phoneticPr fontId="7" type="noConversion"/>
  </si>
  <si>
    <t>E0</t>
    <phoneticPr fontId="7" type="noConversion"/>
  </si>
  <si>
    <t>E1-27</t>
  </si>
  <si>
    <t>E1-27</t>
    <phoneticPr fontId="7" type="noConversion"/>
  </si>
  <si>
    <t>E1-28</t>
  </si>
  <si>
    <t>E1-28</t>
    <phoneticPr fontId="7" type="noConversion"/>
  </si>
  <si>
    <r>
      <rPr>
        <b/>
        <sz val="10"/>
        <color theme="1"/>
        <rFont val="宋体"/>
        <family val="3"/>
        <charset val="134"/>
      </rPr>
      <t>√</t>
    </r>
    <phoneticPr fontId="7" type="noConversion"/>
  </si>
  <si>
    <r>
      <rPr>
        <sz val="10"/>
        <color theme="1"/>
        <rFont val="宋体"/>
        <family val="3"/>
        <charset val="134"/>
      </rPr>
      <t>√</t>
    </r>
    <phoneticPr fontId="7" type="noConversion"/>
  </si>
  <si>
    <r>
      <rPr>
        <sz val="10"/>
        <color theme="1"/>
        <rFont val="宋体"/>
        <family val="3"/>
        <charset val="134"/>
      </rPr>
      <t>√</t>
    </r>
    <phoneticPr fontId="7" type="noConversion"/>
  </si>
  <si>
    <r>
      <rPr>
        <b/>
        <sz val="10"/>
        <rFont val="宋体"/>
        <family val="3"/>
        <charset val="134"/>
      </rPr>
      <t>（二）</t>
    </r>
    <phoneticPr fontId="7" type="noConversion"/>
  </si>
  <si>
    <r>
      <rPr>
        <b/>
        <sz val="10"/>
        <rFont val="宋体"/>
        <family val="3"/>
        <charset val="134"/>
      </rPr>
      <t>√</t>
    </r>
    <phoneticPr fontId="14" type="noConversion"/>
  </si>
  <si>
    <t>E1-29</t>
  </si>
  <si>
    <t>E1-29</t>
    <phoneticPr fontId="7" type="noConversion"/>
  </si>
  <si>
    <r>
      <rPr>
        <b/>
        <sz val="10"/>
        <color indexed="8"/>
        <rFont val="宋体"/>
        <family val="3"/>
        <charset val="134"/>
      </rPr>
      <t>一、审计目标</t>
    </r>
    <r>
      <rPr>
        <b/>
        <sz val="10"/>
        <color indexed="8"/>
        <rFont val="Arial Narrow"/>
        <family val="2"/>
      </rPr>
      <t>:</t>
    </r>
    <phoneticPr fontId="30" type="noConversion"/>
  </si>
  <si>
    <r>
      <rPr>
        <b/>
        <sz val="10"/>
        <color theme="1"/>
        <rFont val="宋体"/>
        <family val="3"/>
        <charset val="134"/>
      </rPr>
      <t>（一）已开立银行结算账户清单与账面核对：</t>
    </r>
    <phoneticPr fontId="14" type="noConversion"/>
  </si>
  <si>
    <r>
      <rPr>
        <b/>
        <sz val="10"/>
        <rFont val="宋体"/>
        <family val="3"/>
        <charset val="134"/>
      </rPr>
      <t>已开立银行结算账户清单</t>
    </r>
    <phoneticPr fontId="14" type="noConversion"/>
  </si>
  <si>
    <r>
      <rPr>
        <b/>
        <sz val="10"/>
        <rFont val="宋体"/>
        <family val="3"/>
        <charset val="134"/>
      </rPr>
      <t>不一致原因</t>
    </r>
    <phoneticPr fontId="14" type="noConversion"/>
  </si>
  <si>
    <r>
      <rPr>
        <b/>
        <sz val="10"/>
        <rFont val="宋体"/>
        <family val="3"/>
        <charset val="134"/>
      </rPr>
      <t>备注</t>
    </r>
    <phoneticPr fontId="14" type="noConversion"/>
  </si>
  <si>
    <r>
      <rPr>
        <b/>
        <sz val="10"/>
        <rFont val="宋体"/>
        <family val="3"/>
        <charset val="134"/>
      </rPr>
      <t>序号</t>
    </r>
    <phoneticPr fontId="14" type="noConversion"/>
  </si>
  <si>
    <r>
      <rPr>
        <b/>
        <sz val="10"/>
        <rFont val="宋体"/>
        <family val="3"/>
        <charset val="134"/>
      </rPr>
      <t>账户状态</t>
    </r>
    <phoneticPr fontId="14" type="noConversion"/>
  </si>
  <si>
    <r>
      <rPr>
        <b/>
        <sz val="10"/>
        <rFont val="宋体"/>
        <family val="3"/>
        <charset val="134"/>
      </rPr>
      <t>开户日期</t>
    </r>
    <phoneticPr fontId="14" type="noConversion"/>
  </si>
  <si>
    <r>
      <rPr>
        <b/>
        <sz val="10"/>
        <color theme="1"/>
        <rFont val="宋体"/>
        <family val="3"/>
        <charset val="134"/>
      </rPr>
      <t>公司账户数量</t>
    </r>
    <phoneticPr fontId="14" type="noConversion"/>
  </si>
  <si>
    <r>
      <rPr>
        <b/>
        <sz val="10"/>
        <rFont val="宋体"/>
        <family val="3"/>
        <charset val="134"/>
      </rPr>
      <t>三、审计说明：</t>
    </r>
    <phoneticPr fontId="7" type="noConversion"/>
  </si>
  <si>
    <r>
      <rPr>
        <b/>
        <sz val="10"/>
        <rFont val="宋体"/>
        <family val="3"/>
        <charset val="134"/>
      </rPr>
      <t>四、审计结论：</t>
    </r>
    <phoneticPr fontId="7" type="noConversion"/>
  </si>
  <si>
    <r>
      <rPr>
        <sz val="10"/>
        <rFont val="宋体"/>
        <family val="3"/>
        <charset val="134"/>
      </rPr>
      <t>索引号：</t>
    </r>
    <phoneticPr fontId="31" type="noConversion"/>
  </si>
  <si>
    <r>
      <rPr>
        <b/>
        <sz val="10"/>
        <rFont val="宋体"/>
        <family val="3"/>
        <charset val="134"/>
      </rPr>
      <t>二、审计过程：</t>
    </r>
    <phoneticPr fontId="7" type="noConversion"/>
  </si>
  <si>
    <r>
      <rPr>
        <b/>
        <sz val="10"/>
        <rFont val="宋体"/>
        <family val="3"/>
        <charset val="134"/>
      </rPr>
      <t>账户开户地</t>
    </r>
    <phoneticPr fontId="14" type="noConversion"/>
  </si>
  <si>
    <r>
      <rPr>
        <b/>
        <sz val="10"/>
        <rFont val="宋体"/>
        <family val="3"/>
        <charset val="134"/>
      </rPr>
      <t>异地开户原因</t>
    </r>
    <phoneticPr fontId="14" type="noConversion"/>
  </si>
  <si>
    <r>
      <rPr>
        <b/>
        <sz val="10"/>
        <rFont val="宋体"/>
        <family val="3"/>
        <charset val="134"/>
      </rPr>
      <t>开户银行名称</t>
    </r>
    <phoneticPr fontId="14" type="noConversion"/>
  </si>
  <si>
    <r>
      <rPr>
        <b/>
        <sz val="10"/>
        <rFont val="宋体"/>
        <family val="3"/>
        <charset val="134"/>
      </rPr>
      <t>账号</t>
    </r>
    <phoneticPr fontId="14" type="noConversion"/>
  </si>
  <si>
    <r>
      <rPr>
        <b/>
        <sz val="10"/>
        <rFont val="宋体"/>
        <family val="3"/>
        <charset val="134"/>
      </rPr>
      <t>账户性质</t>
    </r>
    <phoneticPr fontId="14" type="noConversion"/>
  </si>
  <si>
    <r>
      <rPr>
        <b/>
        <sz val="10"/>
        <rFont val="宋体"/>
        <family val="3"/>
        <charset val="134"/>
      </rPr>
      <t>销户日期</t>
    </r>
    <phoneticPr fontId="14" type="noConversion"/>
  </si>
  <si>
    <r>
      <t>2024</t>
    </r>
    <r>
      <rPr>
        <b/>
        <sz val="10"/>
        <color rgb="FFFF0000"/>
        <rFont val="宋体"/>
        <family val="3"/>
        <charset val="134"/>
      </rPr>
      <t>年</t>
    </r>
    <phoneticPr fontId="14" type="noConversion"/>
  </si>
  <si>
    <r>
      <rPr>
        <b/>
        <sz val="10"/>
        <color theme="1"/>
        <rFont val="宋体"/>
        <family val="3"/>
        <charset val="134"/>
      </rPr>
      <t>异常说明</t>
    </r>
    <phoneticPr fontId="14" type="noConversion"/>
  </si>
  <si>
    <r>
      <rPr>
        <b/>
        <sz val="10"/>
        <color theme="1"/>
        <rFont val="宋体"/>
        <family val="3"/>
        <charset val="134"/>
      </rPr>
      <t>其他备注</t>
    </r>
    <phoneticPr fontId="14" type="noConversion"/>
  </si>
  <si>
    <r>
      <rPr>
        <b/>
        <sz val="10"/>
        <color theme="1"/>
        <rFont val="宋体"/>
        <family val="3"/>
        <charset val="134"/>
      </rPr>
      <t>本期开户数量</t>
    </r>
    <phoneticPr fontId="14" type="noConversion"/>
  </si>
  <si>
    <r>
      <rPr>
        <b/>
        <sz val="10"/>
        <color theme="1"/>
        <rFont val="宋体"/>
        <family val="3"/>
        <charset val="134"/>
      </rPr>
      <t>本期销户数量</t>
    </r>
    <phoneticPr fontId="14" type="noConversion"/>
  </si>
  <si>
    <r>
      <rPr>
        <b/>
        <sz val="10"/>
        <color theme="1"/>
        <rFont val="宋体"/>
        <family val="3"/>
        <charset val="134"/>
      </rPr>
      <t>零余额账户数量</t>
    </r>
    <phoneticPr fontId="14" type="noConversion"/>
  </si>
  <si>
    <r>
      <t>1.</t>
    </r>
    <r>
      <rPr>
        <sz val="10"/>
        <color theme="1"/>
        <rFont val="宋体"/>
        <family val="3"/>
        <charset val="134"/>
      </rPr>
      <t>资产负债表中记录的货币资金是存在的，且已记录于恰当的账户；</t>
    </r>
    <r>
      <rPr>
        <sz val="10"/>
        <color theme="1"/>
        <rFont val="Arial Narrow"/>
        <family val="2"/>
      </rPr>
      <t>2.</t>
    </r>
    <r>
      <rPr>
        <sz val="10"/>
        <color theme="1"/>
        <rFont val="宋体"/>
        <family val="3"/>
        <charset val="134"/>
      </rPr>
      <t>所有应当记录的货币资金均已记录，所有应当包括在财务报表中的相关披露均已包括；</t>
    </r>
    <r>
      <rPr>
        <sz val="10"/>
        <color theme="1"/>
        <rFont val="Arial Narrow"/>
        <family val="2"/>
      </rPr>
      <t/>
    </r>
    <phoneticPr fontId="14" type="noConversion"/>
  </si>
  <si>
    <r>
      <t>C.</t>
    </r>
    <r>
      <rPr>
        <sz val="10"/>
        <rFont val="宋体"/>
        <family val="3"/>
        <charset val="134"/>
      </rPr>
      <t>记录的货币资金由被审计单位拥有或控制</t>
    </r>
    <phoneticPr fontId="7" type="noConversion"/>
  </si>
  <si>
    <r>
      <t>3.</t>
    </r>
    <r>
      <rPr>
        <sz val="10"/>
        <color theme="1"/>
        <rFont val="宋体"/>
        <family val="3"/>
        <charset val="134"/>
      </rPr>
      <t>记录的货币资金由被审计单位拥有或控制</t>
    </r>
    <phoneticPr fontId="14" type="noConversion"/>
  </si>
  <si>
    <r>
      <t>1.</t>
    </r>
    <r>
      <rPr>
        <sz val="10"/>
        <rFont val="宋体"/>
        <family val="3"/>
        <charset val="134"/>
      </rPr>
      <t>资产负债表中记录的货币资金是存在的，且已记录于恰当的账户；</t>
    </r>
  </si>
  <si>
    <r>
      <t>2.</t>
    </r>
    <r>
      <rPr>
        <sz val="10"/>
        <rFont val="宋体"/>
        <family val="3"/>
        <charset val="134"/>
      </rPr>
      <t>所有应当记录的货币资金均已记录，所有应当包括在财务报表中的相关披露均已包括；</t>
    </r>
  </si>
  <si>
    <r>
      <t>3.</t>
    </r>
    <r>
      <rPr>
        <sz val="10"/>
        <rFont val="宋体"/>
        <family val="3"/>
        <charset val="134"/>
      </rPr>
      <t>货币资金以恰当的金额包括在财务报表中，与之相关的计价或分摊调整已恰当记录，相关披露已得到恰当计量和描述</t>
    </r>
  </si>
  <si>
    <t>E1-30</t>
  </si>
  <si>
    <t>可运用事务所开发的银行流水核对系统进行全部样本进行核对，系统所在位置：致同内网-应用系统-致同审计效率工具-银行流水核查工具（识别+核对），可将系统的核对结果导出作为底稿，并进一步检查支持性文件</t>
    <phoneticPr fontId="6" type="noConversion"/>
  </si>
  <si>
    <t>1.可运用事务所开发的银行流水核对系统进行全部样本进行核对，系统所在位置：致同内网-应用系统-致同审计效率工具-银行流水核查工具（识别+核对），可将系统的核对结果导出作为底稿，并进一步检查支持性文件</t>
    <phoneticPr fontId="6" type="noConversion"/>
  </si>
  <si>
    <r>
      <t>D.</t>
    </r>
    <r>
      <rPr>
        <sz val="10"/>
        <rFont val="宋体"/>
        <family val="3"/>
        <charset val="134"/>
      </rPr>
      <t>货币资金以恰当的金额包括在财务报表中，与之相关的计价或分摊调整已恰当记录，相关披露已得到恰当计量和描述</t>
    </r>
    <phoneticPr fontId="7" type="noConversion"/>
  </si>
  <si>
    <r>
      <t xml:space="preserve"> 3.</t>
    </r>
    <r>
      <rPr>
        <sz val="10"/>
        <rFont val="宋体"/>
        <family val="3"/>
        <charset val="134"/>
      </rPr>
      <t>货币资金以恰当的金额包括在财务报表中，与之相关的计价或分摊调整已恰当记录，相关披露已得到恰当计量和描述</t>
    </r>
    <phoneticPr fontId="6" type="noConversion"/>
  </si>
  <si>
    <r>
      <t>1.</t>
    </r>
    <r>
      <rPr>
        <sz val="10"/>
        <rFont val="宋体"/>
        <family val="3"/>
        <charset val="134"/>
      </rPr>
      <t>资产负债表中记录的货币资金是存在的，且已记录于恰当的账户；</t>
    </r>
    <r>
      <rPr>
        <sz val="10"/>
        <rFont val="Arial Narrow"/>
        <family val="2"/>
      </rPr>
      <t xml:space="preserve"> 2.</t>
    </r>
    <r>
      <rPr>
        <sz val="10"/>
        <rFont val="宋体"/>
        <family val="3"/>
        <charset val="134"/>
      </rPr>
      <t>所有应当记录的货币资金均已记录，所有应当包括在财务报表中的相关披露均已包括；</t>
    </r>
    <phoneticPr fontId="6" type="noConversion"/>
  </si>
  <si>
    <t>所有应当记录的货币资金均已记录，所有应当包括在财务报表中的相关披露均已包括</t>
    <phoneticPr fontId="6" type="noConversion"/>
  </si>
  <si>
    <t>货币资金实质性程序表</t>
    <phoneticPr fontId="14" type="noConversion"/>
  </si>
  <si>
    <t>现金截止测试</t>
    <phoneticPr fontId="6" type="noConversion"/>
  </si>
  <si>
    <t>现金收支检查表</t>
    <phoneticPr fontId="6" type="noConversion"/>
  </si>
  <si>
    <t>银行流水双向核对表</t>
    <phoneticPr fontId="6" type="noConversion"/>
  </si>
  <si>
    <t>E1-31</t>
  </si>
  <si>
    <t>索引号：</t>
    <phoneticPr fontId="14" type="noConversion"/>
  </si>
  <si>
    <t>页  次</t>
    <phoneticPr fontId="14" type="noConversion"/>
  </si>
  <si>
    <t>索引号：</t>
    <phoneticPr fontId="14" type="noConversion"/>
  </si>
  <si>
    <t>页  次</t>
    <phoneticPr fontId="14" type="noConversion"/>
  </si>
  <si>
    <t>一、本账户涉及的科目</t>
    <phoneticPr fontId="7" type="noConversion"/>
  </si>
  <si>
    <t>三、计划实施的实质性程序</t>
    <phoneticPr fontId="7" type="noConversion"/>
  </si>
  <si>
    <t>E1-30</t>
    <phoneticPr fontId="7" type="noConversion"/>
  </si>
  <si>
    <t>E1-31</t>
    <phoneticPr fontId="7" type="noConversion"/>
  </si>
  <si>
    <t>E1-32</t>
    <phoneticPr fontId="7" type="noConversion"/>
  </si>
  <si>
    <t>是否存在第三方回款/付款</t>
    <phoneticPr fontId="14" type="noConversion"/>
  </si>
  <si>
    <t>可运用事务所开发的银行流水核对系统进行全部样本进行核对，系统所在位置：致同内网-应用系统-致同审计效率工具-银行流水核查工具（识别+核对），可将系统的核对结果导出作为底稿，并进一步检查支持性文件</t>
  </si>
  <si>
    <r>
      <rPr>
        <b/>
        <sz val="10"/>
        <rFont val="Arial Narrow"/>
        <family val="2"/>
      </rP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phoneticPr fontId="7" type="noConversion"/>
  </si>
  <si>
    <t>业务内容</t>
    <phoneticPr fontId="14" type="noConversion"/>
  </si>
  <si>
    <t>日期</t>
    <phoneticPr fontId="14" type="noConversion"/>
  </si>
  <si>
    <t>凭证号</t>
    <phoneticPr fontId="14" type="noConversion"/>
  </si>
  <si>
    <t>支持性文件（描述具体支持性文件名称）</t>
    <phoneticPr fontId="14" type="noConversion"/>
  </si>
  <si>
    <r>
      <rPr>
        <sz val="10"/>
        <rFont val="宋体"/>
        <family val="3"/>
        <charset val="134"/>
      </rPr>
      <t>被审计单位：</t>
    </r>
    <r>
      <rPr>
        <sz val="10"/>
        <rFont val="Arial Narrow"/>
        <family val="2"/>
      </rPr>
      <t/>
    </r>
    <phoneticPr fontId="7" type="noConversion"/>
  </si>
  <si>
    <t>编制人：</t>
    <phoneticPr fontId="7" type="noConversion"/>
  </si>
  <si>
    <t>编制日期：</t>
    <phoneticPr fontId="7" type="noConversion"/>
  </si>
  <si>
    <t>复核人：</t>
    <phoneticPr fontId="7" type="noConversion"/>
  </si>
  <si>
    <t>复核日期：</t>
    <phoneticPr fontId="7" type="noConversion"/>
  </si>
  <si>
    <t>随机选样/系统选样/货币单元抽样/随意选样（非统计抽样适用）</t>
    <phoneticPr fontId="7" type="noConversion"/>
  </si>
  <si>
    <t>合计</t>
    <phoneticPr fontId="7" type="noConversion"/>
  </si>
  <si>
    <r>
      <t>1.</t>
    </r>
    <r>
      <rPr>
        <sz val="10"/>
        <rFont val="宋体"/>
        <family val="3"/>
        <charset val="134"/>
      </rPr>
      <t>本期发生额、期末余额检查比例：</t>
    </r>
    <phoneticPr fontId="7" type="noConversion"/>
  </si>
  <si>
    <t>方向</t>
    <phoneticPr fontId="7" type="noConversion"/>
  </si>
  <si>
    <t>账面金额</t>
    <phoneticPr fontId="7" type="noConversion"/>
  </si>
  <si>
    <t>检查金额</t>
    <phoneticPr fontId="7" type="noConversion"/>
  </si>
  <si>
    <t>检查比例</t>
    <phoneticPr fontId="7" type="noConversion"/>
  </si>
  <si>
    <t>如果检查比例较低请扩大检查样本量或说明原因</t>
    <phoneticPr fontId="7" type="noConversion"/>
  </si>
  <si>
    <t>本期借方</t>
    <phoneticPr fontId="7" type="noConversion"/>
  </si>
  <si>
    <t>本期贷方</t>
    <phoneticPr fontId="7" type="noConversion"/>
  </si>
  <si>
    <t>2.……</t>
    <phoneticPr fontId="7"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</si>
  <si>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</si>
  <si>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E1-26</t>
    <phoneticPr fontId="6" type="noConversion"/>
  </si>
  <si>
    <t>E1-26A</t>
    <phoneticPr fontId="14" type="noConversion"/>
  </si>
  <si>
    <r>
      <rPr>
        <sz val="10"/>
        <rFont val="宋体"/>
        <family val="3"/>
        <charset val="134"/>
      </rPr>
      <t>完整性</t>
    </r>
    <phoneticPr fontId="7" type="noConversion"/>
  </si>
  <si>
    <r>
      <rPr>
        <sz val="10"/>
        <rFont val="宋体"/>
        <family val="3"/>
        <charset val="134"/>
      </rPr>
      <t>权利和义务</t>
    </r>
    <phoneticPr fontId="7" type="noConversion"/>
  </si>
  <si>
    <r>
      <rPr>
        <sz val="10"/>
        <rFont val="宋体"/>
        <family val="3"/>
        <charset val="134"/>
      </rPr>
      <t>准确性、计价和分摊</t>
    </r>
    <phoneticPr fontId="7" type="noConversion"/>
  </si>
  <si>
    <r>
      <rPr>
        <sz val="10"/>
        <rFont val="宋体"/>
        <family val="3"/>
        <charset val="134"/>
      </rPr>
      <t>列报</t>
    </r>
    <phoneticPr fontId="7" type="noConversion"/>
  </si>
  <si>
    <t>……</t>
    <phoneticPr fontId="6" type="noConversion"/>
  </si>
  <si>
    <t>如果检查比例较低请扩大检查样本量或说明原因</t>
    <phoneticPr fontId="7" type="noConversion"/>
  </si>
  <si>
    <t>本期借方</t>
    <phoneticPr fontId="7" type="noConversion"/>
  </si>
  <si>
    <t>本期贷方</t>
    <phoneticPr fontId="7" type="noConversion"/>
  </si>
  <si>
    <t>2.……</t>
    <phoneticPr fontId="7" type="noConversion"/>
  </si>
  <si>
    <t>合计</t>
    <phoneticPr fontId="6" type="noConversion"/>
  </si>
  <si>
    <r>
      <rPr>
        <sz val="10"/>
        <rFont val="宋体"/>
        <family val="3"/>
        <charset val="134"/>
      </rPr>
      <t>方向</t>
    </r>
    <phoneticPr fontId="7" type="noConversion"/>
  </si>
  <si>
    <r>
      <rPr>
        <sz val="10"/>
        <rFont val="宋体"/>
        <family val="3"/>
        <charset val="134"/>
      </rPr>
      <t>从日记账到银行流水检查金额</t>
    </r>
    <phoneticPr fontId="6" type="noConversion"/>
  </si>
  <si>
    <r>
      <rPr>
        <sz val="10"/>
        <rFont val="宋体"/>
        <family val="3"/>
        <charset val="134"/>
      </rPr>
      <t>从银行流水到日记账检查金额</t>
    </r>
    <phoneticPr fontId="6" type="noConversion"/>
  </si>
  <si>
    <r>
      <rPr>
        <sz val="10"/>
        <rFont val="宋体"/>
        <family val="3"/>
        <charset val="134"/>
      </rPr>
      <t>账面金额</t>
    </r>
    <phoneticPr fontId="7" type="noConversion"/>
  </si>
  <si>
    <r>
      <rPr>
        <sz val="10"/>
        <rFont val="宋体"/>
        <family val="3"/>
        <charset val="134"/>
      </rPr>
      <t>检查比例</t>
    </r>
    <r>
      <rPr>
        <sz val="10"/>
        <rFont val="Arial Narrow"/>
        <family val="2"/>
      </rPr>
      <t>1</t>
    </r>
    <phoneticPr fontId="7" type="noConversion"/>
  </si>
  <si>
    <r>
      <rPr>
        <sz val="10"/>
        <rFont val="宋体"/>
        <family val="3"/>
        <charset val="134"/>
      </rPr>
      <t>检查比例</t>
    </r>
    <r>
      <rPr>
        <sz val="10"/>
        <rFont val="Arial Narrow"/>
        <family val="2"/>
      </rPr>
      <t>2</t>
    </r>
    <phoneticPr fontId="7" type="noConversion"/>
  </si>
  <si>
    <r>
      <t>1.</t>
    </r>
    <r>
      <rPr>
        <sz val="10"/>
        <rFont val="宋体"/>
        <family val="3"/>
        <charset val="134"/>
      </rPr>
      <t>本期发生额检查比例：</t>
    </r>
    <phoneticPr fontId="7" type="noConversion"/>
  </si>
  <si>
    <t>询问相关人员，亲自到银行获取并打印《已开立银行结算账户清单》，检查被审计单位银行账户的完整性：
（1）询问办理货币资金业务的相关人员（如出纳），了解银行账户的开立、使用、注销等情况。
（2）注册会计师亲自到人民银行或基本存款账户开户行查询并打印《已开立银行结算账户清单》，以确认被审计单位账面记录的银行账户是否完整。
（3）中国人民银行征信中心或开户行查询企业信用报告。
（4）检查公章使用登记簿和重要会议纪要。
（5）获取被审计单位已将全部银行存款账户信息提供给注册会计师的书面声明。</t>
    <phoneticPr fontId="7" type="noConversion"/>
  </si>
  <si>
    <t>检查被审计单位银行账户是否存在异常：
了解报告期内被审计单位开立账户的数量及分布，与被审计单位实际经营的需要进行比较，核查是否在没有经营业务的地区开立银行账户，或将高额资金存放其经营和注册地之外的异地，是否存在频繁开户、销户等，银行账户开立数量与企业实际的业务规模不匹配等，关注是否存在越权开立账户等异常情形。</t>
    <phoneticPr fontId="14" type="noConversion"/>
  </si>
  <si>
    <t>关注企业资金是否存放于管理层或员工个人账户，货币资金收支金额是否与现金流量表不匹配。</t>
    <phoneticPr fontId="7" type="noConversion"/>
  </si>
  <si>
    <r>
      <rPr>
        <sz val="10"/>
        <rFont val="宋体"/>
        <family val="3"/>
        <charset val="134"/>
      </rPr>
      <t>索引号：</t>
    </r>
    <phoneticPr fontId="7" type="noConversion"/>
  </si>
  <si>
    <r>
      <rPr>
        <sz val="10"/>
        <rFont val="宋体"/>
        <family val="3"/>
        <charset val="134"/>
      </rPr>
      <t>页次</t>
    </r>
    <phoneticPr fontId="14" type="noConversion"/>
  </si>
  <si>
    <r>
      <rPr>
        <u/>
        <sz val="11"/>
        <color theme="10"/>
        <rFont val="等线"/>
        <family val="3"/>
        <charset val="134"/>
        <scheme val="minor"/>
      </rPr>
      <t>现金交易分析</t>
    </r>
    <phoneticPr fontId="6" type="noConversion"/>
  </si>
  <si>
    <r>
      <rPr>
        <u/>
        <sz val="11"/>
        <color theme="10"/>
        <rFont val="等线"/>
        <family val="3"/>
        <charset val="134"/>
        <scheme val="minor"/>
      </rPr>
      <t>银行账户分析</t>
    </r>
  </si>
  <si>
    <r>
      <rPr>
        <u/>
        <sz val="11"/>
        <color theme="10"/>
        <rFont val="等线"/>
        <family val="3"/>
        <charset val="134"/>
        <scheme val="minor"/>
      </rPr>
      <t>存款规模与利息收入匹配性分析</t>
    </r>
    <phoneticPr fontId="6" type="noConversion"/>
  </si>
  <si>
    <r>
      <rPr>
        <u/>
        <sz val="11"/>
        <color theme="10"/>
        <rFont val="等线"/>
        <family val="3"/>
        <charset val="134"/>
        <scheme val="minor"/>
      </rPr>
      <t>董监高及关键岗位流水核查</t>
    </r>
    <phoneticPr fontId="6" type="noConversion"/>
  </si>
  <si>
    <t>根据被审计单位实际情况和风险评估情况裁剪、修改或增加审计程序</t>
    <phoneticPr fontId="7" type="noConversion"/>
  </si>
  <si>
    <t>审计程序</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</si>
</sst>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 &quot;¥&quot;* #,##0.00_ ;_ &quot;¥&quot;* \-#,##0.00_ ;_ &quot;¥&quot;* &quot;-&quot;??_ ;_ @_ "/>
    <numFmt numFmtId="43" formatCode="_ * #,##0.00_ ;_ * \-#,##0.00_ ;_ * &quot;-&quot;??_ ;_ @_ "/>
    <numFmt numFmtId="176" formatCode="_([$€-2]* #,##0.00_);_([$€-2]* \(#,##0.00\);_([$€-2]* &quot;-&quot;??_)"/>
    <numFmt numFmtId="177" formatCode="[$-F800]dddd\,\ mmmm\ dd\,\ yyyy"/>
    <numFmt numFmtId="178" formatCode="0.0000%"/>
    <numFmt numFmtId="179" formatCode="#,##0.00_ "/>
  </numFmts>
  <fonts count="85">
    <font>
      <sz val="11"/>
      <color theme="1"/>
      <name val="等线"/>
      <family val="2"/>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b/>
      <sz val="12"/>
      <name val="Arial Narrow"/>
      <family val="2"/>
    </font>
    <font>
      <sz val="9"/>
      <name val="等线"/>
      <family val="3"/>
      <charset val="134"/>
      <scheme val="minor"/>
    </font>
    <font>
      <sz val="9"/>
      <name val="宋体"/>
      <family val="3"/>
      <charset val="134"/>
    </font>
    <font>
      <sz val="12"/>
      <name val="Arial Narrow"/>
      <family val="2"/>
    </font>
    <font>
      <sz val="10"/>
      <name val="Arial Narrow"/>
      <family val="2"/>
    </font>
    <font>
      <sz val="11"/>
      <name val="Arial Narrow"/>
      <family val="2"/>
    </font>
    <font>
      <b/>
      <sz val="10"/>
      <color indexed="8"/>
      <name val="Arial Narrow"/>
      <family val="2"/>
    </font>
    <font>
      <sz val="10"/>
      <name val="宋体"/>
      <family val="3"/>
      <charset val="134"/>
    </font>
    <font>
      <u/>
      <sz val="12"/>
      <color indexed="12"/>
      <name val="宋体"/>
      <family val="3"/>
      <charset val="134"/>
    </font>
    <font>
      <sz val="9"/>
      <name val="等线"/>
      <family val="2"/>
      <charset val="134"/>
      <scheme val="minor"/>
    </font>
    <font>
      <b/>
      <sz val="10"/>
      <name val="Arial Narrow"/>
      <family val="2"/>
    </font>
    <font>
      <b/>
      <sz val="12"/>
      <name val="宋体"/>
      <family val="3"/>
      <charset val="134"/>
    </font>
    <font>
      <sz val="12"/>
      <name val="Times New Roman"/>
      <family val="1"/>
    </font>
    <font>
      <sz val="12"/>
      <name val="宋体"/>
      <family val="3"/>
      <charset val="134"/>
    </font>
    <font>
      <b/>
      <sz val="10"/>
      <name val="宋体"/>
      <family val="3"/>
      <charset val="134"/>
    </font>
    <font>
      <b/>
      <sz val="10"/>
      <color rgb="FF000000"/>
      <name val="Arial Narrow"/>
      <family val="2"/>
    </font>
    <font>
      <b/>
      <sz val="10"/>
      <color rgb="FF000000"/>
      <name val="宋体"/>
      <family val="3"/>
      <charset val="134"/>
    </font>
    <font>
      <sz val="10"/>
      <color rgb="FF000000"/>
      <name val="Arial Narrow"/>
      <family val="2"/>
    </font>
    <font>
      <sz val="10"/>
      <color rgb="FF000000"/>
      <name val="宋体"/>
      <family val="3"/>
      <charset val="134"/>
    </font>
    <font>
      <sz val="10"/>
      <color theme="1"/>
      <name val="宋体"/>
      <family val="3"/>
      <charset val="134"/>
    </font>
    <font>
      <sz val="10"/>
      <color theme="1"/>
      <name val="Arial Narrow"/>
      <family val="2"/>
    </font>
    <font>
      <b/>
      <sz val="10"/>
      <color theme="1"/>
      <name val="宋体"/>
      <family val="3"/>
      <charset val="134"/>
    </font>
    <font>
      <sz val="10"/>
      <color rgb="FF0000FF"/>
      <name val="Arial Narrow"/>
      <family val="2"/>
    </font>
    <font>
      <sz val="10"/>
      <color rgb="FF0000FF"/>
      <name val="宋体"/>
      <family val="3"/>
      <charset val="134"/>
    </font>
    <font>
      <b/>
      <sz val="10"/>
      <color indexed="8"/>
      <name val="宋体"/>
      <family val="3"/>
      <charset val="134"/>
    </font>
    <font>
      <sz val="10"/>
      <name val="Times New Roman"/>
      <family val="1"/>
    </font>
    <font>
      <sz val="9"/>
      <name val="Tahoma"/>
      <family val="2"/>
      <charset val="134"/>
    </font>
    <font>
      <b/>
      <u/>
      <sz val="10"/>
      <color indexed="10"/>
      <name val="Arial Narrow"/>
      <family val="2"/>
    </font>
    <font>
      <b/>
      <sz val="14"/>
      <color indexed="8"/>
      <name val="Arial Narrow"/>
      <family val="2"/>
    </font>
    <font>
      <b/>
      <sz val="12"/>
      <color indexed="8"/>
      <name val="宋体"/>
      <family val="3"/>
      <charset val="134"/>
    </font>
    <font>
      <b/>
      <sz val="10"/>
      <color rgb="FF0000FF"/>
      <name val="宋体"/>
      <family val="3"/>
      <charset val="134"/>
    </font>
    <font>
      <sz val="11"/>
      <color theme="1"/>
      <name val="宋体"/>
      <family val="3"/>
      <charset val="134"/>
    </font>
    <font>
      <b/>
      <sz val="10"/>
      <name val="等线"/>
      <family val="3"/>
      <charset val="134"/>
    </font>
    <font>
      <sz val="10"/>
      <name val="宋体"/>
      <family val="2"/>
      <charset val="134"/>
    </font>
    <font>
      <u/>
      <sz val="11"/>
      <color theme="10"/>
      <name val="等线"/>
      <family val="2"/>
      <scheme val="minor"/>
    </font>
    <font>
      <sz val="11"/>
      <color theme="1"/>
      <name val="等线"/>
      <family val="2"/>
      <scheme val="minor"/>
    </font>
    <font>
      <sz val="11"/>
      <name val="宋体"/>
      <family val="3"/>
      <charset val="134"/>
    </font>
    <font>
      <u/>
      <sz val="11"/>
      <color theme="10"/>
      <name val="Arial Narrow"/>
      <family val="2"/>
    </font>
    <font>
      <b/>
      <sz val="12"/>
      <color indexed="8"/>
      <name val="Arial Narrow"/>
      <family val="2"/>
    </font>
    <font>
      <b/>
      <sz val="11"/>
      <name val="Arial Narrow"/>
      <family val="2"/>
    </font>
    <font>
      <b/>
      <sz val="11"/>
      <name val="宋体"/>
      <family val="3"/>
      <charset val="134"/>
    </font>
    <font>
      <b/>
      <sz val="11"/>
      <color indexed="8"/>
      <name val="Arial Narrow"/>
      <family val="2"/>
    </font>
    <font>
      <b/>
      <sz val="11"/>
      <color indexed="8"/>
      <name val="宋体"/>
      <family val="3"/>
      <charset val="134"/>
    </font>
    <font>
      <sz val="11"/>
      <color indexed="8"/>
      <name val="Arial Narrow"/>
      <family val="2"/>
    </font>
    <font>
      <sz val="11"/>
      <color rgb="FF000000"/>
      <name val="宋体"/>
      <family val="3"/>
      <charset val="134"/>
    </font>
    <font>
      <b/>
      <sz val="14"/>
      <name val="宋体"/>
      <family val="3"/>
      <charset val="134"/>
    </font>
    <font>
      <sz val="11"/>
      <color theme="1"/>
      <name val="Arial Narrow"/>
      <family val="2"/>
    </font>
    <font>
      <b/>
      <sz val="10"/>
      <color theme="1"/>
      <name val="Arial Narrow"/>
      <family val="2"/>
    </font>
    <font>
      <b/>
      <sz val="11"/>
      <color theme="1"/>
      <name val="宋体"/>
      <family val="3"/>
      <charset val="134"/>
    </font>
    <font>
      <b/>
      <sz val="11"/>
      <color theme="1"/>
      <name val="Arial Narrow"/>
      <family val="2"/>
    </font>
    <font>
      <b/>
      <sz val="14"/>
      <color indexed="8"/>
      <name val="宋体"/>
      <family val="3"/>
      <charset val="134"/>
    </font>
    <font>
      <b/>
      <sz val="10"/>
      <color rgb="FFFF0000"/>
      <name val="Arial Narrow"/>
      <family val="2"/>
    </font>
    <font>
      <b/>
      <sz val="10"/>
      <color rgb="FFFF0000"/>
      <name val="宋体"/>
      <family val="3"/>
      <charset val="134"/>
    </font>
    <font>
      <sz val="10"/>
      <color rgb="FFFF0000"/>
      <name val="Arial Narrow"/>
      <family val="2"/>
    </font>
    <font>
      <sz val="10"/>
      <color rgb="FFFF0000"/>
      <name val="宋体"/>
      <family val="3"/>
      <charset val="134"/>
    </font>
    <font>
      <sz val="10"/>
      <color rgb="FF3333FF"/>
      <name val="Arial Narrow"/>
      <family val="2"/>
    </font>
    <font>
      <sz val="18"/>
      <color indexed="48"/>
      <name val="魏碑"/>
      <family val="3"/>
      <charset val="134"/>
    </font>
    <font>
      <sz val="10"/>
      <color indexed="12"/>
      <name val="Arial Narrow"/>
      <family val="2"/>
    </font>
    <font>
      <sz val="10"/>
      <color rgb="FFFF0000"/>
      <name val="Arial Narrow"/>
      <family val="3"/>
      <charset val="134"/>
    </font>
    <font>
      <b/>
      <sz val="9"/>
      <color rgb="FF000000"/>
      <name val="宋体"/>
      <family val="3"/>
      <charset val="134"/>
    </font>
    <font>
      <b/>
      <sz val="9"/>
      <color rgb="FFFF0000"/>
      <name val="宋体"/>
      <family val="3"/>
      <charset val="134"/>
    </font>
    <font>
      <b/>
      <sz val="9"/>
      <name val="宋体"/>
      <family val="3"/>
      <charset val="134"/>
    </font>
    <font>
      <u/>
      <sz val="10"/>
      <name val="Arial Narrow"/>
      <family val="2"/>
    </font>
    <font>
      <sz val="11"/>
      <color rgb="FF0000FF"/>
      <name val="宋体"/>
      <family val="3"/>
      <charset val="134"/>
    </font>
    <font>
      <sz val="11"/>
      <color rgb="FF0000FF"/>
      <name val="Arial Narrow"/>
      <family val="2"/>
    </font>
    <font>
      <b/>
      <sz val="11"/>
      <color rgb="FF0000FF"/>
      <name val="Arial Narrow"/>
      <family val="2"/>
    </font>
    <font>
      <b/>
      <sz val="11"/>
      <color rgb="FF0000FF"/>
      <name val="宋体"/>
      <family val="3"/>
      <charset val="134"/>
    </font>
    <font>
      <sz val="10"/>
      <color rgb="FFFF0000"/>
      <name val="等线"/>
      <family val="3"/>
      <charset val="134"/>
      <scheme val="minor"/>
    </font>
    <font>
      <b/>
      <sz val="10"/>
      <name val="Arial Narrow"/>
      <family val="3"/>
      <charset val="134"/>
    </font>
    <font>
      <sz val="10"/>
      <color theme="1"/>
      <name val="宋体"/>
      <family val="2"/>
      <charset val="134"/>
    </font>
    <font>
      <sz val="11"/>
      <color theme="1"/>
      <name val="宋体"/>
      <family val="2"/>
      <charset val="134"/>
    </font>
    <font>
      <b/>
      <i/>
      <sz val="10"/>
      <name val="Arial Narrow"/>
      <family val="2"/>
    </font>
    <font>
      <sz val="10"/>
      <color rgb="FF0000FF"/>
      <name val="宋体"/>
      <family val="2"/>
      <charset val="134"/>
    </font>
    <font>
      <sz val="10"/>
      <color indexed="12"/>
      <name val="宋体"/>
      <family val="3"/>
      <charset val="134"/>
    </font>
    <font>
      <sz val="10"/>
      <color indexed="12"/>
      <name val="宋体"/>
      <family val="2"/>
      <charset val="134"/>
    </font>
    <font>
      <b/>
      <sz val="10"/>
      <color theme="1"/>
      <name val="宋体"/>
      <family val="2"/>
      <charset val="134"/>
    </font>
    <font>
      <sz val="9"/>
      <color indexed="81"/>
      <name val="宋体"/>
      <family val="3"/>
      <charset val="134"/>
    </font>
    <font>
      <b/>
      <sz val="9"/>
      <color indexed="81"/>
      <name val="宋体"/>
      <family val="3"/>
      <charset val="134"/>
    </font>
    <font>
      <sz val="10"/>
      <color theme="10"/>
      <name val="Arial Narrow"/>
      <family val="2"/>
    </font>
    <font>
      <u/>
      <sz val="11"/>
      <color theme="10"/>
      <name val="等线"/>
      <family val="3"/>
      <charset val="134"/>
      <scheme val="minor"/>
    </font>
  </fonts>
  <fills count="9">
    <fill>
      <patternFill patternType="none"/>
    </fill>
    <fill>
      <patternFill patternType="gray125"/>
    </fill>
    <fill>
      <patternFill patternType="solid">
        <fgColor indexed="14"/>
        <bgColor indexed="64"/>
      </patternFill>
    </fill>
    <fill>
      <patternFill patternType="solid">
        <fgColor rgb="FFFFFF00"/>
        <bgColor indexed="64"/>
      </patternFill>
    </fill>
    <fill>
      <patternFill patternType="solid">
        <fgColor rgb="FFE4DFEC"/>
        <bgColor indexed="64"/>
      </patternFill>
    </fill>
    <fill>
      <patternFill patternType="solid">
        <fgColor indexed="9"/>
        <bgColor indexed="64"/>
      </patternFill>
    </fill>
    <fill>
      <patternFill patternType="solid">
        <fgColor theme="7" tint="0.79998168889431442"/>
        <bgColor indexed="64"/>
      </patternFill>
    </fill>
    <fill>
      <patternFill patternType="solid">
        <fgColor rgb="FFE4DFEC"/>
        <bgColor rgb="FFB7DEE8"/>
      </patternFill>
    </fill>
    <fill>
      <patternFill patternType="solid">
        <fgColor rgb="FFDCD5E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right/>
      <top/>
      <bottom style="hair">
        <color indexed="64"/>
      </bottom>
      <diagonal/>
    </border>
    <border>
      <left/>
      <right/>
      <top style="hair">
        <color indexed="64"/>
      </top>
      <bottom/>
      <diagonal/>
    </border>
    <border>
      <left style="hair">
        <color indexed="64"/>
      </left>
      <right/>
      <top/>
      <bottom style="hair">
        <color indexed="64"/>
      </bottom>
      <diagonal/>
    </border>
  </borders>
  <cellStyleXfs count="25">
    <xf numFmtId="0" fontId="0" fillId="0" borderId="0"/>
    <xf numFmtId="0" fontId="4" fillId="0" borderId="0">
      <alignment vertical="center"/>
    </xf>
    <xf numFmtId="0" fontId="13" fillId="0" borderId="0" applyNumberFormat="0" applyFill="0" applyBorder="0" applyAlignment="0" applyProtection="0">
      <alignment vertical="top"/>
      <protection locked="0"/>
    </xf>
    <xf numFmtId="0" fontId="17" fillId="0" borderId="0"/>
    <xf numFmtId="0" fontId="18" fillId="0" borderId="0">
      <protection locked="0"/>
    </xf>
    <xf numFmtId="0" fontId="18" fillId="0" borderId="0" applyFill="0" applyBorder="0"/>
    <xf numFmtId="9" fontId="4" fillId="0" borderId="0" applyFont="0" applyFill="0" applyBorder="0" applyAlignment="0" applyProtection="0">
      <alignment vertical="center"/>
    </xf>
    <xf numFmtId="43" fontId="4" fillId="0" borderId="0" applyFont="0" applyFill="0" applyBorder="0" applyAlignment="0" applyProtection="0">
      <alignment vertical="center"/>
    </xf>
    <xf numFmtId="0" fontId="4" fillId="0" borderId="0">
      <alignment vertical="center"/>
    </xf>
    <xf numFmtId="176" fontId="18" fillId="0" borderId="0"/>
    <xf numFmtId="0" fontId="18" fillId="0" borderId="0">
      <alignment vertical="center"/>
    </xf>
    <xf numFmtId="0" fontId="18" fillId="0" borderId="0"/>
    <xf numFmtId="0" fontId="18" fillId="0" borderId="0">
      <alignment vertical="center"/>
    </xf>
    <xf numFmtId="0" fontId="3" fillId="0" borderId="0">
      <alignment vertical="center"/>
    </xf>
    <xf numFmtId="0" fontId="17" fillId="0" borderId="0"/>
    <xf numFmtId="176" fontId="3" fillId="0" borderId="0">
      <alignment vertical="center"/>
    </xf>
    <xf numFmtId="0" fontId="39" fillId="0" borderId="0" applyNumberFormat="0" applyFill="0" applyBorder="0" applyAlignment="0" applyProtection="0"/>
    <xf numFmtId="43" fontId="40" fillId="0" borderId="0" applyFont="0" applyFill="0" applyBorder="0" applyAlignment="0" applyProtection="0">
      <alignment vertical="center"/>
    </xf>
    <xf numFmtId="9" fontId="40" fillId="0" borderId="0" applyFont="0" applyFill="0" applyBorder="0" applyAlignment="0" applyProtection="0">
      <alignment vertical="center"/>
    </xf>
    <xf numFmtId="0" fontId="18" fillId="0" borderId="0"/>
    <xf numFmtId="0" fontId="17" fillId="0" borderId="0">
      <alignment vertical="center" shrinkToFit="1"/>
    </xf>
    <xf numFmtId="43" fontId="2"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176" fontId="1" fillId="0" borderId="0">
      <alignment vertical="center"/>
    </xf>
  </cellStyleXfs>
  <cellXfs count="427">
    <xf numFmtId="0" fontId="0" fillId="0" borderId="0" xfId="0"/>
    <xf numFmtId="0" fontId="10" fillId="0" borderId="0" xfId="1" applyFont="1" applyAlignment="1" applyProtection="1">
      <alignment horizontal="center" vertical="center"/>
      <protection locked="0"/>
    </xf>
    <xf numFmtId="43" fontId="9" fillId="0" borderId="0" xfId="5" applyNumberFormat="1" applyFont="1" applyBorder="1" applyAlignment="1">
      <alignment vertical="center"/>
    </xf>
    <xf numFmtId="0" fontId="9" fillId="0" borderId="0" xfId="4" applyFont="1" applyAlignment="1">
      <alignment vertical="center"/>
      <protection locked="0"/>
    </xf>
    <xf numFmtId="43" fontId="9" fillId="0" borderId="0" xfId="5" applyNumberFormat="1" applyFont="1" applyBorder="1" applyAlignment="1">
      <alignment horizontal="left" vertical="center"/>
    </xf>
    <xf numFmtId="49" fontId="9" fillId="0" borderId="0" xfId="5" applyNumberFormat="1" applyFont="1" applyBorder="1" applyAlignment="1">
      <alignment vertical="center"/>
    </xf>
    <xf numFmtId="0" fontId="15" fillId="0" borderId="0" xfId="4" applyFont="1" applyAlignment="1">
      <alignment vertical="center"/>
      <protection locked="0"/>
    </xf>
    <xf numFmtId="0" fontId="9" fillId="0" borderId="0" xfId="4" applyFont="1" applyAlignment="1">
      <alignment horizontal="left" vertical="center"/>
      <protection locked="0"/>
    </xf>
    <xf numFmtId="0" fontId="9" fillId="0" borderId="0" xfId="4" applyFont="1" applyAlignment="1">
      <alignment horizontal="right" vertical="center"/>
      <protection locked="0"/>
    </xf>
    <xf numFmtId="0" fontId="12" fillId="0" borderId="0" xfId="4" applyFont="1" applyAlignment="1">
      <alignment horizontal="left" vertical="center"/>
      <protection locked="0"/>
    </xf>
    <xf numFmtId="0" fontId="15" fillId="0" borderId="0" xfId="4" applyFont="1" applyAlignment="1">
      <alignment horizontal="right" vertical="center"/>
      <protection locked="0"/>
    </xf>
    <xf numFmtId="0" fontId="9" fillId="0" borderId="0" xfId="4" applyFont="1" applyAlignment="1">
      <alignment vertical="center" wrapText="1"/>
      <protection locked="0"/>
    </xf>
    <xf numFmtId="0" fontId="9" fillId="0" borderId="0" xfId="4" applyFont="1" applyAlignment="1">
      <alignment horizontal="center" vertical="center" wrapText="1"/>
      <protection locked="0"/>
    </xf>
    <xf numFmtId="0" fontId="8" fillId="0" borderId="0" xfId="4" applyFont="1" applyAlignment="1">
      <alignment vertical="center"/>
      <protection locked="0"/>
    </xf>
    <xf numFmtId="0" fontId="22" fillId="0" borderId="5" xfId="4" applyFont="1" applyBorder="1" applyAlignment="1">
      <alignment horizontal="center" vertical="center" wrapText="1"/>
      <protection locked="0"/>
    </xf>
    <xf numFmtId="0" fontId="22" fillId="0" borderId="5" xfId="4" applyFont="1" applyBorder="1" applyAlignment="1">
      <alignment horizontal="right" vertical="center" wrapText="1"/>
      <protection locked="0"/>
    </xf>
    <xf numFmtId="10" fontId="9" fillId="4" borderId="5" xfId="6" applyNumberFormat="1" applyFont="1" applyFill="1" applyBorder="1" applyAlignment="1">
      <alignment horizontal="right" vertical="center" wrapText="1"/>
    </xf>
    <xf numFmtId="0" fontId="20" fillId="4" borderId="5" xfId="4" applyFont="1" applyFill="1" applyBorder="1" applyAlignment="1">
      <alignment horizontal="center" vertical="center" wrapText="1"/>
      <protection locked="0"/>
    </xf>
    <xf numFmtId="43" fontId="9" fillId="4" borderId="5" xfId="7" applyFont="1" applyFill="1" applyBorder="1" applyAlignment="1">
      <alignment horizontal="right" vertical="center" wrapText="1"/>
    </xf>
    <xf numFmtId="10" fontId="15" fillId="4" borderId="5" xfId="6" applyNumberFormat="1" applyFont="1" applyFill="1" applyBorder="1" applyAlignment="1">
      <alignment horizontal="right" vertical="center" wrapText="1"/>
    </xf>
    <xf numFmtId="0" fontId="5" fillId="0" borderId="0" xfId="4" applyFont="1" applyAlignment="1">
      <alignment vertical="center"/>
      <protection locked="0"/>
    </xf>
    <xf numFmtId="0" fontId="20" fillId="0" borderId="5" xfId="4" applyFont="1" applyBorder="1" applyAlignment="1">
      <alignment horizontal="center" vertical="center" wrapText="1"/>
      <protection locked="0"/>
    </xf>
    <xf numFmtId="0" fontId="22" fillId="0" borderId="0" xfId="4" applyFont="1" applyAlignment="1">
      <alignment horizontal="right" vertical="center" wrapText="1"/>
      <protection locked="0"/>
    </xf>
    <xf numFmtId="0" fontId="20" fillId="0" borderId="0" xfId="4" applyFont="1" applyAlignment="1">
      <alignment horizontal="center" vertical="center" wrapText="1"/>
      <protection locked="0"/>
    </xf>
    <xf numFmtId="0" fontId="20" fillId="0" borderId="0" xfId="4" applyFont="1" applyAlignment="1">
      <alignment horizontal="left" vertical="center"/>
      <protection locked="0"/>
    </xf>
    <xf numFmtId="0" fontId="22" fillId="0" borderId="0" xfId="4" applyFont="1" applyAlignment="1">
      <alignment horizontal="left" vertical="center"/>
      <protection locked="0"/>
    </xf>
    <xf numFmtId="43" fontId="25" fillId="0" borderId="5" xfId="7" applyFont="1" applyBorder="1" applyAlignment="1">
      <alignment vertical="center" shrinkToFit="1"/>
    </xf>
    <xf numFmtId="0" fontId="25" fillId="0" borderId="5" xfId="1" applyFont="1" applyBorder="1" applyAlignment="1">
      <alignment horizontal="center" vertical="center"/>
    </xf>
    <xf numFmtId="0" fontId="9" fillId="0" borderId="5" xfId="4" applyFont="1" applyBorder="1" applyAlignment="1">
      <alignment vertical="center"/>
      <protection locked="0"/>
    </xf>
    <xf numFmtId="10" fontId="19" fillId="4" borderId="5" xfId="6" applyNumberFormat="1" applyFont="1" applyFill="1" applyBorder="1" applyAlignment="1">
      <alignment horizontal="center" vertical="center" wrapText="1"/>
    </xf>
    <xf numFmtId="0" fontId="11" fillId="0" borderId="0" xfId="4" applyFont="1" applyAlignment="1" applyProtection="1">
      <alignment vertical="center"/>
    </xf>
    <xf numFmtId="0" fontId="25" fillId="0" borderId="0" xfId="10" applyFont="1" applyAlignment="1">
      <alignment vertical="center" wrapText="1"/>
    </xf>
    <xf numFmtId="0" fontId="9" fillId="0" borderId="0" xfId="12" applyFont="1">
      <alignment vertical="center"/>
    </xf>
    <xf numFmtId="0" fontId="15" fillId="0" borderId="0" xfId="12" applyFont="1">
      <alignment vertical="center"/>
    </xf>
    <xf numFmtId="0" fontId="29" fillId="0" borderId="0" xfId="14" applyFont="1" applyAlignment="1">
      <alignment horizontal="left" vertical="center"/>
    </xf>
    <xf numFmtId="0" fontId="12" fillId="0" borderId="5" xfId="12" applyFont="1" applyFill="1" applyBorder="1" applyAlignment="1">
      <alignment vertical="center" wrapText="1"/>
    </xf>
    <xf numFmtId="43" fontId="9" fillId="4" borderId="5" xfId="17" applyFont="1" applyFill="1" applyBorder="1" applyAlignment="1">
      <alignment horizontal="right" vertical="center" wrapText="1"/>
    </xf>
    <xf numFmtId="0" fontId="15" fillId="0" borderId="0" xfId="3" applyFont="1" applyAlignment="1">
      <alignment vertical="center"/>
    </xf>
    <xf numFmtId="43" fontId="15" fillId="4" borderId="5" xfId="17" applyFont="1" applyFill="1" applyBorder="1" applyAlignment="1">
      <alignment horizontal="right" vertical="center" wrapText="1"/>
    </xf>
    <xf numFmtId="14" fontId="9" fillId="0" borderId="0" xfId="4" applyNumberFormat="1" applyFont="1" applyAlignment="1">
      <alignment vertical="center"/>
      <protection locked="0"/>
    </xf>
    <xf numFmtId="0" fontId="22" fillId="0" borderId="5" xfId="0" applyFont="1" applyBorder="1" applyAlignment="1">
      <alignment horizontal="center" vertical="center"/>
    </xf>
    <xf numFmtId="14" fontId="22" fillId="0" borderId="5" xfId="0" applyNumberFormat="1" applyFont="1" applyBorder="1" applyAlignment="1">
      <alignment vertical="center"/>
    </xf>
    <xf numFmtId="0" fontId="22" fillId="0" borderId="5" xfId="0" applyFont="1" applyBorder="1" applyAlignment="1">
      <alignment vertical="center"/>
    </xf>
    <xf numFmtId="14" fontId="9" fillId="0" borderId="5" xfId="0" applyNumberFormat="1" applyFont="1" applyBorder="1" applyAlignment="1">
      <alignment vertical="center"/>
    </xf>
    <xf numFmtId="14" fontId="8" fillId="0" borderId="0" xfId="4" applyNumberFormat="1" applyFont="1" applyAlignment="1">
      <alignment vertical="center"/>
      <protection locked="0"/>
    </xf>
    <xf numFmtId="43" fontId="25" fillId="0" borderId="5" xfId="17" applyFont="1" applyBorder="1" applyAlignment="1" applyProtection="1">
      <alignment vertical="center"/>
      <protection locked="0"/>
    </xf>
    <xf numFmtId="0" fontId="25" fillId="0" borderId="0" xfId="10" applyFont="1" applyAlignment="1">
      <alignment horizontal="center" vertical="center"/>
    </xf>
    <xf numFmtId="0" fontId="46" fillId="0" borderId="1" xfId="1" applyFont="1" applyBorder="1" applyAlignment="1">
      <alignment horizontal="center" vertical="center"/>
    </xf>
    <xf numFmtId="0" fontId="48" fillId="0" borderId="1" xfId="1" applyFont="1" applyFill="1" applyBorder="1" applyAlignment="1">
      <alignment horizontal="left" vertical="center"/>
    </xf>
    <xf numFmtId="0" fontId="49" fillId="0" borderId="1" xfId="1" applyFont="1" applyFill="1" applyBorder="1" applyAlignment="1">
      <alignment vertical="center" wrapText="1"/>
    </xf>
    <xf numFmtId="0" fontId="44" fillId="0" borderId="0" xfId="1" applyFont="1" applyAlignment="1" applyProtection="1">
      <alignment vertical="center"/>
      <protection locked="0"/>
    </xf>
    <xf numFmtId="0" fontId="10" fillId="0" borderId="0" xfId="1" applyFont="1" applyAlignment="1" applyProtection="1">
      <alignment vertical="center"/>
      <protection locked="0"/>
    </xf>
    <xf numFmtId="0" fontId="10" fillId="0" borderId="0" xfId="1" applyFont="1" applyAlignment="1" applyProtection="1">
      <alignment horizontal="justify" vertical="center" wrapText="1"/>
      <protection locked="0"/>
    </xf>
    <xf numFmtId="0" fontId="44" fillId="0" borderId="0" xfId="1" applyFont="1" applyAlignment="1" applyProtection="1">
      <alignment horizontal="justify" vertical="center"/>
      <protection locked="0"/>
    </xf>
    <xf numFmtId="0" fontId="10" fillId="0" borderId="1" xfId="0" applyFont="1" applyBorder="1" applyAlignment="1" applyProtection="1">
      <alignment vertical="center"/>
      <protection locked="0"/>
    </xf>
    <xf numFmtId="0" fontId="25" fillId="0" borderId="5" xfId="1" applyFont="1" applyBorder="1" applyAlignment="1">
      <alignment vertical="center"/>
    </xf>
    <xf numFmtId="0" fontId="27" fillId="0" borderId="0" xfId="4" applyFont="1" applyAlignment="1">
      <alignment vertical="center"/>
      <protection locked="0"/>
    </xf>
    <xf numFmtId="0" fontId="9" fillId="0" borderId="0" xfId="10" applyFont="1" applyAlignment="1">
      <alignment vertical="center"/>
    </xf>
    <xf numFmtId="14" fontId="9" fillId="0" borderId="0" xfId="10" applyNumberFormat="1" applyFont="1" applyAlignment="1">
      <alignment vertical="center"/>
    </xf>
    <xf numFmtId="0" fontId="32" fillId="0" borderId="0" xfId="4" applyFont="1" applyAlignment="1" applyProtection="1">
      <alignment horizontal="center" vertical="center"/>
    </xf>
    <xf numFmtId="0" fontId="25" fillId="0" borderId="0" xfId="10" applyFont="1" applyAlignment="1">
      <alignment vertical="center"/>
    </xf>
    <xf numFmtId="0" fontId="51" fillId="0" borderId="0" xfId="0" applyFont="1" applyAlignment="1">
      <alignment vertical="center"/>
    </xf>
    <xf numFmtId="0" fontId="51" fillId="0" borderId="0" xfId="0" applyFont="1" applyAlignment="1">
      <alignment vertical="center" wrapText="1"/>
    </xf>
    <xf numFmtId="0" fontId="42" fillId="0" borderId="0" xfId="16" applyFont="1" applyAlignment="1">
      <alignment vertical="center"/>
    </xf>
    <xf numFmtId="14" fontId="9" fillId="0" borderId="0" xfId="4" applyNumberFormat="1" applyFont="1" applyAlignment="1">
      <alignment horizontal="left" vertical="center"/>
      <protection locked="0"/>
    </xf>
    <xf numFmtId="14" fontId="52" fillId="4" borderId="5" xfId="8" applyNumberFormat="1" applyFont="1" applyFill="1" applyBorder="1" applyAlignment="1" applyProtection="1">
      <alignment horizontal="center" vertical="center" wrapText="1"/>
      <protection locked="0"/>
    </xf>
    <xf numFmtId="0" fontId="52" fillId="4" borderId="5" xfId="8" applyFont="1" applyFill="1" applyBorder="1" applyAlignment="1" applyProtection="1">
      <alignment horizontal="center" vertical="center" wrapText="1"/>
      <protection locked="0"/>
    </xf>
    <xf numFmtId="0" fontId="22" fillId="0" borderId="5" xfId="0" applyFont="1" applyBorder="1" applyAlignment="1">
      <alignment vertical="center" wrapText="1"/>
    </xf>
    <xf numFmtId="0" fontId="9" fillId="0" borderId="5" xfId="0" applyFont="1" applyBorder="1" applyAlignment="1">
      <alignment vertical="center" wrapText="1"/>
    </xf>
    <xf numFmtId="0" fontId="15" fillId="4" borderId="5" xfId="4" applyFont="1" applyFill="1" applyBorder="1" applyAlignment="1">
      <alignment horizontal="center" vertical="center" wrapText="1"/>
      <protection locked="0"/>
    </xf>
    <xf numFmtId="10" fontId="51" fillId="0" borderId="0" xfId="0" applyNumberFormat="1" applyFont="1" applyAlignment="1">
      <alignment vertical="center"/>
    </xf>
    <xf numFmtId="10" fontId="51" fillId="0" borderId="0" xfId="0" applyNumberFormat="1" applyFont="1" applyAlignment="1">
      <alignment vertical="center" wrapText="1"/>
    </xf>
    <xf numFmtId="0" fontId="51" fillId="0" borderId="7" xfId="0" applyFont="1" applyBorder="1" applyAlignment="1">
      <alignment vertical="center"/>
    </xf>
    <xf numFmtId="10" fontId="51" fillId="0" borderId="7" xfId="18" applyNumberFormat="1" applyFont="1" applyBorder="1" applyAlignment="1">
      <alignment vertical="center"/>
    </xf>
    <xf numFmtId="178" fontId="51" fillId="0" borderId="0" xfId="18" applyNumberFormat="1" applyFont="1" applyAlignment="1">
      <alignment vertical="center"/>
    </xf>
    <xf numFmtId="0" fontId="51" fillId="0" borderId="5" xfId="0" applyFont="1" applyBorder="1" applyAlignment="1">
      <alignment vertical="center"/>
    </xf>
    <xf numFmtId="10" fontId="51" fillId="0" borderId="5" xfId="18" applyNumberFormat="1" applyFont="1" applyBorder="1" applyAlignment="1">
      <alignment vertical="center"/>
    </xf>
    <xf numFmtId="0" fontId="54" fillId="0" borderId="0" xfId="0" applyFont="1" applyAlignment="1">
      <alignment vertical="center"/>
    </xf>
    <xf numFmtId="0" fontId="51" fillId="0" borderId="0" xfId="1" applyFont="1" applyAlignment="1">
      <alignment vertical="center"/>
    </xf>
    <xf numFmtId="0" fontId="5" fillId="0" borderId="0" xfId="4" applyFont="1" applyFill="1" applyAlignment="1">
      <alignment vertical="center"/>
      <protection locked="0"/>
    </xf>
    <xf numFmtId="0" fontId="51" fillId="0" borderId="0" xfId="1" applyFont="1" applyFill="1" applyAlignment="1">
      <alignment vertical="center"/>
    </xf>
    <xf numFmtId="0" fontId="9" fillId="3" borderId="0" xfId="4" applyFont="1" applyFill="1" applyAlignment="1">
      <alignment vertical="center"/>
      <protection locked="0"/>
    </xf>
    <xf numFmtId="0" fontId="52" fillId="0" borderId="0" xfId="10" applyFont="1" applyAlignment="1">
      <alignment vertical="center"/>
    </xf>
    <xf numFmtId="10" fontId="15" fillId="4" borderId="5" xfId="6" applyNumberFormat="1" applyFont="1" applyFill="1" applyBorder="1" applyAlignment="1">
      <alignment horizontal="center" vertical="center" wrapText="1"/>
    </xf>
    <xf numFmtId="0" fontId="25" fillId="0" borderId="0" xfId="11" applyFont="1" applyAlignment="1">
      <alignment vertical="center"/>
    </xf>
    <xf numFmtId="177" fontId="25" fillId="0" borderId="0" xfId="11" applyNumberFormat="1" applyFont="1" applyAlignment="1">
      <alignment vertical="center"/>
    </xf>
    <xf numFmtId="0" fontId="25" fillId="0" borderId="0" xfId="0" applyFont="1" applyAlignment="1">
      <alignment vertical="center"/>
    </xf>
    <xf numFmtId="0" fontId="52" fillId="0" borderId="0" xfId="11" applyFont="1" applyAlignment="1">
      <alignment horizontal="center" vertical="center"/>
    </xf>
    <xf numFmtId="0" fontId="15" fillId="0" borderId="0" xfId="4" applyFont="1" applyAlignment="1" applyProtection="1">
      <alignment horizontal="center" vertical="center"/>
    </xf>
    <xf numFmtId="177" fontId="25" fillId="0" borderId="5" xfId="11" applyNumberFormat="1" applyFont="1" applyBorder="1" applyAlignment="1">
      <alignment vertical="center" wrapText="1"/>
    </xf>
    <xf numFmtId="0" fontId="25" fillId="0" borderId="5" xfId="11" applyFont="1" applyBorder="1" applyAlignment="1">
      <alignment vertical="center"/>
    </xf>
    <xf numFmtId="0" fontId="9" fillId="0" borderId="0" xfId="4" applyFont="1" applyAlignment="1" applyProtection="1">
      <alignment vertical="center"/>
    </xf>
    <xf numFmtId="0" fontId="25" fillId="0" borderId="0" xfId="1" applyFont="1" applyAlignment="1">
      <alignment vertical="center"/>
    </xf>
    <xf numFmtId="0" fontId="52" fillId="0" borderId="5" xfId="1" applyFont="1" applyBorder="1" applyAlignment="1">
      <alignment vertical="center" wrapText="1"/>
    </xf>
    <xf numFmtId="0" fontId="51" fillId="0" borderId="0" xfId="13" applyFont="1">
      <alignment vertical="center"/>
    </xf>
    <xf numFmtId="0" fontId="51" fillId="0" borderId="8" xfId="13" applyFont="1" applyBorder="1">
      <alignment vertical="center"/>
    </xf>
    <xf numFmtId="0" fontId="15" fillId="0" borderId="0" xfId="14" applyFont="1" applyAlignment="1">
      <alignment horizontal="left" vertical="center"/>
    </xf>
    <xf numFmtId="0" fontId="51" fillId="0" borderId="0" xfId="13" applyFont="1" applyBorder="1">
      <alignment vertical="center"/>
    </xf>
    <xf numFmtId="0" fontId="51" fillId="0" borderId="9" xfId="13" applyFont="1" applyBorder="1">
      <alignment vertical="center"/>
    </xf>
    <xf numFmtId="0" fontId="11" fillId="0" borderId="0" xfId="14" applyFont="1" applyAlignment="1">
      <alignment horizontal="left" vertical="center"/>
    </xf>
    <xf numFmtId="0" fontId="51" fillId="0" borderId="10" xfId="13" applyFont="1" applyBorder="1">
      <alignment vertical="center"/>
    </xf>
    <xf numFmtId="0" fontId="15" fillId="0" borderId="0" xfId="0" applyFont="1" applyAlignment="1" applyProtection="1">
      <alignment vertical="center"/>
      <protection locked="0"/>
    </xf>
    <xf numFmtId="0" fontId="9" fillId="0" borderId="0" xfId="4" applyFont="1" applyAlignment="1">
      <alignment horizontal="left" vertical="center" wrapText="1"/>
      <protection locked="0"/>
    </xf>
    <xf numFmtId="0" fontId="9" fillId="0" borderId="0" xfId="4" applyFont="1" applyAlignment="1">
      <alignment horizontal="left" vertical="center"/>
      <protection locked="0"/>
    </xf>
    <xf numFmtId="0" fontId="9" fillId="0" borderId="0" xfId="4" applyFont="1" applyAlignment="1">
      <alignment horizontal="left" vertical="center"/>
      <protection locked="0"/>
    </xf>
    <xf numFmtId="0" fontId="56" fillId="4" borderId="5" xfId="6" applyNumberFormat="1" applyFont="1" applyFill="1" applyBorder="1" applyAlignment="1">
      <alignment horizontal="center" vertical="center" wrapText="1"/>
    </xf>
    <xf numFmtId="43" fontId="51" fillId="0" borderId="7" xfId="17" applyFont="1" applyBorder="1" applyAlignment="1">
      <alignment vertical="center"/>
    </xf>
    <xf numFmtId="49" fontId="9" fillId="0" borderId="5" xfId="0" applyNumberFormat="1" applyFont="1" applyBorder="1" applyAlignment="1">
      <alignment vertical="center" wrapText="1"/>
    </xf>
    <xf numFmtId="4" fontId="22" fillId="0" borderId="5" xfId="0" applyNumberFormat="1" applyFont="1" applyBorder="1" applyAlignment="1">
      <alignment horizontal="right" vertical="center"/>
    </xf>
    <xf numFmtId="0" fontId="22" fillId="0" borderId="5" xfId="0" applyFont="1" applyBorder="1" applyAlignment="1">
      <alignment horizontal="right" vertical="center"/>
    </xf>
    <xf numFmtId="0" fontId="9" fillId="0" borderId="5" xfId="0" applyFont="1" applyBorder="1" applyAlignment="1">
      <alignment horizontal="right" vertical="center"/>
    </xf>
    <xf numFmtId="4" fontId="9" fillId="0" borderId="5" xfId="0" applyNumberFormat="1" applyFont="1" applyBorder="1" applyAlignment="1">
      <alignment horizontal="right" vertical="center"/>
    </xf>
    <xf numFmtId="4" fontId="9" fillId="0" borderId="5" xfId="0" applyNumberFormat="1" applyFont="1" applyBorder="1" applyAlignment="1">
      <alignment vertical="center" wrapText="1"/>
    </xf>
    <xf numFmtId="0" fontId="9" fillId="0" borderId="0" xfId="4" applyFont="1" applyAlignment="1">
      <alignment horizontal="left" vertical="center" wrapText="1"/>
      <protection locked="0"/>
    </xf>
    <xf numFmtId="0" fontId="9" fillId="0" borderId="0" xfId="4" applyFont="1" applyAlignment="1">
      <alignment horizontal="left" vertical="center"/>
      <protection locked="0"/>
    </xf>
    <xf numFmtId="0" fontId="9" fillId="0" borderId="0" xfId="4" applyFont="1" applyAlignment="1">
      <alignment horizontal="left" vertical="center" wrapText="1"/>
      <protection locked="0"/>
    </xf>
    <xf numFmtId="0" fontId="9" fillId="0" borderId="0" xfId="4" applyFont="1" applyAlignment="1">
      <alignment horizontal="left" vertical="center"/>
      <protection locked="0"/>
    </xf>
    <xf numFmtId="0" fontId="9" fillId="0" borderId="5" xfId="12" applyFont="1" applyFill="1" applyBorder="1" applyAlignment="1">
      <alignment horizontal="center" vertical="center" wrapText="1"/>
    </xf>
    <xf numFmtId="0" fontId="9" fillId="5" borderId="5" xfId="12" applyFont="1" applyFill="1" applyBorder="1" applyAlignment="1">
      <alignment horizontal="center" vertical="center"/>
    </xf>
    <xf numFmtId="0" fontId="9" fillId="0" borderId="5" xfId="12" applyFont="1" applyFill="1" applyBorder="1" applyAlignment="1">
      <alignment horizontal="center" vertical="center"/>
    </xf>
    <xf numFmtId="0" fontId="19" fillId="0" borderId="0" xfId="0" applyFont="1" applyAlignment="1" applyProtection="1">
      <alignment vertical="center"/>
      <protection locked="0"/>
    </xf>
    <xf numFmtId="0" fontId="12" fillId="0" borderId="0" xfId="0" applyFont="1" applyAlignment="1" applyProtection="1">
      <alignment vertical="center"/>
      <protection locked="0"/>
    </xf>
    <xf numFmtId="0" fontId="51" fillId="0" borderId="0" xfId="13" applyFont="1" applyAlignment="1">
      <alignment vertical="center" wrapText="1"/>
    </xf>
    <xf numFmtId="176" fontId="26" fillId="0" borderId="5" xfId="15" applyFont="1" applyFill="1" applyBorder="1" applyAlignment="1">
      <alignment horizontal="center" vertical="center" wrapText="1"/>
    </xf>
    <xf numFmtId="176" fontId="25" fillId="0" borderId="5" xfId="15" applyFont="1" applyFill="1" applyBorder="1" applyAlignment="1">
      <alignment horizontal="center" vertical="center" wrapText="1"/>
    </xf>
    <xf numFmtId="176" fontId="24" fillId="0" borderId="5" xfId="15" applyFont="1" applyFill="1" applyBorder="1" applyAlignment="1">
      <alignment horizontal="center" vertical="center" wrapText="1"/>
    </xf>
    <xf numFmtId="0" fontId="9" fillId="5" borderId="5" xfId="12" applyFont="1" applyFill="1" applyBorder="1" applyAlignment="1">
      <alignment horizontal="center" vertical="center" wrapText="1"/>
    </xf>
    <xf numFmtId="0" fontId="59" fillId="0" borderId="0" xfId="4" applyFont="1" applyAlignment="1">
      <alignment horizontal="left" vertical="center"/>
      <protection locked="0"/>
    </xf>
    <xf numFmtId="0" fontId="12" fillId="0" borderId="5" xfId="12" applyFont="1" applyFill="1" applyBorder="1" applyAlignment="1">
      <alignment horizontal="center" vertical="center" wrapText="1"/>
    </xf>
    <xf numFmtId="0" fontId="60" fillId="0" borderId="0" xfId="4" applyFont="1" applyAlignment="1">
      <alignment vertical="center"/>
      <protection locked="0"/>
    </xf>
    <xf numFmtId="14" fontId="9" fillId="0" borderId="5" xfId="4" applyNumberFormat="1" applyFont="1" applyBorder="1" applyAlignment="1">
      <alignment horizontal="left" vertical="center" wrapText="1"/>
      <protection locked="0"/>
    </xf>
    <xf numFmtId="0" fontId="38" fillId="0" borderId="5" xfId="4" applyFont="1" applyBorder="1" applyAlignment="1">
      <alignment horizontal="left" vertical="center" wrapText="1"/>
      <protection locked="0"/>
    </xf>
    <xf numFmtId="179" fontId="9" fillId="0" borderId="5" xfId="4" applyNumberFormat="1" applyFont="1" applyBorder="1" applyAlignment="1">
      <alignment vertical="center" wrapText="1"/>
      <protection locked="0"/>
    </xf>
    <xf numFmtId="0" fontId="9" fillId="0" borderId="5" xfId="4" applyFont="1" applyBorder="1" applyAlignment="1">
      <alignment horizontal="center" vertical="center"/>
      <protection locked="0"/>
    </xf>
    <xf numFmtId="0" fontId="19" fillId="0" borderId="0" xfId="19" applyFont="1" applyAlignment="1">
      <alignment vertical="center"/>
    </xf>
    <xf numFmtId="0" fontId="9" fillId="0" borderId="0" xfId="19" applyFont="1" applyAlignment="1" applyProtection="1">
      <alignment vertical="center"/>
      <protection locked="0"/>
    </xf>
    <xf numFmtId="0" fontId="9" fillId="0" borderId="0" xfId="19" applyFont="1" applyAlignment="1">
      <alignment vertical="center" wrapText="1"/>
    </xf>
    <xf numFmtId="0" fontId="9" fillId="0" borderId="0" xfId="19" applyFont="1" applyAlignment="1">
      <alignment vertical="center"/>
    </xf>
    <xf numFmtId="0" fontId="9" fillId="0" borderId="0" xfId="19" applyFont="1" applyAlignment="1">
      <alignment horizontal="left" vertical="center" wrapText="1"/>
    </xf>
    <xf numFmtId="0" fontId="15" fillId="0" borderId="0" xfId="19" applyFont="1" applyAlignment="1">
      <alignment horizontal="left" vertical="center"/>
    </xf>
    <xf numFmtId="0" fontId="51" fillId="0" borderId="0" xfId="0" applyFont="1" applyProtection="1">
      <protection locked="0"/>
    </xf>
    <xf numFmtId="0" fontId="12" fillId="0" borderId="0" xfId="19" applyFont="1" applyAlignment="1">
      <alignment horizontal="left" vertical="center"/>
    </xf>
    <xf numFmtId="0" fontId="28" fillId="0" borderId="0" xfId="19" applyFont="1" applyAlignment="1">
      <alignment horizontal="left" vertical="center"/>
    </xf>
    <xf numFmtId="0" fontId="0" fillId="0" borderId="0" xfId="0" applyProtection="1">
      <protection locked="0"/>
    </xf>
    <xf numFmtId="0" fontId="15" fillId="0" borderId="0" xfId="19" applyFont="1" applyAlignment="1">
      <alignment vertical="center"/>
    </xf>
    <xf numFmtId="0" fontId="15" fillId="0" borderId="0" xfId="19" applyFont="1" applyBorder="1" applyAlignment="1">
      <alignment vertical="center"/>
    </xf>
    <xf numFmtId="0" fontId="62" fillId="0" borderId="0" xfId="19" applyFont="1" applyBorder="1" applyAlignment="1" applyProtection="1">
      <alignment horizontal="center" vertical="center"/>
      <protection hidden="1"/>
    </xf>
    <xf numFmtId="0" fontId="9" fillId="0" borderId="0" xfId="19" applyFont="1" applyBorder="1" applyAlignment="1" applyProtection="1">
      <alignment horizontal="left" vertical="center"/>
      <protection hidden="1"/>
    </xf>
    <xf numFmtId="0" fontId="62" fillId="0" borderId="0" xfId="19" applyFont="1" applyBorder="1" applyAlignment="1" applyProtection="1">
      <alignment horizontal="left" vertical="center"/>
      <protection locked="0"/>
    </xf>
    <xf numFmtId="0" fontId="9" fillId="0" borderId="0" xfId="19" applyFont="1" applyBorder="1" applyAlignment="1" applyProtection="1">
      <alignment vertical="center"/>
      <protection locked="0"/>
    </xf>
    <xf numFmtId="0" fontId="19" fillId="0" borderId="17" xfId="19" applyFont="1" applyBorder="1" applyAlignment="1">
      <alignment vertical="center"/>
    </xf>
    <xf numFmtId="0" fontId="15" fillId="0" borderId="17" xfId="19" applyFont="1" applyBorder="1" applyAlignment="1">
      <alignment vertical="center"/>
    </xf>
    <xf numFmtId="0" fontId="62" fillId="0" borderId="17" xfId="19" applyFont="1" applyBorder="1" applyAlignment="1" applyProtection="1">
      <alignment horizontal="center" vertical="center"/>
      <protection hidden="1"/>
    </xf>
    <xf numFmtId="0" fontId="9" fillId="0" borderId="17" xfId="19" applyFont="1" applyBorder="1" applyAlignment="1" applyProtection="1">
      <alignment horizontal="left" vertical="center"/>
      <protection hidden="1"/>
    </xf>
    <xf numFmtId="0" fontId="62" fillId="0" borderId="17" xfId="19" applyFont="1" applyBorder="1" applyAlignment="1" applyProtection="1">
      <alignment horizontal="left" vertical="center"/>
      <protection locked="0"/>
    </xf>
    <xf numFmtId="0" fontId="9" fillId="0" borderId="17" xfId="19" applyFont="1" applyBorder="1" applyAlignment="1" applyProtection="1">
      <alignment vertical="center"/>
      <protection locked="0"/>
    </xf>
    <xf numFmtId="0" fontId="15" fillId="4" borderId="5" xfId="4" applyFont="1" applyFill="1" applyBorder="1" applyAlignment="1">
      <alignment horizontal="center" vertical="center"/>
      <protection locked="0"/>
    </xf>
    <xf numFmtId="0" fontId="56" fillId="4" borderId="5" xfId="4" applyFont="1" applyFill="1" applyBorder="1" applyAlignment="1">
      <alignment horizontal="center" vertical="center"/>
      <protection locked="0"/>
    </xf>
    <xf numFmtId="0" fontId="9" fillId="0" borderId="5" xfId="4" applyFont="1" applyBorder="1" applyAlignment="1">
      <alignment horizontal="left" vertical="center"/>
      <protection locked="0"/>
    </xf>
    <xf numFmtId="14" fontId="9" fillId="0" borderId="5" xfId="4" applyNumberFormat="1" applyFont="1" applyBorder="1" applyAlignment="1">
      <alignment horizontal="center" vertical="center"/>
      <protection locked="0"/>
    </xf>
    <xf numFmtId="0" fontId="9" fillId="0" borderId="5" xfId="4" applyFont="1" applyBorder="1" applyAlignment="1">
      <alignment vertical="center" wrapText="1"/>
      <protection locked="0"/>
    </xf>
    <xf numFmtId="43" fontId="9" fillId="0" borderId="5" xfId="17" applyFont="1" applyBorder="1" applyAlignment="1" applyProtection="1">
      <alignment horizontal="left" vertical="center"/>
      <protection locked="0"/>
    </xf>
    <xf numFmtId="0" fontId="12" fillId="0" borderId="5" xfId="4" applyFont="1" applyBorder="1" applyAlignment="1">
      <alignment vertical="center" wrapText="1"/>
      <protection locked="0"/>
    </xf>
    <xf numFmtId="43" fontId="9" fillId="0" borderId="5" xfId="17" applyFont="1" applyBorder="1" applyAlignment="1" applyProtection="1">
      <alignment vertical="center" wrapText="1"/>
      <protection locked="0"/>
    </xf>
    <xf numFmtId="0" fontId="9" fillId="0" borderId="5" xfId="4" applyFont="1" applyBorder="1" applyAlignment="1">
      <alignment horizontal="center" vertical="center" wrapText="1"/>
      <protection locked="0"/>
    </xf>
    <xf numFmtId="0" fontId="9" fillId="0" borderId="0" xfId="4" applyFont="1" applyBorder="1" applyAlignment="1">
      <alignment horizontal="left" vertical="center"/>
      <protection locked="0"/>
    </xf>
    <xf numFmtId="0" fontId="9" fillId="0" borderId="0" xfId="4" applyFont="1" applyBorder="1" applyAlignment="1">
      <alignment vertical="center" wrapText="1"/>
      <protection locked="0"/>
    </xf>
    <xf numFmtId="43" fontId="9" fillId="0" borderId="0" xfId="4" applyNumberFormat="1" applyFont="1" applyBorder="1" applyAlignment="1">
      <alignment horizontal="left" vertical="center"/>
      <protection locked="0"/>
    </xf>
    <xf numFmtId="0" fontId="57" fillId="7" borderId="5" xfId="4" applyNumberFormat="1" applyFont="1" applyFill="1" applyBorder="1" applyAlignment="1" applyProtection="1">
      <alignment horizontal="center" vertical="center" wrapText="1"/>
    </xf>
    <xf numFmtId="0" fontId="9" fillId="0" borderId="0" xfId="4" applyFont="1" applyBorder="1" applyAlignment="1">
      <alignment horizontal="center" vertical="center"/>
      <protection locked="0"/>
    </xf>
    <xf numFmtId="0" fontId="9" fillId="0" borderId="0" xfId="4" applyFont="1" applyBorder="1" applyAlignment="1">
      <alignment vertical="center"/>
      <protection locked="0"/>
    </xf>
    <xf numFmtId="0" fontId="9" fillId="0" borderId="0" xfId="4" applyFont="1" applyFill="1" applyBorder="1" applyAlignment="1">
      <alignment horizontal="center" vertical="center"/>
      <protection locked="0"/>
    </xf>
    <xf numFmtId="0" fontId="15" fillId="0" borderId="0" xfId="4" applyFont="1" applyFill="1" applyBorder="1" applyAlignment="1">
      <alignment vertical="center"/>
      <protection locked="0"/>
    </xf>
    <xf numFmtId="0" fontId="15" fillId="0" borderId="0" xfId="4" applyFont="1" applyBorder="1" applyAlignment="1">
      <alignment vertical="center"/>
      <protection locked="0"/>
    </xf>
    <xf numFmtId="0" fontId="27" fillId="0" borderId="0" xfId="4" applyFont="1" applyFill="1" applyAlignment="1">
      <alignment horizontal="left" vertical="center"/>
      <protection locked="0"/>
    </xf>
    <xf numFmtId="0" fontId="9" fillId="0" borderId="0" xfId="4" applyFont="1" applyFill="1" applyAlignment="1">
      <alignment horizontal="center" vertical="center"/>
      <protection locked="0"/>
    </xf>
    <xf numFmtId="0" fontId="27" fillId="0" borderId="0" xfId="4" applyFont="1" applyAlignment="1">
      <alignment horizontal="left" vertical="center"/>
      <protection locked="0"/>
    </xf>
    <xf numFmtId="0" fontId="9" fillId="0" borderId="0" xfId="4" applyFont="1" applyAlignment="1">
      <alignment horizontal="center" vertical="center"/>
      <protection locked="0"/>
    </xf>
    <xf numFmtId="0" fontId="15" fillId="0" borderId="0" xfId="4" applyFont="1" applyFill="1" applyAlignment="1">
      <alignment horizontal="left" vertical="center"/>
      <protection locked="0"/>
    </xf>
    <xf numFmtId="0" fontId="15" fillId="0" borderId="0" xfId="4" applyFont="1" applyAlignment="1">
      <alignment horizontal="left" vertical="center"/>
      <protection locked="0"/>
    </xf>
    <xf numFmtId="0" fontId="35" fillId="0" borderId="0" xfId="4" applyFont="1" applyAlignment="1">
      <alignment vertical="center"/>
      <protection locked="0"/>
    </xf>
    <xf numFmtId="0" fontId="9" fillId="0" borderId="0" xfId="4" applyFont="1" applyFill="1" applyAlignment="1">
      <alignment horizontal="left" vertical="center"/>
      <protection locked="0"/>
    </xf>
    <xf numFmtId="0" fontId="19" fillId="4" borderId="5" xfId="4" applyFont="1" applyFill="1" applyBorder="1" applyAlignment="1">
      <alignment horizontal="center" vertical="center"/>
      <protection locked="0"/>
    </xf>
    <xf numFmtId="0" fontId="65" fillId="7" borderId="5" xfId="4" applyNumberFormat="1" applyFont="1" applyFill="1" applyBorder="1" applyAlignment="1" applyProtection="1">
      <alignment horizontal="center" vertical="center"/>
    </xf>
    <xf numFmtId="0" fontId="12" fillId="0" borderId="5" xfId="0" applyFont="1" applyBorder="1" applyAlignment="1" applyProtection="1">
      <alignment vertical="center"/>
      <protection locked="0"/>
    </xf>
    <xf numFmtId="43" fontId="9" fillId="0" borderId="5" xfId="17" applyFont="1" applyBorder="1" applyAlignment="1" applyProtection="1">
      <alignment vertical="center"/>
      <protection locked="0"/>
    </xf>
    <xf numFmtId="10" fontId="12" fillId="0" borderId="5" xfId="18" applyNumberFormat="1" applyFont="1" applyBorder="1" applyAlignment="1" applyProtection="1">
      <alignment horizontal="center" vertical="center"/>
      <protection locked="0"/>
    </xf>
    <xf numFmtId="0" fontId="19" fillId="4" borderId="5" xfId="4" applyFont="1" applyFill="1" applyBorder="1" applyAlignment="1">
      <alignment horizontal="center" vertical="center" wrapText="1"/>
      <protection locked="0"/>
    </xf>
    <xf numFmtId="0" fontId="15" fillId="7" borderId="5" xfId="4" applyFont="1" applyFill="1" applyBorder="1" applyAlignment="1" applyProtection="1">
      <alignment horizontal="center" vertical="center" wrapText="1"/>
    </xf>
    <xf numFmtId="0" fontId="19" fillId="7" borderId="5" xfId="4" applyNumberFormat="1" applyFont="1" applyFill="1" applyBorder="1" applyAlignment="1" applyProtection="1">
      <alignment horizontal="center" vertical="center" wrapText="1"/>
    </xf>
    <xf numFmtId="43" fontId="12" fillId="0" borderId="5" xfId="17" applyFont="1" applyBorder="1" applyAlignment="1" applyProtection="1">
      <alignment vertical="center" wrapText="1"/>
      <protection locked="0"/>
    </xf>
    <xf numFmtId="43" fontId="12" fillId="0" borderId="5" xfId="17" applyFont="1" applyBorder="1" applyAlignment="1" applyProtection="1">
      <alignment horizontal="center" vertical="center" wrapText="1"/>
      <protection locked="0"/>
    </xf>
    <xf numFmtId="43" fontId="9" fillId="0" borderId="5" xfId="17" applyFont="1" applyBorder="1" applyAlignment="1" applyProtection="1">
      <alignment horizontal="center" vertical="center" wrapText="1"/>
      <protection locked="0"/>
    </xf>
    <xf numFmtId="0" fontId="66" fillId="7" borderId="5" xfId="4" applyNumberFormat="1" applyFont="1" applyFill="1" applyBorder="1" applyAlignment="1" applyProtection="1">
      <alignment horizontal="center" vertical="center"/>
    </xf>
    <xf numFmtId="0" fontId="25" fillId="0" borderId="0" xfId="13" applyFont="1">
      <alignment vertical="center"/>
    </xf>
    <xf numFmtId="0" fontId="25" fillId="0" borderId="5" xfId="13" applyFont="1" applyBorder="1" applyAlignment="1">
      <alignment horizontal="center" vertical="center"/>
    </xf>
    <xf numFmtId="0" fontId="25" fillId="0" borderId="0" xfId="13" applyFont="1" applyAlignment="1">
      <alignment vertical="center" wrapText="1"/>
    </xf>
    <xf numFmtId="0" fontId="24" fillId="0" borderId="0" xfId="13" applyFont="1" applyAlignment="1">
      <alignment vertical="center" wrapText="1"/>
    </xf>
    <xf numFmtId="0" fontId="25" fillId="0" borderId="0" xfId="13" applyFont="1" applyFill="1">
      <alignment vertical="center"/>
    </xf>
    <xf numFmtId="0" fontId="24" fillId="0" borderId="5" xfId="9" applyNumberFormat="1" applyFont="1" applyBorder="1" applyAlignment="1">
      <alignment horizontal="center" vertical="center" wrapText="1"/>
    </xf>
    <xf numFmtId="0" fontId="8" fillId="0" borderId="0" xfId="4" applyFont="1" applyAlignment="1">
      <alignment horizontal="left" vertical="center"/>
      <protection locked="0"/>
    </xf>
    <xf numFmtId="0" fontId="9" fillId="0" borderId="0" xfId="19" applyFont="1" applyBorder="1" applyAlignment="1">
      <alignment vertical="center"/>
    </xf>
    <xf numFmtId="0" fontId="9" fillId="0" borderId="5" xfId="4" applyFont="1" applyBorder="1" applyAlignment="1">
      <alignment horizontal="left" vertical="center" wrapText="1"/>
      <protection locked="0"/>
    </xf>
    <xf numFmtId="14" fontId="9" fillId="0" borderId="5" xfId="4" applyNumberFormat="1" applyFont="1" applyBorder="1" applyAlignment="1">
      <alignment horizontal="center" vertical="center" wrapText="1"/>
      <protection locked="0"/>
    </xf>
    <xf numFmtId="0" fontId="28" fillId="0" borderId="0" xfId="4" applyFont="1" applyAlignment="1">
      <alignment vertical="center"/>
      <protection locked="0"/>
    </xf>
    <xf numFmtId="0" fontId="59" fillId="0" borderId="0" xfId="10" applyFont="1" applyAlignment="1">
      <alignment vertical="center" wrapText="1"/>
    </xf>
    <xf numFmtId="0" fontId="58" fillId="0" borderId="0" xfId="10" applyFont="1" applyAlignment="1">
      <alignment vertical="center" wrapText="1"/>
    </xf>
    <xf numFmtId="0" fontId="59" fillId="0" borderId="0" xfId="4" applyFont="1" applyAlignment="1" applyProtection="1">
      <alignment horizontal="left" vertical="center"/>
    </xf>
    <xf numFmtId="0" fontId="52" fillId="0" borderId="0" xfId="10" applyFont="1">
      <alignment vertical="center"/>
    </xf>
    <xf numFmtId="0" fontId="25" fillId="8" borderId="5" xfId="11" applyFont="1" applyFill="1" applyBorder="1" applyAlignment="1">
      <alignment horizontal="center" vertical="center"/>
    </xf>
    <xf numFmtId="0" fontId="25" fillId="0" borderId="5" xfId="11" applyNumberFormat="1" applyFont="1" applyBorder="1" applyAlignment="1">
      <alignment horizontal="center" vertical="center" wrapText="1"/>
    </xf>
    <xf numFmtId="0" fontId="25" fillId="0" borderId="5" xfId="11" applyFont="1" applyBorder="1" applyAlignment="1">
      <alignment horizontal="center" vertical="center"/>
    </xf>
    <xf numFmtId="0" fontId="52" fillId="0" borderId="5" xfId="11" applyFont="1" applyFill="1" applyBorder="1" applyAlignment="1">
      <alignment horizontal="center" vertical="center" wrapText="1"/>
    </xf>
    <xf numFmtId="0" fontId="25" fillId="0" borderId="5" xfId="11" applyFont="1" applyBorder="1" applyAlignment="1">
      <alignment horizontal="left" vertical="center"/>
    </xf>
    <xf numFmtId="177" fontId="25" fillId="0" borderId="5" xfId="11" applyNumberFormat="1" applyFont="1" applyBorder="1" applyAlignment="1">
      <alignment vertical="center"/>
    </xf>
    <xf numFmtId="14" fontId="25" fillId="0" borderId="5" xfId="11" applyNumberFormat="1" applyFont="1" applyBorder="1" applyAlignment="1">
      <alignment horizontal="center" vertical="center"/>
    </xf>
    <xf numFmtId="10" fontId="26" fillId="4" borderId="5" xfId="6" applyNumberFormat="1" applyFont="1" applyFill="1" applyBorder="1" applyAlignment="1">
      <alignment horizontal="center" vertical="center" wrapText="1"/>
    </xf>
    <xf numFmtId="0" fontId="35" fillId="0" borderId="0" xfId="10" applyFont="1">
      <alignment vertical="center"/>
    </xf>
    <xf numFmtId="0" fontId="28" fillId="0" borderId="0" xfId="10" applyFont="1" applyAlignment="1">
      <alignment horizontal="left" vertical="center"/>
    </xf>
    <xf numFmtId="0" fontId="24" fillId="0" borderId="0" xfId="10" applyFont="1" applyAlignment="1">
      <alignment vertical="center"/>
    </xf>
    <xf numFmtId="0" fontId="24" fillId="0" borderId="0" xfId="10" applyFont="1" applyAlignment="1">
      <alignment horizontal="justify" vertical="center"/>
    </xf>
    <xf numFmtId="0" fontId="68" fillId="0" borderId="0" xfId="0" applyFont="1" applyAlignment="1">
      <alignment horizontal="left" vertical="center"/>
    </xf>
    <xf numFmtId="0" fontId="68" fillId="0" borderId="0" xfId="1" applyFont="1" applyAlignment="1">
      <alignment vertical="center"/>
    </xf>
    <xf numFmtId="0" fontId="36" fillId="0" borderId="0" xfId="1" applyFont="1" applyAlignment="1">
      <alignment vertical="center"/>
    </xf>
    <xf numFmtId="0" fontId="9" fillId="0" borderId="0" xfId="4" applyFont="1" applyAlignment="1">
      <alignment horizontal="left" vertical="center" wrapText="1"/>
      <protection locked="0"/>
    </xf>
    <xf numFmtId="0" fontId="9" fillId="0" borderId="0" xfId="4" applyFont="1" applyAlignment="1">
      <alignment horizontal="left" vertical="center"/>
      <protection locked="0"/>
    </xf>
    <xf numFmtId="0" fontId="69" fillId="0" borderId="0" xfId="1" applyFont="1" applyAlignment="1">
      <alignment vertical="center"/>
    </xf>
    <xf numFmtId="0" fontId="70" fillId="0" borderId="0" xfId="1" applyFont="1" applyAlignment="1">
      <alignment vertical="center"/>
    </xf>
    <xf numFmtId="0" fontId="26" fillId="0" borderId="5" xfId="9" applyNumberFormat="1" applyFont="1" applyBorder="1" applyAlignment="1">
      <alignment horizontal="center" vertical="center" wrapText="1"/>
    </xf>
    <xf numFmtId="176" fontId="26" fillId="0" borderId="5" xfId="15" applyFont="1" applyBorder="1" applyAlignment="1">
      <alignment horizontal="center" vertical="center" wrapText="1"/>
    </xf>
    <xf numFmtId="0" fontId="72" fillId="0" borderId="0" xfId="4" applyFont="1" applyAlignment="1">
      <alignment vertical="center" wrapText="1"/>
      <protection locked="0"/>
    </xf>
    <xf numFmtId="0" fontId="15" fillId="0" borderId="0" xfId="20" applyFont="1" applyAlignment="1">
      <alignment vertical="center"/>
    </xf>
    <xf numFmtId="0" fontId="58" fillId="0" borderId="12" xfId="4" applyFont="1" applyFill="1" applyBorder="1" applyAlignment="1">
      <alignment vertical="center"/>
      <protection locked="0"/>
    </xf>
    <xf numFmtId="0" fontId="9" fillId="0" borderId="18" xfId="4" applyFont="1" applyFill="1" applyBorder="1" applyAlignment="1">
      <alignment vertical="center"/>
      <protection locked="0"/>
    </xf>
    <xf numFmtId="0" fontId="9" fillId="0" borderId="18" xfId="4" applyFont="1" applyBorder="1" applyAlignment="1">
      <alignment vertical="center"/>
      <protection locked="0"/>
    </xf>
    <xf numFmtId="0" fontId="9" fillId="0" borderId="11" xfId="4" applyFont="1" applyBorder="1" applyAlignment="1">
      <alignment vertical="center"/>
      <protection locked="0"/>
    </xf>
    <xf numFmtId="0" fontId="9" fillId="0" borderId="0" xfId="20" applyFont="1" applyAlignment="1">
      <alignment vertical="center"/>
    </xf>
    <xf numFmtId="43" fontId="9" fillId="0" borderId="0" xfId="21" applyFont="1" applyFill="1" applyBorder="1" applyAlignment="1">
      <alignment vertical="center"/>
    </xf>
    <xf numFmtId="0" fontId="19" fillId="0" borderId="0" xfId="20" applyFont="1" applyAlignment="1">
      <alignment vertical="center"/>
    </xf>
    <xf numFmtId="0" fontId="52" fillId="4" borderId="5" xfId="22" applyFont="1" applyFill="1" applyBorder="1" applyAlignment="1">
      <alignment horizontal="center" vertical="center" wrapText="1"/>
    </xf>
    <xf numFmtId="0" fontId="25" fillId="0" borderId="5" xfId="22" applyFont="1" applyBorder="1" applyAlignment="1">
      <alignment horizontal="left" vertical="center"/>
    </xf>
    <xf numFmtId="43" fontId="25" fillId="0" borderId="5" xfId="17" applyFont="1" applyBorder="1" applyAlignment="1">
      <alignment vertical="center"/>
    </xf>
    <xf numFmtId="43" fontId="9" fillId="4" borderId="5" xfId="23" applyFont="1" applyFill="1" applyBorder="1" applyAlignment="1">
      <alignment horizontal="right" vertical="center" wrapText="1"/>
    </xf>
    <xf numFmtId="10" fontId="9" fillId="4" borderId="5" xfId="18" applyNumberFormat="1" applyFont="1" applyFill="1" applyBorder="1" applyAlignment="1">
      <alignment horizontal="right" vertical="center" wrapText="1"/>
    </xf>
    <xf numFmtId="0" fontId="73" fillId="0" borderId="0" xfId="20" applyFont="1" applyAlignment="1">
      <alignment vertical="center"/>
    </xf>
    <xf numFmtId="0" fontId="52" fillId="4" borderId="5" xfId="20" applyFont="1" applyFill="1" applyBorder="1" applyAlignment="1">
      <alignment horizontal="center" vertical="center" wrapText="1"/>
    </xf>
    <xf numFmtId="179" fontId="52" fillId="4" borderId="5" xfId="22" applyNumberFormat="1" applyFont="1" applyFill="1" applyBorder="1" applyAlignment="1">
      <alignment horizontal="center" vertical="center" wrapText="1" shrinkToFit="1"/>
    </xf>
    <xf numFmtId="0" fontId="52" fillId="4" borderId="5" xfId="22" applyFont="1" applyFill="1" applyBorder="1" applyAlignment="1" applyProtection="1">
      <alignment horizontal="center" vertical="center" wrapText="1"/>
      <protection locked="0"/>
    </xf>
    <xf numFmtId="14" fontId="25" fillId="0" borderId="5" xfId="22" applyNumberFormat="1" applyFont="1" applyBorder="1" applyAlignment="1">
      <alignment horizontal="left" vertical="center"/>
    </xf>
    <xf numFmtId="0" fontId="74" fillId="0" borderId="5" xfId="22" applyFont="1" applyBorder="1" applyAlignment="1">
      <alignment horizontal="left" vertical="center"/>
    </xf>
    <xf numFmtId="0" fontId="75" fillId="0" borderId="5" xfId="22" applyFont="1" applyBorder="1" applyAlignment="1">
      <alignment horizontal="left" vertical="center" wrapText="1"/>
    </xf>
    <xf numFmtId="43" fontId="74" fillId="0" borderId="5" xfId="21" applyFont="1" applyBorder="1" applyAlignment="1">
      <alignment horizontal="left" vertical="center" shrinkToFit="1"/>
    </xf>
    <xf numFmtId="43" fontId="25" fillId="0" borderId="5" xfId="17" applyFont="1" applyBorder="1" applyAlignment="1">
      <alignment vertical="center" shrinkToFit="1"/>
    </xf>
    <xf numFmtId="43" fontId="25" fillId="0" borderId="5" xfId="17" applyFont="1" applyBorder="1" applyProtection="1">
      <alignment vertical="center"/>
      <protection locked="0"/>
    </xf>
    <xf numFmtId="49" fontId="9" fillId="0" borderId="5" xfId="22" applyNumberFormat="1" applyFont="1" applyBorder="1" applyAlignment="1" applyProtection="1">
      <alignment horizontal="center" vertical="center"/>
      <protection locked="0"/>
    </xf>
    <xf numFmtId="0" fontId="9" fillId="4" borderId="0" xfId="4" applyFont="1" applyFill="1" applyAlignment="1">
      <alignment vertical="center"/>
      <protection locked="0"/>
    </xf>
    <xf numFmtId="0" fontId="76" fillId="0" borderId="0" xfId="20" applyFont="1" applyAlignment="1">
      <alignment vertical="center"/>
    </xf>
    <xf numFmtId="0" fontId="25" fillId="0" borderId="0" xfId="22" applyFont="1" applyProtection="1">
      <alignment vertical="center"/>
      <protection locked="0"/>
    </xf>
    <xf numFmtId="0" fontId="25" fillId="0" borderId="0" xfId="22" applyFont="1">
      <alignment vertical="center"/>
    </xf>
    <xf numFmtId="0" fontId="25" fillId="0" borderId="0" xfId="22" applyFont="1" applyAlignment="1">
      <alignment vertical="center" wrapText="1"/>
    </xf>
    <xf numFmtId="179" fontId="25" fillId="0" borderId="0" xfId="22" applyNumberFormat="1" applyFont="1" applyAlignment="1">
      <alignment vertical="center" shrinkToFit="1"/>
    </xf>
    <xf numFmtId="43" fontId="51" fillId="0" borderId="0" xfId="21" applyFont="1" applyBorder="1" applyAlignment="1">
      <alignment vertical="center" wrapText="1"/>
    </xf>
    <xf numFmtId="0" fontId="51" fillId="0" borderId="0" xfId="22" applyFont="1" applyAlignment="1">
      <alignment vertical="center" wrapText="1"/>
    </xf>
    <xf numFmtId="14" fontId="25" fillId="0" borderId="0" xfId="22" applyNumberFormat="1" applyFont="1" applyAlignment="1">
      <alignment vertical="center" shrinkToFit="1"/>
    </xf>
    <xf numFmtId="44" fontId="25" fillId="0" borderId="0" xfId="22" applyNumberFormat="1" applyFont="1" applyAlignment="1">
      <alignment vertical="center" shrinkToFit="1"/>
    </xf>
    <xf numFmtId="0" fontId="62" fillId="0" borderId="0" xfId="4" applyFont="1" applyAlignment="1">
      <alignment horizontal="left" vertical="center"/>
      <protection locked="0"/>
    </xf>
    <xf numFmtId="0" fontId="77" fillId="0" borderId="0" xfId="4" applyFont="1" applyAlignment="1">
      <alignment horizontal="left" vertical="center"/>
      <protection locked="0"/>
    </xf>
    <xf numFmtId="0" fontId="78" fillId="0" borderId="0" xfId="4" applyFont="1" applyAlignment="1">
      <alignment horizontal="left" vertical="center"/>
      <protection locked="0"/>
    </xf>
    <xf numFmtId="0" fontId="79" fillId="0" borderId="0" xfId="4" applyFont="1" applyAlignment="1">
      <alignment horizontal="left" vertical="center"/>
      <protection locked="0"/>
    </xf>
    <xf numFmtId="0" fontId="24" fillId="0" borderId="0" xfId="13" applyFont="1">
      <alignment vertical="center"/>
    </xf>
    <xf numFmtId="0" fontId="59" fillId="0" borderId="0" xfId="13" applyFont="1">
      <alignment vertical="center"/>
    </xf>
    <xf numFmtId="0" fontId="12" fillId="0" borderId="0" xfId="20" applyFont="1" applyAlignment="1">
      <alignment vertical="center"/>
    </xf>
    <xf numFmtId="0" fontId="19" fillId="0" borderId="0" xfId="4" applyFont="1" applyAlignment="1">
      <alignment vertical="center"/>
      <protection locked="0"/>
    </xf>
    <xf numFmtId="0" fontId="25" fillId="0" borderId="5" xfId="22" applyFont="1" applyBorder="1" applyAlignment="1">
      <alignment horizontal="center" vertical="center"/>
    </xf>
    <xf numFmtId="0" fontId="26" fillId="4" borderId="5" xfId="22" applyFont="1" applyFill="1" applyBorder="1" applyAlignment="1">
      <alignment horizontal="center" vertical="center" wrapText="1"/>
    </xf>
    <xf numFmtId="0" fontId="26" fillId="4" borderId="5" xfId="22" applyFont="1" applyFill="1" applyBorder="1" applyAlignment="1" applyProtection="1">
      <alignment horizontal="center" vertical="center" wrapText="1"/>
      <protection locked="0"/>
    </xf>
    <xf numFmtId="43" fontId="52" fillId="0" borderId="5" xfId="17" applyFont="1" applyBorder="1" applyAlignment="1">
      <alignment vertical="center" shrinkToFit="1"/>
    </xf>
    <xf numFmtId="14" fontId="52" fillId="0" borderId="5" xfId="22" applyNumberFormat="1" applyFont="1" applyBorder="1" applyAlignment="1">
      <alignment horizontal="left" vertical="center"/>
    </xf>
    <xf numFmtId="43" fontId="80" fillId="0" borderId="5" xfId="21" applyFont="1" applyBorder="1" applyAlignment="1">
      <alignment horizontal="left" vertical="center" shrinkToFit="1"/>
    </xf>
    <xf numFmtId="49" fontId="15" fillId="0" borderId="5" xfId="22" applyNumberFormat="1" applyFont="1" applyBorder="1" applyAlignment="1" applyProtection="1">
      <alignment horizontal="center" vertical="center"/>
      <protection locked="0"/>
    </xf>
    <xf numFmtId="43" fontId="24" fillId="0" borderId="5" xfId="17" applyFont="1" applyBorder="1" applyProtection="1">
      <alignment vertical="center"/>
      <protection locked="0"/>
    </xf>
    <xf numFmtId="43" fontId="52" fillId="0" borderId="5" xfId="17" applyFont="1" applyBorder="1" applyProtection="1">
      <alignment vertical="center"/>
      <protection locked="0"/>
    </xf>
    <xf numFmtId="0" fontId="52" fillId="0" borderId="5" xfId="22" applyFont="1" applyBorder="1" applyAlignment="1">
      <alignment horizontal="left" vertical="center"/>
    </xf>
    <xf numFmtId="43" fontId="26" fillId="0" borderId="5" xfId="17" applyFont="1" applyBorder="1" applyProtection="1">
      <alignment vertical="center"/>
      <protection locked="0"/>
    </xf>
    <xf numFmtId="14" fontId="58" fillId="0" borderId="5" xfId="22" applyNumberFormat="1" applyFont="1" applyFill="1" applyBorder="1" applyAlignment="1">
      <alignment horizontal="left" vertical="center"/>
    </xf>
    <xf numFmtId="14" fontId="59" fillId="0" borderId="5" xfId="22" applyNumberFormat="1" applyFont="1" applyFill="1" applyBorder="1" applyAlignment="1">
      <alignment horizontal="left" vertical="center"/>
    </xf>
    <xf numFmtId="0" fontId="35" fillId="0" borderId="0" xfId="4" applyFont="1" applyAlignment="1">
      <alignment horizontal="left" vertical="center"/>
      <protection locked="0"/>
    </xf>
    <xf numFmtId="0" fontId="26" fillId="4" borderId="5" xfId="8" applyFont="1" applyFill="1" applyBorder="1" applyAlignment="1" applyProtection="1">
      <alignment horizontal="center" vertical="center" wrapText="1"/>
      <protection locked="0"/>
    </xf>
    <xf numFmtId="0" fontId="10" fillId="0" borderId="5" xfId="0" applyFont="1" applyBorder="1" applyAlignment="1">
      <alignment horizontal="center" vertical="center"/>
    </xf>
    <xf numFmtId="0" fontId="15" fillId="0" borderId="5" xfId="0" applyFont="1" applyBorder="1" applyAlignment="1">
      <alignment vertical="center" wrapText="1"/>
    </xf>
    <xf numFmtId="49" fontId="15" fillId="0" borderId="5" xfId="0" applyNumberFormat="1" applyFont="1" applyBorder="1" applyAlignment="1">
      <alignment vertical="center" wrapText="1"/>
    </xf>
    <xf numFmtId="0" fontId="20" fillId="0" borderId="5" xfId="0" applyFont="1" applyBorder="1" applyAlignment="1">
      <alignment horizontal="left" vertical="center"/>
    </xf>
    <xf numFmtId="43" fontId="52" fillId="0" borderId="5" xfId="17" applyFont="1" applyBorder="1" applyAlignment="1" applyProtection="1">
      <alignment vertical="center"/>
      <protection locked="0"/>
    </xf>
    <xf numFmtId="0" fontId="9" fillId="2" borderId="0" xfId="0" applyFont="1" applyFill="1" applyAlignment="1" applyProtection="1">
      <alignment horizontal="justify" vertical="center" wrapText="1"/>
      <protection locked="0"/>
    </xf>
    <xf numFmtId="0" fontId="15" fillId="0" borderId="5" xfId="12" applyFont="1" applyFill="1" applyBorder="1" applyAlignment="1">
      <alignment horizontal="center" vertical="center" wrapText="1"/>
    </xf>
    <xf numFmtId="0" fontId="12" fillId="5" borderId="5" xfId="12" applyFont="1" applyFill="1" applyBorder="1" applyAlignment="1">
      <alignment horizontal="center" vertical="center" wrapText="1"/>
    </xf>
    <xf numFmtId="0" fontId="12" fillId="5" borderId="5" xfId="12" applyFont="1" applyFill="1" applyBorder="1" applyAlignment="1">
      <alignment horizontal="center" vertical="center"/>
    </xf>
    <xf numFmtId="0" fontId="12" fillId="0" borderId="0" xfId="4" applyFont="1" applyAlignment="1">
      <alignment horizontal="right" vertical="center"/>
      <protection locked="0"/>
    </xf>
    <xf numFmtId="176" fontId="52" fillId="0" borderId="5" xfId="15" applyFont="1" applyFill="1" applyBorder="1" applyAlignment="1">
      <alignment horizontal="center" vertical="center" wrapText="1"/>
    </xf>
    <xf numFmtId="0" fontId="15" fillId="5" borderId="5" xfId="12" applyFont="1" applyFill="1" applyBorder="1" applyAlignment="1">
      <alignment horizontal="center" vertical="center"/>
    </xf>
    <xf numFmtId="0" fontId="25" fillId="0" borderId="0" xfId="1" applyFont="1" applyAlignment="1">
      <alignment vertical="center" wrapText="1"/>
    </xf>
    <xf numFmtId="14" fontId="12" fillId="0" borderId="0" xfId="4" applyNumberFormat="1" applyFont="1" applyAlignment="1">
      <alignment horizontal="left" vertical="center"/>
      <protection locked="0"/>
    </xf>
    <xf numFmtId="0" fontId="48" fillId="0" borderId="1" xfId="1" applyFont="1" applyFill="1" applyBorder="1" applyAlignment="1">
      <alignment horizontal="center" vertical="center"/>
    </xf>
    <xf numFmtId="0" fontId="83" fillId="0" borderId="0" xfId="16" applyFont="1" applyAlignment="1" applyProtection="1">
      <alignment vertical="center"/>
      <protection locked="0"/>
    </xf>
    <xf numFmtId="0" fontId="36" fillId="0" borderId="0" xfId="0" applyFont="1" applyAlignment="1">
      <alignment vertical="center"/>
    </xf>
    <xf numFmtId="0" fontId="26" fillId="0" borderId="5" xfId="13" applyFont="1" applyFill="1" applyBorder="1" applyAlignment="1">
      <alignment vertical="center" wrapText="1"/>
    </xf>
    <xf numFmtId="0" fontId="24" fillId="0" borderId="5" xfId="13" applyFont="1" applyFill="1" applyBorder="1" applyAlignment="1">
      <alignment vertical="center" wrapText="1"/>
    </xf>
    <xf numFmtId="0" fontId="24" fillId="0" borderId="5" xfId="0" applyFont="1" applyBorder="1" applyAlignment="1">
      <alignment vertical="center" wrapText="1"/>
    </xf>
    <xf numFmtId="0" fontId="19" fillId="0" borderId="5" xfId="12" applyFont="1" applyFill="1" applyBorder="1" applyAlignment="1">
      <alignment horizontal="center" vertical="center" wrapText="1"/>
    </xf>
    <xf numFmtId="0" fontId="52" fillId="0" borderId="0" xfId="22" applyFont="1" applyFill="1" applyBorder="1" applyAlignment="1">
      <alignment horizontal="center" vertical="center" wrapText="1"/>
    </xf>
    <xf numFmtId="10" fontId="9" fillId="0" borderId="0" xfId="18" applyNumberFormat="1" applyFont="1" applyFill="1" applyBorder="1" applyAlignment="1">
      <alignment horizontal="right" vertical="center" wrapText="1"/>
    </xf>
    <xf numFmtId="0" fontId="9" fillId="0" borderId="16" xfId="4" applyFont="1" applyBorder="1" applyAlignment="1">
      <alignment vertical="center"/>
      <protection locked="0"/>
    </xf>
    <xf numFmtId="179" fontId="26" fillId="4" borderId="5" xfId="22" applyNumberFormat="1" applyFont="1" applyFill="1" applyBorder="1" applyAlignment="1">
      <alignment horizontal="center" vertical="center" wrapText="1" shrinkToFit="1"/>
    </xf>
    <xf numFmtId="0" fontId="12" fillId="2" borderId="0" xfId="0" applyFont="1" applyFill="1" applyAlignment="1" applyProtection="1">
      <alignment horizontal="justify" vertical="center" wrapText="1"/>
      <protection locked="0"/>
    </xf>
    <xf numFmtId="0" fontId="9" fillId="0" borderId="0" xfId="14" applyFont="1" applyAlignment="1">
      <alignment horizontal="left" vertical="center"/>
    </xf>
    <xf numFmtId="0" fontId="15" fillId="4" borderId="5" xfId="4" applyFont="1" applyFill="1" applyBorder="1" applyAlignment="1">
      <alignment horizontal="center" vertical="center"/>
      <protection locked="0"/>
    </xf>
    <xf numFmtId="0" fontId="15" fillId="4" borderId="5" xfId="4" applyFont="1" applyFill="1" applyBorder="1" applyAlignment="1">
      <alignment horizontal="center" vertical="center" wrapText="1"/>
      <protection locked="0"/>
    </xf>
    <xf numFmtId="0" fontId="9" fillId="0" borderId="0" xfId="4" applyFont="1" applyAlignment="1">
      <alignment horizontal="left" vertical="center" wrapText="1"/>
      <protection locked="0"/>
    </xf>
    <xf numFmtId="0" fontId="19" fillId="4" borderId="5" xfId="0" applyFont="1" applyFill="1" applyBorder="1" applyAlignment="1" applyProtection="1">
      <alignment horizontal="center" vertical="center"/>
      <protection locked="0"/>
    </xf>
    <xf numFmtId="14" fontId="15" fillId="4" borderId="5" xfId="4" applyNumberFormat="1" applyFont="1" applyFill="1" applyBorder="1" applyAlignment="1">
      <alignment horizontal="center" vertical="center"/>
      <protection locked="0"/>
    </xf>
    <xf numFmtId="0" fontId="15" fillId="4" borderId="5" xfId="4" applyFont="1" applyFill="1" applyBorder="1" applyAlignment="1">
      <alignment horizontal="left" vertical="center"/>
      <protection locked="0"/>
    </xf>
    <xf numFmtId="0" fontId="15" fillId="4" borderId="5" xfId="4" applyFont="1" applyFill="1" applyBorder="1" applyAlignment="1">
      <alignment vertical="center" wrapText="1"/>
      <protection locked="0"/>
    </xf>
    <xf numFmtId="43" fontId="15" fillId="4" borderId="5" xfId="17" applyFont="1" applyFill="1" applyBorder="1" applyAlignment="1" applyProtection="1">
      <alignment horizontal="left" vertical="center"/>
      <protection locked="0"/>
    </xf>
    <xf numFmtId="43" fontId="15" fillId="4" borderId="5" xfId="17" applyFont="1" applyFill="1" applyBorder="1" applyAlignment="1" applyProtection="1">
      <alignment vertical="center" wrapText="1"/>
      <protection locked="0"/>
    </xf>
    <xf numFmtId="0" fontId="15" fillId="4" borderId="0" xfId="4" applyFont="1" applyFill="1" applyAlignment="1">
      <alignment vertical="center"/>
      <protection locked="0"/>
    </xf>
    <xf numFmtId="0" fontId="12" fillId="0" borderId="5" xfId="0" applyFont="1" applyBorder="1" applyAlignment="1" applyProtection="1">
      <alignment horizontal="center" vertical="center"/>
      <protection locked="0"/>
    </xf>
    <xf numFmtId="0" fontId="59" fillId="0" borderId="0" xfId="4" applyFont="1" applyAlignment="1">
      <alignment vertical="center"/>
      <protection locked="0"/>
    </xf>
    <xf numFmtId="43" fontId="9" fillId="0" borderId="5" xfId="17" applyFont="1" applyBorder="1" applyAlignment="1" applyProtection="1">
      <alignment horizontal="center" vertical="center"/>
      <protection locked="0"/>
    </xf>
    <xf numFmtId="10" fontId="9" fillId="0" borderId="5" xfId="18" applyNumberFormat="1" applyFont="1" applyBorder="1" applyAlignment="1" applyProtection="1">
      <alignment horizontal="center" vertical="center"/>
      <protection locked="0"/>
    </xf>
    <xf numFmtId="0" fontId="58" fillId="0" borderId="0" xfId="4" applyFont="1" applyAlignment="1">
      <alignment vertical="center"/>
      <protection locked="0"/>
    </xf>
    <xf numFmtId="0" fontId="12" fillId="0" borderId="0" xfId="0" applyFont="1" applyBorder="1" applyAlignment="1" applyProtection="1">
      <alignment horizontal="center" vertical="center"/>
      <protection locked="0"/>
    </xf>
    <xf numFmtId="43" fontId="9" fillId="0" borderId="0" xfId="17" applyFont="1" applyBorder="1" applyAlignment="1" applyProtection="1">
      <alignment horizontal="center" vertical="center"/>
      <protection locked="0"/>
    </xf>
    <xf numFmtId="10" fontId="9" fillId="0" borderId="0" xfId="18" applyNumberFormat="1" applyFont="1" applyBorder="1" applyAlignment="1" applyProtection="1">
      <alignment horizontal="center" vertical="center"/>
      <protection locked="0"/>
    </xf>
    <xf numFmtId="14" fontId="58" fillId="0" borderId="5" xfId="17" applyNumberFormat="1" applyFont="1" applyFill="1" applyBorder="1" applyAlignment="1">
      <alignment horizontal="left" vertical="center" wrapText="1"/>
    </xf>
    <xf numFmtId="43" fontId="15" fillId="0" borderId="5" xfId="17" applyFont="1" applyBorder="1" applyAlignment="1">
      <alignment horizontal="right" vertical="center"/>
    </xf>
    <xf numFmtId="0" fontId="26" fillId="0" borderId="5" xfId="22" applyFont="1" applyBorder="1" applyAlignment="1">
      <alignment horizontal="center" vertical="center"/>
    </xf>
    <xf numFmtId="43" fontId="52" fillId="0" borderId="5" xfId="17" applyFont="1" applyBorder="1" applyAlignment="1">
      <alignment vertical="center"/>
    </xf>
    <xf numFmtId="43" fontId="15" fillId="4" borderId="5" xfId="23" applyFont="1" applyFill="1" applyBorder="1" applyAlignment="1">
      <alignment horizontal="right" vertical="center" wrapText="1"/>
    </xf>
    <xf numFmtId="10" fontId="15" fillId="4" borderId="5" xfId="18" applyNumberFormat="1" applyFont="1" applyFill="1" applyBorder="1" applyAlignment="1">
      <alignment horizontal="right" vertical="center" wrapText="1"/>
    </xf>
    <xf numFmtId="10" fontId="15" fillId="0" borderId="0" xfId="18" applyNumberFormat="1" applyFont="1" applyFill="1" applyBorder="1" applyAlignment="1">
      <alignment horizontal="right" vertical="center" wrapText="1"/>
    </xf>
    <xf numFmtId="43" fontId="15" fillId="0" borderId="0" xfId="21" applyFont="1" applyFill="1" applyBorder="1" applyAlignment="1">
      <alignment vertical="center"/>
    </xf>
    <xf numFmtId="43" fontId="9" fillId="0" borderId="0" xfId="4" applyNumberFormat="1" applyFont="1" applyAlignment="1">
      <alignment vertical="center"/>
      <protection locked="0"/>
    </xf>
    <xf numFmtId="0" fontId="9" fillId="0" borderId="5" xfId="0" applyFont="1" applyBorder="1" applyAlignment="1" applyProtection="1">
      <alignment horizontal="center" vertical="center"/>
      <protection locked="0"/>
    </xf>
    <xf numFmtId="0" fontId="39" fillId="0" borderId="1" xfId="16" applyFill="1" applyBorder="1" applyAlignment="1" applyProtection="1">
      <alignment vertical="center"/>
    </xf>
    <xf numFmtId="10" fontId="19" fillId="4" borderId="5" xfId="6" applyNumberFormat="1" applyFont="1" applyFill="1" applyBorder="1" applyAlignment="1">
      <alignment horizontal="center" vertical="center" wrapText="1"/>
    </xf>
    <xf numFmtId="0" fontId="43" fillId="0" borderId="0" xfId="12" applyFont="1" applyAlignment="1">
      <alignment horizontal="center" vertical="center"/>
    </xf>
    <xf numFmtId="0" fontId="55" fillId="0" borderId="0" xfId="12" applyFont="1" applyAlignment="1">
      <alignment horizontal="center" vertical="center" wrapText="1"/>
    </xf>
    <xf numFmtId="0" fontId="33" fillId="0" borderId="0" xfId="12" applyFont="1" applyAlignment="1">
      <alignment horizontal="center" vertical="center" wrapText="1"/>
    </xf>
    <xf numFmtId="0" fontId="33" fillId="0" borderId="0" xfId="12" applyFont="1" applyAlignment="1">
      <alignment horizontal="center" vertical="center"/>
    </xf>
    <xf numFmtId="176" fontId="15" fillId="4" borderId="5" xfId="15" applyFont="1" applyFill="1" applyBorder="1" applyAlignment="1" applyProtection="1">
      <alignment horizontal="center" vertical="center" wrapText="1"/>
      <protection locked="0"/>
    </xf>
    <xf numFmtId="0" fontId="9" fillId="0" borderId="5" xfId="13" applyFont="1" applyBorder="1" applyAlignment="1" applyProtection="1">
      <alignment horizontal="center" vertical="center" wrapText="1"/>
      <protection locked="0"/>
    </xf>
    <xf numFmtId="0" fontId="9" fillId="0" borderId="5" xfId="13" applyFont="1" applyBorder="1" applyAlignment="1" applyProtection="1">
      <alignment horizontal="left" vertical="center" wrapText="1"/>
      <protection locked="0"/>
    </xf>
    <xf numFmtId="0" fontId="15" fillId="4" borderId="5" xfId="0" applyFont="1" applyFill="1" applyBorder="1" applyAlignment="1" applyProtection="1">
      <alignment horizontal="center" vertical="center"/>
      <protection locked="0"/>
    </xf>
    <xf numFmtId="0" fontId="22" fillId="0" borderId="5" xfId="4" applyFont="1" applyBorder="1" applyAlignment="1">
      <alignment horizontal="left" vertical="center" wrapText="1"/>
      <protection locked="0"/>
    </xf>
    <xf numFmtId="0" fontId="9" fillId="0" borderId="0" xfId="4" applyFont="1" applyAlignment="1">
      <alignment horizontal="left" vertical="center" wrapText="1"/>
      <protection locked="0"/>
    </xf>
    <xf numFmtId="10" fontId="15" fillId="4" borderId="2" xfId="6" applyNumberFormat="1" applyFont="1" applyFill="1" applyBorder="1" applyAlignment="1">
      <alignment horizontal="center" vertical="center" wrapText="1"/>
    </xf>
    <xf numFmtId="10" fontId="15" fillId="4" borderId="3" xfId="6" applyNumberFormat="1" applyFont="1" applyFill="1" applyBorder="1" applyAlignment="1">
      <alignment horizontal="center" vertical="center" wrapText="1"/>
    </xf>
    <xf numFmtId="10" fontId="15" fillId="4" borderId="4" xfId="6" applyNumberFormat="1" applyFont="1" applyFill="1" applyBorder="1" applyAlignment="1">
      <alignment horizontal="center" vertical="center" wrapText="1"/>
    </xf>
    <xf numFmtId="10" fontId="15" fillId="4" borderId="6" xfId="6" applyNumberFormat="1" applyFont="1" applyFill="1" applyBorder="1" applyAlignment="1">
      <alignment horizontal="center" vertical="center" wrapText="1"/>
    </xf>
    <xf numFmtId="10" fontId="15" fillId="4" borderId="7" xfId="6" applyNumberFormat="1" applyFont="1" applyFill="1" applyBorder="1" applyAlignment="1">
      <alignment horizontal="center" vertical="center" wrapText="1"/>
    </xf>
    <xf numFmtId="0" fontId="16" fillId="0" borderId="0" xfId="3" applyFont="1" applyAlignment="1">
      <alignment horizontal="center" vertical="center"/>
    </xf>
    <xf numFmtId="0" fontId="50" fillId="0" borderId="0" xfId="4" applyFont="1" applyAlignment="1">
      <alignment horizontal="center" vertical="center"/>
      <protection locked="0"/>
    </xf>
    <xf numFmtId="0" fontId="19" fillId="4" borderId="2" xfId="4" applyFont="1" applyFill="1" applyBorder="1" applyAlignment="1">
      <alignment horizontal="center" vertical="center"/>
      <protection locked="0"/>
    </xf>
    <xf numFmtId="0" fontId="19" fillId="4" borderId="3" xfId="4" applyFont="1" applyFill="1" applyBorder="1" applyAlignment="1">
      <alignment horizontal="center" vertical="center"/>
      <protection locked="0"/>
    </xf>
    <xf numFmtId="0" fontId="19" fillId="4" borderId="4" xfId="4" applyFont="1" applyFill="1" applyBorder="1" applyAlignment="1">
      <alignment horizontal="center" vertical="center"/>
      <protection locked="0"/>
    </xf>
    <xf numFmtId="0" fontId="16" fillId="0" borderId="0" xfId="4" applyFont="1" applyAlignment="1">
      <alignment horizontal="center" vertical="center"/>
      <protection locked="0"/>
    </xf>
    <xf numFmtId="0" fontId="28" fillId="0" borderId="17" xfId="4" applyFont="1" applyBorder="1" applyAlignment="1">
      <alignment horizontal="left" vertical="center" wrapText="1"/>
      <protection locked="0"/>
    </xf>
    <xf numFmtId="0" fontId="15" fillId="4" borderId="2" xfId="4" applyFont="1" applyFill="1" applyBorder="1" applyAlignment="1">
      <alignment horizontal="center" vertical="center" wrapText="1"/>
      <protection locked="0"/>
    </xf>
    <xf numFmtId="0" fontId="15" fillId="4" borderId="3" xfId="4" applyFont="1" applyFill="1" applyBorder="1" applyAlignment="1">
      <alignment horizontal="center" vertical="center" wrapText="1"/>
      <protection locked="0"/>
    </xf>
    <xf numFmtId="0" fontId="15" fillId="4" borderId="4" xfId="4" applyFont="1" applyFill="1" applyBorder="1" applyAlignment="1">
      <alignment horizontal="center" vertical="center" wrapText="1"/>
      <protection locked="0"/>
    </xf>
    <xf numFmtId="0" fontId="15" fillId="4" borderId="6" xfId="4" applyFont="1" applyFill="1" applyBorder="1" applyAlignment="1">
      <alignment horizontal="center" vertical="center" wrapText="1"/>
      <protection locked="0"/>
    </xf>
    <xf numFmtId="0" fontId="15" fillId="4" borderId="7" xfId="4" applyFont="1" applyFill="1" applyBorder="1" applyAlignment="1">
      <alignment horizontal="center" vertical="center" wrapText="1"/>
      <protection locked="0"/>
    </xf>
    <xf numFmtId="0" fontId="19" fillId="4" borderId="6" xfId="4" applyFont="1" applyFill="1" applyBorder="1" applyAlignment="1">
      <alignment horizontal="center" vertical="center" wrapText="1"/>
      <protection locked="0"/>
    </xf>
    <xf numFmtId="0" fontId="19" fillId="4" borderId="7" xfId="4" applyFont="1" applyFill="1" applyBorder="1" applyAlignment="1">
      <alignment horizontal="center" vertical="center" wrapText="1"/>
      <protection locked="0"/>
    </xf>
    <xf numFmtId="0" fontId="15" fillId="7" borderId="5" xfId="4" applyFont="1" applyFill="1" applyBorder="1" applyAlignment="1" applyProtection="1">
      <alignment horizontal="center" vertical="center" wrapText="1"/>
    </xf>
    <xf numFmtId="0" fontId="63" fillId="0" borderId="0" xfId="0" applyFont="1" applyAlignment="1" applyProtection="1">
      <alignment horizontal="left" vertical="center" wrapText="1"/>
      <protection locked="0"/>
    </xf>
    <xf numFmtId="0" fontId="15" fillId="4" borderId="5" xfId="4" applyFont="1" applyFill="1" applyBorder="1" applyAlignment="1">
      <alignment horizontal="center" vertical="center"/>
      <protection locked="0"/>
    </xf>
    <xf numFmtId="0" fontId="15" fillId="6" borderId="5" xfId="4" applyFont="1" applyFill="1" applyBorder="1" applyAlignment="1">
      <alignment horizontal="center" vertical="center"/>
      <protection locked="0"/>
    </xf>
    <xf numFmtId="0" fontId="15" fillId="4" borderId="5" xfId="4" applyFont="1" applyFill="1" applyBorder="1" applyAlignment="1">
      <alignment horizontal="center" vertical="center" wrapText="1"/>
      <protection locked="0"/>
    </xf>
    <xf numFmtId="0" fontId="15" fillId="6" borderId="5" xfId="4" applyFont="1" applyFill="1" applyBorder="1" applyAlignment="1">
      <alignment horizontal="center" vertical="center" wrapText="1"/>
      <protection locked="0"/>
    </xf>
    <xf numFmtId="0" fontId="57" fillId="4" borderId="5" xfId="4" applyFont="1" applyFill="1" applyBorder="1" applyAlignment="1">
      <alignment horizontal="center" vertical="center"/>
      <protection locked="0"/>
    </xf>
    <xf numFmtId="0" fontId="56" fillId="4" borderId="5" xfId="4" applyFont="1" applyFill="1" applyBorder="1" applyAlignment="1">
      <alignment horizontal="center" vertical="center"/>
      <protection locked="0"/>
    </xf>
    <xf numFmtId="0" fontId="56" fillId="7" borderId="5" xfId="4" applyFont="1" applyFill="1" applyBorder="1" applyAlignment="1" applyProtection="1">
      <alignment horizontal="center" vertical="center" wrapText="1"/>
    </xf>
    <xf numFmtId="0" fontId="28" fillId="0" borderId="0" xfId="4" applyFont="1" applyAlignment="1">
      <alignment horizontal="left" vertical="center" wrapText="1"/>
      <protection locked="0"/>
    </xf>
    <xf numFmtId="0" fontId="64" fillId="7" borderId="5" xfId="4" applyNumberFormat="1" applyFont="1" applyFill="1" applyBorder="1" applyAlignment="1" applyProtection="1">
      <alignment horizontal="center" vertical="center" wrapText="1"/>
    </xf>
    <xf numFmtId="0" fontId="57" fillId="4" borderId="2" xfId="4" applyFont="1" applyFill="1" applyBorder="1" applyAlignment="1">
      <alignment horizontal="center" vertical="center"/>
      <protection locked="0"/>
    </xf>
    <xf numFmtId="0" fontId="57" fillId="4" borderId="4" xfId="4" applyFont="1" applyFill="1" applyBorder="1" applyAlignment="1">
      <alignment horizontal="center" vertical="center"/>
      <protection locked="0"/>
    </xf>
    <xf numFmtId="0" fontId="56" fillId="4" borderId="4" xfId="4" applyFont="1" applyFill="1" applyBorder="1" applyAlignment="1">
      <alignment horizontal="center" vertical="center"/>
      <protection locked="0"/>
    </xf>
    <xf numFmtId="0" fontId="68" fillId="0" borderId="0" xfId="0" applyFont="1" applyAlignment="1">
      <alignment horizontal="left" vertical="center" wrapText="1"/>
    </xf>
    <xf numFmtId="0" fontId="50" fillId="0" borderId="0" xfId="4" applyFont="1" applyFill="1" applyAlignment="1">
      <alignment horizontal="center" vertical="center"/>
      <protection locked="0"/>
    </xf>
    <xf numFmtId="10" fontId="19" fillId="4" borderId="6" xfId="6" applyNumberFormat="1" applyFont="1" applyFill="1" applyBorder="1" applyAlignment="1">
      <alignment horizontal="center" vertical="center" wrapText="1"/>
    </xf>
    <xf numFmtId="10" fontId="19" fillId="4" borderId="7" xfId="6" applyNumberFormat="1" applyFont="1" applyFill="1" applyBorder="1" applyAlignment="1">
      <alignment horizontal="center" vertical="center" wrapText="1"/>
    </xf>
    <xf numFmtId="0" fontId="9" fillId="0" borderId="0" xfId="4" applyFont="1" applyAlignment="1">
      <alignment horizontal="left" vertical="center"/>
      <protection locked="0"/>
    </xf>
    <xf numFmtId="0" fontId="25" fillId="0" borderId="0" xfId="10" applyFont="1" applyAlignment="1">
      <alignment horizontal="center" vertical="center"/>
    </xf>
    <xf numFmtId="0" fontId="15" fillId="4" borderId="12" xfId="4" applyFont="1" applyFill="1" applyBorder="1" applyAlignment="1">
      <alignment horizontal="center" vertical="center"/>
      <protection locked="0"/>
    </xf>
    <xf numFmtId="0" fontId="15" fillId="4" borderId="14" xfId="4" applyFont="1" applyFill="1" applyBorder="1" applyAlignment="1">
      <alignment horizontal="center" vertical="center"/>
      <protection locked="0"/>
    </xf>
    <xf numFmtId="0" fontId="15" fillId="4" borderId="11" xfId="4" applyFont="1" applyFill="1" applyBorder="1" applyAlignment="1">
      <alignment horizontal="center" vertical="center"/>
      <protection locked="0"/>
    </xf>
    <xf numFmtId="0" fontId="15" fillId="4" borderId="15" xfId="4" applyFont="1" applyFill="1" applyBorder="1" applyAlignment="1">
      <alignment horizontal="center" vertical="center"/>
      <protection locked="0"/>
    </xf>
    <xf numFmtId="0" fontId="15" fillId="4" borderId="13" xfId="4" applyFont="1" applyFill="1" applyBorder="1" applyAlignment="1">
      <alignment horizontal="center" vertical="center" wrapText="1"/>
      <protection locked="0"/>
    </xf>
    <xf numFmtId="0" fontId="15" fillId="4" borderId="2" xfId="4" applyFont="1" applyFill="1" applyBorder="1" applyAlignment="1">
      <alignment horizontal="center" vertical="center"/>
      <protection locked="0"/>
    </xf>
    <xf numFmtId="0" fontId="15" fillId="4" borderId="3" xfId="4" applyFont="1" applyFill="1" applyBorder="1" applyAlignment="1">
      <alignment horizontal="center" vertical="center"/>
      <protection locked="0"/>
    </xf>
    <xf numFmtId="0" fontId="15" fillId="4" borderId="16" xfId="4" applyFont="1" applyFill="1" applyBorder="1" applyAlignment="1">
      <alignment horizontal="center" vertical="center"/>
      <protection locked="0"/>
    </xf>
    <xf numFmtId="0" fontId="15" fillId="4" borderId="4" xfId="4" applyFont="1" applyFill="1" applyBorder="1" applyAlignment="1">
      <alignment horizontal="center" vertical="center"/>
      <protection locked="0"/>
    </xf>
    <xf numFmtId="0" fontId="15" fillId="4" borderId="6" xfId="20" applyFont="1" applyFill="1" applyBorder="1" applyAlignment="1">
      <alignment horizontal="center" vertical="center" wrapText="1"/>
    </xf>
    <xf numFmtId="0" fontId="15" fillId="4" borderId="7" xfId="20" applyFont="1" applyFill="1" applyBorder="1" applyAlignment="1">
      <alignment horizontal="center" vertical="center" wrapText="1"/>
    </xf>
    <xf numFmtId="0" fontId="62" fillId="0" borderId="0" xfId="4" applyFont="1" applyAlignment="1">
      <alignment horizontal="left" vertical="center" wrapText="1"/>
      <protection locked="0"/>
    </xf>
    <xf numFmtId="0" fontId="19" fillId="4" borderId="5" xfId="20" applyFont="1" applyFill="1" applyBorder="1" applyAlignment="1">
      <alignment horizontal="center" vertical="center" wrapText="1"/>
    </xf>
    <xf numFmtId="0" fontId="52" fillId="4" borderId="5" xfId="22" applyFont="1" applyFill="1" applyBorder="1" applyAlignment="1" applyProtection="1">
      <alignment horizontal="center" vertical="center" wrapText="1"/>
      <protection locked="0"/>
    </xf>
    <xf numFmtId="0" fontId="25" fillId="4" borderId="5" xfId="22" applyFont="1" applyFill="1" applyBorder="1" applyAlignment="1" applyProtection="1">
      <alignment horizontal="center" vertical="center" wrapText="1"/>
      <protection locked="0"/>
    </xf>
    <xf numFmtId="0" fontId="15" fillId="4" borderId="5" xfId="20" applyFont="1" applyFill="1" applyBorder="1" applyAlignment="1">
      <alignment horizontal="center" vertical="center" wrapText="1"/>
    </xf>
    <xf numFmtId="14" fontId="26" fillId="0" borderId="2" xfId="22" applyNumberFormat="1" applyFont="1" applyBorder="1" applyAlignment="1">
      <alignment horizontal="center" vertical="center"/>
    </xf>
    <xf numFmtId="14" fontId="26" fillId="0" borderId="3" xfId="22" applyNumberFormat="1" applyFont="1" applyBorder="1" applyAlignment="1">
      <alignment horizontal="center" vertical="center"/>
    </xf>
    <xf numFmtId="14" fontId="26" fillId="0" borderId="4" xfId="22" applyNumberFormat="1" applyFont="1" applyBorder="1" applyAlignment="1">
      <alignment horizontal="center" vertical="center"/>
    </xf>
    <xf numFmtId="14" fontId="26" fillId="0" borderId="5" xfId="22" applyNumberFormat="1" applyFont="1" applyBorder="1" applyAlignment="1">
      <alignment horizontal="center" vertical="center"/>
    </xf>
    <xf numFmtId="0" fontId="52" fillId="4" borderId="6" xfId="22" applyFont="1" applyFill="1" applyBorder="1" applyAlignment="1">
      <alignment horizontal="center" vertical="center" wrapText="1"/>
    </xf>
    <xf numFmtId="0" fontId="52" fillId="4" borderId="7" xfId="22" applyFont="1" applyFill="1" applyBorder="1" applyAlignment="1">
      <alignment horizontal="center" vertical="center" wrapText="1"/>
    </xf>
    <xf numFmtId="0" fontId="26" fillId="4" borderId="2" xfId="22" applyFont="1" applyFill="1" applyBorder="1" applyAlignment="1">
      <alignment horizontal="center" vertical="center" wrapText="1"/>
    </xf>
    <xf numFmtId="0" fontId="52" fillId="4" borderId="3" xfId="22" applyFont="1" applyFill="1" applyBorder="1" applyAlignment="1">
      <alignment horizontal="center" vertical="center" wrapText="1"/>
    </xf>
    <xf numFmtId="0" fontId="52" fillId="4" borderId="4" xfId="22" applyFont="1" applyFill="1" applyBorder="1" applyAlignment="1">
      <alignment horizontal="center" vertical="center" wrapText="1"/>
    </xf>
    <xf numFmtId="0" fontId="52" fillId="4" borderId="2" xfId="22" applyFont="1" applyFill="1" applyBorder="1" applyAlignment="1">
      <alignment horizontal="center" vertical="center" wrapText="1"/>
    </xf>
    <xf numFmtId="0" fontId="58" fillId="0" borderId="19" xfId="4" applyFont="1" applyFill="1" applyBorder="1" applyAlignment="1">
      <alignment horizontal="left" vertical="center" wrapText="1"/>
      <protection locked="0"/>
    </xf>
    <xf numFmtId="0" fontId="58" fillId="0" borderId="17" xfId="4" applyFont="1" applyFill="1" applyBorder="1" applyAlignment="1">
      <alignment horizontal="left" vertical="center" wrapText="1"/>
      <protection locked="0"/>
    </xf>
    <xf numFmtId="0" fontId="45" fillId="0" borderId="2" xfId="0" applyFont="1" applyBorder="1" applyAlignment="1">
      <alignment horizontal="center" vertical="center"/>
    </xf>
    <xf numFmtId="0" fontId="45" fillId="0" borderId="3" xfId="0" applyFont="1" applyBorder="1" applyAlignment="1">
      <alignment horizontal="center" vertical="center"/>
    </xf>
    <xf numFmtId="0" fontId="45" fillId="0" borderId="4" xfId="0" applyFont="1" applyBorder="1" applyAlignment="1">
      <alignment horizontal="center" vertical="center"/>
    </xf>
    <xf numFmtId="176" fontId="28" fillId="0" borderId="0" xfId="24" applyFont="1" applyFill="1" applyAlignment="1">
      <alignment horizontal="left" vertical="center"/>
    </xf>
    <xf numFmtId="176" fontId="19" fillId="4" borderId="5" xfId="15" applyFont="1" applyFill="1" applyBorder="1" applyAlignment="1" applyProtection="1">
      <alignment horizontal="center" vertical="center" wrapText="1"/>
      <protection locked="0"/>
    </xf>
  </cellXfs>
  <cellStyles count="25">
    <cellStyle name="百分比" xfId="18" builtinId="5"/>
    <cellStyle name="百分比 2" xfId="6"/>
    <cellStyle name="常规" xfId="0" builtinId="0"/>
    <cellStyle name="常规 11 5" xfId="24"/>
    <cellStyle name="常规 2" xfId="1"/>
    <cellStyle name="常规 2 2" xfId="4"/>
    <cellStyle name="常规 2 2 2" xfId="11"/>
    <cellStyle name="常规 2 3" xfId="12"/>
    <cellStyle name="常规 3" xfId="9"/>
    <cellStyle name="常规 3 2" xfId="10"/>
    <cellStyle name="常规 4" xfId="8"/>
    <cellStyle name="常规 4 2" xfId="22"/>
    <cellStyle name="常规 5" xfId="13"/>
    <cellStyle name="常规 7" xfId="15"/>
    <cellStyle name="常规_B2.9审计风险评估" xfId="14"/>
    <cellStyle name="常规_c-资产类" xfId="3"/>
    <cellStyle name="常规_WOOKSHEET2" xfId="20"/>
    <cellStyle name="常规_进一步审计程序--销售与收款循环" xfId="19"/>
    <cellStyle name="常规_新审定表" xfId="5"/>
    <cellStyle name="超链接" xfId="16" builtinId="8"/>
    <cellStyle name="超链接 2" xfId="2"/>
    <cellStyle name="千位分隔" xfId="17" builtinId="3"/>
    <cellStyle name="千位分隔 2" xfId="7"/>
    <cellStyle name="千位分隔 2 2" xfId="21"/>
    <cellStyle name="千位分隔 3" xfId="23"/>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24213;&#31295;&#27169;&#26495;/2025&#24180;&#24213;&#31295;&#20462;&#35746;/1.&#24050;&#20462;&#35746;&#24213;&#31295;/&#19994;&#21153;&#23618;&#38754;&#20869;&#25511;&#24213;&#31295;&#27169;&#26495;&#12289;&#23454;&#36136;&#24615;&#31243;&#24207;&#24213;&#31295;&#27169;&#26495;-2025.9.9/E%20&#36135;&#24065;&#36164;&#37329;&#24490;&#29615;/E1%20&#36135;&#24065;&#36164;&#37329;%20-&#26816;&#26597;&#65288;Leap&#24212;&#23545;&#25514;&#26045;-&#26816;&#26597;&#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1-1&#33267;E1-11%20&#36135;&#24065;&#36164;&#37329;-%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企业信用报告信息查询记录E1-18"/>
      <sheetName val="企业信用报告信息与账面核对记录E1-19"/>
      <sheetName val="银行流水双向核对表E1-16-删除移至舞弊"/>
      <sheetName val="银行存款余额调节表E1-17-删除-移至明细表后"/>
      <sheetName val="银行存款及其他货币资金应计利息测算E1-20"/>
      <sheetName val="现金截止测试F1-19-删除移入舞弊"/>
      <sheetName val="银行存款截止测试表E1-21"/>
      <sheetName val="其他货币资金截止测试表E1-22"/>
      <sheetName val="货币资金截止测试表E1-15（分开）"/>
      <sheetName val="货币资金收支检查情况表E1-23"/>
    </sheetNames>
    <sheetDataSet>
      <sheetData sheetId="0">
        <row r="2">
          <cell r="A2" t="str">
            <v>被审计单位：ABC公司</v>
          </cell>
        </row>
        <row r="3">
          <cell r="A3" t="str">
            <v>截止日：202X年12月31日</v>
          </cell>
        </row>
        <row r="4">
          <cell r="A4" t="str">
            <v>编制人：张XX</v>
          </cell>
        </row>
        <row r="5">
          <cell r="A5" t="str">
            <v>编制日期：2025-4-1</v>
          </cell>
        </row>
        <row r="6">
          <cell r="A6" t="str">
            <v>复核人：李XX</v>
          </cell>
        </row>
        <row r="7">
          <cell r="A7" t="str">
            <v>复核日期：2025-5-1</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货币资金实质性程序表E1A"/>
      <sheetName val="附注披露信息(上市公司)"/>
      <sheetName val="附注披露信息(国企)"/>
      <sheetName val="货币资金审定表E1-1"/>
      <sheetName val="现金明细表E1-2"/>
      <sheetName val="银行存款及其他货币资金明细表(仅人民币)E1-3"/>
      <sheetName val="银行存款及其他货币资金明细表(人民币及外币)E1-3"/>
      <sheetName val="数字货币明细表E1-4"/>
      <sheetName val="调整分录汇总E1-5"/>
      <sheetName val="银行存款余额调节表E1-6"/>
      <sheetName val="库存现金（人民币）盘点表E1-7"/>
      <sheetName val="库存现金（外币）盘点表E1-8"/>
      <sheetName val="银行存单盘点表E1-9"/>
      <sheetName val="已开立银行账户清单核对表E1-10"/>
      <sheetName val="银行账户情况承诺E1-11"/>
    </sheetNames>
    <sheetDataSet>
      <sheetData sheetId="0" refreshError="1"/>
      <sheetData sheetId="1" refreshError="1"/>
      <sheetData sheetId="2" refreshError="1"/>
      <sheetData sheetId="3" refreshError="1"/>
      <sheetData sheetId="4" refreshError="1"/>
      <sheetData sheetId="5">
        <row r="22">
          <cell r="C22">
            <v>0</v>
          </cell>
          <cell r="D22">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zoomScaleNormal="100" workbookViewId="0"/>
  </sheetViews>
  <sheetFormatPr defaultColWidth="8.21875" defaultRowHeight="19.95" customHeight="1"/>
  <cols>
    <col min="1" max="1" width="52.33203125" style="51" customWidth="1"/>
    <col min="2" max="2" width="1.77734375" style="51" customWidth="1"/>
    <col min="3" max="3" width="1.88671875" style="51" customWidth="1"/>
    <col min="4" max="4" width="5.5546875" style="51" customWidth="1"/>
    <col min="5" max="5" width="35.44140625" style="51" customWidth="1"/>
    <col min="6" max="6" width="16.88671875" style="1" customWidth="1"/>
    <col min="7" max="7" width="11.21875" style="51" customWidth="1"/>
    <col min="8" max="16384" width="8.21875" style="51"/>
  </cols>
  <sheetData>
    <row r="1" spans="1:7" ht="19.95" customHeight="1">
      <c r="A1" s="50" t="s">
        <v>45</v>
      </c>
      <c r="D1" s="1"/>
      <c r="E1" s="1"/>
      <c r="G1" s="1"/>
    </row>
    <row r="2" spans="1:7" ht="19.95" customHeight="1">
      <c r="A2" s="293" t="s">
        <v>454</v>
      </c>
      <c r="B2" s="52"/>
      <c r="C2" s="52"/>
      <c r="D2" s="47" t="s">
        <v>46</v>
      </c>
      <c r="E2" s="47" t="s">
        <v>47</v>
      </c>
      <c r="F2" s="47" t="s">
        <v>48</v>
      </c>
      <c r="G2" s="47" t="s">
        <v>49</v>
      </c>
    </row>
    <row r="3" spans="1:7" ht="19.95" customHeight="1">
      <c r="A3" s="293" t="s">
        <v>470</v>
      </c>
      <c r="B3" s="52"/>
      <c r="C3" s="52"/>
      <c r="D3" s="47">
        <v>1</v>
      </c>
      <c r="E3" s="343" t="s">
        <v>433</v>
      </c>
      <c r="F3" s="302" t="s">
        <v>472</v>
      </c>
      <c r="G3" s="48"/>
    </row>
    <row r="4" spans="1:7" ht="19.95" customHeight="1">
      <c r="A4" s="313" t="s">
        <v>455</v>
      </c>
      <c r="D4" s="47">
        <v>2</v>
      </c>
      <c r="E4" s="343" t="s">
        <v>495</v>
      </c>
      <c r="F4" s="302" t="s">
        <v>471</v>
      </c>
      <c r="G4" s="49"/>
    </row>
    <row r="5" spans="1:7" ht="19.95" customHeight="1">
      <c r="A5" s="313" t="s">
        <v>456</v>
      </c>
      <c r="D5" s="47">
        <v>3</v>
      </c>
      <c r="E5" s="343" t="s">
        <v>434</v>
      </c>
      <c r="F5" s="302" t="s">
        <v>384</v>
      </c>
      <c r="G5" s="49"/>
    </row>
    <row r="6" spans="1:7" ht="19.95" customHeight="1">
      <c r="A6" s="313" t="s">
        <v>457</v>
      </c>
      <c r="D6" s="47">
        <v>3</v>
      </c>
      <c r="E6" s="343" t="s">
        <v>435</v>
      </c>
      <c r="F6" s="302" t="s">
        <v>386</v>
      </c>
      <c r="G6" s="49"/>
    </row>
    <row r="7" spans="1:7" ht="19.95" customHeight="1">
      <c r="A7" s="313" t="s">
        <v>458</v>
      </c>
      <c r="D7" s="47">
        <v>3</v>
      </c>
      <c r="E7" s="343" t="s">
        <v>496</v>
      </c>
      <c r="F7" s="302" t="s">
        <v>393</v>
      </c>
      <c r="G7" s="49"/>
    </row>
    <row r="8" spans="1:7" ht="19.95" customHeight="1">
      <c r="A8" s="53"/>
      <c r="D8" s="47">
        <v>4</v>
      </c>
      <c r="E8" s="343" t="s">
        <v>497</v>
      </c>
      <c r="F8" s="302" t="s">
        <v>426</v>
      </c>
      <c r="G8" s="49"/>
    </row>
    <row r="9" spans="1:7" ht="19.95" customHeight="1">
      <c r="D9" s="47">
        <v>5</v>
      </c>
      <c r="E9" s="343" t="s">
        <v>436</v>
      </c>
      <c r="F9" s="302" t="s">
        <v>437</v>
      </c>
      <c r="G9" s="49"/>
    </row>
    <row r="10" spans="1:7" ht="19.95" customHeight="1">
      <c r="D10" s="47">
        <v>5</v>
      </c>
      <c r="E10" s="343" t="s">
        <v>498</v>
      </c>
      <c r="F10" s="302" t="s">
        <v>40</v>
      </c>
      <c r="G10" s="49"/>
    </row>
    <row r="11" spans="1:7" ht="19.95" customHeight="1">
      <c r="D11" s="47">
        <v>6</v>
      </c>
      <c r="E11" s="54" t="s">
        <v>50</v>
      </c>
      <c r="F11" s="302" t="s">
        <v>41</v>
      </c>
      <c r="G11" s="49"/>
    </row>
    <row r="12" spans="1:7" ht="19.95" customHeight="1">
      <c r="D12" s="47">
        <v>7</v>
      </c>
      <c r="E12" s="54" t="s">
        <v>50</v>
      </c>
      <c r="F12" s="302" t="s">
        <v>42</v>
      </c>
      <c r="G12" s="49"/>
    </row>
  </sheetData>
  <phoneticPr fontId="6" type="noConversion"/>
  <hyperlinks>
    <hyperlink ref="E3" location="货币资金实质性程序表E26A!A1" display="货币资金实质性程序表"/>
    <hyperlink ref="E4" location="'现金交易分析E1-26'!A1" display="现金交易分析"/>
    <hyperlink ref="E5" location="'现金截止测试E1-27'!A1" display="现金截止测试"/>
    <hyperlink ref="E6" location="'现金收支检查表E1-28'!A1" display="现金收支检查表"/>
    <hyperlink ref="E7" location="'银行账户分析E1-29'!A1" display="银行账户分析"/>
    <hyperlink ref="E8" location="'存款规模与利息收入匹配性分析E1-30'!A1" display="存款规模与利息收入匹配性分析"/>
    <hyperlink ref="E9" location="'银行流水双向核对表E1-31'!A1" display="银行流水双向核对表"/>
    <hyperlink ref="E10" location="'董监高及关键岗位流水核查E1-32'!A1" display="董监高及关键岗位流水核查"/>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0"/>
  <sheetViews>
    <sheetView view="pageBreakPreview" zoomScaleNormal="100" zoomScaleSheetLayoutView="100" workbookViewId="0">
      <selection sqref="A1:J1"/>
    </sheetView>
  </sheetViews>
  <sheetFormatPr defaultColWidth="8.6640625" defaultRowHeight="19.95" customHeight="1"/>
  <cols>
    <col min="1" max="1" width="7.109375" style="94" customWidth="1"/>
    <col min="2" max="2" width="8.44140625" style="94" customWidth="1"/>
    <col min="3" max="3" width="56.33203125" style="94" customWidth="1"/>
    <col min="4" max="4" width="9.77734375" style="94" customWidth="1"/>
    <col min="5" max="5" width="5.44140625" style="94" customWidth="1"/>
    <col min="6" max="7" width="7.33203125" style="94" customWidth="1"/>
    <col min="8" max="8" width="8.21875" style="94" customWidth="1"/>
    <col min="9" max="9" width="5.6640625" style="94" customWidth="1"/>
    <col min="10" max="10" width="7.109375" style="94" customWidth="1"/>
    <col min="11" max="11" width="21" style="94" customWidth="1"/>
    <col min="12" max="16384" width="8.6640625" style="94"/>
  </cols>
  <sheetData>
    <row r="1" spans="1:12" ht="19.95" customHeight="1" thickBot="1">
      <c r="A1" s="345" t="s">
        <v>107</v>
      </c>
      <c r="B1" s="345"/>
      <c r="C1" s="345"/>
      <c r="D1" s="345"/>
      <c r="E1" s="345"/>
      <c r="F1" s="345"/>
      <c r="G1" s="345"/>
      <c r="H1" s="345"/>
      <c r="I1" s="345"/>
      <c r="J1" s="345"/>
    </row>
    <row r="2" spans="1:12" ht="19.95" customHeight="1">
      <c r="A2" s="346" t="s">
        <v>377</v>
      </c>
      <c r="B2" s="347"/>
      <c r="C2" s="347"/>
      <c r="D2" s="348"/>
      <c r="E2" s="348"/>
      <c r="F2" s="348"/>
      <c r="G2" s="348"/>
      <c r="H2" s="348"/>
      <c r="I2" s="348"/>
      <c r="J2" s="348"/>
      <c r="L2" s="95"/>
    </row>
    <row r="3" spans="1:12" ht="19.95" customHeight="1">
      <c r="A3" s="314" t="str">
        <f>底稿目录!A2</f>
        <v>被审计单位：</v>
      </c>
      <c r="B3" s="96"/>
      <c r="C3" s="96"/>
      <c r="D3" s="97" t="str">
        <f>底稿目录!A4</f>
        <v>编制人：</v>
      </c>
      <c r="E3" s="33"/>
      <c r="F3" s="97" t="str">
        <f>底稿目录!A5</f>
        <v>编制日期：</v>
      </c>
      <c r="G3" s="33"/>
      <c r="H3" s="33"/>
      <c r="I3" s="32" t="s">
        <v>493</v>
      </c>
      <c r="J3" s="63" t="str">
        <f>底稿目录!F3</f>
        <v>E1-26A</v>
      </c>
      <c r="L3" s="98"/>
    </row>
    <row r="4" spans="1:12" ht="19.95" customHeight="1" thickBot="1">
      <c r="A4" s="314" t="str">
        <f>底稿目录!A3</f>
        <v>截止日：202X年12月31日</v>
      </c>
      <c r="B4" s="96"/>
      <c r="C4" s="99"/>
      <c r="D4" s="97" t="str">
        <f>底稿目录!A6</f>
        <v>复核人：</v>
      </c>
      <c r="E4" s="33"/>
      <c r="F4" s="97" t="str">
        <f>底稿目录!A7</f>
        <v>复核日期：</v>
      </c>
      <c r="G4" s="33"/>
      <c r="H4" s="33"/>
      <c r="I4" s="32" t="s">
        <v>494</v>
      </c>
      <c r="L4" s="100"/>
    </row>
    <row r="5" spans="1:12" ht="19.95" customHeight="1">
      <c r="A5" s="120" t="s">
        <v>442</v>
      </c>
      <c r="B5" s="120"/>
      <c r="C5" s="99"/>
      <c r="E5" s="33"/>
      <c r="F5" s="33"/>
      <c r="G5" s="33"/>
      <c r="H5" s="33"/>
      <c r="I5" s="33"/>
      <c r="J5" s="33"/>
      <c r="L5" s="97"/>
    </row>
    <row r="6" spans="1:12" ht="19.95" customHeight="1">
      <c r="A6" s="121" t="s">
        <v>113</v>
      </c>
      <c r="B6" s="121"/>
      <c r="C6" s="99"/>
      <c r="E6" s="33"/>
      <c r="F6" s="33"/>
      <c r="G6" s="33"/>
      <c r="H6" s="33"/>
      <c r="I6" s="33"/>
      <c r="J6" s="33"/>
      <c r="L6" s="97"/>
    </row>
    <row r="7" spans="1:12" ht="19.95" customHeight="1">
      <c r="A7" s="101" t="s">
        <v>108</v>
      </c>
      <c r="B7" s="101"/>
      <c r="C7" s="99"/>
      <c r="E7" s="33"/>
      <c r="F7" s="33"/>
      <c r="G7" s="33"/>
      <c r="H7" s="33"/>
      <c r="I7" s="33"/>
      <c r="J7" s="33"/>
      <c r="L7" s="97"/>
    </row>
    <row r="8" spans="1:12" ht="19.95" customHeight="1">
      <c r="A8" s="352" t="s">
        <v>109</v>
      </c>
      <c r="B8" s="352"/>
      <c r="C8" s="352"/>
      <c r="D8" s="352"/>
      <c r="E8" s="352"/>
      <c r="F8" s="352"/>
      <c r="G8" s="352"/>
      <c r="H8" s="349" t="s">
        <v>35</v>
      </c>
      <c r="I8" s="349"/>
      <c r="J8" s="349"/>
    </row>
    <row r="9" spans="1:12" ht="19.95" customHeight="1">
      <c r="A9" s="351" t="s">
        <v>379</v>
      </c>
      <c r="B9" s="351"/>
      <c r="C9" s="351"/>
      <c r="D9" s="351"/>
      <c r="E9" s="351"/>
      <c r="F9" s="351"/>
      <c r="G9" s="351"/>
      <c r="H9" s="350" t="s">
        <v>110</v>
      </c>
      <c r="I9" s="350"/>
      <c r="J9" s="350"/>
    </row>
    <row r="10" spans="1:12" ht="19.95" customHeight="1">
      <c r="A10" s="351" t="s">
        <v>111</v>
      </c>
      <c r="B10" s="351"/>
      <c r="C10" s="351"/>
      <c r="D10" s="351"/>
      <c r="E10" s="351"/>
      <c r="F10" s="351"/>
      <c r="G10" s="351"/>
      <c r="H10" s="350" t="s">
        <v>473</v>
      </c>
      <c r="I10" s="350"/>
      <c r="J10" s="350"/>
    </row>
    <row r="11" spans="1:12" ht="19.95" customHeight="1">
      <c r="A11" s="351" t="s">
        <v>421</v>
      </c>
      <c r="B11" s="351"/>
      <c r="C11" s="351"/>
      <c r="D11" s="351"/>
      <c r="E11" s="351"/>
      <c r="F11" s="351"/>
      <c r="G11" s="351"/>
      <c r="H11" s="350" t="s">
        <v>474</v>
      </c>
      <c r="I11" s="350"/>
      <c r="J11" s="350"/>
    </row>
    <row r="12" spans="1:12" ht="19.95" customHeight="1">
      <c r="A12" s="351" t="s">
        <v>429</v>
      </c>
      <c r="B12" s="351"/>
      <c r="C12" s="351"/>
      <c r="D12" s="351"/>
      <c r="E12" s="351"/>
      <c r="F12" s="351"/>
      <c r="G12" s="351"/>
      <c r="H12" s="350" t="s">
        <v>475</v>
      </c>
      <c r="I12" s="350"/>
      <c r="J12" s="350"/>
    </row>
    <row r="13" spans="1:12" ht="19.95" customHeight="1">
      <c r="A13" s="351" t="s">
        <v>112</v>
      </c>
      <c r="B13" s="351"/>
      <c r="C13" s="351"/>
      <c r="D13" s="351"/>
      <c r="E13" s="351"/>
      <c r="F13" s="351"/>
      <c r="G13" s="351"/>
      <c r="H13" s="350" t="s">
        <v>476</v>
      </c>
      <c r="I13" s="350"/>
      <c r="J13" s="350"/>
    </row>
    <row r="14" spans="1:12" ht="19.95" customHeight="1">
      <c r="A14" s="34" t="s">
        <v>443</v>
      </c>
      <c r="B14" s="99"/>
      <c r="C14" s="99"/>
      <c r="D14" s="33"/>
      <c r="E14" s="33"/>
      <c r="F14" s="33"/>
      <c r="G14" s="33"/>
      <c r="H14" s="33"/>
      <c r="I14" s="33"/>
      <c r="J14" s="33"/>
    </row>
    <row r="15" spans="1:12" s="194" customFormat="1" ht="19.95" customHeight="1">
      <c r="A15" s="344" t="s">
        <v>114</v>
      </c>
      <c r="B15" s="344" t="s">
        <v>115</v>
      </c>
      <c r="C15" s="426" t="s">
        <v>500</v>
      </c>
      <c r="D15" s="344" t="s">
        <v>36</v>
      </c>
      <c r="E15" s="344" t="s">
        <v>116</v>
      </c>
      <c r="F15" s="344"/>
      <c r="G15" s="344"/>
      <c r="H15" s="344"/>
      <c r="I15" s="344"/>
      <c r="J15" s="344" t="s">
        <v>117</v>
      </c>
    </row>
    <row r="16" spans="1:12" s="194" customFormat="1" ht="34.200000000000003" customHeight="1">
      <c r="A16" s="344"/>
      <c r="B16" s="344"/>
      <c r="C16" s="426"/>
      <c r="D16" s="344"/>
      <c r="E16" s="29" t="s">
        <v>118</v>
      </c>
      <c r="F16" s="29" t="s">
        <v>119</v>
      </c>
      <c r="G16" s="29" t="s">
        <v>37</v>
      </c>
      <c r="H16" s="29" t="s">
        <v>120</v>
      </c>
      <c r="I16" s="29" t="s">
        <v>121</v>
      </c>
      <c r="J16" s="344"/>
      <c r="K16" s="425" t="s">
        <v>499</v>
      </c>
    </row>
    <row r="17" spans="1:11" s="194" customFormat="1" ht="26.4" customHeight="1">
      <c r="A17" s="294" t="s">
        <v>373</v>
      </c>
      <c r="B17" s="294"/>
      <c r="C17" s="305" t="s">
        <v>126</v>
      </c>
      <c r="D17" s="126"/>
      <c r="E17" s="123"/>
      <c r="F17" s="124"/>
      <c r="G17" s="124"/>
      <c r="H17" s="125"/>
      <c r="I17" s="118"/>
      <c r="J17" s="195"/>
      <c r="K17" s="196"/>
    </row>
    <row r="18" spans="1:11" s="194" customFormat="1" ht="104.4" customHeight="1">
      <c r="A18" s="117">
        <v>1</v>
      </c>
      <c r="B18" s="128" t="s">
        <v>213</v>
      </c>
      <c r="C18" s="306" t="s">
        <v>376</v>
      </c>
      <c r="D18" s="295" t="s">
        <v>374</v>
      </c>
      <c r="E18" s="123" t="s">
        <v>122</v>
      </c>
      <c r="F18" s="124"/>
      <c r="G18" s="124"/>
      <c r="H18" s="125" t="s">
        <v>123</v>
      </c>
      <c r="I18" s="118"/>
      <c r="J18" s="195" t="s">
        <v>382</v>
      </c>
      <c r="K18" s="196"/>
    </row>
    <row r="19" spans="1:11" s="194" customFormat="1" ht="48.6" customHeight="1">
      <c r="A19" s="117">
        <v>2</v>
      </c>
      <c r="B19" s="128" t="s">
        <v>214</v>
      </c>
      <c r="C19" s="306" t="s">
        <v>302</v>
      </c>
      <c r="D19" s="295" t="s">
        <v>374</v>
      </c>
      <c r="E19" s="123" t="s">
        <v>199</v>
      </c>
      <c r="F19" s="199" t="s">
        <v>199</v>
      </c>
      <c r="G19" s="199"/>
      <c r="H19" s="199" t="s">
        <v>200</v>
      </c>
      <c r="I19" s="118"/>
      <c r="J19" s="195" t="s">
        <v>383</v>
      </c>
      <c r="K19" s="196"/>
    </row>
    <row r="20" spans="1:11" s="194" customFormat="1" ht="44.4" customHeight="1">
      <c r="A20" s="117">
        <v>3</v>
      </c>
      <c r="B20" s="128" t="s">
        <v>215</v>
      </c>
      <c r="C20" s="307" t="s">
        <v>128</v>
      </c>
      <c r="D20" s="295" t="s">
        <v>375</v>
      </c>
      <c r="E20" s="125" t="s">
        <v>123</v>
      </c>
      <c r="F20" s="125" t="s">
        <v>197</v>
      </c>
      <c r="G20" s="124"/>
      <c r="H20" s="125"/>
      <c r="I20" s="118"/>
      <c r="J20" s="195" t="s">
        <v>385</v>
      </c>
      <c r="K20" s="197"/>
    </row>
    <row r="21" spans="1:11" s="194" customFormat="1" ht="66.599999999999994" customHeight="1">
      <c r="A21" s="117">
        <v>4</v>
      </c>
      <c r="B21" s="128" t="s">
        <v>215</v>
      </c>
      <c r="C21" s="306" t="s">
        <v>307</v>
      </c>
      <c r="D21" s="295" t="s">
        <v>375</v>
      </c>
      <c r="E21" s="123" t="s">
        <v>197</v>
      </c>
      <c r="F21" s="125"/>
      <c r="G21" s="125" t="s">
        <v>198</v>
      </c>
      <c r="H21" s="125" t="s">
        <v>198</v>
      </c>
      <c r="I21" s="118"/>
      <c r="J21" s="195" t="s">
        <v>387</v>
      </c>
      <c r="K21" s="197"/>
    </row>
    <row r="22" spans="1:11" s="194" customFormat="1" ht="59.4" customHeight="1">
      <c r="A22" s="117">
        <v>5</v>
      </c>
      <c r="B22" s="128" t="s">
        <v>216</v>
      </c>
      <c r="C22" s="306" t="s">
        <v>125</v>
      </c>
      <c r="D22" s="295" t="s">
        <v>374</v>
      </c>
      <c r="E22" s="298" t="s">
        <v>388</v>
      </c>
      <c r="F22" s="124" t="s">
        <v>389</v>
      </c>
      <c r="G22" s="124"/>
      <c r="H22" s="124" t="s">
        <v>390</v>
      </c>
      <c r="I22" s="118"/>
      <c r="J22" s="195"/>
      <c r="K22" s="197"/>
    </row>
    <row r="23" spans="1:11" s="194" customFormat="1" ht="28.8" customHeight="1">
      <c r="A23" s="294" t="s">
        <v>391</v>
      </c>
      <c r="B23" s="308"/>
      <c r="C23" s="305" t="s">
        <v>127</v>
      </c>
      <c r="D23" s="296"/>
      <c r="E23" s="118"/>
      <c r="F23" s="118"/>
      <c r="G23" s="118"/>
      <c r="H23" s="118"/>
      <c r="I23" s="118"/>
      <c r="J23" s="195"/>
      <c r="K23" s="196"/>
    </row>
    <row r="24" spans="1:11" s="194" customFormat="1" ht="141" customHeight="1">
      <c r="A24" s="117">
        <v>1</v>
      </c>
      <c r="B24" s="128" t="s">
        <v>365</v>
      </c>
      <c r="C24" s="35" t="s">
        <v>490</v>
      </c>
      <c r="D24" s="295" t="s">
        <v>374</v>
      </c>
      <c r="E24" s="299"/>
      <c r="F24" s="298" t="s">
        <v>388</v>
      </c>
      <c r="G24" s="118"/>
      <c r="H24" s="118"/>
      <c r="I24" s="118"/>
      <c r="J24" s="195"/>
      <c r="K24" s="196"/>
    </row>
    <row r="25" spans="1:11" s="194" customFormat="1" ht="85.2" customHeight="1">
      <c r="A25" s="117">
        <v>2</v>
      </c>
      <c r="B25" s="128" t="s">
        <v>365</v>
      </c>
      <c r="C25" s="35" t="s">
        <v>491</v>
      </c>
      <c r="D25" s="295" t="s">
        <v>374</v>
      </c>
      <c r="E25" s="299" t="s">
        <v>392</v>
      </c>
      <c r="F25" s="118" t="s">
        <v>196</v>
      </c>
      <c r="G25" s="118" t="s">
        <v>196</v>
      </c>
      <c r="H25" s="118"/>
      <c r="I25" s="118"/>
      <c r="J25" s="195" t="s">
        <v>394</v>
      </c>
      <c r="K25" s="196"/>
    </row>
    <row r="26" spans="1:11" s="194" customFormat="1" ht="40.799999999999997" customHeight="1">
      <c r="A26" s="117">
        <v>3</v>
      </c>
      <c r="B26" s="128" t="s">
        <v>215</v>
      </c>
      <c r="C26" s="35" t="s">
        <v>492</v>
      </c>
      <c r="D26" s="295" t="s">
        <v>374</v>
      </c>
      <c r="E26" s="299" t="s">
        <v>392</v>
      </c>
      <c r="F26" s="299" t="s">
        <v>392</v>
      </c>
      <c r="G26" s="118" t="s">
        <v>196</v>
      </c>
      <c r="H26" s="118"/>
      <c r="I26" s="118"/>
      <c r="J26" s="195"/>
      <c r="K26" s="196"/>
    </row>
    <row r="27" spans="1:11" s="194" customFormat="1" ht="58.8" customHeight="1">
      <c r="A27" s="117">
        <v>4</v>
      </c>
      <c r="B27" s="128" t="s">
        <v>213</v>
      </c>
      <c r="C27" s="35" t="s">
        <v>247</v>
      </c>
      <c r="D27" s="295" t="s">
        <v>374</v>
      </c>
      <c r="E27" s="123" t="s">
        <v>122</v>
      </c>
      <c r="F27" s="199" t="s">
        <v>248</v>
      </c>
      <c r="G27" s="229"/>
      <c r="H27" s="199" t="s">
        <v>249</v>
      </c>
      <c r="I27" s="118"/>
      <c r="J27" s="195" t="s">
        <v>444</v>
      </c>
      <c r="K27" s="270"/>
    </row>
    <row r="28" spans="1:11" s="194" customFormat="1" ht="94.2" customHeight="1">
      <c r="A28" s="117">
        <v>5</v>
      </c>
      <c r="B28" s="128" t="s">
        <v>215</v>
      </c>
      <c r="C28" s="35" t="s">
        <v>308</v>
      </c>
      <c r="D28" s="295" t="s">
        <v>374</v>
      </c>
      <c r="E28" s="123" t="s">
        <v>122</v>
      </c>
      <c r="F28" s="199" t="s">
        <v>248</v>
      </c>
      <c r="G28" s="229"/>
      <c r="H28" s="199" t="s">
        <v>249</v>
      </c>
      <c r="I28" s="118"/>
      <c r="J28" s="195" t="s">
        <v>445</v>
      </c>
      <c r="K28" s="269"/>
    </row>
    <row r="29" spans="1:11" s="198" customFormat="1" ht="82.2" customHeight="1">
      <c r="A29" s="117">
        <v>6</v>
      </c>
      <c r="B29" s="128" t="s">
        <v>215</v>
      </c>
      <c r="C29" s="35" t="s">
        <v>359</v>
      </c>
      <c r="D29" s="295" t="s">
        <v>374</v>
      </c>
      <c r="E29" s="119"/>
      <c r="F29" s="228" t="s">
        <v>366</v>
      </c>
      <c r="G29" s="119"/>
      <c r="H29" s="119"/>
      <c r="I29" s="199" t="s">
        <v>122</v>
      </c>
      <c r="J29" s="195" t="s">
        <v>446</v>
      </c>
    </row>
    <row r="30" spans="1:11" ht="122.4" customHeight="1">
      <c r="C30" s="122"/>
    </row>
  </sheetData>
  <mergeCells count="20">
    <mergeCell ref="A10:G10"/>
    <mergeCell ref="A11:G11"/>
    <mergeCell ref="A12:G12"/>
    <mergeCell ref="H13:J13"/>
    <mergeCell ref="B15:B16"/>
    <mergeCell ref="A1:J1"/>
    <mergeCell ref="A2:J2"/>
    <mergeCell ref="A15:A16"/>
    <mergeCell ref="C15:C16"/>
    <mergeCell ref="D15:D16"/>
    <mergeCell ref="E15:I15"/>
    <mergeCell ref="J15:J16"/>
    <mergeCell ref="H8:J8"/>
    <mergeCell ref="H9:J9"/>
    <mergeCell ref="H10:J10"/>
    <mergeCell ref="H11:J11"/>
    <mergeCell ref="H12:J12"/>
    <mergeCell ref="A13:G13"/>
    <mergeCell ref="A8:G8"/>
    <mergeCell ref="A9:G9"/>
  </mergeCells>
  <phoneticPr fontId="7"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68"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5"/>
  <sheetViews>
    <sheetView view="pageBreakPreview" zoomScaleSheetLayoutView="100" workbookViewId="0">
      <selection sqref="A1:M1"/>
    </sheetView>
  </sheetViews>
  <sheetFormatPr defaultColWidth="8.21875" defaultRowHeight="19.95" customHeight="1"/>
  <cols>
    <col min="1" max="1" width="13.109375" style="13" customWidth="1"/>
    <col min="2" max="2" width="15.109375" style="13" customWidth="1"/>
    <col min="3" max="3" width="12.77734375" style="13" customWidth="1"/>
    <col min="4" max="4" width="12" style="13" customWidth="1"/>
    <col min="5" max="5" width="8.77734375" style="13" customWidth="1"/>
    <col min="6" max="6" width="8.21875" style="13" customWidth="1"/>
    <col min="7" max="7" width="12.21875" style="13" customWidth="1"/>
    <col min="8" max="8" width="15.21875" style="13" customWidth="1"/>
    <col min="9" max="9" width="11.88671875" style="13" customWidth="1"/>
    <col min="10" max="10" width="10.6640625" style="13" customWidth="1"/>
    <col min="11" max="12" width="8.33203125" style="13" customWidth="1"/>
    <col min="13" max="13" width="12.44140625" style="13" customWidth="1"/>
    <col min="14" max="16384" width="8.21875" style="13"/>
  </cols>
  <sheetData>
    <row r="1" spans="1:28" ht="19.95" customHeight="1">
      <c r="A1" s="360" t="s">
        <v>0</v>
      </c>
      <c r="B1" s="360"/>
      <c r="C1" s="360"/>
      <c r="D1" s="360"/>
      <c r="E1" s="360"/>
      <c r="F1" s="360"/>
      <c r="G1" s="360"/>
      <c r="H1" s="360"/>
      <c r="I1" s="360"/>
      <c r="J1" s="360"/>
      <c r="K1" s="360"/>
      <c r="L1" s="360"/>
      <c r="M1" s="360"/>
      <c r="P1" s="10"/>
      <c r="Q1" s="3"/>
      <c r="R1" s="7"/>
      <c r="S1" s="7"/>
      <c r="T1" s="7"/>
      <c r="U1" s="7"/>
      <c r="V1" s="7"/>
      <c r="W1" s="3"/>
      <c r="X1" s="3"/>
      <c r="Y1" s="7"/>
      <c r="Z1" s="7"/>
      <c r="AA1" s="3"/>
      <c r="AB1" s="3"/>
    </row>
    <row r="2" spans="1:28" ht="19.95" customHeight="1">
      <c r="A2" s="361" t="s">
        <v>82</v>
      </c>
      <c r="B2" s="361"/>
      <c r="C2" s="361"/>
      <c r="D2" s="361"/>
      <c r="E2" s="361"/>
      <c r="F2" s="361"/>
      <c r="G2" s="361"/>
      <c r="H2" s="361"/>
      <c r="I2" s="361"/>
      <c r="J2" s="361"/>
      <c r="K2" s="361"/>
      <c r="L2" s="361"/>
      <c r="M2" s="361"/>
      <c r="P2" s="10"/>
      <c r="Q2" s="3"/>
      <c r="R2" s="7"/>
      <c r="S2" s="7"/>
      <c r="T2" s="7"/>
      <c r="U2" s="7"/>
      <c r="V2" s="7"/>
      <c r="W2" s="3"/>
      <c r="X2" s="3"/>
      <c r="Y2" s="7"/>
      <c r="Z2" s="7"/>
      <c r="AA2" s="3"/>
      <c r="AB2" s="3"/>
    </row>
    <row r="3" spans="1:28" ht="19.95" customHeight="1">
      <c r="A3" s="2" t="str">
        <f>底稿目录!A2</f>
        <v>被审计单位：</v>
      </c>
      <c r="B3" s="2"/>
      <c r="C3" s="3"/>
      <c r="E3" s="4" t="str">
        <f>底稿目录!A4</f>
        <v>编制人：</v>
      </c>
      <c r="H3" s="2"/>
      <c r="I3" s="2" t="str">
        <f>底稿目录!A5</f>
        <v>编制日期：</v>
      </c>
      <c r="J3" s="44"/>
      <c r="K3" s="44"/>
      <c r="L3" s="3" t="s">
        <v>83</v>
      </c>
      <c r="M3" s="303" t="str">
        <f>底稿目录!F4</f>
        <v>E1-26</v>
      </c>
      <c r="P3" s="10"/>
      <c r="Q3" s="3"/>
      <c r="R3" s="7"/>
      <c r="S3" s="7"/>
      <c r="T3" s="7"/>
      <c r="U3" s="7"/>
      <c r="V3" s="7"/>
      <c r="W3" s="3"/>
      <c r="X3" s="3"/>
      <c r="Y3" s="7"/>
      <c r="Z3" s="7"/>
      <c r="AA3" s="3"/>
      <c r="AB3" s="3"/>
    </row>
    <row r="4" spans="1:28" ht="19.95" customHeight="1">
      <c r="A4" s="2" t="str">
        <f>底稿目录!A3</f>
        <v>截止日：202X年12月31日</v>
      </c>
      <c r="B4" s="5"/>
      <c r="C4" s="3"/>
      <c r="E4" s="4" t="str">
        <f>底稿目录!A6</f>
        <v>复核人：</v>
      </c>
      <c r="H4" s="2"/>
      <c r="I4" s="2" t="str">
        <f>底稿目录!A7</f>
        <v>复核日期：</v>
      </c>
      <c r="J4" s="44"/>
      <c r="K4" s="44"/>
      <c r="L4" s="3" t="s">
        <v>80</v>
      </c>
      <c r="P4" s="10"/>
      <c r="Q4" s="354"/>
      <c r="R4" s="354"/>
      <c r="S4" s="354"/>
      <c r="T4" s="354"/>
      <c r="U4" s="354"/>
      <c r="V4" s="354"/>
      <c r="W4" s="354"/>
      <c r="X4" s="354"/>
      <c r="Y4" s="354"/>
      <c r="Z4" s="354"/>
      <c r="AA4" s="354"/>
      <c r="AB4" s="354"/>
    </row>
    <row r="5" spans="1:28" s="3" customFormat="1" ht="19.95" customHeight="1">
      <c r="A5" s="6" t="s">
        <v>1</v>
      </c>
      <c r="D5" s="7"/>
      <c r="E5" s="7"/>
      <c r="F5" s="7"/>
      <c r="G5" s="7"/>
      <c r="J5" s="7"/>
      <c r="K5" s="7"/>
      <c r="N5" s="8"/>
      <c r="P5" s="10"/>
      <c r="Q5" s="354"/>
      <c r="R5" s="354"/>
      <c r="S5" s="354"/>
      <c r="T5" s="354"/>
      <c r="U5" s="354"/>
      <c r="V5" s="354"/>
      <c r="W5" s="354"/>
      <c r="X5" s="354"/>
      <c r="Y5" s="354"/>
      <c r="Z5" s="354"/>
      <c r="AA5" s="354"/>
      <c r="AB5" s="354"/>
    </row>
    <row r="6" spans="1:28" s="3" customFormat="1" ht="19.95" customHeight="1">
      <c r="A6" s="225" t="s">
        <v>381</v>
      </c>
      <c r="B6" s="9"/>
      <c r="D6" s="103"/>
      <c r="E6" s="103"/>
      <c r="F6" s="103"/>
      <c r="G6" s="103"/>
      <c r="J6" s="103"/>
      <c r="K6" s="103"/>
      <c r="N6" s="8"/>
      <c r="P6" s="10"/>
      <c r="Q6" s="102"/>
      <c r="R6" s="102"/>
      <c r="S6" s="102"/>
      <c r="T6" s="102"/>
      <c r="U6" s="102"/>
      <c r="V6" s="102"/>
      <c r="W6" s="102"/>
      <c r="X6" s="102"/>
      <c r="Y6" s="102"/>
      <c r="Z6" s="102"/>
      <c r="AA6" s="102"/>
      <c r="AB6" s="102"/>
    </row>
    <row r="7" spans="1:28" s="3" customFormat="1" ht="19.95" customHeight="1">
      <c r="A7" s="225" t="s">
        <v>380</v>
      </c>
      <c r="B7" s="9"/>
      <c r="D7" s="225"/>
      <c r="E7" s="225"/>
      <c r="F7" s="225"/>
      <c r="G7" s="225"/>
      <c r="J7" s="225"/>
      <c r="K7" s="225"/>
      <c r="N7" s="8"/>
      <c r="P7" s="10"/>
      <c r="Q7" s="224"/>
      <c r="R7" s="224"/>
      <c r="S7" s="224"/>
      <c r="T7" s="224"/>
      <c r="U7" s="224"/>
      <c r="V7" s="224"/>
      <c r="W7" s="224"/>
      <c r="X7" s="224"/>
      <c r="Y7" s="224"/>
      <c r="Z7" s="224"/>
      <c r="AA7" s="224"/>
      <c r="AB7" s="224"/>
    </row>
    <row r="8" spans="1:28" s="3" customFormat="1" ht="19.95" customHeight="1">
      <c r="A8" s="6" t="s">
        <v>2</v>
      </c>
      <c r="B8" s="11"/>
      <c r="C8" s="11"/>
      <c r="D8" s="11"/>
      <c r="E8" s="11"/>
      <c r="F8" s="11"/>
      <c r="G8" s="11"/>
      <c r="H8" s="11"/>
      <c r="I8" s="11"/>
      <c r="J8" s="11"/>
      <c r="K8" s="11"/>
      <c r="L8" s="11"/>
      <c r="M8" s="11"/>
      <c r="N8" s="8"/>
      <c r="P8" s="10"/>
      <c r="Q8" s="354"/>
      <c r="R8" s="354"/>
      <c r="S8" s="354"/>
      <c r="T8" s="354"/>
      <c r="U8" s="354"/>
      <c r="V8" s="354"/>
      <c r="W8" s="354"/>
      <c r="X8" s="354"/>
      <c r="Y8" s="354"/>
      <c r="Z8" s="354"/>
      <c r="AA8" s="354"/>
      <c r="AB8" s="354"/>
    </row>
    <row r="9" spans="1:28" s="3" customFormat="1" ht="19.95" customHeight="1">
      <c r="A9" s="6" t="s">
        <v>84</v>
      </c>
      <c r="B9" s="11"/>
      <c r="C9" s="11"/>
      <c r="D9" s="12"/>
      <c r="E9" s="12"/>
      <c r="F9" s="12"/>
      <c r="G9" s="12"/>
      <c r="N9" s="8"/>
      <c r="P9" s="10"/>
      <c r="R9" s="7"/>
      <c r="S9" s="7"/>
      <c r="T9" s="7"/>
      <c r="U9" s="7"/>
      <c r="V9" s="7"/>
      <c r="Y9" s="7"/>
      <c r="Z9" s="7"/>
    </row>
    <row r="10" spans="1:28" ht="19.95" customHeight="1">
      <c r="A10" s="355" t="s">
        <v>29</v>
      </c>
      <c r="B10" s="356"/>
      <c r="C10" s="356"/>
      <c r="D10" s="356"/>
      <c r="E10" s="356"/>
      <c r="F10" s="357"/>
      <c r="G10" s="355" t="s">
        <v>30</v>
      </c>
      <c r="H10" s="356"/>
      <c r="I10" s="356"/>
      <c r="J10" s="356"/>
      <c r="K10" s="356"/>
      <c r="L10" s="357"/>
      <c r="M10" s="358" t="s">
        <v>33</v>
      </c>
      <c r="P10" s="10"/>
      <c r="Q10" s="3"/>
      <c r="R10" s="7"/>
      <c r="S10" s="7"/>
      <c r="T10" s="7"/>
      <c r="U10" s="7"/>
      <c r="V10" s="7"/>
      <c r="W10" s="3"/>
      <c r="X10" s="3"/>
      <c r="Y10" s="7"/>
      <c r="Z10" s="7"/>
      <c r="AA10" s="3"/>
      <c r="AB10" s="3"/>
    </row>
    <row r="11" spans="1:28" ht="19.95" customHeight="1">
      <c r="A11" s="83" t="s">
        <v>31</v>
      </c>
      <c r="B11" s="83" t="s">
        <v>85</v>
      </c>
      <c r="C11" s="83" t="s">
        <v>86</v>
      </c>
      <c r="D11" s="83"/>
      <c r="E11" s="83" t="s">
        <v>87</v>
      </c>
      <c r="F11" s="83" t="s">
        <v>88</v>
      </c>
      <c r="G11" s="83" t="s">
        <v>31</v>
      </c>
      <c r="H11" s="83" t="s">
        <v>85</v>
      </c>
      <c r="I11" s="83" t="s">
        <v>86</v>
      </c>
      <c r="J11" s="83"/>
      <c r="K11" s="83" t="s">
        <v>87</v>
      </c>
      <c r="L11" s="83" t="s">
        <v>88</v>
      </c>
      <c r="M11" s="359"/>
      <c r="P11" s="10"/>
      <c r="Q11" s="3"/>
      <c r="R11" s="7"/>
      <c r="S11" s="7"/>
      <c r="T11" s="7"/>
      <c r="U11" s="7"/>
      <c r="V11" s="7"/>
      <c r="W11" s="3"/>
      <c r="X11" s="3"/>
      <c r="Y11" s="7"/>
      <c r="Z11" s="7"/>
      <c r="AA11" s="3"/>
      <c r="AB11" s="3"/>
    </row>
    <row r="12" spans="1:28" ht="19.95" customHeight="1">
      <c r="A12" s="14">
        <v>1</v>
      </c>
      <c r="B12" s="15"/>
      <c r="C12" s="15"/>
      <c r="D12" s="15"/>
      <c r="E12" s="16">
        <f>IF(AND(B12=0,C12=0),0,IF(AND(B12&gt;0,C12=0),1,(B12-C12)/C12))</f>
        <v>0</v>
      </c>
      <c r="F12" s="16">
        <f>IF(AND(C12=0,D12=0),0,IF(AND(C12&gt;0,D12=0),1,(C12-D12)/D12))</f>
        <v>0</v>
      </c>
      <c r="G12" s="14">
        <v>1</v>
      </c>
      <c r="H12" s="15"/>
      <c r="I12" s="15"/>
      <c r="J12" s="15"/>
      <c r="K12" s="16">
        <f>IF(AND(H12=0,I12=0),0,IF(AND(H12&gt;0,I12=0),1,(H12-I12)/I12))</f>
        <v>0</v>
      </c>
      <c r="L12" s="16">
        <f>IF(AND(I12=0,J12=0),0,IF(AND(I12&gt;0,J12=0),1,(I12-J12)/J12))</f>
        <v>0</v>
      </c>
      <c r="M12" s="15"/>
      <c r="P12" s="10"/>
      <c r="Q12" s="3"/>
      <c r="R12" s="7"/>
      <c r="S12" s="7"/>
      <c r="T12" s="7"/>
      <c r="U12" s="7"/>
      <c r="V12" s="7"/>
      <c r="W12" s="3"/>
      <c r="X12" s="3"/>
      <c r="Y12" s="7"/>
      <c r="Z12" s="7"/>
      <c r="AA12" s="3"/>
      <c r="AB12" s="3"/>
    </row>
    <row r="13" spans="1:28" ht="19.95" customHeight="1">
      <c r="A13" s="14">
        <v>2</v>
      </c>
      <c r="B13" s="15"/>
      <c r="C13" s="15"/>
      <c r="D13" s="15"/>
      <c r="E13" s="16">
        <f t="shared" ref="E13:F24" si="0">IF(AND(B13=0,C13=0),0,IF(AND(B13&gt;0,C13=0),1,(B13-C13)/C13))</f>
        <v>0</v>
      </c>
      <c r="F13" s="16">
        <f t="shared" si="0"/>
        <v>0</v>
      </c>
      <c r="G13" s="14">
        <v>2</v>
      </c>
      <c r="H13" s="15"/>
      <c r="I13" s="15"/>
      <c r="J13" s="15"/>
      <c r="K13" s="16">
        <f t="shared" ref="K13:L24" si="1">IF(AND(H13=0,I13=0),0,IF(AND(H13&gt;0,I13=0),1,(H13-I13)/I13))</f>
        <v>0</v>
      </c>
      <c r="L13" s="16">
        <f t="shared" si="1"/>
        <v>0</v>
      </c>
      <c r="M13" s="15"/>
      <c r="P13" s="10"/>
      <c r="Q13" s="3"/>
      <c r="R13" s="7"/>
      <c r="S13" s="7"/>
      <c r="T13" s="7"/>
      <c r="U13" s="7"/>
      <c r="V13" s="7"/>
      <c r="W13" s="3"/>
      <c r="X13" s="3"/>
      <c r="Y13" s="7"/>
      <c r="Z13" s="7"/>
      <c r="AA13" s="3"/>
      <c r="AB13" s="3"/>
    </row>
    <row r="14" spans="1:28" ht="19.95" customHeight="1">
      <c r="A14" s="14">
        <v>3</v>
      </c>
      <c r="B14" s="15"/>
      <c r="C14" s="15"/>
      <c r="D14" s="15"/>
      <c r="E14" s="16">
        <f t="shared" si="0"/>
        <v>0</v>
      </c>
      <c r="F14" s="16">
        <f t="shared" si="0"/>
        <v>0</v>
      </c>
      <c r="G14" s="14">
        <v>3</v>
      </c>
      <c r="H14" s="15"/>
      <c r="I14" s="15"/>
      <c r="J14" s="15"/>
      <c r="K14" s="16">
        <f t="shared" si="1"/>
        <v>0</v>
      </c>
      <c r="L14" s="16">
        <f t="shared" si="1"/>
        <v>0</v>
      </c>
      <c r="M14" s="15"/>
      <c r="P14" s="10"/>
      <c r="Q14" s="3"/>
      <c r="R14" s="7"/>
      <c r="S14" s="7"/>
      <c r="T14" s="7"/>
      <c r="U14" s="7"/>
      <c r="V14" s="7"/>
      <c r="W14" s="3"/>
      <c r="X14" s="3"/>
      <c r="Y14" s="7"/>
      <c r="Z14" s="7"/>
      <c r="AA14" s="3"/>
      <c r="AB14" s="3"/>
    </row>
    <row r="15" spans="1:28" ht="19.95" customHeight="1">
      <c r="A15" s="14">
        <v>4</v>
      </c>
      <c r="B15" s="15"/>
      <c r="C15" s="15"/>
      <c r="D15" s="15"/>
      <c r="E15" s="16">
        <f t="shared" si="0"/>
        <v>0</v>
      </c>
      <c r="F15" s="16">
        <f t="shared" si="0"/>
        <v>0</v>
      </c>
      <c r="G15" s="14">
        <v>4</v>
      </c>
      <c r="H15" s="15"/>
      <c r="I15" s="15"/>
      <c r="J15" s="15"/>
      <c r="K15" s="16">
        <f t="shared" si="1"/>
        <v>0</v>
      </c>
      <c r="L15" s="16">
        <f t="shared" si="1"/>
        <v>0</v>
      </c>
      <c r="M15" s="15"/>
    </row>
    <row r="16" spans="1:28" ht="19.95" customHeight="1">
      <c r="A16" s="14">
        <v>5</v>
      </c>
      <c r="B16" s="15"/>
      <c r="C16" s="15"/>
      <c r="D16" s="15"/>
      <c r="E16" s="16">
        <f t="shared" si="0"/>
        <v>0</v>
      </c>
      <c r="F16" s="16">
        <f t="shared" si="0"/>
        <v>0</v>
      </c>
      <c r="G16" s="14">
        <v>5</v>
      </c>
      <c r="H16" s="15"/>
      <c r="I16" s="15"/>
      <c r="J16" s="15"/>
      <c r="K16" s="16">
        <f t="shared" si="1"/>
        <v>0</v>
      </c>
      <c r="L16" s="16">
        <f t="shared" si="1"/>
        <v>0</v>
      </c>
      <c r="M16" s="15"/>
    </row>
    <row r="17" spans="1:13" ht="19.95" customHeight="1">
      <c r="A17" s="14">
        <v>6</v>
      </c>
      <c r="B17" s="15"/>
      <c r="C17" s="15"/>
      <c r="D17" s="15"/>
      <c r="E17" s="16">
        <f t="shared" si="0"/>
        <v>0</v>
      </c>
      <c r="F17" s="16">
        <f t="shared" si="0"/>
        <v>0</v>
      </c>
      <c r="G17" s="14">
        <v>6</v>
      </c>
      <c r="H17" s="15"/>
      <c r="I17" s="15"/>
      <c r="J17" s="15"/>
      <c r="K17" s="16">
        <f t="shared" si="1"/>
        <v>0</v>
      </c>
      <c r="L17" s="16">
        <f t="shared" si="1"/>
        <v>0</v>
      </c>
      <c r="M17" s="15"/>
    </row>
    <row r="18" spans="1:13" ht="19.95" customHeight="1">
      <c r="A18" s="14">
        <v>7</v>
      </c>
      <c r="B18" s="15"/>
      <c r="C18" s="15"/>
      <c r="D18" s="15"/>
      <c r="E18" s="16">
        <f t="shared" si="0"/>
        <v>0</v>
      </c>
      <c r="F18" s="16">
        <f t="shared" si="0"/>
        <v>0</v>
      </c>
      <c r="G18" s="14">
        <v>7</v>
      </c>
      <c r="H18" s="15"/>
      <c r="I18" s="15"/>
      <c r="J18" s="15"/>
      <c r="K18" s="16">
        <f t="shared" si="1"/>
        <v>0</v>
      </c>
      <c r="L18" s="16">
        <f t="shared" si="1"/>
        <v>0</v>
      </c>
      <c r="M18" s="15"/>
    </row>
    <row r="19" spans="1:13" ht="19.95" customHeight="1">
      <c r="A19" s="14">
        <v>8</v>
      </c>
      <c r="B19" s="15"/>
      <c r="C19" s="15"/>
      <c r="D19" s="15"/>
      <c r="E19" s="16">
        <f t="shared" si="0"/>
        <v>0</v>
      </c>
      <c r="F19" s="16">
        <f t="shared" si="0"/>
        <v>0</v>
      </c>
      <c r="G19" s="14">
        <v>8</v>
      </c>
      <c r="H19" s="15"/>
      <c r="I19" s="15"/>
      <c r="J19" s="15"/>
      <c r="K19" s="16">
        <f t="shared" si="1"/>
        <v>0</v>
      </c>
      <c r="L19" s="16">
        <f t="shared" si="1"/>
        <v>0</v>
      </c>
      <c r="M19" s="15"/>
    </row>
    <row r="20" spans="1:13" ht="19.95" customHeight="1">
      <c r="A20" s="14">
        <v>9</v>
      </c>
      <c r="B20" s="15"/>
      <c r="C20" s="15"/>
      <c r="D20" s="15"/>
      <c r="E20" s="16">
        <f t="shared" si="0"/>
        <v>0</v>
      </c>
      <c r="F20" s="16">
        <f t="shared" si="0"/>
        <v>0</v>
      </c>
      <c r="G20" s="14">
        <v>9</v>
      </c>
      <c r="H20" s="15"/>
      <c r="I20" s="15"/>
      <c r="J20" s="15"/>
      <c r="K20" s="16">
        <f t="shared" si="1"/>
        <v>0</v>
      </c>
      <c r="L20" s="16">
        <f t="shared" si="1"/>
        <v>0</v>
      </c>
      <c r="M20" s="15"/>
    </row>
    <row r="21" spans="1:13" ht="19.95" customHeight="1">
      <c r="A21" s="14">
        <v>10</v>
      </c>
      <c r="B21" s="15"/>
      <c r="C21" s="15"/>
      <c r="D21" s="15"/>
      <c r="E21" s="16">
        <f t="shared" si="0"/>
        <v>0</v>
      </c>
      <c r="F21" s="16">
        <f t="shared" si="0"/>
        <v>0</v>
      </c>
      <c r="G21" s="14">
        <v>10</v>
      </c>
      <c r="H21" s="15"/>
      <c r="I21" s="15"/>
      <c r="J21" s="15"/>
      <c r="K21" s="16">
        <f t="shared" si="1"/>
        <v>0</v>
      </c>
      <c r="L21" s="16">
        <f t="shared" si="1"/>
        <v>0</v>
      </c>
      <c r="M21" s="15"/>
    </row>
    <row r="22" spans="1:13" ht="19.95" customHeight="1">
      <c r="A22" s="14">
        <v>11</v>
      </c>
      <c r="B22" s="15"/>
      <c r="C22" s="15"/>
      <c r="D22" s="15"/>
      <c r="E22" s="16">
        <f t="shared" si="0"/>
        <v>0</v>
      </c>
      <c r="F22" s="16">
        <f t="shared" si="0"/>
        <v>0</v>
      </c>
      <c r="G22" s="14">
        <v>11</v>
      </c>
      <c r="H22" s="15"/>
      <c r="I22" s="15"/>
      <c r="J22" s="15"/>
      <c r="K22" s="16">
        <f t="shared" si="1"/>
        <v>0</v>
      </c>
      <c r="L22" s="16">
        <f t="shared" si="1"/>
        <v>0</v>
      </c>
      <c r="M22" s="15"/>
    </row>
    <row r="23" spans="1:13" ht="19.95" customHeight="1">
      <c r="A23" s="14">
        <v>12</v>
      </c>
      <c r="B23" s="15"/>
      <c r="C23" s="15"/>
      <c r="D23" s="15"/>
      <c r="E23" s="16">
        <f t="shared" si="0"/>
        <v>0</v>
      </c>
      <c r="F23" s="16">
        <f t="shared" si="0"/>
        <v>0</v>
      </c>
      <c r="G23" s="14">
        <v>12</v>
      </c>
      <c r="H23" s="15"/>
      <c r="I23" s="15"/>
      <c r="J23" s="15"/>
      <c r="K23" s="16">
        <f t="shared" si="1"/>
        <v>0</v>
      </c>
      <c r="L23" s="16">
        <f t="shared" si="1"/>
        <v>0</v>
      </c>
      <c r="M23" s="15"/>
    </row>
    <row r="24" spans="1:13" ht="19.95" customHeight="1">
      <c r="A24" s="17" t="s">
        <v>3</v>
      </c>
      <c r="B24" s="18">
        <f>SUM(B12:B23)</f>
        <v>0</v>
      </c>
      <c r="C24" s="18">
        <f t="shared" ref="C24" si="2">SUM(C12:C23)</f>
        <v>0</v>
      </c>
      <c r="D24" s="18"/>
      <c r="E24" s="19">
        <f t="shared" si="0"/>
        <v>0</v>
      </c>
      <c r="F24" s="19">
        <f t="shared" si="0"/>
        <v>0</v>
      </c>
      <c r="G24" s="17" t="s">
        <v>3</v>
      </c>
      <c r="H24" s="18">
        <f t="shared" ref="H24:I24" si="3">SUM(H12:H23)</f>
        <v>0</v>
      </c>
      <c r="I24" s="18">
        <f t="shared" si="3"/>
        <v>0</v>
      </c>
      <c r="J24" s="18"/>
      <c r="K24" s="19">
        <f t="shared" si="1"/>
        <v>0</v>
      </c>
      <c r="L24" s="19">
        <f t="shared" si="1"/>
        <v>0</v>
      </c>
      <c r="M24" s="15"/>
    </row>
    <row r="25" spans="1:13" s="20" customFormat="1" ht="19.95" customHeight="1">
      <c r="A25" s="21" t="s">
        <v>89</v>
      </c>
      <c r="B25" s="15"/>
      <c r="C25" s="15"/>
      <c r="D25" s="15"/>
      <c r="E25" s="15"/>
      <c r="F25" s="15"/>
      <c r="G25" s="21" t="s">
        <v>90</v>
      </c>
      <c r="H25" s="15"/>
      <c r="I25" s="15"/>
      <c r="J25" s="15"/>
      <c r="K25" s="15"/>
      <c r="L25" s="15"/>
      <c r="M25" s="15"/>
    </row>
    <row r="26" spans="1:13" ht="19.95" customHeight="1">
      <c r="A26" s="21" t="s">
        <v>4</v>
      </c>
      <c r="B26" s="15"/>
      <c r="C26" s="15"/>
      <c r="D26" s="15"/>
      <c r="E26" s="15"/>
      <c r="F26" s="15"/>
      <c r="G26" s="21" t="s">
        <v>4</v>
      </c>
      <c r="H26" s="15"/>
      <c r="I26" s="15"/>
      <c r="J26" s="15"/>
      <c r="K26" s="15"/>
      <c r="L26" s="15"/>
      <c r="M26" s="15"/>
    </row>
    <row r="27" spans="1:13" ht="19.95" customHeight="1">
      <c r="A27" s="21" t="s">
        <v>5</v>
      </c>
      <c r="B27" s="15"/>
      <c r="C27" s="15"/>
      <c r="D27" s="15"/>
      <c r="E27" s="15"/>
      <c r="F27" s="15"/>
      <c r="G27" s="21" t="s">
        <v>5</v>
      </c>
      <c r="H27" s="15"/>
      <c r="I27" s="15"/>
      <c r="J27" s="15"/>
      <c r="K27" s="15"/>
      <c r="L27" s="15"/>
      <c r="M27" s="15"/>
    </row>
    <row r="28" spans="1:13" ht="19.95" customHeight="1">
      <c r="A28" s="6" t="s">
        <v>91</v>
      </c>
      <c r="B28" s="22"/>
      <c r="C28" s="22"/>
      <c r="D28" s="22"/>
      <c r="E28" s="22"/>
      <c r="F28" s="22"/>
      <c r="G28" s="23"/>
      <c r="H28" s="22"/>
      <c r="I28" s="22"/>
      <c r="J28" s="22"/>
      <c r="K28" s="22"/>
      <c r="L28" s="22"/>
      <c r="M28" s="22"/>
    </row>
    <row r="29" spans="1:13" ht="19.95" customHeight="1">
      <c r="A29" s="127" t="s">
        <v>124</v>
      </c>
      <c r="B29" s="25"/>
      <c r="C29" s="25"/>
      <c r="D29" s="25"/>
      <c r="E29" s="25"/>
      <c r="F29" s="25"/>
      <c r="G29" s="24"/>
      <c r="H29" s="25"/>
      <c r="I29" s="25"/>
      <c r="J29" s="25"/>
      <c r="K29" s="25"/>
      <c r="L29" s="25"/>
      <c r="M29" s="25"/>
    </row>
    <row r="30" spans="1:13" ht="19.95" customHeight="1">
      <c r="A30" s="24"/>
      <c r="B30" s="25"/>
      <c r="C30" s="25"/>
      <c r="D30" s="25"/>
      <c r="E30" s="25"/>
      <c r="F30" s="25"/>
      <c r="G30" s="24"/>
      <c r="H30" s="25"/>
      <c r="I30" s="25"/>
      <c r="J30" s="25"/>
      <c r="K30" s="25"/>
      <c r="L30" s="25"/>
      <c r="M30" s="25"/>
    </row>
    <row r="31" spans="1:13" ht="19.95" customHeight="1">
      <c r="A31" s="24"/>
      <c r="B31" s="25"/>
      <c r="C31" s="25"/>
      <c r="D31" s="25"/>
      <c r="E31" s="25"/>
      <c r="F31" s="25"/>
      <c r="G31" s="24"/>
      <c r="H31" s="25"/>
      <c r="I31" s="25"/>
      <c r="J31" s="25"/>
      <c r="K31" s="25"/>
      <c r="L31" s="25"/>
      <c r="M31" s="25"/>
    </row>
    <row r="32" spans="1:13" ht="19.95" customHeight="1">
      <c r="A32" s="6" t="s">
        <v>92</v>
      </c>
      <c r="B32" s="3"/>
      <c r="C32" s="3"/>
      <c r="D32" s="3"/>
      <c r="E32" s="3"/>
      <c r="F32" s="3"/>
      <c r="G32" s="3"/>
      <c r="H32" s="3"/>
      <c r="I32" s="3"/>
      <c r="J32" s="3"/>
      <c r="K32" s="3"/>
      <c r="L32" s="3"/>
      <c r="M32" s="3"/>
    </row>
    <row r="33" spans="1:13" ht="19.95" customHeight="1">
      <c r="A33" s="355" t="s">
        <v>93</v>
      </c>
      <c r="B33" s="356"/>
      <c r="C33" s="356"/>
      <c r="D33" s="356"/>
      <c r="E33" s="356"/>
      <c r="F33" s="357"/>
      <c r="G33" s="355" t="s">
        <v>94</v>
      </c>
      <c r="H33" s="356"/>
      <c r="I33" s="356"/>
      <c r="J33" s="356"/>
      <c r="K33" s="356"/>
      <c r="L33" s="357"/>
      <c r="M33" s="358" t="s">
        <v>33</v>
      </c>
    </row>
    <row r="34" spans="1:13" ht="19.95" customHeight="1">
      <c r="A34" s="83" t="s">
        <v>95</v>
      </c>
      <c r="B34" s="83" t="s">
        <v>85</v>
      </c>
      <c r="C34" s="83" t="s">
        <v>86</v>
      </c>
      <c r="D34" s="83"/>
      <c r="E34" s="83" t="s">
        <v>87</v>
      </c>
      <c r="F34" s="83" t="s">
        <v>88</v>
      </c>
      <c r="G34" s="83" t="s">
        <v>95</v>
      </c>
      <c r="H34" s="83" t="s">
        <v>85</v>
      </c>
      <c r="I34" s="83" t="s">
        <v>86</v>
      </c>
      <c r="J34" s="83"/>
      <c r="K34" s="83" t="s">
        <v>87</v>
      </c>
      <c r="L34" s="83" t="s">
        <v>88</v>
      </c>
      <c r="M34" s="359"/>
    </row>
    <row r="35" spans="1:13" ht="19.95" customHeight="1">
      <c r="A35" s="27" t="s">
        <v>96</v>
      </c>
      <c r="B35" s="26"/>
      <c r="C35" s="26"/>
      <c r="D35" s="26"/>
      <c r="E35" s="16">
        <f>IF(AND(B35=0,C35=0),0,IF(AND(B35&gt;0,C35=0),1,(B35-C35)/C35))</f>
        <v>0</v>
      </c>
      <c r="F35" s="16">
        <f>IF(AND(C35=0,D35=0),0,IF(AND(C35&gt;0,D35=0),1,(C35-D35)/D35))</f>
        <v>0</v>
      </c>
      <c r="G35" s="27" t="s">
        <v>97</v>
      </c>
      <c r="H35" s="26"/>
      <c r="I35" s="26"/>
      <c r="J35" s="26"/>
      <c r="K35" s="16">
        <f>IF(AND(H35=0,I35=0),0,IF(AND(H35&gt;0,I35=0),1,(H35-I35)/I35))</f>
        <v>0</v>
      </c>
      <c r="L35" s="16">
        <f>IF(AND(I35=0,J35=0),0,IF(AND(I35&gt;0,J35=0),1,(I35-J35)/J35))</f>
        <v>0</v>
      </c>
      <c r="M35" s="15"/>
    </row>
    <row r="36" spans="1:13" ht="19.95" customHeight="1">
      <c r="A36" s="27" t="s">
        <v>98</v>
      </c>
      <c r="B36" s="26"/>
      <c r="C36" s="26"/>
      <c r="D36" s="26"/>
      <c r="E36" s="16">
        <f t="shared" ref="E36:F44" si="4">IF(AND(B36=0,C36=0),0,IF(AND(B36&gt;0,C36=0),1,(B36-C36)/C36))</f>
        <v>0</v>
      </c>
      <c r="F36" s="16">
        <f t="shared" si="4"/>
        <v>0</v>
      </c>
      <c r="G36" s="27" t="s">
        <v>99</v>
      </c>
      <c r="H36" s="26"/>
      <c r="I36" s="26"/>
      <c r="J36" s="26"/>
      <c r="K36" s="16">
        <f t="shared" ref="K36:L44" si="5">IF(AND(H36=0,I36=0),0,IF(AND(H36&gt;0,I36=0),1,(H36-I36)/I36))</f>
        <v>0</v>
      </c>
      <c r="L36" s="16">
        <f t="shared" si="5"/>
        <v>0</v>
      </c>
      <c r="M36" s="15"/>
    </row>
    <row r="37" spans="1:13" ht="19.95" customHeight="1">
      <c r="A37" s="27" t="s">
        <v>100</v>
      </c>
      <c r="B37" s="26"/>
      <c r="C37" s="26"/>
      <c r="D37" s="26"/>
      <c r="E37" s="16">
        <f t="shared" si="4"/>
        <v>0</v>
      </c>
      <c r="F37" s="16">
        <f t="shared" si="4"/>
        <v>0</v>
      </c>
      <c r="G37" s="27" t="s">
        <v>100</v>
      </c>
      <c r="H37" s="26"/>
      <c r="I37" s="26"/>
      <c r="J37" s="26"/>
      <c r="K37" s="16">
        <f t="shared" si="5"/>
        <v>0</v>
      </c>
      <c r="L37" s="16">
        <f t="shared" si="5"/>
        <v>0</v>
      </c>
      <c r="M37" s="15"/>
    </row>
    <row r="38" spans="1:13" ht="19.95" customHeight="1">
      <c r="A38" s="27" t="s">
        <v>101</v>
      </c>
      <c r="B38" s="26"/>
      <c r="C38" s="26"/>
      <c r="D38" s="26"/>
      <c r="E38" s="16">
        <f t="shared" si="4"/>
        <v>0</v>
      </c>
      <c r="F38" s="16">
        <f t="shared" si="4"/>
        <v>0</v>
      </c>
      <c r="G38" s="27" t="s">
        <v>101</v>
      </c>
      <c r="H38" s="26"/>
      <c r="I38" s="26"/>
      <c r="J38" s="26"/>
      <c r="K38" s="16">
        <f t="shared" si="5"/>
        <v>0</v>
      </c>
      <c r="L38" s="16">
        <f t="shared" si="5"/>
        <v>0</v>
      </c>
      <c r="M38" s="15"/>
    </row>
    <row r="39" spans="1:13" ht="19.95" customHeight="1">
      <c r="A39" s="27" t="s">
        <v>6</v>
      </c>
      <c r="B39" s="26"/>
      <c r="C39" s="26"/>
      <c r="D39" s="26"/>
      <c r="E39" s="16">
        <f t="shared" si="4"/>
        <v>0</v>
      </c>
      <c r="F39" s="16">
        <f t="shared" si="4"/>
        <v>0</v>
      </c>
      <c r="G39" s="27" t="s">
        <v>6</v>
      </c>
      <c r="H39" s="26"/>
      <c r="I39" s="26"/>
      <c r="J39" s="26"/>
      <c r="K39" s="16">
        <f t="shared" si="5"/>
        <v>0</v>
      </c>
      <c r="L39" s="16">
        <f t="shared" si="5"/>
        <v>0</v>
      </c>
      <c r="M39" s="15"/>
    </row>
    <row r="40" spans="1:13" ht="19.95" customHeight="1">
      <c r="A40" s="27" t="s">
        <v>7</v>
      </c>
      <c r="B40" s="26"/>
      <c r="C40" s="26"/>
      <c r="D40" s="26"/>
      <c r="E40" s="16">
        <f t="shared" si="4"/>
        <v>0</v>
      </c>
      <c r="F40" s="16">
        <f t="shared" si="4"/>
        <v>0</v>
      </c>
      <c r="G40" s="27" t="s">
        <v>102</v>
      </c>
      <c r="H40" s="26"/>
      <c r="I40" s="26"/>
      <c r="J40" s="26"/>
      <c r="K40" s="16">
        <f t="shared" si="5"/>
        <v>0</v>
      </c>
      <c r="L40" s="16">
        <f t="shared" si="5"/>
        <v>0</v>
      </c>
      <c r="M40" s="15"/>
    </row>
    <row r="41" spans="1:13" ht="19.95" customHeight="1">
      <c r="A41" s="27" t="s">
        <v>8</v>
      </c>
      <c r="B41" s="26"/>
      <c r="C41" s="26"/>
      <c r="D41" s="26"/>
      <c r="E41" s="16">
        <f t="shared" si="4"/>
        <v>0</v>
      </c>
      <c r="F41" s="16">
        <f t="shared" si="4"/>
        <v>0</v>
      </c>
      <c r="G41" s="27" t="s">
        <v>8</v>
      </c>
      <c r="H41" s="26"/>
      <c r="I41" s="26"/>
      <c r="J41" s="26"/>
      <c r="K41" s="16">
        <f t="shared" si="5"/>
        <v>0</v>
      </c>
      <c r="L41" s="16">
        <f t="shared" si="5"/>
        <v>0</v>
      </c>
      <c r="M41" s="15"/>
    </row>
    <row r="42" spans="1:13" ht="19.95" customHeight="1">
      <c r="A42" s="27"/>
      <c r="B42" s="26"/>
      <c r="C42" s="26"/>
      <c r="D42" s="26"/>
      <c r="E42" s="16">
        <f t="shared" si="4"/>
        <v>0</v>
      </c>
      <c r="F42" s="16">
        <f t="shared" si="4"/>
        <v>0</v>
      </c>
      <c r="G42" s="27"/>
      <c r="H42" s="26"/>
      <c r="I42" s="26"/>
      <c r="J42" s="26"/>
      <c r="K42" s="16">
        <f t="shared" si="5"/>
        <v>0</v>
      </c>
      <c r="L42" s="16">
        <f t="shared" si="5"/>
        <v>0</v>
      </c>
      <c r="M42" s="15"/>
    </row>
    <row r="43" spans="1:13" ht="19.95" customHeight="1">
      <c r="A43" s="27"/>
      <c r="B43" s="26"/>
      <c r="C43" s="26"/>
      <c r="D43" s="26"/>
      <c r="E43" s="16">
        <f t="shared" si="4"/>
        <v>0</v>
      </c>
      <c r="F43" s="16">
        <f t="shared" si="4"/>
        <v>0</v>
      </c>
      <c r="G43" s="27"/>
      <c r="H43" s="26"/>
      <c r="I43" s="26"/>
      <c r="J43" s="26"/>
      <c r="K43" s="16">
        <f t="shared" si="5"/>
        <v>0</v>
      </c>
      <c r="L43" s="16">
        <f t="shared" si="5"/>
        <v>0</v>
      </c>
      <c r="M43" s="15"/>
    </row>
    <row r="44" spans="1:13" ht="19.95" customHeight="1">
      <c r="A44" s="93"/>
      <c r="B44" s="26"/>
      <c r="C44" s="26"/>
      <c r="D44" s="26"/>
      <c r="E44" s="16">
        <f t="shared" si="4"/>
        <v>0</v>
      </c>
      <c r="F44" s="16">
        <f t="shared" si="4"/>
        <v>0</v>
      </c>
      <c r="G44" s="55"/>
      <c r="H44" s="26"/>
      <c r="I44" s="26"/>
      <c r="J44" s="26"/>
      <c r="K44" s="16">
        <f t="shared" si="5"/>
        <v>0</v>
      </c>
      <c r="L44" s="16">
        <f t="shared" si="5"/>
        <v>0</v>
      </c>
      <c r="M44" s="15"/>
    </row>
    <row r="45" spans="1:13" ht="19.95" customHeight="1">
      <c r="A45" s="56" t="s">
        <v>9</v>
      </c>
      <c r="C45" s="3"/>
      <c r="D45" s="3"/>
      <c r="E45" s="3"/>
      <c r="F45" s="3"/>
      <c r="G45" s="3"/>
      <c r="H45" s="3"/>
      <c r="I45" s="3"/>
      <c r="J45" s="3"/>
      <c r="K45" s="3"/>
    </row>
    <row r="46" spans="1:13" ht="19.95" customHeight="1">
      <c r="A46" s="6" t="s">
        <v>103</v>
      </c>
      <c r="C46" s="3"/>
      <c r="D46" s="3"/>
      <c r="E46" s="3"/>
      <c r="F46" s="3"/>
      <c r="G46" s="3"/>
      <c r="H46" s="3"/>
      <c r="I46" s="3"/>
      <c r="J46" s="3"/>
      <c r="K46" s="3"/>
    </row>
    <row r="47" spans="1:13" ht="19.95" customHeight="1">
      <c r="A47" s="355" t="s">
        <v>104</v>
      </c>
      <c r="B47" s="356"/>
      <c r="C47" s="356"/>
      <c r="D47" s="356"/>
      <c r="E47" s="356"/>
      <c r="F47" s="357"/>
      <c r="G47" s="355" t="s">
        <v>105</v>
      </c>
      <c r="H47" s="356"/>
      <c r="I47" s="356"/>
      <c r="J47" s="356"/>
      <c r="K47" s="356"/>
      <c r="L47" s="357"/>
      <c r="M47" s="358" t="s">
        <v>33</v>
      </c>
    </row>
    <row r="48" spans="1:13" ht="19.95" customHeight="1">
      <c r="A48" s="355" t="s">
        <v>32</v>
      </c>
      <c r="B48" s="357"/>
      <c r="C48" s="355" t="s">
        <v>106</v>
      </c>
      <c r="D48" s="357"/>
      <c r="E48" s="83"/>
      <c r="F48" s="83" t="s">
        <v>33</v>
      </c>
      <c r="G48" s="355" t="s">
        <v>32</v>
      </c>
      <c r="H48" s="357"/>
      <c r="I48" s="355" t="s">
        <v>106</v>
      </c>
      <c r="J48" s="357"/>
      <c r="K48" s="83"/>
      <c r="L48" s="83" t="s">
        <v>33</v>
      </c>
      <c r="M48" s="359"/>
    </row>
    <row r="49" spans="1:13" ht="19.95" customHeight="1">
      <c r="A49" s="353" t="s">
        <v>10</v>
      </c>
      <c r="B49" s="353"/>
      <c r="C49" s="15"/>
      <c r="D49" s="15"/>
      <c r="E49" s="28"/>
      <c r="F49" s="28"/>
      <c r="G49" s="353" t="s">
        <v>11</v>
      </c>
      <c r="H49" s="353"/>
      <c r="I49" s="15"/>
      <c r="J49" s="15"/>
      <c r="K49" s="28"/>
      <c r="L49" s="28"/>
      <c r="M49" s="15"/>
    </row>
    <row r="50" spans="1:13" ht="19.95" customHeight="1">
      <c r="A50" s="353" t="s">
        <v>12</v>
      </c>
      <c r="B50" s="353"/>
      <c r="C50" s="15"/>
      <c r="D50" s="15"/>
      <c r="E50" s="28"/>
      <c r="F50" s="28"/>
      <c r="G50" s="353" t="s">
        <v>13</v>
      </c>
      <c r="H50" s="353"/>
      <c r="I50" s="15"/>
      <c r="J50" s="15"/>
      <c r="K50" s="28"/>
      <c r="L50" s="28"/>
      <c r="M50" s="15"/>
    </row>
    <row r="51" spans="1:13" ht="19.95" customHeight="1">
      <c r="A51" s="353" t="s">
        <v>14</v>
      </c>
      <c r="B51" s="353"/>
      <c r="C51" s="15"/>
      <c r="D51" s="15"/>
      <c r="E51" s="28"/>
      <c r="F51" s="28"/>
      <c r="G51" s="353" t="s">
        <v>15</v>
      </c>
      <c r="H51" s="353"/>
      <c r="I51" s="15"/>
      <c r="J51" s="15"/>
      <c r="K51" s="28"/>
      <c r="L51" s="28"/>
      <c r="M51" s="15"/>
    </row>
    <row r="52" spans="1:13" ht="19.95" customHeight="1">
      <c r="A52" s="353" t="s">
        <v>16</v>
      </c>
      <c r="B52" s="353"/>
      <c r="C52" s="15"/>
      <c r="D52" s="15"/>
      <c r="E52" s="28"/>
      <c r="F52" s="28"/>
      <c r="G52" s="353" t="s">
        <v>17</v>
      </c>
      <c r="H52" s="353"/>
      <c r="I52" s="15"/>
      <c r="J52" s="15"/>
      <c r="K52" s="28"/>
      <c r="L52" s="28"/>
      <c r="M52" s="15"/>
    </row>
    <row r="53" spans="1:13" ht="19.95" customHeight="1">
      <c r="A53" s="353" t="s">
        <v>18</v>
      </c>
      <c r="B53" s="353"/>
      <c r="C53" s="15"/>
      <c r="D53" s="15"/>
      <c r="E53" s="28"/>
      <c r="F53" s="28"/>
      <c r="G53" s="353" t="s">
        <v>19</v>
      </c>
      <c r="H53" s="353"/>
      <c r="I53" s="15"/>
      <c r="J53" s="15"/>
      <c r="K53" s="28"/>
      <c r="L53" s="28"/>
      <c r="M53" s="15"/>
    </row>
    <row r="54" spans="1:13" ht="19.95" customHeight="1">
      <c r="A54" s="353" t="s">
        <v>20</v>
      </c>
      <c r="B54" s="353"/>
      <c r="C54" s="15"/>
      <c r="D54" s="15"/>
      <c r="E54" s="28"/>
      <c r="F54" s="28"/>
      <c r="G54" s="353" t="s">
        <v>21</v>
      </c>
      <c r="H54" s="353"/>
      <c r="I54" s="15"/>
      <c r="J54" s="15"/>
      <c r="K54" s="28"/>
      <c r="L54" s="28"/>
      <c r="M54" s="15"/>
    </row>
    <row r="55" spans="1:13" ht="19.95" customHeight="1">
      <c r="A55" s="353" t="s">
        <v>22</v>
      </c>
      <c r="B55" s="353"/>
      <c r="C55" s="15"/>
      <c r="D55" s="15"/>
      <c r="E55" s="28"/>
      <c r="F55" s="28"/>
      <c r="G55" s="353" t="s">
        <v>23</v>
      </c>
      <c r="H55" s="353"/>
      <c r="I55" s="15"/>
      <c r="J55" s="15"/>
      <c r="K55" s="28"/>
      <c r="L55" s="28"/>
      <c r="M55" s="15"/>
    </row>
    <row r="56" spans="1:13" ht="19.95" customHeight="1">
      <c r="A56" s="353" t="s">
        <v>24</v>
      </c>
      <c r="B56" s="353"/>
      <c r="C56" s="15"/>
      <c r="D56" s="15"/>
      <c r="E56" s="28"/>
      <c r="F56" s="28"/>
      <c r="G56" s="353" t="s">
        <v>25</v>
      </c>
      <c r="H56" s="353"/>
      <c r="I56" s="15"/>
      <c r="J56" s="15"/>
      <c r="K56" s="28"/>
      <c r="L56" s="28"/>
      <c r="M56" s="15"/>
    </row>
    <row r="57" spans="1:13" ht="19.95" customHeight="1">
      <c r="A57" s="353" t="s">
        <v>26</v>
      </c>
      <c r="B57" s="353"/>
      <c r="C57" s="15"/>
      <c r="D57" s="15"/>
      <c r="E57" s="28"/>
      <c r="F57" s="28"/>
      <c r="G57" s="353" t="s">
        <v>27</v>
      </c>
      <c r="H57" s="353"/>
      <c r="I57" s="15"/>
      <c r="J57" s="15"/>
      <c r="K57" s="28"/>
      <c r="L57" s="28"/>
      <c r="M57" s="15"/>
    </row>
    <row r="58" spans="1:13" ht="19.95" customHeight="1">
      <c r="A58" s="6" t="s">
        <v>34</v>
      </c>
    </row>
    <row r="59" spans="1:13" ht="19.95" customHeight="1">
      <c r="A59" s="3"/>
    </row>
    <row r="60" spans="1:13" ht="19.95" customHeight="1">
      <c r="A60" s="3"/>
    </row>
    <row r="61" spans="1:13" ht="19.95" customHeight="1">
      <c r="A61" s="6" t="s">
        <v>28</v>
      </c>
    </row>
    <row r="62" spans="1:13" ht="19.95" customHeight="1">
      <c r="A62" s="180" t="s">
        <v>303</v>
      </c>
    </row>
    <row r="63" spans="1:13" ht="19.95" customHeight="1">
      <c r="A63" s="56" t="s">
        <v>305</v>
      </c>
    </row>
    <row r="64" spans="1:13" ht="19.95" customHeight="1">
      <c r="A64" s="56" t="s">
        <v>304</v>
      </c>
    </row>
    <row r="65" spans="1:1" ht="19.95" customHeight="1">
      <c r="A65" s="56" t="s">
        <v>306</v>
      </c>
    </row>
  </sheetData>
  <mergeCells count="36">
    <mergeCell ref="A49:B49"/>
    <mergeCell ref="G49:H49"/>
    <mergeCell ref="A50:B50"/>
    <mergeCell ref="G50:H50"/>
    <mergeCell ref="A51:B51"/>
    <mergeCell ref="G51:H51"/>
    <mergeCell ref="A1:M1"/>
    <mergeCell ref="A2:M2"/>
    <mergeCell ref="M33:M34"/>
    <mergeCell ref="M47:M48"/>
    <mergeCell ref="A48:B48"/>
    <mergeCell ref="G48:H48"/>
    <mergeCell ref="A33:F33"/>
    <mergeCell ref="G33:L33"/>
    <mergeCell ref="A47:F47"/>
    <mergeCell ref="G47:L47"/>
    <mergeCell ref="C48:D48"/>
    <mergeCell ref="I48:J48"/>
    <mergeCell ref="Q4:AB4"/>
    <mergeCell ref="Q5:AB5"/>
    <mergeCell ref="Q8:AB8"/>
    <mergeCell ref="A10:F10"/>
    <mergeCell ref="G10:L10"/>
    <mergeCell ref="M10:M11"/>
    <mergeCell ref="A57:B57"/>
    <mergeCell ref="G57:H57"/>
    <mergeCell ref="A52:B52"/>
    <mergeCell ref="G52:H52"/>
    <mergeCell ref="A53:B53"/>
    <mergeCell ref="G53:H53"/>
    <mergeCell ref="A54:B54"/>
    <mergeCell ref="G54:H54"/>
    <mergeCell ref="A55:B55"/>
    <mergeCell ref="G55:H55"/>
    <mergeCell ref="A56:B56"/>
    <mergeCell ref="G56:H56"/>
  </mergeCells>
  <phoneticPr fontId="14" type="noConversion"/>
  <hyperlinks>
    <hyperlink ref="M3" location="底稿目录!A1" display="底稿目录!A1"/>
  </hyperlinks>
  <pageMargins left="0.70866141732283472" right="0.70866141732283472" top="0.74803149606299213" bottom="0.74803149606299213" header="0.31496062992125984" footer="0.31496062992125984"/>
  <pageSetup paperSize="9" scale="85" fitToHeight="10" orientation="landscape" blackAndWhite="1" r:id="rId1"/>
  <headerFooter>
    <oddFooter>&amp;C&amp;P/&amp;N</oddFooter>
  </headerFooter>
  <rowBreaks count="1" manualBreakCount="1">
    <brk id="31"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8"/>
  <sheetViews>
    <sheetView view="pageBreakPreview" zoomScaleSheetLayoutView="100" workbookViewId="0">
      <selection sqref="A1:H1"/>
    </sheetView>
  </sheetViews>
  <sheetFormatPr defaultColWidth="9" defaultRowHeight="19.95" customHeight="1"/>
  <cols>
    <col min="1" max="1" width="13.21875" style="13" customWidth="1"/>
    <col min="2" max="2" width="16" style="13" customWidth="1"/>
    <col min="3" max="3" width="27.21875" style="13" customWidth="1"/>
    <col min="4" max="4" width="12.109375" style="13" customWidth="1"/>
    <col min="5" max="5" width="11.33203125" style="13" customWidth="1"/>
    <col min="6" max="6" width="10.44140625" style="13" customWidth="1"/>
    <col min="7" max="7" width="9.77734375" style="13" customWidth="1"/>
    <col min="8" max="8" width="8.6640625" style="13" customWidth="1"/>
    <col min="9" max="16384" width="9" style="13"/>
  </cols>
  <sheetData>
    <row r="1" spans="1:10" s="20" customFormat="1" ht="19.95" customHeight="1">
      <c r="A1" s="365" t="s">
        <v>0</v>
      </c>
      <c r="B1" s="365"/>
      <c r="C1" s="365"/>
      <c r="D1" s="365"/>
      <c r="E1" s="365"/>
      <c r="F1" s="365"/>
      <c r="G1" s="365"/>
      <c r="H1" s="365"/>
      <c r="I1" s="200"/>
      <c r="J1" s="200"/>
    </row>
    <row r="2" spans="1:10" s="20" customFormat="1" ht="19.95" customHeight="1">
      <c r="A2" s="361" t="s">
        <v>211</v>
      </c>
      <c r="B2" s="361"/>
      <c r="C2" s="361"/>
      <c r="D2" s="361"/>
      <c r="E2" s="361"/>
      <c r="F2" s="361"/>
      <c r="G2" s="361"/>
      <c r="H2" s="361"/>
      <c r="I2" s="200"/>
      <c r="J2" s="200"/>
    </row>
    <row r="3" spans="1:10" s="3" customFormat="1" ht="19.95" customHeight="1">
      <c r="A3" s="2" t="str">
        <f>底稿目录!A2</f>
        <v>被审计单位：</v>
      </c>
      <c r="C3" s="4" t="str">
        <f>底稿目录!A4</f>
        <v>编制人：</v>
      </c>
      <c r="D3" s="2" t="str">
        <f>底稿目录!A5</f>
        <v>编制日期：</v>
      </c>
      <c r="E3" s="39"/>
      <c r="F3" s="2"/>
      <c r="G3" s="2" t="s">
        <v>83</v>
      </c>
      <c r="H3" s="303" t="str">
        <f>底稿目录!F5</f>
        <v>E1-27</v>
      </c>
    </row>
    <row r="4" spans="1:10" s="3" customFormat="1" ht="19.95" customHeight="1">
      <c r="A4" s="2" t="str">
        <f>底稿目录!A3</f>
        <v>截止日：202X年12月31日</v>
      </c>
      <c r="C4" s="4" t="str">
        <f>底稿目录!A6</f>
        <v>复核人：</v>
      </c>
      <c r="D4" s="2" t="str">
        <f>底稿目录!A7</f>
        <v>复核日期：</v>
      </c>
      <c r="E4" s="39"/>
      <c r="F4" s="2"/>
      <c r="G4" s="2" t="s">
        <v>129</v>
      </c>
    </row>
    <row r="5" spans="1:10" s="3" customFormat="1" ht="19.95" customHeight="1">
      <c r="A5" s="6" t="s">
        <v>202</v>
      </c>
      <c r="B5" s="354"/>
      <c r="C5" s="354"/>
      <c r="D5" s="354"/>
      <c r="E5" s="354"/>
      <c r="F5" s="354"/>
      <c r="G5" s="354"/>
      <c r="H5" s="354"/>
      <c r="I5" s="129"/>
    </row>
    <row r="6" spans="1:10" s="3" customFormat="1" ht="19.95" customHeight="1">
      <c r="A6" s="3" t="s">
        <v>203</v>
      </c>
      <c r="B6" s="113"/>
      <c r="C6" s="113"/>
      <c r="D6" s="113"/>
      <c r="E6" s="113"/>
      <c r="F6" s="113"/>
      <c r="G6" s="113"/>
      <c r="H6" s="113"/>
      <c r="I6" s="129"/>
    </row>
    <row r="7" spans="1:10" s="3" customFormat="1" ht="19.95" customHeight="1">
      <c r="A7" s="3" t="s">
        <v>130</v>
      </c>
      <c r="B7" s="113"/>
      <c r="C7" s="113"/>
      <c r="D7" s="113"/>
      <c r="E7" s="113"/>
      <c r="F7" s="113"/>
      <c r="G7" s="113"/>
      <c r="H7" s="113"/>
      <c r="I7" s="129"/>
    </row>
    <row r="8" spans="1:10" s="3" customFormat="1" ht="19.95" customHeight="1">
      <c r="A8" s="6" t="s">
        <v>131</v>
      </c>
      <c r="C8" s="114"/>
      <c r="D8" s="114"/>
      <c r="F8" s="8"/>
      <c r="G8" s="8"/>
    </row>
    <row r="9" spans="1:10" s="3" customFormat="1" ht="19.95" customHeight="1">
      <c r="A9" s="201" t="s">
        <v>212</v>
      </c>
      <c r="C9" s="114"/>
      <c r="D9" s="114"/>
      <c r="F9" s="8"/>
      <c r="G9" s="8"/>
    </row>
    <row r="10" spans="1:10" s="3" customFormat="1" ht="30.6" customHeight="1">
      <c r="A10" s="366" t="s">
        <v>204</v>
      </c>
      <c r="B10" s="366"/>
      <c r="C10" s="366"/>
      <c r="D10" s="366"/>
      <c r="E10" s="366"/>
      <c r="F10" s="366"/>
      <c r="G10" s="366"/>
      <c r="H10" s="366"/>
    </row>
    <row r="11" spans="1:10" s="3" customFormat="1" ht="19.95" customHeight="1">
      <c r="A11" s="367" t="s">
        <v>132</v>
      </c>
      <c r="B11" s="368"/>
      <c r="C11" s="368"/>
      <c r="D11" s="368"/>
      <c r="E11" s="369"/>
      <c r="F11" s="370" t="s">
        <v>133</v>
      </c>
      <c r="G11" s="372" t="s">
        <v>205</v>
      </c>
      <c r="H11" s="370" t="s">
        <v>206</v>
      </c>
    </row>
    <row r="12" spans="1:10" s="6" customFormat="1" ht="19.95" customHeight="1">
      <c r="A12" s="182" t="s">
        <v>177</v>
      </c>
      <c r="B12" s="182" t="s">
        <v>207</v>
      </c>
      <c r="C12" s="182" t="s">
        <v>208</v>
      </c>
      <c r="D12" s="69" t="s">
        <v>135</v>
      </c>
      <c r="E12" s="69" t="s">
        <v>136</v>
      </c>
      <c r="F12" s="371"/>
      <c r="G12" s="373"/>
      <c r="H12" s="371"/>
    </row>
    <row r="13" spans="1:10" s="3" customFormat="1" ht="19.95" customHeight="1">
      <c r="A13" s="130"/>
      <c r="B13" s="202"/>
      <c r="C13" s="131"/>
      <c r="D13" s="132"/>
      <c r="E13" s="132"/>
      <c r="F13" s="203"/>
      <c r="G13" s="130"/>
      <c r="H13" s="133"/>
    </row>
    <row r="14" spans="1:10" s="3" customFormat="1" ht="19.95" customHeight="1">
      <c r="A14" s="130"/>
      <c r="B14" s="202"/>
      <c r="C14" s="131"/>
      <c r="D14" s="132"/>
      <c r="E14" s="132"/>
      <c r="F14" s="203"/>
      <c r="G14" s="130"/>
      <c r="H14" s="133"/>
    </row>
    <row r="15" spans="1:10" s="3" customFormat="1" ht="19.95" customHeight="1">
      <c r="A15" s="130"/>
      <c r="B15" s="202"/>
      <c r="C15" s="131"/>
      <c r="D15" s="132"/>
      <c r="E15" s="132"/>
      <c r="F15" s="203"/>
      <c r="G15" s="130"/>
      <c r="H15" s="133"/>
    </row>
    <row r="16" spans="1:10" s="3" customFormat="1" ht="19.95" customHeight="1">
      <c r="A16" s="130"/>
      <c r="B16" s="202"/>
      <c r="C16" s="131"/>
      <c r="D16" s="132"/>
      <c r="E16" s="132"/>
      <c r="F16" s="203"/>
      <c r="G16" s="130"/>
      <c r="H16" s="133"/>
    </row>
    <row r="17" spans="1:8" s="3" customFormat="1" ht="19.95" customHeight="1">
      <c r="A17" s="130"/>
      <c r="B17" s="202"/>
      <c r="C17" s="131"/>
      <c r="D17" s="132"/>
      <c r="E17" s="132"/>
      <c r="F17" s="203"/>
      <c r="G17" s="130"/>
      <c r="H17" s="133"/>
    </row>
    <row r="18" spans="1:8" s="3" customFormat="1" ht="19.95" customHeight="1">
      <c r="A18" s="130"/>
      <c r="B18" s="202"/>
      <c r="C18" s="131"/>
      <c r="D18" s="132"/>
      <c r="E18" s="132"/>
      <c r="F18" s="203"/>
      <c r="G18" s="130"/>
      <c r="H18" s="133"/>
    </row>
    <row r="19" spans="1:8" s="3" customFormat="1" ht="19.95" customHeight="1">
      <c r="A19" s="130"/>
      <c r="B19" s="202"/>
      <c r="C19" s="131"/>
      <c r="D19" s="132"/>
      <c r="E19" s="132"/>
      <c r="F19" s="203"/>
      <c r="G19" s="130"/>
      <c r="H19" s="133"/>
    </row>
    <row r="20" spans="1:8" s="3" customFormat="1" ht="19.95" customHeight="1">
      <c r="A20" s="130"/>
      <c r="B20" s="202"/>
      <c r="C20" s="131"/>
      <c r="D20" s="132"/>
      <c r="E20" s="132"/>
      <c r="F20" s="203"/>
      <c r="G20" s="130"/>
      <c r="H20" s="133"/>
    </row>
    <row r="21" spans="1:8" s="3" customFormat="1" ht="19.95" customHeight="1">
      <c r="A21" s="130"/>
      <c r="B21" s="202"/>
      <c r="C21" s="131"/>
      <c r="D21" s="132"/>
      <c r="E21" s="132"/>
      <c r="F21" s="203"/>
      <c r="G21" s="130"/>
      <c r="H21" s="133"/>
    </row>
    <row r="22" spans="1:8" s="3" customFormat="1" ht="19.95" customHeight="1">
      <c r="A22" s="130"/>
      <c r="B22" s="202"/>
      <c r="C22" s="131"/>
      <c r="D22" s="132"/>
      <c r="E22" s="132"/>
      <c r="F22" s="203"/>
      <c r="G22" s="130"/>
      <c r="H22" s="133"/>
    </row>
    <row r="23" spans="1:8" s="3" customFormat="1" ht="19.95" customHeight="1">
      <c r="A23" s="130"/>
      <c r="B23" s="202"/>
      <c r="C23" s="131"/>
      <c r="D23" s="132"/>
      <c r="E23" s="132"/>
      <c r="F23" s="203"/>
      <c r="G23" s="130"/>
      <c r="H23" s="133"/>
    </row>
    <row r="24" spans="1:8" s="3" customFormat="1" ht="19.95" customHeight="1">
      <c r="A24" s="130"/>
      <c r="B24" s="202"/>
      <c r="C24" s="131"/>
      <c r="D24" s="132"/>
      <c r="E24" s="132"/>
      <c r="F24" s="203"/>
      <c r="G24" s="130"/>
      <c r="H24" s="133"/>
    </row>
    <row r="25" spans="1:8" s="3" customFormat="1" ht="19.95" customHeight="1">
      <c r="A25" s="130"/>
      <c r="B25" s="202"/>
      <c r="C25" s="131"/>
      <c r="D25" s="132"/>
      <c r="E25" s="132"/>
      <c r="F25" s="203"/>
      <c r="G25" s="130"/>
      <c r="H25" s="133"/>
    </row>
    <row r="26" spans="1:8" s="3" customFormat="1" ht="19.95" customHeight="1">
      <c r="A26" s="130"/>
      <c r="B26" s="202"/>
      <c r="C26" s="131"/>
      <c r="D26" s="132"/>
      <c r="E26" s="132"/>
      <c r="F26" s="203"/>
      <c r="G26" s="130"/>
      <c r="H26" s="133"/>
    </row>
    <row r="27" spans="1:8" s="3" customFormat="1" ht="19.95" customHeight="1">
      <c r="A27" s="362" t="s">
        <v>449</v>
      </c>
      <c r="B27" s="363"/>
      <c r="C27" s="363"/>
      <c r="D27" s="363"/>
      <c r="E27" s="363"/>
      <c r="F27" s="363"/>
      <c r="G27" s="363"/>
      <c r="H27" s="364"/>
    </row>
    <row r="28" spans="1:8" s="3" customFormat="1" ht="19.95" customHeight="1">
      <c r="A28" s="130"/>
      <c r="B28" s="202"/>
      <c r="C28" s="131"/>
      <c r="D28" s="132"/>
      <c r="E28" s="132"/>
      <c r="F28" s="203"/>
      <c r="G28" s="130"/>
      <c r="H28" s="133"/>
    </row>
    <row r="29" spans="1:8" s="3" customFormat="1" ht="19.95" customHeight="1">
      <c r="A29" s="130"/>
      <c r="B29" s="202"/>
      <c r="C29" s="131"/>
      <c r="D29" s="132"/>
      <c r="E29" s="132"/>
      <c r="F29" s="203"/>
      <c r="G29" s="130"/>
      <c r="H29" s="133"/>
    </row>
    <row r="30" spans="1:8" s="3" customFormat="1" ht="19.95" customHeight="1">
      <c r="A30" s="130"/>
      <c r="B30" s="202"/>
      <c r="C30" s="131"/>
      <c r="D30" s="132"/>
      <c r="E30" s="132"/>
      <c r="F30" s="203"/>
      <c r="G30" s="130"/>
      <c r="H30" s="133"/>
    </row>
    <row r="31" spans="1:8" s="3" customFormat="1" ht="19.95" customHeight="1">
      <c r="A31" s="130"/>
      <c r="B31" s="202"/>
      <c r="C31" s="131"/>
      <c r="D31" s="132"/>
      <c r="E31" s="132"/>
      <c r="F31" s="203"/>
      <c r="G31" s="130"/>
      <c r="H31" s="133"/>
    </row>
    <row r="32" spans="1:8" s="3" customFormat="1" ht="19.95" customHeight="1">
      <c r="A32" s="130"/>
      <c r="B32" s="202"/>
      <c r="C32" s="131"/>
      <c r="D32" s="132"/>
      <c r="E32" s="132"/>
      <c r="F32" s="203"/>
      <c r="G32" s="130"/>
      <c r="H32" s="133"/>
    </row>
    <row r="33" spans="1:8" s="3" customFormat="1" ht="19.95" customHeight="1">
      <c r="A33" s="130"/>
      <c r="B33" s="202"/>
      <c r="C33" s="131"/>
      <c r="D33" s="132"/>
      <c r="E33" s="132"/>
      <c r="F33" s="203"/>
      <c r="G33" s="130"/>
      <c r="H33" s="133"/>
    </row>
    <row r="34" spans="1:8" s="3" customFormat="1" ht="19.95" customHeight="1">
      <c r="A34" s="130"/>
      <c r="B34" s="202"/>
      <c r="C34" s="131"/>
      <c r="D34" s="132"/>
      <c r="E34" s="132"/>
      <c r="F34" s="203"/>
      <c r="G34" s="130"/>
      <c r="H34" s="133"/>
    </row>
    <row r="35" spans="1:8" s="3" customFormat="1" ht="19.95" customHeight="1">
      <c r="A35" s="130"/>
      <c r="B35" s="202"/>
      <c r="C35" s="131"/>
      <c r="D35" s="132"/>
      <c r="E35" s="132"/>
      <c r="F35" s="203"/>
      <c r="G35" s="130"/>
      <c r="H35" s="133"/>
    </row>
    <row r="36" spans="1:8" s="3" customFormat="1" ht="19.95" customHeight="1">
      <c r="A36" s="130"/>
      <c r="B36" s="202"/>
      <c r="C36" s="131"/>
      <c r="D36" s="132"/>
      <c r="E36" s="132"/>
      <c r="F36" s="203"/>
      <c r="G36" s="130"/>
      <c r="H36" s="133"/>
    </row>
    <row r="37" spans="1:8" s="3" customFormat="1" ht="19.95" customHeight="1">
      <c r="A37" s="130"/>
      <c r="B37" s="202"/>
      <c r="C37" s="131"/>
      <c r="D37" s="132"/>
      <c r="E37" s="132"/>
      <c r="F37" s="203"/>
      <c r="G37" s="130"/>
      <c r="H37" s="133"/>
    </row>
    <row r="38" spans="1:8" s="3" customFormat="1" ht="19.95" customHeight="1">
      <c r="A38" s="130"/>
      <c r="B38" s="202"/>
      <c r="C38" s="131"/>
      <c r="D38" s="132"/>
      <c r="E38" s="132"/>
      <c r="F38" s="203"/>
      <c r="G38" s="130"/>
      <c r="H38" s="133"/>
    </row>
    <row r="39" spans="1:8" s="3" customFormat="1" ht="19.95" customHeight="1">
      <c r="A39" s="130"/>
      <c r="B39" s="202"/>
      <c r="C39" s="131"/>
      <c r="D39" s="132"/>
      <c r="E39" s="132"/>
      <c r="F39" s="203"/>
      <c r="G39" s="130"/>
      <c r="H39" s="133"/>
    </row>
    <row r="40" spans="1:8" s="3" customFormat="1" ht="19.95" customHeight="1">
      <c r="A40" s="130"/>
      <c r="B40" s="202"/>
      <c r="C40" s="131"/>
      <c r="D40" s="132"/>
      <c r="E40" s="132"/>
      <c r="F40" s="203"/>
      <c r="G40" s="130"/>
      <c r="H40" s="133"/>
    </row>
    <row r="41" spans="1:8" s="3" customFormat="1" ht="19.95" customHeight="1">
      <c r="A41" s="130"/>
      <c r="B41" s="202"/>
      <c r="C41" s="131"/>
      <c r="D41" s="132"/>
      <c r="E41" s="132"/>
      <c r="F41" s="203"/>
      <c r="G41" s="130"/>
      <c r="H41" s="133"/>
    </row>
    <row r="42" spans="1:8" s="3" customFormat="1" ht="19.95" customHeight="1">
      <c r="A42" s="130"/>
      <c r="B42" s="202"/>
      <c r="C42" s="131"/>
      <c r="D42" s="132"/>
      <c r="E42" s="132"/>
      <c r="F42" s="203"/>
      <c r="G42" s="130"/>
      <c r="H42" s="133"/>
    </row>
    <row r="43" spans="1:8" s="3" customFormat="1" ht="19.95" customHeight="1">
      <c r="A43" s="130"/>
      <c r="B43" s="202"/>
      <c r="C43" s="131"/>
      <c r="D43" s="132"/>
      <c r="E43" s="132"/>
      <c r="F43" s="203"/>
      <c r="G43" s="130"/>
      <c r="H43" s="133"/>
    </row>
    <row r="44" spans="1:8" s="3" customFormat="1" ht="19.95" customHeight="1">
      <c r="A44" s="6"/>
    </row>
    <row r="45" spans="1:8" s="3" customFormat="1" ht="19.95" customHeight="1">
      <c r="A45" s="6" t="s">
        <v>209</v>
      </c>
    </row>
    <row r="46" spans="1:8" s="3" customFormat="1" ht="19.95" customHeight="1"/>
    <row r="47" spans="1:8" s="3" customFormat="1" ht="19.95" customHeight="1">
      <c r="A47" s="6" t="s">
        <v>210</v>
      </c>
    </row>
    <row r="48" spans="1:8" s="3" customFormat="1" ht="19.95" customHeight="1"/>
  </sheetData>
  <mergeCells count="9">
    <mergeCell ref="A27:H27"/>
    <mergeCell ref="A1:H1"/>
    <mergeCell ref="A2:H2"/>
    <mergeCell ref="B5:H5"/>
    <mergeCell ref="A10:H10"/>
    <mergeCell ref="A11:E11"/>
    <mergeCell ref="F11:F12"/>
    <mergeCell ref="G11:G12"/>
    <mergeCell ref="H11:H12"/>
  </mergeCells>
  <phoneticPr fontId="6" type="noConversion"/>
  <dataValidations count="1">
    <dataValidation type="list" allowBlank="1" showInputMessage="1" showErrorMessage="1" sqref="H13:H26 H28:H43">
      <formula1>"√,X"</formula1>
    </dataValidation>
  </dataValidations>
  <hyperlinks>
    <hyperlink ref="H3" location="底稿目录!A1" display="底稿目录!A1"/>
  </hyperlinks>
  <printOptions horizontalCentered="1"/>
  <pageMargins left="0.70866141732283472" right="0.70866141732283472" top="0.74803149606299213" bottom="0.74803149606299213" header="0.31496062992125984" footer="0.31496062992125984"/>
  <pageSetup paperSize="9" scale="78" orientation="portrait" blackAndWhite="1" cellComments="atEnd"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77"/>
  <sheetViews>
    <sheetView view="pageBreakPreview" zoomScaleNormal="115" zoomScaleSheetLayoutView="100" workbookViewId="0">
      <selection sqref="A1:T1"/>
    </sheetView>
  </sheetViews>
  <sheetFormatPr defaultColWidth="9" defaultRowHeight="19.95" customHeight="1"/>
  <cols>
    <col min="1" max="1" width="9.44140625" style="13" customWidth="1"/>
    <col min="2" max="2" width="7.6640625" style="13" customWidth="1"/>
    <col min="3" max="3" width="8.21875" style="13" customWidth="1"/>
    <col min="4" max="4" width="13.5546875" style="13" customWidth="1"/>
    <col min="5" max="5" width="9.6640625" style="13" customWidth="1"/>
    <col min="6" max="6" width="12.88671875" style="13" customWidth="1"/>
    <col min="7" max="7" width="9.44140625" style="13" customWidth="1"/>
    <col min="8" max="8" width="10" style="13" customWidth="1"/>
    <col min="9" max="9" width="11.44140625" style="13" customWidth="1"/>
    <col min="10" max="10" width="8.5546875" style="13" customWidth="1"/>
    <col min="11" max="11" width="10.21875" style="13" customWidth="1"/>
    <col min="12" max="12" width="10.33203125" style="13" customWidth="1"/>
    <col min="13" max="13" width="10" style="13" customWidth="1"/>
    <col min="14" max="14" width="9.44140625" style="13" customWidth="1"/>
    <col min="15" max="15" width="9.6640625" style="13" customWidth="1"/>
    <col min="16" max="16" width="11.88671875" style="13" customWidth="1"/>
    <col min="17" max="17" width="9.21875" style="13" customWidth="1"/>
    <col min="18" max="18" width="8.5546875" style="13" customWidth="1"/>
    <col min="19" max="19" width="8.109375" style="13" customWidth="1"/>
    <col min="20" max="20" width="6.77734375" style="13" customWidth="1"/>
    <col min="21" max="16384" width="9" style="13"/>
  </cols>
  <sheetData>
    <row r="1" spans="1:39" s="20" customFormat="1" ht="19.95" customHeight="1">
      <c r="A1" s="365" t="s">
        <v>0</v>
      </c>
      <c r="B1" s="365"/>
      <c r="C1" s="365"/>
      <c r="D1" s="365"/>
      <c r="E1" s="365"/>
      <c r="F1" s="365"/>
      <c r="G1" s="365"/>
      <c r="H1" s="365"/>
      <c r="I1" s="365"/>
      <c r="J1" s="365"/>
      <c r="K1" s="365"/>
      <c r="L1" s="365"/>
      <c r="M1" s="365"/>
      <c r="N1" s="365"/>
      <c r="O1" s="365"/>
      <c r="P1" s="365"/>
      <c r="Q1" s="365"/>
      <c r="R1" s="365"/>
      <c r="S1" s="365"/>
      <c r="T1" s="365"/>
    </row>
    <row r="2" spans="1:39" s="20" customFormat="1" ht="19.95" customHeight="1">
      <c r="A2" s="361" t="s">
        <v>201</v>
      </c>
      <c r="B2" s="361"/>
      <c r="C2" s="361"/>
      <c r="D2" s="361"/>
      <c r="E2" s="361"/>
      <c r="F2" s="361"/>
      <c r="G2" s="361"/>
      <c r="H2" s="361"/>
      <c r="I2" s="361"/>
      <c r="J2" s="361"/>
      <c r="K2" s="361"/>
      <c r="L2" s="361"/>
      <c r="M2" s="361"/>
      <c r="N2" s="361"/>
      <c r="O2" s="361"/>
      <c r="P2" s="361"/>
      <c r="Q2" s="361"/>
      <c r="R2" s="361"/>
      <c r="S2" s="361"/>
      <c r="T2" s="361"/>
    </row>
    <row r="3" spans="1:39" s="3" customFormat="1" ht="19.95" customHeight="1">
      <c r="A3" s="2" t="str">
        <f>[1]底稿目录!A2</f>
        <v>被审计单位：ABC公司</v>
      </c>
      <c r="B3" s="2"/>
      <c r="C3" s="2"/>
      <c r="E3" s="4" t="str">
        <f>[1]底稿目录!A4</f>
        <v>编制人：张XX</v>
      </c>
      <c r="I3" s="64"/>
      <c r="J3" s="2" t="str">
        <f>[1]底稿目录!A5</f>
        <v>编制日期：2025-4-1</v>
      </c>
      <c r="K3" s="2"/>
      <c r="L3" s="2"/>
      <c r="M3" s="2"/>
      <c r="N3" s="2"/>
      <c r="S3" s="8" t="s">
        <v>137</v>
      </c>
      <c r="T3" s="303" t="str">
        <f>底稿目录!F6</f>
        <v>E1-28</v>
      </c>
    </row>
    <row r="4" spans="1:39" s="3" customFormat="1" ht="19.95" customHeight="1">
      <c r="A4" s="2" t="str">
        <f>[1]底稿目录!A3</f>
        <v>截止日：202X年12月31日</v>
      </c>
      <c r="B4" s="2"/>
      <c r="C4" s="5"/>
      <c r="E4" s="4" t="str">
        <f>[1]底稿目录!A6</f>
        <v>复核人：李XX</v>
      </c>
      <c r="I4" s="64"/>
      <c r="J4" s="2" t="str">
        <f>[1]底稿目录!A7</f>
        <v>复核日期：2025-5-1</v>
      </c>
      <c r="K4" s="2"/>
      <c r="L4" s="2"/>
      <c r="M4" s="2"/>
      <c r="N4" s="2"/>
      <c r="S4" s="8" t="s">
        <v>138</v>
      </c>
    </row>
    <row r="5" spans="1:39" s="135" customFormat="1" ht="19.95" customHeight="1">
      <c r="A5" s="134" t="s">
        <v>139</v>
      </c>
      <c r="C5" s="136"/>
      <c r="D5" s="136"/>
      <c r="E5" s="136"/>
      <c r="F5" s="136"/>
      <c r="G5" s="136"/>
      <c r="H5" s="136"/>
      <c r="I5" s="136"/>
      <c r="J5" s="136"/>
      <c r="K5" s="136"/>
      <c r="L5" s="136"/>
      <c r="M5" s="136"/>
      <c r="N5" s="136"/>
      <c r="O5" s="136"/>
      <c r="P5" s="136"/>
      <c r="Q5" s="136"/>
      <c r="R5" s="136"/>
      <c r="S5" s="136"/>
      <c r="T5" s="136"/>
    </row>
    <row r="6" spans="1:39" s="135" customFormat="1" ht="19.95" customHeight="1">
      <c r="A6" s="137" t="s">
        <v>140</v>
      </c>
      <c r="B6" s="138"/>
      <c r="C6" s="138"/>
      <c r="D6" s="138"/>
      <c r="E6" s="138"/>
      <c r="F6" s="138"/>
      <c r="G6" s="138"/>
      <c r="H6" s="138"/>
      <c r="I6" s="138"/>
      <c r="J6" s="138"/>
      <c r="K6" s="138"/>
      <c r="L6" s="138"/>
      <c r="M6" s="138"/>
      <c r="N6" s="138"/>
      <c r="O6" s="138"/>
      <c r="P6" s="138"/>
      <c r="Q6" s="138"/>
      <c r="R6" s="138"/>
      <c r="S6" s="138"/>
      <c r="T6" s="138"/>
    </row>
    <row r="7" spans="1:39" s="135" customFormat="1" ht="19.95" customHeight="1">
      <c r="A7" s="137" t="s">
        <v>141</v>
      </c>
      <c r="B7" s="138"/>
      <c r="C7" s="138"/>
      <c r="D7" s="138"/>
      <c r="E7" s="138"/>
      <c r="F7" s="138"/>
      <c r="G7" s="138"/>
      <c r="H7" s="138"/>
      <c r="I7" s="138"/>
      <c r="J7" s="138"/>
      <c r="K7" s="138"/>
      <c r="L7" s="138"/>
      <c r="M7" s="138"/>
      <c r="N7" s="138"/>
      <c r="O7" s="138"/>
      <c r="P7" s="138"/>
      <c r="Q7" s="138"/>
      <c r="R7" s="138"/>
      <c r="S7" s="138"/>
      <c r="T7" s="138"/>
    </row>
    <row r="8" spans="1:39" s="135" customFormat="1" ht="19.95" customHeight="1">
      <c r="A8" s="139" t="s">
        <v>142</v>
      </c>
      <c r="B8" s="140"/>
      <c r="C8" s="140"/>
      <c r="D8" s="140"/>
      <c r="E8" s="140"/>
      <c r="F8" s="140"/>
      <c r="G8" s="140"/>
      <c r="H8" s="140"/>
      <c r="I8" s="140"/>
      <c r="J8" s="140"/>
      <c r="K8" s="140"/>
      <c r="L8" s="140"/>
      <c r="M8" s="140"/>
      <c r="N8" s="140"/>
      <c r="O8" s="137"/>
      <c r="P8" s="137"/>
      <c r="Q8" s="137"/>
      <c r="R8" s="137"/>
      <c r="S8" s="137"/>
    </row>
    <row r="9" spans="1:39" s="143" customFormat="1" ht="19.95" customHeight="1">
      <c r="A9" s="141" t="s">
        <v>143</v>
      </c>
      <c r="B9" s="142" t="s">
        <v>175</v>
      </c>
      <c r="F9" s="141"/>
      <c r="G9" s="142"/>
      <c r="H9" s="141" t="s">
        <v>144</v>
      </c>
      <c r="I9" s="142" t="s">
        <v>145</v>
      </c>
    </row>
    <row r="10" spans="1:39" s="143" customFormat="1" ht="19.95" customHeight="1">
      <c r="A10" s="141" t="s">
        <v>146</v>
      </c>
      <c r="B10" s="142" t="s">
        <v>147</v>
      </c>
      <c r="F10" s="141"/>
      <c r="G10" s="142"/>
      <c r="H10" s="141" t="s">
        <v>148</v>
      </c>
      <c r="I10" s="142"/>
      <c r="J10" s="142" t="s">
        <v>149</v>
      </c>
      <c r="K10" s="142" t="s">
        <v>150</v>
      </c>
      <c r="L10" s="142"/>
      <c r="M10" s="142"/>
      <c r="N10" s="142"/>
      <c r="O10" s="142"/>
      <c r="R10" s="142"/>
      <c r="S10" s="142"/>
    </row>
    <row r="11" spans="1:39" s="143" customFormat="1" ht="19.95" customHeight="1">
      <c r="A11" s="141" t="s">
        <v>151</v>
      </c>
      <c r="B11" s="142" t="s">
        <v>459</v>
      </c>
      <c r="F11" s="141"/>
      <c r="G11" s="142"/>
      <c r="H11" s="141" t="s">
        <v>152</v>
      </c>
      <c r="I11" s="142" t="s">
        <v>153</v>
      </c>
      <c r="R11" s="141"/>
      <c r="S11" s="142"/>
    </row>
    <row r="12" spans="1:39" s="135" customFormat="1" ht="19.95" customHeight="1">
      <c r="A12" s="144" t="s">
        <v>154</v>
      </c>
      <c r="B12" s="145"/>
      <c r="C12" s="146"/>
      <c r="D12" s="146"/>
      <c r="E12" s="147"/>
      <c r="F12" s="148"/>
      <c r="G12" s="148"/>
      <c r="H12" s="148"/>
      <c r="I12" s="149"/>
      <c r="J12" s="149"/>
      <c r="K12" s="149"/>
      <c r="L12" s="149"/>
      <c r="M12" s="149"/>
      <c r="N12" s="149"/>
      <c r="O12" s="149"/>
      <c r="P12" s="149"/>
      <c r="Q12" s="149"/>
      <c r="R12" s="149"/>
      <c r="S12" s="149"/>
      <c r="T12" s="149"/>
    </row>
    <row r="13" spans="1:39" s="135" customFormat="1" ht="29.55" customHeight="1">
      <c r="A13" s="375" t="s">
        <v>176</v>
      </c>
      <c r="B13" s="375"/>
      <c r="C13" s="375"/>
      <c r="D13" s="375"/>
      <c r="E13" s="375"/>
      <c r="F13" s="375"/>
      <c r="G13" s="375"/>
      <c r="H13" s="375"/>
      <c r="I13" s="375"/>
      <c r="J13" s="375"/>
      <c r="K13" s="375"/>
      <c r="L13" s="375"/>
      <c r="M13" s="375"/>
      <c r="N13" s="375"/>
      <c r="O13" s="375"/>
      <c r="P13" s="375"/>
      <c r="Q13" s="375"/>
      <c r="R13" s="375"/>
      <c r="S13" s="375"/>
      <c r="T13" s="375"/>
    </row>
    <row r="14" spans="1:39" s="135" customFormat="1" ht="29.55" customHeight="1">
      <c r="A14" s="375" t="s">
        <v>195</v>
      </c>
      <c r="B14" s="375"/>
      <c r="C14" s="375"/>
      <c r="D14" s="375"/>
      <c r="E14" s="375"/>
      <c r="F14" s="375"/>
      <c r="G14" s="375"/>
      <c r="H14" s="375"/>
      <c r="I14" s="375"/>
      <c r="J14" s="375"/>
      <c r="K14" s="375"/>
      <c r="L14" s="375"/>
      <c r="M14" s="375"/>
      <c r="N14" s="375"/>
      <c r="O14" s="375"/>
      <c r="P14" s="375"/>
      <c r="Q14" s="375"/>
      <c r="R14" s="375"/>
      <c r="S14" s="375"/>
      <c r="T14" s="375"/>
    </row>
    <row r="15" spans="1:39" s="135" customFormat="1" ht="19.95" customHeight="1">
      <c r="A15" s="150" t="s">
        <v>155</v>
      </c>
      <c r="B15" s="151"/>
      <c r="C15" s="152"/>
      <c r="D15" s="152"/>
      <c r="E15" s="153"/>
      <c r="F15" s="154"/>
      <c r="G15" s="154"/>
      <c r="H15" s="154"/>
      <c r="I15" s="155"/>
      <c r="J15" s="155"/>
      <c r="K15" s="155"/>
      <c r="L15" s="155"/>
      <c r="M15" s="155"/>
      <c r="N15" s="155"/>
      <c r="O15" s="155"/>
      <c r="P15" s="155"/>
      <c r="Q15" s="155"/>
      <c r="R15" s="155"/>
      <c r="S15" s="155"/>
      <c r="T15" s="155"/>
    </row>
    <row r="16" spans="1:39" s="3" customFormat="1" ht="19.95" customHeight="1">
      <c r="A16" s="376" t="s">
        <v>156</v>
      </c>
      <c r="B16" s="376" t="s">
        <v>134</v>
      </c>
      <c r="C16" s="376" t="s">
        <v>157</v>
      </c>
      <c r="D16" s="376" t="s">
        <v>158</v>
      </c>
      <c r="E16" s="376" t="s">
        <v>159</v>
      </c>
      <c r="F16" s="378" t="s">
        <v>160</v>
      </c>
      <c r="G16" s="378" t="s">
        <v>161</v>
      </c>
      <c r="H16" s="380" t="s">
        <v>182</v>
      </c>
      <c r="I16" s="381"/>
      <c r="J16" s="381"/>
      <c r="K16" s="384" t="s">
        <v>189</v>
      </c>
      <c r="L16" s="384"/>
      <c r="M16" s="384"/>
      <c r="N16" s="384"/>
      <c r="O16" s="385" t="s">
        <v>183</v>
      </c>
      <c r="P16" s="386"/>
      <c r="Q16" s="382" t="s">
        <v>162</v>
      </c>
      <c r="R16" s="382" t="s">
        <v>162</v>
      </c>
      <c r="S16" s="374" t="s">
        <v>163</v>
      </c>
      <c r="T16" s="374" t="s">
        <v>164</v>
      </c>
      <c r="U16" s="135"/>
      <c r="V16" s="135"/>
      <c r="W16" s="135"/>
      <c r="X16" s="135"/>
      <c r="Y16" s="135"/>
      <c r="Z16" s="135"/>
      <c r="AA16" s="135"/>
      <c r="AB16" s="135"/>
      <c r="AC16" s="135"/>
      <c r="AD16" s="135"/>
      <c r="AE16" s="135"/>
      <c r="AF16" s="135"/>
      <c r="AG16" s="135"/>
      <c r="AH16" s="135"/>
      <c r="AI16" s="135"/>
      <c r="AJ16" s="135"/>
      <c r="AK16" s="135"/>
      <c r="AL16" s="135"/>
      <c r="AM16" s="135"/>
    </row>
    <row r="17" spans="1:39" s="3" customFormat="1" ht="23.4" customHeight="1">
      <c r="A17" s="377"/>
      <c r="B17" s="377"/>
      <c r="C17" s="377"/>
      <c r="D17" s="377"/>
      <c r="E17" s="377"/>
      <c r="F17" s="379"/>
      <c r="G17" s="379"/>
      <c r="H17" s="156" t="s">
        <v>165</v>
      </c>
      <c r="I17" s="187" t="s">
        <v>181</v>
      </c>
      <c r="J17" s="156" t="s">
        <v>166</v>
      </c>
      <c r="K17" s="183" t="s">
        <v>178</v>
      </c>
      <c r="L17" s="183" t="s">
        <v>179</v>
      </c>
      <c r="M17" s="183" t="s">
        <v>190</v>
      </c>
      <c r="N17" s="183" t="s">
        <v>180</v>
      </c>
      <c r="O17" s="157" t="s">
        <v>167</v>
      </c>
      <c r="P17" s="168" t="s">
        <v>184</v>
      </c>
      <c r="Q17" s="382"/>
      <c r="R17" s="382"/>
      <c r="S17" s="374"/>
      <c r="T17" s="374"/>
      <c r="U17" s="135"/>
      <c r="V17" s="135"/>
      <c r="W17" s="135"/>
      <c r="X17" s="135"/>
      <c r="Y17" s="135"/>
      <c r="Z17" s="135"/>
      <c r="AA17" s="135"/>
      <c r="AB17" s="135"/>
      <c r="AC17" s="135"/>
      <c r="AD17" s="135"/>
      <c r="AE17" s="135"/>
      <c r="AF17" s="135"/>
      <c r="AG17" s="135"/>
      <c r="AH17" s="135"/>
      <c r="AI17" s="135"/>
      <c r="AJ17" s="135"/>
      <c r="AK17" s="135"/>
      <c r="AL17" s="135"/>
      <c r="AM17" s="135"/>
    </row>
    <row r="18" spans="1:39" s="3" customFormat="1" ht="19.95" customHeight="1">
      <c r="A18" s="158"/>
      <c r="B18" s="159"/>
      <c r="C18" s="158"/>
      <c r="D18" s="160"/>
      <c r="E18" s="158"/>
      <c r="F18" s="158"/>
      <c r="G18" s="161"/>
      <c r="H18" s="159"/>
      <c r="I18" s="162"/>
      <c r="J18" s="163"/>
      <c r="K18" s="184"/>
      <c r="L18" s="184"/>
      <c r="M18" s="185"/>
      <c r="N18" s="186"/>
      <c r="O18" s="159"/>
      <c r="P18" s="160"/>
      <c r="Q18" s="160"/>
      <c r="R18" s="160"/>
      <c r="S18" s="164"/>
      <c r="T18" s="133"/>
      <c r="U18" s="135"/>
      <c r="V18" s="135"/>
      <c r="W18" s="135"/>
      <c r="X18" s="135"/>
      <c r="Y18" s="135"/>
      <c r="Z18" s="135"/>
      <c r="AA18" s="135"/>
      <c r="AB18" s="135"/>
      <c r="AC18" s="135"/>
      <c r="AD18" s="135"/>
      <c r="AE18" s="135"/>
      <c r="AF18" s="135"/>
      <c r="AG18" s="135"/>
      <c r="AH18" s="135"/>
      <c r="AI18" s="135"/>
      <c r="AJ18" s="135"/>
      <c r="AK18" s="135"/>
      <c r="AL18" s="135"/>
      <c r="AM18" s="135"/>
    </row>
    <row r="19" spans="1:39" s="3" customFormat="1" ht="19.95" customHeight="1">
      <c r="A19" s="158"/>
      <c r="B19" s="159"/>
      <c r="C19" s="158"/>
      <c r="D19" s="160"/>
      <c r="E19" s="158"/>
      <c r="F19" s="158"/>
      <c r="G19" s="161"/>
      <c r="H19" s="159"/>
      <c r="I19" s="160"/>
      <c r="J19" s="163"/>
      <c r="K19" s="163"/>
      <c r="L19" s="163"/>
      <c r="M19" s="163"/>
      <c r="N19" s="163"/>
      <c r="O19" s="159"/>
      <c r="P19" s="160"/>
      <c r="Q19" s="160"/>
      <c r="R19" s="160"/>
      <c r="S19" s="164"/>
      <c r="T19" s="133"/>
      <c r="U19" s="135"/>
      <c r="V19" s="135"/>
      <c r="W19" s="135"/>
      <c r="X19" s="135"/>
      <c r="Y19" s="135"/>
      <c r="Z19" s="135"/>
      <c r="AA19" s="135"/>
      <c r="AB19" s="135"/>
      <c r="AC19" s="135"/>
      <c r="AD19" s="135"/>
      <c r="AE19" s="135"/>
      <c r="AF19" s="135"/>
      <c r="AG19" s="135"/>
      <c r="AH19" s="135"/>
      <c r="AI19" s="135"/>
      <c r="AJ19" s="135"/>
      <c r="AK19" s="135"/>
      <c r="AL19" s="135"/>
      <c r="AM19" s="135"/>
    </row>
    <row r="20" spans="1:39" s="3" customFormat="1" ht="19.95" customHeight="1">
      <c r="A20" s="158"/>
      <c r="B20" s="159"/>
      <c r="C20" s="158"/>
      <c r="D20" s="160"/>
      <c r="E20" s="158"/>
      <c r="F20" s="158"/>
      <c r="G20" s="161"/>
      <c r="H20" s="159"/>
      <c r="I20" s="160"/>
      <c r="J20" s="163"/>
      <c r="K20" s="163"/>
      <c r="L20" s="163"/>
      <c r="M20" s="163"/>
      <c r="N20" s="163"/>
      <c r="O20" s="159"/>
      <c r="P20" s="160"/>
      <c r="Q20" s="160"/>
      <c r="R20" s="160"/>
      <c r="S20" s="164"/>
      <c r="T20" s="133"/>
      <c r="U20" s="135"/>
      <c r="V20" s="135"/>
      <c r="W20" s="135"/>
      <c r="X20" s="135"/>
      <c r="Y20" s="135"/>
      <c r="Z20" s="135"/>
      <c r="AA20" s="135"/>
      <c r="AB20" s="135"/>
      <c r="AC20" s="135"/>
      <c r="AD20" s="135"/>
      <c r="AE20" s="135"/>
      <c r="AF20" s="135"/>
      <c r="AG20" s="135"/>
      <c r="AH20" s="135"/>
      <c r="AI20" s="135"/>
      <c r="AJ20" s="135"/>
      <c r="AK20" s="135"/>
      <c r="AL20" s="135"/>
      <c r="AM20" s="135"/>
    </row>
    <row r="21" spans="1:39" s="3" customFormat="1" ht="19.95" customHeight="1">
      <c r="A21" s="158"/>
      <c r="B21" s="159"/>
      <c r="C21" s="158"/>
      <c r="D21" s="160"/>
      <c r="E21" s="158"/>
      <c r="F21" s="158"/>
      <c r="G21" s="161"/>
      <c r="H21" s="159"/>
      <c r="I21" s="160"/>
      <c r="J21" s="163"/>
      <c r="K21" s="163"/>
      <c r="L21" s="163"/>
      <c r="M21" s="163"/>
      <c r="N21" s="163"/>
      <c r="O21" s="159"/>
      <c r="P21" s="160"/>
      <c r="Q21" s="160"/>
      <c r="R21" s="160"/>
      <c r="S21" s="164"/>
      <c r="T21" s="133"/>
      <c r="U21" s="135"/>
      <c r="V21" s="135"/>
      <c r="W21" s="135"/>
      <c r="X21" s="135"/>
      <c r="Y21" s="135"/>
      <c r="Z21" s="135"/>
      <c r="AA21" s="135"/>
      <c r="AB21" s="135"/>
      <c r="AC21" s="135"/>
      <c r="AD21" s="135"/>
      <c r="AE21" s="135"/>
      <c r="AF21" s="135"/>
      <c r="AG21" s="135"/>
      <c r="AH21" s="135"/>
      <c r="AI21" s="135"/>
      <c r="AJ21" s="135"/>
      <c r="AK21" s="135"/>
      <c r="AL21" s="135"/>
      <c r="AM21" s="135"/>
    </row>
    <row r="22" spans="1:39" s="3" customFormat="1" ht="19.95" customHeight="1">
      <c r="A22" s="158"/>
      <c r="B22" s="159"/>
      <c r="C22" s="158"/>
      <c r="D22" s="160"/>
      <c r="E22" s="158"/>
      <c r="F22" s="158"/>
      <c r="G22" s="161"/>
      <c r="H22" s="159"/>
      <c r="I22" s="160"/>
      <c r="J22" s="163"/>
      <c r="K22" s="163"/>
      <c r="L22" s="163"/>
      <c r="M22" s="163"/>
      <c r="N22" s="163"/>
      <c r="O22" s="159"/>
      <c r="P22" s="160"/>
      <c r="Q22" s="160"/>
      <c r="R22" s="160"/>
      <c r="S22" s="164"/>
      <c r="T22" s="133"/>
      <c r="U22" s="135"/>
      <c r="V22" s="135"/>
      <c r="W22" s="135"/>
      <c r="X22" s="135"/>
      <c r="Y22" s="135"/>
      <c r="Z22" s="135"/>
      <c r="AA22" s="135"/>
      <c r="AB22" s="135"/>
      <c r="AC22" s="135"/>
      <c r="AD22" s="135"/>
      <c r="AE22" s="135"/>
      <c r="AF22" s="135"/>
      <c r="AG22" s="135"/>
      <c r="AH22" s="135"/>
      <c r="AI22" s="135"/>
      <c r="AJ22" s="135"/>
      <c r="AK22" s="135"/>
      <c r="AL22" s="135"/>
      <c r="AM22" s="135"/>
    </row>
    <row r="23" spans="1:39" s="3" customFormat="1" ht="19.95" customHeight="1">
      <c r="A23" s="158"/>
      <c r="B23" s="159"/>
      <c r="C23" s="158"/>
      <c r="D23" s="160"/>
      <c r="E23" s="158"/>
      <c r="F23" s="158"/>
      <c r="G23" s="161"/>
      <c r="H23" s="159"/>
      <c r="I23" s="160"/>
      <c r="J23" s="163"/>
      <c r="K23" s="163"/>
      <c r="L23" s="163"/>
      <c r="M23" s="163"/>
      <c r="N23" s="163"/>
      <c r="O23" s="159"/>
      <c r="P23" s="160"/>
      <c r="Q23" s="160"/>
      <c r="R23" s="160"/>
      <c r="S23" s="164"/>
      <c r="T23" s="133"/>
      <c r="U23" s="135"/>
      <c r="V23" s="135"/>
      <c r="W23" s="135"/>
      <c r="X23" s="135"/>
      <c r="Y23" s="135"/>
      <c r="Z23" s="135"/>
      <c r="AA23" s="135"/>
      <c r="AB23" s="135"/>
      <c r="AC23" s="135"/>
      <c r="AD23" s="135"/>
      <c r="AE23" s="135"/>
      <c r="AF23" s="135"/>
      <c r="AG23" s="135"/>
      <c r="AH23" s="135"/>
      <c r="AI23" s="135"/>
      <c r="AJ23" s="135"/>
      <c r="AK23" s="135"/>
      <c r="AL23" s="135"/>
      <c r="AM23" s="135"/>
    </row>
    <row r="24" spans="1:39" s="3" customFormat="1" ht="19.95" customHeight="1">
      <c r="A24" s="158"/>
      <c r="B24" s="159"/>
      <c r="C24" s="158"/>
      <c r="D24" s="160"/>
      <c r="E24" s="158"/>
      <c r="F24" s="158"/>
      <c r="G24" s="161"/>
      <c r="H24" s="159"/>
      <c r="I24" s="160"/>
      <c r="J24" s="163"/>
      <c r="K24" s="163"/>
      <c r="L24" s="163"/>
      <c r="M24" s="163"/>
      <c r="N24" s="163"/>
      <c r="O24" s="159"/>
      <c r="P24" s="160"/>
      <c r="Q24" s="160"/>
      <c r="R24" s="160"/>
      <c r="S24" s="164"/>
      <c r="T24" s="133"/>
      <c r="U24" s="135"/>
      <c r="V24" s="135"/>
      <c r="W24" s="135"/>
      <c r="X24" s="135"/>
      <c r="Y24" s="135"/>
      <c r="Z24" s="135"/>
      <c r="AA24" s="135"/>
      <c r="AB24" s="135"/>
      <c r="AC24" s="135"/>
      <c r="AD24" s="135"/>
      <c r="AE24" s="135"/>
      <c r="AF24" s="135"/>
      <c r="AG24" s="135"/>
      <c r="AH24" s="135"/>
      <c r="AI24" s="135"/>
      <c r="AJ24" s="135"/>
      <c r="AK24" s="135"/>
      <c r="AL24" s="135"/>
      <c r="AM24" s="135"/>
    </row>
    <row r="25" spans="1:39" s="3" customFormat="1" ht="19.95" customHeight="1">
      <c r="A25" s="158"/>
      <c r="B25" s="159"/>
      <c r="C25" s="158"/>
      <c r="D25" s="160"/>
      <c r="E25" s="158"/>
      <c r="F25" s="158"/>
      <c r="G25" s="161"/>
      <c r="H25" s="159"/>
      <c r="I25" s="160"/>
      <c r="J25" s="163"/>
      <c r="K25" s="163"/>
      <c r="L25" s="163"/>
      <c r="M25" s="163"/>
      <c r="N25" s="163"/>
      <c r="O25" s="159"/>
      <c r="P25" s="160"/>
      <c r="Q25" s="160"/>
      <c r="R25" s="160"/>
      <c r="S25" s="164"/>
      <c r="T25" s="133"/>
      <c r="U25" s="135"/>
      <c r="V25" s="135"/>
      <c r="W25" s="135"/>
      <c r="X25" s="135"/>
      <c r="Y25" s="135"/>
      <c r="Z25" s="135"/>
      <c r="AA25" s="135"/>
      <c r="AB25" s="135"/>
      <c r="AC25" s="135"/>
      <c r="AD25" s="135"/>
      <c r="AE25" s="135"/>
      <c r="AF25" s="135"/>
      <c r="AG25" s="135"/>
      <c r="AH25" s="135"/>
      <c r="AI25" s="135"/>
      <c r="AJ25" s="135"/>
      <c r="AK25" s="135"/>
      <c r="AL25" s="135"/>
      <c r="AM25" s="135"/>
    </row>
    <row r="26" spans="1:39" s="3" customFormat="1" ht="19.95" customHeight="1">
      <c r="A26" s="158"/>
      <c r="B26" s="159"/>
      <c r="C26" s="158"/>
      <c r="D26" s="160"/>
      <c r="E26" s="158"/>
      <c r="F26" s="158"/>
      <c r="G26" s="161"/>
      <c r="H26" s="159"/>
      <c r="I26" s="160"/>
      <c r="J26" s="163"/>
      <c r="K26" s="163"/>
      <c r="L26" s="163"/>
      <c r="M26" s="163"/>
      <c r="N26" s="163"/>
      <c r="O26" s="159"/>
      <c r="P26" s="160"/>
      <c r="Q26" s="160"/>
      <c r="R26" s="160"/>
      <c r="S26" s="164"/>
      <c r="T26" s="133"/>
      <c r="U26" s="135"/>
      <c r="V26" s="135"/>
      <c r="W26" s="135"/>
      <c r="X26" s="135"/>
      <c r="Y26" s="135"/>
      <c r="Z26" s="135"/>
      <c r="AA26" s="135"/>
      <c r="AB26" s="135"/>
      <c r="AC26" s="135"/>
      <c r="AD26" s="135"/>
      <c r="AE26" s="135"/>
      <c r="AF26" s="135"/>
      <c r="AG26" s="135"/>
      <c r="AH26" s="135"/>
      <c r="AI26" s="135"/>
      <c r="AJ26" s="135"/>
      <c r="AK26" s="135"/>
      <c r="AL26" s="135"/>
      <c r="AM26" s="135"/>
    </row>
    <row r="27" spans="1:39" s="3" customFormat="1" ht="19.95" customHeight="1">
      <c r="A27" s="158"/>
      <c r="B27" s="159"/>
      <c r="C27" s="158"/>
      <c r="D27" s="160"/>
      <c r="E27" s="158"/>
      <c r="F27" s="158"/>
      <c r="G27" s="161"/>
      <c r="H27" s="159"/>
      <c r="I27" s="160"/>
      <c r="J27" s="163"/>
      <c r="K27" s="163"/>
      <c r="L27" s="163"/>
      <c r="M27" s="163"/>
      <c r="N27" s="163"/>
      <c r="O27" s="159"/>
      <c r="P27" s="160"/>
      <c r="Q27" s="160"/>
      <c r="R27" s="160"/>
      <c r="S27" s="164"/>
      <c r="T27" s="133"/>
      <c r="U27" s="135"/>
      <c r="V27" s="135"/>
      <c r="W27" s="135"/>
      <c r="X27" s="135"/>
      <c r="Y27" s="135"/>
      <c r="Z27" s="135"/>
      <c r="AA27" s="135"/>
      <c r="AB27" s="135"/>
      <c r="AC27" s="135"/>
      <c r="AD27" s="135"/>
      <c r="AE27" s="135"/>
      <c r="AF27" s="135"/>
      <c r="AG27" s="135"/>
      <c r="AH27" s="135"/>
      <c r="AI27" s="135"/>
      <c r="AJ27" s="135"/>
      <c r="AK27" s="135"/>
      <c r="AL27" s="135"/>
      <c r="AM27" s="135"/>
    </row>
    <row r="28" spans="1:39" s="3" customFormat="1" ht="19.95" customHeight="1">
      <c r="A28" s="158"/>
      <c r="B28" s="159"/>
      <c r="C28" s="158"/>
      <c r="D28" s="160"/>
      <c r="E28" s="158"/>
      <c r="F28" s="158"/>
      <c r="G28" s="161"/>
      <c r="H28" s="159"/>
      <c r="I28" s="160"/>
      <c r="J28" s="163"/>
      <c r="K28" s="163"/>
      <c r="L28" s="163"/>
      <c r="M28" s="163"/>
      <c r="N28" s="163"/>
      <c r="O28" s="159"/>
      <c r="P28" s="160"/>
      <c r="Q28" s="160"/>
      <c r="R28" s="160"/>
      <c r="S28" s="164"/>
      <c r="T28" s="133"/>
      <c r="U28" s="135"/>
      <c r="V28" s="135"/>
      <c r="W28" s="135"/>
      <c r="X28" s="135"/>
      <c r="Y28" s="135"/>
      <c r="Z28" s="135"/>
      <c r="AA28" s="135"/>
      <c r="AB28" s="135"/>
      <c r="AC28" s="135"/>
      <c r="AD28" s="135"/>
      <c r="AE28" s="135"/>
      <c r="AF28" s="135"/>
      <c r="AG28" s="135"/>
      <c r="AH28" s="135"/>
      <c r="AI28" s="135"/>
      <c r="AJ28" s="135"/>
      <c r="AK28" s="135"/>
      <c r="AL28" s="135"/>
      <c r="AM28" s="135"/>
    </row>
    <row r="29" spans="1:39" s="3" customFormat="1" ht="19.95" customHeight="1">
      <c r="A29" s="158"/>
      <c r="B29" s="159"/>
      <c r="C29" s="158"/>
      <c r="D29" s="160"/>
      <c r="E29" s="158"/>
      <c r="F29" s="158"/>
      <c r="G29" s="161"/>
      <c r="H29" s="159"/>
      <c r="I29" s="160"/>
      <c r="J29" s="163"/>
      <c r="K29" s="163"/>
      <c r="L29" s="163"/>
      <c r="M29" s="163"/>
      <c r="N29" s="163"/>
      <c r="O29" s="159"/>
      <c r="P29" s="160"/>
      <c r="Q29" s="160"/>
      <c r="R29" s="160"/>
      <c r="S29" s="164"/>
      <c r="T29" s="133"/>
      <c r="U29" s="135"/>
      <c r="V29" s="135"/>
      <c r="W29" s="135"/>
      <c r="X29" s="135"/>
      <c r="Y29" s="135"/>
      <c r="Z29" s="135"/>
      <c r="AA29" s="135"/>
      <c r="AB29" s="135"/>
      <c r="AC29" s="135"/>
      <c r="AD29" s="135"/>
      <c r="AE29" s="135"/>
      <c r="AF29" s="135"/>
      <c r="AG29" s="135"/>
      <c r="AH29" s="135"/>
      <c r="AI29" s="135"/>
      <c r="AJ29" s="135"/>
      <c r="AK29" s="135"/>
      <c r="AL29" s="135"/>
      <c r="AM29" s="135"/>
    </row>
    <row r="30" spans="1:39" s="3" customFormat="1" ht="19.95" customHeight="1">
      <c r="A30" s="158"/>
      <c r="B30" s="159"/>
      <c r="C30" s="158"/>
      <c r="D30" s="160"/>
      <c r="E30" s="158"/>
      <c r="F30" s="158"/>
      <c r="G30" s="161"/>
      <c r="H30" s="159"/>
      <c r="I30" s="160"/>
      <c r="J30" s="163"/>
      <c r="K30" s="163"/>
      <c r="L30" s="163"/>
      <c r="M30" s="163"/>
      <c r="N30" s="163"/>
      <c r="O30" s="159"/>
      <c r="P30" s="160"/>
      <c r="Q30" s="160"/>
      <c r="R30" s="160"/>
      <c r="S30" s="164"/>
      <c r="T30" s="133"/>
      <c r="U30" s="135"/>
      <c r="V30" s="135"/>
      <c r="W30" s="135"/>
      <c r="X30" s="135"/>
      <c r="Y30" s="135"/>
      <c r="Z30" s="135"/>
      <c r="AA30" s="135"/>
      <c r="AB30" s="135"/>
      <c r="AC30" s="135"/>
      <c r="AD30" s="135"/>
      <c r="AE30" s="135"/>
      <c r="AF30" s="135"/>
      <c r="AG30" s="135"/>
      <c r="AH30" s="135"/>
      <c r="AI30" s="135"/>
      <c r="AJ30" s="135"/>
      <c r="AK30" s="135"/>
      <c r="AL30" s="135"/>
      <c r="AM30" s="135"/>
    </row>
    <row r="31" spans="1:39" s="3" customFormat="1" ht="19.95" customHeight="1">
      <c r="A31" s="158"/>
      <c r="B31" s="159"/>
      <c r="C31" s="158"/>
      <c r="D31" s="160"/>
      <c r="E31" s="158"/>
      <c r="F31" s="158"/>
      <c r="G31" s="161"/>
      <c r="H31" s="159"/>
      <c r="I31" s="160"/>
      <c r="J31" s="163"/>
      <c r="K31" s="163"/>
      <c r="L31" s="163"/>
      <c r="M31" s="163"/>
      <c r="N31" s="163"/>
      <c r="O31" s="159"/>
      <c r="P31" s="160"/>
      <c r="Q31" s="160"/>
      <c r="R31" s="160"/>
      <c r="S31" s="164"/>
      <c r="T31" s="133"/>
      <c r="U31" s="135"/>
      <c r="V31" s="135"/>
      <c r="W31" s="135"/>
      <c r="X31" s="135"/>
      <c r="Y31" s="135"/>
      <c r="Z31" s="135"/>
      <c r="AA31" s="135"/>
      <c r="AB31" s="135"/>
      <c r="AC31" s="135"/>
      <c r="AD31" s="135"/>
      <c r="AE31" s="135"/>
      <c r="AF31" s="135"/>
      <c r="AG31" s="135"/>
      <c r="AH31" s="135"/>
      <c r="AI31" s="135"/>
      <c r="AJ31" s="135"/>
      <c r="AK31" s="135"/>
      <c r="AL31" s="135"/>
      <c r="AM31" s="135"/>
    </row>
    <row r="32" spans="1:39" s="3" customFormat="1" ht="19.95" customHeight="1">
      <c r="A32" s="158"/>
      <c r="B32" s="159"/>
      <c r="C32" s="158"/>
      <c r="D32" s="160"/>
      <c r="E32" s="158"/>
      <c r="F32" s="158"/>
      <c r="G32" s="161"/>
      <c r="H32" s="159"/>
      <c r="I32" s="160"/>
      <c r="J32" s="163"/>
      <c r="K32" s="163"/>
      <c r="L32" s="163"/>
      <c r="M32" s="163"/>
      <c r="N32" s="163"/>
      <c r="O32" s="159"/>
      <c r="P32" s="160"/>
      <c r="Q32" s="160"/>
      <c r="R32" s="160"/>
      <c r="S32" s="164"/>
      <c r="T32" s="133"/>
      <c r="U32" s="135"/>
      <c r="V32" s="135"/>
      <c r="W32" s="135"/>
      <c r="X32" s="135"/>
      <c r="Y32" s="135"/>
      <c r="Z32" s="135"/>
      <c r="AA32" s="135"/>
      <c r="AB32" s="135"/>
      <c r="AC32" s="135"/>
      <c r="AD32" s="135"/>
      <c r="AE32" s="135"/>
      <c r="AF32" s="135"/>
      <c r="AG32" s="135"/>
      <c r="AH32" s="135"/>
      <c r="AI32" s="135"/>
      <c r="AJ32" s="135"/>
      <c r="AK32" s="135"/>
      <c r="AL32" s="135"/>
      <c r="AM32" s="135"/>
    </row>
    <row r="33" spans="1:39" s="3" customFormat="1" ht="19.95" customHeight="1">
      <c r="A33" s="158"/>
      <c r="B33" s="159"/>
      <c r="C33" s="158"/>
      <c r="D33" s="160"/>
      <c r="E33" s="158"/>
      <c r="F33" s="158"/>
      <c r="G33" s="161"/>
      <c r="H33" s="159"/>
      <c r="I33" s="160"/>
      <c r="J33" s="163"/>
      <c r="K33" s="163"/>
      <c r="L33" s="163"/>
      <c r="M33" s="163"/>
      <c r="N33" s="163"/>
      <c r="O33" s="159"/>
      <c r="P33" s="160"/>
      <c r="Q33" s="160"/>
      <c r="R33" s="160"/>
      <c r="S33" s="164"/>
      <c r="T33" s="133"/>
      <c r="U33" s="135"/>
      <c r="V33" s="135"/>
      <c r="W33" s="135"/>
      <c r="X33" s="135"/>
      <c r="Y33" s="135"/>
      <c r="Z33" s="135"/>
      <c r="AA33" s="135"/>
      <c r="AB33" s="135"/>
      <c r="AC33" s="135"/>
      <c r="AD33" s="135"/>
      <c r="AE33" s="135"/>
      <c r="AF33" s="135"/>
      <c r="AG33" s="135"/>
      <c r="AH33" s="135"/>
      <c r="AI33" s="135"/>
      <c r="AJ33" s="135"/>
      <c r="AK33" s="135"/>
      <c r="AL33" s="135"/>
      <c r="AM33" s="135"/>
    </row>
    <row r="34" spans="1:39" s="3" customFormat="1" ht="19.95" customHeight="1">
      <c r="A34" s="158"/>
      <c r="B34" s="159"/>
      <c r="C34" s="158"/>
      <c r="D34" s="160"/>
      <c r="E34" s="158"/>
      <c r="F34" s="158"/>
      <c r="G34" s="161"/>
      <c r="H34" s="159"/>
      <c r="I34" s="160"/>
      <c r="J34" s="163"/>
      <c r="K34" s="163"/>
      <c r="L34" s="163"/>
      <c r="M34" s="163"/>
      <c r="N34" s="163"/>
      <c r="O34" s="159"/>
      <c r="P34" s="160"/>
      <c r="Q34" s="160"/>
      <c r="R34" s="160"/>
      <c r="S34" s="164"/>
      <c r="T34" s="133"/>
      <c r="U34" s="135"/>
      <c r="V34" s="135"/>
      <c r="W34" s="135"/>
      <c r="X34" s="135"/>
      <c r="Y34" s="135"/>
      <c r="Z34" s="135"/>
      <c r="AA34" s="135"/>
      <c r="AB34" s="135"/>
      <c r="AC34" s="135"/>
      <c r="AD34" s="135"/>
      <c r="AE34" s="135"/>
      <c r="AF34" s="135"/>
      <c r="AG34" s="135"/>
      <c r="AH34" s="135"/>
      <c r="AI34" s="135"/>
      <c r="AJ34" s="135"/>
      <c r="AK34" s="135"/>
      <c r="AL34" s="135"/>
      <c r="AM34" s="135"/>
    </row>
    <row r="35" spans="1:39" s="3" customFormat="1" ht="19.95" customHeight="1">
      <c r="A35" s="158"/>
      <c r="B35" s="159"/>
      <c r="C35" s="158"/>
      <c r="D35" s="160"/>
      <c r="E35" s="158"/>
      <c r="F35" s="158"/>
      <c r="G35" s="161"/>
      <c r="H35" s="159"/>
      <c r="I35" s="160"/>
      <c r="J35" s="163"/>
      <c r="K35" s="163"/>
      <c r="L35" s="163"/>
      <c r="M35" s="163"/>
      <c r="N35" s="163"/>
      <c r="O35" s="159"/>
      <c r="P35" s="160"/>
      <c r="Q35" s="160"/>
      <c r="R35" s="160"/>
      <c r="S35" s="164"/>
      <c r="T35" s="133"/>
      <c r="U35" s="135"/>
      <c r="V35" s="135"/>
      <c r="W35" s="135"/>
      <c r="X35" s="135"/>
      <c r="Y35" s="135"/>
      <c r="Z35" s="135"/>
      <c r="AA35" s="135"/>
      <c r="AB35" s="135"/>
      <c r="AC35" s="135"/>
      <c r="AD35" s="135"/>
      <c r="AE35" s="135"/>
      <c r="AF35" s="135"/>
      <c r="AG35" s="135"/>
      <c r="AH35" s="135"/>
      <c r="AI35" s="135"/>
      <c r="AJ35" s="135"/>
      <c r="AK35" s="135"/>
      <c r="AL35" s="135"/>
      <c r="AM35" s="135"/>
    </row>
    <row r="36" spans="1:39" s="3" customFormat="1" ht="19.95" customHeight="1">
      <c r="A36" s="158"/>
      <c r="B36" s="159"/>
      <c r="C36" s="158"/>
      <c r="D36" s="160"/>
      <c r="E36" s="158"/>
      <c r="F36" s="158"/>
      <c r="G36" s="161"/>
      <c r="H36" s="159"/>
      <c r="I36" s="160"/>
      <c r="J36" s="163"/>
      <c r="K36" s="163"/>
      <c r="L36" s="163"/>
      <c r="M36" s="163"/>
      <c r="N36" s="163"/>
      <c r="O36" s="159"/>
      <c r="P36" s="160"/>
      <c r="Q36" s="160"/>
      <c r="R36" s="160"/>
      <c r="S36" s="164"/>
      <c r="T36" s="133"/>
      <c r="U36" s="135"/>
      <c r="V36" s="135"/>
      <c r="W36" s="135"/>
      <c r="X36" s="135"/>
      <c r="Y36" s="135"/>
      <c r="Z36" s="135"/>
      <c r="AA36" s="135"/>
      <c r="AB36" s="135"/>
      <c r="AC36" s="135"/>
      <c r="AD36" s="135"/>
      <c r="AE36" s="135"/>
      <c r="AF36" s="135"/>
      <c r="AG36" s="135"/>
      <c r="AH36" s="135"/>
      <c r="AI36" s="135"/>
      <c r="AJ36" s="135"/>
      <c r="AK36" s="135"/>
      <c r="AL36" s="135"/>
      <c r="AM36" s="135"/>
    </row>
    <row r="37" spans="1:39" s="3" customFormat="1" ht="19.95" customHeight="1">
      <c r="A37" s="158"/>
      <c r="B37" s="159"/>
      <c r="C37" s="158"/>
      <c r="D37" s="160"/>
      <c r="E37" s="158"/>
      <c r="F37" s="158"/>
      <c r="G37" s="161"/>
      <c r="H37" s="159"/>
      <c r="I37" s="160"/>
      <c r="J37" s="163"/>
      <c r="K37" s="163"/>
      <c r="L37" s="163"/>
      <c r="M37" s="163"/>
      <c r="N37" s="163"/>
      <c r="O37" s="159"/>
      <c r="P37" s="160"/>
      <c r="Q37" s="160"/>
      <c r="R37" s="160"/>
      <c r="S37" s="164"/>
      <c r="T37" s="133"/>
      <c r="U37" s="135"/>
      <c r="V37" s="135"/>
      <c r="W37" s="135"/>
      <c r="X37" s="135"/>
      <c r="Y37" s="135"/>
      <c r="Z37" s="135"/>
      <c r="AA37" s="135"/>
      <c r="AB37" s="135"/>
      <c r="AC37" s="135"/>
      <c r="AD37" s="135"/>
      <c r="AE37" s="135"/>
      <c r="AF37" s="135"/>
      <c r="AG37" s="135"/>
      <c r="AH37" s="135"/>
      <c r="AI37" s="135"/>
      <c r="AJ37" s="135"/>
      <c r="AK37" s="135"/>
      <c r="AL37" s="135"/>
      <c r="AM37" s="135"/>
    </row>
    <row r="38" spans="1:39" s="3" customFormat="1" ht="19.95" customHeight="1">
      <c r="A38" s="158"/>
      <c r="B38" s="159"/>
      <c r="C38" s="158"/>
      <c r="D38" s="160"/>
      <c r="E38" s="158"/>
      <c r="F38" s="158"/>
      <c r="G38" s="161"/>
      <c r="H38" s="159"/>
      <c r="I38" s="160"/>
      <c r="J38" s="163"/>
      <c r="K38" s="163"/>
      <c r="L38" s="163"/>
      <c r="M38" s="163"/>
      <c r="N38" s="163"/>
      <c r="O38" s="159"/>
      <c r="P38" s="160"/>
      <c r="Q38" s="160"/>
      <c r="R38" s="160"/>
      <c r="S38" s="164"/>
      <c r="T38" s="133"/>
      <c r="U38" s="135"/>
      <c r="V38" s="135"/>
      <c r="W38" s="135"/>
      <c r="X38" s="135"/>
      <c r="Y38" s="135"/>
      <c r="Z38" s="135"/>
      <c r="AA38" s="135"/>
      <c r="AB38" s="135"/>
      <c r="AC38" s="135"/>
      <c r="AD38" s="135"/>
      <c r="AE38" s="135"/>
      <c r="AF38" s="135"/>
      <c r="AG38" s="135"/>
      <c r="AH38" s="135"/>
      <c r="AI38" s="135"/>
      <c r="AJ38" s="135"/>
      <c r="AK38" s="135"/>
      <c r="AL38" s="135"/>
      <c r="AM38" s="135"/>
    </row>
    <row r="39" spans="1:39" s="3" customFormat="1" ht="19.95" customHeight="1">
      <c r="A39" s="158"/>
      <c r="B39" s="159"/>
      <c r="C39" s="158"/>
      <c r="D39" s="160"/>
      <c r="E39" s="158"/>
      <c r="F39" s="158"/>
      <c r="G39" s="161"/>
      <c r="H39" s="159"/>
      <c r="I39" s="160"/>
      <c r="J39" s="163"/>
      <c r="K39" s="163"/>
      <c r="L39" s="163"/>
      <c r="M39" s="163"/>
      <c r="N39" s="163"/>
      <c r="O39" s="159"/>
      <c r="P39" s="160"/>
      <c r="Q39" s="160"/>
      <c r="R39" s="160"/>
      <c r="S39" s="164"/>
      <c r="T39" s="133"/>
    </row>
    <row r="40" spans="1:39" s="324" customFormat="1" ht="19.95" customHeight="1">
      <c r="A40" s="318" t="s">
        <v>460</v>
      </c>
      <c r="B40" s="319"/>
      <c r="C40" s="320"/>
      <c r="D40" s="321"/>
      <c r="E40" s="320"/>
      <c r="F40" s="320"/>
      <c r="G40" s="322">
        <f>SUM(G18:G39)</f>
        <v>0</v>
      </c>
      <c r="H40" s="319"/>
      <c r="I40" s="321"/>
      <c r="J40" s="323"/>
      <c r="K40" s="323"/>
      <c r="L40" s="323"/>
      <c r="M40" s="323"/>
      <c r="N40" s="323"/>
      <c r="O40" s="319"/>
      <c r="P40" s="321"/>
      <c r="Q40" s="321"/>
      <c r="R40" s="321"/>
      <c r="S40" s="316"/>
      <c r="T40" s="315"/>
    </row>
    <row r="41" spans="1:39" s="3" customFormat="1" ht="19.95" customHeight="1">
      <c r="A41" s="150" t="s">
        <v>168</v>
      </c>
      <c r="B41" s="165"/>
      <c r="C41" s="165"/>
      <c r="D41" s="166"/>
      <c r="E41" s="165"/>
      <c r="F41" s="165"/>
      <c r="G41" s="165"/>
      <c r="H41" s="167"/>
      <c r="I41" s="166"/>
      <c r="J41" s="166"/>
      <c r="K41" s="166"/>
      <c r="L41" s="166"/>
      <c r="M41" s="166"/>
      <c r="N41" s="166"/>
      <c r="O41" s="166"/>
      <c r="P41" s="166"/>
      <c r="Q41" s="166"/>
      <c r="R41" s="166"/>
      <c r="S41" s="166"/>
      <c r="T41" s="166"/>
    </row>
    <row r="42" spans="1:39" s="3" customFormat="1" ht="19.95" customHeight="1">
      <c r="A42" s="376" t="s">
        <v>156</v>
      </c>
      <c r="B42" s="376" t="s">
        <v>134</v>
      </c>
      <c r="C42" s="376" t="s">
        <v>157</v>
      </c>
      <c r="D42" s="376" t="s">
        <v>158</v>
      </c>
      <c r="E42" s="376" t="s">
        <v>159</v>
      </c>
      <c r="F42" s="378" t="s">
        <v>160</v>
      </c>
      <c r="G42" s="378" t="s">
        <v>169</v>
      </c>
      <c r="H42" s="362" t="s">
        <v>185</v>
      </c>
      <c r="I42" s="363"/>
      <c r="J42" s="363"/>
      <c r="K42" s="364"/>
      <c r="L42" s="384" t="s">
        <v>189</v>
      </c>
      <c r="M42" s="384"/>
      <c r="N42" s="384"/>
      <c r="O42" s="384"/>
      <c r="P42" s="385" t="s">
        <v>192</v>
      </c>
      <c r="Q42" s="387"/>
      <c r="R42" s="382" t="s">
        <v>170</v>
      </c>
      <c r="S42" s="374" t="s">
        <v>163</v>
      </c>
      <c r="T42" s="374" t="s">
        <v>164</v>
      </c>
    </row>
    <row r="43" spans="1:39" s="3" customFormat="1" ht="25.8" customHeight="1">
      <c r="A43" s="377"/>
      <c r="B43" s="377"/>
      <c r="C43" s="377"/>
      <c r="D43" s="377"/>
      <c r="E43" s="377"/>
      <c r="F43" s="379"/>
      <c r="G43" s="379"/>
      <c r="H43" s="188" t="s">
        <v>188</v>
      </c>
      <c r="I43" s="182" t="s">
        <v>186</v>
      </c>
      <c r="J43" s="182" t="s">
        <v>187</v>
      </c>
      <c r="K43" s="189" t="s">
        <v>171</v>
      </c>
      <c r="L43" s="193" t="s">
        <v>178</v>
      </c>
      <c r="M43" s="193" t="s">
        <v>191</v>
      </c>
      <c r="N43" s="193" t="s">
        <v>190</v>
      </c>
      <c r="O43" s="193" t="s">
        <v>180</v>
      </c>
      <c r="P43" s="183" t="s">
        <v>194</v>
      </c>
      <c r="Q43" s="168" t="s">
        <v>193</v>
      </c>
      <c r="R43" s="382"/>
      <c r="S43" s="374"/>
      <c r="T43" s="374"/>
    </row>
    <row r="44" spans="1:39" s="3" customFormat="1" ht="19.95" customHeight="1">
      <c r="A44" s="158"/>
      <c r="B44" s="159"/>
      <c r="C44" s="158"/>
      <c r="D44" s="160"/>
      <c r="E44" s="158"/>
      <c r="F44" s="158"/>
      <c r="G44" s="161"/>
      <c r="H44" s="159"/>
      <c r="I44" s="162"/>
      <c r="J44" s="190"/>
      <c r="K44" s="191"/>
      <c r="L44" s="184"/>
      <c r="M44" s="184"/>
      <c r="N44" s="185"/>
      <c r="O44" s="186"/>
      <c r="P44" s="159"/>
      <c r="Q44" s="160"/>
      <c r="R44" s="160"/>
      <c r="S44" s="164"/>
      <c r="T44" s="133"/>
    </row>
    <row r="45" spans="1:39" s="3" customFormat="1" ht="19.95" customHeight="1">
      <c r="A45" s="158"/>
      <c r="B45" s="159"/>
      <c r="C45" s="158"/>
      <c r="D45" s="160"/>
      <c r="E45" s="158"/>
      <c r="F45" s="158"/>
      <c r="G45" s="161"/>
      <c r="H45" s="159"/>
      <c r="I45" s="162"/>
      <c r="J45" s="190"/>
      <c r="K45" s="191"/>
      <c r="L45" s="184"/>
      <c r="M45" s="184"/>
      <c r="N45" s="185"/>
      <c r="O45" s="186"/>
      <c r="P45" s="159"/>
      <c r="Q45" s="160"/>
      <c r="R45" s="160"/>
      <c r="S45" s="164"/>
      <c r="T45" s="133"/>
    </row>
    <row r="46" spans="1:39" s="3" customFormat="1" ht="19.95" customHeight="1">
      <c r="A46" s="158"/>
      <c r="B46" s="159"/>
      <c r="C46" s="158"/>
      <c r="D46" s="160"/>
      <c r="E46" s="158"/>
      <c r="F46" s="158"/>
      <c r="G46" s="161"/>
      <c r="H46" s="159"/>
      <c r="I46" s="162"/>
      <c r="J46" s="190"/>
      <c r="K46" s="191"/>
      <c r="L46" s="184"/>
      <c r="M46" s="184"/>
      <c r="N46" s="185"/>
      <c r="O46" s="186"/>
      <c r="P46" s="159"/>
      <c r="Q46" s="160"/>
      <c r="R46" s="160"/>
      <c r="S46" s="164"/>
      <c r="T46" s="133"/>
    </row>
    <row r="47" spans="1:39" s="3" customFormat="1" ht="19.95" customHeight="1">
      <c r="A47" s="158"/>
      <c r="B47" s="159"/>
      <c r="C47" s="158"/>
      <c r="D47" s="160"/>
      <c r="E47" s="158"/>
      <c r="F47" s="158"/>
      <c r="G47" s="161"/>
      <c r="H47" s="159"/>
      <c r="I47" s="162"/>
      <c r="J47" s="190"/>
      <c r="K47" s="191"/>
      <c r="L47" s="184"/>
      <c r="M47" s="184"/>
      <c r="N47" s="185"/>
      <c r="O47" s="186"/>
      <c r="P47" s="159"/>
      <c r="Q47" s="160"/>
      <c r="R47" s="160"/>
      <c r="S47" s="164"/>
      <c r="T47" s="133"/>
    </row>
    <row r="48" spans="1:39" s="3" customFormat="1" ht="19.95" customHeight="1">
      <c r="A48" s="158"/>
      <c r="B48" s="159"/>
      <c r="C48" s="158"/>
      <c r="D48" s="160"/>
      <c r="E48" s="158"/>
      <c r="F48" s="158"/>
      <c r="G48" s="161"/>
      <c r="H48" s="159"/>
      <c r="I48" s="162"/>
      <c r="J48" s="190"/>
      <c r="K48" s="191"/>
      <c r="L48" s="184"/>
      <c r="M48" s="184"/>
      <c r="N48" s="185"/>
      <c r="O48" s="186"/>
      <c r="P48" s="159"/>
      <c r="Q48" s="160"/>
      <c r="R48" s="160"/>
      <c r="S48" s="164"/>
      <c r="T48" s="133"/>
    </row>
    <row r="49" spans="1:20" s="3" customFormat="1" ht="19.95" customHeight="1">
      <c r="A49" s="158"/>
      <c r="B49" s="159"/>
      <c r="C49" s="158"/>
      <c r="D49" s="160"/>
      <c r="E49" s="158"/>
      <c r="F49" s="158"/>
      <c r="G49" s="161"/>
      <c r="H49" s="159"/>
      <c r="I49" s="162"/>
      <c r="J49" s="190"/>
      <c r="K49" s="191"/>
      <c r="L49" s="184"/>
      <c r="M49" s="184"/>
      <c r="N49" s="185"/>
      <c r="O49" s="186"/>
      <c r="P49" s="159"/>
      <c r="Q49" s="160"/>
      <c r="R49" s="160"/>
      <c r="S49" s="164"/>
      <c r="T49" s="133"/>
    </row>
    <row r="50" spans="1:20" s="3" customFormat="1" ht="19.95" customHeight="1">
      <c r="A50" s="158"/>
      <c r="B50" s="159"/>
      <c r="C50" s="158"/>
      <c r="D50" s="160"/>
      <c r="E50" s="158"/>
      <c r="F50" s="158"/>
      <c r="G50" s="161"/>
      <c r="H50" s="159"/>
      <c r="I50" s="162"/>
      <c r="J50" s="190"/>
      <c r="K50" s="191"/>
      <c r="L50" s="184"/>
      <c r="M50" s="184"/>
      <c r="N50" s="185"/>
      <c r="O50" s="186"/>
      <c r="P50" s="159"/>
      <c r="Q50" s="160"/>
      <c r="R50" s="160"/>
      <c r="S50" s="164"/>
      <c r="T50" s="133"/>
    </row>
    <row r="51" spans="1:20" s="3" customFormat="1" ht="19.95" customHeight="1">
      <c r="A51" s="158"/>
      <c r="B51" s="159"/>
      <c r="C51" s="158"/>
      <c r="D51" s="160"/>
      <c r="E51" s="158"/>
      <c r="F51" s="158"/>
      <c r="G51" s="161"/>
      <c r="H51" s="159"/>
      <c r="I51" s="162"/>
      <c r="J51" s="190"/>
      <c r="K51" s="191"/>
      <c r="L51" s="184"/>
      <c r="M51" s="184"/>
      <c r="N51" s="185"/>
      <c r="O51" s="186"/>
      <c r="P51" s="159"/>
      <c r="Q51" s="160"/>
      <c r="R51" s="160"/>
      <c r="S51" s="164"/>
      <c r="T51" s="133"/>
    </row>
    <row r="52" spans="1:20" s="3" customFormat="1" ht="19.95" customHeight="1">
      <c r="A52" s="158"/>
      <c r="B52" s="159"/>
      <c r="C52" s="158"/>
      <c r="D52" s="160"/>
      <c r="E52" s="158"/>
      <c r="F52" s="158"/>
      <c r="G52" s="161"/>
      <c r="H52" s="159"/>
      <c r="I52" s="162"/>
      <c r="J52" s="190"/>
      <c r="K52" s="191"/>
      <c r="L52" s="184"/>
      <c r="M52" s="184"/>
      <c r="N52" s="185"/>
      <c r="O52" s="186"/>
      <c r="P52" s="159"/>
      <c r="Q52" s="160"/>
      <c r="R52" s="160"/>
      <c r="S52" s="164"/>
      <c r="T52" s="133"/>
    </row>
    <row r="53" spans="1:20" s="3" customFormat="1" ht="19.95" customHeight="1">
      <c r="A53" s="158"/>
      <c r="B53" s="159"/>
      <c r="C53" s="158"/>
      <c r="D53" s="160"/>
      <c r="E53" s="158"/>
      <c r="F53" s="158"/>
      <c r="G53" s="161"/>
      <c r="H53" s="159"/>
      <c r="I53" s="162"/>
      <c r="J53" s="190"/>
      <c r="K53" s="191"/>
      <c r="L53" s="184"/>
      <c r="M53" s="184"/>
      <c r="N53" s="185"/>
      <c r="O53" s="186"/>
      <c r="P53" s="159"/>
      <c r="Q53" s="160"/>
      <c r="R53" s="160"/>
      <c r="S53" s="164"/>
      <c r="T53" s="133"/>
    </row>
    <row r="54" spans="1:20" s="3" customFormat="1" ht="19.95" customHeight="1">
      <c r="A54" s="158"/>
      <c r="B54" s="159"/>
      <c r="C54" s="158"/>
      <c r="D54" s="160"/>
      <c r="E54" s="158"/>
      <c r="F54" s="158"/>
      <c r="G54" s="161"/>
      <c r="H54" s="159"/>
      <c r="I54" s="162"/>
      <c r="J54" s="190"/>
      <c r="K54" s="191"/>
      <c r="L54" s="184"/>
      <c r="M54" s="184"/>
      <c r="N54" s="185"/>
      <c r="O54" s="186"/>
      <c r="P54" s="159"/>
      <c r="Q54" s="160"/>
      <c r="R54" s="160"/>
      <c r="S54" s="164"/>
      <c r="T54" s="133"/>
    </row>
    <row r="55" spans="1:20" s="3" customFormat="1" ht="19.95" customHeight="1">
      <c r="A55" s="158"/>
      <c r="B55" s="159"/>
      <c r="C55" s="158"/>
      <c r="D55" s="160"/>
      <c r="E55" s="158"/>
      <c r="F55" s="158"/>
      <c r="G55" s="161"/>
      <c r="H55" s="159"/>
      <c r="I55" s="162"/>
      <c r="J55" s="190"/>
      <c r="K55" s="191"/>
      <c r="L55" s="184"/>
      <c r="M55" s="184"/>
      <c r="N55" s="185"/>
      <c r="O55" s="186"/>
      <c r="P55" s="159"/>
      <c r="Q55" s="160"/>
      <c r="R55" s="160"/>
      <c r="S55" s="164"/>
      <c r="T55" s="133"/>
    </row>
    <row r="56" spans="1:20" s="3" customFormat="1" ht="19.95" customHeight="1">
      <c r="A56" s="158"/>
      <c r="B56" s="159"/>
      <c r="C56" s="158"/>
      <c r="D56" s="160"/>
      <c r="E56" s="158"/>
      <c r="F56" s="158"/>
      <c r="G56" s="161"/>
      <c r="H56" s="159"/>
      <c r="I56" s="162"/>
      <c r="J56" s="190"/>
      <c r="K56" s="191"/>
      <c r="L56" s="184"/>
      <c r="M56" s="184"/>
      <c r="N56" s="185"/>
      <c r="O56" s="186"/>
      <c r="P56" s="159"/>
      <c r="Q56" s="160"/>
      <c r="R56" s="160"/>
      <c r="S56" s="164"/>
      <c r="T56" s="133"/>
    </row>
    <row r="57" spans="1:20" s="3" customFormat="1" ht="19.95" customHeight="1">
      <c r="A57" s="158"/>
      <c r="B57" s="159"/>
      <c r="C57" s="158"/>
      <c r="D57" s="160"/>
      <c r="E57" s="158"/>
      <c r="F57" s="158"/>
      <c r="G57" s="161"/>
      <c r="H57" s="159"/>
      <c r="I57" s="162"/>
      <c r="J57" s="190"/>
      <c r="K57" s="191"/>
      <c r="L57" s="184"/>
      <c r="M57" s="184"/>
      <c r="N57" s="185"/>
      <c r="O57" s="186"/>
      <c r="P57" s="159"/>
      <c r="Q57" s="160"/>
      <c r="R57" s="160"/>
      <c r="S57" s="164"/>
      <c r="T57" s="133"/>
    </row>
    <row r="58" spans="1:20" s="3" customFormat="1" ht="19.95" customHeight="1">
      <c r="A58" s="158"/>
      <c r="B58" s="159"/>
      <c r="C58" s="158"/>
      <c r="D58" s="160"/>
      <c r="E58" s="158"/>
      <c r="F58" s="158"/>
      <c r="G58" s="161"/>
      <c r="H58" s="159"/>
      <c r="I58" s="162"/>
      <c r="J58" s="190"/>
      <c r="K58" s="191"/>
      <c r="L58" s="184"/>
      <c r="M58" s="184"/>
      <c r="N58" s="185"/>
      <c r="O58" s="186"/>
      <c r="P58" s="159"/>
      <c r="Q58" s="160"/>
      <c r="R58" s="160"/>
      <c r="S58" s="164"/>
      <c r="T58" s="133"/>
    </row>
    <row r="59" spans="1:20" s="3" customFormat="1" ht="19.95" customHeight="1">
      <c r="A59" s="158"/>
      <c r="B59" s="159"/>
      <c r="C59" s="158"/>
      <c r="D59" s="160"/>
      <c r="E59" s="158"/>
      <c r="F59" s="158"/>
      <c r="G59" s="161"/>
      <c r="H59" s="159"/>
      <c r="I59" s="162"/>
      <c r="J59" s="190"/>
      <c r="K59" s="191"/>
      <c r="L59" s="184"/>
      <c r="M59" s="184"/>
      <c r="N59" s="185"/>
      <c r="O59" s="186"/>
      <c r="P59" s="159"/>
      <c r="Q59" s="160"/>
      <c r="R59" s="160"/>
      <c r="S59" s="164"/>
      <c r="T59" s="133"/>
    </row>
    <row r="60" spans="1:20" s="3" customFormat="1" ht="19.95" customHeight="1">
      <c r="A60" s="158"/>
      <c r="B60" s="159"/>
      <c r="C60" s="158"/>
      <c r="D60" s="160"/>
      <c r="E60" s="158"/>
      <c r="F60" s="158"/>
      <c r="G60" s="161"/>
      <c r="H60" s="159"/>
      <c r="I60" s="162"/>
      <c r="J60" s="190"/>
      <c r="K60" s="191"/>
      <c r="L60" s="184"/>
      <c r="M60" s="184"/>
      <c r="N60" s="185"/>
      <c r="O60" s="186"/>
      <c r="P60" s="159"/>
      <c r="Q60" s="160"/>
      <c r="R60" s="160"/>
      <c r="S60" s="164"/>
      <c r="T60" s="133"/>
    </row>
    <row r="61" spans="1:20" s="3" customFormat="1" ht="19.95" customHeight="1">
      <c r="A61" s="158"/>
      <c r="B61" s="159"/>
      <c r="C61" s="158"/>
      <c r="D61" s="160"/>
      <c r="E61" s="158"/>
      <c r="F61" s="158"/>
      <c r="G61" s="161"/>
      <c r="H61" s="159"/>
      <c r="I61" s="162"/>
      <c r="J61" s="163"/>
      <c r="K61" s="192"/>
      <c r="L61" s="163"/>
      <c r="M61" s="163"/>
      <c r="N61" s="163"/>
      <c r="O61" s="159"/>
      <c r="P61" s="159"/>
      <c r="Q61" s="160"/>
      <c r="R61" s="160"/>
      <c r="S61" s="164"/>
      <c r="T61" s="133"/>
    </row>
    <row r="62" spans="1:20" s="3" customFormat="1" ht="19.95" customHeight="1">
      <c r="A62" s="158"/>
      <c r="B62" s="159"/>
      <c r="C62" s="158"/>
      <c r="D62" s="160"/>
      <c r="E62" s="158"/>
      <c r="F62" s="158"/>
      <c r="G62" s="161"/>
      <c r="H62" s="159"/>
      <c r="I62" s="162"/>
      <c r="J62" s="163"/>
      <c r="K62" s="192"/>
      <c r="L62" s="163"/>
      <c r="M62" s="163"/>
      <c r="N62" s="163"/>
      <c r="O62" s="159"/>
      <c r="P62" s="159"/>
      <c r="Q62" s="160"/>
      <c r="R62" s="160"/>
      <c r="S62" s="164"/>
      <c r="T62" s="133"/>
    </row>
    <row r="63" spans="1:20" s="3" customFormat="1" ht="19.95" customHeight="1">
      <c r="A63" s="158"/>
      <c r="B63" s="159"/>
      <c r="C63" s="158"/>
      <c r="D63" s="160"/>
      <c r="E63" s="158"/>
      <c r="F63" s="158"/>
      <c r="G63" s="161"/>
      <c r="H63" s="159"/>
      <c r="I63" s="162"/>
      <c r="J63" s="163"/>
      <c r="K63" s="192"/>
      <c r="L63" s="163"/>
      <c r="M63" s="163"/>
      <c r="N63" s="163"/>
      <c r="O63" s="159"/>
      <c r="P63" s="159"/>
      <c r="Q63" s="160"/>
      <c r="R63" s="160"/>
      <c r="S63" s="164"/>
      <c r="T63" s="133"/>
    </row>
    <row r="64" spans="1:20" s="3" customFormat="1" ht="19.95" customHeight="1">
      <c r="A64" s="158"/>
      <c r="B64" s="159"/>
      <c r="C64" s="158"/>
      <c r="D64" s="160"/>
      <c r="E64" s="158"/>
      <c r="F64" s="158"/>
      <c r="G64" s="161"/>
      <c r="H64" s="159"/>
      <c r="I64" s="162"/>
      <c r="J64" s="163"/>
      <c r="K64" s="192"/>
      <c r="L64" s="163"/>
      <c r="M64" s="163"/>
      <c r="N64" s="163"/>
      <c r="O64" s="159"/>
      <c r="P64" s="159"/>
      <c r="Q64" s="160"/>
      <c r="R64" s="160"/>
      <c r="S64" s="164"/>
      <c r="T64" s="133"/>
    </row>
    <row r="65" spans="1:21" s="324" customFormat="1" ht="19.95" customHeight="1">
      <c r="A65" s="318" t="s">
        <v>460</v>
      </c>
      <c r="B65" s="319"/>
      <c r="C65" s="320"/>
      <c r="D65" s="321"/>
      <c r="E65" s="320"/>
      <c r="F65" s="320"/>
      <c r="G65" s="322">
        <f>SUM(G44:G64)</f>
        <v>0</v>
      </c>
      <c r="H65" s="319"/>
      <c r="I65" s="321"/>
      <c r="J65" s="323"/>
      <c r="K65" s="323"/>
      <c r="L65" s="323"/>
      <c r="M65" s="323"/>
      <c r="N65" s="323"/>
      <c r="O65" s="319"/>
      <c r="P65" s="321"/>
      <c r="Q65" s="321"/>
      <c r="R65" s="321"/>
      <c r="S65" s="316"/>
      <c r="T65" s="315"/>
    </row>
    <row r="66" spans="1:21" s="3" customFormat="1" ht="19.95" customHeight="1">
      <c r="A66" s="145" t="s">
        <v>172</v>
      </c>
      <c r="B66" s="145"/>
      <c r="C66" s="170"/>
      <c r="D66" s="170"/>
      <c r="E66" s="170"/>
      <c r="G66" s="172"/>
      <c r="H66" s="173"/>
      <c r="O66" s="171"/>
      <c r="P66" s="173"/>
      <c r="Q66" s="173"/>
      <c r="R66" s="169"/>
      <c r="S66" s="169"/>
      <c r="T66" s="169"/>
    </row>
    <row r="67" spans="1:21" s="3" customFormat="1" ht="19.95" customHeight="1">
      <c r="A67" s="3" t="s">
        <v>461</v>
      </c>
      <c r="C67" s="143"/>
      <c r="E67" s="325" t="s">
        <v>462</v>
      </c>
      <c r="F67" s="325" t="s">
        <v>463</v>
      </c>
      <c r="G67" s="325" t="s">
        <v>464</v>
      </c>
      <c r="H67" s="325" t="s">
        <v>465</v>
      </c>
      <c r="I67" s="326" t="s">
        <v>466</v>
      </c>
      <c r="O67" s="171"/>
      <c r="P67" s="173"/>
      <c r="Q67" s="173"/>
      <c r="R67" s="169"/>
      <c r="S67" s="169"/>
      <c r="T67" s="169"/>
    </row>
    <row r="68" spans="1:21" s="3" customFormat="1" ht="19.95" customHeight="1">
      <c r="A68" s="6"/>
      <c r="B68" s="6"/>
      <c r="C68" s="143"/>
      <c r="E68" s="325" t="s">
        <v>467</v>
      </c>
      <c r="F68" s="327">
        <f>'[2]现金明细表E1-2'!$C$22</f>
        <v>0</v>
      </c>
      <c r="G68" s="327">
        <f>G40</f>
        <v>0</v>
      </c>
      <c r="H68" s="328" t="e">
        <f>ROUND(G68/F68,4)</f>
        <v>#DIV/0!</v>
      </c>
      <c r="I68" s="121"/>
      <c r="O68" s="171"/>
      <c r="P68" s="173"/>
      <c r="Q68" s="173"/>
      <c r="R68" s="169"/>
      <c r="S68" s="169"/>
      <c r="T68" s="169"/>
    </row>
    <row r="69" spans="1:21" s="3" customFormat="1" ht="19.95" customHeight="1">
      <c r="A69" s="6"/>
      <c r="B69" s="6"/>
      <c r="C69" s="143"/>
      <c r="E69" s="325" t="s">
        <v>468</v>
      </c>
      <c r="F69" s="327">
        <f>'[2]现金明细表E1-2'!$D$22</f>
        <v>0</v>
      </c>
      <c r="G69" s="327">
        <f>G65</f>
        <v>0</v>
      </c>
      <c r="H69" s="328" t="e">
        <f>ROUND(G69/F69,2)</f>
        <v>#DIV/0!</v>
      </c>
      <c r="I69" s="121"/>
      <c r="O69" s="171"/>
      <c r="P69" s="173"/>
      <c r="Q69" s="173"/>
      <c r="R69" s="169"/>
      <c r="S69" s="169"/>
      <c r="T69" s="169"/>
    </row>
    <row r="70" spans="1:21" s="3" customFormat="1" ht="19.95" customHeight="1">
      <c r="A70" s="329" t="s">
        <v>469</v>
      </c>
      <c r="B70" s="6"/>
      <c r="C70" s="143"/>
      <c r="D70" s="330"/>
      <c r="E70" s="331"/>
      <c r="F70" s="331"/>
      <c r="G70" s="332"/>
      <c r="H70" s="121"/>
      <c r="I70" s="121"/>
      <c r="O70" s="175"/>
      <c r="P70" s="176"/>
      <c r="Q70" s="176"/>
      <c r="R70" s="177"/>
      <c r="S70" s="177"/>
      <c r="T70" s="177"/>
      <c r="U70" s="114"/>
    </row>
    <row r="71" spans="1:21" s="6" customFormat="1" ht="19.95" customHeight="1">
      <c r="A71" s="6" t="s">
        <v>173</v>
      </c>
      <c r="G71" s="174"/>
      <c r="H71" s="114"/>
      <c r="O71" s="178"/>
      <c r="P71" s="176"/>
      <c r="Q71" s="176"/>
      <c r="R71" s="179"/>
      <c r="S71" s="179"/>
      <c r="T71" s="179"/>
      <c r="U71" s="114"/>
    </row>
    <row r="72" spans="1:21" s="3" customFormat="1" ht="19.95" customHeight="1">
      <c r="A72" s="180" t="s">
        <v>174</v>
      </c>
      <c r="G72" s="174"/>
      <c r="H72" s="114"/>
      <c r="O72" s="181"/>
      <c r="P72" s="176"/>
      <c r="Q72" s="176"/>
      <c r="R72" s="114"/>
      <c r="S72" s="114"/>
      <c r="T72" s="114"/>
      <c r="U72" s="114"/>
    </row>
    <row r="73" spans="1:21" s="3" customFormat="1" ht="19.95" customHeight="1">
      <c r="A73" s="204" t="s">
        <v>217</v>
      </c>
      <c r="G73" s="174"/>
      <c r="H73" s="114"/>
      <c r="O73" s="181"/>
      <c r="P73" s="176"/>
      <c r="Q73" s="176"/>
      <c r="R73" s="114"/>
      <c r="S73" s="114"/>
      <c r="T73" s="114"/>
      <c r="U73" s="114"/>
    </row>
    <row r="74" spans="1:21" s="3" customFormat="1" ht="19.95" customHeight="1">
      <c r="A74" s="204" t="s">
        <v>218</v>
      </c>
      <c r="G74" s="174"/>
      <c r="H74" s="114"/>
      <c r="O74" s="181"/>
      <c r="P74" s="176"/>
      <c r="Q74" s="176"/>
      <c r="R74" s="114"/>
      <c r="S74" s="114"/>
      <c r="T74" s="114"/>
      <c r="U74" s="114"/>
    </row>
    <row r="75" spans="1:21" s="3" customFormat="1" ht="20.399999999999999" customHeight="1">
      <c r="A75" s="383" t="s">
        <v>219</v>
      </c>
      <c r="B75" s="383"/>
      <c r="C75" s="383"/>
      <c r="D75" s="383"/>
      <c r="E75" s="383"/>
      <c r="F75" s="383"/>
      <c r="G75" s="383"/>
      <c r="H75" s="383"/>
      <c r="I75" s="383"/>
      <c r="J75" s="383"/>
      <c r="K75" s="383"/>
      <c r="L75" s="383"/>
      <c r="M75" s="383"/>
      <c r="N75" s="383"/>
      <c r="O75" s="383"/>
      <c r="P75" s="383"/>
      <c r="Q75" s="383"/>
      <c r="R75" s="383"/>
      <c r="S75" s="383"/>
      <c r="T75" s="383"/>
    </row>
    <row r="76" spans="1:21" ht="20.399999999999999" customHeight="1">
      <c r="A76" s="204" t="s">
        <v>220</v>
      </c>
      <c r="B76" s="204"/>
      <c r="C76" s="204"/>
      <c r="D76" s="204"/>
      <c r="E76" s="204"/>
      <c r="F76" s="204"/>
      <c r="G76" s="204"/>
      <c r="H76" s="204"/>
      <c r="I76" s="204"/>
      <c r="J76" s="204"/>
      <c r="K76" s="204"/>
      <c r="L76" s="204"/>
      <c r="M76" s="204"/>
      <c r="N76" s="204"/>
      <c r="O76" s="204"/>
      <c r="P76" s="204"/>
      <c r="Q76" s="204"/>
      <c r="R76" s="204"/>
      <c r="S76" s="204"/>
      <c r="T76" s="204"/>
    </row>
    <row r="77" spans="1:21" ht="23.4" customHeight="1"/>
  </sheetData>
  <mergeCells count="32">
    <mergeCell ref="T42:T43"/>
    <mergeCell ref="A75:T75"/>
    <mergeCell ref="K16:N16"/>
    <mergeCell ref="O16:P16"/>
    <mergeCell ref="H42:K42"/>
    <mergeCell ref="L42:O42"/>
    <mergeCell ref="P42:Q42"/>
    <mergeCell ref="Q16:Q17"/>
    <mergeCell ref="G42:G43"/>
    <mergeCell ref="R42:R43"/>
    <mergeCell ref="S42:S43"/>
    <mergeCell ref="A42:A43"/>
    <mergeCell ref="B42:B43"/>
    <mergeCell ref="C42:C43"/>
    <mergeCell ref="D42:D43"/>
    <mergeCell ref="E42:E43"/>
    <mergeCell ref="F42:F43"/>
    <mergeCell ref="G16:G17"/>
    <mergeCell ref="H16:J16"/>
    <mergeCell ref="R16:R17"/>
    <mergeCell ref="S16:S17"/>
    <mergeCell ref="T16:T17"/>
    <mergeCell ref="A1:T1"/>
    <mergeCell ref="A2:T2"/>
    <mergeCell ref="A13:T13"/>
    <mergeCell ref="A14:T14"/>
    <mergeCell ref="A16:A17"/>
    <mergeCell ref="B16:B17"/>
    <mergeCell ref="C16:C17"/>
    <mergeCell ref="D16:D17"/>
    <mergeCell ref="E16:E17"/>
    <mergeCell ref="F16:F17"/>
  </mergeCells>
  <phoneticPr fontId="6" type="noConversion"/>
  <dataValidations count="1">
    <dataValidation type="list" allowBlank="1" showInputMessage="1" showErrorMessage="1" sqref="T18:T40 T44:T65">
      <formula1>"是,否"</formula1>
    </dataValidation>
  </dataValidations>
  <hyperlinks>
    <hyperlink ref="T3" location="底稿目录!A1" display="底稿目录!A1"/>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view="pageBreakPreview" zoomScaleNormal="100" zoomScaleSheetLayoutView="100" workbookViewId="0">
      <selection sqref="A1:O1"/>
    </sheetView>
  </sheetViews>
  <sheetFormatPr defaultColWidth="8.6640625" defaultRowHeight="19.95" customHeight="1"/>
  <cols>
    <col min="1" max="1" width="8.21875" style="78" customWidth="1"/>
    <col min="2" max="2" width="14.77734375" style="78" customWidth="1"/>
    <col min="3" max="3" width="13.5546875" style="78" customWidth="1"/>
    <col min="4" max="4" width="12.88671875" style="78" customWidth="1"/>
    <col min="5" max="5" width="8.77734375" style="78" customWidth="1"/>
    <col min="6" max="6" width="9.77734375" style="78" customWidth="1"/>
    <col min="7" max="7" width="10.21875" style="78" customWidth="1"/>
    <col min="8" max="8" width="10.109375" style="78" customWidth="1"/>
    <col min="9" max="9" width="11.109375" style="78" customWidth="1"/>
    <col min="10" max="10" width="10.33203125" style="78" customWidth="1"/>
    <col min="11" max="11" width="10.6640625" style="78" customWidth="1"/>
    <col min="12" max="12" width="11.33203125" style="78" customWidth="1"/>
    <col min="13" max="13" width="10.6640625" style="78" customWidth="1"/>
    <col min="14" max="14" width="12.5546875" style="78" customWidth="1"/>
    <col min="15" max="16" width="6.44140625" style="78" customWidth="1"/>
    <col min="17" max="17" width="12" style="78" bestFit="1" customWidth="1"/>
    <col min="18" max="16384" width="8.6640625" style="78"/>
  </cols>
  <sheetData>
    <row r="1" spans="1:17" ht="19.95" customHeight="1">
      <c r="A1" s="360" t="s">
        <v>0</v>
      </c>
      <c r="B1" s="360"/>
      <c r="C1" s="360"/>
      <c r="D1" s="360"/>
      <c r="E1" s="360"/>
      <c r="F1" s="360"/>
      <c r="G1" s="360"/>
      <c r="H1" s="360"/>
      <c r="I1" s="360"/>
      <c r="J1" s="360"/>
      <c r="K1" s="360"/>
      <c r="L1" s="360"/>
      <c r="M1" s="360"/>
      <c r="N1" s="360"/>
      <c r="O1" s="360"/>
      <c r="P1" s="37"/>
      <c r="Q1" s="37"/>
    </row>
    <row r="2" spans="1:17" s="80" customFormat="1" ht="19.95" customHeight="1">
      <c r="A2" s="389" t="s">
        <v>43</v>
      </c>
      <c r="B2" s="389"/>
      <c r="C2" s="389"/>
      <c r="D2" s="389"/>
      <c r="E2" s="389"/>
      <c r="F2" s="389"/>
      <c r="G2" s="389"/>
      <c r="H2" s="389"/>
      <c r="I2" s="389"/>
      <c r="J2" s="389"/>
      <c r="K2" s="389"/>
      <c r="L2" s="389"/>
      <c r="M2" s="389"/>
      <c r="N2" s="389"/>
      <c r="O2" s="389"/>
      <c r="P2" s="79"/>
      <c r="Q2" s="79"/>
    </row>
    <row r="3" spans="1:17" s="92" customFormat="1" ht="19.95" customHeight="1">
      <c r="A3" s="2" t="str">
        <f>底稿目录!A2</f>
        <v>被审计单位：</v>
      </c>
      <c r="B3" s="57"/>
      <c r="D3" s="57"/>
      <c r="E3" s="4" t="str">
        <f>底稿目录!A4</f>
        <v>编制人：</v>
      </c>
      <c r="F3" s="4"/>
      <c r="H3" s="2"/>
      <c r="I3" s="58"/>
      <c r="J3" s="2" t="str">
        <f>底稿目录!A5</f>
        <v>编制日期：</v>
      </c>
      <c r="K3" s="58"/>
      <c r="L3" s="58"/>
      <c r="N3" s="8" t="s">
        <v>406</v>
      </c>
      <c r="O3" s="303" t="str">
        <f>底稿目录!F7</f>
        <v>E1-29</v>
      </c>
    </row>
    <row r="4" spans="1:17" s="92" customFormat="1" ht="19.95" customHeight="1">
      <c r="A4" s="2" t="str">
        <f>底稿目录!A3</f>
        <v>截止日：202X年12月31日</v>
      </c>
      <c r="B4" s="57"/>
      <c r="D4" s="57"/>
      <c r="E4" s="4" t="str">
        <f>底稿目录!A6</f>
        <v>复核人：</v>
      </c>
      <c r="F4" s="4"/>
      <c r="H4" s="2"/>
      <c r="I4" s="58"/>
      <c r="J4" s="2" t="str">
        <f>底稿目录!A7</f>
        <v>复核日期：</v>
      </c>
      <c r="K4" s="58"/>
      <c r="L4" s="58"/>
      <c r="N4" s="297" t="s">
        <v>378</v>
      </c>
    </row>
    <row r="5" spans="1:17" s="92" customFormat="1" ht="19.95" customHeight="1">
      <c r="A5" s="30" t="s">
        <v>395</v>
      </c>
      <c r="B5" s="59"/>
      <c r="D5" s="300"/>
      <c r="E5" s="300"/>
      <c r="F5" s="300"/>
      <c r="G5" s="300"/>
      <c r="H5" s="300"/>
      <c r="I5" s="300"/>
      <c r="J5" s="300"/>
      <c r="K5" s="300"/>
      <c r="L5" s="300"/>
      <c r="M5" s="300"/>
      <c r="N5" s="300"/>
      <c r="O5" s="300"/>
      <c r="P5" s="3"/>
      <c r="Q5" s="81"/>
    </row>
    <row r="6" spans="1:17" s="92" customFormat="1" ht="19.95" customHeight="1">
      <c r="A6" s="92" t="s">
        <v>420</v>
      </c>
      <c r="B6" s="59"/>
      <c r="C6" s="300"/>
      <c r="D6" s="300"/>
      <c r="E6" s="300"/>
      <c r="F6" s="300"/>
      <c r="G6" s="300"/>
      <c r="H6" s="300"/>
      <c r="I6" s="300"/>
      <c r="J6" s="300"/>
      <c r="K6" s="300"/>
      <c r="L6" s="300"/>
      <c r="M6" s="300"/>
      <c r="N6" s="300"/>
      <c r="O6" s="300"/>
      <c r="P6" s="3"/>
      <c r="Q6" s="81"/>
    </row>
    <row r="7" spans="1:17" s="92" customFormat="1" ht="19.95" customHeight="1">
      <c r="A7" s="92" t="s">
        <v>422</v>
      </c>
      <c r="B7" s="59"/>
      <c r="C7" s="300"/>
      <c r="D7" s="300"/>
      <c r="E7" s="300"/>
      <c r="F7" s="300"/>
      <c r="G7" s="300"/>
      <c r="H7" s="300"/>
      <c r="I7" s="300"/>
      <c r="J7" s="300"/>
      <c r="K7" s="300"/>
      <c r="L7" s="300"/>
      <c r="M7" s="300"/>
      <c r="N7" s="300"/>
      <c r="O7" s="300"/>
      <c r="P7" s="3"/>
      <c r="Q7" s="81"/>
    </row>
    <row r="8" spans="1:17" s="92" customFormat="1" ht="19.95" customHeight="1">
      <c r="A8" s="6" t="s">
        <v>407</v>
      </c>
      <c r="B8" s="3"/>
      <c r="C8" s="300"/>
      <c r="D8" s="300"/>
      <c r="E8" s="300"/>
      <c r="F8" s="300"/>
      <c r="G8" s="300"/>
      <c r="H8" s="300"/>
      <c r="I8" s="300"/>
      <c r="J8" s="300"/>
      <c r="K8" s="300"/>
      <c r="L8" s="300"/>
      <c r="M8" s="300"/>
      <c r="N8" s="300"/>
      <c r="O8" s="300"/>
    </row>
    <row r="9" spans="1:17" s="92" customFormat="1" ht="19.95" customHeight="1">
      <c r="A9" s="82" t="s">
        <v>396</v>
      </c>
      <c r="B9" s="3"/>
      <c r="C9" s="31"/>
      <c r="D9" s="31"/>
      <c r="E9" s="31"/>
      <c r="F9" s="31"/>
      <c r="G9" s="31"/>
      <c r="H9" s="31"/>
      <c r="I9" s="31"/>
      <c r="J9" s="31"/>
      <c r="K9" s="31"/>
      <c r="L9" s="31"/>
      <c r="M9" s="31"/>
      <c r="N9" s="31"/>
      <c r="O9" s="31"/>
    </row>
    <row r="10" spans="1:17" s="92" customFormat="1" ht="19.95" customHeight="1">
      <c r="A10" s="207" t="s">
        <v>221</v>
      </c>
      <c r="B10" s="205"/>
      <c r="C10" s="206"/>
      <c r="D10" s="206"/>
      <c r="E10" s="206"/>
      <c r="F10" s="206"/>
      <c r="G10" s="206"/>
      <c r="H10" s="206"/>
      <c r="I10" s="206"/>
      <c r="J10" s="206"/>
      <c r="K10" s="206"/>
      <c r="L10" s="206"/>
      <c r="M10" s="206"/>
      <c r="N10" s="206"/>
      <c r="O10" s="206"/>
      <c r="P10" s="206"/>
      <c r="Q10" s="206"/>
    </row>
    <row r="11" spans="1:17" s="92" customFormat="1" ht="19.95" customHeight="1">
      <c r="A11" s="83"/>
      <c r="B11" s="355" t="s">
        <v>397</v>
      </c>
      <c r="C11" s="356"/>
      <c r="D11" s="356"/>
      <c r="E11" s="356"/>
      <c r="F11" s="356"/>
      <c r="G11" s="357"/>
      <c r="H11" s="390" t="s">
        <v>228</v>
      </c>
      <c r="I11" s="390" t="s">
        <v>227</v>
      </c>
      <c r="J11" s="390" t="s">
        <v>226</v>
      </c>
      <c r="K11" s="358" t="s">
        <v>398</v>
      </c>
      <c r="L11" s="358" t="s">
        <v>408</v>
      </c>
      <c r="M11" s="390" t="s">
        <v>229</v>
      </c>
      <c r="N11" s="358" t="s">
        <v>409</v>
      </c>
      <c r="O11" s="358" t="s">
        <v>399</v>
      </c>
    </row>
    <row r="12" spans="1:17" s="92" customFormat="1" ht="19.95" customHeight="1">
      <c r="A12" s="83" t="s">
        <v>400</v>
      </c>
      <c r="B12" s="83" t="s">
        <v>410</v>
      </c>
      <c r="C12" s="83" t="s">
        <v>411</v>
      </c>
      <c r="D12" s="83" t="s">
        <v>412</v>
      </c>
      <c r="E12" s="83" t="s">
        <v>401</v>
      </c>
      <c r="F12" s="83" t="s">
        <v>402</v>
      </c>
      <c r="G12" s="83" t="s">
        <v>413</v>
      </c>
      <c r="H12" s="391"/>
      <c r="I12" s="391"/>
      <c r="J12" s="359"/>
      <c r="K12" s="359"/>
      <c r="L12" s="359"/>
      <c r="M12" s="359"/>
      <c r="N12" s="359"/>
      <c r="O12" s="359"/>
    </row>
    <row r="13" spans="1:17" s="92" customFormat="1" ht="19.95" customHeight="1">
      <c r="A13" s="211">
        <v>1</v>
      </c>
      <c r="B13" s="90"/>
      <c r="C13" s="213"/>
      <c r="D13" s="214"/>
      <c r="E13" s="214"/>
      <c r="F13" s="215"/>
      <c r="G13" s="215"/>
      <c r="H13" s="90"/>
      <c r="I13" s="90"/>
      <c r="J13" s="211"/>
      <c r="K13" s="211"/>
      <c r="L13" s="214"/>
      <c r="M13" s="211"/>
      <c r="N13" s="211"/>
      <c r="O13" s="214"/>
    </row>
    <row r="14" spans="1:17" s="92" customFormat="1" ht="19.95" customHeight="1">
      <c r="A14" s="211">
        <v>2</v>
      </c>
      <c r="B14" s="90"/>
      <c r="C14" s="90"/>
      <c r="D14" s="214"/>
      <c r="E14" s="214"/>
      <c r="F14" s="215"/>
      <c r="G14" s="215"/>
      <c r="H14" s="90"/>
      <c r="I14" s="90"/>
      <c r="J14" s="211"/>
      <c r="K14" s="211"/>
      <c r="L14" s="214"/>
      <c r="M14" s="211"/>
      <c r="N14" s="211"/>
      <c r="O14" s="214"/>
    </row>
    <row r="15" spans="1:17" s="92" customFormat="1" ht="19.95" customHeight="1">
      <c r="A15" s="211">
        <v>3</v>
      </c>
      <c r="B15" s="90"/>
      <c r="C15" s="90"/>
      <c r="D15" s="214"/>
      <c r="E15" s="214"/>
      <c r="F15" s="215"/>
      <c r="G15" s="215"/>
      <c r="H15" s="90"/>
      <c r="I15" s="90"/>
      <c r="J15" s="211"/>
      <c r="K15" s="211"/>
      <c r="L15" s="214"/>
      <c r="M15" s="211"/>
      <c r="N15" s="211"/>
      <c r="O15" s="214"/>
    </row>
    <row r="16" spans="1:17" s="92" customFormat="1" ht="19.95" customHeight="1">
      <c r="A16" s="211">
        <v>4</v>
      </c>
      <c r="B16" s="90"/>
      <c r="C16" s="90"/>
      <c r="D16" s="214"/>
      <c r="E16" s="214"/>
      <c r="F16" s="215"/>
      <c r="G16" s="215"/>
      <c r="H16" s="90"/>
      <c r="I16" s="90"/>
      <c r="J16" s="211"/>
      <c r="K16" s="211"/>
      <c r="L16" s="214"/>
      <c r="M16" s="211"/>
      <c r="N16" s="211"/>
      <c r="O16" s="214"/>
    </row>
    <row r="17" spans="1:15" s="92" customFormat="1" ht="19.95" customHeight="1">
      <c r="A17" s="211">
        <v>5</v>
      </c>
      <c r="B17" s="90"/>
      <c r="C17" s="90"/>
      <c r="D17" s="214"/>
      <c r="E17" s="214"/>
      <c r="F17" s="215"/>
      <c r="G17" s="215"/>
      <c r="H17" s="90"/>
      <c r="I17" s="90"/>
      <c r="J17" s="211"/>
      <c r="K17" s="211"/>
      <c r="L17" s="214"/>
      <c r="M17" s="211"/>
      <c r="N17" s="211"/>
      <c r="O17" s="214"/>
    </row>
    <row r="18" spans="1:15" s="92" customFormat="1" ht="19.95" customHeight="1">
      <c r="A18" s="211">
        <v>6</v>
      </c>
      <c r="B18" s="90"/>
      <c r="C18" s="90"/>
      <c r="D18" s="214"/>
      <c r="E18" s="214"/>
      <c r="F18" s="215"/>
      <c r="G18" s="215"/>
      <c r="H18" s="90"/>
      <c r="I18" s="90"/>
      <c r="J18" s="211"/>
      <c r="K18" s="211"/>
      <c r="L18" s="214"/>
      <c r="M18" s="211"/>
      <c r="N18" s="211"/>
      <c r="O18" s="214"/>
    </row>
    <row r="19" spans="1:15" s="92" customFormat="1" ht="19.95" customHeight="1">
      <c r="A19" s="211">
        <v>7</v>
      </c>
      <c r="B19" s="90"/>
      <c r="C19" s="90"/>
      <c r="D19" s="214"/>
      <c r="E19" s="214"/>
      <c r="F19" s="215"/>
      <c r="G19" s="215"/>
      <c r="H19" s="90"/>
      <c r="I19" s="90"/>
      <c r="J19" s="211"/>
      <c r="K19" s="211"/>
      <c r="L19" s="214"/>
      <c r="M19" s="211"/>
      <c r="N19" s="211"/>
      <c r="O19" s="214"/>
    </row>
    <row r="20" spans="1:15" s="92" customFormat="1" ht="19.95" customHeight="1">
      <c r="A20" s="211">
        <v>8</v>
      </c>
      <c r="B20" s="90"/>
      <c r="C20" s="90"/>
      <c r="D20" s="214"/>
      <c r="E20" s="214"/>
      <c r="F20" s="215"/>
      <c r="G20" s="215"/>
      <c r="H20" s="90"/>
      <c r="I20" s="90"/>
      <c r="J20" s="211"/>
      <c r="K20" s="211"/>
      <c r="L20" s="214"/>
      <c r="M20" s="211"/>
      <c r="N20" s="211"/>
      <c r="O20" s="214"/>
    </row>
    <row r="21" spans="1:15" s="92" customFormat="1" ht="19.95" customHeight="1">
      <c r="A21" s="211">
        <v>9</v>
      </c>
      <c r="B21" s="90"/>
      <c r="C21" s="90"/>
      <c r="D21" s="214"/>
      <c r="E21" s="214"/>
      <c r="F21" s="215"/>
      <c r="G21" s="215"/>
      <c r="H21" s="90"/>
      <c r="I21" s="90"/>
      <c r="J21" s="211"/>
      <c r="K21" s="211"/>
      <c r="L21" s="214"/>
      <c r="M21" s="211"/>
      <c r="N21" s="211"/>
      <c r="O21" s="214"/>
    </row>
    <row r="22" spans="1:15" s="92" customFormat="1" ht="19.95" customHeight="1">
      <c r="A22" s="211">
        <v>10</v>
      </c>
      <c r="B22" s="90"/>
      <c r="C22" s="90"/>
      <c r="D22" s="214"/>
      <c r="E22" s="214"/>
      <c r="F22" s="215"/>
      <c r="G22" s="215"/>
      <c r="H22" s="90"/>
      <c r="I22" s="90"/>
      <c r="J22" s="211"/>
      <c r="K22" s="211"/>
      <c r="L22" s="214"/>
      <c r="M22" s="211"/>
      <c r="N22" s="211"/>
      <c r="O22" s="214"/>
    </row>
    <row r="23" spans="1:15" s="92" customFormat="1" ht="19.95" customHeight="1">
      <c r="A23" s="90" t="s">
        <v>8</v>
      </c>
      <c r="B23" s="90"/>
      <c r="C23" s="90"/>
      <c r="D23" s="214"/>
      <c r="E23" s="214"/>
      <c r="F23" s="215"/>
      <c r="G23" s="215"/>
      <c r="H23" s="90"/>
      <c r="I23" s="90"/>
      <c r="J23" s="211"/>
      <c r="K23" s="211"/>
      <c r="L23" s="214"/>
      <c r="M23" s="211"/>
      <c r="N23" s="211"/>
      <c r="O23" s="214"/>
    </row>
    <row r="24" spans="1:15" s="92" customFormat="1" ht="19.8" customHeight="1">
      <c r="A24" s="84"/>
      <c r="B24" s="84"/>
      <c r="C24" s="84"/>
      <c r="D24" s="85"/>
      <c r="E24" s="85"/>
      <c r="F24" s="85"/>
      <c r="G24" s="85"/>
      <c r="H24" s="85"/>
      <c r="I24" s="84"/>
      <c r="J24" s="84"/>
      <c r="K24" s="84"/>
      <c r="L24" s="84"/>
      <c r="M24" s="84"/>
      <c r="N24" s="84"/>
      <c r="O24" s="84"/>
    </row>
    <row r="25" spans="1:15" s="86" customFormat="1" ht="19.95" customHeight="1">
      <c r="A25" s="208" t="s">
        <v>81</v>
      </c>
      <c r="B25" s="84"/>
      <c r="C25" s="84"/>
      <c r="D25" s="85"/>
      <c r="E25" s="85"/>
      <c r="F25" s="85"/>
      <c r="G25" s="85"/>
      <c r="H25" s="85"/>
      <c r="I25" s="85"/>
      <c r="J25" s="84"/>
      <c r="K25" s="84"/>
      <c r="L25" s="84"/>
    </row>
    <row r="26" spans="1:15" s="88" customFormat="1" ht="33" customHeight="1">
      <c r="A26" s="83"/>
      <c r="B26" s="83" t="s">
        <v>223</v>
      </c>
      <c r="C26" s="105" t="s">
        <v>224</v>
      </c>
      <c r="D26" s="105" t="s">
        <v>414</v>
      </c>
      <c r="E26" s="105" t="s">
        <v>225</v>
      </c>
      <c r="F26" s="216" t="s">
        <v>230</v>
      </c>
      <c r="G26" s="29" t="s">
        <v>231</v>
      </c>
      <c r="H26" s="29" t="s">
        <v>232</v>
      </c>
      <c r="I26" s="29" t="s">
        <v>233</v>
      </c>
      <c r="J26" s="83" t="s">
        <v>415</v>
      </c>
      <c r="K26" s="83" t="s">
        <v>416</v>
      </c>
      <c r="L26" s="87"/>
      <c r="M26" s="87"/>
      <c r="N26" s="87"/>
      <c r="O26" s="87"/>
    </row>
    <row r="27" spans="1:15" s="88" customFormat="1" ht="23.4" customHeight="1">
      <c r="A27" s="209">
        <v>1</v>
      </c>
      <c r="B27" s="83" t="s">
        <v>403</v>
      </c>
      <c r="C27" s="210"/>
      <c r="D27" s="210"/>
      <c r="E27" s="210"/>
      <c r="F27" s="210"/>
      <c r="G27" s="211"/>
      <c r="H27" s="211"/>
      <c r="I27" s="211"/>
      <c r="J27" s="89"/>
      <c r="K27" s="89"/>
      <c r="L27" s="87"/>
      <c r="M27" s="87"/>
      <c r="N27" s="87"/>
      <c r="O27" s="87"/>
    </row>
    <row r="28" spans="1:15" s="91" customFormat="1" ht="19.95" customHeight="1">
      <c r="A28" s="209">
        <v>2</v>
      </c>
      <c r="B28" s="83" t="s">
        <v>417</v>
      </c>
      <c r="C28" s="210"/>
      <c r="D28" s="210"/>
      <c r="E28" s="210"/>
      <c r="F28" s="210"/>
      <c r="G28" s="211"/>
      <c r="H28" s="211"/>
      <c r="I28" s="211"/>
      <c r="J28" s="89"/>
      <c r="K28" s="89"/>
      <c r="L28" s="84"/>
      <c r="M28" s="84"/>
      <c r="N28" s="84"/>
      <c r="O28" s="84"/>
    </row>
    <row r="29" spans="1:15" s="91" customFormat="1" ht="19.95" customHeight="1">
      <c r="A29" s="209">
        <v>3</v>
      </c>
      <c r="B29" s="83" t="s">
        <v>418</v>
      </c>
      <c r="C29" s="210"/>
      <c r="D29" s="210"/>
      <c r="E29" s="210"/>
      <c r="F29" s="210"/>
      <c r="G29" s="211"/>
      <c r="H29" s="211"/>
      <c r="I29" s="211"/>
      <c r="J29" s="89"/>
      <c r="K29" s="89"/>
      <c r="L29" s="84"/>
      <c r="M29" s="84"/>
      <c r="N29" s="84"/>
      <c r="O29" s="84"/>
    </row>
    <row r="30" spans="1:15" s="86" customFormat="1" ht="19.95" customHeight="1">
      <c r="A30" s="209">
        <v>4</v>
      </c>
      <c r="B30" s="83" t="s">
        <v>419</v>
      </c>
      <c r="C30" s="210"/>
      <c r="D30" s="210"/>
      <c r="E30" s="210"/>
      <c r="F30" s="210"/>
      <c r="G30" s="211"/>
      <c r="H30" s="211"/>
      <c r="I30" s="211"/>
      <c r="J30" s="89"/>
      <c r="K30" s="89"/>
      <c r="L30" s="84"/>
    </row>
    <row r="31" spans="1:15" s="92" customFormat="1" ht="19.95" customHeight="1">
      <c r="A31" s="209">
        <v>5</v>
      </c>
      <c r="B31" s="212" t="s">
        <v>222</v>
      </c>
      <c r="C31" s="210"/>
      <c r="D31" s="210"/>
      <c r="E31" s="210"/>
      <c r="F31" s="210"/>
      <c r="G31" s="211"/>
      <c r="H31" s="211"/>
      <c r="I31" s="211"/>
      <c r="J31" s="89"/>
      <c r="K31" s="89"/>
      <c r="L31" s="84"/>
      <c r="M31" s="84"/>
      <c r="N31" s="84"/>
      <c r="O31" s="84"/>
    </row>
    <row r="32" spans="1:15" s="92" customFormat="1" ht="19.95" customHeight="1">
      <c r="A32" s="84"/>
      <c r="B32" s="84"/>
      <c r="C32" s="84"/>
      <c r="D32" s="85"/>
      <c r="E32" s="85"/>
      <c r="F32" s="85"/>
      <c r="G32" s="85"/>
      <c r="H32" s="85"/>
      <c r="I32" s="84"/>
      <c r="J32" s="84"/>
      <c r="K32" s="84"/>
      <c r="L32" s="84"/>
      <c r="M32" s="84"/>
      <c r="N32" s="84"/>
      <c r="O32" s="84"/>
    </row>
    <row r="33" spans="1:15" s="92" customFormat="1" ht="19.95" customHeight="1">
      <c r="A33" s="392" t="s">
        <v>404</v>
      </c>
      <c r="B33" s="392"/>
      <c r="C33" s="84"/>
      <c r="D33" s="85"/>
      <c r="E33" s="85"/>
      <c r="F33" s="85"/>
      <c r="G33" s="85"/>
      <c r="H33" s="85"/>
      <c r="I33" s="84"/>
      <c r="J33" s="84"/>
      <c r="K33" s="84"/>
      <c r="L33" s="84"/>
      <c r="M33" s="84"/>
      <c r="N33" s="84"/>
      <c r="O33" s="84"/>
    </row>
    <row r="34" spans="1:15" s="92" customFormat="1" ht="19.95" customHeight="1">
      <c r="C34" s="84"/>
      <c r="D34" s="85"/>
      <c r="E34" s="85"/>
      <c r="F34" s="85"/>
      <c r="G34" s="85"/>
      <c r="H34" s="85"/>
      <c r="I34" s="84"/>
      <c r="J34" s="84"/>
      <c r="K34" s="84"/>
      <c r="L34" s="84"/>
      <c r="M34" s="84"/>
      <c r="N34" s="84"/>
      <c r="O34" s="84"/>
    </row>
    <row r="35" spans="1:15" s="92" customFormat="1" ht="19.95" customHeight="1">
      <c r="A35" s="6" t="s">
        <v>405</v>
      </c>
      <c r="B35" s="84"/>
      <c r="C35" s="84"/>
      <c r="D35" s="85"/>
      <c r="E35" s="85"/>
      <c r="F35" s="85"/>
      <c r="G35" s="85"/>
      <c r="H35" s="85"/>
      <c r="I35" s="84"/>
      <c r="J35" s="84"/>
      <c r="K35" s="84"/>
      <c r="L35" s="84"/>
      <c r="M35" s="84"/>
      <c r="N35" s="84"/>
      <c r="O35" s="84"/>
    </row>
    <row r="36" spans="1:15" s="92" customFormat="1" ht="19.95" customHeight="1">
      <c r="B36" s="84"/>
      <c r="C36" s="84"/>
      <c r="D36" s="85"/>
      <c r="E36" s="85"/>
      <c r="F36" s="85"/>
      <c r="G36" s="85"/>
      <c r="H36" s="85"/>
      <c r="I36" s="84"/>
      <c r="J36" s="84"/>
      <c r="K36" s="84"/>
      <c r="L36" s="84"/>
      <c r="M36" s="84"/>
      <c r="N36" s="84"/>
      <c r="O36" s="84"/>
    </row>
    <row r="37" spans="1:15" ht="18.600000000000001" customHeight="1">
      <c r="A37" s="217" t="s">
        <v>234</v>
      </c>
      <c r="B37" s="60"/>
      <c r="C37" s="60"/>
      <c r="D37" s="393"/>
      <c r="E37" s="393"/>
      <c r="F37" s="393"/>
      <c r="G37" s="393"/>
      <c r="H37" s="393"/>
      <c r="I37" s="393"/>
      <c r="J37" s="393"/>
      <c r="K37" s="393"/>
      <c r="L37" s="393"/>
      <c r="M37" s="393"/>
      <c r="N37" s="46"/>
      <c r="O37" s="46"/>
    </row>
    <row r="38" spans="1:15" ht="18.600000000000001" customHeight="1">
      <c r="A38" s="218" t="s">
        <v>235</v>
      </c>
      <c r="B38" s="219"/>
      <c r="C38" s="219"/>
      <c r="D38" s="219"/>
      <c r="E38" s="219"/>
      <c r="F38" s="219"/>
      <c r="G38" s="220"/>
      <c r="H38" s="220"/>
      <c r="I38" s="219"/>
      <c r="J38" s="219"/>
      <c r="K38" s="219"/>
      <c r="L38" s="219"/>
      <c r="M38" s="219"/>
      <c r="N38" s="219"/>
      <c r="O38" s="219"/>
    </row>
    <row r="39" spans="1:15" ht="18.600000000000001" customHeight="1">
      <c r="A39" s="221" t="s">
        <v>236</v>
      </c>
      <c r="B39" s="219"/>
      <c r="C39" s="219"/>
      <c r="D39" s="219"/>
      <c r="E39" s="219"/>
      <c r="F39" s="219"/>
      <c r="G39" s="219"/>
      <c r="H39" s="219"/>
      <c r="I39" s="219"/>
      <c r="J39" s="219"/>
      <c r="K39" s="219"/>
      <c r="L39" s="219"/>
      <c r="M39" s="219"/>
      <c r="N39" s="219"/>
      <c r="O39" s="219"/>
    </row>
    <row r="40" spans="1:15" ht="63.6" customHeight="1">
      <c r="A40" s="388" t="s">
        <v>237</v>
      </c>
      <c r="B40" s="388"/>
      <c r="C40" s="388"/>
      <c r="D40" s="388"/>
      <c r="E40" s="388"/>
      <c r="F40" s="388"/>
      <c r="G40" s="388"/>
      <c r="H40" s="388"/>
      <c r="I40" s="388"/>
      <c r="J40" s="388"/>
      <c r="K40" s="388"/>
      <c r="L40" s="388"/>
      <c r="M40" s="388"/>
      <c r="N40" s="388"/>
      <c r="O40" s="388"/>
    </row>
    <row r="41" spans="1:15" ht="18.600000000000001" customHeight="1">
      <c r="A41" s="222" t="s">
        <v>238</v>
      </c>
      <c r="B41" s="223"/>
      <c r="C41" s="223"/>
      <c r="D41" s="223"/>
      <c r="E41" s="223"/>
      <c r="F41" s="223"/>
      <c r="G41" s="223"/>
      <c r="H41" s="223"/>
      <c r="I41" s="223"/>
      <c r="J41" s="223"/>
      <c r="K41" s="223"/>
      <c r="L41" s="223"/>
      <c r="M41" s="223"/>
      <c r="N41" s="223"/>
      <c r="O41" s="223"/>
    </row>
    <row r="42" spans="1:15" ht="19.95" customHeight="1">
      <c r="A42" s="227" t="s">
        <v>245</v>
      </c>
    </row>
    <row r="43" spans="1:15" ht="19.95" customHeight="1">
      <c r="A43" s="222" t="s">
        <v>239</v>
      </c>
    </row>
    <row r="44" spans="1:15" ht="19.95" customHeight="1">
      <c r="A44" s="222" t="s">
        <v>240</v>
      </c>
    </row>
    <row r="45" spans="1:15" ht="19.95" customHeight="1">
      <c r="A45" s="222" t="s">
        <v>241</v>
      </c>
    </row>
    <row r="46" spans="1:15" ht="19.95" customHeight="1">
      <c r="A46" s="226" t="s">
        <v>243</v>
      </c>
    </row>
    <row r="47" spans="1:15" ht="19.95" customHeight="1">
      <c r="A47" s="226" t="s">
        <v>244</v>
      </c>
    </row>
    <row r="48" spans="1:15" ht="19.95" customHeight="1">
      <c r="A48" s="222" t="s">
        <v>242</v>
      </c>
    </row>
    <row r="49" spans="1:1" ht="19.95" customHeight="1">
      <c r="A49" s="222" t="s">
        <v>246</v>
      </c>
    </row>
  </sheetData>
  <mergeCells count="14">
    <mergeCell ref="A40:O40"/>
    <mergeCell ref="A1:O1"/>
    <mergeCell ref="A2:O2"/>
    <mergeCell ref="O11:O12"/>
    <mergeCell ref="H11:H12"/>
    <mergeCell ref="I11:I12"/>
    <mergeCell ref="J11:J12"/>
    <mergeCell ref="A33:B33"/>
    <mergeCell ref="D37:M37"/>
    <mergeCell ref="L11:L12"/>
    <mergeCell ref="K11:K12"/>
    <mergeCell ref="N11:N12"/>
    <mergeCell ref="M11:M12"/>
    <mergeCell ref="B11:G11"/>
  </mergeCells>
  <phoneticPr fontId="14" type="noConversion"/>
  <dataValidations count="1">
    <dataValidation type="list" allowBlank="1" showInputMessage="1" showErrorMessage="1" sqref="J13:K18 N13:N18 M13:M23 G27:I30">
      <formula1>"是,否"</formula1>
    </dataValidation>
  </dataValidations>
  <hyperlinks>
    <hyperlink ref="O3" location="底稿目录!A1" display="底稿目录!A1"/>
  </hyperlinks>
  <pageMargins left="0.70866141732283472" right="0.70866141732283472" top="0.74803149606299213" bottom="0.74803149606299213" header="0.31496062992125984" footer="0.31496062992125984"/>
  <pageSetup paperSize="9" scale="72"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9"/>
  <sheetViews>
    <sheetView view="pageBreakPreview" zoomScaleNormal="100" zoomScaleSheetLayoutView="100" workbookViewId="0">
      <selection sqref="A1:S1"/>
    </sheetView>
  </sheetViews>
  <sheetFormatPr defaultColWidth="8.6640625" defaultRowHeight="19.95" customHeight="1"/>
  <cols>
    <col min="1" max="1" width="12.33203125" style="61" customWidth="1"/>
    <col min="2" max="2" width="11.109375" style="61" customWidth="1"/>
    <col min="3" max="3" width="14.77734375" style="61" customWidth="1"/>
    <col min="4" max="4" width="8.77734375" style="61" bestFit="1" customWidth="1"/>
    <col min="5" max="6" width="9.77734375" style="61" bestFit="1" customWidth="1"/>
    <col min="7" max="7" width="8.77734375" style="61" bestFit="1" customWidth="1"/>
    <col min="8" max="8" width="4.77734375" style="61" bestFit="1" customWidth="1"/>
    <col min="9" max="9" width="10.77734375" style="61" bestFit="1" customWidth="1"/>
    <col min="10" max="10" width="8.77734375" style="61" customWidth="1"/>
    <col min="11" max="11" width="6.109375" style="61" customWidth="1"/>
    <col min="12" max="12" width="8.77734375" style="61" bestFit="1" customWidth="1"/>
    <col min="13" max="13" width="9.77734375" style="61" bestFit="1" customWidth="1"/>
    <col min="14" max="14" width="8.77734375" style="61" bestFit="1" customWidth="1"/>
    <col min="15" max="15" width="9.77734375" style="61" bestFit="1" customWidth="1"/>
    <col min="16" max="16" width="8.77734375" style="61" customWidth="1"/>
    <col min="17" max="17" width="8.77734375" style="61" bestFit="1" customWidth="1"/>
    <col min="18" max="18" width="7" style="61" bestFit="1" customWidth="1"/>
    <col min="19" max="19" width="12.77734375" style="61" bestFit="1" customWidth="1"/>
    <col min="20" max="21" width="8.6640625" style="61"/>
    <col min="22" max="22" width="12.77734375" style="61" bestFit="1" customWidth="1"/>
    <col min="23" max="16384" width="8.6640625" style="61"/>
  </cols>
  <sheetData>
    <row r="1" spans="1:22" ht="19.95" customHeight="1">
      <c r="A1" s="360" t="s">
        <v>0</v>
      </c>
      <c r="B1" s="360"/>
      <c r="C1" s="360"/>
      <c r="D1" s="360"/>
      <c r="E1" s="360"/>
      <c r="F1" s="360"/>
      <c r="G1" s="360"/>
      <c r="H1" s="360"/>
      <c r="I1" s="360"/>
      <c r="J1" s="360"/>
      <c r="K1" s="360"/>
      <c r="L1" s="360"/>
      <c r="M1" s="360"/>
      <c r="N1" s="360"/>
      <c r="O1" s="360"/>
      <c r="P1" s="360"/>
      <c r="Q1" s="360"/>
      <c r="R1" s="360"/>
      <c r="S1" s="360"/>
    </row>
    <row r="2" spans="1:22" ht="19.95" customHeight="1">
      <c r="A2" s="361" t="s">
        <v>44</v>
      </c>
      <c r="B2" s="361"/>
      <c r="C2" s="361"/>
      <c r="D2" s="361"/>
      <c r="E2" s="361"/>
      <c r="F2" s="361"/>
      <c r="G2" s="361"/>
      <c r="H2" s="361"/>
      <c r="I2" s="361"/>
      <c r="J2" s="361"/>
      <c r="K2" s="361"/>
      <c r="L2" s="361"/>
      <c r="M2" s="361"/>
      <c r="N2" s="361"/>
      <c r="O2" s="361"/>
      <c r="P2" s="361"/>
      <c r="Q2" s="361"/>
      <c r="R2" s="361"/>
      <c r="S2" s="361"/>
    </row>
    <row r="3" spans="1:22" ht="19.95" customHeight="1">
      <c r="A3" s="2" t="str">
        <f>底稿目录!A2</f>
        <v>被审计单位：</v>
      </c>
      <c r="B3" s="3"/>
      <c r="C3" s="13"/>
      <c r="D3" s="13"/>
      <c r="E3" s="61" t="str">
        <f>底稿目录!A4</f>
        <v>编制人：</v>
      </c>
      <c r="G3" s="44"/>
      <c r="I3" s="61" t="str">
        <f>底稿目录!A5</f>
        <v>编制日期：</v>
      </c>
      <c r="R3" s="304" t="s">
        <v>440</v>
      </c>
      <c r="S3" s="303" t="str">
        <f>底稿目录!F8</f>
        <v>E1-30</v>
      </c>
    </row>
    <row r="4" spans="1:22" ht="19.95" customHeight="1">
      <c r="A4" s="2" t="str">
        <f>底稿目录!A3</f>
        <v>截止日：202X年12月31日</v>
      </c>
      <c r="B4" s="3"/>
      <c r="C4" s="13"/>
      <c r="D4" s="13"/>
      <c r="E4" s="61" t="str">
        <f>底稿目录!A6</f>
        <v>复核人：</v>
      </c>
      <c r="G4" s="44"/>
      <c r="I4" s="61" t="str">
        <f>底稿目录!A7</f>
        <v>复核日期：</v>
      </c>
      <c r="R4" s="304" t="s">
        <v>441</v>
      </c>
    </row>
    <row r="5" spans="1:22" ht="19.95" customHeight="1">
      <c r="A5" s="6" t="s">
        <v>1</v>
      </c>
      <c r="C5" s="7"/>
      <c r="D5" s="7"/>
      <c r="E5" s="7"/>
      <c r="F5" s="3"/>
      <c r="G5" s="7"/>
    </row>
    <row r="6" spans="1:22" ht="19.95" customHeight="1">
      <c r="A6" s="225" t="s">
        <v>423</v>
      </c>
      <c r="B6" s="103"/>
      <c r="C6" s="103"/>
      <c r="D6" s="103"/>
      <c r="E6" s="103"/>
      <c r="F6" s="3"/>
      <c r="G6" s="103"/>
    </row>
    <row r="7" spans="1:22" ht="19.95" customHeight="1">
      <c r="A7" s="225" t="s">
        <v>424</v>
      </c>
      <c r="B7" s="225"/>
      <c r="C7" s="225"/>
      <c r="D7" s="225"/>
      <c r="E7" s="225"/>
      <c r="F7" s="3"/>
      <c r="G7" s="225"/>
    </row>
    <row r="8" spans="1:22" ht="19.95" customHeight="1">
      <c r="A8" s="225" t="s">
        <v>425</v>
      </c>
      <c r="B8" s="225"/>
      <c r="C8" s="225"/>
      <c r="D8" s="225"/>
      <c r="E8" s="225"/>
      <c r="F8" s="3"/>
      <c r="G8" s="225"/>
    </row>
    <row r="9" spans="1:22" ht="19.95" customHeight="1">
      <c r="A9" s="6" t="s">
        <v>2</v>
      </c>
      <c r="C9" s="3"/>
      <c r="D9" s="3"/>
      <c r="E9" s="3"/>
      <c r="F9" s="3"/>
      <c r="G9" s="3"/>
    </row>
    <row r="10" spans="1:22" ht="19.95" customHeight="1">
      <c r="A10" s="3" t="s">
        <v>51</v>
      </c>
      <c r="B10" s="3"/>
      <c r="C10" s="3"/>
      <c r="D10" s="3"/>
      <c r="E10" s="3"/>
      <c r="F10" s="3"/>
      <c r="G10" s="3"/>
    </row>
    <row r="11" spans="1:22" ht="19.95" customHeight="1">
      <c r="A11" s="370" t="s">
        <v>63</v>
      </c>
      <c r="B11" s="367" t="s">
        <v>64</v>
      </c>
      <c r="C11" s="368"/>
      <c r="D11" s="368"/>
      <c r="E11" s="368"/>
      <c r="F11" s="368"/>
      <c r="G11" s="368"/>
      <c r="H11" s="369"/>
      <c r="I11" s="399" t="s">
        <v>65</v>
      </c>
      <c r="J11" s="400"/>
      <c r="K11" s="400"/>
      <c r="L11" s="400"/>
      <c r="M11" s="399" t="s">
        <v>66</v>
      </c>
      <c r="N11" s="400"/>
      <c r="O11" s="400"/>
      <c r="P11" s="400"/>
      <c r="Q11" s="400"/>
      <c r="R11" s="402"/>
      <c r="S11" s="69"/>
    </row>
    <row r="12" spans="1:22" ht="19.95" customHeight="1">
      <c r="A12" s="398"/>
      <c r="B12" s="367" t="s">
        <v>67</v>
      </c>
      <c r="C12" s="368"/>
      <c r="D12" s="369"/>
      <c r="E12" s="367" t="s">
        <v>67</v>
      </c>
      <c r="F12" s="368"/>
      <c r="G12" s="369"/>
      <c r="H12" s="370" t="s">
        <v>38</v>
      </c>
      <c r="I12" s="367" t="s">
        <v>67</v>
      </c>
      <c r="J12" s="368"/>
      <c r="K12" s="368"/>
      <c r="L12" s="396" t="s">
        <v>68</v>
      </c>
      <c r="M12" s="367" t="s">
        <v>67</v>
      </c>
      <c r="N12" s="368"/>
      <c r="O12" s="367" t="s">
        <v>67</v>
      </c>
      <c r="P12" s="368"/>
      <c r="Q12" s="396" t="s">
        <v>68</v>
      </c>
      <c r="R12" s="370" t="s">
        <v>38</v>
      </c>
      <c r="S12" s="370" t="s">
        <v>69</v>
      </c>
    </row>
    <row r="13" spans="1:22" ht="19.95" customHeight="1">
      <c r="A13" s="398"/>
      <c r="B13" s="367" t="s">
        <v>70</v>
      </c>
      <c r="C13" s="368"/>
      <c r="D13" s="70"/>
      <c r="E13" s="367" t="s">
        <v>70</v>
      </c>
      <c r="F13" s="368"/>
      <c r="G13" s="70"/>
      <c r="H13" s="398"/>
      <c r="I13" s="394" t="s">
        <v>71</v>
      </c>
      <c r="J13" s="394" t="s">
        <v>72</v>
      </c>
      <c r="K13" s="394" t="s">
        <v>38</v>
      </c>
      <c r="L13" s="397"/>
      <c r="M13" s="394" t="s">
        <v>71</v>
      </c>
      <c r="N13" s="394" t="s">
        <v>72</v>
      </c>
      <c r="O13" s="394" t="s">
        <v>71</v>
      </c>
      <c r="P13" s="394" t="s">
        <v>72</v>
      </c>
      <c r="Q13" s="397"/>
      <c r="R13" s="398"/>
      <c r="S13" s="398"/>
    </row>
    <row r="14" spans="1:22" s="62" customFormat="1" ht="19.95" customHeight="1">
      <c r="A14" s="371"/>
      <c r="B14" s="69" t="s">
        <v>71</v>
      </c>
      <c r="C14" s="69" t="s">
        <v>73</v>
      </c>
      <c r="D14" s="69" t="s">
        <v>68</v>
      </c>
      <c r="E14" s="69" t="s">
        <v>71</v>
      </c>
      <c r="F14" s="69" t="s">
        <v>73</v>
      </c>
      <c r="G14" s="69" t="s">
        <v>68</v>
      </c>
      <c r="H14" s="371"/>
      <c r="I14" s="395"/>
      <c r="J14" s="395"/>
      <c r="K14" s="395"/>
      <c r="L14" s="401"/>
      <c r="M14" s="395"/>
      <c r="N14" s="395"/>
      <c r="O14" s="395"/>
      <c r="P14" s="395"/>
      <c r="Q14" s="397"/>
      <c r="R14" s="371"/>
      <c r="S14" s="371"/>
      <c r="V14" s="71"/>
    </row>
    <row r="15" spans="1:22" ht="19.95" customHeight="1">
      <c r="A15" s="333">
        <v>45658</v>
      </c>
      <c r="B15" s="106"/>
      <c r="C15" s="106"/>
      <c r="D15" s="36">
        <f t="shared" ref="D15:D78" si="0">SUM(B15:C15)*$D$13/360</f>
        <v>0</v>
      </c>
      <c r="E15" s="106"/>
      <c r="F15" s="106"/>
      <c r="G15" s="36">
        <f t="shared" ref="G15:G78" si="1">SUM(E15:F15)*$G$13/360</f>
        <v>0</v>
      </c>
      <c r="H15" s="72"/>
      <c r="I15" s="106"/>
      <c r="J15" s="73"/>
      <c r="K15" s="72"/>
      <c r="L15" s="36">
        <f>I15*J15/360</f>
        <v>0</v>
      </c>
      <c r="M15" s="106"/>
      <c r="N15" s="73"/>
      <c r="O15" s="106"/>
      <c r="P15" s="73"/>
      <c r="Q15" s="36">
        <f t="shared" ref="Q15:Q78" si="2">(M15*N15+O15*P15)/360</f>
        <v>0</v>
      </c>
      <c r="R15" s="72"/>
      <c r="S15" s="38">
        <f t="shared" ref="S15:S78" si="3">D15+G15+L15+Q15</f>
        <v>0</v>
      </c>
      <c r="V15" s="74"/>
    </row>
    <row r="16" spans="1:22" ht="19.95" customHeight="1">
      <c r="A16" s="333">
        <v>45659</v>
      </c>
      <c r="B16" s="106"/>
      <c r="C16" s="106"/>
      <c r="D16" s="36">
        <f t="shared" si="0"/>
        <v>0</v>
      </c>
      <c r="E16" s="106"/>
      <c r="F16" s="106"/>
      <c r="G16" s="36">
        <f t="shared" si="1"/>
        <v>0</v>
      </c>
      <c r="H16" s="75"/>
      <c r="I16" s="106"/>
      <c r="J16" s="76"/>
      <c r="K16" s="75"/>
      <c r="L16" s="36">
        <f t="shared" ref="L16:L79" si="4">I16*J16/360</f>
        <v>0</v>
      </c>
      <c r="M16" s="106"/>
      <c r="N16" s="76"/>
      <c r="O16" s="106"/>
      <c r="P16" s="76"/>
      <c r="Q16" s="36">
        <f t="shared" si="2"/>
        <v>0</v>
      </c>
      <c r="R16" s="75"/>
      <c r="S16" s="38">
        <f t="shared" si="3"/>
        <v>0</v>
      </c>
    </row>
    <row r="17" spans="1:19" ht="19.95" customHeight="1">
      <c r="A17" s="333">
        <v>45660</v>
      </c>
      <c r="B17" s="106"/>
      <c r="C17" s="106"/>
      <c r="D17" s="36">
        <f t="shared" si="0"/>
        <v>0</v>
      </c>
      <c r="E17" s="106"/>
      <c r="F17" s="106"/>
      <c r="G17" s="36">
        <f t="shared" si="1"/>
        <v>0</v>
      </c>
      <c r="H17" s="75"/>
      <c r="I17" s="106"/>
      <c r="J17" s="76"/>
      <c r="K17" s="75"/>
      <c r="L17" s="36">
        <f>I17*J17/360</f>
        <v>0</v>
      </c>
      <c r="M17" s="106"/>
      <c r="N17" s="76"/>
      <c r="O17" s="106"/>
      <c r="P17" s="76"/>
      <c r="Q17" s="36">
        <f t="shared" si="2"/>
        <v>0</v>
      </c>
      <c r="R17" s="75"/>
      <c r="S17" s="38">
        <f t="shared" si="3"/>
        <v>0</v>
      </c>
    </row>
    <row r="18" spans="1:19" ht="19.95" customHeight="1">
      <c r="A18" s="333">
        <v>45661</v>
      </c>
      <c r="B18" s="106"/>
      <c r="C18" s="106"/>
      <c r="D18" s="36">
        <f t="shared" si="0"/>
        <v>0</v>
      </c>
      <c r="E18" s="106"/>
      <c r="F18" s="106"/>
      <c r="G18" s="36">
        <f t="shared" si="1"/>
        <v>0</v>
      </c>
      <c r="H18" s="75"/>
      <c r="I18" s="106"/>
      <c r="J18" s="76"/>
      <c r="K18" s="75"/>
      <c r="L18" s="36">
        <f t="shared" si="4"/>
        <v>0</v>
      </c>
      <c r="M18" s="106"/>
      <c r="N18" s="76"/>
      <c r="O18" s="106"/>
      <c r="P18" s="76"/>
      <c r="Q18" s="36">
        <f t="shared" si="2"/>
        <v>0</v>
      </c>
      <c r="R18" s="75"/>
      <c r="S18" s="38">
        <f t="shared" si="3"/>
        <v>0</v>
      </c>
    </row>
    <row r="19" spans="1:19" ht="19.95" customHeight="1">
      <c r="A19" s="333">
        <v>45662</v>
      </c>
      <c r="B19" s="106"/>
      <c r="C19" s="106"/>
      <c r="D19" s="36">
        <f t="shared" si="0"/>
        <v>0</v>
      </c>
      <c r="E19" s="106"/>
      <c r="F19" s="106"/>
      <c r="G19" s="36">
        <f t="shared" si="1"/>
        <v>0</v>
      </c>
      <c r="H19" s="75"/>
      <c r="I19" s="106"/>
      <c r="J19" s="73"/>
      <c r="K19" s="75"/>
      <c r="L19" s="36">
        <f>I19*J19/360</f>
        <v>0</v>
      </c>
      <c r="M19" s="106"/>
      <c r="N19" s="73"/>
      <c r="O19" s="106"/>
      <c r="P19" s="73"/>
      <c r="Q19" s="36">
        <f t="shared" si="2"/>
        <v>0</v>
      </c>
      <c r="R19" s="75"/>
      <c r="S19" s="38">
        <f t="shared" si="3"/>
        <v>0</v>
      </c>
    </row>
    <row r="20" spans="1:19" ht="19.95" customHeight="1">
      <c r="A20" s="333">
        <v>45663</v>
      </c>
      <c r="B20" s="106"/>
      <c r="C20" s="106"/>
      <c r="D20" s="36">
        <f t="shared" si="0"/>
        <v>0</v>
      </c>
      <c r="E20" s="106"/>
      <c r="F20" s="106"/>
      <c r="G20" s="36">
        <f t="shared" si="1"/>
        <v>0</v>
      </c>
      <c r="H20" s="75"/>
      <c r="I20" s="106"/>
      <c r="J20" s="73"/>
      <c r="K20" s="75"/>
      <c r="L20" s="36">
        <f t="shared" si="4"/>
        <v>0</v>
      </c>
      <c r="M20" s="106"/>
      <c r="N20" s="73"/>
      <c r="O20" s="106"/>
      <c r="P20" s="73"/>
      <c r="Q20" s="36">
        <f t="shared" si="2"/>
        <v>0</v>
      </c>
      <c r="R20" s="75"/>
      <c r="S20" s="38">
        <f t="shared" si="3"/>
        <v>0</v>
      </c>
    </row>
    <row r="21" spans="1:19" ht="19.95" customHeight="1">
      <c r="A21" s="333">
        <v>45664</v>
      </c>
      <c r="B21" s="106"/>
      <c r="C21" s="106"/>
      <c r="D21" s="36">
        <f t="shared" si="0"/>
        <v>0</v>
      </c>
      <c r="E21" s="106"/>
      <c r="F21" s="106"/>
      <c r="G21" s="36">
        <f t="shared" si="1"/>
        <v>0</v>
      </c>
      <c r="H21" s="75"/>
      <c r="I21" s="106"/>
      <c r="J21" s="73"/>
      <c r="K21" s="75"/>
      <c r="L21" s="36">
        <f t="shared" si="4"/>
        <v>0</v>
      </c>
      <c r="M21" s="106"/>
      <c r="N21" s="73"/>
      <c r="O21" s="106"/>
      <c r="P21" s="73"/>
      <c r="Q21" s="36">
        <f t="shared" si="2"/>
        <v>0</v>
      </c>
      <c r="R21" s="75"/>
      <c r="S21" s="38">
        <f t="shared" si="3"/>
        <v>0</v>
      </c>
    </row>
    <row r="22" spans="1:19" ht="19.95" customHeight="1">
      <c r="A22" s="333">
        <v>45665</v>
      </c>
      <c r="B22" s="106"/>
      <c r="C22" s="106"/>
      <c r="D22" s="36">
        <f t="shared" si="0"/>
        <v>0</v>
      </c>
      <c r="E22" s="106"/>
      <c r="F22" s="106"/>
      <c r="G22" s="36">
        <f t="shared" si="1"/>
        <v>0</v>
      </c>
      <c r="H22" s="75"/>
      <c r="I22" s="106"/>
      <c r="J22" s="73"/>
      <c r="K22" s="75"/>
      <c r="L22" s="36">
        <f t="shared" si="4"/>
        <v>0</v>
      </c>
      <c r="M22" s="106"/>
      <c r="N22" s="73"/>
      <c r="O22" s="106"/>
      <c r="P22" s="73"/>
      <c r="Q22" s="36">
        <f t="shared" si="2"/>
        <v>0</v>
      </c>
      <c r="R22" s="75"/>
      <c r="S22" s="38">
        <f t="shared" si="3"/>
        <v>0</v>
      </c>
    </row>
    <row r="23" spans="1:19" ht="19.95" customHeight="1">
      <c r="A23" s="333">
        <v>45666</v>
      </c>
      <c r="B23" s="106"/>
      <c r="C23" s="106"/>
      <c r="D23" s="36">
        <f t="shared" si="0"/>
        <v>0</v>
      </c>
      <c r="E23" s="106"/>
      <c r="F23" s="106"/>
      <c r="G23" s="36">
        <f t="shared" si="1"/>
        <v>0</v>
      </c>
      <c r="H23" s="75"/>
      <c r="I23" s="106"/>
      <c r="J23" s="73"/>
      <c r="K23" s="75"/>
      <c r="L23" s="36">
        <f t="shared" si="4"/>
        <v>0</v>
      </c>
      <c r="M23" s="106"/>
      <c r="N23" s="73"/>
      <c r="O23" s="106"/>
      <c r="P23" s="73"/>
      <c r="Q23" s="36">
        <f t="shared" si="2"/>
        <v>0</v>
      </c>
      <c r="R23" s="75"/>
      <c r="S23" s="38">
        <f t="shared" si="3"/>
        <v>0</v>
      </c>
    </row>
    <row r="24" spans="1:19" ht="19.95" customHeight="1">
      <c r="A24" s="333">
        <v>45667</v>
      </c>
      <c r="B24" s="106"/>
      <c r="C24" s="106"/>
      <c r="D24" s="36">
        <f t="shared" si="0"/>
        <v>0</v>
      </c>
      <c r="E24" s="106"/>
      <c r="F24" s="106"/>
      <c r="G24" s="36">
        <f t="shared" si="1"/>
        <v>0</v>
      </c>
      <c r="H24" s="75"/>
      <c r="I24" s="106"/>
      <c r="J24" s="73"/>
      <c r="K24" s="75"/>
      <c r="L24" s="36">
        <f t="shared" si="4"/>
        <v>0</v>
      </c>
      <c r="M24" s="106"/>
      <c r="N24" s="73"/>
      <c r="O24" s="106"/>
      <c r="P24" s="73"/>
      <c r="Q24" s="36">
        <f t="shared" si="2"/>
        <v>0</v>
      </c>
      <c r="R24" s="75"/>
      <c r="S24" s="38">
        <f t="shared" si="3"/>
        <v>0</v>
      </c>
    </row>
    <row r="25" spans="1:19" ht="19.95" customHeight="1">
      <c r="A25" s="333">
        <v>45668</v>
      </c>
      <c r="B25" s="106"/>
      <c r="C25" s="106"/>
      <c r="D25" s="36">
        <f t="shared" si="0"/>
        <v>0</v>
      </c>
      <c r="E25" s="106"/>
      <c r="F25" s="106"/>
      <c r="G25" s="36">
        <f t="shared" si="1"/>
        <v>0</v>
      </c>
      <c r="H25" s="75"/>
      <c r="I25" s="106"/>
      <c r="J25" s="73"/>
      <c r="K25" s="75"/>
      <c r="L25" s="36">
        <f t="shared" si="4"/>
        <v>0</v>
      </c>
      <c r="M25" s="106"/>
      <c r="N25" s="73"/>
      <c r="O25" s="106"/>
      <c r="P25" s="73"/>
      <c r="Q25" s="36">
        <f t="shared" si="2"/>
        <v>0</v>
      </c>
      <c r="R25" s="75"/>
      <c r="S25" s="38">
        <f t="shared" si="3"/>
        <v>0</v>
      </c>
    </row>
    <row r="26" spans="1:19" ht="19.95" customHeight="1">
      <c r="A26" s="333">
        <v>45669</v>
      </c>
      <c r="B26" s="106"/>
      <c r="C26" s="106"/>
      <c r="D26" s="36">
        <f t="shared" si="0"/>
        <v>0</v>
      </c>
      <c r="E26" s="106"/>
      <c r="F26" s="106"/>
      <c r="G26" s="36">
        <f t="shared" si="1"/>
        <v>0</v>
      </c>
      <c r="H26" s="75"/>
      <c r="I26" s="106"/>
      <c r="J26" s="73"/>
      <c r="K26" s="75"/>
      <c r="L26" s="36">
        <f t="shared" si="4"/>
        <v>0</v>
      </c>
      <c r="M26" s="106"/>
      <c r="N26" s="73"/>
      <c r="O26" s="106"/>
      <c r="P26" s="73"/>
      <c r="Q26" s="36">
        <f t="shared" si="2"/>
        <v>0</v>
      </c>
      <c r="R26" s="75"/>
      <c r="S26" s="38">
        <f t="shared" si="3"/>
        <v>0</v>
      </c>
    </row>
    <row r="27" spans="1:19" ht="19.95" customHeight="1">
      <c r="A27" s="333">
        <v>45670</v>
      </c>
      <c r="B27" s="106"/>
      <c r="C27" s="106"/>
      <c r="D27" s="36">
        <f t="shared" si="0"/>
        <v>0</v>
      </c>
      <c r="E27" s="106"/>
      <c r="F27" s="106"/>
      <c r="G27" s="36">
        <f t="shared" si="1"/>
        <v>0</v>
      </c>
      <c r="H27" s="75"/>
      <c r="I27" s="106"/>
      <c r="J27" s="73"/>
      <c r="K27" s="75"/>
      <c r="L27" s="36">
        <f t="shared" si="4"/>
        <v>0</v>
      </c>
      <c r="M27" s="106"/>
      <c r="N27" s="73"/>
      <c r="O27" s="106"/>
      <c r="P27" s="73"/>
      <c r="Q27" s="36">
        <f t="shared" si="2"/>
        <v>0</v>
      </c>
      <c r="R27" s="75"/>
      <c r="S27" s="38">
        <f t="shared" si="3"/>
        <v>0</v>
      </c>
    </row>
    <row r="28" spans="1:19" ht="19.95" customHeight="1">
      <c r="A28" s="333">
        <v>45671</v>
      </c>
      <c r="B28" s="106"/>
      <c r="C28" s="106"/>
      <c r="D28" s="36">
        <f t="shared" si="0"/>
        <v>0</v>
      </c>
      <c r="E28" s="106"/>
      <c r="F28" s="106"/>
      <c r="G28" s="36">
        <f t="shared" si="1"/>
        <v>0</v>
      </c>
      <c r="H28" s="75"/>
      <c r="I28" s="106"/>
      <c r="J28" s="73"/>
      <c r="K28" s="75"/>
      <c r="L28" s="36">
        <f t="shared" si="4"/>
        <v>0</v>
      </c>
      <c r="M28" s="106"/>
      <c r="N28" s="73"/>
      <c r="O28" s="106"/>
      <c r="P28" s="73"/>
      <c r="Q28" s="36">
        <f t="shared" si="2"/>
        <v>0</v>
      </c>
      <c r="R28" s="75"/>
      <c r="S28" s="38">
        <f t="shared" si="3"/>
        <v>0</v>
      </c>
    </row>
    <row r="29" spans="1:19" ht="19.95" customHeight="1">
      <c r="A29" s="333">
        <v>45672</v>
      </c>
      <c r="B29" s="106"/>
      <c r="C29" s="106"/>
      <c r="D29" s="36">
        <f t="shared" si="0"/>
        <v>0</v>
      </c>
      <c r="E29" s="106"/>
      <c r="F29" s="106"/>
      <c r="G29" s="36">
        <f t="shared" si="1"/>
        <v>0</v>
      </c>
      <c r="H29" s="75"/>
      <c r="I29" s="106"/>
      <c r="J29" s="73"/>
      <c r="K29" s="75"/>
      <c r="L29" s="36">
        <f t="shared" si="4"/>
        <v>0</v>
      </c>
      <c r="M29" s="106"/>
      <c r="N29" s="73"/>
      <c r="O29" s="106"/>
      <c r="P29" s="73"/>
      <c r="Q29" s="36">
        <f t="shared" si="2"/>
        <v>0</v>
      </c>
      <c r="R29" s="75"/>
      <c r="S29" s="38">
        <f t="shared" si="3"/>
        <v>0</v>
      </c>
    </row>
    <row r="30" spans="1:19" ht="19.95" customHeight="1">
      <c r="A30" s="333">
        <v>45673</v>
      </c>
      <c r="B30" s="106"/>
      <c r="C30" s="106"/>
      <c r="D30" s="36">
        <f t="shared" si="0"/>
        <v>0</v>
      </c>
      <c r="E30" s="106"/>
      <c r="F30" s="106"/>
      <c r="G30" s="36">
        <f t="shared" si="1"/>
        <v>0</v>
      </c>
      <c r="H30" s="75"/>
      <c r="I30" s="106"/>
      <c r="J30" s="73"/>
      <c r="K30" s="75"/>
      <c r="L30" s="36">
        <f t="shared" si="4"/>
        <v>0</v>
      </c>
      <c r="M30" s="106"/>
      <c r="N30" s="73"/>
      <c r="O30" s="106"/>
      <c r="P30" s="73"/>
      <c r="Q30" s="36">
        <f t="shared" si="2"/>
        <v>0</v>
      </c>
      <c r="R30" s="75"/>
      <c r="S30" s="38">
        <f t="shared" si="3"/>
        <v>0</v>
      </c>
    </row>
    <row r="31" spans="1:19" ht="19.95" customHeight="1">
      <c r="A31" s="333">
        <v>45674</v>
      </c>
      <c r="B31" s="106"/>
      <c r="C31" s="106"/>
      <c r="D31" s="36">
        <f t="shared" si="0"/>
        <v>0</v>
      </c>
      <c r="E31" s="106"/>
      <c r="F31" s="106"/>
      <c r="G31" s="36">
        <f t="shared" si="1"/>
        <v>0</v>
      </c>
      <c r="H31" s="75"/>
      <c r="I31" s="106"/>
      <c r="J31" s="73"/>
      <c r="K31" s="75"/>
      <c r="L31" s="36">
        <f t="shared" si="4"/>
        <v>0</v>
      </c>
      <c r="M31" s="106"/>
      <c r="N31" s="73"/>
      <c r="O31" s="106"/>
      <c r="P31" s="73"/>
      <c r="Q31" s="36">
        <f t="shared" si="2"/>
        <v>0</v>
      </c>
      <c r="R31" s="75"/>
      <c r="S31" s="38">
        <f t="shared" si="3"/>
        <v>0</v>
      </c>
    </row>
    <row r="32" spans="1:19" ht="19.95" customHeight="1">
      <c r="A32" s="333">
        <v>45675</v>
      </c>
      <c r="B32" s="106"/>
      <c r="C32" s="106"/>
      <c r="D32" s="36">
        <f t="shared" si="0"/>
        <v>0</v>
      </c>
      <c r="E32" s="106"/>
      <c r="F32" s="106"/>
      <c r="G32" s="36">
        <f t="shared" si="1"/>
        <v>0</v>
      </c>
      <c r="H32" s="75"/>
      <c r="I32" s="106"/>
      <c r="J32" s="73"/>
      <c r="K32" s="75"/>
      <c r="L32" s="36">
        <f t="shared" si="4"/>
        <v>0</v>
      </c>
      <c r="M32" s="106"/>
      <c r="N32" s="73"/>
      <c r="O32" s="106"/>
      <c r="P32" s="73"/>
      <c r="Q32" s="36">
        <f t="shared" si="2"/>
        <v>0</v>
      </c>
      <c r="R32" s="75"/>
      <c r="S32" s="38">
        <f t="shared" si="3"/>
        <v>0</v>
      </c>
    </row>
    <row r="33" spans="1:19" ht="19.95" customHeight="1">
      <c r="A33" s="333">
        <v>45676</v>
      </c>
      <c r="B33" s="106"/>
      <c r="C33" s="106"/>
      <c r="D33" s="36">
        <f t="shared" si="0"/>
        <v>0</v>
      </c>
      <c r="E33" s="106"/>
      <c r="F33" s="106"/>
      <c r="G33" s="36">
        <f t="shared" si="1"/>
        <v>0</v>
      </c>
      <c r="H33" s="75"/>
      <c r="I33" s="106"/>
      <c r="J33" s="73"/>
      <c r="K33" s="75"/>
      <c r="L33" s="36">
        <f t="shared" si="4"/>
        <v>0</v>
      </c>
      <c r="M33" s="106"/>
      <c r="N33" s="73"/>
      <c r="O33" s="106"/>
      <c r="P33" s="73"/>
      <c r="Q33" s="36">
        <f t="shared" si="2"/>
        <v>0</v>
      </c>
      <c r="R33" s="75"/>
      <c r="S33" s="38">
        <f t="shared" si="3"/>
        <v>0</v>
      </c>
    </row>
    <row r="34" spans="1:19" ht="19.95" customHeight="1">
      <c r="A34" s="333">
        <v>45677</v>
      </c>
      <c r="B34" s="106"/>
      <c r="C34" s="106"/>
      <c r="D34" s="36">
        <f t="shared" si="0"/>
        <v>0</v>
      </c>
      <c r="E34" s="106"/>
      <c r="F34" s="106"/>
      <c r="G34" s="36">
        <f t="shared" si="1"/>
        <v>0</v>
      </c>
      <c r="H34" s="75"/>
      <c r="I34" s="106"/>
      <c r="J34" s="73"/>
      <c r="K34" s="75"/>
      <c r="L34" s="36">
        <f t="shared" si="4"/>
        <v>0</v>
      </c>
      <c r="M34" s="106"/>
      <c r="N34" s="73"/>
      <c r="O34" s="106"/>
      <c r="P34" s="73"/>
      <c r="Q34" s="36">
        <f t="shared" si="2"/>
        <v>0</v>
      </c>
      <c r="R34" s="75"/>
      <c r="S34" s="38">
        <f t="shared" si="3"/>
        <v>0</v>
      </c>
    </row>
    <row r="35" spans="1:19" ht="19.95" customHeight="1">
      <c r="A35" s="333">
        <v>45678</v>
      </c>
      <c r="B35" s="106"/>
      <c r="C35" s="106"/>
      <c r="D35" s="36">
        <f t="shared" si="0"/>
        <v>0</v>
      </c>
      <c r="E35" s="106"/>
      <c r="F35" s="106"/>
      <c r="G35" s="36">
        <f t="shared" si="1"/>
        <v>0</v>
      </c>
      <c r="H35" s="75"/>
      <c r="I35" s="106"/>
      <c r="J35" s="73"/>
      <c r="K35" s="75"/>
      <c r="L35" s="36">
        <f t="shared" si="4"/>
        <v>0</v>
      </c>
      <c r="M35" s="106"/>
      <c r="N35" s="73"/>
      <c r="O35" s="106"/>
      <c r="P35" s="73"/>
      <c r="Q35" s="36">
        <f t="shared" si="2"/>
        <v>0</v>
      </c>
      <c r="R35" s="75"/>
      <c r="S35" s="38">
        <f t="shared" si="3"/>
        <v>0</v>
      </c>
    </row>
    <row r="36" spans="1:19" ht="19.95" customHeight="1">
      <c r="A36" s="333">
        <v>45679</v>
      </c>
      <c r="B36" s="106"/>
      <c r="C36" s="106"/>
      <c r="D36" s="36">
        <f t="shared" si="0"/>
        <v>0</v>
      </c>
      <c r="E36" s="106"/>
      <c r="F36" s="106"/>
      <c r="G36" s="36">
        <f t="shared" si="1"/>
        <v>0</v>
      </c>
      <c r="H36" s="75"/>
      <c r="I36" s="106"/>
      <c r="J36" s="73"/>
      <c r="K36" s="75"/>
      <c r="L36" s="36">
        <f t="shared" si="4"/>
        <v>0</v>
      </c>
      <c r="M36" s="106"/>
      <c r="N36" s="73"/>
      <c r="O36" s="106"/>
      <c r="P36" s="73"/>
      <c r="Q36" s="36">
        <f t="shared" si="2"/>
        <v>0</v>
      </c>
      <c r="R36" s="75"/>
      <c r="S36" s="38">
        <f t="shared" si="3"/>
        <v>0</v>
      </c>
    </row>
    <row r="37" spans="1:19" ht="19.95" customHeight="1">
      <c r="A37" s="333">
        <v>45680</v>
      </c>
      <c r="B37" s="106"/>
      <c r="C37" s="106"/>
      <c r="D37" s="36">
        <f t="shared" si="0"/>
        <v>0</v>
      </c>
      <c r="E37" s="106"/>
      <c r="F37" s="106"/>
      <c r="G37" s="36">
        <f t="shared" si="1"/>
        <v>0</v>
      </c>
      <c r="H37" s="75"/>
      <c r="I37" s="106"/>
      <c r="J37" s="73"/>
      <c r="K37" s="75"/>
      <c r="L37" s="36">
        <f t="shared" si="4"/>
        <v>0</v>
      </c>
      <c r="M37" s="106"/>
      <c r="N37" s="73"/>
      <c r="O37" s="106"/>
      <c r="P37" s="73"/>
      <c r="Q37" s="36">
        <f t="shared" si="2"/>
        <v>0</v>
      </c>
      <c r="R37" s="75"/>
      <c r="S37" s="38">
        <f t="shared" si="3"/>
        <v>0</v>
      </c>
    </row>
    <row r="38" spans="1:19" ht="19.95" customHeight="1">
      <c r="A38" s="333">
        <v>45681</v>
      </c>
      <c r="B38" s="106"/>
      <c r="C38" s="106"/>
      <c r="D38" s="36">
        <f t="shared" si="0"/>
        <v>0</v>
      </c>
      <c r="E38" s="106"/>
      <c r="F38" s="106"/>
      <c r="G38" s="36">
        <f t="shared" si="1"/>
        <v>0</v>
      </c>
      <c r="H38" s="75"/>
      <c r="I38" s="106"/>
      <c r="J38" s="73"/>
      <c r="K38" s="75"/>
      <c r="L38" s="36">
        <f t="shared" si="4"/>
        <v>0</v>
      </c>
      <c r="M38" s="106"/>
      <c r="N38" s="73"/>
      <c r="O38" s="106"/>
      <c r="P38" s="73"/>
      <c r="Q38" s="36">
        <f t="shared" si="2"/>
        <v>0</v>
      </c>
      <c r="R38" s="75"/>
      <c r="S38" s="38">
        <f t="shared" si="3"/>
        <v>0</v>
      </c>
    </row>
    <row r="39" spans="1:19" ht="19.95" customHeight="1">
      <c r="A39" s="333">
        <v>45682</v>
      </c>
      <c r="B39" s="106"/>
      <c r="C39" s="106"/>
      <c r="D39" s="36">
        <f t="shared" si="0"/>
        <v>0</v>
      </c>
      <c r="E39" s="106"/>
      <c r="F39" s="106"/>
      <c r="G39" s="36">
        <f t="shared" si="1"/>
        <v>0</v>
      </c>
      <c r="H39" s="75"/>
      <c r="I39" s="106"/>
      <c r="J39" s="73"/>
      <c r="K39" s="75"/>
      <c r="L39" s="36">
        <f t="shared" si="4"/>
        <v>0</v>
      </c>
      <c r="M39" s="106"/>
      <c r="N39" s="73"/>
      <c r="O39" s="106"/>
      <c r="P39" s="73"/>
      <c r="Q39" s="36">
        <f t="shared" si="2"/>
        <v>0</v>
      </c>
      <c r="R39" s="75"/>
      <c r="S39" s="38">
        <f t="shared" si="3"/>
        <v>0</v>
      </c>
    </row>
    <row r="40" spans="1:19" ht="19.95" customHeight="1">
      <c r="A40" s="333">
        <v>45683</v>
      </c>
      <c r="B40" s="106"/>
      <c r="C40" s="106"/>
      <c r="D40" s="36">
        <f t="shared" si="0"/>
        <v>0</v>
      </c>
      <c r="E40" s="106"/>
      <c r="F40" s="106"/>
      <c r="G40" s="36">
        <f t="shared" si="1"/>
        <v>0</v>
      </c>
      <c r="H40" s="75"/>
      <c r="I40" s="106"/>
      <c r="J40" s="73"/>
      <c r="K40" s="75"/>
      <c r="L40" s="36">
        <f t="shared" si="4"/>
        <v>0</v>
      </c>
      <c r="M40" s="106"/>
      <c r="N40" s="73"/>
      <c r="O40" s="106"/>
      <c r="P40" s="73"/>
      <c r="Q40" s="36">
        <f t="shared" si="2"/>
        <v>0</v>
      </c>
      <c r="R40" s="75"/>
      <c r="S40" s="38">
        <f t="shared" si="3"/>
        <v>0</v>
      </c>
    </row>
    <row r="41" spans="1:19" ht="19.95" customHeight="1">
      <c r="A41" s="333">
        <v>45684</v>
      </c>
      <c r="B41" s="106"/>
      <c r="C41" s="106"/>
      <c r="D41" s="36">
        <f t="shared" si="0"/>
        <v>0</v>
      </c>
      <c r="E41" s="106"/>
      <c r="F41" s="106"/>
      <c r="G41" s="36">
        <f t="shared" si="1"/>
        <v>0</v>
      </c>
      <c r="H41" s="75"/>
      <c r="I41" s="106"/>
      <c r="J41" s="73"/>
      <c r="K41" s="75"/>
      <c r="L41" s="36">
        <f t="shared" si="4"/>
        <v>0</v>
      </c>
      <c r="M41" s="106"/>
      <c r="N41" s="73"/>
      <c r="O41" s="106"/>
      <c r="P41" s="73"/>
      <c r="Q41" s="36">
        <f t="shared" si="2"/>
        <v>0</v>
      </c>
      <c r="R41" s="75"/>
      <c r="S41" s="38">
        <f t="shared" si="3"/>
        <v>0</v>
      </c>
    </row>
    <row r="42" spans="1:19" ht="19.95" customHeight="1">
      <c r="A42" s="333">
        <v>45685</v>
      </c>
      <c r="B42" s="106"/>
      <c r="C42" s="106"/>
      <c r="D42" s="36">
        <f t="shared" si="0"/>
        <v>0</v>
      </c>
      <c r="E42" s="106"/>
      <c r="F42" s="106"/>
      <c r="G42" s="36">
        <f t="shared" si="1"/>
        <v>0</v>
      </c>
      <c r="H42" s="75"/>
      <c r="I42" s="106"/>
      <c r="J42" s="73"/>
      <c r="K42" s="75"/>
      <c r="L42" s="36">
        <f t="shared" si="4"/>
        <v>0</v>
      </c>
      <c r="M42" s="106"/>
      <c r="N42" s="73"/>
      <c r="O42" s="106"/>
      <c r="P42" s="73"/>
      <c r="Q42" s="36">
        <f t="shared" si="2"/>
        <v>0</v>
      </c>
      <c r="R42" s="75"/>
      <c r="S42" s="38">
        <f t="shared" si="3"/>
        <v>0</v>
      </c>
    </row>
    <row r="43" spans="1:19" ht="19.95" customHeight="1">
      <c r="A43" s="333">
        <v>45686</v>
      </c>
      <c r="B43" s="106"/>
      <c r="C43" s="106"/>
      <c r="D43" s="36">
        <f t="shared" si="0"/>
        <v>0</v>
      </c>
      <c r="E43" s="106"/>
      <c r="F43" s="106"/>
      <c r="G43" s="36">
        <f t="shared" si="1"/>
        <v>0</v>
      </c>
      <c r="H43" s="75"/>
      <c r="I43" s="106"/>
      <c r="J43" s="73"/>
      <c r="K43" s="75"/>
      <c r="L43" s="36">
        <f t="shared" si="4"/>
        <v>0</v>
      </c>
      <c r="M43" s="106"/>
      <c r="N43" s="73"/>
      <c r="O43" s="106"/>
      <c r="P43" s="73"/>
      <c r="Q43" s="36">
        <f t="shared" si="2"/>
        <v>0</v>
      </c>
      <c r="R43" s="75"/>
      <c r="S43" s="38">
        <f t="shared" si="3"/>
        <v>0</v>
      </c>
    </row>
    <row r="44" spans="1:19" ht="19.95" customHeight="1">
      <c r="A44" s="333">
        <v>45687</v>
      </c>
      <c r="B44" s="106"/>
      <c r="C44" s="106"/>
      <c r="D44" s="36">
        <f t="shared" si="0"/>
        <v>0</v>
      </c>
      <c r="E44" s="106"/>
      <c r="F44" s="106"/>
      <c r="G44" s="36">
        <f t="shared" si="1"/>
        <v>0</v>
      </c>
      <c r="H44" s="75"/>
      <c r="I44" s="106"/>
      <c r="J44" s="73"/>
      <c r="K44" s="75"/>
      <c r="L44" s="36">
        <f t="shared" si="4"/>
        <v>0</v>
      </c>
      <c r="M44" s="106"/>
      <c r="N44" s="73"/>
      <c r="O44" s="106"/>
      <c r="P44" s="73"/>
      <c r="Q44" s="36">
        <f t="shared" si="2"/>
        <v>0</v>
      </c>
      <c r="R44" s="75"/>
      <c r="S44" s="38">
        <f t="shared" si="3"/>
        <v>0</v>
      </c>
    </row>
    <row r="45" spans="1:19" ht="19.95" customHeight="1">
      <c r="A45" s="333">
        <v>45688</v>
      </c>
      <c r="B45" s="106"/>
      <c r="C45" s="106"/>
      <c r="D45" s="36">
        <f t="shared" si="0"/>
        <v>0</v>
      </c>
      <c r="E45" s="106"/>
      <c r="F45" s="106"/>
      <c r="G45" s="36">
        <f t="shared" si="1"/>
        <v>0</v>
      </c>
      <c r="H45" s="75"/>
      <c r="I45" s="106"/>
      <c r="J45" s="73"/>
      <c r="K45" s="75"/>
      <c r="L45" s="36">
        <f t="shared" si="4"/>
        <v>0</v>
      </c>
      <c r="M45" s="106"/>
      <c r="N45" s="73"/>
      <c r="O45" s="106"/>
      <c r="P45" s="73"/>
      <c r="Q45" s="36">
        <f t="shared" si="2"/>
        <v>0</v>
      </c>
      <c r="R45" s="75"/>
      <c r="S45" s="38">
        <f t="shared" si="3"/>
        <v>0</v>
      </c>
    </row>
    <row r="46" spans="1:19" ht="19.95" customHeight="1">
      <c r="A46" s="333">
        <v>45689</v>
      </c>
      <c r="B46" s="106"/>
      <c r="C46" s="106"/>
      <c r="D46" s="36">
        <f t="shared" si="0"/>
        <v>0</v>
      </c>
      <c r="E46" s="106"/>
      <c r="F46" s="106"/>
      <c r="G46" s="36">
        <f t="shared" si="1"/>
        <v>0</v>
      </c>
      <c r="H46" s="75"/>
      <c r="I46" s="106"/>
      <c r="J46" s="73"/>
      <c r="K46" s="75"/>
      <c r="L46" s="36">
        <f t="shared" si="4"/>
        <v>0</v>
      </c>
      <c r="M46" s="106"/>
      <c r="N46" s="73"/>
      <c r="O46" s="106"/>
      <c r="P46" s="73"/>
      <c r="Q46" s="36">
        <f t="shared" si="2"/>
        <v>0</v>
      </c>
      <c r="R46" s="75"/>
      <c r="S46" s="38">
        <f t="shared" si="3"/>
        <v>0</v>
      </c>
    </row>
    <row r="47" spans="1:19" ht="19.95" customHeight="1">
      <c r="A47" s="333">
        <v>45690</v>
      </c>
      <c r="B47" s="106"/>
      <c r="C47" s="106"/>
      <c r="D47" s="36">
        <f t="shared" si="0"/>
        <v>0</v>
      </c>
      <c r="E47" s="106"/>
      <c r="F47" s="106"/>
      <c r="G47" s="36">
        <f t="shared" si="1"/>
        <v>0</v>
      </c>
      <c r="H47" s="75"/>
      <c r="I47" s="106"/>
      <c r="J47" s="73"/>
      <c r="K47" s="75"/>
      <c r="L47" s="36">
        <f t="shared" si="4"/>
        <v>0</v>
      </c>
      <c r="M47" s="106"/>
      <c r="N47" s="73"/>
      <c r="O47" s="106"/>
      <c r="P47" s="73"/>
      <c r="Q47" s="36">
        <f t="shared" si="2"/>
        <v>0</v>
      </c>
      <c r="R47" s="75"/>
      <c r="S47" s="38">
        <f t="shared" si="3"/>
        <v>0</v>
      </c>
    </row>
    <row r="48" spans="1:19" ht="19.95" customHeight="1">
      <c r="A48" s="333">
        <v>45691</v>
      </c>
      <c r="B48" s="106"/>
      <c r="C48" s="106"/>
      <c r="D48" s="36">
        <f t="shared" si="0"/>
        <v>0</v>
      </c>
      <c r="E48" s="106"/>
      <c r="F48" s="106"/>
      <c r="G48" s="36">
        <f t="shared" si="1"/>
        <v>0</v>
      </c>
      <c r="H48" s="75"/>
      <c r="I48" s="106"/>
      <c r="J48" s="73"/>
      <c r="K48" s="75"/>
      <c r="L48" s="36">
        <f t="shared" si="4"/>
        <v>0</v>
      </c>
      <c r="M48" s="106"/>
      <c r="N48" s="73"/>
      <c r="O48" s="106"/>
      <c r="P48" s="73"/>
      <c r="Q48" s="36">
        <f t="shared" si="2"/>
        <v>0</v>
      </c>
      <c r="R48" s="75"/>
      <c r="S48" s="38">
        <f t="shared" si="3"/>
        <v>0</v>
      </c>
    </row>
    <row r="49" spans="1:19" ht="19.95" customHeight="1">
      <c r="A49" s="333">
        <v>45692</v>
      </c>
      <c r="B49" s="106"/>
      <c r="C49" s="106"/>
      <c r="D49" s="36">
        <f t="shared" si="0"/>
        <v>0</v>
      </c>
      <c r="E49" s="106"/>
      <c r="F49" s="106"/>
      <c r="G49" s="36">
        <f t="shared" si="1"/>
        <v>0</v>
      </c>
      <c r="H49" s="75"/>
      <c r="I49" s="106"/>
      <c r="J49" s="73"/>
      <c r="K49" s="75"/>
      <c r="L49" s="36">
        <f t="shared" si="4"/>
        <v>0</v>
      </c>
      <c r="M49" s="106"/>
      <c r="N49" s="73"/>
      <c r="O49" s="106"/>
      <c r="P49" s="73"/>
      <c r="Q49" s="36">
        <f t="shared" si="2"/>
        <v>0</v>
      </c>
      <c r="R49" s="75"/>
      <c r="S49" s="38">
        <f t="shared" si="3"/>
        <v>0</v>
      </c>
    </row>
    <row r="50" spans="1:19" ht="19.95" customHeight="1">
      <c r="A50" s="333">
        <v>45693</v>
      </c>
      <c r="B50" s="106"/>
      <c r="C50" s="106"/>
      <c r="D50" s="36">
        <f t="shared" si="0"/>
        <v>0</v>
      </c>
      <c r="E50" s="106"/>
      <c r="F50" s="106"/>
      <c r="G50" s="36">
        <f t="shared" si="1"/>
        <v>0</v>
      </c>
      <c r="H50" s="75"/>
      <c r="I50" s="106"/>
      <c r="J50" s="73"/>
      <c r="K50" s="75"/>
      <c r="L50" s="36">
        <f t="shared" si="4"/>
        <v>0</v>
      </c>
      <c r="M50" s="106"/>
      <c r="N50" s="73"/>
      <c r="O50" s="106"/>
      <c r="P50" s="73"/>
      <c r="Q50" s="36">
        <f t="shared" si="2"/>
        <v>0</v>
      </c>
      <c r="R50" s="75"/>
      <c r="S50" s="38">
        <f t="shared" si="3"/>
        <v>0</v>
      </c>
    </row>
    <row r="51" spans="1:19" ht="19.95" customHeight="1">
      <c r="A51" s="333">
        <v>45694</v>
      </c>
      <c r="B51" s="106"/>
      <c r="C51" s="106"/>
      <c r="D51" s="36">
        <f t="shared" si="0"/>
        <v>0</v>
      </c>
      <c r="E51" s="106"/>
      <c r="F51" s="106"/>
      <c r="G51" s="36">
        <f t="shared" si="1"/>
        <v>0</v>
      </c>
      <c r="H51" s="75"/>
      <c r="I51" s="106"/>
      <c r="J51" s="73"/>
      <c r="K51" s="75"/>
      <c r="L51" s="36">
        <f t="shared" si="4"/>
        <v>0</v>
      </c>
      <c r="M51" s="106"/>
      <c r="N51" s="73"/>
      <c r="O51" s="106"/>
      <c r="P51" s="73"/>
      <c r="Q51" s="36">
        <f t="shared" si="2"/>
        <v>0</v>
      </c>
      <c r="R51" s="75"/>
      <c r="S51" s="38">
        <f t="shared" si="3"/>
        <v>0</v>
      </c>
    </row>
    <row r="52" spans="1:19" ht="19.95" customHeight="1">
      <c r="A52" s="333">
        <v>45695</v>
      </c>
      <c r="B52" s="106"/>
      <c r="C52" s="106"/>
      <c r="D52" s="36">
        <f t="shared" si="0"/>
        <v>0</v>
      </c>
      <c r="E52" s="106"/>
      <c r="F52" s="106"/>
      <c r="G52" s="36">
        <f t="shared" si="1"/>
        <v>0</v>
      </c>
      <c r="H52" s="75"/>
      <c r="I52" s="106"/>
      <c r="J52" s="73"/>
      <c r="K52" s="75"/>
      <c r="L52" s="36">
        <f t="shared" si="4"/>
        <v>0</v>
      </c>
      <c r="M52" s="106"/>
      <c r="N52" s="73"/>
      <c r="O52" s="106"/>
      <c r="P52" s="73"/>
      <c r="Q52" s="36">
        <f t="shared" si="2"/>
        <v>0</v>
      </c>
      <c r="R52" s="75"/>
      <c r="S52" s="38">
        <f t="shared" si="3"/>
        <v>0</v>
      </c>
    </row>
    <row r="53" spans="1:19" ht="19.95" customHeight="1">
      <c r="A53" s="333">
        <v>45696</v>
      </c>
      <c r="B53" s="106"/>
      <c r="C53" s="106"/>
      <c r="D53" s="36">
        <f t="shared" si="0"/>
        <v>0</v>
      </c>
      <c r="E53" s="106"/>
      <c r="F53" s="106"/>
      <c r="G53" s="36">
        <f t="shared" si="1"/>
        <v>0</v>
      </c>
      <c r="H53" s="75"/>
      <c r="I53" s="106"/>
      <c r="J53" s="73"/>
      <c r="K53" s="75"/>
      <c r="L53" s="36">
        <f t="shared" si="4"/>
        <v>0</v>
      </c>
      <c r="M53" s="106"/>
      <c r="N53" s="73"/>
      <c r="O53" s="106"/>
      <c r="P53" s="73"/>
      <c r="Q53" s="36">
        <f t="shared" si="2"/>
        <v>0</v>
      </c>
      <c r="R53" s="75"/>
      <c r="S53" s="38">
        <f t="shared" si="3"/>
        <v>0</v>
      </c>
    </row>
    <row r="54" spans="1:19" ht="19.95" customHeight="1">
      <c r="A54" s="333">
        <v>45697</v>
      </c>
      <c r="B54" s="106"/>
      <c r="C54" s="106"/>
      <c r="D54" s="36">
        <f t="shared" si="0"/>
        <v>0</v>
      </c>
      <c r="E54" s="106"/>
      <c r="F54" s="106"/>
      <c r="G54" s="36">
        <f t="shared" si="1"/>
        <v>0</v>
      </c>
      <c r="H54" s="75"/>
      <c r="I54" s="106"/>
      <c r="J54" s="73"/>
      <c r="K54" s="75"/>
      <c r="L54" s="36">
        <f t="shared" si="4"/>
        <v>0</v>
      </c>
      <c r="M54" s="106"/>
      <c r="N54" s="73"/>
      <c r="O54" s="106"/>
      <c r="P54" s="73"/>
      <c r="Q54" s="36">
        <f t="shared" si="2"/>
        <v>0</v>
      </c>
      <c r="R54" s="75"/>
      <c r="S54" s="38">
        <f t="shared" si="3"/>
        <v>0</v>
      </c>
    </row>
    <row r="55" spans="1:19" ht="19.95" customHeight="1">
      <c r="A55" s="333">
        <v>45698</v>
      </c>
      <c r="B55" s="106"/>
      <c r="C55" s="106"/>
      <c r="D55" s="36">
        <f t="shared" si="0"/>
        <v>0</v>
      </c>
      <c r="E55" s="106"/>
      <c r="F55" s="106"/>
      <c r="G55" s="36">
        <f t="shared" si="1"/>
        <v>0</v>
      </c>
      <c r="H55" s="75"/>
      <c r="I55" s="106"/>
      <c r="J55" s="73"/>
      <c r="K55" s="75"/>
      <c r="L55" s="36">
        <f t="shared" si="4"/>
        <v>0</v>
      </c>
      <c r="M55" s="106"/>
      <c r="N55" s="73"/>
      <c r="O55" s="106"/>
      <c r="P55" s="73"/>
      <c r="Q55" s="36">
        <f t="shared" si="2"/>
        <v>0</v>
      </c>
      <c r="R55" s="75"/>
      <c r="S55" s="38">
        <f t="shared" si="3"/>
        <v>0</v>
      </c>
    </row>
    <row r="56" spans="1:19" ht="19.95" customHeight="1">
      <c r="A56" s="333">
        <v>45699</v>
      </c>
      <c r="B56" s="106"/>
      <c r="C56" s="106"/>
      <c r="D56" s="36">
        <f t="shared" si="0"/>
        <v>0</v>
      </c>
      <c r="E56" s="106"/>
      <c r="F56" s="106"/>
      <c r="G56" s="36">
        <f t="shared" si="1"/>
        <v>0</v>
      </c>
      <c r="H56" s="75"/>
      <c r="I56" s="106"/>
      <c r="J56" s="73"/>
      <c r="K56" s="75"/>
      <c r="L56" s="36">
        <f t="shared" si="4"/>
        <v>0</v>
      </c>
      <c r="M56" s="106"/>
      <c r="N56" s="73"/>
      <c r="O56" s="106"/>
      <c r="P56" s="73"/>
      <c r="Q56" s="36">
        <f t="shared" si="2"/>
        <v>0</v>
      </c>
      <c r="R56" s="75"/>
      <c r="S56" s="38">
        <f t="shared" si="3"/>
        <v>0</v>
      </c>
    </row>
    <row r="57" spans="1:19" ht="19.95" customHeight="1">
      <c r="A57" s="333">
        <v>45700</v>
      </c>
      <c r="B57" s="106"/>
      <c r="C57" s="106"/>
      <c r="D57" s="36">
        <f t="shared" si="0"/>
        <v>0</v>
      </c>
      <c r="E57" s="106"/>
      <c r="F57" s="106"/>
      <c r="G57" s="36">
        <f t="shared" si="1"/>
        <v>0</v>
      </c>
      <c r="H57" s="75"/>
      <c r="I57" s="106"/>
      <c r="J57" s="73"/>
      <c r="K57" s="75"/>
      <c r="L57" s="36">
        <f t="shared" si="4"/>
        <v>0</v>
      </c>
      <c r="M57" s="106"/>
      <c r="N57" s="73"/>
      <c r="O57" s="106"/>
      <c r="P57" s="73"/>
      <c r="Q57" s="36">
        <f t="shared" si="2"/>
        <v>0</v>
      </c>
      <c r="R57" s="75"/>
      <c r="S57" s="38">
        <f t="shared" si="3"/>
        <v>0</v>
      </c>
    </row>
    <row r="58" spans="1:19" ht="19.95" customHeight="1">
      <c r="A58" s="333">
        <v>45701</v>
      </c>
      <c r="B58" s="106"/>
      <c r="C58" s="106"/>
      <c r="D58" s="36">
        <f t="shared" si="0"/>
        <v>0</v>
      </c>
      <c r="E58" s="106"/>
      <c r="F58" s="106"/>
      <c r="G58" s="36">
        <f t="shared" si="1"/>
        <v>0</v>
      </c>
      <c r="H58" s="75"/>
      <c r="I58" s="106"/>
      <c r="J58" s="73"/>
      <c r="K58" s="75"/>
      <c r="L58" s="36">
        <f t="shared" si="4"/>
        <v>0</v>
      </c>
      <c r="M58" s="106"/>
      <c r="N58" s="73"/>
      <c r="O58" s="106"/>
      <c r="P58" s="73"/>
      <c r="Q58" s="36">
        <f t="shared" si="2"/>
        <v>0</v>
      </c>
      <c r="R58" s="75"/>
      <c r="S58" s="38">
        <f t="shared" si="3"/>
        <v>0</v>
      </c>
    </row>
    <row r="59" spans="1:19" ht="19.95" customHeight="1">
      <c r="A59" s="333">
        <v>45702</v>
      </c>
      <c r="B59" s="106"/>
      <c r="C59" s="106"/>
      <c r="D59" s="36">
        <f t="shared" si="0"/>
        <v>0</v>
      </c>
      <c r="E59" s="106"/>
      <c r="F59" s="106"/>
      <c r="G59" s="36">
        <f t="shared" si="1"/>
        <v>0</v>
      </c>
      <c r="H59" s="75"/>
      <c r="I59" s="106"/>
      <c r="J59" s="73"/>
      <c r="K59" s="75"/>
      <c r="L59" s="36">
        <f t="shared" si="4"/>
        <v>0</v>
      </c>
      <c r="M59" s="106"/>
      <c r="N59" s="73"/>
      <c r="O59" s="106"/>
      <c r="P59" s="73"/>
      <c r="Q59" s="36">
        <f t="shared" si="2"/>
        <v>0</v>
      </c>
      <c r="R59" s="75"/>
      <c r="S59" s="38">
        <f t="shared" si="3"/>
        <v>0</v>
      </c>
    </row>
    <row r="60" spans="1:19" ht="19.95" customHeight="1">
      <c r="A60" s="333">
        <v>45703</v>
      </c>
      <c r="B60" s="106"/>
      <c r="C60" s="106"/>
      <c r="D60" s="36">
        <f t="shared" si="0"/>
        <v>0</v>
      </c>
      <c r="E60" s="106"/>
      <c r="F60" s="106"/>
      <c r="G60" s="36">
        <f t="shared" si="1"/>
        <v>0</v>
      </c>
      <c r="H60" s="75"/>
      <c r="I60" s="106"/>
      <c r="J60" s="73"/>
      <c r="K60" s="75"/>
      <c r="L60" s="36">
        <f t="shared" si="4"/>
        <v>0</v>
      </c>
      <c r="M60" s="106"/>
      <c r="N60" s="73"/>
      <c r="O60" s="106"/>
      <c r="P60" s="73"/>
      <c r="Q60" s="36">
        <f t="shared" si="2"/>
        <v>0</v>
      </c>
      <c r="R60" s="75"/>
      <c r="S60" s="38">
        <f t="shared" si="3"/>
        <v>0</v>
      </c>
    </row>
    <row r="61" spans="1:19" ht="19.95" customHeight="1">
      <c r="A61" s="333">
        <v>45704</v>
      </c>
      <c r="B61" s="106"/>
      <c r="C61" s="106"/>
      <c r="D61" s="36">
        <f t="shared" si="0"/>
        <v>0</v>
      </c>
      <c r="E61" s="106"/>
      <c r="F61" s="106"/>
      <c r="G61" s="36">
        <f t="shared" si="1"/>
        <v>0</v>
      </c>
      <c r="H61" s="75"/>
      <c r="I61" s="106"/>
      <c r="J61" s="73"/>
      <c r="K61" s="75"/>
      <c r="L61" s="36">
        <f t="shared" si="4"/>
        <v>0</v>
      </c>
      <c r="M61" s="106"/>
      <c r="N61" s="73"/>
      <c r="O61" s="106"/>
      <c r="P61" s="73"/>
      <c r="Q61" s="36">
        <f t="shared" si="2"/>
        <v>0</v>
      </c>
      <c r="R61" s="75"/>
      <c r="S61" s="38">
        <f t="shared" si="3"/>
        <v>0</v>
      </c>
    </row>
    <row r="62" spans="1:19" ht="19.95" customHeight="1">
      <c r="A62" s="333">
        <v>45705</v>
      </c>
      <c r="B62" s="106"/>
      <c r="C62" s="106"/>
      <c r="D62" s="36">
        <f t="shared" si="0"/>
        <v>0</v>
      </c>
      <c r="E62" s="106"/>
      <c r="F62" s="106"/>
      <c r="G62" s="36">
        <f t="shared" si="1"/>
        <v>0</v>
      </c>
      <c r="H62" s="75"/>
      <c r="I62" s="106"/>
      <c r="J62" s="73"/>
      <c r="K62" s="75"/>
      <c r="L62" s="36">
        <f t="shared" si="4"/>
        <v>0</v>
      </c>
      <c r="M62" s="106"/>
      <c r="N62" s="73"/>
      <c r="O62" s="106"/>
      <c r="P62" s="73"/>
      <c r="Q62" s="36">
        <f t="shared" si="2"/>
        <v>0</v>
      </c>
      <c r="R62" s="75"/>
      <c r="S62" s="38">
        <f t="shared" si="3"/>
        <v>0</v>
      </c>
    </row>
    <row r="63" spans="1:19" ht="19.95" customHeight="1">
      <c r="A63" s="333">
        <v>45706</v>
      </c>
      <c r="B63" s="106"/>
      <c r="C63" s="106"/>
      <c r="D63" s="36">
        <f t="shared" si="0"/>
        <v>0</v>
      </c>
      <c r="E63" s="106"/>
      <c r="F63" s="106"/>
      <c r="G63" s="36">
        <f t="shared" si="1"/>
        <v>0</v>
      </c>
      <c r="H63" s="75"/>
      <c r="I63" s="106"/>
      <c r="J63" s="73"/>
      <c r="K63" s="75"/>
      <c r="L63" s="36">
        <f t="shared" si="4"/>
        <v>0</v>
      </c>
      <c r="M63" s="106"/>
      <c r="N63" s="73"/>
      <c r="O63" s="106"/>
      <c r="P63" s="73"/>
      <c r="Q63" s="36">
        <f t="shared" si="2"/>
        <v>0</v>
      </c>
      <c r="R63" s="75"/>
      <c r="S63" s="38">
        <f t="shared" si="3"/>
        <v>0</v>
      </c>
    </row>
    <row r="64" spans="1:19" ht="19.95" customHeight="1">
      <c r="A64" s="333">
        <v>45707</v>
      </c>
      <c r="B64" s="106"/>
      <c r="C64" s="106"/>
      <c r="D64" s="36">
        <f t="shared" si="0"/>
        <v>0</v>
      </c>
      <c r="E64" s="106"/>
      <c r="F64" s="106"/>
      <c r="G64" s="36">
        <f t="shared" si="1"/>
        <v>0</v>
      </c>
      <c r="H64" s="75"/>
      <c r="I64" s="106"/>
      <c r="J64" s="73"/>
      <c r="K64" s="75"/>
      <c r="L64" s="36">
        <f t="shared" si="4"/>
        <v>0</v>
      </c>
      <c r="M64" s="106"/>
      <c r="N64" s="73"/>
      <c r="O64" s="106"/>
      <c r="P64" s="73"/>
      <c r="Q64" s="36">
        <f t="shared" si="2"/>
        <v>0</v>
      </c>
      <c r="R64" s="75"/>
      <c r="S64" s="38">
        <f t="shared" si="3"/>
        <v>0</v>
      </c>
    </row>
    <row r="65" spans="1:19" ht="19.95" customHeight="1">
      <c r="A65" s="333">
        <v>45708</v>
      </c>
      <c r="B65" s="106"/>
      <c r="C65" s="106"/>
      <c r="D65" s="36">
        <f t="shared" si="0"/>
        <v>0</v>
      </c>
      <c r="E65" s="106"/>
      <c r="F65" s="106"/>
      <c r="G65" s="36">
        <f t="shared" si="1"/>
        <v>0</v>
      </c>
      <c r="H65" s="75"/>
      <c r="I65" s="106"/>
      <c r="J65" s="73"/>
      <c r="K65" s="75"/>
      <c r="L65" s="36">
        <f t="shared" si="4"/>
        <v>0</v>
      </c>
      <c r="M65" s="106"/>
      <c r="N65" s="73"/>
      <c r="O65" s="106"/>
      <c r="P65" s="73"/>
      <c r="Q65" s="36">
        <f t="shared" si="2"/>
        <v>0</v>
      </c>
      <c r="R65" s="75"/>
      <c r="S65" s="38">
        <f t="shared" si="3"/>
        <v>0</v>
      </c>
    </row>
    <row r="66" spans="1:19" ht="19.95" customHeight="1">
      <c r="A66" s="333">
        <v>45709</v>
      </c>
      <c r="B66" s="106"/>
      <c r="C66" s="106"/>
      <c r="D66" s="36">
        <f t="shared" si="0"/>
        <v>0</v>
      </c>
      <c r="E66" s="106"/>
      <c r="F66" s="106"/>
      <c r="G66" s="36">
        <f t="shared" si="1"/>
        <v>0</v>
      </c>
      <c r="H66" s="75"/>
      <c r="I66" s="106"/>
      <c r="J66" s="73"/>
      <c r="K66" s="75"/>
      <c r="L66" s="36">
        <f t="shared" si="4"/>
        <v>0</v>
      </c>
      <c r="M66" s="106"/>
      <c r="N66" s="73"/>
      <c r="O66" s="106"/>
      <c r="P66" s="73"/>
      <c r="Q66" s="36">
        <f t="shared" si="2"/>
        <v>0</v>
      </c>
      <c r="R66" s="75"/>
      <c r="S66" s="38">
        <f t="shared" si="3"/>
        <v>0</v>
      </c>
    </row>
    <row r="67" spans="1:19" ht="19.95" customHeight="1">
      <c r="A67" s="333">
        <v>45710</v>
      </c>
      <c r="B67" s="106"/>
      <c r="C67" s="106"/>
      <c r="D67" s="36">
        <f t="shared" si="0"/>
        <v>0</v>
      </c>
      <c r="E67" s="106"/>
      <c r="F67" s="106"/>
      <c r="G67" s="36">
        <f t="shared" si="1"/>
        <v>0</v>
      </c>
      <c r="H67" s="75"/>
      <c r="I67" s="106"/>
      <c r="J67" s="73"/>
      <c r="K67" s="75"/>
      <c r="L67" s="36">
        <f t="shared" si="4"/>
        <v>0</v>
      </c>
      <c r="M67" s="106"/>
      <c r="N67" s="73"/>
      <c r="O67" s="106"/>
      <c r="P67" s="73"/>
      <c r="Q67" s="36">
        <f t="shared" si="2"/>
        <v>0</v>
      </c>
      <c r="R67" s="75"/>
      <c r="S67" s="38">
        <f t="shared" si="3"/>
        <v>0</v>
      </c>
    </row>
    <row r="68" spans="1:19" ht="19.95" customHeight="1">
      <c r="A68" s="333">
        <v>45711</v>
      </c>
      <c r="B68" s="106"/>
      <c r="C68" s="106"/>
      <c r="D68" s="36">
        <f t="shared" si="0"/>
        <v>0</v>
      </c>
      <c r="E68" s="106"/>
      <c r="F68" s="106"/>
      <c r="G68" s="36">
        <f t="shared" si="1"/>
        <v>0</v>
      </c>
      <c r="H68" s="75"/>
      <c r="I68" s="106"/>
      <c r="J68" s="73"/>
      <c r="K68" s="75"/>
      <c r="L68" s="36">
        <f t="shared" si="4"/>
        <v>0</v>
      </c>
      <c r="M68" s="106"/>
      <c r="N68" s="73"/>
      <c r="O68" s="106"/>
      <c r="P68" s="73"/>
      <c r="Q68" s="36">
        <f t="shared" si="2"/>
        <v>0</v>
      </c>
      <c r="R68" s="75"/>
      <c r="S68" s="38">
        <f t="shared" si="3"/>
        <v>0</v>
      </c>
    </row>
    <row r="69" spans="1:19" ht="19.95" customHeight="1">
      <c r="A69" s="333">
        <v>45712</v>
      </c>
      <c r="B69" s="106"/>
      <c r="C69" s="106"/>
      <c r="D69" s="36">
        <f t="shared" si="0"/>
        <v>0</v>
      </c>
      <c r="E69" s="106"/>
      <c r="F69" s="106"/>
      <c r="G69" s="36">
        <f t="shared" si="1"/>
        <v>0</v>
      </c>
      <c r="H69" s="75"/>
      <c r="I69" s="106"/>
      <c r="J69" s="73"/>
      <c r="K69" s="75"/>
      <c r="L69" s="36">
        <f t="shared" si="4"/>
        <v>0</v>
      </c>
      <c r="M69" s="106"/>
      <c r="N69" s="73"/>
      <c r="O69" s="106"/>
      <c r="P69" s="73"/>
      <c r="Q69" s="36">
        <f t="shared" si="2"/>
        <v>0</v>
      </c>
      <c r="R69" s="75"/>
      <c r="S69" s="38">
        <f t="shared" si="3"/>
        <v>0</v>
      </c>
    </row>
    <row r="70" spans="1:19" ht="19.95" customHeight="1">
      <c r="A70" s="333">
        <v>45713</v>
      </c>
      <c r="B70" s="106"/>
      <c r="C70" s="106"/>
      <c r="D70" s="36">
        <f t="shared" si="0"/>
        <v>0</v>
      </c>
      <c r="E70" s="106"/>
      <c r="F70" s="106"/>
      <c r="G70" s="36">
        <f t="shared" si="1"/>
        <v>0</v>
      </c>
      <c r="H70" s="75"/>
      <c r="I70" s="106"/>
      <c r="J70" s="73"/>
      <c r="K70" s="75"/>
      <c r="L70" s="36">
        <f t="shared" si="4"/>
        <v>0</v>
      </c>
      <c r="M70" s="106"/>
      <c r="N70" s="73"/>
      <c r="O70" s="106"/>
      <c r="P70" s="73"/>
      <c r="Q70" s="36">
        <f t="shared" si="2"/>
        <v>0</v>
      </c>
      <c r="R70" s="75"/>
      <c r="S70" s="38">
        <f t="shared" si="3"/>
        <v>0</v>
      </c>
    </row>
    <row r="71" spans="1:19" ht="19.95" customHeight="1">
      <c r="A71" s="333">
        <v>45714</v>
      </c>
      <c r="B71" s="106"/>
      <c r="C71" s="106"/>
      <c r="D71" s="36">
        <f t="shared" si="0"/>
        <v>0</v>
      </c>
      <c r="E71" s="106"/>
      <c r="F71" s="106"/>
      <c r="G71" s="36">
        <f t="shared" si="1"/>
        <v>0</v>
      </c>
      <c r="H71" s="75"/>
      <c r="I71" s="106"/>
      <c r="J71" s="73"/>
      <c r="K71" s="75"/>
      <c r="L71" s="36">
        <f t="shared" si="4"/>
        <v>0</v>
      </c>
      <c r="M71" s="106"/>
      <c r="N71" s="73"/>
      <c r="O71" s="106"/>
      <c r="P71" s="73"/>
      <c r="Q71" s="36">
        <f t="shared" si="2"/>
        <v>0</v>
      </c>
      <c r="R71" s="75"/>
      <c r="S71" s="38">
        <f t="shared" si="3"/>
        <v>0</v>
      </c>
    </row>
    <row r="72" spans="1:19" ht="19.95" customHeight="1">
      <c r="A72" s="333">
        <v>45715</v>
      </c>
      <c r="B72" s="106"/>
      <c r="C72" s="106"/>
      <c r="D72" s="36">
        <f t="shared" si="0"/>
        <v>0</v>
      </c>
      <c r="E72" s="106"/>
      <c r="F72" s="106"/>
      <c r="G72" s="36">
        <f t="shared" si="1"/>
        <v>0</v>
      </c>
      <c r="H72" s="75"/>
      <c r="I72" s="106"/>
      <c r="J72" s="73"/>
      <c r="K72" s="75"/>
      <c r="L72" s="36">
        <f t="shared" si="4"/>
        <v>0</v>
      </c>
      <c r="M72" s="106"/>
      <c r="N72" s="73"/>
      <c r="O72" s="106"/>
      <c r="P72" s="73"/>
      <c r="Q72" s="36">
        <f t="shared" si="2"/>
        <v>0</v>
      </c>
      <c r="R72" s="75"/>
      <c r="S72" s="38">
        <f t="shared" si="3"/>
        <v>0</v>
      </c>
    </row>
    <row r="73" spans="1:19" ht="19.95" customHeight="1">
      <c r="A73" s="333">
        <v>45716</v>
      </c>
      <c r="B73" s="106"/>
      <c r="C73" s="106"/>
      <c r="D73" s="36">
        <f t="shared" si="0"/>
        <v>0</v>
      </c>
      <c r="E73" s="106"/>
      <c r="F73" s="106"/>
      <c r="G73" s="36">
        <f t="shared" si="1"/>
        <v>0</v>
      </c>
      <c r="H73" s="75"/>
      <c r="I73" s="106"/>
      <c r="J73" s="73"/>
      <c r="K73" s="75"/>
      <c r="L73" s="36">
        <f t="shared" si="4"/>
        <v>0</v>
      </c>
      <c r="M73" s="106"/>
      <c r="N73" s="73"/>
      <c r="O73" s="106"/>
      <c r="P73" s="73"/>
      <c r="Q73" s="36">
        <f t="shared" si="2"/>
        <v>0</v>
      </c>
      <c r="R73" s="75"/>
      <c r="S73" s="38">
        <f t="shared" si="3"/>
        <v>0</v>
      </c>
    </row>
    <row r="74" spans="1:19" ht="19.95" customHeight="1">
      <c r="A74" s="333">
        <v>45717</v>
      </c>
      <c r="B74" s="106"/>
      <c r="C74" s="106"/>
      <c r="D74" s="36">
        <f t="shared" si="0"/>
        <v>0</v>
      </c>
      <c r="E74" s="106"/>
      <c r="F74" s="106"/>
      <c r="G74" s="36">
        <f t="shared" si="1"/>
        <v>0</v>
      </c>
      <c r="H74" s="75"/>
      <c r="I74" s="106"/>
      <c r="J74" s="73"/>
      <c r="K74" s="75"/>
      <c r="L74" s="36">
        <f t="shared" si="4"/>
        <v>0</v>
      </c>
      <c r="M74" s="106"/>
      <c r="N74" s="73"/>
      <c r="O74" s="106"/>
      <c r="P74" s="73"/>
      <c r="Q74" s="36">
        <f t="shared" si="2"/>
        <v>0</v>
      </c>
      <c r="R74" s="75"/>
      <c r="S74" s="38">
        <f t="shared" si="3"/>
        <v>0</v>
      </c>
    </row>
    <row r="75" spans="1:19" ht="19.95" customHeight="1">
      <c r="A75" s="333">
        <v>45718</v>
      </c>
      <c r="B75" s="106"/>
      <c r="C75" s="106"/>
      <c r="D75" s="36">
        <f t="shared" si="0"/>
        <v>0</v>
      </c>
      <c r="E75" s="106"/>
      <c r="F75" s="106"/>
      <c r="G75" s="36">
        <f t="shared" si="1"/>
        <v>0</v>
      </c>
      <c r="H75" s="75"/>
      <c r="I75" s="106"/>
      <c r="J75" s="73"/>
      <c r="K75" s="75"/>
      <c r="L75" s="36">
        <f t="shared" si="4"/>
        <v>0</v>
      </c>
      <c r="M75" s="106"/>
      <c r="N75" s="73"/>
      <c r="O75" s="106"/>
      <c r="P75" s="73"/>
      <c r="Q75" s="36">
        <f t="shared" si="2"/>
        <v>0</v>
      </c>
      <c r="R75" s="75"/>
      <c r="S75" s="38">
        <f t="shared" si="3"/>
        <v>0</v>
      </c>
    </row>
    <row r="76" spans="1:19" ht="19.95" customHeight="1">
      <c r="A76" s="333">
        <v>45719</v>
      </c>
      <c r="B76" s="106"/>
      <c r="C76" s="106"/>
      <c r="D76" s="36">
        <f t="shared" si="0"/>
        <v>0</v>
      </c>
      <c r="E76" s="106"/>
      <c r="F76" s="106"/>
      <c r="G76" s="36">
        <f t="shared" si="1"/>
        <v>0</v>
      </c>
      <c r="H76" s="75"/>
      <c r="I76" s="106"/>
      <c r="J76" s="73"/>
      <c r="K76" s="75"/>
      <c r="L76" s="36">
        <f t="shared" si="4"/>
        <v>0</v>
      </c>
      <c r="M76" s="106"/>
      <c r="N76" s="73"/>
      <c r="O76" s="106"/>
      <c r="P76" s="73"/>
      <c r="Q76" s="36">
        <f t="shared" si="2"/>
        <v>0</v>
      </c>
      <c r="R76" s="75"/>
      <c r="S76" s="38">
        <f t="shared" si="3"/>
        <v>0</v>
      </c>
    </row>
    <row r="77" spans="1:19" ht="19.95" customHeight="1">
      <c r="A77" s="333">
        <v>45720</v>
      </c>
      <c r="B77" s="106"/>
      <c r="C77" s="106"/>
      <c r="D77" s="36">
        <f t="shared" si="0"/>
        <v>0</v>
      </c>
      <c r="E77" s="106"/>
      <c r="F77" s="106"/>
      <c r="G77" s="36">
        <f t="shared" si="1"/>
        <v>0</v>
      </c>
      <c r="H77" s="75"/>
      <c r="I77" s="106"/>
      <c r="J77" s="73"/>
      <c r="K77" s="75"/>
      <c r="L77" s="36">
        <f t="shared" si="4"/>
        <v>0</v>
      </c>
      <c r="M77" s="106"/>
      <c r="N77" s="73"/>
      <c r="O77" s="106"/>
      <c r="P77" s="73"/>
      <c r="Q77" s="36">
        <f t="shared" si="2"/>
        <v>0</v>
      </c>
      <c r="R77" s="75"/>
      <c r="S77" s="38">
        <f t="shared" si="3"/>
        <v>0</v>
      </c>
    </row>
    <row r="78" spans="1:19" ht="19.95" customHeight="1">
      <c r="A78" s="333">
        <v>45721</v>
      </c>
      <c r="B78" s="106"/>
      <c r="C78" s="106"/>
      <c r="D78" s="36">
        <f t="shared" si="0"/>
        <v>0</v>
      </c>
      <c r="E78" s="106"/>
      <c r="F78" s="106"/>
      <c r="G78" s="36">
        <f t="shared" si="1"/>
        <v>0</v>
      </c>
      <c r="H78" s="75"/>
      <c r="I78" s="106"/>
      <c r="J78" s="73"/>
      <c r="K78" s="75"/>
      <c r="L78" s="36">
        <f t="shared" si="4"/>
        <v>0</v>
      </c>
      <c r="M78" s="106"/>
      <c r="N78" s="73"/>
      <c r="O78" s="106"/>
      <c r="P78" s="73"/>
      <c r="Q78" s="36">
        <f t="shared" si="2"/>
        <v>0</v>
      </c>
      <c r="R78" s="75"/>
      <c r="S78" s="38">
        <f t="shared" si="3"/>
        <v>0</v>
      </c>
    </row>
    <row r="79" spans="1:19" ht="19.95" customHeight="1">
      <c r="A79" s="333">
        <v>45722</v>
      </c>
      <c r="B79" s="106"/>
      <c r="C79" s="106"/>
      <c r="D79" s="36">
        <f t="shared" ref="D79:D142" si="5">SUM(B79:C79)*$D$13/360</f>
        <v>0</v>
      </c>
      <c r="E79" s="106"/>
      <c r="F79" s="106"/>
      <c r="G79" s="36">
        <f t="shared" ref="G79:G142" si="6">SUM(E79:F79)*$G$13/360</f>
        <v>0</v>
      </c>
      <c r="H79" s="75"/>
      <c r="I79" s="106"/>
      <c r="J79" s="73"/>
      <c r="K79" s="75"/>
      <c r="L79" s="36">
        <f t="shared" si="4"/>
        <v>0</v>
      </c>
      <c r="M79" s="106"/>
      <c r="N79" s="73"/>
      <c r="O79" s="106"/>
      <c r="P79" s="73"/>
      <c r="Q79" s="36">
        <f t="shared" ref="Q79:Q142" si="7">(M79*N79+O79*P79)/360</f>
        <v>0</v>
      </c>
      <c r="R79" s="75"/>
      <c r="S79" s="38">
        <f t="shared" ref="S79:S142" si="8">D79+G79+L79+Q79</f>
        <v>0</v>
      </c>
    </row>
    <row r="80" spans="1:19" ht="19.95" customHeight="1">
      <c r="A80" s="333">
        <v>45723</v>
      </c>
      <c r="B80" s="106"/>
      <c r="C80" s="106"/>
      <c r="D80" s="36">
        <f t="shared" si="5"/>
        <v>0</v>
      </c>
      <c r="E80" s="106"/>
      <c r="F80" s="106"/>
      <c r="G80" s="36">
        <f t="shared" si="6"/>
        <v>0</v>
      </c>
      <c r="H80" s="75"/>
      <c r="I80" s="106"/>
      <c r="J80" s="73"/>
      <c r="K80" s="75"/>
      <c r="L80" s="36">
        <f t="shared" ref="L80:L143" si="9">I80*J80/360</f>
        <v>0</v>
      </c>
      <c r="M80" s="106"/>
      <c r="N80" s="73"/>
      <c r="O80" s="106"/>
      <c r="P80" s="73"/>
      <c r="Q80" s="36">
        <f t="shared" si="7"/>
        <v>0</v>
      </c>
      <c r="R80" s="75"/>
      <c r="S80" s="38">
        <f t="shared" si="8"/>
        <v>0</v>
      </c>
    </row>
    <row r="81" spans="1:19" ht="19.95" customHeight="1">
      <c r="A81" s="333">
        <v>45724</v>
      </c>
      <c r="B81" s="106"/>
      <c r="C81" s="106"/>
      <c r="D81" s="36">
        <f t="shared" si="5"/>
        <v>0</v>
      </c>
      <c r="E81" s="106"/>
      <c r="F81" s="106"/>
      <c r="G81" s="36">
        <f t="shared" si="6"/>
        <v>0</v>
      </c>
      <c r="H81" s="75"/>
      <c r="I81" s="106"/>
      <c r="J81" s="73"/>
      <c r="K81" s="75"/>
      <c r="L81" s="36">
        <f t="shared" si="9"/>
        <v>0</v>
      </c>
      <c r="M81" s="106"/>
      <c r="N81" s="73"/>
      <c r="O81" s="106"/>
      <c r="P81" s="73"/>
      <c r="Q81" s="36">
        <f t="shared" si="7"/>
        <v>0</v>
      </c>
      <c r="R81" s="75"/>
      <c r="S81" s="38">
        <f t="shared" si="8"/>
        <v>0</v>
      </c>
    </row>
    <row r="82" spans="1:19" ht="19.95" customHeight="1">
      <c r="A82" s="333">
        <v>45725</v>
      </c>
      <c r="B82" s="106"/>
      <c r="C82" s="106"/>
      <c r="D82" s="36">
        <f t="shared" si="5"/>
        <v>0</v>
      </c>
      <c r="E82" s="106"/>
      <c r="F82" s="106"/>
      <c r="G82" s="36">
        <f t="shared" si="6"/>
        <v>0</v>
      </c>
      <c r="H82" s="75"/>
      <c r="I82" s="106"/>
      <c r="J82" s="73"/>
      <c r="K82" s="75"/>
      <c r="L82" s="36">
        <f t="shared" si="9"/>
        <v>0</v>
      </c>
      <c r="M82" s="106"/>
      <c r="N82" s="73"/>
      <c r="O82" s="106"/>
      <c r="P82" s="73"/>
      <c r="Q82" s="36">
        <f t="shared" si="7"/>
        <v>0</v>
      </c>
      <c r="R82" s="75"/>
      <c r="S82" s="38">
        <f t="shared" si="8"/>
        <v>0</v>
      </c>
    </row>
    <row r="83" spans="1:19" ht="19.95" customHeight="1">
      <c r="A83" s="333">
        <v>45726</v>
      </c>
      <c r="B83" s="106"/>
      <c r="C83" s="106"/>
      <c r="D83" s="36">
        <f t="shared" si="5"/>
        <v>0</v>
      </c>
      <c r="E83" s="106"/>
      <c r="F83" s="106"/>
      <c r="G83" s="36">
        <f t="shared" si="6"/>
        <v>0</v>
      </c>
      <c r="H83" s="75"/>
      <c r="I83" s="106"/>
      <c r="J83" s="73"/>
      <c r="K83" s="75"/>
      <c r="L83" s="36">
        <f t="shared" si="9"/>
        <v>0</v>
      </c>
      <c r="M83" s="106"/>
      <c r="N83" s="73"/>
      <c r="O83" s="106"/>
      <c r="P83" s="73"/>
      <c r="Q83" s="36">
        <f t="shared" si="7"/>
        <v>0</v>
      </c>
      <c r="R83" s="75"/>
      <c r="S83" s="38">
        <f t="shared" si="8"/>
        <v>0</v>
      </c>
    </row>
    <row r="84" spans="1:19" ht="19.95" customHeight="1">
      <c r="A84" s="333">
        <v>45727</v>
      </c>
      <c r="B84" s="106"/>
      <c r="C84" s="106"/>
      <c r="D84" s="36">
        <f t="shared" si="5"/>
        <v>0</v>
      </c>
      <c r="E84" s="106"/>
      <c r="F84" s="106"/>
      <c r="G84" s="36">
        <f t="shared" si="6"/>
        <v>0</v>
      </c>
      <c r="H84" s="75"/>
      <c r="I84" s="106"/>
      <c r="J84" s="73"/>
      <c r="K84" s="75"/>
      <c r="L84" s="36">
        <f t="shared" si="9"/>
        <v>0</v>
      </c>
      <c r="M84" s="106"/>
      <c r="N84" s="73"/>
      <c r="O84" s="106"/>
      <c r="P84" s="73"/>
      <c r="Q84" s="36">
        <f t="shared" si="7"/>
        <v>0</v>
      </c>
      <c r="R84" s="75"/>
      <c r="S84" s="38">
        <f t="shared" si="8"/>
        <v>0</v>
      </c>
    </row>
    <row r="85" spans="1:19" ht="19.95" customHeight="1">
      <c r="A85" s="333">
        <v>45728</v>
      </c>
      <c r="B85" s="106"/>
      <c r="C85" s="106"/>
      <c r="D85" s="36">
        <f t="shared" si="5"/>
        <v>0</v>
      </c>
      <c r="E85" s="106"/>
      <c r="F85" s="106"/>
      <c r="G85" s="36">
        <f t="shared" si="6"/>
        <v>0</v>
      </c>
      <c r="H85" s="75"/>
      <c r="I85" s="106"/>
      <c r="J85" s="73"/>
      <c r="K85" s="75"/>
      <c r="L85" s="36">
        <f t="shared" si="9"/>
        <v>0</v>
      </c>
      <c r="M85" s="106"/>
      <c r="N85" s="73"/>
      <c r="O85" s="106"/>
      <c r="P85" s="73"/>
      <c r="Q85" s="36">
        <f t="shared" si="7"/>
        <v>0</v>
      </c>
      <c r="R85" s="75"/>
      <c r="S85" s="38">
        <f t="shared" si="8"/>
        <v>0</v>
      </c>
    </row>
    <row r="86" spans="1:19" ht="19.95" customHeight="1">
      <c r="A86" s="333">
        <v>45729</v>
      </c>
      <c r="B86" s="106"/>
      <c r="C86" s="106"/>
      <c r="D86" s="36">
        <f t="shared" si="5"/>
        <v>0</v>
      </c>
      <c r="E86" s="106"/>
      <c r="F86" s="106"/>
      <c r="G86" s="36">
        <f t="shared" si="6"/>
        <v>0</v>
      </c>
      <c r="H86" s="75"/>
      <c r="I86" s="106"/>
      <c r="J86" s="73"/>
      <c r="K86" s="75"/>
      <c r="L86" s="36">
        <f t="shared" si="9"/>
        <v>0</v>
      </c>
      <c r="M86" s="106"/>
      <c r="N86" s="73"/>
      <c r="O86" s="106"/>
      <c r="P86" s="73"/>
      <c r="Q86" s="36">
        <f t="shared" si="7"/>
        <v>0</v>
      </c>
      <c r="R86" s="75"/>
      <c r="S86" s="38">
        <f t="shared" si="8"/>
        <v>0</v>
      </c>
    </row>
    <row r="87" spans="1:19" ht="19.95" customHeight="1">
      <c r="A87" s="333">
        <v>45730</v>
      </c>
      <c r="B87" s="106"/>
      <c r="C87" s="106"/>
      <c r="D87" s="36">
        <f t="shared" si="5"/>
        <v>0</v>
      </c>
      <c r="E87" s="106"/>
      <c r="F87" s="106"/>
      <c r="G87" s="36">
        <f t="shared" si="6"/>
        <v>0</v>
      </c>
      <c r="H87" s="75"/>
      <c r="I87" s="106"/>
      <c r="J87" s="73"/>
      <c r="K87" s="75"/>
      <c r="L87" s="36">
        <f t="shared" si="9"/>
        <v>0</v>
      </c>
      <c r="M87" s="106"/>
      <c r="N87" s="73"/>
      <c r="O87" s="106"/>
      <c r="P87" s="73"/>
      <c r="Q87" s="36">
        <f t="shared" si="7"/>
        <v>0</v>
      </c>
      <c r="R87" s="75"/>
      <c r="S87" s="38">
        <f t="shared" si="8"/>
        <v>0</v>
      </c>
    </row>
    <row r="88" spans="1:19" ht="19.95" customHeight="1">
      <c r="A88" s="333">
        <v>45731</v>
      </c>
      <c r="B88" s="106"/>
      <c r="C88" s="106"/>
      <c r="D88" s="36">
        <f t="shared" si="5"/>
        <v>0</v>
      </c>
      <c r="E88" s="106"/>
      <c r="F88" s="106"/>
      <c r="G88" s="36">
        <f t="shared" si="6"/>
        <v>0</v>
      </c>
      <c r="H88" s="75"/>
      <c r="I88" s="106"/>
      <c r="J88" s="73"/>
      <c r="K88" s="75"/>
      <c r="L88" s="36">
        <f t="shared" si="9"/>
        <v>0</v>
      </c>
      <c r="M88" s="106"/>
      <c r="N88" s="73"/>
      <c r="O88" s="106"/>
      <c r="P88" s="73"/>
      <c r="Q88" s="36">
        <f t="shared" si="7"/>
        <v>0</v>
      </c>
      <c r="R88" s="75"/>
      <c r="S88" s="38">
        <f t="shared" si="8"/>
        <v>0</v>
      </c>
    </row>
    <row r="89" spans="1:19" ht="19.95" customHeight="1">
      <c r="A89" s="333">
        <v>45732</v>
      </c>
      <c r="B89" s="106"/>
      <c r="C89" s="106"/>
      <c r="D89" s="36">
        <f t="shared" si="5"/>
        <v>0</v>
      </c>
      <c r="E89" s="106"/>
      <c r="F89" s="106"/>
      <c r="G89" s="36">
        <f t="shared" si="6"/>
        <v>0</v>
      </c>
      <c r="H89" s="75"/>
      <c r="I89" s="106"/>
      <c r="J89" s="73"/>
      <c r="K89" s="75"/>
      <c r="L89" s="36">
        <f t="shared" si="9"/>
        <v>0</v>
      </c>
      <c r="M89" s="106"/>
      <c r="N89" s="73"/>
      <c r="O89" s="106"/>
      <c r="P89" s="73"/>
      <c r="Q89" s="36">
        <f t="shared" si="7"/>
        <v>0</v>
      </c>
      <c r="R89" s="75"/>
      <c r="S89" s="38">
        <f t="shared" si="8"/>
        <v>0</v>
      </c>
    </row>
    <row r="90" spans="1:19" ht="19.95" customHeight="1">
      <c r="A90" s="333">
        <v>45733</v>
      </c>
      <c r="B90" s="106"/>
      <c r="C90" s="106"/>
      <c r="D90" s="36">
        <f t="shared" si="5"/>
        <v>0</v>
      </c>
      <c r="E90" s="106"/>
      <c r="F90" s="106"/>
      <c r="G90" s="36">
        <f t="shared" si="6"/>
        <v>0</v>
      </c>
      <c r="H90" s="75"/>
      <c r="I90" s="106"/>
      <c r="J90" s="73"/>
      <c r="K90" s="75"/>
      <c r="L90" s="36">
        <f t="shared" si="9"/>
        <v>0</v>
      </c>
      <c r="M90" s="106"/>
      <c r="N90" s="73"/>
      <c r="O90" s="106"/>
      <c r="P90" s="73"/>
      <c r="Q90" s="36">
        <f t="shared" si="7"/>
        <v>0</v>
      </c>
      <c r="R90" s="75"/>
      <c r="S90" s="38">
        <f t="shared" si="8"/>
        <v>0</v>
      </c>
    </row>
    <row r="91" spans="1:19" ht="19.95" customHeight="1">
      <c r="A91" s="333">
        <v>45734</v>
      </c>
      <c r="B91" s="106"/>
      <c r="C91" s="106"/>
      <c r="D91" s="36">
        <f t="shared" si="5"/>
        <v>0</v>
      </c>
      <c r="E91" s="106"/>
      <c r="F91" s="106"/>
      <c r="G91" s="36">
        <f t="shared" si="6"/>
        <v>0</v>
      </c>
      <c r="H91" s="75"/>
      <c r="I91" s="106"/>
      <c r="J91" s="73"/>
      <c r="K91" s="75"/>
      <c r="L91" s="36">
        <f t="shared" si="9"/>
        <v>0</v>
      </c>
      <c r="M91" s="106"/>
      <c r="N91" s="73"/>
      <c r="O91" s="106"/>
      <c r="P91" s="73"/>
      <c r="Q91" s="36">
        <f t="shared" si="7"/>
        <v>0</v>
      </c>
      <c r="R91" s="75"/>
      <c r="S91" s="38">
        <f t="shared" si="8"/>
        <v>0</v>
      </c>
    </row>
    <row r="92" spans="1:19" ht="19.95" customHeight="1">
      <c r="A92" s="333">
        <v>45735</v>
      </c>
      <c r="B92" s="106"/>
      <c r="C92" s="106"/>
      <c r="D92" s="36">
        <f t="shared" si="5"/>
        <v>0</v>
      </c>
      <c r="E92" s="106"/>
      <c r="F92" s="106"/>
      <c r="G92" s="36">
        <f t="shared" si="6"/>
        <v>0</v>
      </c>
      <c r="H92" s="75"/>
      <c r="I92" s="106"/>
      <c r="J92" s="73"/>
      <c r="K92" s="75"/>
      <c r="L92" s="36">
        <f t="shared" si="9"/>
        <v>0</v>
      </c>
      <c r="M92" s="106"/>
      <c r="N92" s="73"/>
      <c r="O92" s="106"/>
      <c r="P92" s="73"/>
      <c r="Q92" s="36">
        <f t="shared" si="7"/>
        <v>0</v>
      </c>
      <c r="R92" s="75"/>
      <c r="S92" s="38">
        <f t="shared" si="8"/>
        <v>0</v>
      </c>
    </row>
    <row r="93" spans="1:19" ht="19.95" customHeight="1">
      <c r="A93" s="333">
        <v>45736</v>
      </c>
      <c r="B93" s="106"/>
      <c r="C93" s="106"/>
      <c r="D93" s="36">
        <f t="shared" si="5"/>
        <v>0</v>
      </c>
      <c r="E93" s="106"/>
      <c r="F93" s="106"/>
      <c r="G93" s="36">
        <f t="shared" si="6"/>
        <v>0</v>
      </c>
      <c r="H93" s="75"/>
      <c r="I93" s="106"/>
      <c r="J93" s="73"/>
      <c r="K93" s="75"/>
      <c r="L93" s="36">
        <f t="shared" si="9"/>
        <v>0</v>
      </c>
      <c r="M93" s="106"/>
      <c r="N93" s="73"/>
      <c r="O93" s="106"/>
      <c r="P93" s="73"/>
      <c r="Q93" s="36">
        <f t="shared" si="7"/>
        <v>0</v>
      </c>
      <c r="R93" s="75"/>
      <c r="S93" s="38">
        <f t="shared" si="8"/>
        <v>0</v>
      </c>
    </row>
    <row r="94" spans="1:19" ht="19.95" customHeight="1">
      <c r="A94" s="333">
        <v>45737</v>
      </c>
      <c r="B94" s="106"/>
      <c r="C94" s="106"/>
      <c r="D94" s="36">
        <f t="shared" si="5"/>
        <v>0</v>
      </c>
      <c r="E94" s="106"/>
      <c r="F94" s="106"/>
      <c r="G94" s="36">
        <f t="shared" si="6"/>
        <v>0</v>
      </c>
      <c r="H94" s="75"/>
      <c r="I94" s="106"/>
      <c r="J94" s="73"/>
      <c r="K94" s="75"/>
      <c r="L94" s="36">
        <f t="shared" si="9"/>
        <v>0</v>
      </c>
      <c r="M94" s="106"/>
      <c r="N94" s="73"/>
      <c r="O94" s="106"/>
      <c r="P94" s="73"/>
      <c r="Q94" s="36">
        <f t="shared" si="7"/>
        <v>0</v>
      </c>
      <c r="R94" s="75"/>
      <c r="S94" s="38">
        <f t="shared" si="8"/>
        <v>0</v>
      </c>
    </row>
    <row r="95" spans="1:19" ht="19.95" customHeight="1">
      <c r="A95" s="333">
        <v>45738</v>
      </c>
      <c r="B95" s="106"/>
      <c r="C95" s="106"/>
      <c r="D95" s="36">
        <f t="shared" si="5"/>
        <v>0</v>
      </c>
      <c r="E95" s="106"/>
      <c r="F95" s="106"/>
      <c r="G95" s="36">
        <f t="shared" si="6"/>
        <v>0</v>
      </c>
      <c r="H95" s="75"/>
      <c r="I95" s="106"/>
      <c r="J95" s="73"/>
      <c r="K95" s="75"/>
      <c r="L95" s="36">
        <f t="shared" si="9"/>
        <v>0</v>
      </c>
      <c r="M95" s="106"/>
      <c r="N95" s="73"/>
      <c r="O95" s="106"/>
      <c r="P95" s="73"/>
      <c r="Q95" s="36">
        <f t="shared" si="7"/>
        <v>0</v>
      </c>
      <c r="R95" s="75"/>
      <c r="S95" s="38">
        <f t="shared" si="8"/>
        <v>0</v>
      </c>
    </row>
    <row r="96" spans="1:19" ht="19.95" customHeight="1">
      <c r="A96" s="333">
        <v>45739</v>
      </c>
      <c r="B96" s="106"/>
      <c r="C96" s="106"/>
      <c r="D96" s="36">
        <f t="shared" si="5"/>
        <v>0</v>
      </c>
      <c r="E96" s="106"/>
      <c r="F96" s="106"/>
      <c r="G96" s="36">
        <f t="shared" si="6"/>
        <v>0</v>
      </c>
      <c r="H96" s="75"/>
      <c r="I96" s="106"/>
      <c r="J96" s="73"/>
      <c r="K96" s="75"/>
      <c r="L96" s="36">
        <f t="shared" si="9"/>
        <v>0</v>
      </c>
      <c r="M96" s="106"/>
      <c r="N96" s="73"/>
      <c r="O96" s="106"/>
      <c r="P96" s="73"/>
      <c r="Q96" s="36">
        <f t="shared" si="7"/>
        <v>0</v>
      </c>
      <c r="R96" s="75"/>
      <c r="S96" s="38">
        <f t="shared" si="8"/>
        <v>0</v>
      </c>
    </row>
    <row r="97" spans="1:19" ht="19.95" customHeight="1">
      <c r="A97" s="333">
        <v>45740</v>
      </c>
      <c r="B97" s="106"/>
      <c r="C97" s="106"/>
      <c r="D97" s="36">
        <f t="shared" si="5"/>
        <v>0</v>
      </c>
      <c r="E97" s="106"/>
      <c r="F97" s="106"/>
      <c r="G97" s="36">
        <f t="shared" si="6"/>
        <v>0</v>
      </c>
      <c r="H97" s="75"/>
      <c r="I97" s="106"/>
      <c r="J97" s="73"/>
      <c r="K97" s="75"/>
      <c r="L97" s="36">
        <f t="shared" si="9"/>
        <v>0</v>
      </c>
      <c r="M97" s="106"/>
      <c r="N97" s="73"/>
      <c r="O97" s="106"/>
      <c r="P97" s="73"/>
      <c r="Q97" s="36">
        <f t="shared" si="7"/>
        <v>0</v>
      </c>
      <c r="R97" s="75"/>
      <c r="S97" s="38">
        <f t="shared" si="8"/>
        <v>0</v>
      </c>
    </row>
    <row r="98" spans="1:19" ht="19.95" customHeight="1">
      <c r="A98" s="333">
        <v>45741</v>
      </c>
      <c r="B98" s="106"/>
      <c r="C98" s="106"/>
      <c r="D98" s="36">
        <f t="shared" si="5"/>
        <v>0</v>
      </c>
      <c r="E98" s="106"/>
      <c r="F98" s="106"/>
      <c r="G98" s="36">
        <f t="shared" si="6"/>
        <v>0</v>
      </c>
      <c r="H98" s="75"/>
      <c r="I98" s="106"/>
      <c r="J98" s="73"/>
      <c r="K98" s="75"/>
      <c r="L98" s="36">
        <f t="shared" si="9"/>
        <v>0</v>
      </c>
      <c r="M98" s="106"/>
      <c r="N98" s="73"/>
      <c r="O98" s="106"/>
      <c r="P98" s="73"/>
      <c r="Q98" s="36">
        <f t="shared" si="7"/>
        <v>0</v>
      </c>
      <c r="R98" s="75"/>
      <c r="S98" s="38">
        <f t="shared" si="8"/>
        <v>0</v>
      </c>
    </row>
    <row r="99" spans="1:19" ht="19.95" customHeight="1">
      <c r="A99" s="333">
        <v>45742</v>
      </c>
      <c r="B99" s="106"/>
      <c r="C99" s="106"/>
      <c r="D99" s="36">
        <f t="shared" si="5"/>
        <v>0</v>
      </c>
      <c r="E99" s="106"/>
      <c r="F99" s="106"/>
      <c r="G99" s="36">
        <f t="shared" si="6"/>
        <v>0</v>
      </c>
      <c r="H99" s="75"/>
      <c r="I99" s="106"/>
      <c r="J99" s="73"/>
      <c r="K99" s="75"/>
      <c r="L99" s="36">
        <f t="shared" si="9"/>
        <v>0</v>
      </c>
      <c r="M99" s="106"/>
      <c r="N99" s="73"/>
      <c r="O99" s="106"/>
      <c r="P99" s="73"/>
      <c r="Q99" s="36">
        <f t="shared" si="7"/>
        <v>0</v>
      </c>
      <c r="R99" s="75"/>
      <c r="S99" s="38">
        <f t="shared" si="8"/>
        <v>0</v>
      </c>
    </row>
    <row r="100" spans="1:19" ht="19.95" customHeight="1">
      <c r="A100" s="333">
        <v>45743</v>
      </c>
      <c r="B100" s="106"/>
      <c r="C100" s="106"/>
      <c r="D100" s="36">
        <f t="shared" si="5"/>
        <v>0</v>
      </c>
      <c r="E100" s="106"/>
      <c r="F100" s="106"/>
      <c r="G100" s="36">
        <f t="shared" si="6"/>
        <v>0</v>
      </c>
      <c r="H100" s="75"/>
      <c r="I100" s="106"/>
      <c r="J100" s="73"/>
      <c r="K100" s="75"/>
      <c r="L100" s="36">
        <f t="shared" si="9"/>
        <v>0</v>
      </c>
      <c r="M100" s="106"/>
      <c r="N100" s="73"/>
      <c r="O100" s="106"/>
      <c r="P100" s="73"/>
      <c r="Q100" s="36">
        <f t="shared" si="7"/>
        <v>0</v>
      </c>
      <c r="R100" s="75"/>
      <c r="S100" s="38">
        <f t="shared" si="8"/>
        <v>0</v>
      </c>
    </row>
    <row r="101" spans="1:19" ht="19.95" customHeight="1">
      <c r="A101" s="333">
        <v>45744</v>
      </c>
      <c r="B101" s="106"/>
      <c r="C101" s="106"/>
      <c r="D101" s="36">
        <f t="shared" si="5"/>
        <v>0</v>
      </c>
      <c r="E101" s="106"/>
      <c r="F101" s="106"/>
      <c r="G101" s="36">
        <f t="shared" si="6"/>
        <v>0</v>
      </c>
      <c r="H101" s="75"/>
      <c r="I101" s="106"/>
      <c r="J101" s="73"/>
      <c r="K101" s="75"/>
      <c r="L101" s="36">
        <f t="shared" si="9"/>
        <v>0</v>
      </c>
      <c r="M101" s="106"/>
      <c r="N101" s="73"/>
      <c r="O101" s="106"/>
      <c r="P101" s="73"/>
      <c r="Q101" s="36">
        <f t="shared" si="7"/>
        <v>0</v>
      </c>
      <c r="R101" s="75"/>
      <c r="S101" s="38">
        <f t="shared" si="8"/>
        <v>0</v>
      </c>
    </row>
    <row r="102" spans="1:19" ht="19.95" customHeight="1">
      <c r="A102" s="333">
        <v>45745</v>
      </c>
      <c r="B102" s="106"/>
      <c r="C102" s="106"/>
      <c r="D102" s="36">
        <f t="shared" si="5"/>
        <v>0</v>
      </c>
      <c r="E102" s="106"/>
      <c r="F102" s="106"/>
      <c r="G102" s="36">
        <f t="shared" si="6"/>
        <v>0</v>
      </c>
      <c r="H102" s="75"/>
      <c r="I102" s="106"/>
      <c r="J102" s="73"/>
      <c r="K102" s="75"/>
      <c r="L102" s="36">
        <f t="shared" si="9"/>
        <v>0</v>
      </c>
      <c r="M102" s="106"/>
      <c r="N102" s="73"/>
      <c r="O102" s="106"/>
      <c r="P102" s="73"/>
      <c r="Q102" s="36">
        <f t="shared" si="7"/>
        <v>0</v>
      </c>
      <c r="R102" s="75"/>
      <c r="S102" s="38">
        <f t="shared" si="8"/>
        <v>0</v>
      </c>
    </row>
    <row r="103" spans="1:19" ht="19.95" customHeight="1">
      <c r="A103" s="333">
        <v>45746</v>
      </c>
      <c r="B103" s="106"/>
      <c r="C103" s="106"/>
      <c r="D103" s="36">
        <f t="shared" si="5"/>
        <v>0</v>
      </c>
      <c r="E103" s="106"/>
      <c r="F103" s="106"/>
      <c r="G103" s="36">
        <f t="shared" si="6"/>
        <v>0</v>
      </c>
      <c r="H103" s="75"/>
      <c r="I103" s="106"/>
      <c r="J103" s="73"/>
      <c r="K103" s="75"/>
      <c r="L103" s="36">
        <f t="shared" si="9"/>
        <v>0</v>
      </c>
      <c r="M103" s="106"/>
      <c r="N103" s="73"/>
      <c r="O103" s="106"/>
      <c r="P103" s="73"/>
      <c r="Q103" s="36">
        <f t="shared" si="7"/>
        <v>0</v>
      </c>
      <c r="R103" s="75"/>
      <c r="S103" s="38">
        <f t="shared" si="8"/>
        <v>0</v>
      </c>
    </row>
    <row r="104" spans="1:19" ht="19.95" customHeight="1">
      <c r="A104" s="333">
        <v>45747</v>
      </c>
      <c r="B104" s="106"/>
      <c r="C104" s="106"/>
      <c r="D104" s="36">
        <f t="shared" si="5"/>
        <v>0</v>
      </c>
      <c r="E104" s="106"/>
      <c r="F104" s="106"/>
      <c r="G104" s="36">
        <f t="shared" si="6"/>
        <v>0</v>
      </c>
      <c r="H104" s="75"/>
      <c r="I104" s="106"/>
      <c r="J104" s="73"/>
      <c r="K104" s="75"/>
      <c r="L104" s="36">
        <f t="shared" si="9"/>
        <v>0</v>
      </c>
      <c r="M104" s="106"/>
      <c r="N104" s="73"/>
      <c r="O104" s="106"/>
      <c r="P104" s="73"/>
      <c r="Q104" s="36">
        <f t="shared" si="7"/>
        <v>0</v>
      </c>
      <c r="R104" s="75"/>
      <c r="S104" s="38">
        <f t="shared" si="8"/>
        <v>0</v>
      </c>
    </row>
    <row r="105" spans="1:19" ht="19.95" customHeight="1">
      <c r="A105" s="333">
        <v>45748</v>
      </c>
      <c r="B105" s="106"/>
      <c r="C105" s="106"/>
      <c r="D105" s="36">
        <f t="shared" si="5"/>
        <v>0</v>
      </c>
      <c r="E105" s="106"/>
      <c r="F105" s="106"/>
      <c r="G105" s="36">
        <f t="shared" si="6"/>
        <v>0</v>
      </c>
      <c r="H105" s="75"/>
      <c r="I105" s="106"/>
      <c r="J105" s="73"/>
      <c r="K105" s="75"/>
      <c r="L105" s="36">
        <f t="shared" si="9"/>
        <v>0</v>
      </c>
      <c r="M105" s="106"/>
      <c r="N105" s="73"/>
      <c r="O105" s="106"/>
      <c r="P105" s="73"/>
      <c r="Q105" s="36">
        <f t="shared" si="7"/>
        <v>0</v>
      </c>
      <c r="R105" s="75"/>
      <c r="S105" s="38">
        <f t="shared" si="8"/>
        <v>0</v>
      </c>
    </row>
    <row r="106" spans="1:19" ht="19.95" customHeight="1">
      <c r="A106" s="333">
        <v>45749</v>
      </c>
      <c r="B106" s="106"/>
      <c r="C106" s="106"/>
      <c r="D106" s="36">
        <f t="shared" si="5"/>
        <v>0</v>
      </c>
      <c r="E106" s="106"/>
      <c r="F106" s="106"/>
      <c r="G106" s="36">
        <f t="shared" si="6"/>
        <v>0</v>
      </c>
      <c r="H106" s="75"/>
      <c r="I106" s="106"/>
      <c r="J106" s="73"/>
      <c r="K106" s="75"/>
      <c r="L106" s="36">
        <f t="shared" si="9"/>
        <v>0</v>
      </c>
      <c r="M106" s="106"/>
      <c r="N106" s="73"/>
      <c r="O106" s="106"/>
      <c r="P106" s="73"/>
      <c r="Q106" s="36">
        <f t="shared" si="7"/>
        <v>0</v>
      </c>
      <c r="R106" s="75"/>
      <c r="S106" s="38">
        <f t="shared" si="8"/>
        <v>0</v>
      </c>
    </row>
    <row r="107" spans="1:19" ht="19.95" customHeight="1">
      <c r="A107" s="333">
        <v>45750</v>
      </c>
      <c r="B107" s="106"/>
      <c r="C107" s="106"/>
      <c r="D107" s="36">
        <f t="shared" si="5"/>
        <v>0</v>
      </c>
      <c r="E107" s="106"/>
      <c r="F107" s="106"/>
      <c r="G107" s="36">
        <f t="shared" si="6"/>
        <v>0</v>
      </c>
      <c r="H107" s="75"/>
      <c r="I107" s="106"/>
      <c r="J107" s="73"/>
      <c r="K107" s="75"/>
      <c r="L107" s="36">
        <f t="shared" si="9"/>
        <v>0</v>
      </c>
      <c r="M107" s="106"/>
      <c r="N107" s="73"/>
      <c r="O107" s="106"/>
      <c r="P107" s="73"/>
      <c r="Q107" s="36">
        <f t="shared" si="7"/>
        <v>0</v>
      </c>
      <c r="R107" s="75"/>
      <c r="S107" s="38">
        <f t="shared" si="8"/>
        <v>0</v>
      </c>
    </row>
    <row r="108" spans="1:19" ht="19.95" customHeight="1">
      <c r="A108" s="333">
        <v>45751</v>
      </c>
      <c r="B108" s="106"/>
      <c r="C108" s="106"/>
      <c r="D108" s="36">
        <f t="shared" si="5"/>
        <v>0</v>
      </c>
      <c r="E108" s="106"/>
      <c r="F108" s="106"/>
      <c r="G108" s="36">
        <f t="shared" si="6"/>
        <v>0</v>
      </c>
      <c r="H108" s="75"/>
      <c r="I108" s="106"/>
      <c r="J108" s="73"/>
      <c r="K108" s="75"/>
      <c r="L108" s="36">
        <f t="shared" si="9"/>
        <v>0</v>
      </c>
      <c r="M108" s="106"/>
      <c r="N108" s="73"/>
      <c r="O108" s="106"/>
      <c r="P108" s="73"/>
      <c r="Q108" s="36">
        <f t="shared" si="7"/>
        <v>0</v>
      </c>
      <c r="R108" s="75"/>
      <c r="S108" s="38">
        <f t="shared" si="8"/>
        <v>0</v>
      </c>
    </row>
    <row r="109" spans="1:19" ht="19.95" customHeight="1">
      <c r="A109" s="333">
        <v>45752</v>
      </c>
      <c r="B109" s="106"/>
      <c r="C109" s="106"/>
      <c r="D109" s="36">
        <f t="shared" si="5"/>
        <v>0</v>
      </c>
      <c r="E109" s="106"/>
      <c r="F109" s="106"/>
      <c r="G109" s="36">
        <f t="shared" si="6"/>
        <v>0</v>
      </c>
      <c r="H109" s="75"/>
      <c r="I109" s="106"/>
      <c r="J109" s="73"/>
      <c r="K109" s="75"/>
      <c r="L109" s="36">
        <f t="shared" si="9"/>
        <v>0</v>
      </c>
      <c r="M109" s="106"/>
      <c r="N109" s="73"/>
      <c r="O109" s="106"/>
      <c r="P109" s="73"/>
      <c r="Q109" s="36">
        <f t="shared" si="7"/>
        <v>0</v>
      </c>
      <c r="R109" s="75"/>
      <c r="S109" s="38">
        <f t="shared" si="8"/>
        <v>0</v>
      </c>
    </row>
    <row r="110" spans="1:19" ht="19.95" customHeight="1">
      <c r="A110" s="333">
        <v>45753</v>
      </c>
      <c r="B110" s="106"/>
      <c r="C110" s="106"/>
      <c r="D110" s="36">
        <f t="shared" si="5"/>
        <v>0</v>
      </c>
      <c r="E110" s="106"/>
      <c r="F110" s="106"/>
      <c r="G110" s="36">
        <f t="shared" si="6"/>
        <v>0</v>
      </c>
      <c r="H110" s="75"/>
      <c r="I110" s="106"/>
      <c r="J110" s="73"/>
      <c r="K110" s="75"/>
      <c r="L110" s="36">
        <f t="shared" si="9"/>
        <v>0</v>
      </c>
      <c r="M110" s="106"/>
      <c r="N110" s="73"/>
      <c r="O110" s="106"/>
      <c r="P110" s="73"/>
      <c r="Q110" s="36">
        <f t="shared" si="7"/>
        <v>0</v>
      </c>
      <c r="R110" s="75"/>
      <c r="S110" s="38">
        <f t="shared" si="8"/>
        <v>0</v>
      </c>
    </row>
    <row r="111" spans="1:19" ht="19.95" customHeight="1">
      <c r="A111" s="333">
        <v>45754</v>
      </c>
      <c r="B111" s="106"/>
      <c r="C111" s="106"/>
      <c r="D111" s="36">
        <f t="shared" si="5"/>
        <v>0</v>
      </c>
      <c r="E111" s="106"/>
      <c r="F111" s="106"/>
      <c r="G111" s="36">
        <f t="shared" si="6"/>
        <v>0</v>
      </c>
      <c r="H111" s="75"/>
      <c r="I111" s="106"/>
      <c r="J111" s="73"/>
      <c r="K111" s="75"/>
      <c r="L111" s="36">
        <f t="shared" si="9"/>
        <v>0</v>
      </c>
      <c r="M111" s="106"/>
      <c r="N111" s="73"/>
      <c r="O111" s="106"/>
      <c r="P111" s="73"/>
      <c r="Q111" s="36">
        <f t="shared" si="7"/>
        <v>0</v>
      </c>
      <c r="R111" s="75"/>
      <c r="S111" s="38">
        <f t="shared" si="8"/>
        <v>0</v>
      </c>
    </row>
    <row r="112" spans="1:19" ht="19.95" customHeight="1">
      <c r="A112" s="333">
        <v>45755</v>
      </c>
      <c r="B112" s="106"/>
      <c r="C112" s="106"/>
      <c r="D112" s="36">
        <f t="shared" si="5"/>
        <v>0</v>
      </c>
      <c r="E112" s="106"/>
      <c r="F112" s="106"/>
      <c r="G112" s="36">
        <f t="shared" si="6"/>
        <v>0</v>
      </c>
      <c r="H112" s="75"/>
      <c r="I112" s="106"/>
      <c r="J112" s="73"/>
      <c r="K112" s="75"/>
      <c r="L112" s="36">
        <f t="shared" si="9"/>
        <v>0</v>
      </c>
      <c r="M112" s="106"/>
      <c r="N112" s="73"/>
      <c r="O112" s="106"/>
      <c r="P112" s="73"/>
      <c r="Q112" s="36">
        <f t="shared" si="7"/>
        <v>0</v>
      </c>
      <c r="R112" s="75"/>
      <c r="S112" s="38">
        <f t="shared" si="8"/>
        <v>0</v>
      </c>
    </row>
    <row r="113" spans="1:19" ht="19.95" customHeight="1">
      <c r="A113" s="333">
        <v>45756</v>
      </c>
      <c r="B113" s="106"/>
      <c r="C113" s="106"/>
      <c r="D113" s="36">
        <f t="shared" si="5"/>
        <v>0</v>
      </c>
      <c r="E113" s="106"/>
      <c r="F113" s="106"/>
      <c r="G113" s="36">
        <f t="shared" si="6"/>
        <v>0</v>
      </c>
      <c r="H113" s="75"/>
      <c r="I113" s="106"/>
      <c r="J113" s="73"/>
      <c r="K113" s="75"/>
      <c r="L113" s="36">
        <f t="shared" si="9"/>
        <v>0</v>
      </c>
      <c r="M113" s="106"/>
      <c r="N113" s="73"/>
      <c r="O113" s="106"/>
      <c r="P113" s="73"/>
      <c r="Q113" s="36">
        <f t="shared" si="7"/>
        <v>0</v>
      </c>
      <c r="R113" s="75"/>
      <c r="S113" s="38">
        <f t="shared" si="8"/>
        <v>0</v>
      </c>
    </row>
    <row r="114" spans="1:19" ht="19.95" customHeight="1">
      <c r="A114" s="333">
        <v>45757</v>
      </c>
      <c r="B114" s="106"/>
      <c r="C114" s="106"/>
      <c r="D114" s="36">
        <f t="shared" si="5"/>
        <v>0</v>
      </c>
      <c r="E114" s="106"/>
      <c r="F114" s="106"/>
      <c r="G114" s="36">
        <f t="shared" si="6"/>
        <v>0</v>
      </c>
      <c r="H114" s="75"/>
      <c r="I114" s="106"/>
      <c r="J114" s="73"/>
      <c r="K114" s="75"/>
      <c r="L114" s="36">
        <f t="shared" si="9"/>
        <v>0</v>
      </c>
      <c r="M114" s="106"/>
      <c r="N114" s="73"/>
      <c r="O114" s="106"/>
      <c r="P114" s="73"/>
      <c r="Q114" s="36">
        <f t="shared" si="7"/>
        <v>0</v>
      </c>
      <c r="R114" s="75"/>
      <c r="S114" s="38">
        <f t="shared" si="8"/>
        <v>0</v>
      </c>
    </row>
    <row r="115" spans="1:19" ht="19.95" customHeight="1">
      <c r="A115" s="333">
        <v>45758</v>
      </c>
      <c r="B115" s="106"/>
      <c r="C115" s="106"/>
      <c r="D115" s="36">
        <f t="shared" si="5"/>
        <v>0</v>
      </c>
      <c r="E115" s="106"/>
      <c r="F115" s="106"/>
      <c r="G115" s="36">
        <f t="shared" si="6"/>
        <v>0</v>
      </c>
      <c r="H115" s="75"/>
      <c r="I115" s="106"/>
      <c r="J115" s="73"/>
      <c r="K115" s="75"/>
      <c r="L115" s="36">
        <f t="shared" si="9"/>
        <v>0</v>
      </c>
      <c r="M115" s="106"/>
      <c r="N115" s="73"/>
      <c r="O115" s="106"/>
      <c r="P115" s="73"/>
      <c r="Q115" s="36">
        <f t="shared" si="7"/>
        <v>0</v>
      </c>
      <c r="R115" s="75"/>
      <c r="S115" s="38">
        <f t="shared" si="8"/>
        <v>0</v>
      </c>
    </row>
    <row r="116" spans="1:19" ht="19.95" customHeight="1">
      <c r="A116" s="333">
        <v>45759</v>
      </c>
      <c r="B116" s="106"/>
      <c r="C116" s="106"/>
      <c r="D116" s="36">
        <f t="shared" si="5"/>
        <v>0</v>
      </c>
      <c r="E116" s="106"/>
      <c r="F116" s="106"/>
      <c r="G116" s="36">
        <f t="shared" si="6"/>
        <v>0</v>
      </c>
      <c r="H116" s="75"/>
      <c r="I116" s="106"/>
      <c r="J116" s="73"/>
      <c r="K116" s="75"/>
      <c r="L116" s="36">
        <f t="shared" si="9"/>
        <v>0</v>
      </c>
      <c r="M116" s="106"/>
      <c r="N116" s="73"/>
      <c r="O116" s="106"/>
      <c r="P116" s="73"/>
      <c r="Q116" s="36">
        <f t="shared" si="7"/>
        <v>0</v>
      </c>
      <c r="R116" s="75"/>
      <c r="S116" s="38">
        <f t="shared" si="8"/>
        <v>0</v>
      </c>
    </row>
    <row r="117" spans="1:19" ht="19.95" customHeight="1">
      <c r="A117" s="333">
        <v>45760</v>
      </c>
      <c r="B117" s="106"/>
      <c r="C117" s="106"/>
      <c r="D117" s="36">
        <f t="shared" si="5"/>
        <v>0</v>
      </c>
      <c r="E117" s="106"/>
      <c r="F117" s="106"/>
      <c r="G117" s="36">
        <f t="shared" si="6"/>
        <v>0</v>
      </c>
      <c r="H117" s="75"/>
      <c r="I117" s="106"/>
      <c r="J117" s="73"/>
      <c r="K117" s="75"/>
      <c r="L117" s="36">
        <f t="shared" si="9"/>
        <v>0</v>
      </c>
      <c r="M117" s="106"/>
      <c r="N117" s="73"/>
      <c r="O117" s="106"/>
      <c r="P117" s="73"/>
      <c r="Q117" s="36">
        <f t="shared" si="7"/>
        <v>0</v>
      </c>
      <c r="R117" s="75"/>
      <c r="S117" s="38">
        <f t="shared" si="8"/>
        <v>0</v>
      </c>
    </row>
    <row r="118" spans="1:19" ht="19.95" customHeight="1">
      <c r="A118" s="333">
        <v>45761</v>
      </c>
      <c r="B118" s="106"/>
      <c r="C118" s="106"/>
      <c r="D118" s="36">
        <f t="shared" si="5"/>
        <v>0</v>
      </c>
      <c r="E118" s="106"/>
      <c r="F118" s="106"/>
      <c r="G118" s="36">
        <f t="shared" si="6"/>
        <v>0</v>
      </c>
      <c r="H118" s="75"/>
      <c r="I118" s="106"/>
      <c r="J118" s="73"/>
      <c r="K118" s="75"/>
      <c r="L118" s="36">
        <f t="shared" si="9"/>
        <v>0</v>
      </c>
      <c r="M118" s="106"/>
      <c r="N118" s="73"/>
      <c r="O118" s="106"/>
      <c r="P118" s="73"/>
      <c r="Q118" s="36">
        <f t="shared" si="7"/>
        <v>0</v>
      </c>
      <c r="R118" s="75"/>
      <c r="S118" s="38">
        <f t="shared" si="8"/>
        <v>0</v>
      </c>
    </row>
    <row r="119" spans="1:19" ht="19.95" customHeight="1">
      <c r="A119" s="333">
        <v>45762</v>
      </c>
      <c r="B119" s="106"/>
      <c r="C119" s="106"/>
      <c r="D119" s="36">
        <f t="shared" si="5"/>
        <v>0</v>
      </c>
      <c r="E119" s="106"/>
      <c r="F119" s="106"/>
      <c r="G119" s="36">
        <f t="shared" si="6"/>
        <v>0</v>
      </c>
      <c r="H119" s="75"/>
      <c r="I119" s="106"/>
      <c r="J119" s="73"/>
      <c r="K119" s="75"/>
      <c r="L119" s="36">
        <f t="shared" si="9"/>
        <v>0</v>
      </c>
      <c r="M119" s="106"/>
      <c r="N119" s="73"/>
      <c r="O119" s="106"/>
      <c r="P119" s="73"/>
      <c r="Q119" s="36">
        <f t="shared" si="7"/>
        <v>0</v>
      </c>
      <c r="R119" s="75"/>
      <c r="S119" s="38">
        <f t="shared" si="8"/>
        <v>0</v>
      </c>
    </row>
    <row r="120" spans="1:19" ht="19.95" customHeight="1">
      <c r="A120" s="333">
        <v>45763</v>
      </c>
      <c r="B120" s="106"/>
      <c r="C120" s="106"/>
      <c r="D120" s="36">
        <f t="shared" si="5"/>
        <v>0</v>
      </c>
      <c r="E120" s="106"/>
      <c r="F120" s="106"/>
      <c r="G120" s="36">
        <f t="shared" si="6"/>
        <v>0</v>
      </c>
      <c r="H120" s="75"/>
      <c r="I120" s="106"/>
      <c r="J120" s="73"/>
      <c r="K120" s="75"/>
      <c r="L120" s="36">
        <f t="shared" si="9"/>
        <v>0</v>
      </c>
      <c r="M120" s="106"/>
      <c r="N120" s="73"/>
      <c r="O120" s="106"/>
      <c r="P120" s="73"/>
      <c r="Q120" s="36">
        <f t="shared" si="7"/>
        <v>0</v>
      </c>
      <c r="R120" s="75"/>
      <c r="S120" s="38">
        <f t="shared" si="8"/>
        <v>0</v>
      </c>
    </row>
    <row r="121" spans="1:19" ht="19.95" customHeight="1">
      <c r="A121" s="333">
        <v>45764</v>
      </c>
      <c r="B121" s="106"/>
      <c r="C121" s="106"/>
      <c r="D121" s="36">
        <f t="shared" si="5"/>
        <v>0</v>
      </c>
      <c r="E121" s="106"/>
      <c r="F121" s="106"/>
      <c r="G121" s="36">
        <f t="shared" si="6"/>
        <v>0</v>
      </c>
      <c r="H121" s="75"/>
      <c r="I121" s="106"/>
      <c r="J121" s="73"/>
      <c r="K121" s="75"/>
      <c r="L121" s="36">
        <f t="shared" si="9"/>
        <v>0</v>
      </c>
      <c r="M121" s="106"/>
      <c r="N121" s="73"/>
      <c r="O121" s="106"/>
      <c r="P121" s="73"/>
      <c r="Q121" s="36">
        <f t="shared" si="7"/>
        <v>0</v>
      </c>
      <c r="R121" s="75"/>
      <c r="S121" s="38">
        <f t="shared" si="8"/>
        <v>0</v>
      </c>
    </row>
    <row r="122" spans="1:19" ht="19.95" customHeight="1">
      <c r="A122" s="333">
        <v>45765</v>
      </c>
      <c r="B122" s="106"/>
      <c r="C122" s="106"/>
      <c r="D122" s="36">
        <f t="shared" si="5"/>
        <v>0</v>
      </c>
      <c r="E122" s="106"/>
      <c r="F122" s="106"/>
      <c r="G122" s="36">
        <f t="shared" si="6"/>
        <v>0</v>
      </c>
      <c r="H122" s="75"/>
      <c r="I122" s="106"/>
      <c r="J122" s="73"/>
      <c r="K122" s="75"/>
      <c r="L122" s="36">
        <f t="shared" si="9"/>
        <v>0</v>
      </c>
      <c r="M122" s="106"/>
      <c r="N122" s="73"/>
      <c r="O122" s="106"/>
      <c r="P122" s="73"/>
      <c r="Q122" s="36">
        <f t="shared" si="7"/>
        <v>0</v>
      </c>
      <c r="R122" s="75"/>
      <c r="S122" s="38">
        <f t="shared" si="8"/>
        <v>0</v>
      </c>
    </row>
    <row r="123" spans="1:19" ht="19.95" customHeight="1">
      <c r="A123" s="333">
        <v>45766</v>
      </c>
      <c r="B123" s="106"/>
      <c r="C123" s="106"/>
      <c r="D123" s="36">
        <f t="shared" si="5"/>
        <v>0</v>
      </c>
      <c r="E123" s="106"/>
      <c r="F123" s="106"/>
      <c r="G123" s="36">
        <f t="shared" si="6"/>
        <v>0</v>
      </c>
      <c r="H123" s="75"/>
      <c r="I123" s="106"/>
      <c r="J123" s="73"/>
      <c r="K123" s="75"/>
      <c r="L123" s="36">
        <f t="shared" si="9"/>
        <v>0</v>
      </c>
      <c r="M123" s="106"/>
      <c r="N123" s="73"/>
      <c r="O123" s="106"/>
      <c r="P123" s="73"/>
      <c r="Q123" s="36">
        <f t="shared" si="7"/>
        <v>0</v>
      </c>
      <c r="R123" s="75"/>
      <c r="S123" s="38">
        <f t="shared" si="8"/>
        <v>0</v>
      </c>
    </row>
    <row r="124" spans="1:19" ht="19.95" customHeight="1">
      <c r="A124" s="333">
        <v>45767</v>
      </c>
      <c r="B124" s="106"/>
      <c r="C124" s="106"/>
      <c r="D124" s="36">
        <f t="shared" si="5"/>
        <v>0</v>
      </c>
      <c r="E124" s="106"/>
      <c r="F124" s="106"/>
      <c r="G124" s="36">
        <f t="shared" si="6"/>
        <v>0</v>
      </c>
      <c r="H124" s="75"/>
      <c r="I124" s="106"/>
      <c r="J124" s="73"/>
      <c r="K124" s="75"/>
      <c r="L124" s="36">
        <f t="shared" si="9"/>
        <v>0</v>
      </c>
      <c r="M124" s="106"/>
      <c r="N124" s="73"/>
      <c r="O124" s="106"/>
      <c r="P124" s="73"/>
      <c r="Q124" s="36">
        <f t="shared" si="7"/>
        <v>0</v>
      </c>
      <c r="R124" s="75"/>
      <c r="S124" s="38">
        <f t="shared" si="8"/>
        <v>0</v>
      </c>
    </row>
    <row r="125" spans="1:19" ht="19.95" customHeight="1">
      <c r="A125" s="333">
        <v>45768</v>
      </c>
      <c r="B125" s="106"/>
      <c r="C125" s="106"/>
      <c r="D125" s="36">
        <f t="shared" si="5"/>
        <v>0</v>
      </c>
      <c r="E125" s="106"/>
      <c r="F125" s="106"/>
      <c r="G125" s="36">
        <f t="shared" si="6"/>
        <v>0</v>
      </c>
      <c r="H125" s="75"/>
      <c r="I125" s="106"/>
      <c r="J125" s="73"/>
      <c r="K125" s="75"/>
      <c r="L125" s="36">
        <f t="shared" si="9"/>
        <v>0</v>
      </c>
      <c r="M125" s="106"/>
      <c r="N125" s="73"/>
      <c r="O125" s="106"/>
      <c r="P125" s="73"/>
      <c r="Q125" s="36">
        <f t="shared" si="7"/>
        <v>0</v>
      </c>
      <c r="R125" s="75"/>
      <c r="S125" s="38">
        <f t="shared" si="8"/>
        <v>0</v>
      </c>
    </row>
    <row r="126" spans="1:19" ht="19.95" customHeight="1">
      <c r="A126" s="333">
        <v>45769</v>
      </c>
      <c r="B126" s="106"/>
      <c r="C126" s="106"/>
      <c r="D126" s="36">
        <f t="shared" si="5"/>
        <v>0</v>
      </c>
      <c r="E126" s="106"/>
      <c r="F126" s="106"/>
      <c r="G126" s="36">
        <f t="shared" si="6"/>
        <v>0</v>
      </c>
      <c r="H126" s="75"/>
      <c r="I126" s="106"/>
      <c r="J126" s="73"/>
      <c r="K126" s="75"/>
      <c r="L126" s="36">
        <f t="shared" si="9"/>
        <v>0</v>
      </c>
      <c r="M126" s="106"/>
      <c r="N126" s="73"/>
      <c r="O126" s="106"/>
      <c r="P126" s="73"/>
      <c r="Q126" s="36">
        <f t="shared" si="7"/>
        <v>0</v>
      </c>
      <c r="R126" s="75"/>
      <c r="S126" s="38">
        <f t="shared" si="8"/>
        <v>0</v>
      </c>
    </row>
    <row r="127" spans="1:19" ht="19.95" customHeight="1">
      <c r="A127" s="333">
        <v>45770</v>
      </c>
      <c r="B127" s="106"/>
      <c r="C127" s="106"/>
      <c r="D127" s="36">
        <f t="shared" si="5"/>
        <v>0</v>
      </c>
      <c r="E127" s="106"/>
      <c r="F127" s="106"/>
      <c r="G127" s="36">
        <f t="shared" si="6"/>
        <v>0</v>
      </c>
      <c r="H127" s="75"/>
      <c r="I127" s="106"/>
      <c r="J127" s="73"/>
      <c r="K127" s="75"/>
      <c r="L127" s="36">
        <f t="shared" si="9"/>
        <v>0</v>
      </c>
      <c r="M127" s="106"/>
      <c r="N127" s="73"/>
      <c r="O127" s="106"/>
      <c r="P127" s="73"/>
      <c r="Q127" s="36">
        <f t="shared" si="7"/>
        <v>0</v>
      </c>
      <c r="R127" s="75"/>
      <c r="S127" s="38">
        <f t="shared" si="8"/>
        <v>0</v>
      </c>
    </row>
    <row r="128" spans="1:19" ht="19.95" customHeight="1">
      <c r="A128" s="333">
        <v>45771</v>
      </c>
      <c r="B128" s="106"/>
      <c r="C128" s="106"/>
      <c r="D128" s="36">
        <f t="shared" si="5"/>
        <v>0</v>
      </c>
      <c r="E128" s="106"/>
      <c r="F128" s="106"/>
      <c r="G128" s="36">
        <f t="shared" si="6"/>
        <v>0</v>
      </c>
      <c r="H128" s="75"/>
      <c r="I128" s="106"/>
      <c r="J128" s="73"/>
      <c r="K128" s="75"/>
      <c r="L128" s="36">
        <f t="shared" si="9"/>
        <v>0</v>
      </c>
      <c r="M128" s="106"/>
      <c r="N128" s="73"/>
      <c r="O128" s="106"/>
      <c r="P128" s="73"/>
      <c r="Q128" s="36">
        <f t="shared" si="7"/>
        <v>0</v>
      </c>
      <c r="R128" s="75"/>
      <c r="S128" s="38">
        <f t="shared" si="8"/>
        <v>0</v>
      </c>
    </row>
    <row r="129" spans="1:19" ht="19.95" customHeight="1">
      <c r="A129" s="333">
        <v>45772</v>
      </c>
      <c r="B129" s="106"/>
      <c r="C129" s="106"/>
      <c r="D129" s="36">
        <f t="shared" si="5"/>
        <v>0</v>
      </c>
      <c r="E129" s="106"/>
      <c r="F129" s="106"/>
      <c r="G129" s="36">
        <f t="shared" si="6"/>
        <v>0</v>
      </c>
      <c r="H129" s="75"/>
      <c r="I129" s="106"/>
      <c r="J129" s="73"/>
      <c r="K129" s="75"/>
      <c r="L129" s="36">
        <f t="shared" si="9"/>
        <v>0</v>
      </c>
      <c r="M129" s="106"/>
      <c r="N129" s="73"/>
      <c r="O129" s="106"/>
      <c r="P129" s="73"/>
      <c r="Q129" s="36">
        <f t="shared" si="7"/>
        <v>0</v>
      </c>
      <c r="R129" s="75"/>
      <c r="S129" s="38">
        <f t="shared" si="8"/>
        <v>0</v>
      </c>
    </row>
    <row r="130" spans="1:19" ht="19.95" customHeight="1">
      <c r="A130" s="333">
        <v>45773</v>
      </c>
      <c r="B130" s="106"/>
      <c r="C130" s="106"/>
      <c r="D130" s="36">
        <f t="shared" si="5"/>
        <v>0</v>
      </c>
      <c r="E130" s="106"/>
      <c r="F130" s="106"/>
      <c r="G130" s="36">
        <f t="shared" si="6"/>
        <v>0</v>
      </c>
      <c r="H130" s="75"/>
      <c r="I130" s="106"/>
      <c r="J130" s="73"/>
      <c r="K130" s="75"/>
      <c r="L130" s="36">
        <f t="shared" si="9"/>
        <v>0</v>
      </c>
      <c r="M130" s="106"/>
      <c r="N130" s="73"/>
      <c r="O130" s="106"/>
      <c r="P130" s="73"/>
      <c r="Q130" s="36">
        <f t="shared" si="7"/>
        <v>0</v>
      </c>
      <c r="R130" s="75"/>
      <c r="S130" s="38">
        <f t="shared" si="8"/>
        <v>0</v>
      </c>
    </row>
    <row r="131" spans="1:19" ht="19.95" customHeight="1">
      <c r="A131" s="333">
        <v>45774</v>
      </c>
      <c r="B131" s="106"/>
      <c r="C131" s="106"/>
      <c r="D131" s="36">
        <f t="shared" si="5"/>
        <v>0</v>
      </c>
      <c r="E131" s="106"/>
      <c r="F131" s="106"/>
      <c r="G131" s="36">
        <f t="shared" si="6"/>
        <v>0</v>
      </c>
      <c r="H131" s="75"/>
      <c r="I131" s="106"/>
      <c r="J131" s="73"/>
      <c r="K131" s="75"/>
      <c r="L131" s="36">
        <f t="shared" si="9"/>
        <v>0</v>
      </c>
      <c r="M131" s="106"/>
      <c r="N131" s="73"/>
      <c r="O131" s="106"/>
      <c r="P131" s="73"/>
      <c r="Q131" s="36">
        <f t="shared" si="7"/>
        <v>0</v>
      </c>
      <c r="R131" s="75"/>
      <c r="S131" s="38">
        <f t="shared" si="8"/>
        <v>0</v>
      </c>
    </row>
    <row r="132" spans="1:19" ht="19.95" customHeight="1">
      <c r="A132" s="333">
        <v>45775</v>
      </c>
      <c r="B132" s="106"/>
      <c r="C132" s="106"/>
      <c r="D132" s="36">
        <f t="shared" si="5"/>
        <v>0</v>
      </c>
      <c r="E132" s="106"/>
      <c r="F132" s="106"/>
      <c r="G132" s="36">
        <f t="shared" si="6"/>
        <v>0</v>
      </c>
      <c r="H132" s="75"/>
      <c r="I132" s="106"/>
      <c r="J132" s="73"/>
      <c r="K132" s="75"/>
      <c r="L132" s="36">
        <f t="shared" si="9"/>
        <v>0</v>
      </c>
      <c r="M132" s="106"/>
      <c r="N132" s="73"/>
      <c r="O132" s="106"/>
      <c r="P132" s="73"/>
      <c r="Q132" s="36">
        <f t="shared" si="7"/>
        <v>0</v>
      </c>
      <c r="R132" s="75"/>
      <c r="S132" s="38">
        <f t="shared" si="8"/>
        <v>0</v>
      </c>
    </row>
    <row r="133" spans="1:19" ht="19.95" customHeight="1">
      <c r="A133" s="333">
        <v>45776</v>
      </c>
      <c r="B133" s="106"/>
      <c r="C133" s="106"/>
      <c r="D133" s="36">
        <f t="shared" si="5"/>
        <v>0</v>
      </c>
      <c r="E133" s="106"/>
      <c r="F133" s="106"/>
      <c r="G133" s="36">
        <f t="shared" si="6"/>
        <v>0</v>
      </c>
      <c r="H133" s="75"/>
      <c r="I133" s="106"/>
      <c r="J133" s="73"/>
      <c r="K133" s="75"/>
      <c r="L133" s="36">
        <f t="shared" si="9"/>
        <v>0</v>
      </c>
      <c r="M133" s="106"/>
      <c r="N133" s="73"/>
      <c r="O133" s="106"/>
      <c r="P133" s="73"/>
      <c r="Q133" s="36">
        <f t="shared" si="7"/>
        <v>0</v>
      </c>
      <c r="R133" s="75"/>
      <c r="S133" s="38">
        <f t="shared" si="8"/>
        <v>0</v>
      </c>
    </row>
    <row r="134" spans="1:19" ht="19.95" customHeight="1">
      <c r="A134" s="333">
        <v>45777</v>
      </c>
      <c r="B134" s="106"/>
      <c r="C134" s="106"/>
      <c r="D134" s="36">
        <f t="shared" si="5"/>
        <v>0</v>
      </c>
      <c r="E134" s="106"/>
      <c r="F134" s="106"/>
      <c r="G134" s="36">
        <f t="shared" si="6"/>
        <v>0</v>
      </c>
      <c r="H134" s="75"/>
      <c r="I134" s="106"/>
      <c r="J134" s="73"/>
      <c r="K134" s="75"/>
      <c r="L134" s="36">
        <f t="shared" si="9"/>
        <v>0</v>
      </c>
      <c r="M134" s="106"/>
      <c r="N134" s="73"/>
      <c r="O134" s="106"/>
      <c r="P134" s="73"/>
      <c r="Q134" s="36">
        <f t="shared" si="7"/>
        <v>0</v>
      </c>
      <c r="R134" s="75"/>
      <c r="S134" s="38">
        <f t="shared" si="8"/>
        <v>0</v>
      </c>
    </row>
    <row r="135" spans="1:19" ht="19.95" customHeight="1">
      <c r="A135" s="333">
        <v>45778</v>
      </c>
      <c r="B135" s="106"/>
      <c r="C135" s="106"/>
      <c r="D135" s="36">
        <f t="shared" si="5"/>
        <v>0</v>
      </c>
      <c r="E135" s="106"/>
      <c r="F135" s="106"/>
      <c r="G135" s="36">
        <f t="shared" si="6"/>
        <v>0</v>
      </c>
      <c r="H135" s="75"/>
      <c r="I135" s="106"/>
      <c r="J135" s="73"/>
      <c r="K135" s="75"/>
      <c r="L135" s="36">
        <f t="shared" si="9"/>
        <v>0</v>
      </c>
      <c r="M135" s="106"/>
      <c r="N135" s="73"/>
      <c r="O135" s="106"/>
      <c r="P135" s="73"/>
      <c r="Q135" s="36">
        <f t="shared" si="7"/>
        <v>0</v>
      </c>
      <c r="R135" s="75"/>
      <c r="S135" s="38">
        <f t="shared" si="8"/>
        <v>0</v>
      </c>
    </row>
    <row r="136" spans="1:19" ht="19.95" customHeight="1">
      <c r="A136" s="333">
        <v>45779</v>
      </c>
      <c r="B136" s="106"/>
      <c r="C136" s="106"/>
      <c r="D136" s="36">
        <f t="shared" si="5"/>
        <v>0</v>
      </c>
      <c r="E136" s="106"/>
      <c r="F136" s="106"/>
      <c r="G136" s="36">
        <f t="shared" si="6"/>
        <v>0</v>
      </c>
      <c r="H136" s="75"/>
      <c r="I136" s="106"/>
      <c r="J136" s="73"/>
      <c r="K136" s="75"/>
      <c r="L136" s="36">
        <f t="shared" si="9"/>
        <v>0</v>
      </c>
      <c r="M136" s="106"/>
      <c r="N136" s="73"/>
      <c r="O136" s="106"/>
      <c r="P136" s="73"/>
      <c r="Q136" s="36">
        <f t="shared" si="7"/>
        <v>0</v>
      </c>
      <c r="R136" s="75"/>
      <c r="S136" s="38">
        <f t="shared" si="8"/>
        <v>0</v>
      </c>
    </row>
    <row r="137" spans="1:19" ht="19.95" customHeight="1">
      <c r="A137" s="333">
        <v>45780</v>
      </c>
      <c r="B137" s="106"/>
      <c r="C137" s="106"/>
      <c r="D137" s="36">
        <f t="shared" si="5"/>
        <v>0</v>
      </c>
      <c r="E137" s="106"/>
      <c r="F137" s="106"/>
      <c r="G137" s="36">
        <f t="shared" si="6"/>
        <v>0</v>
      </c>
      <c r="H137" s="75"/>
      <c r="I137" s="106"/>
      <c r="J137" s="73"/>
      <c r="K137" s="75"/>
      <c r="L137" s="36">
        <f t="shared" si="9"/>
        <v>0</v>
      </c>
      <c r="M137" s="106"/>
      <c r="N137" s="73"/>
      <c r="O137" s="106"/>
      <c r="P137" s="73"/>
      <c r="Q137" s="36">
        <f t="shared" si="7"/>
        <v>0</v>
      </c>
      <c r="R137" s="75"/>
      <c r="S137" s="38">
        <f t="shared" si="8"/>
        <v>0</v>
      </c>
    </row>
    <row r="138" spans="1:19" ht="19.95" customHeight="1">
      <c r="A138" s="333">
        <v>45781</v>
      </c>
      <c r="B138" s="106"/>
      <c r="C138" s="106"/>
      <c r="D138" s="36">
        <f t="shared" si="5"/>
        <v>0</v>
      </c>
      <c r="E138" s="106"/>
      <c r="F138" s="106"/>
      <c r="G138" s="36">
        <f t="shared" si="6"/>
        <v>0</v>
      </c>
      <c r="H138" s="75"/>
      <c r="I138" s="106"/>
      <c r="J138" s="73"/>
      <c r="K138" s="75"/>
      <c r="L138" s="36">
        <f t="shared" si="9"/>
        <v>0</v>
      </c>
      <c r="M138" s="106"/>
      <c r="N138" s="73"/>
      <c r="O138" s="106"/>
      <c r="P138" s="73"/>
      <c r="Q138" s="36">
        <f t="shared" si="7"/>
        <v>0</v>
      </c>
      <c r="R138" s="75"/>
      <c r="S138" s="38">
        <f t="shared" si="8"/>
        <v>0</v>
      </c>
    </row>
    <row r="139" spans="1:19" ht="19.95" customHeight="1">
      <c r="A139" s="333">
        <v>45782</v>
      </c>
      <c r="B139" s="106"/>
      <c r="C139" s="106"/>
      <c r="D139" s="36">
        <f t="shared" si="5"/>
        <v>0</v>
      </c>
      <c r="E139" s="106"/>
      <c r="F139" s="106"/>
      <c r="G139" s="36">
        <f t="shared" si="6"/>
        <v>0</v>
      </c>
      <c r="H139" s="75"/>
      <c r="I139" s="106"/>
      <c r="J139" s="73"/>
      <c r="K139" s="75"/>
      <c r="L139" s="36">
        <f t="shared" si="9"/>
        <v>0</v>
      </c>
      <c r="M139" s="106"/>
      <c r="N139" s="73"/>
      <c r="O139" s="106"/>
      <c r="P139" s="73"/>
      <c r="Q139" s="36">
        <f t="shared" si="7"/>
        <v>0</v>
      </c>
      <c r="R139" s="75"/>
      <c r="S139" s="38">
        <f t="shared" si="8"/>
        <v>0</v>
      </c>
    </row>
    <row r="140" spans="1:19" ht="19.95" customHeight="1">
      <c r="A140" s="333">
        <v>45783</v>
      </c>
      <c r="B140" s="106"/>
      <c r="C140" s="106"/>
      <c r="D140" s="36">
        <f t="shared" si="5"/>
        <v>0</v>
      </c>
      <c r="E140" s="106"/>
      <c r="F140" s="106"/>
      <c r="G140" s="36">
        <f t="shared" si="6"/>
        <v>0</v>
      </c>
      <c r="H140" s="75"/>
      <c r="I140" s="106"/>
      <c r="J140" s="73"/>
      <c r="K140" s="75"/>
      <c r="L140" s="36">
        <f t="shared" si="9"/>
        <v>0</v>
      </c>
      <c r="M140" s="106"/>
      <c r="N140" s="73"/>
      <c r="O140" s="106"/>
      <c r="P140" s="73"/>
      <c r="Q140" s="36">
        <f t="shared" si="7"/>
        <v>0</v>
      </c>
      <c r="R140" s="75"/>
      <c r="S140" s="38">
        <f t="shared" si="8"/>
        <v>0</v>
      </c>
    </row>
    <row r="141" spans="1:19" ht="19.95" customHeight="1">
      <c r="A141" s="333">
        <v>45784</v>
      </c>
      <c r="B141" s="106"/>
      <c r="C141" s="106"/>
      <c r="D141" s="36">
        <f t="shared" si="5"/>
        <v>0</v>
      </c>
      <c r="E141" s="106"/>
      <c r="F141" s="106"/>
      <c r="G141" s="36">
        <f t="shared" si="6"/>
        <v>0</v>
      </c>
      <c r="H141" s="75"/>
      <c r="I141" s="106"/>
      <c r="J141" s="73"/>
      <c r="K141" s="75"/>
      <c r="L141" s="36">
        <f t="shared" si="9"/>
        <v>0</v>
      </c>
      <c r="M141" s="106"/>
      <c r="N141" s="73"/>
      <c r="O141" s="106"/>
      <c r="P141" s="73"/>
      <c r="Q141" s="36">
        <f t="shared" si="7"/>
        <v>0</v>
      </c>
      <c r="R141" s="75"/>
      <c r="S141" s="38">
        <f t="shared" si="8"/>
        <v>0</v>
      </c>
    </row>
    <row r="142" spans="1:19" ht="19.95" customHeight="1">
      <c r="A142" s="333">
        <v>45785</v>
      </c>
      <c r="B142" s="106"/>
      <c r="C142" s="106"/>
      <c r="D142" s="36">
        <f t="shared" si="5"/>
        <v>0</v>
      </c>
      <c r="E142" s="106"/>
      <c r="F142" s="106"/>
      <c r="G142" s="36">
        <f t="shared" si="6"/>
        <v>0</v>
      </c>
      <c r="H142" s="75"/>
      <c r="I142" s="106"/>
      <c r="J142" s="73"/>
      <c r="K142" s="75"/>
      <c r="L142" s="36">
        <f t="shared" si="9"/>
        <v>0</v>
      </c>
      <c r="M142" s="106"/>
      <c r="N142" s="73"/>
      <c r="O142" s="106"/>
      <c r="P142" s="73"/>
      <c r="Q142" s="36">
        <f t="shared" si="7"/>
        <v>0</v>
      </c>
      <c r="R142" s="75"/>
      <c r="S142" s="38">
        <f t="shared" si="8"/>
        <v>0</v>
      </c>
    </row>
    <row r="143" spans="1:19" ht="19.95" customHeight="1">
      <c r="A143" s="333">
        <v>45786</v>
      </c>
      <c r="B143" s="106"/>
      <c r="C143" s="106"/>
      <c r="D143" s="36">
        <f t="shared" ref="D143:D206" si="10">SUM(B143:C143)*$D$13/360</f>
        <v>0</v>
      </c>
      <c r="E143" s="106"/>
      <c r="F143" s="106"/>
      <c r="G143" s="36">
        <f t="shared" ref="G143:G206" si="11">SUM(E143:F143)*$G$13/360</f>
        <v>0</v>
      </c>
      <c r="H143" s="75"/>
      <c r="I143" s="106"/>
      <c r="J143" s="73"/>
      <c r="K143" s="75"/>
      <c r="L143" s="36">
        <f t="shared" si="9"/>
        <v>0</v>
      </c>
      <c r="M143" s="106"/>
      <c r="N143" s="73"/>
      <c r="O143" s="106"/>
      <c r="P143" s="73"/>
      <c r="Q143" s="36">
        <f t="shared" ref="Q143:Q206" si="12">(M143*N143+O143*P143)/360</f>
        <v>0</v>
      </c>
      <c r="R143" s="75"/>
      <c r="S143" s="38">
        <f t="shared" ref="S143:S206" si="13">D143+G143+L143+Q143</f>
        <v>0</v>
      </c>
    </row>
    <row r="144" spans="1:19" ht="19.95" customHeight="1">
      <c r="A144" s="333">
        <v>45787</v>
      </c>
      <c r="B144" s="106"/>
      <c r="C144" s="106"/>
      <c r="D144" s="36">
        <f t="shared" si="10"/>
        <v>0</v>
      </c>
      <c r="E144" s="106"/>
      <c r="F144" s="106"/>
      <c r="G144" s="36">
        <f t="shared" si="11"/>
        <v>0</v>
      </c>
      <c r="H144" s="75"/>
      <c r="I144" s="106"/>
      <c r="J144" s="73"/>
      <c r="K144" s="75"/>
      <c r="L144" s="36">
        <f t="shared" ref="L144:L207" si="14">I144*J144/360</f>
        <v>0</v>
      </c>
      <c r="M144" s="106"/>
      <c r="N144" s="73"/>
      <c r="O144" s="106"/>
      <c r="P144" s="73"/>
      <c r="Q144" s="36">
        <f t="shared" si="12"/>
        <v>0</v>
      </c>
      <c r="R144" s="75"/>
      <c r="S144" s="38">
        <f t="shared" si="13"/>
        <v>0</v>
      </c>
    </row>
    <row r="145" spans="1:19" ht="19.95" customHeight="1">
      <c r="A145" s="333">
        <v>45788</v>
      </c>
      <c r="B145" s="106"/>
      <c r="C145" s="106"/>
      <c r="D145" s="36">
        <f t="shared" si="10"/>
        <v>0</v>
      </c>
      <c r="E145" s="106"/>
      <c r="F145" s="106"/>
      <c r="G145" s="36">
        <f t="shared" si="11"/>
        <v>0</v>
      </c>
      <c r="H145" s="75"/>
      <c r="I145" s="106"/>
      <c r="J145" s="73"/>
      <c r="K145" s="75"/>
      <c r="L145" s="36">
        <f t="shared" si="14"/>
        <v>0</v>
      </c>
      <c r="M145" s="106"/>
      <c r="N145" s="73"/>
      <c r="O145" s="106"/>
      <c r="P145" s="73"/>
      <c r="Q145" s="36">
        <f t="shared" si="12"/>
        <v>0</v>
      </c>
      <c r="R145" s="75"/>
      <c r="S145" s="38">
        <f t="shared" si="13"/>
        <v>0</v>
      </c>
    </row>
    <row r="146" spans="1:19" ht="19.95" customHeight="1">
      <c r="A146" s="333">
        <v>45789</v>
      </c>
      <c r="B146" s="106"/>
      <c r="C146" s="106"/>
      <c r="D146" s="36">
        <f t="shared" si="10"/>
        <v>0</v>
      </c>
      <c r="E146" s="106"/>
      <c r="F146" s="106"/>
      <c r="G146" s="36">
        <f t="shared" si="11"/>
        <v>0</v>
      </c>
      <c r="H146" s="75"/>
      <c r="I146" s="106"/>
      <c r="J146" s="73"/>
      <c r="K146" s="75"/>
      <c r="L146" s="36">
        <f t="shared" si="14"/>
        <v>0</v>
      </c>
      <c r="M146" s="106"/>
      <c r="N146" s="73"/>
      <c r="O146" s="106"/>
      <c r="P146" s="73"/>
      <c r="Q146" s="36">
        <f t="shared" si="12"/>
        <v>0</v>
      </c>
      <c r="R146" s="75"/>
      <c r="S146" s="38">
        <f t="shared" si="13"/>
        <v>0</v>
      </c>
    </row>
    <row r="147" spans="1:19" ht="19.95" customHeight="1">
      <c r="A147" s="333">
        <v>45790</v>
      </c>
      <c r="B147" s="106"/>
      <c r="C147" s="106"/>
      <c r="D147" s="36">
        <f t="shared" si="10"/>
        <v>0</v>
      </c>
      <c r="E147" s="106"/>
      <c r="F147" s="106"/>
      <c r="G147" s="36">
        <f t="shared" si="11"/>
        <v>0</v>
      </c>
      <c r="H147" s="75"/>
      <c r="I147" s="106"/>
      <c r="J147" s="73"/>
      <c r="K147" s="75"/>
      <c r="L147" s="36">
        <f t="shared" si="14"/>
        <v>0</v>
      </c>
      <c r="M147" s="106"/>
      <c r="N147" s="73"/>
      <c r="O147" s="106"/>
      <c r="P147" s="73"/>
      <c r="Q147" s="36">
        <f t="shared" si="12"/>
        <v>0</v>
      </c>
      <c r="R147" s="75"/>
      <c r="S147" s="38">
        <f t="shared" si="13"/>
        <v>0</v>
      </c>
    </row>
    <row r="148" spans="1:19" ht="19.95" customHeight="1">
      <c r="A148" s="333">
        <v>45791</v>
      </c>
      <c r="B148" s="106"/>
      <c r="C148" s="106"/>
      <c r="D148" s="36">
        <f t="shared" si="10"/>
        <v>0</v>
      </c>
      <c r="E148" s="106"/>
      <c r="F148" s="106"/>
      <c r="G148" s="36">
        <f t="shared" si="11"/>
        <v>0</v>
      </c>
      <c r="H148" s="75"/>
      <c r="I148" s="106"/>
      <c r="J148" s="73"/>
      <c r="K148" s="75"/>
      <c r="L148" s="36">
        <f t="shared" si="14"/>
        <v>0</v>
      </c>
      <c r="M148" s="106"/>
      <c r="N148" s="73"/>
      <c r="O148" s="106"/>
      <c r="P148" s="73"/>
      <c r="Q148" s="36">
        <f t="shared" si="12"/>
        <v>0</v>
      </c>
      <c r="R148" s="75"/>
      <c r="S148" s="38">
        <f t="shared" si="13"/>
        <v>0</v>
      </c>
    </row>
    <row r="149" spans="1:19" ht="19.95" customHeight="1">
      <c r="A149" s="333">
        <v>45792</v>
      </c>
      <c r="B149" s="106"/>
      <c r="C149" s="106"/>
      <c r="D149" s="36">
        <f t="shared" si="10"/>
        <v>0</v>
      </c>
      <c r="E149" s="106"/>
      <c r="F149" s="106"/>
      <c r="G149" s="36">
        <f t="shared" si="11"/>
        <v>0</v>
      </c>
      <c r="H149" s="75"/>
      <c r="I149" s="106"/>
      <c r="J149" s="73"/>
      <c r="K149" s="75"/>
      <c r="L149" s="36">
        <f t="shared" si="14"/>
        <v>0</v>
      </c>
      <c r="M149" s="106"/>
      <c r="N149" s="73"/>
      <c r="O149" s="106"/>
      <c r="P149" s="73"/>
      <c r="Q149" s="36">
        <f t="shared" si="12"/>
        <v>0</v>
      </c>
      <c r="R149" s="75"/>
      <c r="S149" s="38">
        <f t="shared" si="13"/>
        <v>0</v>
      </c>
    </row>
    <row r="150" spans="1:19" ht="19.95" customHeight="1">
      <c r="A150" s="333">
        <v>45793</v>
      </c>
      <c r="B150" s="106"/>
      <c r="C150" s="106"/>
      <c r="D150" s="36">
        <f t="shared" si="10"/>
        <v>0</v>
      </c>
      <c r="E150" s="106"/>
      <c r="F150" s="106"/>
      <c r="G150" s="36">
        <f t="shared" si="11"/>
        <v>0</v>
      </c>
      <c r="H150" s="75"/>
      <c r="I150" s="106"/>
      <c r="J150" s="73"/>
      <c r="K150" s="75"/>
      <c r="L150" s="36">
        <f t="shared" si="14"/>
        <v>0</v>
      </c>
      <c r="M150" s="106"/>
      <c r="N150" s="73"/>
      <c r="O150" s="106"/>
      <c r="P150" s="73"/>
      <c r="Q150" s="36">
        <f t="shared" si="12"/>
        <v>0</v>
      </c>
      <c r="R150" s="75"/>
      <c r="S150" s="38">
        <f t="shared" si="13"/>
        <v>0</v>
      </c>
    </row>
    <row r="151" spans="1:19" ht="19.95" customHeight="1">
      <c r="A151" s="333">
        <v>45794</v>
      </c>
      <c r="B151" s="106"/>
      <c r="C151" s="106"/>
      <c r="D151" s="36">
        <f t="shared" si="10"/>
        <v>0</v>
      </c>
      <c r="E151" s="106"/>
      <c r="F151" s="106"/>
      <c r="G151" s="36">
        <f t="shared" si="11"/>
        <v>0</v>
      </c>
      <c r="H151" s="75"/>
      <c r="I151" s="106"/>
      <c r="J151" s="73"/>
      <c r="K151" s="75"/>
      <c r="L151" s="36">
        <f t="shared" si="14"/>
        <v>0</v>
      </c>
      <c r="M151" s="106"/>
      <c r="N151" s="73"/>
      <c r="O151" s="106"/>
      <c r="P151" s="73"/>
      <c r="Q151" s="36">
        <f t="shared" si="12"/>
        <v>0</v>
      </c>
      <c r="R151" s="75"/>
      <c r="S151" s="38">
        <f t="shared" si="13"/>
        <v>0</v>
      </c>
    </row>
    <row r="152" spans="1:19" ht="19.95" customHeight="1">
      <c r="A152" s="333">
        <v>45795</v>
      </c>
      <c r="B152" s="106"/>
      <c r="C152" s="106"/>
      <c r="D152" s="36">
        <f t="shared" si="10"/>
        <v>0</v>
      </c>
      <c r="E152" s="106"/>
      <c r="F152" s="106"/>
      <c r="G152" s="36">
        <f t="shared" si="11"/>
        <v>0</v>
      </c>
      <c r="H152" s="75"/>
      <c r="I152" s="106"/>
      <c r="J152" s="73"/>
      <c r="K152" s="75"/>
      <c r="L152" s="36">
        <f t="shared" si="14"/>
        <v>0</v>
      </c>
      <c r="M152" s="106"/>
      <c r="N152" s="73"/>
      <c r="O152" s="106"/>
      <c r="P152" s="73"/>
      <c r="Q152" s="36">
        <f t="shared" si="12"/>
        <v>0</v>
      </c>
      <c r="R152" s="75"/>
      <c r="S152" s="38">
        <f t="shared" si="13"/>
        <v>0</v>
      </c>
    </row>
    <row r="153" spans="1:19" ht="19.95" customHeight="1">
      <c r="A153" s="333">
        <v>45796</v>
      </c>
      <c r="B153" s="106"/>
      <c r="C153" s="106"/>
      <c r="D153" s="36">
        <f t="shared" si="10"/>
        <v>0</v>
      </c>
      <c r="E153" s="106"/>
      <c r="F153" s="106"/>
      <c r="G153" s="36">
        <f t="shared" si="11"/>
        <v>0</v>
      </c>
      <c r="H153" s="75"/>
      <c r="I153" s="106"/>
      <c r="J153" s="73"/>
      <c r="K153" s="75"/>
      <c r="L153" s="36">
        <f t="shared" si="14"/>
        <v>0</v>
      </c>
      <c r="M153" s="106"/>
      <c r="N153" s="73"/>
      <c r="O153" s="106"/>
      <c r="P153" s="73"/>
      <c r="Q153" s="36">
        <f t="shared" si="12"/>
        <v>0</v>
      </c>
      <c r="R153" s="75"/>
      <c r="S153" s="38">
        <f t="shared" si="13"/>
        <v>0</v>
      </c>
    </row>
    <row r="154" spans="1:19" ht="19.95" customHeight="1">
      <c r="A154" s="333">
        <v>45797</v>
      </c>
      <c r="B154" s="106"/>
      <c r="C154" s="106"/>
      <c r="D154" s="36">
        <f t="shared" si="10"/>
        <v>0</v>
      </c>
      <c r="E154" s="106"/>
      <c r="F154" s="106"/>
      <c r="G154" s="36">
        <f t="shared" si="11"/>
        <v>0</v>
      </c>
      <c r="H154" s="75"/>
      <c r="I154" s="106"/>
      <c r="J154" s="73"/>
      <c r="K154" s="75"/>
      <c r="L154" s="36">
        <f t="shared" si="14"/>
        <v>0</v>
      </c>
      <c r="M154" s="106"/>
      <c r="N154" s="73"/>
      <c r="O154" s="106"/>
      <c r="P154" s="73"/>
      <c r="Q154" s="36">
        <f t="shared" si="12"/>
        <v>0</v>
      </c>
      <c r="R154" s="75"/>
      <c r="S154" s="38">
        <f t="shared" si="13"/>
        <v>0</v>
      </c>
    </row>
    <row r="155" spans="1:19" ht="19.95" customHeight="1">
      <c r="A155" s="333">
        <v>45798</v>
      </c>
      <c r="B155" s="106"/>
      <c r="C155" s="106"/>
      <c r="D155" s="36">
        <f t="shared" si="10"/>
        <v>0</v>
      </c>
      <c r="E155" s="106"/>
      <c r="F155" s="106"/>
      <c r="G155" s="36">
        <f t="shared" si="11"/>
        <v>0</v>
      </c>
      <c r="H155" s="75"/>
      <c r="I155" s="106"/>
      <c r="J155" s="73"/>
      <c r="K155" s="75"/>
      <c r="L155" s="36">
        <f t="shared" si="14"/>
        <v>0</v>
      </c>
      <c r="M155" s="106"/>
      <c r="N155" s="73"/>
      <c r="O155" s="106"/>
      <c r="P155" s="73"/>
      <c r="Q155" s="36">
        <f t="shared" si="12"/>
        <v>0</v>
      </c>
      <c r="R155" s="75"/>
      <c r="S155" s="38">
        <f t="shared" si="13"/>
        <v>0</v>
      </c>
    </row>
    <row r="156" spans="1:19" ht="19.95" customHeight="1">
      <c r="A156" s="333">
        <v>45799</v>
      </c>
      <c r="B156" s="106"/>
      <c r="C156" s="106"/>
      <c r="D156" s="36">
        <f t="shared" si="10"/>
        <v>0</v>
      </c>
      <c r="E156" s="106"/>
      <c r="F156" s="106"/>
      <c r="G156" s="36">
        <f t="shared" si="11"/>
        <v>0</v>
      </c>
      <c r="H156" s="75"/>
      <c r="I156" s="106"/>
      <c r="J156" s="73"/>
      <c r="K156" s="75"/>
      <c r="L156" s="36">
        <f t="shared" si="14"/>
        <v>0</v>
      </c>
      <c r="M156" s="106"/>
      <c r="N156" s="73"/>
      <c r="O156" s="106"/>
      <c r="P156" s="73"/>
      <c r="Q156" s="36">
        <f t="shared" si="12"/>
        <v>0</v>
      </c>
      <c r="R156" s="75"/>
      <c r="S156" s="38">
        <f t="shared" si="13"/>
        <v>0</v>
      </c>
    </row>
    <row r="157" spans="1:19" ht="19.95" customHeight="1">
      <c r="A157" s="333">
        <v>45800</v>
      </c>
      <c r="B157" s="106"/>
      <c r="C157" s="106"/>
      <c r="D157" s="36">
        <f t="shared" si="10"/>
        <v>0</v>
      </c>
      <c r="E157" s="106"/>
      <c r="F157" s="106"/>
      <c r="G157" s="36">
        <f t="shared" si="11"/>
        <v>0</v>
      </c>
      <c r="H157" s="75"/>
      <c r="I157" s="106"/>
      <c r="J157" s="73"/>
      <c r="K157" s="75"/>
      <c r="L157" s="36">
        <f t="shared" si="14"/>
        <v>0</v>
      </c>
      <c r="M157" s="106"/>
      <c r="N157" s="73"/>
      <c r="O157" s="106"/>
      <c r="P157" s="73"/>
      <c r="Q157" s="36">
        <f t="shared" si="12"/>
        <v>0</v>
      </c>
      <c r="R157" s="75"/>
      <c r="S157" s="38">
        <f t="shared" si="13"/>
        <v>0</v>
      </c>
    </row>
    <row r="158" spans="1:19" ht="19.95" customHeight="1">
      <c r="A158" s="333">
        <v>45801</v>
      </c>
      <c r="B158" s="106"/>
      <c r="C158" s="106"/>
      <c r="D158" s="36">
        <f t="shared" si="10"/>
        <v>0</v>
      </c>
      <c r="E158" s="106"/>
      <c r="F158" s="106"/>
      <c r="G158" s="36">
        <f t="shared" si="11"/>
        <v>0</v>
      </c>
      <c r="H158" s="75"/>
      <c r="I158" s="106"/>
      <c r="J158" s="73"/>
      <c r="K158" s="75"/>
      <c r="L158" s="36">
        <f t="shared" si="14"/>
        <v>0</v>
      </c>
      <c r="M158" s="106"/>
      <c r="N158" s="73"/>
      <c r="O158" s="106"/>
      <c r="P158" s="73"/>
      <c r="Q158" s="36">
        <f t="shared" si="12"/>
        <v>0</v>
      </c>
      <c r="R158" s="75"/>
      <c r="S158" s="38">
        <f t="shared" si="13"/>
        <v>0</v>
      </c>
    </row>
    <row r="159" spans="1:19" ht="19.95" customHeight="1">
      <c r="A159" s="333">
        <v>45802</v>
      </c>
      <c r="B159" s="106"/>
      <c r="C159" s="106"/>
      <c r="D159" s="36">
        <f t="shared" si="10"/>
        <v>0</v>
      </c>
      <c r="E159" s="106"/>
      <c r="F159" s="106"/>
      <c r="G159" s="36">
        <f t="shared" si="11"/>
        <v>0</v>
      </c>
      <c r="H159" s="75"/>
      <c r="I159" s="106"/>
      <c r="J159" s="73"/>
      <c r="K159" s="75"/>
      <c r="L159" s="36">
        <f t="shared" si="14"/>
        <v>0</v>
      </c>
      <c r="M159" s="106"/>
      <c r="N159" s="73"/>
      <c r="O159" s="106"/>
      <c r="P159" s="73"/>
      <c r="Q159" s="36">
        <f t="shared" si="12"/>
        <v>0</v>
      </c>
      <c r="R159" s="75"/>
      <c r="S159" s="38">
        <f t="shared" si="13"/>
        <v>0</v>
      </c>
    </row>
    <row r="160" spans="1:19" ht="19.95" customHeight="1">
      <c r="A160" s="333">
        <v>45803</v>
      </c>
      <c r="B160" s="106"/>
      <c r="C160" s="106"/>
      <c r="D160" s="36">
        <f t="shared" si="10"/>
        <v>0</v>
      </c>
      <c r="E160" s="106"/>
      <c r="F160" s="106"/>
      <c r="G160" s="36">
        <f t="shared" si="11"/>
        <v>0</v>
      </c>
      <c r="H160" s="75"/>
      <c r="I160" s="106"/>
      <c r="J160" s="73"/>
      <c r="K160" s="75"/>
      <c r="L160" s="36">
        <f t="shared" si="14"/>
        <v>0</v>
      </c>
      <c r="M160" s="106"/>
      <c r="N160" s="73"/>
      <c r="O160" s="106"/>
      <c r="P160" s="73"/>
      <c r="Q160" s="36">
        <f t="shared" si="12"/>
        <v>0</v>
      </c>
      <c r="R160" s="75"/>
      <c r="S160" s="38">
        <f t="shared" si="13"/>
        <v>0</v>
      </c>
    </row>
    <row r="161" spans="1:19" ht="19.95" customHeight="1">
      <c r="A161" s="333">
        <v>45804</v>
      </c>
      <c r="B161" s="106"/>
      <c r="C161" s="106"/>
      <c r="D161" s="36">
        <f t="shared" si="10"/>
        <v>0</v>
      </c>
      <c r="E161" s="106"/>
      <c r="F161" s="106"/>
      <c r="G161" s="36">
        <f t="shared" si="11"/>
        <v>0</v>
      </c>
      <c r="H161" s="75"/>
      <c r="I161" s="106"/>
      <c r="J161" s="73"/>
      <c r="K161" s="75"/>
      <c r="L161" s="36">
        <f t="shared" si="14"/>
        <v>0</v>
      </c>
      <c r="M161" s="106"/>
      <c r="N161" s="73"/>
      <c r="O161" s="106"/>
      <c r="P161" s="73"/>
      <c r="Q161" s="36">
        <f t="shared" si="12"/>
        <v>0</v>
      </c>
      <c r="R161" s="75"/>
      <c r="S161" s="38">
        <f t="shared" si="13"/>
        <v>0</v>
      </c>
    </row>
    <row r="162" spans="1:19" ht="19.95" customHeight="1">
      <c r="A162" s="333">
        <v>45805</v>
      </c>
      <c r="B162" s="106"/>
      <c r="C162" s="106"/>
      <c r="D162" s="36">
        <f t="shared" si="10"/>
        <v>0</v>
      </c>
      <c r="E162" s="106"/>
      <c r="F162" s="106"/>
      <c r="G162" s="36">
        <f t="shared" si="11"/>
        <v>0</v>
      </c>
      <c r="H162" s="75"/>
      <c r="I162" s="106"/>
      <c r="J162" s="73"/>
      <c r="K162" s="75"/>
      <c r="L162" s="36">
        <f t="shared" si="14"/>
        <v>0</v>
      </c>
      <c r="M162" s="106"/>
      <c r="N162" s="73"/>
      <c r="O162" s="106"/>
      <c r="P162" s="73"/>
      <c r="Q162" s="36">
        <f t="shared" si="12"/>
        <v>0</v>
      </c>
      <c r="R162" s="75"/>
      <c r="S162" s="38">
        <f t="shared" si="13"/>
        <v>0</v>
      </c>
    </row>
    <row r="163" spans="1:19" ht="19.95" customHeight="1">
      <c r="A163" s="333">
        <v>45806</v>
      </c>
      <c r="B163" s="106"/>
      <c r="C163" s="106"/>
      <c r="D163" s="36">
        <f t="shared" si="10"/>
        <v>0</v>
      </c>
      <c r="E163" s="106"/>
      <c r="F163" s="106"/>
      <c r="G163" s="36">
        <f t="shared" si="11"/>
        <v>0</v>
      </c>
      <c r="H163" s="75"/>
      <c r="I163" s="106"/>
      <c r="J163" s="73"/>
      <c r="K163" s="75"/>
      <c r="L163" s="36">
        <f t="shared" si="14"/>
        <v>0</v>
      </c>
      <c r="M163" s="106"/>
      <c r="N163" s="73"/>
      <c r="O163" s="106"/>
      <c r="P163" s="73"/>
      <c r="Q163" s="36">
        <f t="shared" si="12"/>
        <v>0</v>
      </c>
      <c r="R163" s="75"/>
      <c r="S163" s="38">
        <f t="shared" si="13"/>
        <v>0</v>
      </c>
    </row>
    <row r="164" spans="1:19" ht="19.95" customHeight="1">
      <c r="A164" s="333">
        <v>45807</v>
      </c>
      <c r="B164" s="106"/>
      <c r="C164" s="106"/>
      <c r="D164" s="36">
        <f t="shared" si="10"/>
        <v>0</v>
      </c>
      <c r="E164" s="106"/>
      <c r="F164" s="106"/>
      <c r="G164" s="36">
        <f t="shared" si="11"/>
        <v>0</v>
      </c>
      <c r="H164" s="75"/>
      <c r="I164" s="106"/>
      <c r="J164" s="73"/>
      <c r="K164" s="75"/>
      <c r="L164" s="36">
        <f t="shared" si="14"/>
        <v>0</v>
      </c>
      <c r="M164" s="106"/>
      <c r="N164" s="73"/>
      <c r="O164" s="106"/>
      <c r="P164" s="73"/>
      <c r="Q164" s="36">
        <f t="shared" si="12"/>
        <v>0</v>
      </c>
      <c r="R164" s="75"/>
      <c r="S164" s="38">
        <f t="shared" si="13"/>
        <v>0</v>
      </c>
    </row>
    <row r="165" spans="1:19" ht="19.95" customHeight="1">
      <c r="A165" s="333">
        <v>45808</v>
      </c>
      <c r="B165" s="106"/>
      <c r="C165" s="106"/>
      <c r="D165" s="36">
        <f t="shared" si="10"/>
        <v>0</v>
      </c>
      <c r="E165" s="106"/>
      <c r="F165" s="106"/>
      <c r="G165" s="36">
        <f t="shared" si="11"/>
        <v>0</v>
      </c>
      <c r="H165" s="75"/>
      <c r="I165" s="106"/>
      <c r="J165" s="73"/>
      <c r="K165" s="75"/>
      <c r="L165" s="36">
        <f t="shared" si="14"/>
        <v>0</v>
      </c>
      <c r="M165" s="106"/>
      <c r="N165" s="73"/>
      <c r="O165" s="106"/>
      <c r="P165" s="73"/>
      <c r="Q165" s="36">
        <f t="shared" si="12"/>
        <v>0</v>
      </c>
      <c r="R165" s="75"/>
      <c r="S165" s="38">
        <f t="shared" si="13"/>
        <v>0</v>
      </c>
    </row>
    <row r="166" spans="1:19" ht="19.95" customHeight="1">
      <c r="A166" s="333">
        <v>45809</v>
      </c>
      <c r="B166" s="106"/>
      <c r="C166" s="106"/>
      <c r="D166" s="36">
        <f t="shared" si="10"/>
        <v>0</v>
      </c>
      <c r="E166" s="106"/>
      <c r="F166" s="106"/>
      <c r="G166" s="36">
        <f t="shared" si="11"/>
        <v>0</v>
      </c>
      <c r="H166" s="75"/>
      <c r="I166" s="106"/>
      <c r="J166" s="73"/>
      <c r="K166" s="75"/>
      <c r="L166" s="36">
        <f t="shared" si="14"/>
        <v>0</v>
      </c>
      <c r="M166" s="106"/>
      <c r="N166" s="73"/>
      <c r="O166" s="106"/>
      <c r="P166" s="73"/>
      <c r="Q166" s="36">
        <f t="shared" si="12"/>
        <v>0</v>
      </c>
      <c r="R166" s="75"/>
      <c r="S166" s="38">
        <f t="shared" si="13"/>
        <v>0</v>
      </c>
    </row>
    <row r="167" spans="1:19" ht="19.95" customHeight="1">
      <c r="A167" s="333">
        <v>45810</v>
      </c>
      <c r="B167" s="106"/>
      <c r="C167" s="106"/>
      <c r="D167" s="36">
        <f t="shared" si="10"/>
        <v>0</v>
      </c>
      <c r="E167" s="106"/>
      <c r="F167" s="106"/>
      <c r="G167" s="36">
        <f t="shared" si="11"/>
        <v>0</v>
      </c>
      <c r="H167" s="75"/>
      <c r="I167" s="106"/>
      <c r="J167" s="73"/>
      <c r="K167" s="75"/>
      <c r="L167" s="36">
        <f t="shared" si="14"/>
        <v>0</v>
      </c>
      <c r="M167" s="106"/>
      <c r="N167" s="73"/>
      <c r="O167" s="106"/>
      <c r="P167" s="73"/>
      <c r="Q167" s="36">
        <f t="shared" si="12"/>
        <v>0</v>
      </c>
      <c r="R167" s="75"/>
      <c r="S167" s="38">
        <f t="shared" si="13"/>
        <v>0</v>
      </c>
    </row>
    <row r="168" spans="1:19" ht="19.95" customHeight="1">
      <c r="A168" s="333">
        <v>45811</v>
      </c>
      <c r="B168" s="106"/>
      <c r="C168" s="106"/>
      <c r="D168" s="36">
        <f t="shared" si="10"/>
        <v>0</v>
      </c>
      <c r="E168" s="106"/>
      <c r="F168" s="106"/>
      <c r="G168" s="36">
        <f t="shared" si="11"/>
        <v>0</v>
      </c>
      <c r="H168" s="75"/>
      <c r="I168" s="106"/>
      <c r="J168" s="73"/>
      <c r="K168" s="75"/>
      <c r="L168" s="36">
        <f t="shared" si="14"/>
        <v>0</v>
      </c>
      <c r="M168" s="106"/>
      <c r="N168" s="73"/>
      <c r="O168" s="106"/>
      <c r="P168" s="73"/>
      <c r="Q168" s="36">
        <f t="shared" si="12"/>
        <v>0</v>
      </c>
      <c r="R168" s="75"/>
      <c r="S168" s="38">
        <f t="shared" si="13"/>
        <v>0</v>
      </c>
    </row>
    <row r="169" spans="1:19" ht="19.95" customHeight="1">
      <c r="A169" s="333">
        <v>45812</v>
      </c>
      <c r="B169" s="106"/>
      <c r="C169" s="106"/>
      <c r="D169" s="36">
        <f t="shared" si="10"/>
        <v>0</v>
      </c>
      <c r="E169" s="106"/>
      <c r="F169" s="106"/>
      <c r="G169" s="36">
        <f t="shared" si="11"/>
        <v>0</v>
      </c>
      <c r="H169" s="75"/>
      <c r="I169" s="106"/>
      <c r="J169" s="73"/>
      <c r="K169" s="75"/>
      <c r="L169" s="36">
        <f t="shared" si="14"/>
        <v>0</v>
      </c>
      <c r="M169" s="106"/>
      <c r="N169" s="73"/>
      <c r="O169" s="106"/>
      <c r="P169" s="73"/>
      <c r="Q169" s="36">
        <f t="shared" si="12"/>
        <v>0</v>
      </c>
      <c r="R169" s="75"/>
      <c r="S169" s="38">
        <f t="shared" si="13"/>
        <v>0</v>
      </c>
    </row>
    <row r="170" spans="1:19" ht="19.95" customHeight="1">
      <c r="A170" s="333">
        <v>45813</v>
      </c>
      <c r="B170" s="106"/>
      <c r="C170" s="106"/>
      <c r="D170" s="36">
        <f t="shared" si="10"/>
        <v>0</v>
      </c>
      <c r="E170" s="106"/>
      <c r="F170" s="106"/>
      <c r="G170" s="36">
        <f t="shared" si="11"/>
        <v>0</v>
      </c>
      <c r="H170" s="75"/>
      <c r="I170" s="106"/>
      <c r="J170" s="73"/>
      <c r="K170" s="75"/>
      <c r="L170" s="36">
        <f t="shared" si="14"/>
        <v>0</v>
      </c>
      <c r="M170" s="106"/>
      <c r="N170" s="73"/>
      <c r="O170" s="106"/>
      <c r="P170" s="73"/>
      <c r="Q170" s="36">
        <f t="shared" si="12"/>
        <v>0</v>
      </c>
      <c r="R170" s="75"/>
      <c r="S170" s="38">
        <f t="shared" si="13"/>
        <v>0</v>
      </c>
    </row>
    <row r="171" spans="1:19" ht="19.95" customHeight="1">
      <c r="A171" s="333">
        <v>45814</v>
      </c>
      <c r="B171" s="106"/>
      <c r="C171" s="106"/>
      <c r="D171" s="36">
        <f t="shared" si="10"/>
        <v>0</v>
      </c>
      <c r="E171" s="106"/>
      <c r="F171" s="106"/>
      <c r="G171" s="36">
        <f t="shared" si="11"/>
        <v>0</v>
      </c>
      <c r="H171" s="75"/>
      <c r="I171" s="106"/>
      <c r="J171" s="73"/>
      <c r="K171" s="75"/>
      <c r="L171" s="36">
        <f t="shared" si="14"/>
        <v>0</v>
      </c>
      <c r="M171" s="106"/>
      <c r="N171" s="73"/>
      <c r="O171" s="106"/>
      <c r="P171" s="73"/>
      <c r="Q171" s="36">
        <f t="shared" si="12"/>
        <v>0</v>
      </c>
      <c r="R171" s="75"/>
      <c r="S171" s="38">
        <f t="shared" si="13"/>
        <v>0</v>
      </c>
    </row>
    <row r="172" spans="1:19" ht="19.95" customHeight="1">
      <c r="A172" s="333">
        <v>45815</v>
      </c>
      <c r="B172" s="106"/>
      <c r="C172" s="106"/>
      <c r="D172" s="36">
        <f t="shared" si="10"/>
        <v>0</v>
      </c>
      <c r="E172" s="106"/>
      <c r="F172" s="106"/>
      <c r="G172" s="36">
        <f t="shared" si="11"/>
        <v>0</v>
      </c>
      <c r="H172" s="75"/>
      <c r="I172" s="106"/>
      <c r="J172" s="73"/>
      <c r="K172" s="75"/>
      <c r="L172" s="36">
        <f t="shared" si="14"/>
        <v>0</v>
      </c>
      <c r="M172" s="106"/>
      <c r="N172" s="73"/>
      <c r="O172" s="106"/>
      <c r="P172" s="73"/>
      <c r="Q172" s="36">
        <f t="shared" si="12"/>
        <v>0</v>
      </c>
      <c r="R172" s="75"/>
      <c r="S172" s="38">
        <f t="shared" si="13"/>
        <v>0</v>
      </c>
    </row>
    <row r="173" spans="1:19" ht="19.95" customHeight="1">
      <c r="A173" s="333">
        <v>45816</v>
      </c>
      <c r="B173" s="106"/>
      <c r="C173" s="106"/>
      <c r="D173" s="36">
        <f t="shared" si="10"/>
        <v>0</v>
      </c>
      <c r="E173" s="106"/>
      <c r="F173" s="106"/>
      <c r="G173" s="36">
        <f t="shared" si="11"/>
        <v>0</v>
      </c>
      <c r="H173" s="75"/>
      <c r="I173" s="106"/>
      <c r="J173" s="73"/>
      <c r="K173" s="75"/>
      <c r="L173" s="36">
        <f t="shared" si="14"/>
        <v>0</v>
      </c>
      <c r="M173" s="106"/>
      <c r="N173" s="73"/>
      <c r="O173" s="106"/>
      <c r="P173" s="73"/>
      <c r="Q173" s="36">
        <f t="shared" si="12"/>
        <v>0</v>
      </c>
      <c r="R173" s="75"/>
      <c r="S173" s="38">
        <f t="shared" si="13"/>
        <v>0</v>
      </c>
    </row>
    <row r="174" spans="1:19" ht="19.95" customHeight="1">
      <c r="A174" s="333">
        <v>45817</v>
      </c>
      <c r="B174" s="106"/>
      <c r="C174" s="106"/>
      <c r="D174" s="36">
        <f t="shared" si="10"/>
        <v>0</v>
      </c>
      <c r="E174" s="106"/>
      <c r="F174" s="106"/>
      <c r="G174" s="36">
        <f t="shared" si="11"/>
        <v>0</v>
      </c>
      <c r="H174" s="75"/>
      <c r="I174" s="106"/>
      <c r="J174" s="73"/>
      <c r="K174" s="75"/>
      <c r="L174" s="36">
        <f t="shared" si="14"/>
        <v>0</v>
      </c>
      <c r="M174" s="106"/>
      <c r="N174" s="73"/>
      <c r="O174" s="106"/>
      <c r="P174" s="73"/>
      <c r="Q174" s="36">
        <f t="shared" si="12"/>
        <v>0</v>
      </c>
      <c r="R174" s="75"/>
      <c r="S174" s="38">
        <f t="shared" si="13"/>
        <v>0</v>
      </c>
    </row>
    <row r="175" spans="1:19" ht="19.95" customHeight="1">
      <c r="A175" s="333">
        <v>45818</v>
      </c>
      <c r="B175" s="106"/>
      <c r="C175" s="106"/>
      <c r="D175" s="36">
        <f t="shared" si="10"/>
        <v>0</v>
      </c>
      <c r="E175" s="106"/>
      <c r="F175" s="106"/>
      <c r="G175" s="36">
        <f t="shared" si="11"/>
        <v>0</v>
      </c>
      <c r="H175" s="75"/>
      <c r="I175" s="106"/>
      <c r="J175" s="73"/>
      <c r="K175" s="75"/>
      <c r="L175" s="36">
        <f t="shared" si="14"/>
        <v>0</v>
      </c>
      <c r="M175" s="106"/>
      <c r="N175" s="73"/>
      <c r="O175" s="106"/>
      <c r="P175" s="73"/>
      <c r="Q175" s="36">
        <f t="shared" si="12"/>
        <v>0</v>
      </c>
      <c r="R175" s="75"/>
      <c r="S175" s="38">
        <f t="shared" si="13"/>
        <v>0</v>
      </c>
    </row>
    <row r="176" spans="1:19" ht="19.95" customHeight="1">
      <c r="A176" s="333">
        <v>45819</v>
      </c>
      <c r="B176" s="106"/>
      <c r="C176" s="106"/>
      <c r="D176" s="36">
        <f t="shared" si="10"/>
        <v>0</v>
      </c>
      <c r="E176" s="106"/>
      <c r="F176" s="106"/>
      <c r="G176" s="36">
        <f t="shared" si="11"/>
        <v>0</v>
      </c>
      <c r="H176" s="75"/>
      <c r="I176" s="106"/>
      <c r="J176" s="73"/>
      <c r="K176" s="75"/>
      <c r="L176" s="36">
        <f t="shared" si="14"/>
        <v>0</v>
      </c>
      <c r="M176" s="106"/>
      <c r="N176" s="73"/>
      <c r="O176" s="106"/>
      <c r="P176" s="73"/>
      <c r="Q176" s="36">
        <f t="shared" si="12"/>
        <v>0</v>
      </c>
      <c r="R176" s="75"/>
      <c r="S176" s="38">
        <f t="shared" si="13"/>
        <v>0</v>
      </c>
    </row>
    <row r="177" spans="1:19" ht="19.95" customHeight="1">
      <c r="A177" s="333">
        <v>45820</v>
      </c>
      <c r="B177" s="106"/>
      <c r="C177" s="106"/>
      <c r="D177" s="36">
        <f t="shared" si="10"/>
        <v>0</v>
      </c>
      <c r="E177" s="106"/>
      <c r="F177" s="106"/>
      <c r="G177" s="36">
        <f t="shared" si="11"/>
        <v>0</v>
      </c>
      <c r="H177" s="75"/>
      <c r="I177" s="106"/>
      <c r="J177" s="73"/>
      <c r="K177" s="75"/>
      <c r="L177" s="36">
        <f t="shared" si="14"/>
        <v>0</v>
      </c>
      <c r="M177" s="106"/>
      <c r="N177" s="73"/>
      <c r="O177" s="106"/>
      <c r="P177" s="73"/>
      <c r="Q177" s="36">
        <f t="shared" si="12"/>
        <v>0</v>
      </c>
      <c r="R177" s="75"/>
      <c r="S177" s="38">
        <f t="shared" si="13"/>
        <v>0</v>
      </c>
    </row>
    <row r="178" spans="1:19" ht="19.95" customHeight="1">
      <c r="A178" s="333">
        <v>45821</v>
      </c>
      <c r="B178" s="106"/>
      <c r="C178" s="106"/>
      <c r="D178" s="36">
        <f t="shared" si="10"/>
        <v>0</v>
      </c>
      <c r="E178" s="106"/>
      <c r="F178" s="106"/>
      <c r="G178" s="36">
        <f t="shared" si="11"/>
        <v>0</v>
      </c>
      <c r="H178" s="75"/>
      <c r="I178" s="106"/>
      <c r="J178" s="73"/>
      <c r="K178" s="75"/>
      <c r="L178" s="36">
        <f t="shared" si="14"/>
        <v>0</v>
      </c>
      <c r="M178" s="106"/>
      <c r="N178" s="73"/>
      <c r="O178" s="106"/>
      <c r="P178" s="73"/>
      <c r="Q178" s="36">
        <f t="shared" si="12"/>
        <v>0</v>
      </c>
      <c r="R178" s="75"/>
      <c r="S178" s="38">
        <f t="shared" si="13"/>
        <v>0</v>
      </c>
    </row>
    <row r="179" spans="1:19" ht="19.95" customHeight="1">
      <c r="A179" s="333">
        <v>45822</v>
      </c>
      <c r="B179" s="106"/>
      <c r="C179" s="106"/>
      <c r="D179" s="36">
        <f t="shared" si="10"/>
        <v>0</v>
      </c>
      <c r="E179" s="106"/>
      <c r="F179" s="106"/>
      <c r="G179" s="36">
        <f t="shared" si="11"/>
        <v>0</v>
      </c>
      <c r="H179" s="75"/>
      <c r="I179" s="106"/>
      <c r="J179" s="73"/>
      <c r="K179" s="75"/>
      <c r="L179" s="36">
        <f t="shared" si="14"/>
        <v>0</v>
      </c>
      <c r="M179" s="106"/>
      <c r="N179" s="73"/>
      <c r="O179" s="106"/>
      <c r="P179" s="73"/>
      <c r="Q179" s="36">
        <f t="shared" si="12"/>
        <v>0</v>
      </c>
      <c r="R179" s="75"/>
      <c r="S179" s="38">
        <f t="shared" si="13"/>
        <v>0</v>
      </c>
    </row>
    <row r="180" spans="1:19" ht="19.95" customHeight="1">
      <c r="A180" s="333">
        <v>45823</v>
      </c>
      <c r="B180" s="106"/>
      <c r="C180" s="106"/>
      <c r="D180" s="36">
        <f t="shared" si="10"/>
        <v>0</v>
      </c>
      <c r="E180" s="106"/>
      <c r="F180" s="106"/>
      <c r="G180" s="36">
        <f t="shared" si="11"/>
        <v>0</v>
      </c>
      <c r="H180" s="75"/>
      <c r="I180" s="106"/>
      <c r="J180" s="73"/>
      <c r="K180" s="75"/>
      <c r="L180" s="36">
        <f t="shared" si="14"/>
        <v>0</v>
      </c>
      <c r="M180" s="106"/>
      <c r="N180" s="73"/>
      <c r="O180" s="106"/>
      <c r="P180" s="73"/>
      <c r="Q180" s="36">
        <f t="shared" si="12"/>
        <v>0</v>
      </c>
      <c r="R180" s="75"/>
      <c r="S180" s="38">
        <f t="shared" si="13"/>
        <v>0</v>
      </c>
    </row>
    <row r="181" spans="1:19" ht="19.95" customHeight="1">
      <c r="A181" s="333">
        <v>45824</v>
      </c>
      <c r="B181" s="106"/>
      <c r="C181" s="106"/>
      <c r="D181" s="36">
        <f t="shared" si="10"/>
        <v>0</v>
      </c>
      <c r="E181" s="106"/>
      <c r="F181" s="106"/>
      <c r="G181" s="36">
        <f t="shared" si="11"/>
        <v>0</v>
      </c>
      <c r="H181" s="75"/>
      <c r="I181" s="106"/>
      <c r="J181" s="73"/>
      <c r="K181" s="75"/>
      <c r="L181" s="36">
        <f t="shared" si="14"/>
        <v>0</v>
      </c>
      <c r="M181" s="106"/>
      <c r="N181" s="73"/>
      <c r="O181" s="106"/>
      <c r="P181" s="73"/>
      <c r="Q181" s="36">
        <f t="shared" si="12"/>
        <v>0</v>
      </c>
      <c r="R181" s="75"/>
      <c r="S181" s="38">
        <f t="shared" si="13"/>
        <v>0</v>
      </c>
    </row>
    <row r="182" spans="1:19" ht="19.95" customHeight="1">
      <c r="A182" s="333">
        <v>45825</v>
      </c>
      <c r="B182" s="106"/>
      <c r="C182" s="106"/>
      <c r="D182" s="36">
        <f t="shared" si="10"/>
        <v>0</v>
      </c>
      <c r="E182" s="106"/>
      <c r="F182" s="106"/>
      <c r="G182" s="36">
        <f t="shared" si="11"/>
        <v>0</v>
      </c>
      <c r="H182" s="75"/>
      <c r="I182" s="106"/>
      <c r="J182" s="73"/>
      <c r="K182" s="75"/>
      <c r="L182" s="36">
        <f t="shared" si="14"/>
        <v>0</v>
      </c>
      <c r="M182" s="106"/>
      <c r="N182" s="73"/>
      <c r="O182" s="106"/>
      <c r="P182" s="73"/>
      <c r="Q182" s="36">
        <f t="shared" si="12"/>
        <v>0</v>
      </c>
      <c r="R182" s="75"/>
      <c r="S182" s="38">
        <f t="shared" si="13"/>
        <v>0</v>
      </c>
    </row>
    <row r="183" spans="1:19" ht="19.95" customHeight="1">
      <c r="A183" s="333">
        <v>45826</v>
      </c>
      <c r="B183" s="106"/>
      <c r="C183" s="106"/>
      <c r="D183" s="36">
        <f t="shared" si="10"/>
        <v>0</v>
      </c>
      <c r="E183" s="106"/>
      <c r="F183" s="106"/>
      <c r="G183" s="36">
        <f t="shared" si="11"/>
        <v>0</v>
      </c>
      <c r="H183" s="75"/>
      <c r="I183" s="106"/>
      <c r="J183" s="73"/>
      <c r="K183" s="75"/>
      <c r="L183" s="36">
        <f t="shared" si="14"/>
        <v>0</v>
      </c>
      <c r="M183" s="106"/>
      <c r="N183" s="73"/>
      <c r="O183" s="106"/>
      <c r="P183" s="73"/>
      <c r="Q183" s="36">
        <f t="shared" si="12"/>
        <v>0</v>
      </c>
      <c r="R183" s="75"/>
      <c r="S183" s="38">
        <f t="shared" si="13"/>
        <v>0</v>
      </c>
    </row>
    <row r="184" spans="1:19" ht="19.95" customHeight="1">
      <c r="A184" s="333">
        <v>45827</v>
      </c>
      <c r="B184" s="106"/>
      <c r="C184" s="106"/>
      <c r="D184" s="36">
        <f t="shared" si="10"/>
        <v>0</v>
      </c>
      <c r="E184" s="106"/>
      <c r="F184" s="106"/>
      <c r="G184" s="36">
        <f t="shared" si="11"/>
        <v>0</v>
      </c>
      <c r="H184" s="75"/>
      <c r="I184" s="106"/>
      <c r="J184" s="73"/>
      <c r="K184" s="75"/>
      <c r="L184" s="36">
        <f t="shared" si="14"/>
        <v>0</v>
      </c>
      <c r="M184" s="106"/>
      <c r="N184" s="73"/>
      <c r="O184" s="106"/>
      <c r="P184" s="73"/>
      <c r="Q184" s="36">
        <f t="shared" si="12"/>
        <v>0</v>
      </c>
      <c r="R184" s="75"/>
      <c r="S184" s="38">
        <f t="shared" si="13"/>
        <v>0</v>
      </c>
    </row>
    <row r="185" spans="1:19" ht="19.95" customHeight="1">
      <c r="A185" s="333">
        <v>45828</v>
      </c>
      <c r="B185" s="106"/>
      <c r="C185" s="106"/>
      <c r="D185" s="36">
        <f t="shared" si="10"/>
        <v>0</v>
      </c>
      <c r="E185" s="106"/>
      <c r="F185" s="106"/>
      <c r="G185" s="36">
        <f t="shared" si="11"/>
        <v>0</v>
      </c>
      <c r="H185" s="75"/>
      <c r="I185" s="106"/>
      <c r="J185" s="73"/>
      <c r="K185" s="75"/>
      <c r="L185" s="36">
        <f t="shared" si="14"/>
        <v>0</v>
      </c>
      <c r="M185" s="106"/>
      <c r="N185" s="73"/>
      <c r="O185" s="106"/>
      <c r="P185" s="73"/>
      <c r="Q185" s="36">
        <f t="shared" si="12"/>
        <v>0</v>
      </c>
      <c r="R185" s="75"/>
      <c r="S185" s="38">
        <f t="shared" si="13"/>
        <v>0</v>
      </c>
    </row>
    <row r="186" spans="1:19" ht="19.95" customHeight="1">
      <c r="A186" s="333">
        <v>45829</v>
      </c>
      <c r="B186" s="106"/>
      <c r="C186" s="106"/>
      <c r="D186" s="36">
        <f t="shared" si="10"/>
        <v>0</v>
      </c>
      <c r="E186" s="106"/>
      <c r="F186" s="106"/>
      <c r="G186" s="36">
        <f t="shared" si="11"/>
        <v>0</v>
      </c>
      <c r="H186" s="75"/>
      <c r="I186" s="106"/>
      <c r="J186" s="73"/>
      <c r="K186" s="75"/>
      <c r="L186" s="36">
        <f t="shared" si="14"/>
        <v>0</v>
      </c>
      <c r="M186" s="106"/>
      <c r="N186" s="73"/>
      <c r="O186" s="106"/>
      <c r="P186" s="73"/>
      <c r="Q186" s="36">
        <f t="shared" si="12"/>
        <v>0</v>
      </c>
      <c r="R186" s="75"/>
      <c r="S186" s="38">
        <f t="shared" si="13"/>
        <v>0</v>
      </c>
    </row>
    <row r="187" spans="1:19" ht="19.95" customHeight="1">
      <c r="A187" s="333">
        <v>45830</v>
      </c>
      <c r="B187" s="106"/>
      <c r="C187" s="106"/>
      <c r="D187" s="36">
        <f t="shared" si="10"/>
        <v>0</v>
      </c>
      <c r="E187" s="106"/>
      <c r="F187" s="106"/>
      <c r="G187" s="36">
        <f t="shared" si="11"/>
        <v>0</v>
      </c>
      <c r="H187" s="75"/>
      <c r="I187" s="106"/>
      <c r="J187" s="73"/>
      <c r="K187" s="75"/>
      <c r="L187" s="36">
        <f t="shared" si="14"/>
        <v>0</v>
      </c>
      <c r="M187" s="106"/>
      <c r="N187" s="73"/>
      <c r="O187" s="106"/>
      <c r="P187" s="73"/>
      <c r="Q187" s="36">
        <f t="shared" si="12"/>
        <v>0</v>
      </c>
      <c r="R187" s="75"/>
      <c r="S187" s="38">
        <f t="shared" si="13"/>
        <v>0</v>
      </c>
    </row>
    <row r="188" spans="1:19" ht="19.95" customHeight="1">
      <c r="A188" s="333">
        <v>45831</v>
      </c>
      <c r="B188" s="106"/>
      <c r="C188" s="106"/>
      <c r="D188" s="36">
        <f t="shared" si="10"/>
        <v>0</v>
      </c>
      <c r="E188" s="106"/>
      <c r="F188" s="106"/>
      <c r="G188" s="36">
        <f t="shared" si="11"/>
        <v>0</v>
      </c>
      <c r="H188" s="75"/>
      <c r="I188" s="106"/>
      <c r="J188" s="73"/>
      <c r="K188" s="75"/>
      <c r="L188" s="36">
        <f t="shared" si="14"/>
        <v>0</v>
      </c>
      <c r="M188" s="106"/>
      <c r="N188" s="73"/>
      <c r="O188" s="106"/>
      <c r="P188" s="73"/>
      <c r="Q188" s="36">
        <f t="shared" si="12"/>
        <v>0</v>
      </c>
      <c r="R188" s="75"/>
      <c r="S188" s="38">
        <f t="shared" si="13"/>
        <v>0</v>
      </c>
    </row>
    <row r="189" spans="1:19" ht="19.95" customHeight="1">
      <c r="A189" s="333">
        <v>45832</v>
      </c>
      <c r="B189" s="106"/>
      <c r="C189" s="106"/>
      <c r="D189" s="36">
        <f t="shared" si="10"/>
        <v>0</v>
      </c>
      <c r="E189" s="106"/>
      <c r="F189" s="106"/>
      <c r="G189" s="36">
        <f t="shared" si="11"/>
        <v>0</v>
      </c>
      <c r="H189" s="75"/>
      <c r="I189" s="106"/>
      <c r="J189" s="73"/>
      <c r="K189" s="75"/>
      <c r="L189" s="36">
        <f t="shared" si="14"/>
        <v>0</v>
      </c>
      <c r="M189" s="106"/>
      <c r="N189" s="73"/>
      <c r="O189" s="106"/>
      <c r="P189" s="73"/>
      <c r="Q189" s="36">
        <f t="shared" si="12"/>
        <v>0</v>
      </c>
      <c r="R189" s="75"/>
      <c r="S189" s="38">
        <f t="shared" si="13"/>
        <v>0</v>
      </c>
    </row>
    <row r="190" spans="1:19" ht="19.95" customHeight="1">
      <c r="A190" s="333">
        <v>45833</v>
      </c>
      <c r="B190" s="106"/>
      <c r="C190" s="106"/>
      <c r="D190" s="36">
        <f t="shared" si="10"/>
        <v>0</v>
      </c>
      <c r="E190" s="106"/>
      <c r="F190" s="106"/>
      <c r="G190" s="36">
        <f t="shared" si="11"/>
        <v>0</v>
      </c>
      <c r="H190" s="75"/>
      <c r="I190" s="106"/>
      <c r="J190" s="73"/>
      <c r="K190" s="75"/>
      <c r="L190" s="36">
        <f t="shared" si="14"/>
        <v>0</v>
      </c>
      <c r="M190" s="106"/>
      <c r="N190" s="73"/>
      <c r="O190" s="106"/>
      <c r="P190" s="73"/>
      <c r="Q190" s="36">
        <f t="shared" si="12"/>
        <v>0</v>
      </c>
      <c r="R190" s="75"/>
      <c r="S190" s="38">
        <f t="shared" si="13"/>
        <v>0</v>
      </c>
    </row>
    <row r="191" spans="1:19" ht="19.95" customHeight="1">
      <c r="A191" s="333">
        <v>45834</v>
      </c>
      <c r="B191" s="106"/>
      <c r="C191" s="106"/>
      <c r="D191" s="36">
        <f t="shared" si="10"/>
        <v>0</v>
      </c>
      <c r="E191" s="106"/>
      <c r="F191" s="106"/>
      <c r="G191" s="36">
        <f t="shared" si="11"/>
        <v>0</v>
      </c>
      <c r="H191" s="75"/>
      <c r="I191" s="106"/>
      <c r="J191" s="73"/>
      <c r="K191" s="75"/>
      <c r="L191" s="36">
        <f t="shared" si="14"/>
        <v>0</v>
      </c>
      <c r="M191" s="106"/>
      <c r="N191" s="73"/>
      <c r="O191" s="106"/>
      <c r="P191" s="73"/>
      <c r="Q191" s="36">
        <f t="shared" si="12"/>
        <v>0</v>
      </c>
      <c r="R191" s="75"/>
      <c r="S191" s="38">
        <f t="shared" si="13"/>
        <v>0</v>
      </c>
    </row>
    <row r="192" spans="1:19" ht="19.95" customHeight="1">
      <c r="A192" s="333">
        <v>45835</v>
      </c>
      <c r="B192" s="106"/>
      <c r="C192" s="106"/>
      <c r="D192" s="36">
        <f t="shared" si="10"/>
        <v>0</v>
      </c>
      <c r="E192" s="106"/>
      <c r="F192" s="106"/>
      <c r="G192" s="36">
        <f t="shared" si="11"/>
        <v>0</v>
      </c>
      <c r="H192" s="75"/>
      <c r="I192" s="106"/>
      <c r="J192" s="73"/>
      <c r="K192" s="75"/>
      <c r="L192" s="36">
        <f t="shared" si="14"/>
        <v>0</v>
      </c>
      <c r="M192" s="106"/>
      <c r="N192" s="73"/>
      <c r="O192" s="106"/>
      <c r="P192" s="73"/>
      <c r="Q192" s="36">
        <f t="shared" si="12"/>
        <v>0</v>
      </c>
      <c r="R192" s="75"/>
      <c r="S192" s="38">
        <f t="shared" si="13"/>
        <v>0</v>
      </c>
    </row>
    <row r="193" spans="1:19" ht="19.95" customHeight="1">
      <c r="A193" s="333">
        <v>45836</v>
      </c>
      <c r="B193" s="106"/>
      <c r="C193" s="106"/>
      <c r="D193" s="36">
        <f t="shared" si="10"/>
        <v>0</v>
      </c>
      <c r="E193" s="106"/>
      <c r="F193" s="106"/>
      <c r="G193" s="36">
        <f t="shared" si="11"/>
        <v>0</v>
      </c>
      <c r="H193" s="75"/>
      <c r="I193" s="106"/>
      <c r="J193" s="73"/>
      <c r="K193" s="75"/>
      <c r="L193" s="36">
        <f t="shared" si="14"/>
        <v>0</v>
      </c>
      <c r="M193" s="106"/>
      <c r="N193" s="73"/>
      <c r="O193" s="106"/>
      <c r="P193" s="73"/>
      <c r="Q193" s="36">
        <f t="shared" si="12"/>
        <v>0</v>
      </c>
      <c r="R193" s="75"/>
      <c r="S193" s="38">
        <f t="shared" si="13"/>
        <v>0</v>
      </c>
    </row>
    <row r="194" spans="1:19" ht="19.95" customHeight="1">
      <c r="A194" s="333">
        <v>45837</v>
      </c>
      <c r="B194" s="106"/>
      <c r="C194" s="106"/>
      <c r="D194" s="36">
        <f t="shared" si="10"/>
        <v>0</v>
      </c>
      <c r="E194" s="106"/>
      <c r="F194" s="106"/>
      <c r="G194" s="36">
        <f t="shared" si="11"/>
        <v>0</v>
      </c>
      <c r="H194" s="75"/>
      <c r="I194" s="106"/>
      <c r="J194" s="73"/>
      <c r="K194" s="75"/>
      <c r="L194" s="36">
        <f t="shared" si="14"/>
        <v>0</v>
      </c>
      <c r="M194" s="106"/>
      <c r="N194" s="73"/>
      <c r="O194" s="106"/>
      <c r="P194" s="73"/>
      <c r="Q194" s="36">
        <f t="shared" si="12"/>
        <v>0</v>
      </c>
      <c r="R194" s="75"/>
      <c r="S194" s="38">
        <f t="shared" si="13"/>
        <v>0</v>
      </c>
    </row>
    <row r="195" spans="1:19" ht="19.95" customHeight="1">
      <c r="A195" s="333">
        <v>45838</v>
      </c>
      <c r="B195" s="106"/>
      <c r="C195" s="106"/>
      <c r="D195" s="36">
        <f t="shared" si="10"/>
        <v>0</v>
      </c>
      <c r="E195" s="106"/>
      <c r="F195" s="106"/>
      <c r="G195" s="36">
        <f t="shared" si="11"/>
        <v>0</v>
      </c>
      <c r="H195" s="75"/>
      <c r="I195" s="106"/>
      <c r="J195" s="73"/>
      <c r="K195" s="75"/>
      <c r="L195" s="36">
        <f t="shared" si="14"/>
        <v>0</v>
      </c>
      <c r="M195" s="106"/>
      <c r="N195" s="73"/>
      <c r="O195" s="106"/>
      <c r="P195" s="73"/>
      <c r="Q195" s="36">
        <f t="shared" si="12"/>
        <v>0</v>
      </c>
      <c r="R195" s="75"/>
      <c r="S195" s="38">
        <f t="shared" si="13"/>
        <v>0</v>
      </c>
    </row>
    <row r="196" spans="1:19" ht="19.95" customHeight="1">
      <c r="A196" s="333">
        <v>45839</v>
      </c>
      <c r="B196" s="106"/>
      <c r="C196" s="106"/>
      <c r="D196" s="36">
        <f t="shared" si="10"/>
        <v>0</v>
      </c>
      <c r="E196" s="106"/>
      <c r="F196" s="106"/>
      <c r="G196" s="36">
        <f t="shared" si="11"/>
        <v>0</v>
      </c>
      <c r="H196" s="75"/>
      <c r="I196" s="106"/>
      <c r="J196" s="73"/>
      <c r="K196" s="75"/>
      <c r="L196" s="36">
        <f t="shared" si="14"/>
        <v>0</v>
      </c>
      <c r="M196" s="106"/>
      <c r="N196" s="73"/>
      <c r="O196" s="106"/>
      <c r="P196" s="73"/>
      <c r="Q196" s="36">
        <f t="shared" si="12"/>
        <v>0</v>
      </c>
      <c r="R196" s="75"/>
      <c r="S196" s="38">
        <f t="shared" si="13"/>
        <v>0</v>
      </c>
    </row>
    <row r="197" spans="1:19" ht="19.95" customHeight="1">
      <c r="A197" s="333">
        <v>45840</v>
      </c>
      <c r="B197" s="106"/>
      <c r="C197" s="106"/>
      <c r="D197" s="36">
        <f t="shared" si="10"/>
        <v>0</v>
      </c>
      <c r="E197" s="106"/>
      <c r="F197" s="106"/>
      <c r="G197" s="36">
        <f t="shared" si="11"/>
        <v>0</v>
      </c>
      <c r="H197" s="75"/>
      <c r="I197" s="106"/>
      <c r="J197" s="73"/>
      <c r="K197" s="75"/>
      <c r="L197" s="36">
        <f t="shared" si="14"/>
        <v>0</v>
      </c>
      <c r="M197" s="106"/>
      <c r="N197" s="73"/>
      <c r="O197" s="106"/>
      <c r="P197" s="73"/>
      <c r="Q197" s="36">
        <f t="shared" si="12"/>
        <v>0</v>
      </c>
      <c r="R197" s="75"/>
      <c r="S197" s="38">
        <f t="shared" si="13"/>
        <v>0</v>
      </c>
    </row>
    <row r="198" spans="1:19" ht="19.95" customHeight="1">
      <c r="A198" s="333">
        <v>45841</v>
      </c>
      <c r="B198" s="106"/>
      <c r="C198" s="106"/>
      <c r="D198" s="36">
        <f t="shared" si="10"/>
        <v>0</v>
      </c>
      <c r="E198" s="106"/>
      <c r="F198" s="106"/>
      <c r="G198" s="36">
        <f t="shared" si="11"/>
        <v>0</v>
      </c>
      <c r="H198" s="75"/>
      <c r="I198" s="106"/>
      <c r="J198" s="73"/>
      <c r="K198" s="75"/>
      <c r="L198" s="36">
        <f t="shared" si="14"/>
        <v>0</v>
      </c>
      <c r="M198" s="106"/>
      <c r="N198" s="73"/>
      <c r="O198" s="106"/>
      <c r="P198" s="73"/>
      <c r="Q198" s="36">
        <f t="shared" si="12"/>
        <v>0</v>
      </c>
      <c r="R198" s="75"/>
      <c r="S198" s="38">
        <f t="shared" si="13"/>
        <v>0</v>
      </c>
    </row>
    <row r="199" spans="1:19" ht="19.95" customHeight="1">
      <c r="A199" s="333">
        <v>45842</v>
      </c>
      <c r="B199" s="106"/>
      <c r="C199" s="106"/>
      <c r="D199" s="36">
        <f t="shared" si="10"/>
        <v>0</v>
      </c>
      <c r="E199" s="106"/>
      <c r="F199" s="106"/>
      <c r="G199" s="36">
        <f t="shared" si="11"/>
        <v>0</v>
      </c>
      <c r="H199" s="75"/>
      <c r="I199" s="106"/>
      <c r="J199" s="73"/>
      <c r="K199" s="75"/>
      <c r="L199" s="36">
        <f t="shared" si="14"/>
        <v>0</v>
      </c>
      <c r="M199" s="106"/>
      <c r="N199" s="73"/>
      <c r="O199" s="106"/>
      <c r="P199" s="73"/>
      <c r="Q199" s="36">
        <f t="shared" si="12"/>
        <v>0</v>
      </c>
      <c r="R199" s="75"/>
      <c r="S199" s="38">
        <f t="shared" si="13"/>
        <v>0</v>
      </c>
    </row>
    <row r="200" spans="1:19" ht="19.95" customHeight="1">
      <c r="A200" s="333">
        <v>45843</v>
      </c>
      <c r="B200" s="106"/>
      <c r="C200" s="106"/>
      <c r="D200" s="36">
        <f t="shared" si="10"/>
        <v>0</v>
      </c>
      <c r="E200" s="106"/>
      <c r="F200" s="106"/>
      <c r="G200" s="36">
        <f t="shared" si="11"/>
        <v>0</v>
      </c>
      <c r="H200" s="75"/>
      <c r="I200" s="106"/>
      <c r="J200" s="73"/>
      <c r="K200" s="75"/>
      <c r="L200" s="36">
        <f t="shared" si="14"/>
        <v>0</v>
      </c>
      <c r="M200" s="106"/>
      <c r="N200" s="73"/>
      <c r="O200" s="106"/>
      <c r="P200" s="73"/>
      <c r="Q200" s="36">
        <f t="shared" si="12"/>
        <v>0</v>
      </c>
      <c r="R200" s="75"/>
      <c r="S200" s="38">
        <f t="shared" si="13"/>
        <v>0</v>
      </c>
    </row>
    <row r="201" spans="1:19" ht="19.95" customHeight="1">
      <c r="A201" s="333">
        <v>45844</v>
      </c>
      <c r="B201" s="106"/>
      <c r="C201" s="106"/>
      <c r="D201" s="36">
        <f t="shared" si="10"/>
        <v>0</v>
      </c>
      <c r="E201" s="106"/>
      <c r="F201" s="106"/>
      <c r="G201" s="36">
        <f t="shared" si="11"/>
        <v>0</v>
      </c>
      <c r="H201" s="75"/>
      <c r="I201" s="106"/>
      <c r="J201" s="73"/>
      <c r="K201" s="75"/>
      <c r="L201" s="36">
        <f t="shared" si="14"/>
        <v>0</v>
      </c>
      <c r="M201" s="106"/>
      <c r="N201" s="73"/>
      <c r="O201" s="106"/>
      <c r="P201" s="73"/>
      <c r="Q201" s="36">
        <f t="shared" si="12"/>
        <v>0</v>
      </c>
      <c r="R201" s="75"/>
      <c r="S201" s="38">
        <f t="shared" si="13"/>
        <v>0</v>
      </c>
    </row>
    <row r="202" spans="1:19" ht="19.95" customHeight="1">
      <c r="A202" s="333">
        <v>45845</v>
      </c>
      <c r="B202" s="106"/>
      <c r="C202" s="106"/>
      <c r="D202" s="36">
        <f t="shared" si="10"/>
        <v>0</v>
      </c>
      <c r="E202" s="106"/>
      <c r="F202" s="106"/>
      <c r="G202" s="36">
        <f t="shared" si="11"/>
        <v>0</v>
      </c>
      <c r="H202" s="75"/>
      <c r="I202" s="106"/>
      <c r="J202" s="73"/>
      <c r="K202" s="75"/>
      <c r="L202" s="36">
        <f t="shared" si="14"/>
        <v>0</v>
      </c>
      <c r="M202" s="106"/>
      <c r="N202" s="73"/>
      <c r="O202" s="106"/>
      <c r="P202" s="73"/>
      <c r="Q202" s="36">
        <f t="shared" si="12"/>
        <v>0</v>
      </c>
      <c r="R202" s="75"/>
      <c r="S202" s="38">
        <f t="shared" si="13"/>
        <v>0</v>
      </c>
    </row>
    <row r="203" spans="1:19" ht="19.95" customHeight="1">
      <c r="A203" s="333">
        <v>45846</v>
      </c>
      <c r="B203" s="106"/>
      <c r="C203" s="106"/>
      <c r="D203" s="36">
        <f t="shared" si="10"/>
        <v>0</v>
      </c>
      <c r="E203" s="106"/>
      <c r="F203" s="106"/>
      <c r="G203" s="36">
        <f t="shared" si="11"/>
        <v>0</v>
      </c>
      <c r="H203" s="75"/>
      <c r="I203" s="106"/>
      <c r="J203" s="73"/>
      <c r="K203" s="75"/>
      <c r="L203" s="36">
        <f t="shared" si="14"/>
        <v>0</v>
      </c>
      <c r="M203" s="106"/>
      <c r="N203" s="73"/>
      <c r="O203" s="106"/>
      <c r="P203" s="73"/>
      <c r="Q203" s="36">
        <f t="shared" si="12"/>
        <v>0</v>
      </c>
      <c r="R203" s="75"/>
      <c r="S203" s="38">
        <f t="shared" si="13"/>
        <v>0</v>
      </c>
    </row>
    <row r="204" spans="1:19" ht="19.95" customHeight="1">
      <c r="A204" s="333">
        <v>45847</v>
      </c>
      <c r="B204" s="106"/>
      <c r="C204" s="106"/>
      <c r="D204" s="36">
        <f t="shared" si="10"/>
        <v>0</v>
      </c>
      <c r="E204" s="106"/>
      <c r="F204" s="106"/>
      <c r="G204" s="36">
        <f t="shared" si="11"/>
        <v>0</v>
      </c>
      <c r="H204" s="75"/>
      <c r="I204" s="106"/>
      <c r="J204" s="73"/>
      <c r="K204" s="75"/>
      <c r="L204" s="36">
        <f t="shared" si="14"/>
        <v>0</v>
      </c>
      <c r="M204" s="106"/>
      <c r="N204" s="73"/>
      <c r="O204" s="106"/>
      <c r="P204" s="73"/>
      <c r="Q204" s="36">
        <f t="shared" si="12"/>
        <v>0</v>
      </c>
      <c r="R204" s="75"/>
      <c r="S204" s="38">
        <f t="shared" si="13"/>
        <v>0</v>
      </c>
    </row>
    <row r="205" spans="1:19" ht="19.95" customHeight="1">
      <c r="A205" s="333">
        <v>45848</v>
      </c>
      <c r="B205" s="106"/>
      <c r="C205" s="106"/>
      <c r="D205" s="36">
        <f t="shared" si="10"/>
        <v>0</v>
      </c>
      <c r="E205" s="106"/>
      <c r="F205" s="106"/>
      <c r="G205" s="36">
        <f t="shared" si="11"/>
        <v>0</v>
      </c>
      <c r="H205" s="75"/>
      <c r="I205" s="106"/>
      <c r="J205" s="73"/>
      <c r="K205" s="75"/>
      <c r="L205" s="36">
        <f t="shared" si="14"/>
        <v>0</v>
      </c>
      <c r="M205" s="106"/>
      <c r="N205" s="73"/>
      <c r="O205" s="106"/>
      <c r="P205" s="73"/>
      <c r="Q205" s="36">
        <f t="shared" si="12"/>
        <v>0</v>
      </c>
      <c r="R205" s="75"/>
      <c r="S205" s="38">
        <f t="shared" si="13"/>
        <v>0</v>
      </c>
    </row>
    <row r="206" spans="1:19" ht="19.95" customHeight="1">
      <c r="A206" s="333">
        <v>45849</v>
      </c>
      <c r="B206" s="106"/>
      <c r="C206" s="106"/>
      <c r="D206" s="36">
        <f t="shared" si="10"/>
        <v>0</v>
      </c>
      <c r="E206" s="106"/>
      <c r="F206" s="106"/>
      <c r="G206" s="36">
        <f t="shared" si="11"/>
        <v>0</v>
      </c>
      <c r="H206" s="75"/>
      <c r="I206" s="106"/>
      <c r="J206" s="73"/>
      <c r="K206" s="75"/>
      <c r="L206" s="36">
        <f t="shared" si="14"/>
        <v>0</v>
      </c>
      <c r="M206" s="106"/>
      <c r="N206" s="73"/>
      <c r="O206" s="106"/>
      <c r="P206" s="73"/>
      <c r="Q206" s="36">
        <f t="shared" si="12"/>
        <v>0</v>
      </c>
      <c r="R206" s="75"/>
      <c r="S206" s="38">
        <f t="shared" si="13"/>
        <v>0</v>
      </c>
    </row>
    <row r="207" spans="1:19" ht="19.95" customHeight="1">
      <c r="A207" s="333">
        <v>45850</v>
      </c>
      <c r="B207" s="106"/>
      <c r="C207" s="106"/>
      <c r="D207" s="36">
        <f t="shared" ref="D207:D270" si="15">SUM(B207:C207)*$D$13/360</f>
        <v>0</v>
      </c>
      <c r="E207" s="106"/>
      <c r="F207" s="106"/>
      <c r="G207" s="36">
        <f t="shared" ref="G207:G270" si="16">SUM(E207:F207)*$G$13/360</f>
        <v>0</v>
      </c>
      <c r="H207" s="75"/>
      <c r="I207" s="106"/>
      <c r="J207" s="73"/>
      <c r="K207" s="75"/>
      <c r="L207" s="36">
        <f t="shared" si="14"/>
        <v>0</v>
      </c>
      <c r="M207" s="106"/>
      <c r="N207" s="73"/>
      <c r="O207" s="106"/>
      <c r="P207" s="73"/>
      <c r="Q207" s="36">
        <f t="shared" ref="Q207:Q270" si="17">(M207*N207+O207*P207)/360</f>
        <v>0</v>
      </c>
      <c r="R207" s="75"/>
      <c r="S207" s="38">
        <f t="shared" ref="S207:S270" si="18">D207+G207+L207+Q207</f>
        <v>0</v>
      </c>
    </row>
    <row r="208" spans="1:19" ht="19.95" customHeight="1">
      <c r="A208" s="333">
        <v>45851</v>
      </c>
      <c r="B208" s="106"/>
      <c r="C208" s="106"/>
      <c r="D208" s="36">
        <f t="shared" si="15"/>
        <v>0</v>
      </c>
      <c r="E208" s="106"/>
      <c r="F208" s="106"/>
      <c r="G208" s="36">
        <f t="shared" si="16"/>
        <v>0</v>
      </c>
      <c r="H208" s="75"/>
      <c r="I208" s="106"/>
      <c r="J208" s="73"/>
      <c r="K208" s="75"/>
      <c r="L208" s="36">
        <f t="shared" ref="L208:L271" si="19">I208*J208/360</f>
        <v>0</v>
      </c>
      <c r="M208" s="106"/>
      <c r="N208" s="73"/>
      <c r="O208" s="106"/>
      <c r="P208" s="73"/>
      <c r="Q208" s="36">
        <f t="shared" si="17"/>
        <v>0</v>
      </c>
      <c r="R208" s="75"/>
      <c r="S208" s="38">
        <f t="shared" si="18"/>
        <v>0</v>
      </c>
    </row>
    <row r="209" spans="1:19" ht="19.95" customHeight="1">
      <c r="A209" s="333">
        <v>45852</v>
      </c>
      <c r="B209" s="106"/>
      <c r="C209" s="106"/>
      <c r="D209" s="36">
        <f t="shared" si="15"/>
        <v>0</v>
      </c>
      <c r="E209" s="106"/>
      <c r="F209" s="106"/>
      <c r="G209" s="36">
        <f t="shared" si="16"/>
        <v>0</v>
      </c>
      <c r="H209" s="75"/>
      <c r="I209" s="106"/>
      <c r="J209" s="73"/>
      <c r="K209" s="75"/>
      <c r="L209" s="36">
        <f t="shared" si="19"/>
        <v>0</v>
      </c>
      <c r="M209" s="106"/>
      <c r="N209" s="73"/>
      <c r="O209" s="106"/>
      <c r="P209" s="73"/>
      <c r="Q209" s="36">
        <f t="shared" si="17"/>
        <v>0</v>
      </c>
      <c r="R209" s="75"/>
      <c r="S209" s="38">
        <f t="shared" si="18"/>
        <v>0</v>
      </c>
    </row>
    <row r="210" spans="1:19" ht="19.95" customHeight="1">
      <c r="A210" s="333">
        <v>45853</v>
      </c>
      <c r="B210" s="106"/>
      <c r="C210" s="106"/>
      <c r="D210" s="36">
        <f t="shared" si="15"/>
        <v>0</v>
      </c>
      <c r="E210" s="106"/>
      <c r="F210" s="106"/>
      <c r="G210" s="36">
        <f t="shared" si="16"/>
        <v>0</v>
      </c>
      <c r="H210" s="75"/>
      <c r="I210" s="106"/>
      <c r="J210" s="73"/>
      <c r="K210" s="75"/>
      <c r="L210" s="36">
        <f t="shared" si="19"/>
        <v>0</v>
      </c>
      <c r="M210" s="106"/>
      <c r="N210" s="73"/>
      <c r="O210" s="106"/>
      <c r="P210" s="73"/>
      <c r="Q210" s="36">
        <f t="shared" si="17"/>
        <v>0</v>
      </c>
      <c r="R210" s="75"/>
      <c r="S210" s="38">
        <f t="shared" si="18"/>
        <v>0</v>
      </c>
    </row>
    <row r="211" spans="1:19" ht="19.95" customHeight="1">
      <c r="A211" s="333">
        <v>45854</v>
      </c>
      <c r="B211" s="106"/>
      <c r="C211" s="106"/>
      <c r="D211" s="36">
        <f t="shared" si="15"/>
        <v>0</v>
      </c>
      <c r="E211" s="106"/>
      <c r="F211" s="106"/>
      <c r="G211" s="36">
        <f t="shared" si="16"/>
        <v>0</v>
      </c>
      <c r="H211" s="75"/>
      <c r="I211" s="106"/>
      <c r="J211" s="73"/>
      <c r="K211" s="75"/>
      <c r="L211" s="36">
        <f t="shared" si="19"/>
        <v>0</v>
      </c>
      <c r="M211" s="106"/>
      <c r="N211" s="73"/>
      <c r="O211" s="106"/>
      <c r="P211" s="73"/>
      <c r="Q211" s="36">
        <f t="shared" si="17"/>
        <v>0</v>
      </c>
      <c r="R211" s="75"/>
      <c r="S211" s="38">
        <f t="shared" si="18"/>
        <v>0</v>
      </c>
    </row>
    <row r="212" spans="1:19" ht="19.95" customHeight="1">
      <c r="A212" s="333">
        <v>45855</v>
      </c>
      <c r="B212" s="106"/>
      <c r="C212" s="106"/>
      <c r="D212" s="36">
        <f t="shared" si="15"/>
        <v>0</v>
      </c>
      <c r="E212" s="106"/>
      <c r="F212" s="106"/>
      <c r="G212" s="36">
        <f t="shared" si="16"/>
        <v>0</v>
      </c>
      <c r="H212" s="75"/>
      <c r="I212" s="106"/>
      <c r="J212" s="73"/>
      <c r="K212" s="75"/>
      <c r="L212" s="36">
        <f t="shared" si="19"/>
        <v>0</v>
      </c>
      <c r="M212" s="106"/>
      <c r="N212" s="73"/>
      <c r="O212" s="106"/>
      <c r="P212" s="73"/>
      <c r="Q212" s="36">
        <f t="shared" si="17"/>
        <v>0</v>
      </c>
      <c r="R212" s="75"/>
      <c r="S212" s="38">
        <f t="shared" si="18"/>
        <v>0</v>
      </c>
    </row>
    <row r="213" spans="1:19" ht="19.95" customHeight="1">
      <c r="A213" s="333">
        <v>45856</v>
      </c>
      <c r="B213" s="106"/>
      <c r="C213" s="106"/>
      <c r="D213" s="36">
        <f t="shared" si="15"/>
        <v>0</v>
      </c>
      <c r="E213" s="106"/>
      <c r="F213" s="106"/>
      <c r="G213" s="36">
        <f t="shared" si="16"/>
        <v>0</v>
      </c>
      <c r="H213" s="75"/>
      <c r="I213" s="106"/>
      <c r="J213" s="73"/>
      <c r="K213" s="75"/>
      <c r="L213" s="36">
        <f t="shared" si="19"/>
        <v>0</v>
      </c>
      <c r="M213" s="106"/>
      <c r="N213" s="73"/>
      <c r="O213" s="106"/>
      <c r="P213" s="73"/>
      <c r="Q213" s="36">
        <f t="shared" si="17"/>
        <v>0</v>
      </c>
      <c r="R213" s="75"/>
      <c r="S213" s="38">
        <f t="shared" si="18"/>
        <v>0</v>
      </c>
    </row>
    <row r="214" spans="1:19" ht="19.95" customHeight="1">
      <c r="A214" s="333">
        <v>45857</v>
      </c>
      <c r="B214" s="106"/>
      <c r="C214" s="106"/>
      <c r="D214" s="36">
        <f t="shared" si="15"/>
        <v>0</v>
      </c>
      <c r="E214" s="106"/>
      <c r="F214" s="106"/>
      <c r="G214" s="36">
        <f t="shared" si="16"/>
        <v>0</v>
      </c>
      <c r="H214" s="75"/>
      <c r="I214" s="106"/>
      <c r="J214" s="73"/>
      <c r="K214" s="75"/>
      <c r="L214" s="36">
        <f t="shared" si="19"/>
        <v>0</v>
      </c>
      <c r="M214" s="106"/>
      <c r="N214" s="73"/>
      <c r="O214" s="106"/>
      <c r="P214" s="73"/>
      <c r="Q214" s="36">
        <f t="shared" si="17"/>
        <v>0</v>
      </c>
      <c r="R214" s="75"/>
      <c r="S214" s="38">
        <f t="shared" si="18"/>
        <v>0</v>
      </c>
    </row>
    <row r="215" spans="1:19" ht="19.95" customHeight="1">
      <c r="A215" s="333">
        <v>45858</v>
      </c>
      <c r="B215" s="106"/>
      <c r="C215" s="106"/>
      <c r="D215" s="36">
        <f t="shared" si="15"/>
        <v>0</v>
      </c>
      <c r="E215" s="106"/>
      <c r="F215" s="106"/>
      <c r="G215" s="36">
        <f t="shared" si="16"/>
        <v>0</v>
      </c>
      <c r="H215" s="75"/>
      <c r="I215" s="106"/>
      <c r="J215" s="73"/>
      <c r="K215" s="75"/>
      <c r="L215" s="36">
        <f t="shared" si="19"/>
        <v>0</v>
      </c>
      <c r="M215" s="106"/>
      <c r="N215" s="73"/>
      <c r="O215" s="106"/>
      <c r="P215" s="73"/>
      <c r="Q215" s="36">
        <f t="shared" si="17"/>
        <v>0</v>
      </c>
      <c r="R215" s="75"/>
      <c r="S215" s="38">
        <f t="shared" si="18"/>
        <v>0</v>
      </c>
    </row>
    <row r="216" spans="1:19" ht="19.95" customHeight="1">
      <c r="A216" s="333">
        <v>45859</v>
      </c>
      <c r="B216" s="106"/>
      <c r="C216" s="106"/>
      <c r="D216" s="36">
        <f t="shared" si="15"/>
        <v>0</v>
      </c>
      <c r="E216" s="106"/>
      <c r="F216" s="106"/>
      <c r="G216" s="36">
        <f t="shared" si="16"/>
        <v>0</v>
      </c>
      <c r="H216" s="75"/>
      <c r="I216" s="106"/>
      <c r="J216" s="73"/>
      <c r="K216" s="75"/>
      <c r="L216" s="36">
        <f t="shared" si="19"/>
        <v>0</v>
      </c>
      <c r="M216" s="106"/>
      <c r="N216" s="73"/>
      <c r="O216" s="106"/>
      <c r="P216" s="73"/>
      <c r="Q216" s="36">
        <f t="shared" si="17"/>
        <v>0</v>
      </c>
      <c r="R216" s="75"/>
      <c r="S216" s="38">
        <f t="shared" si="18"/>
        <v>0</v>
      </c>
    </row>
    <row r="217" spans="1:19" ht="19.95" customHeight="1">
      <c r="A217" s="333">
        <v>45860</v>
      </c>
      <c r="B217" s="106"/>
      <c r="C217" s="106"/>
      <c r="D217" s="36">
        <f t="shared" si="15"/>
        <v>0</v>
      </c>
      <c r="E217" s="106"/>
      <c r="F217" s="106"/>
      <c r="G217" s="36">
        <f t="shared" si="16"/>
        <v>0</v>
      </c>
      <c r="H217" s="75"/>
      <c r="I217" s="106"/>
      <c r="J217" s="73"/>
      <c r="K217" s="75"/>
      <c r="L217" s="36">
        <f t="shared" si="19"/>
        <v>0</v>
      </c>
      <c r="M217" s="106"/>
      <c r="N217" s="73"/>
      <c r="O217" s="106"/>
      <c r="P217" s="73"/>
      <c r="Q217" s="36">
        <f t="shared" si="17"/>
        <v>0</v>
      </c>
      <c r="R217" s="75"/>
      <c r="S217" s="38">
        <f t="shared" si="18"/>
        <v>0</v>
      </c>
    </row>
    <row r="218" spans="1:19" ht="19.95" customHeight="1">
      <c r="A218" s="333">
        <v>45861</v>
      </c>
      <c r="B218" s="106"/>
      <c r="C218" s="106"/>
      <c r="D218" s="36">
        <f t="shared" si="15"/>
        <v>0</v>
      </c>
      <c r="E218" s="106"/>
      <c r="F218" s="106"/>
      <c r="G218" s="36">
        <f t="shared" si="16"/>
        <v>0</v>
      </c>
      <c r="H218" s="75"/>
      <c r="I218" s="106"/>
      <c r="J218" s="73"/>
      <c r="K218" s="75"/>
      <c r="L218" s="36">
        <f t="shared" si="19"/>
        <v>0</v>
      </c>
      <c r="M218" s="106"/>
      <c r="N218" s="73"/>
      <c r="O218" s="106"/>
      <c r="P218" s="73"/>
      <c r="Q218" s="36">
        <f t="shared" si="17"/>
        <v>0</v>
      </c>
      <c r="R218" s="75"/>
      <c r="S218" s="38">
        <f t="shared" si="18"/>
        <v>0</v>
      </c>
    </row>
    <row r="219" spans="1:19" ht="19.95" customHeight="1">
      <c r="A219" s="333">
        <v>45862</v>
      </c>
      <c r="B219" s="106"/>
      <c r="C219" s="106"/>
      <c r="D219" s="36">
        <f t="shared" si="15"/>
        <v>0</v>
      </c>
      <c r="E219" s="106"/>
      <c r="F219" s="106"/>
      <c r="G219" s="36">
        <f t="shared" si="16"/>
        <v>0</v>
      </c>
      <c r="H219" s="75"/>
      <c r="I219" s="106"/>
      <c r="J219" s="73"/>
      <c r="K219" s="75"/>
      <c r="L219" s="36">
        <f t="shared" si="19"/>
        <v>0</v>
      </c>
      <c r="M219" s="106"/>
      <c r="N219" s="73"/>
      <c r="O219" s="106"/>
      <c r="P219" s="73"/>
      <c r="Q219" s="36">
        <f t="shared" si="17"/>
        <v>0</v>
      </c>
      <c r="R219" s="75"/>
      <c r="S219" s="38">
        <f t="shared" si="18"/>
        <v>0</v>
      </c>
    </row>
    <row r="220" spans="1:19" ht="19.95" customHeight="1">
      <c r="A220" s="333">
        <v>45863</v>
      </c>
      <c r="B220" s="106"/>
      <c r="C220" s="106"/>
      <c r="D220" s="36">
        <f t="shared" si="15"/>
        <v>0</v>
      </c>
      <c r="E220" s="106"/>
      <c r="F220" s="106"/>
      <c r="G220" s="36">
        <f t="shared" si="16"/>
        <v>0</v>
      </c>
      <c r="H220" s="75"/>
      <c r="I220" s="106"/>
      <c r="J220" s="73"/>
      <c r="K220" s="75"/>
      <c r="L220" s="36">
        <f t="shared" si="19"/>
        <v>0</v>
      </c>
      <c r="M220" s="106"/>
      <c r="N220" s="73"/>
      <c r="O220" s="106"/>
      <c r="P220" s="73"/>
      <c r="Q220" s="36">
        <f t="shared" si="17"/>
        <v>0</v>
      </c>
      <c r="R220" s="75"/>
      <c r="S220" s="38">
        <f t="shared" si="18"/>
        <v>0</v>
      </c>
    </row>
    <row r="221" spans="1:19" ht="19.95" customHeight="1">
      <c r="A221" s="333">
        <v>45864</v>
      </c>
      <c r="B221" s="106"/>
      <c r="C221" s="106"/>
      <c r="D221" s="36">
        <f t="shared" si="15"/>
        <v>0</v>
      </c>
      <c r="E221" s="106"/>
      <c r="F221" s="106"/>
      <c r="G221" s="36">
        <f t="shared" si="16"/>
        <v>0</v>
      </c>
      <c r="H221" s="75"/>
      <c r="I221" s="106"/>
      <c r="J221" s="73"/>
      <c r="K221" s="75"/>
      <c r="L221" s="36">
        <f t="shared" si="19"/>
        <v>0</v>
      </c>
      <c r="M221" s="106"/>
      <c r="N221" s="73"/>
      <c r="O221" s="106"/>
      <c r="P221" s="73"/>
      <c r="Q221" s="36">
        <f t="shared" si="17"/>
        <v>0</v>
      </c>
      <c r="R221" s="75"/>
      <c r="S221" s="38">
        <f t="shared" si="18"/>
        <v>0</v>
      </c>
    </row>
    <row r="222" spans="1:19" ht="19.95" customHeight="1">
      <c r="A222" s="333">
        <v>45865</v>
      </c>
      <c r="B222" s="106"/>
      <c r="C222" s="106"/>
      <c r="D222" s="36">
        <f t="shared" si="15"/>
        <v>0</v>
      </c>
      <c r="E222" s="106"/>
      <c r="F222" s="106"/>
      <c r="G222" s="36">
        <f t="shared" si="16"/>
        <v>0</v>
      </c>
      <c r="H222" s="75"/>
      <c r="I222" s="106"/>
      <c r="J222" s="73"/>
      <c r="K222" s="75"/>
      <c r="L222" s="36">
        <f t="shared" si="19"/>
        <v>0</v>
      </c>
      <c r="M222" s="106"/>
      <c r="N222" s="73"/>
      <c r="O222" s="106"/>
      <c r="P222" s="73"/>
      <c r="Q222" s="36">
        <f t="shared" si="17"/>
        <v>0</v>
      </c>
      <c r="R222" s="75"/>
      <c r="S222" s="38">
        <f t="shared" si="18"/>
        <v>0</v>
      </c>
    </row>
    <row r="223" spans="1:19" ht="19.95" customHeight="1">
      <c r="A223" s="333">
        <v>45866</v>
      </c>
      <c r="B223" s="106"/>
      <c r="C223" s="106"/>
      <c r="D223" s="36">
        <f t="shared" si="15"/>
        <v>0</v>
      </c>
      <c r="E223" s="106"/>
      <c r="F223" s="106"/>
      <c r="G223" s="36">
        <f t="shared" si="16"/>
        <v>0</v>
      </c>
      <c r="H223" s="75"/>
      <c r="I223" s="106"/>
      <c r="J223" s="73"/>
      <c r="K223" s="75"/>
      <c r="L223" s="36">
        <f t="shared" si="19"/>
        <v>0</v>
      </c>
      <c r="M223" s="106"/>
      <c r="N223" s="73"/>
      <c r="O223" s="106"/>
      <c r="P223" s="73"/>
      <c r="Q223" s="36">
        <f t="shared" si="17"/>
        <v>0</v>
      </c>
      <c r="R223" s="75"/>
      <c r="S223" s="38">
        <f t="shared" si="18"/>
        <v>0</v>
      </c>
    </row>
    <row r="224" spans="1:19" ht="19.95" customHeight="1">
      <c r="A224" s="333">
        <v>45867</v>
      </c>
      <c r="B224" s="106"/>
      <c r="C224" s="106"/>
      <c r="D224" s="36">
        <f t="shared" si="15"/>
        <v>0</v>
      </c>
      <c r="E224" s="106"/>
      <c r="F224" s="106"/>
      <c r="G224" s="36">
        <f t="shared" si="16"/>
        <v>0</v>
      </c>
      <c r="H224" s="75"/>
      <c r="I224" s="106"/>
      <c r="J224" s="73"/>
      <c r="K224" s="75"/>
      <c r="L224" s="36">
        <f t="shared" si="19"/>
        <v>0</v>
      </c>
      <c r="M224" s="106"/>
      <c r="N224" s="73"/>
      <c r="O224" s="106"/>
      <c r="P224" s="73"/>
      <c r="Q224" s="36">
        <f t="shared" si="17"/>
        <v>0</v>
      </c>
      <c r="R224" s="75"/>
      <c r="S224" s="38">
        <f t="shared" si="18"/>
        <v>0</v>
      </c>
    </row>
    <row r="225" spans="1:19" ht="19.95" customHeight="1">
      <c r="A225" s="333">
        <v>45868</v>
      </c>
      <c r="B225" s="106"/>
      <c r="C225" s="106"/>
      <c r="D225" s="36">
        <f t="shared" si="15"/>
        <v>0</v>
      </c>
      <c r="E225" s="106"/>
      <c r="F225" s="106"/>
      <c r="G225" s="36">
        <f t="shared" si="16"/>
        <v>0</v>
      </c>
      <c r="H225" s="75"/>
      <c r="I225" s="106"/>
      <c r="J225" s="73"/>
      <c r="K225" s="75"/>
      <c r="L225" s="36">
        <f t="shared" si="19"/>
        <v>0</v>
      </c>
      <c r="M225" s="106"/>
      <c r="N225" s="73"/>
      <c r="O225" s="106"/>
      <c r="P225" s="73"/>
      <c r="Q225" s="36">
        <f t="shared" si="17"/>
        <v>0</v>
      </c>
      <c r="R225" s="75"/>
      <c r="S225" s="38">
        <f t="shared" si="18"/>
        <v>0</v>
      </c>
    </row>
    <row r="226" spans="1:19" ht="19.95" customHeight="1">
      <c r="A226" s="333">
        <v>45869</v>
      </c>
      <c r="B226" s="106"/>
      <c r="C226" s="106"/>
      <c r="D226" s="36">
        <f t="shared" si="15"/>
        <v>0</v>
      </c>
      <c r="E226" s="106"/>
      <c r="F226" s="106"/>
      <c r="G226" s="36">
        <f t="shared" si="16"/>
        <v>0</v>
      </c>
      <c r="H226" s="75"/>
      <c r="I226" s="106"/>
      <c r="J226" s="73"/>
      <c r="K226" s="75"/>
      <c r="L226" s="36">
        <f t="shared" si="19"/>
        <v>0</v>
      </c>
      <c r="M226" s="106"/>
      <c r="N226" s="73"/>
      <c r="O226" s="106"/>
      <c r="P226" s="73"/>
      <c r="Q226" s="36">
        <f t="shared" si="17"/>
        <v>0</v>
      </c>
      <c r="R226" s="75"/>
      <c r="S226" s="38">
        <f t="shared" si="18"/>
        <v>0</v>
      </c>
    </row>
    <row r="227" spans="1:19" ht="19.95" customHeight="1">
      <c r="A227" s="333">
        <v>45870</v>
      </c>
      <c r="B227" s="106"/>
      <c r="C227" s="106"/>
      <c r="D227" s="36">
        <f t="shared" si="15"/>
        <v>0</v>
      </c>
      <c r="E227" s="106"/>
      <c r="F227" s="106"/>
      <c r="G227" s="36">
        <f t="shared" si="16"/>
        <v>0</v>
      </c>
      <c r="H227" s="75"/>
      <c r="I227" s="106"/>
      <c r="J227" s="73"/>
      <c r="K227" s="75"/>
      <c r="L227" s="36">
        <f t="shared" si="19"/>
        <v>0</v>
      </c>
      <c r="M227" s="106"/>
      <c r="N227" s="73"/>
      <c r="O227" s="106"/>
      <c r="P227" s="73"/>
      <c r="Q227" s="36">
        <f t="shared" si="17"/>
        <v>0</v>
      </c>
      <c r="R227" s="75"/>
      <c r="S227" s="38">
        <f t="shared" si="18"/>
        <v>0</v>
      </c>
    </row>
    <row r="228" spans="1:19" ht="19.95" customHeight="1">
      <c r="A228" s="333">
        <v>45871</v>
      </c>
      <c r="B228" s="106"/>
      <c r="C228" s="106"/>
      <c r="D228" s="36">
        <f t="shared" si="15"/>
        <v>0</v>
      </c>
      <c r="E228" s="106"/>
      <c r="F228" s="106"/>
      <c r="G228" s="36">
        <f t="shared" si="16"/>
        <v>0</v>
      </c>
      <c r="H228" s="75"/>
      <c r="I228" s="106"/>
      <c r="J228" s="73"/>
      <c r="K228" s="75"/>
      <c r="L228" s="36">
        <f t="shared" si="19"/>
        <v>0</v>
      </c>
      <c r="M228" s="106"/>
      <c r="N228" s="73"/>
      <c r="O228" s="106"/>
      <c r="P228" s="73"/>
      <c r="Q228" s="36">
        <f t="shared" si="17"/>
        <v>0</v>
      </c>
      <c r="R228" s="75"/>
      <c r="S228" s="38">
        <f t="shared" si="18"/>
        <v>0</v>
      </c>
    </row>
    <row r="229" spans="1:19" ht="19.95" customHeight="1">
      <c r="A229" s="333">
        <v>45872</v>
      </c>
      <c r="B229" s="106"/>
      <c r="C229" s="106"/>
      <c r="D229" s="36">
        <f t="shared" si="15"/>
        <v>0</v>
      </c>
      <c r="E229" s="106"/>
      <c r="F229" s="106"/>
      <c r="G229" s="36">
        <f t="shared" si="16"/>
        <v>0</v>
      </c>
      <c r="H229" s="75"/>
      <c r="I229" s="106"/>
      <c r="J229" s="73"/>
      <c r="K229" s="75"/>
      <c r="L229" s="36">
        <f t="shared" si="19"/>
        <v>0</v>
      </c>
      <c r="M229" s="106"/>
      <c r="N229" s="73"/>
      <c r="O229" s="106"/>
      <c r="P229" s="73"/>
      <c r="Q229" s="36">
        <f t="shared" si="17"/>
        <v>0</v>
      </c>
      <c r="R229" s="75"/>
      <c r="S229" s="38">
        <f t="shared" si="18"/>
        <v>0</v>
      </c>
    </row>
    <row r="230" spans="1:19" ht="19.95" customHeight="1">
      <c r="A230" s="333">
        <v>45873</v>
      </c>
      <c r="B230" s="106"/>
      <c r="C230" s="106"/>
      <c r="D230" s="36">
        <f t="shared" si="15"/>
        <v>0</v>
      </c>
      <c r="E230" s="106"/>
      <c r="F230" s="106"/>
      <c r="G230" s="36">
        <f t="shared" si="16"/>
        <v>0</v>
      </c>
      <c r="H230" s="75"/>
      <c r="I230" s="106"/>
      <c r="J230" s="73"/>
      <c r="K230" s="75"/>
      <c r="L230" s="36">
        <f t="shared" si="19"/>
        <v>0</v>
      </c>
      <c r="M230" s="106"/>
      <c r="N230" s="73"/>
      <c r="O230" s="106"/>
      <c r="P230" s="73"/>
      <c r="Q230" s="36">
        <f t="shared" si="17"/>
        <v>0</v>
      </c>
      <c r="R230" s="75"/>
      <c r="S230" s="38">
        <f t="shared" si="18"/>
        <v>0</v>
      </c>
    </row>
    <row r="231" spans="1:19" ht="19.95" customHeight="1">
      <c r="A231" s="333">
        <v>45874</v>
      </c>
      <c r="B231" s="106"/>
      <c r="C231" s="106"/>
      <c r="D231" s="36">
        <f t="shared" si="15"/>
        <v>0</v>
      </c>
      <c r="E231" s="106"/>
      <c r="F231" s="106"/>
      <c r="G231" s="36">
        <f t="shared" si="16"/>
        <v>0</v>
      </c>
      <c r="H231" s="75"/>
      <c r="I231" s="106"/>
      <c r="J231" s="73"/>
      <c r="K231" s="75"/>
      <c r="L231" s="36">
        <f t="shared" si="19"/>
        <v>0</v>
      </c>
      <c r="M231" s="106"/>
      <c r="N231" s="73"/>
      <c r="O231" s="106"/>
      <c r="P231" s="73"/>
      <c r="Q231" s="36">
        <f t="shared" si="17"/>
        <v>0</v>
      </c>
      <c r="R231" s="75"/>
      <c r="S231" s="38">
        <f t="shared" si="18"/>
        <v>0</v>
      </c>
    </row>
    <row r="232" spans="1:19" ht="19.95" customHeight="1">
      <c r="A232" s="333">
        <v>45875</v>
      </c>
      <c r="B232" s="106"/>
      <c r="C232" s="106"/>
      <c r="D232" s="36">
        <f t="shared" si="15"/>
        <v>0</v>
      </c>
      <c r="E232" s="106"/>
      <c r="F232" s="106"/>
      <c r="G232" s="36">
        <f t="shared" si="16"/>
        <v>0</v>
      </c>
      <c r="H232" s="75"/>
      <c r="I232" s="106"/>
      <c r="J232" s="73"/>
      <c r="K232" s="75"/>
      <c r="L232" s="36">
        <f t="shared" si="19"/>
        <v>0</v>
      </c>
      <c r="M232" s="106"/>
      <c r="N232" s="73"/>
      <c r="O232" s="106"/>
      <c r="P232" s="73"/>
      <c r="Q232" s="36">
        <f t="shared" si="17"/>
        <v>0</v>
      </c>
      <c r="R232" s="75"/>
      <c r="S232" s="38">
        <f t="shared" si="18"/>
        <v>0</v>
      </c>
    </row>
    <row r="233" spans="1:19" ht="19.95" customHeight="1">
      <c r="A233" s="333">
        <v>45876</v>
      </c>
      <c r="B233" s="106"/>
      <c r="C233" s="106"/>
      <c r="D233" s="36">
        <f t="shared" si="15"/>
        <v>0</v>
      </c>
      <c r="E233" s="106"/>
      <c r="F233" s="106"/>
      <c r="G233" s="36">
        <f t="shared" si="16"/>
        <v>0</v>
      </c>
      <c r="H233" s="75"/>
      <c r="I233" s="106"/>
      <c r="J233" s="73"/>
      <c r="K233" s="75"/>
      <c r="L233" s="36">
        <f t="shared" si="19"/>
        <v>0</v>
      </c>
      <c r="M233" s="106"/>
      <c r="N233" s="73"/>
      <c r="O233" s="106"/>
      <c r="P233" s="73"/>
      <c r="Q233" s="36">
        <f t="shared" si="17"/>
        <v>0</v>
      </c>
      <c r="R233" s="75"/>
      <c r="S233" s="38">
        <f t="shared" si="18"/>
        <v>0</v>
      </c>
    </row>
    <row r="234" spans="1:19" ht="19.95" customHeight="1">
      <c r="A234" s="333">
        <v>45877</v>
      </c>
      <c r="B234" s="106"/>
      <c r="C234" s="106"/>
      <c r="D234" s="36">
        <f t="shared" si="15"/>
        <v>0</v>
      </c>
      <c r="E234" s="106"/>
      <c r="F234" s="106"/>
      <c r="G234" s="36">
        <f t="shared" si="16"/>
        <v>0</v>
      </c>
      <c r="H234" s="75"/>
      <c r="I234" s="106"/>
      <c r="J234" s="73"/>
      <c r="K234" s="75"/>
      <c r="L234" s="36">
        <f t="shared" si="19"/>
        <v>0</v>
      </c>
      <c r="M234" s="106"/>
      <c r="N234" s="73"/>
      <c r="O234" s="106"/>
      <c r="P234" s="73"/>
      <c r="Q234" s="36">
        <f t="shared" si="17"/>
        <v>0</v>
      </c>
      <c r="R234" s="75"/>
      <c r="S234" s="38">
        <f t="shared" si="18"/>
        <v>0</v>
      </c>
    </row>
    <row r="235" spans="1:19" ht="19.95" customHeight="1">
      <c r="A235" s="333">
        <v>45878</v>
      </c>
      <c r="B235" s="106"/>
      <c r="C235" s="106"/>
      <c r="D235" s="36">
        <f t="shared" si="15"/>
        <v>0</v>
      </c>
      <c r="E235" s="106"/>
      <c r="F235" s="106"/>
      <c r="G235" s="36">
        <f t="shared" si="16"/>
        <v>0</v>
      </c>
      <c r="H235" s="75"/>
      <c r="I235" s="106"/>
      <c r="J235" s="73"/>
      <c r="K235" s="75"/>
      <c r="L235" s="36">
        <f t="shared" si="19"/>
        <v>0</v>
      </c>
      <c r="M235" s="106"/>
      <c r="N235" s="73"/>
      <c r="O235" s="106"/>
      <c r="P235" s="73"/>
      <c r="Q235" s="36">
        <f t="shared" si="17"/>
        <v>0</v>
      </c>
      <c r="R235" s="75"/>
      <c r="S235" s="38">
        <f t="shared" si="18"/>
        <v>0</v>
      </c>
    </row>
    <row r="236" spans="1:19" ht="19.95" customHeight="1">
      <c r="A236" s="333">
        <v>45879</v>
      </c>
      <c r="B236" s="106"/>
      <c r="C236" s="106"/>
      <c r="D236" s="36">
        <f t="shared" si="15"/>
        <v>0</v>
      </c>
      <c r="E236" s="106"/>
      <c r="F236" s="106"/>
      <c r="G236" s="36">
        <f t="shared" si="16"/>
        <v>0</v>
      </c>
      <c r="H236" s="75"/>
      <c r="I236" s="106"/>
      <c r="J236" s="73"/>
      <c r="K236" s="75"/>
      <c r="L236" s="36">
        <f t="shared" si="19"/>
        <v>0</v>
      </c>
      <c r="M236" s="106"/>
      <c r="N236" s="73"/>
      <c r="O236" s="106"/>
      <c r="P236" s="73"/>
      <c r="Q236" s="36">
        <f t="shared" si="17"/>
        <v>0</v>
      </c>
      <c r="R236" s="75"/>
      <c r="S236" s="38">
        <f t="shared" si="18"/>
        <v>0</v>
      </c>
    </row>
    <row r="237" spans="1:19" ht="19.95" customHeight="1">
      <c r="A237" s="333">
        <v>45880</v>
      </c>
      <c r="B237" s="106"/>
      <c r="C237" s="106"/>
      <c r="D237" s="36">
        <f t="shared" si="15"/>
        <v>0</v>
      </c>
      <c r="E237" s="106"/>
      <c r="F237" s="106"/>
      <c r="G237" s="36">
        <f t="shared" si="16"/>
        <v>0</v>
      </c>
      <c r="H237" s="75"/>
      <c r="I237" s="106"/>
      <c r="J237" s="73"/>
      <c r="K237" s="75"/>
      <c r="L237" s="36">
        <f t="shared" si="19"/>
        <v>0</v>
      </c>
      <c r="M237" s="106"/>
      <c r="N237" s="73"/>
      <c r="O237" s="106"/>
      <c r="P237" s="73"/>
      <c r="Q237" s="36">
        <f t="shared" si="17"/>
        <v>0</v>
      </c>
      <c r="R237" s="75"/>
      <c r="S237" s="38">
        <f t="shared" si="18"/>
        <v>0</v>
      </c>
    </row>
    <row r="238" spans="1:19" ht="19.95" customHeight="1">
      <c r="A238" s="333">
        <v>45881</v>
      </c>
      <c r="B238" s="106"/>
      <c r="C238" s="106"/>
      <c r="D238" s="36">
        <f t="shared" si="15"/>
        <v>0</v>
      </c>
      <c r="E238" s="106"/>
      <c r="F238" s="106"/>
      <c r="G238" s="36">
        <f t="shared" si="16"/>
        <v>0</v>
      </c>
      <c r="H238" s="75"/>
      <c r="I238" s="106"/>
      <c r="J238" s="73"/>
      <c r="K238" s="75"/>
      <c r="L238" s="36">
        <f t="shared" si="19"/>
        <v>0</v>
      </c>
      <c r="M238" s="106"/>
      <c r="N238" s="73"/>
      <c r="O238" s="106"/>
      <c r="P238" s="73"/>
      <c r="Q238" s="36">
        <f t="shared" si="17"/>
        <v>0</v>
      </c>
      <c r="R238" s="75"/>
      <c r="S238" s="38">
        <f t="shared" si="18"/>
        <v>0</v>
      </c>
    </row>
    <row r="239" spans="1:19" ht="19.95" customHeight="1">
      <c r="A239" s="333">
        <v>45882</v>
      </c>
      <c r="B239" s="106"/>
      <c r="C239" s="106"/>
      <c r="D239" s="36">
        <f t="shared" si="15"/>
        <v>0</v>
      </c>
      <c r="E239" s="106"/>
      <c r="F239" s="106"/>
      <c r="G239" s="36">
        <f t="shared" si="16"/>
        <v>0</v>
      </c>
      <c r="H239" s="75"/>
      <c r="I239" s="106"/>
      <c r="J239" s="73"/>
      <c r="K239" s="75"/>
      <c r="L239" s="36">
        <f t="shared" si="19"/>
        <v>0</v>
      </c>
      <c r="M239" s="106"/>
      <c r="N239" s="73"/>
      <c r="O239" s="106"/>
      <c r="P239" s="73"/>
      <c r="Q239" s="36">
        <f t="shared" si="17"/>
        <v>0</v>
      </c>
      <c r="R239" s="75"/>
      <c r="S239" s="38">
        <f t="shared" si="18"/>
        <v>0</v>
      </c>
    </row>
    <row r="240" spans="1:19" ht="19.95" customHeight="1">
      <c r="A240" s="333">
        <v>45883</v>
      </c>
      <c r="B240" s="106"/>
      <c r="C240" s="106"/>
      <c r="D240" s="36">
        <f t="shared" si="15"/>
        <v>0</v>
      </c>
      <c r="E240" s="106"/>
      <c r="F240" s="106"/>
      <c r="G240" s="36">
        <f t="shared" si="16"/>
        <v>0</v>
      </c>
      <c r="H240" s="75"/>
      <c r="I240" s="106"/>
      <c r="J240" s="73"/>
      <c r="K240" s="75"/>
      <c r="L240" s="36">
        <f t="shared" si="19"/>
        <v>0</v>
      </c>
      <c r="M240" s="106"/>
      <c r="N240" s="73"/>
      <c r="O240" s="106"/>
      <c r="P240" s="73"/>
      <c r="Q240" s="36">
        <f t="shared" si="17"/>
        <v>0</v>
      </c>
      <c r="R240" s="75"/>
      <c r="S240" s="38">
        <f t="shared" si="18"/>
        <v>0</v>
      </c>
    </row>
    <row r="241" spans="1:19" ht="19.95" customHeight="1">
      <c r="A241" s="333">
        <v>45884</v>
      </c>
      <c r="B241" s="106"/>
      <c r="C241" s="106"/>
      <c r="D241" s="36">
        <f t="shared" si="15"/>
        <v>0</v>
      </c>
      <c r="E241" s="106"/>
      <c r="F241" s="106"/>
      <c r="G241" s="36">
        <f t="shared" si="16"/>
        <v>0</v>
      </c>
      <c r="H241" s="75"/>
      <c r="I241" s="106"/>
      <c r="J241" s="73"/>
      <c r="K241" s="75"/>
      <c r="L241" s="36">
        <f t="shared" si="19"/>
        <v>0</v>
      </c>
      <c r="M241" s="106"/>
      <c r="N241" s="73"/>
      <c r="O241" s="106"/>
      <c r="P241" s="73"/>
      <c r="Q241" s="36">
        <f t="shared" si="17"/>
        <v>0</v>
      </c>
      <c r="R241" s="75"/>
      <c r="S241" s="38">
        <f t="shared" si="18"/>
        <v>0</v>
      </c>
    </row>
    <row r="242" spans="1:19" ht="19.95" customHeight="1">
      <c r="A242" s="333">
        <v>45885</v>
      </c>
      <c r="B242" s="106"/>
      <c r="C242" s="106"/>
      <c r="D242" s="36">
        <f t="shared" si="15"/>
        <v>0</v>
      </c>
      <c r="E242" s="106"/>
      <c r="F242" s="106"/>
      <c r="G242" s="36">
        <f t="shared" si="16"/>
        <v>0</v>
      </c>
      <c r="H242" s="75"/>
      <c r="I242" s="106"/>
      <c r="J242" s="73"/>
      <c r="K242" s="75"/>
      <c r="L242" s="36">
        <f t="shared" si="19"/>
        <v>0</v>
      </c>
      <c r="M242" s="106"/>
      <c r="N242" s="73"/>
      <c r="O242" s="106"/>
      <c r="P242" s="73"/>
      <c r="Q242" s="36">
        <f t="shared" si="17"/>
        <v>0</v>
      </c>
      <c r="R242" s="75"/>
      <c r="S242" s="38">
        <f t="shared" si="18"/>
        <v>0</v>
      </c>
    </row>
    <row r="243" spans="1:19" ht="19.95" customHeight="1">
      <c r="A243" s="333">
        <v>45886</v>
      </c>
      <c r="B243" s="106"/>
      <c r="C243" s="106"/>
      <c r="D243" s="36">
        <f t="shared" si="15"/>
        <v>0</v>
      </c>
      <c r="E243" s="106"/>
      <c r="F243" s="106"/>
      <c r="G243" s="36">
        <f t="shared" si="16"/>
        <v>0</v>
      </c>
      <c r="H243" s="75"/>
      <c r="I243" s="106"/>
      <c r="J243" s="73"/>
      <c r="K243" s="75"/>
      <c r="L243" s="36">
        <f t="shared" si="19"/>
        <v>0</v>
      </c>
      <c r="M243" s="106"/>
      <c r="N243" s="73"/>
      <c r="O243" s="106"/>
      <c r="P243" s="73"/>
      <c r="Q243" s="36">
        <f t="shared" si="17"/>
        <v>0</v>
      </c>
      <c r="R243" s="75"/>
      <c r="S243" s="38">
        <f t="shared" si="18"/>
        <v>0</v>
      </c>
    </row>
    <row r="244" spans="1:19" ht="19.95" customHeight="1">
      <c r="A244" s="333">
        <v>45887</v>
      </c>
      <c r="B244" s="106"/>
      <c r="C244" s="106"/>
      <c r="D244" s="36">
        <f t="shared" si="15"/>
        <v>0</v>
      </c>
      <c r="E244" s="106"/>
      <c r="F244" s="106"/>
      <c r="G244" s="36">
        <f t="shared" si="16"/>
        <v>0</v>
      </c>
      <c r="H244" s="75"/>
      <c r="I244" s="106"/>
      <c r="J244" s="73"/>
      <c r="K244" s="75"/>
      <c r="L244" s="36">
        <f t="shared" si="19"/>
        <v>0</v>
      </c>
      <c r="M244" s="106"/>
      <c r="N244" s="73"/>
      <c r="O244" s="106"/>
      <c r="P244" s="73"/>
      <c r="Q244" s="36">
        <f t="shared" si="17"/>
        <v>0</v>
      </c>
      <c r="R244" s="75"/>
      <c r="S244" s="38">
        <f t="shared" si="18"/>
        <v>0</v>
      </c>
    </row>
    <row r="245" spans="1:19" ht="19.95" customHeight="1">
      <c r="A245" s="333">
        <v>45888</v>
      </c>
      <c r="B245" s="106"/>
      <c r="C245" s="106"/>
      <c r="D245" s="36">
        <f t="shared" si="15"/>
        <v>0</v>
      </c>
      <c r="E245" s="106"/>
      <c r="F245" s="106"/>
      <c r="G245" s="36">
        <f t="shared" si="16"/>
        <v>0</v>
      </c>
      <c r="H245" s="75"/>
      <c r="I245" s="106"/>
      <c r="J245" s="73"/>
      <c r="K245" s="75"/>
      <c r="L245" s="36">
        <f t="shared" si="19"/>
        <v>0</v>
      </c>
      <c r="M245" s="106"/>
      <c r="N245" s="73"/>
      <c r="O245" s="106"/>
      <c r="P245" s="73"/>
      <c r="Q245" s="36">
        <f t="shared" si="17"/>
        <v>0</v>
      </c>
      <c r="R245" s="75"/>
      <c r="S245" s="38">
        <f t="shared" si="18"/>
        <v>0</v>
      </c>
    </row>
    <row r="246" spans="1:19" ht="19.95" customHeight="1">
      <c r="A246" s="333">
        <v>45889</v>
      </c>
      <c r="B246" s="106"/>
      <c r="C246" s="106"/>
      <c r="D246" s="36">
        <f t="shared" si="15"/>
        <v>0</v>
      </c>
      <c r="E246" s="106"/>
      <c r="F246" s="106"/>
      <c r="G246" s="36">
        <f t="shared" si="16"/>
        <v>0</v>
      </c>
      <c r="H246" s="75"/>
      <c r="I246" s="106"/>
      <c r="J246" s="73"/>
      <c r="K246" s="75"/>
      <c r="L246" s="36">
        <f t="shared" si="19"/>
        <v>0</v>
      </c>
      <c r="M246" s="106"/>
      <c r="N246" s="73"/>
      <c r="O246" s="106"/>
      <c r="P246" s="73"/>
      <c r="Q246" s="36">
        <f t="shared" si="17"/>
        <v>0</v>
      </c>
      <c r="R246" s="75"/>
      <c r="S246" s="38">
        <f t="shared" si="18"/>
        <v>0</v>
      </c>
    </row>
    <row r="247" spans="1:19" ht="19.95" customHeight="1">
      <c r="A247" s="333">
        <v>45890</v>
      </c>
      <c r="B247" s="106"/>
      <c r="C247" s="106"/>
      <c r="D247" s="36">
        <f t="shared" si="15"/>
        <v>0</v>
      </c>
      <c r="E247" s="106"/>
      <c r="F247" s="106"/>
      <c r="G247" s="36">
        <f t="shared" si="16"/>
        <v>0</v>
      </c>
      <c r="H247" s="75"/>
      <c r="I247" s="106"/>
      <c r="J247" s="73"/>
      <c r="K247" s="75"/>
      <c r="L247" s="36">
        <f t="shared" si="19"/>
        <v>0</v>
      </c>
      <c r="M247" s="106"/>
      <c r="N247" s="73"/>
      <c r="O247" s="106"/>
      <c r="P247" s="73"/>
      <c r="Q247" s="36">
        <f t="shared" si="17"/>
        <v>0</v>
      </c>
      <c r="R247" s="75"/>
      <c r="S247" s="38">
        <f t="shared" si="18"/>
        <v>0</v>
      </c>
    </row>
    <row r="248" spans="1:19" ht="19.95" customHeight="1">
      <c r="A248" s="333">
        <v>45891</v>
      </c>
      <c r="B248" s="106"/>
      <c r="C248" s="106"/>
      <c r="D248" s="36">
        <f t="shared" si="15"/>
        <v>0</v>
      </c>
      <c r="E248" s="106"/>
      <c r="F248" s="106"/>
      <c r="G248" s="36">
        <f t="shared" si="16"/>
        <v>0</v>
      </c>
      <c r="H248" s="75"/>
      <c r="I248" s="106"/>
      <c r="J248" s="73"/>
      <c r="K248" s="75"/>
      <c r="L248" s="36">
        <f t="shared" si="19"/>
        <v>0</v>
      </c>
      <c r="M248" s="106"/>
      <c r="N248" s="73"/>
      <c r="O248" s="106"/>
      <c r="P248" s="73"/>
      <c r="Q248" s="36">
        <f t="shared" si="17"/>
        <v>0</v>
      </c>
      <c r="R248" s="75"/>
      <c r="S248" s="38">
        <f t="shared" si="18"/>
        <v>0</v>
      </c>
    </row>
    <row r="249" spans="1:19" ht="19.95" customHeight="1">
      <c r="A249" s="333">
        <v>45892</v>
      </c>
      <c r="B249" s="106"/>
      <c r="C249" s="106"/>
      <c r="D249" s="36">
        <f t="shared" si="15"/>
        <v>0</v>
      </c>
      <c r="E249" s="106"/>
      <c r="F249" s="106"/>
      <c r="G249" s="36">
        <f t="shared" si="16"/>
        <v>0</v>
      </c>
      <c r="H249" s="75"/>
      <c r="I249" s="106"/>
      <c r="J249" s="73"/>
      <c r="K249" s="75"/>
      <c r="L249" s="36">
        <f t="shared" si="19"/>
        <v>0</v>
      </c>
      <c r="M249" s="106"/>
      <c r="N249" s="73"/>
      <c r="O249" s="106"/>
      <c r="P249" s="73"/>
      <c r="Q249" s="36">
        <f t="shared" si="17"/>
        <v>0</v>
      </c>
      <c r="R249" s="75"/>
      <c r="S249" s="38">
        <f t="shared" si="18"/>
        <v>0</v>
      </c>
    </row>
    <row r="250" spans="1:19" ht="19.95" customHeight="1">
      <c r="A250" s="333">
        <v>45893</v>
      </c>
      <c r="B250" s="106"/>
      <c r="C250" s="106"/>
      <c r="D250" s="36">
        <f t="shared" si="15"/>
        <v>0</v>
      </c>
      <c r="E250" s="106"/>
      <c r="F250" s="106"/>
      <c r="G250" s="36">
        <f t="shared" si="16"/>
        <v>0</v>
      </c>
      <c r="H250" s="75"/>
      <c r="I250" s="106"/>
      <c r="J250" s="73"/>
      <c r="K250" s="75"/>
      <c r="L250" s="36">
        <f t="shared" si="19"/>
        <v>0</v>
      </c>
      <c r="M250" s="106"/>
      <c r="N250" s="73"/>
      <c r="O250" s="106"/>
      <c r="P250" s="73"/>
      <c r="Q250" s="36">
        <f t="shared" si="17"/>
        <v>0</v>
      </c>
      <c r="R250" s="75"/>
      <c r="S250" s="38">
        <f t="shared" si="18"/>
        <v>0</v>
      </c>
    </row>
    <row r="251" spans="1:19" ht="19.95" customHeight="1">
      <c r="A251" s="333">
        <v>45894</v>
      </c>
      <c r="B251" s="106"/>
      <c r="C251" s="106"/>
      <c r="D251" s="36">
        <f t="shared" si="15"/>
        <v>0</v>
      </c>
      <c r="E251" s="106"/>
      <c r="F251" s="106"/>
      <c r="G251" s="36">
        <f t="shared" si="16"/>
        <v>0</v>
      </c>
      <c r="H251" s="75"/>
      <c r="I251" s="106"/>
      <c r="J251" s="73"/>
      <c r="K251" s="75"/>
      <c r="L251" s="36">
        <f t="shared" si="19"/>
        <v>0</v>
      </c>
      <c r="M251" s="106"/>
      <c r="N251" s="73"/>
      <c r="O251" s="106"/>
      <c r="P251" s="73"/>
      <c r="Q251" s="36">
        <f t="shared" si="17"/>
        <v>0</v>
      </c>
      <c r="R251" s="75"/>
      <c r="S251" s="38">
        <f t="shared" si="18"/>
        <v>0</v>
      </c>
    </row>
    <row r="252" spans="1:19" ht="19.95" customHeight="1">
      <c r="A252" s="333">
        <v>45895</v>
      </c>
      <c r="B252" s="106"/>
      <c r="C252" s="106"/>
      <c r="D252" s="36">
        <f t="shared" si="15"/>
        <v>0</v>
      </c>
      <c r="E252" s="106"/>
      <c r="F252" s="106"/>
      <c r="G252" s="36">
        <f t="shared" si="16"/>
        <v>0</v>
      </c>
      <c r="H252" s="75"/>
      <c r="I252" s="106"/>
      <c r="J252" s="73"/>
      <c r="K252" s="75"/>
      <c r="L252" s="36">
        <f t="shared" si="19"/>
        <v>0</v>
      </c>
      <c r="M252" s="106"/>
      <c r="N252" s="73"/>
      <c r="O252" s="106"/>
      <c r="P252" s="73"/>
      <c r="Q252" s="36">
        <f t="shared" si="17"/>
        <v>0</v>
      </c>
      <c r="R252" s="75"/>
      <c r="S252" s="38">
        <f t="shared" si="18"/>
        <v>0</v>
      </c>
    </row>
    <row r="253" spans="1:19" ht="19.95" customHeight="1">
      <c r="A253" s="333">
        <v>45896</v>
      </c>
      <c r="B253" s="106"/>
      <c r="C253" s="106"/>
      <c r="D253" s="36">
        <f t="shared" si="15"/>
        <v>0</v>
      </c>
      <c r="E253" s="106"/>
      <c r="F253" s="106"/>
      <c r="G253" s="36">
        <f t="shared" si="16"/>
        <v>0</v>
      </c>
      <c r="H253" s="75"/>
      <c r="I253" s="106"/>
      <c r="J253" s="73"/>
      <c r="K253" s="75"/>
      <c r="L253" s="36">
        <f t="shared" si="19"/>
        <v>0</v>
      </c>
      <c r="M253" s="106"/>
      <c r="N253" s="73"/>
      <c r="O253" s="106"/>
      <c r="P253" s="73"/>
      <c r="Q253" s="36">
        <f t="shared" si="17"/>
        <v>0</v>
      </c>
      <c r="R253" s="75"/>
      <c r="S253" s="38">
        <f t="shared" si="18"/>
        <v>0</v>
      </c>
    </row>
    <row r="254" spans="1:19" ht="19.95" customHeight="1">
      <c r="A254" s="333">
        <v>45897</v>
      </c>
      <c r="B254" s="106"/>
      <c r="C254" s="106"/>
      <c r="D254" s="36">
        <f t="shared" si="15"/>
        <v>0</v>
      </c>
      <c r="E254" s="106"/>
      <c r="F254" s="106"/>
      <c r="G254" s="36">
        <f t="shared" si="16"/>
        <v>0</v>
      </c>
      <c r="H254" s="75"/>
      <c r="I254" s="106"/>
      <c r="J254" s="73"/>
      <c r="K254" s="75"/>
      <c r="L254" s="36">
        <f t="shared" si="19"/>
        <v>0</v>
      </c>
      <c r="M254" s="106"/>
      <c r="N254" s="73"/>
      <c r="O254" s="106"/>
      <c r="P254" s="73"/>
      <c r="Q254" s="36">
        <f t="shared" si="17"/>
        <v>0</v>
      </c>
      <c r="R254" s="75"/>
      <c r="S254" s="38">
        <f t="shared" si="18"/>
        <v>0</v>
      </c>
    </row>
    <row r="255" spans="1:19" ht="19.95" customHeight="1">
      <c r="A255" s="333">
        <v>45898</v>
      </c>
      <c r="B255" s="106"/>
      <c r="C255" s="106"/>
      <c r="D255" s="36">
        <f t="shared" si="15"/>
        <v>0</v>
      </c>
      <c r="E255" s="106"/>
      <c r="F255" s="106"/>
      <c r="G255" s="36">
        <f t="shared" si="16"/>
        <v>0</v>
      </c>
      <c r="H255" s="75"/>
      <c r="I255" s="106"/>
      <c r="J255" s="73"/>
      <c r="K255" s="75"/>
      <c r="L255" s="36">
        <f t="shared" si="19"/>
        <v>0</v>
      </c>
      <c r="M255" s="106"/>
      <c r="N255" s="73"/>
      <c r="O255" s="106"/>
      <c r="P255" s="73"/>
      <c r="Q255" s="36">
        <f t="shared" si="17"/>
        <v>0</v>
      </c>
      <c r="R255" s="75"/>
      <c r="S255" s="38">
        <f t="shared" si="18"/>
        <v>0</v>
      </c>
    </row>
    <row r="256" spans="1:19" ht="19.95" customHeight="1">
      <c r="A256" s="333">
        <v>45899</v>
      </c>
      <c r="B256" s="106"/>
      <c r="C256" s="106"/>
      <c r="D256" s="36">
        <f t="shared" si="15"/>
        <v>0</v>
      </c>
      <c r="E256" s="106"/>
      <c r="F256" s="106"/>
      <c r="G256" s="36">
        <f t="shared" si="16"/>
        <v>0</v>
      </c>
      <c r="H256" s="75"/>
      <c r="I256" s="106"/>
      <c r="J256" s="73"/>
      <c r="K256" s="75"/>
      <c r="L256" s="36">
        <f t="shared" si="19"/>
        <v>0</v>
      </c>
      <c r="M256" s="106"/>
      <c r="N256" s="73"/>
      <c r="O256" s="106"/>
      <c r="P256" s="73"/>
      <c r="Q256" s="36">
        <f t="shared" si="17"/>
        <v>0</v>
      </c>
      <c r="R256" s="75"/>
      <c r="S256" s="38">
        <f t="shared" si="18"/>
        <v>0</v>
      </c>
    </row>
    <row r="257" spans="1:19" ht="19.95" customHeight="1">
      <c r="A257" s="333">
        <v>45900</v>
      </c>
      <c r="B257" s="106"/>
      <c r="C257" s="106"/>
      <c r="D257" s="36">
        <f t="shared" si="15"/>
        <v>0</v>
      </c>
      <c r="E257" s="106"/>
      <c r="F257" s="106"/>
      <c r="G257" s="36">
        <f t="shared" si="16"/>
        <v>0</v>
      </c>
      <c r="H257" s="75"/>
      <c r="I257" s="106"/>
      <c r="J257" s="73"/>
      <c r="K257" s="75"/>
      <c r="L257" s="36">
        <f t="shared" si="19"/>
        <v>0</v>
      </c>
      <c r="M257" s="106"/>
      <c r="N257" s="73"/>
      <c r="O257" s="106"/>
      <c r="P257" s="73"/>
      <c r="Q257" s="36">
        <f t="shared" si="17"/>
        <v>0</v>
      </c>
      <c r="R257" s="75"/>
      <c r="S257" s="38">
        <f t="shared" si="18"/>
        <v>0</v>
      </c>
    </row>
    <row r="258" spans="1:19" ht="19.95" customHeight="1">
      <c r="A258" s="333">
        <v>45901</v>
      </c>
      <c r="B258" s="106"/>
      <c r="C258" s="106"/>
      <c r="D258" s="36">
        <f t="shared" si="15"/>
        <v>0</v>
      </c>
      <c r="E258" s="106"/>
      <c r="F258" s="106"/>
      <c r="G258" s="36">
        <f t="shared" si="16"/>
        <v>0</v>
      </c>
      <c r="H258" s="75"/>
      <c r="I258" s="106"/>
      <c r="J258" s="73"/>
      <c r="K258" s="75"/>
      <c r="L258" s="36">
        <f t="shared" si="19"/>
        <v>0</v>
      </c>
      <c r="M258" s="106"/>
      <c r="N258" s="73"/>
      <c r="O258" s="106"/>
      <c r="P258" s="73"/>
      <c r="Q258" s="36">
        <f t="shared" si="17"/>
        <v>0</v>
      </c>
      <c r="R258" s="75"/>
      <c r="S258" s="38">
        <f t="shared" si="18"/>
        <v>0</v>
      </c>
    </row>
    <row r="259" spans="1:19" ht="19.95" customHeight="1">
      <c r="A259" s="333">
        <v>45902</v>
      </c>
      <c r="B259" s="106"/>
      <c r="C259" s="106"/>
      <c r="D259" s="36">
        <f t="shared" si="15"/>
        <v>0</v>
      </c>
      <c r="E259" s="106"/>
      <c r="F259" s="106"/>
      <c r="G259" s="36">
        <f t="shared" si="16"/>
        <v>0</v>
      </c>
      <c r="H259" s="75"/>
      <c r="I259" s="106"/>
      <c r="J259" s="73"/>
      <c r="K259" s="75"/>
      <c r="L259" s="36">
        <f t="shared" si="19"/>
        <v>0</v>
      </c>
      <c r="M259" s="106"/>
      <c r="N259" s="73"/>
      <c r="O259" s="106"/>
      <c r="P259" s="73"/>
      <c r="Q259" s="36">
        <f t="shared" si="17"/>
        <v>0</v>
      </c>
      <c r="R259" s="75"/>
      <c r="S259" s="38">
        <f t="shared" si="18"/>
        <v>0</v>
      </c>
    </row>
    <row r="260" spans="1:19" ht="19.95" customHeight="1">
      <c r="A260" s="333">
        <v>45903</v>
      </c>
      <c r="B260" s="106"/>
      <c r="C260" s="106"/>
      <c r="D260" s="36">
        <f t="shared" si="15"/>
        <v>0</v>
      </c>
      <c r="E260" s="106"/>
      <c r="F260" s="106"/>
      <c r="G260" s="36">
        <f t="shared" si="16"/>
        <v>0</v>
      </c>
      <c r="H260" s="75"/>
      <c r="I260" s="106"/>
      <c r="J260" s="73"/>
      <c r="K260" s="75"/>
      <c r="L260" s="36">
        <f t="shared" si="19"/>
        <v>0</v>
      </c>
      <c r="M260" s="106"/>
      <c r="N260" s="73"/>
      <c r="O260" s="106"/>
      <c r="P260" s="73"/>
      <c r="Q260" s="36">
        <f t="shared" si="17"/>
        <v>0</v>
      </c>
      <c r="R260" s="75"/>
      <c r="S260" s="38">
        <f t="shared" si="18"/>
        <v>0</v>
      </c>
    </row>
    <row r="261" spans="1:19" ht="19.95" customHeight="1">
      <c r="A261" s="333">
        <v>45904</v>
      </c>
      <c r="B261" s="106"/>
      <c r="C261" s="106"/>
      <c r="D261" s="36">
        <f t="shared" si="15"/>
        <v>0</v>
      </c>
      <c r="E261" s="106"/>
      <c r="F261" s="106"/>
      <c r="G261" s="36">
        <f t="shared" si="16"/>
        <v>0</v>
      </c>
      <c r="H261" s="75"/>
      <c r="I261" s="106"/>
      <c r="J261" s="73"/>
      <c r="K261" s="75"/>
      <c r="L261" s="36">
        <f t="shared" si="19"/>
        <v>0</v>
      </c>
      <c r="M261" s="106"/>
      <c r="N261" s="73"/>
      <c r="O261" s="106"/>
      <c r="P261" s="73"/>
      <c r="Q261" s="36">
        <f t="shared" si="17"/>
        <v>0</v>
      </c>
      <c r="R261" s="75"/>
      <c r="S261" s="38">
        <f t="shared" si="18"/>
        <v>0</v>
      </c>
    </row>
    <row r="262" spans="1:19" ht="19.95" customHeight="1">
      <c r="A262" s="333">
        <v>45905</v>
      </c>
      <c r="B262" s="106"/>
      <c r="C262" s="106"/>
      <c r="D262" s="36">
        <f t="shared" si="15"/>
        <v>0</v>
      </c>
      <c r="E262" s="106"/>
      <c r="F262" s="106"/>
      <c r="G262" s="36">
        <f t="shared" si="16"/>
        <v>0</v>
      </c>
      <c r="H262" s="75"/>
      <c r="I262" s="106"/>
      <c r="J262" s="73"/>
      <c r="K262" s="75"/>
      <c r="L262" s="36">
        <f t="shared" si="19"/>
        <v>0</v>
      </c>
      <c r="M262" s="106"/>
      <c r="N262" s="73"/>
      <c r="O262" s="106"/>
      <c r="P262" s="73"/>
      <c r="Q262" s="36">
        <f t="shared" si="17"/>
        <v>0</v>
      </c>
      <c r="R262" s="75"/>
      <c r="S262" s="38">
        <f t="shared" si="18"/>
        <v>0</v>
      </c>
    </row>
    <row r="263" spans="1:19" ht="19.95" customHeight="1">
      <c r="A263" s="333">
        <v>45906</v>
      </c>
      <c r="B263" s="106"/>
      <c r="C263" s="106"/>
      <c r="D263" s="36">
        <f t="shared" si="15"/>
        <v>0</v>
      </c>
      <c r="E263" s="106"/>
      <c r="F263" s="106"/>
      <c r="G263" s="36">
        <f t="shared" si="16"/>
        <v>0</v>
      </c>
      <c r="H263" s="75"/>
      <c r="I263" s="106"/>
      <c r="J263" s="73"/>
      <c r="K263" s="75"/>
      <c r="L263" s="36">
        <f t="shared" si="19"/>
        <v>0</v>
      </c>
      <c r="M263" s="106"/>
      <c r="N263" s="73"/>
      <c r="O263" s="106"/>
      <c r="P263" s="73"/>
      <c r="Q263" s="36">
        <f t="shared" si="17"/>
        <v>0</v>
      </c>
      <c r="R263" s="75"/>
      <c r="S263" s="38">
        <f t="shared" si="18"/>
        <v>0</v>
      </c>
    </row>
    <row r="264" spans="1:19" ht="19.95" customHeight="1">
      <c r="A264" s="333">
        <v>45907</v>
      </c>
      <c r="B264" s="106"/>
      <c r="C264" s="106"/>
      <c r="D264" s="36">
        <f t="shared" si="15"/>
        <v>0</v>
      </c>
      <c r="E264" s="106"/>
      <c r="F264" s="106"/>
      <c r="G264" s="36">
        <f t="shared" si="16"/>
        <v>0</v>
      </c>
      <c r="H264" s="75"/>
      <c r="I264" s="106"/>
      <c r="J264" s="73"/>
      <c r="K264" s="75"/>
      <c r="L264" s="36">
        <f t="shared" si="19"/>
        <v>0</v>
      </c>
      <c r="M264" s="106"/>
      <c r="N264" s="73"/>
      <c r="O264" s="106"/>
      <c r="P264" s="73"/>
      <c r="Q264" s="36">
        <f t="shared" si="17"/>
        <v>0</v>
      </c>
      <c r="R264" s="75"/>
      <c r="S264" s="38">
        <f t="shared" si="18"/>
        <v>0</v>
      </c>
    </row>
    <row r="265" spans="1:19" ht="19.95" customHeight="1">
      <c r="A265" s="333">
        <v>45908</v>
      </c>
      <c r="B265" s="106"/>
      <c r="C265" s="106"/>
      <c r="D265" s="36">
        <f t="shared" si="15"/>
        <v>0</v>
      </c>
      <c r="E265" s="106"/>
      <c r="F265" s="106"/>
      <c r="G265" s="36">
        <f t="shared" si="16"/>
        <v>0</v>
      </c>
      <c r="H265" s="75"/>
      <c r="I265" s="106"/>
      <c r="J265" s="73"/>
      <c r="K265" s="75"/>
      <c r="L265" s="36">
        <f t="shared" si="19"/>
        <v>0</v>
      </c>
      <c r="M265" s="106"/>
      <c r="N265" s="73"/>
      <c r="O265" s="106"/>
      <c r="P265" s="73"/>
      <c r="Q265" s="36">
        <f t="shared" si="17"/>
        <v>0</v>
      </c>
      <c r="R265" s="75"/>
      <c r="S265" s="38">
        <f t="shared" si="18"/>
        <v>0</v>
      </c>
    </row>
    <row r="266" spans="1:19" ht="19.95" customHeight="1">
      <c r="A266" s="333">
        <v>45909</v>
      </c>
      <c r="B266" s="106"/>
      <c r="C266" s="106"/>
      <c r="D266" s="36">
        <f t="shared" si="15"/>
        <v>0</v>
      </c>
      <c r="E266" s="106"/>
      <c r="F266" s="106"/>
      <c r="G266" s="36">
        <f t="shared" si="16"/>
        <v>0</v>
      </c>
      <c r="H266" s="75"/>
      <c r="I266" s="106"/>
      <c r="J266" s="73"/>
      <c r="K266" s="75"/>
      <c r="L266" s="36">
        <f t="shared" si="19"/>
        <v>0</v>
      </c>
      <c r="M266" s="106"/>
      <c r="N266" s="73"/>
      <c r="O266" s="106"/>
      <c r="P266" s="73"/>
      <c r="Q266" s="36">
        <f t="shared" si="17"/>
        <v>0</v>
      </c>
      <c r="R266" s="75"/>
      <c r="S266" s="38">
        <f t="shared" si="18"/>
        <v>0</v>
      </c>
    </row>
    <row r="267" spans="1:19" ht="19.95" customHeight="1">
      <c r="A267" s="333">
        <v>45910</v>
      </c>
      <c r="B267" s="106"/>
      <c r="C267" s="106"/>
      <c r="D267" s="36">
        <f t="shared" si="15"/>
        <v>0</v>
      </c>
      <c r="E267" s="106"/>
      <c r="F267" s="106"/>
      <c r="G267" s="36">
        <f t="shared" si="16"/>
        <v>0</v>
      </c>
      <c r="H267" s="75"/>
      <c r="I267" s="106"/>
      <c r="J267" s="73"/>
      <c r="K267" s="75"/>
      <c r="L267" s="36">
        <f t="shared" si="19"/>
        <v>0</v>
      </c>
      <c r="M267" s="106"/>
      <c r="N267" s="73"/>
      <c r="O267" s="106"/>
      <c r="P267" s="73"/>
      <c r="Q267" s="36">
        <f t="shared" si="17"/>
        <v>0</v>
      </c>
      <c r="R267" s="75"/>
      <c r="S267" s="38">
        <f t="shared" si="18"/>
        <v>0</v>
      </c>
    </row>
    <row r="268" spans="1:19" ht="19.95" customHeight="1">
      <c r="A268" s="333">
        <v>45911</v>
      </c>
      <c r="B268" s="106"/>
      <c r="C268" s="106"/>
      <c r="D268" s="36">
        <f t="shared" si="15"/>
        <v>0</v>
      </c>
      <c r="E268" s="106"/>
      <c r="F268" s="106"/>
      <c r="G268" s="36">
        <f t="shared" si="16"/>
        <v>0</v>
      </c>
      <c r="H268" s="75"/>
      <c r="I268" s="106"/>
      <c r="J268" s="73"/>
      <c r="K268" s="75"/>
      <c r="L268" s="36">
        <f t="shared" si="19"/>
        <v>0</v>
      </c>
      <c r="M268" s="106"/>
      <c r="N268" s="73"/>
      <c r="O268" s="106"/>
      <c r="P268" s="73"/>
      <c r="Q268" s="36">
        <f t="shared" si="17"/>
        <v>0</v>
      </c>
      <c r="R268" s="75"/>
      <c r="S268" s="38">
        <f t="shared" si="18"/>
        <v>0</v>
      </c>
    </row>
    <row r="269" spans="1:19" ht="19.95" customHeight="1">
      <c r="A269" s="333">
        <v>45912</v>
      </c>
      <c r="B269" s="106"/>
      <c r="C269" s="106"/>
      <c r="D269" s="36">
        <f t="shared" si="15"/>
        <v>0</v>
      </c>
      <c r="E269" s="106"/>
      <c r="F269" s="106"/>
      <c r="G269" s="36">
        <f t="shared" si="16"/>
        <v>0</v>
      </c>
      <c r="H269" s="75"/>
      <c r="I269" s="106"/>
      <c r="J269" s="73"/>
      <c r="K269" s="75"/>
      <c r="L269" s="36">
        <f t="shared" si="19"/>
        <v>0</v>
      </c>
      <c r="M269" s="106"/>
      <c r="N269" s="73"/>
      <c r="O269" s="106"/>
      <c r="P269" s="73"/>
      <c r="Q269" s="36">
        <f t="shared" si="17"/>
        <v>0</v>
      </c>
      <c r="R269" s="75"/>
      <c r="S269" s="38">
        <f t="shared" si="18"/>
        <v>0</v>
      </c>
    </row>
    <row r="270" spans="1:19" ht="19.95" customHeight="1">
      <c r="A270" s="333">
        <v>45913</v>
      </c>
      <c r="B270" s="106"/>
      <c r="C270" s="106"/>
      <c r="D270" s="36">
        <f t="shared" si="15"/>
        <v>0</v>
      </c>
      <c r="E270" s="106"/>
      <c r="F270" s="106"/>
      <c r="G270" s="36">
        <f t="shared" si="16"/>
        <v>0</v>
      </c>
      <c r="H270" s="75"/>
      <c r="I270" s="106"/>
      <c r="J270" s="73"/>
      <c r="K270" s="75"/>
      <c r="L270" s="36">
        <f t="shared" si="19"/>
        <v>0</v>
      </c>
      <c r="M270" s="106"/>
      <c r="N270" s="73"/>
      <c r="O270" s="106"/>
      <c r="P270" s="73"/>
      <c r="Q270" s="36">
        <f t="shared" si="17"/>
        <v>0</v>
      </c>
      <c r="R270" s="75"/>
      <c r="S270" s="38">
        <f t="shared" si="18"/>
        <v>0</v>
      </c>
    </row>
    <row r="271" spans="1:19" ht="19.95" customHeight="1">
      <c r="A271" s="333">
        <v>45914</v>
      </c>
      <c r="B271" s="106"/>
      <c r="C271" s="106"/>
      <c r="D271" s="36">
        <f t="shared" ref="D271:D334" si="20">SUM(B271:C271)*$D$13/360</f>
        <v>0</v>
      </c>
      <c r="E271" s="106"/>
      <c r="F271" s="106"/>
      <c r="G271" s="36">
        <f t="shared" ref="G271:G334" si="21">SUM(E271:F271)*$G$13/360</f>
        <v>0</v>
      </c>
      <c r="H271" s="75"/>
      <c r="I271" s="106"/>
      <c r="J271" s="73"/>
      <c r="K271" s="75"/>
      <c r="L271" s="36">
        <f t="shared" si="19"/>
        <v>0</v>
      </c>
      <c r="M271" s="106"/>
      <c r="N271" s="73"/>
      <c r="O271" s="106"/>
      <c r="P271" s="73"/>
      <c r="Q271" s="36">
        <f t="shared" ref="Q271:Q334" si="22">(M271*N271+O271*P271)/360</f>
        <v>0</v>
      </c>
      <c r="R271" s="75"/>
      <c r="S271" s="38">
        <f t="shared" ref="S271:S334" si="23">D271+G271+L271+Q271</f>
        <v>0</v>
      </c>
    </row>
    <row r="272" spans="1:19" ht="19.95" customHeight="1">
      <c r="A272" s="333">
        <v>45915</v>
      </c>
      <c r="B272" s="106"/>
      <c r="C272" s="106"/>
      <c r="D272" s="36">
        <f t="shared" si="20"/>
        <v>0</v>
      </c>
      <c r="E272" s="106"/>
      <c r="F272" s="106"/>
      <c r="G272" s="36">
        <f t="shared" si="21"/>
        <v>0</v>
      </c>
      <c r="H272" s="75"/>
      <c r="I272" s="106"/>
      <c r="J272" s="73"/>
      <c r="K272" s="75"/>
      <c r="L272" s="36">
        <f t="shared" ref="L272:L335" si="24">I272*J272/360</f>
        <v>0</v>
      </c>
      <c r="M272" s="106"/>
      <c r="N272" s="73"/>
      <c r="O272" s="106"/>
      <c r="P272" s="73"/>
      <c r="Q272" s="36">
        <f t="shared" si="22"/>
        <v>0</v>
      </c>
      <c r="R272" s="75"/>
      <c r="S272" s="38">
        <f t="shared" si="23"/>
        <v>0</v>
      </c>
    </row>
    <row r="273" spans="1:19" ht="19.95" customHeight="1">
      <c r="A273" s="333">
        <v>45916</v>
      </c>
      <c r="B273" s="106"/>
      <c r="C273" s="106"/>
      <c r="D273" s="36">
        <f t="shared" si="20"/>
        <v>0</v>
      </c>
      <c r="E273" s="106"/>
      <c r="F273" s="106"/>
      <c r="G273" s="36">
        <f t="shared" si="21"/>
        <v>0</v>
      </c>
      <c r="H273" s="75"/>
      <c r="I273" s="106"/>
      <c r="J273" s="73"/>
      <c r="K273" s="75"/>
      <c r="L273" s="36">
        <f t="shared" si="24"/>
        <v>0</v>
      </c>
      <c r="M273" s="106"/>
      <c r="N273" s="73"/>
      <c r="O273" s="106"/>
      <c r="P273" s="73"/>
      <c r="Q273" s="36">
        <f t="shared" si="22"/>
        <v>0</v>
      </c>
      <c r="R273" s="75"/>
      <c r="S273" s="38">
        <f t="shared" si="23"/>
        <v>0</v>
      </c>
    </row>
    <row r="274" spans="1:19" ht="19.95" customHeight="1">
      <c r="A274" s="333">
        <v>45917</v>
      </c>
      <c r="B274" s="106"/>
      <c r="C274" s="106"/>
      <c r="D274" s="36">
        <f t="shared" si="20"/>
        <v>0</v>
      </c>
      <c r="E274" s="106"/>
      <c r="F274" s="106"/>
      <c r="G274" s="36">
        <f t="shared" si="21"/>
        <v>0</v>
      </c>
      <c r="H274" s="75"/>
      <c r="I274" s="106"/>
      <c r="J274" s="73"/>
      <c r="K274" s="75"/>
      <c r="L274" s="36">
        <f t="shared" si="24"/>
        <v>0</v>
      </c>
      <c r="M274" s="106"/>
      <c r="N274" s="73"/>
      <c r="O274" s="106"/>
      <c r="P274" s="73"/>
      <c r="Q274" s="36">
        <f t="shared" si="22"/>
        <v>0</v>
      </c>
      <c r="R274" s="75"/>
      <c r="S274" s="38">
        <f t="shared" si="23"/>
        <v>0</v>
      </c>
    </row>
    <row r="275" spans="1:19" ht="19.95" customHeight="1">
      <c r="A275" s="333">
        <v>45918</v>
      </c>
      <c r="B275" s="106"/>
      <c r="C275" s="106"/>
      <c r="D275" s="36">
        <f t="shared" si="20"/>
        <v>0</v>
      </c>
      <c r="E275" s="106"/>
      <c r="F275" s="106"/>
      <c r="G275" s="36">
        <f t="shared" si="21"/>
        <v>0</v>
      </c>
      <c r="H275" s="75"/>
      <c r="I275" s="106"/>
      <c r="J275" s="73"/>
      <c r="K275" s="75"/>
      <c r="L275" s="36">
        <f t="shared" si="24"/>
        <v>0</v>
      </c>
      <c r="M275" s="106"/>
      <c r="N275" s="73"/>
      <c r="O275" s="106"/>
      <c r="P275" s="73"/>
      <c r="Q275" s="36">
        <f t="shared" si="22"/>
        <v>0</v>
      </c>
      <c r="R275" s="75"/>
      <c r="S275" s="38">
        <f t="shared" si="23"/>
        <v>0</v>
      </c>
    </row>
    <row r="276" spans="1:19" ht="19.95" customHeight="1">
      <c r="A276" s="333">
        <v>45919</v>
      </c>
      <c r="B276" s="106"/>
      <c r="C276" s="106"/>
      <c r="D276" s="36">
        <f t="shared" si="20"/>
        <v>0</v>
      </c>
      <c r="E276" s="106"/>
      <c r="F276" s="106"/>
      <c r="G276" s="36">
        <f t="shared" si="21"/>
        <v>0</v>
      </c>
      <c r="H276" s="75"/>
      <c r="I276" s="106"/>
      <c r="J276" s="73"/>
      <c r="K276" s="75"/>
      <c r="L276" s="36">
        <f t="shared" si="24"/>
        <v>0</v>
      </c>
      <c r="M276" s="106"/>
      <c r="N276" s="73"/>
      <c r="O276" s="106"/>
      <c r="P276" s="73"/>
      <c r="Q276" s="36">
        <f t="shared" si="22"/>
        <v>0</v>
      </c>
      <c r="R276" s="75"/>
      <c r="S276" s="38">
        <f t="shared" si="23"/>
        <v>0</v>
      </c>
    </row>
    <row r="277" spans="1:19" ht="19.95" customHeight="1">
      <c r="A277" s="333">
        <v>45920</v>
      </c>
      <c r="B277" s="106"/>
      <c r="C277" s="106"/>
      <c r="D277" s="36">
        <f t="shared" si="20"/>
        <v>0</v>
      </c>
      <c r="E277" s="106"/>
      <c r="F277" s="106"/>
      <c r="G277" s="36">
        <f t="shared" si="21"/>
        <v>0</v>
      </c>
      <c r="H277" s="75"/>
      <c r="I277" s="106"/>
      <c r="J277" s="73"/>
      <c r="K277" s="75"/>
      <c r="L277" s="36">
        <f t="shared" si="24"/>
        <v>0</v>
      </c>
      <c r="M277" s="106"/>
      <c r="N277" s="73"/>
      <c r="O277" s="106"/>
      <c r="P277" s="73"/>
      <c r="Q277" s="36">
        <f t="shared" si="22"/>
        <v>0</v>
      </c>
      <c r="R277" s="75"/>
      <c r="S277" s="38">
        <f t="shared" si="23"/>
        <v>0</v>
      </c>
    </row>
    <row r="278" spans="1:19" ht="19.95" customHeight="1">
      <c r="A278" s="333">
        <v>45921</v>
      </c>
      <c r="B278" s="106"/>
      <c r="C278" s="106"/>
      <c r="D278" s="36">
        <f t="shared" si="20"/>
        <v>0</v>
      </c>
      <c r="E278" s="106"/>
      <c r="F278" s="106"/>
      <c r="G278" s="36">
        <f t="shared" si="21"/>
        <v>0</v>
      </c>
      <c r="H278" s="75"/>
      <c r="I278" s="106"/>
      <c r="J278" s="73"/>
      <c r="K278" s="75"/>
      <c r="L278" s="36">
        <f t="shared" si="24"/>
        <v>0</v>
      </c>
      <c r="M278" s="106"/>
      <c r="N278" s="73"/>
      <c r="O278" s="106"/>
      <c r="P278" s="73"/>
      <c r="Q278" s="36">
        <f t="shared" si="22"/>
        <v>0</v>
      </c>
      <c r="R278" s="75"/>
      <c r="S278" s="38">
        <f t="shared" si="23"/>
        <v>0</v>
      </c>
    </row>
    <row r="279" spans="1:19" ht="19.95" customHeight="1">
      <c r="A279" s="333">
        <v>45922</v>
      </c>
      <c r="B279" s="106"/>
      <c r="C279" s="106"/>
      <c r="D279" s="36">
        <f t="shared" si="20"/>
        <v>0</v>
      </c>
      <c r="E279" s="106"/>
      <c r="F279" s="106"/>
      <c r="G279" s="36">
        <f t="shared" si="21"/>
        <v>0</v>
      </c>
      <c r="H279" s="75"/>
      <c r="I279" s="106"/>
      <c r="J279" s="73"/>
      <c r="K279" s="75"/>
      <c r="L279" s="36">
        <f t="shared" si="24"/>
        <v>0</v>
      </c>
      <c r="M279" s="106"/>
      <c r="N279" s="73"/>
      <c r="O279" s="106"/>
      <c r="P279" s="73"/>
      <c r="Q279" s="36">
        <f t="shared" si="22"/>
        <v>0</v>
      </c>
      <c r="R279" s="75"/>
      <c r="S279" s="38">
        <f t="shared" si="23"/>
        <v>0</v>
      </c>
    </row>
    <row r="280" spans="1:19" ht="19.95" customHeight="1">
      <c r="A280" s="333">
        <v>45923</v>
      </c>
      <c r="B280" s="106"/>
      <c r="C280" s="106"/>
      <c r="D280" s="36">
        <f t="shared" si="20"/>
        <v>0</v>
      </c>
      <c r="E280" s="106"/>
      <c r="F280" s="106"/>
      <c r="G280" s="36">
        <f t="shared" si="21"/>
        <v>0</v>
      </c>
      <c r="H280" s="75"/>
      <c r="I280" s="106"/>
      <c r="J280" s="73"/>
      <c r="K280" s="75"/>
      <c r="L280" s="36">
        <f t="shared" si="24"/>
        <v>0</v>
      </c>
      <c r="M280" s="106"/>
      <c r="N280" s="73"/>
      <c r="O280" s="106"/>
      <c r="P280" s="73"/>
      <c r="Q280" s="36">
        <f t="shared" si="22"/>
        <v>0</v>
      </c>
      <c r="R280" s="75"/>
      <c r="S280" s="38">
        <f t="shared" si="23"/>
        <v>0</v>
      </c>
    </row>
    <row r="281" spans="1:19" ht="19.95" customHeight="1">
      <c r="A281" s="333">
        <v>45924</v>
      </c>
      <c r="B281" s="106"/>
      <c r="C281" s="106"/>
      <c r="D281" s="36">
        <f t="shared" si="20"/>
        <v>0</v>
      </c>
      <c r="E281" s="106"/>
      <c r="F281" s="106"/>
      <c r="G281" s="36">
        <f t="shared" si="21"/>
        <v>0</v>
      </c>
      <c r="H281" s="75"/>
      <c r="I281" s="106"/>
      <c r="J281" s="73"/>
      <c r="K281" s="75"/>
      <c r="L281" s="36">
        <f t="shared" si="24"/>
        <v>0</v>
      </c>
      <c r="M281" s="106"/>
      <c r="N281" s="73"/>
      <c r="O281" s="106"/>
      <c r="P281" s="73"/>
      <c r="Q281" s="36">
        <f t="shared" si="22"/>
        <v>0</v>
      </c>
      <c r="R281" s="75"/>
      <c r="S281" s="38">
        <f t="shared" si="23"/>
        <v>0</v>
      </c>
    </row>
    <row r="282" spans="1:19" ht="19.95" customHeight="1">
      <c r="A282" s="333">
        <v>45925</v>
      </c>
      <c r="B282" s="106"/>
      <c r="C282" s="106"/>
      <c r="D282" s="36">
        <f t="shared" si="20"/>
        <v>0</v>
      </c>
      <c r="E282" s="106"/>
      <c r="F282" s="106"/>
      <c r="G282" s="36">
        <f t="shared" si="21"/>
        <v>0</v>
      </c>
      <c r="H282" s="75"/>
      <c r="I282" s="106"/>
      <c r="J282" s="73"/>
      <c r="K282" s="75"/>
      <c r="L282" s="36">
        <f t="shared" si="24"/>
        <v>0</v>
      </c>
      <c r="M282" s="106"/>
      <c r="N282" s="73"/>
      <c r="O282" s="106"/>
      <c r="P282" s="73"/>
      <c r="Q282" s="36">
        <f t="shared" si="22"/>
        <v>0</v>
      </c>
      <c r="R282" s="75"/>
      <c r="S282" s="38">
        <f t="shared" si="23"/>
        <v>0</v>
      </c>
    </row>
    <row r="283" spans="1:19" ht="19.95" customHeight="1">
      <c r="A283" s="333">
        <v>45926</v>
      </c>
      <c r="B283" s="106"/>
      <c r="C283" s="106"/>
      <c r="D283" s="36">
        <f t="shared" si="20"/>
        <v>0</v>
      </c>
      <c r="E283" s="106"/>
      <c r="F283" s="106"/>
      <c r="G283" s="36">
        <f t="shared" si="21"/>
        <v>0</v>
      </c>
      <c r="H283" s="75"/>
      <c r="I283" s="106"/>
      <c r="J283" s="73"/>
      <c r="K283" s="75"/>
      <c r="L283" s="36">
        <f t="shared" si="24"/>
        <v>0</v>
      </c>
      <c r="M283" s="106"/>
      <c r="N283" s="73"/>
      <c r="O283" s="106"/>
      <c r="P283" s="73"/>
      <c r="Q283" s="36">
        <f t="shared" si="22"/>
        <v>0</v>
      </c>
      <c r="R283" s="75"/>
      <c r="S283" s="38">
        <f t="shared" si="23"/>
        <v>0</v>
      </c>
    </row>
    <row r="284" spans="1:19" ht="19.95" customHeight="1">
      <c r="A284" s="333">
        <v>45927</v>
      </c>
      <c r="B284" s="106"/>
      <c r="C284" s="106"/>
      <c r="D284" s="36">
        <f t="shared" si="20"/>
        <v>0</v>
      </c>
      <c r="E284" s="106"/>
      <c r="F284" s="106"/>
      <c r="G284" s="36">
        <f t="shared" si="21"/>
        <v>0</v>
      </c>
      <c r="H284" s="75"/>
      <c r="I284" s="106"/>
      <c r="J284" s="73"/>
      <c r="K284" s="75"/>
      <c r="L284" s="36">
        <f t="shared" si="24"/>
        <v>0</v>
      </c>
      <c r="M284" s="106"/>
      <c r="N284" s="73"/>
      <c r="O284" s="106"/>
      <c r="P284" s="73"/>
      <c r="Q284" s="36">
        <f t="shared" si="22"/>
        <v>0</v>
      </c>
      <c r="R284" s="75"/>
      <c r="S284" s="38">
        <f t="shared" si="23"/>
        <v>0</v>
      </c>
    </row>
    <row r="285" spans="1:19" ht="19.95" customHeight="1">
      <c r="A285" s="333">
        <v>45928</v>
      </c>
      <c r="B285" s="106"/>
      <c r="C285" s="106"/>
      <c r="D285" s="36">
        <f t="shared" si="20"/>
        <v>0</v>
      </c>
      <c r="E285" s="106"/>
      <c r="F285" s="106"/>
      <c r="G285" s="36">
        <f t="shared" si="21"/>
        <v>0</v>
      </c>
      <c r="H285" s="75"/>
      <c r="I285" s="106"/>
      <c r="J285" s="73"/>
      <c r="K285" s="75"/>
      <c r="L285" s="36">
        <f t="shared" si="24"/>
        <v>0</v>
      </c>
      <c r="M285" s="106"/>
      <c r="N285" s="73"/>
      <c r="O285" s="106"/>
      <c r="P285" s="73"/>
      <c r="Q285" s="36">
        <f t="shared" si="22"/>
        <v>0</v>
      </c>
      <c r="R285" s="75"/>
      <c r="S285" s="38">
        <f t="shared" si="23"/>
        <v>0</v>
      </c>
    </row>
    <row r="286" spans="1:19" ht="19.95" customHeight="1">
      <c r="A286" s="333">
        <v>45929</v>
      </c>
      <c r="B286" s="106"/>
      <c r="C286" s="106"/>
      <c r="D286" s="36">
        <f t="shared" si="20"/>
        <v>0</v>
      </c>
      <c r="E286" s="106"/>
      <c r="F286" s="106"/>
      <c r="G286" s="36">
        <f t="shared" si="21"/>
        <v>0</v>
      </c>
      <c r="H286" s="75"/>
      <c r="I286" s="106"/>
      <c r="J286" s="73"/>
      <c r="K286" s="75"/>
      <c r="L286" s="36">
        <f t="shared" si="24"/>
        <v>0</v>
      </c>
      <c r="M286" s="106"/>
      <c r="N286" s="73"/>
      <c r="O286" s="106"/>
      <c r="P286" s="73"/>
      <c r="Q286" s="36">
        <f t="shared" si="22"/>
        <v>0</v>
      </c>
      <c r="R286" s="75"/>
      <c r="S286" s="38">
        <f t="shared" si="23"/>
        <v>0</v>
      </c>
    </row>
    <row r="287" spans="1:19" ht="19.95" customHeight="1">
      <c r="A287" s="333">
        <v>45930</v>
      </c>
      <c r="B287" s="106"/>
      <c r="C287" s="106"/>
      <c r="D287" s="36">
        <f t="shared" si="20"/>
        <v>0</v>
      </c>
      <c r="E287" s="106"/>
      <c r="F287" s="106"/>
      <c r="G287" s="36">
        <f t="shared" si="21"/>
        <v>0</v>
      </c>
      <c r="H287" s="75"/>
      <c r="I287" s="106"/>
      <c r="J287" s="73"/>
      <c r="K287" s="75"/>
      <c r="L287" s="36">
        <f t="shared" si="24"/>
        <v>0</v>
      </c>
      <c r="M287" s="106"/>
      <c r="N287" s="73"/>
      <c r="O287" s="106"/>
      <c r="P287" s="73"/>
      <c r="Q287" s="36">
        <f t="shared" si="22"/>
        <v>0</v>
      </c>
      <c r="R287" s="75"/>
      <c r="S287" s="38">
        <f t="shared" si="23"/>
        <v>0</v>
      </c>
    </row>
    <row r="288" spans="1:19" ht="19.95" customHeight="1">
      <c r="A288" s="333">
        <v>45931</v>
      </c>
      <c r="B288" s="106"/>
      <c r="C288" s="106"/>
      <c r="D288" s="36">
        <f t="shared" si="20"/>
        <v>0</v>
      </c>
      <c r="E288" s="106"/>
      <c r="F288" s="106"/>
      <c r="G288" s="36">
        <f t="shared" si="21"/>
        <v>0</v>
      </c>
      <c r="H288" s="75"/>
      <c r="I288" s="106"/>
      <c r="J288" s="73"/>
      <c r="K288" s="75"/>
      <c r="L288" s="36">
        <f t="shared" si="24"/>
        <v>0</v>
      </c>
      <c r="M288" s="106"/>
      <c r="N288" s="73"/>
      <c r="O288" s="106"/>
      <c r="P288" s="73"/>
      <c r="Q288" s="36">
        <f t="shared" si="22"/>
        <v>0</v>
      </c>
      <c r="R288" s="75"/>
      <c r="S288" s="38">
        <f t="shared" si="23"/>
        <v>0</v>
      </c>
    </row>
    <row r="289" spans="1:19" ht="19.95" customHeight="1">
      <c r="A289" s="333">
        <v>45932</v>
      </c>
      <c r="B289" s="106"/>
      <c r="C289" s="106"/>
      <c r="D289" s="36">
        <f t="shared" si="20"/>
        <v>0</v>
      </c>
      <c r="E289" s="106"/>
      <c r="F289" s="106"/>
      <c r="G289" s="36">
        <f t="shared" si="21"/>
        <v>0</v>
      </c>
      <c r="H289" s="75"/>
      <c r="I289" s="106"/>
      <c r="J289" s="73"/>
      <c r="K289" s="75"/>
      <c r="L289" s="36">
        <f t="shared" si="24"/>
        <v>0</v>
      </c>
      <c r="M289" s="106"/>
      <c r="N289" s="73"/>
      <c r="O289" s="106"/>
      <c r="P289" s="73"/>
      <c r="Q289" s="36">
        <f t="shared" si="22"/>
        <v>0</v>
      </c>
      <c r="R289" s="75"/>
      <c r="S289" s="38">
        <f t="shared" si="23"/>
        <v>0</v>
      </c>
    </row>
    <row r="290" spans="1:19" ht="19.95" customHeight="1">
      <c r="A290" s="333">
        <v>45933</v>
      </c>
      <c r="B290" s="106"/>
      <c r="C290" s="106"/>
      <c r="D290" s="36">
        <f t="shared" si="20"/>
        <v>0</v>
      </c>
      <c r="E290" s="106"/>
      <c r="F290" s="106"/>
      <c r="G290" s="36">
        <f t="shared" si="21"/>
        <v>0</v>
      </c>
      <c r="H290" s="75"/>
      <c r="I290" s="106"/>
      <c r="J290" s="73"/>
      <c r="K290" s="75"/>
      <c r="L290" s="36">
        <f t="shared" si="24"/>
        <v>0</v>
      </c>
      <c r="M290" s="106"/>
      <c r="N290" s="73"/>
      <c r="O290" s="106"/>
      <c r="P290" s="73"/>
      <c r="Q290" s="36">
        <f t="shared" si="22"/>
        <v>0</v>
      </c>
      <c r="R290" s="75"/>
      <c r="S290" s="38">
        <f t="shared" si="23"/>
        <v>0</v>
      </c>
    </row>
    <row r="291" spans="1:19" ht="19.95" customHeight="1">
      <c r="A291" s="333">
        <v>45934</v>
      </c>
      <c r="B291" s="106"/>
      <c r="C291" s="106"/>
      <c r="D291" s="36">
        <f t="shared" si="20"/>
        <v>0</v>
      </c>
      <c r="E291" s="106"/>
      <c r="F291" s="106"/>
      <c r="G291" s="36">
        <f t="shared" si="21"/>
        <v>0</v>
      </c>
      <c r="H291" s="75"/>
      <c r="I291" s="106"/>
      <c r="J291" s="73"/>
      <c r="K291" s="75"/>
      <c r="L291" s="36">
        <f t="shared" si="24"/>
        <v>0</v>
      </c>
      <c r="M291" s="106"/>
      <c r="N291" s="73"/>
      <c r="O291" s="106"/>
      <c r="P291" s="73"/>
      <c r="Q291" s="36">
        <f t="shared" si="22"/>
        <v>0</v>
      </c>
      <c r="R291" s="75"/>
      <c r="S291" s="38">
        <f t="shared" si="23"/>
        <v>0</v>
      </c>
    </row>
    <row r="292" spans="1:19" ht="19.95" customHeight="1">
      <c r="A292" s="333">
        <v>45935</v>
      </c>
      <c r="B292" s="106"/>
      <c r="C292" s="106"/>
      <c r="D292" s="36">
        <f t="shared" si="20"/>
        <v>0</v>
      </c>
      <c r="E292" s="106"/>
      <c r="F292" s="106"/>
      <c r="G292" s="36">
        <f t="shared" si="21"/>
        <v>0</v>
      </c>
      <c r="H292" s="75"/>
      <c r="I292" s="106"/>
      <c r="J292" s="73"/>
      <c r="K292" s="75"/>
      <c r="L292" s="36">
        <f t="shared" si="24"/>
        <v>0</v>
      </c>
      <c r="M292" s="106"/>
      <c r="N292" s="73"/>
      <c r="O292" s="106"/>
      <c r="P292" s="73"/>
      <c r="Q292" s="36">
        <f t="shared" si="22"/>
        <v>0</v>
      </c>
      <c r="R292" s="75"/>
      <c r="S292" s="38">
        <f t="shared" si="23"/>
        <v>0</v>
      </c>
    </row>
    <row r="293" spans="1:19" ht="19.95" customHeight="1">
      <c r="A293" s="333">
        <v>45936</v>
      </c>
      <c r="B293" s="106"/>
      <c r="C293" s="106"/>
      <c r="D293" s="36">
        <f t="shared" si="20"/>
        <v>0</v>
      </c>
      <c r="E293" s="106"/>
      <c r="F293" s="106"/>
      <c r="G293" s="36">
        <f t="shared" si="21"/>
        <v>0</v>
      </c>
      <c r="H293" s="75"/>
      <c r="I293" s="106"/>
      <c r="J293" s="73"/>
      <c r="K293" s="75"/>
      <c r="L293" s="36">
        <f t="shared" si="24"/>
        <v>0</v>
      </c>
      <c r="M293" s="106"/>
      <c r="N293" s="73"/>
      <c r="O293" s="106"/>
      <c r="P293" s="73"/>
      <c r="Q293" s="36">
        <f t="shared" si="22"/>
        <v>0</v>
      </c>
      <c r="R293" s="75"/>
      <c r="S293" s="38">
        <f t="shared" si="23"/>
        <v>0</v>
      </c>
    </row>
    <row r="294" spans="1:19" ht="19.95" customHeight="1">
      <c r="A294" s="333">
        <v>45937</v>
      </c>
      <c r="B294" s="106"/>
      <c r="C294" s="106"/>
      <c r="D294" s="36">
        <f t="shared" si="20"/>
        <v>0</v>
      </c>
      <c r="E294" s="106"/>
      <c r="F294" s="106"/>
      <c r="G294" s="36">
        <f t="shared" si="21"/>
        <v>0</v>
      </c>
      <c r="H294" s="75"/>
      <c r="I294" s="106"/>
      <c r="J294" s="73"/>
      <c r="K294" s="75"/>
      <c r="L294" s="36">
        <f t="shared" si="24"/>
        <v>0</v>
      </c>
      <c r="M294" s="106"/>
      <c r="N294" s="73"/>
      <c r="O294" s="106"/>
      <c r="P294" s="73"/>
      <c r="Q294" s="36">
        <f t="shared" si="22"/>
        <v>0</v>
      </c>
      <c r="R294" s="75"/>
      <c r="S294" s="38">
        <f t="shared" si="23"/>
        <v>0</v>
      </c>
    </row>
    <row r="295" spans="1:19" ht="19.95" customHeight="1">
      <c r="A295" s="333">
        <v>45938</v>
      </c>
      <c r="B295" s="106"/>
      <c r="C295" s="106"/>
      <c r="D295" s="36">
        <f t="shared" si="20"/>
        <v>0</v>
      </c>
      <c r="E295" s="106"/>
      <c r="F295" s="106"/>
      <c r="G295" s="36">
        <f t="shared" si="21"/>
        <v>0</v>
      </c>
      <c r="H295" s="75"/>
      <c r="I295" s="106"/>
      <c r="J295" s="73"/>
      <c r="K295" s="75"/>
      <c r="L295" s="36">
        <f t="shared" si="24"/>
        <v>0</v>
      </c>
      <c r="M295" s="106"/>
      <c r="N295" s="73"/>
      <c r="O295" s="106"/>
      <c r="P295" s="73"/>
      <c r="Q295" s="36">
        <f t="shared" si="22"/>
        <v>0</v>
      </c>
      <c r="R295" s="75"/>
      <c r="S295" s="38">
        <f t="shared" si="23"/>
        <v>0</v>
      </c>
    </row>
    <row r="296" spans="1:19" ht="19.95" customHeight="1">
      <c r="A296" s="333">
        <v>45939</v>
      </c>
      <c r="B296" s="106"/>
      <c r="C296" s="106"/>
      <c r="D296" s="36">
        <f t="shared" si="20"/>
        <v>0</v>
      </c>
      <c r="E296" s="106"/>
      <c r="F296" s="106"/>
      <c r="G296" s="36">
        <f t="shared" si="21"/>
        <v>0</v>
      </c>
      <c r="H296" s="75"/>
      <c r="I296" s="106"/>
      <c r="J296" s="73"/>
      <c r="K296" s="75"/>
      <c r="L296" s="36">
        <f t="shared" si="24"/>
        <v>0</v>
      </c>
      <c r="M296" s="106"/>
      <c r="N296" s="73"/>
      <c r="O296" s="106"/>
      <c r="P296" s="73"/>
      <c r="Q296" s="36">
        <f t="shared" si="22"/>
        <v>0</v>
      </c>
      <c r="R296" s="75"/>
      <c r="S296" s="38">
        <f t="shared" si="23"/>
        <v>0</v>
      </c>
    </row>
    <row r="297" spans="1:19" ht="19.95" customHeight="1">
      <c r="A297" s="333">
        <v>45940</v>
      </c>
      <c r="B297" s="106"/>
      <c r="C297" s="106"/>
      <c r="D297" s="36">
        <f t="shared" si="20"/>
        <v>0</v>
      </c>
      <c r="E297" s="106"/>
      <c r="F297" s="106"/>
      <c r="G297" s="36">
        <f t="shared" si="21"/>
        <v>0</v>
      </c>
      <c r="H297" s="75"/>
      <c r="I297" s="106"/>
      <c r="J297" s="73"/>
      <c r="K297" s="75"/>
      <c r="L297" s="36">
        <f t="shared" si="24"/>
        <v>0</v>
      </c>
      <c r="M297" s="106"/>
      <c r="N297" s="73"/>
      <c r="O297" s="106"/>
      <c r="P297" s="73"/>
      <c r="Q297" s="36">
        <f t="shared" si="22"/>
        <v>0</v>
      </c>
      <c r="R297" s="75"/>
      <c r="S297" s="38">
        <f t="shared" si="23"/>
        <v>0</v>
      </c>
    </row>
    <row r="298" spans="1:19" ht="19.95" customHeight="1">
      <c r="A298" s="333">
        <v>45941</v>
      </c>
      <c r="B298" s="106"/>
      <c r="C298" s="106"/>
      <c r="D298" s="36">
        <f t="shared" si="20"/>
        <v>0</v>
      </c>
      <c r="E298" s="106"/>
      <c r="F298" s="106"/>
      <c r="G298" s="36">
        <f t="shared" si="21"/>
        <v>0</v>
      </c>
      <c r="H298" s="75"/>
      <c r="I298" s="106"/>
      <c r="J298" s="73"/>
      <c r="K298" s="75"/>
      <c r="L298" s="36">
        <f t="shared" si="24"/>
        <v>0</v>
      </c>
      <c r="M298" s="106"/>
      <c r="N298" s="73"/>
      <c r="O298" s="106"/>
      <c r="P298" s="73"/>
      <c r="Q298" s="36">
        <f t="shared" si="22"/>
        <v>0</v>
      </c>
      <c r="R298" s="75"/>
      <c r="S298" s="38">
        <f t="shared" si="23"/>
        <v>0</v>
      </c>
    </row>
    <row r="299" spans="1:19" ht="19.95" customHeight="1">
      <c r="A299" s="333">
        <v>45942</v>
      </c>
      <c r="B299" s="106"/>
      <c r="C299" s="106"/>
      <c r="D299" s="36">
        <f t="shared" si="20"/>
        <v>0</v>
      </c>
      <c r="E299" s="106"/>
      <c r="F299" s="106"/>
      <c r="G299" s="36">
        <f t="shared" si="21"/>
        <v>0</v>
      </c>
      <c r="H299" s="75"/>
      <c r="I299" s="106"/>
      <c r="J299" s="73"/>
      <c r="K299" s="75"/>
      <c r="L299" s="36">
        <f t="shared" si="24"/>
        <v>0</v>
      </c>
      <c r="M299" s="106"/>
      <c r="N299" s="73"/>
      <c r="O299" s="106"/>
      <c r="P299" s="73"/>
      <c r="Q299" s="36">
        <f t="shared" si="22"/>
        <v>0</v>
      </c>
      <c r="R299" s="75"/>
      <c r="S299" s="38">
        <f t="shared" si="23"/>
        <v>0</v>
      </c>
    </row>
    <row r="300" spans="1:19" ht="19.95" customHeight="1">
      <c r="A300" s="333">
        <v>45943</v>
      </c>
      <c r="B300" s="106"/>
      <c r="C300" s="106"/>
      <c r="D300" s="36">
        <f t="shared" si="20"/>
        <v>0</v>
      </c>
      <c r="E300" s="106"/>
      <c r="F300" s="106"/>
      <c r="G300" s="36">
        <f t="shared" si="21"/>
        <v>0</v>
      </c>
      <c r="H300" s="75"/>
      <c r="I300" s="106"/>
      <c r="J300" s="73"/>
      <c r="K300" s="75"/>
      <c r="L300" s="36">
        <f t="shared" si="24"/>
        <v>0</v>
      </c>
      <c r="M300" s="106"/>
      <c r="N300" s="73"/>
      <c r="O300" s="106"/>
      <c r="P300" s="73"/>
      <c r="Q300" s="36">
        <f t="shared" si="22"/>
        <v>0</v>
      </c>
      <c r="R300" s="75"/>
      <c r="S300" s="38">
        <f t="shared" si="23"/>
        <v>0</v>
      </c>
    </row>
    <row r="301" spans="1:19" ht="19.95" customHeight="1">
      <c r="A301" s="333">
        <v>45944</v>
      </c>
      <c r="B301" s="106"/>
      <c r="C301" s="106"/>
      <c r="D301" s="36">
        <f t="shared" si="20"/>
        <v>0</v>
      </c>
      <c r="E301" s="106"/>
      <c r="F301" s="106"/>
      <c r="G301" s="36">
        <f t="shared" si="21"/>
        <v>0</v>
      </c>
      <c r="H301" s="75"/>
      <c r="I301" s="106"/>
      <c r="J301" s="73"/>
      <c r="K301" s="75"/>
      <c r="L301" s="36">
        <f t="shared" si="24"/>
        <v>0</v>
      </c>
      <c r="M301" s="106"/>
      <c r="N301" s="73"/>
      <c r="O301" s="106"/>
      <c r="P301" s="73"/>
      <c r="Q301" s="36">
        <f t="shared" si="22"/>
        <v>0</v>
      </c>
      <c r="R301" s="75"/>
      <c r="S301" s="38">
        <f t="shared" si="23"/>
        <v>0</v>
      </c>
    </row>
    <row r="302" spans="1:19" ht="19.95" customHeight="1">
      <c r="A302" s="333">
        <v>45945</v>
      </c>
      <c r="B302" s="106"/>
      <c r="C302" s="106"/>
      <c r="D302" s="36">
        <f t="shared" si="20"/>
        <v>0</v>
      </c>
      <c r="E302" s="106"/>
      <c r="F302" s="106"/>
      <c r="G302" s="36">
        <f t="shared" si="21"/>
        <v>0</v>
      </c>
      <c r="H302" s="75"/>
      <c r="I302" s="106"/>
      <c r="J302" s="73"/>
      <c r="K302" s="75"/>
      <c r="L302" s="36">
        <f t="shared" si="24"/>
        <v>0</v>
      </c>
      <c r="M302" s="106"/>
      <c r="N302" s="73"/>
      <c r="O302" s="106"/>
      <c r="P302" s="73"/>
      <c r="Q302" s="36">
        <f t="shared" si="22"/>
        <v>0</v>
      </c>
      <c r="R302" s="75"/>
      <c r="S302" s="38">
        <f t="shared" si="23"/>
        <v>0</v>
      </c>
    </row>
    <row r="303" spans="1:19" ht="19.95" customHeight="1">
      <c r="A303" s="333">
        <v>45946</v>
      </c>
      <c r="B303" s="106"/>
      <c r="C303" s="106"/>
      <c r="D303" s="36">
        <f t="shared" si="20"/>
        <v>0</v>
      </c>
      <c r="E303" s="106"/>
      <c r="F303" s="106"/>
      <c r="G303" s="36">
        <f t="shared" si="21"/>
        <v>0</v>
      </c>
      <c r="H303" s="75"/>
      <c r="I303" s="106"/>
      <c r="J303" s="73"/>
      <c r="K303" s="75"/>
      <c r="L303" s="36">
        <f t="shared" si="24"/>
        <v>0</v>
      </c>
      <c r="M303" s="106"/>
      <c r="N303" s="73"/>
      <c r="O303" s="106"/>
      <c r="P303" s="73"/>
      <c r="Q303" s="36">
        <f t="shared" si="22"/>
        <v>0</v>
      </c>
      <c r="R303" s="75"/>
      <c r="S303" s="38">
        <f t="shared" si="23"/>
        <v>0</v>
      </c>
    </row>
    <row r="304" spans="1:19" ht="19.95" customHeight="1">
      <c r="A304" s="333">
        <v>45947</v>
      </c>
      <c r="B304" s="106"/>
      <c r="C304" s="106"/>
      <c r="D304" s="36">
        <f t="shared" si="20"/>
        <v>0</v>
      </c>
      <c r="E304" s="106"/>
      <c r="F304" s="106"/>
      <c r="G304" s="36">
        <f t="shared" si="21"/>
        <v>0</v>
      </c>
      <c r="H304" s="75"/>
      <c r="I304" s="106"/>
      <c r="J304" s="73"/>
      <c r="K304" s="75"/>
      <c r="L304" s="36">
        <f t="shared" si="24"/>
        <v>0</v>
      </c>
      <c r="M304" s="106"/>
      <c r="N304" s="73"/>
      <c r="O304" s="106"/>
      <c r="P304" s="73"/>
      <c r="Q304" s="36">
        <f t="shared" si="22"/>
        <v>0</v>
      </c>
      <c r="R304" s="75"/>
      <c r="S304" s="38">
        <f t="shared" si="23"/>
        <v>0</v>
      </c>
    </row>
    <row r="305" spans="1:19" ht="19.95" customHeight="1">
      <c r="A305" s="333">
        <v>45948</v>
      </c>
      <c r="B305" s="106"/>
      <c r="C305" s="106"/>
      <c r="D305" s="36">
        <f t="shared" si="20"/>
        <v>0</v>
      </c>
      <c r="E305" s="106"/>
      <c r="F305" s="106"/>
      <c r="G305" s="36">
        <f t="shared" si="21"/>
        <v>0</v>
      </c>
      <c r="H305" s="75"/>
      <c r="I305" s="106"/>
      <c r="J305" s="73"/>
      <c r="K305" s="75"/>
      <c r="L305" s="36">
        <f t="shared" si="24"/>
        <v>0</v>
      </c>
      <c r="M305" s="106"/>
      <c r="N305" s="73"/>
      <c r="O305" s="106"/>
      <c r="P305" s="73"/>
      <c r="Q305" s="36">
        <f t="shared" si="22"/>
        <v>0</v>
      </c>
      <c r="R305" s="75"/>
      <c r="S305" s="38">
        <f t="shared" si="23"/>
        <v>0</v>
      </c>
    </row>
    <row r="306" spans="1:19" ht="19.95" customHeight="1">
      <c r="A306" s="333">
        <v>45949</v>
      </c>
      <c r="B306" s="106"/>
      <c r="C306" s="106"/>
      <c r="D306" s="36">
        <f t="shared" si="20"/>
        <v>0</v>
      </c>
      <c r="E306" s="106"/>
      <c r="F306" s="106"/>
      <c r="G306" s="36">
        <f t="shared" si="21"/>
        <v>0</v>
      </c>
      <c r="H306" s="75"/>
      <c r="I306" s="106"/>
      <c r="J306" s="73"/>
      <c r="K306" s="75"/>
      <c r="L306" s="36">
        <f t="shared" si="24"/>
        <v>0</v>
      </c>
      <c r="M306" s="106"/>
      <c r="N306" s="73"/>
      <c r="O306" s="106"/>
      <c r="P306" s="73"/>
      <c r="Q306" s="36">
        <f t="shared" si="22"/>
        <v>0</v>
      </c>
      <c r="R306" s="75"/>
      <c r="S306" s="38">
        <f t="shared" si="23"/>
        <v>0</v>
      </c>
    </row>
    <row r="307" spans="1:19" ht="19.95" customHeight="1">
      <c r="A307" s="333">
        <v>45950</v>
      </c>
      <c r="B307" s="106"/>
      <c r="C307" s="106"/>
      <c r="D307" s="36">
        <f t="shared" si="20"/>
        <v>0</v>
      </c>
      <c r="E307" s="106"/>
      <c r="F307" s="106"/>
      <c r="G307" s="36">
        <f t="shared" si="21"/>
        <v>0</v>
      </c>
      <c r="H307" s="75"/>
      <c r="I307" s="106"/>
      <c r="J307" s="73"/>
      <c r="K307" s="75"/>
      <c r="L307" s="36">
        <f t="shared" si="24"/>
        <v>0</v>
      </c>
      <c r="M307" s="106"/>
      <c r="N307" s="73"/>
      <c r="O307" s="106"/>
      <c r="P307" s="73"/>
      <c r="Q307" s="36">
        <f t="shared" si="22"/>
        <v>0</v>
      </c>
      <c r="R307" s="75"/>
      <c r="S307" s="38">
        <f t="shared" si="23"/>
        <v>0</v>
      </c>
    </row>
    <row r="308" spans="1:19" ht="19.95" customHeight="1">
      <c r="A308" s="333">
        <v>45951</v>
      </c>
      <c r="B308" s="106"/>
      <c r="C308" s="106"/>
      <c r="D308" s="36">
        <f t="shared" si="20"/>
        <v>0</v>
      </c>
      <c r="E308" s="106"/>
      <c r="F308" s="106"/>
      <c r="G308" s="36">
        <f t="shared" si="21"/>
        <v>0</v>
      </c>
      <c r="H308" s="75"/>
      <c r="I308" s="106"/>
      <c r="J308" s="73"/>
      <c r="K308" s="75"/>
      <c r="L308" s="36">
        <f t="shared" si="24"/>
        <v>0</v>
      </c>
      <c r="M308" s="106"/>
      <c r="N308" s="73"/>
      <c r="O308" s="106"/>
      <c r="P308" s="73"/>
      <c r="Q308" s="36">
        <f t="shared" si="22"/>
        <v>0</v>
      </c>
      <c r="R308" s="75"/>
      <c r="S308" s="38">
        <f t="shared" si="23"/>
        <v>0</v>
      </c>
    </row>
    <row r="309" spans="1:19" ht="19.95" customHeight="1">
      <c r="A309" s="333">
        <v>45952</v>
      </c>
      <c r="B309" s="106"/>
      <c r="C309" s="106"/>
      <c r="D309" s="36">
        <f t="shared" si="20"/>
        <v>0</v>
      </c>
      <c r="E309" s="106"/>
      <c r="F309" s="106"/>
      <c r="G309" s="36">
        <f t="shared" si="21"/>
        <v>0</v>
      </c>
      <c r="H309" s="75"/>
      <c r="I309" s="106"/>
      <c r="J309" s="73"/>
      <c r="K309" s="75"/>
      <c r="L309" s="36">
        <f t="shared" si="24"/>
        <v>0</v>
      </c>
      <c r="M309" s="106"/>
      <c r="N309" s="73"/>
      <c r="O309" s="106"/>
      <c r="P309" s="73"/>
      <c r="Q309" s="36">
        <f t="shared" si="22"/>
        <v>0</v>
      </c>
      <c r="R309" s="75"/>
      <c r="S309" s="38">
        <f t="shared" si="23"/>
        <v>0</v>
      </c>
    </row>
    <row r="310" spans="1:19" ht="19.95" customHeight="1">
      <c r="A310" s="333">
        <v>45953</v>
      </c>
      <c r="B310" s="106"/>
      <c r="C310" s="106"/>
      <c r="D310" s="36">
        <f t="shared" si="20"/>
        <v>0</v>
      </c>
      <c r="E310" s="106"/>
      <c r="F310" s="106"/>
      <c r="G310" s="36">
        <f t="shared" si="21"/>
        <v>0</v>
      </c>
      <c r="H310" s="75"/>
      <c r="I310" s="106"/>
      <c r="J310" s="73"/>
      <c r="K310" s="75"/>
      <c r="L310" s="36">
        <f t="shared" si="24"/>
        <v>0</v>
      </c>
      <c r="M310" s="106"/>
      <c r="N310" s="73"/>
      <c r="O310" s="106"/>
      <c r="P310" s="73"/>
      <c r="Q310" s="36">
        <f t="shared" si="22"/>
        <v>0</v>
      </c>
      <c r="R310" s="75"/>
      <c r="S310" s="38">
        <f t="shared" si="23"/>
        <v>0</v>
      </c>
    </row>
    <row r="311" spans="1:19" ht="19.95" customHeight="1">
      <c r="A311" s="333">
        <v>45954</v>
      </c>
      <c r="B311" s="106"/>
      <c r="C311" s="106"/>
      <c r="D311" s="36">
        <f t="shared" si="20"/>
        <v>0</v>
      </c>
      <c r="E311" s="106"/>
      <c r="F311" s="106"/>
      <c r="G311" s="36">
        <f t="shared" si="21"/>
        <v>0</v>
      </c>
      <c r="H311" s="75"/>
      <c r="I311" s="106"/>
      <c r="J311" s="73"/>
      <c r="K311" s="75"/>
      <c r="L311" s="36">
        <f t="shared" si="24"/>
        <v>0</v>
      </c>
      <c r="M311" s="106"/>
      <c r="N311" s="73"/>
      <c r="O311" s="106"/>
      <c r="P311" s="73"/>
      <c r="Q311" s="36">
        <f t="shared" si="22"/>
        <v>0</v>
      </c>
      <c r="R311" s="75"/>
      <c r="S311" s="38">
        <f t="shared" si="23"/>
        <v>0</v>
      </c>
    </row>
    <row r="312" spans="1:19" ht="19.95" customHeight="1">
      <c r="A312" s="333">
        <v>45955</v>
      </c>
      <c r="B312" s="106"/>
      <c r="C312" s="106"/>
      <c r="D312" s="36">
        <f t="shared" si="20"/>
        <v>0</v>
      </c>
      <c r="E312" s="106"/>
      <c r="F312" s="106"/>
      <c r="G312" s="36">
        <f t="shared" si="21"/>
        <v>0</v>
      </c>
      <c r="H312" s="75"/>
      <c r="I312" s="106"/>
      <c r="J312" s="73"/>
      <c r="K312" s="75"/>
      <c r="L312" s="36">
        <f t="shared" si="24"/>
        <v>0</v>
      </c>
      <c r="M312" s="106"/>
      <c r="N312" s="73"/>
      <c r="O312" s="106"/>
      <c r="P312" s="73"/>
      <c r="Q312" s="36">
        <f t="shared" si="22"/>
        <v>0</v>
      </c>
      <c r="R312" s="75"/>
      <c r="S312" s="38">
        <f t="shared" si="23"/>
        <v>0</v>
      </c>
    </row>
    <row r="313" spans="1:19" ht="19.95" customHeight="1">
      <c r="A313" s="333">
        <v>45956</v>
      </c>
      <c r="B313" s="106"/>
      <c r="C313" s="106"/>
      <c r="D313" s="36">
        <f t="shared" si="20"/>
        <v>0</v>
      </c>
      <c r="E313" s="106"/>
      <c r="F313" s="106"/>
      <c r="G313" s="36">
        <f t="shared" si="21"/>
        <v>0</v>
      </c>
      <c r="H313" s="75"/>
      <c r="I313" s="106"/>
      <c r="J313" s="73"/>
      <c r="K313" s="75"/>
      <c r="L313" s="36">
        <f t="shared" si="24"/>
        <v>0</v>
      </c>
      <c r="M313" s="106"/>
      <c r="N313" s="73"/>
      <c r="O313" s="106"/>
      <c r="P313" s="73"/>
      <c r="Q313" s="36">
        <f t="shared" si="22"/>
        <v>0</v>
      </c>
      <c r="R313" s="75"/>
      <c r="S313" s="38">
        <f t="shared" si="23"/>
        <v>0</v>
      </c>
    </row>
    <row r="314" spans="1:19" ht="19.95" customHeight="1">
      <c r="A314" s="333">
        <v>45957</v>
      </c>
      <c r="B314" s="106"/>
      <c r="C314" s="106"/>
      <c r="D314" s="36">
        <f t="shared" si="20"/>
        <v>0</v>
      </c>
      <c r="E314" s="106"/>
      <c r="F314" s="106"/>
      <c r="G314" s="36">
        <f t="shared" si="21"/>
        <v>0</v>
      </c>
      <c r="H314" s="75"/>
      <c r="I314" s="106"/>
      <c r="J314" s="73"/>
      <c r="K314" s="75"/>
      <c r="L314" s="36">
        <f t="shared" si="24"/>
        <v>0</v>
      </c>
      <c r="M314" s="106"/>
      <c r="N314" s="73"/>
      <c r="O314" s="106"/>
      <c r="P314" s="73"/>
      <c r="Q314" s="36">
        <f t="shared" si="22"/>
        <v>0</v>
      </c>
      <c r="R314" s="75"/>
      <c r="S314" s="38">
        <f t="shared" si="23"/>
        <v>0</v>
      </c>
    </row>
    <row r="315" spans="1:19" ht="19.95" customHeight="1">
      <c r="A315" s="333">
        <v>45958</v>
      </c>
      <c r="B315" s="106"/>
      <c r="C315" s="106"/>
      <c r="D315" s="36">
        <f t="shared" si="20"/>
        <v>0</v>
      </c>
      <c r="E315" s="106"/>
      <c r="F315" s="106"/>
      <c r="G315" s="36">
        <f t="shared" si="21"/>
        <v>0</v>
      </c>
      <c r="H315" s="75"/>
      <c r="I315" s="106"/>
      <c r="J315" s="73"/>
      <c r="K315" s="75"/>
      <c r="L315" s="36">
        <f t="shared" si="24"/>
        <v>0</v>
      </c>
      <c r="M315" s="106"/>
      <c r="N315" s="73"/>
      <c r="O315" s="106"/>
      <c r="P315" s="73"/>
      <c r="Q315" s="36">
        <f t="shared" si="22"/>
        <v>0</v>
      </c>
      <c r="R315" s="75"/>
      <c r="S315" s="38">
        <f t="shared" si="23"/>
        <v>0</v>
      </c>
    </row>
    <row r="316" spans="1:19" ht="19.95" customHeight="1">
      <c r="A316" s="333">
        <v>45959</v>
      </c>
      <c r="B316" s="106"/>
      <c r="C316" s="106"/>
      <c r="D316" s="36">
        <f t="shared" si="20"/>
        <v>0</v>
      </c>
      <c r="E316" s="106"/>
      <c r="F316" s="106"/>
      <c r="G316" s="36">
        <f t="shared" si="21"/>
        <v>0</v>
      </c>
      <c r="H316" s="75"/>
      <c r="I316" s="106"/>
      <c r="J316" s="73"/>
      <c r="K316" s="75"/>
      <c r="L316" s="36">
        <f t="shared" si="24"/>
        <v>0</v>
      </c>
      <c r="M316" s="106"/>
      <c r="N316" s="73"/>
      <c r="O316" s="106"/>
      <c r="P316" s="73"/>
      <c r="Q316" s="36">
        <f t="shared" si="22"/>
        <v>0</v>
      </c>
      <c r="R316" s="75"/>
      <c r="S316" s="38">
        <f t="shared" si="23"/>
        <v>0</v>
      </c>
    </row>
    <row r="317" spans="1:19" ht="19.95" customHeight="1">
      <c r="A317" s="333">
        <v>45960</v>
      </c>
      <c r="B317" s="106"/>
      <c r="C317" s="106"/>
      <c r="D317" s="36">
        <f t="shared" si="20"/>
        <v>0</v>
      </c>
      <c r="E317" s="106"/>
      <c r="F317" s="106"/>
      <c r="G317" s="36">
        <f t="shared" si="21"/>
        <v>0</v>
      </c>
      <c r="H317" s="75"/>
      <c r="I317" s="106"/>
      <c r="J317" s="73"/>
      <c r="K317" s="75"/>
      <c r="L317" s="36">
        <f t="shared" si="24"/>
        <v>0</v>
      </c>
      <c r="M317" s="106"/>
      <c r="N317" s="73"/>
      <c r="O317" s="106"/>
      <c r="P317" s="73"/>
      <c r="Q317" s="36">
        <f t="shared" si="22"/>
        <v>0</v>
      </c>
      <c r="R317" s="75"/>
      <c r="S317" s="38">
        <f t="shared" si="23"/>
        <v>0</v>
      </c>
    </row>
    <row r="318" spans="1:19" ht="19.95" customHeight="1">
      <c r="A318" s="333">
        <v>45961</v>
      </c>
      <c r="B318" s="106"/>
      <c r="C318" s="106"/>
      <c r="D318" s="36">
        <f t="shared" si="20"/>
        <v>0</v>
      </c>
      <c r="E318" s="106"/>
      <c r="F318" s="106"/>
      <c r="G318" s="36">
        <f t="shared" si="21"/>
        <v>0</v>
      </c>
      <c r="H318" s="75"/>
      <c r="I318" s="106"/>
      <c r="J318" s="73"/>
      <c r="K318" s="75"/>
      <c r="L318" s="36">
        <f t="shared" si="24"/>
        <v>0</v>
      </c>
      <c r="M318" s="106"/>
      <c r="N318" s="73"/>
      <c r="O318" s="106"/>
      <c r="P318" s="73"/>
      <c r="Q318" s="36">
        <f t="shared" si="22"/>
        <v>0</v>
      </c>
      <c r="R318" s="75"/>
      <c r="S318" s="38">
        <f t="shared" si="23"/>
        <v>0</v>
      </c>
    </row>
    <row r="319" spans="1:19" ht="19.95" customHeight="1">
      <c r="A319" s="333">
        <v>45962</v>
      </c>
      <c r="B319" s="106"/>
      <c r="C319" s="106"/>
      <c r="D319" s="36">
        <f t="shared" si="20"/>
        <v>0</v>
      </c>
      <c r="E319" s="106"/>
      <c r="F319" s="106"/>
      <c r="G319" s="36">
        <f t="shared" si="21"/>
        <v>0</v>
      </c>
      <c r="H319" s="75"/>
      <c r="I319" s="106"/>
      <c r="J319" s="73"/>
      <c r="K319" s="75"/>
      <c r="L319" s="36">
        <f t="shared" si="24"/>
        <v>0</v>
      </c>
      <c r="M319" s="106"/>
      <c r="N319" s="73"/>
      <c r="O319" s="106"/>
      <c r="P319" s="73"/>
      <c r="Q319" s="36">
        <f t="shared" si="22"/>
        <v>0</v>
      </c>
      <c r="R319" s="75"/>
      <c r="S319" s="38">
        <f t="shared" si="23"/>
        <v>0</v>
      </c>
    </row>
    <row r="320" spans="1:19" ht="19.95" customHeight="1">
      <c r="A320" s="333">
        <v>45963</v>
      </c>
      <c r="B320" s="106"/>
      <c r="C320" s="106"/>
      <c r="D320" s="36">
        <f t="shared" si="20"/>
        <v>0</v>
      </c>
      <c r="E320" s="106"/>
      <c r="F320" s="106"/>
      <c r="G320" s="36">
        <f t="shared" si="21"/>
        <v>0</v>
      </c>
      <c r="H320" s="75"/>
      <c r="I320" s="106"/>
      <c r="J320" s="73"/>
      <c r="K320" s="75"/>
      <c r="L320" s="36">
        <f t="shared" si="24"/>
        <v>0</v>
      </c>
      <c r="M320" s="106"/>
      <c r="N320" s="73"/>
      <c r="O320" s="106"/>
      <c r="P320" s="73"/>
      <c r="Q320" s="36">
        <f t="shared" si="22"/>
        <v>0</v>
      </c>
      <c r="R320" s="75"/>
      <c r="S320" s="38">
        <f t="shared" si="23"/>
        <v>0</v>
      </c>
    </row>
    <row r="321" spans="1:19" ht="19.95" customHeight="1">
      <c r="A321" s="333">
        <v>45964</v>
      </c>
      <c r="B321" s="106"/>
      <c r="C321" s="106"/>
      <c r="D321" s="36">
        <f t="shared" si="20"/>
        <v>0</v>
      </c>
      <c r="E321" s="106"/>
      <c r="F321" s="106"/>
      <c r="G321" s="36">
        <f t="shared" si="21"/>
        <v>0</v>
      </c>
      <c r="H321" s="75"/>
      <c r="I321" s="106"/>
      <c r="J321" s="73"/>
      <c r="K321" s="75"/>
      <c r="L321" s="36">
        <f t="shared" si="24"/>
        <v>0</v>
      </c>
      <c r="M321" s="106"/>
      <c r="N321" s="73"/>
      <c r="O321" s="106"/>
      <c r="P321" s="73"/>
      <c r="Q321" s="36">
        <f t="shared" si="22"/>
        <v>0</v>
      </c>
      <c r="R321" s="75"/>
      <c r="S321" s="38">
        <f t="shared" si="23"/>
        <v>0</v>
      </c>
    </row>
    <row r="322" spans="1:19" ht="19.95" customHeight="1">
      <c r="A322" s="333">
        <v>45965</v>
      </c>
      <c r="B322" s="106"/>
      <c r="C322" s="106"/>
      <c r="D322" s="36">
        <f t="shared" si="20"/>
        <v>0</v>
      </c>
      <c r="E322" s="106"/>
      <c r="F322" s="106"/>
      <c r="G322" s="36">
        <f t="shared" si="21"/>
        <v>0</v>
      </c>
      <c r="H322" s="75"/>
      <c r="I322" s="106"/>
      <c r="J322" s="73"/>
      <c r="K322" s="75"/>
      <c r="L322" s="36">
        <f t="shared" si="24"/>
        <v>0</v>
      </c>
      <c r="M322" s="106"/>
      <c r="N322" s="73"/>
      <c r="O322" s="106"/>
      <c r="P322" s="73"/>
      <c r="Q322" s="36">
        <f t="shared" si="22"/>
        <v>0</v>
      </c>
      <c r="R322" s="75"/>
      <c r="S322" s="38">
        <f t="shared" si="23"/>
        <v>0</v>
      </c>
    </row>
    <row r="323" spans="1:19" ht="19.95" customHeight="1">
      <c r="A323" s="333">
        <v>45966</v>
      </c>
      <c r="B323" s="106"/>
      <c r="C323" s="106"/>
      <c r="D323" s="36">
        <f t="shared" si="20"/>
        <v>0</v>
      </c>
      <c r="E323" s="106"/>
      <c r="F323" s="106"/>
      <c r="G323" s="36">
        <f t="shared" si="21"/>
        <v>0</v>
      </c>
      <c r="H323" s="75"/>
      <c r="I323" s="106"/>
      <c r="J323" s="73"/>
      <c r="K323" s="75"/>
      <c r="L323" s="36">
        <f t="shared" si="24"/>
        <v>0</v>
      </c>
      <c r="M323" s="106"/>
      <c r="N323" s="73"/>
      <c r="O323" s="106"/>
      <c r="P323" s="73"/>
      <c r="Q323" s="36">
        <f t="shared" si="22"/>
        <v>0</v>
      </c>
      <c r="R323" s="75"/>
      <c r="S323" s="38">
        <f t="shared" si="23"/>
        <v>0</v>
      </c>
    </row>
    <row r="324" spans="1:19" ht="19.95" customHeight="1">
      <c r="A324" s="333">
        <v>45967</v>
      </c>
      <c r="B324" s="106"/>
      <c r="C324" s="106"/>
      <c r="D324" s="36">
        <f t="shared" si="20"/>
        <v>0</v>
      </c>
      <c r="E324" s="106"/>
      <c r="F324" s="106"/>
      <c r="G324" s="36">
        <f t="shared" si="21"/>
        <v>0</v>
      </c>
      <c r="H324" s="75"/>
      <c r="I324" s="106"/>
      <c r="J324" s="73"/>
      <c r="K324" s="75"/>
      <c r="L324" s="36">
        <f t="shared" si="24"/>
        <v>0</v>
      </c>
      <c r="M324" s="106"/>
      <c r="N324" s="73"/>
      <c r="O324" s="106"/>
      <c r="P324" s="73"/>
      <c r="Q324" s="36">
        <f t="shared" si="22"/>
        <v>0</v>
      </c>
      <c r="R324" s="75"/>
      <c r="S324" s="38">
        <f t="shared" si="23"/>
        <v>0</v>
      </c>
    </row>
    <row r="325" spans="1:19" ht="19.95" customHeight="1">
      <c r="A325" s="333">
        <v>45968</v>
      </c>
      <c r="B325" s="106"/>
      <c r="C325" s="106"/>
      <c r="D325" s="36">
        <f t="shared" si="20"/>
        <v>0</v>
      </c>
      <c r="E325" s="106"/>
      <c r="F325" s="106"/>
      <c r="G325" s="36">
        <f t="shared" si="21"/>
        <v>0</v>
      </c>
      <c r="H325" s="75"/>
      <c r="I325" s="106"/>
      <c r="J325" s="73"/>
      <c r="K325" s="75"/>
      <c r="L325" s="36">
        <f t="shared" si="24"/>
        <v>0</v>
      </c>
      <c r="M325" s="106"/>
      <c r="N325" s="73"/>
      <c r="O325" s="106"/>
      <c r="P325" s="73"/>
      <c r="Q325" s="36">
        <f t="shared" si="22"/>
        <v>0</v>
      </c>
      <c r="R325" s="75"/>
      <c r="S325" s="38">
        <f t="shared" si="23"/>
        <v>0</v>
      </c>
    </row>
    <row r="326" spans="1:19" ht="19.95" customHeight="1">
      <c r="A326" s="333">
        <v>45969</v>
      </c>
      <c r="B326" s="106"/>
      <c r="C326" s="106"/>
      <c r="D326" s="36">
        <f t="shared" si="20"/>
        <v>0</v>
      </c>
      <c r="E326" s="106"/>
      <c r="F326" s="106"/>
      <c r="G326" s="36">
        <f t="shared" si="21"/>
        <v>0</v>
      </c>
      <c r="H326" s="75"/>
      <c r="I326" s="106"/>
      <c r="J326" s="73"/>
      <c r="K326" s="75"/>
      <c r="L326" s="36">
        <f t="shared" si="24"/>
        <v>0</v>
      </c>
      <c r="M326" s="106"/>
      <c r="N326" s="73"/>
      <c r="O326" s="106"/>
      <c r="P326" s="73"/>
      <c r="Q326" s="36">
        <f t="shared" si="22"/>
        <v>0</v>
      </c>
      <c r="R326" s="75"/>
      <c r="S326" s="38">
        <f t="shared" si="23"/>
        <v>0</v>
      </c>
    </row>
    <row r="327" spans="1:19" ht="19.95" customHeight="1">
      <c r="A327" s="333">
        <v>45970</v>
      </c>
      <c r="B327" s="106"/>
      <c r="C327" s="106"/>
      <c r="D327" s="36">
        <f t="shared" si="20"/>
        <v>0</v>
      </c>
      <c r="E327" s="106"/>
      <c r="F327" s="106"/>
      <c r="G327" s="36">
        <f t="shared" si="21"/>
        <v>0</v>
      </c>
      <c r="H327" s="75"/>
      <c r="I327" s="106"/>
      <c r="J327" s="73"/>
      <c r="K327" s="75"/>
      <c r="L327" s="36">
        <f t="shared" si="24"/>
        <v>0</v>
      </c>
      <c r="M327" s="106"/>
      <c r="N327" s="73"/>
      <c r="O327" s="106"/>
      <c r="P327" s="73"/>
      <c r="Q327" s="36">
        <f t="shared" si="22"/>
        <v>0</v>
      </c>
      <c r="R327" s="75"/>
      <c r="S327" s="38">
        <f t="shared" si="23"/>
        <v>0</v>
      </c>
    </row>
    <row r="328" spans="1:19" ht="19.95" customHeight="1">
      <c r="A328" s="333">
        <v>45971</v>
      </c>
      <c r="B328" s="106"/>
      <c r="C328" s="106"/>
      <c r="D328" s="36">
        <f t="shared" si="20"/>
        <v>0</v>
      </c>
      <c r="E328" s="106"/>
      <c r="F328" s="106"/>
      <c r="G328" s="36">
        <f t="shared" si="21"/>
        <v>0</v>
      </c>
      <c r="H328" s="75"/>
      <c r="I328" s="106"/>
      <c r="J328" s="73"/>
      <c r="K328" s="75"/>
      <c r="L328" s="36">
        <f t="shared" si="24"/>
        <v>0</v>
      </c>
      <c r="M328" s="106"/>
      <c r="N328" s="73"/>
      <c r="O328" s="106"/>
      <c r="P328" s="73"/>
      <c r="Q328" s="36">
        <f t="shared" si="22"/>
        <v>0</v>
      </c>
      <c r="R328" s="75"/>
      <c r="S328" s="38">
        <f t="shared" si="23"/>
        <v>0</v>
      </c>
    </row>
    <row r="329" spans="1:19" ht="19.95" customHeight="1">
      <c r="A329" s="333">
        <v>45972</v>
      </c>
      <c r="B329" s="106"/>
      <c r="C329" s="106"/>
      <c r="D329" s="36">
        <f t="shared" si="20"/>
        <v>0</v>
      </c>
      <c r="E329" s="106"/>
      <c r="F329" s="106"/>
      <c r="G329" s="36">
        <f t="shared" si="21"/>
        <v>0</v>
      </c>
      <c r="H329" s="75"/>
      <c r="I329" s="106"/>
      <c r="J329" s="73"/>
      <c r="K329" s="75"/>
      <c r="L329" s="36">
        <f t="shared" si="24"/>
        <v>0</v>
      </c>
      <c r="M329" s="106"/>
      <c r="N329" s="73"/>
      <c r="O329" s="106"/>
      <c r="P329" s="73"/>
      <c r="Q329" s="36">
        <f t="shared" si="22"/>
        <v>0</v>
      </c>
      <c r="R329" s="75"/>
      <c r="S329" s="38">
        <f t="shared" si="23"/>
        <v>0</v>
      </c>
    </row>
    <row r="330" spans="1:19" ht="19.95" customHeight="1">
      <c r="A330" s="333">
        <v>45973</v>
      </c>
      <c r="B330" s="106"/>
      <c r="C330" s="106"/>
      <c r="D330" s="36">
        <f t="shared" si="20"/>
        <v>0</v>
      </c>
      <c r="E330" s="106"/>
      <c r="F330" s="106"/>
      <c r="G330" s="36">
        <f t="shared" si="21"/>
        <v>0</v>
      </c>
      <c r="H330" s="75"/>
      <c r="I330" s="106"/>
      <c r="J330" s="73"/>
      <c r="K330" s="75"/>
      <c r="L330" s="36">
        <f t="shared" si="24"/>
        <v>0</v>
      </c>
      <c r="M330" s="106"/>
      <c r="N330" s="73"/>
      <c r="O330" s="106"/>
      <c r="P330" s="73"/>
      <c r="Q330" s="36">
        <f t="shared" si="22"/>
        <v>0</v>
      </c>
      <c r="R330" s="75"/>
      <c r="S330" s="38">
        <f t="shared" si="23"/>
        <v>0</v>
      </c>
    </row>
    <row r="331" spans="1:19" ht="19.95" customHeight="1">
      <c r="A331" s="333">
        <v>45974</v>
      </c>
      <c r="B331" s="106"/>
      <c r="C331" s="106"/>
      <c r="D331" s="36">
        <f t="shared" si="20"/>
        <v>0</v>
      </c>
      <c r="E331" s="106"/>
      <c r="F331" s="106"/>
      <c r="G331" s="36">
        <f t="shared" si="21"/>
        <v>0</v>
      </c>
      <c r="H331" s="75"/>
      <c r="I331" s="106"/>
      <c r="J331" s="73"/>
      <c r="K331" s="75"/>
      <c r="L331" s="36">
        <f t="shared" si="24"/>
        <v>0</v>
      </c>
      <c r="M331" s="106"/>
      <c r="N331" s="73"/>
      <c r="O331" s="106"/>
      <c r="P331" s="73"/>
      <c r="Q331" s="36">
        <f t="shared" si="22"/>
        <v>0</v>
      </c>
      <c r="R331" s="75"/>
      <c r="S331" s="38">
        <f t="shared" si="23"/>
        <v>0</v>
      </c>
    </row>
    <row r="332" spans="1:19" ht="19.95" customHeight="1">
      <c r="A332" s="333">
        <v>45975</v>
      </c>
      <c r="B332" s="106"/>
      <c r="C332" s="106"/>
      <c r="D332" s="36">
        <f t="shared" si="20"/>
        <v>0</v>
      </c>
      <c r="E332" s="106"/>
      <c r="F332" s="106"/>
      <c r="G332" s="36">
        <f t="shared" si="21"/>
        <v>0</v>
      </c>
      <c r="H332" s="75"/>
      <c r="I332" s="106"/>
      <c r="J332" s="73"/>
      <c r="K332" s="75"/>
      <c r="L332" s="36">
        <f t="shared" si="24"/>
        <v>0</v>
      </c>
      <c r="M332" s="106"/>
      <c r="N332" s="73"/>
      <c r="O332" s="106"/>
      <c r="P332" s="73"/>
      <c r="Q332" s="36">
        <f t="shared" si="22"/>
        <v>0</v>
      </c>
      <c r="R332" s="75"/>
      <c r="S332" s="38">
        <f t="shared" si="23"/>
        <v>0</v>
      </c>
    </row>
    <row r="333" spans="1:19" ht="19.95" customHeight="1">
      <c r="A333" s="333">
        <v>45976</v>
      </c>
      <c r="B333" s="106"/>
      <c r="C333" s="106"/>
      <c r="D333" s="36">
        <f t="shared" si="20"/>
        <v>0</v>
      </c>
      <c r="E333" s="106"/>
      <c r="F333" s="106"/>
      <c r="G333" s="36">
        <f t="shared" si="21"/>
        <v>0</v>
      </c>
      <c r="H333" s="75"/>
      <c r="I333" s="106"/>
      <c r="J333" s="73"/>
      <c r="K333" s="75"/>
      <c r="L333" s="36">
        <f t="shared" si="24"/>
        <v>0</v>
      </c>
      <c r="M333" s="106"/>
      <c r="N333" s="73"/>
      <c r="O333" s="106"/>
      <c r="P333" s="73"/>
      <c r="Q333" s="36">
        <f t="shared" si="22"/>
        <v>0</v>
      </c>
      <c r="R333" s="75"/>
      <c r="S333" s="38">
        <f t="shared" si="23"/>
        <v>0</v>
      </c>
    </row>
    <row r="334" spans="1:19" ht="19.95" customHeight="1">
      <c r="A334" s="333">
        <v>45977</v>
      </c>
      <c r="B334" s="106"/>
      <c r="C334" s="106"/>
      <c r="D334" s="36">
        <f t="shared" si="20"/>
        <v>0</v>
      </c>
      <c r="E334" s="106"/>
      <c r="F334" s="106"/>
      <c r="G334" s="36">
        <f t="shared" si="21"/>
        <v>0</v>
      </c>
      <c r="H334" s="75"/>
      <c r="I334" s="106"/>
      <c r="J334" s="73"/>
      <c r="K334" s="75"/>
      <c r="L334" s="36">
        <f t="shared" si="24"/>
        <v>0</v>
      </c>
      <c r="M334" s="106"/>
      <c r="N334" s="73"/>
      <c r="O334" s="106"/>
      <c r="P334" s="73"/>
      <c r="Q334" s="36">
        <f t="shared" si="22"/>
        <v>0</v>
      </c>
      <c r="R334" s="75"/>
      <c r="S334" s="38">
        <f t="shared" si="23"/>
        <v>0</v>
      </c>
    </row>
    <row r="335" spans="1:19" ht="19.95" customHeight="1">
      <c r="A335" s="333">
        <v>45978</v>
      </c>
      <c r="B335" s="106"/>
      <c r="C335" s="106"/>
      <c r="D335" s="36">
        <f t="shared" ref="D335:D379" si="25">SUM(B335:C335)*$D$13/360</f>
        <v>0</v>
      </c>
      <c r="E335" s="106"/>
      <c r="F335" s="106"/>
      <c r="G335" s="36">
        <f t="shared" ref="G335:G379" si="26">SUM(E335:F335)*$G$13/360</f>
        <v>0</v>
      </c>
      <c r="H335" s="75"/>
      <c r="I335" s="106"/>
      <c r="J335" s="73"/>
      <c r="K335" s="75"/>
      <c r="L335" s="36">
        <f t="shared" si="24"/>
        <v>0</v>
      </c>
      <c r="M335" s="106"/>
      <c r="N335" s="73"/>
      <c r="O335" s="106"/>
      <c r="P335" s="73"/>
      <c r="Q335" s="36">
        <f t="shared" ref="Q335:Q366" si="27">(M335*N335+O335*P335)/360</f>
        <v>0</v>
      </c>
      <c r="R335" s="75"/>
      <c r="S335" s="38">
        <f t="shared" ref="S335:S379" si="28">D335+G335+L335+Q335</f>
        <v>0</v>
      </c>
    </row>
    <row r="336" spans="1:19" ht="19.95" customHeight="1">
      <c r="A336" s="333">
        <v>45979</v>
      </c>
      <c r="B336" s="106"/>
      <c r="C336" s="106"/>
      <c r="D336" s="36">
        <f t="shared" si="25"/>
        <v>0</v>
      </c>
      <c r="E336" s="106"/>
      <c r="F336" s="106"/>
      <c r="G336" s="36">
        <f t="shared" si="26"/>
        <v>0</v>
      </c>
      <c r="H336" s="75"/>
      <c r="I336" s="106"/>
      <c r="J336" s="73"/>
      <c r="K336" s="75"/>
      <c r="L336" s="36">
        <f t="shared" ref="L336:L379" si="29">I336*J336/360</f>
        <v>0</v>
      </c>
      <c r="M336" s="106"/>
      <c r="N336" s="73"/>
      <c r="O336" s="106"/>
      <c r="P336" s="73"/>
      <c r="Q336" s="36">
        <f t="shared" si="27"/>
        <v>0</v>
      </c>
      <c r="R336" s="75"/>
      <c r="S336" s="38">
        <f t="shared" si="28"/>
        <v>0</v>
      </c>
    </row>
    <row r="337" spans="1:19" ht="19.95" customHeight="1">
      <c r="A337" s="333">
        <v>45980</v>
      </c>
      <c r="B337" s="106"/>
      <c r="C337" s="106"/>
      <c r="D337" s="36">
        <f t="shared" si="25"/>
        <v>0</v>
      </c>
      <c r="E337" s="106"/>
      <c r="F337" s="106"/>
      <c r="G337" s="36">
        <f t="shared" si="26"/>
        <v>0</v>
      </c>
      <c r="H337" s="75"/>
      <c r="I337" s="106"/>
      <c r="J337" s="73"/>
      <c r="K337" s="75"/>
      <c r="L337" s="36">
        <f t="shared" si="29"/>
        <v>0</v>
      </c>
      <c r="M337" s="106"/>
      <c r="N337" s="73"/>
      <c r="O337" s="106"/>
      <c r="P337" s="73"/>
      <c r="Q337" s="36">
        <f t="shared" si="27"/>
        <v>0</v>
      </c>
      <c r="R337" s="75"/>
      <c r="S337" s="38">
        <f t="shared" si="28"/>
        <v>0</v>
      </c>
    </row>
    <row r="338" spans="1:19" ht="19.95" customHeight="1">
      <c r="A338" s="333">
        <v>45981</v>
      </c>
      <c r="B338" s="106"/>
      <c r="C338" s="106"/>
      <c r="D338" s="36">
        <f t="shared" si="25"/>
        <v>0</v>
      </c>
      <c r="E338" s="106"/>
      <c r="F338" s="106"/>
      <c r="G338" s="36">
        <f t="shared" si="26"/>
        <v>0</v>
      </c>
      <c r="H338" s="75"/>
      <c r="I338" s="106"/>
      <c r="J338" s="73"/>
      <c r="K338" s="75"/>
      <c r="L338" s="36">
        <f t="shared" si="29"/>
        <v>0</v>
      </c>
      <c r="M338" s="106"/>
      <c r="N338" s="73"/>
      <c r="O338" s="106"/>
      <c r="P338" s="73"/>
      <c r="Q338" s="36">
        <f t="shared" si="27"/>
        <v>0</v>
      </c>
      <c r="R338" s="75"/>
      <c r="S338" s="38">
        <f t="shared" si="28"/>
        <v>0</v>
      </c>
    </row>
    <row r="339" spans="1:19" ht="19.95" customHeight="1">
      <c r="A339" s="333">
        <v>45982</v>
      </c>
      <c r="B339" s="106"/>
      <c r="C339" s="106"/>
      <c r="D339" s="36">
        <f t="shared" si="25"/>
        <v>0</v>
      </c>
      <c r="E339" s="106"/>
      <c r="F339" s="106"/>
      <c r="G339" s="36">
        <f t="shared" si="26"/>
        <v>0</v>
      </c>
      <c r="H339" s="75"/>
      <c r="I339" s="106"/>
      <c r="J339" s="73"/>
      <c r="K339" s="75"/>
      <c r="L339" s="36">
        <f t="shared" si="29"/>
        <v>0</v>
      </c>
      <c r="M339" s="106"/>
      <c r="N339" s="73"/>
      <c r="O339" s="106"/>
      <c r="P339" s="73"/>
      <c r="Q339" s="36">
        <f t="shared" si="27"/>
        <v>0</v>
      </c>
      <c r="R339" s="75"/>
      <c r="S339" s="38">
        <f t="shared" si="28"/>
        <v>0</v>
      </c>
    </row>
    <row r="340" spans="1:19" ht="19.95" customHeight="1">
      <c r="A340" s="333">
        <v>45983</v>
      </c>
      <c r="B340" s="106"/>
      <c r="C340" s="106"/>
      <c r="D340" s="36">
        <f t="shared" si="25"/>
        <v>0</v>
      </c>
      <c r="E340" s="106"/>
      <c r="F340" s="106"/>
      <c r="G340" s="36">
        <f t="shared" si="26"/>
        <v>0</v>
      </c>
      <c r="H340" s="75"/>
      <c r="I340" s="106"/>
      <c r="J340" s="73"/>
      <c r="K340" s="75"/>
      <c r="L340" s="36">
        <f t="shared" si="29"/>
        <v>0</v>
      </c>
      <c r="M340" s="106"/>
      <c r="N340" s="73"/>
      <c r="O340" s="106"/>
      <c r="P340" s="73"/>
      <c r="Q340" s="36">
        <f t="shared" si="27"/>
        <v>0</v>
      </c>
      <c r="R340" s="75"/>
      <c r="S340" s="38">
        <f t="shared" si="28"/>
        <v>0</v>
      </c>
    </row>
    <row r="341" spans="1:19" ht="19.95" customHeight="1">
      <c r="A341" s="333">
        <v>45984</v>
      </c>
      <c r="B341" s="106"/>
      <c r="C341" s="106"/>
      <c r="D341" s="36">
        <f t="shared" si="25"/>
        <v>0</v>
      </c>
      <c r="E341" s="106"/>
      <c r="F341" s="106"/>
      <c r="G341" s="36">
        <f t="shared" si="26"/>
        <v>0</v>
      </c>
      <c r="H341" s="75"/>
      <c r="I341" s="106"/>
      <c r="J341" s="73"/>
      <c r="K341" s="75"/>
      <c r="L341" s="36">
        <f t="shared" si="29"/>
        <v>0</v>
      </c>
      <c r="M341" s="106"/>
      <c r="N341" s="73"/>
      <c r="O341" s="106"/>
      <c r="P341" s="73"/>
      <c r="Q341" s="36">
        <f t="shared" si="27"/>
        <v>0</v>
      </c>
      <c r="R341" s="75"/>
      <c r="S341" s="38">
        <f t="shared" si="28"/>
        <v>0</v>
      </c>
    </row>
    <row r="342" spans="1:19" ht="19.95" customHeight="1">
      <c r="A342" s="333">
        <v>45985</v>
      </c>
      <c r="B342" s="106"/>
      <c r="C342" s="106"/>
      <c r="D342" s="36">
        <f t="shared" si="25"/>
        <v>0</v>
      </c>
      <c r="E342" s="106"/>
      <c r="F342" s="106"/>
      <c r="G342" s="36">
        <f t="shared" si="26"/>
        <v>0</v>
      </c>
      <c r="H342" s="75"/>
      <c r="I342" s="106"/>
      <c r="J342" s="73"/>
      <c r="K342" s="75"/>
      <c r="L342" s="36">
        <f t="shared" si="29"/>
        <v>0</v>
      </c>
      <c r="M342" s="106"/>
      <c r="N342" s="73"/>
      <c r="O342" s="106"/>
      <c r="P342" s="73"/>
      <c r="Q342" s="36">
        <f t="shared" si="27"/>
        <v>0</v>
      </c>
      <c r="R342" s="75"/>
      <c r="S342" s="38">
        <f t="shared" si="28"/>
        <v>0</v>
      </c>
    </row>
    <row r="343" spans="1:19" ht="19.95" customHeight="1">
      <c r="A343" s="333">
        <v>45986</v>
      </c>
      <c r="B343" s="106"/>
      <c r="C343" s="106"/>
      <c r="D343" s="36">
        <f t="shared" si="25"/>
        <v>0</v>
      </c>
      <c r="E343" s="106"/>
      <c r="F343" s="106"/>
      <c r="G343" s="36">
        <f t="shared" si="26"/>
        <v>0</v>
      </c>
      <c r="H343" s="75"/>
      <c r="I343" s="106"/>
      <c r="J343" s="73"/>
      <c r="K343" s="75"/>
      <c r="L343" s="36">
        <f t="shared" si="29"/>
        <v>0</v>
      </c>
      <c r="M343" s="106"/>
      <c r="N343" s="73"/>
      <c r="O343" s="106"/>
      <c r="P343" s="73"/>
      <c r="Q343" s="36">
        <f t="shared" si="27"/>
        <v>0</v>
      </c>
      <c r="R343" s="75"/>
      <c r="S343" s="38">
        <f t="shared" si="28"/>
        <v>0</v>
      </c>
    </row>
    <row r="344" spans="1:19" ht="19.95" customHeight="1">
      <c r="A344" s="333">
        <v>45987</v>
      </c>
      <c r="B344" s="106"/>
      <c r="C344" s="106"/>
      <c r="D344" s="36">
        <f t="shared" si="25"/>
        <v>0</v>
      </c>
      <c r="E344" s="106"/>
      <c r="F344" s="106"/>
      <c r="G344" s="36">
        <f t="shared" si="26"/>
        <v>0</v>
      </c>
      <c r="H344" s="75"/>
      <c r="I344" s="106"/>
      <c r="J344" s="73"/>
      <c r="K344" s="75"/>
      <c r="L344" s="36">
        <f t="shared" si="29"/>
        <v>0</v>
      </c>
      <c r="M344" s="106"/>
      <c r="N344" s="73"/>
      <c r="O344" s="106"/>
      <c r="P344" s="73"/>
      <c r="Q344" s="36">
        <f t="shared" si="27"/>
        <v>0</v>
      </c>
      <c r="R344" s="75"/>
      <c r="S344" s="38">
        <f t="shared" si="28"/>
        <v>0</v>
      </c>
    </row>
    <row r="345" spans="1:19" ht="19.95" customHeight="1">
      <c r="A345" s="333">
        <v>45988</v>
      </c>
      <c r="B345" s="106"/>
      <c r="C345" s="106"/>
      <c r="D345" s="36">
        <f t="shared" si="25"/>
        <v>0</v>
      </c>
      <c r="E345" s="106"/>
      <c r="F345" s="106"/>
      <c r="G345" s="36">
        <f t="shared" si="26"/>
        <v>0</v>
      </c>
      <c r="H345" s="75"/>
      <c r="I345" s="106"/>
      <c r="J345" s="73"/>
      <c r="K345" s="75"/>
      <c r="L345" s="36">
        <f t="shared" si="29"/>
        <v>0</v>
      </c>
      <c r="M345" s="106"/>
      <c r="N345" s="73"/>
      <c r="O345" s="106"/>
      <c r="P345" s="73"/>
      <c r="Q345" s="36">
        <f t="shared" si="27"/>
        <v>0</v>
      </c>
      <c r="R345" s="75"/>
      <c r="S345" s="38">
        <f t="shared" si="28"/>
        <v>0</v>
      </c>
    </row>
    <row r="346" spans="1:19" ht="19.95" customHeight="1">
      <c r="A346" s="333">
        <v>45989</v>
      </c>
      <c r="B346" s="106"/>
      <c r="C346" s="106"/>
      <c r="D346" s="36">
        <f t="shared" si="25"/>
        <v>0</v>
      </c>
      <c r="E346" s="106"/>
      <c r="F346" s="106"/>
      <c r="G346" s="36">
        <f t="shared" si="26"/>
        <v>0</v>
      </c>
      <c r="H346" s="75"/>
      <c r="I346" s="106"/>
      <c r="J346" s="73"/>
      <c r="K346" s="75"/>
      <c r="L346" s="36">
        <f t="shared" si="29"/>
        <v>0</v>
      </c>
      <c r="M346" s="106"/>
      <c r="N346" s="73"/>
      <c r="O346" s="106"/>
      <c r="P346" s="73"/>
      <c r="Q346" s="36">
        <f t="shared" si="27"/>
        <v>0</v>
      </c>
      <c r="R346" s="75"/>
      <c r="S346" s="38">
        <f t="shared" si="28"/>
        <v>0</v>
      </c>
    </row>
    <row r="347" spans="1:19" ht="19.95" customHeight="1">
      <c r="A347" s="333">
        <v>45990</v>
      </c>
      <c r="B347" s="106"/>
      <c r="C347" s="106"/>
      <c r="D347" s="36">
        <f t="shared" si="25"/>
        <v>0</v>
      </c>
      <c r="E347" s="106"/>
      <c r="F347" s="106"/>
      <c r="G347" s="36">
        <f t="shared" si="26"/>
        <v>0</v>
      </c>
      <c r="H347" s="75"/>
      <c r="I347" s="106"/>
      <c r="J347" s="73"/>
      <c r="K347" s="75"/>
      <c r="L347" s="36">
        <f t="shared" si="29"/>
        <v>0</v>
      </c>
      <c r="M347" s="106"/>
      <c r="N347" s="73"/>
      <c r="O347" s="106"/>
      <c r="P347" s="73"/>
      <c r="Q347" s="36">
        <f t="shared" si="27"/>
        <v>0</v>
      </c>
      <c r="R347" s="75"/>
      <c r="S347" s="38">
        <f t="shared" si="28"/>
        <v>0</v>
      </c>
    </row>
    <row r="348" spans="1:19" ht="19.95" customHeight="1">
      <c r="A348" s="333">
        <v>45991</v>
      </c>
      <c r="B348" s="106"/>
      <c r="C348" s="106"/>
      <c r="D348" s="36">
        <f t="shared" si="25"/>
        <v>0</v>
      </c>
      <c r="E348" s="106"/>
      <c r="F348" s="106"/>
      <c r="G348" s="36">
        <f t="shared" si="26"/>
        <v>0</v>
      </c>
      <c r="H348" s="75"/>
      <c r="I348" s="106"/>
      <c r="J348" s="73"/>
      <c r="K348" s="75"/>
      <c r="L348" s="36">
        <f t="shared" si="29"/>
        <v>0</v>
      </c>
      <c r="M348" s="106"/>
      <c r="N348" s="73"/>
      <c r="O348" s="106"/>
      <c r="P348" s="73"/>
      <c r="Q348" s="36">
        <f t="shared" si="27"/>
        <v>0</v>
      </c>
      <c r="R348" s="75"/>
      <c r="S348" s="38">
        <f t="shared" si="28"/>
        <v>0</v>
      </c>
    </row>
    <row r="349" spans="1:19" ht="19.95" customHeight="1">
      <c r="A349" s="333">
        <v>45992</v>
      </c>
      <c r="B349" s="106"/>
      <c r="C349" s="106"/>
      <c r="D349" s="36">
        <f t="shared" si="25"/>
        <v>0</v>
      </c>
      <c r="E349" s="106"/>
      <c r="F349" s="106"/>
      <c r="G349" s="36">
        <f t="shared" si="26"/>
        <v>0</v>
      </c>
      <c r="H349" s="75"/>
      <c r="I349" s="106"/>
      <c r="J349" s="73"/>
      <c r="K349" s="75"/>
      <c r="L349" s="36">
        <f t="shared" si="29"/>
        <v>0</v>
      </c>
      <c r="M349" s="106"/>
      <c r="N349" s="73"/>
      <c r="O349" s="106"/>
      <c r="P349" s="73"/>
      <c r="Q349" s="36">
        <f t="shared" si="27"/>
        <v>0</v>
      </c>
      <c r="R349" s="75"/>
      <c r="S349" s="38">
        <f t="shared" si="28"/>
        <v>0</v>
      </c>
    </row>
    <row r="350" spans="1:19" ht="19.95" customHeight="1">
      <c r="A350" s="333">
        <v>45993</v>
      </c>
      <c r="B350" s="106"/>
      <c r="C350" s="106"/>
      <c r="D350" s="36">
        <f t="shared" si="25"/>
        <v>0</v>
      </c>
      <c r="E350" s="106"/>
      <c r="F350" s="106"/>
      <c r="G350" s="36">
        <f t="shared" si="26"/>
        <v>0</v>
      </c>
      <c r="H350" s="75"/>
      <c r="I350" s="106"/>
      <c r="J350" s="73"/>
      <c r="K350" s="75"/>
      <c r="L350" s="36">
        <f t="shared" si="29"/>
        <v>0</v>
      </c>
      <c r="M350" s="106"/>
      <c r="N350" s="73"/>
      <c r="O350" s="106"/>
      <c r="P350" s="73"/>
      <c r="Q350" s="36">
        <f t="shared" si="27"/>
        <v>0</v>
      </c>
      <c r="R350" s="75"/>
      <c r="S350" s="38">
        <f t="shared" si="28"/>
        <v>0</v>
      </c>
    </row>
    <row r="351" spans="1:19" ht="19.95" customHeight="1">
      <c r="A351" s="333">
        <v>45994</v>
      </c>
      <c r="B351" s="106"/>
      <c r="C351" s="106"/>
      <c r="D351" s="36">
        <f t="shared" si="25"/>
        <v>0</v>
      </c>
      <c r="E351" s="106"/>
      <c r="F351" s="106"/>
      <c r="G351" s="36">
        <f t="shared" si="26"/>
        <v>0</v>
      </c>
      <c r="H351" s="75"/>
      <c r="I351" s="106"/>
      <c r="J351" s="73"/>
      <c r="K351" s="75"/>
      <c r="L351" s="36">
        <f t="shared" si="29"/>
        <v>0</v>
      </c>
      <c r="M351" s="106"/>
      <c r="N351" s="73"/>
      <c r="O351" s="106"/>
      <c r="P351" s="73"/>
      <c r="Q351" s="36">
        <f t="shared" si="27"/>
        <v>0</v>
      </c>
      <c r="R351" s="75"/>
      <c r="S351" s="38">
        <f t="shared" si="28"/>
        <v>0</v>
      </c>
    </row>
    <row r="352" spans="1:19" ht="19.95" customHeight="1">
      <c r="A352" s="333">
        <v>45995</v>
      </c>
      <c r="B352" s="106"/>
      <c r="C352" s="106"/>
      <c r="D352" s="36">
        <f t="shared" si="25"/>
        <v>0</v>
      </c>
      <c r="E352" s="106"/>
      <c r="F352" s="106"/>
      <c r="G352" s="36">
        <f t="shared" si="26"/>
        <v>0</v>
      </c>
      <c r="H352" s="75"/>
      <c r="I352" s="106"/>
      <c r="J352" s="73"/>
      <c r="K352" s="75"/>
      <c r="L352" s="36">
        <f t="shared" si="29"/>
        <v>0</v>
      </c>
      <c r="M352" s="106"/>
      <c r="N352" s="73"/>
      <c r="O352" s="106"/>
      <c r="P352" s="73"/>
      <c r="Q352" s="36">
        <f t="shared" si="27"/>
        <v>0</v>
      </c>
      <c r="R352" s="75"/>
      <c r="S352" s="38">
        <f t="shared" si="28"/>
        <v>0</v>
      </c>
    </row>
    <row r="353" spans="1:19" ht="19.95" customHeight="1">
      <c r="A353" s="333">
        <v>45996</v>
      </c>
      <c r="B353" s="106"/>
      <c r="C353" s="106"/>
      <c r="D353" s="36">
        <f t="shared" si="25"/>
        <v>0</v>
      </c>
      <c r="E353" s="106"/>
      <c r="F353" s="106"/>
      <c r="G353" s="36">
        <f t="shared" si="26"/>
        <v>0</v>
      </c>
      <c r="H353" s="75"/>
      <c r="I353" s="106"/>
      <c r="J353" s="73"/>
      <c r="K353" s="75"/>
      <c r="L353" s="36">
        <f t="shared" si="29"/>
        <v>0</v>
      </c>
      <c r="M353" s="106"/>
      <c r="N353" s="73"/>
      <c r="O353" s="106"/>
      <c r="P353" s="73"/>
      <c r="Q353" s="36">
        <f t="shared" si="27"/>
        <v>0</v>
      </c>
      <c r="R353" s="75"/>
      <c r="S353" s="38">
        <f t="shared" si="28"/>
        <v>0</v>
      </c>
    </row>
    <row r="354" spans="1:19" ht="19.95" customHeight="1">
      <c r="A354" s="333">
        <v>45997</v>
      </c>
      <c r="B354" s="106"/>
      <c r="C354" s="106"/>
      <c r="D354" s="36">
        <f t="shared" si="25"/>
        <v>0</v>
      </c>
      <c r="E354" s="106"/>
      <c r="F354" s="106"/>
      <c r="G354" s="36">
        <f t="shared" si="26"/>
        <v>0</v>
      </c>
      <c r="H354" s="75"/>
      <c r="I354" s="106"/>
      <c r="J354" s="73"/>
      <c r="K354" s="75"/>
      <c r="L354" s="36">
        <f t="shared" si="29"/>
        <v>0</v>
      </c>
      <c r="M354" s="106"/>
      <c r="N354" s="73"/>
      <c r="O354" s="106"/>
      <c r="P354" s="73"/>
      <c r="Q354" s="36">
        <f t="shared" si="27"/>
        <v>0</v>
      </c>
      <c r="R354" s="75"/>
      <c r="S354" s="38">
        <f t="shared" si="28"/>
        <v>0</v>
      </c>
    </row>
    <row r="355" spans="1:19" ht="19.95" customHeight="1">
      <c r="A355" s="333">
        <v>45998</v>
      </c>
      <c r="B355" s="106"/>
      <c r="C355" s="106"/>
      <c r="D355" s="36">
        <f t="shared" si="25"/>
        <v>0</v>
      </c>
      <c r="E355" s="106"/>
      <c r="F355" s="106"/>
      <c r="G355" s="36">
        <f t="shared" si="26"/>
        <v>0</v>
      </c>
      <c r="H355" s="75"/>
      <c r="I355" s="106"/>
      <c r="J355" s="73"/>
      <c r="K355" s="75"/>
      <c r="L355" s="36">
        <f t="shared" si="29"/>
        <v>0</v>
      </c>
      <c r="M355" s="106"/>
      <c r="N355" s="73"/>
      <c r="O355" s="106"/>
      <c r="P355" s="73"/>
      <c r="Q355" s="36">
        <f t="shared" si="27"/>
        <v>0</v>
      </c>
      <c r="R355" s="75"/>
      <c r="S355" s="38">
        <f t="shared" si="28"/>
        <v>0</v>
      </c>
    </row>
    <row r="356" spans="1:19" ht="19.95" customHeight="1">
      <c r="A356" s="333">
        <v>45999</v>
      </c>
      <c r="B356" s="106"/>
      <c r="C356" s="106"/>
      <c r="D356" s="36">
        <f t="shared" si="25"/>
        <v>0</v>
      </c>
      <c r="E356" s="106"/>
      <c r="F356" s="106"/>
      <c r="G356" s="36">
        <f t="shared" si="26"/>
        <v>0</v>
      </c>
      <c r="H356" s="75"/>
      <c r="I356" s="106"/>
      <c r="J356" s="73"/>
      <c r="K356" s="75"/>
      <c r="L356" s="36">
        <f t="shared" si="29"/>
        <v>0</v>
      </c>
      <c r="M356" s="106"/>
      <c r="N356" s="73"/>
      <c r="O356" s="106"/>
      <c r="P356" s="73"/>
      <c r="Q356" s="36">
        <f t="shared" si="27"/>
        <v>0</v>
      </c>
      <c r="R356" s="75"/>
      <c r="S356" s="38">
        <f t="shared" si="28"/>
        <v>0</v>
      </c>
    </row>
    <row r="357" spans="1:19" ht="19.95" customHeight="1">
      <c r="A357" s="333">
        <v>46000</v>
      </c>
      <c r="B357" s="106"/>
      <c r="C357" s="106"/>
      <c r="D357" s="36">
        <f t="shared" si="25"/>
        <v>0</v>
      </c>
      <c r="E357" s="106"/>
      <c r="F357" s="106"/>
      <c r="G357" s="36">
        <f t="shared" si="26"/>
        <v>0</v>
      </c>
      <c r="H357" s="75"/>
      <c r="I357" s="106"/>
      <c r="J357" s="73"/>
      <c r="K357" s="75"/>
      <c r="L357" s="36">
        <f t="shared" si="29"/>
        <v>0</v>
      </c>
      <c r="M357" s="106"/>
      <c r="N357" s="73"/>
      <c r="O357" s="106"/>
      <c r="P357" s="73"/>
      <c r="Q357" s="36">
        <f t="shared" si="27"/>
        <v>0</v>
      </c>
      <c r="R357" s="75"/>
      <c r="S357" s="38">
        <f t="shared" si="28"/>
        <v>0</v>
      </c>
    </row>
    <row r="358" spans="1:19" ht="19.95" customHeight="1">
      <c r="A358" s="333">
        <v>46001</v>
      </c>
      <c r="B358" s="106"/>
      <c r="C358" s="106"/>
      <c r="D358" s="36">
        <f t="shared" si="25"/>
        <v>0</v>
      </c>
      <c r="E358" s="106"/>
      <c r="F358" s="106"/>
      <c r="G358" s="36">
        <f t="shared" si="26"/>
        <v>0</v>
      </c>
      <c r="H358" s="75"/>
      <c r="I358" s="106"/>
      <c r="J358" s="73"/>
      <c r="K358" s="75"/>
      <c r="L358" s="36">
        <f t="shared" si="29"/>
        <v>0</v>
      </c>
      <c r="M358" s="106"/>
      <c r="N358" s="73"/>
      <c r="O358" s="106"/>
      <c r="P358" s="73"/>
      <c r="Q358" s="36">
        <f t="shared" si="27"/>
        <v>0</v>
      </c>
      <c r="R358" s="75"/>
      <c r="S358" s="38">
        <f t="shared" si="28"/>
        <v>0</v>
      </c>
    </row>
    <row r="359" spans="1:19" ht="19.95" customHeight="1">
      <c r="A359" s="333">
        <v>46002</v>
      </c>
      <c r="B359" s="106"/>
      <c r="C359" s="106"/>
      <c r="D359" s="36">
        <f t="shared" si="25"/>
        <v>0</v>
      </c>
      <c r="E359" s="106"/>
      <c r="F359" s="106"/>
      <c r="G359" s="36">
        <f t="shared" si="26"/>
        <v>0</v>
      </c>
      <c r="H359" s="75"/>
      <c r="I359" s="106"/>
      <c r="J359" s="73"/>
      <c r="K359" s="75"/>
      <c r="L359" s="36">
        <f t="shared" si="29"/>
        <v>0</v>
      </c>
      <c r="M359" s="106"/>
      <c r="N359" s="73"/>
      <c r="O359" s="106"/>
      <c r="P359" s="73"/>
      <c r="Q359" s="36">
        <f t="shared" si="27"/>
        <v>0</v>
      </c>
      <c r="R359" s="75"/>
      <c r="S359" s="38">
        <f t="shared" si="28"/>
        <v>0</v>
      </c>
    </row>
    <row r="360" spans="1:19" ht="19.95" customHeight="1">
      <c r="A360" s="333">
        <v>46003</v>
      </c>
      <c r="B360" s="106"/>
      <c r="C360" s="106"/>
      <c r="D360" s="36">
        <f t="shared" si="25"/>
        <v>0</v>
      </c>
      <c r="E360" s="106"/>
      <c r="F360" s="106"/>
      <c r="G360" s="36">
        <f t="shared" si="26"/>
        <v>0</v>
      </c>
      <c r="H360" s="75"/>
      <c r="I360" s="106"/>
      <c r="J360" s="73"/>
      <c r="K360" s="75"/>
      <c r="L360" s="36">
        <f t="shared" si="29"/>
        <v>0</v>
      </c>
      <c r="M360" s="106"/>
      <c r="N360" s="73"/>
      <c r="O360" s="106"/>
      <c r="P360" s="73"/>
      <c r="Q360" s="36">
        <f t="shared" si="27"/>
        <v>0</v>
      </c>
      <c r="R360" s="75"/>
      <c r="S360" s="38">
        <f t="shared" si="28"/>
        <v>0</v>
      </c>
    </row>
    <row r="361" spans="1:19" ht="19.95" customHeight="1">
      <c r="A361" s="333">
        <v>46004</v>
      </c>
      <c r="B361" s="106"/>
      <c r="C361" s="106"/>
      <c r="D361" s="36">
        <f t="shared" si="25"/>
        <v>0</v>
      </c>
      <c r="E361" s="106"/>
      <c r="F361" s="106"/>
      <c r="G361" s="36">
        <f t="shared" si="26"/>
        <v>0</v>
      </c>
      <c r="H361" s="75"/>
      <c r="I361" s="106"/>
      <c r="J361" s="73"/>
      <c r="K361" s="75"/>
      <c r="L361" s="36">
        <f t="shared" si="29"/>
        <v>0</v>
      </c>
      <c r="M361" s="106"/>
      <c r="N361" s="73"/>
      <c r="O361" s="106"/>
      <c r="P361" s="73"/>
      <c r="Q361" s="36">
        <f t="shared" si="27"/>
        <v>0</v>
      </c>
      <c r="R361" s="75"/>
      <c r="S361" s="38">
        <f t="shared" si="28"/>
        <v>0</v>
      </c>
    </row>
    <row r="362" spans="1:19" ht="19.95" customHeight="1">
      <c r="A362" s="333">
        <v>46005</v>
      </c>
      <c r="B362" s="106"/>
      <c r="C362" s="106"/>
      <c r="D362" s="36">
        <f t="shared" si="25"/>
        <v>0</v>
      </c>
      <c r="E362" s="106"/>
      <c r="F362" s="106"/>
      <c r="G362" s="36">
        <f t="shared" si="26"/>
        <v>0</v>
      </c>
      <c r="H362" s="75"/>
      <c r="I362" s="106"/>
      <c r="J362" s="73"/>
      <c r="K362" s="75"/>
      <c r="L362" s="36">
        <f t="shared" si="29"/>
        <v>0</v>
      </c>
      <c r="M362" s="106"/>
      <c r="N362" s="73"/>
      <c r="O362" s="106"/>
      <c r="P362" s="73"/>
      <c r="Q362" s="36">
        <f t="shared" si="27"/>
        <v>0</v>
      </c>
      <c r="R362" s="75"/>
      <c r="S362" s="38">
        <f t="shared" si="28"/>
        <v>0</v>
      </c>
    </row>
    <row r="363" spans="1:19" ht="19.95" customHeight="1">
      <c r="A363" s="333">
        <v>46006</v>
      </c>
      <c r="B363" s="106"/>
      <c r="C363" s="106"/>
      <c r="D363" s="36">
        <f t="shared" si="25"/>
        <v>0</v>
      </c>
      <c r="E363" s="106"/>
      <c r="F363" s="106"/>
      <c r="G363" s="36">
        <f t="shared" si="26"/>
        <v>0</v>
      </c>
      <c r="H363" s="75"/>
      <c r="I363" s="106"/>
      <c r="J363" s="73"/>
      <c r="K363" s="75"/>
      <c r="L363" s="36">
        <f t="shared" si="29"/>
        <v>0</v>
      </c>
      <c r="M363" s="106"/>
      <c r="N363" s="73"/>
      <c r="O363" s="106"/>
      <c r="P363" s="73"/>
      <c r="Q363" s="36">
        <f t="shared" si="27"/>
        <v>0</v>
      </c>
      <c r="R363" s="75"/>
      <c r="S363" s="38">
        <f t="shared" si="28"/>
        <v>0</v>
      </c>
    </row>
    <row r="364" spans="1:19" ht="19.95" customHeight="1">
      <c r="A364" s="333">
        <v>46007</v>
      </c>
      <c r="B364" s="106"/>
      <c r="C364" s="106"/>
      <c r="D364" s="36">
        <f t="shared" si="25"/>
        <v>0</v>
      </c>
      <c r="E364" s="106"/>
      <c r="F364" s="106"/>
      <c r="G364" s="36">
        <f t="shared" si="26"/>
        <v>0</v>
      </c>
      <c r="H364" s="75"/>
      <c r="I364" s="106"/>
      <c r="J364" s="73"/>
      <c r="K364" s="75"/>
      <c r="L364" s="36">
        <f t="shared" si="29"/>
        <v>0</v>
      </c>
      <c r="M364" s="106"/>
      <c r="N364" s="73"/>
      <c r="O364" s="106"/>
      <c r="P364" s="73"/>
      <c r="Q364" s="36">
        <f t="shared" si="27"/>
        <v>0</v>
      </c>
      <c r="R364" s="75"/>
      <c r="S364" s="38">
        <f t="shared" si="28"/>
        <v>0</v>
      </c>
    </row>
    <row r="365" spans="1:19" ht="19.95" customHeight="1">
      <c r="A365" s="333">
        <v>46008</v>
      </c>
      <c r="B365" s="106"/>
      <c r="C365" s="106"/>
      <c r="D365" s="36">
        <f t="shared" si="25"/>
        <v>0</v>
      </c>
      <c r="E365" s="106"/>
      <c r="F365" s="106"/>
      <c r="G365" s="36">
        <f t="shared" si="26"/>
        <v>0</v>
      </c>
      <c r="H365" s="75"/>
      <c r="I365" s="106"/>
      <c r="J365" s="73"/>
      <c r="K365" s="75"/>
      <c r="L365" s="36">
        <f t="shared" si="29"/>
        <v>0</v>
      </c>
      <c r="M365" s="106"/>
      <c r="N365" s="73"/>
      <c r="O365" s="106"/>
      <c r="P365" s="73"/>
      <c r="Q365" s="36">
        <f t="shared" si="27"/>
        <v>0</v>
      </c>
      <c r="R365" s="75"/>
      <c r="S365" s="38">
        <f t="shared" si="28"/>
        <v>0</v>
      </c>
    </row>
    <row r="366" spans="1:19" ht="19.95" customHeight="1">
      <c r="A366" s="333">
        <v>46009</v>
      </c>
      <c r="B366" s="106"/>
      <c r="C366" s="106"/>
      <c r="D366" s="36">
        <f t="shared" si="25"/>
        <v>0</v>
      </c>
      <c r="E366" s="106"/>
      <c r="F366" s="106"/>
      <c r="G366" s="36">
        <f t="shared" si="26"/>
        <v>0</v>
      </c>
      <c r="H366" s="75"/>
      <c r="I366" s="106"/>
      <c r="J366" s="73"/>
      <c r="K366" s="75"/>
      <c r="L366" s="36">
        <f t="shared" si="29"/>
        <v>0</v>
      </c>
      <c r="M366" s="106"/>
      <c r="N366" s="73"/>
      <c r="O366" s="106"/>
      <c r="P366" s="73"/>
      <c r="Q366" s="36">
        <f t="shared" si="27"/>
        <v>0</v>
      </c>
      <c r="R366" s="75"/>
      <c r="S366" s="38">
        <f t="shared" si="28"/>
        <v>0</v>
      </c>
    </row>
    <row r="367" spans="1:19" ht="19.95" customHeight="1">
      <c r="A367" s="333">
        <v>46010</v>
      </c>
      <c r="B367" s="106"/>
      <c r="C367" s="106"/>
      <c r="D367" s="36">
        <f t="shared" si="25"/>
        <v>0</v>
      </c>
      <c r="E367" s="106"/>
      <c r="F367" s="106"/>
      <c r="G367" s="36">
        <f t="shared" si="26"/>
        <v>0</v>
      </c>
      <c r="H367" s="75"/>
      <c r="I367" s="106"/>
      <c r="J367" s="73"/>
      <c r="K367" s="75"/>
      <c r="L367" s="36">
        <f t="shared" si="29"/>
        <v>0</v>
      </c>
      <c r="M367" s="106"/>
      <c r="N367" s="73"/>
      <c r="O367" s="106"/>
      <c r="P367" s="73"/>
      <c r="Q367" s="36">
        <f t="shared" ref="Q367:Q379" si="30">(M367*N367+O367*P367)/360</f>
        <v>0</v>
      </c>
      <c r="R367" s="75"/>
      <c r="S367" s="38">
        <f t="shared" si="28"/>
        <v>0</v>
      </c>
    </row>
    <row r="368" spans="1:19" ht="19.95" customHeight="1">
      <c r="A368" s="333">
        <v>46011</v>
      </c>
      <c r="B368" s="106"/>
      <c r="C368" s="106"/>
      <c r="D368" s="36">
        <f t="shared" si="25"/>
        <v>0</v>
      </c>
      <c r="E368" s="106"/>
      <c r="F368" s="106"/>
      <c r="G368" s="36">
        <f t="shared" si="26"/>
        <v>0</v>
      </c>
      <c r="H368" s="75"/>
      <c r="I368" s="106"/>
      <c r="J368" s="73"/>
      <c r="K368" s="75"/>
      <c r="L368" s="36">
        <f t="shared" si="29"/>
        <v>0</v>
      </c>
      <c r="M368" s="106"/>
      <c r="N368" s="73"/>
      <c r="O368" s="106"/>
      <c r="P368" s="73"/>
      <c r="Q368" s="36">
        <f t="shared" si="30"/>
        <v>0</v>
      </c>
      <c r="R368" s="75"/>
      <c r="S368" s="38">
        <f t="shared" si="28"/>
        <v>0</v>
      </c>
    </row>
    <row r="369" spans="1:19" ht="19.95" customHeight="1">
      <c r="A369" s="333">
        <v>46012</v>
      </c>
      <c r="B369" s="106"/>
      <c r="C369" s="106"/>
      <c r="D369" s="36">
        <f t="shared" si="25"/>
        <v>0</v>
      </c>
      <c r="E369" s="106"/>
      <c r="F369" s="106"/>
      <c r="G369" s="36">
        <f t="shared" si="26"/>
        <v>0</v>
      </c>
      <c r="H369" s="75"/>
      <c r="I369" s="106"/>
      <c r="J369" s="73"/>
      <c r="K369" s="75"/>
      <c r="L369" s="36">
        <f t="shared" si="29"/>
        <v>0</v>
      </c>
      <c r="M369" s="106"/>
      <c r="N369" s="73"/>
      <c r="O369" s="106"/>
      <c r="P369" s="73"/>
      <c r="Q369" s="36">
        <f t="shared" si="30"/>
        <v>0</v>
      </c>
      <c r="R369" s="75"/>
      <c r="S369" s="38">
        <f t="shared" si="28"/>
        <v>0</v>
      </c>
    </row>
    <row r="370" spans="1:19" ht="19.95" customHeight="1">
      <c r="A370" s="333">
        <v>46013</v>
      </c>
      <c r="B370" s="106"/>
      <c r="C370" s="106"/>
      <c r="D370" s="36">
        <f t="shared" si="25"/>
        <v>0</v>
      </c>
      <c r="E370" s="106"/>
      <c r="F370" s="106"/>
      <c r="G370" s="36">
        <f t="shared" si="26"/>
        <v>0</v>
      </c>
      <c r="H370" s="75"/>
      <c r="I370" s="106"/>
      <c r="J370" s="73"/>
      <c r="K370" s="75"/>
      <c r="L370" s="36">
        <f t="shared" si="29"/>
        <v>0</v>
      </c>
      <c r="M370" s="106"/>
      <c r="N370" s="73"/>
      <c r="O370" s="106"/>
      <c r="P370" s="73"/>
      <c r="Q370" s="36">
        <f t="shared" si="30"/>
        <v>0</v>
      </c>
      <c r="R370" s="75"/>
      <c r="S370" s="38">
        <f t="shared" si="28"/>
        <v>0</v>
      </c>
    </row>
    <row r="371" spans="1:19" ht="19.95" customHeight="1">
      <c r="A371" s="333">
        <v>46014</v>
      </c>
      <c r="B371" s="106"/>
      <c r="C371" s="106"/>
      <c r="D371" s="36">
        <f t="shared" si="25"/>
        <v>0</v>
      </c>
      <c r="E371" s="106"/>
      <c r="F371" s="106"/>
      <c r="G371" s="36">
        <f t="shared" si="26"/>
        <v>0</v>
      </c>
      <c r="H371" s="75"/>
      <c r="I371" s="106"/>
      <c r="J371" s="73"/>
      <c r="K371" s="75"/>
      <c r="L371" s="36">
        <f t="shared" si="29"/>
        <v>0</v>
      </c>
      <c r="M371" s="106"/>
      <c r="N371" s="73"/>
      <c r="O371" s="106"/>
      <c r="P371" s="73"/>
      <c r="Q371" s="36">
        <f t="shared" si="30"/>
        <v>0</v>
      </c>
      <c r="R371" s="75"/>
      <c r="S371" s="38">
        <f t="shared" si="28"/>
        <v>0</v>
      </c>
    </row>
    <row r="372" spans="1:19" ht="19.95" customHeight="1">
      <c r="A372" s="333">
        <v>46015</v>
      </c>
      <c r="B372" s="106"/>
      <c r="C372" s="106"/>
      <c r="D372" s="36">
        <f t="shared" si="25"/>
        <v>0</v>
      </c>
      <c r="E372" s="106"/>
      <c r="F372" s="106"/>
      <c r="G372" s="36">
        <f t="shared" si="26"/>
        <v>0</v>
      </c>
      <c r="H372" s="75"/>
      <c r="I372" s="106"/>
      <c r="J372" s="73"/>
      <c r="K372" s="75"/>
      <c r="L372" s="36">
        <f t="shared" si="29"/>
        <v>0</v>
      </c>
      <c r="M372" s="106"/>
      <c r="N372" s="73"/>
      <c r="O372" s="106"/>
      <c r="P372" s="73"/>
      <c r="Q372" s="36">
        <f t="shared" si="30"/>
        <v>0</v>
      </c>
      <c r="R372" s="75"/>
      <c r="S372" s="38">
        <f t="shared" si="28"/>
        <v>0</v>
      </c>
    </row>
    <row r="373" spans="1:19" ht="19.95" customHeight="1">
      <c r="A373" s="333">
        <v>46016</v>
      </c>
      <c r="B373" s="106"/>
      <c r="C373" s="106"/>
      <c r="D373" s="36">
        <f t="shared" si="25"/>
        <v>0</v>
      </c>
      <c r="E373" s="106"/>
      <c r="F373" s="106"/>
      <c r="G373" s="36">
        <f t="shared" si="26"/>
        <v>0</v>
      </c>
      <c r="H373" s="75"/>
      <c r="I373" s="106"/>
      <c r="J373" s="73"/>
      <c r="K373" s="75"/>
      <c r="L373" s="36">
        <f t="shared" si="29"/>
        <v>0</v>
      </c>
      <c r="M373" s="106"/>
      <c r="N373" s="73"/>
      <c r="O373" s="106"/>
      <c r="P373" s="73"/>
      <c r="Q373" s="36">
        <f t="shared" si="30"/>
        <v>0</v>
      </c>
      <c r="R373" s="75"/>
      <c r="S373" s="38">
        <f t="shared" si="28"/>
        <v>0</v>
      </c>
    </row>
    <row r="374" spans="1:19" ht="19.95" customHeight="1">
      <c r="A374" s="333">
        <v>46017</v>
      </c>
      <c r="B374" s="106"/>
      <c r="C374" s="106"/>
      <c r="D374" s="36">
        <f t="shared" si="25"/>
        <v>0</v>
      </c>
      <c r="E374" s="106"/>
      <c r="F374" s="106"/>
      <c r="G374" s="36">
        <f t="shared" si="26"/>
        <v>0</v>
      </c>
      <c r="H374" s="75"/>
      <c r="I374" s="106"/>
      <c r="J374" s="73"/>
      <c r="K374" s="75"/>
      <c r="L374" s="36">
        <f t="shared" si="29"/>
        <v>0</v>
      </c>
      <c r="M374" s="106"/>
      <c r="N374" s="73"/>
      <c r="O374" s="106"/>
      <c r="P374" s="73"/>
      <c r="Q374" s="36">
        <f t="shared" si="30"/>
        <v>0</v>
      </c>
      <c r="R374" s="75"/>
      <c r="S374" s="38">
        <f t="shared" si="28"/>
        <v>0</v>
      </c>
    </row>
    <row r="375" spans="1:19" ht="19.95" customHeight="1">
      <c r="A375" s="333">
        <v>46018</v>
      </c>
      <c r="B375" s="106"/>
      <c r="C375" s="106"/>
      <c r="D375" s="36">
        <f t="shared" si="25"/>
        <v>0</v>
      </c>
      <c r="E375" s="106"/>
      <c r="F375" s="106"/>
      <c r="G375" s="36">
        <f t="shared" si="26"/>
        <v>0</v>
      </c>
      <c r="H375" s="75"/>
      <c r="I375" s="106"/>
      <c r="J375" s="73"/>
      <c r="K375" s="75"/>
      <c r="L375" s="36">
        <f t="shared" si="29"/>
        <v>0</v>
      </c>
      <c r="M375" s="106"/>
      <c r="N375" s="73"/>
      <c r="O375" s="106"/>
      <c r="P375" s="73"/>
      <c r="Q375" s="36">
        <f t="shared" si="30"/>
        <v>0</v>
      </c>
      <c r="R375" s="75"/>
      <c r="S375" s="38">
        <f t="shared" si="28"/>
        <v>0</v>
      </c>
    </row>
    <row r="376" spans="1:19" ht="19.95" customHeight="1">
      <c r="A376" s="333">
        <v>46019</v>
      </c>
      <c r="B376" s="106"/>
      <c r="C376" s="106"/>
      <c r="D376" s="36">
        <f t="shared" si="25"/>
        <v>0</v>
      </c>
      <c r="E376" s="106"/>
      <c r="F376" s="106"/>
      <c r="G376" s="36">
        <f t="shared" si="26"/>
        <v>0</v>
      </c>
      <c r="H376" s="75"/>
      <c r="I376" s="106"/>
      <c r="J376" s="73"/>
      <c r="K376" s="75"/>
      <c r="L376" s="36">
        <f t="shared" si="29"/>
        <v>0</v>
      </c>
      <c r="M376" s="106"/>
      <c r="N376" s="73"/>
      <c r="O376" s="106"/>
      <c r="P376" s="73"/>
      <c r="Q376" s="36">
        <f t="shared" si="30"/>
        <v>0</v>
      </c>
      <c r="R376" s="75"/>
      <c r="S376" s="38">
        <f t="shared" si="28"/>
        <v>0</v>
      </c>
    </row>
    <row r="377" spans="1:19" ht="19.95" customHeight="1">
      <c r="A377" s="333">
        <v>46020</v>
      </c>
      <c r="B377" s="106"/>
      <c r="C377" s="106"/>
      <c r="D377" s="36">
        <f t="shared" si="25"/>
        <v>0</v>
      </c>
      <c r="E377" s="106"/>
      <c r="F377" s="106"/>
      <c r="G377" s="36">
        <f t="shared" si="26"/>
        <v>0</v>
      </c>
      <c r="H377" s="75"/>
      <c r="I377" s="106"/>
      <c r="J377" s="73"/>
      <c r="K377" s="75"/>
      <c r="L377" s="36">
        <f t="shared" si="29"/>
        <v>0</v>
      </c>
      <c r="M377" s="106"/>
      <c r="N377" s="73"/>
      <c r="O377" s="106"/>
      <c r="P377" s="73"/>
      <c r="Q377" s="36">
        <f t="shared" si="30"/>
        <v>0</v>
      </c>
      <c r="R377" s="75"/>
      <c r="S377" s="38">
        <f t="shared" si="28"/>
        <v>0</v>
      </c>
    </row>
    <row r="378" spans="1:19" ht="19.95" customHeight="1">
      <c r="A378" s="333">
        <v>46021</v>
      </c>
      <c r="B378" s="106"/>
      <c r="C378" s="106"/>
      <c r="D378" s="36">
        <f t="shared" si="25"/>
        <v>0</v>
      </c>
      <c r="E378" s="106"/>
      <c r="F378" s="106"/>
      <c r="G378" s="36">
        <f t="shared" si="26"/>
        <v>0</v>
      </c>
      <c r="H378" s="75"/>
      <c r="I378" s="106"/>
      <c r="J378" s="73"/>
      <c r="K378" s="75"/>
      <c r="L378" s="36">
        <f t="shared" si="29"/>
        <v>0</v>
      </c>
      <c r="M378" s="106"/>
      <c r="N378" s="73"/>
      <c r="O378" s="106"/>
      <c r="P378" s="73"/>
      <c r="Q378" s="36">
        <f t="shared" si="30"/>
        <v>0</v>
      </c>
      <c r="R378" s="75"/>
      <c r="S378" s="38">
        <f t="shared" si="28"/>
        <v>0</v>
      </c>
    </row>
    <row r="379" spans="1:19" ht="19.95" customHeight="1">
      <c r="A379" s="333">
        <v>46022</v>
      </c>
      <c r="B379" s="106"/>
      <c r="C379" s="106"/>
      <c r="D379" s="36">
        <f t="shared" si="25"/>
        <v>0</v>
      </c>
      <c r="E379" s="106"/>
      <c r="F379" s="106"/>
      <c r="G379" s="36">
        <f t="shared" si="26"/>
        <v>0</v>
      </c>
      <c r="H379" s="75"/>
      <c r="I379" s="106"/>
      <c r="J379" s="73"/>
      <c r="K379" s="75"/>
      <c r="L379" s="36">
        <f t="shared" si="29"/>
        <v>0</v>
      </c>
      <c r="M379" s="106"/>
      <c r="N379" s="73"/>
      <c r="O379" s="106"/>
      <c r="P379" s="73"/>
      <c r="Q379" s="36">
        <f t="shared" si="30"/>
        <v>0</v>
      </c>
      <c r="R379" s="75"/>
      <c r="S379" s="38">
        <f t="shared" si="28"/>
        <v>0</v>
      </c>
    </row>
    <row r="380" spans="1:19" ht="19.95" customHeight="1">
      <c r="A380" s="38" t="s">
        <v>74</v>
      </c>
      <c r="B380" s="36" t="s">
        <v>39</v>
      </c>
      <c r="C380" s="36" t="s">
        <v>39</v>
      </c>
      <c r="D380" s="36">
        <f>SUM(D15:D379)</f>
        <v>0</v>
      </c>
      <c r="E380" s="36" t="s">
        <v>39</v>
      </c>
      <c r="F380" s="36" t="s">
        <v>39</v>
      </c>
      <c r="G380" s="36">
        <f>SUM(G15:G379)</f>
        <v>0</v>
      </c>
      <c r="H380" s="36" t="s">
        <v>39</v>
      </c>
      <c r="I380" s="36" t="s">
        <v>39</v>
      </c>
      <c r="J380" s="36" t="s">
        <v>39</v>
      </c>
      <c r="K380" s="36" t="s">
        <v>39</v>
      </c>
      <c r="L380" s="36">
        <f>SUM(L15:L379)</f>
        <v>0</v>
      </c>
      <c r="M380" s="36" t="s">
        <v>39</v>
      </c>
      <c r="N380" s="36" t="s">
        <v>39</v>
      </c>
      <c r="O380" s="36" t="s">
        <v>39</v>
      </c>
      <c r="P380" s="36" t="s">
        <v>39</v>
      </c>
      <c r="Q380" s="36">
        <f>SUM(Q15:Q379)</f>
        <v>0</v>
      </c>
      <c r="R380" s="36" t="s">
        <v>39</v>
      </c>
      <c r="S380" s="38">
        <f>SUM(S15:S379)</f>
        <v>0</v>
      </c>
    </row>
    <row r="382" spans="1:19" ht="19.95" customHeight="1">
      <c r="A382" s="6" t="s">
        <v>34</v>
      </c>
    </row>
    <row r="383" spans="1:19" ht="19.95" customHeight="1">
      <c r="B383" s="61" t="s">
        <v>75</v>
      </c>
    </row>
    <row r="384" spans="1:19" ht="19.95" customHeight="1">
      <c r="A384" s="75" t="s">
        <v>76</v>
      </c>
      <c r="B384" s="38">
        <f>S380</f>
        <v>0</v>
      </c>
    </row>
    <row r="385" spans="1:2" ht="19.95" customHeight="1">
      <c r="A385" s="75" t="s">
        <v>77</v>
      </c>
      <c r="B385" s="75"/>
    </row>
    <row r="386" spans="1:2" ht="19.95" customHeight="1">
      <c r="A386" s="75" t="s">
        <v>78</v>
      </c>
      <c r="B386" s="38">
        <f>B384-B385</f>
        <v>0</v>
      </c>
    </row>
    <row r="389" spans="1:2" ht="19.95" customHeight="1">
      <c r="A389" s="77" t="s">
        <v>79</v>
      </c>
    </row>
  </sheetData>
  <mergeCells count="25">
    <mergeCell ref="A1:S1"/>
    <mergeCell ref="A2:S2"/>
    <mergeCell ref="A11:A14"/>
    <mergeCell ref="B11:H11"/>
    <mergeCell ref="I11:L11"/>
    <mergeCell ref="H12:H14"/>
    <mergeCell ref="S12:S14"/>
    <mergeCell ref="B12:D12"/>
    <mergeCell ref="B13:C13"/>
    <mergeCell ref="E12:G12"/>
    <mergeCell ref="E13:F13"/>
    <mergeCell ref="I12:K12"/>
    <mergeCell ref="L12:L14"/>
    <mergeCell ref="M11:R11"/>
    <mergeCell ref="R12:R14"/>
    <mergeCell ref="I13:I14"/>
    <mergeCell ref="J13:J14"/>
    <mergeCell ref="K13:K14"/>
    <mergeCell ref="M13:M14"/>
    <mergeCell ref="Q12:Q14"/>
    <mergeCell ref="O13:O14"/>
    <mergeCell ref="P13:P14"/>
    <mergeCell ref="N13:N14"/>
    <mergeCell ref="M12:N12"/>
    <mergeCell ref="O12:P12"/>
  </mergeCells>
  <phoneticPr fontId="14" type="noConversion"/>
  <hyperlinks>
    <hyperlink ref="S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colBreaks count="1" manualBreakCount="1">
    <brk id="19" max="384"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24"/>
  <sheetViews>
    <sheetView view="pageBreakPreview" zoomScaleSheetLayoutView="100" workbookViewId="0">
      <selection sqref="A1:P1"/>
    </sheetView>
  </sheetViews>
  <sheetFormatPr defaultColWidth="9" defaultRowHeight="19.95" customHeight="1"/>
  <cols>
    <col min="1" max="1" width="8" style="13" customWidth="1"/>
    <col min="2" max="2" width="11" style="13" customWidth="1"/>
    <col min="3" max="3" width="12.88671875" style="13" customWidth="1"/>
    <col min="4" max="4" width="12.109375" style="13" customWidth="1"/>
    <col min="5" max="5" width="11.33203125" style="13" customWidth="1"/>
    <col min="6" max="6" width="12.21875" style="13" customWidth="1"/>
    <col min="7" max="7" width="11.6640625" style="13" customWidth="1"/>
    <col min="8" max="8" width="9.88671875" style="13" customWidth="1"/>
    <col min="9" max="9" width="9.21875" style="13" customWidth="1"/>
    <col min="10" max="10" width="12.109375" style="13" customWidth="1"/>
    <col min="11" max="11" width="11.109375" style="13" customWidth="1"/>
    <col min="12" max="12" width="10.44140625" style="13" customWidth="1"/>
    <col min="13" max="14" width="8.5546875" style="13" customWidth="1"/>
    <col min="15" max="15" width="9.33203125" style="13" customWidth="1"/>
    <col min="16" max="16" width="11.33203125" style="13" customWidth="1"/>
    <col min="17" max="16384" width="9" style="13"/>
  </cols>
  <sheetData>
    <row r="1" spans="1:17" s="20" customFormat="1" ht="19.95" customHeight="1">
      <c r="A1" s="365" t="s">
        <v>0</v>
      </c>
      <c r="B1" s="365"/>
      <c r="C1" s="365"/>
      <c r="D1" s="365"/>
      <c r="E1" s="365"/>
      <c r="F1" s="365"/>
      <c r="G1" s="365"/>
      <c r="H1" s="365"/>
      <c r="I1" s="365"/>
      <c r="J1" s="365"/>
      <c r="K1" s="365"/>
      <c r="L1" s="365"/>
      <c r="M1" s="365"/>
      <c r="N1" s="365"/>
      <c r="O1" s="365"/>
      <c r="P1" s="365"/>
    </row>
    <row r="2" spans="1:17" s="20" customFormat="1" ht="19.95" customHeight="1">
      <c r="A2" s="361" t="s">
        <v>250</v>
      </c>
      <c r="B2" s="361"/>
      <c r="C2" s="361"/>
      <c r="D2" s="361"/>
      <c r="E2" s="361"/>
      <c r="F2" s="361"/>
      <c r="G2" s="361"/>
      <c r="H2" s="361"/>
      <c r="I2" s="361"/>
      <c r="J2" s="361"/>
      <c r="K2" s="361"/>
      <c r="L2" s="361"/>
      <c r="M2" s="361"/>
      <c r="N2" s="361"/>
      <c r="O2" s="361"/>
      <c r="P2" s="361"/>
    </row>
    <row r="3" spans="1:17" s="3" customFormat="1" ht="19.95" customHeight="1">
      <c r="A3" s="2" t="str">
        <f>[1]底稿目录!A2</f>
        <v>被审计单位：ABC公司</v>
      </c>
      <c r="B3" s="116"/>
      <c r="C3" s="116"/>
      <c r="D3" s="116"/>
      <c r="E3" s="4" t="str">
        <f>[1]底稿目录!A4</f>
        <v>编制人：张XX</v>
      </c>
      <c r="J3" s="2" t="str">
        <f>[1]底稿目录!A5</f>
        <v>编制日期：2025-4-1</v>
      </c>
      <c r="P3" s="8" t="s">
        <v>251</v>
      </c>
      <c r="Q3" s="303" t="str">
        <f>底稿目录!F9</f>
        <v>E1-31</v>
      </c>
    </row>
    <row r="4" spans="1:17" s="3" customFormat="1" ht="19.95" customHeight="1">
      <c r="A4" s="2" t="str">
        <f>[1]底稿目录!A3</f>
        <v>截止日：202X年12月31日</v>
      </c>
      <c r="B4" s="116"/>
      <c r="C4" s="116"/>
      <c r="D4" s="116"/>
      <c r="E4" s="4" t="str">
        <f>[1]底稿目录!A6</f>
        <v>复核人：李XX</v>
      </c>
      <c r="J4" s="2" t="str">
        <f>[1]底稿目录!A7</f>
        <v>复核日期：2025-5-1</v>
      </c>
      <c r="P4" s="8" t="s">
        <v>252</v>
      </c>
    </row>
    <row r="5" spans="1:17" s="3" customFormat="1" ht="19.95" customHeight="1">
      <c r="A5" s="6" t="s">
        <v>253</v>
      </c>
      <c r="C5" s="116"/>
      <c r="D5" s="116"/>
      <c r="E5" s="116"/>
      <c r="H5" s="116"/>
      <c r="K5" s="8"/>
    </row>
    <row r="6" spans="1:17" s="3" customFormat="1" ht="19.95" customHeight="1">
      <c r="A6" s="225" t="s">
        <v>431</v>
      </c>
      <c r="B6" s="116"/>
      <c r="C6" s="116"/>
      <c r="D6" s="116"/>
      <c r="E6" s="116"/>
      <c r="H6" s="116"/>
      <c r="K6" s="8"/>
    </row>
    <row r="7" spans="1:17" s="3" customFormat="1" ht="19.95" customHeight="1">
      <c r="A7" s="225" t="s">
        <v>430</v>
      </c>
      <c r="B7" s="225"/>
      <c r="C7" s="225"/>
      <c r="D7" s="225"/>
      <c r="E7" s="225"/>
      <c r="H7" s="225"/>
      <c r="K7" s="8"/>
    </row>
    <row r="8" spans="1:17" s="3" customFormat="1" ht="19.95" customHeight="1">
      <c r="A8" s="6" t="s">
        <v>254</v>
      </c>
      <c r="C8" s="204"/>
      <c r="D8" s="230"/>
      <c r="E8" s="230"/>
      <c r="F8" s="230"/>
      <c r="G8" s="230"/>
      <c r="H8" s="230"/>
      <c r="I8" s="230"/>
      <c r="J8" s="230"/>
      <c r="K8" s="230"/>
      <c r="L8" s="230"/>
      <c r="M8" s="230"/>
      <c r="N8" s="230"/>
      <c r="O8" s="230"/>
      <c r="P8" s="230"/>
    </row>
    <row r="9" spans="1:17" s="3" customFormat="1" ht="19.95" customHeight="1">
      <c r="A9" s="204" t="s">
        <v>427</v>
      </c>
      <c r="C9" s="204"/>
      <c r="D9" s="230"/>
      <c r="E9" s="230"/>
      <c r="F9" s="230"/>
      <c r="G9" s="230"/>
      <c r="H9" s="230"/>
      <c r="I9" s="230"/>
      <c r="J9" s="230"/>
      <c r="K9" s="230"/>
      <c r="L9" s="230"/>
      <c r="M9" s="230"/>
      <c r="N9" s="230"/>
      <c r="O9" s="230"/>
      <c r="P9" s="230"/>
    </row>
    <row r="10" spans="1:17" s="3" customFormat="1" ht="19.95" customHeight="1">
      <c r="A10" s="271" t="s">
        <v>309</v>
      </c>
    </row>
    <row r="11" spans="1:17" s="3" customFormat="1" ht="19.95" customHeight="1">
      <c r="A11" s="232" t="s">
        <v>310</v>
      </c>
      <c r="B11" s="233"/>
      <c r="C11" s="233"/>
      <c r="D11" s="233"/>
      <c r="E11" s="233"/>
      <c r="F11" s="233"/>
      <c r="G11" s="233"/>
      <c r="H11" s="233"/>
      <c r="I11" s="233"/>
      <c r="J11" s="233"/>
      <c r="K11" s="234"/>
      <c r="L11" s="234"/>
      <c r="M11" s="234"/>
      <c r="N11" s="234"/>
      <c r="O11" s="234"/>
      <c r="P11" s="234"/>
      <c r="Q11" s="235"/>
    </row>
    <row r="12" spans="1:17" s="3" customFormat="1" ht="36.6" customHeight="1">
      <c r="A12" s="420" t="s">
        <v>311</v>
      </c>
      <c r="B12" s="421"/>
      <c r="C12" s="421"/>
      <c r="D12" s="421"/>
      <c r="E12" s="421"/>
      <c r="F12" s="421"/>
      <c r="G12" s="421"/>
      <c r="H12" s="421"/>
      <c r="I12" s="421"/>
      <c r="J12" s="421"/>
      <c r="K12" s="421"/>
      <c r="L12" s="421"/>
      <c r="M12" s="421"/>
      <c r="N12" s="421"/>
      <c r="O12" s="421"/>
      <c r="P12" s="421"/>
      <c r="Q12" s="311"/>
    </row>
    <row r="13" spans="1:17" s="3" customFormat="1" ht="19.95" customHeight="1">
      <c r="A13" s="272" t="s">
        <v>312</v>
      </c>
      <c r="B13" s="6"/>
      <c r="C13" s="6"/>
      <c r="D13" s="272"/>
      <c r="E13" s="272" t="s">
        <v>313</v>
      </c>
      <c r="F13" s="6"/>
      <c r="I13" s="231"/>
      <c r="J13" s="236"/>
      <c r="K13" s="236"/>
      <c r="L13" s="237"/>
      <c r="M13" s="237"/>
      <c r="N13" s="237"/>
      <c r="O13" s="237"/>
      <c r="P13" s="237"/>
    </row>
    <row r="14" spans="1:17" s="3" customFormat="1" ht="19.95" customHeight="1">
      <c r="A14" s="238" t="s">
        <v>335</v>
      </c>
      <c r="I14" s="231"/>
      <c r="J14" s="236"/>
      <c r="K14" s="236"/>
      <c r="L14" s="237"/>
      <c r="M14" s="237"/>
      <c r="N14" s="237"/>
      <c r="O14" s="237"/>
      <c r="P14" s="237"/>
    </row>
    <row r="15" spans="1:17" s="3" customFormat="1" ht="19.95" customHeight="1">
      <c r="A15" s="414" t="s">
        <v>255</v>
      </c>
      <c r="B15" s="416" t="s">
        <v>326</v>
      </c>
      <c r="C15" s="417"/>
      <c r="D15" s="418"/>
      <c r="E15" s="416" t="s">
        <v>336</v>
      </c>
      <c r="F15" s="417"/>
      <c r="G15" s="418"/>
      <c r="H15" s="416" t="s">
        <v>328</v>
      </c>
      <c r="I15" s="418"/>
      <c r="J15" s="416" t="s">
        <v>330</v>
      </c>
      <c r="K15" s="418"/>
      <c r="L15" s="419" t="s">
        <v>256</v>
      </c>
      <c r="M15" s="418"/>
      <c r="N15" s="309"/>
      <c r="O15" s="237"/>
      <c r="P15" s="237"/>
    </row>
    <row r="16" spans="1:17" s="3" customFormat="1" ht="19.95" customHeight="1">
      <c r="A16" s="415"/>
      <c r="B16" s="239" t="s">
        <v>257</v>
      </c>
      <c r="C16" s="239" t="s">
        <v>258</v>
      </c>
      <c r="D16" s="239" t="s">
        <v>256</v>
      </c>
      <c r="E16" s="274" t="s">
        <v>327</v>
      </c>
      <c r="F16" s="274" t="s">
        <v>329</v>
      </c>
      <c r="G16" s="239" t="s">
        <v>259</v>
      </c>
      <c r="H16" s="239" t="s">
        <v>260</v>
      </c>
      <c r="I16" s="239" t="s">
        <v>261</v>
      </c>
      <c r="J16" s="239" t="s">
        <v>262</v>
      </c>
      <c r="K16" s="239" t="s">
        <v>261</v>
      </c>
      <c r="L16" s="239" t="s">
        <v>260</v>
      </c>
      <c r="M16" s="239" t="s">
        <v>263</v>
      </c>
      <c r="N16" s="309"/>
      <c r="O16" s="237"/>
      <c r="P16" s="237"/>
    </row>
    <row r="17" spans="1:17" s="3" customFormat="1" ht="19.95" customHeight="1">
      <c r="A17" s="273" t="s">
        <v>324</v>
      </c>
      <c r="B17" s="241"/>
      <c r="C17" s="241"/>
      <c r="D17" s="241"/>
      <c r="E17" s="241"/>
      <c r="F17" s="241"/>
      <c r="G17" s="241"/>
      <c r="H17" s="242">
        <f>B17-E17</f>
        <v>0</v>
      </c>
      <c r="I17" s="243" t="e">
        <f>H17/B17</f>
        <v>#DIV/0!</v>
      </c>
      <c r="J17" s="242">
        <f>C17-F17</f>
        <v>0</v>
      </c>
      <c r="K17" s="243" t="e">
        <f>J17/C17</f>
        <v>#DIV/0!</v>
      </c>
      <c r="L17" s="242">
        <f>D17-G17</f>
        <v>0</v>
      </c>
      <c r="M17" s="243" t="e">
        <f>L17/D17</f>
        <v>#DIV/0!</v>
      </c>
      <c r="N17" s="310"/>
      <c r="O17" s="237"/>
      <c r="P17" s="237"/>
    </row>
    <row r="18" spans="1:17" s="3" customFormat="1" ht="19.95" customHeight="1">
      <c r="A18" s="273" t="s">
        <v>325</v>
      </c>
      <c r="B18" s="241"/>
      <c r="C18" s="241"/>
      <c r="D18" s="241"/>
      <c r="E18" s="241"/>
      <c r="F18" s="241"/>
      <c r="G18" s="241"/>
      <c r="H18" s="242">
        <f t="shared" ref="H18:H27" si="0">B18-E18</f>
        <v>0</v>
      </c>
      <c r="I18" s="243" t="e">
        <f t="shared" ref="I18:I28" si="1">H18/B18</f>
        <v>#DIV/0!</v>
      </c>
      <c r="J18" s="242">
        <f t="shared" ref="J18:J28" si="2">C18-F18</f>
        <v>0</v>
      </c>
      <c r="K18" s="243" t="e">
        <f t="shared" ref="K18:K28" si="3">J18/C18</f>
        <v>#DIV/0!</v>
      </c>
      <c r="L18" s="242">
        <f t="shared" ref="L18:L28" si="4">D18-G18</f>
        <v>0</v>
      </c>
      <c r="M18" s="243" t="e">
        <f t="shared" ref="M18:M28" si="5">L18/D18</f>
        <v>#DIV/0!</v>
      </c>
      <c r="N18" s="310"/>
      <c r="O18" s="237"/>
    </row>
    <row r="19" spans="1:17" s="3" customFormat="1" ht="19.95" customHeight="1">
      <c r="A19" s="273" t="s">
        <v>314</v>
      </c>
      <c r="B19" s="241"/>
      <c r="C19" s="241"/>
      <c r="D19" s="241"/>
      <c r="E19" s="241"/>
      <c r="F19" s="241"/>
      <c r="G19" s="241"/>
      <c r="H19" s="242">
        <f t="shared" si="0"/>
        <v>0</v>
      </c>
      <c r="I19" s="243" t="e">
        <f t="shared" si="1"/>
        <v>#DIV/0!</v>
      </c>
      <c r="J19" s="242">
        <f t="shared" si="2"/>
        <v>0</v>
      </c>
      <c r="K19" s="243" t="e">
        <f t="shared" si="3"/>
        <v>#DIV/0!</v>
      </c>
      <c r="L19" s="242">
        <f t="shared" si="4"/>
        <v>0</v>
      </c>
      <c r="M19" s="243" t="e">
        <f t="shared" si="5"/>
        <v>#DIV/0!</v>
      </c>
      <c r="N19" s="310"/>
      <c r="O19" s="237"/>
    </row>
    <row r="20" spans="1:17" s="3" customFormat="1" ht="19.95" customHeight="1">
      <c r="A20" s="273" t="s">
        <v>315</v>
      </c>
      <c r="B20" s="241"/>
      <c r="C20" s="241"/>
      <c r="D20" s="241"/>
      <c r="E20" s="241"/>
      <c r="F20" s="241"/>
      <c r="G20" s="241"/>
      <c r="H20" s="242">
        <f t="shared" si="0"/>
        <v>0</v>
      </c>
      <c r="I20" s="243" t="e">
        <f t="shared" si="1"/>
        <v>#DIV/0!</v>
      </c>
      <c r="J20" s="242">
        <f t="shared" si="2"/>
        <v>0</v>
      </c>
      <c r="K20" s="243" t="e">
        <f t="shared" si="3"/>
        <v>#DIV/0!</v>
      </c>
      <c r="L20" s="242">
        <f t="shared" si="4"/>
        <v>0</v>
      </c>
      <c r="M20" s="243" t="e">
        <f>L20/D20</f>
        <v>#DIV/0!</v>
      </c>
      <c r="N20" s="310"/>
      <c r="O20" s="237"/>
    </row>
    <row r="21" spans="1:17" s="3" customFormat="1" ht="19.95" customHeight="1">
      <c r="A21" s="273" t="s">
        <v>316</v>
      </c>
      <c r="B21" s="241"/>
      <c r="C21" s="241"/>
      <c r="D21" s="241"/>
      <c r="E21" s="241"/>
      <c r="F21" s="241"/>
      <c r="G21" s="241"/>
      <c r="H21" s="242">
        <f t="shared" si="0"/>
        <v>0</v>
      </c>
      <c r="I21" s="243" t="e">
        <f t="shared" si="1"/>
        <v>#DIV/0!</v>
      </c>
      <c r="J21" s="242">
        <f t="shared" si="2"/>
        <v>0</v>
      </c>
      <c r="K21" s="243" t="e">
        <f t="shared" si="3"/>
        <v>#DIV/0!</v>
      </c>
      <c r="L21" s="242">
        <f t="shared" si="4"/>
        <v>0</v>
      </c>
      <c r="M21" s="243" t="e">
        <f t="shared" si="5"/>
        <v>#DIV/0!</v>
      </c>
      <c r="N21" s="310"/>
      <c r="O21" s="237"/>
    </row>
    <row r="22" spans="1:17" s="3" customFormat="1" ht="19.95" customHeight="1">
      <c r="A22" s="273" t="s">
        <v>317</v>
      </c>
      <c r="B22" s="241"/>
      <c r="C22" s="241"/>
      <c r="D22" s="241"/>
      <c r="E22" s="241"/>
      <c r="F22" s="241"/>
      <c r="G22" s="241"/>
      <c r="H22" s="242">
        <f t="shared" si="0"/>
        <v>0</v>
      </c>
      <c r="I22" s="243" t="e">
        <f t="shared" si="1"/>
        <v>#DIV/0!</v>
      </c>
      <c r="J22" s="242">
        <f t="shared" si="2"/>
        <v>0</v>
      </c>
      <c r="K22" s="243" t="e">
        <f t="shared" si="3"/>
        <v>#DIV/0!</v>
      </c>
      <c r="L22" s="242">
        <f t="shared" si="4"/>
        <v>0</v>
      </c>
      <c r="M22" s="243" t="e">
        <f t="shared" si="5"/>
        <v>#DIV/0!</v>
      </c>
      <c r="N22" s="310"/>
      <c r="O22" s="237"/>
    </row>
    <row r="23" spans="1:17" s="3" customFormat="1" ht="19.95" customHeight="1">
      <c r="A23" s="273" t="s">
        <v>318</v>
      </c>
      <c r="B23" s="241"/>
      <c r="C23" s="241"/>
      <c r="D23" s="241"/>
      <c r="E23" s="241"/>
      <c r="F23" s="241"/>
      <c r="G23" s="241"/>
      <c r="H23" s="242">
        <f t="shared" si="0"/>
        <v>0</v>
      </c>
      <c r="I23" s="243" t="e">
        <f t="shared" si="1"/>
        <v>#DIV/0!</v>
      </c>
      <c r="J23" s="242">
        <f t="shared" si="2"/>
        <v>0</v>
      </c>
      <c r="K23" s="243" t="e">
        <f t="shared" si="3"/>
        <v>#DIV/0!</v>
      </c>
      <c r="L23" s="242">
        <f>D23-G23</f>
        <v>0</v>
      </c>
      <c r="M23" s="243" t="e">
        <f t="shared" si="5"/>
        <v>#DIV/0!</v>
      </c>
      <c r="N23" s="310"/>
      <c r="O23" s="237"/>
    </row>
    <row r="24" spans="1:17" s="3" customFormat="1" ht="19.95" customHeight="1">
      <c r="A24" s="273" t="s">
        <v>319</v>
      </c>
      <c r="B24" s="241"/>
      <c r="C24" s="241"/>
      <c r="D24" s="241"/>
      <c r="E24" s="241"/>
      <c r="F24" s="241"/>
      <c r="G24" s="241"/>
      <c r="H24" s="242">
        <f t="shared" si="0"/>
        <v>0</v>
      </c>
      <c r="I24" s="243" t="e">
        <f t="shared" si="1"/>
        <v>#DIV/0!</v>
      </c>
      <c r="J24" s="242">
        <f t="shared" si="2"/>
        <v>0</v>
      </c>
      <c r="K24" s="243" t="e">
        <f t="shared" si="3"/>
        <v>#DIV/0!</v>
      </c>
      <c r="L24" s="242">
        <f t="shared" si="4"/>
        <v>0</v>
      </c>
      <c r="M24" s="243" t="e">
        <f t="shared" si="5"/>
        <v>#DIV/0!</v>
      </c>
      <c r="N24" s="310"/>
      <c r="O24" s="237"/>
    </row>
    <row r="25" spans="1:17" s="3" customFormat="1" ht="19.95" customHeight="1">
      <c r="A25" s="273" t="s">
        <v>320</v>
      </c>
      <c r="B25" s="241"/>
      <c r="C25" s="241"/>
      <c r="D25" s="241"/>
      <c r="E25" s="241"/>
      <c r="F25" s="241"/>
      <c r="G25" s="241"/>
      <c r="H25" s="242">
        <f t="shared" si="0"/>
        <v>0</v>
      </c>
      <c r="I25" s="243" t="e">
        <f t="shared" si="1"/>
        <v>#DIV/0!</v>
      </c>
      <c r="J25" s="242">
        <f t="shared" si="2"/>
        <v>0</v>
      </c>
      <c r="K25" s="243" t="e">
        <f t="shared" si="3"/>
        <v>#DIV/0!</v>
      </c>
      <c r="L25" s="242">
        <f t="shared" si="4"/>
        <v>0</v>
      </c>
      <c r="M25" s="243" t="e">
        <f t="shared" si="5"/>
        <v>#DIV/0!</v>
      </c>
      <c r="N25" s="310"/>
      <c r="O25" s="237"/>
    </row>
    <row r="26" spans="1:17" s="3" customFormat="1" ht="19.95" customHeight="1">
      <c r="A26" s="273" t="s">
        <v>321</v>
      </c>
      <c r="B26" s="241"/>
      <c r="C26" s="241"/>
      <c r="D26" s="241"/>
      <c r="E26" s="241"/>
      <c r="F26" s="241"/>
      <c r="G26" s="241"/>
      <c r="H26" s="242">
        <f t="shared" si="0"/>
        <v>0</v>
      </c>
      <c r="I26" s="243" t="e">
        <f t="shared" si="1"/>
        <v>#DIV/0!</v>
      </c>
      <c r="J26" s="242">
        <f t="shared" si="2"/>
        <v>0</v>
      </c>
      <c r="K26" s="243" t="e">
        <f t="shared" si="3"/>
        <v>#DIV/0!</v>
      </c>
      <c r="L26" s="242">
        <f t="shared" si="4"/>
        <v>0</v>
      </c>
      <c r="M26" s="243" t="e">
        <f t="shared" si="5"/>
        <v>#DIV/0!</v>
      </c>
      <c r="N26" s="310"/>
      <c r="O26" s="237"/>
    </row>
    <row r="27" spans="1:17" s="3" customFormat="1" ht="19.95" customHeight="1">
      <c r="A27" s="273" t="s">
        <v>322</v>
      </c>
      <c r="B27" s="241"/>
      <c r="C27" s="241"/>
      <c r="D27" s="241"/>
      <c r="E27" s="241"/>
      <c r="F27" s="241"/>
      <c r="G27" s="241"/>
      <c r="H27" s="242">
        <f t="shared" si="0"/>
        <v>0</v>
      </c>
      <c r="I27" s="243" t="e">
        <f t="shared" si="1"/>
        <v>#DIV/0!</v>
      </c>
      <c r="J27" s="242">
        <f t="shared" si="2"/>
        <v>0</v>
      </c>
      <c r="K27" s="243" t="e">
        <f t="shared" si="3"/>
        <v>#DIV/0!</v>
      </c>
      <c r="L27" s="242">
        <f t="shared" si="4"/>
        <v>0</v>
      </c>
      <c r="M27" s="243" t="e">
        <f t="shared" si="5"/>
        <v>#DIV/0!</v>
      </c>
      <c r="N27" s="310"/>
      <c r="O27" s="237"/>
    </row>
    <row r="28" spans="1:17" s="3" customFormat="1" ht="19.95" customHeight="1">
      <c r="A28" s="273" t="s">
        <v>323</v>
      </c>
      <c r="B28" s="241"/>
      <c r="C28" s="241"/>
      <c r="D28" s="241"/>
      <c r="E28" s="241"/>
      <c r="F28" s="241"/>
      <c r="G28" s="241"/>
      <c r="H28" s="242">
        <f>B28-E28</f>
        <v>0</v>
      </c>
      <c r="I28" s="243" t="e">
        <f t="shared" si="1"/>
        <v>#DIV/0!</v>
      </c>
      <c r="J28" s="242">
        <f t="shared" si="2"/>
        <v>0</v>
      </c>
      <c r="K28" s="243" t="e">
        <f t="shared" si="3"/>
        <v>#DIV/0!</v>
      </c>
      <c r="L28" s="242">
        <f t="shared" si="4"/>
        <v>0</v>
      </c>
      <c r="M28" s="243" t="e">
        <f t="shared" si="5"/>
        <v>#DIV/0!</v>
      </c>
      <c r="N28" s="310"/>
      <c r="O28" s="237"/>
    </row>
    <row r="29" spans="1:17" s="6" customFormat="1" ht="19.95" customHeight="1">
      <c r="A29" s="335" t="s">
        <v>482</v>
      </c>
      <c r="B29" s="336">
        <f>SUM(B17:B28)</f>
        <v>0</v>
      </c>
      <c r="C29" s="336">
        <f>SUM(C17:C28)</f>
        <v>0</v>
      </c>
      <c r="D29" s="336"/>
      <c r="E29" s="336">
        <f>SUM(E17:E28)</f>
        <v>0</v>
      </c>
      <c r="F29" s="336">
        <f>SUM(F17:F28)</f>
        <v>0</v>
      </c>
      <c r="G29" s="336"/>
      <c r="H29" s="337">
        <f>B29-E29</f>
        <v>0</v>
      </c>
      <c r="I29" s="338" t="e">
        <f t="shared" ref="I29" si="6">H29/B29</f>
        <v>#DIV/0!</v>
      </c>
      <c r="J29" s="337">
        <f>C29-F29</f>
        <v>0</v>
      </c>
      <c r="K29" s="338" t="e">
        <f t="shared" ref="K29" si="7">J29/C29</f>
        <v>#DIV/0!</v>
      </c>
      <c r="L29" s="337"/>
      <c r="M29" s="338"/>
      <c r="N29" s="339"/>
      <c r="O29" s="340"/>
    </row>
    <row r="30" spans="1:17" s="3" customFormat="1" ht="19.95" customHeight="1">
      <c r="H30" s="231"/>
      <c r="I30" s="236"/>
      <c r="J30" s="236"/>
      <c r="K30" s="237"/>
      <c r="L30" s="237"/>
      <c r="M30" s="237"/>
      <c r="N30" s="237"/>
      <c r="O30" s="237"/>
    </row>
    <row r="31" spans="1:17" s="3" customFormat="1" ht="19.95" customHeight="1">
      <c r="A31" s="244" t="s">
        <v>340</v>
      </c>
      <c r="E31" s="231"/>
      <c r="F31" s="231" t="s">
        <v>334</v>
      </c>
      <c r="G31" s="231"/>
      <c r="H31" s="238"/>
      <c r="I31" s="231"/>
    </row>
    <row r="32" spans="1:17" s="3" customFormat="1" ht="19.95" customHeight="1">
      <c r="A32" s="406" t="s">
        <v>352</v>
      </c>
      <c r="B32" s="409" t="s">
        <v>264</v>
      </c>
      <c r="C32" s="409"/>
      <c r="D32" s="409"/>
      <c r="E32" s="409"/>
      <c r="F32" s="409"/>
      <c r="G32" s="409"/>
      <c r="H32" s="409"/>
      <c r="I32" s="407" t="s">
        <v>265</v>
      </c>
      <c r="J32" s="407"/>
      <c r="K32" s="407"/>
      <c r="L32" s="407"/>
      <c r="M32" s="409" t="s">
        <v>266</v>
      </c>
      <c r="N32" s="406" t="s">
        <v>447</v>
      </c>
      <c r="O32" s="406" t="s">
        <v>333</v>
      </c>
      <c r="P32" s="406" t="s">
        <v>453</v>
      </c>
      <c r="Q32" s="409" t="s">
        <v>267</v>
      </c>
    </row>
    <row r="33" spans="1:18" s="3" customFormat="1" ht="24" customHeight="1">
      <c r="A33" s="406"/>
      <c r="B33" s="312" t="s">
        <v>451</v>
      </c>
      <c r="C33" s="312" t="s">
        <v>452</v>
      </c>
      <c r="D33" s="312" t="s">
        <v>450</v>
      </c>
      <c r="E33" s="239" t="s">
        <v>270</v>
      </c>
      <c r="F33" s="246" t="s">
        <v>271</v>
      </c>
      <c r="G33" s="246" t="s">
        <v>272</v>
      </c>
      <c r="H33" s="246" t="s">
        <v>273</v>
      </c>
      <c r="I33" s="247" t="s">
        <v>274</v>
      </c>
      <c r="J33" s="275" t="s">
        <v>332</v>
      </c>
      <c r="K33" s="247" t="s">
        <v>275</v>
      </c>
      <c r="L33" s="247" t="s">
        <v>276</v>
      </c>
      <c r="M33" s="409"/>
      <c r="N33" s="406"/>
      <c r="O33" s="406"/>
      <c r="P33" s="406"/>
      <c r="Q33" s="409"/>
      <c r="R33" s="56"/>
    </row>
    <row r="34" spans="1:18" s="255" customFormat="1" ht="19.95" customHeight="1">
      <c r="A34" s="284" t="s">
        <v>344</v>
      </c>
      <c r="B34" s="248"/>
      <c r="C34" s="240"/>
      <c r="D34" s="250"/>
      <c r="E34" s="250"/>
      <c r="F34" s="251"/>
      <c r="G34" s="252"/>
      <c r="H34" s="253"/>
      <c r="I34" s="248"/>
      <c r="J34" s="251"/>
      <c r="K34" s="251"/>
      <c r="L34" s="253"/>
      <c r="M34" s="254"/>
      <c r="N34" s="254"/>
      <c r="O34" s="251"/>
      <c r="P34" s="251"/>
      <c r="Q34" s="251"/>
    </row>
    <row r="35" spans="1:18" s="255" customFormat="1" ht="19.95" customHeight="1">
      <c r="A35" s="284" t="s">
        <v>343</v>
      </c>
      <c r="B35" s="248"/>
      <c r="C35" s="240"/>
      <c r="D35" s="250"/>
      <c r="E35" s="250"/>
      <c r="F35" s="251"/>
      <c r="G35" s="252"/>
      <c r="H35" s="253"/>
      <c r="I35" s="248"/>
      <c r="J35" s="251"/>
      <c r="K35" s="251"/>
      <c r="L35" s="253"/>
      <c r="M35" s="254"/>
      <c r="N35" s="254"/>
      <c r="O35" s="251"/>
      <c r="P35" s="251"/>
      <c r="Q35" s="251"/>
    </row>
    <row r="36" spans="1:18" s="255" customFormat="1" ht="19.95" customHeight="1">
      <c r="A36" s="285" t="s">
        <v>341</v>
      </c>
      <c r="B36" s="248"/>
      <c r="C36" s="240"/>
      <c r="D36" s="250"/>
      <c r="E36" s="250"/>
      <c r="F36" s="251"/>
      <c r="G36" s="252"/>
      <c r="H36" s="253"/>
      <c r="I36" s="248"/>
      <c r="J36" s="251"/>
      <c r="K36" s="251"/>
      <c r="L36" s="253"/>
      <c r="M36" s="254"/>
      <c r="N36" s="254"/>
      <c r="O36" s="251"/>
      <c r="P36" s="251"/>
      <c r="Q36" s="251"/>
    </row>
    <row r="37" spans="1:18" s="255" customFormat="1" ht="19.95" customHeight="1">
      <c r="A37" s="285"/>
      <c r="B37" s="248"/>
      <c r="C37" s="240"/>
      <c r="D37" s="250"/>
      <c r="E37" s="250"/>
      <c r="F37" s="251"/>
      <c r="G37" s="252"/>
      <c r="H37" s="253"/>
      <c r="I37" s="248"/>
      <c r="J37" s="251"/>
      <c r="K37" s="251"/>
      <c r="L37" s="253"/>
      <c r="M37" s="254"/>
      <c r="N37" s="254"/>
      <c r="O37" s="251"/>
      <c r="P37" s="251"/>
      <c r="Q37" s="251"/>
    </row>
    <row r="38" spans="1:18" s="255" customFormat="1" ht="19.95" customHeight="1">
      <c r="A38" s="285"/>
      <c r="B38" s="248"/>
      <c r="C38" s="240"/>
      <c r="D38" s="250"/>
      <c r="E38" s="250"/>
      <c r="F38" s="251"/>
      <c r="G38" s="252"/>
      <c r="H38" s="253"/>
      <c r="I38" s="248"/>
      <c r="J38" s="251"/>
      <c r="K38" s="251"/>
      <c r="L38" s="253"/>
      <c r="M38" s="254"/>
      <c r="N38" s="254"/>
      <c r="O38" s="251"/>
      <c r="P38" s="251"/>
      <c r="Q38" s="251"/>
    </row>
    <row r="39" spans="1:18" s="255" customFormat="1" ht="19.95" customHeight="1">
      <c r="A39" s="285"/>
      <c r="B39" s="248"/>
      <c r="C39" s="240"/>
      <c r="D39" s="250"/>
      <c r="E39" s="250"/>
      <c r="F39" s="251"/>
      <c r="G39" s="252"/>
      <c r="H39" s="253"/>
      <c r="I39" s="248"/>
      <c r="J39" s="251"/>
      <c r="K39" s="251"/>
      <c r="L39" s="253"/>
      <c r="M39" s="254"/>
      <c r="N39" s="254"/>
      <c r="O39" s="251"/>
      <c r="P39" s="251"/>
      <c r="Q39" s="251"/>
    </row>
    <row r="40" spans="1:18" s="255" customFormat="1" ht="19.95" customHeight="1">
      <c r="A40" s="285"/>
      <c r="B40" s="248"/>
      <c r="C40" s="240"/>
      <c r="D40" s="250"/>
      <c r="E40" s="250"/>
      <c r="F40" s="251"/>
      <c r="G40" s="252"/>
      <c r="H40" s="253"/>
      <c r="I40" s="248"/>
      <c r="J40" s="251"/>
      <c r="K40" s="251"/>
      <c r="L40" s="253"/>
      <c r="M40" s="254"/>
      <c r="N40" s="254"/>
      <c r="O40" s="251"/>
      <c r="P40" s="251"/>
      <c r="Q40" s="251"/>
    </row>
    <row r="41" spans="1:18" s="255" customFormat="1" ht="19.95" customHeight="1">
      <c r="A41" s="285"/>
      <c r="B41" s="248"/>
      <c r="C41" s="240"/>
      <c r="D41" s="250"/>
      <c r="E41" s="250"/>
      <c r="F41" s="251"/>
      <c r="G41" s="252"/>
      <c r="H41" s="253"/>
      <c r="I41" s="248"/>
      <c r="J41" s="251"/>
      <c r="K41" s="251"/>
      <c r="L41" s="253"/>
      <c r="M41" s="254"/>
      <c r="N41" s="254"/>
      <c r="O41" s="251"/>
      <c r="P41" s="251"/>
      <c r="Q41" s="251"/>
    </row>
    <row r="42" spans="1:18" s="255" customFormat="1" ht="19.95" customHeight="1">
      <c r="A42" s="285"/>
      <c r="B42" s="248"/>
      <c r="C42" s="240"/>
      <c r="D42" s="250"/>
      <c r="E42" s="250"/>
      <c r="F42" s="251"/>
      <c r="G42" s="252"/>
      <c r="H42" s="253"/>
      <c r="I42" s="248"/>
      <c r="J42" s="251"/>
      <c r="K42" s="251"/>
      <c r="L42" s="253"/>
      <c r="M42" s="254"/>
      <c r="N42" s="254"/>
      <c r="O42" s="251"/>
      <c r="P42" s="251"/>
      <c r="Q42" s="251"/>
    </row>
    <row r="43" spans="1:18" s="255" customFormat="1" ht="19.95" customHeight="1">
      <c r="A43" s="285"/>
      <c r="B43" s="248"/>
      <c r="C43" s="240"/>
      <c r="D43" s="250"/>
      <c r="E43" s="250"/>
      <c r="F43" s="251"/>
      <c r="G43" s="252"/>
      <c r="H43" s="253"/>
      <c r="I43" s="248"/>
      <c r="J43" s="251"/>
      <c r="K43" s="251"/>
      <c r="L43" s="253"/>
      <c r="M43" s="254"/>
      <c r="N43" s="254"/>
      <c r="O43" s="251"/>
      <c r="P43" s="251"/>
      <c r="Q43" s="251"/>
    </row>
    <row r="44" spans="1:18" s="255" customFormat="1" ht="19.95" customHeight="1">
      <c r="A44" s="285"/>
      <c r="B44" s="248"/>
      <c r="C44" s="240"/>
      <c r="D44" s="250"/>
      <c r="E44" s="250"/>
      <c r="F44" s="251"/>
      <c r="G44" s="252"/>
      <c r="H44" s="253"/>
      <c r="I44" s="248"/>
      <c r="J44" s="251"/>
      <c r="K44" s="251"/>
      <c r="L44" s="253"/>
      <c r="M44" s="254"/>
      <c r="N44" s="254"/>
      <c r="O44" s="251"/>
      <c r="P44" s="251"/>
      <c r="Q44" s="251"/>
    </row>
    <row r="45" spans="1:18" s="255" customFormat="1" ht="19.95" customHeight="1">
      <c r="A45" s="285"/>
      <c r="B45" s="248"/>
      <c r="C45" s="240"/>
      <c r="D45" s="250"/>
      <c r="E45" s="250"/>
      <c r="F45" s="251"/>
      <c r="G45" s="252"/>
      <c r="H45" s="253"/>
      <c r="I45" s="248"/>
      <c r="J45" s="251"/>
      <c r="K45" s="251"/>
      <c r="L45" s="253"/>
      <c r="M45" s="254"/>
      <c r="N45" s="254"/>
      <c r="O45" s="251"/>
      <c r="P45" s="251"/>
      <c r="Q45" s="251"/>
    </row>
    <row r="46" spans="1:18" s="255" customFormat="1" ht="19.95" customHeight="1">
      <c r="A46" s="285"/>
      <c r="B46" s="248"/>
      <c r="C46" s="240"/>
      <c r="D46" s="250"/>
      <c r="E46" s="250"/>
      <c r="F46" s="251"/>
      <c r="G46" s="252"/>
      <c r="H46" s="253"/>
      <c r="I46" s="248"/>
      <c r="J46" s="251"/>
      <c r="K46" s="251"/>
      <c r="L46" s="253"/>
      <c r="M46" s="254"/>
      <c r="N46" s="254"/>
      <c r="O46" s="251"/>
      <c r="P46" s="251"/>
      <c r="Q46" s="251"/>
    </row>
    <row r="47" spans="1:18" s="255" customFormat="1" ht="19.95" customHeight="1">
      <c r="A47" s="285"/>
      <c r="B47" s="248"/>
      <c r="C47" s="240"/>
      <c r="D47" s="250"/>
      <c r="E47" s="250"/>
      <c r="F47" s="251"/>
      <c r="G47" s="252"/>
      <c r="H47" s="253"/>
      <c r="I47" s="248"/>
      <c r="J47" s="251"/>
      <c r="K47" s="251"/>
      <c r="L47" s="253"/>
      <c r="M47" s="254"/>
      <c r="N47" s="254"/>
      <c r="O47" s="251"/>
      <c r="P47" s="251"/>
      <c r="Q47" s="251"/>
    </row>
    <row r="48" spans="1:18" s="255" customFormat="1" ht="19.95" customHeight="1">
      <c r="A48" s="285"/>
      <c r="B48" s="248"/>
      <c r="C48" s="240"/>
      <c r="D48" s="250"/>
      <c r="E48" s="250"/>
      <c r="F48" s="251"/>
      <c r="G48" s="252"/>
      <c r="H48" s="253"/>
      <c r="I48" s="248"/>
      <c r="J48" s="251"/>
      <c r="K48" s="251"/>
      <c r="L48" s="253"/>
      <c r="M48" s="254"/>
      <c r="N48" s="254"/>
      <c r="O48" s="251"/>
      <c r="P48" s="251"/>
      <c r="Q48" s="251"/>
    </row>
    <row r="49" spans="1:17" s="255" customFormat="1" ht="19.95" customHeight="1">
      <c r="A49" s="285"/>
      <c r="B49" s="248"/>
      <c r="C49" s="240"/>
      <c r="D49" s="250"/>
      <c r="E49" s="250"/>
      <c r="F49" s="251"/>
      <c r="G49" s="252"/>
      <c r="H49" s="253"/>
      <c r="I49" s="248"/>
      <c r="J49" s="251"/>
      <c r="K49" s="251"/>
      <c r="L49" s="253"/>
      <c r="M49" s="254"/>
      <c r="N49" s="254"/>
      <c r="O49" s="251"/>
      <c r="P49" s="251"/>
      <c r="Q49" s="251"/>
    </row>
    <row r="50" spans="1:17" s="255" customFormat="1" ht="19.95" customHeight="1">
      <c r="A50" s="285"/>
      <c r="B50" s="248"/>
      <c r="C50" s="240"/>
      <c r="D50" s="250"/>
      <c r="E50" s="250"/>
      <c r="F50" s="251"/>
      <c r="G50" s="252"/>
      <c r="H50" s="253"/>
      <c r="I50" s="248"/>
      <c r="J50" s="251"/>
      <c r="K50" s="251"/>
      <c r="L50" s="253"/>
      <c r="M50" s="254"/>
      <c r="N50" s="254"/>
      <c r="O50" s="251"/>
      <c r="P50" s="251"/>
      <c r="Q50" s="251"/>
    </row>
    <row r="51" spans="1:17" s="255" customFormat="1" ht="19.95" customHeight="1">
      <c r="A51" s="285"/>
      <c r="B51" s="248"/>
      <c r="C51" s="240"/>
      <c r="D51" s="250"/>
      <c r="E51" s="250"/>
      <c r="F51" s="251"/>
      <c r="G51" s="252"/>
      <c r="H51" s="253"/>
      <c r="I51" s="248"/>
      <c r="J51" s="251"/>
      <c r="K51" s="251"/>
      <c r="L51" s="253"/>
      <c r="M51" s="254"/>
      <c r="N51" s="254"/>
      <c r="O51" s="251"/>
      <c r="P51" s="251"/>
      <c r="Q51" s="251"/>
    </row>
    <row r="52" spans="1:17" s="255" customFormat="1" ht="19.95" customHeight="1">
      <c r="A52" s="285"/>
      <c r="B52" s="248"/>
      <c r="C52" s="240"/>
      <c r="D52" s="250"/>
      <c r="E52" s="250"/>
      <c r="F52" s="251"/>
      <c r="G52" s="252"/>
      <c r="H52" s="253"/>
      <c r="I52" s="248"/>
      <c r="J52" s="251"/>
      <c r="K52" s="251"/>
      <c r="L52" s="253"/>
      <c r="M52" s="254"/>
      <c r="N52" s="254"/>
      <c r="O52" s="251"/>
      <c r="P52" s="251"/>
      <c r="Q52" s="251"/>
    </row>
    <row r="53" spans="1:17" s="255" customFormat="1" ht="19.95" customHeight="1">
      <c r="A53" s="285"/>
      <c r="B53" s="248"/>
      <c r="C53" s="240"/>
      <c r="D53" s="250"/>
      <c r="E53" s="250"/>
      <c r="F53" s="251"/>
      <c r="G53" s="252"/>
      <c r="H53" s="253"/>
      <c r="I53" s="248"/>
      <c r="J53" s="251"/>
      <c r="K53" s="251"/>
      <c r="L53" s="253"/>
      <c r="M53" s="254"/>
      <c r="N53" s="254"/>
      <c r="O53" s="251"/>
      <c r="P53" s="251"/>
      <c r="Q53" s="251"/>
    </row>
    <row r="54" spans="1:17" s="255" customFormat="1" ht="19.95" customHeight="1">
      <c r="A54" s="285"/>
      <c r="B54" s="248"/>
      <c r="C54" s="240"/>
      <c r="D54" s="250"/>
      <c r="E54" s="250"/>
      <c r="F54" s="251"/>
      <c r="G54" s="252"/>
      <c r="H54" s="253"/>
      <c r="I54" s="248"/>
      <c r="J54" s="251"/>
      <c r="K54" s="251"/>
      <c r="L54" s="253"/>
      <c r="M54" s="254"/>
      <c r="N54" s="254"/>
      <c r="O54" s="251"/>
      <c r="P54" s="251"/>
      <c r="Q54" s="251"/>
    </row>
    <row r="55" spans="1:17" s="3" customFormat="1" ht="19.95" customHeight="1">
      <c r="A55" s="284" t="s">
        <v>342</v>
      </c>
      <c r="B55" s="248"/>
      <c r="C55" s="240"/>
      <c r="D55" s="250"/>
      <c r="E55" s="250"/>
      <c r="F55" s="251"/>
      <c r="G55" s="252"/>
      <c r="H55" s="253"/>
      <c r="I55" s="248"/>
      <c r="J55" s="251"/>
      <c r="K55" s="251"/>
      <c r="L55" s="253"/>
      <c r="M55" s="254"/>
      <c r="N55" s="254"/>
      <c r="O55" s="251"/>
      <c r="P55" s="251"/>
      <c r="Q55" s="251"/>
    </row>
    <row r="56" spans="1:17" s="3" customFormat="1" ht="19.95" customHeight="1">
      <c r="A56" s="248"/>
      <c r="B56" s="248"/>
      <c r="C56" s="240"/>
      <c r="D56" s="250"/>
      <c r="E56" s="250"/>
      <c r="F56" s="251"/>
      <c r="G56" s="252"/>
      <c r="H56" s="253"/>
      <c r="I56" s="248"/>
      <c r="J56" s="251"/>
      <c r="K56" s="251"/>
      <c r="L56" s="253"/>
      <c r="M56" s="254"/>
      <c r="N56" s="254"/>
      <c r="O56" s="251"/>
      <c r="P56" s="251"/>
      <c r="Q56" s="251"/>
    </row>
    <row r="57" spans="1:17" s="3" customFormat="1" ht="19.95" customHeight="1">
      <c r="A57" s="410" t="s">
        <v>337</v>
      </c>
      <c r="B57" s="411"/>
      <c r="C57" s="411"/>
      <c r="D57" s="411"/>
      <c r="E57" s="411"/>
      <c r="F57" s="412"/>
      <c r="G57" s="276">
        <f>SUM(G34:G56)</f>
        <v>0</v>
      </c>
      <c r="H57" s="276">
        <f>SUM(H34:H56)</f>
        <v>0</v>
      </c>
      <c r="I57" s="277"/>
      <c r="J57" s="278"/>
      <c r="K57" s="278"/>
      <c r="L57" s="276">
        <f>SUM(L34:L56)</f>
        <v>0</v>
      </c>
      <c r="M57" s="279"/>
      <c r="N57" s="279"/>
      <c r="O57" s="278"/>
      <c r="P57" s="278"/>
      <c r="Q57" s="278"/>
    </row>
    <row r="58" spans="1:17" s="3" customFormat="1" ht="19.95" customHeight="1"/>
    <row r="59" spans="1:17" s="3" customFormat="1" ht="19.95" customHeight="1">
      <c r="A59" s="238" t="s">
        <v>338</v>
      </c>
      <c r="B59" s="256"/>
      <c r="C59" s="236"/>
      <c r="D59" s="236"/>
      <c r="E59" s="231"/>
      <c r="F59" s="231" t="s">
        <v>334</v>
      </c>
      <c r="G59" s="231"/>
      <c r="H59" s="238"/>
      <c r="I59" s="231"/>
    </row>
    <row r="60" spans="1:17" s="3" customFormat="1" ht="19.95" customHeight="1">
      <c r="A60" s="406" t="s">
        <v>352</v>
      </c>
      <c r="B60" s="407" t="s">
        <v>265</v>
      </c>
      <c r="C60" s="408"/>
      <c r="D60" s="407"/>
      <c r="E60" s="407"/>
      <c r="F60" s="409" t="s">
        <v>277</v>
      </c>
      <c r="G60" s="409"/>
      <c r="H60" s="409"/>
      <c r="I60" s="409"/>
      <c r="J60" s="409"/>
      <c r="K60" s="409"/>
      <c r="L60" s="409"/>
      <c r="M60" s="406" t="s">
        <v>266</v>
      </c>
      <c r="N60" s="406" t="s">
        <v>447</v>
      </c>
      <c r="O60" s="406" t="s">
        <v>333</v>
      </c>
      <c r="P60" s="406" t="s">
        <v>453</v>
      </c>
      <c r="Q60" s="403" t="s">
        <v>278</v>
      </c>
    </row>
    <row r="61" spans="1:17" s="6" customFormat="1" ht="25.8" customHeight="1">
      <c r="A61" s="406"/>
      <c r="B61" s="247" t="s">
        <v>274</v>
      </c>
      <c r="C61" s="275" t="s">
        <v>331</v>
      </c>
      <c r="D61" s="247" t="s">
        <v>275</v>
      </c>
      <c r="E61" s="247" t="s">
        <v>279</v>
      </c>
      <c r="F61" s="245" t="s">
        <v>268</v>
      </c>
      <c r="G61" s="239" t="s">
        <v>269</v>
      </c>
      <c r="H61" s="274" t="s">
        <v>339</v>
      </c>
      <c r="I61" s="239" t="s">
        <v>270</v>
      </c>
      <c r="J61" s="246" t="s">
        <v>280</v>
      </c>
      <c r="K61" s="246" t="s">
        <v>272</v>
      </c>
      <c r="L61" s="246" t="s">
        <v>273</v>
      </c>
      <c r="M61" s="406"/>
      <c r="N61" s="406"/>
      <c r="O61" s="406"/>
      <c r="P61" s="406"/>
      <c r="Q61" s="404"/>
    </row>
    <row r="62" spans="1:17" s="3" customFormat="1" ht="19.95" customHeight="1">
      <c r="A62" s="284" t="s">
        <v>344</v>
      </c>
      <c r="B62" s="248"/>
      <c r="C62" s="249"/>
      <c r="D62" s="249"/>
      <c r="E62" s="253"/>
      <c r="F62" s="248"/>
      <c r="G62" s="240"/>
      <c r="H62" s="280"/>
      <c r="I62" s="280"/>
      <c r="J62" s="251"/>
      <c r="K62" s="253"/>
      <c r="L62" s="253"/>
      <c r="M62" s="254"/>
      <c r="N62" s="254"/>
      <c r="O62" s="251"/>
      <c r="P62" s="251"/>
      <c r="Q62" s="251"/>
    </row>
    <row r="63" spans="1:17" s="3" customFormat="1" ht="19.95" customHeight="1">
      <c r="A63" s="284" t="s">
        <v>343</v>
      </c>
      <c r="B63" s="248"/>
      <c r="C63" s="249"/>
      <c r="D63" s="249"/>
      <c r="E63" s="253"/>
      <c r="F63" s="248"/>
      <c r="G63" s="240"/>
      <c r="H63" s="280"/>
      <c r="I63" s="280"/>
      <c r="J63" s="251"/>
      <c r="K63" s="253"/>
      <c r="L63" s="253"/>
      <c r="M63" s="254"/>
      <c r="N63" s="254"/>
      <c r="O63" s="251"/>
      <c r="P63" s="251"/>
      <c r="Q63" s="251"/>
    </row>
    <row r="64" spans="1:17" s="3" customFormat="1" ht="19.95" customHeight="1">
      <c r="A64" s="285" t="s">
        <v>341</v>
      </c>
      <c r="B64" s="248"/>
      <c r="C64" s="249"/>
      <c r="D64" s="249"/>
      <c r="E64" s="253"/>
      <c r="F64" s="248"/>
      <c r="G64" s="240"/>
      <c r="H64" s="280"/>
      <c r="I64" s="280"/>
      <c r="J64" s="251"/>
      <c r="K64" s="253"/>
      <c r="L64" s="253"/>
      <c r="M64" s="254"/>
      <c r="N64" s="254"/>
      <c r="O64" s="251"/>
      <c r="P64" s="251"/>
      <c r="Q64" s="251"/>
    </row>
    <row r="65" spans="1:17" s="3" customFormat="1" ht="19.95" customHeight="1">
      <c r="A65" s="285"/>
      <c r="B65" s="248"/>
      <c r="C65" s="249"/>
      <c r="D65" s="249"/>
      <c r="E65" s="253"/>
      <c r="F65" s="248"/>
      <c r="G65" s="240"/>
      <c r="H65" s="280"/>
      <c r="I65" s="280"/>
      <c r="J65" s="251"/>
      <c r="K65" s="253"/>
      <c r="L65" s="253"/>
      <c r="M65" s="254"/>
      <c r="N65" s="254"/>
      <c r="O65" s="251"/>
      <c r="P65" s="251"/>
      <c r="Q65" s="251"/>
    </row>
    <row r="66" spans="1:17" s="3" customFormat="1" ht="19.95" customHeight="1">
      <c r="A66" s="285"/>
      <c r="B66" s="248"/>
      <c r="C66" s="249"/>
      <c r="D66" s="249"/>
      <c r="E66" s="253"/>
      <c r="F66" s="248"/>
      <c r="G66" s="240"/>
      <c r="H66" s="280"/>
      <c r="I66" s="280"/>
      <c r="J66" s="251"/>
      <c r="K66" s="253"/>
      <c r="L66" s="253"/>
      <c r="M66" s="254"/>
      <c r="N66" s="254"/>
      <c r="O66" s="251"/>
      <c r="P66" s="251"/>
      <c r="Q66" s="251"/>
    </row>
    <row r="67" spans="1:17" s="3" customFormat="1" ht="19.95" customHeight="1">
      <c r="A67" s="285"/>
      <c r="B67" s="248"/>
      <c r="C67" s="249"/>
      <c r="D67" s="249"/>
      <c r="E67" s="253"/>
      <c r="F67" s="248"/>
      <c r="G67" s="240"/>
      <c r="H67" s="280"/>
      <c r="I67" s="280"/>
      <c r="J67" s="251"/>
      <c r="K67" s="253"/>
      <c r="L67" s="253"/>
      <c r="M67" s="254"/>
      <c r="N67" s="254"/>
      <c r="O67" s="251"/>
      <c r="P67" s="251"/>
      <c r="Q67" s="251"/>
    </row>
    <row r="68" spans="1:17" s="3" customFormat="1" ht="19.95" customHeight="1">
      <c r="A68" s="285"/>
      <c r="B68" s="248"/>
      <c r="C68" s="249"/>
      <c r="D68" s="249"/>
      <c r="E68" s="253"/>
      <c r="F68" s="248"/>
      <c r="G68" s="240"/>
      <c r="H68" s="280"/>
      <c r="I68" s="280"/>
      <c r="J68" s="251"/>
      <c r="K68" s="253"/>
      <c r="L68" s="253"/>
      <c r="M68" s="254"/>
      <c r="N68" s="254"/>
      <c r="O68" s="251"/>
      <c r="P68" s="251"/>
      <c r="Q68" s="251"/>
    </row>
    <row r="69" spans="1:17" s="3" customFormat="1" ht="19.95" customHeight="1">
      <c r="A69" s="285"/>
      <c r="B69" s="248"/>
      <c r="C69" s="249"/>
      <c r="D69" s="249"/>
      <c r="E69" s="253"/>
      <c r="F69" s="248"/>
      <c r="G69" s="240"/>
      <c r="H69" s="280"/>
      <c r="I69" s="280"/>
      <c r="J69" s="251"/>
      <c r="K69" s="253"/>
      <c r="L69" s="253"/>
      <c r="M69" s="254"/>
      <c r="N69" s="254"/>
      <c r="O69" s="251"/>
      <c r="P69" s="251"/>
      <c r="Q69" s="251"/>
    </row>
    <row r="70" spans="1:17" s="3" customFormat="1" ht="19.95" customHeight="1">
      <c r="A70" s="285"/>
      <c r="B70" s="248"/>
      <c r="C70" s="249"/>
      <c r="D70" s="249"/>
      <c r="E70" s="253"/>
      <c r="F70" s="248"/>
      <c r="G70" s="240"/>
      <c r="H70" s="280"/>
      <c r="I70" s="280"/>
      <c r="J70" s="251"/>
      <c r="K70" s="253"/>
      <c r="L70" s="253"/>
      <c r="M70" s="254"/>
      <c r="N70" s="254"/>
      <c r="O70" s="251"/>
      <c r="P70" s="251"/>
      <c r="Q70" s="251"/>
    </row>
    <row r="71" spans="1:17" s="3" customFormat="1" ht="19.95" customHeight="1">
      <c r="A71" s="285"/>
      <c r="B71" s="248"/>
      <c r="C71" s="249"/>
      <c r="D71" s="249"/>
      <c r="E71" s="253"/>
      <c r="F71" s="248"/>
      <c r="G71" s="240"/>
      <c r="H71" s="280"/>
      <c r="I71" s="280"/>
      <c r="J71" s="251"/>
      <c r="K71" s="253"/>
      <c r="L71" s="253"/>
      <c r="M71" s="254"/>
      <c r="N71" s="254"/>
      <c r="O71" s="251"/>
      <c r="P71" s="251"/>
      <c r="Q71" s="251"/>
    </row>
    <row r="72" spans="1:17" s="3" customFormat="1" ht="19.95" customHeight="1">
      <c r="A72" s="285"/>
      <c r="B72" s="248"/>
      <c r="C72" s="249"/>
      <c r="D72" s="249"/>
      <c r="E72" s="253"/>
      <c r="F72" s="248"/>
      <c r="G72" s="240"/>
      <c r="H72" s="280"/>
      <c r="I72" s="280"/>
      <c r="J72" s="251"/>
      <c r="K72" s="253"/>
      <c r="L72" s="253"/>
      <c r="M72" s="254"/>
      <c r="N72" s="254"/>
      <c r="O72" s="251"/>
      <c r="P72" s="251"/>
      <c r="Q72" s="251"/>
    </row>
    <row r="73" spans="1:17" s="3" customFormat="1" ht="19.95" customHeight="1">
      <c r="A73" s="285"/>
      <c r="B73" s="248"/>
      <c r="C73" s="249"/>
      <c r="D73" s="249"/>
      <c r="E73" s="253"/>
      <c r="F73" s="248"/>
      <c r="G73" s="240"/>
      <c r="H73" s="280"/>
      <c r="I73" s="280"/>
      <c r="J73" s="251"/>
      <c r="K73" s="253"/>
      <c r="L73" s="253"/>
      <c r="M73" s="254"/>
      <c r="N73" s="254"/>
      <c r="O73" s="251"/>
      <c r="P73" s="251"/>
      <c r="Q73" s="251"/>
    </row>
    <row r="74" spans="1:17" s="3" customFormat="1" ht="19.95" customHeight="1">
      <c r="A74" s="285"/>
      <c r="B74" s="248"/>
      <c r="C74" s="249"/>
      <c r="D74" s="249"/>
      <c r="E74" s="253"/>
      <c r="F74" s="248"/>
      <c r="G74" s="240"/>
      <c r="H74" s="280"/>
      <c r="I74" s="280"/>
      <c r="J74" s="251"/>
      <c r="K74" s="253"/>
      <c r="L74" s="253"/>
      <c r="M74" s="254"/>
      <c r="N74" s="254"/>
      <c r="O74" s="251"/>
      <c r="P74" s="251"/>
      <c r="Q74" s="251"/>
    </row>
    <row r="75" spans="1:17" s="3" customFormat="1" ht="19.95" customHeight="1">
      <c r="A75" s="285"/>
      <c r="B75" s="248"/>
      <c r="C75" s="249"/>
      <c r="D75" s="249"/>
      <c r="E75" s="253"/>
      <c r="F75" s="248"/>
      <c r="G75" s="240"/>
      <c r="H75" s="280"/>
      <c r="I75" s="280"/>
      <c r="J75" s="251"/>
      <c r="K75" s="253"/>
      <c r="L75" s="253"/>
      <c r="M75" s="254"/>
      <c r="N75" s="254"/>
      <c r="O75" s="251"/>
      <c r="P75" s="251"/>
      <c r="Q75" s="251"/>
    </row>
    <row r="76" spans="1:17" s="3" customFormat="1" ht="19.95" customHeight="1">
      <c r="A76" s="285"/>
      <c r="B76" s="248"/>
      <c r="C76" s="249"/>
      <c r="D76" s="249"/>
      <c r="E76" s="253"/>
      <c r="F76" s="248"/>
      <c r="G76" s="240"/>
      <c r="H76" s="280"/>
      <c r="I76" s="280"/>
      <c r="J76" s="251"/>
      <c r="K76" s="253"/>
      <c r="L76" s="253"/>
      <c r="M76" s="254"/>
      <c r="N76" s="254"/>
      <c r="O76" s="251"/>
      <c r="P76" s="251"/>
      <c r="Q76" s="251"/>
    </row>
    <row r="77" spans="1:17" s="3" customFormat="1" ht="19.95" customHeight="1">
      <c r="A77" s="285"/>
      <c r="B77" s="248"/>
      <c r="C77" s="249"/>
      <c r="D77" s="249"/>
      <c r="E77" s="253"/>
      <c r="F77" s="248"/>
      <c r="G77" s="240"/>
      <c r="H77" s="280"/>
      <c r="I77" s="280"/>
      <c r="J77" s="251"/>
      <c r="K77" s="253"/>
      <c r="L77" s="253"/>
      <c r="M77" s="254"/>
      <c r="N77" s="254"/>
      <c r="O77" s="251"/>
      <c r="P77" s="251"/>
      <c r="Q77" s="251"/>
    </row>
    <row r="78" spans="1:17" s="3" customFormat="1" ht="19.95" customHeight="1">
      <c r="A78" s="284" t="s">
        <v>342</v>
      </c>
      <c r="B78" s="248"/>
      <c r="C78" s="249"/>
      <c r="D78" s="249"/>
      <c r="E78" s="253"/>
      <c r="F78" s="248"/>
      <c r="G78" s="240"/>
      <c r="H78" s="280"/>
      <c r="I78" s="280"/>
      <c r="J78" s="251"/>
      <c r="K78" s="253"/>
      <c r="L78" s="253"/>
      <c r="M78" s="254"/>
      <c r="N78" s="254"/>
      <c r="O78" s="251"/>
      <c r="P78" s="251"/>
      <c r="Q78" s="251"/>
    </row>
    <row r="79" spans="1:17" s="3" customFormat="1" ht="19.95" customHeight="1">
      <c r="A79" s="248"/>
      <c r="B79" s="248"/>
      <c r="C79" s="249"/>
      <c r="D79" s="249"/>
      <c r="E79" s="253"/>
      <c r="F79" s="248"/>
      <c r="G79" s="240"/>
      <c r="H79" s="280"/>
      <c r="I79" s="280"/>
      <c r="J79" s="251"/>
      <c r="K79" s="253"/>
      <c r="L79" s="253"/>
      <c r="M79" s="254"/>
      <c r="N79" s="254"/>
      <c r="O79" s="251"/>
      <c r="P79" s="251"/>
      <c r="Q79" s="251"/>
    </row>
    <row r="80" spans="1:17" s="3" customFormat="1" ht="19.95" customHeight="1">
      <c r="A80" s="413" t="s">
        <v>337</v>
      </c>
      <c r="B80" s="413"/>
      <c r="C80" s="413"/>
      <c r="D80" s="413"/>
      <c r="E80" s="281">
        <f>SUM(E62:E79)</f>
        <v>0</v>
      </c>
      <c r="F80" s="277"/>
      <c r="G80" s="282"/>
      <c r="H80" s="283"/>
      <c r="I80" s="283"/>
      <c r="J80" s="278"/>
      <c r="K80" s="281">
        <f>SUM(K62:K79)</f>
        <v>0</v>
      </c>
      <c r="L80" s="281">
        <f>SUM(L62:L79)</f>
        <v>0</v>
      </c>
      <c r="M80" s="279"/>
      <c r="N80" s="279"/>
      <c r="O80" s="278"/>
      <c r="P80" s="278"/>
      <c r="Q80" s="278"/>
    </row>
    <row r="81" spans="1:16" s="3" customFormat="1" ht="19.95" customHeight="1">
      <c r="A81" s="257"/>
      <c r="B81" s="257"/>
      <c r="C81" s="257"/>
      <c r="D81" s="258"/>
      <c r="E81" s="259"/>
      <c r="F81" s="259"/>
      <c r="G81" s="260"/>
      <c r="H81" s="260"/>
      <c r="I81" s="260"/>
      <c r="J81" s="115"/>
      <c r="K81" s="115"/>
      <c r="L81" s="115"/>
      <c r="M81" s="115"/>
      <c r="N81" s="115"/>
      <c r="O81" s="115"/>
      <c r="P81" s="115"/>
    </row>
    <row r="82" spans="1:16" s="3" customFormat="1" ht="19.95" customHeight="1">
      <c r="A82" s="6" t="s">
        <v>281</v>
      </c>
      <c r="B82" s="258"/>
      <c r="C82" s="261"/>
      <c r="D82" s="262"/>
      <c r="E82" s="262"/>
      <c r="F82" s="262"/>
      <c r="G82" s="263"/>
      <c r="H82" s="260"/>
      <c r="I82" s="264"/>
      <c r="K82" s="115"/>
      <c r="L82" s="115"/>
      <c r="M82" s="115"/>
      <c r="N82" s="115"/>
      <c r="O82" s="115"/>
      <c r="P82" s="115"/>
    </row>
    <row r="83" spans="1:16" s="3" customFormat="1" ht="36.6" customHeight="1">
      <c r="A83" s="3" t="s">
        <v>489</v>
      </c>
      <c r="C83" s="143"/>
      <c r="D83" s="342" t="s">
        <v>483</v>
      </c>
      <c r="E83" s="342" t="s">
        <v>486</v>
      </c>
      <c r="F83" s="11" t="s">
        <v>484</v>
      </c>
      <c r="G83" s="11" t="s">
        <v>485</v>
      </c>
      <c r="H83" s="342" t="s">
        <v>487</v>
      </c>
      <c r="I83" s="342" t="s">
        <v>488</v>
      </c>
      <c r="J83" s="326" t="s">
        <v>478</v>
      </c>
      <c r="K83" s="317"/>
      <c r="L83" s="317"/>
      <c r="M83" s="317"/>
      <c r="N83" s="317"/>
      <c r="O83" s="317"/>
      <c r="P83" s="317"/>
    </row>
    <row r="84" spans="1:16" s="3" customFormat="1" ht="19.95" customHeight="1">
      <c r="A84" s="6"/>
      <c r="B84" s="6"/>
      <c r="C84" s="143"/>
      <c r="D84" s="325" t="s">
        <v>479</v>
      </c>
      <c r="E84" s="327">
        <f>E29</f>
        <v>0</v>
      </c>
      <c r="F84" s="341">
        <f>G57</f>
        <v>0</v>
      </c>
      <c r="G84" s="327">
        <f>K80</f>
        <v>0</v>
      </c>
      <c r="H84" s="328" t="e">
        <f>ROUND(F84/E84,4)</f>
        <v>#DIV/0!</v>
      </c>
      <c r="I84" s="328" t="e">
        <f>ROUND(G84/E84,4)</f>
        <v>#DIV/0!</v>
      </c>
      <c r="J84" s="121"/>
      <c r="K84" s="317"/>
      <c r="L84" s="317"/>
      <c r="M84" s="317"/>
      <c r="N84" s="317"/>
      <c r="O84" s="317"/>
      <c r="P84" s="317"/>
    </row>
    <row r="85" spans="1:16" s="3" customFormat="1" ht="19.95" customHeight="1">
      <c r="A85" s="6"/>
      <c r="B85" s="6"/>
      <c r="C85" s="143"/>
      <c r="D85" s="325" t="s">
        <v>480</v>
      </c>
      <c r="E85" s="327">
        <f>F29</f>
        <v>0</v>
      </c>
      <c r="F85" s="341">
        <f>H57</f>
        <v>0</v>
      </c>
      <c r="G85" s="327">
        <f>L80</f>
        <v>0</v>
      </c>
      <c r="H85" s="328" t="e">
        <f>ROUND(F85/E85,4)</f>
        <v>#DIV/0!</v>
      </c>
      <c r="I85" s="328" t="e">
        <f>ROUND(G85/E85,4)</f>
        <v>#DIV/0!</v>
      </c>
      <c r="J85" s="121"/>
      <c r="K85" s="317"/>
      <c r="L85" s="317"/>
      <c r="M85" s="317"/>
      <c r="N85" s="317"/>
      <c r="O85" s="317"/>
      <c r="P85" s="317"/>
    </row>
    <row r="86" spans="1:16" s="3" customFormat="1" ht="19.95" customHeight="1">
      <c r="A86" s="329" t="s">
        <v>481</v>
      </c>
      <c r="B86" s="6"/>
      <c r="C86" s="143"/>
      <c r="D86" s="330"/>
      <c r="E86" s="331"/>
      <c r="F86" s="331"/>
      <c r="G86" s="332"/>
      <c r="H86" s="121"/>
      <c r="I86" s="121"/>
      <c r="J86" s="115"/>
      <c r="K86" s="115"/>
      <c r="L86" s="115"/>
      <c r="M86" s="115"/>
      <c r="N86" s="115"/>
      <c r="O86" s="115"/>
      <c r="P86" s="115"/>
    </row>
    <row r="87" spans="1:16" s="3" customFormat="1" ht="19.95" customHeight="1">
      <c r="A87" s="6" t="s">
        <v>282</v>
      </c>
      <c r="B87" s="258"/>
      <c r="C87" s="261"/>
      <c r="D87" s="262"/>
      <c r="E87" s="262"/>
      <c r="F87" s="262"/>
      <c r="G87" s="263"/>
      <c r="H87" s="260"/>
      <c r="I87" s="264"/>
      <c r="J87" s="115"/>
      <c r="K87" s="115"/>
      <c r="L87" s="115"/>
      <c r="M87" s="115"/>
      <c r="N87" s="115"/>
      <c r="O87" s="115"/>
      <c r="P87" s="115"/>
    </row>
    <row r="88" spans="1:16" s="3" customFormat="1" ht="19.95" customHeight="1">
      <c r="J88" s="115"/>
      <c r="K88" s="115"/>
      <c r="L88" s="115"/>
      <c r="M88" s="115"/>
      <c r="N88" s="115"/>
      <c r="O88" s="115"/>
      <c r="P88" s="115"/>
    </row>
    <row r="89" spans="1:16" s="265" customFormat="1" ht="19.95" customHeight="1">
      <c r="A89" s="286" t="s">
        <v>283</v>
      </c>
    </row>
    <row r="90" spans="1:16" s="265" customFormat="1" ht="19.95" customHeight="1">
      <c r="A90" s="266" t="s">
        <v>428</v>
      </c>
    </row>
    <row r="91" spans="1:16" s="265" customFormat="1" ht="19.95" customHeight="1">
      <c r="A91" s="267" t="s">
        <v>345</v>
      </c>
    </row>
    <row r="92" spans="1:16" s="265" customFormat="1" ht="19.95" customHeight="1">
      <c r="A92" s="265" t="s">
        <v>346</v>
      </c>
    </row>
    <row r="93" spans="1:16" s="265" customFormat="1" ht="19.95" customHeight="1">
      <c r="A93" s="265" t="s">
        <v>347</v>
      </c>
    </row>
    <row r="94" spans="1:16" s="265" customFormat="1" ht="19.95" customHeight="1">
      <c r="A94" s="267" t="s">
        <v>348</v>
      </c>
    </row>
    <row r="95" spans="1:16" s="265" customFormat="1" ht="19.95" customHeight="1">
      <c r="A95" s="267" t="s">
        <v>349</v>
      </c>
    </row>
    <row r="96" spans="1:16" s="265" customFormat="1" ht="19.95" customHeight="1">
      <c r="A96" s="267" t="s">
        <v>350</v>
      </c>
    </row>
    <row r="97" spans="1:1" s="265" customFormat="1" ht="19.95" customHeight="1">
      <c r="A97" s="265" t="s">
        <v>351</v>
      </c>
    </row>
    <row r="98" spans="1:1" s="265" customFormat="1" ht="19.95" customHeight="1">
      <c r="A98" s="265" t="s">
        <v>353</v>
      </c>
    </row>
    <row r="99" spans="1:1" s="265" customFormat="1" ht="19.95" customHeight="1">
      <c r="A99" s="268" t="s">
        <v>354</v>
      </c>
    </row>
    <row r="100" spans="1:1" s="265" customFormat="1" ht="19.95" customHeight="1">
      <c r="A100" s="268" t="s">
        <v>355</v>
      </c>
    </row>
    <row r="101" spans="1:1" s="265" customFormat="1" ht="19.95" customHeight="1">
      <c r="A101" s="265" t="s">
        <v>358</v>
      </c>
    </row>
    <row r="102" spans="1:1" s="265" customFormat="1" ht="19.95" customHeight="1">
      <c r="A102" s="268" t="s">
        <v>284</v>
      </c>
    </row>
    <row r="103" spans="1:1" s="265" customFormat="1" ht="19.95" customHeight="1">
      <c r="A103" s="268" t="s">
        <v>285</v>
      </c>
    </row>
    <row r="104" spans="1:1" s="265" customFormat="1" ht="19.95" customHeight="1">
      <c r="A104" s="268" t="s">
        <v>286</v>
      </c>
    </row>
    <row r="105" spans="1:1" s="265" customFormat="1" ht="19.95" customHeight="1">
      <c r="A105" s="268" t="s">
        <v>287</v>
      </c>
    </row>
    <row r="106" spans="1:1" s="265" customFormat="1" ht="19.95" customHeight="1">
      <c r="A106" s="268" t="s">
        <v>288</v>
      </c>
    </row>
    <row r="107" spans="1:1" s="265" customFormat="1" ht="19.95" customHeight="1">
      <c r="A107" s="268" t="s">
        <v>289</v>
      </c>
    </row>
    <row r="108" spans="1:1" s="265" customFormat="1" ht="19.95" customHeight="1">
      <c r="A108" s="268" t="s">
        <v>290</v>
      </c>
    </row>
    <row r="109" spans="1:1" s="265" customFormat="1" ht="19.95" customHeight="1">
      <c r="A109" s="268" t="s">
        <v>291</v>
      </c>
    </row>
    <row r="110" spans="1:1" s="265" customFormat="1" ht="19.95" customHeight="1">
      <c r="A110" s="268" t="s">
        <v>292</v>
      </c>
    </row>
    <row r="111" spans="1:1" s="265" customFormat="1" ht="19.95" customHeight="1">
      <c r="A111" s="268" t="s">
        <v>293</v>
      </c>
    </row>
    <row r="112" spans="1:1" s="265" customFormat="1" ht="19.95" customHeight="1">
      <c r="A112" s="268" t="s">
        <v>356</v>
      </c>
    </row>
    <row r="113" spans="1:17" s="265" customFormat="1" ht="19.95" customHeight="1">
      <c r="A113" s="268" t="s">
        <v>294</v>
      </c>
    </row>
    <row r="114" spans="1:17" s="265" customFormat="1" ht="19.95" customHeight="1">
      <c r="A114" s="268" t="s">
        <v>295</v>
      </c>
    </row>
    <row r="115" spans="1:17" s="265" customFormat="1" ht="19.95" customHeight="1">
      <c r="A115" s="268" t="s">
        <v>296</v>
      </c>
    </row>
    <row r="116" spans="1:17" s="265" customFormat="1" ht="19.95" customHeight="1">
      <c r="A116" s="268" t="s">
        <v>297</v>
      </c>
    </row>
    <row r="117" spans="1:17" s="265" customFormat="1" ht="19.95" customHeight="1">
      <c r="A117" s="268" t="s">
        <v>298</v>
      </c>
    </row>
    <row r="118" spans="1:17" s="265" customFormat="1" ht="19.95" customHeight="1">
      <c r="A118" s="268" t="s">
        <v>299</v>
      </c>
    </row>
    <row r="119" spans="1:17" s="265" customFormat="1" ht="19.95" customHeight="1">
      <c r="A119" s="268" t="s">
        <v>300</v>
      </c>
    </row>
    <row r="120" spans="1:17" s="265" customFormat="1" ht="19.95" customHeight="1">
      <c r="A120" s="268" t="s">
        <v>301</v>
      </c>
    </row>
    <row r="121" spans="1:17" s="265" customFormat="1" ht="64.8" customHeight="1">
      <c r="A121" s="405" t="s">
        <v>357</v>
      </c>
      <c r="B121" s="405"/>
      <c r="C121" s="405"/>
      <c r="D121" s="405"/>
      <c r="E121" s="405"/>
      <c r="F121" s="405"/>
      <c r="G121" s="405"/>
      <c r="H121" s="405"/>
      <c r="I121" s="405"/>
      <c r="J121" s="405"/>
      <c r="K121" s="405"/>
      <c r="L121" s="405"/>
      <c r="M121" s="405"/>
      <c r="N121" s="405"/>
      <c r="O121" s="405"/>
      <c r="P121" s="405"/>
      <c r="Q121" s="405"/>
    </row>
    <row r="122" spans="1:17" s="265" customFormat="1" ht="19.95" customHeight="1"/>
    <row r="123" spans="1:17" s="265" customFormat="1" ht="19.95" customHeight="1"/>
    <row r="124" spans="1:17" s="265" customFormat="1" ht="19.95" customHeight="1">
      <c r="A124" s="268"/>
    </row>
  </sheetData>
  <mergeCells count="28">
    <mergeCell ref="P60:P61"/>
    <mergeCell ref="A57:F57"/>
    <mergeCell ref="A80:D80"/>
    <mergeCell ref="A1:P1"/>
    <mergeCell ref="A2:P2"/>
    <mergeCell ref="A15:A16"/>
    <mergeCell ref="B15:D15"/>
    <mergeCell ref="E15:G15"/>
    <mergeCell ref="H15:I15"/>
    <mergeCell ref="J15:K15"/>
    <mergeCell ref="L15:M15"/>
    <mergeCell ref="A12:P12"/>
    <mergeCell ref="Q60:Q61"/>
    <mergeCell ref="A121:Q121"/>
    <mergeCell ref="N32:N33"/>
    <mergeCell ref="N60:N61"/>
    <mergeCell ref="A60:A61"/>
    <mergeCell ref="B60:E60"/>
    <mergeCell ref="F60:L60"/>
    <mergeCell ref="M60:M61"/>
    <mergeCell ref="O60:O61"/>
    <mergeCell ref="Q32:Q33"/>
    <mergeCell ref="M32:M33"/>
    <mergeCell ref="O32:O33"/>
    <mergeCell ref="B32:H32"/>
    <mergeCell ref="I32:L32"/>
    <mergeCell ref="A32:A33"/>
    <mergeCell ref="P32:P33"/>
  </mergeCells>
  <phoneticPr fontId="6" type="noConversion"/>
  <dataValidations count="4">
    <dataValidation allowBlank="1" prompt="_x000a_" sqref="M32 M60"/>
    <dataValidation type="list" allowBlank="1" showInputMessage="1" showErrorMessage="1" sqref="M80:N80 M57:N57">
      <formula1>"√,×"</formula1>
    </dataValidation>
    <dataValidation allowBlank="1" showInputMessage="1" sqref="N32:O32 Q32 Q60 N60:O60"/>
    <dataValidation type="list" allowBlank="1" showInputMessage="1" showErrorMessage="1" sqref="M62:N79 M34:N56">
      <formula1>"是,否"</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100" orientation="landscape" blackAndWhite="1" r:id="rId1"/>
  <headerFooter>
    <oddFooter>&amp;C&amp;P/&amp;N</oddFooter>
  </headerFooter>
  <rowBreaks count="2" manualBreakCount="2">
    <brk id="29" max="14" man="1"/>
    <brk id="57" max="16"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view="pageBreakPreview" zoomScaleNormal="100" zoomScaleSheetLayoutView="100" workbookViewId="0">
      <selection activeCell="R3" sqref="R3"/>
    </sheetView>
  </sheetViews>
  <sheetFormatPr defaultColWidth="8.6640625" defaultRowHeight="19.95" customHeight="1"/>
  <cols>
    <col min="1" max="1" width="6.109375" style="61" customWidth="1"/>
    <col min="2" max="2" width="10" style="61" customWidth="1"/>
    <col min="3" max="3" width="9.33203125" style="61" customWidth="1"/>
    <col min="4" max="4" width="10.5546875" style="61" customWidth="1"/>
    <col min="5" max="5" width="8.6640625" style="61" bestFit="1" customWidth="1"/>
    <col min="6" max="6" width="9.33203125" style="61" customWidth="1"/>
    <col min="7" max="7" width="9.88671875" style="61" customWidth="1"/>
    <col min="8" max="8" width="9.88671875" style="62" customWidth="1"/>
    <col min="9" max="10" width="13.5546875" style="61" customWidth="1"/>
    <col min="11" max="11" width="14.21875" style="62" customWidth="1"/>
    <col min="12" max="12" width="11.77734375" style="62" customWidth="1"/>
    <col min="13" max="13" width="8.6640625" style="62" customWidth="1"/>
    <col min="14" max="14" width="9.5546875" style="61" customWidth="1"/>
    <col min="15" max="15" width="10.88671875" style="61" customWidth="1"/>
    <col min="16" max="16" width="11" style="61" customWidth="1"/>
    <col min="17" max="17" width="7.21875" style="61" customWidth="1"/>
    <col min="18" max="16384" width="8.6640625" style="61"/>
  </cols>
  <sheetData>
    <row r="1" spans="1:18" ht="19.95" customHeight="1">
      <c r="A1" s="360" t="s">
        <v>0</v>
      </c>
      <c r="B1" s="360"/>
      <c r="C1" s="360"/>
      <c r="D1" s="360"/>
      <c r="E1" s="360"/>
      <c r="F1" s="360"/>
      <c r="G1" s="360"/>
      <c r="H1" s="360"/>
      <c r="I1" s="360"/>
      <c r="J1" s="360"/>
      <c r="K1" s="360"/>
      <c r="L1" s="360"/>
      <c r="M1" s="360"/>
      <c r="N1" s="360"/>
      <c r="O1" s="360"/>
      <c r="P1" s="360"/>
      <c r="Q1" s="360"/>
      <c r="R1" s="360"/>
    </row>
    <row r="2" spans="1:18" ht="19.95" customHeight="1">
      <c r="A2" s="361" t="s">
        <v>372</v>
      </c>
      <c r="B2" s="361"/>
      <c r="C2" s="361"/>
      <c r="D2" s="361"/>
      <c r="E2" s="361"/>
      <c r="F2" s="361"/>
      <c r="G2" s="361"/>
      <c r="H2" s="361"/>
      <c r="I2" s="361"/>
      <c r="J2" s="361"/>
      <c r="K2" s="361"/>
      <c r="L2" s="361"/>
      <c r="M2" s="361"/>
      <c r="N2" s="361"/>
      <c r="O2" s="361"/>
      <c r="P2" s="361"/>
      <c r="Q2" s="361"/>
      <c r="R2" s="361"/>
    </row>
    <row r="3" spans="1:18" ht="19.95" customHeight="1">
      <c r="A3" s="2" t="str">
        <f>底稿目录!A2</f>
        <v>被审计单位：</v>
      </c>
      <c r="F3" s="44"/>
      <c r="H3" s="61" t="str">
        <f>底稿目录!A4</f>
        <v>编制人：</v>
      </c>
      <c r="K3" s="61" t="str">
        <f>底稿目录!A5</f>
        <v>编制日期：</v>
      </c>
      <c r="Q3" s="304" t="s">
        <v>438</v>
      </c>
      <c r="R3" s="303" t="str">
        <f>底稿目录!F10</f>
        <v>E1-32</v>
      </c>
    </row>
    <row r="4" spans="1:18" ht="19.95" customHeight="1">
      <c r="A4" s="2" t="str">
        <f>底稿目录!A3</f>
        <v>截止日：202X年12月31日</v>
      </c>
      <c r="F4" s="44"/>
      <c r="H4" s="61" t="str">
        <f>底稿目录!A6</f>
        <v>复核人：</v>
      </c>
      <c r="K4" s="61" t="str">
        <f>底稿目录!A7</f>
        <v>复核日期：</v>
      </c>
      <c r="Q4" s="304" t="s">
        <v>439</v>
      </c>
    </row>
    <row r="5" spans="1:18" ht="19.95" customHeight="1">
      <c r="A5" s="6" t="s">
        <v>1</v>
      </c>
      <c r="D5" s="103"/>
      <c r="E5" s="3"/>
      <c r="F5" s="103"/>
    </row>
    <row r="6" spans="1:18" ht="19.95" customHeight="1">
      <c r="A6" s="301" t="s">
        <v>432</v>
      </c>
      <c r="B6" s="64"/>
      <c r="D6" s="104"/>
      <c r="E6" s="3"/>
      <c r="F6" s="104"/>
    </row>
    <row r="7" spans="1:18" ht="19.95" customHeight="1">
      <c r="A7" s="6" t="s">
        <v>2</v>
      </c>
      <c r="C7" s="3"/>
      <c r="D7" s="3"/>
      <c r="E7" s="3"/>
      <c r="F7" s="3"/>
    </row>
    <row r="8" spans="1:18" ht="19.95" customHeight="1">
      <c r="A8" s="204" t="s">
        <v>448</v>
      </c>
      <c r="C8" s="3"/>
      <c r="D8" s="3"/>
      <c r="E8" s="3"/>
      <c r="F8" s="3"/>
    </row>
    <row r="9" spans="1:18" ht="19.95" customHeight="1">
      <c r="A9" s="272" t="s">
        <v>367</v>
      </c>
      <c r="B9" s="272"/>
      <c r="C9" s="3"/>
      <c r="D9" s="272" t="s">
        <v>371</v>
      </c>
      <c r="E9" s="3"/>
      <c r="F9" s="3"/>
    </row>
    <row r="10" spans="1:18" ht="48.6" customHeight="1">
      <c r="A10" s="65" t="s">
        <v>52</v>
      </c>
      <c r="B10" s="66" t="s">
        <v>53</v>
      </c>
      <c r="C10" s="287" t="s">
        <v>368</v>
      </c>
      <c r="D10" s="287" t="s">
        <v>369</v>
      </c>
      <c r="E10" s="66" t="s">
        <v>54</v>
      </c>
      <c r="F10" s="287" t="s">
        <v>370</v>
      </c>
      <c r="G10" s="66" t="s">
        <v>55</v>
      </c>
      <c r="H10" s="66" t="s">
        <v>56</v>
      </c>
      <c r="I10" s="66" t="s">
        <v>57</v>
      </c>
      <c r="J10" s="66" t="s">
        <v>58</v>
      </c>
      <c r="K10" s="66" t="s">
        <v>59</v>
      </c>
      <c r="L10" s="66" t="s">
        <v>60</v>
      </c>
      <c r="M10" s="66" t="s">
        <v>61</v>
      </c>
      <c r="N10" s="287" t="s">
        <v>363</v>
      </c>
      <c r="O10" s="287" t="s">
        <v>360</v>
      </c>
      <c r="P10" s="287" t="s">
        <v>361</v>
      </c>
      <c r="Q10" s="287" t="s">
        <v>362</v>
      </c>
      <c r="R10" s="66" t="s">
        <v>62</v>
      </c>
    </row>
    <row r="11" spans="1:18" ht="19.95" customHeight="1">
      <c r="A11" s="288">
        <v>1</v>
      </c>
      <c r="B11" s="107"/>
      <c r="C11" s="67"/>
      <c r="D11" s="107"/>
      <c r="E11" s="42"/>
      <c r="F11" s="41"/>
      <c r="G11" s="42"/>
      <c r="H11" s="67"/>
      <c r="I11" s="108"/>
      <c r="J11" s="109"/>
      <c r="K11" s="67"/>
      <c r="L11" s="107"/>
      <c r="M11" s="67"/>
      <c r="N11" s="40"/>
      <c r="O11" s="40"/>
      <c r="P11" s="40"/>
      <c r="Q11" s="40"/>
      <c r="R11" s="45"/>
    </row>
    <row r="12" spans="1:18" ht="19.95" customHeight="1">
      <c r="A12" s="288">
        <v>2</v>
      </c>
      <c r="B12" s="107"/>
      <c r="C12" s="67"/>
      <c r="D12" s="107"/>
      <c r="E12" s="42"/>
      <c r="F12" s="41"/>
      <c r="G12" s="42"/>
      <c r="H12" s="67"/>
      <c r="I12" s="108"/>
      <c r="J12" s="109"/>
      <c r="K12" s="67"/>
      <c r="L12" s="107"/>
      <c r="M12" s="67"/>
      <c r="N12" s="40"/>
      <c r="O12" s="40"/>
      <c r="P12" s="40"/>
      <c r="Q12" s="40"/>
      <c r="R12" s="45"/>
    </row>
    <row r="13" spans="1:18" ht="19.95" customHeight="1">
      <c r="A13" s="288">
        <v>3</v>
      </c>
      <c r="B13" s="107"/>
      <c r="C13" s="67"/>
      <c r="D13" s="107"/>
      <c r="E13" s="42"/>
      <c r="F13" s="41"/>
      <c r="G13" s="42"/>
      <c r="H13" s="67"/>
      <c r="I13" s="109"/>
      <c r="J13" s="108"/>
      <c r="K13" s="67"/>
      <c r="L13" s="107"/>
      <c r="M13" s="67"/>
      <c r="N13" s="40"/>
      <c r="O13" s="40"/>
      <c r="P13" s="40"/>
      <c r="Q13" s="40"/>
      <c r="R13" s="45"/>
    </row>
    <row r="14" spans="1:18" ht="19.95" customHeight="1">
      <c r="A14" s="288">
        <v>4</v>
      </c>
      <c r="B14" s="107"/>
      <c r="C14" s="67"/>
      <c r="D14" s="107"/>
      <c r="E14" s="42"/>
      <c r="F14" s="41"/>
      <c r="G14" s="42"/>
      <c r="H14" s="67"/>
      <c r="I14" s="108"/>
      <c r="J14" s="109"/>
      <c r="K14" s="67"/>
      <c r="L14" s="107"/>
      <c r="M14" s="67"/>
      <c r="N14" s="40"/>
      <c r="O14" s="40"/>
      <c r="P14" s="40"/>
      <c r="Q14" s="40"/>
      <c r="R14" s="45"/>
    </row>
    <row r="15" spans="1:18" ht="19.95" customHeight="1">
      <c r="A15" s="288">
        <v>5</v>
      </c>
      <c r="B15" s="107"/>
      <c r="C15" s="67"/>
      <c r="D15" s="107"/>
      <c r="E15" s="42"/>
      <c r="F15" s="41"/>
      <c r="G15" s="42"/>
      <c r="H15" s="67"/>
      <c r="I15" s="108"/>
      <c r="J15" s="109"/>
      <c r="K15" s="67"/>
      <c r="L15" s="107"/>
      <c r="M15" s="67"/>
      <c r="N15" s="40"/>
      <c r="O15" s="40"/>
      <c r="P15" s="40"/>
      <c r="Q15" s="40"/>
      <c r="R15" s="45"/>
    </row>
    <row r="16" spans="1:18" ht="19.95" customHeight="1">
      <c r="A16" s="288">
        <v>6</v>
      </c>
      <c r="B16" s="107"/>
      <c r="C16" s="67"/>
      <c r="D16" s="107"/>
      <c r="E16" s="42"/>
      <c r="F16" s="43"/>
      <c r="G16" s="42"/>
      <c r="H16" s="67"/>
      <c r="I16" s="109"/>
      <c r="J16" s="108"/>
      <c r="K16" s="67"/>
      <c r="L16" s="107"/>
      <c r="M16" s="67"/>
      <c r="N16" s="40"/>
      <c r="O16" s="40"/>
      <c r="P16" s="40"/>
      <c r="Q16" s="40"/>
      <c r="R16" s="45"/>
    </row>
    <row r="17" spans="1:18" ht="19.95" customHeight="1">
      <c r="A17" s="288">
        <v>7</v>
      </c>
      <c r="B17" s="107"/>
      <c r="C17" s="67"/>
      <c r="D17" s="107"/>
      <c r="E17" s="42"/>
      <c r="F17" s="43"/>
      <c r="G17" s="42"/>
      <c r="H17" s="67"/>
      <c r="I17" s="109"/>
      <c r="J17" s="108"/>
      <c r="K17" s="67"/>
      <c r="L17" s="107"/>
      <c r="M17" s="67"/>
      <c r="N17" s="40"/>
      <c r="O17" s="40"/>
      <c r="P17" s="40"/>
      <c r="Q17" s="40"/>
      <c r="R17" s="45"/>
    </row>
    <row r="18" spans="1:18" ht="19.95" customHeight="1">
      <c r="A18" s="288">
        <v>8</v>
      </c>
      <c r="B18" s="107"/>
      <c r="C18" s="67"/>
      <c r="D18" s="107"/>
      <c r="E18" s="42"/>
      <c r="F18" s="43"/>
      <c r="G18" s="42"/>
      <c r="H18" s="67"/>
      <c r="I18" s="109"/>
      <c r="J18" s="108"/>
      <c r="K18" s="67"/>
      <c r="L18" s="107"/>
      <c r="M18" s="67"/>
      <c r="N18" s="40"/>
      <c r="O18" s="40"/>
      <c r="P18" s="40"/>
      <c r="Q18" s="40"/>
      <c r="R18" s="45"/>
    </row>
    <row r="19" spans="1:18" ht="19.95" customHeight="1">
      <c r="A19" s="288">
        <v>9</v>
      </c>
      <c r="B19" s="107"/>
      <c r="C19" s="67"/>
      <c r="D19" s="107"/>
      <c r="E19" s="42"/>
      <c r="F19" s="43"/>
      <c r="G19" s="42"/>
      <c r="H19" s="67"/>
      <c r="I19" s="109"/>
      <c r="J19" s="108"/>
      <c r="K19" s="67"/>
      <c r="L19" s="107"/>
      <c r="M19" s="67"/>
      <c r="N19" s="40"/>
      <c r="O19" s="40"/>
      <c r="P19" s="40"/>
      <c r="Q19" s="40"/>
      <c r="R19" s="45"/>
    </row>
    <row r="20" spans="1:18" ht="19.95" customHeight="1">
      <c r="A20" s="288">
        <v>10</v>
      </c>
      <c r="B20" s="107"/>
      <c r="C20" s="67"/>
      <c r="D20" s="107"/>
      <c r="E20" s="42"/>
      <c r="F20" s="43"/>
      <c r="G20" s="42"/>
      <c r="H20" s="67"/>
      <c r="I20" s="109"/>
      <c r="J20" s="108"/>
      <c r="K20" s="67"/>
      <c r="L20" s="107"/>
      <c r="M20" s="67"/>
      <c r="N20" s="40"/>
      <c r="O20" s="40"/>
      <c r="P20" s="40"/>
      <c r="Q20" s="40"/>
      <c r="R20" s="45"/>
    </row>
    <row r="21" spans="1:18" ht="19.95" customHeight="1">
      <c r="A21" s="288">
        <v>11</v>
      </c>
      <c r="B21" s="107"/>
      <c r="C21" s="67"/>
      <c r="D21" s="107"/>
      <c r="E21" s="42"/>
      <c r="F21" s="43"/>
      <c r="G21" s="42"/>
      <c r="H21" s="67"/>
      <c r="I21" s="109"/>
      <c r="J21" s="108"/>
      <c r="K21" s="67"/>
      <c r="L21" s="107"/>
      <c r="M21" s="67"/>
      <c r="N21" s="40"/>
      <c r="O21" s="40"/>
      <c r="P21" s="40"/>
      <c r="Q21" s="40"/>
      <c r="R21" s="45"/>
    </row>
    <row r="22" spans="1:18" ht="19.95" customHeight="1">
      <c r="A22" s="288">
        <v>12</v>
      </c>
      <c r="B22" s="107"/>
      <c r="C22" s="67"/>
      <c r="D22" s="107"/>
      <c r="E22" s="42"/>
      <c r="F22" s="43"/>
      <c r="G22" s="42"/>
      <c r="H22" s="67"/>
      <c r="I22" s="109"/>
      <c r="J22" s="108"/>
      <c r="K22" s="67"/>
      <c r="L22" s="107"/>
      <c r="M22" s="67"/>
      <c r="N22" s="40"/>
      <c r="O22" s="40"/>
      <c r="P22" s="40"/>
      <c r="Q22" s="40"/>
      <c r="R22" s="45"/>
    </row>
    <row r="23" spans="1:18" ht="19.95" customHeight="1">
      <c r="A23" s="288">
        <v>13</v>
      </c>
      <c r="B23" s="107"/>
      <c r="C23" s="67"/>
      <c r="D23" s="107"/>
      <c r="E23" s="42"/>
      <c r="F23" s="43"/>
      <c r="G23" s="42"/>
      <c r="H23" s="67"/>
      <c r="I23" s="109"/>
      <c r="J23" s="108"/>
      <c r="K23" s="67"/>
      <c r="L23" s="107"/>
      <c r="M23" s="67"/>
      <c r="N23" s="40"/>
      <c r="O23" s="40"/>
      <c r="P23" s="40"/>
      <c r="Q23" s="40"/>
      <c r="R23" s="45"/>
    </row>
    <row r="24" spans="1:18" ht="19.95" customHeight="1">
      <c r="A24" s="288">
        <v>14</v>
      </c>
      <c r="B24" s="107"/>
      <c r="C24" s="67"/>
      <c r="D24" s="107"/>
      <c r="E24" s="42"/>
      <c r="F24" s="43"/>
      <c r="G24" s="42"/>
      <c r="H24" s="67"/>
      <c r="I24" s="109"/>
      <c r="J24" s="108"/>
      <c r="K24" s="67"/>
      <c r="L24" s="107"/>
      <c r="M24" s="67"/>
      <c r="N24" s="40"/>
      <c r="O24" s="40"/>
      <c r="P24" s="40"/>
      <c r="Q24" s="40"/>
      <c r="R24" s="45"/>
    </row>
    <row r="25" spans="1:18" ht="19.95" customHeight="1">
      <c r="A25" s="288">
        <v>15</v>
      </c>
      <c r="B25" s="107"/>
      <c r="C25" s="67"/>
      <c r="D25" s="107"/>
      <c r="E25" s="42"/>
      <c r="F25" s="43"/>
      <c r="G25" s="42"/>
      <c r="H25" s="68"/>
      <c r="I25" s="109"/>
      <c r="J25" s="108"/>
      <c r="K25" s="67"/>
      <c r="L25" s="107"/>
      <c r="M25" s="68"/>
      <c r="N25" s="40"/>
      <c r="O25" s="40"/>
      <c r="P25" s="40"/>
      <c r="Q25" s="40"/>
      <c r="R25" s="45"/>
    </row>
    <row r="26" spans="1:18" ht="19.95" customHeight="1">
      <c r="A26" s="288">
        <v>16</v>
      </c>
      <c r="B26" s="107"/>
      <c r="C26" s="67"/>
      <c r="D26" s="107"/>
      <c r="E26" s="42"/>
      <c r="F26" s="43"/>
      <c r="G26" s="42"/>
      <c r="H26" s="68"/>
      <c r="I26" s="109"/>
      <c r="J26" s="108"/>
      <c r="K26" s="67"/>
      <c r="L26" s="107"/>
      <c r="M26" s="68"/>
      <c r="N26" s="40"/>
      <c r="O26" s="40"/>
      <c r="P26" s="40"/>
      <c r="Q26" s="40"/>
      <c r="R26" s="45"/>
    </row>
    <row r="27" spans="1:18" ht="19.95" customHeight="1">
      <c r="A27" s="288">
        <v>17</v>
      </c>
      <c r="B27" s="107"/>
      <c r="C27" s="67"/>
      <c r="D27" s="107"/>
      <c r="E27" s="42"/>
      <c r="F27" s="43"/>
      <c r="G27" s="42"/>
      <c r="H27" s="68"/>
      <c r="I27" s="108"/>
      <c r="J27" s="109"/>
      <c r="K27" s="67"/>
      <c r="L27" s="107"/>
      <c r="M27" s="68"/>
      <c r="N27" s="40"/>
      <c r="O27" s="40"/>
      <c r="P27" s="40"/>
      <c r="Q27" s="40"/>
      <c r="R27" s="45"/>
    </row>
    <row r="28" spans="1:18" ht="19.95" customHeight="1">
      <c r="A28" s="288">
        <v>18</v>
      </c>
      <c r="B28" s="107"/>
      <c r="C28" s="67"/>
      <c r="D28" s="107"/>
      <c r="E28" s="42"/>
      <c r="F28" s="43"/>
      <c r="G28" s="42"/>
      <c r="H28" s="68"/>
      <c r="I28" s="108"/>
      <c r="J28" s="109"/>
      <c r="K28" s="67"/>
      <c r="L28" s="107"/>
      <c r="M28" s="68"/>
      <c r="N28" s="40"/>
      <c r="O28" s="40"/>
      <c r="P28" s="40"/>
      <c r="Q28" s="40"/>
      <c r="R28" s="45"/>
    </row>
    <row r="29" spans="1:18" ht="19.95" customHeight="1">
      <c r="A29" s="288">
        <v>19</v>
      </c>
      <c r="B29" s="107"/>
      <c r="C29" s="67"/>
      <c r="D29" s="107"/>
      <c r="E29" s="42"/>
      <c r="F29" s="43"/>
      <c r="G29" s="42"/>
      <c r="H29" s="68"/>
      <c r="I29" s="108"/>
      <c r="J29" s="109"/>
      <c r="K29" s="67"/>
      <c r="L29" s="107"/>
      <c r="M29" s="68"/>
      <c r="N29" s="40"/>
      <c r="O29" s="40"/>
      <c r="P29" s="40"/>
      <c r="Q29" s="40"/>
      <c r="R29" s="45"/>
    </row>
    <row r="30" spans="1:18" ht="19.95" customHeight="1">
      <c r="A30" s="288">
        <v>20</v>
      </c>
      <c r="B30" s="107"/>
      <c r="C30" s="67"/>
      <c r="D30" s="107"/>
      <c r="E30" s="42"/>
      <c r="F30" s="43"/>
      <c r="G30" s="42"/>
      <c r="H30" s="68"/>
      <c r="I30" s="110"/>
      <c r="J30" s="111"/>
      <c r="K30" s="68"/>
      <c r="L30" s="107"/>
      <c r="M30" s="68"/>
      <c r="N30" s="40"/>
      <c r="O30" s="40"/>
      <c r="P30" s="40"/>
      <c r="Q30" s="40"/>
      <c r="R30" s="45"/>
    </row>
    <row r="31" spans="1:18" ht="19.95" customHeight="1">
      <c r="A31" s="288" t="s">
        <v>477</v>
      </c>
      <c r="B31" s="107"/>
      <c r="C31" s="67"/>
      <c r="D31" s="107"/>
      <c r="E31" s="41"/>
      <c r="F31" s="43"/>
      <c r="G31" s="42"/>
      <c r="H31" s="68"/>
      <c r="I31" s="111"/>
      <c r="J31" s="111"/>
      <c r="K31" s="68"/>
      <c r="L31" s="107"/>
      <c r="M31" s="68"/>
      <c r="N31" s="40"/>
      <c r="O31" s="40"/>
      <c r="P31" s="40"/>
      <c r="Q31" s="40"/>
      <c r="R31" s="45"/>
    </row>
    <row r="32" spans="1:18" ht="19.95" customHeight="1">
      <c r="A32" s="288"/>
      <c r="B32" s="107"/>
      <c r="C32" s="67"/>
      <c r="D32" s="107"/>
      <c r="E32" s="41"/>
      <c r="F32" s="43"/>
      <c r="G32" s="42"/>
      <c r="H32" s="112"/>
      <c r="I32" s="111"/>
      <c r="J32" s="111"/>
      <c r="K32" s="68"/>
      <c r="L32" s="107"/>
      <c r="M32" s="68"/>
      <c r="N32" s="40"/>
      <c r="O32" s="40"/>
      <c r="P32" s="40"/>
      <c r="Q32" s="40"/>
      <c r="R32" s="45"/>
    </row>
    <row r="33" spans="1:18" s="77" customFormat="1" ht="19.95" customHeight="1">
      <c r="A33" s="422" t="s">
        <v>364</v>
      </c>
      <c r="B33" s="423"/>
      <c r="C33" s="423"/>
      <c r="D33" s="423"/>
      <c r="E33" s="423"/>
      <c r="F33" s="423"/>
      <c r="G33" s="423"/>
      <c r="H33" s="424"/>
      <c r="I33" s="334">
        <f>SUM(I11:I32)</f>
        <v>0</v>
      </c>
      <c r="J33" s="334">
        <f>SUM(J11:J32)</f>
        <v>0</v>
      </c>
      <c r="K33" s="289"/>
      <c r="L33" s="290"/>
      <c r="M33" s="289"/>
      <c r="N33" s="291"/>
      <c r="O33" s="291"/>
      <c r="P33" s="291"/>
      <c r="Q33" s="292"/>
      <c r="R33" s="292"/>
    </row>
    <row r="34" spans="1:18" ht="19.95" customHeight="1">
      <c r="A34" s="6" t="s">
        <v>34</v>
      </c>
    </row>
    <row r="35" spans="1:18" ht="19.95" customHeight="1">
      <c r="A35" s="6"/>
    </row>
    <row r="36" spans="1:18" ht="19.95" customHeight="1">
      <c r="A36" s="6" t="s">
        <v>28</v>
      </c>
    </row>
  </sheetData>
  <mergeCells count="3">
    <mergeCell ref="A1:R1"/>
    <mergeCell ref="A2:R2"/>
    <mergeCell ref="A33:H33"/>
  </mergeCells>
  <phoneticPr fontId="6" type="noConversion"/>
  <dataValidations count="1">
    <dataValidation type="list" allowBlank="1" showInputMessage="1" showErrorMessage="1" sqref="N11:Q32">
      <formula1>"是,否"</formula1>
    </dataValidation>
  </dataValidations>
  <hyperlinks>
    <hyperlink ref="R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11</vt:i4>
      </vt:variant>
    </vt:vector>
  </HeadingPairs>
  <TitlesOfParts>
    <vt:vector size="20" baseType="lpstr">
      <vt:lpstr>底稿目录</vt:lpstr>
      <vt:lpstr>货币资金实质性程序表E26A</vt:lpstr>
      <vt:lpstr>现金交易分析E1-26</vt:lpstr>
      <vt:lpstr>现金截止测试E1-27</vt:lpstr>
      <vt:lpstr>现金收支检查表E1-28</vt:lpstr>
      <vt:lpstr>银行账户分析E1-29</vt:lpstr>
      <vt:lpstr>存款规模与利息收入匹配性分析E1-30</vt:lpstr>
      <vt:lpstr>银行流水双向核对表E1-31</vt:lpstr>
      <vt:lpstr>董监高及关键岗位流水核查E1-32</vt:lpstr>
      <vt:lpstr>'存款规模与利息收入匹配性分析E1-30'!Print_Area</vt:lpstr>
      <vt:lpstr>'董监高及关键岗位流水核查E1-32'!Print_Area</vt:lpstr>
      <vt:lpstr>货币资金实质性程序表E26A!Print_Area</vt:lpstr>
      <vt:lpstr>'现金交易分析E1-26'!Print_Area</vt:lpstr>
      <vt:lpstr>'现金截止测试E1-27'!Print_Area</vt:lpstr>
      <vt:lpstr>'现金收支检查表E1-28'!Print_Area</vt:lpstr>
      <vt:lpstr>'银行流水双向核对表E1-31'!Print_Area</vt:lpstr>
      <vt:lpstr>'银行账户分析E1-29'!Print_Area</vt:lpstr>
      <vt:lpstr>'存款规模与利息收入匹配性分析E1-30'!Print_Titles</vt:lpstr>
      <vt:lpstr>'董监高及关键岗位流水核查E1-32'!Print_Titles</vt:lpstr>
      <vt:lpstr>货币资金实质性程序表E26A!Print_Titles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Jiaqi 范家绮</dc:creator>
  <cp:lastModifiedBy>何先琴</cp:lastModifiedBy>
  <cp:lastPrinted>2025-10-27T09:43:23Z</cp:lastPrinted>
  <dcterms:created xsi:type="dcterms:W3CDTF">2015-06-05T18:19:34Z</dcterms:created>
  <dcterms:modified xsi:type="dcterms:W3CDTF">2025-11-03T03:36:12Z</dcterms:modified>
</cp:coreProperties>
</file>