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5.底稿模板\2025年底稿修订\1.已修订底稿\2025年底稿模板-10.31\E 货币资金循环\"/>
    </mc:Choice>
  </mc:AlternateContent>
  <bookViews>
    <workbookView xWindow="-108" yWindow="-108" windowWidth="19416" windowHeight="10416" tabRatio="855"/>
  </bookViews>
  <sheets>
    <sheet name="底稿目录" sheetId="11" r:id="rId1"/>
    <sheet name="企业信用报告信息查询记录E1-18" sheetId="4" r:id="rId2"/>
    <sheet name="企业信用报告信息与账面核对记录E1-19" sheetId="5" r:id="rId3"/>
    <sheet name="银行存款及其他货币资金应计利息测算E1-20" sheetId="2" r:id="rId4"/>
    <sheet name="银行存款截止测试表E1-21" sheetId="14" r:id="rId5"/>
    <sheet name="其他货币资金截止测试表E1-22" sheetId="17" r:id="rId6"/>
    <sheet name="货币资金收支检查情况表E1-23" sheetId="10" r:id="rId7"/>
  </sheets>
  <externalReferences>
    <externalReference r:id="rId8"/>
  </externalReferences>
  <definedNames>
    <definedName name="_xlnm.Print_Area" localSheetId="6">'货币资金收支检查情况表E1-23'!$A$1:$P$66</definedName>
    <definedName name="_xlnm.Print_Area" localSheetId="5">'其他货币资金截止测试表E1-22'!$A$1:$H$51</definedName>
    <definedName name="_xlnm.Print_Area" localSheetId="1">'企业信用报告信息查询记录E1-18'!$A$1:$G$20</definedName>
    <definedName name="_xlnm.Print_Area" localSheetId="2">'企业信用报告信息与账面核对记录E1-19'!$A$1:$I$55</definedName>
    <definedName name="_xlnm.Print_Area" localSheetId="3">'银行存款及其他货币资金应计利息测算E1-20'!$A$1:$M$29</definedName>
    <definedName name="_xlnm.Print_Area" localSheetId="4">'银行存款截止测试表E1-21'!$A$1:$H$52</definedName>
    <definedName name="_xlnm.Print_Titles" localSheetId="3">'银行存款及其他货币资金应计利息测算E1-20'!$A:$D,'银行存款及其他货币资金应计利息测算E1-20'!$1:$8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0" l="1"/>
  <c r="F63" i="10"/>
  <c r="J60" i="10"/>
  <c r="G60" i="10"/>
  <c r="J40" i="10"/>
  <c r="G40" i="10"/>
  <c r="H3" i="17" l="1"/>
  <c r="D4" i="17" l="1"/>
  <c r="C4" i="17"/>
  <c r="A4" i="17"/>
  <c r="D3" i="17"/>
  <c r="C3" i="17"/>
  <c r="A3" i="17"/>
  <c r="C20" i="5" l="1"/>
  <c r="D20" i="5"/>
  <c r="E20" i="5"/>
  <c r="F20" i="5"/>
  <c r="G20" i="5"/>
  <c r="H20" i="5"/>
  <c r="B20" i="5"/>
  <c r="E24" i="5" l="1"/>
  <c r="H24" i="5" s="1"/>
  <c r="E31" i="5" l="1"/>
  <c r="H31" i="5" s="1"/>
  <c r="P3" i="10" l="1"/>
  <c r="H3" i="14"/>
  <c r="M3" i="2"/>
  <c r="I3" i="5"/>
  <c r="G3" i="4"/>
  <c r="D3" i="14" l="1"/>
  <c r="D4" i="14"/>
  <c r="C4" i="14"/>
  <c r="A4" i="14"/>
  <c r="C3" i="14"/>
  <c r="A3" i="14"/>
  <c r="J10" i="2" l="1"/>
  <c r="J4" i="10" l="1"/>
  <c r="J3" i="10"/>
  <c r="E4" i="10"/>
  <c r="A4" i="10"/>
  <c r="E3" i="10"/>
  <c r="A3" i="10"/>
  <c r="F4" i="5"/>
  <c r="D4" i="5"/>
  <c r="A4" i="5"/>
  <c r="F3" i="5"/>
  <c r="D3" i="5"/>
  <c r="A3" i="5"/>
  <c r="D4" i="4"/>
  <c r="B4" i="4"/>
  <c r="A4" i="4"/>
  <c r="D3" i="4"/>
  <c r="B3" i="4"/>
  <c r="A3" i="4"/>
  <c r="H4" i="2"/>
  <c r="D4" i="2"/>
  <c r="A4" i="2"/>
  <c r="H3" i="2"/>
  <c r="D3" i="2"/>
  <c r="A3" i="2"/>
  <c r="E25" i="5" l="1"/>
  <c r="H25" i="5" s="1"/>
  <c r="E26" i="5"/>
  <c r="H26" i="5" s="1"/>
  <c r="E27" i="5"/>
  <c r="H27" i="5" s="1"/>
  <c r="E28" i="5"/>
  <c r="H28" i="5" s="1"/>
  <c r="E29" i="5"/>
  <c r="H29" i="5" s="1"/>
  <c r="E30" i="5"/>
  <c r="H30" i="5" s="1"/>
  <c r="L10" i="2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L25" i="2" l="1"/>
  <c r="E63" i="10" l="1"/>
  <c r="G63" i="10" s="1"/>
  <c r="E64" i="10"/>
  <c r="G64" i="10" s="1"/>
</calcChain>
</file>

<file path=xl/sharedStrings.xml><?xml version="1.0" encoding="utf-8"?>
<sst xmlns="http://schemas.openxmlformats.org/spreadsheetml/2006/main" count="299" uniqueCount="221">
  <si>
    <r>
      <rPr>
        <b/>
        <sz val="10"/>
        <rFont val="宋体"/>
        <family val="3"/>
        <charset val="134"/>
      </rPr>
      <t>四、审计结论：</t>
    </r>
    <phoneticPr fontId="9" type="noConversion"/>
  </si>
  <si>
    <r>
      <rPr>
        <b/>
        <sz val="10"/>
        <rFont val="宋体"/>
        <family val="3"/>
        <charset val="134"/>
      </rPr>
      <t>三、审计说明：</t>
    </r>
    <phoneticPr fontId="9" type="noConversion"/>
  </si>
  <si>
    <t>备注</t>
    <phoneticPr fontId="9" type="noConversion"/>
  </si>
  <si>
    <r>
      <rPr>
        <b/>
        <sz val="10"/>
        <rFont val="宋体"/>
        <family val="3"/>
        <charset val="134"/>
      </rPr>
      <t>开户银行</t>
    </r>
    <phoneticPr fontId="9" type="noConversion"/>
  </si>
  <si>
    <r>
      <rPr>
        <b/>
        <sz val="10"/>
        <rFont val="宋体"/>
        <family val="3"/>
        <charset val="134"/>
      </rPr>
      <t>二、审计过程：</t>
    </r>
    <phoneticPr fontId="9" type="noConversion"/>
  </si>
  <si>
    <r>
      <rPr>
        <b/>
        <sz val="10"/>
        <color indexed="8"/>
        <rFont val="宋体"/>
        <family val="3"/>
        <charset val="134"/>
      </rPr>
      <t>一、审计目标</t>
    </r>
    <r>
      <rPr>
        <b/>
        <sz val="10"/>
        <color indexed="8"/>
        <rFont val="Arial Narrow"/>
        <family val="2"/>
      </rPr>
      <t>:</t>
    </r>
    <phoneticPr fontId="18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</si>
  <si>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10" type="noConversion"/>
  </si>
  <si>
    <t>银行存款及其他货币资金应计利息测算表</t>
    <phoneticPr fontId="9" type="noConversion"/>
  </si>
  <si>
    <t>致同会计师事务所</t>
  </si>
  <si>
    <r>
      <rPr>
        <b/>
        <sz val="10"/>
        <rFont val="宋体"/>
        <family val="3"/>
        <charset val="134"/>
      </rPr>
      <t>审计人员签字：</t>
    </r>
  </si>
  <si>
    <r>
      <rPr>
        <b/>
        <sz val="10"/>
        <rFont val="宋体"/>
        <family val="3"/>
        <charset val="134"/>
      </rPr>
      <t>被审计单位参加人员签字：</t>
    </r>
    <phoneticPr fontId="9" type="noConversion"/>
  </si>
  <si>
    <r>
      <rPr>
        <sz val="10"/>
        <rFont val="宋体"/>
        <family val="3"/>
        <charset val="134"/>
      </rPr>
      <t>六、查询结果：</t>
    </r>
    <phoneticPr fontId="9" type="noConversion"/>
  </si>
  <si>
    <r>
      <rPr>
        <sz val="10"/>
        <rFont val="宋体"/>
        <family val="3"/>
        <charset val="134"/>
      </rPr>
      <t>（打印件附后）</t>
    </r>
  </si>
  <si>
    <r>
      <t>3</t>
    </r>
    <r>
      <rPr>
        <sz val="10"/>
        <rFont val="宋体"/>
        <family val="3"/>
        <charset val="134"/>
      </rPr>
      <t>、信贷信息查询：</t>
    </r>
  </si>
  <si>
    <r>
      <rPr>
        <sz val="10"/>
        <rFont val="宋体"/>
        <family val="3"/>
        <charset val="134"/>
      </rPr>
      <t>页次：</t>
    </r>
  </si>
  <si>
    <r>
      <rPr>
        <sz val="10"/>
        <rFont val="宋体"/>
        <family val="3"/>
        <charset val="134"/>
      </rPr>
      <t>索引号：</t>
    </r>
  </si>
  <si>
    <t>企业信用报告查询记录</t>
    <phoneticPr fontId="9" type="noConversion"/>
  </si>
  <si>
    <t>信用证</t>
  </si>
  <si>
    <r>
      <rPr>
        <b/>
        <sz val="10"/>
        <color indexed="8"/>
        <rFont val="宋体"/>
        <family val="3"/>
        <charset val="134"/>
      </rPr>
      <t>一、审计目标</t>
    </r>
    <r>
      <rPr>
        <b/>
        <i/>
        <sz val="10"/>
        <color indexed="8"/>
        <rFont val="宋体"/>
        <family val="3"/>
        <charset val="134"/>
      </rPr>
      <t>：</t>
    </r>
    <phoneticPr fontId="9" type="noConversion"/>
  </si>
  <si>
    <t>企业信用报告信息与账面核对记录</t>
    <phoneticPr fontId="9" type="noConversion"/>
  </si>
  <si>
    <r>
      <rPr>
        <sz val="10"/>
        <rFont val="宋体"/>
        <family val="3"/>
        <charset val="134"/>
      </rPr>
      <t>索引号：</t>
    </r>
    <phoneticPr fontId="9" type="noConversion"/>
  </si>
  <si>
    <r>
      <rPr>
        <b/>
        <sz val="10"/>
        <rFont val="宋体"/>
        <family val="3"/>
        <charset val="134"/>
      </rPr>
      <t>业务内容</t>
    </r>
    <phoneticPr fontId="9" type="noConversion"/>
  </si>
  <si>
    <r>
      <rPr>
        <b/>
        <sz val="10"/>
        <rFont val="宋体"/>
        <family val="3"/>
        <charset val="134"/>
      </rPr>
      <t>二、审计过程</t>
    </r>
    <phoneticPr fontId="9" type="noConversion"/>
  </si>
  <si>
    <r>
      <rPr>
        <b/>
        <sz val="10"/>
        <rFont val="宋体"/>
        <family val="3"/>
        <charset val="134"/>
      </rPr>
      <t>一、审计目标</t>
    </r>
    <phoneticPr fontId="9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</si>
  <si>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</t>
    </r>
    <r>
      <rPr>
        <sz val="10"/>
        <rFont val="宋体"/>
        <family val="3"/>
        <charset val="134"/>
      </rPr>
      <t>次：</t>
    </r>
    <phoneticPr fontId="9" type="noConversion"/>
  </si>
  <si>
    <r>
      <rPr>
        <b/>
        <sz val="10"/>
        <rFont val="宋体"/>
        <family val="3"/>
        <charset val="134"/>
      </rPr>
      <t>日期</t>
    </r>
  </si>
  <si>
    <r>
      <rPr>
        <b/>
        <sz val="10"/>
        <rFont val="宋体"/>
        <family val="3"/>
        <charset val="134"/>
      </rPr>
      <t>测试凭证内容</t>
    </r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</si>
  <si>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</t>
    </r>
    <r>
      <rPr>
        <sz val="10"/>
        <rFont val="宋体"/>
        <family val="3"/>
        <charset val="134"/>
      </rPr>
      <t>次：</t>
    </r>
    <phoneticPr fontId="9" type="noConversion"/>
  </si>
  <si>
    <r>
      <rPr>
        <b/>
        <sz val="10"/>
        <rFont val="宋体"/>
        <family val="3"/>
        <charset val="134"/>
      </rPr>
      <t>五、审计结论：</t>
    </r>
    <phoneticPr fontId="9" type="noConversion"/>
  </si>
  <si>
    <r>
      <rPr>
        <b/>
        <sz val="10"/>
        <rFont val="宋体"/>
        <family val="3"/>
        <charset val="134"/>
      </rPr>
      <t>四、审计说明：</t>
    </r>
    <phoneticPr fontId="27" type="noConversion"/>
  </si>
  <si>
    <t>……</t>
    <phoneticPr fontId="9" type="noConversion"/>
  </si>
  <si>
    <r>
      <rPr>
        <b/>
        <sz val="10"/>
        <rFont val="宋体"/>
        <family val="3"/>
        <charset val="134"/>
      </rPr>
      <t>对方科目</t>
    </r>
    <phoneticPr fontId="9" type="noConversion"/>
  </si>
  <si>
    <r>
      <rPr>
        <b/>
        <sz val="10"/>
        <rFont val="宋体"/>
        <family val="3"/>
        <charset val="134"/>
      </rPr>
      <t>凭证编号</t>
    </r>
  </si>
  <si>
    <t>货币资金收支检查情况表</t>
    <phoneticPr fontId="9" type="noConversion"/>
  </si>
  <si>
    <r>
      <t xml:space="preserve">     </t>
    </r>
    <r>
      <rPr>
        <sz val="10"/>
        <rFont val="宋体"/>
        <family val="3"/>
        <charset val="134"/>
      </rPr>
      <t>年</t>
    </r>
    <r>
      <rPr>
        <sz val="10"/>
        <rFont val="Arial Narrow"/>
        <family val="2"/>
      </rPr>
      <t xml:space="preserve">   </t>
    </r>
    <r>
      <rPr>
        <sz val="10"/>
        <rFont val="宋体"/>
        <family val="3"/>
        <charset val="134"/>
      </rPr>
      <t>月</t>
    </r>
    <r>
      <rPr>
        <sz val="10"/>
        <rFont val="Arial Narrow"/>
        <family val="2"/>
      </rPr>
      <t xml:space="preserve">   </t>
    </r>
    <r>
      <rPr>
        <sz val="10"/>
        <rFont val="宋体"/>
        <family val="3"/>
        <charset val="134"/>
      </rPr>
      <t>日</t>
    </r>
  </si>
  <si>
    <t>银行保函</t>
  </si>
  <si>
    <t>类别</t>
    <phoneticPr fontId="9" type="noConversion"/>
  </si>
  <si>
    <r>
      <rPr>
        <sz val="10"/>
        <color rgb="FFC00000"/>
        <rFont val="宋体"/>
        <family val="3"/>
        <charset val="134"/>
      </rPr>
      <t>从贷款卡上信息表明企业的信贷信息正常。</t>
    </r>
  </si>
  <si>
    <r>
      <rPr>
        <sz val="10"/>
        <rFont val="宋体"/>
        <family val="3"/>
        <charset val="134"/>
      </rPr>
      <t>未结清的信贷信息中：</t>
    </r>
    <r>
      <rPr>
        <sz val="10"/>
        <color rgb="FFC00000"/>
        <rFont val="宋体"/>
        <family val="3"/>
        <charset val="134"/>
      </rPr>
      <t>保函、承兑汇票及票据贴现（未到期的票据贴现）已与企业账面核对一致。</t>
    </r>
    <phoneticPr fontId="9" type="noConversion"/>
  </si>
  <si>
    <t>银行存款截止测试表</t>
    <phoneticPr fontId="9" type="noConversion"/>
  </si>
  <si>
    <t>E1-25</t>
  </si>
  <si>
    <t>E1-21</t>
  </si>
  <si>
    <t>E1-22</t>
  </si>
  <si>
    <t>E1-23</t>
  </si>
  <si>
    <t>E1-24</t>
  </si>
  <si>
    <r>
      <rPr>
        <b/>
        <sz val="12"/>
        <rFont val="宋体"/>
        <family val="3"/>
        <charset val="134"/>
      </rPr>
      <t>底稿开列时，可先在以下单元格填写有关内容，以便其他底稿引用有关数据：</t>
    </r>
    <phoneticPr fontId="9" type="noConversion"/>
  </si>
  <si>
    <r>
      <rPr>
        <b/>
        <sz val="10"/>
        <color indexed="8"/>
        <rFont val="宋体"/>
        <family val="3"/>
        <charset val="134"/>
      </rPr>
      <t>序号</t>
    </r>
  </si>
  <si>
    <r>
      <rPr>
        <b/>
        <sz val="10"/>
        <color indexed="8"/>
        <rFont val="宋体"/>
        <family val="3"/>
        <charset val="134"/>
      </rPr>
      <t>索引号</t>
    </r>
  </si>
  <si>
    <r>
      <rPr>
        <b/>
        <sz val="10"/>
        <color indexed="8"/>
        <rFont val="宋体"/>
        <family val="3"/>
        <charset val="134"/>
      </rPr>
      <t>备注</t>
    </r>
  </si>
  <si>
    <r>
      <rPr>
        <sz val="10"/>
        <rFont val="宋体"/>
        <family val="3"/>
        <charset val="134"/>
      </rPr>
      <t>一、参加人员：</t>
    </r>
    <phoneticPr fontId="9" type="noConversion"/>
  </si>
  <si>
    <r>
      <rPr>
        <sz val="10"/>
        <rFont val="宋体"/>
        <family val="3"/>
        <charset val="134"/>
      </rPr>
      <t>客户人员：</t>
    </r>
    <r>
      <rPr>
        <sz val="10"/>
        <rFont val="Arial Narrow"/>
        <family val="2"/>
      </rPr>
      <t xml:space="preserve">                                                                         </t>
    </r>
  </si>
  <si>
    <r>
      <rPr>
        <sz val="10"/>
        <rFont val="宋体"/>
        <family val="3"/>
        <charset val="134"/>
      </rPr>
      <t>审计人员：</t>
    </r>
  </si>
  <si>
    <r>
      <rPr>
        <sz val="10"/>
        <rFont val="宋体"/>
        <family val="3"/>
        <charset val="134"/>
      </rPr>
      <t>银行协助查询人员（如有）：</t>
    </r>
    <phoneticPr fontId="4" type="noConversion"/>
  </si>
  <si>
    <r>
      <rPr>
        <sz val="10"/>
        <rFont val="宋体"/>
        <family val="3"/>
        <charset val="134"/>
      </rPr>
      <t>二、报告时间：</t>
    </r>
    <phoneticPr fontId="4" type="noConversion"/>
  </si>
  <si>
    <r>
      <rPr>
        <sz val="10"/>
        <rFont val="宋体"/>
        <family val="3"/>
        <charset val="134"/>
      </rPr>
      <t>三、借款人名称：</t>
    </r>
    <phoneticPr fontId="4" type="noConversion"/>
  </si>
  <si>
    <r>
      <rPr>
        <sz val="10"/>
        <rFont val="宋体"/>
        <family val="3"/>
        <charset val="134"/>
      </rPr>
      <t>征信人代码：</t>
    </r>
  </si>
  <si>
    <r>
      <rPr>
        <sz val="10"/>
        <rFont val="宋体"/>
        <family val="3"/>
        <charset val="134"/>
      </rPr>
      <t>贷款卡编码：</t>
    </r>
  </si>
  <si>
    <r>
      <rPr>
        <sz val="10"/>
        <rFont val="宋体"/>
        <family val="3"/>
        <charset val="134"/>
      </rPr>
      <t>四、查询情况：在银行计算机上输入贷款卡卡号和密码（或由企业具有操作权限的人员登录网银）后，进入银行信贷咨询系统，查询了以下主要内容：</t>
    </r>
    <phoneticPr fontId="4" type="noConversion"/>
  </si>
  <si>
    <r>
      <t>1</t>
    </r>
    <r>
      <rPr>
        <sz val="10"/>
        <rFont val="宋体"/>
        <family val="3"/>
        <charset val="134"/>
      </rPr>
      <t>、征信人概况查询：</t>
    </r>
  </si>
  <si>
    <r>
      <t>2</t>
    </r>
    <r>
      <rPr>
        <sz val="10"/>
        <rFont val="宋体"/>
        <family val="3"/>
        <charset val="134"/>
      </rPr>
      <t>、征信人财务信息：</t>
    </r>
  </si>
  <si>
    <r>
      <rPr>
        <sz val="10"/>
        <rFont val="宋体"/>
        <family val="3"/>
        <charset val="134"/>
      </rPr>
      <t>征信报告信息附后，索引号：</t>
    </r>
    <phoneticPr fontId="9" type="noConversion"/>
  </si>
  <si>
    <r>
      <rPr>
        <sz val="10"/>
        <rFont val="宋体"/>
        <family val="3"/>
        <charset val="134"/>
      </rPr>
      <t>页次：</t>
    </r>
    <phoneticPr fontId="10" type="noConversion"/>
  </si>
  <si>
    <r>
      <rPr>
        <b/>
        <sz val="10"/>
        <rFont val="宋体"/>
        <family val="3"/>
        <charset val="134"/>
      </rPr>
      <t>征信报告信息</t>
    </r>
    <phoneticPr fontId="9" type="noConversion"/>
  </si>
  <si>
    <r>
      <rPr>
        <b/>
        <sz val="10"/>
        <rFont val="宋体"/>
        <family val="3"/>
        <charset val="134"/>
      </rPr>
      <t>企业账面</t>
    </r>
    <phoneticPr fontId="9" type="noConversion"/>
  </si>
  <si>
    <r>
      <rPr>
        <b/>
        <sz val="10"/>
        <rFont val="宋体"/>
        <family val="3"/>
        <charset val="134"/>
      </rPr>
      <t>核对</t>
    </r>
    <phoneticPr fontId="9" type="noConversion"/>
  </si>
  <si>
    <r>
      <rPr>
        <b/>
        <sz val="10"/>
        <rFont val="宋体"/>
        <family val="3"/>
        <charset val="134"/>
      </rPr>
      <t>出资方</t>
    </r>
    <phoneticPr fontId="9" type="noConversion"/>
  </si>
  <si>
    <r>
      <rPr>
        <b/>
        <sz val="10"/>
        <rFont val="宋体"/>
        <family val="3"/>
        <charset val="134"/>
      </rPr>
      <t>出资比例</t>
    </r>
    <phoneticPr fontId="9" type="noConversion"/>
  </si>
  <si>
    <r>
      <rPr>
        <b/>
        <sz val="10"/>
        <rFont val="宋体"/>
        <family val="3"/>
        <charset val="134"/>
      </rPr>
      <t>类别</t>
    </r>
    <phoneticPr fontId="9" type="noConversion"/>
  </si>
  <si>
    <r>
      <rPr>
        <b/>
        <sz val="10"/>
        <rFont val="宋体"/>
        <family val="3"/>
        <charset val="134"/>
      </rPr>
      <t>总账科目名称</t>
    </r>
    <phoneticPr fontId="9" type="noConversion"/>
  </si>
  <si>
    <r>
      <rPr>
        <b/>
        <sz val="10"/>
        <rFont val="宋体"/>
        <family val="3"/>
        <charset val="134"/>
      </rPr>
      <t>差异原因</t>
    </r>
    <phoneticPr fontId="9" type="noConversion"/>
  </si>
  <si>
    <r>
      <rPr>
        <b/>
        <sz val="10"/>
        <rFont val="宋体"/>
        <family val="3"/>
        <charset val="134"/>
      </rPr>
      <t>银行账号</t>
    </r>
    <phoneticPr fontId="10" type="noConversion"/>
  </si>
  <si>
    <r>
      <rPr>
        <b/>
        <sz val="10"/>
        <rFont val="宋体"/>
        <family val="3"/>
        <charset val="134"/>
      </rPr>
      <t>账户性质</t>
    </r>
    <r>
      <rPr>
        <b/>
        <sz val="10"/>
        <rFont val="Arial Narrow"/>
        <family val="2"/>
      </rPr>
      <t>/</t>
    </r>
    <r>
      <rPr>
        <b/>
        <sz val="10"/>
        <rFont val="宋体"/>
        <family val="3"/>
        <charset val="134"/>
      </rPr>
      <t>主要用途</t>
    </r>
  </si>
  <si>
    <r>
      <rPr>
        <b/>
        <sz val="10"/>
        <rFont val="宋体"/>
        <family val="3"/>
        <charset val="134"/>
      </rPr>
      <t>原币币种</t>
    </r>
    <phoneticPr fontId="10" type="noConversion"/>
  </si>
  <si>
    <r>
      <rPr>
        <b/>
        <sz val="10"/>
        <rFont val="宋体"/>
        <family val="3"/>
        <charset val="134"/>
      </rPr>
      <t>原币金额</t>
    </r>
    <phoneticPr fontId="10" type="noConversion"/>
  </si>
  <si>
    <r>
      <rPr>
        <b/>
        <sz val="10"/>
        <rFont val="宋体"/>
        <family val="3"/>
        <charset val="134"/>
      </rPr>
      <t>结息日</t>
    </r>
    <phoneticPr fontId="10" type="noConversion"/>
  </si>
  <si>
    <r>
      <rPr>
        <b/>
        <sz val="10"/>
        <rFont val="宋体"/>
        <family val="3"/>
        <charset val="134"/>
      </rPr>
      <t>截止日</t>
    </r>
    <phoneticPr fontId="10" type="noConversion"/>
  </si>
  <si>
    <r>
      <rPr>
        <b/>
        <sz val="10"/>
        <rFont val="宋体"/>
        <family val="3"/>
        <charset val="134"/>
      </rPr>
      <t>应计利息天数</t>
    </r>
    <phoneticPr fontId="10" type="noConversion"/>
  </si>
  <si>
    <r>
      <rPr>
        <b/>
        <sz val="10"/>
        <rFont val="宋体"/>
        <family val="3"/>
        <charset val="134"/>
      </rPr>
      <t>日利率</t>
    </r>
    <phoneticPr fontId="10" type="noConversion"/>
  </si>
  <si>
    <r>
      <rPr>
        <b/>
        <sz val="10"/>
        <rFont val="宋体"/>
        <family val="3"/>
        <charset val="134"/>
      </rPr>
      <t>应计利息（原币金额）</t>
    </r>
    <phoneticPr fontId="10" type="noConversion"/>
  </si>
  <si>
    <r>
      <rPr>
        <b/>
        <sz val="10"/>
        <rFont val="宋体"/>
        <family val="3"/>
        <charset val="134"/>
      </rPr>
      <t>折算汇率</t>
    </r>
    <phoneticPr fontId="10" type="noConversion"/>
  </si>
  <si>
    <r>
      <rPr>
        <b/>
        <sz val="10"/>
        <rFont val="宋体"/>
        <family val="3"/>
        <charset val="134"/>
      </rPr>
      <t>应计利息（人民币金额）</t>
    </r>
    <phoneticPr fontId="10" type="noConversion"/>
  </si>
  <si>
    <r>
      <rPr>
        <b/>
        <sz val="10"/>
        <rFont val="宋体"/>
        <family val="3"/>
        <charset val="134"/>
      </rPr>
      <t>备注</t>
    </r>
    <phoneticPr fontId="9" type="noConversion"/>
  </si>
  <si>
    <r>
      <rPr>
        <b/>
        <sz val="10"/>
        <rFont val="宋体"/>
        <family val="3"/>
        <charset val="134"/>
      </rPr>
      <t>合</t>
    </r>
    <r>
      <rPr>
        <b/>
        <sz val="10"/>
        <rFont val="Arial Narrow"/>
        <family val="2"/>
      </rPr>
      <t xml:space="preserve"> </t>
    </r>
    <r>
      <rPr>
        <b/>
        <sz val="10"/>
        <rFont val="宋体"/>
        <family val="3"/>
        <charset val="134"/>
      </rPr>
      <t>计</t>
    </r>
    <phoneticPr fontId="10" type="noConversion"/>
  </si>
  <si>
    <r>
      <rPr>
        <b/>
        <sz val="10"/>
        <rFont val="宋体"/>
        <family val="3"/>
        <charset val="134"/>
      </rPr>
      <t>收付款凭单日期</t>
    </r>
  </si>
  <si>
    <r>
      <rPr>
        <b/>
        <sz val="10"/>
        <rFont val="宋体"/>
        <family val="3"/>
        <charset val="134"/>
      </rPr>
      <t>是否跨期</t>
    </r>
    <phoneticPr fontId="4" type="noConversion"/>
  </si>
  <si>
    <r>
      <rPr>
        <b/>
        <sz val="10"/>
        <rFont val="宋体"/>
        <family val="3"/>
        <charset val="134"/>
      </rPr>
      <t>借方金额</t>
    </r>
  </si>
  <si>
    <r>
      <rPr>
        <b/>
        <sz val="10"/>
        <rFont val="宋体"/>
        <family val="3"/>
        <charset val="134"/>
      </rPr>
      <t>贷方金额</t>
    </r>
  </si>
  <si>
    <r>
      <rPr>
        <b/>
        <sz val="10"/>
        <rFont val="宋体"/>
        <family val="3"/>
        <charset val="134"/>
      </rPr>
      <t>二、样本选取标准与规模：</t>
    </r>
    <phoneticPr fontId="27" type="noConversion"/>
  </si>
  <si>
    <r>
      <rPr>
        <b/>
        <sz val="10"/>
        <rFont val="宋体"/>
        <family val="3"/>
        <charset val="134"/>
      </rPr>
      <t>三、测试：</t>
    </r>
    <phoneticPr fontId="27" type="noConversion"/>
  </si>
  <si>
    <r>
      <rPr>
        <b/>
        <sz val="10"/>
        <rFont val="宋体"/>
        <family val="3"/>
        <charset val="134"/>
      </rPr>
      <t>所属科目</t>
    </r>
    <phoneticPr fontId="9" type="noConversion"/>
  </si>
  <si>
    <r>
      <rPr>
        <b/>
        <sz val="10"/>
        <rFont val="宋体"/>
        <family val="3"/>
        <charset val="134"/>
      </rPr>
      <t>借方金额</t>
    </r>
    <phoneticPr fontId="9" type="noConversion"/>
  </si>
  <si>
    <r>
      <rPr>
        <b/>
        <sz val="10"/>
        <rFont val="宋体"/>
        <family val="3"/>
        <charset val="134"/>
      </rPr>
      <t>银行回单</t>
    </r>
    <phoneticPr fontId="9" type="noConversion"/>
  </si>
  <si>
    <r>
      <rPr>
        <b/>
        <sz val="10"/>
        <rFont val="宋体"/>
        <family val="3"/>
        <charset val="134"/>
      </rPr>
      <t>索引号</t>
    </r>
    <phoneticPr fontId="9" type="noConversion"/>
  </si>
  <si>
    <r>
      <rPr>
        <b/>
        <sz val="10"/>
        <rFont val="宋体"/>
        <family val="3"/>
        <charset val="134"/>
      </rPr>
      <t>是否异常</t>
    </r>
    <phoneticPr fontId="9" type="noConversion"/>
  </si>
  <si>
    <r>
      <rPr>
        <b/>
        <sz val="10"/>
        <rFont val="宋体"/>
        <family val="3"/>
        <charset val="134"/>
      </rPr>
      <t>日期</t>
    </r>
    <phoneticPr fontId="9" type="noConversion"/>
  </si>
  <si>
    <r>
      <rPr>
        <b/>
        <sz val="10"/>
        <rFont val="宋体"/>
        <family val="3"/>
        <charset val="134"/>
      </rPr>
      <t>付款方</t>
    </r>
    <phoneticPr fontId="9" type="noConversion"/>
  </si>
  <si>
    <r>
      <rPr>
        <b/>
        <sz val="10"/>
        <rFont val="宋体"/>
        <family val="3"/>
        <charset val="134"/>
      </rPr>
      <t>金额</t>
    </r>
    <phoneticPr fontId="9" type="noConversion"/>
  </si>
  <si>
    <r>
      <rPr>
        <b/>
        <sz val="10"/>
        <rFont val="宋体"/>
        <family val="3"/>
        <charset val="134"/>
      </rPr>
      <t>贷方金额</t>
    </r>
    <phoneticPr fontId="9" type="noConversion"/>
  </si>
  <si>
    <r>
      <rPr>
        <b/>
        <sz val="10"/>
        <rFont val="宋体"/>
        <family val="3"/>
        <charset val="134"/>
      </rPr>
      <t>付款审批单</t>
    </r>
    <phoneticPr fontId="4" type="noConversion"/>
  </si>
  <si>
    <r>
      <rPr>
        <b/>
        <sz val="10"/>
        <rFont val="宋体"/>
        <family val="3"/>
        <charset val="134"/>
      </rPr>
      <t>收款方</t>
    </r>
    <phoneticPr fontId="9" type="noConversion"/>
  </si>
  <si>
    <r>
      <rPr>
        <b/>
        <sz val="10"/>
        <color rgb="FFFF0000"/>
        <rFont val="宋体"/>
        <family val="3"/>
        <charset val="134"/>
      </rPr>
      <t>日期</t>
    </r>
    <r>
      <rPr>
        <b/>
        <sz val="10"/>
        <color rgb="FFFF0000"/>
        <rFont val="Arial Narrow"/>
        <family val="2"/>
      </rPr>
      <t>/</t>
    </r>
    <r>
      <rPr>
        <b/>
        <sz val="10"/>
        <color rgb="FFFF0000"/>
        <rFont val="宋体"/>
        <family val="3"/>
        <charset val="134"/>
      </rPr>
      <t>编号</t>
    </r>
    <phoneticPr fontId="9" type="noConversion"/>
  </si>
  <si>
    <t>中长期借款</t>
    <phoneticPr fontId="9" type="noConversion"/>
  </si>
  <si>
    <t>短期借款</t>
    <phoneticPr fontId="9" type="noConversion"/>
  </si>
  <si>
    <t>银行承兑汇票</t>
  </si>
  <si>
    <t>…</t>
    <phoneticPr fontId="9" type="noConversion"/>
  </si>
  <si>
    <t>贴现</t>
  </si>
  <si>
    <t>…</t>
    <phoneticPr fontId="10" type="noConversion"/>
  </si>
  <si>
    <r>
      <rPr>
        <sz val="10"/>
        <color rgb="FFFF0000"/>
        <rFont val="宋体"/>
        <family val="3"/>
        <charset val="134"/>
      </rPr>
      <t>中长期借款</t>
    </r>
    <phoneticPr fontId="10" type="noConversion"/>
  </si>
  <si>
    <r>
      <rPr>
        <sz val="10"/>
        <color rgb="FFFF0000"/>
        <rFont val="宋体"/>
        <family val="3"/>
        <charset val="134"/>
      </rPr>
      <t>循环透支</t>
    </r>
    <phoneticPr fontId="10" type="noConversion"/>
  </si>
  <si>
    <r>
      <rPr>
        <sz val="10"/>
        <color rgb="FFFF0000"/>
        <rFont val="宋体"/>
        <family val="3"/>
        <charset val="134"/>
      </rPr>
      <t>银行承兑汇票</t>
    </r>
    <phoneticPr fontId="10" type="noConversion"/>
  </si>
  <si>
    <r>
      <rPr>
        <sz val="10"/>
        <color rgb="FFFF0000"/>
        <rFont val="宋体"/>
        <family val="3"/>
        <charset val="134"/>
      </rPr>
      <t>信用证</t>
    </r>
  </si>
  <si>
    <r>
      <rPr>
        <sz val="10"/>
        <color rgb="FFFF0000"/>
        <rFont val="宋体"/>
        <family val="3"/>
        <charset val="134"/>
      </rPr>
      <t>银行保函</t>
    </r>
  </si>
  <si>
    <r>
      <rPr>
        <sz val="10"/>
        <color rgb="FFFF0000"/>
        <rFont val="宋体"/>
        <family val="3"/>
        <charset val="134"/>
      </rPr>
      <t>贴现</t>
    </r>
    <phoneticPr fontId="10" type="noConversion"/>
  </si>
  <si>
    <t>不一致原因</t>
    <phoneticPr fontId="9" type="noConversion"/>
  </si>
  <si>
    <t>（一）注册资本及主要出资人信息</t>
    <phoneticPr fontId="9" type="noConversion"/>
  </si>
  <si>
    <t>（四）担保事项</t>
    <phoneticPr fontId="9" type="noConversion"/>
  </si>
  <si>
    <t>（二）征信报告信息与账面核对记录</t>
    <phoneticPr fontId="9" type="noConversion"/>
  </si>
  <si>
    <t>1.本期借方金额检查</t>
    <phoneticPr fontId="9" type="noConversion"/>
  </si>
  <si>
    <t>2.本期贷方金额检查</t>
    <phoneticPr fontId="9" type="noConversion"/>
  </si>
  <si>
    <t>内容</t>
  </si>
  <si>
    <t>企业信用报告信息查询记录</t>
    <phoneticPr fontId="10" type="noConversion"/>
  </si>
  <si>
    <t>企业信用报告信息与账面核对记录</t>
    <phoneticPr fontId="10" type="noConversion"/>
  </si>
  <si>
    <t>银行存款及其他货币资金应计利息测算</t>
    <phoneticPr fontId="10" type="noConversion"/>
  </si>
  <si>
    <t>银行存款截止测试表</t>
    <phoneticPr fontId="10" type="noConversion"/>
  </si>
  <si>
    <t>其他货币资金截止测试表</t>
    <phoneticPr fontId="10" type="noConversion"/>
  </si>
  <si>
    <t>货币资金收支检查表</t>
    <phoneticPr fontId="10" type="noConversion"/>
  </si>
  <si>
    <t>自定义底稿</t>
    <phoneticPr fontId="10" type="noConversion"/>
  </si>
  <si>
    <r>
      <rPr>
        <b/>
        <sz val="10"/>
        <rFont val="宋体"/>
        <family val="3"/>
        <charset val="134"/>
      </rPr>
      <t>对方明细科目</t>
    </r>
    <phoneticPr fontId="9" type="noConversion"/>
  </si>
  <si>
    <t>测试总体：</t>
    <phoneticPr fontId="9" type="noConversion"/>
  </si>
  <si>
    <t>特定样本：</t>
    <phoneticPr fontId="9" type="noConversion"/>
  </si>
  <si>
    <t>XX金额以上（大额）、关联方/关联交易形成的款项、XX异常款项全部测试，共XX笔；</t>
    <phoneticPr fontId="9" type="noConversion"/>
  </si>
  <si>
    <t>抽样总体：</t>
    <phoneticPr fontId="9" type="noConversion"/>
  </si>
  <si>
    <t>测试总体扣除特定样本以外的样本，共XX笔、金额XX</t>
    <phoneticPr fontId="9" type="noConversion"/>
  </si>
  <si>
    <t>确定的抽样样本量：</t>
    <phoneticPr fontId="9" type="noConversion"/>
  </si>
  <si>
    <t>抽取XX笔</t>
    <phoneticPr fontId="9" type="noConversion"/>
  </si>
  <si>
    <t>（如果使用了样本计算器计算样本量，样本量计算过程见&lt;XX&gt;底稿）</t>
    <phoneticPr fontId="9" type="noConversion"/>
  </si>
  <si>
    <t>抽样方法：</t>
    <phoneticPr fontId="9" type="noConversion"/>
  </si>
  <si>
    <t>抽样过程：</t>
    <phoneticPr fontId="9" type="noConversion"/>
  </si>
  <si>
    <t>使用IDEA（XX抽样工具）选择XX数量、金额XX的样本进行测试，抽样工具中的样本选择过程和结果见&lt;XX&gt;底稿</t>
    <phoneticPr fontId="9" type="noConversion"/>
  </si>
  <si>
    <t>如货币资金借方发生额所有凭证共XX笔金额XX、贷方发生额所有凭证共XX笔金额XX</t>
    <phoneticPr fontId="9" type="noConversion"/>
  </si>
  <si>
    <r>
      <t>1.</t>
    </r>
    <r>
      <rPr>
        <sz val="10"/>
        <rFont val="宋体"/>
        <family val="3"/>
        <charset val="134"/>
      </rPr>
      <t>资产负债表中记录的货币资金是存在的，且已记录于恰当的账户；</t>
    </r>
    <phoneticPr fontId="4" type="noConversion"/>
  </si>
  <si>
    <r>
      <t>2.</t>
    </r>
    <r>
      <rPr>
        <sz val="10"/>
        <rFont val="宋体"/>
        <family val="3"/>
        <charset val="134"/>
      </rPr>
      <t>所有应当记录的货币资金均已记录，所有应当包括在财务报表中的相关披露均已包括。</t>
    </r>
    <r>
      <rPr>
        <sz val="10"/>
        <rFont val="Arial Narrow"/>
        <family val="2"/>
      </rPr>
      <t xml:space="preserve"> </t>
    </r>
  </si>
  <si>
    <r>
      <t>1.</t>
    </r>
    <r>
      <rPr>
        <sz val="10"/>
        <color indexed="8"/>
        <rFont val="宋体"/>
        <family val="3"/>
        <charset val="134"/>
      </rPr>
      <t>资产负债表中记录的货币资金是存在的，且已记录于恰当的账户；</t>
    </r>
    <r>
      <rPr>
        <sz val="10"/>
        <color indexed="8"/>
        <rFont val="Arial Narrow"/>
        <family val="2"/>
      </rPr>
      <t>2.</t>
    </r>
    <r>
      <rPr>
        <sz val="10"/>
        <color rgb="FF000000"/>
        <rFont val="宋体"/>
        <family val="2"/>
        <charset val="134"/>
      </rPr>
      <t>所有应当记录的货币资金均已记录，所有应当包括在财务报表中的相关披露均已包括；</t>
    </r>
    <phoneticPr fontId="4" type="noConversion"/>
  </si>
  <si>
    <r>
      <t>3.</t>
    </r>
    <r>
      <rPr>
        <sz val="10"/>
        <color indexed="8"/>
        <rFont val="宋体"/>
        <family val="3"/>
        <charset val="134"/>
      </rPr>
      <t>货币资金以恰当的金额包括在财务报表中，与之相关的计价或分摊调整已恰当记录，相关披露已得到恰当计量和描述。</t>
    </r>
    <r>
      <rPr>
        <sz val="10"/>
        <color indexed="8"/>
        <rFont val="Arial Narrow"/>
        <family val="2"/>
      </rPr>
      <t xml:space="preserve"> </t>
    </r>
    <phoneticPr fontId="4" type="noConversion"/>
  </si>
  <si>
    <t>提示：</t>
    <phoneticPr fontId="9" type="noConversion"/>
  </si>
  <si>
    <t>本表为应计提尚未结算利息，结息日至资产负债表日按存款计算应计提利息</t>
    <phoneticPr fontId="4" type="noConversion"/>
  </si>
  <si>
    <r>
      <rPr>
        <sz val="10"/>
        <rFont val="宋体"/>
        <family val="3"/>
        <charset val="134"/>
      </rPr>
      <t>我们于</t>
    </r>
    <r>
      <rPr>
        <sz val="10"/>
        <rFont val="Arial Narrow"/>
        <family val="2"/>
      </rPr>
      <t xml:space="preserve">      </t>
    </r>
    <r>
      <rPr>
        <sz val="10"/>
        <rFont val="宋体"/>
        <family val="3"/>
        <charset val="134"/>
      </rPr>
      <t>年</t>
    </r>
    <r>
      <rPr>
        <sz val="10"/>
        <rFont val="Arial Narrow"/>
        <family val="2"/>
      </rPr>
      <t xml:space="preserve">   </t>
    </r>
    <r>
      <rPr>
        <sz val="10"/>
        <rFont val="宋体"/>
        <family val="3"/>
        <charset val="134"/>
      </rPr>
      <t>月</t>
    </r>
    <r>
      <rPr>
        <sz val="10"/>
        <rFont val="Arial Narrow"/>
        <family val="2"/>
      </rPr>
      <t xml:space="preserve">   </t>
    </r>
    <r>
      <rPr>
        <sz val="10"/>
        <rFont val="宋体"/>
        <family val="3"/>
        <charset val="134"/>
      </rPr>
      <t>日到银行</t>
    </r>
    <r>
      <rPr>
        <sz val="10"/>
        <color rgb="FF0000FF"/>
        <rFont val="宋体"/>
        <family val="3"/>
        <charset val="134"/>
      </rPr>
      <t>（或由被审计单位XX下载并打印征信报告，观察并记录被审计单位具有操作权限人员的查询、打印过程）</t>
    </r>
    <r>
      <rPr>
        <sz val="10"/>
        <rFont val="宋体"/>
        <family val="3"/>
        <charset val="134"/>
      </rPr>
      <t>对企业的信用情况进行查询，查询情况如下：</t>
    </r>
    <phoneticPr fontId="4" type="noConversion"/>
  </si>
  <si>
    <t>提示：</t>
    <phoneticPr fontId="9" type="noConversion"/>
  </si>
  <si>
    <t>2.保持职业怀疑，关注企业信用报告的真实性和完整性，充分考虑其局限性，如存在银行未及时、完整、准确填列有关信用信息，上市公司利用离岸账户等特殊方式。</t>
    <phoneticPr fontId="9" type="noConversion"/>
  </si>
  <si>
    <t>1.如存在未披露的担保情况，需进一步询问上市公司管理层、其他责任人员和相关人员、查阅相关会议纪要和法律信函、复核相关费用账户记录、与外部法律顾问进行直接沟通、检查公章管理及使用情况等，必要时还应通过相关查询渠道（如中国裁判文书网等），查询相关法院公告信息。</t>
    <phoneticPr fontId="9" type="noConversion"/>
  </si>
  <si>
    <t>征信报告截图</t>
    <phoneticPr fontId="9" type="noConversion"/>
  </si>
  <si>
    <t>信用报告打印日未结清业务总额
①</t>
    <phoneticPr fontId="9" type="noConversion"/>
  </si>
  <si>
    <t>加上：资产负债表日至信用报告日已经还清贷款类金额
②</t>
    <phoneticPr fontId="9" type="noConversion"/>
  </si>
  <si>
    <t>减去：资产负债表日至信用报告日新增贷款类业务
③</t>
    <phoneticPr fontId="9" type="noConversion"/>
  </si>
  <si>
    <r>
      <rPr>
        <b/>
        <sz val="10"/>
        <rFont val="宋体"/>
        <family val="3"/>
        <charset val="134"/>
      </rPr>
      <t>资产负债表日信用报告贷款类业务金额【④</t>
    </r>
    <r>
      <rPr>
        <b/>
        <sz val="10"/>
        <rFont val="Arial Narrow"/>
        <family val="2"/>
      </rPr>
      <t>=</t>
    </r>
    <r>
      <rPr>
        <b/>
        <sz val="10"/>
        <rFont val="宋体"/>
        <family val="3"/>
        <charset val="134"/>
      </rPr>
      <t>①</t>
    </r>
    <r>
      <rPr>
        <b/>
        <sz val="10"/>
        <rFont val="Arial Narrow"/>
        <family val="2"/>
      </rPr>
      <t>+</t>
    </r>
    <r>
      <rPr>
        <b/>
        <sz val="10"/>
        <rFont val="宋体"/>
        <family val="3"/>
        <charset val="134"/>
      </rPr>
      <t>②</t>
    </r>
    <r>
      <rPr>
        <b/>
        <sz val="10"/>
        <rFont val="Arial Narrow"/>
        <family val="2"/>
      </rPr>
      <t>-</t>
    </r>
    <r>
      <rPr>
        <b/>
        <sz val="10"/>
        <rFont val="宋体"/>
        <family val="3"/>
        <charset val="134"/>
      </rPr>
      <t>③】</t>
    </r>
    <phoneticPr fontId="9" type="noConversion"/>
  </si>
  <si>
    <t>总账科目金额⑤</t>
    <phoneticPr fontId="9" type="noConversion"/>
  </si>
  <si>
    <t>征信报告信息</t>
    <phoneticPr fontId="9" type="noConversion"/>
  </si>
  <si>
    <t>账面记录</t>
    <phoneticPr fontId="9" type="noConversion"/>
  </si>
  <si>
    <t>差异</t>
    <phoneticPr fontId="9" type="noConversion"/>
  </si>
  <si>
    <t>（三）不一致事项账面差异调节</t>
    <phoneticPr fontId="9" type="noConversion"/>
  </si>
  <si>
    <t>（五）关联关系企业</t>
    <phoneticPr fontId="9" type="noConversion"/>
  </si>
  <si>
    <t>……</t>
    <phoneticPr fontId="10" type="noConversion"/>
  </si>
  <si>
    <t>征信报告关联方名称</t>
    <phoneticPr fontId="9" type="noConversion"/>
  </si>
  <si>
    <t>征信报告中关联关系</t>
    <phoneticPr fontId="9" type="noConversion"/>
  </si>
  <si>
    <t>是否纳入被审计单位关联方清单</t>
    <phoneticPr fontId="9" type="noConversion"/>
  </si>
  <si>
    <t>披露的关联关系</t>
    <phoneticPr fontId="9" type="noConversion"/>
  </si>
  <si>
    <t>担保事项应与报告披露核对一致</t>
    <phoneticPr fontId="9" type="noConversion"/>
  </si>
  <si>
    <t>差异
⑥=④-⑤</t>
    <phoneticPr fontId="9" type="noConversion"/>
  </si>
  <si>
    <t>日期</t>
  </si>
  <si>
    <t>凭证编号</t>
  </si>
  <si>
    <t>业务内容</t>
  </si>
  <si>
    <t>其他原始凭单日期</t>
    <phoneticPr fontId="4" type="noConversion"/>
  </si>
  <si>
    <t>提示：如果存在跨期舞弊风险或者所检查样本中发现有跨期的，应扩大测试期间和样本，甚至可以考虑将截止测试期间延长至审计报告日。同时考虑是否存在内控缺陷。</t>
  </si>
  <si>
    <r>
      <t>——————</t>
    </r>
    <r>
      <rPr>
        <b/>
        <sz val="10"/>
        <rFont val="宋体"/>
        <family val="3"/>
        <charset val="134"/>
      </rPr>
      <t>截止日期：</t>
    </r>
    <r>
      <rPr>
        <b/>
        <sz val="10"/>
        <rFont val="Arial Narrow"/>
        <family val="2"/>
      </rPr>
      <t>202X</t>
    </r>
    <r>
      <rPr>
        <b/>
        <sz val="10"/>
        <rFont val="宋体"/>
        <family val="3"/>
        <charset val="134"/>
      </rPr>
      <t>年</t>
    </r>
    <r>
      <rPr>
        <b/>
        <sz val="10"/>
        <rFont val="Arial Narrow"/>
        <family val="2"/>
      </rPr>
      <t>12</t>
    </r>
    <r>
      <rPr>
        <b/>
        <sz val="10"/>
        <rFont val="宋体"/>
        <family val="3"/>
        <charset val="134"/>
      </rPr>
      <t>月</t>
    </r>
    <r>
      <rPr>
        <b/>
        <sz val="10"/>
        <rFont val="Arial Narrow"/>
        <family val="2"/>
      </rPr>
      <t>31</t>
    </r>
    <r>
      <rPr>
        <b/>
        <sz val="10"/>
        <rFont val="宋体"/>
        <family val="3"/>
        <charset val="134"/>
      </rPr>
      <t>日</t>
    </r>
    <r>
      <rPr>
        <b/>
        <sz val="10"/>
        <rFont val="Arial Narrow"/>
        <family val="2"/>
      </rPr>
      <t>——————</t>
    </r>
    <phoneticPr fontId="9" type="noConversion"/>
  </si>
  <si>
    <r>
      <rPr>
        <sz val="10"/>
        <rFont val="宋体"/>
        <family val="3"/>
        <charset val="134"/>
      </rPr>
      <t>从银行日记账中抽取资产负债表日前（</t>
    </r>
    <r>
      <rPr>
        <u/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）天、后（</t>
    </r>
    <r>
      <rPr>
        <u/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）天，且金额大于</t>
    </r>
    <r>
      <rPr>
        <sz val="10"/>
        <rFont val="Arial Narrow"/>
        <family val="2"/>
      </rPr>
      <t xml:space="preserve"> </t>
    </r>
    <r>
      <rPr>
        <u/>
        <sz val="10"/>
        <rFont val="Arial Narrow"/>
        <family val="2"/>
      </rPr>
      <t xml:space="preserve">        </t>
    </r>
    <r>
      <rPr>
        <sz val="10"/>
        <rFont val="宋体"/>
        <family val="3"/>
        <charset val="134"/>
      </rPr>
      <t>元的记账凭证，与收付款凭单以及其他原始凭单核对</t>
    </r>
    <phoneticPr fontId="9" type="noConversion"/>
  </si>
  <si>
    <t>其他货币资金截止测试表</t>
    <phoneticPr fontId="9" type="noConversion"/>
  </si>
  <si>
    <r>
      <rPr>
        <sz val="10"/>
        <rFont val="宋体"/>
        <family val="3"/>
        <charset val="134"/>
      </rPr>
      <t>从其他货币资金明细账中抽取资产负债表日前（</t>
    </r>
    <r>
      <rPr>
        <u/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）天、后（</t>
    </r>
    <r>
      <rPr>
        <u/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）天，且金额大于</t>
    </r>
    <r>
      <rPr>
        <sz val="10"/>
        <rFont val="Arial Narrow"/>
        <family val="2"/>
      </rPr>
      <t xml:space="preserve"> </t>
    </r>
    <r>
      <rPr>
        <u/>
        <sz val="10"/>
        <rFont val="Arial Narrow"/>
        <family val="2"/>
      </rPr>
      <t xml:space="preserve">        </t>
    </r>
    <r>
      <rPr>
        <sz val="10"/>
        <rFont val="宋体"/>
        <family val="3"/>
        <charset val="134"/>
      </rPr>
      <t>元的记账凭证，与收付款凭单以及其他原始凭单核对</t>
    </r>
    <phoneticPr fontId="9" type="noConversion"/>
  </si>
  <si>
    <r>
      <t>1.</t>
    </r>
    <r>
      <rPr>
        <sz val="10"/>
        <rFont val="宋体"/>
        <family val="3"/>
        <charset val="134"/>
      </rPr>
      <t>资产负债表中记录的货币资金是存在的，且已经记录在恰当的账户中；</t>
    </r>
    <r>
      <rPr>
        <sz val="10"/>
        <rFont val="Arial Narrow"/>
        <family val="2"/>
      </rPr>
      <t>2.</t>
    </r>
    <r>
      <rPr>
        <sz val="10"/>
        <rFont val="宋体"/>
        <family val="3"/>
        <charset val="134"/>
      </rPr>
      <t>记录的货币资金由被审计单位拥有或控制；</t>
    </r>
    <r>
      <rPr>
        <sz val="10"/>
        <rFont val="Arial Narrow"/>
        <family val="2"/>
      </rPr>
      <t/>
    </r>
    <phoneticPr fontId="4" type="noConversion"/>
  </si>
  <si>
    <r>
      <t>3.</t>
    </r>
    <r>
      <rPr>
        <sz val="10"/>
        <rFont val="宋体"/>
        <family val="3"/>
        <charset val="134"/>
      </rPr>
      <t>货币资金以恰当的金额包括在财务报表中，与之相关的计价或分摊调整已恰当记录，相关披露已得到恰当计量和描述</t>
    </r>
    <r>
      <rPr>
        <sz val="10"/>
        <rFont val="Arial Narrow"/>
        <family val="2"/>
      </rPr>
      <t xml:space="preserve"> </t>
    </r>
    <phoneticPr fontId="4" type="noConversion"/>
  </si>
  <si>
    <t>一、测试目标：</t>
    <phoneticPr fontId="4" type="noConversion"/>
  </si>
  <si>
    <r>
      <rPr>
        <b/>
        <sz val="10"/>
        <color rgb="FFFF0000"/>
        <rFont val="宋体"/>
        <family val="3"/>
        <charset val="134"/>
      </rPr>
      <t>支出测试内容说明：</t>
    </r>
    <r>
      <rPr>
        <sz val="10"/>
        <color rgb="FFFF0000"/>
        <rFont val="Arial Narrow"/>
        <family val="2"/>
      </rPr>
      <t>1.</t>
    </r>
    <r>
      <rPr>
        <sz val="10"/>
        <color rgb="FFFF0000"/>
        <rFont val="宋体"/>
        <family val="3"/>
        <charset val="134"/>
      </rPr>
      <t>原始凭证是否齐全；</t>
    </r>
    <r>
      <rPr>
        <sz val="10"/>
        <color rgb="FFFF0000"/>
        <rFont val="Arial Narrow"/>
        <family val="2"/>
      </rPr>
      <t>2.</t>
    </r>
    <r>
      <rPr>
        <sz val="10"/>
        <color rgb="FFFF0000"/>
        <rFont val="宋体"/>
        <family val="3"/>
        <charset val="134"/>
      </rPr>
      <t>付款凭证记录信息与银行回单金额、收款方是否相符；</t>
    </r>
    <r>
      <rPr>
        <sz val="10"/>
        <color rgb="FFFF0000"/>
        <rFont val="Arial Narrow"/>
        <family val="2"/>
      </rPr>
      <t>3.</t>
    </r>
    <r>
      <rPr>
        <sz val="10"/>
        <color rgb="FFFF0000"/>
        <rFont val="宋体"/>
        <family val="3"/>
        <charset val="134"/>
      </rPr>
      <t>付款的授权审批手续是否齐全、签章完整；</t>
    </r>
    <r>
      <rPr>
        <sz val="10"/>
        <color rgb="FFFF0000"/>
        <rFont val="Arial Narrow"/>
        <family val="2"/>
      </rPr>
      <t>4.</t>
    </r>
    <r>
      <rPr>
        <sz val="10"/>
        <color rgb="FFFF0000"/>
        <rFont val="宋体"/>
        <family val="3"/>
        <charset val="134"/>
      </rPr>
      <t>原始凭证具有合法的发票或依据；</t>
    </r>
    <r>
      <rPr>
        <sz val="10"/>
        <color rgb="FFFF0000"/>
        <rFont val="Arial Narrow"/>
        <family val="2"/>
      </rPr>
      <t>5.</t>
    </r>
    <r>
      <rPr>
        <sz val="10"/>
        <color rgb="FFFF0000"/>
        <rFont val="宋体"/>
        <family val="3"/>
        <charset val="134"/>
      </rPr>
      <t>原始凭证的内容与付款凭证业务内容是否一致；</t>
    </r>
    <r>
      <rPr>
        <sz val="10"/>
        <color rgb="FFFF0000"/>
        <rFont val="Arial Narrow"/>
        <family val="2"/>
      </rPr>
      <t>6.</t>
    </r>
    <r>
      <rPr>
        <sz val="10"/>
        <color rgb="FFFF0000"/>
        <rFont val="宋体"/>
        <family val="3"/>
        <charset val="134"/>
      </rPr>
      <t>账务处理是否正确；</t>
    </r>
    <r>
      <rPr>
        <sz val="10"/>
        <color rgb="FFFF0000"/>
        <rFont val="Arial Narrow"/>
        <family val="2"/>
      </rPr>
      <t>7.</t>
    </r>
    <r>
      <rPr>
        <sz val="10"/>
        <color rgb="FFFF0000"/>
        <rFont val="宋体"/>
        <family val="3"/>
        <charset val="134"/>
      </rPr>
      <t>是否记录于恰当的会计期间；</t>
    </r>
    <r>
      <rPr>
        <sz val="10"/>
        <color rgb="FFFF0000"/>
        <rFont val="Arial Narrow"/>
        <family val="2"/>
      </rPr>
      <t>8.</t>
    </r>
    <r>
      <rPr>
        <sz val="10"/>
        <color rgb="FFFF0000"/>
        <rFont val="宋体"/>
        <family val="3"/>
        <charset val="134"/>
      </rPr>
      <t>关注是否与生产经营无关；</t>
    </r>
    <r>
      <rPr>
        <sz val="10"/>
        <color rgb="FFFF0000"/>
        <rFont val="Arial Narrow"/>
        <family val="2"/>
      </rPr>
      <t>9.</t>
    </r>
    <r>
      <rPr>
        <sz val="10"/>
        <color rgb="FFFF0000"/>
        <rFont val="宋体"/>
        <family val="3"/>
        <charset val="134"/>
      </rPr>
      <t>……</t>
    </r>
    <phoneticPr fontId="9" type="noConversion"/>
  </si>
  <si>
    <r>
      <rPr>
        <b/>
        <sz val="10"/>
        <color rgb="FFFF0000"/>
        <rFont val="宋体"/>
        <family val="3"/>
        <charset val="134"/>
      </rPr>
      <t>收入测试内容说明：</t>
    </r>
    <r>
      <rPr>
        <sz val="10"/>
        <color rgb="FFFF0000"/>
        <rFont val="Arial Narrow"/>
        <family val="2"/>
      </rPr>
      <t>1.</t>
    </r>
    <r>
      <rPr>
        <sz val="10"/>
        <color rgb="FFFF0000"/>
        <rFont val="宋体"/>
        <family val="3"/>
        <charset val="134"/>
      </rPr>
      <t>原始凭证是否齐全；</t>
    </r>
    <r>
      <rPr>
        <sz val="10"/>
        <color rgb="FFFF0000"/>
        <rFont val="Arial Narrow"/>
        <family val="2"/>
      </rPr>
      <t>2.</t>
    </r>
    <r>
      <rPr>
        <sz val="10"/>
        <color rgb="FFFF0000"/>
        <rFont val="宋体"/>
        <family val="3"/>
        <charset val="134"/>
      </rPr>
      <t>收款凭证记录信息与银行回单中金额、付款方是否相符；</t>
    </r>
    <r>
      <rPr>
        <sz val="10"/>
        <color rgb="FFFF0000"/>
        <rFont val="Arial Narrow"/>
        <family val="2"/>
      </rPr>
      <t>3.</t>
    </r>
    <r>
      <rPr>
        <sz val="10"/>
        <color rgb="FFFF0000"/>
        <rFont val="宋体"/>
        <family val="3"/>
        <charset val="134"/>
      </rPr>
      <t>账务处理是否正确；</t>
    </r>
    <r>
      <rPr>
        <sz val="10"/>
        <color rgb="FFFF0000"/>
        <rFont val="Arial Narrow"/>
        <family val="2"/>
      </rPr>
      <t>4.</t>
    </r>
    <r>
      <rPr>
        <sz val="10"/>
        <color rgb="FFFF0000"/>
        <rFont val="宋体"/>
        <family val="3"/>
        <charset val="134"/>
      </rPr>
      <t>是否记录于恰当的会计期间；</t>
    </r>
    <r>
      <rPr>
        <sz val="10"/>
        <color rgb="FFFF0000"/>
        <rFont val="Arial Narrow"/>
        <family val="2"/>
      </rPr>
      <t>5.</t>
    </r>
    <r>
      <rPr>
        <sz val="10"/>
        <color rgb="FFFF0000"/>
        <rFont val="宋体"/>
        <family val="3"/>
        <charset val="134"/>
      </rPr>
      <t>关注是否与生产经营无关；</t>
    </r>
    <r>
      <rPr>
        <sz val="10"/>
        <color rgb="FFFF0000"/>
        <rFont val="Arial Narrow"/>
        <family val="2"/>
      </rPr>
      <t>6.</t>
    </r>
    <r>
      <rPr>
        <sz val="10"/>
        <color rgb="FFFF0000"/>
        <rFont val="宋体"/>
        <family val="3"/>
        <charset val="134"/>
      </rPr>
      <t>关注收款时间是否异常（节假日收款）；</t>
    </r>
    <r>
      <rPr>
        <sz val="10"/>
        <color rgb="FFFF0000"/>
        <rFont val="Arial Narrow"/>
        <family val="2"/>
      </rPr>
      <t>7.</t>
    </r>
    <r>
      <rPr>
        <sz val="10"/>
        <color rgb="FFFF0000"/>
        <rFont val="宋体"/>
        <family val="3"/>
        <charset val="134"/>
      </rPr>
      <t>……</t>
    </r>
    <phoneticPr fontId="9" type="noConversion"/>
  </si>
  <si>
    <t>是否经过恰当审批</t>
    <phoneticPr fontId="9" type="noConversion"/>
  </si>
  <si>
    <t>提示：</t>
    <phoneticPr fontId="4" type="noConversion"/>
  </si>
  <si>
    <t>检查并在工作底稿中记录：原始凭证要素、相关支持文件是否完整，收付款人、款项用途与已记录信息是否相符，收付款是否履行相关程序、经过授权批准，记录的金额是否正确，记录的账户和会计期间是否恰当，必要时核查大额货币资金流出和流入的业务背景，复印相关原始凭证和其他支持文件。同时，应从收支款项所对应交易的真实性、合理性、频繁度予以关注，以识别潜在的错弊。关注资金流向的正确性。</t>
    <phoneticPr fontId="4" type="noConversion"/>
  </si>
  <si>
    <t>核对征信报告信息与账面记录是否一致；借款、银行承兑汇票、信用证等完整性。</t>
    <phoneticPr fontId="9" type="noConversion"/>
  </si>
  <si>
    <t>E1-18</t>
    <phoneticPr fontId="4" type="noConversion"/>
  </si>
  <si>
    <t>E1-19</t>
    <phoneticPr fontId="4" type="noConversion"/>
  </si>
  <si>
    <t>E1-20</t>
    <phoneticPr fontId="4" type="noConversion"/>
  </si>
  <si>
    <r>
      <rPr>
        <sz val="10"/>
        <color rgb="FFFF0000"/>
        <rFont val="宋体"/>
        <family val="3"/>
        <charset val="134"/>
      </rPr>
      <t>现金</t>
    </r>
    <phoneticPr fontId="9" type="noConversion"/>
  </si>
  <si>
    <r>
      <rPr>
        <sz val="10"/>
        <color rgb="FFFF0000"/>
        <rFont val="宋体"/>
        <family val="3"/>
        <charset val="134"/>
      </rPr>
      <t>银行存款</t>
    </r>
    <phoneticPr fontId="9" type="noConversion"/>
  </si>
  <si>
    <r>
      <rPr>
        <sz val="10"/>
        <color rgb="FFFF0000"/>
        <rFont val="宋体"/>
        <family val="3"/>
        <charset val="134"/>
      </rPr>
      <t>银行存款</t>
    </r>
    <phoneticPr fontId="9" type="noConversion"/>
  </si>
  <si>
    <r>
      <rPr>
        <sz val="10"/>
        <color rgb="FFFF0000"/>
        <rFont val="宋体"/>
        <family val="3"/>
        <charset val="134"/>
      </rPr>
      <t>其他货币资金</t>
    </r>
    <phoneticPr fontId="9" type="noConversion"/>
  </si>
  <si>
    <r>
      <rPr>
        <sz val="10"/>
        <color rgb="FFFF0000"/>
        <rFont val="宋体"/>
        <family val="3"/>
        <charset val="134"/>
      </rPr>
      <t>现金</t>
    </r>
    <phoneticPr fontId="9" type="noConversion"/>
  </si>
  <si>
    <r>
      <rPr>
        <sz val="10"/>
        <color rgb="FFFF0000"/>
        <rFont val="宋体"/>
        <family val="3"/>
        <charset val="134"/>
      </rPr>
      <t>银行存款</t>
    </r>
    <phoneticPr fontId="9" type="noConversion"/>
  </si>
  <si>
    <r>
      <rPr>
        <sz val="10"/>
        <color rgb="FFFF0000"/>
        <rFont val="宋体"/>
        <family val="3"/>
        <charset val="134"/>
      </rPr>
      <t>银行存款</t>
    </r>
    <phoneticPr fontId="9" type="noConversion"/>
  </si>
  <si>
    <r>
      <rPr>
        <sz val="10"/>
        <color rgb="FFFF0000"/>
        <rFont val="宋体"/>
        <family val="3"/>
        <charset val="134"/>
      </rPr>
      <t>其他货币资金</t>
    </r>
    <phoneticPr fontId="9" type="noConversion"/>
  </si>
  <si>
    <r>
      <rPr>
        <sz val="10"/>
        <rFont val="宋体"/>
        <family val="3"/>
        <charset val="134"/>
      </rPr>
      <t>被审计单位：</t>
    </r>
    <r>
      <rPr>
        <sz val="10"/>
        <rFont val="Arial Narrow"/>
        <family val="2"/>
      </rPr>
      <t/>
    </r>
    <phoneticPr fontId="9" type="noConversion"/>
  </si>
  <si>
    <t>编制人：</t>
    <phoneticPr fontId="9" type="noConversion"/>
  </si>
  <si>
    <t>编制日期：</t>
    <phoneticPr fontId="9" type="noConversion"/>
  </si>
  <si>
    <t>复核日期：</t>
    <phoneticPr fontId="9" type="noConversion"/>
  </si>
  <si>
    <t>复核人：</t>
    <phoneticPr fontId="9" type="noConversion"/>
  </si>
  <si>
    <r>
      <rPr>
        <sz val="10"/>
        <rFont val="宋体"/>
        <family val="3"/>
        <charset val="134"/>
      </rPr>
      <t>截止日：</t>
    </r>
    <r>
      <rPr>
        <sz val="10"/>
        <rFont val="Arial Narrow"/>
        <family val="2"/>
      </rPr>
      <t>202X</t>
    </r>
    <r>
      <rPr>
        <sz val="10"/>
        <rFont val="宋体"/>
        <family val="3"/>
        <charset val="134"/>
      </rPr>
      <t>年</t>
    </r>
    <r>
      <rPr>
        <sz val="10"/>
        <rFont val="Arial Narrow"/>
        <family val="2"/>
      </rPr>
      <t>12</t>
    </r>
    <r>
      <rPr>
        <sz val="10"/>
        <rFont val="宋体"/>
        <family val="3"/>
        <charset val="134"/>
      </rPr>
      <t>月</t>
    </r>
    <r>
      <rPr>
        <sz val="10"/>
        <rFont val="Arial Narrow"/>
        <family val="2"/>
      </rPr>
      <t>31</t>
    </r>
    <r>
      <rPr>
        <sz val="10"/>
        <rFont val="宋体"/>
        <family val="3"/>
        <charset val="134"/>
      </rPr>
      <t>日</t>
    </r>
  </si>
  <si>
    <t>审计说明：</t>
    <phoneticPr fontId="9" type="noConversion"/>
  </si>
  <si>
    <t>短期借款</t>
    <phoneticPr fontId="10" type="noConversion"/>
  </si>
  <si>
    <r>
      <t>1.</t>
    </r>
    <r>
      <rPr>
        <sz val="10"/>
        <color rgb="FFFF0000"/>
        <rFont val="宋体"/>
        <family val="3"/>
        <charset val="134"/>
      </rPr>
      <t>短期借款与企业信用报告详细核对见短期借款底稿</t>
    </r>
    <r>
      <rPr>
        <sz val="10"/>
        <color rgb="FFFF0000"/>
        <rFont val="Arial Narrow"/>
        <family val="2"/>
      </rPr>
      <t>&lt;L1-4&gt;</t>
    </r>
    <r>
      <rPr>
        <sz val="10"/>
        <color rgb="FFFF0000"/>
        <rFont val="宋体"/>
        <family val="3"/>
        <charset val="134"/>
      </rPr>
      <t>；</t>
    </r>
    <phoneticPr fontId="9" type="noConversion"/>
  </si>
  <si>
    <r>
      <t>2.</t>
    </r>
    <r>
      <rPr>
        <sz val="10"/>
        <color rgb="FFFF0000"/>
        <rFont val="宋体"/>
        <family val="3"/>
        <charset val="134"/>
      </rPr>
      <t>中长期借款与企业信用报告详细核对见长期借款底稿</t>
    </r>
    <r>
      <rPr>
        <sz val="10"/>
        <color rgb="FFFF0000"/>
        <rFont val="Arial Narrow"/>
        <family val="2"/>
      </rPr>
      <t>&lt;L3-4&gt;</t>
    </r>
    <r>
      <rPr>
        <sz val="10"/>
        <color rgb="FFFF0000"/>
        <rFont val="宋体"/>
        <family val="3"/>
        <charset val="134"/>
      </rPr>
      <t>；</t>
    </r>
    <phoneticPr fontId="9" type="noConversion"/>
  </si>
  <si>
    <t>随机选样/系统选样/货币单元抽样/随意选样（非统计抽样适用）</t>
    <phoneticPr fontId="9" type="noConversion"/>
  </si>
  <si>
    <t>合计</t>
    <phoneticPr fontId="9" type="noConversion"/>
  </si>
  <si>
    <t>合计</t>
    <phoneticPr fontId="9" type="noConversion"/>
  </si>
  <si>
    <t>其他支持性文件名称</t>
    <phoneticPr fontId="4" type="noConversion"/>
  </si>
  <si>
    <t>其他支持性文件名称</t>
    <phoneticPr fontId="9" type="noConversion"/>
  </si>
  <si>
    <t>方向</t>
    <phoneticPr fontId="9" type="noConversion"/>
  </si>
  <si>
    <t>账面金额</t>
    <phoneticPr fontId="9" type="noConversion"/>
  </si>
  <si>
    <t>检查金额</t>
    <phoneticPr fontId="9" type="noConversion"/>
  </si>
  <si>
    <t>检查比例</t>
    <phoneticPr fontId="9" type="noConversion"/>
  </si>
  <si>
    <t>如果检查比例较低请扩大检查样本量或说明原因</t>
    <phoneticPr fontId="9" type="noConversion"/>
  </si>
  <si>
    <t>本期借方</t>
    <phoneticPr fontId="9" type="noConversion"/>
  </si>
  <si>
    <t>本期贷方</t>
    <phoneticPr fontId="9" type="noConversion"/>
  </si>
  <si>
    <t>2.……</t>
    <phoneticPr fontId="9" type="noConversion"/>
  </si>
  <si>
    <r>
      <t>1.</t>
    </r>
    <r>
      <rPr>
        <sz val="10"/>
        <rFont val="宋体"/>
        <family val="3"/>
        <charset val="134"/>
      </rPr>
      <t>本期发生额检查比例：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</si>
</sst>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76" formatCode="_([$€-2]* #,##0.00_);_([$€-2]* \(#,##0.00\);_([$€-2]* &quot;-&quot;??_)"/>
    <numFmt numFmtId="177" formatCode="_ * #,##0.0000_ ;_ * \-#,##0.0000_ ;_ * &quot;-&quot;??_ ;_ @_ "/>
    <numFmt numFmtId="178" formatCode="000000"/>
    <numFmt numFmtId="179" formatCode="#,##0.00_ "/>
    <numFmt numFmtId="180" formatCode="0_ "/>
  </numFmts>
  <fonts count="5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Arial Narrow"/>
      <family val="2"/>
    </font>
    <font>
      <sz val="10"/>
      <color indexed="12"/>
      <name val="Arial Narrow"/>
      <family val="2"/>
    </font>
    <font>
      <sz val="10"/>
      <color indexed="12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Arial Narrow"/>
      <family val="2"/>
    </font>
    <font>
      <sz val="10"/>
      <color rgb="FF0000FF"/>
      <name val="Arial Narrow"/>
      <family val="2"/>
    </font>
    <font>
      <sz val="10"/>
      <name val="宋体"/>
      <family val="3"/>
      <charset val="134"/>
    </font>
    <font>
      <b/>
      <sz val="10"/>
      <name val="Arial Narrow"/>
      <family val="2"/>
    </font>
    <font>
      <b/>
      <sz val="10"/>
      <name val="宋体"/>
      <family val="3"/>
      <charset val="134"/>
    </font>
    <font>
      <b/>
      <sz val="10"/>
      <color indexed="8"/>
      <name val="Arial Narrow"/>
      <family val="2"/>
    </font>
    <font>
      <b/>
      <sz val="10"/>
      <color indexed="8"/>
      <name val="宋体"/>
      <family val="3"/>
      <charset val="134"/>
    </font>
    <font>
      <sz val="10"/>
      <name val="Times New Roman"/>
      <family val="1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10"/>
      <color rgb="FFFF0000"/>
      <name val="Arial Narrow"/>
      <family val="2"/>
    </font>
    <font>
      <sz val="10.5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indexed="8"/>
      <name val="宋体"/>
      <family val="3"/>
      <charset val="134"/>
    </font>
    <font>
      <sz val="10"/>
      <color rgb="FF0000FF"/>
      <name val="宋体"/>
      <family val="3"/>
      <charset val="134"/>
    </font>
    <font>
      <sz val="10"/>
      <color indexed="8"/>
      <name val="Arial Narrow"/>
      <family val="2"/>
    </font>
    <font>
      <sz val="18"/>
      <color indexed="48"/>
      <name val="魏碑"/>
      <family val="3"/>
      <charset val="134"/>
    </font>
    <font>
      <u/>
      <sz val="11"/>
      <color theme="10"/>
      <name val="等线"/>
      <family val="2"/>
      <scheme val="minor"/>
    </font>
    <font>
      <sz val="11"/>
      <name val="Arial Narrow"/>
      <family val="2"/>
    </font>
    <font>
      <sz val="10"/>
      <color indexed="8"/>
      <name val="宋体"/>
      <family val="3"/>
      <charset val="134"/>
    </font>
    <font>
      <b/>
      <sz val="10"/>
      <name val="宋体"/>
      <family val="2"/>
      <charset val="134"/>
    </font>
    <font>
      <b/>
      <sz val="10"/>
      <color rgb="FFFF0000"/>
      <name val="宋体"/>
      <family val="3"/>
      <charset val="134"/>
    </font>
    <font>
      <b/>
      <sz val="10"/>
      <name val="微软雅黑"/>
      <family val="2"/>
      <charset val="134"/>
    </font>
    <font>
      <sz val="11"/>
      <color theme="1"/>
      <name val="等线"/>
      <family val="2"/>
      <scheme val="minor"/>
    </font>
    <font>
      <sz val="10"/>
      <color rgb="FFC00000"/>
      <name val="Arial Narrow"/>
      <family val="2"/>
    </font>
    <font>
      <sz val="10"/>
      <color rgb="FFC00000"/>
      <name val="宋体"/>
      <family val="3"/>
      <charset val="134"/>
    </font>
    <font>
      <sz val="11"/>
      <color theme="1"/>
      <name val="Arial Narrow"/>
      <family val="2"/>
    </font>
    <font>
      <sz val="10"/>
      <color rgb="FF000000"/>
      <name val="Arial Narrow"/>
      <family val="2"/>
    </font>
    <font>
      <b/>
      <sz val="14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3333FF"/>
      <name val="Arial Narrow"/>
      <family val="2"/>
    </font>
    <font>
      <sz val="10"/>
      <color rgb="FFFF0000"/>
      <name val="Arial Narrow"/>
      <family val="3"/>
      <charset val="134"/>
    </font>
    <font>
      <sz val="10"/>
      <color rgb="FF0000FF"/>
      <name val="宋体"/>
      <family val="2"/>
      <charset val="134"/>
    </font>
    <font>
      <sz val="1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0"/>
      <color rgb="FF0000FF"/>
      <name val="宋体"/>
      <family val="3"/>
      <charset val="134"/>
    </font>
    <font>
      <b/>
      <sz val="12"/>
      <color rgb="FF0000FF"/>
      <name val="宋体"/>
      <family val="3"/>
      <charset val="134"/>
    </font>
    <font>
      <u/>
      <sz val="10"/>
      <name val="Arial Narrow"/>
      <family val="2"/>
    </font>
    <font>
      <sz val="10"/>
      <color theme="10"/>
      <name val="Arial Narrow"/>
      <family val="2"/>
    </font>
    <font>
      <u/>
      <sz val="11"/>
      <color rgb="FF0000FF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4DFEC"/>
        <bgColor rgb="FFB7DEE8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17">
    <xf numFmtId="0" fontId="0" fillId="0" borderId="0"/>
    <xf numFmtId="0" fontId="5" fillId="0" borderId="0">
      <protection locked="0"/>
    </xf>
    <xf numFmtId="176" fontId="5" fillId="0" borderId="0"/>
    <xf numFmtId="43" fontId="3" fillId="0" borderId="0" applyFont="0" applyFill="0" applyBorder="0" applyAlignment="0" applyProtection="0">
      <alignment vertical="center"/>
    </xf>
    <xf numFmtId="0" fontId="5" fillId="0" borderId="0"/>
    <xf numFmtId="9" fontId="3" fillId="0" borderId="0" applyFont="0" applyFill="0" applyBorder="0" applyAlignment="0" applyProtection="0">
      <alignment vertical="center"/>
    </xf>
    <xf numFmtId="0" fontId="5" fillId="0" borderId="0" applyFill="0" applyBorder="0"/>
    <xf numFmtId="0" fontId="5" fillId="0" borderId="0">
      <alignment vertical="center"/>
    </xf>
    <xf numFmtId="0" fontId="3" fillId="0" borderId="0">
      <alignment vertical="center"/>
    </xf>
    <xf numFmtId="43" fontId="5" fillId="0" borderId="0" applyFont="0" applyFill="0" applyBorder="0" applyAlignment="0" applyProtection="0"/>
    <xf numFmtId="0" fontId="5" fillId="0" borderId="0">
      <protection locked="0"/>
    </xf>
    <xf numFmtId="0" fontId="5" fillId="0" borderId="0"/>
    <xf numFmtId="0" fontId="28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47">
    <xf numFmtId="0" fontId="0" fillId="0" borderId="0" xfId="0"/>
    <xf numFmtId="0" fontId="6" fillId="0" borderId="0" xfId="1" applyFont="1">
      <protection locked="0"/>
    </xf>
    <xf numFmtId="0" fontId="7" fillId="0" borderId="0" xfId="1" applyFont="1">
      <protection locked="0"/>
    </xf>
    <xf numFmtId="0" fontId="11" fillId="0" borderId="0" xfId="1" applyFont="1" applyAlignment="1">
      <alignment vertical="center"/>
      <protection locked="0"/>
    </xf>
    <xf numFmtId="0" fontId="11" fillId="0" borderId="0" xfId="1" applyFont="1">
      <protection locked="0"/>
    </xf>
    <xf numFmtId="0" fontId="14" fillId="0" borderId="0" xfId="1" applyFont="1" applyAlignment="1">
      <alignment vertical="center"/>
      <protection locked="0"/>
    </xf>
    <xf numFmtId="0" fontId="14" fillId="0" borderId="0" xfId="1" applyFont="1">
      <protection locked="0"/>
    </xf>
    <xf numFmtId="43" fontId="11" fillId="0" borderId="1" xfId="1" applyNumberFormat="1" applyFont="1" applyBorder="1" applyAlignment="1">
      <alignment horizontal="center" vertical="center"/>
      <protection locked="0"/>
    </xf>
    <xf numFmtId="177" fontId="11" fillId="0" borderId="1" xfId="1" applyNumberFormat="1" applyFont="1" applyBorder="1" applyAlignment="1">
      <alignment horizontal="center" vertical="center"/>
      <protection locked="0"/>
    </xf>
    <xf numFmtId="178" fontId="11" fillId="0" borderId="1" xfId="4" applyNumberFormat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>
      <alignment horizontal="center" vertical="center"/>
      <protection locked="0"/>
    </xf>
    <xf numFmtId="14" fontId="11" fillId="0" borderId="1" xfId="1" applyNumberFormat="1" applyFont="1" applyBorder="1" applyAlignment="1">
      <alignment horizontal="center" vertical="center"/>
      <protection locked="0"/>
    </xf>
    <xf numFmtId="43" fontId="11" fillId="0" borderId="1" xfId="3" applyFont="1" applyFill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left" vertical="center"/>
    </xf>
    <xf numFmtId="0" fontId="16" fillId="0" borderId="0" xfId="1" applyFont="1" applyAlignment="1" applyProtection="1">
      <alignment vertical="center"/>
    </xf>
    <xf numFmtId="0" fontId="11" fillId="0" borderId="0" xfId="1" applyFont="1" applyAlignment="1">
      <alignment horizontal="right" vertical="center"/>
      <protection locked="0"/>
    </xf>
    <xf numFmtId="43" fontId="11" fillId="0" borderId="0" xfId="6" applyNumberFormat="1" applyFont="1" applyBorder="1" applyAlignment="1">
      <alignment vertical="center"/>
    </xf>
    <xf numFmtId="43" fontId="11" fillId="0" borderId="0" xfId="6" applyNumberFormat="1" applyFont="1" applyBorder="1" applyAlignment="1">
      <alignment horizontal="left" vertical="center"/>
    </xf>
    <xf numFmtId="0" fontId="6" fillId="0" borderId="0" xfId="7" applyFont="1">
      <alignment vertical="center"/>
    </xf>
    <xf numFmtId="0" fontId="6" fillId="0" borderId="0" xfId="1" applyFont="1" applyAlignment="1">
      <alignment vertical="center"/>
      <protection locked="0"/>
    </xf>
    <xf numFmtId="49" fontId="11" fillId="0" borderId="0" xfId="6" applyNumberFormat="1" applyFont="1" applyBorder="1" applyAlignment="1">
      <alignment vertical="center"/>
    </xf>
    <xf numFmtId="0" fontId="19" fillId="0" borderId="0" xfId="1" applyFont="1" applyAlignment="1">
      <alignment vertical="center"/>
      <protection locked="0"/>
    </xf>
    <xf numFmtId="0" fontId="22" fillId="0" borderId="0" xfId="1" applyFont="1" applyAlignment="1">
      <alignment vertical="center"/>
      <protection locked="0"/>
    </xf>
    <xf numFmtId="0" fontId="11" fillId="0" borderId="0" xfId="1" applyFont="1" applyAlignment="1">
      <alignment vertical="center" wrapText="1"/>
      <protection locked="0"/>
    </xf>
    <xf numFmtId="0" fontId="6" fillId="0" borderId="0" xfId="1" applyFont="1" applyAlignment="1">
      <alignment horizontal="center"/>
      <protection locked="0"/>
    </xf>
    <xf numFmtId="180" fontId="6" fillId="0" borderId="0" xfId="1" applyNumberFormat="1" applyFont="1" applyAlignment="1">
      <alignment horizontal="center" vertical="center"/>
      <protection locked="0"/>
    </xf>
    <xf numFmtId="0" fontId="6" fillId="0" borderId="1" xfId="1" applyFont="1" applyBorder="1">
      <protection locked="0"/>
    </xf>
    <xf numFmtId="0" fontId="11" fillId="0" borderId="1" xfId="1" applyFont="1" applyBorder="1">
      <protection locked="0"/>
    </xf>
    <xf numFmtId="0" fontId="11" fillId="0" borderId="0" xfId="1" applyFont="1" applyAlignment="1" applyProtection="1">
      <alignment vertical="center"/>
    </xf>
    <xf numFmtId="0" fontId="21" fillId="0" borderId="0" xfId="1" applyFont="1" applyAlignment="1">
      <alignment vertical="center"/>
      <protection locked="0"/>
    </xf>
    <xf numFmtId="14" fontId="11" fillId="0" borderId="0" xfId="1" applyNumberFormat="1" applyFont="1" applyAlignment="1">
      <alignment vertical="center"/>
      <protection locked="0"/>
    </xf>
    <xf numFmtId="0" fontId="6" fillId="0" borderId="0" xfId="1" applyFont="1" applyAlignment="1">
      <alignment horizontal="left" vertical="center"/>
      <protection locked="0"/>
    </xf>
    <xf numFmtId="0" fontId="11" fillId="0" borderId="0" xfId="1" applyFont="1" applyAlignment="1">
      <alignment horizontal="center" vertical="center"/>
      <protection locked="0"/>
    </xf>
    <xf numFmtId="0" fontId="11" fillId="0" borderId="1" xfId="1" applyFont="1" applyBorder="1" applyAlignment="1">
      <alignment vertical="center" wrapText="1"/>
      <protection locked="0"/>
    </xf>
    <xf numFmtId="43" fontId="11" fillId="0" borderId="1" xfId="1" applyNumberFormat="1" applyFont="1" applyBorder="1" applyAlignment="1">
      <alignment horizontal="left" vertical="center"/>
      <protection locked="0"/>
    </xf>
    <xf numFmtId="0" fontId="11" fillId="0" borderId="1" xfId="1" applyFont="1" applyBorder="1" applyAlignment="1">
      <alignment horizontal="left" vertical="center"/>
      <protection locked="0"/>
    </xf>
    <xf numFmtId="0" fontId="11" fillId="0" borderId="0" xfId="11" applyFont="1" applyAlignment="1" applyProtection="1">
      <alignment vertical="center"/>
      <protection locked="0"/>
    </xf>
    <xf numFmtId="0" fontId="11" fillId="0" borderId="9" xfId="11" applyFont="1" applyBorder="1" applyAlignment="1" applyProtection="1">
      <alignment vertical="center"/>
      <protection locked="0"/>
    </xf>
    <xf numFmtId="0" fontId="7" fillId="0" borderId="9" xfId="11" applyFont="1" applyBorder="1" applyAlignment="1" applyProtection="1">
      <alignment horizontal="left" vertical="center"/>
      <protection locked="0"/>
    </xf>
    <xf numFmtId="0" fontId="11" fillId="0" borderId="9" xfId="11" applyFont="1" applyBorder="1" applyAlignment="1" applyProtection="1">
      <alignment horizontal="left" vertical="center"/>
      <protection hidden="1"/>
    </xf>
    <xf numFmtId="0" fontId="7" fillId="0" borderId="9" xfId="11" applyFont="1" applyBorder="1" applyAlignment="1" applyProtection="1">
      <alignment horizontal="center" vertical="center"/>
      <protection hidden="1"/>
    </xf>
    <xf numFmtId="0" fontId="14" fillId="0" borderId="9" xfId="11" applyFont="1" applyBorder="1" applyAlignment="1">
      <alignment vertical="center"/>
    </xf>
    <xf numFmtId="0" fontId="11" fillId="0" borderId="0" xfId="11" applyFont="1" applyAlignment="1">
      <alignment vertical="center"/>
    </xf>
    <xf numFmtId="0" fontId="14" fillId="0" borderId="0" xfId="11" applyFont="1" applyAlignment="1">
      <alignment vertical="center"/>
    </xf>
    <xf numFmtId="14" fontId="11" fillId="0" borderId="0" xfId="1" applyNumberFormat="1" applyFont="1" applyAlignment="1">
      <alignment horizontal="left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11" fillId="4" borderId="0" xfId="0" applyFont="1" applyFill="1" applyAlignment="1" applyProtection="1">
      <alignment horizontal="justify" vertical="center" wrapText="1"/>
      <protection locked="0"/>
    </xf>
    <xf numFmtId="0" fontId="22" fillId="0" borderId="0" xfId="0" applyFont="1" applyAlignment="1" applyProtection="1">
      <alignment horizontal="justify" wrapText="1"/>
      <protection locked="0"/>
    </xf>
    <xf numFmtId="0" fontId="16" fillId="0" borderId="13" xfId="0" applyFont="1" applyBorder="1" applyAlignment="1">
      <alignment horizontal="center" vertical="center"/>
    </xf>
    <xf numFmtId="0" fontId="6" fillId="0" borderId="0" xfId="0" applyFont="1" applyProtection="1">
      <protection locked="0"/>
    </xf>
    <xf numFmtId="0" fontId="26" fillId="0" borderId="13" xfId="0" applyFont="1" applyBorder="1" applyAlignment="1">
      <alignment vertical="center"/>
    </xf>
    <xf numFmtId="0" fontId="14" fillId="0" borderId="0" xfId="0" applyFont="1" applyAlignment="1" applyProtection="1">
      <alignment horizontal="justify"/>
      <protection locked="0"/>
    </xf>
    <xf numFmtId="0" fontId="11" fillId="0" borderId="0" xfId="0" applyFont="1" applyAlignment="1" applyProtection="1">
      <alignment horizontal="justify" wrapText="1"/>
      <protection locked="0"/>
    </xf>
    <xf numFmtId="0" fontId="6" fillId="0" borderId="0" xfId="0" applyFont="1" applyAlignment="1" applyProtection="1">
      <alignment horizontal="justify"/>
      <protection locked="0"/>
    </xf>
    <xf numFmtId="0" fontId="11" fillId="5" borderId="1" xfId="1" applyFont="1" applyFill="1" applyBorder="1" applyAlignment="1">
      <alignment horizontal="center" vertical="center" wrapText="1"/>
      <protection locked="0"/>
    </xf>
    <xf numFmtId="43" fontId="11" fillId="5" borderId="1" xfId="1" applyNumberFormat="1" applyFont="1" applyFill="1" applyBorder="1" applyAlignment="1">
      <alignment horizontal="center" vertical="center"/>
      <protection locked="0"/>
    </xf>
    <xf numFmtId="43" fontId="11" fillId="5" borderId="1" xfId="3" applyFont="1" applyFill="1" applyBorder="1" applyAlignment="1">
      <alignment horizontal="right" vertical="center" wrapText="1"/>
    </xf>
    <xf numFmtId="43" fontId="14" fillId="5" borderId="1" xfId="3" applyFont="1" applyFill="1" applyBorder="1" applyAlignment="1">
      <alignment horizontal="right" vertical="center" wrapText="1"/>
    </xf>
    <xf numFmtId="0" fontId="14" fillId="0" borderId="0" xfId="11" applyFont="1" applyBorder="1" applyAlignment="1">
      <alignment vertical="center"/>
    </xf>
    <xf numFmtId="0" fontId="11" fillId="0" borderId="0" xfId="1" applyFont="1" applyBorder="1" applyAlignment="1">
      <alignment vertical="center"/>
      <protection locked="0"/>
    </xf>
    <xf numFmtId="0" fontId="14" fillId="0" borderId="0" xfId="1" applyFont="1" applyBorder="1" applyAlignment="1">
      <alignment vertical="center"/>
      <protection locked="0"/>
    </xf>
    <xf numFmtId="0" fontId="11" fillId="0" borderId="0" xfId="1" applyFont="1" applyBorder="1" applyAlignment="1">
      <alignment horizontal="center" vertical="center"/>
      <protection locked="0"/>
    </xf>
    <xf numFmtId="0" fontId="11" fillId="0" borderId="0" xfId="1" applyFont="1" applyBorder="1" applyAlignment="1">
      <alignment horizontal="left" vertical="center"/>
      <protection locked="0"/>
    </xf>
    <xf numFmtId="0" fontId="11" fillId="0" borderId="0" xfId="1" applyFont="1" applyBorder="1" applyAlignment="1">
      <alignment vertical="center" wrapText="1"/>
      <protection locked="0"/>
    </xf>
    <xf numFmtId="43" fontId="11" fillId="0" borderId="0" xfId="1" applyNumberFormat="1" applyFont="1" applyBorder="1" applyAlignment="1">
      <alignment horizontal="left" vertical="center"/>
      <protection locked="0"/>
    </xf>
    <xf numFmtId="0" fontId="11" fillId="0" borderId="0" xfId="1" applyFont="1" applyFill="1" applyBorder="1" applyAlignment="1">
      <alignment horizontal="center" vertical="center"/>
      <protection locked="0"/>
    </xf>
    <xf numFmtId="0" fontId="14" fillId="0" borderId="0" xfId="1" applyFont="1" applyFill="1" applyBorder="1" applyAlignment="1">
      <alignment vertical="center"/>
      <protection locked="0"/>
    </xf>
    <xf numFmtId="0" fontId="11" fillId="0" borderId="0" xfId="1" applyFont="1" applyFill="1" applyAlignment="1">
      <alignment horizontal="left" vertical="center"/>
      <protection locked="0"/>
    </xf>
    <xf numFmtId="0" fontId="11" fillId="0" borderId="0" xfId="1" applyFont="1" applyFill="1" applyAlignment="1">
      <alignment horizontal="center" vertical="center"/>
      <protection locked="0"/>
    </xf>
    <xf numFmtId="0" fontId="14" fillId="0" borderId="0" xfId="1" applyFont="1" applyFill="1" applyAlignment="1">
      <alignment horizontal="left" vertical="center"/>
      <protection locked="0"/>
    </xf>
    <xf numFmtId="43" fontId="11" fillId="0" borderId="0" xfId="6" applyNumberFormat="1" applyFont="1" applyBorder="1" applyAlignment="1">
      <alignment horizontal="right" vertical="center"/>
    </xf>
    <xf numFmtId="43" fontId="11" fillId="5" borderId="1" xfId="13" applyFont="1" applyFill="1" applyBorder="1" applyAlignment="1">
      <alignment horizontal="right" vertical="center" wrapText="1"/>
    </xf>
    <xf numFmtId="0" fontId="11" fillId="0" borderId="1" xfId="1" applyFont="1" applyBorder="1" applyAlignment="1">
      <alignment horizontal="center" vertical="center" wrapText="1"/>
      <protection locked="0"/>
    </xf>
    <xf numFmtId="179" fontId="11" fillId="0" borderId="1" xfId="1" applyNumberFormat="1" applyFont="1" applyBorder="1" applyAlignment="1">
      <alignment vertical="center" wrapText="1"/>
      <protection locked="0"/>
    </xf>
    <xf numFmtId="0" fontId="6" fillId="0" borderId="0" xfId="1" applyFont="1" applyAlignment="1">
      <alignment vertical="center" wrapText="1"/>
      <protection locked="0"/>
    </xf>
    <xf numFmtId="0" fontId="6" fillId="0" borderId="0" xfId="1" applyFont="1" applyFill="1">
      <protection locked="0"/>
    </xf>
    <xf numFmtId="43" fontId="11" fillId="0" borderId="1" xfId="3" applyFont="1" applyFill="1" applyBorder="1" applyAlignment="1" applyProtection="1">
      <protection locked="0"/>
    </xf>
    <xf numFmtId="0" fontId="11" fillId="0" borderId="0" xfId="1" applyFont="1" applyAlignment="1">
      <alignment horizontal="left" vertical="center" wrapText="1"/>
      <protection locked="0"/>
    </xf>
    <xf numFmtId="0" fontId="14" fillId="0" borderId="0" xfId="1" applyFont="1" applyAlignment="1">
      <alignment horizontal="left" vertical="center"/>
      <protection locked="0"/>
    </xf>
    <xf numFmtId="0" fontId="11" fillId="0" borderId="0" xfId="1" applyFont="1" applyAlignment="1">
      <alignment horizontal="left" vertical="center"/>
      <protection locked="0"/>
    </xf>
    <xf numFmtId="0" fontId="14" fillId="5" borderId="1" xfId="1" applyFont="1" applyFill="1" applyBorder="1" applyAlignment="1">
      <alignment horizontal="center" vertical="center" wrapText="1"/>
      <protection locked="0"/>
    </xf>
    <xf numFmtId="0" fontId="12" fillId="0" borderId="0" xfId="1" applyFont="1" applyAlignment="1">
      <alignment horizontal="left" vertical="center"/>
      <protection locked="0"/>
    </xf>
    <xf numFmtId="0" fontId="12" fillId="0" borderId="0" xfId="1" applyFont="1" applyFill="1" applyAlignment="1">
      <alignment horizontal="left" vertical="center"/>
      <protection locked="0"/>
    </xf>
    <xf numFmtId="0" fontId="14" fillId="0" borderId="0" xfId="1" applyFont="1" applyFill="1" applyBorder="1" applyAlignment="1">
      <alignment horizontal="center" vertical="center" wrapText="1"/>
      <protection locked="0"/>
    </xf>
    <xf numFmtId="0" fontId="11" fillId="0" borderId="0" xfId="1" applyFont="1" applyFill="1" applyBorder="1" applyAlignment="1">
      <alignment horizontal="center" vertical="center" wrapText="1"/>
      <protection locked="0"/>
    </xf>
    <xf numFmtId="43" fontId="11" fillId="0" borderId="0" xfId="1" applyNumberFormat="1" applyFont="1" applyFill="1" applyBorder="1" applyAlignment="1">
      <alignment horizontal="center" vertical="center"/>
      <protection locked="0"/>
    </xf>
    <xf numFmtId="43" fontId="11" fillId="0" borderId="0" xfId="3" applyFont="1" applyFill="1" applyBorder="1" applyAlignment="1">
      <alignment horizontal="right" vertical="center" wrapText="1"/>
    </xf>
    <xf numFmtId="43" fontId="14" fillId="0" borderId="0" xfId="3" applyFont="1" applyFill="1" applyBorder="1" applyAlignment="1">
      <alignment horizontal="right" vertical="center" wrapText="1"/>
    </xf>
    <xf numFmtId="0" fontId="14" fillId="0" borderId="0" xfId="1" applyFont="1" applyFill="1">
      <protection locked="0"/>
    </xf>
    <xf numFmtId="0" fontId="14" fillId="5" borderId="1" xfId="1" applyFont="1" applyFill="1" applyBorder="1" applyAlignment="1">
      <alignment horizontal="center" vertical="center"/>
      <protection locked="0"/>
    </xf>
    <xf numFmtId="0" fontId="37" fillId="0" borderId="0" xfId="0" applyFont="1"/>
    <xf numFmtId="0" fontId="38" fillId="0" borderId="13" xfId="0" applyFont="1" applyBorder="1" applyAlignment="1">
      <alignment vertical="center"/>
    </xf>
    <xf numFmtId="0" fontId="38" fillId="0" borderId="13" xfId="0" applyFont="1" applyFill="1" applyBorder="1" applyAlignment="1">
      <alignment vertical="center"/>
    </xf>
    <xf numFmtId="0" fontId="19" fillId="0" borderId="0" xfId="0" applyFont="1" applyAlignment="1" applyProtection="1">
      <alignment horizontal="justify"/>
      <protection locked="0"/>
    </xf>
    <xf numFmtId="0" fontId="15" fillId="0" borderId="0" xfId="1" applyFont="1" applyAlignment="1" applyProtection="1">
      <alignment horizontal="left" vertical="center"/>
    </xf>
    <xf numFmtId="0" fontId="11" fillId="0" borderId="0" xfId="1" applyFont="1" applyAlignment="1">
      <alignment horizontal="center" vertical="center" wrapText="1"/>
      <protection locked="0"/>
    </xf>
    <xf numFmtId="0" fontId="14" fillId="0" borderId="0" xfId="1" applyFont="1" applyAlignment="1">
      <alignment horizontal="center" vertical="center" wrapText="1"/>
      <protection locked="0"/>
    </xf>
    <xf numFmtId="0" fontId="41" fillId="0" borderId="0" xfId="1" applyFont="1" applyAlignment="1">
      <alignment vertical="center"/>
      <protection locked="0"/>
    </xf>
    <xf numFmtId="0" fontId="14" fillId="0" borderId="0" xfId="11" applyFont="1" applyAlignment="1">
      <alignment horizontal="left" vertical="center"/>
    </xf>
    <xf numFmtId="0" fontId="37" fillId="0" borderId="0" xfId="0" applyFont="1" applyProtection="1">
      <protection locked="0"/>
    </xf>
    <xf numFmtId="0" fontId="23" fillId="6" borderId="1" xfId="1" applyFont="1" applyFill="1" applyBorder="1" applyAlignment="1" applyProtection="1">
      <alignment horizontal="center" vertical="center" wrapText="1"/>
    </xf>
    <xf numFmtId="0" fontId="11" fillId="0" borderId="0" xfId="1" applyFont="1" applyAlignment="1" applyProtection="1">
      <alignment vertical="center" wrapText="1"/>
    </xf>
    <xf numFmtId="0" fontId="31" fillId="0" borderId="0" xfId="1" applyFont="1" applyAlignment="1" applyProtection="1">
      <alignment horizontal="left" vertical="center"/>
    </xf>
    <xf numFmtId="0" fontId="14" fillId="0" borderId="1" xfId="8" applyFont="1" applyFill="1" applyBorder="1" applyAlignment="1" applyProtection="1">
      <alignment horizontal="center" wrapText="1"/>
      <protection locked="0"/>
    </xf>
    <xf numFmtId="43" fontId="11" fillId="0" borderId="0" xfId="3" applyFont="1" applyFill="1" applyBorder="1" applyAlignment="1" applyProtection="1">
      <protection locked="0"/>
    </xf>
    <xf numFmtId="0" fontId="14" fillId="0" borderId="0" xfId="8" applyFont="1" applyFill="1" applyBorder="1" applyAlignment="1" applyProtection="1">
      <alignment horizontal="center" wrapText="1"/>
      <protection locked="0"/>
    </xf>
    <xf numFmtId="43" fontId="11" fillId="0" borderId="0" xfId="13" applyFont="1" applyFill="1" applyBorder="1" applyAlignment="1">
      <alignment horizontal="right" vertical="center" wrapText="1"/>
    </xf>
    <xf numFmtId="0" fontId="21" fillId="0" borderId="1" xfId="8" applyFont="1" applyFill="1" applyBorder="1" applyAlignment="1" applyProtection="1">
      <protection locked="0"/>
    </xf>
    <xf numFmtId="0" fontId="40" fillId="0" borderId="1" xfId="8" applyFont="1" applyFill="1" applyBorder="1" applyAlignment="1" applyProtection="1">
      <protection locked="0"/>
    </xf>
    <xf numFmtId="0" fontId="7" fillId="0" borderId="0" xfId="11" applyFont="1" applyBorder="1" applyAlignment="1" applyProtection="1">
      <alignment horizontal="center" vertical="center"/>
      <protection hidden="1"/>
    </xf>
    <xf numFmtId="0" fontId="11" fillId="0" borderId="0" xfId="11" applyFont="1" applyBorder="1" applyAlignment="1" applyProtection="1">
      <alignment horizontal="left" vertical="center"/>
      <protection hidden="1"/>
    </xf>
    <xf numFmtId="0" fontId="7" fillId="0" borderId="0" xfId="11" applyFont="1" applyBorder="1" applyAlignment="1" applyProtection="1">
      <alignment horizontal="left" vertical="center"/>
      <protection locked="0"/>
    </xf>
    <xf numFmtId="0" fontId="11" fillId="0" borderId="0" xfId="11" applyFont="1" applyBorder="1" applyAlignment="1" applyProtection="1">
      <alignment vertical="center"/>
      <protection locked="0"/>
    </xf>
    <xf numFmtId="0" fontId="15" fillId="0" borderId="9" xfId="11" applyFont="1" applyBorder="1" applyAlignment="1">
      <alignment vertical="center"/>
    </xf>
    <xf numFmtId="0" fontId="11" fillId="0" borderId="0" xfId="1" applyFont="1" applyAlignment="1">
      <alignment horizontal="left" vertical="center" wrapText="1"/>
      <protection locked="0"/>
    </xf>
    <xf numFmtId="0" fontId="11" fillId="0" borderId="0" xfId="11" applyFont="1" applyAlignment="1">
      <alignment horizontal="left" vertical="center" wrapText="1"/>
    </xf>
    <xf numFmtId="0" fontId="17" fillId="0" borderId="13" xfId="0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  <protection locked="0"/>
    </xf>
    <xf numFmtId="0" fontId="11" fillId="0" borderId="0" xfId="1" applyFont="1" applyAlignment="1">
      <alignment horizontal="left" vertical="center"/>
      <protection locked="0"/>
    </xf>
    <xf numFmtId="0" fontId="14" fillId="5" borderId="1" xfId="1" applyFont="1" applyFill="1" applyBorder="1" applyAlignment="1">
      <alignment horizontal="center" vertical="center" wrapText="1"/>
      <protection locked="0"/>
    </xf>
    <xf numFmtId="0" fontId="15" fillId="5" borderId="1" xfId="1" applyFont="1" applyFill="1" applyBorder="1" applyAlignment="1">
      <alignment horizontal="center" vertical="center" wrapText="1"/>
      <protection locked="0"/>
    </xf>
    <xf numFmtId="0" fontId="13" fillId="0" borderId="0" xfId="11" applyFont="1" applyAlignment="1">
      <alignment horizontal="left" vertical="center"/>
    </xf>
    <xf numFmtId="0" fontId="25" fillId="0" borderId="0" xfId="11" applyFont="1" applyAlignment="1">
      <alignment horizontal="left" vertical="center"/>
    </xf>
    <xf numFmtId="0" fontId="0" fillId="0" borderId="0" xfId="0" applyProtection="1">
      <protection locked="0"/>
    </xf>
    <xf numFmtId="0" fontId="11" fillId="0" borderId="0" xfId="11" applyFont="1" applyAlignment="1">
      <alignment vertical="center" wrapText="1"/>
    </xf>
    <xf numFmtId="14" fontId="11" fillId="0" borderId="1" xfId="1" applyNumberFormat="1" applyFont="1" applyBorder="1" applyAlignment="1">
      <alignment horizontal="left" vertical="center" wrapText="1"/>
      <protection locked="0"/>
    </xf>
    <xf numFmtId="0" fontId="44" fillId="0" borderId="1" xfId="1" applyFont="1" applyBorder="1" applyAlignment="1">
      <alignment horizontal="left" vertical="center" wrapText="1"/>
      <protection locked="0"/>
    </xf>
    <xf numFmtId="0" fontId="11" fillId="0" borderId="1" xfId="1" applyFont="1" applyBorder="1" applyAlignment="1">
      <alignment horizontal="left" vertical="center" wrapText="1"/>
      <protection locked="0"/>
    </xf>
    <xf numFmtId="0" fontId="26" fillId="0" borderId="0" xfId="1" applyFont="1" applyAlignment="1" applyProtection="1">
      <alignment vertical="center"/>
    </xf>
    <xf numFmtId="0" fontId="20" fillId="0" borderId="0" xfId="1" applyFont="1" applyAlignment="1">
      <alignment vertical="center"/>
      <protection locked="0"/>
    </xf>
    <xf numFmtId="0" fontId="39" fillId="0" borderId="0" xfId="1" applyFont="1" applyAlignment="1">
      <alignment vertical="center"/>
      <protection locked="0"/>
    </xf>
    <xf numFmtId="10" fontId="11" fillId="0" borderId="1" xfId="5" applyNumberFormat="1" applyFont="1" applyBorder="1" applyAlignment="1" applyProtection="1">
      <alignment horizontal="center" vertical="center"/>
      <protection locked="0"/>
    </xf>
    <xf numFmtId="178" fontId="11" fillId="0" borderId="1" xfId="4" applyNumberFormat="1" applyFont="1" applyBorder="1" applyAlignment="1" applyProtection="1">
      <alignment horizontal="left" vertical="center" wrapText="1"/>
      <protection locked="0"/>
    </xf>
    <xf numFmtId="0" fontId="46" fillId="0" borderId="0" xfId="1" applyFont="1" applyAlignment="1">
      <alignment vertical="center"/>
      <protection locked="0"/>
    </xf>
    <xf numFmtId="0" fontId="15" fillId="0" borderId="0" xfId="1" applyFont="1" applyAlignment="1">
      <alignment horizontal="left" vertical="center"/>
      <protection locked="0"/>
    </xf>
    <xf numFmtId="0" fontId="11" fillId="0" borderId="1" xfId="8" applyFont="1" applyFill="1" applyBorder="1" applyAlignment="1" applyProtection="1">
      <alignment horizontal="center" vertical="center"/>
      <protection locked="0"/>
    </xf>
    <xf numFmtId="43" fontId="11" fillId="0" borderId="1" xfId="15" applyFont="1" applyFill="1" applyBorder="1" applyAlignment="1" applyProtection="1">
      <alignment horizontal="center" vertical="center"/>
      <protection locked="0"/>
    </xf>
    <xf numFmtId="0" fontId="13" fillId="0" borderId="1" xfId="8" applyFont="1" applyFill="1" applyBorder="1" applyAlignment="1" applyProtection="1">
      <alignment horizontal="left" vertical="center"/>
      <protection locked="0"/>
    </xf>
    <xf numFmtId="0" fontId="15" fillId="0" borderId="1" xfId="8" applyFont="1" applyFill="1" applyBorder="1" applyAlignment="1" applyProtection="1">
      <alignment horizontal="center" vertical="center"/>
      <protection locked="0"/>
    </xf>
    <xf numFmtId="43" fontId="14" fillId="0" borderId="1" xfId="15" applyFont="1" applyFill="1" applyBorder="1" applyAlignment="1" applyProtection="1">
      <alignment horizontal="center" vertical="center"/>
      <protection locked="0"/>
    </xf>
    <xf numFmtId="0" fontId="14" fillId="0" borderId="1" xfId="8" applyFont="1" applyFill="1" applyBorder="1" applyAlignment="1" applyProtection="1">
      <alignment horizontal="center" vertical="center"/>
      <protection locked="0"/>
    </xf>
    <xf numFmtId="0" fontId="13" fillId="0" borderId="1" xfId="1" applyFont="1" applyBorder="1">
      <protection locked="0"/>
    </xf>
    <xf numFmtId="0" fontId="15" fillId="5" borderId="1" xfId="1" applyFont="1" applyFill="1" applyBorder="1" applyAlignment="1">
      <alignment horizontal="center" vertical="center"/>
      <protection locked="0"/>
    </xf>
    <xf numFmtId="0" fontId="15" fillId="5" borderId="1" xfId="1" applyFont="1" applyFill="1" applyBorder="1" applyAlignment="1">
      <alignment wrapText="1"/>
      <protection locked="0"/>
    </xf>
    <xf numFmtId="0" fontId="15" fillId="5" borderId="1" xfId="1" applyFont="1" applyFill="1" applyBorder="1" applyAlignment="1">
      <alignment horizontal="center" wrapText="1"/>
      <protection locked="0"/>
    </xf>
    <xf numFmtId="0" fontId="43" fillId="0" borderId="0" xfId="1" applyFont="1" applyFill="1">
      <protection locked="0"/>
    </xf>
    <xf numFmtId="0" fontId="8" fillId="0" borderId="0" xfId="0" applyFont="1" applyAlignment="1" applyProtection="1">
      <alignment vertical="center"/>
      <protection locked="0"/>
    </xf>
    <xf numFmtId="0" fontId="25" fillId="0" borderId="0" xfId="1" applyFont="1" applyFill="1" applyBorder="1" applyAlignment="1">
      <alignment horizontal="left" vertical="center"/>
      <protection locked="0"/>
    </xf>
    <xf numFmtId="0" fontId="11" fillId="0" borderId="0" xfId="11" applyFont="1" applyBorder="1" applyAlignment="1">
      <alignment vertical="center"/>
    </xf>
    <xf numFmtId="14" fontId="11" fillId="0" borderId="1" xfId="1" applyNumberFormat="1" applyFont="1" applyBorder="1" applyAlignment="1">
      <alignment horizontal="center" vertical="center" wrapText="1"/>
      <protection locked="0"/>
    </xf>
    <xf numFmtId="0" fontId="15" fillId="0" borderId="0" xfId="11" applyFont="1" applyAlignment="1">
      <alignment vertical="center"/>
    </xf>
    <xf numFmtId="43" fontId="11" fillId="0" borderId="1" xfId="15" applyFont="1" applyBorder="1" applyAlignment="1" applyProtection="1">
      <alignment horizontal="left" vertical="center"/>
      <protection locked="0"/>
    </xf>
    <xf numFmtId="0" fontId="13" fillId="0" borderId="1" xfId="1" applyFont="1" applyBorder="1" applyAlignment="1">
      <alignment vertical="center" wrapText="1"/>
      <protection locked="0"/>
    </xf>
    <xf numFmtId="43" fontId="11" fillId="0" borderId="1" xfId="15" applyFont="1" applyBorder="1" applyAlignment="1" applyProtection="1">
      <alignment vertical="center" wrapText="1"/>
      <protection locked="0"/>
    </xf>
    <xf numFmtId="0" fontId="32" fillId="6" borderId="1" xfId="1" applyNumberFormat="1" applyFont="1" applyFill="1" applyBorder="1" applyAlignment="1" applyProtection="1">
      <alignment horizontal="center" vertical="center" wrapText="1"/>
    </xf>
    <xf numFmtId="0" fontId="13" fillId="0" borderId="0" xfId="1" applyFont="1" applyAlignment="1" applyProtection="1">
      <alignment vertical="center"/>
    </xf>
    <xf numFmtId="0" fontId="26" fillId="0" borderId="13" xfId="0" applyFont="1" applyBorder="1" applyAlignment="1">
      <alignment horizontal="center" vertical="center"/>
    </xf>
    <xf numFmtId="0" fontId="49" fillId="0" borderId="0" xfId="12" applyFont="1" applyAlignment="1" applyProtection="1">
      <alignment horizontal="left" vertical="center"/>
      <protection locked="0"/>
    </xf>
    <xf numFmtId="0" fontId="50" fillId="0" borderId="13" xfId="12" applyFont="1" applyBorder="1" applyAlignment="1" applyProtection="1">
      <alignment vertical="center"/>
    </xf>
    <xf numFmtId="0" fontId="50" fillId="0" borderId="13" xfId="12" applyFont="1" applyFill="1" applyBorder="1" applyAlignment="1" applyProtection="1">
      <alignment vertical="center"/>
    </xf>
    <xf numFmtId="0" fontId="14" fillId="5" borderId="1" xfId="1" applyFont="1" applyFill="1" applyBorder="1" applyAlignment="1">
      <alignment horizontal="center" vertical="center" wrapText="1"/>
      <protection locked="0"/>
    </xf>
    <xf numFmtId="0" fontId="15" fillId="5" borderId="1" xfId="1" applyFont="1" applyFill="1" applyBorder="1" applyAlignment="1">
      <alignment horizontal="center" vertical="center" wrapText="1"/>
      <protection locked="0"/>
    </xf>
    <xf numFmtId="0" fontId="5" fillId="0" borderId="13" xfId="0" applyFont="1" applyBorder="1" applyProtection="1">
      <protection locked="0"/>
    </xf>
    <xf numFmtId="0" fontId="21" fillId="0" borderId="1" xfId="1" applyFont="1" applyBorder="1" applyAlignment="1">
      <alignment horizontal="left" vertical="center"/>
      <protection locked="0"/>
    </xf>
    <xf numFmtId="0" fontId="13" fillId="4" borderId="0" xfId="0" applyFont="1" applyFill="1" applyAlignment="1" applyProtection="1">
      <alignment horizontal="justify" vertical="center" wrapText="1"/>
      <protection locked="0"/>
    </xf>
    <xf numFmtId="0" fontId="14" fillId="5" borderId="0" xfId="1" applyFont="1" applyFill="1" applyBorder="1" applyAlignment="1">
      <alignment horizontal="center" vertical="center" wrapText="1"/>
      <protection locked="0"/>
    </xf>
    <xf numFmtId="0" fontId="6" fillId="0" borderId="0" xfId="1" applyFont="1" applyBorder="1">
      <protection locked="0"/>
    </xf>
    <xf numFmtId="0" fontId="15" fillId="0" borderId="0" xfId="8" applyFont="1" applyFill="1" applyBorder="1" applyAlignment="1" applyProtection="1">
      <protection locked="0"/>
    </xf>
    <xf numFmtId="0" fontId="21" fillId="0" borderId="0" xfId="8" applyFont="1" applyFill="1" applyBorder="1" applyAlignment="1" applyProtection="1">
      <alignment vertical="center"/>
      <protection locked="0"/>
    </xf>
    <xf numFmtId="0" fontId="11" fillId="0" borderId="22" xfId="1" applyFont="1" applyBorder="1" applyAlignment="1">
      <alignment horizontal="center" vertical="center"/>
      <protection locked="0"/>
    </xf>
    <xf numFmtId="0" fontId="15" fillId="0" borderId="1" xfId="1" applyFont="1" applyBorder="1" applyAlignment="1">
      <alignment horizontal="center" vertical="center"/>
      <protection locked="0"/>
    </xf>
    <xf numFmtId="43" fontId="14" fillId="0" borderId="1" xfId="15" applyFont="1" applyBorder="1" applyAlignment="1" applyProtection="1">
      <alignment horizontal="left" vertical="center"/>
      <protection locked="0"/>
    </xf>
    <xf numFmtId="14" fontId="14" fillId="0" borderId="1" xfId="1" applyNumberFormat="1" applyFont="1" applyBorder="1" applyAlignment="1">
      <alignment horizontal="center" vertical="center"/>
      <protection locked="0"/>
    </xf>
    <xf numFmtId="0" fontId="14" fillId="0" borderId="1" xfId="1" applyFont="1" applyBorder="1" applyAlignment="1">
      <alignment horizontal="left" vertical="center"/>
      <protection locked="0"/>
    </xf>
    <xf numFmtId="0" fontId="14" fillId="0" borderId="1" xfId="1" applyFont="1" applyBorder="1" applyAlignment="1">
      <alignment vertical="center" wrapText="1"/>
      <protection locked="0"/>
    </xf>
    <xf numFmtId="0" fontId="15" fillId="0" borderId="1" xfId="1" applyFont="1" applyBorder="1" applyAlignment="1">
      <alignment vertical="center" wrapText="1"/>
      <protection locked="0"/>
    </xf>
    <xf numFmtId="0" fontId="14" fillId="0" borderId="1" xfId="1" applyFont="1" applyBorder="1" applyAlignment="1">
      <alignment horizontal="center" vertical="center"/>
      <protection locked="0"/>
    </xf>
    <xf numFmtId="0" fontId="14" fillId="0" borderId="1" xfId="1" applyFont="1" applyBorder="1" applyAlignment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40" fillId="0" borderId="0" xfId="1" applyFont="1" applyAlignment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43" fontId="11" fillId="0" borderId="1" xfId="15" applyFont="1" applyBorder="1" applyAlignment="1" applyProtection="1">
      <alignment horizontal="center" vertical="center"/>
      <protection locked="0"/>
    </xf>
    <xf numFmtId="10" fontId="11" fillId="0" borderId="1" xfId="14" applyNumberFormat="1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43" fontId="11" fillId="0" borderId="0" xfId="15" applyFont="1" applyBorder="1" applyAlignment="1" applyProtection="1">
      <alignment horizontal="center" vertical="center"/>
      <protection locked="0"/>
    </xf>
    <xf numFmtId="10" fontId="11" fillId="0" borderId="0" xfId="14" applyNumberFormat="1" applyFont="1" applyBorder="1" applyAlignment="1" applyProtection="1">
      <alignment horizontal="center" vertical="center"/>
      <protection locked="0"/>
    </xf>
    <xf numFmtId="0" fontId="20" fillId="0" borderId="0" xfId="1" applyFont="1" applyAlignment="1">
      <alignment horizontal="center" vertical="center"/>
      <protection locked="0"/>
    </xf>
    <xf numFmtId="0" fontId="39" fillId="0" borderId="0" xfId="1" applyFont="1" applyAlignment="1">
      <alignment horizontal="center" vertical="center"/>
      <protection locked="0"/>
    </xf>
    <xf numFmtId="0" fontId="11" fillId="0" borderId="0" xfId="1" applyFont="1" applyAlignment="1">
      <alignment horizontal="left" vertical="center" wrapText="1"/>
      <protection locked="0"/>
    </xf>
    <xf numFmtId="0" fontId="14" fillId="0" borderId="0" xfId="1" applyFont="1" applyAlignment="1">
      <alignment horizontal="left" vertical="center"/>
      <protection locked="0"/>
    </xf>
    <xf numFmtId="0" fontId="35" fillId="0" borderId="0" xfId="1" applyFont="1" applyAlignment="1">
      <alignment horizontal="left" vertical="center" wrapText="1"/>
      <protection locked="0"/>
    </xf>
    <xf numFmtId="0" fontId="11" fillId="0" borderId="0" xfId="1" applyFont="1" applyAlignment="1">
      <alignment horizontal="left" vertical="center"/>
      <protection locked="0"/>
    </xf>
    <xf numFmtId="0" fontId="25" fillId="0" borderId="0" xfId="1" applyFont="1" applyAlignment="1">
      <alignment horizontal="left" wrapText="1"/>
      <protection locked="0"/>
    </xf>
    <xf numFmtId="0" fontId="47" fillId="0" borderId="14" xfId="1" applyFont="1" applyBorder="1" applyAlignment="1">
      <alignment horizontal="center" vertical="center"/>
      <protection locked="0"/>
    </xf>
    <xf numFmtId="0" fontId="19" fillId="0" borderId="15" xfId="1" applyFont="1" applyBorder="1" applyAlignment="1">
      <alignment horizontal="center" vertical="center"/>
      <protection locked="0"/>
    </xf>
    <xf numFmtId="0" fontId="19" fillId="0" borderId="16" xfId="1" applyFont="1" applyBorder="1" applyAlignment="1">
      <alignment horizontal="center" vertical="center"/>
      <protection locked="0"/>
    </xf>
    <xf numFmtId="0" fontId="19" fillId="0" borderId="17" xfId="1" applyFont="1" applyBorder="1" applyAlignment="1">
      <alignment horizontal="center" vertical="center"/>
      <protection locked="0"/>
    </xf>
    <xf numFmtId="0" fontId="19" fillId="0" borderId="0" xfId="1" applyFont="1" applyBorder="1" applyAlignment="1">
      <alignment horizontal="center" vertical="center"/>
      <protection locked="0"/>
    </xf>
    <xf numFmtId="0" fontId="19" fillId="0" borderId="18" xfId="1" applyFont="1" applyBorder="1" applyAlignment="1">
      <alignment horizontal="center" vertical="center"/>
      <protection locked="0"/>
    </xf>
    <xf numFmtId="0" fontId="19" fillId="0" borderId="19" xfId="1" applyFont="1" applyBorder="1" applyAlignment="1">
      <alignment horizontal="center" vertical="center"/>
      <protection locked="0"/>
    </xf>
    <xf numFmtId="0" fontId="19" fillId="0" borderId="20" xfId="1" applyFont="1" applyBorder="1" applyAlignment="1">
      <alignment horizontal="center" vertical="center"/>
      <protection locked="0"/>
    </xf>
    <xf numFmtId="0" fontId="19" fillId="0" borderId="21" xfId="1" applyFont="1" applyBorder="1" applyAlignment="1">
      <alignment horizontal="center" vertical="center"/>
      <protection locked="0"/>
    </xf>
    <xf numFmtId="0" fontId="14" fillId="5" borderId="1" xfId="1" applyFont="1" applyFill="1" applyBorder="1" applyAlignment="1">
      <alignment horizontal="center" vertical="center" wrapText="1"/>
      <protection locked="0"/>
    </xf>
    <xf numFmtId="0" fontId="14" fillId="3" borderId="1" xfId="1" applyFont="1" applyFill="1" applyBorder="1" applyAlignment="1">
      <alignment horizontal="center" vertical="center" wrapText="1"/>
      <protection locked="0"/>
    </xf>
    <xf numFmtId="0" fontId="15" fillId="5" borderId="1" xfId="1" applyFont="1" applyFill="1" applyBorder="1" applyAlignment="1">
      <alignment horizontal="center" vertical="center" wrapText="1"/>
      <protection locked="0"/>
    </xf>
    <xf numFmtId="0" fontId="33" fillId="5" borderId="6" xfId="1" applyFont="1" applyFill="1" applyBorder="1" applyAlignment="1">
      <alignment horizontal="center" vertical="center" wrapText="1"/>
      <protection locked="0"/>
    </xf>
    <xf numFmtId="0" fontId="33" fillId="5" borderId="5" xfId="1" applyFont="1" applyFill="1" applyBorder="1" applyAlignment="1">
      <alignment horizontal="center" vertical="center" wrapText="1"/>
      <protection locked="0"/>
    </xf>
    <xf numFmtId="0" fontId="14" fillId="2" borderId="1" xfId="1" applyFont="1" applyFill="1" applyBorder="1" applyAlignment="1">
      <alignment horizontal="center" vertical="center" wrapText="1"/>
      <protection locked="0"/>
    </xf>
    <xf numFmtId="0" fontId="20" fillId="0" borderId="0" xfId="7" applyFont="1" applyAlignment="1">
      <alignment horizontal="center" vertical="center"/>
    </xf>
    <xf numFmtId="0" fontId="39" fillId="0" borderId="0" xfId="7" applyFont="1" applyAlignment="1">
      <alignment horizontal="center" vertical="center"/>
    </xf>
    <xf numFmtId="0" fontId="14" fillId="5" borderId="4" xfId="1" applyFont="1" applyFill="1" applyBorder="1" applyAlignment="1">
      <alignment horizontal="center" vertical="center"/>
      <protection locked="0"/>
    </xf>
    <xf numFmtId="0" fontId="14" fillId="5" borderId="3" xfId="1" applyFont="1" applyFill="1" applyBorder="1" applyAlignment="1">
      <alignment horizontal="center" vertical="center"/>
      <protection locked="0"/>
    </xf>
    <xf numFmtId="0" fontId="14" fillId="5" borderId="4" xfId="1" applyFont="1" applyFill="1" applyBorder="1" applyAlignment="1">
      <alignment horizontal="center" vertical="center" wrapText="1"/>
      <protection locked="0"/>
    </xf>
    <xf numFmtId="0" fontId="14" fillId="5" borderId="3" xfId="1" applyFont="1" applyFill="1" applyBorder="1" applyAlignment="1">
      <alignment horizontal="center" vertical="center" wrapText="1"/>
      <protection locked="0"/>
    </xf>
    <xf numFmtId="0" fontId="14" fillId="5" borderId="2" xfId="1" applyFont="1" applyFill="1" applyBorder="1" applyAlignment="1">
      <alignment horizontal="center" vertical="center" wrapText="1"/>
      <protection locked="0"/>
    </xf>
    <xf numFmtId="0" fontId="14" fillId="5" borderId="6" xfId="1" applyFont="1" applyFill="1" applyBorder="1" applyAlignment="1">
      <alignment horizontal="center" vertical="center" wrapText="1"/>
      <protection locked="0"/>
    </xf>
    <xf numFmtId="0" fontId="14" fillId="5" borderId="5" xfId="1" applyFont="1" applyFill="1" applyBorder="1" applyAlignment="1">
      <alignment horizontal="center" vertical="center" wrapText="1"/>
      <protection locked="0"/>
    </xf>
    <xf numFmtId="0" fontId="32" fillId="5" borderId="6" xfId="1" applyFont="1" applyFill="1" applyBorder="1" applyAlignment="1">
      <alignment horizontal="center" vertical="center" wrapText="1"/>
      <protection locked="0"/>
    </xf>
    <xf numFmtId="0" fontId="32" fillId="5" borderId="5" xfId="1" applyFont="1" applyFill="1" applyBorder="1" applyAlignment="1">
      <alignment horizontal="center" vertical="center" wrapText="1"/>
      <protection locked="0"/>
    </xf>
    <xf numFmtId="0" fontId="25" fillId="0" borderId="9" xfId="1" applyFont="1" applyBorder="1" applyAlignment="1">
      <alignment horizontal="left" vertical="center" wrapText="1"/>
      <protection locked="0"/>
    </xf>
    <xf numFmtId="0" fontId="32" fillId="5" borderId="12" xfId="1" applyFont="1" applyFill="1" applyBorder="1" applyAlignment="1">
      <alignment horizontal="center" vertical="center"/>
      <protection locked="0"/>
    </xf>
    <xf numFmtId="0" fontId="32" fillId="5" borderId="11" xfId="1" applyFont="1" applyFill="1" applyBorder="1" applyAlignment="1">
      <alignment horizontal="center" vertical="center"/>
      <protection locked="0"/>
    </xf>
    <xf numFmtId="0" fontId="32" fillId="5" borderId="10" xfId="1" applyFont="1" applyFill="1" applyBorder="1" applyAlignment="1">
      <alignment horizontal="center" vertical="center"/>
      <protection locked="0"/>
    </xf>
    <xf numFmtId="0" fontId="32" fillId="5" borderId="7" xfId="1" applyFont="1" applyFill="1" applyBorder="1" applyAlignment="1">
      <alignment horizontal="center" vertical="center"/>
      <protection locked="0"/>
    </xf>
    <xf numFmtId="0" fontId="32" fillId="5" borderId="9" xfId="1" applyFont="1" applyFill="1" applyBorder="1" applyAlignment="1">
      <alignment horizontal="center" vertical="center"/>
      <protection locked="0"/>
    </xf>
    <xf numFmtId="0" fontId="32" fillId="5" borderId="8" xfId="1" applyFont="1" applyFill="1" applyBorder="1" applyAlignment="1">
      <alignment horizontal="center" vertical="center"/>
      <protection locked="0"/>
    </xf>
    <xf numFmtId="14" fontId="11" fillId="0" borderId="4" xfId="1" applyNumberFormat="1" applyFont="1" applyBorder="1" applyAlignment="1">
      <alignment horizontal="center" vertical="center"/>
      <protection locked="0"/>
    </xf>
    <xf numFmtId="14" fontId="11" fillId="0" borderId="3" xfId="1" applyNumberFormat="1" applyFont="1" applyBorder="1" applyAlignment="1">
      <alignment horizontal="center" vertical="center"/>
      <protection locked="0"/>
    </xf>
    <xf numFmtId="14" fontId="11" fillId="0" borderId="2" xfId="1" applyNumberFormat="1" applyFont="1" applyBorder="1" applyAlignment="1">
      <alignment horizontal="center" vertical="center"/>
      <protection locked="0"/>
    </xf>
    <xf numFmtId="0" fontId="14" fillId="5" borderId="1" xfId="1" applyFont="1" applyFill="1" applyBorder="1" applyAlignment="1">
      <alignment horizontal="center" vertical="center"/>
      <protection locked="0"/>
    </xf>
    <xf numFmtId="0" fontId="14" fillId="3" borderId="1" xfId="1" applyFont="1" applyFill="1" applyBorder="1" applyAlignment="1">
      <alignment horizontal="center" vertical="center"/>
      <protection locked="0"/>
    </xf>
    <xf numFmtId="0" fontId="14" fillId="6" borderId="1" xfId="1" applyFont="1" applyFill="1" applyBorder="1" applyAlignment="1" applyProtection="1">
      <alignment horizontal="center" vertical="center" wrapText="1"/>
    </xf>
    <xf numFmtId="0" fontId="14" fillId="5" borderId="2" xfId="1" applyFont="1" applyFill="1" applyBorder="1" applyAlignment="1">
      <alignment horizontal="center" vertical="center"/>
      <protection locked="0"/>
    </xf>
    <xf numFmtId="0" fontId="25" fillId="0" borderId="0" xfId="1" applyFont="1" applyAlignment="1">
      <alignment horizontal="left" vertical="center" wrapText="1"/>
      <protection locked="0"/>
    </xf>
    <xf numFmtId="0" fontId="14" fillId="6" borderId="6" xfId="1" applyFont="1" applyFill="1" applyBorder="1" applyAlignment="1" applyProtection="1">
      <alignment horizontal="center" vertical="center" wrapText="1"/>
    </xf>
    <xf numFmtId="0" fontId="14" fillId="6" borderId="5" xfId="1" applyFont="1" applyFill="1" applyBorder="1" applyAlignment="1" applyProtection="1">
      <alignment horizontal="center" vertical="center" wrapText="1"/>
    </xf>
    <xf numFmtId="0" fontId="14" fillId="6" borderId="22" xfId="1" applyFont="1" applyFill="1" applyBorder="1" applyAlignment="1" applyProtection="1">
      <alignment horizontal="center" vertical="center" wrapText="1"/>
    </xf>
    <xf numFmtId="0" fontId="42" fillId="0" borderId="0" xfId="0" applyFont="1" applyAlignment="1" applyProtection="1">
      <alignment horizontal="left" vertical="center" wrapText="1"/>
      <protection locked="0"/>
    </xf>
    <xf numFmtId="0" fontId="32" fillId="6" borderId="12" xfId="1" applyFont="1" applyFill="1" applyBorder="1" applyAlignment="1" applyProtection="1">
      <alignment horizontal="center" vertical="center" wrapText="1"/>
    </xf>
    <xf numFmtId="0" fontId="32" fillId="6" borderId="10" xfId="1" applyFont="1" applyFill="1" applyBorder="1" applyAlignment="1" applyProtection="1">
      <alignment horizontal="center" vertical="center" wrapText="1"/>
    </xf>
    <xf numFmtId="0" fontId="32" fillId="6" borderId="7" xfId="1" applyFont="1" applyFill="1" applyBorder="1" applyAlignment="1" applyProtection="1">
      <alignment horizontal="center" vertical="center" wrapText="1"/>
    </xf>
    <xf numFmtId="0" fontId="32" fillId="6" borderId="8" xfId="1" applyFont="1" applyFill="1" applyBorder="1" applyAlignment="1" applyProtection="1">
      <alignment horizontal="center" vertical="center" wrapText="1"/>
    </xf>
    <xf numFmtId="0" fontId="11" fillId="0" borderId="4" xfId="1" applyFont="1" applyBorder="1" applyAlignment="1">
      <alignment horizontal="center" vertical="center" wrapText="1"/>
      <protection locked="0"/>
    </xf>
    <xf numFmtId="0" fontId="11" fillId="0" borderId="2" xfId="1" applyFont="1" applyBorder="1" applyAlignment="1">
      <alignment horizontal="center" vertical="center" wrapText="1"/>
      <protection locked="0"/>
    </xf>
  </cellXfs>
  <cellStyles count="17">
    <cellStyle name="百分比" xfId="14" builtinId="5"/>
    <cellStyle name="百分比 2" xfId="5"/>
    <cellStyle name="常规" xfId="0" builtinId="0"/>
    <cellStyle name="常规 2" xfId="1"/>
    <cellStyle name="常规 2 2" xfId="10"/>
    <cellStyle name="常规 3" xfId="2"/>
    <cellStyle name="常规 4" xfId="8"/>
    <cellStyle name="常规_2004京都审计所需资料" xfId="4"/>
    <cellStyle name="常规_Book1" xfId="7"/>
    <cellStyle name="常规_进一步审计程序--销售与收款循环" xfId="11"/>
    <cellStyle name="常规_新审定表" xfId="6"/>
    <cellStyle name="超链接" xfId="12" builtinId="8"/>
    <cellStyle name="千位分隔" xfId="15" builtinId="3"/>
    <cellStyle name="千位分隔 2" xfId="3"/>
    <cellStyle name="千位分隔 2 2" xfId="9"/>
    <cellStyle name="千位分隔 2 3" xfId="16"/>
    <cellStyle name="千位分隔 3" xfId="13"/>
  </cellStyles>
  <dxfs count="0"/>
  <tableStyles count="0" defaultTableStyle="TableStyleMedium2" defaultPivotStyle="PivotStyleLight16"/>
  <colors>
    <mruColors>
      <color rgb="FFE4DFEC"/>
      <color rgb="FF0000FF"/>
      <color rgb="FFFFFF99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251152</xdr:rowOff>
    </xdr:from>
    <xdr:to>
      <xdr:col>3</xdr:col>
      <xdr:colOff>501106</xdr:colOff>
      <xdr:row>42</xdr:row>
      <xdr:rowOff>97825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C8F193C-E7D4-4208-96DC-6A7169796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04866"/>
          <a:ext cx="3864429" cy="13706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1-1&#33267;E1-11%20&#36135;&#24065;&#36164;&#37329;-%20&#23457;&#23450;&#34920;&#26126;&#32454;&#34920;&#65288;Leap-&#24120;&#35268;&#31243;&#24207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底稿目录"/>
      <sheetName val="货币资金实质性程序表E1A"/>
      <sheetName val="附注披露信息(上市公司)"/>
      <sheetName val="附注披露信息(国企)"/>
      <sheetName val="货币资金审定表E1-1"/>
      <sheetName val="现金明细表E1-2"/>
      <sheetName val="银行存款及其他货币资金明细表(仅人民币)E1-3"/>
      <sheetName val="银行存款及其他货币资金明细表(人民币及外币)E1-3"/>
      <sheetName val="数字货币明细表E1-4"/>
      <sheetName val="调整分录汇总E1-5"/>
      <sheetName val="银行存款余额调节表E1-6"/>
      <sheetName val="库存现金（人民币）盘点表E1-7"/>
      <sheetName val="库存现金（外币）盘点表E1-8"/>
      <sheetName val="银行存单盘点表E1-9"/>
      <sheetName val="已开立银行账户清单核对表E1-10"/>
      <sheetName val="银行账户情况承诺E1-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2">
          <cell r="C22">
            <v>0</v>
          </cell>
          <cell r="D22">
            <v>0</v>
          </cell>
        </row>
      </sheetData>
      <sheetData sheetId="6">
        <row r="50">
          <cell r="F50">
            <v>0</v>
          </cell>
          <cell r="G5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/>
  </sheetViews>
  <sheetFormatPr defaultColWidth="8.6640625" defaultRowHeight="19.95" customHeight="1"/>
  <cols>
    <col min="1" max="1" width="46.44140625" style="93" customWidth="1"/>
    <col min="2" max="4" width="8.6640625" style="93"/>
    <col min="5" max="5" width="40.88671875" style="93" customWidth="1"/>
    <col min="6" max="6" width="8.6640625" style="93"/>
    <col min="7" max="7" width="14.77734375" style="93" bestFit="1" customWidth="1"/>
    <col min="8" max="16384" width="8.6640625" style="93"/>
  </cols>
  <sheetData>
    <row r="1" spans="1:9" ht="19.95" customHeight="1">
      <c r="A1" s="45" t="s">
        <v>45</v>
      </c>
      <c r="B1" s="46"/>
      <c r="C1" s="46"/>
      <c r="D1" s="47"/>
      <c r="E1" s="47"/>
      <c r="F1" s="47"/>
      <c r="G1" s="48"/>
    </row>
    <row r="2" spans="1:9" ht="19.95" customHeight="1">
      <c r="A2" s="49" t="s">
        <v>197</v>
      </c>
      <c r="B2" s="50"/>
      <c r="C2" s="50"/>
      <c r="D2" s="51" t="s">
        <v>46</v>
      </c>
      <c r="E2" s="119" t="s">
        <v>119</v>
      </c>
      <c r="F2" s="51" t="s">
        <v>47</v>
      </c>
      <c r="G2" s="51" t="s">
        <v>48</v>
      </c>
    </row>
    <row r="3" spans="1:9" ht="19.95" customHeight="1">
      <c r="A3" s="49" t="s">
        <v>202</v>
      </c>
      <c r="B3" s="50"/>
      <c r="C3" s="50"/>
      <c r="D3" s="51">
        <v>1</v>
      </c>
      <c r="E3" s="161" t="s">
        <v>120</v>
      </c>
      <c r="F3" s="159" t="s">
        <v>186</v>
      </c>
      <c r="G3" s="94"/>
    </row>
    <row r="4" spans="1:9" ht="19.95" customHeight="1">
      <c r="A4" s="167" t="s">
        <v>198</v>
      </c>
      <c r="B4" s="52"/>
      <c r="C4" s="52"/>
      <c r="D4" s="51">
        <v>2</v>
      </c>
      <c r="E4" s="161" t="s">
        <v>121</v>
      </c>
      <c r="F4" s="159" t="s">
        <v>187</v>
      </c>
      <c r="G4" s="53"/>
    </row>
    <row r="5" spans="1:9" ht="19.95" customHeight="1">
      <c r="A5" s="167" t="s">
        <v>199</v>
      </c>
      <c r="B5" s="52"/>
      <c r="C5" s="52"/>
      <c r="D5" s="51">
        <v>3</v>
      </c>
      <c r="E5" s="161" t="s">
        <v>122</v>
      </c>
      <c r="F5" s="159" t="s">
        <v>188</v>
      </c>
      <c r="G5" s="53"/>
    </row>
    <row r="6" spans="1:9" ht="19.95" customHeight="1">
      <c r="A6" s="167" t="s">
        <v>201</v>
      </c>
      <c r="B6" s="52"/>
      <c r="C6" s="52"/>
      <c r="D6" s="51">
        <v>4</v>
      </c>
      <c r="E6" s="162" t="s">
        <v>123</v>
      </c>
      <c r="F6" s="159" t="s">
        <v>41</v>
      </c>
      <c r="G6" s="95"/>
    </row>
    <row r="7" spans="1:9" ht="19.95" customHeight="1">
      <c r="A7" s="167" t="s">
        <v>200</v>
      </c>
      <c r="B7" s="52"/>
      <c r="C7" s="52"/>
      <c r="D7" s="51">
        <v>5</v>
      </c>
      <c r="E7" s="162" t="s">
        <v>124</v>
      </c>
      <c r="F7" s="159" t="s">
        <v>42</v>
      </c>
      <c r="G7" s="95"/>
    </row>
    <row r="8" spans="1:9" ht="19.95" customHeight="1">
      <c r="A8" s="54"/>
      <c r="B8" s="52"/>
      <c r="C8" s="52"/>
      <c r="D8" s="51">
        <v>6</v>
      </c>
      <c r="E8" s="161" t="s">
        <v>125</v>
      </c>
      <c r="F8" s="159" t="s">
        <v>43</v>
      </c>
      <c r="G8" s="95"/>
    </row>
    <row r="9" spans="1:9" ht="19.95" customHeight="1">
      <c r="A9" s="55"/>
      <c r="B9" s="52"/>
      <c r="C9" s="52"/>
      <c r="D9" s="51">
        <v>7</v>
      </c>
      <c r="E9" s="165" t="s">
        <v>126</v>
      </c>
      <c r="F9" s="159" t="s">
        <v>44</v>
      </c>
      <c r="G9" s="53"/>
    </row>
    <row r="10" spans="1:9" ht="19.95" customHeight="1">
      <c r="A10" s="55"/>
      <c r="B10" s="52"/>
      <c r="C10" s="52"/>
      <c r="D10" s="51">
        <v>8</v>
      </c>
      <c r="E10" s="165" t="s">
        <v>126</v>
      </c>
      <c r="F10" s="159" t="s">
        <v>40</v>
      </c>
      <c r="G10" s="53"/>
    </row>
    <row r="11" spans="1:9" ht="19.95" customHeight="1">
      <c r="A11" s="96"/>
      <c r="B11" s="52"/>
      <c r="C11" s="52"/>
      <c r="D11" s="52"/>
      <c r="E11" s="52"/>
      <c r="F11" s="52"/>
      <c r="G11" s="52"/>
      <c r="H11" s="52"/>
      <c r="I11" s="52"/>
    </row>
    <row r="12" spans="1:9" ht="19.95" customHeight="1">
      <c r="A12" s="56"/>
      <c r="B12" s="52"/>
      <c r="C12" s="52"/>
      <c r="D12" s="52"/>
      <c r="E12" s="52"/>
      <c r="F12" s="52"/>
      <c r="G12" s="52"/>
      <c r="H12" s="52"/>
      <c r="I12" s="52"/>
    </row>
    <row r="13" spans="1:9" ht="19.95" customHeight="1">
      <c r="A13" s="52"/>
      <c r="B13" s="52"/>
      <c r="C13" s="52"/>
    </row>
    <row r="14" spans="1:9" ht="19.95" customHeight="1">
      <c r="A14" s="52"/>
      <c r="B14" s="52"/>
      <c r="C14" s="52"/>
    </row>
    <row r="15" spans="1:9" ht="19.95" customHeight="1">
      <c r="A15" s="52"/>
      <c r="B15" s="52"/>
      <c r="C15" s="52"/>
    </row>
    <row r="16" spans="1:9" ht="19.95" customHeight="1">
      <c r="A16" s="52"/>
      <c r="B16" s="52"/>
      <c r="C16" s="52"/>
    </row>
    <row r="17" spans="1:3" ht="19.95" customHeight="1">
      <c r="A17" s="52"/>
      <c r="B17" s="52"/>
      <c r="C17" s="52"/>
    </row>
    <row r="18" spans="1:3" ht="19.95" customHeight="1">
      <c r="A18" s="52"/>
      <c r="B18" s="52"/>
      <c r="C18" s="52"/>
    </row>
    <row r="19" spans="1:3" ht="19.95" customHeight="1">
      <c r="A19" s="52"/>
      <c r="B19" s="52"/>
    </row>
    <row r="20" spans="1:3" ht="19.95" customHeight="1">
      <c r="A20" s="52"/>
      <c r="B20" s="52"/>
      <c r="C20" s="52"/>
    </row>
    <row r="21" spans="1:3" ht="19.95" customHeight="1">
      <c r="A21" s="52"/>
      <c r="B21" s="52"/>
      <c r="C21" s="52"/>
    </row>
    <row r="22" spans="1:3" ht="19.95" customHeight="1">
      <c r="A22" s="52"/>
      <c r="B22" s="52"/>
      <c r="C22" s="52"/>
    </row>
    <row r="23" spans="1:3" ht="19.95" customHeight="1">
      <c r="A23" s="52"/>
      <c r="B23" s="52"/>
      <c r="C23" s="52"/>
    </row>
    <row r="24" spans="1:3" ht="19.95" customHeight="1">
      <c r="A24" s="52"/>
      <c r="B24" s="52"/>
      <c r="C24" s="52"/>
    </row>
    <row r="25" spans="1:3" ht="19.95" customHeight="1">
      <c r="A25" s="52"/>
      <c r="B25" s="52"/>
      <c r="C25" s="52"/>
    </row>
    <row r="26" spans="1:3" ht="19.95" customHeight="1">
      <c r="A26" s="52"/>
      <c r="B26" s="52"/>
      <c r="C26" s="52"/>
    </row>
  </sheetData>
  <phoneticPr fontId="4" type="noConversion"/>
  <hyperlinks>
    <hyperlink ref="E8" location="'货币资金收支检查情况表E1-23'!A1" display="货币资金收支检查表"/>
    <hyperlink ref="E4" location="'企业信用报告信息与账面核对记录E1-19'!A1" display="企业信用报告信息与账面核对记录"/>
    <hyperlink ref="E3" location="'企业信用报告信息查询记录E1-18'!A1" display="企业信用报告信息查询记录"/>
    <hyperlink ref="E5" location="'银行存款及其他货币资金应计利息测算E1-20'!A1" display="银行存款及其他货币资金应计利息测算"/>
    <hyperlink ref="E7" location="'其他货币资金截止测试表E1-22'!A1" display="其他货币资金截止测试表"/>
    <hyperlink ref="E6" location="'银行存款截止测试表E1-21'!A1" display="银行存款截止测试表"/>
  </hyperlinks>
  <printOptions horizontalCentered="1"/>
  <pageMargins left="0.39370078740157483" right="0.39370078740157483" top="0.39370078740157483" bottom="0.39370078740157483" header="0.31496062992125984" footer="0.31496062992125984"/>
  <pageSetup paperSize="9" scale="55" orientation="landscape" blackAndWhite="1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view="pageBreakPreview" zoomScaleNormal="130" zoomScaleSheetLayoutView="100" workbookViewId="0">
      <selection sqref="A1:G1"/>
    </sheetView>
  </sheetViews>
  <sheetFormatPr defaultColWidth="9" defaultRowHeight="19.95" customHeight="1"/>
  <cols>
    <col min="1" max="1" width="35.77734375" style="19" customWidth="1"/>
    <col min="2" max="2" width="23.109375" style="19" customWidth="1"/>
    <col min="3" max="3" width="20.109375" style="19" customWidth="1"/>
    <col min="4" max="4" width="9" style="19"/>
    <col min="5" max="5" width="19.6640625" style="19" customWidth="1"/>
    <col min="6" max="6" width="9" style="19"/>
    <col min="7" max="7" width="8.6640625" style="19" customWidth="1"/>
    <col min="8" max="16384" width="9" style="19"/>
  </cols>
  <sheetData>
    <row r="1" spans="1:16" ht="19.95" customHeight="1">
      <c r="A1" s="189" t="s">
        <v>8</v>
      </c>
      <c r="B1" s="189"/>
      <c r="C1" s="189"/>
      <c r="D1" s="189"/>
      <c r="E1" s="189"/>
      <c r="F1" s="189"/>
      <c r="G1" s="189"/>
      <c r="H1" s="21"/>
      <c r="I1" s="21"/>
      <c r="J1" s="21"/>
      <c r="K1" s="21"/>
      <c r="L1" s="21"/>
      <c r="M1" s="21"/>
      <c r="N1" s="21"/>
      <c r="O1" s="21"/>
      <c r="P1" s="21"/>
    </row>
    <row r="2" spans="1:16" ht="19.95" customHeight="1">
      <c r="A2" s="190" t="s">
        <v>16</v>
      </c>
      <c r="B2" s="190"/>
      <c r="C2" s="190"/>
      <c r="D2" s="190"/>
      <c r="E2" s="190"/>
      <c r="F2" s="190"/>
      <c r="G2" s="190"/>
      <c r="H2" s="21"/>
      <c r="I2" s="21"/>
      <c r="J2" s="21"/>
      <c r="K2" s="21"/>
      <c r="L2" s="21"/>
      <c r="M2" s="21"/>
      <c r="N2" s="21"/>
      <c r="O2" s="21"/>
      <c r="P2" s="21"/>
    </row>
    <row r="3" spans="1:16" ht="19.95" customHeight="1">
      <c r="A3" s="16" t="str">
        <f>底稿目录!A2</f>
        <v>被审计单位：</v>
      </c>
      <c r="B3" s="17" t="str">
        <f>底稿目录!A4</f>
        <v>编制人：</v>
      </c>
      <c r="D3" s="16" t="str">
        <f>底稿目录!A5</f>
        <v>编制日期：</v>
      </c>
      <c r="F3" s="82" t="s">
        <v>15</v>
      </c>
      <c r="G3" s="160" t="str">
        <f>底稿目录!F3</f>
        <v>E1-18</v>
      </c>
    </row>
    <row r="4" spans="1:16" ht="19.95" customHeight="1">
      <c r="A4" s="16" t="str">
        <f>底稿目录!A3</f>
        <v>截止日：202X年12月31日</v>
      </c>
      <c r="B4" s="17" t="str">
        <f>底稿目录!A6</f>
        <v>复核人：</v>
      </c>
      <c r="D4" s="16" t="str">
        <f>底稿目录!A7</f>
        <v>复核日期：</v>
      </c>
      <c r="F4" s="82" t="s">
        <v>14</v>
      </c>
      <c r="G4" s="82"/>
    </row>
    <row r="5" spans="1:16" ht="31.8" customHeight="1">
      <c r="A5" s="191" t="s">
        <v>146</v>
      </c>
      <c r="B5" s="191"/>
      <c r="C5" s="191"/>
      <c r="D5" s="191"/>
      <c r="E5" s="191"/>
      <c r="F5" s="191"/>
      <c r="G5" s="191"/>
    </row>
    <row r="6" spans="1:16" ht="19.95" customHeight="1">
      <c r="A6" s="3" t="s">
        <v>49</v>
      </c>
    </row>
    <row r="7" spans="1:16" ht="19.95" customHeight="1">
      <c r="A7" s="3" t="s">
        <v>50</v>
      </c>
      <c r="C7" s="3" t="s">
        <v>51</v>
      </c>
      <c r="E7" s="3" t="s">
        <v>52</v>
      </c>
    </row>
    <row r="8" spans="1:16" ht="19.95" customHeight="1">
      <c r="A8" s="3" t="s">
        <v>53</v>
      </c>
      <c r="B8" s="3" t="s">
        <v>34</v>
      </c>
      <c r="C8" s="3"/>
      <c r="D8" s="3"/>
      <c r="E8" s="3"/>
      <c r="F8" s="3"/>
      <c r="G8" s="3"/>
    </row>
    <row r="9" spans="1:16" ht="19.95" customHeight="1">
      <c r="A9" s="3" t="s">
        <v>54</v>
      </c>
      <c r="B9" s="3" t="s">
        <v>55</v>
      </c>
      <c r="C9" s="3"/>
      <c r="D9" s="3"/>
      <c r="E9" s="3" t="s">
        <v>56</v>
      </c>
      <c r="F9" s="3"/>
      <c r="G9" s="3"/>
    </row>
    <row r="10" spans="1:16" ht="19.95" customHeight="1">
      <c r="A10" s="3" t="s">
        <v>57</v>
      </c>
      <c r="B10" s="3"/>
      <c r="C10" s="3"/>
      <c r="D10" s="3"/>
      <c r="E10" s="3"/>
      <c r="F10" s="3"/>
      <c r="G10" s="22"/>
    </row>
    <row r="11" spans="1:16" ht="19.95" customHeight="1">
      <c r="A11" s="194" t="s">
        <v>58</v>
      </c>
      <c r="B11" s="194"/>
      <c r="C11" s="3" t="s">
        <v>12</v>
      </c>
      <c r="D11" s="3"/>
      <c r="E11" s="22"/>
      <c r="F11" s="22"/>
      <c r="G11" s="22"/>
    </row>
    <row r="12" spans="1:16" ht="19.95" customHeight="1">
      <c r="A12" s="23" t="s">
        <v>59</v>
      </c>
      <c r="B12" s="23"/>
      <c r="C12" s="3" t="s">
        <v>12</v>
      </c>
      <c r="D12" s="3"/>
      <c r="E12" s="23"/>
      <c r="F12" s="23"/>
      <c r="G12" s="23"/>
    </row>
    <row r="13" spans="1:16" ht="19.95" customHeight="1">
      <c r="A13" s="3" t="s">
        <v>13</v>
      </c>
      <c r="C13" s="3" t="s">
        <v>12</v>
      </c>
      <c r="D13" s="3"/>
      <c r="E13" s="3"/>
      <c r="F13" s="3"/>
      <c r="G13" s="3"/>
    </row>
    <row r="14" spans="1:16" ht="19.95" customHeight="1">
      <c r="A14" s="191" t="s">
        <v>38</v>
      </c>
      <c r="B14" s="191"/>
      <c r="C14" s="191"/>
      <c r="D14" s="191"/>
      <c r="E14" s="191"/>
      <c r="F14" s="191"/>
      <c r="G14" s="191"/>
    </row>
    <row r="15" spans="1:16" ht="19.95" customHeight="1">
      <c r="A15" s="191" t="s">
        <v>11</v>
      </c>
      <c r="B15" s="191"/>
      <c r="C15" s="191"/>
      <c r="D15" s="191"/>
      <c r="E15" s="191"/>
      <c r="F15" s="191"/>
      <c r="G15" s="191"/>
    </row>
    <row r="16" spans="1:16" ht="19.95" customHeight="1">
      <c r="A16" s="193" t="s">
        <v>37</v>
      </c>
      <c r="B16" s="193"/>
      <c r="C16" s="193"/>
      <c r="D16" s="193"/>
      <c r="E16" s="193"/>
      <c r="F16" s="193"/>
      <c r="G16" s="193"/>
    </row>
    <row r="17" spans="1:7" ht="19.95" customHeight="1">
      <c r="A17" s="80" t="s">
        <v>60</v>
      </c>
      <c r="B17" s="80"/>
      <c r="C17" s="80"/>
      <c r="D17" s="80"/>
      <c r="E17" s="80"/>
      <c r="F17" s="80"/>
      <c r="G17" s="80"/>
    </row>
    <row r="18" spans="1:7" ht="19.95" customHeight="1">
      <c r="A18" s="22"/>
      <c r="B18" s="22"/>
      <c r="C18" s="22"/>
      <c r="D18" s="22"/>
      <c r="E18" s="22"/>
      <c r="F18" s="22"/>
      <c r="G18" s="22"/>
    </row>
    <row r="19" spans="1:7" ht="19.95" customHeight="1">
      <c r="A19" s="192" t="s">
        <v>10</v>
      </c>
      <c r="B19" s="192"/>
      <c r="C19" s="22"/>
      <c r="D19" s="22"/>
      <c r="E19" s="22"/>
      <c r="F19" s="22"/>
      <c r="G19" s="22"/>
    </row>
    <row r="20" spans="1:7" ht="19.95" customHeight="1">
      <c r="A20" s="192" t="s">
        <v>9</v>
      </c>
      <c r="B20" s="192"/>
      <c r="C20" s="22"/>
      <c r="D20" s="22"/>
      <c r="E20" s="22"/>
      <c r="F20" s="22"/>
      <c r="G20" s="22"/>
    </row>
    <row r="21" spans="1:7" ht="19.95" customHeight="1">
      <c r="A21" s="22"/>
      <c r="B21" s="22"/>
      <c r="C21" s="22"/>
      <c r="D21" s="22"/>
      <c r="E21" s="22"/>
      <c r="F21" s="22"/>
      <c r="G21" s="22"/>
    </row>
    <row r="22" spans="1:7" ht="19.95" customHeight="1">
      <c r="A22" s="22"/>
      <c r="B22" s="22"/>
      <c r="C22" s="22"/>
      <c r="D22" s="22"/>
      <c r="E22" s="22"/>
      <c r="F22" s="22"/>
      <c r="G22" s="22"/>
    </row>
    <row r="23" spans="1:7" ht="19.95" customHeight="1">
      <c r="A23" s="22"/>
      <c r="B23" s="22"/>
      <c r="C23" s="22"/>
      <c r="D23" s="22"/>
      <c r="E23" s="22"/>
      <c r="F23" s="22"/>
      <c r="G23" s="22"/>
    </row>
  </sheetData>
  <mergeCells count="9">
    <mergeCell ref="A1:G1"/>
    <mergeCell ref="A2:G2"/>
    <mergeCell ref="A5:G5"/>
    <mergeCell ref="A20:B20"/>
    <mergeCell ref="A14:G14"/>
    <mergeCell ref="A15:G15"/>
    <mergeCell ref="A16:G16"/>
    <mergeCell ref="A19:B19"/>
    <mergeCell ref="A11:B11"/>
  </mergeCells>
  <phoneticPr fontId="4" type="noConversion"/>
  <hyperlinks>
    <hyperlink ref="G3" location="底稿目录!A1" display="底稿目录!A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5" fitToHeight="100" orientation="landscape" blackAndWhite="1" cellComments="atEnd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view="pageBreakPreview" zoomScaleSheetLayoutView="100" workbookViewId="0">
      <selection sqref="A1:I1"/>
    </sheetView>
  </sheetViews>
  <sheetFormatPr defaultColWidth="9" defaultRowHeight="19.95" customHeight="1"/>
  <cols>
    <col min="1" max="1" width="16.109375" style="1" customWidth="1"/>
    <col min="2" max="2" width="12.6640625" style="1" customWidth="1"/>
    <col min="3" max="3" width="15.5546875" style="1" customWidth="1"/>
    <col min="4" max="4" width="12.44140625" style="1" customWidth="1"/>
    <col min="5" max="5" width="18.109375" style="1" customWidth="1"/>
    <col min="6" max="6" width="14.21875" style="1" customWidth="1"/>
    <col min="7" max="7" width="11.6640625" style="1" customWidth="1"/>
    <col min="8" max="8" width="10.88671875" style="1" customWidth="1"/>
    <col min="9" max="9" width="8.44140625" style="1" bestFit="1" customWidth="1"/>
    <col min="10" max="11" width="15.6640625" style="1" customWidth="1"/>
    <col min="12" max="12" width="11.6640625" style="1" bestFit="1" customWidth="1"/>
    <col min="13" max="16384" width="9" style="1"/>
  </cols>
  <sheetData>
    <row r="1" spans="1:13" ht="19.95" customHeight="1">
      <c r="A1" s="189" t="s">
        <v>8</v>
      </c>
      <c r="B1" s="189"/>
      <c r="C1" s="189"/>
      <c r="D1" s="189"/>
      <c r="E1" s="189"/>
      <c r="F1" s="189"/>
      <c r="G1" s="189"/>
      <c r="H1" s="189"/>
      <c r="I1" s="189"/>
      <c r="J1" s="132"/>
      <c r="K1" s="132"/>
      <c r="L1" s="132"/>
      <c r="M1" s="21"/>
    </row>
    <row r="2" spans="1:13" ht="19.95" customHeight="1">
      <c r="A2" s="190" t="s">
        <v>19</v>
      </c>
      <c r="B2" s="190"/>
      <c r="C2" s="190"/>
      <c r="D2" s="190"/>
      <c r="E2" s="190"/>
      <c r="F2" s="190"/>
      <c r="G2" s="190"/>
      <c r="H2" s="190"/>
      <c r="I2" s="190"/>
      <c r="J2" s="133"/>
      <c r="K2" s="133"/>
      <c r="L2" s="133"/>
      <c r="M2" s="21"/>
    </row>
    <row r="3" spans="1:13" ht="19.95" customHeight="1">
      <c r="A3" s="16" t="str">
        <f>底稿目录!A2</f>
        <v>被审计单位：</v>
      </c>
      <c r="B3" s="16"/>
      <c r="D3" s="17" t="str">
        <f>底稿目录!A4</f>
        <v>编制人：</v>
      </c>
      <c r="F3" s="16" t="str">
        <f>底稿目录!A5</f>
        <v>编制日期：</v>
      </c>
      <c r="H3" s="82" t="s">
        <v>20</v>
      </c>
      <c r="I3" s="160" t="str">
        <f>底稿目录!F4</f>
        <v>E1-19</v>
      </c>
    </row>
    <row r="4" spans="1:13" ht="19.95" customHeight="1">
      <c r="A4" s="16" t="str">
        <f>底稿目录!A3</f>
        <v>截止日：202X年12月31日</v>
      </c>
      <c r="B4" s="20"/>
      <c r="D4" s="17" t="str">
        <f>底稿目录!A6</f>
        <v>复核人：</v>
      </c>
      <c r="F4" s="16" t="str">
        <f>底稿目录!A7</f>
        <v>复核日期：</v>
      </c>
      <c r="H4" s="82" t="s">
        <v>61</v>
      </c>
      <c r="I4" s="82"/>
    </row>
    <row r="5" spans="1:13" ht="19.95" customHeight="1">
      <c r="A5" s="14" t="s">
        <v>18</v>
      </c>
      <c r="C5" s="28"/>
      <c r="E5" s="28"/>
    </row>
    <row r="6" spans="1:13" ht="19.95" customHeight="1">
      <c r="A6" s="158" t="s">
        <v>185</v>
      </c>
      <c r="B6" s="28"/>
      <c r="C6" s="28"/>
      <c r="E6" s="28"/>
    </row>
    <row r="7" spans="1:13" ht="19.95" customHeight="1">
      <c r="A7" s="13" t="s">
        <v>4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3"/>
    </row>
    <row r="8" spans="1:13" ht="19.95" customHeight="1">
      <c r="A8" s="137" t="s">
        <v>114</v>
      </c>
      <c r="B8" s="97"/>
      <c r="J8" s="104"/>
      <c r="K8" s="104"/>
      <c r="L8" s="104"/>
    </row>
    <row r="9" spans="1:13" ht="19.95" customHeight="1">
      <c r="A9" s="205" t="s">
        <v>62</v>
      </c>
      <c r="B9" s="206"/>
      <c r="C9" s="205" t="s">
        <v>63</v>
      </c>
      <c r="D9" s="206"/>
      <c r="E9" s="205" t="s">
        <v>64</v>
      </c>
      <c r="F9" s="207" t="s">
        <v>113</v>
      </c>
      <c r="G9" s="208" t="s">
        <v>2</v>
      </c>
      <c r="J9" s="104"/>
      <c r="K9" s="104"/>
      <c r="L9" s="104"/>
    </row>
    <row r="10" spans="1:13" ht="19.95" customHeight="1">
      <c r="A10" s="83" t="s">
        <v>65</v>
      </c>
      <c r="B10" s="83" t="s">
        <v>66</v>
      </c>
      <c r="C10" s="83" t="s">
        <v>66</v>
      </c>
      <c r="D10" s="83" t="s">
        <v>66</v>
      </c>
      <c r="E10" s="206"/>
      <c r="F10" s="206"/>
      <c r="G10" s="209"/>
      <c r="J10" s="104"/>
      <c r="K10" s="104"/>
      <c r="L10" s="104"/>
    </row>
    <row r="11" spans="1:13" ht="19.95" customHeight="1">
      <c r="A11" s="27"/>
      <c r="B11" s="27"/>
      <c r="C11" s="27"/>
      <c r="D11" s="27"/>
      <c r="E11" s="27"/>
      <c r="F11" s="26"/>
      <c r="G11" s="26"/>
      <c r="J11" s="104"/>
      <c r="K11" s="104"/>
      <c r="L11" s="104"/>
    </row>
    <row r="12" spans="1:13" ht="19.95" customHeight="1">
      <c r="A12" s="27"/>
      <c r="B12" s="27"/>
      <c r="C12" s="27"/>
      <c r="D12" s="27"/>
      <c r="E12" s="27"/>
      <c r="F12" s="26"/>
      <c r="G12" s="26"/>
      <c r="J12" s="104"/>
      <c r="K12" s="104"/>
      <c r="L12" s="104"/>
    </row>
    <row r="13" spans="1:13" ht="19.95" customHeight="1">
      <c r="A13" s="27"/>
      <c r="B13" s="27"/>
      <c r="C13" s="27"/>
      <c r="D13" s="27"/>
      <c r="E13" s="27"/>
      <c r="F13" s="26"/>
      <c r="G13" s="26"/>
      <c r="J13" s="104"/>
      <c r="K13" s="104"/>
      <c r="L13" s="104"/>
    </row>
    <row r="14" spans="1:13" ht="19.95" customHeight="1">
      <c r="A14" s="27"/>
      <c r="B14" s="27"/>
      <c r="C14" s="27"/>
      <c r="D14" s="27"/>
      <c r="E14" s="27"/>
      <c r="F14" s="26"/>
      <c r="G14" s="26"/>
      <c r="J14" s="104"/>
      <c r="K14" s="104"/>
      <c r="L14" s="104"/>
    </row>
    <row r="15" spans="1:13" ht="19.95" customHeight="1">
      <c r="B15" s="13"/>
      <c r="J15" s="104"/>
      <c r="K15" s="104"/>
      <c r="L15" s="104"/>
    </row>
    <row r="16" spans="1:13" s="19" customFormat="1" ht="19.95" customHeight="1">
      <c r="A16" s="137" t="s">
        <v>116</v>
      </c>
      <c r="B16" s="13"/>
    </row>
    <row r="17" spans="1:13" s="19" customFormat="1" ht="19.95" customHeight="1">
      <c r="A17" s="123" t="s">
        <v>36</v>
      </c>
      <c r="B17" s="123" t="s">
        <v>101</v>
      </c>
      <c r="C17" s="123" t="s">
        <v>102</v>
      </c>
      <c r="D17" s="123" t="s">
        <v>103</v>
      </c>
      <c r="E17" s="123" t="s">
        <v>17</v>
      </c>
      <c r="F17" s="123" t="s">
        <v>35</v>
      </c>
      <c r="G17" s="123" t="s">
        <v>105</v>
      </c>
      <c r="H17" s="123" t="s">
        <v>104</v>
      </c>
      <c r="I17" s="123" t="s">
        <v>2</v>
      </c>
    </row>
    <row r="18" spans="1:13" s="19" customFormat="1" ht="19.95" customHeight="1">
      <c r="A18" s="140" t="s">
        <v>156</v>
      </c>
      <c r="B18" s="139"/>
      <c r="C18" s="139"/>
      <c r="D18" s="139"/>
      <c r="E18" s="139"/>
      <c r="F18" s="139"/>
      <c r="G18" s="139"/>
      <c r="H18" s="139"/>
      <c r="I18" s="138"/>
    </row>
    <row r="19" spans="1:13" s="19" customFormat="1" ht="19.95" customHeight="1">
      <c r="A19" s="140" t="s">
        <v>157</v>
      </c>
      <c r="B19" s="139"/>
      <c r="C19" s="139"/>
      <c r="D19" s="139"/>
      <c r="E19" s="139"/>
      <c r="F19" s="139"/>
      <c r="G19" s="139"/>
      <c r="H19" s="139"/>
      <c r="I19" s="138"/>
    </row>
    <row r="20" spans="1:13" s="19" customFormat="1" ht="19.95" customHeight="1">
      <c r="A20" s="141" t="s">
        <v>158</v>
      </c>
      <c r="B20" s="142">
        <f>B18-B19</f>
        <v>0</v>
      </c>
      <c r="C20" s="142">
        <f t="shared" ref="C20:H20" si="0">C18-C19</f>
        <v>0</v>
      </c>
      <c r="D20" s="142">
        <f t="shared" si="0"/>
        <v>0</v>
      </c>
      <c r="E20" s="142">
        <f t="shared" si="0"/>
        <v>0</v>
      </c>
      <c r="F20" s="142">
        <f t="shared" si="0"/>
        <v>0</v>
      </c>
      <c r="G20" s="142">
        <f t="shared" si="0"/>
        <v>0</v>
      </c>
      <c r="H20" s="142">
        <f t="shared" si="0"/>
        <v>0</v>
      </c>
      <c r="I20" s="143"/>
    </row>
    <row r="21" spans="1:13" s="19" customFormat="1" ht="19.95" customHeight="1">
      <c r="B21" s="13"/>
    </row>
    <row r="22" spans="1:13" ht="19.95" customHeight="1">
      <c r="A22" s="137" t="s">
        <v>159</v>
      </c>
      <c r="B22" s="105"/>
    </row>
    <row r="23" spans="1:13" ht="69" customHeight="1">
      <c r="A23" s="163" t="s">
        <v>67</v>
      </c>
      <c r="B23" s="164" t="s">
        <v>151</v>
      </c>
      <c r="C23" s="164" t="s">
        <v>152</v>
      </c>
      <c r="D23" s="164" t="s">
        <v>153</v>
      </c>
      <c r="E23" s="163" t="s">
        <v>154</v>
      </c>
      <c r="F23" s="163" t="s">
        <v>68</v>
      </c>
      <c r="G23" s="164" t="s">
        <v>155</v>
      </c>
      <c r="H23" s="164" t="s">
        <v>167</v>
      </c>
      <c r="I23" s="163" t="s">
        <v>69</v>
      </c>
      <c r="K23" s="77"/>
      <c r="L23" s="77"/>
      <c r="M23" s="19"/>
    </row>
    <row r="24" spans="1:13" ht="19.95" customHeight="1">
      <c r="A24" s="111" t="s">
        <v>204</v>
      </c>
      <c r="B24" s="79"/>
      <c r="C24" s="79"/>
      <c r="D24" s="79"/>
      <c r="E24" s="74">
        <f>B24+C24-D24</f>
        <v>0</v>
      </c>
      <c r="F24" s="79"/>
      <c r="G24" s="79"/>
      <c r="H24" s="74">
        <f>E24-G24</f>
        <v>0</v>
      </c>
      <c r="I24" s="106"/>
    </row>
    <row r="25" spans="1:13" ht="19.95" customHeight="1">
      <c r="A25" s="110" t="s">
        <v>107</v>
      </c>
      <c r="B25" s="79"/>
      <c r="C25" s="79"/>
      <c r="D25" s="79"/>
      <c r="E25" s="74">
        <f t="shared" ref="E25:E31" si="1">B25+C25-D25</f>
        <v>0</v>
      </c>
      <c r="F25" s="79"/>
      <c r="G25" s="79"/>
      <c r="H25" s="74">
        <f t="shared" ref="H25:H30" si="2">E25-G25</f>
        <v>0</v>
      </c>
      <c r="I25" s="106"/>
    </row>
    <row r="26" spans="1:13" ht="19.95" customHeight="1">
      <c r="A26" s="110" t="s">
        <v>108</v>
      </c>
      <c r="B26" s="79"/>
      <c r="C26" s="79"/>
      <c r="D26" s="79"/>
      <c r="E26" s="74">
        <f t="shared" si="1"/>
        <v>0</v>
      </c>
      <c r="F26" s="79"/>
      <c r="G26" s="79"/>
      <c r="H26" s="74">
        <f t="shared" si="2"/>
        <v>0</v>
      </c>
      <c r="I26" s="106"/>
    </row>
    <row r="27" spans="1:13" ht="19.95" customHeight="1">
      <c r="A27" s="110" t="s">
        <v>109</v>
      </c>
      <c r="B27" s="79"/>
      <c r="C27" s="79"/>
      <c r="D27" s="79"/>
      <c r="E27" s="74">
        <f t="shared" si="1"/>
        <v>0</v>
      </c>
      <c r="F27" s="79"/>
      <c r="G27" s="79"/>
      <c r="H27" s="74">
        <f t="shared" si="2"/>
        <v>0</v>
      </c>
      <c r="I27" s="106"/>
    </row>
    <row r="28" spans="1:13" ht="19.95" customHeight="1">
      <c r="A28" s="110" t="s">
        <v>110</v>
      </c>
      <c r="B28" s="79"/>
      <c r="C28" s="79"/>
      <c r="D28" s="79"/>
      <c r="E28" s="74">
        <f t="shared" si="1"/>
        <v>0</v>
      </c>
      <c r="F28" s="79"/>
      <c r="G28" s="79"/>
      <c r="H28" s="74">
        <f t="shared" si="2"/>
        <v>0</v>
      </c>
      <c r="I28" s="106"/>
    </row>
    <row r="29" spans="1:13" ht="19.95" customHeight="1">
      <c r="A29" s="110" t="s">
        <v>111</v>
      </c>
      <c r="B29" s="79"/>
      <c r="C29" s="79"/>
      <c r="D29" s="79"/>
      <c r="E29" s="74">
        <f t="shared" si="1"/>
        <v>0</v>
      </c>
      <c r="F29" s="79"/>
      <c r="G29" s="79"/>
      <c r="H29" s="74">
        <f t="shared" si="2"/>
        <v>0</v>
      </c>
      <c r="I29" s="106"/>
    </row>
    <row r="30" spans="1:13" ht="19.95" customHeight="1">
      <c r="A30" s="110" t="s">
        <v>112</v>
      </c>
      <c r="B30" s="79"/>
      <c r="C30" s="79"/>
      <c r="D30" s="79"/>
      <c r="E30" s="74">
        <f t="shared" si="1"/>
        <v>0</v>
      </c>
      <c r="F30" s="79"/>
      <c r="G30" s="79"/>
      <c r="H30" s="74">
        <f t="shared" si="2"/>
        <v>0</v>
      </c>
      <c r="I30" s="106"/>
    </row>
    <row r="31" spans="1:13" ht="19.95" customHeight="1">
      <c r="A31" s="111" t="s">
        <v>106</v>
      </c>
      <c r="B31" s="79"/>
      <c r="C31" s="79"/>
      <c r="D31" s="79"/>
      <c r="E31" s="74">
        <f t="shared" si="1"/>
        <v>0</v>
      </c>
      <c r="F31" s="79"/>
      <c r="G31" s="79"/>
      <c r="H31" s="74">
        <f t="shared" ref="H31" si="3">E31-G31</f>
        <v>0</v>
      </c>
      <c r="I31" s="106"/>
    </row>
    <row r="32" spans="1:13" s="78" customFormat="1" ht="19.95" customHeight="1">
      <c r="A32" s="170" t="s">
        <v>203</v>
      </c>
      <c r="B32" s="107"/>
      <c r="C32" s="107"/>
      <c r="D32" s="107"/>
      <c r="E32" s="109"/>
      <c r="F32" s="107"/>
      <c r="G32" s="107"/>
      <c r="H32" s="109"/>
      <c r="I32" s="108"/>
    </row>
    <row r="33" spans="1:26" s="78" customFormat="1" ht="19.95" customHeight="1">
      <c r="A33" s="171" t="s">
        <v>205</v>
      </c>
      <c r="B33" s="107"/>
      <c r="C33" s="107"/>
      <c r="D33" s="107"/>
      <c r="E33" s="109"/>
      <c r="F33" s="107"/>
      <c r="G33" s="107"/>
      <c r="H33" s="109"/>
      <c r="I33" s="108"/>
    </row>
    <row r="34" spans="1:26" s="78" customFormat="1" ht="19.95" customHeight="1">
      <c r="A34" s="171" t="s">
        <v>206</v>
      </c>
      <c r="B34" s="107"/>
      <c r="C34" s="107"/>
      <c r="D34" s="107"/>
      <c r="E34" s="109"/>
      <c r="F34" s="107"/>
      <c r="G34" s="107"/>
      <c r="H34" s="109"/>
      <c r="I34" s="108"/>
    </row>
    <row r="35" spans="1:26" s="78" customFormat="1" ht="19.95" customHeight="1">
      <c r="A35" s="171"/>
      <c r="B35" s="107"/>
      <c r="C35" s="107"/>
      <c r="D35" s="107"/>
      <c r="E35" s="109"/>
      <c r="F35" s="107"/>
      <c r="G35" s="107"/>
      <c r="H35" s="109"/>
      <c r="I35" s="108"/>
    </row>
    <row r="36" spans="1:26" ht="19.95" customHeight="1">
      <c r="A36" s="137" t="s">
        <v>115</v>
      </c>
      <c r="B36" s="105"/>
    </row>
    <row r="37" spans="1:26" ht="19.95" customHeight="1">
      <c r="A37" s="196" t="s">
        <v>150</v>
      </c>
      <c r="B37" s="197"/>
      <c r="C37" s="197"/>
      <c r="D37" s="197"/>
      <c r="E37" s="197"/>
      <c r="F37" s="197"/>
      <c r="G37" s="197"/>
      <c r="H37" s="197"/>
      <c r="I37" s="198"/>
    </row>
    <row r="38" spans="1:26" ht="19.95" customHeight="1">
      <c r="A38" s="199"/>
      <c r="B38" s="200"/>
      <c r="C38" s="200"/>
      <c r="D38" s="200"/>
      <c r="E38" s="200"/>
      <c r="F38" s="200"/>
      <c r="G38" s="200"/>
      <c r="H38" s="200"/>
      <c r="I38" s="201"/>
      <c r="K38" s="168"/>
      <c r="L38" s="168"/>
      <c r="M38" s="168"/>
      <c r="N38" s="168"/>
      <c r="O38" s="168"/>
      <c r="P38" s="168"/>
      <c r="Q38" s="168"/>
      <c r="R38" s="168"/>
      <c r="S38" s="169"/>
      <c r="T38" s="169"/>
      <c r="U38" s="169"/>
      <c r="V38" s="169"/>
      <c r="W38" s="169"/>
      <c r="X38" s="169"/>
      <c r="Y38" s="169"/>
      <c r="Z38" s="169"/>
    </row>
    <row r="39" spans="1:26" ht="19.95" customHeight="1">
      <c r="A39" s="199"/>
      <c r="B39" s="200"/>
      <c r="C39" s="200"/>
      <c r="D39" s="200"/>
      <c r="E39" s="200"/>
      <c r="F39" s="200"/>
      <c r="G39" s="200"/>
      <c r="H39" s="200"/>
      <c r="I39" s="201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spans="1:26" ht="19.95" customHeight="1">
      <c r="A40" s="199"/>
      <c r="B40" s="200"/>
      <c r="C40" s="200"/>
      <c r="D40" s="200"/>
      <c r="E40" s="200"/>
      <c r="F40" s="200"/>
      <c r="G40" s="200"/>
      <c r="H40" s="200"/>
      <c r="I40" s="201"/>
    </row>
    <row r="41" spans="1:26" ht="19.95" customHeight="1">
      <c r="A41" s="199"/>
      <c r="B41" s="200"/>
      <c r="C41" s="200"/>
      <c r="D41" s="200"/>
      <c r="E41" s="200"/>
      <c r="F41" s="200"/>
      <c r="G41" s="200"/>
      <c r="H41" s="200"/>
      <c r="I41" s="201"/>
    </row>
    <row r="42" spans="1:26" ht="19.95" customHeight="1">
      <c r="A42" s="199"/>
      <c r="B42" s="200"/>
      <c r="C42" s="200"/>
      <c r="D42" s="200"/>
      <c r="E42" s="200"/>
      <c r="F42" s="200"/>
      <c r="G42" s="200"/>
      <c r="H42" s="200"/>
      <c r="I42" s="201"/>
    </row>
    <row r="43" spans="1:26" s="19" customFormat="1" ht="19.95" customHeight="1">
      <c r="A43" s="202"/>
      <c r="B43" s="203"/>
      <c r="C43" s="203"/>
      <c r="D43" s="203"/>
      <c r="E43" s="203"/>
      <c r="F43" s="203"/>
      <c r="G43" s="203"/>
      <c r="H43" s="203"/>
      <c r="I43" s="204"/>
    </row>
    <row r="44" spans="1:26" s="78" customFormat="1" ht="19.95" customHeight="1">
      <c r="A44" s="148" t="s">
        <v>166</v>
      </c>
    </row>
    <row r="46" spans="1:26" ht="19.95" customHeight="1">
      <c r="A46" s="137" t="s">
        <v>160</v>
      </c>
    </row>
    <row r="47" spans="1:26" ht="29.4" customHeight="1">
      <c r="A47" s="123" t="s">
        <v>162</v>
      </c>
      <c r="B47" s="123" t="s">
        <v>163</v>
      </c>
      <c r="C47" s="146" t="s">
        <v>164</v>
      </c>
      <c r="D47" s="147" t="s">
        <v>165</v>
      </c>
    </row>
    <row r="48" spans="1:26" ht="19.95" customHeight="1">
      <c r="A48" s="144"/>
      <c r="B48" s="144"/>
      <c r="C48" s="26"/>
      <c r="D48" s="26"/>
    </row>
    <row r="49" spans="1:12" ht="19.95" customHeight="1">
      <c r="A49" s="144"/>
      <c r="B49" s="144"/>
      <c r="C49" s="26"/>
      <c r="D49" s="26"/>
    </row>
    <row r="50" spans="1:12" ht="19.95" customHeight="1">
      <c r="A50" s="144" t="s">
        <v>161</v>
      </c>
      <c r="B50" s="144"/>
      <c r="C50" s="26"/>
      <c r="D50" s="26"/>
    </row>
    <row r="51" spans="1:12" ht="19.95" customHeight="1">
      <c r="B51" s="13"/>
    </row>
    <row r="52" spans="1:12" ht="19.95" customHeight="1">
      <c r="A52" s="13" t="s">
        <v>1</v>
      </c>
      <c r="B52" s="13"/>
    </row>
    <row r="53" spans="1:12" ht="19.95" customHeight="1">
      <c r="B53" s="13"/>
    </row>
    <row r="54" spans="1:12" ht="19.95" customHeight="1">
      <c r="A54" s="6" t="s">
        <v>0</v>
      </c>
      <c r="B54" s="13"/>
    </row>
    <row r="55" spans="1:12" ht="19.95" customHeight="1">
      <c r="B55" s="13"/>
    </row>
    <row r="56" spans="1:12" ht="19.95" customHeight="1">
      <c r="A56" s="136" t="s">
        <v>147</v>
      </c>
    </row>
    <row r="57" spans="1:12" ht="43.8" customHeight="1">
      <c r="A57" s="195" t="s">
        <v>149</v>
      </c>
      <c r="B57" s="195"/>
      <c r="C57" s="195"/>
      <c r="D57" s="195"/>
      <c r="E57" s="195"/>
      <c r="F57" s="195"/>
      <c r="G57" s="195"/>
      <c r="H57" s="195"/>
      <c r="I57" s="195"/>
    </row>
    <row r="58" spans="1:12" ht="28.8" customHeight="1">
      <c r="A58" s="195" t="s">
        <v>148</v>
      </c>
      <c r="B58" s="195"/>
      <c r="C58" s="195"/>
      <c r="D58" s="195"/>
      <c r="E58" s="195"/>
      <c r="F58" s="195"/>
      <c r="G58" s="195"/>
      <c r="H58" s="195"/>
      <c r="I58" s="195"/>
    </row>
    <row r="60" spans="1:12" ht="19.95" customHeight="1">
      <c r="B60" s="25"/>
      <c r="C60" s="98"/>
      <c r="D60" s="98"/>
      <c r="E60" s="99"/>
      <c r="G60" s="24"/>
      <c r="H60" s="24"/>
    </row>
    <row r="62" spans="1:12" ht="19.95" customHeight="1">
      <c r="B62" s="25"/>
      <c r="C62" s="98"/>
      <c r="D62" s="98"/>
      <c r="E62" s="99"/>
      <c r="G62" s="24"/>
      <c r="H62" s="24"/>
      <c r="L62" s="78"/>
    </row>
    <row r="63" spans="1:12" ht="19.95" customHeight="1">
      <c r="L63" s="78"/>
    </row>
    <row r="64" spans="1:12" ht="19.95" customHeight="1">
      <c r="B64" s="25"/>
      <c r="C64" s="98"/>
      <c r="D64" s="98"/>
      <c r="E64" s="99"/>
      <c r="G64" s="24"/>
      <c r="H64" s="24"/>
      <c r="L64" s="78"/>
    </row>
    <row r="65" spans="1:12" ht="19.95" customHeight="1">
      <c r="L65" s="78"/>
    </row>
    <row r="66" spans="1:12" ht="19.95" customHeight="1">
      <c r="B66" s="25"/>
      <c r="C66" s="98"/>
      <c r="D66" s="98"/>
      <c r="E66" s="99"/>
      <c r="G66" s="24"/>
      <c r="H66" s="24"/>
      <c r="L66" s="78"/>
    </row>
    <row r="67" spans="1:12" ht="19.95" customHeight="1">
      <c r="L67" s="78"/>
    </row>
    <row r="68" spans="1:12" ht="19.95" customHeight="1">
      <c r="B68" s="25"/>
      <c r="C68" s="98"/>
      <c r="D68" s="98"/>
      <c r="E68" s="99"/>
      <c r="G68" s="24"/>
      <c r="H68" s="24"/>
      <c r="L68" s="78"/>
    </row>
    <row r="70" spans="1:12" ht="19.95" customHeight="1">
      <c r="B70" s="25"/>
      <c r="C70" s="98"/>
      <c r="D70" s="98"/>
      <c r="E70" s="99"/>
      <c r="G70" s="24"/>
      <c r="H70" s="24"/>
    </row>
    <row r="72" spans="1:12" ht="19.95" customHeight="1">
      <c r="B72" s="25"/>
      <c r="C72" s="98"/>
      <c r="D72" s="98"/>
      <c r="E72" s="99"/>
      <c r="G72" s="24"/>
      <c r="H72" s="24"/>
    </row>
    <row r="74" spans="1:12" ht="19.95" customHeight="1">
      <c r="B74" s="25"/>
      <c r="C74" s="98"/>
      <c r="D74" s="98"/>
      <c r="E74" s="99"/>
      <c r="G74" s="24"/>
      <c r="H74" s="24"/>
    </row>
    <row r="76" spans="1:12" ht="19.95" customHeight="1">
      <c r="B76" s="25"/>
      <c r="C76" s="98"/>
      <c r="D76" s="98"/>
      <c r="E76" s="99"/>
      <c r="G76" s="24"/>
      <c r="H76" s="24"/>
    </row>
    <row r="78" spans="1:12" ht="19.95" customHeight="1">
      <c r="B78" s="25"/>
      <c r="C78" s="98"/>
      <c r="D78" s="98"/>
      <c r="E78" s="99"/>
      <c r="G78" s="24"/>
      <c r="H78" s="24"/>
    </row>
    <row r="80" spans="1:12" ht="19.95" customHeight="1">
      <c r="A80" s="4"/>
    </row>
    <row r="81" spans="1:1" ht="19.95" customHeight="1">
      <c r="A81" s="4"/>
    </row>
  </sheetData>
  <mergeCells count="10">
    <mergeCell ref="A1:I1"/>
    <mergeCell ref="A2:I2"/>
    <mergeCell ref="A57:I57"/>
    <mergeCell ref="A58:I58"/>
    <mergeCell ref="A37:I43"/>
    <mergeCell ref="A9:B9"/>
    <mergeCell ref="C9:D9"/>
    <mergeCell ref="E9:E10"/>
    <mergeCell ref="F9:F10"/>
    <mergeCell ref="G9:G10"/>
  </mergeCells>
  <phoneticPr fontId="9" type="noConversion"/>
  <dataValidations count="1">
    <dataValidation type="list" allowBlank="1" showInputMessage="1" showErrorMessage="1" sqref="E11:E14 G77:G78 G56 G75 G59 G61 G63 G65 G67 G69 G71 G73">
      <formula1>"一致,不一致"</formula1>
    </dataValidation>
  </dataValidations>
  <hyperlinks>
    <hyperlink ref="I3" location="底稿目录!A1" display="底稿目录!A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0" orientation="portrait" blackAndWhite="1" cellComments="atEnd" r:id="rId1"/>
  <headerFooter>
    <oddFooter>&amp;C&amp;P/&amp;N</oddFooter>
  </headerFooter>
  <rowBreaks count="1" manualBreakCount="1">
    <brk id="55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SheetLayoutView="100" workbookViewId="0">
      <selection sqref="A1:M1"/>
    </sheetView>
  </sheetViews>
  <sheetFormatPr defaultColWidth="9" defaultRowHeight="19.95" customHeight="1"/>
  <cols>
    <col min="1" max="1" width="14.33203125" style="1" customWidth="1"/>
    <col min="2" max="2" width="24.21875" style="1" customWidth="1"/>
    <col min="3" max="3" width="9.44140625" style="1" bestFit="1" customWidth="1"/>
    <col min="4" max="4" width="8.77734375" style="1" customWidth="1"/>
    <col min="5" max="5" width="8.44140625" style="1" bestFit="1" customWidth="1"/>
    <col min="6" max="7" width="6.77734375" style="1" bestFit="1" customWidth="1"/>
    <col min="8" max="8" width="10.5546875" style="1" bestFit="1" customWidth="1"/>
    <col min="9" max="9" width="7.33203125" style="1" bestFit="1" customWidth="1"/>
    <col min="10" max="10" width="11.77734375" style="1" customWidth="1"/>
    <col min="11" max="11" width="7.109375" style="1" customWidth="1"/>
    <col min="12" max="12" width="12.109375" style="1" customWidth="1"/>
    <col min="13" max="13" width="8.21875" style="1" customWidth="1"/>
    <col min="14" max="16384" width="9" style="1"/>
  </cols>
  <sheetData>
    <row r="1" spans="1:13" s="18" customFormat="1" ht="19.95" customHeight="1">
      <c r="A1" s="211" t="s">
        <v>8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pans="1:13" s="18" customFormat="1" ht="19.95" customHeight="1">
      <c r="A2" s="212" t="s">
        <v>7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pans="1:13" s="3" customFormat="1" ht="19.95" customHeight="1">
      <c r="A3" s="16" t="str">
        <f>底稿目录!A2</f>
        <v>被审计单位：</v>
      </c>
      <c r="D3" s="17" t="str">
        <f>底稿目录!A4</f>
        <v>编制人：</v>
      </c>
      <c r="H3" s="16" t="str">
        <f>底稿目录!A5</f>
        <v>编制日期：</v>
      </c>
      <c r="K3" s="15"/>
      <c r="L3" s="73" t="s">
        <v>20</v>
      </c>
      <c r="M3" s="160" t="str">
        <f>底稿目录!F5</f>
        <v>E1-20</v>
      </c>
    </row>
    <row r="4" spans="1:13" s="3" customFormat="1" ht="19.95" customHeight="1">
      <c r="A4" s="16" t="str">
        <f>底稿目录!A3</f>
        <v>截止日：202X年12月31日</v>
      </c>
      <c r="D4" s="17" t="str">
        <f>底稿目录!A6</f>
        <v>复核人：</v>
      </c>
      <c r="H4" s="16" t="str">
        <f>底稿目录!A7</f>
        <v>复核日期：</v>
      </c>
      <c r="K4" s="15"/>
      <c r="L4" s="73" t="s">
        <v>6</v>
      </c>
    </row>
    <row r="5" spans="1:13" s="3" customFormat="1" ht="19.95" customHeight="1">
      <c r="A5" s="14" t="s">
        <v>5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s="3" customFormat="1" ht="19.95" customHeight="1">
      <c r="A6" s="131" t="s">
        <v>142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</row>
    <row r="7" spans="1:13" s="3" customFormat="1" ht="19.95" customHeight="1">
      <c r="A7" s="131" t="s">
        <v>143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</row>
    <row r="8" spans="1:13" s="3" customFormat="1" ht="19.95" customHeight="1">
      <c r="A8" s="13" t="s">
        <v>4</v>
      </c>
    </row>
    <row r="9" spans="1:13" s="3" customFormat="1" ht="33.450000000000003" customHeight="1">
      <c r="A9" s="83" t="s">
        <v>3</v>
      </c>
      <c r="B9" s="83" t="s">
        <v>70</v>
      </c>
      <c r="C9" s="83" t="s">
        <v>71</v>
      </c>
      <c r="D9" s="83" t="s">
        <v>72</v>
      </c>
      <c r="E9" s="83" t="s">
        <v>73</v>
      </c>
      <c r="F9" s="83" t="s">
        <v>74</v>
      </c>
      <c r="G9" s="83" t="s">
        <v>75</v>
      </c>
      <c r="H9" s="83" t="s">
        <v>76</v>
      </c>
      <c r="I9" s="83" t="s">
        <v>77</v>
      </c>
      <c r="J9" s="83" t="s">
        <v>78</v>
      </c>
      <c r="K9" s="83" t="s">
        <v>79</v>
      </c>
      <c r="L9" s="83" t="s">
        <v>80</v>
      </c>
      <c r="M9" s="83" t="s">
        <v>81</v>
      </c>
    </row>
    <row r="10" spans="1:13" s="4" customFormat="1" ht="19.95" customHeight="1">
      <c r="A10" s="129"/>
      <c r="B10" s="135"/>
      <c r="C10" s="135"/>
      <c r="D10" s="34"/>
      <c r="E10" s="12"/>
      <c r="F10" s="11"/>
      <c r="G10" s="11"/>
      <c r="H10" s="10"/>
      <c r="I10" s="134"/>
      <c r="J10" s="74">
        <f>E10*H10*I10</f>
        <v>0</v>
      </c>
      <c r="K10" s="8"/>
      <c r="L10" s="74">
        <f t="shared" ref="L10:L24" si="0">J10*K10</f>
        <v>0</v>
      </c>
      <c r="M10" s="7"/>
    </row>
    <row r="11" spans="1:13" s="4" customFormat="1" ht="19.95" customHeight="1">
      <c r="A11" s="130"/>
      <c r="B11" s="130"/>
      <c r="C11" s="130"/>
      <c r="D11" s="34"/>
      <c r="E11" s="75"/>
      <c r="F11" s="7"/>
      <c r="G11" s="7"/>
      <c r="H11" s="7"/>
      <c r="I11" s="7"/>
      <c r="J11" s="74">
        <f t="shared" ref="J11:J24" si="1">E11*H11*I11</f>
        <v>0</v>
      </c>
      <c r="K11" s="8"/>
      <c r="L11" s="74">
        <f t="shared" si="0"/>
        <v>0</v>
      </c>
      <c r="M11" s="7"/>
    </row>
    <row r="12" spans="1:13" s="4" customFormat="1" ht="19.95" customHeight="1">
      <c r="A12" s="130"/>
      <c r="B12" s="130"/>
      <c r="C12" s="130"/>
      <c r="D12" s="34"/>
      <c r="E12" s="75"/>
      <c r="F12" s="7"/>
      <c r="G12" s="7"/>
      <c r="H12" s="7"/>
      <c r="I12" s="7"/>
      <c r="J12" s="74">
        <f t="shared" si="1"/>
        <v>0</v>
      </c>
      <c r="K12" s="8"/>
      <c r="L12" s="74">
        <f t="shared" si="0"/>
        <v>0</v>
      </c>
      <c r="M12" s="7"/>
    </row>
    <row r="13" spans="1:13" s="4" customFormat="1" ht="19.95" customHeight="1">
      <c r="A13" s="130"/>
      <c r="B13" s="130"/>
      <c r="C13" s="130"/>
      <c r="D13" s="34"/>
      <c r="E13" s="75"/>
      <c r="F13" s="7"/>
      <c r="G13" s="7"/>
      <c r="H13" s="7"/>
      <c r="I13" s="7"/>
      <c r="J13" s="74">
        <f t="shared" si="1"/>
        <v>0</v>
      </c>
      <c r="K13" s="8"/>
      <c r="L13" s="74">
        <f t="shared" si="0"/>
        <v>0</v>
      </c>
      <c r="M13" s="7"/>
    </row>
    <row r="14" spans="1:13" s="4" customFormat="1" ht="19.95" customHeight="1">
      <c r="A14" s="130"/>
      <c r="B14" s="130"/>
      <c r="C14" s="130"/>
      <c r="D14" s="34"/>
      <c r="E14" s="75"/>
      <c r="F14" s="7"/>
      <c r="G14" s="7"/>
      <c r="H14" s="7"/>
      <c r="I14" s="7"/>
      <c r="J14" s="74">
        <f t="shared" si="1"/>
        <v>0</v>
      </c>
      <c r="K14" s="8"/>
      <c r="L14" s="74">
        <f t="shared" si="0"/>
        <v>0</v>
      </c>
      <c r="M14" s="7"/>
    </row>
    <row r="15" spans="1:13" s="4" customFormat="1" ht="19.95" customHeight="1">
      <c r="A15" s="130"/>
      <c r="B15" s="130"/>
      <c r="C15" s="130"/>
      <c r="D15" s="34"/>
      <c r="E15" s="75"/>
      <c r="F15" s="7"/>
      <c r="G15" s="7"/>
      <c r="H15" s="7"/>
      <c r="I15" s="7"/>
      <c r="J15" s="74">
        <f t="shared" si="1"/>
        <v>0</v>
      </c>
      <c r="K15" s="8"/>
      <c r="L15" s="74">
        <f t="shared" si="0"/>
        <v>0</v>
      </c>
      <c r="M15" s="7"/>
    </row>
    <row r="16" spans="1:13" s="4" customFormat="1" ht="19.95" customHeight="1">
      <c r="A16" s="130"/>
      <c r="B16" s="130"/>
      <c r="C16" s="130"/>
      <c r="D16" s="34"/>
      <c r="E16" s="75"/>
      <c r="F16" s="7"/>
      <c r="G16" s="7"/>
      <c r="H16" s="7"/>
      <c r="I16" s="7"/>
      <c r="J16" s="74">
        <f t="shared" si="1"/>
        <v>0</v>
      </c>
      <c r="K16" s="8"/>
      <c r="L16" s="74">
        <f t="shared" si="0"/>
        <v>0</v>
      </c>
      <c r="M16" s="7"/>
    </row>
    <row r="17" spans="1:13" s="4" customFormat="1" ht="19.95" customHeight="1">
      <c r="A17" s="130"/>
      <c r="B17" s="130"/>
      <c r="C17" s="130"/>
      <c r="D17" s="34"/>
      <c r="E17" s="75"/>
      <c r="F17" s="7"/>
      <c r="G17" s="7"/>
      <c r="H17" s="7"/>
      <c r="I17" s="7"/>
      <c r="J17" s="74">
        <f t="shared" si="1"/>
        <v>0</v>
      </c>
      <c r="K17" s="8"/>
      <c r="L17" s="74">
        <f t="shared" si="0"/>
        <v>0</v>
      </c>
      <c r="M17" s="7"/>
    </row>
    <row r="18" spans="1:13" s="4" customFormat="1" ht="19.95" customHeight="1">
      <c r="A18" s="130"/>
      <c r="B18" s="130"/>
      <c r="C18" s="130"/>
      <c r="D18" s="34"/>
      <c r="E18" s="75"/>
      <c r="F18" s="7"/>
      <c r="G18" s="7"/>
      <c r="H18" s="7"/>
      <c r="I18" s="7"/>
      <c r="J18" s="74">
        <f t="shared" si="1"/>
        <v>0</v>
      </c>
      <c r="K18" s="8"/>
      <c r="L18" s="74">
        <f t="shared" si="0"/>
        <v>0</v>
      </c>
      <c r="M18" s="7"/>
    </row>
    <row r="19" spans="1:13" s="4" customFormat="1" ht="19.95" customHeight="1">
      <c r="A19" s="130"/>
      <c r="B19" s="130"/>
      <c r="C19" s="130"/>
      <c r="D19" s="34"/>
      <c r="E19" s="75"/>
      <c r="F19" s="7"/>
      <c r="G19" s="7"/>
      <c r="H19" s="7"/>
      <c r="I19" s="7"/>
      <c r="J19" s="74">
        <f t="shared" si="1"/>
        <v>0</v>
      </c>
      <c r="K19" s="8"/>
      <c r="L19" s="74">
        <f t="shared" si="0"/>
        <v>0</v>
      </c>
      <c r="M19" s="7"/>
    </row>
    <row r="20" spans="1:13" s="4" customFormat="1" ht="19.95" customHeight="1">
      <c r="A20" s="130"/>
      <c r="B20" s="135"/>
      <c r="C20" s="135"/>
      <c r="D20" s="34"/>
      <c r="E20" s="9"/>
      <c r="F20" s="7"/>
      <c r="G20" s="7"/>
      <c r="H20" s="7"/>
      <c r="I20" s="7"/>
      <c r="J20" s="74">
        <f t="shared" si="1"/>
        <v>0</v>
      </c>
      <c r="K20" s="8"/>
      <c r="L20" s="74">
        <f t="shared" si="0"/>
        <v>0</v>
      </c>
      <c r="M20" s="7"/>
    </row>
    <row r="21" spans="1:13" s="4" customFormat="1" ht="19.95" customHeight="1">
      <c r="A21" s="130"/>
      <c r="B21" s="130"/>
      <c r="C21" s="130"/>
      <c r="D21" s="34"/>
      <c r="E21" s="75"/>
      <c r="F21" s="7"/>
      <c r="G21" s="7"/>
      <c r="H21" s="7"/>
      <c r="I21" s="7"/>
      <c r="J21" s="74">
        <f t="shared" si="1"/>
        <v>0</v>
      </c>
      <c r="K21" s="8"/>
      <c r="L21" s="74">
        <f t="shared" si="0"/>
        <v>0</v>
      </c>
      <c r="M21" s="7"/>
    </row>
    <row r="22" spans="1:13" s="4" customFormat="1" ht="19.95" customHeight="1">
      <c r="A22" s="130"/>
      <c r="B22" s="130"/>
      <c r="C22" s="130"/>
      <c r="D22" s="34"/>
      <c r="E22" s="75"/>
      <c r="F22" s="7"/>
      <c r="G22" s="7"/>
      <c r="H22" s="7"/>
      <c r="I22" s="7"/>
      <c r="J22" s="74">
        <f t="shared" si="1"/>
        <v>0</v>
      </c>
      <c r="K22" s="8"/>
      <c r="L22" s="74">
        <f t="shared" si="0"/>
        <v>0</v>
      </c>
      <c r="M22" s="7"/>
    </row>
    <row r="23" spans="1:13" s="4" customFormat="1" ht="19.95" customHeight="1">
      <c r="A23" s="130"/>
      <c r="B23" s="130"/>
      <c r="C23" s="130"/>
      <c r="D23" s="34"/>
      <c r="E23" s="75"/>
      <c r="F23" s="7"/>
      <c r="G23" s="7"/>
      <c r="H23" s="7"/>
      <c r="I23" s="7"/>
      <c r="J23" s="74">
        <f t="shared" si="1"/>
        <v>0</v>
      </c>
      <c r="K23" s="8"/>
      <c r="L23" s="74">
        <f t="shared" si="0"/>
        <v>0</v>
      </c>
      <c r="M23" s="7"/>
    </row>
    <row r="24" spans="1:13" s="4" customFormat="1" ht="19.95" customHeight="1">
      <c r="A24" s="130"/>
      <c r="B24" s="130"/>
      <c r="C24" s="130"/>
      <c r="D24" s="34"/>
      <c r="E24" s="75"/>
      <c r="F24" s="7"/>
      <c r="G24" s="7"/>
      <c r="H24" s="7"/>
      <c r="I24" s="7"/>
      <c r="J24" s="74">
        <f t="shared" si="1"/>
        <v>0</v>
      </c>
      <c r="K24" s="8"/>
      <c r="L24" s="74">
        <f t="shared" si="0"/>
        <v>0</v>
      </c>
      <c r="M24" s="7"/>
    </row>
    <row r="25" spans="1:13" s="6" customFormat="1" ht="19.95" customHeight="1">
      <c r="A25" s="205" t="s">
        <v>82</v>
      </c>
      <c r="B25" s="210"/>
      <c r="C25" s="210"/>
      <c r="D25" s="210"/>
      <c r="E25" s="57"/>
      <c r="F25" s="58"/>
      <c r="G25" s="59"/>
      <c r="H25" s="59"/>
      <c r="I25" s="59"/>
      <c r="J25" s="59"/>
      <c r="K25" s="59"/>
      <c r="L25" s="60">
        <f>SUM(L10:L24)</f>
        <v>0</v>
      </c>
      <c r="M25" s="58"/>
    </row>
    <row r="26" spans="1:13" s="91" customFormat="1" ht="19.95" customHeight="1">
      <c r="B26" s="86"/>
      <c r="C26" s="86"/>
      <c r="D26" s="86"/>
      <c r="E26" s="87"/>
      <c r="F26" s="88"/>
      <c r="G26" s="89"/>
      <c r="H26" s="89"/>
      <c r="I26" s="89"/>
      <c r="J26" s="89"/>
      <c r="K26" s="89"/>
      <c r="L26" s="90"/>
      <c r="M26" s="88"/>
    </row>
    <row r="27" spans="1:13" s="4" customFormat="1" ht="19.95" customHeight="1">
      <c r="A27" s="5" t="s">
        <v>1</v>
      </c>
    </row>
    <row r="28" spans="1:13" s="4" customFormat="1" ht="19.9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4" customFormat="1" ht="19.95" customHeight="1">
      <c r="A29" s="5" t="s">
        <v>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4" customFormat="1" ht="19.95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4" customFormat="1" ht="19.95" customHeight="1">
      <c r="A31" s="149" t="s">
        <v>144</v>
      </c>
    </row>
    <row r="32" spans="1:13" s="2" customFormat="1" ht="19.95" customHeight="1">
      <c r="A32" s="150" t="s">
        <v>145</v>
      </c>
    </row>
  </sheetData>
  <mergeCells count="3">
    <mergeCell ref="A25:D25"/>
    <mergeCell ref="A1:M1"/>
    <mergeCell ref="A2:M2"/>
  </mergeCells>
  <phoneticPr fontId="4" type="noConversion"/>
  <dataValidations count="1">
    <dataValidation allowBlank="1" showInputMessage="1" showErrorMessage="1" promptTitle="提示：" sqref="B20:C20 B10:C10 E20 E10"/>
  </dataValidations>
  <hyperlinks>
    <hyperlink ref="M3" location="底稿目录!A1" display="底稿目录!A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0" fitToHeight="100" orientation="landscape" blackAndWhite="1" cellComments="atEnd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view="pageBreakPreview" zoomScaleSheetLayoutView="100" workbookViewId="0">
      <selection sqref="A1:H1"/>
    </sheetView>
  </sheetViews>
  <sheetFormatPr defaultColWidth="9" defaultRowHeight="19.95" customHeight="1"/>
  <cols>
    <col min="1" max="1" width="13.21875" style="19" customWidth="1"/>
    <col min="2" max="2" width="16" style="19" customWidth="1"/>
    <col min="3" max="3" width="27.21875" style="19" customWidth="1"/>
    <col min="4" max="4" width="12.109375" style="19" customWidth="1"/>
    <col min="5" max="5" width="11.33203125" style="19" customWidth="1"/>
    <col min="6" max="6" width="10.44140625" style="19" customWidth="1"/>
    <col min="7" max="7" width="9.77734375" style="19" customWidth="1"/>
    <col min="8" max="8" width="8.6640625" style="19" customWidth="1"/>
    <col min="9" max="16384" width="9" style="19"/>
  </cols>
  <sheetData>
    <row r="1" spans="1:10" s="21" customFormat="1" ht="19.95" customHeight="1">
      <c r="A1" s="189" t="s">
        <v>8</v>
      </c>
      <c r="B1" s="189"/>
      <c r="C1" s="189"/>
      <c r="D1" s="189"/>
      <c r="E1" s="189"/>
      <c r="F1" s="189"/>
      <c r="G1" s="189"/>
      <c r="H1" s="189"/>
      <c r="I1" s="31"/>
      <c r="J1" s="31"/>
    </row>
    <row r="2" spans="1:10" s="21" customFormat="1" ht="19.95" customHeight="1">
      <c r="A2" s="190" t="s">
        <v>39</v>
      </c>
      <c r="B2" s="190"/>
      <c r="C2" s="190"/>
      <c r="D2" s="190"/>
      <c r="E2" s="190"/>
      <c r="F2" s="190"/>
      <c r="G2" s="190"/>
      <c r="H2" s="190"/>
      <c r="I2" s="31"/>
      <c r="J2" s="31"/>
    </row>
    <row r="3" spans="1:10" s="3" customFormat="1" ht="19.95" customHeight="1">
      <c r="A3" s="16" t="str">
        <f>底稿目录!A2</f>
        <v>被审计单位：</v>
      </c>
      <c r="C3" s="17" t="str">
        <f>底稿目录!A4</f>
        <v>编制人：</v>
      </c>
      <c r="D3" s="16" t="str">
        <f>底稿目录!A5</f>
        <v>编制日期：</v>
      </c>
      <c r="E3" s="30"/>
      <c r="G3" s="16" t="s">
        <v>20</v>
      </c>
      <c r="H3" s="160" t="str">
        <f>底稿目录!F6</f>
        <v>E1-21</v>
      </c>
    </row>
    <row r="4" spans="1:10" s="3" customFormat="1" ht="19.95" customHeight="1">
      <c r="A4" s="16" t="str">
        <f>底稿目录!A3</f>
        <v>截止日：202X年12月31日</v>
      </c>
      <c r="C4" s="17" t="str">
        <f>底稿目录!A6</f>
        <v>复核人：</v>
      </c>
      <c r="D4" s="16" t="str">
        <f>底稿目录!A7</f>
        <v>复核日期：</v>
      </c>
      <c r="E4" s="30"/>
      <c r="G4" s="16" t="s">
        <v>24</v>
      </c>
    </row>
    <row r="5" spans="1:10" s="3" customFormat="1" ht="19.95" customHeight="1">
      <c r="A5" s="5" t="s">
        <v>23</v>
      </c>
      <c r="B5" s="191"/>
      <c r="C5" s="191"/>
      <c r="D5" s="191"/>
      <c r="E5" s="191"/>
      <c r="F5" s="191"/>
      <c r="G5" s="191"/>
      <c r="H5" s="191"/>
      <c r="I5" s="100"/>
    </row>
    <row r="6" spans="1:10" s="3" customFormat="1" ht="19.95" customHeight="1">
      <c r="A6" s="3" t="s">
        <v>140</v>
      </c>
      <c r="B6" s="117"/>
      <c r="C6" s="117"/>
      <c r="D6" s="117"/>
      <c r="E6" s="117"/>
      <c r="F6" s="117"/>
      <c r="G6" s="120"/>
      <c r="H6" s="117"/>
      <c r="I6" s="100"/>
    </row>
    <row r="7" spans="1:10" s="3" customFormat="1" ht="19.95" customHeight="1">
      <c r="A7" s="3" t="s">
        <v>141</v>
      </c>
      <c r="B7" s="117"/>
      <c r="C7" s="117"/>
      <c r="D7" s="117"/>
      <c r="E7" s="117"/>
      <c r="F7" s="117"/>
      <c r="G7" s="120"/>
      <c r="H7" s="117"/>
      <c r="I7" s="100"/>
    </row>
    <row r="8" spans="1:10" s="3" customFormat="1" ht="19.95" customHeight="1">
      <c r="A8" s="5" t="s">
        <v>22</v>
      </c>
      <c r="C8" s="82"/>
      <c r="D8" s="82"/>
      <c r="F8" s="15"/>
      <c r="G8" s="15"/>
    </row>
    <row r="9" spans="1:10" s="3" customFormat="1" ht="19.95" customHeight="1">
      <c r="A9" s="151" t="s">
        <v>174</v>
      </c>
      <c r="C9" s="121"/>
      <c r="D9" s="121"/>
      <c r="F9" s="15"/>
      <c r="G9" s="15"/>
    </row>
    <row r="10" spans="1:10" s="3" customFormat="1" ht="30.6" customHeight="1">
      <c r="A10" s="222" t="s">
        <v>172</v>
      </c>
      <c r="B10" s="222"/>
      <c r="C10" s="222"/>
      <c r="D10" s="222"/>
      <c r="E10" s="222"/>
      <c r="F10" s="222"/>
      <c r="G10" s="222"/>
      <c r="H10" s="222"/>
    </row>
    <row r="11" spans="1:10" s="3" customFormat="1" ht="19.95" customHeight="1">
      <c r="A11" s="215" t="s">
        <v>26</v>
      </c>
      <c r="B11" s="216"/>
      <c r="C11" s="216"/>
      <c r="D11" s="216"/>
      <c r="E11" s="217"/>
      <c r="F11" s="218" t="s">
        <v>83</v>
      </c>
      <c r="G11" s="220" t="s">
        <v>171</v>
      </c>
      <c r="H11" s="218" t="s">
        <v>84</v>
      </c>
    </row>
    <row r="12" spans="1:10" s="5" customFormat="1" ht="19.95" customHeight="1">
      <c r="A12" s="145" t="s">
        <v>168</v>
      </c>
      <c r="B12" s="145" t="s">
        <v>169</v>
      </c>
      <c r="C12" s="145" t="s">
        <v>170</v>
      </c>
      <c r="D12" s="83" t="s">
        <v>85</v>
      </c>
      <c r="E12" s="83" t="s">
        <v>86</v>
      </c>
      <c r="F12" s="219"/>
      <c r="G12" s="221"/>
      <c r="H12" s="219"/>
    </row>
    <row r="13" spans="1:10" s="3" customFormat="1" ht="19.95" customHeight="1">
      <c r="A13" s="128"/>
      <c r="B13" s="130"/>
      <c r="C13" s="129"/>
      <c r="D13" s="76"/>
      <c r="E13" s="76"/>
      <c r="F13" s="152"/>
      <c r="G13" s="128"/>
      <c r="H13" s="10"/>
    </row>
    <row r="14" spans="1:10" s="3" customFormat="1" ht="19.95" customHeight="1">
      <c r="A14" s="128"/>
      <c r="B14" s="130"/>
      <c r="C14" s="129"/>
      <c r="D14" s="76"/>
      <c r="E14" s="76"/>
      <c r="F14" s="152"/>
      <c r="G14" s="128"/>
      <c r="H14" s="10"/>
    </row>
    <row r="15" spans="1:10" s="3" customFormat="1" ht="19.95" customHeight="1">
      <c r="A15" s="128"/>
      <c r="B15" s="130"/>
      <c r="C15" s="129"/>
      <c r="D15" s="76"/>
      <c r="E15" s="76"/>
      <c r="F15" s="152"/>
      <c r="G15" s="128"/>
      <c r="H15" s="10"/>
    </row>
    <row r="16" spans="1:10" s="3" customFormat="1" ht="19.95" customHeight="1">
      <c r="A16" s="128"/>
      <c r="B16" s="130"/>
      <c r="C16" s="129"/>
      <c r="D16" s="76"/>
      <c r="E16" s="76"/>
      <c r="F16" s="152"/>
      <c r="G16" s="128"/>
      <c r="H16" s="10"/>
    </row>
    <row r="17" spans="1:8" s="3" customFormat="1" ht="19.95" customHeight="1">
      <c r="A17" s="128"/>
      <c r="B17" s="130"/>
      <c r="C17" s="129"/>
      <c r="D17" s="76"/>
      <c r="E17" s="76"/>
      <c r="F17" s="152"/>
      <c r="G17" s="128"/>
      <c r="H17" s="10"/>
    </row>
    <row r="18" spans="1:8" s="3" customFormat="1" ht="19.95" customHeight="1">
      <c r="A18" s="128"/>
      <c r="B18" s="130"/>
      <c r="C18" s="129"/>
      <c r="D18" s="76"/>
      <c r="E18" s="76"/>
      <c r="F18" s="152"/>
      <c r="G18" s="128"/>
      <c r="H18" s="10"/>
    </row>
    <row r="19" spans="1:8" s="3" customFormat="1" ht="19.95" customHeight="1">
      <c r="A19" s="128"/>
      <c r="B19" s="130"/>
      <c r="C19" s="129"/>
      <c r="D19" s="76"/>
      <c r="E19" s="76"/>
      <c r="F19" s="152"/>
      <c r="G19" s="128"/>
      <c r="H19" s="10"/>
    </row>
    <row r="20" spans="1:8" s="3" customFormat="1" ht="19.95" customHeight="1">
      <c r="A20" s="128"/>
      <c r="B20" s="130"/>
      <c r="C20" s="129"/>
      <c r="D20" s="76"/>
      <c r="E20" s="76"/>
      <c r="F20" s="152"/>
      <c r="G20" s="128"/>
      <c r="H20" s="10"/>
    </row>
    <row r="21" spans="1:8" s="3" customFormat="1" ht="19.95" customHeight="1">
      <c r="A21" s="128"/>
      <c r="B21" s="130"/>
      <c r="C21" s="129"/>
      <c r="D21" s="76"/>
      <c r="E21" s="76"/>
      <c r="F21" s="152"/>
      <c r="G21" s="128"/>
      <c r="H21" s="10"/>
    </row>
    <row r="22" spans="1:8" s="3" customFormat="1" ht="19.95" customHeight="1">
      <c r="A22" s="128"/>
      <c r="B22" s="130"/>
      <c r="C22" s="129"/>
      <c r="D22" s="76"/>
      <c r="E22" s="76"/>
      <c r="F22" s="152"/>
      <c r="G22" s="128"/>
      <c r="H22" s="10"/>
    </row>
    <row r="23" spans="1:8" s="3" customFormat="1" ht="19.95" customHeight="1">
      <c r="A23" s="128"/>
      <c r="B23" s="130"/>
      <c r="C23" s="129"/>
      <c r="D23" s="76"/>
      <c r="E23" s="76"/>
      <c r="F23" s="152"/>
      <c r="G23" s="128"/>
      <c r="H23" s="10"/>
    </row>
    <row r="24" spans="1:8" s="3" customFormat="1" ht="19.95" customHeight="1">
      <c r="A24" s="128"/>
      <c r="B24" s="130"/>
      <c r="C24" s="129"/>
      <c r="D24" s="76"/>
      <c r="E24" s="76"/>
      <c r="F24" s="152"/>
      <c r="G24" s="128"/>
      <c r="H24" s="10"/>
    </row>
    <row r="25" spans="1:8" s="3" customFormat="1" ht="19.95" customHeight="1">
      <c r="A25" s="128"/>
      <c r="B25" s="130"/>
      <c r="C25" s="129"/>
      <c r="D25" s="76"/>
      <c r="E25" s="76"/>
      <c r="F25" s="152"/>
      <c r="G25" s="128"/>
      <c r="H25" s="10"/>
    </row>
    <row r="26" spans="1:8" s="3" customFormat="1" ht="19.95" customHeight="1">
      <c r="A26" s="128"/>
      <c r="B26" s="130"/>
      <c r="C26" s="129"/>
      <c r="D26" s="76"/>
      <c r="E26" s="76"/>
      <c r="F26" s="152"/>
      <c r="G26" s="128"/>
      <c r="H26" s="10"/>
    </row>
    <row r="27" spans="1:8" s="3" customFormat="1" ht="19.95" customHeight="1">
      <c r="A27" s="128"/>
      <c r="B27" s="130"/>
      <c r="C27" s="129"/>
      <c r="D27" s="76"/>
      <c r="E27" s="76"/>
      <c r="F27" s="152"/>
      <c r="G27" s="128"/>
      <c r="H27" s="10"/>
    </row>
    <row r="28" spans="1:8" s="3" customFormat="1" ht="19.95" customHeight="1">
      <c r="A28" s="128"/>
      <c r="B28" s="130"/>
      <c r="C28" s="129"/>
      <c r="D28" s="76"/>
      <c r="E28" s="76"/>
      <c r="F28" s="152"/>
      <c r="G28" s="128"/>
      <c r="H28" s="10"/>
    </row>
    <row r="29" spans="1:8" s="3" customFormat="1" ht="19.95" customHeight="1">
      <c r="A29" s="128"/>
      <c r="B29" s="130"/>
      <c r="C29" s="129"/>
      <c r="D29" s="76"/>
      <c r="E29" s="76"/>
      <c r="F29" s="152"/>
      <c r="G29" s="128"/>
      <c r="H29" s="10"/>
    </row>
    <row r="30" spans="1:8" s="3" customFormat="1" ht="19.95" customHeight="1">
      <c r="A30" s="213" t="s">
        <v>173</v>
      </c>
      <c r="B30" s="214"/>
      <c r="C30" s="214"/>
      <c r="D30" s="214"/>
      <c r="E30" s="214"/>
      <c r="F30" s="214"/>
      <c r="G30" s="214"/>
      <c r="H30" s="214"/>
    </row>
    <row r="31" spans="1:8" s="3" customFormat="1" ht="19.95" customHeight="1">
      <c r="A31" s="128"/>
      <c r="B31" s="130"/>
      <c r="C31" s="129"/>
      <c r="D31" s="76"/>
      <c r="E31" s="76"/>
      <c r="F31" s="152"/>
      <c r="G31" s="128"/>
      <c r="H31" s="10"/>
    </row>
    <row r="32" spans="1:8" s="3" customFormat="1" ht="19.95" customHeight="1">
      <c r="A32" s="128"/>
      <c r="B32" s="130"/>
      <c r="C32" s="129"/>
      <c r="D32" s="76"/>
      <c r="E32" s="76"/>
      <c r="F32" s="152"/>
      <c r="G32" s="128"/>
      <c r="H32" s="10"/>
    </row>
    <row r="33" spans="1:8" s="3" customFormat="1" ht="19.95" customHeight="1">
      <c r="A33" s="128"/>
      <c r="B33" s="130"/>
      <c r="C33" s="129"/>
      <c r="D33" s="76"/>
      <c r="E33" s="76"/>
      <c r="F33" s="152"/>
      <c r="G33" s="128"/>
      <c r="H33" s="10"/>
    </row>
    <row r="34" spans="1:8" s="3" customFormat="1" ht="19.95" customHeight="1">
      <c r="A34" s="128"/>
      <c r="B34" s="130"/>
      <c r="C34" s="129"/>
      <c r="D34" s="76"/>
      <c r="E34" s="76"/>
      <c r="F34" s="152"/>
      <c r="G34" s="128"/>
      <c r="H34" s="10"/>
    </row>
    <row r="35" spans="1:8" s="3" customFormat="1" ht="19.95" customHeight="1">
      <c r="A35" s="128"/>
      <c r="B35" s="130"/>
      <c r="C35" s="129"/>
      <c r="D35" s="76"/>
      <c r="E35" s="76"/>
      <c r="F35" s="152"/>
      <c r="G35" s="128"/>
      <c r="H35" s="10"/>
    </row>
    <row r="36" spans="1:8" s="3" customFormat="1" ht="19.95" customHeight="1">
      <c r="A36" s="128"/>
      <c r="B36" s="130"/>
      <c r="C36" s="129"/>
      <c r="D36" s="76"/>
      <c r="E36" s="76"/>
      <c r="F36" s="152"/>
      <c r="G36" s="128"/>
      <c r="H36" s="10"/>
    </row>
    <row r="37" spans="1:8" s="3" customFormat="1" ht="19.95" customHeight="1">
      <c r="A37" s="128"/>
      <c r="B37" s="130"/>
      <c r="C37" s="129"/>
      <c r="D37" s="76"/>
      <c r="E37" s="76"/>
      <c r="F37" s="152"/>
      <c r="G37" s="128"/>
      <c r="H37" s="10"/>
    </row>
    <row r="38" spans="1:8" s="3" customFormat="1" ht="19.95" customHeight="1">
      <c r="A38" s="128"/>
      <c r="B38" s="130"/>
      <c r="C38" s="129"/>
      <c r="D38" s="76"/>
      <c r="E38" s="76"/>
      <c r="F38" s="152"/>
      <c r="G38" s="128"/>
      <c r="H38" s="10"/>
    </row>
    <row r="39" spans="1:8" s="3" customFormat="1" ht="19.95" customHeight="1">
      <c r="A39" s="128"/>
      <c r="B39" s="130"/>
      <c r="C39" s="129"/>
      <c r="D39" s="76"/>
      <c r="E39" s="76"/>
      <c r="F39" s="152"/>
      <c r="G39" s="128"/>
      <c r="H39" s="10"/>
    </row>
    <row r="40" spans="1:8" s="3" customFormat="1" ht="19.95" customHeight="1">
      <c r="A40" s="128"/>
      <c r="B40" s="130"/>
      <c r="C40" s="129"/>
      <c r="D40" s="76"/>
      <c r="E40" s="76"/>
      <c r="F40" s="152"/>
      <c r="G40" s="128"/>
      <c r="H40" s="10"/>
    </row>
    <row r="41" spans="1:8" s="3" customFormat="1" ht="19.95" customHeight="1">
      <c r="A41" s="128"/>
      <c r="B41" s="130"/>
      <c r="C41" s="129"/>
      <c r="D41" s="76"/>
      <c r="E41" s="76"/>
      <c r="F41" s="152"/>
      <c r="G41" s="128"/>
      <c r="H41" s="10"/>
    </row>
    <row r="42" spans="1:8" s="3" customFormat="1" ht="19.95" customHeight="1">
      <c r="A42" s="128"/>
      <c r="B42" s="130"/>
      <c r="C42" s="129"/>
      <c r="D42" s="76"/>
      <c r="E42" s="76"/>
      <c r="F42" s="152"/>
      <c r="G42" s="128"/>
      <c r="H42" s="10"/>
    </row>
    <row r="43" spans="1:8" s="3" customFormat="1" ht="19.95" customHeight="1">
      <c r="A43" s="128"/>
      <c r="B43" s="130"/>
      <c r="C43" s="129"/>
      <c r="D43" s="76"/>
      <c r="E43" s="76"/>
      <c r="F43" s="152"/>
      <c r="G43" s="128"/>
      <c r="H43" s="10"/>
    </row>
    <row r="44" spans="1:8" s="3" customFormat="1" ht="19.95" customHeight="1">
      <c r="A44" s="128"/>
      <c r="B44" s="130"/>
      <c r="C44" s="129"/>
      <c r="D44" s="76"/>
      <c r="E44" s="76"/>
      <c r="F44" s="152"/>
      <c r="G44" s="128"/>
      <c r="H44" s="10"/>
    </row>
    <row r="45" spans="1:8" s="3" customFormat="1" ht="19.95" customHeight="1">
      <c r="A45" s="128"/>
      <c r="B45" s="130"/>
      <c r="C45" s="129"/>
      <c r="D45" s="76"/>
      <c r="E45" s="76"/>
      <c r="F45" s="152"/>
      <c r="G45" s="128"/>
      <c r="H45" s="10"/>
    </row>
    <row r="46" spans="1:8" s="3" customFormat="1" ht="19.95" customHeight="1">
      <c r="A46" s="128"/>
      <c r="B46" s="130"/>
      <c r="C46" s="129"/>
      <c r="D46" s="76"/>
      <c r="E46" s="76"/>
      <c r="F46" s="152"/>
      <c r="G46" s="128"/>
      <c r="H46" s="10"/>
    </row>
    <row r="47" spans="1:8" s="3" customFormat="1" ht="19.95" customHeight="1">
      <c r="A47" s="128"/>
      <c r="B47" s="130"/>
      <c r="C47" s="129"/>
      <c r="D47" s="76"/>
      <c r="E47" s="76"/>
      <c r="F47" s="152"/>
      <c r="G47" s="128"/>
      <c r="H47" s="10"/>
    </row>
    <row r="48" spans="1:8" s="3" customFormat="1" ht="19.95" customHeight="1">
      <c r="A48" s="5"/>
    </row>
    <row r="49" spans="1:1" s="3" customFormat="1" ht="19.95" customHeight="1">
      <c r="A49" s="5" t="s">
        <v>1</v>
      </c>
    </row>
    <row r="50" spans="1:1" s="3" customFormat="1" ht="19.95" customHeight="1"/>
    <row r="51" spans="1:1" s="3" customFormat="1" ht="19.95" customHeight="1">
      <c r="A51" s="5" t="s">
        <v>0</v>
      </c>
    </row>
    <row r="52" spans="1:1" s="3" customFormat="1" ht="19.95" customHeight="1"/>
  </sheetData>
  <mergeCells count="9">
    <mergeCell ref="A30:H30"/>
    <mergeCell ref="A1:H1"/>
    <mergeCell ref="A2:H2"/>
    <mergeCell ref="A11:E11"/>
    <mergeCell ref="F11:F12"/>
    <mergeCell ref="H11:H12"/>
    <mergeCell ref="B5:H5"/>
    <mergeCell ref="G11:G12"/>
    <mergeCell ref="A10:H10"/>
  </mergeCells>
  <phoneticPr fontId="4" type="noConversion"/>
  <dataValidations count="1">
    <dataValidation type="list" allowBlank="1" showInputMessage="1" showErrorMessage="1" sqref="H13:H29 H31:H47">
      <formula1>"√,X"</formula1>
    </dataValidation>
  </dataValidations>
  <hyperlinks>
    <hyperlink ref="H3" location="底稿目录!A1" display="底稿目录!A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7" orientation="portrait" blackAndWhite="1" cellComments="atEnd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1"/>
  <sheetViews>
    <sheetView view="pageBreakPreview" zoomScaleSheetLayoutView="100" workbookViewId="0">
      <selection sqref="A1:H1"/>
    </sheetView>
  </sheetViews>
  <sheetFormatPr defaultColWidth="9" defaultRowHeight="19.95" customHeight="1"/>
  <cols>
    <col min="1" max="1" width="13.21875" style="19" customWidth="1"/>
    <col min="2" max="2" width="16.109375" style="19" customWidth="1"/>
    <col min="3" max="3" width="31.21875" style="19" customWidth="1"/>
    <col min="4" max="4" width="12.109375" style="19" customWidth="1"/>
    <col min="5" max="5" width="11.33203125" style="19" customWidth="1"/>
    <col min="6" max="6" width="12.33203125" style="19" customWidth="1"/>
    <col min="7" max="7" width="10.5546875" style="19" customWidth="1"/>
    <col min="8" max="8" width="8.6640625" style="19" customWidth="1"/>
    <col min="9" max="16384" width="9" style="19"/>
  </cols>
  <sheetData>
    <row r="1" spans="1:10" s="21" customFormat="1" ht="19.95" customHeight="1">
      <c r="A1" s="189" t="s">
        <v>8</v>
      </c>
      <c r="B1" s="189"/>
      <c r="C1" s="189"/>
      <c r="D1" s="189"/>
      <c r="E1" s="189"/>
      <c r="F1" s="189"/>
      <c r="G1" s="189"/>
      <c r="H1" s="189"/>
      <c r="I1" s="31"/>
      <c r="J1" s="31"/>
    </row>
    <row r="2" spans="1:10" s="21" customFormat="1" ht="19.95" customHeight="1">
      <c r="A2" s="190" t="s">
        <v>175</v>
      </c>
      <c r="B2" s="190"/>
      <c r="C2" s="190"/>
      <c r="D2" s="190"/>
      <c r="E2" s="190"/>
      <c r="F2" s="190"/>
      <c r="G2" s="190"/>
      <c r="H2" s="190"/>
      <c r="I2" s="31"/>
      <c r="J2" s="31"/>
    </row>
    <row r="3" spans="1:10" s="3" customFormat="1" ht="19.95" customHeight="1">
      <c r="A3" s="16" t="str">
        <f>底稿目录!A2</f>
        <v>被审计单位：</v>
      </c>
      <c r="C3" s="17" t="str">
        <f>底稿目录!A4</f>
        <v>编制人：</v>
      </c>
      <c r="D3" s="16" t="str">
        <f>底稿目录!A5</f>
        <v>编制日期：</v>
      </c>
      <c r="E3" s="30"/>
      <c r="G3" s="16" t="s">
        <v>20</v>
      </c>
      <c r="H3" s="160" t="str">
        <f>底稿目录!F7</f>
        <v>E1-22</v>
      </c>
    </row>
    <row r="4" spans="1:10" s="3" customFormat="1" ht="19.95" customHeight="1">
      <c r="A4" s="16" t="str">
        <f>底稿目录!A3</f>
        <v>截止日：202X年12月31日</v>
      </c>
      <c r="C4" s="17" t="str">
        <f>底稿目录!A6</f>
        <v>复核人：</v>
      </c>
      <c r="D4" s="16" t="str">
        <f>底稿目录!A7</f>
        <v>复核日期：</v>
      </c>
      <c r="E4" s="30"/>
      <c r="G4" s="16" t="s">
        <v>24</v>
      </c>
    </row>
    <row r="5" spans="1:10" s="3" customFormat="1" ht="19.95" customHeight="1">
      <c r="A5" s="5" t="s">
        <v>23</v>
      </c>
      <c r="B5" s="191"/>
      <c r="C5" s="191"/>
      <c r="D5" s="191"/>
      <c r="E5" s="191"/>
      <c r="F5" s="191"/>
      <c r="G5" s="191"/>
      <c r="H5" s="191"/>
      <c r="I5" s="100"/>
    </row>
    <row r="6" spans="1:10" s="3" customFormat="1" ht="19.95" customHeight="1">
      <c r="A6" s="3" t="s">
        <v>140</v>
      </c>
      <c r="B6" s="120"/>
      <c r="C6" s="120"/>
      <c r="D6" s="120"/>
      <c r="E6" s="120"/>
      <c r="F6" s="120"/>
      <c r="G6" s="120"/>
      <c r="H6" s="120"/>
      <c r="I6" s="100"/>
    </row>
    <row r="7" spans="1:10" s="3" customFormat="1" ht="19.95" customHeight="1">
      <c r="A7" s="3" t="s">
        <v>141</v>
      </c>
      <c r="B7" s="120"/>
      <c r="C7" s="120"/>
      <c r="D7" s="120"/>
      <c r="E7" s="120"/>
      <c r="F7" s="120"/>
      <c r="G7" s="120"/>
      <c r="H7" s="120"/>
      <c r="I7" s="100"/>
    </row>
    <row r="8" spans="1:10" s="3" customFormat="1" ht="19.95" customHeight="1">
      <c r="A8" s="5" t="s">
        <v>22</v>
      </c>
      <c r="C8" s="121"/>
      <c r="D8" s="121"/>
      <c r="F8" s="15"/>
      <c r="G8" s="15"/>
    </row>
    <row r="9" spans="1:10" s="3" customFormat="1" ht="19.95" customHeight="1">
      <c r="A9" s="151" t="s">
        <v>176</v>
      </c>
      <c r="C9" s="121"/>
      <c r="D9" s="121"/>
      <c r="F9" s="15"/>
      <c r="G9" s="15"/>
    </row>
    <row r="10" spans="1:10" s="3" customFormat="1" ht="30.6" customHeight="1">
      <c r="A10" s="222" t="s">
        <v>172</v>
      </c>
      <c r="B10" s="222"/>
      <c r="C10" s="222"/>
      <c r="D10" s="222"/>
      <c r="E10" s="222"/>
      <c r="F10" s="222"/>
      <c r="G10" s="222"/>
      <c r="H10" s="222"/>
    </row>
    <row r="11" spans="1:10" s="3" customFormat="1" ht="19.95" customHeight="1">
      <c r="A11" s="215" t="s">
        <v>26</v>
      </c>
      <c r="B11" s="216"/>
      <c r="C11" s="216"/>
      <c r="D11" s="216"/>
      <c r="E11" s="217"/>
      <c r="F11" s="218" t="s">
        <v>83</v>
      </c>
      <c r="G11" s="220" t="s">
        <v>171</v>
      </c>
      <c r="H11" s="218" t="s">
        <v>84</v>
      </c>
    </row>
    <row r="12" spans="1:10" s="5" customFormat="1" ht="19.95" customHeight="1">
      <c r="A12" s="145" t="s">
        <v>168</v>
      </c>
      <c r="B12" s="145" t="s">
        <v>169</v>
      </c>
      <c r="C12" s="145" t="s">
        <v>170</v>
      </c>
      <c r="D12" s="122" t="s">
        <v>85</v>
      </c>
      <c r="E12" s="122" t="s">
        <v>86</v>
      </c>
      <c r="F12" s="219"/>
      <c r="G12" s="221"/>
      <c r="H12" s="219"/>
    </row>
    <row r="13" spans="1:10" s="3" customFormat="1" ht="19.95" customHeight="1">
      <c r="A13" s="128"/>
      <c r="B13" s="130"/>
      <c r="C13" s="129"/>
      <c r="D13" s="76"/>
      <c r="E13" s="76"/>
      <c r="F13" s="152"/>
      <c r="G13" s="128"/>
      <c r="H13" s="10"/>
    </row>
    <row r="14" spans="1:10" s="3" customFormat="1" ht="19.95" customHeight="1">
      <c r="A14" s="128"/>
      <c r="B14" s="130"/>
      <c r="C14" s="129"/>
      <c r="D14" s="76"/>
      <c r="E14" s="76"/>
      <c r="F14" s="152"/>
      <c r="G14" s="128"/>
      <c r="H14" s="10"/>
    </row>
    <row r="15" spans="1:10" s="3" customFormat="1" ht="19.95" customHeight="1">
      <c r="A15" s="128"/>
      <c r="B15" s="130"/>
      <c r="C15" s="129"/>
      <c r="D15" s="76"/>
      <c r="E15" s="76"/>
      <c r="F15" s="152"/>
      <c r="G15" s="128"/>
      <c r="H15" s="10"/>
    </row>
    <row r="16" spans="1:10" s="3" customFormat="1" ht="19.95" customHeight="1">
      <c r="A16" s="128"/>
      <c r="B16" s="130"/>
      <c r="C16" s="129"/>
      <c r="D16" s="76"/>
      <c r="E16" s="76"/>
      <c r="F16" s="152"/>
      <c r="G16" s="128"/>
      <c r="H16" s="10"/>
    </row>
    <row r="17" spans="1:8" s="3" customFormat="1" ht="19.95" customHeight="1">
      <c r="A17" s="128"/>
      <c r="B17" s="130"/>
      <c r="C17" s="129"/>
      <c r="D17" s="76"/>
      <c r="E17" s="76"/>
      <c r="F17" s="152"/>
      <c r="G17" s="128"/>
      <c r="H17" s="10"/>
    </row>
    <row r="18" spans="1:8" s="3" customFormat="1" ht="19.95" customHeight="1">
      <c r="A18" s="128"/>
      <c r="B18" s="130"/>
      <c r="C18" s="129"/>
      <c r="D18" s="76"/>
      <c r="E18" s="76"/>
      <c r="F18" s="152"/>
      <c r="G18" s="128"/>
      <c r="H18" s="10"/>
    </row>
    <row r="19" spans="1:8" s="3" customFormat="1" ht="19.95" customHeight="1">
      <c r="A19" s="128"/>
      <c r="B19" s="130"/>
      <c r="C19" s="129"/>
      <c r="D19" s="76"/>
      <c r="E19" s="76"/>
      <c r="F19" s="152"/>
      <c r="G19" s="128"/>
      <c r="H19" s="10"/>
    </row>
    <row r="20" spans="1:8" s="3" customFormat="1" ht="19.95" customHeight="1">
      <c r="A20" s="128"/>
      <c r="B20" s="130"/>
      <c r="C20" s="129"/>
      <c r="D20" s="76"/>
      <c r="E20" s="76"/>
      <c r="F20" s="152"/>
      <c r="G20" s="128"/>
      <c r="H20" s="10"/>
    </row>
    <row r="21" spans="1:8" s="3" customFormat="1" ht="19.95" customHeight="1">
      <c r="A21" s="128"/>
      <c r="B21" s="130"/>
      <c r="C21" s="129"/>
      <c r="D21" s="76"/>
      <c r="E21" s="76"/>
      <c r="F21" s="152"/>
      <c r="G21" s="128"/>
      <c r="H21" s="10"/>
    </row>
    <row r="22" spans="1:8" s="3" customFormat="1" ht="19.95" customHeight="1">
      <c r="A22" s="128"/>
      <c r="B22" s="130"/>
      <c r="C22" s="129"/>
      <c r="D22" s="76"/>
      <c r="E22" s="76"/>
      <c r="F22" s="152"/>
      <c r="G22" s="128"/>
      <c r="H22" s="10"/>
    </row>
    <row r="23" spans="1:8" s="3" customFormat="1" ht="19.95" customHeight="1">
      <c r="A23" s="128"/>
      <c r="B23" s="130"/>
      <c r="C23" s="129"/>
      <c r="D23" s="76"/>
      <c r="E23" s="76"/>
      <c r="F23" s="152"/>
      <c r="G23" s="128"/>
      <c r="H23" s="10"/>
    </row>
    <row r="24" spans="1:8" s="3" customFormat="1" ht="19.95" customHeight="1">
      <c r="A24" s="128"/>
      <c r="B24" s="130"/>
      <c r="C24" s="129"/>
      <c r="D24" s="76"/>
      <c r="E24" s="76"/>
      <c r="F24" s="152"/>
      <c r="G24" s="128"/>
      <c r="H24" s="10"/>
    </row>
    <row r="25" spans="1:8" s="3" customFormat="1" ht="19.95" customHeight="1">
      <c r="A25" s="128"/>
      <c r="B25" s="130"/>
      <c r="C25" s="129"/>
      <c r="D25" s="76"/>
      <c r="E25" s="76"/>
      <c r="F25" s="152"/>
      <c r="G25" s="128"/>
      <c r="H25" s="10"/>
    </row>
    <row r="26" spans="1:8" s="3" customFormat="1" ht="19.95" customHeight="1">
      <c r="A26" s="128"/>
      <c r="B26" s="130"/>
      <c r="C26" s="129"/>
      <c r="D26" s="76"/>
      <c r="E26" s="76"/>
      <c r="F26" s="152"/>
      <c r="G26" s="128"/>
      <c r="H26" s="10"/>
    </row>
    <row r="27" spans="1:8" s="3" customFormat="1" ht="19.95" customHeight="1">
      <c r="A27" s="128"/>
      <c r="B27" s="130"/>
      <c r="C27" s="129"/>
      <c r="D27" s="76"/>
      <c r="E27" s="76"/>
      <c r="F27" s="152"/>
      <c r="G27" s="128"/>
      <c r="H27" s="10"/>
    </row>
    <row r="28" spans="1:8" s="3" customFormat="1" ht="19.95" customHeight="1">
      <c r="A28" s="213" t="s">
        <v>173</v>
      </c>
      <c r="B28" s="214"/>
      <c r="C28" s="214"/>
      <c r="D28" s="214"/>
      <c r="E28" s="214"/>
      <c r="F28" s="214"/>
      <c r="G28" s="214"/>
      <c r="H28" s="214"/>
    </row>
    <row r="29" spans="1:8" s="3" customFormat="1" ht="19.95" customHeight="1">
      <c r="A29" s="128"/>
      <c r="B29" s="130"/>
      <c r="C29" s="129"/>
      <c r="D29" s="76"/>
      <c r="E29" s="76"/>
      <c r="F29" s="152"/>
      <c r="G29" s="128"/>
      <c r="H29" s="10"/>
    </row>
    <row r="30" spans="1:8" s="3" customFormat="1" ht="19.95" customHeight="1">
      <c r="A30" s="128"/>
      <c r="B30" s="130"/>
      <c r="C30" s="129"/>
      <c r="D30" s="76"/>
      <c r="E30" s="76"/>
      <c r="F30" s="152"/>
      <c r="G30" s="128"/>
      <c r="H30" s="10"/>
    </row>
    <row r="31" spans="1:8" s="3" customFormat="1" ht="19.95" customHeight="1">
      <c r="A31" s="128"/>
      <c r="B31" s="130"/>
      <c r="C31" s="129"/>
      <c r="D31" s="76"/>
      <c r="E31" s="76"/>
      <c r="F31" s="152"/>
      <c r="G31" s="128"/>
      <c r="H31" s="10"/>
    </row>
    <row r="32" spans="1:8" s="3" customFormat="1" ht="19.95" customHeight="1">
      <c r="A32" s="128"/>
      <c r="B32" s="130"/>
      <c r="C32" s="129"/>
      <c r="D32" s="76"/>
      <c r="E32" s="76"/>
      <c r="F32" s="152"/>
      <c r="G32" s="128"/>
      <c r="H32" s="10"/>
    </row>
    <row r="33" spans="1:8" s="3" customFormat="1" ht="19.95" customHeight="1">
      <c r="A33" s="128"/>
      <c r="B33" s="130"/>
      <c r="C33" s="129"/>
      <c r="D33" s="76"/>
      <c r="E33" s="76"/>
      <c r="F33" s="152"/>
      <c r="G33" s="128"/>
      <c r="H33" s="10"/>
    </row>
    <row r="34" spans="1:8" s="3" customFormat="1" ht="19.95" customHeight="1">
      <c r="A34" s="128"/>
      <c r="B34" s="130"/>
      <c r="C34" s="129"/>
      <c r="D34" s="76"/>
      <c r="E34" s="76"/>
      <c r="F34" s="152"/>
      <c r="G34" s="128"/>
      <c r="H34" s="10"/>
    </row>
    <row r="35" spans="1:8" s="3" customFormat="1" ht="19.95" customHeight="1">
      <c r="A35" s="128"/>
      <c r="B35" s="130"/>
      <c r="C35" s="129"/>
      <c r="D35" s="76"/>
      <c r="E35" s="76"/>
      <c r="F35" s="152"/>
      <c r="G35" s="128"/>
      <c r="H35" s="10"/>
    </row>
    <row r="36" spans="1:8" s="3" customFormat="1" ht="19.95" customHeight="1">
      <c r="A36" s="128"/>
      <c r="B36" s="130"/>
      <c r="C36" s="129"/>
      <c r="D36" s="76"/>
      <c r="E36" s="76"/>
      <c r="F36" s="152"/>
      <c r="G36" s="128"/>
      <c r="H36" s="10"/>
    </row>
    <row r="37" spans="1:8" s="3" customFormat="1" ht="19.95" customHeight="1">
      <c r="A37" s="128"/>
      <c r="B37" s="130"/>
      <c r="C37" s="129"/>
      <c r="D37" s="76"/>
      <c r="E37" s="76"/>
      <c r="F37" s="152"/>
      <c r="G37" s="128"/>
      <c r="H37" s="10"/>
    </row>
    <row r="38" spans="1:8" s="3" customFormat="1" ht="19.95" customHeight="1">
      <c r="A38" s="128"/>
      <c r="B38" s="130"/>
      <c r="C38" s="129"/>
      <c r="D38" s="76"/>
      <c r="E38" s="76"/>
      <c r="F38" s="152"/>
      <c r="G38" s="128"/>
      <c r="H38" s="10"/>
    </row>
    <row r="39" spans="1:8" s="3" customFormat="1" ht="19.95" customHeight="1">
      <c r="A39" s="128"/>
      <c r="B39" s="130"/>
      <c r="C39" s="129"/>
      <c r="D39" s="76"/>
      <c r="E39" s="76"/>
      <c r="F39" s="152"/>
      <c r="G39" s="128"/>
      <c r="H39" s="10"/>
    </row>
    <row r="40" spans="1:8" s="3" customFormat="1" ht="19.95" customHeight="1">
      <c r="A40" s="128"/>
      <c r="B40" s="130"/>
      <c r="C40" s="129"/>
      <c r="D40" s="76"/>
      <c r="E40" s="76"/>
      <c r="F40" s="152"/>
      <c r="G40" s="128"/>
      <c r="H40" s="10"/>
    </row>
    <row r="41" spans="1:8" s="3" customFormat="1" ht="19.95" customHeight="1">
      <c r="A41" s="128"/>
      <c r="B41" s="130"/>
      <c r="C41" s="129"/>
      <c r="D41" s="76"/>
      <c r="E41" s="76"/>
      <c r="F41" s="152"/>
      <c r="G41" s="128"/>
      <c r="H41" s="10"/>
    </row>
    <row r="42" spans="1:8" s="3" customFormat="1" ht="19.95" customHeight="1">
      <c r="A42" s="128"/>
      <c r="B42" s="130"/>
      <c r="C42" s="129"/>
      <c r="D42" s="76"/>
      <c r="E42" s="76"/>
      <c r="F42" s="152"/>
      <c r="G42" s="128"/>
      <c r="H42" s="10"/>
    </row>
    <row r="43" spans="1:8" s="3" customFormat="1" ht="19.95" customHeight="1">
      <c r="A43" s="128"/>
      <c r="B43" s="130"/>
      <c r="C43" s="129"/>
      <c r="D43" s="76"/>
      <c r="E43" s="76"/>
      <c r="F43" s="152"/>
      <c r="G43" s="128"/>
      <c r="H43" s="10"/>
    </row>
    <row r="44" spans="1:8" s="3" customFormat="1" ht="19.95" customHeight="1">
      <c r="A44" s="128"/>
      <c r="B44" s="130"/>
      <c r="C44" s="129"/>
      <c r="D44" s="76"/>
      <c r="E44" s="76"/>
      <c r="F44" s="152"/>
      <c r="G44" s="128"/>
      <c r="H44" s="10"/>
    </row>
    <row r="45" spans="1:8" s="3" customFormat="1" ht="19.95" customHeight="1">
      <c r="A45" s="128"/>
      <c r="B45" s="130"/>
      <c r="C45" s="129"/>
      <c r="D45" s="76"/>
      <c r="E45" s="76"/>
      <c r="F45" s="152"/>
      <c r="G45" s="128"/>
      <c r="H45" s="10"/>
    </row>
    <row r="46" spans="1:8" s="3" customFormat="1" ht="19.95" customHeight="1">
      <c r="A46" s="128"/>
      <c r="B46" s="130"/>
      <c r="C46" s="129"/>
      <c r="D46" s="76"/>
      <c r="E46" s="76"/>
      <c r="F46" s="152"/>
      <c r="G46" s="128"/>
      <c r="H46" s="10"/>
    </row>
    <row r="47" spans="1:8" s="3" customFormat="1" ht="19.95" customHeight="1">
      <c r="A47" s="5"/>
    </row>
    <row r="48" spans="1:8" s="3" customFormat="1" ht="19.95" customHeight="1">
      <c r="A48" s="5" t="s">
        <v>1</v>
      </c>
    </row>
    <row r="49" spans="1:1" s="3" customFormat="1" ht="19.95" customHeight="1"/>
    <row r="50" spans="1:1" s="3" customFormat="1" ht="19.95" customHeight="1">
      <c r="A50" s="5" t="s">
        <v>0</v>
      </c>
    </row>
    <row r="51" spans="1:1" s="3" customFormat="1" ht="19.95" customHeight="1"/>
  </sheetData>
  <mergeCells count="9">
    <mergeCell ref="A28:H28"/>
    <mergeCell ref="A1:H1"/>
    <mergeCell ref="A2:H2"/>
    <mergeCell ref="B5:H5"/>
    <mergeCell ref="A10:H10"/>
    <mergeCell ref="A11:E11"/>
    <mergeCell ref="F11:F12"/>
    <mergeCell ref="G11:G12"/>
    <mergeCell ref="H11:H12"/>
  </mergeCells>
  <phoneticPr fontId="4" type="noConversion"/>
  <dataValidations count="1">
    <dataValidation type="list" allowBlank="1" showInputMessage="1" showErrorMessage="1" sqref="H13:H27 H29:H46">
      <formula1>"√,X"</formula1>
    </dataValidation>
  </dataValidations>
  <hyperlinks>
    <hyperlink ref="H3" location="底稿目录!A1" display="底稿目录!A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blackAndWhite="1" cellComments="atEnd" r:id="rId1"/>
  <headerFoot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8"/>
  <sheetViews>
    <sheetView view="pageBreakPreview" zoomScaleNormal="115" zoomScaleSheetLayoutView="100" workbookViewId="0">
      <selection activeCell="P3" sqref="P3"/>
    </sheetView>
  </sheetViews>
  <sheetFormatPr defaultColWidth="9" defaultRowHeight="19.95" customHeight="1"/>
  <cols>
    <col min="1" max="1" width="14" style="19" customWidth="1"/>
    <col min="2" max="3" width="9" style="19"/>
    <col min="4" max="4" width="16" style="19" customWidth="1"/>
    <col min="5" max="5" width="9.6640625" style="19" customWidth="1"/>
    <col min="6" max="6" width="13.44140625" style="19" customWidth="1"/>
    <col min="7" max="7" width="9.88671875" style="19" customWidth="1"/>
    <col min="8" max="8" width="10" style="19" customWidth="1"/>
    <col min="9" max="9" width="18.88671875" style="19" customWidth="1"/>
    <col min="10" max="10" width="11.109375" style="19" customWidth="1"/>
    <col min="11" max="15" width="10.109375" style="19" customWidth="1"/>
    <col min="16" max="16" width="9" style="19" customWidth="1"/>
    <col min="17" max="16384" width="9" style="19"/>
  </cols>
  <sheetData>
    <row r="1" spans="1:35" s="21" customFormat="1" ht="19.95" customHeight="1">
      <c r="A1" s="189" t="s">
        <v>8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35" s="21" customFormat="1" ht="19.95" customHeight="1">
      <c r="A2" s="190" t="s">
        <v>33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</row>
    <row r="3" spans="1:35" s="3" customFormat="1" ht="19.95" customHeight="1">
      <c r="A3" s="16" t="str">
        <f>底稿目录!A2</f>
        <v>被审计单位：</v>
      </c>
      <c r="B3" s="16"/>
      <c r="C3" s="16"/>
      <c r="E3" s="17" t="str">
        <f>底稿目录!A4</f>
        <v>编制人：</v>
      </c>
      <c r="I3" s="44"/>
      <c r="J3" s="16" t="str">
        <f>底稿目录!A5</f>
        <v>编制日期：</v>
      </c>
      <c r="O3" s="15" t="s">
        <v>20</v>
      </c>
      <c r="P3" s="160" t="str">
        <f>底稿目录!F8</f>
        <v>E1-23</v>
      </c>
    </row>
    <row r="4" spans="1:35" s="3" customFormat="1" ht="19.95" customHeight="1">
      <c r="A4" s="16" t="str">
        <f>底稿目录!A3</f>
        <v>截止日：202X年12月31日</v>
      </c>
      <c r="B4" s="16"/>
      <c r="C4" s="20"/>
      <c r="E4" s="17" t="str">
        <f>底稿目录!A6</f>
        <v>复核人：</v>
      </c>
      <c r="I4" s="44"/>
      <c r="J4" s="16" t="str">
        <f>底稿目录!A7</f>
        <v>复核日期：</v>
      </c>
      <c r="O4" s="15" t="s">
        <v>27</v>
      </c>
    </row>
    <row r="5" spans="1:35" s="36" customFormat="1" ht="19.95" customHeight="1">
      <c r="A5" s="153" t="s">
        <v>179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</row>
    <row r="6" spans="1:35" s="36" customFormat="1" ht="19.95" customHeight="1">
      <c r="A6" s="42" t="s">
        <v>177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</row>
    <row r="7" spans="1:35" s="36" customFormat="1" ht="19.95" customHeight="1">
      <c r="A7" s="42" t="s">
        <v>178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spans="1:35" s="36" customFormat="1" ht="19.95" customHeight="1">
      <c r="A8" s="101" t="s">
        <v>87</v>
      </c>
      <c r="B8" s="102"/>
      <c r="C8" s="102"/>
      <c r="D8" s="102"/>
      <c r="E8" s="102"/>
      <c r="F8" s="102"/>
      <c r="G8" s="102"/>
      <c r="H8" s="102"/>
      <c r="I8" s="102"/>
      <c r="J8" s="102"/>
      <c r="K8" s="42"/>
      <c r="L8" s="42"/>
      <c r="M8" s="42"/>
      <c r="N8" s="42"/>
      <c r="O8" s="42"/>
    </row>
    <row r="9" spans="1:35" s="126" customFormat="1" ht="19.95" customHeight="1">
      <c r="A9" s="124" t="s">
        <v>128</v>
      </c>
      <c r="B9" s="125" t="s">
        <v>139</v>
      </c>
      <c r="F9" s="124"/>
      <c r="G9" s="125"/>
      <c r="H9" s="124" t="s">
        <v>129</v>
      </c>
      <c r="I9" s="125" t="s">
        <v>130</v>
      </c>
    </row>
    <row r="10" spans="1:35" s="126" customFormat="1" ht="19.95" customHeight="1">
      <c r="A10" s="124" t="s">
        <v>131</v>
      </c>
      <c r="B10" s="125" t="s">
        <v>132</v>
      </c>
      <c r="F10" s="124"/>
      <c r="G10" s="125"/>
      <c r="H10" s="124" t="s">
        <v>133</v>
      </c>
      <c r="I10" s="125"/>
      <c r="J10" s="125" t="s">
        <v>134</v>
      </c>
      <c r="K10" s="125" t="s">
        <v>135</v>
      </c>
      <c r="N10" s="125"/>
      <c r="O10" s="125"/>
    </row>
    <row r="11" spans="1:35" s="126" customFormat="1" ht="19.95" customHeight="1">
      <c r="A11" s="124" t="s">
        <v>136</v>
      </c>
      <c r="B11" s="125" t="s">
        <v>207</v>
      </c>
      <c r="F11" s="124"/>
      <c r="G11" s="125"/>
      <c r="H11" s="124" t="s">
        <v>137</v>
      </c>
      <c r="I11" s="125" t="s">
        <v>138</v>
      </c>
      <c r="N11" s="124"/>
      <c r="O11" s="125"/>
    </row>
    <row r="12" spans="1:35" s="36" customFormat="1" ht="19.95" customHeight="1">
      <c r="A12" s="43" t="s">
        <v>88</v>
      </c>
      <c r="B12" s="61"/>
      <c r="C12" s="112"/>
      <c r="D12" s="112"/>
      <c r="E12" s="113"/>
      <c r="F12" s="114"/>
      <c r="G12" s="114"/>
      <c r="H12" s="114"/>
      <c r="I12" s="115"/>
      <c r="J12" s="115"/>
      <c r="K12" s="115"/>
      <c r="L12" s="115"/>
      <c r="M12" s="115"/>
      <c r="N12" s="115"/>
      <c r="O12" s="115"/>
      <c r="P12" s="115"/>
    </row>
    <row r="13" spans="1:35" s="36" customFormat="1" ht="29.55" customHeight="1">
      <c r="A13" s="240" t="s">
        <v>181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240"/>
    </row>
    <row r="14" spans="1:35" s="36" customFormat="1" ht="29.55" customHeight="1">
      <c r="A14" s="240" t="s">
        <v>180</v>
      </c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</row>
    <row r="15" spans="1:35" s="36" customFormat="1" ht="19.95" customHeight="1">
      <c r="A15" s="116" t="s">
        <v>117</v>
      </c>
      <c r="B15" s="41"/>
      <c r="C15" s="40"/>
      <c r="D15" s="40"/>
      <c r="E15" s="39"/>
      <c r="F15" s="38"/>
      <c r="G15" s="38"/>
      <c r="H15" s="38"/>
      <c r="I15" s="37"/>
      <c r="J15" s="37"/>
      <c r="K15" s="37"/>
      <c r="L15" s="37"/>
      <c r="M15" s="37"/>
      <c r="N15" s="37"/>
      <c r="O15" s="37"/>
      <c r="P15" s="115"/>
    </row>
    <row r="16" spans="1:35" s="3" customFormat="1" ht="19.95" customHeight="1">
      <c r="A16" s="232" t="s">
        <v>89</v>
      </c>
      <c r="B16" s="232" t="s">
        <v>25</v>
      </c>
      <c r="C16" s="232" t="s">
        <v>32</v>
      </c>
      <c r="D16" s="232" t="s">
        <v>21</v>
      </c>
      <c r="E16" s="232" t="s">
        <v>31</v>
      </c>
      <c r="F16" s="205" t="s">
        <v>127</v>
      </c>
      <c r="G16" s="205" t="s">
        <v>90</v>
      </c>
      <c r="H16" s="232" t="s">
        <v>91</v>
      </c>
      <c r="I16" s="232"/>
      <c r="J16" s="232"/>
      <c r="K16" s="223" t="s">
        <v>210</v>
      </c>
      <c r="L16" s="224"/>
      <c r="M16" s="225"/>
      <c r="N16" s="237" t="s">
        <v>92</v>
      </c>
      <c r="O16" s="234" t="s">
        <v>93</v>
      </c>
      <c r="P16" s="239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</row>
    <row r="17" spans="1:35" s="3" customFormat="1" ht="19.95" customHeight="1">
      <c r="A17" s="233"/>
      <c r="B17" s="233"/>
      <c r="C17" s="233"/>
      <c r="D17" s="233"/>
      <c r="E17" s="233"/>
      <c r="F17" s="206"/>
      <c r="G17" s="206"/>
      <c r="H17" s="92" t="s">
        <v>94</v>
      </c>
      <c r="I17" s="92" t="s">
        <v>95</v>
      </c>
      <c r="J17" s="92" t="s">
        <v>96</v>
      </c>
      <c r="K17" s="226"/>
      <c r="L17" s="227"/>
      <c r="M17" s="228"/>
      <c r="N17" s="238"/>
      <c r="O17" s="234"/>
      <c r="P17" s="239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</row>
    <row r="18" spans="1:35" s="3" customFormat="1" ht="19.95" customHeight="1">
      <c r="A18" s="166" t="s">
        <v>193</v>
      </c>
      <c r="B18" s="11"/>
      <c r="C18" s="35"/>
      <c r="D18" s="33"/>
      <c r="E18" s="35"/>
      <c r="F18" s="35"/>
      <c r="G18" s="154"/>
      <c r="H18" s="11"/>
      <c r="I18" s="155"/>
      <c r="J18" s="156"/>
      <c r="K18" s="229"/>
      <c r="L18" s="230"/>
      <c r="M18" s="231"/>
      <c r="N18" s="33"/>
      <c r="O18" s="75"/>
      <c r="P18" s="17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</row>
    <row r="19" spans="1:35" s="3" customFormat="1" ht="19.95" customHeight="1">
      <c r="A19" s="166" t="s">
        <v>193</v>
      </c>
      <c r="B19" s="11"/>
      <c r="C19" s="35"/>
      <c r="D19" s="33"/>
      <c r="E19" s="35"/>
      <c r="F19" s="35"/>
      <c r="G19" s="154"/>
      <c r="H19" s="11"/>
      <c r="I19" s="155"/>
      <c r="J19" s="156"/>
      <c r="K19" s="229"/>
      <c r="L19" s="230"/>
      <c r="M19" s="231"/>
      <c r="N19" s="33"/>
      <c r="O19" s="75"/>
      <c r="P19" s="17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spans="1:35" s="3" customFormat="1" ht="19.95" customHeight="1">
      <c r="A20" s="166" t="s">
        <v>30</v>
      </c>
      <c r="B20" s="11"/>
      <c r="C20" s="35"/>
      <c r="D20" s="33"/>
      <c r="E20" s="35"/>
      <c r="F20" s="35"/>
      <c r="G20" s="154"/>
      <c r="H20" s="11"/>
      <c r="I20" s="155"/>
      <c r="J20" s="156"/>
      <c r="K20" s="229"/>
      <c r="L20" s="230"/>
      <c r="M20" s="231"/>
      <c r="N20" s="33"/>
      <c r="O20" s="75"/>
      <c r="P20" s="17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</row>
    <row r="21" spans="1:35" s="3" customFormat="1" ht="19.95" customHeight="1">
      <c r="A21" s="166" t="s">
        <v>190</v>
      </c>
      <c r="B21" s="11"/>
      <c r="C21" s="35"/>
      <c r="D21" s="33"/>
      <c r="E21" s="35"/>
      <c r="F21" s="35"/>
      <c r="G21" s="154"/>
      <c r="H21" s="11"/>
      <c r="I21" s="33"/>
      <c r="J21" s="156"/>
      <c r="K21" s="229"/>
      <c r="L21" s="230"/>
      <c r="M21" s="231"/>
      <c r="N21" s="33"/>
      <c r="O21" s="75"/>
      <c r="P21" s="172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35" s="3" customFormat="1" ht="19.95" customHeight="1">
      <c r="A22" s="166" t="s">
        <v>194</v>
      </c>
      <c r="B22" s="11"/>
      <c r="C22" s="35"/>
      <c r="D22" s="33"/>
      <c r="E22" s="35"/>
      <c r="F22" s="35"/>
      <c r="G22" s="154"/>
      <c r="H22" s="11"/>
      <c r="I22" s="33"/>
      <c r="J22" s="156"/>
      <c r="K22" s="229"/>
      <c r="L22" s="230"/>
      <c r="M22" s="231"/>
      <c r="N22" s="33"/>
      <c r="O22" s="75"/>
      <c r="P22" s="172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</row>
    <row r="23" spans="1:35" s="3" customFormat="1" ht="19.95" customHeight="1">
      <c r="A23" s="166" t="s">
        <v>191</v>
      </c>
      <c r="B23" s="11"/>
      <c r="C23" s="35"/>
      <c r="D23" s="33"/>
      <c r="E23" s="35"/>
      <c r="F23" s="35"/>
      <c r="G23" s="154"/>
      <c r="H23" s="11"/>
      <c r="I23" s="33"/>
      <c r="J23" s="156"/>
      <c r="K23" s="229"/>
      <c r="L23" s="230"/>
      <c r="M23" s="231"/>
      <c r="N23" s="33"/>
      <c r="O23" s="75"/>
      <c r="P23" s="172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</row>
    <row r="24" spans="1:35" s="3" customFormat="1" ht="19.95" customHeight="1">
      <c r="A24" s="166" t="s">
        <v>191</v>
      </c>
      <c r="B24" s="11"/>
      <c r="C24" s="35"/>
      <c r="D24" s="33"/>
      <c r="E24" s="35"/>
      <c r="F24" s="35"/>
      <c r="G24" s="154"/>
      <c r="H24" s="11"/>
      <c r="I24" s="33"/>
      <c r="J24" s="156"/>
      <c r="K24" s="229"/>
      <c r="L24" s="230"/>
      <c r="M24" s="231"/>
      <c r="N24" s="33"/>
      <c r="O24" s="75"/>
      <c r="P24" s="172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</row>
    <row r="25" spans="1:35" s="3" customFormat="1" ht="19.95" customHeight="1">
      <c r="A25" s="166" t="s">
        <v>191</v>
      </c>
      <c r="B25" s="11"/>
      <c r="C25" s="35"/>
      <c r="D25" s="33"/>
      <c r="E25" s="35"/>
      <c r="F25" s="35"/>
      <c r="G25" s="154"/>
      <c r="H25" s="11"/>
      <c r="I25" s="33"/>
      <c r="J25" s="156"/>
      <c r="K25" s="229"/>
      <c r="L25" s="230"/>
      <c r="M25" s="231"/>
      <c r="N25" s="33"/>
      <c r="O25" s="75"/>
      <c r="P25" s="172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spans="1:35" s="3" customFormat="1" ht="19.95" customHeight="1">
      <c r="A26" s="166" t="s">
        <v>191</v>
      </c>
      <c r="B26" s="11"/>
      <c r="C26" s="35"/>
      <c r="D26" s="33"/>
      <c r="E26" s="35"/>
      <c r="F26" s="35"/>
      <c r="G26" s="154"/>
      <c r="H26" s="11"/>
      <c r="I26" s="33"/>
      <c r="J26" s="156"/>
      <c r="K26" s="229"/>
      <c r="L26" s="230"/>
      <c r="M26" s="231"/>
      <c r="N26" s="33"/>
      <c r="O26" s="75"/>
      <c r="P26" s="172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spans="1:35" s="3" customFormat="1" ht="19.95" customHeight="1">
      <c r="A27" s="166" t="s">
        <v>191</v>
      </c>
      <c r="B27" s="11"/>
      <c r="C27" s="35"/>
      <c r="D27" s="33"/>
      <c r="E27" s="35"/>
      <c r="F27" s="35"/>
      <c r="G27" s="154"/>
      <c r="H27" s="11"/>
      <c r="I27" s="33"/>
      <c r="J27" s="156"/>
      <c r="K27" s="229"/>
      <c r="L27" s="230"/>
      <c r="M27" s="231"/>
      <c r="N27" s="33"/>
      <c r="O27" s="75"/>
      <c r="P27" s="172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</row>
    <row r="28" spans="1:35" s="3" customFormat="1" ht="19.95" customHeight="1">
      <c r="A28" s="166" t="s">
        <v>191</v>
      </c>
      <c r="B28" s="11"/>
      <c r="C28" s="35"/>
      <c r="D28" s="33"/>
      <c r="E28" s="35"/>
      <c r="F28" s="35"/>
      <c r="G28" s="154"/>
      <c r="H28" s="11"/>
      <c r="I28" s="33"/>
      <c r="J28" s="156"/>
      <c r="K28" s="229"/>
      <c r="L28" s="230"/>
      <c r="M28" s="231"/>
      <c r="N28" s="33"/>
      <c r="O28" s="75"/>
      <c r="P28" s="17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</row>
    <row r="29" spans="1:35" s="3" customFormat="1" ht="19.95" customHeight="1">
      <c r="A29" s="166" t="s">
        <v>191</v>
      </c>
      <c r="B29" s="11"/>
      <c r="C29" s="35"/>
      <c r="D29" s="33"/>
      <c r="E29" s="35"/>
      <c r="F29" s="35"/>
      <c r="G29" s="154"/>
      <c r="H29" s="11"/>
      <c r="I29" s="33"/>
      <c r="J29" s="156"/>
      <c r="K29" s="229"/>
      <c r="L29" s="230"/>
      <c r="M29" s="231"/>
      <c r="N29" s="33"/>
      <c r="O29" s="75"/>
      <c r="P29" s="172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</row>
    <row r="30" spans="1:35" s="3" customFormat="1" ht="19.95" customHeight="1">
      <c r="A30" s="166" t="s">
        <v>191</v>
      </c>
      <c r="B30" s="11"/>
      <c r="C30" s="35"/>
      <c r="D30" s="33"/>
      <c r="E30" s="35"/>
      <c r="F30" s="35"/>
      <c r="G30" s="154"/>
      <c r="H30" s="11"/>
      <c r="I30" s="33"/>
      <c r="J30" s="156"/>
      <c r="K30" s="229"/>
      <c r="L30" s="230"/>
      <c r="M30" s="231"/>
      <c r="N30" s="33"/>
      <c r="O30" s="75"/>
      <c r="P30" s="172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</row>
    <row r="31" spans="1:35" s="3" customFormat="1" ht="19.95" customHeight="1">
      <c r="A31" s="166" t="s">
        <v>191</v>
      </c>
      <c r="B31" s="11"/>
      <c r="C31" s="35"/>
      <c r="D31" s="33"/>
      <c r="E31" s="35"/>
      <c r="F31" s="35"/>
      <c r="G31" s="154"/>
      <c r="H31" s="11"/>
      <c r="I31" s="33"/>
      <c r="J31" s="156"/>
      <c r="K31" s="229"/>
      <c r="L31" s="230"/>
      <c r="M31" s="231"/>
      <c r="N31" s="33"/>
      <c r="O31" s="75"/>
      <c r="P31" s="172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</row>
    <row r="32" spans="1:35" s="3" customFormat="1" ht="19.95" customHeight="1">
      <c r="A32" s="166" t="s">
        <v>191</v>
      </c>
      <c r="B32" s="11"/>
      <c r="C32" s="35"/>
      <c r="D32" s="33"/>
      <c r="E32" s="35"/>
      <c r="F32" s="35"/>
      <c r="G32" s="154"/>
      <c r="H32" s="11"/>
      <c r="I32" s="33"/>
      <c r="J32" s="156"/>
      <c r="K32" s="229"/>
      <c r="L32" s="230"/>
      <c r="M32" s="231"/>
      <c r="N32" s="33"/>
      <c r="O32" s="75"/>
      <c r="P32" s="17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</row>
    <row r="33" spans="1:35" s="3" customFormat="1" ht="19.95" customHeight="1">
      <c r="A33" s="166" t="s">
        <v>30</v>
      </c>
      <c r="B33" s="11"/>
      <c r="C33" s="35"/>
      <c r="D33" s="33"/>
      <c r="E33" s="35"/>
      <c r="F33" s="35"/>
      <c r="G33" s="154"/>
      <c r="H33" s="11"/>
      <c r="I33" s="33"/>
      <c r="J33" s="156"/>
      <c r="K33" s="229"/>
      <c r="L33" s="230"/>
      <c r="M33" s="231"/>
      <c r="N33" s="33"/>
      <c r="O33" s="75"/>
      <c r="P33" s="172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</row>
    <row r="34" spans="1:35" s="3" customFormat="1" ht="19.95" customHeight="1">
      <c r="A34" s="166" t="s">
        <v>192</v>
      </c>
      <c r="B34" s="11"/>
      <c r="C34" s="35"/>
      <c r="D34" s="33"/>
      <c r="E34" s="35"/>
      <c r="F34" s="35"/>
      <c r="G34" s="154"/>
      <c r="H34" s="11"/>
      <c r="I34" s="33"/>
      <c r="J34" s="156"/>
      <c r="K34" s="229"/>
      <c r="L34" s="230"/>
      <c r="M34" s="231"/>
      <c r="N34" s="33"/>
      <c r="O34" s="75"/>
      <c r="P34" s="172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</row>
    <row r="35" spans="1:35" s="3" customFormat="1" ht="19.95" customHeight="1">
      <c r="A35" s="166" t="s">
        <v>192</v>
      </c>
      <c r="B35" s="11"/>
      <c r="C35" s="35"/>
      <c r="D35" s="33"/>
      <c r="E35" s="35"/>
      <c r="F35" s="35"/>
      <c r="G35" s="154"/>
      <c r="H35" s="11"/>
      <c r="I35" s="33"/>
      <c r="J35" s="156"/>
      <c r="K35" s="229"/>
      <c r="L35" s="230"/>
      <c r="M35" s="231"/>
      <c r="N35" s="33"/>
      <c r="O35" s="75"/>
      <c r="P35" s="172"/>
    </row>
    <row r="36" spans="1:35" s="3" customFormat="1" ht="19.95" customHeight="1">
      <c r="A36" s="166" t="s">
        <v>192</v>
      </c>
      <c r="B36" s="11"/>
      <c r="C36" s="35"/>
      <c r="D36" s="33"/>
      <c r="E36" s="35"/>
      <c r="F36" s="35"/>
      <c r="G36" s="154"/>
      <c r="H36" s="11"/>
      <c r="I36" s="33"/>
      <c r="J36" s="156"/>
      <c r="K36" s="229"/>
      <c r="L36" s="230"/>
      <c r="M36" s="231"/>
      <c r="N36" s="33"/>
      <c r="O36" s="75"/>
      <c r="P36" s="172"/>
    </row>
    <row r="37" spans="1:35" s="3" customFormat="1" ht="19.95" customHeight="1">
      <c r="A37" s="166" t="s">
        <v>192</v>
      </c>
      <c r="B37" s="11"/>
      <c r="C37" s="35"/>
      <c r="D37" s="33"/>
      <c r="E37" s="35"/>
      <c r="F37" s="35"/>
      <c r="G37" s="154"/>
      <c r="H37" s="11"/>
      <c r="I37" s="33"/>
      <c r="J37" s="156"/>
      <c r="K37" s="229"/>
      <c r="L37" s="230"/>
      <c r="M37" s="231"/>
      <c r="N37" s="33"/>
      <c r="O37" s="75"/>
      <c r="P37" s="172"/>
    </row>
    <row r="38" spans="1:35" s="3" customFormat="1" ht="19.95" customHeight="1">
      <c r="A38" s="166" t="s">
        <v>192</v>
      </c>
      <c r="B38" s="11"/>
      <c r="C38" s="35"/>
      <c r="D38" s="33"/>
      <c r="E38" s="35"/>
      <c r="F38" s="35"/>
      <c r="G38" s="154"/>
      <c r="H38" s="11"/>
      <c r="I38" s="33"/>
      <c r="J38" s="156"/>
      <c r="K38" s="229"/>
      <c r="L38" s="230"/>
      <c r="M38" s="231"/>
      <c r="N38" s="33"/>
      <c r="O38" s="75"/>
      <c r="P38" s="172"/>
    </row>
    <row r="39" spans="1:35" s="3" customFormat="1" ht="19.95" customHeight="1">
      <c r="A39" s="166" t="s">
        <v>30</v>
      </c>
      <c r="B39" s="11"/>
      <c r="C39" s="35"/>
      <c r="D39" s="33"/>
      <c r="E39" s="35"/>
      <c r="F39" s="35"/>
      <c r="G39" s="154"/>
      <c r="H39" s="11"/>
      <c r="I39" s="33"/>
      <c r="J39" s="156"/>
      <c r="K39" s="229"/>
      <c r="L39" s="230"/>
      <c r="M39" s="231"/>
      <c r="N39" s="33"/>
      <c r="O39" s="75"/>
      <c r="P39" s="172"/>
    </row>
    <row r="40" spans="1:35" s="3" customFormat="1" ht="20.399999999999999" customHeight="1">
      <c r="A40" s="173" t="s">
        <v>208</v>
      </c>
      <c r="B40" s="11"/>
      <c r="C40" s="35"/>
      <c r="D40" s="33"/>
      <c r="E40" s="35"/>
      <c r="F40" s="35"/>
      <c r="G40" s="174">
        <f>SUM(G18:G39)</f>
        <v>0</v>
      </c>
      <c r="H40" s="11"/>
      <c r="I40" s="33"/>
      <c r="J40" s="174">
        <f>SUM(J18:J39)</f>
        <v>0</v>
      </c>
      <c r="K40" s="229"/>
      <c r="L40" s="230"/>
      <c r="M40" s="231"/>
      <c r="N40" s="33"/>
      <c r="O40" s="75"/>
      <c r="P40" s="172"/>
    </row>
    <row r="41" spans="1:35" s="3" customFormat="1" ht="19.95" customHeight="1">
      <c r="A41" s="116" t="s">
        <v>118</v>
      </c>
      <c r="B41" s="65"/>
      <c r="C41" s="65"/>
      <c r="D41" s="66"/>
      <c r="E41" s="65"/>
      <c r="F41" s="65"/>
      <c r="G41" s="65"/>
      <c r="H41" s="67"/>
      <c r="I41" s="66"/>
      <c r="J41" s="66"/>
      <c r="K41" s="66"/>
      <c r="L41" s="66"/>
      <c r="M41" s="66"/>
      <c r="N41" s="66"/>
      <c r="O41" s="66"/>
      <c r="P41" s="66"/>
    </row>
    <row r="42" spans="1:35" s="3" customFormat="1" ht="19.95" customHeight="1">
      <c r="A42" s="232" t="s">
        <v>89</v>
      </c>
      <c r="B42" s="232" t="s">
        <v>25</v>
      </c>
      <c r="C42" s="232" t="s">
        <v>32</v>
      </c>
      <c r="D42" s="232" t="s">
        <v>21</v>
      </c>
      <c r="E42" s="232" t="s">
        <v>31</v>
      </c>
      <c r="F42" s="205" t="s">
        <v>127</v>
      </c>
      <c r="G42" s="205" t="s">
        <v>97</v>
      </c>
      <c r="H42" s="232" t="s">
        <v>91</v>
      </c>
      <c r="I42" s="232"/>
      <c r="J42" s="232"/>
      <c r="K42" s="213" t="s">
        <v>98</v>
      </c>
      <c r="L42" s="235"/>
      <c r="M42" s="241" t="s">
        <v>211</v>
      </c>
      <c r="N42" s="242"/>
      <c r="O42" s="234" t="s">
        <v>92</v>
      </c>
      <c r="P42" s="234" t="s">
        <v>93</v>
      </c>
    </row>
    <row r="43" spans="1:35" s="3" customFormat="1" ht="25.8" customHeight="1">
      <c r="A43" s="233"/>
      <c r="B43" s="233"/>
      <c r="C43" s="233"/>
      <c r="D43" s="233"/>
      <c r="E43" s="233"/>
      <c r="F43" s="206"/>
      <c r="G43" s="206"/>
      <c r="H43" s="92" t="s">
        <v>94</v>
      </c>
      <c r="I43" s="92" t="s">
        <v>99</v>
      </c>
      <c r="J43" s="92" t="s">
        <v>96</v>
      </c>
      <c r="K43" s="103" t="s">
        <v>100</v>
      </c>
      <c r="L43" s="157" t="s">
        <v>182</v>
      </c>
      <c r="M43" s="243"/>
      <c r="N43" s="244"/>
      <c r="O43" s="234"/>
      <c r="P43" s="234"/>
    </row>
    <row r="44" spans="1:35" s="3" customFormat="1" ht="19.95" customHeight="1">
      <c r="A44" s="166" t="s">
        <v>189</v>
      </c>
      <c r="B44" s="11"/>
      <c r="C44" s="35"/>
      <c r="D44" s="33"/>
      <c r="E44" s="35"/>
      <c r="F44" s="35"/>
      <c r="G44" s="154"/>
      <c r="H44" s="11"/>
      <c r="I44" s="155"/>
      <c r="J44" s="156"/>
      <c r="K44" s="11"/>
      <c r="L44" s="10"/>
      <c r="M44" s="245"/>
      <c r="N44" s="246"/>
      <c r="O44" s="75"/>
      <c r="P44" s="10"/>
    </row>
    <row r="45" spans="1:35" s="3" customFormat="1" ht="19.95" customHeight="1">
      <c r="A45" s="166" t="s">
        <v>193</v>
      </c>
      <c r="B45" s="11"/>
      <c r="C45" s="35"/>
      <c r="D45" s="33"/>
      <c r="E45" s="35"/>
      <c r="F45" s="35"/>
      <c r="G45" s="154"/>
      <c r="H45" s="11"/>
      <c r="I45" s="155"/>
      <c r="J45" s="156"/>
      <c r="K45" s="11"/>
      <c r="L45" s="10"/>
      <c r="M45" s="245"/>
      <c r="N45" s="246"/>
      <c r="O45" s="75"/>
      <c r="P45" s="10"/>
    </row>
    <row r="46" spans="1:35" s="3" customFormat="1" ht="19.95" customHeight="1">
      <c r="A46" s="166" t="s">
        <v>30</v>
      </c>
      <c r="B46" s="11"/>
      <c r="C46" s="35"/>
      <c r="D46" s="33"/>
      <c r="E46" s="35"/>
      <c r="F46" s="35"/>
      <c r="G46" s="154"/>
      <c r="H46" s="11"/>
      <c r="I46" s="155"/>
      <c r="J46" s="156"/>
      <c r="K46" s="11"/>
      <c r="L46" s="10"/>
      <c r="M46" s="245"/>
      <c r="N46" s="246"/>
      <c r="O46" s="75"/>
      <c r="P46" s="10"/>
    </row>
    <row r="47" spans="1:35" s="3" customFormat="1" ht="19.95" customHeight="1">
      <c r="A47" s="166" t="s">
        <v>190</v>
      </c>
      <c r="B47" s="11"/>
      <c r="C47" s="35"/>
      <c r="D47" s="33"/>
      <c r="E47" s="35"/>
      <c r="F47" s="35"/>
      <c r="G47" s="154"/>
      <c r="H47" s="11"/>
      <c r="I47" s="155"/>
      <c r="J47" s="156"/>
      <c r="K47" s="11"/>
      <c r="L47" s="10"/>
      <c r="M47" s="245"/>
      <c r="N47" s="246"/>
      <c r="O47" s="75"/>
      <c r="P47" s="10"/>
    </row>
    <row r="48" spans="1:35" s="3" customFormat="1" ht="19.95" customHeight="1">
      <c r="A48" s="166" t="s">
        <v>194</v>
      </c>
      <c r="B48" s="11"/>
      <c r="C48" s="35"/>
      <c r="D48" s="33"/>
      <c r="E48" s="35"/>
      <c r="F48" s="35"/>
      <c r="G48" s="154"/>
      <c r="H48" s="11"/>
      <c r="I48" s="155"/>
      <c r="J48" s="156"/>
      <c r="K48" s="11"/>
      <c r="L48" s="10"/>
      <c r="M48" s="245"/>
      <c r="N48" s="246"/>
      <c r="O48" s="75"/>
      <c r="P48" s="10"/>
    </row>
    <row r="49" spans="1:16" s="3" customFormat="1" ht="19.95" customHeight="1">
      <c r="A49" s="166" t="s">
        <v>195</v>
      </c>
      <c r="B49" s="11"/>
      <c r="C49" s="35"/>
      <c r="D49" s="33"/>
      <c r="E49" s="35"/>
      <c r="F49" s="35"/>
      <c r="G49" s="154"/>
      <c r="H49" s="11"/>
      <c r="I49" s="155"/>
      <c r="J49" s="156"/>
      <c r="K49" s="11"/>
      <c r="L49" s="10"/>
      <c r="M49" s="245"/>
      <c r="N49" s="246"/>
      <c r="O49" s="75"/>
      <c r="P49" s="10"/>
    </row>
    <row r="50" spans="1:16" s="3" customFormat="1" ht="19.95" customHeight="1">
      <c r="A50" s="166" t="s">
        <v>191</v>
      </c>
      <c r="B50" s="11"/>
      <c r="C50" s="35"/>
      <c r="D50" s="33"/>
      <c r="E50" s="35"/>
      <c r="F50" s="35"/>
      <c r="G50" s="154"/>
      <c r="H50" s="11"/>
      <c r="I50" s="155"/>
      <c r="J50" s="156"/>
      <c r="K50" s="11"/>
      <c r="L50" s="10"/>
      <c r="M50" s="245"/>
      <c r="N50" s="246"/>
      <c r="O50" s="75"/>
      <c r="P50" s="10"/>
    </row>
    <row r="51" spans="1:16" s="3" customFormat="1" ht="19.95" customHeight="1">
      <c r="A51" s="166" t="s">
        <v>191</v>
      </c>
      <c r="B51" s="11"/>
      <c r="C51" s="35"/>
      <c r="D51" s="33"/>
      <c r="E51" s="35"/>
      <c r="F51" s="35"/>
      <c r="G51" s="154"/>
      <c r="H51" s="11"/>
      <c r="I51" s="155"/>
      <c r="J51" s="156"/>
      <c r="K51" s="11"/>
      <c r="L51" s="10"/>
      <c r="M51" s="245"/>
      <c r="N51" s="246"/>
      <c r="O51" s="75"/>
      <c r="P51" s="10"/>
    </row>
    <row r="52" spans="1:16" s="3" customFormat="1" ht="19.95" customHeight="1">
      <c r="A52" s="166" t="s">
        <v>191</v>
      </c>
      <c r="B52" s="11"/>
      <c r="C52" s="35"/>
      <c r="D52" s="33"/>
      <c r="E52" s="35"/>
      <c r="F52" s="35"/>
      <c r="G52" s="154"/>
      <c r="H52" s="11"/>
      <c r="I52" s="155"/>
      <c r="J52" s="156"/>
      <c r="K52" s="11"/>
      <c r="L52" s="10"/>
      <c r="M52" s="245"/>
      <c r="N52" s="246"/>
      <c r="O52" s="75"/>
      <c r="P52" s="10"/>
    </row>
    <row r="53" spans="1:16" s="3" customFormat="1" ht="19.95" customHeight="1">
      <c r="A53" s="166" t="s">
        <v>191</v>
      </c>
      <c r="B53" s="11"/>
      <c r="C53" s="35"/>
      <c r="D53" s="33"/>
      <c r="E53" s="35"/>
      <c r="F53" s="35"/>
      <c r="G53" s="154"/>
      <c r="H53" s="11"/>
      <c r="I53" s="155"/>
      <c r="J53" s="156"/>
      <c r="K53" s="11"/>
      <c r="L53" s="10"/>
      <c r="M53" s="245"/>
      <c r="N53" s="246"/>
      <c r="O53" s="75"/>
      <c r="P53" s="10"/>
    </row>
    <row r="54" spans="1:16" s="3" customFormat="1" ht="19.95" customHeight="1">
      <c r="A54" s="166" t="s">
        <v>191</v>
      </c>
      <c r="B54" s="11"/>
      <c r="C54" s="35"/>
      <c r="D54" s="33"/>
      <c r="E54" s="35"/>
      <c r="F54" s="35"/>
      <c r="G54" s="154"/>
      <c r="H54" s="11"/>
      <c r="I54" s="155"/>
      <c r="J54" s="156"/>
      <c r="K54" s="11"/>
      <c r="L54" s="10"/>
      <c r="M54" s="245"/>
      <c r="N54" s="246"/>
      <c r="O54" s="75"/>
      <c r="P54" s="10"/>
    </row>
    <row r="55" spans="1:16" s="3" customFormat="1" ht="19.95" customHeight="1">
      <c r="A55" s="166" t="s">
        <v>191</v>
      </c>
      <c r="B55" s="11"/>
      <c r="C55" s="35"/>
      <c r="D55" s="33"/>
      <c r="E55" s="35"/>
      <c r="F55" s="35"/>
      <c r="G55" s="154"/>
      <c r="H55" s="11"/>
      <c r="I55" s="155"/>
      <c r="J55" s="156"/>
      <c r="K55" s="11"/>
      <c r="L55" s="10"/>
      <c r="M55" s="245"/>
      <c r="N55" s="246"/>
      <c r="O55" s="75"/>
      <c r="P55" s="10"/>
    </row>
    <row r="56" spans="1:16" s="3" customFormat="1" ht="19.95" customHeight="1">
      <c r="A56" s="166" t="s">
        <v>30</v>
      </c>
      <c r="B56" s="11"/>
      <c r="C56" s="35"/>
      <c r="D56" s="33"/>
      <c r="E56" s="35"/>
      <c r="F56" s="35"/>
      <c r="G56" s="154"/>
      <c r="H56" s="11"/>
      <c r="I56" s="155"/>
      <c r="J56" s="156"/>
      <c r="K56" s="11"/>
      <c r="L56" s="10"/>
      <c r="M56" s="245"/>
      <c r="N56" s="246"/>
      <c r="O56" s="75"/>
      <c r="P56" s="10"/>
    </row>
    <row r="57" spans="1:16" s="3" customFormat="1" ht="19.95" customHeight="1">
      <c r="A57" s="166" t="s">
        <v>196</v>
      </c>
      <c r="B57" s="11"/>
      <c r="C57" s="35"/>
      <c r="D57" s="33"/>
      <c r="E57" s="35"/>
      <c r="F57" s="35"/>
      <c r="G57" s="154"/>
      <c r="H57" s="11"/>
      <c r="I57" s="155"/>
      <c r="J57" s="156"/>
      <c r="K57" s="11"/>
      <c r="L57" s="10"/>
      <c r="M57" s="245"/>
      <c r="N57" s="246"/>
      <c r="O57" s="75"/>
      <c r="P57" s="10"/>
    </row>
    <row r="58" spans="1:16" s="3" customFormat="1" ht="19.95" customHeight="1">
      <c r="A58" s="166" t="s">
        <v>196</v>
      </c>
      <c r="B58" s="11"/>
      <c r="C58" s="35"/>
      <c r="D58" s="33"/>
      <c r="E58" s="35"/>
      <c r="F58" s="35"/>
      <c r="G58" s="154"/>
      <c r="H58" s="11"/>
      <c r="I58" s="155"/>
      <c r="J58" s="156"/>
      <c r="K58" s="11"/>
      <c r="L58" s="10"/>
      <c r="M58" s="245"/>
      <c r="N58" s="246"/>
      <c r="O58" s="75"/>
      <c r="P58" s="10"/>
    </row>
    <row r="59" spans="1:16" s="3" customFormat="1" ht="19.95" customHeight="1">
      <c r="A59" s="166" t="s">
        <v>30</v>
      </c>
      <c r="B59" s="11"/>
      <c r="C59" s="35"/>
      <c r="D59" s="33"/>
      <c r="E59" s="35"/>
      <c r="F59" s="35"/>
      <c r="G59" s="154"/>
      <c r="H59" s="11"/>
      <c r="I59" s="155"/>
      <c r="J59" s="156"/>
      <c r="K59" s="11"/>
      <c r="L59" s="10"/>
      <c r="M59" s="245"/>
      <c r="N59" s="246"/>
      <c r="O59" s="75"/>
      <c r="P59" s="10"/>
    </row>
    <row r="60" spans="1:16" s="5" customFormat="1" ht="19.95" customHeight="1">
      <c r="A60" s="173" t="s">
        <v>209</v>
      </c>
      <c r="B60" s="175"/>
      <c r="C60" s="176"/>
      <c r="D60" s="177"/>
      <c r="E60" s="176"/>
      <c r="F60" s="176"/>
      <c r="G60" s="174">
        <f>SUM(G44:G59)</f>
        <v>0</v>
      </c>
      <c r="H60" s="175"/>
      <c r="I60" s="178"/>
      <c r="J60" s="174">
        <f>SUM(J44:J59)</f>
        <v>0</v>
      </c>
      <c r="K60" s="175"/>
      <c r="L60" s="179"/>
      <c r="M60" s="245"/>
      <c r="N60" s="246"/>
      <c r="O60" s="180"/>
      <c r="P60" s="179"/>
    </row>
    <row r="61" spans="1:16" s="3" customFormat="1" ht="19.95" customHeight="1">
      <c r="A61" s="61" t="s">
        <v>29</v>
      </c>
      <c r="B61" s="61"/>
      <c r="C61" s="62"/>
      <c r="D61" s="62"/>
      <c r="E61" s="62"/>
      <c r="G61" s="69"/>
      <c r="H61" s="63"/>
      <c r="K61" s="68"/>
      <c r="L61" s="63"/>
      <c r="M61" s="64"/>
      <c r="N61" s="64"/>
      <c r="O61" s="64"/>
      <c r="P61" s="64"/>
    </row>
    <row r="62" spans="1:16" s="3" customFormat="1" ht="19.95" customHeight="1">
      <c r="A62" s="3" t="s">
        <v>220</v>
      </c>
      <c r="C62" s="126"/>
      <c r="D62" s="181" t="s">
        <v>212</v>
      </c>
      <c r="E62" s="181" t="s">
        <v>213</v>
      </c>
      <c r="F62" s="181" t="s">
        <v>214</v>
      </c>
      <c r="G62" s="181" t="s">
        <v>215</v>
      </c>
      <c r="H62" s="182" t="s">
        <v>216</v>
      </c>
      <c r="I62" s="183"/>
      <c r="K62" s="68"/>
      <c r="L62" s="63"/>
      <c r="M62" s="64"/>
      <c r="N62" s="64"/>
      <c r="O62" s="64"/>
      <c r="P62" s="64"/>
    </row>
    <row r="63" spans="1:16" s="3" customFormat="1" ht="19.95" customHeight="1">
      <c r="A63" s="5"/>
      <c r="B63" s="5"/>
      <c r="C63" s="126"/>
      <c r="D63" s="181" t="s">
        <v>217</v>
      </c>
      <c r="E63" s="184">
        <f>'[1]现金明细表E1-2'!$C$22+'[1]银行存款及其他货币资金明细表(仅人民币)E1-3'!$F$50</f>
        <v>0</v>
      </c>
      <c r="F63" s="184">
        <f>G40</f>
        <v>0</v>
      </c>
      <c r="G63" s="185" t="e">
        <f>ROUND(F63/E63,4)</f>
        <v>#DIV/0!</v>
      </c>
      <c r="H63" s="183"/>
      <c r="I63" s="183"/>
      <c r="K63" s="68"/>
      <c r="L63" s="63"/>
      <c r="M63" s="64"/>
      <c r="N63" s="64"/>
      <c r="O63" s="64"/>
      <c r="P63" s="64"/>
    </row>
    <row r="64" spans="1:16" s="3" customFormat="1" ht="19.95" customHeight="1">
      <c r="A64" s="5"/>
      <c r="B64" s="5"/>
      <c r="C64" s="126"/>
      <c r="D64" s="181" t="s">
        <v>218</v>
      </c>
      <c r="E64" s="184">
        <f>'[1]现金明细表E1-2'!$D$22+'[1]银行存款及其他货币资金明细表(仅人民币)E1-3'!$G$50</f>
        <v>0</v>
      </c>
      <c r="F64" s="184">
        <f>G60</f>
        <v>0</v>
      </c>
      <c r="G64" s="185" t="e">
        <f>ROUND(F64/E64,2)</f>
        <v>#DIV/0!</v>
      </c>
      <c r="H64" s="183"/>
      <c r="I64" s="183"/>
      <c r="K64" s="68"/>
      <c r="L64" s="63"/>
      <c r="M64" s="64"/>
      <c r="N64" s="64"/>
      <c r="O64" s="64"/>
      <c r="P64" s="64"/>
    </row>
    <row r="65" spans="1:17" s="3" customFormat="1" ht="19.95" customHeight="1">
      <c r="A65" s="29" t="s">
        <v>219</v>
      </c>
      <c r="B65" s="5"/>
      <c r="C65" s="126"/>
      <c r="D65" s="186"/>
      <c r="E65" s="187"/>
      <c r="F65" s="187"/>
      <c r="G65" s="188"/>
      <c r="H65" s="183"/>
      <c r="I65" s="183"/>
      <c r="K65" s="71"/>
      <c r="L65" s="84"/>
      <c r="M65" s="32"/>
      <c r="N65" s="32"/>
      <c r="O65" s="32"/>
      <c r="P65" s="32"/>
      <c r="Q65" s="82"/>
    </row>
    <row r="66" spans="1:17" s="5" customFormat="1" ht="19.95" customHeight="1">
      <c r="A66" s="5" t="s">
        <v>28</v>
      </c>
      <c r="G66" s="85"/>
      <c r="H66" s="82"/>
      <c r="K66" s="72"/>
      <c r="L66" s="84"/>
      <c r="M66" s="81"/>
      <c r="N66" s="81"/>
      <c r="O66" s="81"/>
      <c r="P66" s="81"/>
      <c r="Q66" s="82"/>
    </row>
    <row r="67" spans="1:17" s="3" customFormat="1" ht="19.95" customHeight="1">
      <c r="A67" s="136" t="s">
        <v>183</v>
      </c>
      <c r="G67" s="85"/>
      <c r="H67" s="82"/>
      <c r="K67" s="70"/>
      <c r="L67" s="84"/>
      <c r="M67" s="82"/>
      <c r="N67" s="82"/>
      <c r="O67" s="82"/>
      <c r="P67" s="82"/>
      <c r="Q67" s="82"/>
    </row>
    <row r="68" spans="1:17" s="3" customFormat="1" ht="29.4" customHeight="1">
      <c r="A68" s="236" t="s">
        <v>184</v>
      </c>
      <c r="B68" s="236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</row>
  </sheetData>
  <mergeCells count="69">
    <mergeCell ref="M60:N60"/>
    <mergeCell ref="M55:N55"/>
    <mergeCell ref="M56:N56"/>
    <mergeCell ref="M57:N57"/>
    <mergeCell ref="M58:N58"/>
    <mergeCell ref="M59:N59"/>
    <mergeCell ref="M50:N50"/>
    <mergeCell ref="M51:N51"/>
    <mergeCell ref="M52:N52"/>
    <mergeCell ref="M53:N53"/>
    <mergeCell ref="M54:N54"/>
    <mergeCell ref="M45:N45"/>
    <mergeCell ref="M46:N46"/>
    <mergeCell ref="M47:N47"/>
    <mergeCell ref="M48:N48"/>
    <mergeCell ref="M49:N49"/>
    <mergeCell ref="K38:M38"/>
    <mergeCell ref="K40:M40"/>
    <mergeCell ref="K39:M39"/>
    <mergeCell ref="M42:N43"/>
    <mergeCell ref="M44:N44"/>
    <mergeCell ref="K33:M33"/>
    <mergeCell ref="K34:M34"/>
    <mergeCell ref="K35:M35"/>
    <mergeCell ref="K36:M36"/>
    <mergeCell ref="K37:M37"/>
    <mergeCell ref="K28:M28"/>
    <mergeCell ref="K29:M29"/>
    <mergeCell ref="K30:M30"/>
    <mergeCell ref="K31:M31"/>
    <mergeCell ref="K32:M32"/>
    <mergeCell ref="A68:P68"/>
    <mergeCell ref="A1:P1"/>
    <mergeCell ref="A2:P2"/>
    <mergeCell ref="A16:A17"/>
    <mergeCell ref="C16:C17"/>
    <mergeCell ref="D16:D17"/>
    <mergeCell ref="E16:E17"/>
    <mergeCell ref="F16:F17"/>
    <mergeCell ref="B16:B17"/>
    <mergeCell ref="G16:G17"/>
    <mergeCell ref="H16:J16"/>
    <mergeCell ref="N16:N17"/>
    <mergeCell ref="O16:O17"/>
    <mergeCell ref="P16:P17"/>
    <mergeCell ref="A13:P13"/>
    <mergeCell ref="A14:P14"/>
    <mergeCell ref="O42:O43"/>
    <mergeCell ref="P42:P43"/>
    <mergeCell ref="F42:F43"/>
    <mergeCell ref="G42:G43"/>
    <mergeCell ref="H42:J42"/>
    <mergeCell ref="K42:L42"/>
    <mergeCell ref="K16:M17"/>
    <mergeCell ref="K18:M18"/>
    <mergeCell ref="A42:A43"/>
    <mergeCell ref="B42:B43"/>
    <mergeCell ref="C42:C43"/>
    <mergeCell ref="D42:D43"/>
    <mergeCell ref="E42:E43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</mergeCells>
  <phoneticPr fontId="4" type="noConversion"/>
  <dataValidations count="1">
    <dataValidation type="list" allowBlank="1" showInputMessage="1" showErrorMessage="1" sqref="P18:P40 P44:P60 L44:L60">
      <formula1>"是,否"</formula1>
    </dataValidation>
  </dataValidations>
  <hyperlinks>
    <hyperlink ref="P3" location="底稿目录!A1" display="底稿目录!A1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landscape" blackAndWhite="1" cellComments="atEnd" r:id="rId1"/>
  <headerFooter>
    <oddFooter>&amp;C&amp;P/&amp;N</oddFooter>
  </headerFooter>
  <rowBreaks count="1" manualBreakCount="1">
    <brk id="40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底稿目录</vt:lpstr>
      <vt:lpstr>企业信用报告信息查询记录E1-18</vt:lpstr>
      <vt:lpstr>企业信用报告信息与账面核对记录E1-19</vt:lpstr>
      <vt:lpstr>银行存款及其他货币资金应计利息测算E1-20</vt:lpstr>
      <vt:lpstr>银行存款截止测试表E1-21</vt:lpstr>
      <vt:lpstr>其他货币资金截止测试表E1-22</vt:lpstr>
      <vt:lpstr>货币资金收支检查情况表E1-23</vt:lpstr>
      <vt:lpstr>'货币资金收支检查情况表E1-23'!Print_Area</vt:lpstr>
      <vt:lpstr>'其他货币资金截止测试表E1-22'!Print_Area</vt:lpstr>
      <vt:lpstr>'企业信用报告信息查询记录E1-18'!Print_Area</vt:lpstr>
      <vt:lpstr>'企业信用报告信息与账面核对记录E1-19'!Print_Area</vt:lpstr>
      <vt:lpstr>'银行存款及其他货币资金应计利息测算E1-20'!Print_Area</vt:lpstr>
      <vt:lpstr>'银行存款截止测试表E1-21'!Print_Area</vt:lpstr>
      <vt:lpstr>'银行存款及其他货币资金应计利息测算E1-20'!Print_Titles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Juan 张娟</dc:creator>
  <cp:lastModifiedBy>何先琴</cp:lastModifiedBy>
  <cp:lastPrinted>2025-10-20T05:53:26Z</cp:lastPrinted>
  <dcterms:created xsi:type="dcterms:W3CDTF">2015-06-05T18:19:34Z</dcterms:created>
  <dcterms:modified xsi:type="dcterms:W3CDTF">2025-11-03T03:29:19Z</dcterms:modified>
</cp:coreProperties>
</file>