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5.底稿模板\2025年底稿修订\1.已修订底稿\2025年底稿模板-10.31\E 货币资金循环\"/>
    </mc:Choice>
  </mc:AlternateContent>
  <bookViews>
    <workbookView xWindow="-108" yWindow="-108" windowWidth="19416" windowHeight="10416"/>
  </bookViews>
  <sheets>
    <sheet name="底稿目录" sheetId="3" r:id="rId1"/>
    <sheet name="货币资金分析表E1-14" sheetId="2" r:id="rId2"/>
    <sheet name="利息收入月度分析E1-15" sheetId="5" r:id="rId3"/>
    <sheet name="货币资金分析表F1-6 (修订前)" sheetId="4" state="hidden" r:id="rId4"/>
  </sheets>
  <definedNames>
    <definedName name="_xlnm.Print_Area" localSheetId="1">'货币资金分析表E1-14'!$A$1:$K$50</definedName>
    <definedName name="_xlnm.Print_Area" localSheetId="3">'货币资金分析表F1-6 (修订前)'!$A$1:$K$71</definedName>
    <definedName name="_xlnm.Print_Area" localSheetId="2">'利息收入月度分析E1-15'!$A$1:$V$32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2" l="1"/>
  <c r="G39" i="2"/>
  <c r="F40" i="2"/>
  <c r="G40" i="2"/>
  <c r="F41" i="2"/>
  <c r="G41" i="2"/>
  <c r="H15" i="2" l="1"/>
  <c r="I15" i="2"/>
  <c r="K3" i="2" l="1"/>
  <c r="J28" i="2"/>
  <c r="J25" i="2"/>
  <c r="I25" i="2"/>
  <c r="I24" i="2"/>
  <c r="J24" i="2"/>
  <c r="I26" i="2"/>
  <c r="J26" i="2"/>
  <c r="I27" i="2"/>
  <c r="J27" i="2"/>
  <c r="H24" i="2"/>
  <c r="F28" i="2"/>
  <c r="H23" i="2"/>
  <c r="H25" i="2"/>
  <c r="H26" i="2"/>
  <c r="H27" i="2"/>
  <c r="H28" i="2"/>
  <c r="H22" i="2"/>
  <c r="F25" i="2"/>
  <c r="F23" i="2"/>
  <c r="F24" i="2"/>
  <c r="F26" i="2"/>
  <c r="F27" i="2"/>
  <c r="F22" i="2"/>
  <c r="C29" i="2"/>
  <c r="D29" i="2" s="1"/>
  <c r="E29" i="2"/>
  <c r="I29" i="2" s="1"/>
  <c r="D28" i="2"/>
  <c r="D23" i="2"/>
  <c r="D24" i="2"/>
  <c r="D25" i="2"/>
  <c r="D26" i="2"/>
  <c r="D27" i="2"/>
  <c r="D22" i="2"/>
  <c r="G29" i="2"/>
  <c r="J29" i="2" s="1"/>
  <c r="I28" i="2"/>
  <c r="J23" i="2"/>
  <c r="I23" i="2"/>
  <c r="J22" i="2"/>
  <c r="I22" i="2"/>
  <c r="F29" i="2" l="1"/>
  <c r="H29" i="2"/>
  <c r="G15" i="5" l="1"/>
  <c r="G16" i="5"/>
  <c r="G17" i="5"/>
  <c r="G18" i="5"/>
  <c r="G19" i="5"/>
  <c r="G20" i="5"/>
  <c r="G21" i="5"/>
  <c r="G22" i="5"/>
  <c r="G23" i="5"/>
  <c r="G24" i="5"/>
  <c r="G25" i="5"/>
  <c r="G14" i="5"/>
  <c r="D15" i="5"/>
  <c r="D16" i="5"/>
  <c r="D17" i="5"/>
  <c r="D18" i="5"/>
  <c r="D19" i="5"/>
  <c r="D20" i="5"/>
  <c r="D21" i="5"/>
  <c r="D22" i="5"/>
  <c r="D23" i="5"/>
  <c r="D24" i="5"/>
  <c r="D25" i="5"/>
  <c r="D14" i="5"/>
  <c r="T26" i="5"/>
  <c r="V3" i="5"/>
  <c r="Q15" i="5"/>
  <c r="Q16" i="5"/>
  <c r="Q17" i="5"/>
  <c r="Q18" i="5"/>
  <c r="Q19" i="5"/>
  <c r="Q20" i="5"/>
  <c r="Q21" i="5"/>
  <c r="Q22" i="5"/>
  <c r="Q23" i="5"/>
  <c r="Q24" i="5"/>
  <c r="Q25" i="5"/>
  <c r="Q14" i="5"/>
  <c r="L15" i="5"/>
  <c r="L16" i="5"/>
  <c r="L17" i="5"/>
  <c r="L18" i="5"/>
  <c r="L19" i="5"/>
  <c r="L20" i="5"/>
  <c r="L21" i="5"/>
  <c r="L22" i="5"/>
  <c r="L23" i="5"/>
  <c r="L24" i="5"/>
  <c r="L25" i="5"/>
  <c r="L14" i="5"/>
  <c r="O4" i="5"/>
  <c r="A4" i="5"/>
  <c r="H3" i="5"/>
  <c r="O3" i="5"/>
  <c r="H4" i="5"/>
  <c r="A3" i="5"/>
  <c r="S14" i="5" l="1"/>
  <c r="U14" i="5" s="1"/>
  <c r="S20" i="5"/>
  <c r="U20" i="5" s="1"/>
  <c r="G26" i="5"/>
  <c r="Q26" i="5"/>
  <c r="L26" i="5"/>
  <c r="D26" i="5"/>
  <c r="S17" i="5"/>
  <c r="U17" i="5" s="1"/>
  <c r="S16" i="5"/>
  <c r="U16" i="5" s="1"/>
  <c r="S18" i="5"/>
  <c r="U18" i="5" s="1"/>
  <c r="S25" i="5"/>
  <c r="U25" i="5" s="1"/>
  <c r="S22" i="5"/>
  <c r="U22" i="5" s="1"/>
  <c r="S24" i="5"/>
  <c r="U24" i="5" s="1"/>
  <c r="S19" i="5"/>
  <c r="U19" i="5" s="1"/>
  <c r="S15" i="5"/>
  <c r="U15" i="5" s="1"/>
  <c r="S21" i="5"/>
  <c r="U21" i="5" s="1"/>
  <c r="S23" i="5"/>
  <c r="U23" i="5" s="1"/>
  <c r="F34" i="2"/>
  <c r="G34" i="2"/>
  <c r="G36" i="2"/>
  <c r="F36" i="2"/>
  <c r="F37" i="2"/>
  <c r="G37" i="2"/>
  <c r="F38" i="2"/>
  <c r="G38" i="2"/>
  <c r="S26" i="5" l="1"/>
  <c r="U26" i="5"/>
  <c r="H50" i="4" l="1"/>
  <c r="H53" i="4" s="1"/>
  <c r="H55" i="4" s="1"/>
  <c r="J43" i="4"/>
  <c r="I43" i="4"/>
  <c r="D43" i="4"/>
  <c r="C43" i="4"/>
  <c r="J35" i="4"/>
  <c r="I35" i="4"/>
  <c r="D35" i="4"/>
  <c r="C35" i="4"/>
  <c r="C44" i="4" s="1"/>
  <c r="G28" i="4"/>
  <c r="F28" i="4"/>
  <c r="G27" i="4"/>
  <c r="F27" i="4"/>
  <c r="G26" i="4"/>
  <c r="F26" i="4"/>
  <c r="G25" i="4"/>
  <c r="F25" i="4"/>
  <c r="G24" i="4"/>
  <c r="F24" i="4"/>
  <c r="E23" i="4"/>
  <c r="D23" i="4"/>
  <c r="C23" i="4"/>
  <c r="G21" i="4"/>
  <c r="J21" i="4" s="1"/>
  <c r="E21" i="4"/>
  <c r="F21" i="4" s="1"/>
  <c r="C21" i="4"/>
  <c r="D21" i="4" s="1"/>
  <c r="J20" i="4"/>
  <c r="I20" i="4"/>
  <c r="H20" i="4"/>
  <c r="F20" i="4"/>
  <c r="D20" i="4"/>
  <c r="J19" i="4"/>
  <c r="I19" i="4"/>
  <c r="H19" i="4"/>
  <c r="F19" i="4"/>
  <c r="D19" i="4"/>
  <c r="J18" i="4"/>
  <c r="I18" i="4"/>
  <c r="H18" i="4"/>
  <c r="F18" i="4"/>
  <c r="D18" i="4"/>
  <c r="H4" i="4"/>
  <c r="D4" i="4"/>
  <c r="A4" i="4"/>
  <c r="H3" i="4"/>
  <c r="D3" i="4"/>
  <c r="A3" i="4"/>
  <c r="I21" i="4" l="1"/>
  <c r="H21" i="4"/>
  <c r="D44" i="4"/>
  <c r="I44" i="4"/>
  <c r="J44" i="4"/>
  <c r="H4" i="2"/>
  <c r="D4" i="2"/>
  <c r="A4" i="2"/>
  <c r="H3" i="2"/>
  <c r="D3" i="2"/>
  <c r="A3" i="2"/>
  <c r="F15" i="2" l="1"/>
  <c r="J15" i="2"/>
  <c r="D16" i="2"/>
  <c r="F16" i="2"/>
  <c r="H16" i="2"/>
  <c r="I16" i="2"/>
  <c r="J16" i="2"/>
  <c r="C18" i="2"/>
  <c r="D18" i="2" s="1"/>
  <c r="F17" i="2"/>
  <c r="H17" i="2"/>
  <c r="I17" i="2"/>
  <c r="J17" i="2"/>
  <c r="E18" i="2"/>
  <c r="I18" i="2" s="1"/>
  <c r="G18" i="2"/>
  <c r="H18" i="2" s="1"/>
  <c r="C33" i="2"/>
  <c r="D33" i="2"/>
  <c r="E33" i="2"/>
  <c r="F35" i="2"/>
  <c r="G35" i="2"/>
  <c r="F18" i="2" l="1"/>
  <c r="D15" i="2"/>
  <c r="D17" i="2"/>
  <c r="J18" i="2"/>
</calcChain>
</file>

<file path=xl/comments1.xml><?xml version="1.0" encoding="utf-8"?>
<comments xmlns="http://schemas.openxmlformats.org/spreadsheetml/2006/main">
  <authors>
    <author>Windows 用户</author>
  </authors>
  <commentList>
    <comment ref="B40" authorId="0" shapeId="0">
      <text>
        <r>
          <rPr>
            <b/>
            <sz val="9"/>
            <color indexed="81"/>
            <rFont val="宋体"/>
            <family val="3"/>
            <charset val="134"/>
          </rPr>
          <t>Windows 用户:</t>
        </r>
        <r>
          <rPr>
            <sz val="9"/>
            <color indexed="81"/>
            <rFont val="宋体"/>
            <family val="3"/>
            <charset val="134"/>
          </rPr>
          <t xml:space="preserve">
如果定期存款占银行存款的比例偏高，或同时负债比例偏高，注册会计师需要向管理层询问定期存款存在的商业理由并评估其合理性；</t>
        </r>
      </text>
    </comment>
  </commentList>
</comments>
</file>

<file path=xl/sharedStrings.xml><?xml version="1.0" encoding="utf-8"?>
<sst xmlns="http://schemas.openxmlformats.org/spreadsheetml/2006/main" count="297" uniqueCount="218">
  <si>
    <r>
      <rPr>
        <sz val="10"/>
        <color indexed="12"/>
        <rFont val="宋体"/>
        <family val="3"/>
        <charset val="134"/>
      </rPr>
      <t>由于存在以下重大未调整事项（或审计范围受到限制无法获取充分、适当证据），不可确认。</t>
    </r>
  </si>
  <si>
    <r>
      <t>C</t>
    </r>
    <r>
      <rPr>
        <sz val="10"/>
        <color indexed="12"/>
        <rFont val="宋体"/>
        <family val="3"/>
        <charset val="134"/>
      </rPr>
      <t>、</t>
    </r>
  </si>
  <si>
    <r>
      <rPr>
        <sz val="10"/>
        <color indexed="12"/>
        <rFont val="宋体"/>
        <family val="3"/>
        <charset val="134"/>
      </rPr>
      <t>除以下重大不符事项应当作为调整事项予以调整外，其余未见异常。</t>
    </r>
  </si>
  <si>
    <r>
      <t>B</t>
    </r>
    <r>
      <rPr>
        <sz val="10"/>
        <color indexed="12"/>
        <rFont val="宋体"/>
        <family val="3"/>
        <charset val="134"/>
      </rPr>
      <t>、</t>
    </r>
  </si>
  <si>
    <r>
      <rPr>
        <sz val="10"/>
        <color indexed="12"/>
        <rFont val="宋体"/>
        <family val="3"/>
        <charset val="134"/>
      </rPr>
      <t>未见异常。</t>
    </r>
  </si>
  <si>
    <r>
      <t>A</t>
    </r>
    <r>
      <rPr>
        <sz val="10"/>
        <color indexed="12"/>
        <rFont val="宋体"/>
        <family val="3"/>
        <charset val="134"/>
      </rPr>
      <t>、</t>
    </r>
  </si>
  <si>
    <t>二、参考结论：</t>
    <phoneticPr fontId="9" type="noConversion"/>
  </si>
  <si>
    <r>
      <t>（9</t>
    </r>
    <r>
      <rPr>
        <sz val="10"/>
        <rFont val="宋体"/>
        <family val="3"/>
        <charset val="134"/>
      </rPr>
      <t>）关注被审计单位是否在财务报表附注中对定期存款及其受限情况（如有）给予充分披露。</t>
    </r>
  </si>
  <si>
    <r>
      <t>（8</t>
    </r>
    <r>
      <rPr>
        <sz val="10"/>
        <rFont val="宋体"/>
        <family val="3"/>
        <charset val="134"/>
      </rPr>
      <t>）对于在报告期内到期结转的定期存款、资产负债表日后已提取的定期存款，检查、核对相应的兑付凭证、银行对账单或网银记录等；</t>
    </r>
  </si>
  <si>
    <r>
      <t>（7</t>
    </r>
    <r>
      <rPr>
        <sz val="10"/>
        <rFont val="宋体"/>
        <family val="3"/>
        <charset val="134"/>
      </rPr>
      <t>）结合财务费用和投资收益审计，分析利息收入的合理性，判断定期存款是否真实存在，或是否存在体外资金循环的情形。如果账面利息收入远大于根据定期存款计算应得利息，很可能表明被审计单位存在账外定期存款。如果账面利息收入远小于根据定期存款计算的应得利息，很可能表明被审计单位存在转移利息收入、或挪用、虚构定期存款情况；</t>
    </r>
  </si>
  <si>
    <r>
      <t>（6</t>
    </r>
    <r>
      <rPr>
        <sz val="10"/>
        <rFont val="宋体"/>
        <family val="3"/>
        <charset val="134"/>
      </rPr>
      <t>）函证定期存款相关信息，按照《中国注册会计师审计准则第</t>
    </r>
    <r>
      <rPr>
        <sz val="10"/>
        <rFont val="Arial Narrow"/>
        <family val="2"/>
      </rPr>
      <t>1312</t>
    </r>
    <r>
      <rPr>
        <sz val="10"/>
        <rFont val="宋体"/>
        <family val="3"/>
        <charset val="134"/>
      </rPr>
      <t>号</t>
    </r>
    <r>
      <rPr>
        <sz val="10"/>
        <rFont val="Arial Narrow"/>
        <family val="2"/>
      </rPr>
      <t>--</t>
    </r>
    <r>
      <rPr>
        <sz val="10"/>
        <rFont val="宋体"/>
        <family val="3"/>
        <charset val="134"/>
      </rPr>
      <t>函证》的要求实施函证程序；</t>
    </r>
  </si>
  <si>
    <r>
      <t>（5</t>
    </r>
    <r>
      <rPr>
        <sz val="10"/>
        <rFont val="宋体"/>
        <family val="3"/>
        <charset val="134"/>
      </rPr>
      <t>）对已质押的定期存款，检查定期存单复印件，并与相应的质押合同核对，核对存款人、金额、期限等相关信息。对于质押借款的定期存单，关注定期存单对应的质押借款有无入账，对于超过借款期限但仍处于质押状态的定期存款，还应关注相关借款的偿还情况，了解相关质权是否已被行使；对于为他人担保的定期存单，关注担保是否逾期及相关质权是否已被行使；</t>
    </r>
  </si>
  <si>
    <r>
      <t>（4</t>
    </r>
    <r>
      <rPr>
        <sz val="10"/>
        <rFont val="宋体"/>
        <family val="3"/>
        <charset val="134"/>
      </rPr>
      <t>）对存款期限跨越审计基准日的未质押的定期存款，检查开户证实书原件而非复印件，以防止被审计单位提供的复印件是未质押或未提现前原件的复印件，特别关注被审计单位在定期存单到期之前，是否存在先质押贷款或提前套现，再用质押贷款所得货币资金或套取的货币资金虚增收入、或挪作他用或从事其他违规业务。在检查时，还要认真核对相关信息，包括存款人、金额、期限等，如有异常，需实施进一步审计程序；</t>
    </r>
  </si>
  <si>
    <r>
      <t>（3</t>
    </r>
    <r>
      <rPr>
        <sz val="10"/>
        <rFont val="宋体"/>
        <family val="3"/>
        <charset val="134"/>
      </rPr>
      <t>）在监盘库存现金的同时，监盘定期存款凭据，或实地观察被审计单位登录网银系统查询定期存款信息并将查询信息截屏保存。如果被审计单位在资产负债表日有大额定期存款，基于对风险的判断考虑选择在资产负债表日实施监盘；</t>
    </r>
  </si>
  <si>
    <r>
      <t>（2</t>
    </r>
    <r>
      <rPr>
        <sz val="10"/>
        <rFont val="宋体"/>
        <family val="3"/>
        <charset val="134"/>
      </rPr>
      <t>）获取定期存款明细表，检查是否与账面记录金额一致，存款人是否为被审计单位，定期存款是否被质押或限制使用；</t>
    </r>
  </si>
  <si>
    <r>
      <t>（1</t>
    </r>
    <r>
      <rPr>
        <sz val="10"/>
        <rFont val="宋体"/>
        <family val="3"/>
        <charset val="134"/>
      </rPr>
      <t>）如果定期存款占银行存款的比例偏高，或同时负债比例偏高，注册会计师需要向管理层询问定期存款存在的商业理由并评估其合理性；</t>
    </r>
  </si>
  <si>
    <t>如果被审计单位有定期存款，注册会计师可以考虑实施以下审计程序：</t>
  </si>
  <si>
    <t>一、编制说明：</t>
    <phoneticPr fontId="9" type="noConversion"/>
  </si>
  <si>
    <r>
      <rPr>
        <b/>
        <sz val="10"/>
        <rFont val="宋体"/>
        <family val="3"/>
        <charset val="134"/>
      </rPr>
      <t>四、审计结论：</t>
    </r>
    <phoneticPr fontId="9" type="noConversion"/>
  </si>
  <si>
    <t>确认银行存款余额是否存在，利息收入是否已经完整记录，判断是否存在体外资金循环的情形。</t>
    <phoneticPr fontId="9" type="noConversion"/>
  </si>
  <si>
    <t>银行存款年度借贷方发生额与经营活动、筹资活动、投资活动的现金流量是否匹配；</t>
    <phoneticPr fontId="9" type="noConversion"/>
  </si>
  <si>
    <t>定期存款及存放于非银行金融机构、外埠存款、存出投资款等资金的安全性；</t>
    <phoneticPr fontId="9" type="noConversion"/>
  </si>
  <si>
    <t>是否存在“存贷双高”现象，及其原因；</t>
    <phoneticPr fontId="9" type="noConversion"/>
  </si>
  <si>
    <t>货币资金期初、期末的变化与被审计单位融资政策是否一致；</t>
    <phoneticPr fontId="9" type="noConversion"/>
  </si>
  <si>
    <r>
      <rPr>
        <b/>
        <sz val="10"/>
        <rFont val="宋体"/>
        <family val="3"/>
        <charset val="134"/>
      </rPr>
      <t>三、审计说明：</t>
    </r>
    <phoneticPr fontId="9" type="noConversion"/>
  </si>
  <si>
    <t>本期是否存在销户情况，销户原因是否合理？</t>
    <phoneticPr fontId="9" type="noConversion"/>
  </si>
  <si>
    <t>账户数量是否与业务规模、业务实际需要相匹配？</t>
    <phoneticPr fontId="9" type="noConversion"/>
  </si>
  <si>
    <t>账户数量及销户情况分析</t>
    <phoneticPr fontId="9" type="noConversion"/>
  </si>
  <si>
    <t>（五）</t>
    <phoneticPr fontId="9" type="noConversion"/>
  </si>
  <si>
    <t>财务费用-利息收入核算银行存款利息收入和按CAS 14（2017）核算的利息收入，其他金融资产利息收入在投资收益列示。</t>
    <phoneticPr fontId="9" type="noConversion"/>
  </si>
  <si>
    <t>差异</t>
    <phoneticPr fontId="9" type="noConversion"/>
  </si>
  <si>
    <t>财务费用-利息收入</t>
    <phoneticPr fontId="9" type="noConversion"/>
  </si>
  <si>
    <t>合计</t>
    <phoneticPr fontId="9" type="noConversion"/>
  </si>
  <si>
    <t>重大融资成分</t>
    <phoneticPr fontId="9" type="noConversion"/>
  </si>
  <si>
    <t>定期存款</t>
    <phoneticPr fontId="9" type="noConversion"/>
  </si>
  <si>
    <t>活期存款</t>
    <phoneticPr fontId="9" type="noConversion"/>
  </si>
  <si>
    <r>
      <rPr>
        <b/>
        <sz val="10"/>
        <rFont val="宋体"/>
        <family val="3"/>
        <charset val="134"/>
      </rPr>
      <t>备注</t>
    </r>
    <phoneticPr fontId="9" type="noConversion"/>
  </si>
  <si>
    <t>应计利息</t>
    <phoneticPr fontId="14" type="noConversion"/>
  </si>
  <si>
    <t>日利率</t>
    <phoneticPr fontId="14" type="noConversion"/>
  </si>
  <si>
    <t>应计利息天数</t>
    <phoneticPr fontId="14" type="noConversion"/>
  </si>
  <si>
    <t>截止日</t>
    <phoneticPr fontId="14" type="noConversion"/>
  </si>
  <si>
    <t>起息日</t>
    <phoneticPr fontId="14" type="noConversion"/>
  </si>
  <si>
    <t>金额</t>
    <phoneticPr fontId="14" type="noConversion"/>
  </si>
  <si>
    <t>利息收入来源</t>
    <phoneticPr fontId="14" type="noConversion"/>
  </si>
  <si>
    <t>定期存款利息测算：1、取得定期存款明细；2、按定期存款利率（或活期存款利率）及存期测算定期存款利息。</t>
    <phoneticPr fontId="9" type="noConversion"/>
  </si>
  <si>
    <t>活期存款利息测算：1、取得活期银行存款每日余额；2、按活期银行存款日利率测算每日利息；累计每日利息得到活期存款本期应计利息。</t>
    <phoneticPr fontId="9" type="noConversion"/>
  </si>
  <si>
    <t>存款规模与利息收入匹配性分析</t>
    <phoneticPr fontId="9" type="noConversion"/>
  </si>
  <si>
    <t>（四）</t>
    <phoneticPr fontId="9" type="noConversion"/>
  </si>
  <si>
    <t>3、差异</t>
    <phoneticPr fontId="9" type="noConversion"/>
  </si>
  <si>
    <r>
      <rPr>
        <sz val="10"/>
        <rFont val="等线"/>
        <family val="3"/>
        <charset val="134"/>
        <scheme val="minor"/>
      </rPr>
      <t>应计入流出现金流量额</t>
    </r>
    <phoneticPr fontId="9" type="noConversion"/>
  </si>
  <si>
    <r>
      <rPr>
        <sz val="10"/>
        <rFont val="宋体"/>
        <family val="3"/>
        <charset val="134"/>
      </rPr>
      <t>应计入流入现金流量额</t>
    </r>
    <phoneticPr fontId="9" type="noConversion"/>
  </si>
  <si>
    <r>
      <rPr>
        <sz val="10"/>
        <rFont val="等线"/>
        <family val="3"/>
        <charset val="134"/>
        <scheme val="minor"/>
      </rPr>
      <t>减：提取现金</t>
    </r>
    <phoneticPr fontId="9" type="noConversion"/>
  </si>
  <si>
    <r>
      <rPr>
        <sz val="10"/>
        <rFont val="宋体"/>
        <family val="3"/>
        <charset val="134"/>
      </rPr>
      <t>减：现金转存</t>
    </r>
    <phoneticPr fontId="9" type="noConversion"/>
  </si>
  <si>
    <r>
      <rPr>
        <sz val="10"/>
        <rFont val="等线"/>
        <family val="3"/>
        <charset val="134"/>
        <scheme val="minor"/>
      </rPr>
      <t>减：银行存款跨行转账发生额</t>
    </r>
    <phoneticPr fontId="9" type="noConversion"/>
  </si>
  <si>
    <r>
      <rPr>
        <sz val="10"/>
        <rFont val="宋体"/>
        <family val="3"/>
        <charset val="134"/>
      </rPr>
      <t>减：银行存款跨行转账发生额</t>
    </r>
    <phoneticPr fontId="9" type="noConversion"/>
  </si>
  <si>
    <r>
      <rPr>
        <sz val="10"/>
        <rFont val="等线"/>
        <family val="3"/>
        <charset val="134"/>
        <scheme val="minor"/>
      </rPr>
      <t>贷方发生总额</t>
    </r>
    <phoneticPr fontId="9" type="noConversion"/>
  </si>
  <si>
    <r>
      <rPr>
        <sz val="10"/>
        <rFont val="宋体"/>
        <family val="3"/>
        <charset val="134"/>
      </rPr>
      <t>借方发生总额</t>
    </r>
    <phoneticPr fontId="9" type="noConversion"/>
  </si>
  <si>
    <t>2、银行存款贷方</t>
    <phoneticPr fontId="9" type="noConversion"/>
  </si>
  <si>
    <t>2、银行存款借方</t>
    <phoneticPr fontId="9" type="noConversion"/>
  </si>
  <si>
    <t xml:space="preserve">     投资活动</t>
    <phoneticPr fontId="9" type="noConversion"/>
  </si>
  <si>
    <t xml:space="preserve">     筹资活动</t>
    <phoneticPr fontId="9" type="noConversion"/>
  </si>
  <si>
    <t>其中：经营活动</t>
    <phoneticPr fontId="9" type="noConversion"/>
  </si>
  <si>
    <t>1、现金流出</t>
    <phoneticPr fontId="9" type="noConversion"/>
  </si>
  <si>
    <t>1、现金流入</t>
    <phoneticPr fontId="9" type="noConversion"/>
  </si>
  <si>
    <t>上期金额</t>
    <phoneticPr fontId="9" type="noConversion"/>
  </si>
  <si>
    <t>本期金额</t>
    <phoneticPr fontId="9" type="noConversion"/>
  </si>
  <si>
    <r>
      <rPr>
        <b/>
        <sz val="10"/>
        <rFont val="宋体"/>
        <family val="3"/>
        <charset val="134"/>
      </rPr>
      <t>项目</t>
    </r>
    <phoneticPr fontId="9" type="noConversion"/>
  </si>
  <si>
    <t>备注</t>
    <phoneticPr fontId="9" type="noConversion"/>
  </si>
  <si>
    <r>
      <rPr>
        <b/>
        <sz val="10"/>
        <rFont val="宋体"/>
        <family val="3"/>
        <charset val="134"/>
      </rPr>
      <t>流出分析</t>
    </r>
    <phoneticPr fontId="9" type="noConversion"/>
  </si>
  <si>
    <r>
      <rPr>
        <b/>
        <sz val="10"/>
        <rFont val="宋体"/>
        <family val="3"/>
        <charset val="134"/>
      </rPr>
      <t>流入分析</t>
    </r>
    <phoneticPr fontId="9" type="noConversion"/>
  </si>
  <si>
    <t>银行存款发生额与经营活动、筹资活动、投资活动的现金流量匹配分析</t>
    <phoneticPr fontId="9" type="noConversion"/>
  </si>
  <si>
    <t>（三）</t>
    <phoneticPr fontId="9" type="noConversion"/>
  </si>
  <si>
    <t>货币资金余额持续较高、“存贷双高”（若存在）的合理性？</t>
    <phoneticPr fontId="9" type="noConversion"/>
  </si>
  <si>
    <t>定期存款的商业理由及合理性？</t>
    <phoneticPr fontId="9" type="noConversion"/>
  </si>
  <si>
    <t>（外埠存款+存出投资款）÷货币资金</t>
    <phoneticPr fontId="14" type="noConversion"/>
  </si>
  <si>
    <t>（定期存款+存放于非银行金融机构的存款）÷银行存款</t>
    <phoneticPr fontId="14" type="noConversion"/>
  </si>
  <si>
    <r>
      <rPr>
        <sz val="10"/>
        <rFont val="宋体"/>
        <family val="3"/>
        <charset val="134"/>
      </rPr>
      <t>负债总额</t>
    </r>
    <r>
      <rPr>
        <sz val="10"/>
        <rFont val="Arial Narrow"/>
        <family val="2"/>
      </rPr>
      <t>÷</t>
    </r>
    <r>
      <rPr>
        <sz val="10"/>
        <rFont val="宋体"/>
        <family val="3"/>
        <charset val="134"/>
      </rPr>
      <t>资产总额</t>
    </r>
    <phoneticPr fontId="14" type="noConversion"/>
  </si>
  <si>
    <t>定期存款÷银行存款</t>
    <phoneticPr fontId="14" type="noConversion"/>
  </si>
  <si>
    <t>银行存款÷资产总额</t>
    <phoneticPr fontId="14" type="noConversion"/>
  </si>
  <si>
    <t>差异原因及合理性解释</t>
    <phoneticPr fontId="9" type="noConversion"/>
  </si>
  <si>
    <t>上期变动</t>
    <phoneticPr fontId="14" type="noConversion"/>
  </si>
  <si>
    <t>本期变动</t>
    <phoneticPr fontId="14" type="noConversion"/>
  </si>
  <si>
    <t>项目</t>
    <phoneticPr fontId="14" type="noConversion"/>
  </si>
  <si>
    <t>序号</t>
    <phoneticPr fontId="14" type="noConversion"/>
  </si>
  <si>
    <t>货币资金项目比例分析表</t>
    <phoneticPr fontId="9" type="noConversion"/>
  </si>
  <si>
    <t>（二）</t>
    <phoneticPr fontId="9" type="noConversion"/>
  </si>
  <si>
    <t>合计</t>
    <phoneticPr fontId="14" type="noConversion"/>
  </si>
  <si>
    <t>其他货币资金</t>
    <phoneticPr fontId="14" type="noConversion"/>
  </si>
  <si>
    <t>银行存款</t>
    <phoneticPr fontId="14" type="noConversion"/>
  </si>
  <si>
    <t>库存现金</t>
    <phoneticPr fontId="14" type="noConversion"/>
  </si>
  <si>
    <t>结构比</t>
  </si>
  <si>
    <t>金额</t>
  </si>
  <si>
    <t>变动原因</t>
    <phoneticPr fontId="14" type="noConversion"/>
  </si>
  <si>
    <t>变动情况</t>
    <phoneticPr fontId="14" type="noConversion"/>
  </si>
  <si>
    <t>货币资金项目</t>
    <phoneticPr fontId="14" type="noConversion"/>
  </si>
  <si>
    <t>货币资金构成分析表</t>
    <phoneticPr fontId="9" type="noConversion"/>
  </si>
  <si>
    <t>（一）</t>
    <phoneticPr fontId="9" type="noConversion"/>
  </si>
  <si>
    <t>比较银行存款年度借贷方发生额与经营活动、筹资活动、投资活动的现金流量是否匹配；若银行存款的发生额与经营活动产生的现金流量不匹配，应进一步查明原因，并获取相关支持文件。</t>
    <phoneticPr fontId="9" type="noConversion"/>
  </si>
  <si>
    <t>结合对利息收入和银行手续费的审计，分析被审计单位货币资金余额和交易的合理性。</t>
  </si>
  <si>
    <t>计算外埠存款、存出投资款占货币资金的比例，分析这些其他货币资金的安全性。</t>
    <phoneticPr fontId="14" type="noConversion"/>
  </si>
  <si>
    <t>计算定期存款及存放于非银行金融机构的存款占银行存款的比例，分析这些资金的安全性，注意被审计单位是否存在高息资金拆借。</t>
    <phoneticPr fontId="14" type="noConversion"/>
  </si>
  <si>
    <t>计算银行存款占资产总额、定期存款占银行存款的比例；若二者比例偏高，或二者比例偏高的同时，负债比例偏高或金额偏大，则应进一步了解银行存款或定期存款比例偏高的原因，并取得相应支持文件。</t>
  </si>
  <si>
    <t>比较期初、期末货币资金余额（现金、银行存款、其他货币资金），了解被审计单位融资政策等，分析其变动原因，必要时与客户适当人员讨论。</t>
    <phoneticPr fontId="9" type="noConversion"/>
  </si>
  <si>
    <r>
      <rPr>
        <b/>
        <sz val="10"/>
        <rFont val="宋体"/>
        <family val="3"/>
        <charset val="134"/>
      </rPr>
      <t>二、审计过程：</t>
    </r>
    <phoneticPr fontId="9" type="noConversion"/>
  </si>
  <si>
    <t>比较银行存款年度借贷方发生额与经营活动、筹资活动、投资活动的现金流量是否匹配，并分析原因。</t>
    <phoneticPr fontId="9" type="noConversion"/>
  </si>
  <si>
    <t>比较期初、期末银行存款余额，分析其变动原因。</t>
    <phoneticPr fontId="9" type="noConversion"/>
  </si>
  <si>
    <r>
      <rPr>
        <b/>
        <sz val="10"/>
        <color indexed="8"/>
        <rFont val="宋体"/>
        <family val="3"/>
        <charset val="134"/>
      </rPr>
      <t>一、审计目标</t>
    </r>
    <r>
      <rPr>
        <b/>
        <sz val="10"/>
        <color indexed="8"/>
        <rFont val="Arial Narrow"/>
        <family val="2"/>
      </rPr>
      <t>:</t>
    </r>
    <phoneticPr fontId="21" type="noConversion"/>
  </si>
  <si>
    <r>
      <rPr>
        <sz val="10"/>
        <rFont val="宋体"/>
        <family val="3"/>
        <charset val="134"/>
      </rPr>
      <t>页</t>
    </r>
    <r>
      <rPr>
        <sz val="10"/>
        <rFont val="Arial Narrow"/>
        <family val="2"/>
      </rPr>
      <t xml:space="preserve">    </t>
    </r>
    <r>
      <rPr>
        <sz val="10"/>
        <rFont val="宋体"/>
        <family val="3"/>
        <charset val="134"/>
      </rPr>
      <t>次：</t>
    </r>
    <phoneticPr fontId="9" type="noConversion"/>
  </si>
  <si>
    <t>F1-6</t>
    <phoneticPr fontId="9" type="noConversion"/>
  </si>
  <si>
    <r>
      <rPr>
        <sz val="10"/>
        <rFont val="宋体"/>
        <family val="3"/>
        <charset val="134"/>
      </rPr>
      <t>索引号：</t>
    </r>
    <phoneticPr fontId="9" type="noConversion"/>
  </si>
  <si>
    <t>货币资金分析表</t>
    <phoneticPr fontId="9" type="noConversion"/>
  </si>
  <si>
    <t>致同会计师事务所</t>
  </si>
  <si>
    <t>序号</t>
  </si>
  <si>
    <t>内容</t>
  </si>
  <si>
    <t>索引号</t>
  </si>
  <si>
    <t>备注</t>
  </si>
  <si>
    <t>货币资金分析表</t>
    <phoneticPr fontId="14" type="noConversion"/>
  </si>
  <si>
    <t>移到现金流量表</t>
    <phoneticPr fontId="2" type="noConversion"/>
  </si>
  <si>
    <t>删除</t>
    <phoneticPr fontId="2" type="noConversion"/>
  </si>
  <si>
    <t>…</t>
    <phoneticPr fontId="14" type="noConversion"/>
  </si>
  <si>
    <t>——</t>
    <phoneticPr fontId="14" type="noConversion"/>
  </si>
  <si>
    <t>利息收入月度分析</t>
    <phoneticPr fontId="9" type="noConversion"/>
  </si>
  <si>
    <t>利息收入月度分析</t>
    <phoneticPr fontId="14" type="noConversion"/>
  </si>
  <si>
    <t>自定义底稿</t>
    <phoneticPr fontId="14" type="noConversion"/>
  </si>
  <si>
    <r>
      <rPr>
        <sz val="11"/>
        <color theme="1"/>
        <rFont val="宋体"/>
        <family val="3"/>
        <charset val="134"/>
      </rPr>
      <t>索引号：</t>
    </r>
    <phoneticPr fontId="14" type="noConversion"/>
  </si>
  <si>
    <r>
      <rPr>
        <sz val="11"/>
        <color theme="1"/>
        <rFont val="宋体"/>
        <family val="3"/>
        <charset val="134"/>
      </rPr>
      <t>页次：</t>
    </r>
    <phoneticPr fontId="14" type="noConversion"/>
  </si>
  <si>
    <r>
      <rPr>
        <b/>
        <sz val="10"/>
        <rFont val="宋体"/>
        <family val="3"/>
        <charset val="134"/>
      </rPr>
      <t>月份</t>
    </r>
    <phoneticPr fontId="14" type="noConversion"/>
  </si>
  <si>
    <r>
      <rPr>
        <b/>
        <sz val="10"/>
        <rFont val="宋体"/>
        <family val="3"/>
        <charset val="134"/>
      </rPr>
      <t>活期存款</t>
    </r>
    <phoneticPr fontId="14" type="noConversion"/>
  </si>
  <si>
    <r>
      <rPr>
        <b/>
        <sz val="10"/>
        <rFont val="宋体"/>
        <family val="3"/>
        <charset val="134"/>
      </rPr>
      <t>七天通知存款</t>
    </r>
    <phoneticPr fontId="14" type="noConversion"/>
  </si>
  <si>
    <r>
      <rPr>
        <b/>
        <sz val="10"/>
        <rFont val="宋体"/>
        <family val="3"/>
        <charset val="134"/>
      </rPr>
      <t>大额存单</t>
    </r>
    <phoneticPr fontId="14" type="noConversion"/>
  </si>
  <si>
    <r>
      <rPr>
        <b/>
        <sz val="10"/>
        <rFont val="宋体"/>
        <family val="3"/>
        <charset val="134"/>
      </rPr>
      <t>利息收入合计</t>
    </r>
    <phoneticPr fontId="14" type="noConversion"/>
  </si>
  <si>
    <r>
      <rPr>
        <b/>
        <sz val="10"/>
        <rFont val="宋体"/>
        <family val="3"/>
        <charset val="134"/>
      </rPr>
      <t>差异</t>
    </r>
    <phoneticPr fontId="14" type="noConversion"/>
  </si>
  <si>
    <r>
      <rPr>
        <b/>
        <sz val="10"/>
        <rFont val="宋体"/>
        <family val="3"/>
        <charset val="134"/>
      </rPr>
      <t>备注</t>
    </r>
    <phoneticPr fontId="14" type="noConversion"/>
  </si>
  <si>
    <r>
      <t>XX</t>
    </r>
    <r>
      <rPr>
        <b/>
        <sz val="10"/>
        <rFont val="宋体"/>
        <family val="3"/>
        <charset val="134"/>
      </rPr>
      <t>银行</t>
    </r>
    <phoneticPr fontId="14" type="noConversion"/>
  </si>
  <si>
    <r>
      <rPr>
        <b/>
        <sz val="10"/>
        <rFont val="宋体"/>
        <family val="3"/>
        <charset val="134"/>
      </rPr>
      <t>利息收入</t>
    </r>
    <phoneticPr fontId="14" type="noConversion"/>
  </si>
  <si>
    <r>
      <rPr>
        <b/>
        <sz val="10"/>
        <rFont val="宋体"/>
        <family val="3"/>
        <charset val="134"/>
      </rPr>
      <t>年利率</t>
    </r>
    <phoneticPr fontId="14" type="noConversion"/>
  </si>
  <si>
    <r>
      <rPr>
        <b/>
        <sz val="10"/>
        <rFont val="宋体"/>
        <family val="3"/>
        <charset val="134"/>
      </rPr>
      <t>银行账号</t>
    </r>
    <r>
      <rPr>
        <b/>
        <sz val="10"/>
        <rFont val="Arial Narrow"/>
        <family val="2"/>
      </rPr>
      <t>1</t>
    </r>
    <phoneticPr fontId="14" type="noConversion"/>
  </si>
  <si>
    <r>
      <rPr>
        <b/>
        <sz val="10"/>
        <rFont val="宋体"/>
        <family val="3"/>
        <charset val="134"/>
      </rPr>
      <t>年化利率</t>
    </r>
    <phoneticPr fontId="14" type="noConversion"/>
  </si>
  <si>
    <r>
      <rPr>
        <b/>
        <sz val="10"/>
        <rFont val="宋体"/>
        <family val="3"/>
        <charset val="134"/>
      </rPr>
      <t>银行账号</t>
    </r>
    <r>
      <rPr>
        <b/>
        <sz val="10"/>
        <rFont val="Arial Narrow"/>
        <family val="2"/>
      </rPr>
      <t>2</t>
    </r>
    <phoneticPr fontId="14" type="noConversion"/>
  </si>
  <si>
    <r>
      <t>1</t>
    </r>
    <r>
      <rPr>
        <sz val="10"/>
        <rFont val="宋体"/>
        <family val="3"/>
        <charset val="134"/>
      </rPr>
      <t>月</t>
    </r>
    <phoneticPr fontId="2" type="noConversion"/>
  </si>
  <si>
    <r>
      <t>2</t>
    </r>
    <r>
      <rPr>
        <sz val="10"/>
        <rFont val="宋体"/>
        <family val="3"/>
        <charset val="134"/>
      </rPr>
      <t>月</t>
    </r>
    <r>
      <rPr>
        <sz val="10"/>
        <rFont val="宋体"/>
        <family val="2"/>
        <charset val="134"/>
      </rPr>
      <t/>
    </r>
  </si>
  <si>
    <r>
      <t>3</t>
    </r>
    <r>
      <rPr>
        <sz val="10"/>
        <rFont val="宋体"/>
        <family val="3"/>
        <charset val="134"/>
      </rPr>
      <t>月</t>
    </r>
    <r>
      <rPr>
        <sz val="10"/>
        <rFont val="宋体"/>
        <family val="2"/>
        <charset val="134"/>
      </rPr>
      <t/>
    </r>
  </si>
  <si>
    <r>
      <t>4</t>
    </r>
    <r>
      <rPr>
        <sz val="10"/>
        <rFont val="宋体"/>
        <family val="3"/>
        <charset val="134"/>
      </rPr>
      <t>月</t>
    </r>
    <r>
      <rPr>
        <sz val="10"/>
        <rFont val="宋体"/>
        <family val="2"/>
        <charset val="134"/>
      </rPr>
      <t/>
    </r>
  </si>
  <si>
    <r>
      <t>5</t>
    </r>
    <r>
      <rPr>
        <sz val="10"/>
        <rFont val="宋体"/>
        <family val="3"/>
        <charset val="134"/>
      </rPr>
      <t>月</t>
    </r>
    <r>
      <rPr>
        <sz val="10"/>
        <rFont val="宋体"/>
        <family val="2"/>
        <charset val="134"/>
      </rPr>
      <t/>
    </r>
  </si>
  <si>
    <r>
      <t>6</t>
    </r>
    <r>
      <rPr>
        <sz val="10"/>
        <rFont val="宋体"/>
        <family val="3"/>
        <charset val="134"/>
      </rPr>
      <t>月</t>
    </r>
    <r>
      <rPr>
        <sz val="10"/>
        <rFont val="宋体"/>
        <family val="2"/>
        <charset val="134"/>
      </rPr>
      <t/>
    </r>
  </si>
  <si>
    <r>
      <t>7</t>
    </r>
    <r>
      <rPr>
        <sz val="10"/>
        <rFont val="宋体"/>
        <family val="3"/>
        <charset val="134"/>
      </rPr>
      <t>月</t>
    </r>
    <r>
      <rPr>
        <sz val="10"/>
        <rFont val="宋体"/>
        <family val="2"/>
        <charset val="134"/>
      </rPr>
      <t/>
    </r>
  </si>
  <si>
    <r>
      <t>8</t>
    </r>
    <r>
      <rPr>
        <sz val="10"/>
        <rFont val="宋体"/>
        <family val="3"/>
        <charset val="134"/>
      </rPr>
      <t>月</t>
    </r>
    <r>
      <rPr>
        <sz val="10"/>
        <rFont val="宋体"/>
        <family val="2"/>
        <charset val="134"/>
      </rPr>
      <t/>
    </r>
  </si>
  <si>
    <r>
      <t>9</t>
    </r>
    <r>
      <rPr>
        <sz val="10"/>
        <rFont val="宋体"/>
        <family val="3"/>
        <charset val="134"/>
      </rPr>
      <t>月</t>
    </r>
    <r>
      <rPr>
        <sz val="10"/>
        <rFont val="宋体"/>
        <family val="2"/>
        <charset val="134"/>
      </rPr>
      <t/>
    </r>
  </si>
  <si>
    <r>
      <t>10</t>
    </r>
    <r>
      <rPr>
        <sz val="10"/>
        <rFont val="宋体"/>
        <family val="3"/>
        <charset val="134"/>
      </rPr>
      <t>月</t>
    </r>
    <r>
      <rPr>
        <sz val="10"/>
        <rFont val="宋体"/>
        <family val="2"/>
        <charset val="134"/>
      </rPr>
      <t/>
    </r>
  </si>
  <si>
    <r>
      <t>11</t>
    </r>
    <r>
      <rPr>
        <sz val="10"/>
        <rFont val="宋体"/>
        <family val="3"/>
        <charset val="134"/>
      </rPr>
      <t>月</t>
    </r>
    <r>
      <rPr>
        <sz val="10"/>
        <rFont val="宋体"/>
        <family val="2"/>
        <charset val="134"/>
      </rPr>
      <t/>
    </r>
  </si>
  <si>
    <r>
      <t>12</t>
    </r>
    <r>
      <rPr>
        <sz val="10"/>
        <rFont val="宋体"/>
        <family val="3"/>
        <charset val="134"/>
      </rPr>
      <t>月</t>
    </r>
    <r>
      <rPr>
        <sz val="10"/>
        <rFont val="宋体"/>
        <family val="2"/>
        <charset val="134"/>
      </rPr>
      <t/>
    </r>
  </si>
  <si>
    <r>
      <rPr>
        <b/>
        <sz val="10"/>
        <rFont val="宋体"/>
        <family val="3"/>
        <charset val="134"/>
      </rPr>
      <t>合计</t>
    </r>
    <phoneticPr fontId="14" type="noConversion"/>
  </si>
  <si>
    <r>
      <rPr>
        <b/>
        <sz val="12"/>
        <rFont val="宋体"/>
        <family val="3"/>
        <charset val="134"/>
      </rPr>
      <t>致同会计师事务所</t>
    </r>
    <phoneticPr fontId="2" type="noConversion"/>
  </si>
  <si>
    <r>
      <rPr>
        <b/>
        <sz val="14"/>
        <rFont val="宋体"/>
        <family val="3"/>
        <charset val="134"/>
      </rPr>
      <t>货币资金分析表</t>
    </r>
    <phoneticPr fontId="9" type="noConversion"/>
  </si>
  <si>
    <r>
      <rPr>
        <b/>
        <sz val="10"/>
        <rFont val="宋体"/>
        <family val="3"/>
        <charset val="134"/>
      </rPr>
      <t>序号</t>
    </r>
    <phoneticPr fontId="14" type="noConversion"/>
  </si>
  <si>
    <r>
      <rPr>
        <b/>
        <sz val="10"/>
        <rFont val="宋体"/>
        <family val="3"/>
        <charset val="134"/>
      </rPr>
      <t>变动情况</t>
    </r>
    <phoneticPr fontId="14" type="noConversion"/>
  </si>
  <si>
    <r>
      <rPr>
        <b/>
        <sz val="10"/>
        <rFont val="宋体"/>
        <family val="3"/>
        <charset val="134"/>
      </rPr>
      <t>变动原因</t>
    </r>
    <phoneticPr fontId="14" type="noConversion"/>
  </si>
  <si>
    <r>
      <rPr>
        <b/>
        <sz val="10"/>
        <rFont val="宋体"/>
        <family val="3"/>
        <charset val="134"/>
      </rPr>
      <t>金额</t>
    </r>
  </si>
  <si>
    <r>
      <rPr>
        <b/>
        <sz val="10"/>
        <rFont val="宋体"/>
        <family val="3"/>
        <charset val="134"/>
      </rPr>
      <t>结构比</t>
    </r>
  </si>
  <si>
    <r>
      <rPr>
        <b/>
        <sz val="10"/>
        <rFont val="宋体"/>
        <family val="3"/>
        <charset val="134"/>
      </rPr>
      <t>本期变动</t>
    </r>
    <phoneticPr fontId="14" type="noConversion"/>
  </si>
  <si>
    <r>
      <rPr>
        <b/>
        <sz val="10"/>
        <rFont val="宋体"/>
        <family val="3"/>
        <charset val="134"/>
      </rPr>
      <t>上期变动</t>
    </r>
    <phoneticPr fontId="14" type="noConversion"/>
  </si>
  <si>
    <r>
      <rPr>
        <b/>
        <sz val="10"/>
        <color indexed="8"/>
        <rFont val="宋体"/>
        <family val="3"/>
        <charset val="134"/>
      </rPr>
      <t>合计</t>
    </r>
    <phoneticPr fontId="14" type="noConversion"/>
  </si>
  <si>
    <r>
      <rPr>
        <b/>
        <sz val="10"/>
        <rFont val="宋体"/>
        <family val="3"/>
        <charset val="134"/>
      </rPr>
      <t>项目</t>
    </r>
    <phoneticPr fontId="14" type="noConversion"/>
  </si>
  <si>
    <r>
      <rPr>
        <b/>
        <sz val="10"/>
        <rFont val="宋体"/>
        <family val="3"/>
        <charset val="134"/>
      </rPr>
      <t>差异原因及合理性解释</t>
    </r>
    <phoneticPr fontId="9" type="noConversion"/>
  </si>
  <si>
    <r>
      <rPr>
        <sz val="10"/>
        <rFont val="宋体"/>
        <family val="3"/>
        <charset val="134"/>
      </rPr>
      <t>定期存款</t>
    </r>
    <r>
      <rPr>
        <sz val="10"/>
        <rFont val="Arial Narrow"/>
        <family val="2"/>
      </rPr>
      <t>÷</t>
    </r>
    <r>
      <rPr>
        <sz val="10"/>
        <rFont val="宋体"/>
        <family val="3"/>
        <charset val="134"/>
      </rPr>
      <t>银行存款</t>
    </r>
    <phoneticPr fontId="14" type="noConversion"/>
  </si>
  <si>
    <r>
      <rPr>
        <sz val="10"/>
        <rFont val="宋体"/>
        <family val="3"/>
        <charset val="134"/>
      </rPr>
      <t>（定期存款</t>
    </r>
    <r>
      <rPr>
        <sz val="10"/>
        <rFont val="Arial Narrow"/>
        <family val="2"/>
      </rPr>
      <t>+</t>
    </r>
    <r>
      <rPr>
        <sz val="10"/>
        <rFont val="宋体"/>
        <family val="3"/>
        <charset val="134"/>
      </rPr>
      <t>大额存单）</t>
    </r>
    <r>
      <rPr>
        <sz val="10"/>
        <rFont val="Arial Narrow"/>
        <family val="2"/>
      </rPr>
      <t>÷</t>
    </r>
    <r>
      <rPr>
        <sz val="10"/>
        <rFont val="宋体"/>
        <family val="3"/>
        <charset val="134"/>
      </rPr>
      <t>银行存款</t>
    </r>
    <phoneticPr fontId="14" type="noConversion"/>
  </si>
  <si>
    <r>
      <rPr>
        <sz val="10"/>
        <rFont val="宋体"/>
        <family val="3"/>
        <charset val="134"/>
      </rPr>
      <t>存放财务公司款项</t>
    </r>
    <r>
      <rPr>
        <sz val="10"/>
        <rFont val="Arial Narrow"/>
        <family val="2"/>
      </rPr>
      <t>÷</t>
    </r>
    <r>
      <rPr>
        <sz val="10"/>
        <rFont val="宋体"/>
        <family val="3"/>
        <charset val="134"/>
      </rPr>
      <t>货币资金</t>
    </r>
    <phoneticPr fontId="14" type="noConversion"/>
  </si>
  <si>
    <t>银行汇票存款</t>
  </si>
  <si>
    <t>银行本票存款</t>
  </si>
  <si>
    <t>信用证保证金存款</t>
  </si>
  <si>
    <t>外埠存款</t>
  </si>
  <si>
    <t>存出投资款</t>
  </si>
  <si>
    <t>信用卡存款</t>
  </si>
  <si>
    <t>支付宝、微信及其他</t>
    <phoneticPr fontId="14" type="noConversion"/>
  </si>
  <si>
    <r>
      <t>2.</t>
    </r>
    <r>
      <rPr>
        <sz val="10"/>
        <rFont val="宋体"/>
        <family val="3"/>
        <charset val="134"/>
      </rPr>
      <t>计算定期存款及存放于非银行金融机构的存款占银行存款的比例，分析这些资金的安全性，注意被审计单位是否存在高息资金拆借。</t>
    </r>
    <phoneticPr fontId="9" type="noConversion"/>
  </si>
  <si>
    <r>
      <t>1.</t>
    </r>
    <r>
      <rPr>
        <sz val="10"/>
        <rFont val="宋体"/>
        <family val="3"/>
        <charset val="134"/>
      </rPr>
      <t>计算银行存款占资产总额、定期存款占银行存款的比例；若二者比例偏高应进一步了解银行存款或定期存款比例偏高的原因，并取得相应支持文件。</t>
    </r>
    <phoneticPr fontId="9" type="noConversion"/>
  </si>
  <si>
    <t>（二）其他货币资金分析表</t>
    <phoneticPr fontId="9" type="noConversion"/>
  </si>
  <si>
    <t>（三）货币资金项目比例分析表</t>
    <phoneticPr fontId="9" type="noConversion"/>
  </si>
  <si>
    <r>
      <rPr>
        <b/>
        <sz val="10"/>
        <rFont val="宋体"/>
        <family val="3"/>
        <charset val="134"/>
      </rPr>
      <t>（一）</t>
    </r>
    <r>
      <rPr>
        <b/>
        <sz val="10"/>
        <rFont val="等线"/>
        <family val="2"/>
        <charset val="134"/>
      </rPr>
      <t>货币资金构成分析表</t>
    </r>
    <phoneticPr fontId="9" type="noConversion"/>
  </si>
  <si>
    <r>
      <rPr>
        <sz val="10"/>
        <rFont val="宋体"/>
        <family val="3"/>
        <charset val="134"/>
      </rPr>
      <t>银行存款</t>
    </r>
    <r>
      <rPr>
        <sz val="10"/>
        <rFont val="Arial Narrow"/>
        <family val="2"/>
      </rPr>
      <t>÷</t>
    </r>
    <r>
      <rPr>
        <sz val="10"/>
        <rFont val="宋体"/>
        <family val="3"/>
        <charset val="134"/>
      </rPr>
      <t>资产总额</t>
    </r>
    <phoneticPr fontId="14" type="noConversion"/>
  </si>
  <si>
    <t>……</t>
    <phoneticPr fontId="14" type="noConversion"/>
  </si>
  <si>
    <r>
      <rPr>
        <sz val="10"/>
        <rFont val="宋体"/>
        <family val="3"/>
        <charset val="134"/>
      </rPr>
      <t>受限货币资金</t>
    </r>
    <r>
      <rPr>
        <sz val="10"/>
        <rFont val="Arial Narrow"/>
        <family val="2"/>
      </rPr>
      <t>÷</t>
    </r>
    <r>
      <rPr>
        <sz val="10"/>
        <rFont val="宋体"/>
        <family val="3"/>
        <charset val="134"/>
      </rPr>
      <t>货币资金</t>
    </r>
    <phoneticPr fontId="14" type="noConversion"/>
  </si>
  <si>
    <r>
      <rPr>
        <sz val="10"/>
        <rFont val="宋体"/>
        <family val="3"/>
        <charset val="134"/>
      </rPr>
      <t>货币资金</t>
    </r>
    <r>
      <rPr>
        <sz val="10"/>
        <rFont val="Arial Narrow"/>
        <family val="2"/>
      </rPr>
      <t>÷</t>
    </r>
    <r>
      <rPr>
        <sz val="10"/>
        <rFont val="宋体"/>
        <family val="3"/>
        <charset val="134"/>
      </rPr>
      <t>贷款总额</t>
    </r>
    <phoneticPr fontId="14" type="noConversion"/>
  </si>
  <si>
    <r>
      <rPr>
        <sz val="10"/>
        <rFont val="宋体"/>
        <family val="3"/>
        <charset val="134"/>
      </rPr>
      <t>定期存款</t>
    </r>
    <r>
      <rPr>
        <sz val="10"/>
        <rFont val="Arial Narrow"/>
        <family val="2"/>
      </rPr>
      <t>÷</t>
    </r>
    <r>
      <rPr>
        <sz val="10"/>
        <rFont val="宋体"/>
        <family val="3"/>
        <charset val="134"/>
      </rPr>
      <t>贷款总额</t>
    </r>
    <phoneticPr fontId="14" type="noConversion"/>
  </si>
  <si>
    <t>如果定期存款占银行存款的比例偏高，或同时负债比例偏高，注册会计师需要向管理层询问定期存款存在的商业理由并评估其合理性；</t>
    <phoneticPr fontId="14" type="noConversion"/>
  </si>
  <si>
    <t>提示：</t>
    <phoneticPr fontId="14" type="noConversion"/>
  </si>
  <si>
    <t>提示：</t>
    <phoneticPr fontId="2" type="noConversion"/>
  </si>
  <si>
    <t>账面利息收入</t>
    <phoneticPr fontId="14" type="noConversion"/>
  </si>
  <si>
    <r>
      <rPr>
        <b/>
        <sz val="12"/>
        <rFont val="宋体"/>
        <family val="3"/>
        <charset val="134"/>
      </rPr>
      <t>底稿开列时，可先在以下单元格填写有关内容，以便其他底稿引用有关数据：</t>
    </r>
    <phoneticPr fontId="9" type="noConversion"/>
  </si>
  <si>
    <r>
      <t>1.</t>
    </r>
    <r>
      <rPr>
        <sz val="10"/>
        <rFont val="宋体"/>
        <family val="3"/>
        <charset val="134"/>
      </rPr>
      <t>资产负债表中记录的货币资金是存在的，且已记录于恰当的账户；</t>
    </r>
    <phoneticPr fontId="9" type="noConversion"/>
  </si>
  <si>
    <r>
      <t>2.</t>
    </r>
    <r>
      <rPr>
        <sz val="10"/>
        <rFont val="宋体"/>
        <family val="3"/>
        <charset val="134"/>
      </rPr>
      <t>所有应当记录的货币资金均已记录，所有应当包括在财务报表中的相关披露均已包括；</t>
    </r>
    <phoneticPr fontId="14" type="noConversion"/>
  </si>
  <si>
    <r>
      <t>3.</t>
    </r>
    <r>
      <rPr>
        <sz val="10"/>
        <rFont val="宋体"/>
        <family val="3"/>
        <charset val="134"/>
      </rPr>
      <t>货币资金以恰当的金额包括在财务报表中，与之相关的计价或分摊调整已恰当记录，相关披露已得到恰当计量和描述</t>
    </r>
    <phoneticPr fontId="14" type="noConversion"/>
  </si>
  <si>
    <t>其他货币资金中银行承兑汇票保证金测算见应付票据底稿&lt;F3-2&gt;</t>
    <phoneticPr fontId="9" type="noConversion"/>
  </si>
  <si>
    <r>
      <t>1.</t>
    </r>
    <r>
      <rPr>
        <sz val="10"/>
        <rFont val="宋体"/>
        <family val="3"/>
        <charset val="134"/>
      </rPr>
      <t>货币资金期初、期末的变化与被审计单位融资政策一致性：</t>
    </r>
    <phoneticPr fontId="9" type="noConversion"/>
  </si>
  <si>
    <r>
      <t>2.</t>
    </r>
    <r>
      <rPr>
        <sz val="10"/>
        <rFont val="宋体"/>
        <family val="3"/>
        <charset val="134"/>
      </rPr>
      <t>公司期末现金余额是否合理？</t>
    </r>
    <phoneticPr fontId="9" type="noConversion"/>
  </si>
  <si>
    <r>
      <t>3.</t>
    </r>
    <r>
      <rPr>
        <sz val="10"/>
        <rFont val="宋体"/>
        <family val="3"/>
        <charset val="134"/>
      </rPr>
      <t>货币资金余额持续较高、</t>
    </r>
    <r>
      <rPr>
        <sz val="10"/>
        <rFont val="Arial Narrow"/>
        <family val="2"/>
      </rPr>
      <t>“</t>
    </r>
    <r>
      <rPr>
        <sz val="10"/>
        <rFont val="宋体"/>
        <family val="3"/>
        <charset val="134"/>
      </rPr>
      <t>存贷双高</t>
    </r>
    <r>
      <rPr>
        <sz val="10"/>
        <rFont val="Arial Narrow"/>
        <family val="2"/>
      </rPr>
      <t>”</t>
    </r>
    <r>
      <rPr>
        <sz val="10"/>
        <rFont val="宋体"/>
        <family val="3"/>
        <charset val="134"/>
      </rPr>
      <t>（若存在）的合理性？</t>
    </r>
    <phoneticPr fontId="9" type="noConversion"/>
  </si>
  <si>
    <r>
      <t>4.</t>
    </r>
    <r>
      <rPr>
        <sz val="10"/>
        <rFont val="宋体"/>
        <family val="3"/>
        <charset val="134"/>
      </rPr>
      <t>定期存款及存放于非银行金融机构、外埠存款、存出投资款等资金的安全性：</t>
    </r>
    <phoneticPr fontId="9" type="noConversion"/>
  </si>
  <si>
    <r>
      <t>5.</t>
    </r>
    <r>
      <rPr>
        <sz val="10"/>
        <rFont val="宋体"/>
        <family val="3"/>
        <charset val="134"/>
      </rPr>
      <t>定期存款的商业理由及合理性？</t>
    </r>
    <phoneticPr fontId="9" type="noConversion"/>
  </si>
  <si>
    <t>其他货币资金</t>
    <phoneticPr fontId="14" type="noConversion"/>
  </si>
  <si>
    <t>银行存款</t>
    <phoneticPr fontId="14" type="noConversion"/>
  </si>
  <si>
    <t>货币资金项目</t>
    <phoneticPr fontId="14" type="noConversion"/>
  </si>
  <si>
    <t>货币资金项目</t>
    <phoneticPr fontId="14" type="noConversion"/>
  </si>
  <si>
    <t>E1-14</t>
    <phoneticPr fontId="9" type="noConversion"/>
  </si>
  <si>
    <t>E1-15</t>
    <phoneticPr fontId="9" type="noConversion"/>
  </si>
  <si>
    <t>E1-16</t>
  </si>
  <si>
    <t>E1-17</t>
  </si>
  <si>
    <t>计算银行存款每日余额应收利息收入，分析比较被审计单位银行存款应收利息收入与实际利息收入的差异是否恰当，评估利息收入的合理性，检查是否存在高息资金拆借，</t>
    <phoneticPr fontId="9" type="noConversion"/>
  </si>
  <si>
    <t>1.如果账面利息收入远大于根据定期存款计算应得利息，很可能表明被审计单位存在账外定期存款；如果账面利息收入远小于根据定期存款计算的应得利息，很可能表明被审计单位存在转移利息收入、或挪用、虚构定期存款情况；</t>
    <phoneticPr fontId="9" type="noConversion"/>
  </si>
  <si>
    <t>2.计算银行存款每日余额应收利息收入，分析比较被审计单位银行存款应收利息收入与实际利息收入的差异是否恰当，评估利息收入的合理性，检查是否存在高息资金拆借，确认银行存款余额是否存在，利息收入是否已经完整记录，判断是否存在体外资金循环的情形。</t>
    <phoneticPr fontId="2" type="noConversion"/>
  </si>
  <si>
    <t>一、审计目标：</t>
    <phoneticPr fontId="2" type="noConversion"/>
  </si>
  <si>
    <t>二、审计过程：</t>
    <phoneticPr fontId="2" type="noConversion"/>
  </si>
  <si>
    <r>
      <rPr>
        <sz val="10"/>
        <rFont val="宋体"/>
        <family val="3"/>
        <charset val="134"/>
      </rPr>
      <t>被审计单位：</t>
    </r>
    <r>
      <rPr>
        <sz val="10"/>
        <rFont val="Arial Narrow"/>
        <family val="2"/>
      </rPr>
      <t/>
    </r>
    <phoneticPr fontId="9" type="noConversion"/>
  </si>
  <si>
    <t>编制人：</t>
    <phoneticPr fontId="9" type="noConversion"/>
  </si>
  <si>
    <t>编制日期：</t>
    <phoneticPr fontId="9" type="noConversion"/>
  </si>
  <si>
    <t>复核人：</t>
    <phoneticPr fontId="9" type="noConversion"/>
  </si>
  <si>
    <t>复核日期：</t>
    <phoneticPr fontId="9" type="noConversion"/>
  </si>
  <si>
    <t>如果按月测算利息收入与账面利息收入存在较大差异，应进一步测算每日余额应收利息收入并与账面利息收入核对是否异常，详见&lt;E1-30&gt;</t>
    <phoneticPr fontId="2" type="noConversion"/>
  </si>
  <si>
    <t>截止日：202X年12月31日</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</si>
</sst>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2]* #,##0.00_);_([$€-2]* \(#,##0.00\);_([$€-2]* &quot;-&quot;??_)"/>
    <numFmt numFmtId="177" formatCode="0_);[Red]\(0\)"/>
  </numFmts>
  <fonts count="50" x14ac:knownFonts="1">
    <font>
      <sz val="11"/>
      <color theme="1"/>
      <name val="等线"/>
      <family val="2"/>
      <scheme val="minor"/>
    </font>
    <font>
      <sz val="11"/>
      <color theme="1"/>
      <name val="等线"/>
      <family val="2"/>
      <charset val="134"/>
      <scheme val="minor"/>
    </font>
    <font>
      <sz val="9"/>
      <name val="等线"/>
      <family val="3"/>
      <charset val="134"/>
      <scheme val="minor"/>
    </font>
    <font>
      <sz val="12"/>
      <name val="宋体"/>
      <family val="3"/>
      <charset val="134"/>
    </font>
    <font>
      <sz val="12"/>
      <name val="Arial Narrow"/>
      <family val="2"/>
    </font>
    <font>
      <sz val="10"/>
      <name val="Arial Narrow"/>
      <family val="2"/>
    </font>
    <font>
      <sz val="10"/>
      <color indexed="12"/>
      <name val="Arial Narrow"/>
      <family val="2"/>
    </font>
    <font>
      <sz val="10"/>
      <color indexed="12"/>
      <name val="宋体"/>
      <family val="3"/>
      <charset val="134"/>
    </font>
    <font>
      <b/>
      <sz val="10"/>
      <color indexed="12"/>
      <name val="宋体"/>
      <family val="3"/>
      <charset val="134"/>
    </font>
    <font>
      <sz val="9"/>
      <name val="宋体"/>
      <family val="3"/>
      <charset val="134"/>
    </font>
    <font>
      <sz val="10"/>
      <name val="宋体"/>
      <family val="3"/>
      <charset val="134"/>
    </font>
    <font>
      <b/>
      <sz val="10"/>
      <name val="宋体"/>
      <family val="3"/>
      <charset val="134"/>
    </font>
    <font>
      <b/>
      <sz val="10"/>
      <name val="Arial Narrow"/>
      <family val="2"/>
    </font>
    <font>
      <sz val="10"/>
      <name val="等线"/>
      <family val="3"/>
      <charset val="134"/>
      <scheme val="minor"/>
    </font>
    <font>
      <sz val="9"/>
      <name val="等线"/>
      <family val="2"/>
      <charset val="134"/>
      <scheme val="minor"/>
    </font>
    <font>
      <b/>
      <sz val="10"/>
      <name val="等线"/>
      <family val="3"/>
      <charset val="134"/>
      <scheme val="minor"/>
    </font>
    <font>
      <b/>
      <sz val="12"/>
      <name val="Arial Narrow"/>
      <family val="2"/>
    </font>
    <font>
      <b/>
      <sz val="10"/>
      <color indexed="8"/>
      <name val="Arial Narrow"/>
      <family val="2"/>
    </font>
    <font>
      <b/>
      <sz val="10"/>
      <color indexed="8"/>
      <name val="宋体"/>
      <family val="3"/>
      <charset val="134"/>
    </font>
    <font>
      <sz val="10"/>
      <color indexed="8"/>
      <name val="宋体"/>
      <family val="3"/>
      <charset val="134"/>
    </font>
    <font>
      <b/>
      <u/>
      <sz val="10"/>
      <color indexed="10"/>
      <name val="Arial Narrow"/>
      <family val="2"/>
    </font>
    <font>
      <sz val="10"/>
      <name val="Times New Roman"/>
      <family val="1"/>
    </font>
    <font>
      <b/>
      <sz val="12"/>
      <name val="宋体"/>
      <family val="3"/>
      <charset val="134"/>
    </font>
    <font>
      <u/>
      <sz val="11"/>
      <color theme="10"/>
      <name val="等线"/>
      <family val="2"/>
      <scheme val="minor"/>
    </font>
    <font>
      <sz val="11"/>
      <name val="Arial Narrow"/>
      <family val="2"/>
    </font>
    <font>
      <sz val="10.5"/>
      <name val="Arial Narrow"/>
      <family val="2"/>
    </font>
    <font>
      <sz val="10"/>
      <color indexed="8"/>
      <name val="Arial Narrow"/>
      <family val="2"/>
    </font>
    <font>
      <sz val="10"/>
      <name val="微软雅黑"/>
      <family val="2"/>
      <charset val="134"/>
    </font>
    <font>
      <sz val="10"/>
      <name val="Arial Narrow"/>
      <family val="3"/>
      <charset val="128"/>
    </font>
    <font>
      <b/>
      <sz val="12"/>
      <name val="宋体"/>
      <family val="2"/>
      <charset val="134"/>
    </font>
    <font>
      <sz val="11"/>
      <color theme="1"/>
      <name val="等线"/>
      <family val="2"/>
      <scheme val="minor"/>
    </font>
    <font>
      <sz val="12"/>
      <name val="宋体"/>
      <family val="2"/>
      <charset val="134"/>
    </font>
    <font>
      <b/>
      <sz val="10"/>
      <name val="宋体"/>
      <family val="2"/>
      <charset val="134"/>
    </font>
    <font>
      <sz val="12"/>
      <name val="Times New Roman"/>
      <family val="1"/>
    </font>
    <font>
      <sz val="10"/>
      <name val="宋体"/>
      <family val="2"/>
      <charset val="134"/>
    </font>
    <font>
      <b/>
      <sz val="14"/>
      <name val="宋体"/>
      <family val="3"/>
      <charset val="134"/>
    </font>
    <font>
      <sz val="11"/>
      <color theme="1"/>
      <name val="宋体"/>
      <family val="3"/>
      <charset val="134"/>
    </font>
    <font>
      <sz val="11"/>
      <color theme="1"/>
      <name val="Arial Narrow"/>
      <family val="2"/>
    </font>
    <font>
      <b/>
      <sz val="14"/>
      <name val="Arial Narrow"/>
      <family val="2"/>
    </font>
    <font>
      <b/>
      <sz val="20"/>
      <name val="Arial Narrow"/>
      <family val="2"/>
    </font>
    <font>
      <b/>
      <sz val="10"/>
      <name val="等线"/>
      <family val="2"/>
      <charset val="134"/>
    </font>
    <font>
      <b/>
      <sz val="10"/>
      <name val="Arial Narrow"/>
      <family val="3"/>
      <charset val="134"/>
    </font>
    <font>
      <b/>
      <sz val="10"/>
      <color rgb="FFFF0000"/>
      <name val="Arial Narrow"/>
      <family val="2"/>
    </font>
    <font>
      <sz val="10"/>
      <color rgb="FF0000FF"/>
      <name val="宋体"/>
      <family val="3"/>
      <charset val="134"/>
    </font>
    <font>
      <b/>
      <sz val="10"/>
      <color rgb="FF0000FF"/>
      <name val="宋体"/>
      <family val="3"/>
      <charset val="134"/>
    </font>
    <font>
      <sz val="9"/>
      <color indexed="81"/>
      <name val="宋体"/>
      <family val="3"/>
      <charset val="134"/>
    </font>
    <font>
      <b/>
      <sz val="9"/>
      <color indexed="81"/>
      <name val="宋体"/>
      <family val="3"/>
      <charset val="134"/>
    </font>
    <font>
      <sz val="10"/>
      <color rgb="FFFF0000"/>
      <name val="宋体"/>
      <family val="3"/>
      <charset val="134"/>
    </font>
    <font>
      <sz val="10"/>
      <color rgb="FF000000"/>
      <name val="宋体"/>
      <family val="3"/>
      <charset val="134"/>
    </font>
    <font>
      <sz val="10"/>
      <color theme="10"/>
      <name val="Arial Narrow"/>
      <family val="2"/>
    </font>
  </fonts>
  <fills count="8">
    <fill>
      <patternFill patternType="none"/>
    </fill>
    <fill>
      <patternFill patternType="gray125"/>
    </fill>
    <fill>
      <patternFill patternType="solid">
        <fgColor theme="7" tint="0.79998168889431442"/>
        <bgColor indexed="64"/>
      </patternFill>
    </fill>
    <fill>
      <patternFill patternType="solid">
        <fgColor indexed="14"/>
        <bgColor indexed="64"/>
      </patternFill>
    </fill>
    <fill>
      <patternFill patternType="solid">
        <fgColor rgb="FFE4DFEC"/>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0.499984740745262"/>
        <bgColor indexed="64"/>
      </patternFill>
    </fill>
  </fills>
  <borders count="6">
    <border>
      <left/>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3" fillId="0" borderId="0">
      <protection locked="0"/>
    </xf>
    <xf numFmtId="176" fontId="3" fillId="0" borderId="0"/>
    <xf numFmtId="43"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43" fontId="3" fillId="0" borderId="0" applyFont="0" applyFill="0" applyBorder="0" applyAlignment="0" applyProtection="0"/>
    <xf numFmtId="9" fontId="3" fillId="0" borderId="0" applyFont="0" applyFill="0" applyBorder="0" applyAlignment="0" applyProtection="0"/>
    <xf numFmtId="0" fontId="3" fillId="0" borderId="0" applyFill="0" applyBorder="0"/>
    <xf numFmtId="0" fontId="3" fillId="0" borderId="0">
      <alignment vertical="center"/>
    </xf>
    <xf numFmtId="0" fontId="23" fillId="0" borderId="0" applyNumberFormat="0" applyFill="0" applyBorder="0" applyAlignment="0" applyProtection="0"/>
    <xf numFmtId="43" fontId="30" fillId="0" borderId="0" applyFont="0" applyFill="0" applyBorder="0" applyAlignment="0" applyProtection="0">
      <alignment vertical="center"/>
    </xf>
    <xf numFmtId="9" fontId="30" fillId="0" borderId="0" applyFont="0" applyFill="0" applyBorder="0" applyAlignment="0" applyProtection="0">
      <alignment vertical="center"/>
    </xf>
    <xf numFmtId="0" fontId="3" fillId="0" borderId="0"/>
    <xf numFmtId="0" fontId="3" fillId="0" borderId="0">
      <protection locked="0"/>
    </xf>
    <xf numFmtId="0" fontId="33" fillId="0" borderId="0"/>
  </cellStyleXfs>
  <cellXfs count="195">
    <xf numFmtId="0" fontId="0" fillId="0" borderId="0" xfId="0"/>
    <xf numFmtId="0" fontId="4" fillId="0" borderId="0" xfId="1" applyFont="1">
      <protection locked="0"/>
    </xf>
    <xf numFmtId="0" fontId="5" fillId="0" borderId="0" xfId="1" applyFont="1">
      <protection locked="0"/>
    </xf>
    <xf numFmtId="176" fontId="6" fillId="0" borderId="0" xfId="2" applyFont="1" applyProtection="1">
      <protection locked="0"/>
    </xf>
    <xf numFmtId="176" fontId="6" fillId="0" borderId="0" xfId="2" applyFont="1" applyAlignment="1" applyProtection="1">
      <alignment horizontal="right"/>
      <protection locked="0"/>
    </xf>
    <xf numFmtId="176" fontId="8" fillId="0" borderId="0" xfId="2" applyFont="1" applyAlignment="1" applyProtection="1">
      <alignment horizontal="left"/>
      <protection locked="0"/>
    </xf>
    <xf numFmtId="176" fontId="5" fillId="0" borderId="0" xfId="2" applyFont="1" applyProtection="1">
      <protection locked="0"/>
    </xf>
    <xf numFmtId="176" fontId="11" fillId="0" borderId="0" xfId="2" applyFont="1" applyAlignment="1" applyProtection="1">
      <alignment horizontal="left"/>
      <protection locked="0"/>
    </xf>
    <xf numFmtId="0" fontId="12" fillId="0" borderId="0" xfId="1" applyFont="1">
      <protection locked="0"/>
    </xf>
    <xf numFmtId="0" fontId="10" fillId="0" borderId="0" xfId="1" applyFont="1" applyAlignment="1">
      <alignment vertical="center"/>
      <protection locked="0"/>
    </xf>
    <xf numFmtId="0" fontId="5" fillId="0" borderId="0" xfId="1" applyFont="1" applyAlignment="1">
      <alignment vertical="center"/>
      <protection locked="0"/>
    </xf>
    <xf numFmtId="43" fontId="5" fillId="0" borderId="0" xfId="3" applyFont="1" applyFill="1" applyBorder="1" applyAlignment="1">
      <alignment horizontal="right" vertical="center" wrapText="1" shrinkToFit="1"/>
    </xf>
    <xf numFmtId="176" fontId="10" fillId="0" borderId="0" xfId="2" applyFont="1" applyAlignment="1">
      <alignment horizontal="left" vertical="center"/>
    </xf>
    <xf numFmtId="0" fontId="11" fillId="0" borderId="0" xfId="1" applyFont="1" applyAlignment="1">
      <alignment horizontal="right" vertical="center"/>
      <protection locked="0"/>
    </xf>
    <xf numFmtId="0" fontId="11" fillId="0" borderId="0" xfId="1" applyFont="1" applyAlignment="1">
      <alignment vertical="center"/>
      <protection locked="0"/>
    </xf>
    <xf numFmtId="43" fontId="5" fillId="0" borderId="4" xfId="3" applyFont="1" applyFill="1" applyBorder="1" applyAlignment="1">
      <alignment horizontal="center" vertical="center"/>
    </xf>
    <xf numFmtId="10" fontId="5" fillId="0" borderId="4" xfId="5" applyNumberFormat="1" applyFont="1" applyFill="1" applyBorder="1" applyAlignment="1">
      <alignment horizontal="center" vertical="center"/>
    </xf>
    <xf numFmtId="0" fontId="5" fillId="0" borderId="4" xfId="2" applyNumberFormat="1" applyFont="1" applyBorder="1" applyAlignment="1">
      <alignment horizontal="center" vertical="center"/>
    </xf>
    <xf numFmtId="43" fontId="5" fillId="0" borderId="4" xfId="3" applyFont="1" applyFill="1" applyBorder="1" applyAlignment="1">
      <alignment horizontal="right" vertical="center" wrapText="1" shrinkToFit="1"/>
    </xf>
    <xf numFmtId="176" fontId="10" fillId="0" borderId="4" xfId="2" applyFont="1" applyBorder="1" applyAlignment="1">
      <alignment horizontal="left" vertical="center"/>
    </xf>
    <xf numFmtId="43" fontId="5" fillId="0" borderId="4" xfId="2" applyNumberFormat="1" applyFont="1" applyBorder="1" applyAlignment="1">
      <alignment vertical="center"/>
    </xf>
    <xf numFmtId="0" fontId="15" fillId="0" borderId="0" xfId="1" applyFont="1" applyAlignment="1">
      <alignment horizontal="left" vertical="center"/>
      <protection locked="0"/>
    </xf>
    <xf numFmtId="0" fontId="16" fillId="0" borderId="0" xfId="1" applyFont="1">
      <protection locked="0"/>
    </xf>
    <xf numFmtId="0" fontId="5" fillId="0" borderId="4" xfId="1" applyFont="1" applyBorder="1" applyAlignment="1">
      <alignment vertical="center"/>
      <protection locked="0"/>
    </xf>
    <xf numFmtId="0" fontId="13" fillId="0" borderId="4" xfId="1" applyFont="1" applyBorder="1" applyAlignment="1">
      <alignment vertical="center"/>
      <protection locked="0"/>
    </xf>
    <xf numFmtId="0" fontId="1" fillId="0" borderId="0" xfId="4" applyAlignment="1">
      <alignment horizontal="left" vertical="center"/>
    </xf>
    <xf numFmtId="0" fontId="10" fillId="0" borderId="0" xfId="1" applyFont="1" applyAlignment="1">
      <alignment horizontal="left" vertical="center"/>
      <protection locked="0"/>
    </xf>
    <xf numFmtId="177" fontId="17" fillId="0" borderId="0" xfId="1" applyNumberFormat="1" applyFont="1" applyAlignment="1">
      <alignment horizontal="center" vertical="center"/>
      <protection locked="0"/>
    </xf>
    <xf numFmtId="43" fontId="5" fillId="0" borderId="4" xfId="6" applyFont="1" applyBorder="1" applyAlignment="1" applyProtection="1">
      <alignment horizontal="center" vertical="center" wrapText="1" shrinkToFit="1"/>
      <protection locked="0"/>
    </xf>
    <xf numFmtId="0" fontId="10" fillId="0" borderId="4" xfId="1" applyFont="1" applyBorder="1" applyAlignment="1">
      <alignment horizontal="center" vertical="center" wrapText="1"/>
      <protection locked="0"/>
    </xf>
    <xf numFmtId="0" fontId="5" fillId="0" borderId="4" xfId="1" applyFont="1" applyBorder="1" applyAlignment="1">
      <alignment horizontal="center" vertical="center" wrapText="1"/>
      <protection locked="0"/>
    </xf>
    <xf numFmtId="10" fontId="5" fillId="0" borderId="4" xfId="7" applyNumberFormat="1" applyFont="1" applyBorder="1" applyAlignment="1" applyProtection="1">
      <alignment horizontal="center" vertical="center" wrapText="1"/>
      <protection locked="0"/>
    </xf>
    <xf numFmtId="43" fontId="19" fillId="0" borderId="4" xfId="1" applyNumberFormat="1" applyFont="1" applyBorder="1" applyAlignment="1">
      <alignment vertical="center"/>
      <protection locked="0"/>
    </xf>
    <xf numFmtId="0" fontId="12" fillId="0" borderId="0" xfId="1" applyFont="1" applyAlignment="1" applyProtection="1">
      <alignment horizontal="right" vertical="center"/>
    </xf>
    <xf numFmtId="0" fontId="13" fillId="0" borderId="0" xfId="1" applyFont="1" applyAlignment="1">
      <alignment vertical="center"/>
      <protection locked="0"/>
    </xf>
    <xf numFmtId="0" fontId="4" fillId="0" borderId="0" xfId="1" applyFont="1" applyAlignment="1">
      <alignment vertical="center"/>
      <protection locked="0"/>
    </xf>
    <xf numFmtId="0" fontId="12" fillId="0" borderId="0" xfId="1" applyFont="1" applyAlignment="1">
      <alignment vertical="center"/>
      <protection locked="0"/>
    </xf>
    <xf numFmtId="0" fontId="5" fillId="0" borderId="0" xfId="1" applyFont="1" applyAlignment="1">
      <alignment horizontal="right" vertical="center"/>
      <protection locked="0"/>
    </xf>
    <xf numFmtId="0" fontId="5" fillId="0" borderId="0" xfId="1" applyFont="1" applyAlignment="1">
      <alignment horizontal="left" vertical="center"/>
      <protection locked="0"/>
    </xf>
    <xf numFmtId="0" fontId="20" fillId="0" borderId="0" xfId="1" applyFont="1" applyAlignment="1" applyProtection="1">
      <alignment horizontal="center"/>
    </xf>
    <xf numFmtId="0" fontId="17" fillId="0" borderId="0" xfId="1" applyFont="1" applyAlignment="1" applyProtection="1">
      <alignment vertical="center"/>
    </xf>
    <xf numFmtId="43" fontId="5" fillId="0" borderId="0" xfId="8" applyNumberFormat="1" applyFont="1" applyBorder="1" applyAlignment="1">
      <alignment vertical="center"/>
    </xf>
    <xf numFmtId="43" fontId="5" fillId="0" borderId="0" xfId="8" applyNumberFormat="1" applyFont="1" applyBorder="1" applyAlignment="1">
      <alignment horizontal="left" vertical="center"/>
    </xf>
    <xf numFmtId="49" fontId="5" fillId="0" borderId="0" xfId="8" applyNumberFormat="1" applyFont="1" applyBorder="1" applyAlignment="1">
      <alignment vertical="center"/>
    </xf>
    <xf numFmtId="0" fontId="16" fillId="0" borderId="0" xfId="9" applyFont="1">
      <alignment vertical="center"/>
    </xf>
    <xf numFmtId="0" fontId="12" fillId="0" borderId="0" xfId="9" applyFont="1">
      <alignment vertical="center"/>
    </xf>
    <xf numFmtId="0" fontId="16" fillId="0" borderId="0" xfId="0" applyFont="1" applyAlignment="1" applyProtection="1">
      <alignment vertical="center"/>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5" fillId="3" borderId="0" xfId="0" applyFont="1" applyFill="1" applyAlignment="1" applyProtection="1">
      <alignment horizontal="justify" vertical="center" wrapText="1"/>
      <protection locked="0"/>
    </xf>
    <xf numFmtId="0" fontId="25" fillId="0" borderId="0" xfId="0" applyFont="1" applyAlignment="1" applyProtection="1">
      <alignment horizontal="justify" wrapText="1"/>
      <protection locked="0"/>
    </xf>
    <xf numFmtId="0" fontId="17" fillId="0" borderId="5" xfId="0" applyFont="1" applyBorder="1" applyAlignment="1">
      <alignment horizontal="center" vertical="center"/>
    </xf>
    <xf numFmtId="0" fontId="4" fillId="0" borderId="0" xfId="0" applyFont="1" applyProtection="1">
      <protection locked="0"/>
    </xf>
    <xf numFmtId="0" fontId="26" fillId="0" borderId="5" xfId="0" applyFont="1" applyBorder="1" applyAlignment="1">
      <alignment vertical="center"/>
    </xf>
    <xf numFmtId="0" fontId="12" fillId="0" borderId="0" xfId="0" applyFont="1" applyAlignment="1" applyProtection="1">
      <alignment horizontal="justify"/>
      <protection locked="0"/>
    </xf>
    <xf numFmtId="0" fontId="27" fillId="0" borderId="0" xfId="0" applyFont="1" applyAlignment="1" applyProtection="1">
      <alignment horizontal="left"/>
      <protection locked="0"/>
    </xf>
    <xf numFmtId="0" fontId="28" fillId="0" borderId="0" xfId="0" applyFont="1" applyProtection="1">
      <protection locked="0"/>
    </xf>
    <xf numFmtId="0" fontId="5" fillId="0" borderId="0" xfId="0" applyFont="1" applyProtection="1">
      <protection locked="0"/>
    </xf>
    <xf numFmtId="0" fontId="5" fillId="0" borderId="0" xfId="0" applyFont="1" applyAlignment="1" applyProtection="1">
      <alignment horizontal="justify" wrapText="1"/>
      <protection locked="0"/>
    </xf>
    <xf numFmtId="0" fontId="22" fillId="0" borderId="0" xfId="0" applyFont="1" applyAlignment="1" applyProtection="1">
      <alignment horizontal="justify"/>
      <protection locked="0"/>
    </xf>
    <xf numFmtId="0" fontId="4" fillId="0" borderId="0" xfId="0" applyFont="1" applyAlignment="1" applyProtection="1">
      <alignment horizontal="justify"/>
      <protection locked="0"/>
    </xf>
    <xf numFmtId="10" fontId="5" fillId="4" borderId="4" xfId="7" applyNumberFormat="1" applyFont="1" applyFill="1" applyBorder="1" applyAlignment="1">
      <alignment horizontal="right" vertical="center" wrapText="1"/>
    </xf>
    <xf numFmtId="10" fontId="5" fillId="4" borderId="4" xfId="5" applyNumberFormat="1" applyFont="1" applyFill="1" applyBorder="1" applyAlignment="1">
      <alignment horizontal="right" vertical="center" wrapText="1" shrinkToFit="1"/>
    </xf>
    <xf numFmtId="10" fontId="5" fillId="4" borderId="4" xfId="5" applyNumberFormat="1" applyFont="1" applyFill="1" applyBorder="1" applyAlignment="1">
      <alignment horizontal="right" vertical="center" wrapText="1"/>
    </xf>
    <xf numFmtId="43" fontId="12" fillId="4" borderId="4" xfId="3" applyFont="1" applyFill="1" applyBorder="1" applyAlignment="1">
      <alignment horizontal="right" vertical="center" wrapText="1" shrinkToFit="1"/>
    </xf>
    <xf numFmtId="10" fontId="12" fillId="4" borderId="4" xfId="7" applyNumberFormat="1" applyFont="1" applyFill="1" applyBorder="1" applyAlignment="1">
      <alignment horizontal="right" vertical="center" wrapText="1"/>
    </xf>
    <xf numFmtId="10" fontId="12" fillId="4" borderId="4" xfId="5" applyNumberFormat="1" applyFont="1" applyFill="1" applyBorder="1" applyAlignment="1">
      <alignment horizontal="right" vertical="center" wrapText="1" shrinkToFit="1"/>
    </xf>
    <xf numFmtId="10" fontId="12" fillId="4" borderId="4" xfId="5" applyNumberFormat="1" applyFont="1" applyFill="1" applyBorder="1" applyAlignment="1">
      <alignment horizontal="right" vertical="center" wrapText="1"/>
    </xf>
    <xf numFmtId="43" fontId="5" fillId="4" borderId="4" xfId="3" applyFont="1" applyFill="1" applyBorder="1" applyAlignment="1">
      <alignment horizontal="right" vertical="center" wrapText="1" shrinkToFit="1"/>
    </xf>
    <xf numFmtId="43" fontId="5" fillId="4" borderId="4" xfId="3" applyFont="1" applyFill="1" applyBorder="1" applyAlignment="1">
      <alignment horizontal="center" vertical="center"/>
    </xf>
    <xf numFmtId="176" fontId="11" fillId="4" borderId="4" xfId="2" applyFont="1" applyFill="1" applyBorder="1" applyAlignment="1">
      <alignment horizontal="center" vertical="center"/>
    </xf>
    <xf numFmtId="43" fontId="12" fillId="4" borderId="4" xfId="2" applyNumberFormat="1" applyFont="1" applyFill="1" applyBorder="1" applyAlignment="1">
      <alignment horizontal="center" vertical="center"/>
    </xf>
    <xf numFmtId="0" fontId="12" fillId="4" borderId="4" xfId="2" applyNumberFormat="1" applyFont="1" applyFill="1" applyBorder="1" applyAlignment="1">
      <alignment horizontal="center" vertical="center"/>
    </xf>
    <xf numFmtId="43" fontId="12" fillId="4" borderId="4" xfId="3" applyFont="1" applyFill="1" applyBorder="1" applyAlignment="1">
      <alignment horizontal="center" vertical="center"/>
    </xf>
    <xf numFmtId="176" fontId="10" fillId="4" borderId="4" xfId="2" applyFont="1" applyFill="1" applyBorder="1" applyAlignment="1">
      <alignment horizontal="center" vertical="center"/>
    </xf>
    <xf numFmtId="0" fontId="5" fillId="4" borderId="4" xfId="2" applyNumberFormat="1" applyFont="1" applyFill="1" applyBorder="1" applyAlignment="1">
      <alignment horizontal="center" vertical="center"/>
    </xf>
    <xf numFmtId="14" fontId="12" fillId="4" borderId="4" xfId="1" applyNumberFormat="1" applyFont="1" applyFill="1" applyBorder="1" applyAlignment="1">
      <alignment horizontal="center" vertical="center" wrapText="1"/>
      <protection locked="0"/>
    </xf>
    <xf numFmtId="0" fontId="11" fillId="4" borderId="4" xfId="1" applyFont="1" applyFill="1" applyBorder="1" applyAlignment="1">
      <alignment horizontal="center" vertical="center" wrapText="1"/>
      <protection locked="0"/>
    </xf>
    <xf numFmtId="0" fontId="12" fillId="4" borderId="4" xfId="1" applyFont="1" applyFill="1" applyBorder="1" applyAlignment="1">
      <alignment horizontal="center" vertical="center"/>
      <protection locked="0"/>
    </xf>
    <xf numFmtId="177" fontId="17" fillId="0" borderId="4" xfId="1" applyNumberFormat="1" applyFont="1" applyBorder="1" applyAlignment="1">
      <alignment horizontal="center" vertical="center"/>
      <protection locked="0"/>
    </xf>
    <xf numFmtId="0" fontId="11" fillId="4" borderId="4" xfId="1" applyFont="1" applyFill="1" applyBorder="1" applyAlignment="1">
      <alignment horizontal="center" vertical="center"/>
      <protection locked="0"/>
    </xf>
    <xf numFmtId="0" fontId="11" fillId="5" borderId="0" xfId="1" applyFont="1" applyFill="1" applyAlignment="1">
      <alignment horizontal="right" vertical="center"/>
      <protection locked="0"/>
    </xf>
    <xf numFmtId="0" fontId="11" fillId="5" borderId="0" xfId="1" applyFont="1" applyFill="1" applyAlignment="1">
      <alignment vertical="center"/>
      <protection locked="0"/>
    </xf>
    <xf numFmtId="0" fontId="16" fillId="5" borderId="0" xfId="1" applyFont="1" applyFill="1">
      <protection locked="0"/>
    </xf>
    <xf numFmtId="0" fontId="11" fillId="6" borderId="0" xfId="1" applyFont="1" applyFill="1" applyAlignment="1">
      <alignment horizontal="right" vertical="center"/>
      <protection locked="0"/>
    </xf>
    <xf numFmtId="0" fontId="11" fillId="6" borderId="0" xfId="1" applyFont="1" applyFill="1" applyAlignment="1">
      <alignment vertical="center"/>
      <protection locked="0"/>
    </xf>
    <xf numFmtId="0" fontId="16" fillId="6" borderId="0" xfId="1" applyFont="1" applyFill="1">
      <protection locked="0"/>
    </xf>
    <xf numFmtId="0" fontId="15" fillId="6" borderId="0" xfId="1" applyFont="1" applyFill="1" applyAlignment="1">
      <alignment horizontal="left" vertical="center"/>
      <protection locked="0"/>
    </xf>
    <xf numFmtId="43" fontId="5" fillId="6" borderId="0" xfId="3" applyFont="1" applyFill="1" applyBorder="1" applyAlignment="1">
      <alignment horizontal="right" vertical="center" wrapText="1" shrinkToFit="1"/>
    </xf>
    <xf numFmtId="0" fontId="5" fillId="6" borderId="0" xfId="1" applyFont="1" applyFill="1" applyAlignment="1">
      <alignment vertical="center"/>
      <protection locked="0"/>
    </xf>
    <xf numFmtId="0" fontId="5" fillId="6" borderId="0" xfId="1" applyFont="1" applyFill="1">
      <protection locked="0"/>
    </xf>
    <xf numFmtId="0" fontId="29" fillId="5" borderId="0" xfId="1" applyFont="1" applyFill="1">
      <protection locked="0"/>
    </xf>
    <xf numFmtId="0" fontId="13" fillId="7" borderId="0" xfId="1" applyFont="1" applyFill="1" applyAlignment="1">
      <alignment vertical="center"/>
      <protection locked="0"/>
    </xf>
    <xf numFmtId="0" fontId="4" fillId="7" borderId="0" xfId="1" applyFont="1" applyFill="1">
      <protection locked="0"/>
    </xf>
    <xf numFmtId="0" fontId="32" fillId="7" borderId="0" xfId="1" applyFont="1" applyFill="1" applyAlignment="1" applyProtection="1">
      <alignment horizontal="right" vertical="center"/>
    </xf>
    <xf numFmtId="0" fontId="5" fillId="0" borderId="0" xfId="14" applyFont="1" applyAlignment="1">
      <alignment vertical="center"/>
      <protection locked="0"/>
    </xf>
    <xf numFmtId="0" fontId="5" fillId="0" borderId="0" xfId="14" applyFont="1" applyAlignment="1">
      <alignment horizontal="left" vertical="center"/>
      <protection locked="0"/>
    </xf>
    <xf numFmtId="0" fontId="0" fillId="0" borderId="0" xfId="0" applyAlignment="1">
      <alignment vertical="center"/>
    </xf>
    <xf numFmtId="43" fontId="5" fillId="4" borderId="4" xfId="11" applyFont="1" applyFill="1" applyBorder="1" applyAlignment="1">
      <alignment horizontal="right" vertical="center" wrapText="1"/>
    </xf>
    <xf numFmtId="43" fontId="12" fillId="4" borderId="4" xfId="11" applyFont="1" applyFill="1" applyBorder="1" applyAlignment="1">
      <alignment horizontal="right" vertical="center" wrapText="1"/>
    </xf>
    <xf numFmtId="0" fontId="4" fillId="0" borderId="0" xfId="14" applyFont="1" applyAlignment="1">
      <alignment vertical="center"/>
      <protection locked="0"/>
    </xf>
    <xf numFmtId="14" fontId="4" fillId="0" borderId="0" xfId="14" applyNumberFormat="1" applyFont="1" applyAlignment="1">
      <alignment vertical="center"/>
      <protection locked="0"/>
    </xf>
    <xf numFmtId="0" fontId="23" fillId="0" borderId="5" xfId="10" applyBorder="1" applyAlignment="1" applyProtection="1">
      <alignment vertical="center"/>
    </xf>
    <xf numFmtId="0" fontId="31" fillId="0" borderId="5" xfId="0" applyFont="1" applyBorder="1" applyProtection="1">
      <protection locked="0"/>
    </xf>
    <xf numFmtId="0" fontId="37" fillId="0" borderId="0" xfId="0" applyFont="1" applyAlignment="1">
      <alignment vertical="center"/>
    </xf>
    <xf numFmtId="10" fontId="37" fillId="0" borderId="4" xfId="0" applyNumberFormat="1" applyFont="1" applyBorder="1" applyAlignment="1">
      <alignment vertical="center"/>
    </xf>
    <xf numFmtId="0" fontId="37" fillId="0" borderId="0" xfId="0" applyFont="1" applyAlignment="1">
      <alignment vertical="center" wrapText="1"/>
    </xf>
    <xf numFmtId="0" fontId="37" fillId="0" borderId="4" xfId="0" applyFont="1" applyBorder="1" applyAlignment="1">
      <alignment vertical="center"/>
    </xf>
    <xf numFmtId="10" fontId="37" fillId="0" borderId="4" xfId="12" applyNumberFormat="1" applyFont="1" applyBorder="1" applyAlignment="1">
      <alignment vertical="center"/>
    </xf>
    <xf numFmtId="43" fontId="37" fillId="0" borderId="4" xfId="11" applyFont="1" applyBorder="1" applyAlignment="1">
      <alignment vertical="center"/>
    </xf>
    <xf numFmtId="0" fontId="39" fillId="0" borderId="0" xfId="1" applyFont="1">
      <protection locked="0"/>
    </xf>
    <xf numFmtId="0" fontId="12" fillId="4" borderId="4" xfId="1" applyFont="1" applyFill="1" applyBorder="1" applyAlignment="1">
      <alignment horizontal="center" vertical="center" wrapText="1"/>
      <protection locked="0"/>
    </xf>
    <xf numFmtId="0" fontId="5" fillId="6" borderId="0" xfId="1" applyFont="1" applyFill="1" applyAlignment="1">
      <alignment horizontal="left" vertical="center"/>
      <protection locked="0"/>
    </xf>
    <xf numFmtId="0" fontId="37" fillId="0" borderId="0" xfId="4" applyFont="1" applyAlignment="1">
      <alignment horizontal="left" vertical="center"/>
    </xf>
    <xf numFmtId="177" fontId="17" fillId="0" borderId="0" xfId="1" applyNumberFormat="1" applyFont="1" applyFill="1" applyBorder="1" applyAlignment="1">
      <alignment horizontal="center" vertical="center"/>
      <protection locked="0"/>
    </xf>
    <xf numFmtId="43" fontId="12" fillId="0" borderId="0" xfId="3" applyFont="1" applyFill="1" applyBorder="1" applyAlignment="1">
      <alignment horizontal="right" vertical="center" wrapText="1" shrinkToFit="1"/>
    </xf>
    <xf numFmtId="10" fontId="12" fillId="0" borderId="0" xfId="7" applyNumberFormat="1" applyFont="1" applyFill="1" applyBorder="1" applyAlignment="1">
      <alignment horizontal="right" vertical="center" wrapText="1"/>
    </xf>
    <xf numFmtId="10" fontId="12" fillId="0" borderId="0" xfId="5" applyNumberFormat="1" applyFont="1" applyFill="1" applyBorder="1" applyAlignment="1">
      <alignment horizontal="right" vertical="center" wrapText="1" shrinkToFit="1"/>
    </xf>
    <xf numFmtId="10" fontId="12" fillId="0" borderId="0" xfId="5" applyNumberFormat="1" applyFont="1" applyFill="1" applyBorder="1" applyAlignment="1">
      <alignment horizontal="right" vertical="center" wrapText="1"/>
    </xf>
    <xf numFmtId="10" fontId="5" fillId="0" borderId="0" xfId="7" applyNumberFormat="1" applyFont="1" applyFill="1" applyBorder="1" applyAlignment="1" applyProtection="1">
      <alignment horizontal="center" vertical="center" wrapText="1"/>
      <protection locked="0"/>
    </xf>
    <xf numFmtId="0" fontId="4" fillId="0" borderId="0" xfId="1" applyFont="1" applyFill="1">
      <protection locked="0"/>
    </xf>
    <xf numFmtId="0" fontId="12" fillId="4" borderId="4" xfId="14" applyFont="1" applyFill="1" applyBorder="1" applyAlignment="1">
      <alignment horizontal="center" vertical="center" wrapText="1"/>
      <protection locked="0"/>
    </xf>
    <xf numFmtId="0" fontId="3" fillId="0" borderId="0" xfId="1" applyFont="1">
      <protection locked="0"/>
    </xf>
    <xf numFmtId="43" fontId="12" fillId="4" borderId="4" xfId="11" applyFont="1" applyFill="1" applyBorder="1" applyAlignment="1">
      <alignment horizontal="center" vertical="center" wrapText="1"/>
    </xf>
    <xf numFmtId="0" fontId="41" fillId="0" borderId="0" xfId="1" applyFont="1" applyAlignment="1">
      <alignment horizontal="left" vertical="center"/>
      <protection locked="0"/>
    </xf>
    <xf numFmtId="0" fontId="11" fillId="0" borderId="0" xfId="1" applyFont="1" applyAlignment="1">
      <alignment horizontal="left" vertical="center"/>
      <protection locked="0"/>
    </xf>
    <xf numFmtId="0" fontId="5" fillId="0" borderId="4" xfId="1" applyFont="1" applyBorder="1" applyAlignment="1">
      <alignment horizontal="left" vertical="center" wrapText="1"/>
      <protection locked="0"/>
    </xf>
    <xf numFmtId="43" fontId="19" fillId="0" borderId="4" xfId="1" applyNumberFormat="1" applyFont="1" applyBorder="1" applyAlignment="1">
      <alignment horizontal="left" vertical="center"/>
      <protection locked="0"/>
    </xf>
    <xf numFmtId="14" fontId="42" fillId="4" borderId="4" xfId="1" applyNumberFormat="1" applyFont="1" applyFill="1" applyBorder="1" applyAlignment="1">
      <alignment horizontal="center" vertical="center" wrapText="1"/>
      <protection locked="0"/>
    </xf>
    <xf numFmtId="0" fontId="10" fillId="0" borderId="0" xfId="1" applyFont="1">
      <protection locked="0"/>
    </xf>
    <xf numFmtId="0" fontId="43" fillId="0" borderId="0" xfId="1" applyFont="1">
      <protection locked="0"/>
    </xf>
    <xf numFmtId="0" fontId="44" fillId="0" borderId="0" xfId="1" applyFont="1">
      <protection locked="0"/>
    </xf>
    <xf numFmtId="0" fontId="44" fillId="0" borderId="0" xfId="1" applyFont="1" applyAlignment="1">
      <alignment vertical="center"/>
      <protection locked="0"/>
    </xf>
    <xf numFmtId="176" fontId="43" fillId="0" borderId="0" xfId="2" applyFont="1" applyAlignment="1">
      <alignment horizontal="left" vertical="center"/>
    </xf>
    <xf numFmtId="0" fontId="47" fillId="0" borderId="0" xfId="1" applyFont="1" applyAlignment="1">
      <alignment vertical="center"/>
      <protection locked="0"/>
    </xf>
    <xf numFmtId="177" fontId="48" fillId="0" borderId="0" xfId="1" applyNumberFormat="1" applyFont="1" applyFill="1" applyAlignment="1">
      <alignment horizontal="left" vertical="center"/>
      <protection locked="0"/>
    </xf>
    <xf numFmtId="0" fontId="5" fillId="0" borderId="0" xfId="1" applyFont="1" applyFill="1">
      <protection locked="0"/>
    </xf>
    <xf numFmtId="0" fontId="5" fillId="0" borderId="0" xfId="1" applyFont="1" applyFill="1" applyAlignment="1">
      <alignment horizontal="left" vertical="center"/>
      <protection locked="0"/>
    </xf>
    <xf numFmtId="177" fontId="26" fillId="0" borderId="4" xfId="1" applyNumberFormat="1" applyFont="1" applyBorder="1" applyAlignment="1">
      <alignment horizontal="center" vertical="center"/>
      <protection locked="0"/>
    </xf>
    <xf numFmtId="14" fontId="5" fillId="4" borderId="4" xfId="11" applyNumberFormat="1" applyFont="1" applyFill="1" applyBorder="1" applyAlignment="1">
      <alignment horizontal="center" vertical="center" wrapText="1"/>
    </xf>
    <xf numFmtId="0" fontId="36" fillId="0" borderId="0" xfId="0" applyFont="1" applyAlignment="1">
      <alignment vertical="center"/>
    </xf>
    <xf numFmtId="0" fontId="43" fillId="0" borderId="0" xfId="1" applyFont="1" applyAlignment="1">
      <alignment vertical="center"/>
      <protection locked="0"/>
    </xf>
    <xf numFmtId="0" fontId="11" fillId="0" borderId="0" xfId="14" applyFont="1" applyAlignment="1">
      <alignment vertical="center"/>
      <protection locked="0"/>
    </xf>
    <xf numFmtId="0" fontId="49" fillId="0" borderId="0" xfId="10" applyFont="1" applyAlignment="1" applyProtection="1">
      <alignment horizontal="left" vertical="center"/>
      <protection locked="0"/>
    </xf>
    <xf numFmtId="0" fontId="49" fillId="0" borderId="0" xfId="10" applyFont="1" applyAlignment="1">
      <alignment horizontal="left" vertical="center"/>
    </xf>
    <xf numFmtId="0" fontId="10" fillId="3" borderId="0" xfId="0" applyFont="1" applyFill="1" applyAlignment="1" applyProtection="1">
      <alignment horizontal="justify" vertical="center" wrapText="1"/>
      <protection locked="0"/>
    </xf>
    <xf numFmtId="0" fontId="5" fillId="0" borderId="4" xfId="1" applyFont="1" applyFill="1" applyBorder="1" applyAlignment="1">
      <alignment horizontal="left" vertical="center" wrapText="1"/>
      <protection locked="0"/>
    </xf>
    <xf numFmtId="0" fontId="10" fillId="0" borderId="4" xfId="1" applyFont="1" applyFill="1" applyBorder="1" applyAlignment="1">
      <alignment horizontal="left" vertical="center" wrapText="1"/>
      <protection locked="0"/>
    </xf>
    <xf numFmtId="0" fontId="12" fillId="4" borderId="4" xfId="1" applyFont="1" applyFill="1" applyBorder="1" applyAlignment="1">
      <alignment horizontal="center" vertical="center" wrapText="1"/>
      <protection locked="0"/>
    </xf>
    <xf numFmtId="0" fontId="12" fillId="2" borderId="4" xfId="1" applyFont="1" applyFill="1" applyBorder="1" applyAlignment="1">
      <alignment horizontal="center" vertical="center" wrapText="1"/>
      <protection locked="0"/>
    </xf>
    <xf numFmtId="0" fontId="11" fillId="4" borderId="4" xfId="1" applyFont="1" applyFill="1" applyBorder="1" applyAlignment="1">
      <alignment horizontal="center" vertical="center" wrapText="1"/>
      <protection locked="0"/>
    </xf>
    <xf numFmtId="0" fontId="11" fillId="2" borderId="4" xfId="1" applyFont="1" applyFill="1" applyBorder="1" applyAlignment="1">
      <alignment horizontal="center" vertical="center" wrapText="1"/>
      <protection locked="0"/>
    </xf>
    <xf numFmtId="0" fontId="12" fillId="4" borderId="3" xfId="1" applyFont="1" applyFill="1" applyBorder="1" applyAlignment="1">
      <alignment horizontal="center" vertical="center" wrapText="1"/>
      <protection locked="0"/>
    </xf>
    <xf numFmtId="0" fontId="37" fillId="0" borderId="2" xfId="4" applyFont="1" applyBorder="1" applyAlignment="1">
      <alignment horizontal="center" vertical="center" wrapText="1"/>
    </xf>
    <xf numFmtId="0" fontId="37" fillId="0" borderId="1" xfId="4" applyFont="1" applyBorder="1" applyAlignment="1">
      <alignment horizontal="center" vertical="center" wrapText="1"/>
    </xf>
    <xf numFmtId="0" fontId="5" fillId="0" borderId="3" xfId="1" applyFont="1" applyBorder="1" applyAlignment="1">
      <alignment horizontal="center" vertical="center" wrapText="1"/>
      <protection locked="0"/>
    </xf>
    <xf numFmtId="177" fontId="17" fillId="0" borderId="4" xfId="1" applyNumberFormat="1" applyFont="1" applyBorder="1" applyAlignment="1">
      <alignment horizontal="center" vertical="center"/>
      <protection locked="0"/>
    </xf>
    <xf numFmtId="14" fontId="42" fillId="4" borderId="4" xfId="1" applyNumberFormat="1" applyFont="1" applyFill="1" applyBorder="1" applyAlignment="1">
      <alignment horizontal="center" vertical="center" wrapText="1"/>
      <protection locked="0"/>
    </xf>
    <xf numFmtId="0" fontId="42" fillId="2" borderId="4" xfId="1" applyFont="1" applyFill="1" applyBorder="1" applyAlignment="1">
      <alignment horizontal="center" vertical="center" wrapText="1"/>
      <protection locked="0"/>
    </xf>
    <xf numFmtId="0" fontId="16" fillId="0" borderId="0" xfId="9" applyFont="1" applyAlignment="1">
      <alignment horizontal="center" vertical="center"/>
    </xf>
    <xf numFmtId="0" fontId="38" fillId="0" borderId="0" xfId="9" applyFont="1" applyAlignment="1">
      <alignment horizontal="center" vertical="center"/>
    </xf>
    <xf numFmtId="14" fontId="12" fillId="4" borderId="4" xfId="1" applyNumberFormat="1" applyFont="1" applyFill="1" applyBorder="1" applyAlignment="1">
      <alignment horizontal="center" vertical="center" wrapText="1"/>
      <protection locked="0"/>
    </xf>
    <xf numFmtId="0" fontId="5" fillId="0" borderId="0" xfId="1" applyFont="1" applyAlignment="1">
      <alignment horizontal="left" vertical="center" wrapText="1"/>
      <protection locked="0"/>
    </xf>
    <xf numFmtId="0" fontId="12" fillId="4" borderId="4" xfId="14" applyFont="1" applyFill="1" applyBorder="1" applyAlignment="1">
      <alignment horizontal="center" vertical="center" wrapText="1"/>
      <protection locked="0"/>
    </xf>
    <xf numFmtId="0" fontId="12" fillId="4" borderId="4" xfId="14" applyFont="1" applyFill="1" applyBorder="1" applyAlignment="1">
      <alignment horizontal="center" vertical="center"/>
      <protection locked="0"/>
    </xf>
    <xf numFmtId="0" fontId="22" fillId="0" borderId="0" xfId="15" applyFont="1" applyAlignment="1">
      <alignment horizontal="center" vertical="center"/>
    </xf>
    <xf numFmtId="0" fontId="35" fillId="0" borderId="0" xfId="14" applyFont="1" applyAlignment="1">
      <alignment horizontal="center" vertical="center"/>
      <protection locked="0"/>
    </xf>
    <xf numFmtId="0" fontId="11" fillId="4" borderId="4" xfId="14" applyFont="1" applyFill="1" applyBorder="1" applyAlignment="1">
      <alignment horizontal="center" vertical="center" wrapText="1"/>
      <protection locked="0"/>
    </xf>
    <xf numFmtId="0" fontId="1" fillId="0" borderId="2" xfId="4" applyBorder="1" applyAlignment="1">
      <alignment horizontal="center" vertical="center" wrapText="1"/>
    </xf>
    <xf numFmtId="0" fontId="1" fillId="0" borderId="1" xfId="4" applyBorder="1" applyAlignment="1">
      <alignment horizontal="center" vertical="center" wrapText="1"/>
    </xf>
    <xf numFmtId="0" fontId="12" fillId="0" borderId="0" xfId="9" applyFont="1" applyAlignment="1">
      <alignment horizontal="center" vertical="center"/>
    </xf>
    <xf numFmtId="0" fontId="22" fillId="0" borderId="0" xfId="9" applyFont="1" applyAlignment="1">
      <alignment horizontal="center" vertical="center"/>
    </xf>
    <xf numFmtId="0" fontId="13" fillId="0" borderId="0" xfId="1" applyFont="1" applyAlignment="1">
      <alignment horizontal="left" vertical="center" wrapText="1"/>
      <protection locked="0"/>
    </xf>
    <xf numFmtId="0" fontId="13" fillId="7" borderId="0" xfId="1" applyFont="1" applyFill="1" applyAlignment="1">
      <alignment horizontal="left" vertical="center" wrapText="1"/>
      <protection locked="0"/>
    </xf>
    <xf numFmtId="14" fontId="11" fillId="4" borderId="4" xfId="1" applyNumberFormat="1" applyFont="1" applyFill="1" applyBorder="1" applyAlignment="1">
      <alignment horizontal="center" vertical="center" wrapText="1"/>
      <protection locked="0"/>
    </xf>
    <xf numFmtId="177" fontId="18" fillId="0" borderId="4" xfId="1" applyNumberFormat="1" applyFont="1" applyBorder="1" applyAlignment="1">
      <alignment horizontal="center" vertical="center"/>
      <protection locked="0"/>
    </xf>
    <xf numFmtId="0" fontId="11" fillId="4" borderId="3" xfId="1" applyFont="1" applyFill="1" applyBorder="1" applyAlignment="1">
      <alignment horizontal="center" vertical="center" wrapText="1"/>
      <protection locked="0"/>
    </xf>
    <xf numFmtId="0" fontId="12" fillId="4" borderId="4" xfId="1" applyFont="1" applyFill="1" applyBorder="1" applyAlignment="1">
      <alignment horizontal="center" vertical="center"/>
      <protection locked="0"/>
    </xf>
    <xf numFmtId="0" fontId="12" fillId="2" borderId="4" xfId="1" applyFont="1" applyFill="1" applyBorder="1" applyAlignment="1">
      <alignment horizontal="center" vertical="center"/>
      <protection locked="0"/>
    </xf>
    <xf numFmtId="0" fontId="1" fillId="0" borderId="4" xfId="4" applyBorder="1" applyAlignment="1">
      <alignment horizontal="center" vertical="center"/>
    </xf>
    <xf numFmtId="0" fontId="1" fillId="0" borderId="4" xfId="4" applyBorder="1">
      <alignment vertical="center"/>
    </xf>
    <xf numFmtId="0" fontId="11" fillId="4" borderId="4" xfId="1" applyFont="1" applyFill="1" applyBorder="1" applyAlignment="1">
      <alignment horizontal="center" vertical="center"/>
      <protection locked="0"/>
    </xf>
    <xf numFmtId="0" fontId="11" fillId="0" borderId="4" xfId="1" applyFont="1" applyBorder="1" applyAlignment="1">
      <alignment horizontal="left" vertical="center"/>
      <protection locked="0"/>
    </xf>
    <xf numFmtId="0" fontId="12" fillId="0" borderId="4" xfId="1" applyFont="1" applyBorder="1" applyAlignment="1">
      <alignment horizontal="left" vertical="center"/>
      <protection locked="0"/>
    </xf>
    <xf numFmtId="0" fontId="15" fillId="0" borderId="4" xfId="1" applyFont="1" applyBorder="1" applyAlignment="1">
      <alignment horizontal="center" vertical="center"/>
      <protection locked="0"/>
    </xf>
    <xf numFmtId="0" fontId="15" fillId="0" borderId="4" xfId="1" applyFont="1" applyBorder="1" applyAlignment="1">
      <alignment horizontal="left" vertical="center"/>
      <protection locked="0"/>
    </xf>
    <xf numFmtId="0" fontId="13" fillId="0" borderId="4" xfId="1" applyFont="1" applyBorder="1" applyAlignment="1">
      <alignment horizontal="left" vertical="center"/>
      <protection locked="0"/>
    </xf>
    <xf numFmtId="0" fontId="5" fillId="0" borderId="3" xfId="2" applyNumberFormat="1" applyFont="1" applyBorder="1" applyAlignment="1">
      <alignment horizontal="center" vertical="center"/>
    </xf>
    <xf numFmtId="0" fontId="1" fillId="0" borderId="2" xfId="4" applyBorder="1" applyAlignment="1">
      <alignment horizontal="center" vertical="center"/>
    </xf>
    <xf numFmtId="0" fontId="1" fillId="0" borderId="1" xfId="4" applyBorder="1" applyAlignment="1">
      <alignment horizontal="center" vertical="center"/>
    </xf>
    <xf numFmtId="0" fontId="5" fillId="4" borderId="3" xfId="2" applyNumberFormat="1" applyFont="1" applyFill="1" applyBorder="1" applyAlignment="1">
      <alignment horizontal="center" vertical="center"/>
    </xf>
    <xf numFmtId="0" fontId="13" fillId="0" borderId="0" xfId="1" applyFont="1" applyAlignment="1">
      <alignment horizontal="left" vertical="center"/>
      <protection locked="0"/>
    </xf>
    <xf numFmtId="0" fontId="12" fillId="4" borderId="3" xfId="1" applyFont="1" applyFill="1" applyBorder="1" applyAlignment="1">
      <alignment horizontal="center" vertical="center"/>
      <protection locked="0"/>
    </xf>
    <xf numFmtId="0" fontId="12" fillId="4" borderId="3" xfId="2" applyNumberFormat="1" applyFont="1" applyFill="1" applyBorder="1" applyAlignment="1">
      <alignment horizontal="center" vertical="center"/>
    </xf>
  </cellXfs>
  <cellStyles count="16">
    <cellStyle name="百分比" xfId="12" builtinId="5"/>
    <cellStyle name="百分比 2" xfId="5"/>
    <cellStyle name="百分比 2 2" xfId="7"/>
    <cellStyle name="常规" xfId="0" builtinId="0"/>
    <cellStyle name="常规 2" xfId="1"/>
    <cellStyle name="常规 2 2" xfId="14"/>
    <cellStyle name="常规 2 2 2" xfId="13"/>
    <cellStyle name="常规 3" xfId="2"/>
    <cellStyle name="常规 4" xfId="4"/>
    <cellStyle name="常规_Book1" xfId="9"/>
    <cellStyle name="常规_c-资产类" xfId="15"/>
    <cellStyle name="常规_新审定表" xfId="8"/>
    <cellStyle name="超链接" xfId="10" builtinId="8"/>
    <cellStyle name="千位分隔" xfId="11" builtinId="3"/>
    <cellStyle name="千位分隔 2" xfId="3"/>
    <cellStyle name="千位分隔 2 2" xfId="6"/>
  </cellStyles>
  <dxfs count="0"/>
  <tableStyles count="0" defaultTableStyle="TableStyleMedium2" defaultPivotStyle="PivotStyleLight16"/>
  <colors>
    <mruColors>
      <color rgb="FF0000FF"/>
      <color rgb="FFE4DFEC"/>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36"/>
  <sheetViews>
    <sheetView tabSelected="1" workbookViewId="0"/>
  </sheetViews>
  <sheetFormatPr defaultRowHeight="19.95" customHeight="1" x14ac:dyDescent="0.25"/>
  <cols>
    <col min="1" max="1" width="41.33203125" customWidth="1"/>
    <col min="5" max="5" width="26.5546875" customWidth="1"/>
    <col min="6" max="6" width="11.109375" customWidth="1"/>
    <col min="7" max="7" width="16.44140625" customWidth="1"/>
  </cols>
  <sheetData>
    <row r="1" spans="1:7" ht="19.95" customHeight="1" x14ac:dyDescent="0.25">
      <c r="A1" s="46" t="s">
        <v>188</v>
      </c>
      <c r="B1" s="47"/>
      <c r="C1" s="47"/>
      <c r="D1" s="48"/>
      <c r="E1" s="48"/>
      <c r="F1" s="48"/>
      <c r="G1" s="49"/>
    </row>
    <row r="2" spans="1:7" ht="19.95" customHeight="1" x14ac:dyDescent="0.25">
      <c r="A2" s="50" t="s">
        <v>211</v>
      </c>
      <c r="B2" s="51"/>
      <c r="C2" s="51"/>
      <c r="D2" s="52" t="s">
        <v>112</v>
      </c>
      <c r="E2" s="52" t="s">
        <v>113</v>
      </c>
      <c r="F2" s="52" t="s">
        <v>114</v>
      </c>
      <c r="G2" s="52" t="s">
        <v>115</v>
      </c>
    </row>
    <row r="3" spans="1:7" ht="19.95" customHeight="1" x14ac:dyDescent="0.25">
      <c r="A3" s="146" t="s">
        <v>217</v>
      </c>
      <c r="B3" s="51"/>
      <c r="C3" s="51"/>
      <c r="D3" s="52">
        <v>1</v>
      </c>
      <c r="E3" s="103" t="s">
        <v>116</v>
      </c>
      <c r="F3" s="54" t="s">
        <v>202</v>
      </c>
      <c r="G3" s="54"/>
    </row>
    <row r="4" spans="1:7" ht="19.95" customHeight="1" x14ac:dyDescent="0.3">
      <c r="A4" s="146" t="s">
        <v>212</v>
      </c>
      <c r="B4" s="53"/>
      <c r="C4" s="53"/>
      <c r="D4" s="52">
        <v>2</v>
      </c>
      <c r="E4" s="103" t="s">
        <v>122</v>
      </c>
      <c r="F4" s="54" t="s">
        <v>203</v>
      </c>
      <c r="G4" s="54"/>
    </row>
    <row r="5" spans="1:7" ht="19.95" customHeight="1" x14ac:dyDescent="0.3">
      <c r="A5" s="146" t="s">
        <v>213</v>
      </c>
      <c r="B5" s="53"/>
      <c r="C5" s="53"/>
      <c r="D5" s="52">
        <v>3</v>
      </c>
      <c r="E5" s="104" t="s">
        <v>123</v>
      </c>
      <c r="F5" s="54" t="s">
        <v>204</v>
      </c>
      <c r="G5" s="54"/>
    </row>
    <row r="6" spans="1:7" ht="19.95" customHeight="1" x14ac:dyDescent="0.3">
      <c r="A6" s="146" t="s">
        <v>214</v>
      </c>
      <c r="B6" s="53"/>
      <c r="C6" s="53"/>
      <c r="D6" s="52">
        <v>4</v>
      </c>
      <c r="E6" s="104" t="s">
        <v>123</v>
      </c>
      <c r="F6" s="54" t="s">
        <v>205</v>
      </c>
      <c r="G6" s="54"/>
    </row>
    <row r="7" spans="1:7" ht="19.95" customHeight="1" x14ac:dyDescent="0.3">
      <c r="A7" s="146" t="s">
        <v>215</v>
      </c>
      <c r="B7" s="53"/>
      <c r="C7" s="53"/>
    </row>
    <row r="8" spans="1:7" ht="19.95" customHeight="1" x14ac:dyDescent="0.3">
      <c r="A8" s="55"/>
      <c r="B8" s="53"/>
      <c r="C8" s="53"/>
    </row>
    <row r="9" spans="1:7" ht="19.95" customHeight="1" x14ac:dyDescent="0.35">
      <c r="A9" s="56"/>
      <c r="B9" s="53"/>
      <c r="C9" s="53"/>
    </row>
    <row r="10" spans="1:7" ht="19.95" customHeight="1" x14ac:dyDescent="0.3">
      <c r="A10" s="57"/>
      <c r="B10" s="53"/>
      <c r="C10" s="53"/>
    </row>
    <row r="11" spans="1:7" ht="19.95" customHeight="1" x14ac:dyDescent="0.3">
      <c r="A11" s="58"/>
      <c r="B11" s="53"/>
      <c r="C11" s="53"/>
    </row>
    <row r="12" spans="1:7" ht="19.95" customHeight="1" x14ac:dyDescent="0.3">
      <c r="A12" s="55"/>
      <c r="B12" s="53"/>
      <c r="C12" s="53"/>
    </row>
    <row r="13" spans="1:7" ht="19.95" customHeight="1" x14ac:dyDescent="0.3">
      <c r="A13" s="59"/>
      <c r="B13" s="53"/>
      <c r="C13" s="53"/>
    </row>
    <row r="14" spans="1:7" ht="19.95" customHeight="1" x14ac:dyDescent="0.3">
      <c r="A14" s="59"/>
      <c r="B14" s="53"/>
      <c r="C14" s="53"/>
    </row>
    <row r="15" spans="1:7" ht="19.95" customHeight="1" x14ac:dyDescent="0.3">
      <c r="A15" s="59"/>
      <c r="B15" s="53"/>
      <c r="C15" s="53"/>
    </row>
    <row r="16" spans="1:7" ht="19.95" customHeight="1" x14ac:dyDescent="0.3">
      <c r="A16" s="60"/>
      <c r="B16" s="53"/>
      <c r="C16" s="53"/>
    </row>
    <row r="17" spans="1:3" ht="19.95" customHeight="1" x14ac:dyDescent="0.3">
      <c r="A17" s="61"/>
      <c r="B17" s="53"/>
      <c r="C17" s="53"/>
    </row>
    <row r="18" spans="1:3" ht="19.95" customHeight="1" x14ac:dyDescent="0.3">
      <c r="A18" s="53"/>
      <c r="B18" s="53"/>
      <c r="C18" s="53"/>
    </row>
    <row r="19" spans="1:3" ht="19.95" customHeight="1" x14ac:dyDescent="0.3">
      <c r="A19" s="53"/>
      <c r="B19" s="53"/>
      <c r="C19" s="53"/>
    </row>
    <row r="20" spans="1:3" ht="19.95" customHeight="1" x14ac:dyDescent="0.3">
      <c r="A20" s="53"/>
      <c r="B20" s="53"/>
      <c r="C20" s="53"/>
    </row>
    <row r="21" spans="1:3" ht="19.95" customHeight="1" x14ac:dyDescent="0.3">
      <c r="A21" s="53"/>
      <c r="B21" s="53"/>
      <c r="C21" s="53"/>
    </row>
    <row r="22" spans="1:3" ht="19.95" customHeight="1" x14ac:dyDescent="0.3">
      <c r="A22" s="53"/>
      <c r="B22" s="53"/>
      <c r="C22" s="53"/>
    </row>
    <row r="23" spans="1:3" ht="19.95" customHeight="1" x14ac:dyDescent="0.3">
      <c r="A23" s="53"/>
      <c r="B23" s="53"/>
      <c r="C23" s="53"/>
    </row>
    <row r="24" spans="1:3" ht="19.95" customHeight="1" x14ac:dyDescent="0.3">
      <c r="A24" s="53"/>
      <c r="B24" s="53"/>
      <c r="C24" s="53"/>
    </row>
    <row r="25" spans="1:3" ht="19.95" customHeight="1" x14ac:dyDescent="0.3">
      <c r="A25" s="53"/>
      <c r="B25" s="53"/>
      <c r="C25" s="53"/>
    </row>
    <row r="26" spans="1:3" ht="19.95" customHeight="1" x14ac:dyDescent="0.3">
      <c r="A26" s="53"/>
      <c r="B26" s="53"/>
      <c r="C26" s="53"/>
    </row>
    <row r="27" spans="1:3" ht="19.95" customHeight="1" x14ac:dyDescent="0.3">
      <c r="A27" s="53"/>
      <c r="B27" s="53"/>
      <c r="C27" s="53"/>
    </row>
    <row r="28" spans="1:3" ht="19.95" customHeight="1" x14ac:dyDescent="0.3">
      <c r="A28" s="53"/>
      <c r="B28" s="53"/>
      <c r="C28" s="53"/>
    </row>
    <row r="29" spans="1:3" ht="19.95" customHeight="1" x14ac:dyDescent="0.3">
      <c r="A29" s="53"/>
      <c r="B29" s="53"/>
      <c r="C29" s="53"/>
    </row>
    <row r="30" spans="1:3" ht="19.95" customHeight="1" x14ac:dyDescent="0.3">
      <c r="A30" s="53"/>
      <c r="B30" s="53"/>
      <c r="C30" s="53"/>
    </row>
    <row r="31" spans="1:3" ht="19.95" customHeight="1" x14ac:dyDescent="0.3">
      <c r="A31" s="53"/>
      <c r="B31" s="53"/>
      <c r="C31" s="53"/>
    </row>
    <row r="32" spans="1:3" ht="19.95" customHeight="1" x14ac:dyDescent="0.3">
      <c r="A32" s="53"/>
      <c r="B32" s="53"/>
      <c r="C32" s="53"/>
    </row>
    <row r="33" spans="1:3" ht="19.95" customHeight="1" x14ac:dyDescent="0.3">
      <c r="A33" s="53"/>
      <c r="B33" s="53"/>
      <c r="C33" s="53"/>
    </row>
    <row r="34" spans="1:3" ht="19.95" customHeight="1" x14ac:dyDescent="0.3">
      <c r="A34" s="53"/>
      <c r="B34" s="53"/>
      <c r="C34" s="53"/>
    </row>
    <row r="35" spans="1:3" ht="19.95" customHeight="1" x14ac:dyDescent="0.3">
      <c r="A35" s="53"/>
      <c r="B35" s="53"/>
      <c r="C35" s="53"/>
    </row>
    <row r="36" spans="1:3" ht="19.95" customHeight="1" x14ac:dyDescent="0.3">
      <c r="A36" s="53"/>
      <c r="B36" s="53"/>
      <c r="C36" s="53"/>
    </row>
  </sheetData>
  <phoneticPr fontId="9" type="noConversion"/>
  <hyperlinks>
    <hyperlink ref="E3" location="'货币资金分析表E1-14'!A1" display="货币资金分析表"/>
    <hyperlink ref="E4" location="'利息收入月度分析E1-15'!A1" display="利息收入月度分析"/>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Z53"/>
  <sheetViews>
    <sheetView view="pageBreakPreview" zoomScaleNormal="100" zoomScaleSheetLayoutView="100" workbookViewId="0">
      <selection sqref="A1:K1"/>
    </sheetView>
  </sheetViews>
  <sheetFormatPr defaultColWidth="9" defaultRowHeight="19.95" customHeight="1" x14ac:dyDescent="0.3"/>
  <cols>
    <col min="1" max="1" width="5.77734375" style="1" customWidth="1"/>
    <col min="2" max="2" width="26.44140625" style="1" customWidth="1"/>
    <col min="3" max="4" width="11.109375" style="1" customWidth="1"/>
    <col min="5" max="5" width="9.44140625" style="1" customWidth="1"/>
    <col min="6" max="6" width="9.33203125" style="1" customWidth="1"/>
    <col min="7" max="7" width="9.5546875" style="1" customWidth="1"/>
    <col min="8" max="8" width="9" style="1" customWidth="1"/>
    <col min="9" max="10" width="10.33203125" style="1" customWidth="1"/>
    <col min="11" max="11" width="8.6640625" style="1" customWidth="1"/>
    <col min="12" max="14" width="9" style="1"/>
    <col min="15" max="15" width="16.5546875" style="1" customWidth="1"/>
    <col min="16" max="16384" width="9" style="1"/>
  </cols>
  <sheetData>
    <row r="1" spans="1:26" ht="19.95" customHeight="1" x14ac:dyDescent="0.3">
      <c r="A1" s="160" t="s">
        <v>152</v>
      </c>
      <c r="B1" s="160"/>
      <c r="C1" s="160"/>
      <c r="D1" s="160"/>
      <c r="E1" s="160"/>
      <c r="F1" s="160"/>
      <c r="G1" s="160"/>
      <c r="H1" s="160"/>
      <c r="I1" s="160"/>
      <c r="J1" s="160"/>
      <c r="K1" s="160"/>
    </row>
    <row r="2" spans="1:26" ht="19.95" customHeight="1" x14ac:dyDescent="0.3">
      <c r="A2" s="161" t="s">
        <v>153</v>
      </c>
      <c r="B2" s="161"/>
      <c r="C2" s="161"/>
      <c r="D2" s="161"/>
      <c r="E2" s="161"/>
      <c r="F2" s="161"/>
      <c r="G2" s="161"/>
      <c r="H2" s="161"/>
      <c r="I2" s="161"/>
      <c r="J2" s="161"/>
      <c r="K2" s="161"/>
    </row>
    <row r="3" spans="1:26" ht="19.95" customHeight="1" x14ac:dyDescent="0.45">
      <c r="A3" s="41" t="str">
        <f>底稿目录!A2</f>
        <v>被审计单位：</v>
      </c>
      <c r="B3" s="41"/>
      <c r="C3" s="10"/>
      <c r="D3" s="42" t="str">
        <f>底稿目录!A4</f>
        <v>编制人：</v>
      </c>
      <c r="F3" s="41"/>
      <c r="H3" s="41" t="str">
        <f>底稿目录!A5</f>
        <v>编制日期：</v>
      </c>
      <c r="J3" s="37" t="s">
        <v>109</v>
      </c>
      <c r="K3" s="144" t="str">
        <f>底稿目录!F3</f>
        <v>E1-14</v>
      </c>
      <c r="L3" s="22"/>
      <c r="M3" s="22"/>
      <c r="O3" s="22"/>
      <c r="P3" s="111"/>
      <c r="Q3" s="22"/>
      <c r="R3" s="22"/>
      <c r="S3" s="22"/>
      <c r="T3" s="22"/>
      <c r="U3" s="22"/>
      <c r="V3" s="22"/>
      <c r="W3" s="22"/>
      <c r="X3" s="22"/>
      <c r="Y3" s="22"/>
      <c r="Z3" s="22"/>
    </row>
    <row r="4" spans="1:26" ht="19.95" customHeight="1" x14ac:dyDescent="0.45">
      <c r="A4" s="41" t="str">
        <f>底稿目录!A3</f>
        <v>截止日：202X年12月31日</v>
      </c>
      <c r="B4" s="43"/>
      <c r="C4" s="10"/>
      <c r="D4" s="42" t="str">
        <f>底稿目录!A6</f>
        <v>复核人：</v>
      </c>
      <c r="F4" s="41"/>
      <c r="H4" s="41" t="str">
        <f>底稿目录!A7</f>
        <v>复核日期：</v>
      </c>
      <c r="J4" s="37" t="s">
        <v>107</v>
      </c>
      <c r="K4" s="10"/>
      <c r="P4" s="111"/>
    </row>
    <row r="5" spans="1:26" ht="19.95" customHeight="1" x14ac:dyDescent="0.45">
      <c r="A5" s="40" t="s">
        <v>106</v>
      </c>
      <c r="D5" s="10"/>
      <c r="E5" s="38"/>
      <c r="F5" s="38"/>
      <c r="G5" s="38"/>
      <c r="I5" s="38"/>
      <c r="J5" s="10"/>
      <c r="K5" s="38"/>
      <c r="L5" s="10"/>
      <c r="M5" s="10"/>
      <c r="N5" s="10"/>
      <c r="O5" s="37"/>
      <c r="P5" s="111"/>
    </row>
    <row r="6" spans="1:26" ht="19.95" customHeight="1" x14ac:dyDescent="0.45">
      <c r="A6" s="10" t="s">
        <v>189</v>
      </c>
      <c r="B6" s="10"/>
      <c r="D6" s="10"/>
      <c r="E6" s="38"/>
      <c r="F6" s="38"/>
      <c r="G6" s="38"/>
      <c r="I6" s="38"/>
      <c r="J6" s="10"/>
      <c r="K6" s="38"/>
      <c r="L6" s="10"/>
      <c r="M6" s="10"/>
      <c r="N6" s="10"/>
      <c r="O6" s="37"/>
      <c r="P6" s="111"/>
    </row>
    <row r="7" spans="1:26" ht="19.95" customHeight="1" x14ac:dyDescent="0.45">
      <c r="A7" s="10" t="s">
        <v>190</v>
      </c>
      <c r="B7" s="10"/>
      <c r="D7" s="10"/>
      <c r="E7" s="38"/>
      <c r="F7" s="38"/>
      <c r="G7" s="38"/>
      <c r="I7" s="38"/>
      <c r="J7" s="10"/>
      <c r="K7" s="38"/>
      <c r="L7" s="10"/>
      <c r="M7" s="10"/>
      <c r="N7" s="10"/>
      <c r="O7" s="37"/>
      <c r="P7" s="111"/>
    </row>
    <row r="8" spans="1:26" ht="19.95" customHeight="1" x14ac:dyDescent="0.45">
      <c r="A8" s="10" t="s">
        <v>191</v>
      </c>
      <c r="B8" s="10"/>
      <c r="D8" s="10"/>
      <c r="E8" s="38"/>
      <c r="F8" s="38"/>
      <c r="G8" s="38"/>
      <c r="I8" s="38"/>
      <c r="J8" s="10"/>
      <c r="K8" s="38"/>
      <c r="L8" s="10"/>
      <c r="M8" s="10"/>
      <c r="N8" s="10"/>
      <c r="O8" s="37"/>
      <c r="P8" s="111"/>
    </row>
    <row r="9" spans="1:26" ht="19.95" customHeight="1" x14ac:dyDescent="0.3">
      <c r="A9" s="36" t="s">
        <v>103</v>
      </c>
      <c r="L9" s="123"/>
    </row>
    <row r="10" spans="1:26" ht="30.6" customHeight="1" x14ac:dyDescent="0.3">
      <c r="A10" s="163" t="s">
        <v>175</v>
      </c>
      <c r="B10" s="163"/>
      <c r="C10" s="163"/>
      <c r="D10" s="163"/>
      <c r="E10" s="163"/>
      <c r="F10" s="163"/>
      <c r="G10" s="163"/>
      <c r="H10" s="163"/>
      <c r="I10" s="163"/>
      <c r="J10" s="163"/>
      <c r="K10" s="163"/>
    </row>
    <row r="11" spans="1:26" ht="19.95" customHeight="1" x14ac:dyDescent="0.3">
      <c r="A11" s="10" t="s">
        <v>174</v>
      </c>
      <c r="B11" s="10"/>
      <c r="C11" s="10"/>
      <c r="D11" s="10"/>
      <c r="E11" s="10"/>
      <c r="F11" s="10"/>
      <c r="G11" s="10"/>
      <c r="H11" s="10"/>
      <c r="I11" s="10"/>
      <c r="J11" s="10"/>
      <c r="K11" s="10"/>
    </row>
    <row r="12" spans="1:26" s="22" customFormat="1" ht="19.95" customHeight="1" x14ac:dyDescent="0.3">
      <c r="A12" s="125" t="s">
        <v>178</v>
      </c>
      <c r="B12" s="36"/>
    </row>
    <row r="13" spans="1:26" ht="19.95" customHeight="1" x14ac:dyDescent="0.3">
      <c r="A13" s="149" t="s">
        <v>154</v>
      </c>
      <c r="B13" s="151" t="s">
        <v>200</v>
      </c>
      <c r="C13" s="158">
        <v>46022</v>
      </c>
      <c r="D13" s="159"/>
      <c r="E13" s="158">
        <v>45657</v>
      </c>
      <c r="F13" s="159"/>
      <c r="G13" s="158">
        <v>45291</v>
      </c>
      <c r="H13" s="159"/>
      <c r="I13" s="162" t="s">
        <v>155</v>
      </c>
      <c r="J13" s="150"/>
      <c r="K13" s="149" t="s">
        <v>156</v>
      </c>
    </row>
    <row r="14" spans="1:26" ht="19.95" customHeight="1" x14ac:dyDescent="0.3">
      <c r="A14" s="150"/>
      <c r="B14" s="152"/>
      <c r="C14" s="112" t="s">
        <v>157</v>
      </c>
      <c r="D14" s="112" t="s">
        <v>158</v>
      </c>
      <c r="E14" s="112" t="s">
        <v>157</v>
      </c>
      <c r="F14" s="112" t="s">
        <v>158</v>
      </c>
      <c r="G14" s="112" t="s">
        <v>157</v>
      </c>
      <c r="H14" s="112" t="s">
        <v>158</v>
      </c>
      <c r="I14" s="112" t="s">
        <v>159</v>
      </c>
      <c r="J14" s="112" t="s">
        <v>160</v>
      </c>
      <c r="K14" s="150"/>
    </row>
    <row r="15" spans="1:26" ht="19.95" customHeight="1" x14ac:dyDescent="0.3">
      <c r="A15" s="139">
        <v>1</v>
      </c>
      <c r="B15" s="32" t="s">
        <v>89</v>
      </c>
      <c r="C15" s="18"/>
      <c r="D15" s="62">
        <f>IF(C15=0,0,C15/$C$18)</f>
        <v>0</v>
      </c>
      <c r="E15" s="18"/>
      <c r="F15" s="62">
        <f>IF(E15=0,0,E15/$E$18)</f>
        <v>0</v>
      </c>
      <c r="G15" s="18"/>
      <c r="H15" s="62">
        <f>IF(G15=0,0,G15/$G$18)</f>
        <v>0</v>
      </c>
      <c r="I15" s="63">
        <f>IF(E15=0,1,(C15-E15)/E15)</f>
        <v>1</v>
      </c>
      <c r="J15" s="64">
        <f>IF(G15=0,1,(E15-G15)/G15)</f>
        <v>1</v>
      </c>
      <c r="K15" s="31"/>
    </row>
    <row r="16" spans="1:26" ht="19.95" customHeight="1" x14ac:dyDescent="0.3">
      <c r="A16" s="139">
        <v>2</v>
      </c>
      <c r="B16" s="32" t="s">
        <v>199</v>
      </c>
      <c r="C16" s="18"/>
      <c r="D16" s="62">
        <f>IF(C16=0,0,C16/$C$18)</f>
        <v>0</v>
      </c>
      <c r="E16" s="18"/>
      <c r="F16" s="62">
        <f>IF(E16=0,0,E16/$E$18)</f>
        <v>0</v>
      </c>
      <c r="G16" s="18"/>
      <c r="H16" s="62">
        <f>IF(G16=0,0,G16/$G$18)</f>
        <v>0</v>
      </c>
      <c r="I16" s="63">
        <f>IF(E16=0,1,(C16-E16)/E16)</f>
        <v>1</v>
      </c>
      <c r="J16" s="64">
        <f>IF(G16=0,1,(E16-G16)/G16)</f>
        <v>1</v>
      </c>
      <c r="K16" s="31"/>
    </row>
    <row r="17" spans="1:12" ht="19.95" customHeight="1" x14ac:dyDescent="0.3">
      <c r="A17" s="139">
        <v>3</v>
      </c>
      <c r="B17" s="32" t="s">
        <v>198</v>
      </c>
      <c r="C17" s="18"/>
      <c r="D17" s="62">
        <f>IF(C17=0,0,C17/$C$18)</f>
        <v>0</v>
      </c>
      <c r="E17" s="18"/>
      <c r="F17" s="62">
        <f>IF(E17=0,0,E17/$E$18)</f>
        <v>0</v>
      </c>
      <c r="G17" s="18"/>
      <c r="H17" s="62">
        <f>IF(G17=0,0,G17/$G$18)</f>
        <v>0</v>
      </c>
      <c r="I17" s="63">
        <f>IF(E17=0,1,(C17-E17)/E17)</f>
        <v>1</v>
      </c>
      <c r="J17" s="64">
        <f>IF(G17=0,1,(E17-G17)/G17)</f>
        <v>1</v>
      </c>
      <c r="K17" s="31"/>
    </row>
    <row r="18" spans="1:12" ht="19.95" customHeight="1" x14ac:dyDescent="0.3">
      <c r="A18" s="157" t="s">
        <v>161</v>
      </c>
      <c r="B18" s="157"/>
      <c r="C18" s="65">
        <f>SUM(C15:C17)</f>
        <v>0</v>
      </c>
      <c r="D18" s="66">
        <f>IF(C18=0,0,C18/$C$18)</f>
        <v>0</v>
      </c>
      <c r="E18" s="65">
        <f>SUM(E15:E17)</f>
        <v>0</v>
      </c>
      <c r="F18" s="66">
        <f>IF(E18=0,0,E18/$E$18)</f>
        <v>0</v>
      </c>
      <c r="G18" s="65">
        <f>SUM(G15:G17)</f>
        <v>0</v>
      </c>
      <c r="H18" s="66">
        <f>IF(G18=0,0,G18/$G$18)</f>
        <v>0</v>
      </c>
      <c r="I18" s="67">
        <f>IF(E18=0,1,(C18-E18)/E18)</f>
        <v>1</v>
      </c>
      <c r="J18" s="68">
        <f>IF(G18=0,1,(E18-G18)/G18)</f>
        <v>1</v>
      </c>
      <c r="K18" s="31"/>
    </row>
    <row r="19" spans="1:12" s="121" customFormat="1" ht="19.95" customHeight="1" x14ac:dyDescent="0.3">
      <c r="A19" s="126" t="s">
        <v>176</v>
      </c>
      <c r="B19" s="14"/>
      <c r="C19" s="116"/>
      <c r="D19" s="117"/>
      <c r="E19" s="116"/>
      <c r="F19" s="117"/>
      <c r="G19" s="116"/>
      <c r="H19" s="117"/>
      <c r="I19" s="118"/>
      <c r="J19" s="119"/>
      <c r="K19" s="120"/>
    </row>
    <row r="20" spans="1:12" s="121" customFormat="1" ht="19.95" customHeight="1" x14ac:dyDescent="0.3">
      <c r="A20" s="149" t="s">
        <v>154</v>
      </c>
      <c r="B20" s="151" t="s">
        <v>201</v>
      </c>
      <c r="C20" s="158">
        <v>46022</v>
      </c>
      <c r="D20" s="159"/>
      <c r="E20" s="158">
        <v>45657</v>
      </c>
      <c r="F20" s="159"/>
      <c r="G20" s="158">
        <v>45291</v>
      </c>
      <c r="H20" s="159"/>
      <c r="I20" s="162" t="s">
        <v>155</v>
      </c>
      <c r="J20" s="150"/>
      <c r="K20" s="149" t="s">
        <v>156</v>
      </c>
    </row>
    <row r="21" spans="1:12" s="121" customFormat="1" ht="19.95" customHeight="1" x14ac:dyDescent="0.3">
      <c r="A21" s="150"/>
      <c r="B21" s="152"/>
      <c r="C21" s="112" t="s">
        <v>157</v>
      </c>
      <c r="D21" s="112" t="s">
        <v>158</v>
      </c>
      <c r="E21" s="112" t="s">
        <v>157</v>
      </c>
      <c r="F21" s="112" t="s">
        <v>158</v>
      </c>
      <c r="G21" s="112" t="s">
        <v>157</v>
      </c>
      <c r="H21" s="112" t="s">
        <v>158</v>
      </c>
      <c r="I21" s="112" t="s">
        <v>159</v>
      </c>
      <c r="J21" s="112" t="s">
        <v>160</v>
      </c>
      <c r="K21" s="150"/>
    </row>
    <row r="22" spans="1:12" s="121" customFormat="1" ht="19.95" customHeight="1" x14ac:dyDescent="0.3">
      <c r="A22" s="139">
        <v>1</v>
      </c>
      <c r="B22" s="128" t="s">
        <v>167</v>
      </c>
      <c r="C22" s="18"/>
      <c r="D22" s="62">
        <f t="shared" ref="D22:D28" si="0">IF(C22=0,0,C22/$C$29)</f>
        <v>0</v>
      </c>
      <c r="E22" s="18"/>
      <c r="F22" s="62">
        <f t="shared" ref="F22:F28" si="1">IF(E22=0,0,E22/$E$29)</f>
        <v>0</v>
      </c>
      <c r="G22" s="18"/>
      <c r="H22" s="62">
        <f t="shared" ref="H22:H28" si="2">IF(G22=0,0,G22/$G$29)</f>
        <v>0</v>
      </c>
      <c r="I22" s="63">
        <f t="shared" ref="I22:I29" si="3">IF(E22=0,1,(C22-E22)/E22)</f>
        <v>1</v>
      </c>
      <c r="J22" s="64">
        <f t="shared" ref="J22:J29" si="4">IF(G22=0,1,(E22-G22)/G22)</f>
        <v>1</v>
      </c>
      <c r="K22" s="31"/>
    </row>
    <row r="23" spans="1:12" s="121" customFormat="1" ht="19.95" customHeight="1" x14ac:dyDescent="0.3">
      <c r="A23" s="139">
        <v>2</v>
      </c>
      <c r="B23" s="128" t="s">
        <v>168</v>
      </c>
      <c r="C23" s="18"/>
      <c r="D23" s="62">
        <f t="shared" si="0"/>
        <v>0</v>
      </c>
      <c r="E23" s="18"/>
      <c r="F23" s="62">
        <f t="shared" si="1"/>
        <v>0</v>
      </c>
      <c r="G23" s="18"/>
      <c r="H23" s="62">
        <f t="shared" si="2"/>
        <v>0</v>
      </c>
      <c r="I23" s="63">
        <f t="shared" si="3"/>
        <v>1</v>
      </c>
      <c r="J23" s="64">
        <f t="shared" si="4"/>
        <v>1</v>
      </c>
      <c r="K23" s="31"/>
    </row>
    <row r="24" spans="1:12" s="121" customFormat="1" ht="19.95" customHeight="1" x14ac:dyDescent="0.3">
      <c r="A24" s="139">
        <v>3</v>
      </c>
      <c r="B24" s="128" t="s">
        <v>169</v>
      </c>
      <c r="C24" s="18"/>
      <c r="D24" s="62">
        <f t="shared" si="0"/>
        <v>0</v>
      </c>
      <c r="E24" s="18"/>
      <c r="F24" s="62">
        <f t="shared" si="1"/>
        <v>0</v>
      </c>
      <c r="G24" s="18"/>
      <c r="H24" s="62">
        <f t="shared" si="2"/>
        <v>0</v>
      </c>
      <c r="I24" s="63">
        <f t="shared" si="3"/>
        <v>1</v>
      </c>
      <c r="J24" s="64">
        <f t="shared" si="4"/>
        <v>1</v>
      </c>
      <c r="K24" s="31"/>
    </row>
    <row r="25" spans="1:12" s="121" customFormat="1" ht="19.95" customHeight="1" x14ac:dyDescent="0.3">
      <c r="A25" s="139">
        <v>4</v>
      </c>
      <c r="B25" s="128" t="s">
        <v>170</v>
      </c>
      <c r="C25" s="18"/>
      <c r="D25" s="62">
        <f t="shared" si="0"/>
        <v>0</v>
      </c>
      <c r="E25" s="18"/>
      <c r="F25" s="62">
        <f t="shared" si="1"/>
        <v>0</v>
      </c>
      <c r="G25" s="18"/>
      <c r="H25" s="62">
        <f t="shared" si="2"/>
        <v>0</v>
      </c>
      <c r="I25" s="63">
        <f t="shared" si="3"/>
        <v>1</v>
      </c>
      <c r="J25" s="64">
        <f t="shared" si="4"/>
        <v>1</v>
      </c>
      <c r="K25" s="31"/>
    </row>
    <row r="26" spans="1:12" s="121" customFormat="1" ht="19.95" customHeight="1" x14ac:dyDescent="0.3">
      <c r="A26" s="139">
        <v>5</v>
      </c>
      <c r="B26" s="128" t="s">
        <v>171</v>
      </c>
      <c r="C26" s="18"/>
      <c r="D26" s="62">
        <f t="shared" si="0"/>
        <v>0</v>
      </c>
      <c r="E26" s="18"/>
      <c r="F26" s="62">
        <f t="shared" si="1"/>
        <v>0</v>
      </c>
      <c r="G26" s="18"/>
      <c r="H26" s="62">
        <f t="shared" si="2"/>
        <v>0</v>
      </c>
      <c r="I26" s="63">
        <f t="shared" si="3"/>
        <v>1</v>
      </c>
      <c r="J26" s="64">
        <f t="shared" si="4"/>
        <v>1</v>
      </c>
      <c r="K26" s="31"/>
    </row>
    <row r="27" spans="1:12" s="121" customFormat="1" ht="19.95" customHeight="1" x14ac:dyDescent="0.3">
      <c r="A27" s="139">
        <v>6</v>
      </c>
      <c r="B27" s="128" t="s">
        <v>172</v>
      </c>
      <c r="C27" s="18"/>
      <c r="D27" s="62">
        <f t="shared" si="0"/>
        <v>0</v>
      </c>
      <c r="E27" s="18"/>
      <c r="F27" s="62">
        <f t="shared" si="1"/>
        <v>0</v>
      </c>
      <c r="G27" s="18"/>
      <c r="H27" s="62">
        <f t="shared" si="2"/>
        <v>0</v>
      </c>
      <c r="I27" s="63">
        <f t="shared" si="3"/>
        <v>1</v>
      </c>
      <c r="J27" s="64">
        <f t="shared" si="4"/>
        <v>1</v>
      </c>
      <c r="K27" s="31"/>
    </row>
    <row r="28" spans="1:12" s="121" customFormat="1" ht="19.95" customHeight="1" x14ac:dyDescent="0.3">
      <c r="A28" s="139">
        <v>7</v>
      </c>
      <c r="B28" s="128" t="s">
        <v>173</v>
      </c>
      <c r="C28" s="18"/>
      <c r="D28" s="62">
        <f t="shared" si="0"/>
        <v>0</v>
      </c>
      <c r="E28" s="18"/>
      <c r="F28" s="62">
        <f t="shared" si="1"/>
        <v>0</v>
      </c>
      <c r="G28" s="18"/>
      <c r="H28" s="62">
        <f t="shared" si="2"/>
        <v>0</v>
      </c>
      <c r="I28" s="63">
        <f t="shared" si="3"/>
        <v>1</v>
      </c>
      <c r="J28" s="64">
        <f t="shared" si="4"/>
        <v>1</v>
      </c>
      <c r="K28" s="31"/>
    </row>
    <row r="29" spans="1:12" s="121" customFormat="1" ht="19.95" customHeight="1" x14ac:dyDescent="0.3">
      <c r="A29" s="157" t="s">
        <v>161</v>
      </c>
      <c r="B29" s="157"/>
      <c r="C29" s="65">
        <f>SUM(C22:C28)</f>
        <v>0</v>
      </c>
      <c r="D29" s="66">
        <f>IF(C29=0,0,C29/$C$18)</f>
        <v>0</v>
      </c>
      <c r="E29" s="65">
        <f>SUM(E22:E28)</f>
        <v>0</v>
      </c>
      <c r="F29" s="66">
        <f>IF(E29=0,0,E29/$E$18)</f>
        <v>0</v>
      </c>
      <c r="G29" s="65">
        <f>SUM(G22:G28)</f>
        <v>0</v>
      </c>
      <c r="H29" s="66">
        <f>IF(G29=0,0,G29/$G$18)</f>
        <v>0</v>
      </c>
      <c r="I29" s="67">
        <f t="shared" si="3"/>
        <v>1</v>
      </c>
      <c r="J29" s="68">
        <f t="shared" si="4"/>
        <v>1</v>
      </c>
      <c r="K29" s="31"/>
    </row>
    <row r="30" spans="1:12" s="121" customFormat="1" ht="19.95" customHeight="1" x14ac:dyDescent="0.3">
      <c r="A30" s="136" t="s">
        <v>192</v>
      </c>
      <c r="B30" s="137"/>
      <c r="C30" s="138"/>
      <c r="D30" s="138"/>
      <c r="E30" s="38"/>
      <c r="F30" s="38"/>
      <c r="G30" s="2"/>
      <c r="H30" s="38"/>
      <c r="I30" s="114"/>
      <c r="J30" s="114"/>
      <c r="K30" s="114"/>
      <c r="L30" s="113"/>
    </row>
    <row r="31" spans="1:12" s="121" customFormat="1" ht="19.95" customHeight="1" x14ac:dyDescent="0.3">
      <c r="A31" s="115"/>
      <c r="B31" s="115"/>
      <c r="C31" s="116"/>
      <c r="D31" s="117"/>
      <c r="E31" s="116"/>
      <c r="F31" s="117"/>
      <c r="G31" s="116"/>
      <c r="H31" s="117"/>
      <c r="I31" s="118"/>
      <c r="J31" s="119"/>
      <c r="K31" s="120"/>
    </row>
    <row r="32" spans="1:12" s="22" customFormat="1" ht="19.95" customHeight="1" x14ac:dyDescent="0.3">
      <c r="A32" s="126" t="s">
        <v>177</v>
      </c>
      <c r="B32" s="36"/>
    </row>
    <row r="33" spans="1:13" s="2" customFormat="1" ht="19.95" customHeight="1" x14ac:dyDescent="0.3">
      <c r="A33" s="112" t="s">
        <v>154</v>
      </c>
      <c r="B33" s="112" t="s">
        <v>162</v>
      </c>
      <c r="C33" s="129">
        <f>C13</f>
        <v>46022</v>
      </c>
      <c r="D33" s="129">
        <f>E13</f>
        <v>45657</v>
      </c>
      <c r="E33" s="129">
        <f>G13</f>
        <v>45291</v>
      </c>
      <c r="F33" s="112" t="s">
        <v>159</v>
      </c>
      <c r="G33" s="112" t="s">
        <v>160</v>
      </c>
      <c r="H33" s="153" t="s">
        <v>163</v>
      </c>
      <c r="I33" s="154"/>
      <c r="J33" s="154"/>
      <c r="K33" s="155"/>
    </row>
    <row r="34" spans="1:13" s="2" customFormat="1" ht="19.95" customHeight="1" x14ac:dyDescent="0.3">
      <c r="A34" s="139">
        <v>1</v>
      </c>
      <c r="B34" s="127" t="s">
        <v>179</v>
      </c>
      <c r="C34" s="28"/>
      <c r="D34" s="28"/>
      <c r="E34" s="28"/>
      <c r="F34" s="63">
        <f>IF(D34=0,1,(C34-D34)/D34)</f>
        <v>1</v>
      </c>
      <c r="G34" s="63">
        <f>IF(E34=0,1,(D34-E34)/E34)</f>
        <v>1</v>
      </c>
      <c r="H34" s="156"/>
      <c r="I34" s="154"/>
      <c r="J34" s="154"/>
      <c r="K34" s="155"/>
    </row>
    <row r="35" spans="1:13" s="2" customFormat="1" ht="19.95" customHeight="1" x14ac:dyDescent="0.3">
      <c r="A35" s="139">
        <v>2</v>
      </c>
      <c r="B35" s="127" t="s">
        <v>164</v>
      </c>
      <c r="C35" s="28"/>
      <c r="D35" s="28"/>
      <c r="E35" s="28"/>
      <c r="F35" s="63">
        <f t="shared" ref="F35:G35" si="5">IF(D35=0,1,(C35-D35)/D35)</f>
        <v>1</v>
      </c>
      <c r="G35" s="63">
        <f t="shared" si="5"/>
        <v>1</v>
      </c>
      <c r="H35" s="156"/>
      <c r="I35" s="154"/>
      <c r="J35" s="154"/>
      <c r="K35" s="155"/>
    </row>
    <row r="36" spans="1:13" s="2" customFormat="1" ht="19.95" customHeight="1" x14ac:dyDescent="0.3">
      <c r="A36" s="139">
        <v>3</v>
      </c>
      <c r="B36" s="127" t="s">
        <v>165</v>
      </c>
      <c r="C36" s="28"/>
      <c r="D36" s="28"/>
      <c r="E36" s="28"/>
      <c r="F36" s="63">
        <f>IF(D36=0,1,(C36-D36)/D36)</f>
        <v>1</v>
      </c>
      <c r="G36" s="63">
        <f>IF(E36=0,1,(D36-E36)/E36)</f>
        <v>1</v>
      </c>
      <c r="H36" s="156"/>
      <c r="I36" s="154"/>
      <c r="J36" s="154"/>
      <c r="K36" s="155"/>
    </row>
    <row r="37" spans="1:13" s="2" customFormat="1" ht="19.95" customHeight="1" x14ac:dyDescent="0.3">
      <c r="A37" s="139">
        <v>4</v>
      </c>
      <c r="B37" s="127" t="s">
        <v>181</v>
      </c>
      <c r="C37" s="28"/>
      <c r="D37" s="28"/>
      <c r="E37" s="28"/>
      <c r="F37" s="63">
        <f t="shared" ref="F37:F38" si="6">IF(D37=0,1,(C37-D37)/D37)</f>
        <v>1</v>
      </c>
      <c r="G37" s="63">
        <f t="shared" ref="G37:G38" si="7">IF(E37=0,1,(D37-E37)/E37)</f>
        <v>1</v>
      </c>
      <c r="H37" s="156"/>
      <c r="I37" s="154"/>
      <c r="J37" s="154"/>
      <c r="K37" s="155"/>
    </row>
    <row r="38" spans="1:13" s="2" customFormat="1" ht="19.95" customHeight="1" x14ac:dyDescent="0.3">
      <c r="A38" s="139">
        <v>5</v>
      </c>
      <c r="B38" s="127" t="s">
        <v>166</v>
      </c>
      <c r="C38" s="28"/>
      <c r="D38" s="28"/>
      <c r="E38" s="28"/>
      <c r="F38" s="63">
        <f t="shared" si="6"/>
        <v>1</v>
      </c>
      <c r="G38" s="63">
        <f t="shared" si="7"/>
        <v>1</v>
      </c>
      <c r="H38" s="156"/>
      <c r="I38" s="154"/>
      <c r="J38" s="154"/>
      <c r="K38" s="155"/>
    </row>
    <row r="39" spans="1:13" s="2" customFormat="1" ht="19.95" customHeight="1" x14ac:dyDescent="0.3">
      <c r="A39" s="139">
        <v>6</v>
      </c>
      <c r="B39" s="147" t="s">
        <v>182</v>
      </c>
      <c r="C39" s="28"/>
      <c r="D39" s="28"/>
      <c r="E39" s="28"/>
      <c r="F39" s="63">
        <f t="shared" ref="F39:F41" si="8">IF(D39=0,1,(C39-D39)/D39)</f>
        <v>1</v>
      </c>
      <c r="G39" s="63">
        <f t="shared" ref="G39:G41" si="9">IF(E39=0,1,(D39-E39)/E39)</f>
        <v>1</v>
      </c>
      <c r="H39" s="156"/>
      <c r="I39" s="154"/>
      <c r="J39" s="154"/>
      <c r="K39" s="155"/>
      <c r="L39" s="130"/>
    </row>
    <row r="40" spans="1:13" s="2" customFormat="1" ht="19.95" customHeight="1" x14ac:dyDescent="0.3">
      <c r="A40" s="139">
        <v>7</v>
      </c>
      <c r="B40" s="147" t="s">
        <v>183</v>
      </c>
      <c r="C40" s="28"/>
      <c r="D40" s="28"/>
      <c r="E40" s="28"/>
      <c r="F40" s="63">
        <f t="shared" si="8"/>
        <v>1</v>
      </c>
      <c r="G40" s="63">
        <f t="shared" si="9"/>
        <v>1</v>
      </c>
      <c r="H40" s="156"/>
      <c r="I40" s="154"/>
      <c r="J40" s="154"/>
      <c r="K40" s="155"/>
      <c r="L40" s="131"/>
    </row>
    <row r="41" spans="1:13" s="2" customFormat="1" ht="19.95" customHeight="1" x14ac:dyDescent="0.3">
      <c r="A41" s="139">
        <v>8</v>
      </c>
      <c r="B41" s="148" t="s">
        <v>180</v>
      </c>
      <c r="C41" s="28"/>
      <c r="D41" s="28"/>
      <c r="E41" s="28"/>
      <c r="F41" s="63">
        <f t="shared" si="8"/>
        <v>1</v>
      </c>
      <c r="G41" s="63">
        <f t="shared" si="9"/>
        <v>1</v>
      </c>
      <c r="H41" s="156"/>
      <c r="I41" s="154"/>
      <c r="J41" s="154"/>
      <c r="K41" s="155"/>
      <c r="L41" s="130"/>
    </row>
    <row r="42" spans="1:13" s="2" customFormat="1" ht="19.95" customHeight="1" x14ac:dyDescent="0.3">
      <c r="C42" s="38"/>
      <c r="D42" s="38"/>
      <c r="E42" s="38"/>
      <c r="F42" s="38"/>
      <c r="H42" s="38"/>
      <c r="I42" s="114"/>
      <c r="J42" s="114"/>
      <c r="K42" s="114"/>
    </row>
    <row r="43" spans="1:13" s="2" customFormat="1" ht="19.95" customHeight="1" x14ac:dyDescent="0.3">
      <c r="A43" s="10" t="s">
        <v>24</v>
      </c>
      <c r="B43" s="10"/>
    </row>
    <row r="44" spans="1:13" s="2" customFormat="1" ht="19.95" customHeight="1" x14ac:dyDescent="0.3">
      <c r="A44" s="10" t="s">
        <v>193</v>
      </c>
    </row>
    <row r="45" spans="1:13" s="2" customFormat="1" ht="19.95" customHeight="1" x14ac:dyDescent="0.3">
      <c r="A45" s="10" t="s">
        <v>194</v>
      </c>
    </row>
    <row r="46" spans="1:13" s="2" customFormat="1" ht="19.95" customHeight="1" x14ac:dyDescent="0.3">
      <c r="A46" s="38" t="s">
        <v>195</v>
      </c>
      <c r="M46" s="130"/>
    </row>
    <row r="47" spans="1:13" s="2" customFormat="1" ht="19.95" customHeight="1" x14ac:dyDescent="0.3">
      <c r="A47" s="10" t="s">
        <v>196</v>
      </c>
    </row>
    <row r="48" spans="1:13" s="2" customFormat="1" ht="19.95" customHeight="1" x14ac:dyDescent="0.3">
      <c r="A48" s="38" t="s">
        <v>197</v>
      </c>
    </row>
    <row r="49" spans="1:1" s="2" customFormat="1" ht="19.95" customHeight="1" x14ac:dyDescent="0.3"/>
    <row r="50" spans="1:1" s="2" customFormat="1" ht="19.95" customHeight="1" x14ac:dyDescent="0.3">
      <c r="A50" s="8" t="s">
        <v>18</v>
      </c>
    </row>
    <row r="51" spans="1:1" s="2" customFormat="1" ht="19.95" customHeight="1" x14ac:dyDescent="0.3">
      <c r="A51" s="132" t="s">
        <v>185</v>
      </c>
    </row>
    <row r="52" spans="1:1" s="2" customFormat="1" ht="19.95" customHeight="1" x14ac:dyDescent="0.3">
      <c r="A52" s="131" t="s">
        <v>184</v>
      </c>
    </row>
    <row r="53" spans="1:1" s="2" customFormat="1" ht="19.95" customHeight="1" x14ac:dyDescent="0.3"/>
  </sheetData>
  <mergeCells count="28">
    <mergeCell ref="H39:K39"/>
    <mergeCell ref="H40:K40"/>
    <mergeCell ref="H41:K41"/>
    <mergeCell ref="A1:K1"/>
    <mergeCell ref="A2:K2"/>
    <mergeCell ref="C13:D13"/>
    <mergeCell ref="E13:F13"/>
    <mergeCell ref="I13:J13"/>
    <mergeCell ref="A13:A14"/>
    <mergeCell ref="B13:B14"/>
    <mergeCell ref="H37:K37"/>
    <mergeCell ref="H38:K38"/>
    <mergeCell ref="I20:J20"/>
    <mergeCell ref="K20:K21"/>
    <mergeCell ref="A29:B29"/>
    <mergeCell ref="A10:K10"/>
    <mergeCell ref="H35:K35"/>
    <mergeCell ref="H36:K36"/>
    <mergeCell ref="C20:D20"/>
    <mergeCell ref="E20:F20"/>
    <mergeCell ref="G20:H20"/>
    <mergeCell ref="A20:A21"/>
    <mergeCell ref="B20:B21"/>
    <mergeCell ref="K13:K14"/>
    <mergeCell ref="H33:K33"/>
    <mergeCell ref="H34:K34"/>
    <mergeCell ref="A18:B18"/>
    <mergeCell ref="G13:H13"/>
  </mergeCells>
  <phoneticPr fontId="14" type="noConversion"/>
  <hyperlinks>
    <hyperlink ref="K3" location="底稿目录!A1" display="E1-19"/>
  </hyperlinks>
  <printOptions horizontalCentered="1"/>
  <pageMargins left="0.70866141732283472" right="0.70866141732283472" top="0.74803149606299213" bottom="0.74803149606299213" header="0.31496062992125984" footer="0.31496062992125984"/>
  <pageSetup paperSize="9" scale="70" fitToHeight="100" orientation="portrait" blackAndWhite="1" r:id="rId1"/>
  <headerFooter alignWithMargins="0">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8"/>
  <sheetViews>
    <sheetView view="pageBreakPreview" zoomScale="89" zoomScaleNormal="100" zoomScaleSheetLayoutView="89" workbookViewId="0">
      <selection sqref="A1:V1"/>
    </sheetView>
  </sheetViews>
  <sheetFormatPr defaultColWidth="8.6640625" defaultRowHeight="19.95" customHeight="1" x14ac:dyDescent="0.25"/>
  <cols>
    <col min="1" max="1" width="5.44140625" style="98" customWidth="1"/>
    <col min="2" max="2" width="12.5546875" style="98" customWidth="1"/>
    <col min="3" max="3" width="12.77734375" style="98" customWidth="1"/>
    <col min="4" max="4" width="8.6640625" style="98"/>
    <col min="5" max="5" width="9.6640625" style="98" customWidth="1"/>
    <col min="6" max="6" width="11" style="98" bestFit="1" customWidth="1"/>
    <col min="7" max="8" width="8.6640625" style="98"/>
    <col min="9" max="9" width="11.88671875" style="98" bestFit="1" customWidth="1"/>
    <col min="10" max="11" width="8.6640625" style="98"/>
    <col min="12" max="12" width="10" style="98" customWidth="1"/>
    <col min="13" max="13" width="11.88671875" style="98" bestFit="1" customWidth="1"/>
    <col min="14" max="14" width="8.6640625" style="98"/>
    <col min="15" max="15" width="12.5546875" style="98" customWidth="1"/>
    <col min="16" max="16" width="8.6640625" style="98"/>
    <col min="17" max="17" width="10.109375" style="98" customWidth="1"/>
    <col min="18" max="18" width="8.6640625" style="98"/>
    <col min="19" max="19" width="9.33203125" style="98" bestFit="1" customWidth="1"/>
    <col min="20" max="20" width="11" style="98" bestFit="1" customWidth="1"/>
    <col min="21" max="21" width="9.33203125" style="98" bestFit="1" customWidth="1"/>
    <col min="22" max="16384" width="8.6640625" style="98"/>
  </cols>
  <sheetData>
    <row r="1" spans="1:22" s="105" customFormat="1" ht="19.95" customHeight="1" x14ac:dyDescent="0.25">
      <c r="A1" s="166" t="s">
        <v>111</v>
      </c>
      <c r="B1" s="166"/>
      <c r="C1" s="166"/>
      <c r="D1" s="166"/>
      <c r="E1" s="166"/>
      <c r="F1" s="166"/>
      <c r="G1" s="166"/>
      <c r="H1" s="166"/>
      <c r="I1" s="166"/>
      <c r="J1" s="166"/>
      <c r="K1" s="166"/>
      <c r="L1" s="166"/>
      <c r="M1" s="166"/>
      <c r="N1" s="166"/>
      <c r="O1" s="166"/>
      <c r="P1" s="166"/>
      <c r="Q1" s="166"/>
      <c r="R1" s="166"/>
      <c r="S1" s="166"/>
      <c r="T1" s="166"/>
      <c r="U1" s="166"/>
      <c r="V1" s="166"/>
    </row>
    <row r="2" spans="1:22" s="105" customFormat="1" ht="19.95" customHeight="1" x14ac:dyDescent="0.25">
      <c r="A2" s="167" t="s">
        <v>121</v>
      </c>
      <c r="B2" s="167"/>
      <c r="C2" s="167"/>
      <c r="D2" s="167"/>
      <c r="E2" s="167"/>
      <c r="F2" s="167"/>
      <c r="G2" s="167"/>
      <c r="H2" s="167"/>
      <c r="I2" s="167"/>
      <c r="J2" s="167"/>
      <c r="K2" s="167"/>
      <c r="L2" s="167"/>
      <c r="M2" s="167"/>
      <c r="N2" s="167"/>
      <c r="O2" s="167"/>
      <c r="P2" s="167"/>
      <c r="Q2" s="167"/>
      <c r="R2" s="167"/>
      <c r="S2" s="167"/>
      <c r="T2" s="167"/>
      <c r="U2" s="167"/>
      <c r="V2" s="167"/>
    </row>
    <row r="3" spans="1:22" s="105" customFormat="1" ht="19.95" customHeight="1" x14ac:dyDescent="0.25">
      <c r="A3" s="105" t="str">
        <f>底稿目录!A2</f>
        <v>被审计单位：</v>
      </c>
      <c r="B3" s="96"/>
      <c r="C3" s="101"/>
      <c r="D3" s="101"/>
      <c r="G3" s="102"/>
      <c r="H3" s="105" t="str">
        <f>底稿目录!A4</f>
        <v>编制人：</v>
      </c>
      <c r="O3" s="105" t="str">
        <f>底稿目录!A5</f>
        <v>编制日期：</v>
      </c>
      <c r="U3" s="105" t="s">
        <v>124</v>
      </c>
      <c r="V3" s="145" t="str">
        <f>底稿目录!F4</f>
        <v>E1-15</v>
      </c>
    </row>
    <row r="4" spans="1:22" s="105" customFormat="1" ht="19.95" customHeight="1" x14ac:dyDescent="0.25">
      <c r="A4" s="105" t="str">
        <f>底稿目录!A3</f>
        <v>截止日：202X年12月31日</v>
      </c>
      <c r="B4" s="96"/>
      <c r="C4" s="101"/>
      <c r="D4" s="101"/>
      <c r="G4" s="102"/>
      <c r="H4" s="105" t="str">
        <f>底稿目录!A6</f>
        <v>复核人：</v>
      </c>
      <c r="O4" s="105" t="str">
        <f>底稿目录!A7</f>
        <v>复核日期：</v>
      </c>
      <c r="U4" s="105" t="s">
        <v>125</v>
      </c>
    </row>
    <row r="5" spans="1:22" s="105" customFormat="1" ht="19.95" customHeight="1" x14ac:dyDescent="0.25">
      <c r="A5" s="143" t="s">
        <v>209</v>
      </c>
      <c r="D5" s="97"/>
      <c r="E5" s="97"/>
      <c r="F5" s="96"/>
      <c r="G5" s="97"/>
    </row>
    <row r="6" spans="1:22" s="105" customFormat="1" ht="19.95" customHeight="1" x14ac:dyDescent="0.25">
      <c r="A6" s="10" t="s">
        <v>189</v>
      </c>
      <c r="C6" s="97"/>
      <c r="D6" s="97"/>
      <c r="E6" s="97"/>
      <c r="F6" s="96"/>
      <c r="G6" s="97"/>
    </row>
    <row r="7" spans="1:22" s="105" customFormat="1" ht="19.95" customHeight="1" x14ac:dyDescent="0.25">
      <c r="A7" s="10" t="s">
        <v>190</v>
      </c>
      <c r="C7" s="97"/>
      <c r="D7" s="97"/>
      <c r="E7" s="97"/>
      <c r="F7" s="96"/>
      <c r="G7" s="97"/>
    </row>
    <row r="8" spans="1:22" s="105" customFormat="1" ht="19.95" customHeight="1" x14ac:dyDescent="0.25">
      <c r="A8" s="10" t="s">
        <v>191</v>
      </c>
      <c r="C8" s="97"/>
      <c r="D8" s="97"/>
      <c r="E8" s="97"/>
      <c r="F8" s="96"/>
      <c r="G8" s="97"/>
    </row>
    <row r="9" spans="1:22" s="105" customFormat="1" ht="19.95" customHeight="1" x14ac:dyDescent="0.25">
      <c r="A9" s="143" t="s">
        <v>210</v>
      </c>
      <c r="D9" s="96"/>
      <c r="E9" s="96"/>
      <c r="F9" s="96"/>
      <c r="G9" s="96"/>
    </row>
    <row r="10" spans="1:22" s="105" customFormat="1" ht="19.95" customHeight="1" x14ac:dyDescent="0.25">
      <c r="A10" s="164" t="s">
        <v>126</v>
      </c>
      <c r="B10" s="164" t="s">
        <v>127</v>
      </c>
      <c r="C10" s="164"/>
      <c r="D10" s="164"/>
      <c r="E10" s="164"/>
      <c r="F10" s="164"/>
      <c r="G10" s="164"/>
      <c r="H10" s="164"/>
      <c r="I10" s="165" t="s">
        <v>128</v>
      </c>
      <c r="J10" s="165"/>
      <c r="K10" s="165"/>
      <c r="L10" s="165"/>
      <c r="M10" s="165" t="s">
        <v>129</v>
      </c>
      <c r="N10" s="165"/>
      <c r="O10" s="165"/>
      <c r="P10" s="165"/>
      <c r="Q10" s="165"/>
      <c r="R10" s="165"/>
      <c r="S10" s="164" t="s">
        <v>130</v>
      </c>
      <c r="T10" s="168" t="s">
        <v>187</v>
      </c>
      <c r="U10" s="164" t="s">
        <v>131</v>
      </c>
      <c r="V10" s="164" t="s">
        <v>132</v>
      </c>
    </row>
    <row r="11" spans="1:22" s="105" customFormat="1" ht="19.95" customHeight="1" x14ac:dyDescent="0.25">
      <c r="A11" s="164"/>
      <c r="B11" s="164" t="s">
        <v>133</v>
      </c>
      <c r="C11" s="164"/>
      <c r="D11" s="164"/>
      <c r="E11" s="164" t="s">
        <v>133</v>
      </c>
      <c r="F11" s="164"/>
      <c r="G11" s="164"/>
      <c r="H11" s="164" t="s">
        <v>119</v>
      </c>
      <c r="I11" s="164" t="s">
        <v>133</v>
      </c>
      <c r="J11" s="164"/>
      <c r="K11" s="164"/>
      <c r="L11" s="165" t="s">
        <v>134</v>
      </c>
      <c r="M11" s="164" t="s">
        <v>133</v>
      </c>
      <c r="N11" s="164"/>
      <c r="O11" s="164" t="s">
        <v>133</v>
      </c>
      <c r="P11" s="164"/>
      <c r="Q11" s="165" t="s">
        <v>134</v>
      </c>
      <c r="R11" s="164" t="s">
        <v>119</v>
      </c>
      <c r="S11" s="164"/>
      <c r="T11" s="164"/>
      <c r="U11" s="164"/>
      <c r="V11" s="164"/>
    </row>
    <row r="12" spans="1:22" s="105" customFormat="1" ht="19.95" customHeight="1" x14ac:dyDescent="0.25">
      <c r="A12" s="164"/>
      <c r="B12" s="164" t="s">
        <v>135</v>
      </c>
      <c r="C12" s="164"/>
      <c r="D12" s="106">
        <v>5.0000000000000001E-4</v>
      </c>
      <c r="E12" s="164" t="s">
        <v>135</v>
      </c>
      <c r="F12" s="164"/>
      <c r="G12" s="106">
        <v>5.0000000000000001E-4</v>
      </c>
      <c r="H12" s="164"/>
      <c r="I12" s="165" t="s">
        <v>136</v>
      </c>
      <c r="J12" s="165" t="s">
        <v>137</v>
      </c>
      <c r="K12" s="165" t="s">
        <v>119</v>
      </c>
      <c r="L12" s="165"/>
      <c r="M12" s="165" t="s">
        <v>136</v>
      </c>
      <c r="N12" s="165" t="s">
        <v>137</v>
      </c>
      <c r="O12" s="165" t="s">
        <v>136</v>
      </c>
      <c r="P12" s="165" t="s">
        <v>137</v>
      </c>
      <c r="Q12" s="165"/>
      <c r="R12" s="164"/>
      <c r="S12" s="164"/>
      <c r="T12" s="164"/>
      <c r="U12" s="164"/>
      <c r="V12" s="164"/>
    </row>
    <row r="13" spans="1:22" s="107" customFormat="1" ht="19.95" customHeight="1" x14ac:dyDescent="0.25">
      <c r="A13" s="164"/>
      <c r="B13" s="122" t="s">
        <v>136</v>
      </c>
      <c r="C13" s="122" t="s">
        <v>138</v>
      </c>
      <c r="D13" s="122" t="s">
        <v>134</v>
      </c>
      <c r="E13" s="122" t="s">
        <v>136</v>
      </c>
      <c r="F13" s="122" t="s">
        <v>138</v>
      </c>
      <c r="G13" s="122" t="s">
        <v>134</v>
      </c>
      <c r="H13" s="164"/>
      <c r="I13" s="165"/>
      <c r="J13" s="165"/>
      <c r="K13" s="165"/>
      <c r="L13" s="165"/>
      <c r="M13" s="165"/>
      <c r="N13" s="165"/>
      <c r="O13" s="165"/>
      <c r="P13" s="165"/>
      <c r="Q13" s="165"/>
      <c r="R13" s="164"/>
      <c r="S13" s="164"/>
      <c r="T13" s="164"/>
      <c r="U13" s="164"/>
      <c r="V13" s="164"/>
    </row>
    <row r="14" spans="1:22" s="105" customFormat="1" ht="19.95" customHeight="1" x14ac:dyDescent="0.25">
      <c r="A14" s="140" t="s">
        <v>139</v>
      </c>
      <c r="B14" s="110"/>
      <c r="C14" s="110"/>
      <c r="D14" s="99">
        <f>SUM(B14:C14)*$D$12/12</f>
        <v>0</v>
      </c>
      <c r="E14" s="110"/>
      <c r="F14" s="110"/>
      <c r="G14" s="99">
        <f>SUM(E14:F14)*$G$12/12</f>
        <v>0</v>
      </c>
      <c r="H14" s="108"/>
      <c r="I14" s="110"/>
      <c r="J14" s="109"/>
      <c r="K14" s="108"/>
      <c r="L14" s="99">
        <f>I14*J14/12</f>
        <v>0</v>
      </c>
      <c r="M14" s="110"/>
      <c r="N14" s="109"/>
      <c r="O14" s="110"/>
      <c r="P14" s="109"/>
      <c r="Q14" s="99">
        <f>(M14*N14+O14*P14)/12</f>
        <v>0</v>
      </c>
      <c r="R14" s="108"/>
      <c r="S14" s="100">
        <f>D14+G14+L14+Q14</f>
        <v>0</v>
      </c>
      <c r="T14" s="110"/>
      <c r="U14" s="100">
        <f>S14-T14</f>
        <v>0</v>
      </c>
      <c r="V14" s="108"/>
    </row>
    <row r="15" spans="1:22" s="105" customFormat="1" ht="19.95" customHeight="1" x14ac:dyDescent="0.25">
      <c r="A15" s="140" t="s">
        <v>140</v>
      </c>
      <c r="B15" s="110"/>
      <c r="C15" s="110"/>
      <c r="D15" s="99">
        <f t="shared" ref="D15:D25" si="0">SUM(B15:C15)*$D$12/12</f>
        <v>0</v>
      </c>
      <c r="E15" s="110"/>
      <c r="F15" s="110"/>
      <c r="G15" s="99">
        <f t="shared" ref="G15:G25" si="1">SUM(E15:F15)*$G$12/12</f>
        <v>0</v>
      </c>
      <c r="H15" s="108"/>
      <c r="I15" s="110"/>
      <c r="J15" s="109"/>
      <c r="K15" s="108"/>
      <c r="L15" s="99">
        <f t="shared" ref="L15:L25" si="2">I15*J15/12</f>
        <v>0</v>
      </c>
      <c r="M15" s="110"/>
      <c r="N15" s="109"/>
      <c r="O15" s="110"/>
      <c r="P15" s="109"/>
      <c r="Q15" s="99">
        <f t="shared" ref="Q15:Q25" si="3">(M15*N15+O15*P15)/12</f>
        <v>0</v>
      </c>
      <c r="R15" s="108"/>
      <c r="S15" s="100">
        <f t="shared" ref="S15:S25" si="4">D15+G15+L15+Q15</f>
        <v>0</v>
      </c>
      <c r="T15" s="110"/>
      <c r="U15" s="100">
        <f t="shared" ref="U15:U25" si="5">S15-T15</f>
        <v>0</v>
      </c>
      <c r="V15" s="108"/>
    </row>
    <row r="16" spans="1:22" s="105" customFormat="1" ht="19.95" customHeight="1" x14ac:dyDescent="0.25">
      <c r="A16" s="140" t="s">
        <v>141</v>
      </c>
      <c r="B16" s="110"/>
      <c r="C16" s="110"/>
      <c r="D16" s="99">
        <f t="shared" si="0"/>
        <v>0</v>
      </c>
      <c r="E16" s="110"/>
      <c r="F16" s="110"/>
      <c r="G16" s="99">
        <f t="shared" si="1"/>
        <v>0</v>
      </c>
      <c r="H16" s="108"/>
      <c r="I16" s="110"/>
      <c r="J16" s="109"/>
      <c r="K16" s="108"/>
      <c r="L16" s="99">
        <f t="shared" si="2"/>
        <v>0</v>
      </c>
      <c r="M16" s="110"/>
      <c r="N16" s="109"/>
      <c r="O16" s="110"/>
      <c r="P16" s="109"/>
      <c r="Q16" s="99">
        <f t="shared" si="3"/>
        <v>0</v>
      </c>
      <c r="R16" s="108"/>
      <c r="S16" s="100">
        <f t="shared" si="4"/>
        <v>0</v>
      </c>
      <c r="T16" s="110"/>
      <c r="U16" s="100">
        <f t="shared" si="5"/>
        <v>0</v>
      </c>
      <c r="V16" s="108"/>
    </row>
    <row r="17" spans="1:22" s="105" customFormat="1" ht="19.95" customHeight="1" x14ac:dyDescent="0.25">
      <c r="A17" s="140" t="s">
        <v>142</v>
      </c>
      <c r="B17" s="110"/>
      <c r="C17" s="110"/>
      <c r="D17" s="99">
        <f t="shared" si="0"/>
        <v>0</v>
      </c>
      <c r="E17" s="110"/>
      <c r="F17" s="110"/>
      <c r="G17" s="99">
        <f t="shared" si="1"/>
        <v>0</v>
      </c>
      <c r="H17" s="108"/>
      <c r="I17" s="110"/>
      <c r="J17" s="109"/>
      <c r="K17" s="108"/>
      <c r="L17" s="99">
        <f t="shared" si="2"/>
        <v>0</v>
      </c>
      <c r="M17" s="110"/>
      <c r="N17" s="109"/>
      <c r="O17" s="110"/>
      <c r="P17" s="109"/>
      <c r="Q17" s="99">
        <f t="shared" si="3"/>
        <v>0</v>
      </c>
      <c r="R17" s="108"/>
      <c r="S17" s="100">
        <f t="shared" si="4"/>
        <v>0</v>
      </c>
      <c r="T17" s="110"/>
      <c r="U17" s="100">
        <f t="shared" si="5"/>
        <v>0</v>
      </c>
      <c r="V17" s="108"/>
    </row>
    <row r="18" spans="1:22" s="105" customFormat="1" ht="19.95" customHeight="1" x14ac:dyDescent="0.25">
      <c r="A18" s="140" t="s">
        <v>143</v>
      </c>
      <c r="B18" s="110"/>
      <c r="C18" s="110"/>
      <c r="D18" s="99">
        <f t="shared" si="0"/>
        <v>0</v>
      </c>
      <c r="E18" s="110"/>
      <c r="F18" s="110"/>
      <c r="G18" s="99">
        <f t="shared" si="1"/>
        <v>0</v>
      </c>
      <c r="H18" s="108"/>
      <c r="I18" s="110"/>
      <c r="J18" s="109"/>
      <c r="K18" s="108"/>
      <c r="L18" s="99">
        <f t="shared" si="2"/>
        <v>0</v>
      </c>
      <c r="M18" s="110"/>
      <c r="N18" s="109"/>
      <c r="O18" s="110"/>
      <c r="P18" s="109"/>
      <c r="Q18" s="99">
        <f t="shared" si="3"/>
        <v>0</v>
      </c>
      <c r="R18" s="108"/>
      <c r="S18" s="100">
        <f t="shared" si="4"/>
        <v>0</v>
      </c>
      <c r="T18" s="110"/>
      <c r="U18" s="100">
        <f t="shared" si="5"/>
        <v>0</v>
      </c>
      <c r="V18" s="108"/>
    </row>
    <row r="19" spans="1:22" s="105" customFormat="1" ht="19.95" customHeight="1" x14ac:dyDescent="0.25">
      <c r="A19" s="140" t="s">
        <v>144</v>
      </c>
      <c r="B19" s="110"/>
      <c r="C19" s="110"/>
      <c r="D19" s="99">
        <f t="shared" si="0"/>
        <v>0</v>
      </c>
      <c r="E19" s="110"/>
      <c r="F19" s="110"/>
      <c r="G19" s="99">
        <f t="shared" si="1"/>
        <v>0</v>
      </c>
      <c r="H19" s="108"/>
      <c r="I19" s="110"/>
      <c r="J19" s="109"/>
      <c r="K19" s="108"/>
      <c r="L19" s="99">
        <f t="shared" si="2"/>
        <v>0</v>
      </c>
      <c r="M19" s="110"/>
      <c r="N19" s="109"/>
      <c r="O19" s="110"/>
      <c r="P19" s="109"/>
      <c r="Q19" s="99">
        <f t="shared" si="3"/>
        <v>0</v>
      </c>
      <c r="R19" s="108"/>
      <c r="S19" s="100">
        <f t="shared" si="4"/>
        <v>0</v>
      </c>
      <c r="T19" s="110"/>
      <c r="U19" s="100">
        <f t="shared" si="5"/>
        <v>0</v>
      </c>
      <c r="V19" s="108"/>
    </row>
    <row r="20" spans="1:22" s="105" customFormat="1" ht="19.95" customHeight="1" x14ac:dyDescent="0.25">
      <c r="A20" s="140" t="s">
        <v>145</v>
      </c>
      <c r="B20" s="110"/>
      <c r="C20" s="110"/>
      <c r="D20" s="99">
        <f t="shared" si="0"/>
        <v>0</v>
      </c>
      <c r="E20" s="110"/>
      <c r="F20" s="110"/>
      <c r="G20" s="99">
        <f t="shared" si="1"/>
        <v>0</v>
      </c>
      <c r="H20" s="108"/>
      <c r="I20" s="110"/>
      <c r="J20" s="109"/>
      <c r="K20" s="108"/>
      <c r="L20" s="99">
        <f t="shared" si="2"/>
        <v>0</v>
      </c>
      <c r="M20" s="110"/>
      <c r="N20" s="109"/>
      <c r="O20" s="110"/>
      <c r="P20" s="109"/>
      <c r="Q20" s="99">
        <f t="shared" si="3"/>
        <v>0</v>
      </c>
      <c r="R20" s="108"/>
      <c r="S20" s="100">
        <f t="shared" si="4"/>
        <v>0</v>
      </c>
      <c r="T20" s="110"/>
      <c r="U20" s="100">
        <f t="shared" si="5"/>
        <v>0</v>
      </c>
      <c r="V20" s="108"/>
    </row>
    <row r="21" spans="1:22" s="105" customFormat="1" ht="19.95" customHeight="1" x14ac:dyDescent="0.25">
      <c r="A21" s="140" t="s">
        <v>146</v>
      </c>
      <c r="B21" s="110"/>
      <c r="C21" s="110"/>
      <c r="D21" s="99">
        <f t="shared" si="0"/>
        <v>0</v>
      </c>
      <c r="E21" s="110"/>
      <c r="F21" s="110"/>
      <c r="G21" s="99">
        <f t="shared" si="1"/>
        <v>0</v>
      </c>
      <c r="H21" s="108"/>
      <c r="I21" s="110"/>
      <c r="J21" s="109"/>
      <c r="K21" s="108"/>
      <c r="L21" s="99">
        <f t="shared" si="2"/>
        <v>0</v>
      </c>
      <c r="M21" s="110"/>
      <c r="N21" s="109"/>
      <c r="O21" s="110"/>
      <c r="P21" s="109"/>
      <c r="Q21" s="99">
        <f t="shared" si="3"/>
        <v>0</v>
      </c>
      <c r="R21" s="108"/>
      <c r="S21" s="100">
        <f t="shared" si="4"/>
        <v>0</v>
      </c>
      <c r="T21" s="110"/>
      <c r="U21" s="100">
        <f t="shared" si="5"/>
        <v>0</v>
      </c>
      <c r="V21" s="108"/>
    </row>
    <row r="22" spans="1:22" s="105" customFormat="1" ht="19.95" customHeight="1" x14ac:dyDescent="0.25">
      <c r="A22" s="140" t="s">
        <v>147</v>
      </c>
      <c r="B22" s="110"/>
      <c r="C22" s="110"/>
      <c r="D22" s="99">
        <f t="shared" si="0"/>
        <v>0</v>
      </c>
      <c r="E22" s="110"/>
      <c r="F22" s="110"/>
      <c r="G22" s="99">
        <f t="shared" si="1"/>
        <v>0</v>
      </c>
      <c r="H22" s="108"/>
      <c r="I22" s="110"/>
      <c r="J22" s="109"/>
      <c r="K22" s="108"/>
      <c r="L22" s="99">
        <f t="shared" si="2"/>
        <v>0</v>
      </c>
      <c r="M22" s="110"/>
      <c r="N22" s="109"/>
      <c r="O22" s="110"/>
      <c r="P22" s="109"/>
      <c r="Q22" s="99">
        <f t="shared" si="3"/>
        <v>0</v>
      </c>
      <c r="R22" s="108"/>
      <c r="S22" s="100">
        <f t="shared" si="4"/>
        <v>0</v>
      </c>
      <c r="T22" s="110"/>
      <c r="U22" s="100">
        <f t="shared" si="5"/>
        <v>0</v>
      </c>
      <c r="V22" s="108"/>
    </row>
    <row r="23" spans="1:22" s="105" customFormat="1" ht="19.95" customHeight="1" x14ac:dyDescent="0.25">
      <c r="A23" s="140" t="s">
        <v>148</v>
      </c>
      <c r="B23" s="110"/>
      <c r="C23" s="110"/>
      <c r="D23" s="99">
        <f t="shared" si="0"/>
        <v>0</v>
      </c>
      <c r="E23" s="110"/>
      <c r="F23" s="110"/>
      <c r="G23" s="99">
        <f t="shared" si="1"/>
        <v>0</v>
      </c>
      <c r="H23" s="108"/>
      <c r="I23" s="110"/>
      <c r="J23" s="109"/>
      <c r="K23" s="108"/>
      <c r="L23" s="99">
        <f t="shared" si="2"/>
        <v>0</v>
      </c>
      <c r="M23" s="110"/>
      <c r="N23" s="109"/>
      <c r="O23" s="110"/>
      <c r="P23" s="109"/>
      <c r="Q23" s="99">
        <f t="shared" si="3"/>
        <v>0</v>
      </c>
      <c r="R23" s="108"/>
      <c r="S23" s="100">
        <f t="shared" si="4"/>
        <v>0</v>
      </c>
      <c r="T23" s="110"/>
      <c r="U23" s="100">
        <f t="shared" si="5"/>
        <v>0</v>
      </c>
      <c r="V23" s="108"/>
    </row>
    <row r="24" spans="1:22" s="105" customFormat="1" ht="19.95" customHeight="1" x14ac:dyDescent="0.25">
      <c r="A24" s="140" t="s">
        <v>149</v>
      </c>
      <c r="B24" s="110"/>
      <c r="C24" s="110"/>
      <c r="D24" s="99">
        <f t="shared" si="0"/>
        <v>0</v>
      </c>
      <c r="E24" s="110"/>
      <c r="F24" s="110"/>
      <c r="G24" s="99">
        <f t="shared" si="1"/>
        <v>0</v>
      </c>
      <c r="H24" s="108"/>
      <c r="I24" s="110"/>
      <c r="J24" s="109"/>
      <c r="K24" s="108"/>
      <c r="L24" s="99">
        <f t="shared" si="2"/>
        <v>0</v>
      </c>
      <c r="M24" s="110"/>
      <c r="N24" s="109"/>
      <c r="O24" s="110"/>
      <c r="P24" s="109"/>
      <c r="Q24" s="99">
        <f t="shared" si="3"/>
        <v>0</v>
      </c>
      <c r="R24" s="108"/>
      <c r="S24" s="100">
        <f t="shared" si="4"/>
        <v>0</v>
      </c>
      <c r="T24" s="110"/>
      <c r="U24" s="100">
        <f t="shared" si="5"/>
        <v>0</v>
      </c>
      <c r="V24" s="108"/>
    </row>
    <row r="25" spans="1:22" s="105" customFormat="1" ht="19.95" customHeight="1" x14ac:dyDescent="0.25">
      <c r="A25" s="140" t="s">
        <v>150</v>
      </c>
      <c r="B25" s="110"/>
      <c r="C25" s="110"/>
      <c r="D25" s="99">
        <f t="shared" si="0"/>
        <v>0</v>
      </c>
      <c r="E25" s="110"/>
      <c r="F25" s="110"/>
      <c r="G25" s="99">
        <f t="shared" si="1"/>
        <v>0</v>
      </c>
      <c r="H25" s="108"/>
      <c r="I25" s="110"/>
      <c r="J25" s="109"/>
      <c r="K25" s="108"/>
      <c r="L25" s="99">
        <f t="shared" si="2"/>
        <v>0</v>
      </c>
      <c r="M25" s="110"/>
      <c r="N25" s="109"/>
      <c r="O25" s="110"/>
      <c r="P25" s="109"/>
      <c r="Q25" s="99">
        <f t="shared" si="3"/>
        <v>0</v>
      </c>
      <c r="R25" s="108"/>
      <c r="S25" s="100">
        <f t="shared" si="4"/>
        <v>0</v>
      </c>
      <c r="T25" s="110"/>
      <c r="U25" s="100">
        <f t="shared" si="5"/>
        <v>0</v>
      </c>
      <c r="V25" s="108"/>
    </row>
    <row r="26" spans="1:22" s="105" customFormat="1" ht="19.95" customHeight="1" x14ac:dyDescent="0.25">
      <c r="A26" s="124" t="s">
        <v>151</v>
      </c>
      <c r="B26" s="99" t="s">
        <v>120</v>
      </c>
      <c r="C26" s="99" t="s">
        <v>120</v>
      </c>
      <c r="D26" s="99">
        <f>SUM(D14:D25)</f>
        <v>0</v>
      </c>
      <c r="E26" s="99" t="s">
        <v>120</v>
      </c>
      <c r="F26" s="99" t="s">
        <v>120</v>
      </c>
      <c r="G26" s="99">
        <f>SUM(G14:G25)</f>
        <v>0</v>
      </c>
      <c r="H26" s="99" t="s">
        <v>120</v>
      </c>
      <c r="I26" s="99" t="s">
        <v>120</v>
      </c>
      <c r="J26" s="99" t="s">
        <v>120</v>
      </c>
      <c r="K26" s="99" t="s">
        <v>120</v>
      </c>
      <c r="L26" s="99">
        <f>SUM(L14:L25)</f>
        <v>0</v>
      </c>
      <c r="M26" s="99" t="s">
        <v>120</v>
      </c>
      <c r="N26" s="99" t="s">
        <v>120</v>
      </c>
      <c r="O26" s="99" t="s">
        <v>120</v>
      </c>
      <c r="P26" s="99" t="s">
        <v>120</v>
      </c>
      <c r="Q26" s="99">
        <f>SUM(Q14:Q25)</f>
        <v>0</v>
      </c>
      <c r="R26" s="99" t="s">
        <v>120</v>
      </c>
      <c r="S26" s="99">
        <f>SUM(S14:S25)</f>
        <v>0</v>
      </c>
      <c r="T26" s="99">
        <f>SUM(T14:T25)</f>
        <v>0</v>
      </c>
      <c r="U26" s="99">
        <f>SUM(U14:U25)</f>
        <v>0</v>
      </c>
      <c r="V26" s="99" t="s">
        <v>120</v>
      </c>
    </row>
    <row r="27" spans="1:22" s="105" customFormat="1" ht="19.95" customHeight="1" x14ac:dyDescent="0.25"/>
    <row r="28" spans="1:22" s="105" customFormat="1" ht="19.95" customHeight="1" x14ac:dyDescent="0.25">
      <c r="A28" s="10" t="s">
        <v>24</v>
      </c>
    </row>
    <row r="29" spans="1:22" s="105" customFormat="1" ht="19.95" customHeight="1" x14ac:dyDescent="0.25">
      <c r="A29" s="135" t="s">
        <v>216</v>
      </c>
    </row>
    <row r="30" spans="1:22" s="105" customFormat="1" ht="19.95" customHeight="1" x14ac:dyDescent="0.25">
      <c r="A30" s="10"/>
      <c r="C30" s="141"/>
    </row>
    <row r="31" spans="1:22" s="105" customFormat="1" ht="19.95" customHeight="1" x14ac:dyDescent="0.25">
      <c r="A31" s="36" t="s">
        <v>18</v>
      </c>
    </row>
    <row r="32" spans="1:22" s="105" customFormat="1" ht="19.95" customHeight="1" x14ac:dyDescent="0.25">
      <c r="A32" s="10"/>
    </row>
    <row r="33" spans="1:1" ht="19.95" customHeight="1" x14ac:dyDescent="0.25">
      <c r="A33" s="133" t="s">
        <v>186</v>
      </c>
    </row>
    <row r="34" spans="1:1" ht="19.95" customHeight="1" x14ac:dyDescent="0.25">
      <c r="A34" s="134" t="s">
        <v>207</v>
      </c>
    </row>
    <row r="35" spans="1:1" ht="19.95" customHeight="1" x14ac:dyDescent="0.25">
      <c r="A35" s="142" t="s">
        <v>208</v>
      </c>
    </row>
    <row r="36" spans="1:1" ht="19.95" customHeight="1" x14ac:dyDescent="0.25">
      <c r="A36" s="10"/>
    </row>
    <row r="37" spans="1:1" ht="19.95" customHeight="1" x14ac:dyDescent="0.25">
      <c r="A37" s="10"/>
    </row>
    <row r="38" spans="1:1" ht="19.95" customHeight="1" x14ac:dyDescent="0.25">
      <c r="A38" s="10"/>
    </row>
  </sheetData>
  <mergeCells count="28">
    <mergeCell ref="A1:V1"/>
    <mergeCell ref="A2:V2"/>
    <mergeCell ref="S10:S13"/>
    <mergeCell ref="T10:T13"/>
    <mergeCell ref="U10:U13"/>
    <mergeCell ref="V10:V13"/>
    <mergeCell ref="B12:C12"/>
    <mergeCell ref="E12:F12"/>
    <mergeCell ref="I12:I13"/>
    <mergeCell ref="J12:J13"/>
    <mergeCell ref="K12:K13"/>
    <mergeCell ref="M12:M13"/>
    <mergeCell ref="L11:L13"/>
    <mergeCell ref="M11:N11"/>
    <mergeCell ref="O11:P11"/>
    <mergeCell ref="Q11:Q13"/>
    <mergeCell ref="R11:R13"/>
    <mergeCell ref="N12:N13"/>
    <mergeCell ref="O12:O13"/>
    <mergeCell ref="P12:P13"/>
    <mergeCell ref="A10:A13"/>
    <mergeCell ref="B10:H10"/>
    <mergeCell ref="I10:L10"/>
    <mergeCell ref="M10:R10"/>
    <mergeCell ref="B11:D11"/>
    <mergeCell ref="E11:G11"/>
    <mergeCell ref="H11:H13"/>
    <mergeCell ref="I11:K11"/>
  </mergeCells>
  <phoneticPr fontId="2" type="noConversion"/>
  <hyperlinks>
    <hyperlink ref="V3" location="底稿目录!A1" display="底稿目录!A1"/>
  </hyperlinks>
  <pageMargins left="0.70866141732283472" right="0.70866141732283472" top="0.74803149606299213" bottom="0.74803149606299213" header="0.31496062992125984" footer="0.31496062992125984"/>
  <pageSetup paperSize="9" scale="59" fitToHeight="0"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P89"/>
  <sheetViews>
    <sheetView view="pageBreakPreview" topLeftCell="A34" zoomScale="80" zoomScaleNormal="100" zoomScaleSheetLayoutView="80" workbookViewId="0">
      <selection activeCell="B67" sqref="B67:B68"/>
    </sheetView>
  </sheetViews>
  <sheetFormatPr defaultColWidth="9" defaultRowHeight="15.6" x14ac:dyDescent="0.3"/>
  <cols>
    <col min="1" max="1" width="6" style="1" customWidth="1"/>
    <col min="2" max="2" width="30.21875" style="1" customWidth="1"/>
    <col min="3" max="3" width="13.109375" style="1" customWidth="1"/>
    <col min="4" max="4" width="11.109375" style="1" customWidth="1"/>
    <col min="5" max="5" width="11.33203125" style="1" customWidth="1"/>
    <col min="6" max="6" width="9.33203125" style="1" customWidth="1"/>
    <col min="7" max="7" width="12.44140625" style="1" customWidth="1"/>
    <col min="8" max="8" width="10.88671875" style="1" customWidth="1"/>
    <col min="9" max="9" width="12.77734375" style="1" customWidth="1"/>
    <col min="10" max="11" width="11.109375" style="1" customWidth="1"/>
    <col min="12" max="16384" width="9" style="1"/>
  </cols>
  <sheetData>
    <row r="1" spans="1:16" ht="20.100000000000001" customHeight="1" x14ac:dyDescent="0.3">
      <c r="A1" s="171" t="s">
        <v>111</v>
      </c>
      <c r="B1" s="171"/>
      <c r="C1" s="171"/>
      <c r="D1" s="171"/>
      <c r="E1" s="171"/>
      <c r="F1" s="171"/>
      <c r="G1" s="171"/>
      <c r="H1" s="171"/>
      <c r="I1" s="171"/>
      <c r="J1" s="171"/>
      <c r="K1" s="171"/>
      <c r="L1" s="45"/>
      <c r="M1" s="45"/>
      <c r="N1" s="45"/>
      <c r="O1" s="45"/>
      <c r="P1" s="45"/>
    </row>
    <row r="2" spans="1:16" ht="24.9" customHeight="1" x14ac:dyDescent="0.3">
      <c r="A2" s="172" t="s">
        <v>110</v>
      </c>
      <c r="B2" s="160"/>
      <c r="C2" s="160"/>
      <c r="D2" s="160"/>
      <c r="E2" s="160"/>
      <c r="F2" s="160"/>
      <c r="G2" s="160"/>
      <c r="H2" s="160"/>
      <c r="I2" s="160"/>
      <c r="J2" s="160"/>
      <c r="K2" s="160"/>
      <c r="L2" s="44"/>
      <c r="M2" s="44"/>
      <c r="N2" s="44"/>
      <c r="O2" s="44"/>
      <c r="P2" s="44"/>
    </row>
    <row r="3" spans="1:16" ht="20.100000000000001" customHeight="1" x14ac:dyDescent="0.3">
      <c r="A3" s="41" t="str">
        <f>底稿目录!A2</f>
        <v>被审计单位：</v>
      </c>
      <c r="B3" s="41"/>
      <c r="C3" s="10"/>
      <c r="D3" s="42" t="str">
        <f>底稿目录!A4</f>
        <v>编制人：</v>
      </c>
      <c r="F3" s="41"/>
      <c r="H3" s="41" t="str">
        <f>底稿目录!A5</f>
        <v>编制日期：</v>
      </c>
      <c r="J3" s="37" t="s">
        <v>109</v>
      </c>
      <c r="K3" s="38" t="s">
        <v>108</v>
      </c>
      <c r="L3" s="10"/>
      <c r="M3" s="10"/>
      <c r="N3" s="10"/>
    </row>
    <row r="4" spans="1:16" ht="20.100000000000001" customHeight="1" x14ac:dyDescent="0.3">
      <c r="A4" s="41" t="str">
        <f>底稿目录!A3</f>
        <v>截止日：202X年12月31日</v>
      </c>
      <c r="B4" s="43"/>
      <c r="C4" s="10"/>
      <c r="D4" s="42" t="str">
        <f>底稿目录!A6</f>
        <v>复核人：</v>
      </c>
      <c r="F4" s="41"/>
      <c r="H4" s="41" t="str">
        <f>底稿目录!A7</f>
        <v>复核日期：</v>
      </c>
      <c r="J4" s="37" t="s">
        <v>107</v>
      </c>
      <c r="K4" s="10"/>
      <c r="L4" s="10"/>
      <c r="M4" s="10"/>
      <c r="N4" s="10"/>
    </row>
    <row r="5" spans="1:16" ht="20.100000000000001" customHeight="1" x14ac:dyDescent="0.3">
      <c r="A5" s="40" t="s">
        <v>106</v>
      </c>
      <c r="B5" s="39"/>
      <c r="C5" s="10"/>
      <c r="D5" s="10"/>
      <c r="E5" s="38"/>
      <c r="F5" s="38"/>
      <c r="G5" s="38"/>
      <c r="H5" s="38"/>
      <c r="I5" s="38"/>
      <c r="J5" s="10"/>
      <c r="K5" s="38"/>
      <c r="L5" s="10"/>
      <c r="M5" s="10"/>
      <c r="N5" s="10"/>
      <c r="O5" s="37"/>
      <c r="P5" s="10"/>
    </row>
    <row r="6" spans="1:16" ht="20.100000000000001" customHeight="1" x14ac:dyDescent="0.3">
      <c r="A6" s="33">
        <v>1</v>
      </c>
      <c r="B6" s="9" t="s">
        <v>105</v>
      </c>
      <c r="C6" s="2"/>
      <c r="D6" s="2"/>
      <c r="E6" s="2"/>
      <c r="G6" s="2"/>
    </row>
    <row r="7" spans="1:16" ht="20.100000000000001" customHeight="1" x14ac:dyDescent="0.3">
      <c r="A7" s="33">
        <v>2</v>
      </c>
      <c r="B7" s="9" t="s">
        <v>104</v>
      </c>
      <c r="C7" s="2"/>
      <c r="D7" s="2"/>
      <c r="E7" s="2"/>
      <c r="G7" s="2"/>
    </row>
    <row r="8" spans="1:16" ht="20.100000000000001" customHeight="1" x14ac:dyDescent="0.3">
      <c r="A8" s="36" t="s">
        <v>103</v>
      </c>
      <c r="B8" s="35"/>
    </row>
    <row r="9" spans="1:16" ht="20.100000000000001" customHeight="1" x14ac:dyDescent="0.3">
      <c r="A9" s="33">
        <v>1</v>
      </c>
      <c r="B9" s="34" t="s">
        <v>102</v>
      </c>
    </row>
    <row r="10" spans="1:16" ht="29.25" customHeight="1" x14ac:dyDescent="0.3">
      <c r="A10" s="33">
        <v>2</v>
      </c>
      <c r="B10" s="173" t="s">
        <v>101</v>
      </c>
      <c r="C10" s="173"/>
      <c r="D10" s="173"/>
      <c r="E10" s="173"/>
      <c r="F10" s="173"/>
      <c r="G10" s="173"/>
      <c r="H10" s="173"/>
      <c r="I10" s="173"/>
      <c r="J10" s="173"/>
      <c r="K10" s="173"/>
    </row>
    <row r="11" spans="1:16" ht="20.100000000000001" customHeight="1" x14ac:dyDescent="0.3">
      <c r="A11" s="33">
        <v>3</v>
      </c>
      <c r="B11" s="34" t="s">
        <v>100</v>
      </c>
    </row>
    <row r="12" spans="1:16" ht="20.100000000000001" customHeight="1" x14ac:dyDescent="0.3">
      <c r="A12" s="33">
        <v>4</v>
      </c>
      <c r="B12" s="34" t="s">
        <v>99</v>
      </c>
    </row>
    <row r="13" spans="1:16" ht="20.100000000000001" customHeight="1" x14ac:dyDescent="0.3">
      <c r="A13" s="95" t="s">
        <v>118</v>
      </c>
      <c r="B13" s="93" t="s">
        <v>98</v>
      </c>
      <c r="C13" s="94"/>
      <c r="D13" s="94"/>
      <c r="E13" s="94"/>
      <c r="F13" s="94"/>
      <c r="G13" s="94"/>
      <c r="H13" s="94"/>
      <c r="I13" s="94"/>
      <c r="J13" s="94"/>
      <c r="K13" s="94"/>
    </row>
    <row r="14" spans="1:16" ht="27.75" customHeight="1" x14ac:dyDescent="0.3">
      <c r="A14" s="95" t="s">
        <v>118</v>
      </c>
      <c r="B14" s="174" t="s">
        <v>97</v>
      </c>
      <c r="C14" s="174"/>
      <c r="D14" s="174"/>
      <c r="E14" s="174"/>
      <c r="F14" s="174"/>
      <c r="G14" s="174"/>
      <c r="H14" s="174"/>
      <c r="I14" s="174"/>
      <c r="J14" s="174"/>
      <c r="K14" s="174"/>
    </row>
    <row r="15" spans="1:16" s="22" customFormat="1" ht="20.100000000000001" customHeight="1" x14ac:dyDescent="0.3">
      <c r="A15" s="13" t="s">
        <v>96</v>
      </c>
      <c r="B15" s="14" t="s">
        <v>95</v>
      </c>
    </row>
    <row r="16" spans="1:16" ht="20.100000000000001" customHeight="1" x14ac:dyDescent="0.3">
      <c r="A16" s="151" t="s">
        <v>83</v>
      </c>
      <c r="B16" s="151" t="s">
        <v>94</v>
      </c>
      <c r="C16" s="162">
        <v>46022</v>
      </c>
      <c r="D16" s="150"/>
      <c r="E16" s="162">
        <v>45657</v>
      </c>
      <c r="F16" s="150"/>
      <c r="G16" s="162">
        <v>45291</v>
      </c>
      <c r="H16" s="150"/>
      <c r="I16" s="175" t="s">
        <v>93</v>
      </c>
      <c r="J16" s="150"/>
      <c r="K16" s="151" t="s">
        <v>92</v>
      </c>
    </row>
    <row r="17" spans="1:11" ht="20.100000000000001" customHeight="1" x14ac:dyDescent="0.3">
      <c r="A17" s="152"/>
      <c r="B17" s="152"/>
      <c r="C17" s="78" t="s">
        <v>91</v>
      </c>
      <c r="D17" s="78" t="s">
        <v>90</v>
      </c>
      <c r="E17" s="78" t="s">
        <v>91</v>
      </c>
      <c r="F17" s="78" t="s">
        <v>90</v>
      </c>
      <c r="G17" s="78" t="s">
        <v>91</v>
      </c>
      <c r="H17" s="78" t="s">
        <v>90</v>
      </c>
      <c r="I17" s="78" t="s">
        <v>81</v>
      </c>
      <c r="J17" s="78" t="s">
        <v>80</v>
      </c>
      <c r="K17" s="152"/>
    </row>
    <row r="18" spans="1:11" ht="20.100000000000001" customHeight="1" x14ac:dyDescent="0.3">
      <c r="A18" s="80">
        <v>1</v>
      </c>
      <c r="B18" s="32" t="s">
        <v>89</v>
      </c>
      <c r="C18" s="18"/>
      <c r="D18" s="62">
        <f>IF(C18=0,0,C18/$C$21)</f>
        <v>0</v>
      </c>
      <c r="E18" s="18"/>
      <c r="F18" s="62">
        <f>IF(E18=0,0,E18/$E$21)</f>
        <v>0</v>
      </c>
      <c r="G18" s="18"/>
      <c r="H18" s="62">
        <f>IF(G18=0,0,G18/$G$21)</f>
        <v>0</v>
      </c>
      <c r="I18" s="63">
        <f>IF(E18=0,1,(C18-E18)/E18)</f>
        <v>1</v>
      </c>
      <c r="J18" s="64">
        <f>IF(G18=0,1,(E18-G18)/G18)</f>
        <v>1</v>
      </c>
      <c r="K18" s="31"/>
    </row>
    <row r="19" spans="1:11" ht="20.100000000000001" customHeight="1" x14ac:dyDescent="0.3">
      <c r="A19" s="80">
        <v>2</v>
      </c>
      <c r="B19" s="32" t="s">
        <v>88</v>
      </c>
      <c r="C19" s="18"/>
      <c r="D19" s="62">
        <f>IF(C19=0,0,C19/$C$21)</f>
        <v>0</v>
      </c>
      <c r="E19" s="18"/>
      <c r="F19" s="62">
        <f>IF(E19=0,0,E19/$E$21)</f>
        <v>0</v>
      </c>
      <c r="G19" s="18"/>
      <c r="H19" s="62">
        <f>IF(G19=0,0,G19/$G$21)</f>
        <v>0</v>
      </c>
      <c r="I19" s="63">
        <f>IF(E19=0,1,(C19-E19)/E19)</f>
        <v>1</v>
      </c>
      <c r="J19" s="64">
        <f>IF(G19=0,1,(E19-G19)/G19)</f>
        <v>1</v>
      </c>
      <c r="K19" s="31"/>
    </row>
    <row r="20" spans="1:11" ht="20.100000000000001" customHeight="1" x14ac:dyDescent="0.3">
      <c r="A20" s="80">
        <v>3</v>
      </c>
      <c r="B20" s="32" t="s">
        <v>87</v>
      </c>
      <c r="C20" s="18"/>
      <c r="D20" s="62">
        <f>IF(C20=0,0,C20/$C$21)</f>
        <v>0</v>
      </c>
      <c r="E20" s="18"/>
      <c r="F20" s="62">
        <f>IF(E20=0,0,E20/$E$21)</f>
        <v>0</v>
      </c>
      <c r="G20" s="18"/>
      <c r="H20" s="62">
        <f>IF(G20=0,0,G20/$G$21)</f>
        <v>0</v>
      </c>
      <c r="I20" s="63">
        <f>IF(E20=0,1,(C20-E20)/E20)</f>
        <v>1</v>
      </c>
      <c r="J20" s="64">
        <f>IF(G20=0,1,(E20-G20)/G20)</f>
        <v>1</v>
      </c>
      <c r="K20" s="31"/>
    </row>
    <row r="21" spans="1:11" ht="20.100000000000001" customHeight="1" x14ac:dyDescent="0.3">
      <c r="A21" s="176" t="s">
        <v>86</v>
      </c>
      <c r="B21" s="157"/>
      <c r="C21" s="65">
        <f>SUM(C18:C20)</f>
        <v>0</v>
      </c>
      <c r="D21" s="66">
        <f>IF(C21=0,0,C21/$C$21)</f>
        <v>0</v>
      </c>
      <c r="E21" s="65">
        <f>SUM(E18:E20)</f>
        <v>0</v>
      </c>
      <c r="F21" s="66">
        <f>IF(E21=0,0,E21/$E$21)</f>
        <v>0</v>
      </c>
      <c r="G21" s="65">
        <f>SUM(G18:G20)</f>
        <v>0</v>
      </c>
      <c r="H21" s="66">
        <f>IF(G21=0,0,G21/$G$21)</f>
        <v>0</v>
      </c>
      <c r="I21" s="67">
        <f>IF(E21=0,1,(C21-E21)/E21)</f>
        <v>1</v>
      </c>
      <c r="J21" s="68">
        <f>IF(G21=0,1,(E21-G21)/G21)</f>
        <v>1</v>
      </c>
      <c r="K21" s="31"/>
    </row>
    <row r="22" spans="1:11" s="22" customFormat="1" ht="20.100000000000001" customHeight="1" x14ac:dyDescent="0.3">
      <c r="A22" s="13" t="s">
        <v>85</v>
      </c>
      <c r="B22" s="14" t="s">
        <v>84</v>
      </c>
    </row>
    <row r="23" spans="1:11" s="2" customFormat="1" ht="20.100000000000001" customHeight="1" x14ac:dyDescent="0.3">
      <c r="A23" s="78" t="s">
        <v>83</v>
      </c>
      <c r="B23" s="78" t="s">
        <v>82</v>
      </c>
      <c r="C23" s="77">
        <f>C16</f>
        <v>46022</v>
      </c>
      <c r="D23" s="77">
        <f>E16</f>
        <v>45657</v>
      </c>
      <c r="E23" s="77">
        <f>G16</f>
        <v>45291</v>
      </c>
      <c r="F23" s="78" t="s">
        <v>81</v>
      </c>
      <c r="G23" s="78" t="s">
        <v>80</v>
      </c>
      <c r="H23" s="177" t="s">
        <v>79</v>
      </c>
      <c r="I23" s="169"/>
      <c r="J23" s="169"/>
      <c r="K23" s="170"/>
    </row>
    <row r="24" spans="1:11" s="2" customFormat="1" ht="20.100000000000001" customHeight="1" x14ac:dyDescent="0.3">
      <c r="A24" s="80">
        <v>1</v>
      </c>
      <c r="B24" s="29" t="s">
        <v>78</v>
      </c>
      <c r="C24" s="28"/>
      <c r="D24" s="28"/>
      <c r="E24" s="28"/>
      <c r="F24" s="63">
        <f t="shared" ref="F24:G28" si="0">IF(D24=0,1,(C24-D24)/D24)</f>
        <v>1</v>
      </c>
      <c r="G24" s="63">
        <f t="shared" si="0"/>
        <v>1</v>
      </c>
      <c r="H24" s="156"/>
      <c r="I24" s="169"/>
      <c r="J24" s="169"/>
      <c r="K24" s="170"/>
    </row>
    <row r="25" spans="1:11" s="2" customFormat="1" ht="20.100000000000001" customHeight="1" x14ac:dyDescent="0.3">
      <c r="A25" s="80">
        <v>2</v>
      </c>
      <c r="B25" s="29" t="s">
        <v>77</v>
      </c>
      <c r="C25" s="28"/>
      <c r="D25" s="28"/>
      <c r="E25" s="28"/>
      <c r="F25" s="63">
        <f t="shared" si="0"/>
        <v>1</v>
      </c>
      <c r="G25" s="63">
        <f t="shared" si="0"/>
        <v>1</v>
      </c>
      <c r="H25" s="156"/>
      <c r="I25" s="169"/>
      <c r="J25" s="169"/>
      <c r="K25" s="170"/>
    </row>
    <row r="26" spans="1:11" s="2" customFormat="1" ht="20.100000000000001" customHeight="1" x14ac:dyDescent="0.3">
      <c r="A26" s="80">
        <v>3</v>
      </c>
      <c r="B26" s="30" t="s">
        <v>76</v>
      </c>
      <c r="C26" s="28"/>
      <c r="D26" s="28"/>
      <c r="E26" s="28"/>
      <c r="F26" s="63">
        <f t="shared" si="0"/>
        <v>1</v>
      </c>
      <c r="G26" s="63">
        <f t="shared" si="0"/>
        <v>1</v>
      </c>
      <c r="H26" s="156"/>
      <c r="I26" s="169"/>
      <c r="J26" s="169"/>
      <c r="K26" s="170"/>
    </row>
    <row r="27" spans="1:11" s="2" customFormat="1" ht="26.25" customHeight="1" x14ac:dyDescent="0.3">
      <c r="A27" s="80">
        <v>4</v>
      </c>
      <c r="B27" s="29" t="s">
        <v>75</v>
      </c>
      <c r="C27" s="28"/>
      <c r="D27" s="28"/>
      <c r="E27" s="28"/>
      <c r="F27" s="63">
        <f t="shared" si="0"/>
        <v>1</v>
      </c>
      <c r="G27" s="63">
        <f t="shared" si="0"/>
        <v>1</v>
      </c>
      <c r="H27" s="156"/>
      <c r="I27" s="169"/>
      <c r="J27" s="169"/>
      <c r="K27" s="170"/>
    </row>
    <row r="28" spans="1:11" s="2" customFormat="1" ht="24.75" customHeight="1" x14ac:dyDescent="0.3">
      <c r="A28" s="80">
        <v>5</v>
      </c>
      <c r="B28" s="29" t="s">
        <v>74</v>
      </c>
      <c r="C28" s="28"/>
      <c r="D28" s="28"/>
      <c r="E28" s="28"/>
      <c r="F28" s="63">
        <f t="shared" si="0"/>
        <v>1</v>
      </c>
      <c r="G28" s="63">
        <f t="shared" si="0"/>
        <v>1</v>
      </c>
      <c r="H28" s="156"/>
      <c r="I28" s="169"/>
      <c r="J28" s="169"/>
      <c r="K28" s="170"/>
    </row>
    <row r="29" spans="1:11" s="2" customFormat="1" ht="24.75" customHeight="1" x14ac:dyDescent="0.3">
      <c r="A29" s="27"/>
      <c r="B29" s="26" t="s">
        <v>73</v>
      </c>
      <c r="C29" s="26"/>
      <c r="D29" s="26"/>
      <c r="E29" s="26"/>
      <c r="F29" s="26"/>
      <c r="G29" s="26"/>
      <c r="H29" s="26"/>
      <c r="I29" s="25"/>
      <c r="J29" s="25"/>
      <c r="K29" s="25"/>
    </row>
    <row r="30" spans="1:11" s="2" customFormat="1" ht="24.75" customHeight="1" x14ac:dyDescent="0.3">
      <c r="A30" s="27"/>
      <c r="B30" s="26" t="s">
        <v>72</v>
      </c>
      <c r="C30" s="26"/>
      <c r="D30" s="26"/>
      <c r="E30" s="26"/>
      <c r="F30" s="26"/>
      <c r="G30" s="26"/>
      <c r="H30" s="26"/>
      <c r="I30" s="25"/>
      <c r="J30" s="25"/>
      <c r="K30" s="25"/>
    </row>
    <row r="31" spans="1:11" s="2" customFormat="1" ht="24.75" customHeight="1" x14ac:dyDescent="0.3">
      <c r="A31" s="27"/>
      <c r="B31" s="26"/>
      <c r="C31" s="26"/>
      <c r="D31" s="26"/>
      <c r="E31" s="26"/>
      <c r="F31" s="26"/>
      <c r="G31" s="26"/>
      <c r="H31" s="26"/>
      <c r="I31" s="25"/>
      <c r="J31" s="25"/>
      <c r="K31" s="25"/>
    </row>
    <row r="32" spans="1:11" s="22" customFormat="1" ht="20.100000000000001" customHeight="1" x14ac:dyDescent="0.3">
      <c r="A32" s="82" t="s">
        <v>71</v>
      </c>
      <c r="B32" s="83" t="s">
        <v>70</v>
      </c>
      <c r="C32" s="84"/>
      <c r="D32" s="84"/>
      <c r="E32" s="84"/>
      <c r="F32" s="92" t="s">
        <v>117</v>
      </c>
      <c r="G32" s="84"/>
      <c r="H32" s="84"/>
      <c r="I32" s="84"/>
      <c r="J32" s="84"/>
      <c r="K32" s="84"/>
    </row>
    <row r="33" spans="1:11" s="2" customFormat="1" ht="20.100000000000001" customHeight="1" x14ac:dyDescent="0.3">
      <c r="A33" s="178" t="s">
        <v>69</v>
      </c>
      <c r="B33" s="179"/>
      <c r="C33" s="179"/>
      <c r="D33" s="179"/>
      <c r="E33" s="180"/>
      <c r="F33" s="180"/>
      <c r="G33" s="178" t="s">
        <v>68</v>
      </c>
      <c r="H33" s="180"/>
      <c r="I33" s="180"/>
      <c r="J33" s="180"/>
      <c r="K33" s="181"/>
    </row>
    <row r="34" spans="1:11" s="2" customFormat="1" ht="20.100000000000001" customHeight="1" x14ac:dyDescent="0.3">
      <c r="A34" s="178" t="s">
        <v>66</v>
      </c>
      <c r="B34" s="179"/>
      <c r="C34" s="81" t="s">
        <v>65</v>
      </c>
      <c r="D34" s="81" t="s">
        <v>64</v>
      </c>
      <c r="E34" s="182" t="s">
        <v>67</v>
      </c>
      <c r="F34" s="179"/>
      <c r="G34" s="178" t="s">
        <v>66</v>
      </c>
      <c r="H34" s="179"/>
      <c r="I34" s="81" t="s">
        <v>65</v>
      </c>
      <c r="J34" s="81" t="s">
        <v>64</v>
      </c>
      <c r="K34" s="79" t="s">
        <v>36</v>
      </c>
    </row>
    <row r="35" spans="1:11" s="2" customFormat="1" ht="20.100000000000001" customHeight="1" x14ac:dyDescent="0.3">
      <c r="A35" s="183" t="s">
        <v>63</v>
      </c>
      <c r="B35" s="184"/>
      <c r="C35" s="69">
        <f>C36+C37+C38</f>
        <v>0</v>
      </c>
      <c r="D35" s="69">
        <f>D36+D37+D38</f>
        <v>0</v>
      </c>
      <c r="E35" s="185"/>
      <c r="F35" s="185"/>
      <c r="G35" s="186" t="s">
        <v>62</v>
      </c>
      <c r="H35" s="186"/>
      <c r="I35" s="69">
        <f>I36+I37+I38</f>
        <v>0</v>
      </c>
      <c r="J35" s="69">
        <f>J36+J37+J38</f>
        <v>0</v>
      </c>
      <c r="K35" s="23"/>
    </row>
    <row r="36" spans="1:11" s="2" customFormat="1" ht="20.100000000000001" customHeight="1" x14ac:dyDescent="0.3">
      <c r="A36" s="187" t="s">
        <v>61</v>
      </c>
      <c r="B36" s="187"/>
      <c r="C36" s="24"/>
      <c r="D36" s="24"/>
      <c r="E36" s="187"/>
      <c r="F36" s="187"/>
      <c r="G36" s="187" t="s">
        <v>61</v>
      </c>
      <c r="H36" s="187"/>
      <c r="I36" s="23"/>
      <c r="J36" s="23"/>
      <c r="K36" s="23"/>
    </row>
    <row r="37" spans="1:11" s="2" customFormat="1" ht="20.100000000000001" customHeight="1" x14ac:dyDescent="0.3">
      <c r="A37" s="187" t="s">
        <v>60</v>
      </c>
      <c r="B37" s="187"/>
      <c r="C37" s="24"/>
      <c r="D37" s="24"/>
      <c r="E37" s="187"/>
      <c r="F37" s="187"/>
      <c r="G37" s="187" t="s">
        <v>60</v>
      </c>
      <c r="H37" s="187"/>
      <c r="I37" s="23"/>
      <c r="J37" s="23"/>
      <c r="K37" s="23"/>
    </row>
    <row r="38" spans="1:11" s="2" customFormat="1" ht="20.100000000000001" customHeight="1" x14ac:dyDescent="0.3">
      <c r="A38" s="187" t="s">
        <v>59</v>
      </c>
      <c r="B38" s="187"/>
      <c r="C38" s="24"/>
      <c r="D38" s="24"/>
      <c r="E38" s="187"/>
      <c r="F38" s="187"/>
      <c r="G38" s="187" t="s">
        <v>59</v>
      </c>
      <c r="H38" s="187"/>
      <c r="I38" s="23"/>
      <c r="J38" s="23"/>
      <c r="K38" s="23"/>
    </row>
    <row r="39" spans="1:11" s="2" customFormat="1" ht="20.100000000000001" customHeight="1" x14ac:dyDescent="0.3">
      <c r="A39" s="183" t="s">
        <v>58</v>
      </c>
      <c r="B39" s="187"/>
      <c r="C39" s="23"/>
      <c r="D39" s="23"/>
      <c r="E39" s="186"/>
      <c r="F39" s="186"/>
      <c r="G39" s="186" t="s">
        <v>57</v>
      </c>
      <c r="H39" s="186"/>
      <c r="I39" s="23"/>
      <c r="J39" s="23"/>
      <c r="K39" s="23"/>
    </row>
    <row r="40" spans="1:11" s="2" customFormat="1" ht="20.100000000000001" customHeight="1" x14ac:dyDescent="0.3">
      <c r="A40" s="187" t="s">
        <v>56</v>
      </c>
      <c r="B40" s="187"/>
      <c r="C40" s="23"/>
      <c r="D40" s="23"/>
      <c r="E40" s="186"/>
      <c r="F40" s="186"/>
      <c r="G40" s="186" t="s">
        <v>55</v>
      </c>
      <c r="H40" s="186"/>
      <c r="I40" s="23"/>
      <c r="J40" s="23"/>
      <c r="K40" s="23"/>
    </row>
    <row r="41" spans="1:11" s="2" customFormat="1" ht="20.100000000000001" customHeight="1" x14ac:dyDescent="0.3">
      <c r="A41" s="187" t="s">
        <v>54</v>
      </c>
      <c r="B41" s="187"/>
      <c r="C41" s="23"/>
      <c r="D41" s="23"/>
      <c r="E41" s="186"/>
      <c r="F41" s="186"/>
      <c r="G41" s="186" t="s">
        <v>53</v>
      </c>
      <c r="H41" s="186"/>
      <c r="I41" s="23"/>
      <c r="J41" s="23"/>
      <c r="K41" s="23"/>
    </row>
    <row r="42" spans="1:11" s="2" customFormat="1" ht="20.100000000000001" customHeight="1" x14ac:dyDescent="0.3">
      <c r="A42" s="187" t="s">
        <v>52</v>
      </c>
      <c r="B42" s="187"/>
      <c r="C42" s="23"/>
      <c r="D42" s="23"/>
      <c r="E42" s="186"/>
      <c r="F42" s="186"/>
      <c r="G42" s="186" t="s">
        <v>51</v>
      </c>
      <c r="H42" s="186"/>
      <c r="I42" s="23"/>
      <c r="J42" s="23"/>
      <c r="K42" s="23"/>
    </row>
    <row r="43" spans="1:11" s="2" customFormat="1" ht="20.100000000000001" customHeight="1" x14ac:dyDescent="0.3">
      <c r="A43" s="187" t="s">
        <v>50</v>
      </c>
      <c r="B43" s="187"/>
      <c r="C43" s="69">
        <f>C40-C41-C42</f>
        <v>0</v>
      </c>
      <c r="D43" s="69">
        <f>D40-D41-D42</f>
        <v>0</v>
      </c>
      <c r="E43" s="186"/>
      <c r="F43" s="186"/>
      <c r="G43" s="186" t="s">
        <v>49</v>
      </c>
      <c r="H43" s="186"/>
      <c r="I43" s="69">
        <f>I40-I41-I42</f>
        <v>0</v>
      </c>
      <c r="J43" s="69">
        <f>J40-J41-J42</f>
        <v>0</v>
      </c>
      <c r="K43" s="23"/>
    </row>
    <row r="44" spans="1:11" s="2" customFormat="1" ht="20.100000000000001" customHeight="1" x14ac:dyDescent="0.3">
      <c r="A44" s="183" t="s">
        <v>48</v>
      </c>
      <c r="B44" s="187"/>
      <c r="C44" s="69">
        <f>C35-C43</f>
        <v>0</v>
      </c>
      <c r="D44" s="69">
        <f>D35-D43</f>
        <v>0</v>
      </c>
      <c r="E44" s="186"/>
      <c r="F44" s="186"/>
      <c r="G44" s="186" t="s">
        <v>48</v>
      </c>
      <c r="H44" s="186"/>
      <c r="I44" s="69">
        <f>I35-I43</f>
        <v>0</v>
      </c>
      <c r="J44" s="69">
        <f>J35-J43</f>
        <v>0</v>
      </c>
      <c r="K44" s="23"/>
    </row>
    <row r="45" spans="1:11" s="2" customFormat="1" ht="20.100000000000001" customHeight="1" x14ac:dyDescent="0.3">
      <c r="A45" s="85" t="s">
        <v>47</v>
      </c>
      <c r="B45" s="86" t="s">
        <v>46</v>
      </c>
      <c r="C45" s="87"/>
      <c r="D45" s="87"/>
      <c r="E45" s="87"/>
      <c r="F45" s="88"/>
      <c r="G45" s="87"/>
      <c r="H45" s="88"/>
      <c r="I45" s="89"/>
      <c r="J45" s="90"/>
      <c r="K45" s="91"/>
    </row>
    <row r="46" spans="1:11" s="2" customFormat="1" ht="20.100000000000001" customHeight="1" x14ac:dyDescent="0.3">
      <c r="A46" s="13"/>
      <c r="B46" s="9" t="s">
        <v>45</v>
      </c>
      <c r="C46" s="22"/>
      <c r="D46" s="22"/>
      <c r="E46" s="22"/>
      <c r="F46" s="21"/>
      <c r="G46" s="22"/>
      <c r="H46" s="21"/>
      <c r="I46" s="11"/>
      <c r="J46" s="10"/>
    </row>
    <row r="47" spans="1:11" s="2" customFormat="1" ht="20.100000000000001" customHeight="1" x14ac:dyDescent="0.3">
      <c r="A47" s="13"/>
      <c r="B47" s="9" t="s">
        <v>44</v>
      </c>
      <c r="C47" s="22"/>
      <c r="D47" s="22"/>
      <c r="E47" s="22"/>
      <c r="F47" s="21"/>
      <c r="G47" s="22"/>
      <c r="H47" s="21"/>
      <c r="I47" s="11"/>
      <c r="J47" s="10"/>
    </row>
    <row r="48" spans="1:11" s="2" customFormat="1" ht="28.5" customHeight="1" x14ac:dyDescent="0.3">
      <c r="A48" s="13"/>
      <c r="B48" s="78" t="s">
        <v>43</v>
      </c>
      <c r="C48" s="78" t="s">
        <v>42</v>
      </c>
      <c r="D48" s="78" t="s">
        <v>41</v>
      </c>
      <c r="E48" s="78" t="s">
        <v>40</v>
      </c>
      <c r="F48" s="78" t="s">
        <v>39</v>
      </c>
      <c r="G48" s="78" t="s">
        <v>38</v>
      </c>
      <c r="H48" s="78" t="s">
        <v>37</v>
      </c>
      <c r="I48" s="193" t="s">
        <v>36</v>
      </c>
      <c r="J48" s="189"/>
      <c r="K48" s="190"/>
    </row>
    <row r="49" spans="1:11" s="2" customFormat="1" ht="20.100000000000001" customHeight="1" x14ac:dyDescent="0.3">
      <c r="A49" s="13"/>
      <c r="B49" s="19" t="s">
        <v>35</v>
      </c>
      <c r="C49" s="20"/>
      <c r="D49" s="20"/>
      <c r="E49" s="17"/>
      <c r="F49" s="17"/>
      <c r="G49" s="16"/>
      <c r="H49" s="15"/>
      <c r="I49" s="188"/>
      <c r="J49" s="189"/>
      <c r="K49" s="190"/>
    </row>
    <row r="50" spans="1:11" s="2" customFormat="1" ht="20.100000000000001" customHeight="1" x14ac:dyDescent="0.3">
      <c r="A50" s="13"/>
      <c r="B50" s="19" t="s">
        <v>34</v>
      </c>
      <c r="C50" s="20"/>
      <c r="D50" s="20"/>
      <c r="E50" s="17"/>
      <c r="F50" s="17"/>
      <c r="G50" s="16"/>
      <c r="H50" s="70">
        <f>F50*G50</f>
        <v>0</v>
      </c>
      <c r="I50" s="188"/>
      <c r="J50" s="189"/>
      <c r="K50" s="190"/>
    </row>
    <row r="51" spans="1:11" s="2" customFormat="1" ht="20.100000000000001" customHeight="1" x14ac:dyDescent="0.3">
      <c r="A51" s="13"/>
      <c r="B51" s="19"/>
      <c r="C51" s="20"/>
      <c r="D51" s="20"/>
      <c r="E51" s="17"/>
      <c r="F51" s="17"/>
      <c r="G51" s="16"/>
      <c r="H51" s="15"/>
      <c r="I51" s="188"/>
      <c r="J51" s="189"/>
      <c r="K51" s="190"/>
    </row>
    <row r="52" spans="1:11" s="2" customFormat="1" ht="20.100000000000001" customHeight="1" x14ac:dyDescent="0.3">
      <c r="A52" s="13"/>
      <c r="B52" s="19" t="s">
        <v>33</v>
      </c>
      <c r="C52" s="18"/>
      <c r="D52" s="18"/>
      <c r="E52" s="17"/>
      <c r="F52" s="17"/>
      <c r="G52" s="16"/>
      <c r="H52" s="15"/>
      <c r="I52" s="188"/>
      <c r="J52" s="189"/>
      <c r="K52" s="190"/>
    </row>
    <row r="53" spans="1:11" s="2" customFormat="1" ht="20.100000000000001" customHeight="1" x14ac:dyDescent="0.3">
      <c r="A53" s="13"/>
      <c r="B53" s="71" t="s">
        <v>32</v>
      </c>
      <c r="C53" s="72"/>
      <c r="D53" s="73"/>
      <c r="E53" s="73"/>
      <c r="F53" s="73"/>
      <c r="G53" s="73"/>
      <c r="H53" s="74">
        <f>SUM(H49:H52)</f>
        <v>0</v>
      </c>
      <c r="I53" s="194"/>
      <c r="J53" s="189"/>
      <c r="K53" s="190"/>
    </row>
    <row r="54" spans="1:11" s="2" customFormat="1" ht="20.100000000000001" customHeight="1" x14ac:dyDescent="0.3">
      <c r="A54" s="13"/>
      <c r="B54" s="75" t="s">
        <v>31</v>
      </c>
      <c r="C54" s="69"/>
      <c r="D54" s="69"/>
      <c r="E54" s="76"/>
      <c r="F54" s="76"/>
      <c r="G54" s="76"/>
      <c r="H54" s="15"/>
      <c r="I54" s="188"/>
      <c r="J54" s="189"/>
      <c r="K54" s="190"/>
    </row>
    <row r="55" spans="1:11" s="2" customFormat="1" ht="20.100000000000001" customHeight="1" x14ac:dyDescent="0.3">
      <c r="A55" s="13"/>
      <c r="B55" s="75" t="s">
        <v>30</v>
      </c>
      <c r="C55" s="69"/>
      <c r="D55" s="69"/>
      <c r="E55" s="76"/>
      <c r="F55" s="76"/>
      <c r="G55" s="76"/>
      <c r="H55" s="69">
        <f>H53-H54</f>
        <v>0</v>
      </c>
      <c r="I55" s="191"/>
      <c r="J55" s="189"/>
      <c r="K55" s="190"/>
    </row>
    <row r="56" spans="1:11" s="2" customFormat="1" ht="20.100000000000001" customHeight="1" x14ac:dyDescent="0.3">
      <c r="A56" s="13"/>
      <c r="B56" s="12" t="s">
        <v>29</v>
      </c>
      <c r="I56" s="11"/>
      <c r="J56" s="10"/>
    </row>
    <row r="57" spans="1:11" s="2" customFormat="1" ht="20.100000000000001" customHeight="1" x14ac:dyDescent="0.3">
      <c r="A57" s="13"/>
      <c r="B57" s="12"/>
      <c r="I57" s="11"/>
      <c r="J57" s="10"/>
    </row>
    <row r="58" spans="1:11" s="2" customFormat="1" ht="20.100000000000001" customHeight="1" x14ac:dyDescent="0.3">
      <c r="A58" s="85" t="s">
        <v>28</v>
      </c>
      <c r="B58" s="86" t="s">
        <v>27</v>
      </c>
      <c r="C58" s="91"/>
      <c r="D58" s="91"/>
      <c r="E58" s="91"/>
      <c r="F58" s="91"/>
      <c r="G58" s="91"/>
      <c r="H58" s="91"/>
      <c r="I58" s="89"/>
      <c r="J58" s="90"/>
      <c r="K58" s="91"/>
    </row>
    <row r="59" spans="1:11" s="2" customFormat="1" ht="20.100000000000001" customHeight="1" x14ac:dyDescent="0.3">
      <c r="A59" s="13"/>
      <c r="B59" s="12" t="s">
        <v>26</v>
      </c>
      <c r="I59" s="11"/>
      <c r="J59" s="10"/>
    </row>
    <row r="60" spans="1:11" s="2" customFormat="1" ht="20.100000000000001" customHeight="1" x14ac:dyDescent="0.3">
      <c r="A60" s="13"/>
      <c r="B60" s="12" t="s">
        <v>25</v>
      </c>
      <c r="I60" s="11"/>
      <c r="J60" s="10"/>
    </row>
    <row r="61" spans="1:11" s="2" customFormat="1" ht="20.100000000000001" customHeight="1" x14ac:dyDescent="0.3">
      <c r="A61" s="13"/>
      <c r="B61" s="12"/>
      <c r="I61" s="11"/>
      <c r="J61" s="10"/>
    </row>
    <row r="62" spans="1:11" s="2" customFormat="1" ht="20.100000000000001" customHeight="1" x14ac:dyDescent="0.3">
      <c r="A62" s="192" t="s">
        <v>24</v>
      </c>
      <c r="B62" s="192"/>
    </row>
    <row r="63" spans="1:11" s="2" customFormat="1" ht="20.100000000000001" customHeight="1" x14ac:dyDescent="0.3">
      <c r="A63" s="10">
        <v>1</v>
      </c>
      <c r="B63" s="9" t="s">
        <v>23</v>
      </c>
    </row>
    <row r="64" spans="1:11" s="2" customFormat="1" ht="20.100000000000001" customHeight="1" x14ac:dyDescent="0.3">
      <c r="A64" s="10">
        <v>2</v>
      </c>
      <c r="B64" s="9" t="s">
        <v>22</v>
      </c>
    </row>
    <row r="65" spans="1:2" s="2" customFormat="1" ht="20.100000000000001" customHeight="1" x14ac:dyDescent="0.3">
      <c r="A65" s="10">
        <v>3</v>
      </c>
      <c r="B65" s="9" t="s">
        <v>21</v>
      </c>
    </row>
    <row r="66" spans="1:2" s="2" customFormat="1" ht="20.100000000000001" customHeight="1" x14ac:dyDescent="0.3">
      <c r="A66" s="10">
        <v>4</v>
      </c>
      <c r="B66" s="9" t="s">
        <v>20</v>
      </c>
    </row>
    <row r="67" spans="1:2" s="2" customFormat="1" ht="20.100000000000001" customHeight="1" x14ac:dyDescent="0.3">
      <c r="A67" s="10">
        <v>5</v>
      </c>
      <c r="B67" s="9" t="s">
        <v>206</v>
      </c>
    </row>
    <row r="68" spans="1:2" s="2" customFormat="1" ht="20.100000000000001" customHeight="1" x14ac:dyDescent="0.3">
      <c r="A68" s="10"/>
      <c r="B68" s="9" t="s">
        <v>19</v>
      </c>
    </row>
    <row r="69" spans="1:2" s="2" customFormat="1" ht="20.100000000000001" customHeight="1" x14ac:dyDescent="0.3">
      <c r="A69" s="8" t="s">
        <v>18</v>
      </c>
    </row>
    <row r="70" spans="1:2" s="2" customFormat="1" ht="20.100000000000001" customHeight="1" x14ac:dyDescent="0.3">
      <c r="A70" s="8"/>
    </row>
    <row r="71" spans="1:2" s="2" customFormat="1" ht="20.100000000000001" customHeight="1" x14ac:dyDescent="0.3"/>
    <row r="72" spans="1:2" s="2" customFormat="1" ht="18" customHeight="1" x14ac:dyDescent="0.3"/>
    <row r="73" spans="1:2" s="2" customFormat="1" ht="18" customHeight="1" x14ac:dyDescent="0.3">
      <c r="A73" s="7" t="s">
        <v>17</v>
      </c>
    </row>
    <row r="74" spans="1:2" s="2" customFormat="1" ht="18" customHeight="1" x14ac:dyDescent="0.3">
      <c r="A74" s="7"/>
      <c r="B74" s="6" t="s">
        <v>16</v>
      </c>
    </row>
    <row r="75" spans="1:2" s="2" customFormat="1" ht="18" customHeight="1" x14ac:dyDescent="0.3">
      <c r="A75" s="7"/>
      <c r="B75" s="6" t="s">
        <v>15</v>
      </c>
    </row>
    <row r="76" spans="1:2" s="2" customFormat="1" ht="18" customHeight="1" x14ac:dyDescent="0.3">
      <c r="A76" s="7"/>
      <c r="B76" s="6" t="s">
        <v>14</v>
      </c>
    </row>
    <row r="77" spans="1:2" s="2" customFormat="1" ht="18" customHeight="1" x14ac:dyDescent="0.3">
      <c r="A77" s="7"/>
      <c r="B77" s="6" t="s">
        <v>13</v>
      </c>
    </row>
    <row r="78" spans="1:2" s="2" customFormat="1" ht="18" customHeight="1" x14ac:dyDescent="0.3">
      <c r="A78" s="7"/>
      <c r="B78" s="6" t="s">
        <v>12</v>
      </c>
    </row>
    <row r="79" spans="1:2" s="2" customFormat="1" ht="18" customHeight="1" x14ac:dyDescent="0.3">
      <c r="A79" s="7"/>
      <c r="B79" s="6" t="s">
        <v>11</v>
      </c>
    </row>
    <row r="80" spans="1:2" s="2" customFormat="1" ht="18" customHeight="1" x14ac:dyDescent="0.3">
      <c r="A80" s="7"/>
      <c r="B80" s="6" t="s">
        <v>10</v>
      </c>
    </row>
    <row r="81" spans="1:2" s="2" customFormat="1" ht="18" customHeight="1" x14ac:dyDescent="0.3">
      <c r="A81" s="7"/>
      <c r="B81" s="6" t="s">
        <v>9</v>
      </c>
    </row>
    <row r="82" spans="1:2" s="2" customFormat="1" ht="18" customHeight="1" x14ac:dyDescent="0.3">
      <c r="A82" s="7"/>
      <c r="B82" s="6" t="s">
        <v>8</v>
      </c>
    </row>
    <row r="83" spans="1:2" s="2" customFormat="1" ht="18" customHeight="1" x14ac:dyDescent="0.3">
      <c r="A83" s="7"/>
      <c r="B83" s="6" t="s">
        <v>7</v>
      </c>
    </row>
    <row r="84" spans="1:2" s="2" customFormat="1" ht="18" customHeight="1" x14ac:dyDescent="0.3">
      <c r="A84" s="5"/>
    </row>
    <row r="85" spans="1:2" s="2" customFormat="1" ht="18" customHeight="1" x14ac:dyDescent="0.3">
      <c r="A85" s="5" t="s">
        <v>6</v>
      </c>
      <c r="B85" s="3"/>
    </row>
    <row r="86" spans="1:2" s="2" customFormat="1" ht="18" customHeight="1" x14ac:dyDescent="0.3">
      <c r="A86" s="4" t="s">
        <v>5</v>
      </c>
      <c r="B86" s="3" t="s">
        <v>4</v>
      </c>
    </row>
    <row r="87" spans="1:2" s="2" customFormat="1" ht="13.8" x14ac:dyDescent="0.3">
      <c r="A87" s="4" t="s">
        <v>3</v>
      </c>
      <c r="B87" s="3" t="s">
        <v>2</v>
      </c>
    </row>
    <row r="88" spans="1:2" s="2" customFormat="1" ht="13.8" x14ac:dyDescent="0.3">
      <c r="A88" s="4" t="s">
        <v>1</v>
      </c>
      <c r="B88" s="3" t="s">
        <v>0</v>
      </c>
    </row>
    <row r="89" spans="1:2" s="2" customFormat="1" ht="13.8" x14ac:dyDescent="0.3"/>
  </sheetData>
  <mergeCells count="62">
    <mergeCell ref="I54:K54"/>
    <mergeCell ref="I55:K55"/>
    <mergeCell ref="A62:B62"/>
    <mergeCell ref="I48:K48"/>
    <mergeCell ref="I49:K49"/>
    <mergeCell ref="I50:K50"/>
    <mergeCell ref="I51:K51"/>
    <mergeCell ref="I52:K52"/>
    <mergeCell ref="I53:K53"/>
    <mergeCell ref="A43:B43"/>
    <mergeCell ref="E43:F43"/>
    <mergeCell ref="G43:H43"/>
    <mergeCell ref="A44:B44"/>
    <mergeCell ref="E44:F44"/>
    <mergeCell ref="G44:H44"/>
    <mergeCell ref="A41:B41"/>
    <mergeCell ref="E41:F41"/>
    <mergeCell ref="G41:H41"/>
    <mergeCell ref="A42:B42"/>
    <mergeCell ref="E42:F42"/>
    <mergeCell ref="G42:H42"/>
    <mergeCell ref="A39:B39"/>
    <mergeCell ref="E39:F39"/>
    <mergeCell ref="G39:H39"/>
    <mergeCell ref="A40:B40"/>
    <mergeCell ref="E40:F40"/>
    <mergeCell ref="G40:H40"/>
    <mergeCell ref="A37:B37"/>
    <mergeCell ref="E37:F37"/>
    <mergeCell ref="G37:H37"/>
    <mergeCell ref="A38:B38"/>
    <mergeCell ref="E38:F38"/>
    <mergeCell ref="G38:H38"/>
    <mergeCell ref="A35:B35"/>
    <mergeCell ref="E35:F35"/>
    <mergeCell ref="G35:H35"/>
    <mergeCell ref="A36:B36"/>
    <mergeCell ref="E36:F36"/>
    <mergeCell ref="G36:H36"/>
    <mergeCell ref="H27:K27"/>
    <mergeCell ref="H28:K28"/>
    <mergeCell ref="A33:F33"/>
    <mergeCell ref="G33:K33"/>
    <mergeCell ref="A34:B34"/>
    <mergeCell ref="E34:F34"/>
    <mergeCell ref="G34:H34"/>
    <mergeCell ref="H26:K26"/>
    <mergeCell ref="A1:K1"/>
    <mergeCell ref="A2:K2"/>
    <mergeCell ref="B10:K10"/>
    <mergeCell ref="B14:K14"/>
    <mergeCell ref="A16:A17"/>
    <mergeCell ref="B16:B17"/>
    <mergeCell ref="C16:D16"/>
    <mergeCell ref="E16:F16"/>
    <mergeCell ref="G16:H16"/>
    <mergeCell ref="I16:J16"/>
    <mergeCell ref="K16:K17"/>
    <mergeCell ref="A21:B21"/>
    <mergeCell ref="H23:K23"/>
    <mergeCell ref="H24:K24"/>
    <mergeCell ref="H25:K25"/>
  </mergeCells>
  <phoneticPr fontId="2" type="noConversion"/>
  <printOptions horizontalCentered="1"/>
  <pageMargins left="0.39370078740157483" right="0.39370078740157483" top="0.39370078740157483" bottom="0.39370078740157483" header="0.51181102362204722" footer="0.35433070866141736"/>
  <pageSetup paperSize="9" scale="97" fitToHeight="100" orientation="landscape" blackAndWhite="1"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底稿目录</vt:lpstr>
      <vt:lpstr>货币资金分析表E1-14</vt:lpstr>
      <vt:lpstr>利息收入月度分析E1-15</vt:lpstr>
      <vt:lpstr>货币资金分析表F1-6 (修订前)</vt:lpstr>
      <vt:lpstr>'货币资金分析表E1-14'!Print_Area</vt:lpstr>
      <vt:lpstr>'货币资金分析表F1-6 (修订前)'!Print_Area</vt:lpstr>
      <vt:lpstr>'利息收入月度分析E1-15'!Print_Area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何先琴</cp:lastModifiedBy>
  <cp:lastPrinted>2025-09-26T03:46:19Z</cp:lastPrinted>
  <dcterms:created xsi:type="dcterms:W3CDTF">2015-06-05T18:19:34Z</dcterms:created>
  <dcterms:modified xsi:type="dcterms:W3CDTF">2025-11-03T03:27:00Z</dcterms:modified>
</cp:coreProperties>
</file>