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致同通用审计程序及底稿模板-待发布\1.致同审计程序及底稿模板（2025年）\4.风险应对-实质性程序（D-N）\E 货币资金循环\"/>
    </mc:Choice>
  </mc:AlternateContent>
  <bookViews>
    <workbookView xWindow="-108" yWindow="-108" windowWidth="19416" windowHeight="10416" tabRatio="928"/>
  </bookViews>
  <sheets>
    <sheet name="底稿目录" sheetId="1" r:id="rId1"/>
    <sheet name="货币资金实质性程序表E1A" sheetId="58" r:id="rId2"/>
    <sheet name="附注披露信息(上市公司)" sheetId="4" r:id="rId3"/>
    <sheet name="附注披露信息(国企)" sheetId="5" r:id="rId4"/>
    <sheet name="货币资金审定表E1-1" sheetId="6" r:id="rId5"/>
    <sheet name="现金明细表E1-2" sheetId="7" r:id="rId6"/>
    <sheet name="银行存款及其他货币资金明细表(仅人民币)E1-3" sheetId="48" r:id="rId7"/>
    <sheet name="银行存款及其他货币资金明细表(人民币及外币)E1-3" sheetId="8" r:id="rId8"/>
    <sheet name="数字货币明细表E1-4" sheetId="56" r:id="rId9"/>
    <sheet name="调整分录汇总E1-5" sheetId="47" r:id="rId10"/>
    <sheet name="银行存款余额调节表E1-6" sheetId="59" r:id="rId11"/>
    <sheet name="库存现金（人民币）盘点表E1-7" sheetId="18" r:id="rId12"/>
    <sheet name="库存现金（外币）盘点表E1-8" sheetId="50" r:id="rId13"/>
    <sheet name="银行存单盘点表E1-9" sheetId="20" r:id="rId14"/>
    <sheet name="已开立银行账户清单核对表E1-10" sheetId="46" r:id="rId15"/>
    <sheet name="银行账户情况承诺E1-11" sheetId="33" r:id="rId16"/>
  </sheets>
  <definedNames>
    <definedName name="_xlnm._FilterDatabase" localSheetId="1" hidden="1">货币资金实质性程序表E1A!$A$16:$N$44</definedName>
    <definedName name="_xlnm.Print_Area" localSheetId="0">底稿目录!$A$1:$G$20</definedName>
    <definedName name="_xlnm.Print_Area" localSheetId="9">'调整分录汇总E1-5'!$A$1:$J$20</definedName>
    <definedName name="_xlnm.Print_Area" localSheetId="3">'附注披露信息(国企)'!$A$1:$G$62</definedName>
    <definedName name="_xlnm.Print_Area" localSheetId="2">'附注披露信息(上市公司)'!$A$1:$G$62</definedName>
    <definedName name="_xlnm.Print_Area" localSheetId="4">'货币资金审定表E1-1'!$A$1:$J$46</definedName>
    <definedName name="_xlnm.Print_Area" localSheetId="1">货币资金实质性程序表E1A!$A$1:$J$44</definedName>
    <definedName name="_xlnm.Print_Area" localSheetId="11">'库存现金（人民币）盘点表E1-7'!$A$1:$G$37</definedName>
    <definedName name="_xlnm.Print_Area" localSheetId="12">'库存现金（外币）盘点表E1-8'!$A$1:$H$41</definedName>
    <definedName name="_xlnm.Print_Area" localSheetId="8">'数字货币明细表E1-4'!$A$1:$Q$24</definedName>
    <definedName name="_xlnm.Print_Area" localSheetId="5">'现金明细表E1-2'!$A$1:$J$27</definedName>
    <definedName name="_xlnm.Print_Area" localSheetId="14">'已开立银行账户清单核对表E1-10'!$A$1:$K$28</definedName>
    <definedName name="_xlnm.Print_Area" localSheetId="13">'银行存单盘点表E1-9'!$A$1:$O$27</definedName>
    <definedName name="_xlnm.Print_Area" localSheetId="6">'银行存款及其他货币资金明细表(仅人民币)E1-3'!$A$1:$S$57</definedName>
    <definedName name="_xlnm.Print_Area" localSheetId="7">'银行存款及其他货币资金明细表(人民币及外币)E1-3'!$A$1:$AM$53</definedName>
    <definedName name="_xlnm.Print_Area" localSheetId="10">'银行存款余额调节表E1-6'!$A$1:$K$55</definedName>
    <definedName name="_xlnm.Print_Area" localSheetId="15">'银行账户情况承诺E1-11'!$A$1:$G$23</definedName>
    <definedName name="_xlnm.Print_Titles" localSheetId="1">货币资金实质性程序表E1A!$15:$16</definedName>
    <definedName name="_xlnm.Print_Titles" localSheetId="5">'现金明细表E1-2'!$A:$A,'现金明细表E1-2'!$1:$11</definedName>
    <definedName name="_xlnm.Print_Titles" localSheetId="6">'银行存款及其他货币资金明细表(仅人民币)E1-3'!$A:$D</definedName>
    <definedName name="_xlnm.Print_Titles" localSheetId="7">'银行存款及其他货币资金明细表(人民币及外币)E1-3'!$A:$A,'银行存款及其他货币资金明细表(人民币及外币)E1-3'!$8:$10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8" i="8" l="1"/>
  <c r="AC40" i="8"/>
  <c r="AC39" i="8"/>
  <c r="AC37" i="8"/>
  <c r="AC36" i="8"/>
  <c r="AC35" i="8"/>
  <c r="AC33" i="8"/>
  <c r="AC32" i="8"/>
  <c r="AC22" i="8"/>
  <c r="AC29" i="8" s="1"/>
  <c r="AC23" i="8"/>
  <c r="AC28" i="8"/>
  <c r="AC27" i="8"/>
  <c r="AC26" i="8"/>
  <c r="AC25" i="8"/>
  <c r="AC24" i="8"/>
  <c r="AC21" i="8"/>
  <c r="AC20" i="8"/>
  <c r="AC19" i="8"/>
  <c r="AC18" i="8" s="1"/>
  <c r="AC12" i="8"/>
  <c r="AC14" i="8"/>
  <c r="AC15" i="8"/>
  <c r="AC16" i="8"/>
  <c r="AC17" i="8"/>
  <c r="AC13" i="8"/>
  <c r="S13" i="8"/>
  <c r="AB13" i="8"/>
  <c r="AA13" i="8"/>
  <c r="Z13" i="8"/>
  <c r="Y13" i="8"/>
  <c r="T13" i="8"/>
  <c r="K50" i="48" l="1"/>
  <c r="L50" i="48"/>
  <c r="L49" i="48"/>
  <c r="K49" i="48"/>
  <c r="L48" i="48"/>
  <c r="L47" i="48"/>
  <c r="K47" i="48"/>
  <c r="J50" i="48"/>
  <c r="J49" i="48"/>
  <c r="J48" i="48"/>
  <c r="J47" i="48"/>
  <c r="I47" i="48"/>
  <c r="H49" i="48"/>
  <c r="H48" i="48"/>
  <c r="H47" i="48"/>
  <c r="H46" i="48"/>
  <c r="J45" i="48"/>
  <c r="L45" i="48"/>
  <c r="L46" i="48"/>
  <c r="L43" i="48"/>
  <c r="L14" i="48"/>
  <c r="L13" i="48"/>
  <c r="AF22" i="8" l="1"/>
  <c r="AF18" i="8"/>
  <c r="AF12" i="8"/>
  <c r="M22" i="48"/>
  <c r="M12" i="48"/>
  <c r="K3" i="59" l="1"/>
  <c r="H4" i="59"/>
  <c r="H3" i="59"/>
  <c r="E4" i="59"/>
  <c r="E3" i="59"/>
  <c r="A4" i="59"/>
  <c r="A3" i="59"/>
  <c r="C43" i="59" l="1"/>
  <c r="C35" i="59"/>
  <c r="C25" i="59"/>
  <c r="C17" i="59"/>
  <c r="C51" i="59" l="1"/>
  <c r="C33" i="59"/>
  <c r="C52" i="59" s="1"/>
  <c r="H10" i="56"/>
  <c r="K10" i="56" s="1"/>
  <c r="N10" i="56" l="1"/>
  <c r="L10" i="56"/>
  <c r="I10" i="56"/>
  <c r="G4" i="58" l="1"/>
  <c r="D4" i="58"/>
  <c r="A4" i="58"/>
  <c r="J3" i="58"/>
  <c r="G3" i="58"/>
  <c r="D3" i="58"/>
  <c r="A3" i="58"/>
  <c r="E61" i="5" l="1"/>
  <c r="D61" i="5"/>
  <c r="C61" i="5"/>
  <c r="B61" i="5"/>
  <c r="E60" i="5"/>
  <c r="D60" i="5"/>
  <c r="C60" i="5"/>
  <c r="B60" i="5"/>
  <c r="E59" i="5"/>
  <c r="D59" i="5"/>
  <c r="C59" i="5"/>
  <c r="B59" i="5"/>
  <c r="C58" i="5"/>
  <c r="E55" i="5"/>
  <c r="D55" i="5"/>
  <c r="C55" i="5"/>
  <c r="B55" i="5"/>
  <c r="E54" i="5"/>
  <c r="D54" i="5"/>
  <c r="C54" i="5"/>
  <c r="B54" i="5"/>
  <c r="E53" i="5"/>
  <c r="D53" i="5"/>
  <c r="C53" i="5"/>
  <c r="B53" i="5"/>
  <c r="C52" i="5"/>
  <c r="C51" i="5"/>
  <c r="C57" i="5" s="1"/>
  <c r="C49" i="5"/>
  <c r="C48" i="5"/>
  <c r="C47" i="5"/>
  <c r="C46" i="5"/>
  <c r="E55" i="4"/>
  <c r="E54" i="4"/>
  <c r="E53" i="4"/>
  <c r="E61" i="4"/>
  <c r="E60" i="4"/>
  <c r="E59" i="4"/>
  <c r="B59" i="4"/>
  <c r="B60" i="4"/>
  <c r="B61" i="4"/>
  <c r="B53" i="4"/>
  <c r="B54" i="4"/>
  <c r="B55" i="4"/>
  <c r="C61" i="4"/>
  <c r="C60" i="4"/>
  <c r="C59" i="4"/>
  <c r="C58" i="4"/>
  <c r="C55" i="4"/>
  <c r="C54" i="4"/>
  <c r="C53" i="4"/>
  <c r="C52" i="4"/>
  <c r="C49" i="4"/>
  <c r="C48" i="4"/>
  <c r="C47" i="4"/>
  <c r="C46" i="4"/>
  <c r="E17" i="56" l="1"/>
  <c r="F17" i="56"/>
  <c r="G17" i="56"/>
  <c r="J17" i="56"/>
  <c r="M17" i="56"/>
  <c r="H11" i="56"/>
  <c r="I11" i="56" s="1"/>
  <c r="H12" i="56"/>
  <c r="I12" i="56" s="1"/>
  <c r="H13" i="56"/>
  <c r="K13" i="56" s="1"/>
  <c r="N13" i="56" s="1"/>
  <c r="H14" i="56"/>
  <c r="I14" i="56" s="1"/>
  <c r="H15" i="56"/>
  <c r="I15" i="56" s="1"/>
  <c r="H16" i="56"/>
  <c r="I16" i="56" s="1"/>
  <c r="K3" i="56"/>
  <c r="K4" i="56"/>
  <c r="K16" i="56" l="1"/>
  <c r="K15" i="56"/>
  <c r="N15" i="56" s="1"/>
  <c r="K14" i="56"/>
  <c r="I13" i="56"/>
  <c r="I17" i="56" s="1"/>
  <c r="L13" i="56"/>
  <c r="H17" i="56"/>
  <c r="K12" i="56"/>
  <c r="N12" i="56" s="1"/>
  <c r="K11" i="56"/>
  <c r="N11" i="56" s="1"/>
  <c r="Q3" i="56"/>
  <c r="E4" i="56"/>
  <c r="A4" i="56"/>
  <c r="E3" i="56"/>
  <c r="A3" i="56"/>
  <c r="L14" i="56" l="1"/>
  <c r="N14" i="56"/>
  <c r="L15" i="56"/>
  <c r="N16" i="56"/>
  <c r="L16" i="56"/>
  <c r="K17" i="56"/>
  <c r="L12" i="56"/>
  <c r="L11" i="56"/>
  <c r="N17" i="56" l="1"/>
  <c r="L17" i="56"/>
  <c r="J3" i="7"/>
  <c r="S3" i="48"/>
  <c r="R3" i="8"/>
  <c r="J3" i="47"/>
  <c r="G3" i="18"/>
  <c r="H3" i="50"/>
  <c r="O3" i="20"/>
  <c r="K3" i="46"/>
  <c r="G3" i="33"/>
  <c r="H22" i="7"/>
  <c r="C31" i="6" l="1"/>
  <c r="D35" i="6"/>
  <c r="D30" i="6"/>
  <c r="AE4" i="8"/>
  <c r="AE3" i="8"/>
  <c r="Y4" i="8"/>
  <c r="Y3" i="8"/>
  <c r="AM3" i="8"/>
  <c r="D17" i="6" l="1"/>
  <c r="D12" i="6"/>
  <c r="G12" i="6"/>
  <c r="G35" i="6"/>
  <c r="H35" i="6" s="1"/>
  <c r="G17" i="6" l="1"/>
  <c r="I35" i="6"/>
  <c r="G30" i="6"/>
  <c r="H30" i="6" s="1"/>
  <c r="H12" i="6"/>
  <c r="I12" i="6"/>
  <c r="E12" i="48"/>
  <c r="I17" i="6" l="1"/>
  <c r="H17" i="6"/>
  <c r="I30" i="6"/>
  <c r="H38" i="50" l="1"/>
  <c r="H37" i="50"/>
  <c r="C30" i="50"/>
  <c r="D30" i="50" s="1"/>
  <c r="C29" i="50"/>
  <c r="D29" i="50" s="1"/>
  <c r="C28" i="50"/>
  <c r="D28" i="50" s="1"/>
  <c r="C27" i="50"/>
  <c r="D27" i="50" s="1"/>
  <c r="D26" i="50"/>
  <c r="C26" i="50"/>
  <c r="C25" i="50"/>
  <c r="D25" i="50" s="1"/>
  <c r="C24" i="50"/>
  <c r="D24" i="50" s="1"/>
  <c r="C23" i="50"/>
  <c r="D23" i="50" s="1"/>
  <c r="C22" i="50"/>
  <c r="D22" i="50" s="1"/>
  <c r="C21" i="50"/>
  <c r="D21" i="50" s="1"/>
  <c r="C20" i="50"/>
  <c r="D20" i="50" s="1"/>
  <c r="H19" i="50"/>
  <c r="H24" i="50" s="1"/>
  <c r="C19" i="50"/>
  <c r="D19" i="50" s="1"/>
  <c r="C18" i="50"/>
  <c r="D18" i="50" s="1"/>
  <c r="C17" i="50"/>
  <c r="C16" i="50"/>
  <c r="D16" i="50" s="1"/>
  <c r="E4" i="50"/>
  <c r="D4" i="50"/>
  <c r="A4" i="50"/>
  <c r="E3" i="50"/>
  <c r="D3" i="50"/>
  <c r="A3" i="50"/>
  <c r="C31" i="50" l="1"/>
  <c r="H25" i="50" s="1"/>
  <c r="H26" i="50" s="1"/>
  <c r="H27" i="50" s="1"/>
  <c r="H39" i="50"/>
  <c r="D17" i="50"/>
  <c r="D31" i="50" s="1"/>
  <c r="H28" i="50" l="1"/>
  <c r="J4" i="48" l="1"/>
  <c r="F37" i="6"/>
  <c r="B37" i="6"/>
  <c r="D37" i="6" s="1"/>
  <c r="F19" i="6"/>
  <c r="B19" i="6"/>
  <c r="C26" i="6"/>
  <c r="C36" i="6" s="1"/>
  <c r="G60" i="5"/>
  <c r="G59" i="5"/>
  <c r="G58" i="5"/>
  <c r="G57" i="5"/>
  <c r="G55" i="5"/>
  <c r="G54" i="5"/>
  <c r="G53" i="5"/>
  <c r="G52" i="5"/>
  <c r="G49" i="5"/>
  <c r="G48" i="5"/>
  <c r="G47" i="5"/>
  <c r="G46" i="5"/>
  <c r="G43" i="5"/>
  <c r="G42" i="5"/>
  <c r="G41" i="5"/>
  <c r="G40" i="5"/>
  <c r="C21" i="5"/>
  <c r="B21" i="5"/>
  <c r="C20" i="5"/>
  <c r="B20" i="5"/>
  <c r="G60" i="4"/>
  <c r="D60" i="4"/>
  <c r="G59" i="4"/>
  <c r="D59" i="4"/>
  <c r="G58" i="4"/>
  <c r="G57" i="4"/>
  <c r="G55" i="4"/>
  <c r="D55" i="4"/>
  <c r="G54" i="4"/>
  <c r="D54" i="4"/>
  <c r="G53" i="4"/>
  <c r="D53" i="4"/>
  <c r="G52" i="4"/>
  <c r="G49" i="4"/>
  <c r="G48" i="4"/>
  <c r="G47" i="4"/>
  <c r="G46" i="4"/>
  <c r="G43" i="4"/>
  <c r="G42" i="4"/>
  <c r="G41" i="4"/>
  <c r="G40" i="4"/>
  <c r="G61" i="4"/>
  <c r="D61" i="4"/>
  <c r="G61" i="5"/>
  <c r="F22" i="7"/>
  <c r="D22" i="7"/>
  <c r="C22" i="7"/>
  <c r="B22" i="7"/>
  <c r="T46" i="8"/>
  <c r="M40" i="8"/>
  <c r="M39" i="8"/>
  <c r="M38" i="8"/>
  <c r="I37" i="8"/>
  <c r="M36" i="8"/>
  <c r="M35" i="8"/>
  <c r="I34" i="8"/>
  <c r="M33" i="8"/>
  <c r="M32" i="8"/>
  <c r="I31" i="8"/>
  <c r="M28" i="8"/>
  <c r="M27" i="8"/>
  <c r="M26" i="8"/>
  <c r="M25" i="8"/>
  <c r="M24" i="8"/>
  <c r="M23" i="8"/>
  <c r="I22" i="8"/>
  <c r="M21" i="8"/>
  <c r="M20" i="8"/>
  <c r="M19" i="8"/>
  <c r="I18" i="8"/>
  <c r="M17" i="8"/>
  <c r="M16" i="8"/>
  <c r="M15" i="8"/>
  <c r="M14" i="8"/>
  <c r="M13" i="8"/>
  <c r="I12" i="8"/>
  <c r="I41" i="8" l="1"/>
  <c r="B25" i="6"/>
  <c r="D25" i="6" s="1"/>
  <c r="B7" i="6"/>
  <c r="D7" i="6" s="1"/>
  <c r="I29" i="8"/>
  <c r="I43" i="8"/>
  <c r="I44" i="8"/>
  <c r="I42" i="8"/>
  <c r="G56" i="5"/>
  <c r="G56" i="4"/>
  <c r="E4" i="48"/>
  <c r="J3" i="48"/>
  <c r="E3" i="48"/>
  <c r="A4" i="48"/>
  <c r="A3" i="48"/>
  <c r="K39" i="48"/>
  <c r="K42" i="48"/>
  <c r="K36" i="48"/>
  <c r="I42" i="48"/>
  <c r="F34" i="6" s="1"/>
  <c r="I39" i="48"/>
  <c r="F32" i="6" s="1"/>
  <c r="I36" i="48"/>
  <c r="K26" i="48"/>
  <c r="K22" i="48"/>
  <c r="K12" i="48"/>
  <c r="H43" i="48"/>
  <c r="H44" i="48"/>
  <c r="J44" i="48" s="1"/>
  <c r="H45" i="48"/>
  <c r="H51" i="48"/>
  <c r="J51" i="48" s="1"/>
  <c r="G39" i="48"/>
  <c r="F39" i="48"/>
  <c r="E39" i="48"/>
  <c r="F22" i="48"/>
  <c r="G22" i="48"/>
  <c r="Q40" i="8"/>
  <c r="S40" i="8" s="1"/>
  <c r="Q39" i="8"/>
  <c r="S39" i="8" s="1"/>
  <c r="Q38" i="8"/>
  <c r="S38" i="8" s="1"/>
  <c r="Q36" i="8"/>
  <c r="S36" i="8" s="1"/>
  <c r="Q35" i="8"/>
  <c r="S35" i="8" s="1"/>
  <c r="Q33" i="8"/>
  <c r="S33" i="8" s="1"/>
  <c r="Q32" i="8"/>
  <c r="S32" i="8" s="1"/>
  <c r="Q28" i="8"/>
  <c r="S28" i="8" s="1"/>
  <c r="Q27" i="8"/>
  <c r="AA27" i="8" s="1"/>
  <c r="AE27" i="8" s="1"/>
  <c r="Q26" i="8"/>
  <c r="S26" i="8" s="1"/>
  <c r="Q25" i="8"/>
  <c r="S25" i="8" s="1"/>
  <c r="Q24" i="8"/>
  <c r="S24" i="8" s="1"/>
  <c r="Q23" i="8"/>
  <c r="S23" i="8" s="1"/>
  <c r="Q21" i="8"/>
  <c r="S21" i="8" s="1"/>
  <c r="Q20" i="8"/>
  <c r="S20" i="8" s="1"/>
  <c r="Q19" i="8"/>
  <c r="S19" i="8" s="1"/>
  <c r="N40" i="8"/>
  <c r="R40" i="8" s="1"/>
  <c r="M37" i="8"/>
  <c r="N39" i="8"/>
  <c r="R39" i="8" s="1"/>
  <c r="AB39" i="8" s="1"/>
  <c r="N38" i="8"/>
  <c r="R38" i="8" s="1"/>
  <c r="Z40" i="8"/>
  <c r="Y40" i="8"/>
  <c r="Z39" i="8"/>
  <c r="Y39" i="8"/>
  <c r="Z38" i="8"/>
  <c r="Y38" i="8"/>
  <c r="AD37" i="8"/>
  <c r="AD41" i="8" s="1"/>
  <c r="X37" i="8"/>
  <c r="F16" i="6" s="1"/>
  <c r="W37" i="8"/>
  <c r="V37" i="8"/>
  <c r="C16" i="6" s="1"/>
  <c r="J37" i="8"/>
  <c r="K37" i="8"/>
  <c r="L37" i="8"/>
  <c r="O37" i="8"/>
  <c r="P37" i="8"/>
  <c r="H37" i="8"/>
  <c r="B16" i="6" s="1"/>
  <c r="N36" i="8"/>
  <c r="R36" i="8" s="1"/>
  <c r="N35" i="8"/>
  <c r="R35" i="8" s="1"/>
  <c r="N33" i="8"/>
  <c r="R33" i="8" s="1"/>
  <c r="M31" i="8"/>
  <c r="N32" i="8"/>
  <c r="R32" i="8" s="1"/>
  <c r="Z36" i="8"/>
  <c r="Y36" i="8"/>
  <c r="Z35" i="8"/>
  <c r="Y35" i="8"/>
  <c r="X34" i="8"/>
  <c r="W34" i="8"/>
  <c r="V34" i="8"/>
  <c r="U34" i="8"/>
  <c r="P34" i="8"/>
  <c r="O34" i="8"/>
  <c r="M34" i="8"/>
  <c r="L34" i="8"/>
  <c r="K34" i="8"/>
  <c r="J34" i="8"/>
  <c r="H34" i="8"/>
  <c r="G34" i="8"/>
  <c r="Z33" i="8"/>
  <c r="Y33" i="8"/>
  <c r="Z32" i="8"/>
  <c r="Y32" i="8"/>
  <c r="X31" i="8"/>
  <c r="F15" i="6" s="1"/>
  <c r="W31" i="8"/>
  <c r="V31" i="8"/>
  <c r="C15" i="6" s="1"/>
  <c r="U31" i="8"/>
  <c r="J31" i="8"/>
  <c r="K31" i="8"/>
  <c r="L31" i="8"/>
  <c r="O31" i="8"/>
  <c r="P31" i="8"/>
  <c r="H31" i="8"/>
  <c r="B15" i="6" s="1"/>
  <c r="Z28" i="8"/>
  <c r="Y28" i="8"/>
  <c r="Z27" i="8"/>
  <c r="Y27" i="8"/>
  <c r="Z26" i="8"/>
  <c r="Y26" i="8"/>
  <c r="Z25" i="8"/>
  <c r="Y25" i="8"/>
  <c r="Z24" i="8"/>
  <c r="Y24" i="8"/>
  <c r="Z23" i="8"/>
  <c r="Y23" i="8"/>
  <c r="Z21" i="8"/>
  <c r="Y21" i="8"/>
  <c r="Z20" i="8"/>
  <c r="Y20" i="8"/>
  <c r="Z19" i="8"/>
  <c r="Y19" i="8"/>
  <c r="Y14" i="8"/>
  <c r="Z14" i="8"/>
  <c r="Y15" i="8"/>
  <c r="Z15" i="8"/>
  <c r="Y16" i="8"/>
  <c r="Z16" i="8"/>
  <c r="Y17" i="8"/>
  <c r="Z17" i="8"/>
  <c r="AD22" i="8"/>
  <c r="AD18" i="8"/>
  <c r="X22" i="8"/>
  <c r="F11" i="6" s="1"/>
  <c r="W22" i="8"/>
  <c r="V22" i="8"/>
  <c r="C11" i="6" s="1"/>
  <c r="W18" i="8"/>
  <c r="X18" i="8"/>
  <c r="V18" i="8"/>
  <c r="J22" i="8"/>
  <c r="K22" i="8"/>
  <c r="L22" i="8"/>
  <c r="O22" i="8"/>
  <c r="P22" i="8"/>
  <c r="H22" i="8"/>
  <c r="B11" i="6" s="1"/>
  <c r="N28" i="8"/>
  <c r="R28" i="8" s="1"/>
  <c r="AB28" i="8" s="1"/>
  <c r="N27" i="8"/>
  <c r="R27" i="8" s="1"/>
  <c r="AB27" i="8" s="1"/>
  <c r="N26" i="8"/>
  <c r="R26" i="8" s="1"/>
  <c r="AB26" i="8" s="1"/>
  <c r="N25" i="8"/>
  <c r="R25" i="8" s="1"/>
  <c r="AB25" i="8" s="1"/>
  <c r="N24" i="8"/>
  <c r="R24" i="8" s="1"/>
  <c r="AB24" i="8" s="1"/>
  <c r="D58" i="5" s="1"/>
  <c r="N23" i="8"/>
  <c r="R23" i="8" s="1"/>
  <c r="AB23" i="8" s="1"/>
  <c r="N21" i="8"/>
  <c r="R21" i="8" s="1"/>
  <c r="AB21" i="8" s="1"/>
  <c r="N20" i="8"/>
  <c r="R20" i="8" s="1"/>
  <c r="AB20" i="8" s="1"/>
  <c r="M18" i="8"/>
  <c r="N19" i="8"/>
  <c r="R19" i="8" s="1"/>
  <c r="AB19" i="8" s="1"/>
  <c r="J18" i="8"/>
  <c r="K18" i="8"/>
  <c r="L18" i="8"/>
  <c r="O18" i="8"/>
  <c r="P18" i="8"/>
  <c r="H18" i="8"/>
  <c r="V12" i="8"/>
  <c r="C10" i="6" s="1"/>
  <c r="W12" i="8"/>
  <c r="X12" i="8"/>
  <c r="F10" i="6" s="1"/>
  <c r="AD12" i="8"/>
  <c r="AD42" i="8" s="1"/>
  <c r="O12" i="8"/>
  <c r="P12" i="8"/>
  <c r="E49" i="4" l="1"/>
  <c r="E49" i="5"/>
  <c r="E52" i="4"/>
  <c r="E58" i="5"/>
  <c r="E52" i="5"/>
  <c r="E58" i="4"/>
  <c r="E48" i="5"/>
  <c r="E48" i="4"/>
  <c r="B58" i="4"/>
  <c r="B58" i="5"/>
  <c r="E47" i="5"/>
  <c r="E47" i="4"/>
  <c r="E45" i="5"/>
  <c r="E45" i="4"/>
  <c r="E57" i="5"/>
  <c r="E57" i="4"/>
  <c r="E51" i="5"/>
  <c r="E51" i="4"/>
  <c r="Z31" i="8"/>
  <c r="M41" i="8"/>
  <c r="K46" i="48"/>
  <c r="K34" i="48"/>
  <c r="X29" i="8"/>
  <c r="K41" i="8"/>
  <c r="X41" i="8"/>
  <c r="V29" i="8"/>
  <c r="L41" i="8"/>
  <c r="O41" i="8"/>
  <c r="P41" i="8"/>
  <c r="H41" i="8"/>
  <c r="V41" i="8"/>
  <c r="J41" i="8"/>
  <c r="W41" i="8"/>
  <c r="W29" i="8"/>
  <c r="P29" i="8"/>
  <c r="AD29" i="8"/>
  <c r="O29" i="8"/>
  <c r="I46" i="48"/>
  <c r="F14" i="6"/>
  <c r="F13" i="6" s="1"/>
  <c r="B14" i="6"/>
  <c r="B13" i="6" s="1"/>
  <c r="C14" i="6"/>
  <c r="C13" i="6" s="1"/>
  <c r="AD43" i="8"/>
  <c r="F9" i="6"/>
  <c r="B9" i="6"/>
  <c r="C9" i="6"/>
  <c r="C8" i="6" s="1"/>
  <c r="Z34" i="8"/>
  <c r="L44" i="8"/>
  <c r="B32" i="6"/>
  <c r="D32" i="6" s="1"/>
  <c r="F33" i="6"/>
  <c r="F31" i="6" s="1"/>
  <c r="J44" i="8"/>
  <c r="I45" i="8"/>
  <c r="K44" i="8"/>
  <c r="W44" i="8"/>
  <c r="P43" i="8"/>
  <c r="AA25" i="8"/>
  <c r="AE25" i="8" s="1"/>
  <c r="O44" i="8"/>
  <c r="AA19" i="8"/>
  <c r="AE19" i="8" s="1"/>
  <c r="O43" i="8"/>
  <c r="Z37" i="8"/>
  <c r="J43" i="8"/>
  <c r="G48" i="48"/>
  <c r="AD44" i="8"/>
  <c r="Y18" i="8"/>
  <c r="Z22" i="8"/>
  <c r="Y37" i="8"/>
  <c r="H44" i="8"/>
  <c r="P44" i="8"/>
  <c r="P42" i="8"/>
  <c r="K43" i="8"/>
  <c r="X42" i="8"/>
  <c r="O42" i="8"/>
  <c r="L43" i="8"/>
  <c r="T40" i="8"/>
  <c r="B18" i="5"/>
  <c r="D58" i="4"/>
  <c r="C18" i="5"/>
  <c r="Z18" i="8"/>
  <c r="H43" i="8"/>
  <c r="T26" i="8"/>
  <c r="T32" i="8"/>
  <c r="T38" i="8"/>
  <c r="AA21" i="8"/>
  <c r="AE21" i="8" s="1"/>
  <c r="AA23" i="8"/>
  <c r="AE23" i="8" s="1"/>
  <c r="T39" i="8"/>
  <c r="Y22" i="8"/>
  <c r="N37" i="8"/>
  <c r="X43" i="8"/>
  <c r="W42" i="8"/>
  <c r="Y31" i="8"/>
  <c r="N34" i="8"/>
  <c r="Y34" i="8"/>
  <c r="AB36" i="8"/>
  <c r="D52" i="4" s="1"/>
  <c r="T35" i="8"/>
  <c r="X44" i="8"/>
  <c r="W43" i="8"/>
  <c r="V42" i="8"/>
  <c r="AB33" i="8"/>
  <c r="D46" i="5" s="1"/>
  <c r="T33" i="8"/>
  <c r="N22" i="8"/>
  <c r="V43" i="8"/>
  <c r="AB40" i="8"/>
  <c r="B19" i="5" s="1"/>
  <c r="T19" i="8"/>
  <c r="T25" i="8"/>
  <c r="T28" i="8"/>
  <c r="T36" i="8"/>
  <c r="V44" i="8"/>
  <c r="F48" i="48"/>
  <c r="K48" i="48"/>
  <c r="J43" i="48"/>
  <c r="H42" i="48"/>
  <c r="M43" i="8"/>
  <c r="AA28" i="8"/>
  <c r="AE28" i="8" s="1"/>
  <c r="AA38" i="8"/>
  <c r="AE38" i="8" s="1"/>
  <c r="AA26" i="8"/>
  <c r="AE26" i="8" s="1"/>
  <c r="AA20" i="8"/>
  <c r="AE20" i="8" s="1"/>
  <c r="AA39" i="8"/>
  <c r="AE39" i="8" s="1"/>
  <c r="T23" i="8"/>
  <c r="T24" i="8"/>
  <c r="AA24" i="8"/>
  <c r="AE24" i="8" s="1"/>
  <c r="S27" i="8"/>
  <c r="S22" i="8" s="1"/>
  <c r="AB18" i="8"/>
  <c r="T21" i="8"/>
  <c r="T20" i="8"/>
  <c r="AA36" i="8"/>
  <c r="AE36" i="8" s="1"/>
  <c r="R34" i="8"/>
  <c r="Q34" i="8"/>
  <c r="AA35" i="8"/>
  <c r="AB35" i="8"/>
  <c r="B51" i="4" s="1"/>
  <c r="Q31" i="8"/>
  <c r="AA32" i="8"/>
  <c r="R31" i="8"/>
  <c r="E15" i="6" s="1"/>
  <c r="AB32" i="8"/>
  <c r="N31" i="8"/>
  <c r="AB22" i="8"/>
  <c r="R18" i="8"/>
  <c r="Q22" i="8"/>
  <c r="N18" i="8"/>
  <c r="R22" i="8"/>
  <c r="E11" i="6" s="1"/>
  <c r="S18" i="8"/>
  <c r="M22" i="8"/>
  <c r="M44" i="8" s="1"/>
  <c r="B52" i="5" l="1"/>
  <c r="E46" i="5"/>
  <c r="E46" i="4"/>
  <c r="B52" i="4"/>
  <c r="B51" i="5"/>
  <c r="D51" i="5" s="1"/>
  <c r="D52" i="5"/>
  <c r="AD45" i="8"/>
  <c r="Y41" i="8"/>
  <c r="N41" i="8"/>
  <c r="Z41" i="8"/>
  <c r="E14" i="6"/>
  <c r="Y44" i="8"/>
  <c r="Z43" i="8"/>
  <c r="E9" i="6"/>
  <c r="P45" i="8"/>
  <c r="T34" i="8"/>
  <c r="O45" i="8"/>
  <c r="Z44" i="8"/>
  <c r="T31" i="8"/>
  <c r="AB34" i="8"/>
  <c r="AE22" i="8"/>
  <c r="N44" i="8"/>
  <c r="T37" i="8"/>
  <c r="V45" i="8"/>
  <c r="Y43" i="8"/>
  <c r="N43" i="8"/>
  <c r="X45" i="8"/>
  <c r="AB31" i="8"/>
  <c r="W45" i="8"/>
  <c r="C19" i="5"/>
  <c r="E34" i="6"/>
  <c r="G34" i="6" s="1"/>
  <c r="AA18" i="8"/>
  <c r="R43" i="8"/>
  <c r="AA22" i="8"/>
  <c r="T27" i="8"/>
  <c r="R37" i="8"/>
  <c r="R41" i="8" s="1"/>
  <c r="AB38" i="8"/>
  <c r="Q37" i="8"/>
  <c r="Q44" i="8" s="1"/>
  <c r="AA40" i="8"/>
  <c r="S37" i="8"/>
  <c r="S44" i="8" s="1"/>
  <c r="S34" i="8"/>
  <c r="AA34" i="8"/>
  <c r="AE35" i="8"/>
  <c r="AE34" i="8" s="1"/>
  <c r="AC31" i="8"/>
  <c r="AA33" i="8"/>
  <c r="AE33" i="8" s="1"/>
  <c r="AE32" i="8"/>
  <c r="Q18" i="8"/>
  <c r="T41" i="8" l="1"/>
  <c r="D50" i="5"/>
  <c r="B46" i="4"/>
  <c r="B46" i="5"/>
  <c r="B57" i="5"/>
  <c r="D57" i="5" s="1"/>
  <c r="D56" i="5" s="1"/>
  <c r="B57" i="4"/>
  <c r="Q41" i="8"/>
  <c r="AB43" i="8"/>
  <c r="S43" i="8"/>
  <c r="Q43" i="8"/>
  <c r="AC34" i="8"/>
  <c r="AA31" i="8"/>
  <c r="C17" i="5"/>
  <c r="B17" i="5"/>
  <c r="E16" i="6"/>
  <c r="E13" i="6" s="1"/>
  <c r="AE31" i="8"/>
  <c r="AA43" i="8"/>
  <c r="R44" i="8"/>
  <c r="AA37" i="8"/>
  <c r="AE40" i="8"/>
  <c r="AE37" i="8" s="1"/>
  <c r="AE44" i="8" s="1"/>
  <c r="AC44" i="8"/>
  <c r="AB37" i="8"/>
  <c r="AB41" i="8" s="1"/>
  <c r="S31" i="8"/>
  <c r="S41" i="8" s="1"/>
  <c r="AA41" i="8" l="1"/>
  <c r="AE41" i="8"/>
  <c r="AC43" i="8"/>
  <c r="AC41" i="8"/>
  <c r="AB44" i="8"/>
  <c r="AA44" i="8"/>
  <c r="G42" i="48" l="1"/>
  <c r="F42" i="48"/>
  <c r="E42" i="48"/>
  <c r="B34" i="6" s="1"/>
  <c r="D34" i="6" s="1"/>
  <c r="H41" i="48"/>
  <c r="J41" i="48" s="1"/>
  <c r="H40" i="48"/>
  <c r="H38" i="48"/>
  <c r="J38" i="48" s="1"/>
  <c r="H37" i="48"/>
  <c r="G36" i="48"/>
  <c r="G46" i="48" s="1"/>
  <c r="F36" i="48"/>
  <c r="E36" i="48"/>
  <c r="H33" i="48"/>
  <c r="J33" i="48" s="1"/>
  <c r="H32" i="48"/>
  <c r="J32" i="48" s="1"/>
  <c r="H31" i="48"/>
  <c r="J31" i="48" s="1"/>
  <c r="H30" i="48"/>
  <c r="J30" i="48" s="1"/>
  <c r="H29" i="48"/>
  <c r="J29" i="48" s="1"/>
  <c r="H28" i="48"/>
  <c r="J28" i="48" s="1"/>
  <c r="H27" i="48"/>
  <c r="I26" i="48"/>
  <c r="G26" i="48"/>
  <c r="F26" i="48"/>
  <c r="E26" i="48"/>
  <c r="H25" i="48"/>
  <c r="J25" i="48" s="1"/>
  <c r="H24" i="48"/>
  <c r="J24" i="48" s="1"/>
  <c r="H23" i="48"/>
  <c r="I22" i="48"/>
  <c r="E22" i="48"/>
  <c r="H21" i="48"/>
  <c r="J21" i="48" s="1"/>
  <c r="H20" i="48"/>
  <c r="J20" i="48" s="1"/>
  <c r="H19" i="48"/>
  <c r="J19" i="48" s="1"/>
  <c r="H18" i="48"/>
  <c r="J18" i="48" s="1"/>
  <c r="H17" i="48"/>
  <c r="J17" i="48" s="1"/>
  <c r="H16" i="48"/>
  <c r="J16" i="48" s="1"/>
  <c r="H15" i="48"/>
  <c r="J15" i="48" s="1"/>
  <c r="H14" i="48"/>
  <c r="J14" i="48" s="1"/>
  <c r="H13" i="48"/>
  <c r="I12" i="48"/>
  <c r="G12" i="48"/>
  <c r="F12" i="48"/>
  <c r="F34" i="48" s="1"/>
  <c r="B28" i="6"/>
  <c r="D28" i="6" s="1"/>
  <c r="I34" i="48" l="1"/>
  <c r="G34" i="48"/>
  <c r="E46" i="48"/>
  <c r="F46" i="48"/>
  <c r="E34" i="48"/>
  <c r="L30" i="48"/>
  <c r="L24" i="48"/>
  <c r="F49" i="48"/>
  <c r="F27" i="6"/>
  <c r="G49" i="48"/>
  <c r="J23" i="48"/>
  <c r="L23" i="48" s="1"/>
  <c r="H22" i="48"/>
  <c r="H39" i="48"/>
  <c r="J40" i="48"/>
  <c r="I49" i="48"/>
  <c r="F29" i="6"/>
  <c r="F47" i="48"/>
  <c r="B33" i="6"/>
  <c r="B31" i="6" s="1"/>
  <c r="E47" i="48"/>
  <c r="J13" i="48"/>
  <c r="H12" i="48"/>
  <c r="G47" i="48"/>
  <c r="H26" i="48"/>
  <c r="J27" i="48"/>
  <c r="F28" i="6"/>
  <c r="H34" i="6"/>
  <c r="I34" i="6"/>
  <c r="B27" i="6"/>
  <c r="E48" i="48"/>
  <c r="B29" i="6"/>
  <c r="E49" i="48"/>
  <c r="J37" i="48"/>
  <c r="H36" i="48"/>
  <c r="E33" i="6" s="1"/>
  <c r="I48" i="48"/>
  <c r="L41" i="48"/>
  <c r="L38" i="48"/>
  <c r="J42" i="48"/>
  <c r="L44" i="48"/>
  <c r="L25" i="48"/>
  <c r="L29" i="48"/>
  <c r="L32" i="48"/>
  <c r="L20" i="48"/>
  <c r="L15" i="48"/>
  <c r="L21" i="48"/>
  <c r="L16" i="48"/>
  <c r="L17" i="48"/>
  <c r="L33" i="48"/>
  <c r="L19" i="48"/>
  <c r="L18" i="48"/>
  <c r="L28" i="48"/>
  <c r="L31" i="48"/>
  <c r="F50" i="48" l="1"/>
  <c r="F26" i="6"/>
  <c r="H34" i="48"/>
  <c r="L22" i="48"/>
  <c r="G50" i="48"/>
  <c r="L27" i="48"/>
  <c r="L26" i="48" s="1"/>
  <c r="I50" i="48"/>
  <c r="E50" i="48"/>
  <c r="J26" i="48"/>
  <c r="J12" i="48"/>
  <c r="J22" i="48"/>
  <c r="L12" i="48"/>
  <c r="J36" i="48"/>
  <c r="L37" i="48"/>
  <c r="L36" i="48" s="1"/>
  <c r="E29" i="6"/>
  <c r="D27" i="6"/>
  <c r="B26" i="6"/>
  <c r="L40" i="48"/>
  <c r="L39" i="48" s="1"/>
  <c r="E32" i="6"/>
  <c r="E31" i="6" s="1"/>
  <c r="J39" i="48"/>
  <c r="E27" i="6"/>
  <c r="E28" i="6"/>
  <c r="L42" i="48"/>
  <c r="J46" i="48" l="1"/>
  <c r="J34" i="48"/>
  <c r="L34" i="48"/>
  <c r="H50" i="48"/>
  <c r="D26" i="6"/>
  <c r="B36" i="6"/>
  <c r="D36" i="6" s="1"/>
  <c r="E26" i="6"/>
  <c r="G32" i="6"/>
  <c r="N14" i="8"/>
  <c r="R14" i="8" s="1"/>
  <c r="AB14" i="8" s="1"/>
  <c r="N15" i="8"/>
  <c r="R15" i="8" s="1"/>
  <c r="AB15" i="8" s="1"/>
  <c r="N16" i="8"/>
  <c r="R16" i="8" s="1"/>
  <c r="AB16" i="8" s="1"/>
  <c r="N17" i="8"/>
  <c r="R17" i="8" s="1"/>
  <c r="N13" i="8"/>
  <c r="G12" i="8"/>
  <c r="Y12" i="8" s="1"/>
  <c r="Y29" i="8" s="1"/>
  <c r="H12" i="8"/>
  <c r="H29" i="8" s="1"/>
  <c r="J12" i="8"/>
  <c r="J29" i="8" s="1"/>
  <c r="K12" i="8"/>
  <c r="K29" i="8" s="1"/>
  <c r="L12" i="8"/>
  <c r="L29" i="8" s="1"/>
  <c r="Q14" i="8"/>
  <c r="Q15" i="8"/>
  <c r="Q16" i="8"/>
  <c r="AA16" i="8" s="1"/>
  <c r="AE16" i="8" s="1"/>
  <c r="Q17" i="8"/>
  <c r="Q13" i="8"/>
  <c r="AE18" i="8"/>
  <c r="E4" i="5"/>
  <c r="E4" i="4"/>
  <c r="G4" i="6"/>
  <c r="G51" i="5"/>
  <c r="G50" i="5" s="1"/>
  <c r="G45" i="5"/>
  <c r="G44" i="5" s="1"/>
  <c r="F32" i="5"/>
  <c r="F31" i="5"/>
  <c r="F30" i="5"/>
  <c r="F29" i="5"/>
  <c r="B47" i="5" l="1"/>
  <c r="D47" i="5"/>
  <c r="B47" i="4"/>
  <c r="D47" i="4"/>
  <c r="B49" i="5"/>
  <c r="B49" i="4"/>
  <c r="D49" i="5"/>
  <c r="D49" i="4"/>
  <c r="D48" i="5"/>
  <c r="B48" i="4"/>
  <c r="B48" i="5"/>
  <c r="D48" i="4"/>
  <c r="G26" i="6"/>
  <c r="D46" i="4"/>
  <c r="Y42" i="8"/>
  <c r="Y45" i="8" s="1"/>
  <c r="J42" i="8"/>
  <c r="J45" i="8" s="1"/>
  <c r="L42" i="8"/>
  <c r="L45" i="8" s="1"/>
  <c r="K42" i="8"/>
  <c r="K45" i="8" s="1"/>
  <c r="B10" i="6"/>
  <c r="B8" i="6" s="1"/>
  <c r="D8" i="6" s="1"/>
  <c r="H42" i="8"/>
  <c r="H45" i="8" s="1"/>
  <c r="H32" i="6"/>
  <c r="I32" i="6"/>
  <c r="AE43" i="8"/>
  <c r="Z12" i="8"/>
  <c r="Z29" i="8" s="1"/>
  <c r="S15" i="8"/>
  <c r="AA15" i="8"/>
  <c r="AE15" i="8" s="1"/>
  <c r="Q12" i="8"/>
  <c r="Q29" i="8" s="1"/>
  <c r="AA14" i="8"/>
  <c r="AE14" i="8" s="1"/>
  <c r="S14" i="8"/>
  <c r="AA17" i="8"/>
  <c r="AE17" i="8" s="1"/>
  <c r="S17" i="8"/>
  <c r="AB17" i="8"/>
  <c r="S16" i="8"/>
  <c r="N12" i="8"/>
  <c r="N29" i="8" s="1"/>
  <c r="R13" i="8"/>
  <c r="M12" i="8"/>
  <c r="M29" i="8" s="1"/>
  <c r="G30" i="5"/>
  <c r="C30" i="5"/>
  <c r="G29" i="5"/>
  <c r="G31" i="5"/>
  <c r="C29" i="5"/>
  <c r="G32" i="5"/>
  <c r="C31" i="5"/>
  <c r="C32" i="5"/>
  <c r="N42" i="8" l="1"/>
  <c r="N45" i="8" s="1"/>
  <c r="Z42" i="8"/>
  <c r="Z45" i="8" s="1"/>
  <c r="Q42" i="8"/>
  <c r="Q45" i="8" s="1"/>
  <c r="M42" i="8"/>
  <c r="M45" i="8" s="1"/>
  <c r="T14" i="8"/>
  <c r="T16" i="8"/>
  <c r="T17" i="8"/>
  <c r="T15" i="8"/>
  <c r="R12" i="8"/>
  <c r="R29" i="8" s="1"/>
  <c r="AA12" i="8"/>
  <c r="AA29" i="8" s="1"/>
  <c r="AE13" i="8"/>
  <c r="AE12" i="8" s="1"/>
  <c r="AE29" i="8" s="1"/>
  <c r="S12" i="8"/>
  <c r="S29" i="8" s="1"/>
  <c r="F4" i="46"/>
  <c r="D4" i="33"/>
  <c r="J4" i="20"/>
  <c r="L4" i="8"/>
  <c r="D4" i="18"/>
  <c r="G4" i="7"/>
  <c r="G4" i="47"/>
  <c r="C4" i="47"/>
  <c r="G3" i="47"/>
  <c r="C3" i="47"/>
  <c r="A4" i="47"/>
  <c r="A3" i="47"/>
  <c r="B45" i="4" l="1"/>
  <c r="B45" i="5"/>
  <c r="D45" i="5" s="1"/>
  <c r="AB12" i="8"/>
  <c r="AB29" i="8" s="1"/>
  <c r="E10" i="6"/>
  <c r="E8" i="6" s="1"/>
  <c r="R42" i="8"/>
  <c r="R45" i="8" s="1"/>
  <c r="AE42" i="8"/>
  <c r="AE45" i="8" s="1"/>
  <c r="T12" i="8"/>
  <c r="T42" i="8" s="1"/>
  <c r="AA42" i="8"/>
  <c r="AA45" i="8" s="1"/>
  <c r="S42" i="8"/>
  <c r="S45" i="8" s="1"/>
  <c r="AC42" i="8" l="1"/>
  <c r="AC45" i="8" s="1"/>
  <c r="AB42" i="8"/>
  <c r="AB45" i="8" s="1"/>
  <c r="U12" i="8"/>
  <c r="U42" i="8" s="1"/>
  <c r="U22" i="8"/>
  <c r="U37" i="8"/>
  <c r="U41" i="8" s="1"/>
  <c r="G37" i="8"/>
  <c r="G22" i="8"/>
  <c r="U44" i="8" l="1"/>
  <c r="T22" i="8"/>
  <c r="T44" i="8" s="1"/>
  <c r="G27" i="6"/>
  <c r="D29" i="6"/>
  <c r="G44" i="8"/>
  <c r="C10" i="5" s="1"/>
  <c r="G3" i="6"/>
  <c r="G29" i="6" l="1"/>
  <c r="H27" i="6"/>
  <c r="I27" i="6" s="1"/>
  <c r="H29" i="6" l="1"/>
  <c r="I29" i="6" s="1"/>
  <c r="B10" i="5"/>
  <c r="C4" i="46"/>
  <c r="C4" i="33"/>
  <c r="F4" i="20"/>
  <c r="G4" i="8"/>
  <c r="C4" i="18"/>
  <c r="E4" i="7"/>
  <c r="C4" i="5"/>
  <c r="C4" i="4"/>
  <c r="D4" i="6"/>
  <c r="D19" i="6"/>
  <c r="E23" i="7"/>
  <c r="G31" i="8"/>
  <c r="G41" i="8" s="1"/>
  <c r="D15" i="6" l="1"/>
  <c r="E19" i="6"/>
  <c r="E37" i="6"/>
  <c r="G37" i="6" s="1"/>
  <c r="H37" i="6" s="1"/>
  <c r="G23" i="7"/>
  <c r="D14" i="6"/>
  <c r="G29" i="4"/>
  <c r="U18" i="8"/>
  <c r="U29" i="8" s="1"/>
  <c r="G3" i="8"/>
  <c r="L3" i="8"/>
  <c r="G18" i="8"/>
  <c r="G29" i="8" s="1"/>
  <c r="U43" i="8" l="1"/>
  <c r="U45" i="8" s="1"/>
  <c r="I37" i="6"/>
  <c r="T18" i="8"/>
  <c r="T29" i="8" s="1"/>
  <c r="G28" i="6"/>
  <c r="H52" i="4"/>
  <c r="D9" i="6"/>
  <c r="G43" i="8"/>
  <c r="G14" i="6"/>
  <c r="G42" i="8"/>
  <c r="G45" i="8" l="1"/>
  <c r="T43" i="8"/>
  <c r="H14" i="6"/>
  <c r="I14" i="6"/>
  <c r="C10" i="4"/>
  <c r="H28" i="6"/>
  <c r="I28" i="6" s="1"/>
  <c r="F8" i="6"/>
  <c r="C9" i="5"/>
  <c r="D10" i="6"/>
  <c r="C51" i="4"/>
  <c r="C57" i="4" s="1"/>
  <c r="F30" i="4"/>
  <c r="F31" i="4"/>
  <c r="F32" i="4"/>
  <c r="F29" i="4"/>
  <c r="A4" i="46"/>
  <c r="F3" i="46"/>
  <c r="C3" i="46"/>
  <c r="A3" i="46"/>
  <c r="C9" i="4" l="1"/>
  <c r="D33" i="6"/>
  <c r="D31" i="6" s="1"/>
  <c r="H26" i="6"/>
  <c r="I26" i="6" s="1"/>
  <c r="C29" i="4"/>
  <c r="C32" i="4"/>
  <c r="C31" i="4"/>
  <c r="C30" i="4"/>
  <c r="D39" i="6" l="1"/>
  <c r="G3" i="7" l="1"/>
  <c r="E3" i="7"/>
  <c r="A4" i="7"/>
  <c r="A3" i="7"/>
  <c r="C43" i="5" l="1"/>
  <c r="C43" i="4"/>
  <c r="C40" i="4"/>
  <c r="E40" i="4"/>
  <c r="C40" i="5"/>
  <c r="C42" i="4"/>
  <c r="C42" i="5"/>
  <c r="E41" i="4"/>
  <c r="E30" i="4" s="1"/>
  <c r="E43" i="5"/>
  <c r="E32" i="5" s="1"/>
  <c r="E42" i="4"/>
  <c r="E31" i="4" s="1"/>
  <c r="E40" i="5"/>
  <c r="E29" i="5" s="1"/>
  <c r="E42" i="5"/>
  <c r="E31" i="5" s="1"/>
  <c r="C41" i="5"/>
  <c r="E43" i="4"/>
  <c r="E32" i="4" s="1"/>
  <c r="C41" i="4"/>
  <c r="E41" i="5"/>
  <c r="E30" i="5" s="1"/>
  <c r="E39" i="4"/>
  <c r="G39" i="4" s="1"/>
  <c r="G38" i="4" s="1"/>
  <c r="E39" i="5"/>
  <c r="G39" i="5" s="1"/>
  <c r="G38" i="5" s="1"/>
  <c r="G62" i="5" s="1"/>
  <c r="D11" i="6"/>
  <c r="G32" i="4"/>
  <c r="G31" i="4"/>
  <c r="G30" i="4"/>
  <c r="G51" i="4"/>
  <c r="G50" i="4" s="1"/>
  <c r="G45" i="4"/>
  <c r="G44" i="4" s="1"/>
  <c r="D51" i="4"/>
  <c r="D50" i="4" s="1"/>
  <c r="E29" i="4" l="1"/>
  <c r="C11" i="4"/>
  <c r="AB46" i="8"/>
  <c r="G19" i="6"/>
  <c r="I19" i="6" s="1"/>
  <c r="G16" i="6"/>
  <c r="H19" i="6" l="1"/>
  <c r="G15" i="6"/>
  <c r="G13" i="6" s="1"/>
  <c r="D16" i="6"/>
  <c r="D13" i="6" s="1"/>
  <c r="E15" i="7"/>
  <c r="E16" i="7"/>
  <c r="E17" i="7"/>
  <c r="E18" i="7"/>
  <c r="E19" i="7"/>
  <c r="E20" i="7"/>
  <c r="G20" i="7" s="1"/>
  <c r="I20" i="7" s="1"/>
  <c r="E21" i="7"/>
  <c r="G21" i="7" s="1"/>
  <c r="I21" i="7" s="1"/>
  <c r="A4" i="33"/>
  <c r="D3" i="33"/>
  <c r="C3" i="33"/>
  <c r="A3" i="33"/>
  <c r="C17" i="18"/>
  <c r="C18" i="18"/>
  <c r="C19" i="18"/>
  <c r="C20" i="18"/>
  <c r="C21" i="18"/>
  <c r="C22" i="18"/>
  <c r="C23" i="18"/>
  <c r="C24" i="18"/>
  <c r="C25" i="18"/>
  <c r="C26" i="18"/>
  <c r="C27" i="18"/>
  <c r="C28" i="18"/>
  <c r="C16" i="18"/>
  <c r="A4" i="20"/>
  <c r="J3" i="20"/>
  <c r="F3" i="20"/>
  <c r="A3" i="20"/>
  <c r="A4" i="18"/>
  <c r="D3" i="18"/>
  <c r="C3" i="18"/>
  <c r="A3" i="18"/>
  <c r="A4" i="8"/>
  <c r="A3" i="8"/>
  <c r="A4" i="5"/>
  <c r="E3" i="5"/>
  <c r="C3" i="5"/>
  <c r="A3" i="5"/>
  <c r="A4" i="4"/>
  <c r="E3" i="4"/>
  <c r="C3" i="4"/>
  <c r="A3" i="4"/>
  <c r="D3" i="6"/>
  <c r="A4" i="6"/>
  <c r="A3" i="6"/>
  <c r="G19" i="18"/>
  <c r="G24" i="18" s="1"/>
  <c r="G15" i="7" l="1"/>
  <c r="B39" i="5"/>
  <c r="B39" i="4"/>
  <c r="G16" i="7"/>
  <c r="I16" i="7" s="1"/>
  <c r="B40" i="4"/>
  <c r="B29" i="4" s="1"/>
  <c r="B40" i="5"/>
  <c r="B29" i="5" s="1"/>
  <c r="G19" i="7"/>
  <c r="I19" i="7" s="1"/>
  <c r="B43" i="4"/>
  <c r="B43" i="5"/>
  <c r="G17" i="7"/>
  <c r="I17" i="7" s="1"/>
  <c r="B41" i="4"/>
  <c r="B30" i="4" s="1"/>
  <c r="B41" i="5"/>
  <c r="B30" i="5" s="1"/>
  <c r="G18" i="7"/>
  <c r="I18" i="7" s="1"/>
  <c r="B42" i="4"/>
  <c r="B42" i="5"/>
  <c r="I16" i="6"/>
  <c r="C29" i="18"/>
  <c r="G25" i="18" s="1"/>
  <c r="G26" i="18" s="1"/>
  <c r="E22" i="7"/>
  <c r="D41" i="5"/>
  <c r="D30" i="5" s="1"/>
  <c r="D41" i="4"/>
  <c r="D30" i="4" s="1"/>
  <c r="D40" i="5"/>
  <c r="D29" i="5" s="1"/>
  <c r="D40" i="4"/>
  <c r="D29" i="4" s="1"/>
  <c r="I15" i="6"/>
  <c r="H16" i="6"/>
  <c r="C12" i="4"/>
  <c r="H15" i="6"/>
  <c r="B12" i="4"/>
  <c r="G10" i="6"/>
  <c r="G11" i="6"/>
  <c r="I11" i="6" s="1"/>
  <c r="C8" i="5"/>
  <c r="C12" i="5" s="1"/>
  <c r="B32" i="4" l="1"/>
  <c r="D43" i="4"/>
  <c r="D32" i="4" s="1"/>
  <c r="D42" i="5"/>
  <c r="D31" i="5" s="1"/>
  <c r="B31" i="5"/>
  <c r="D42" i="4"/>
  <c r="D31" i="4" s="1"/>
  <c r="B31" i="4"/>
  <c r="D43" i="5"/>
  <c r="D32" i="5" s="1"/>
  <c r="B32" i="5"/>
  <c r="G22" i="7"/>
  <c r="I15" i="7"/>
  <c r="I22" i="7" s="1"/>
  <c r="G28" i="18"/>
  <c r="G27" i="18"/>
  <c r="B9" i="4"/>
  <c r="H11" i="6"/>
  <c r="B11" i="4"/>
  <c r="D44" i="5"/>
  <c r="D45" i="4"/>
  <c r="D44" i="4" s="1"/>
  <c r="G62" i="4"/>
  <c r="H10" i="6"/>
  <c r="I10" i="6" s="1"/>
  <c r="G25" i="6" l="1"/>
  <c r="H25" i="6" s="1"/>
  <c r="I25" i="6" s="1"/>
  <c r="G7" i="6"/>
  <c r="B8" i="4" s="1"/>
  <c r="B18" i="6"/>
  <c r="E7" i="6"/>
  <c r="E18" i="6" s="1"/>
  <c r="E25" i="6"/>
  <c r="E36" i="6" s="1"/>
  <c r="D39" i="5"/>
  <c r="D38" i="5" s="1"/>
  <c r="D62" i="5" s="1"/>
  <c r="B8" i="5"/>
  <c r="I13" i="6"/>
  <c r="F7" i="6" l="1"/>
  <c r="F18" i="6" s="1"/>
  <c r="F25" i="6"/>
  <c r="F36" i="6" s="1"/>
  <c r="H13" i="6"/>
  <c r="D39" i="4"/>
  <c r="D38" i="4" s="1"/>
  <c r="E8" i="5" l="1"/>
  <c r="D57" i="4" l="1"/>
  <c r="D56" i="4" s="1"/>
  <c r="D62" i="4" l="1"/>
  <c r="G9" i="6" l="1"/>
  <c r="I9" i="6" s="1"/>
  <c r="G8" i="6" l="1"/>
  <c r="G18" i="6" s="1"/>
  <c r="B10" i="4"/>
  <c r="B14" i="4" s="1"/>
  <c r="H9" i="6"/>
  <c r="G21" i="6" l="1"/>
  <c r="B16" i="4"/>
  <c r="T45" i="8"/>
  <c r="H8" i="6"/>
  <c r="I8" i="6" s="1"/>
  <c r="G33" i="6" l="1"/>
  <c r="B9" i="5"/>
  <c r="B12" i="5" l="1"/>
  <c r="E12" i="5" s="1"/>
  <c r="I33" i="6"/>
  <c r="G31" i="6"/>
  <c r="H33" i="6"/>
  <c r="G36" i="6" l="1"/>
  <c r="G39" i="6" s="1"/>
  <c r="I31" i="6"/>
  <c r="H31" i="6"/>
  <c r="H36" i="6" s="1"/>
  <c r="I36" i="6" l="1"/>
  <c r="C8" i="4" l="1"/>
  <c r="C14" i="4" s="1"/>
  <c r="C16" i="4" s="1"/>
  <c r="C18" i="6"/>
  <c r="D18" i="6" s="1"/>
  <c r="H7" i="6"/>
  <c r="I7" i="6" s="1"/>
  <c r="D21" i="6" l="1"/>
  <c r="H18" i="6"/>
  <c r="I18" i="6" s="1"/>
  <c r="D41" i="6" s="1"/>
</calcChain>
</file>

<file path=xl/comments1.xml><?xml version="1.0" encoding="utf-8"?>
<comments xmlns="http://schemas.openxmlformats.org/spreadsheetml/2006/main">
  <authors>
    <author>何先琴</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何先琴</author>
  </authors>
  <commentList>
    <comment ref="M9" authorId="0" shapeId="0">
      <text>
        <r>
          <rPr>
            <b/>
            <sz val="9"/>
            <color indexed="81"/>
            <rFont val="宋体"/>
            <family val="3"/>
            <charset val="134"/>
          </rPr>
          <t>专业技术部:</t>
        </r>
        <r>
          <rPr>
            <sz val="9"/>
            <color indexed="81"/>
            <rFont val="宋体"/>
            <family val="3"/>
            <charset val="134"/>
          </rPr>
          <t xml:space="preserve">
来源于函证结果汇总表E0-1中回函可确认金额</t>
        </r>
      </text>
    </comment>
  </commentList>
</comments>
</file>

<file path=xl/comments3.xml><?xml version="1.0" encoding="utf-8"?>
<comments xmlns="http://schemas.openxmlformats.org/spreadsheetml/2006/main">
  <authors>
    <author>何先琴</author>
    <author>Windows 用户</author>
  </authors>
  <commentList>
    <comment ref="AF8" authorId="0" shapeId="0">
      <text>
        <r>
          <rPr>
            <b/>
            <sz val="9"/>
            <color indexed="81"/>
            <rFont val="宋体"/>
            <family val="3"/>
            <charset val="134"/>
          </rPr>
          <t>专业技术部:</t>
        </r>
        <r>
          <rPr>
            <sz val="9"/>
            <color indexed="81"/>
            <rFont val="宋体"/>
            <family val="3"/>
            <charset val="134"/>
          </rPr>
          <t xml:space="preserve">
来源于函证结果汇总表E0-1中回函可确认金额</t>
        </r>
      </text>
    </comment>
    <comment ref="G10" authorId="1" shapeId="0">
      <text>
        <r>
          <rPr>
            <b/>
            <sz val="9"/>
            <color indexed="81"/>
            <rFont val="宋体"/>
            <family val="3"/>
            <charset val="134"/>
          </rPr>
          <t>Windows 用户:</t>
        </r>
        <r>
          <rPr>
            <sz val="9"/>
            <color indexed="81"/>
            <rFont val="宋体"/>
            <family val="3"/>
            <charset val="134"/>
          </rPr>
          <t xml:space="preserve">
存在大额境外资金，关注是否存在缺少具体业务支持或与交易金额不相匹配的大额资金或汇票往来等异常情况</t>
        </r>
      </text>
    </comment>
    <comment ref="A35" authorId="1" shapeId="0">
      <text>
        <r>
          <rPr>
            <b/>
            <sz val="9"/>
            <color indexed="81"/>
            <rFont val="宋体"/>
            <family val="3"/>
            <charset val="134"/>
          </rPr>
          <t>Windows 用户:</t>
        </r>
        <r>
          <rPr>
            <sz val="9"/>
            <color indexed="81"/>
            <rFont val="宋体"/>
            <family val="3"/>
            <charset val="134"/>
          </rPr>
          <t xml:space="preserve">
应考虑财务公司信用风险，是否应对存放财务公司款项计提减值。
项目组根据项目风险进行判断，针对IPO/上市公司/新三板/重组/存在舞弊风险的项目，对于首次将资金存放于财务公司的，应取得企业对财务公司出具的风险评估报告；后续期间应取得业对财务公司出具的风险持续评估报告。</t>
        </r>
      </text>
    </comment>
  </commentList>
</comments>
</file>

<file path=xl/comments4.xml><?xml version="1.0" encoding="utf-8"?>
<comments xmlns="http://schemas.openxmlformats.org/spreadsheetml/2006/main">
  <authors>
    <author>Windows 用户</author>
  </authors>
  <commentList>
    <comment ref="O12" authorId="0" shapeId="0">
      <text>
        <r>
          <rPr>
            <b/>
            <sz val="9"/>
            <color indexed="81"/>
            <rFont val="宋体"/>
            <family val="3"/>
            <charset val="134"/>
          </rPr>
          <t>Windows 用户:</t>
        </r>
        <r>
          <rPr>
            <sz val="9"/>
            <color indexed="81"/>
            <rFont val="宋体"/>
            <family val="3"/>
            <charset val="134"/>
          </rPr>
          <t xml:space="preserve">
应注明是否存在抵押或限制使用情况，以及户名与被审计单位不一致情况说明的底稿索引号</t>
        </r>
      </text>
    </comment>
  </commentList>
</comments>
</file>

<file path=xl/sharedStrings.xml><?xml version="1.0" encoding="utf-8"?>
<sst xmlns="http://schemas.openxmlformats.org/spreadsheetml/2006/main" count="1126" uniqueCount="638">
  <si>
    <t>内容</t>
  </si>
  <si>
    <t>致同会计师事务所</t>
  </si>
  <si>
    <r>
      <rPr>
        <sz val="10"/>
        <rFont val="宋体"/>
        <family val="3"/>
        <charset val="134"/>
      </rPr>
      <t>日期：</t>
    </r>
    <phoneticPr fontId="4" type="noConversion"/>
  </si>
  <si>
    <t>--</t>
  </si>
  <si>
    <t>货币资金审定表</t>
  </si>
  <si>
    <r>
      <t>1</t>
    </r>
    <r>
      <rPr>
        <b/>
        <sz val="10"/>
        <rFont val="宋体"/>
        <family val="3"/>
        <charset val="134"/>
      </rPr>
      <t>、审计说明</t>
    </r>
    <r>
      <rPr>
        <sz val="10"/>
        <color indexed="12"/>
        <rFont val="宋体"/>
        <family val="3"/>
        <charset val="134"/>
      </rPr>
      <t/>
    </r>
    <phoneticPr fontId="4" type="noConversion"/>
  </si>
  <si>
    <r>
      <rPr>
        <sz val="10"/>
        <rFont val="宋体"/>
        <family val="3"/>
        <charset val="134"/>
      </rPr>
      <t>（</t>
    </r>
    <r>
      <rPr>
        <sz val="10"/>
        <rFont val="Arial Narrow"/>
        <family val="2"/>
      </rPr>
      <t>1</t>
    </r>
    <r>
      <rPr>
        <sz val="10"/>
        <rFont val="宋体"/>
        <family val="3"/>
        <charset val="134"/>
      </rPr>
      <t>）公司货币资金期末余额较期初余额增加（负数为减少）：</t>
    </r>
    <phoneticPr fontId="4" type="noConversion"/>
  </si>
  <si>
    <r>
      <rPr>
        <b/>
        <sz val="10"/>
        <color indexed="8"/>
        <rFont val="宋体"/>
        <family val="3"/>
        <charset val="134"/>
      </rPr>
      <t>一、审计目标</t>
    </r>
    <r>
      <rPr>
        <b/>
        <sz val="10"/>
        <color indexed="8"/>
        <rFont val="Arial Narrow"/>
        <family val="2"/>
      </rPr>
      <t>:</t>
    </r>
    <phoneticPr fontId="35" type="noConversion"/>
  </si>
  <si>
    <r>
      <t>1</t>
    </r>
    <r>
      <rPr>
        <sz val="10"/>
        <rFont val="宋体"/>
        <family val="3"/>
        <charset val="134"/>
      </rPr>
      <t>、</t>
    </r>
    <phoneticPr fontId="4" type="noConversion"/>
  </si>
  <si>
    <r>
      <rPr>
        <b/>
        <sz val="10"/>
        <rFont val="宋体"/>
        <family val="3"/>
        <charset val="134"/>
      </rPr>
      <t>二、审计过程：</t>
    </r>
    <phoneticPr fontId="4" type="noConversion"/>
  </si>
  <si>
    <r>
      <rPr>
        <b/>
        <sz val="10"/>
        <rFont val="宋体"/>
        <family val="3"/>
        <charset val="134"/>
      </rPr>
      <t>币种</t>
    </r>
    <phoneticPr fontId="4" type="noConversion"/>
  </si>
  <si>
    <r>
      <rPr>
        <b/>
        <sz val="10"/>
        <rFont val="宋体"/>
        <family val="3"/>
        <charset val="134"/>
      </rPr>
      <t>期初余额</t>
    </r>
    <phoneticPr fontId="4" type="noConversion"/>
  </si>
  <si>
    <r>
      <rPr>
        <b/>
        <sz val="10"/>
        <rFont val="宋体"/>
        <family val="3"/>
        <charset val="134"/>
      </rPr>
      <t>本期增加</t>
    </r>
    <phoneticPr fontId="4" type="noConversion"/>
  </si>
  <si>
    <r>
      <rPr>
        <b/>
        <sz val="10"/>
        <rFont val="宋体"/>
        <family val="3"/>
        <charset val="134"/>
      </rPr>
      <t>本期减少</t>
    </r>
    <phoneticPr fontId="4" type="noConversion"/>
  </si>
  <si>
    <r>
      <rPr>
        <b/>
        <sz val="10"/>
        <rFont val="宋体"/>
        <family val="3"/>
        <charset val="134"/>
      </rPr>
      <t>期末余额</t>
    </r>
    <phoneticPr fontId="4" type="noConversion"/>
  </si>
  <si>
    <r>
      <rPr>
        <sz val="10"/>
        <rFont val="宋体"/>
        <family val="3"/>
        <charset val="134"/>
      </rPr>
      <t>人民币</t>
    </r>
    <phoneticPr fontId="4" type="noConversion"/>
  </si>
  <si>
    <r>
      <rPr>
        <b/>
        <sz val="10"/>
        <rFont val="宋体"/>
        <family val="3"/>
        <charset val="134"/>
      </rPr>
      <t>合计</t>
    </r>
    <phoneticPr fontId="4" type="noConversion"/>
  </si>
  <si>
    <r>
      <rPr>
        <b/>
        <sz val="10"/>
        <rFont val="宋体"/>
        <family val="3"/>
        <charset val="134"/>
      </rPr>
      <t>三、审计说明：</t>
    </r>
    <r>
      <rPr>
        <sz val="10"/>
        <color indexed="12"/>
        <rFont val="宋体"/>
        <family val="3"/>
        <charset val="134"/>
      </rPr>
      <t/>
    </r>
    <phoneticPr fontId="4" type="noConversion"/>
  </si>
  <si>
    <r>
      <rPr>
        <b/>
        <sz val="10"/>
        <rFont val="宋体"/>
        <family val="3"/>
        <charset val="134"/>
      </rPr>
      <t>四、审计结论：</t>
    </r>
    <phoneticPr fontId="4" type="noConversion"/>
  </si>
  <si>
    <r>
      <rPr>
        <sz val="10"/>
        <rFont val="宋体"/>
        <family val="3"/>
        <charset val="134"/>
      </rPr>
      <t>索引号：</t>
    </r>
    <phoneticPr fontId="4" type="noConversion"/>
  </si>
  <si>
    <r>
      <rPr>
        <b/>
        <sz val="10"/>
        <rFont val="宋体"/>
        <family val="3"/>
        <charset val="134"/>
      </rPr>
      <t>三、审计说明：</t>
    </r>
    <phoneticPr fontId="4" type="noConversion"/>
  </si>
  <si>
    <r>
      <rPr>
        <b/>
        <sz val="10"/>
        <rFont val="宋体"/>
        <family val="3"/>
        <charset val="134"/>
      </rPr>
      <t>备注</t>
    </r>
    <phoneticPr fontId="4" type="noConversion"/>
  </si>
  <si>
    <r>
      <rPr>
        <b/>
        <sz val="10"/>
        <rFont val="宋体"/>
        <family val="3"/>
        <charset val="134"/>
      </rPr>
      <t>开户银行</t>
    </r>
    <phoneticPr fontId="4" type="noConversion"/>
  </si>
  <si>
    <r>
      <rPr>
        <b/>
        <sz val="10"/>
        <rFont val="宋体"/>
        <family val="3"/>
        <charset val="134"/>
      </rPr>
      <t>账号</t>
    </r>
  </si>
  <si>
    <r>
      <rPr>
        <b/>
        <sz val="10"/>
        <rFont val="宋体"/>
        <family val="3"/>
        <charset val="134"/>
      </rPr>
      <t>币种</t>
    </r>
  </si>
  <si>
    <r>
      <t>1</t>
    </r>
    <r>
      <rPr>
        <sz val="10"/>
        <rFont val="宋体"/>
        <family val="3"/>
        <charset val="134"/>
      </rPr>
      <t>、报表日现金账面余额</t>
    </r>
    <phoneticPr fontId="4" type="noConversion"/>
  </si>
  <si>
    <r>
      <t>4</t>
    </r>
    <r>
      <rPr>
        <sz val="10"/>
        <rFont val="宋体"/>
        <family val="3"/>
        <charset val="134"/>
      </rPr>
      <t>、盘点日现金实有数额</t>
    </r>
    <phoneticPr fontId="4" type="noConversion"/>
  </si>
  <si>
    <r>
      <t>5</t>
    </r>
    <r>
      <rPr>
        <sz val="10"/>
        <rFont val="宋体"/>
        <family val="3"/>
        <charset val="134"/>
      </rPr>
      <t>、差额：</t>
    </r>
    <phoneticPr fontId="4" type="noConversion"/>
  </si>
  <si>
    <r>
      <rPr>
        <sz val="10"/>
        <rFont val="宋体"/>
        <family val="3"/>
        <charset val="134"/>
      </rPr>
      <t>会计主管人员：</t>
    </r>
    <r>
      <rPr>
        <sz val="10"/>
        <rFont val="Arial Narrow"/>
        <family val="2"/>
      </rPr>
      <t/>
    </r>
    <phoneticPr fontId="4" type="noConversion"/>
  </si>
  <si>
    <r>
      <rPr>
        <sz val="10"/>
        <rFont val="宋体"/>
        <family val="3"/>
        <charset val="134"/>
      </rPr>
      <t>监盘人：</t>
    </r>
    <r>
      <rPr>
        <sz val="10"/>
        <rFont val="Arial Narrow"/>
        <family val="2"/>
      </rPr>
      <t/>
    </r>
    <phoneticPr fontId="4" type="noConversion"/>
  </si>
  <si>
    <r>
      <rPr>
        <sz val="10"/>
        <color indexed="10"/>
        <rFont val="宋体"/>
        <family val="3"/>
        <charset val="134"/>
      </rPr>
      <t>长（短）款原因系：</t>
    </r>
    <phoneticPr fontId="4" type="noConversion"/>
  </si>
  <si>
    <r>
      <t>2</t>
    </r>
    <r>
      <rPr>
        <sz val="10"/>
        <rFont val="宋体"/>
        <family val="3"/>
        <charset val="134"/>
      </rPr>
      <t>、汇率折算测试：</t>
    </r>
    <phoneticPr fontId="4" type="noConversion"/>
  </si>
  <si>
    <r>
      <rPr>
        <sz val="10"/>
        <rFont val="宋体"/>
        <family val="3"/>
        <charset val="134"/>
      </rPr>
      <t>期末美元汇率为</t>
    </r>
    <phoneticPr fontId="4" type="noConversion"/>
  </si>
  <si>
    <r>
      <rPr>
        <b/>
        <sz val="10"/>
        <rFont val="宋体"/>
        <family val="3"/>
        <charset val="134"/>
      </rPr>
      <t>清点实有现金</t>
    </r>
    <phoneticPr fontId="4" type="noConversion"/>
  </si>
  <si>
    <r>
      <rPr>
        <b/>
        <sz val="10"/>
        <rFont val="宋体"/>
        <family val="3"/>
        <charset val="134"/>
      </rPr>
      <t>核对及追溯纪录</t>
    </r>
    <phoneticPr fontId="4" type="noConversion"/>
  </si>
  <si>
    <r>
      <rPr>
        <b/>
        <sz val="10"/>
        <rFont val="宋体"/>
        <family val="3"/>
        <charset val="134"/>
      </rPr>
      <t>货币面值</t>
    </r>
    <phoneticPr fontId="4" type="noConversion"/>
  </si>
  <si>
    <r>
      <rPr>
        <b/>
        <sz val="10"/>
        <rFont val="宋体"/>
        <family val="3"/>
        <charset val="134"/>
      </rPr>
      <t>张数</t>
    </r>
    <phoneticPr fontId="4" type="noConversion"/>
  </si>
  <si>
    <r>
      <rPr>
        <b/>
        <sz val="10"/>
        <rFont val="宋体"/>
        <family val="3"/>
        <charset val="134"/>
      </rPr>
      <t>原币金额</t>
    </r>
    <phoneticPr fontId="4" type="noConversion"/>
  </si>
  <si>
    <r>
      <rPr>
        <b/>
        <sz val="10"/>
        <rFont val="宋体"/>
        <family val="3"/>
        <charset val="134"/>
      </rPr>
      <t>本位币金额</t>
    </r>
    <phoneticPr fontId="4" type="noConversion"/>
  </si>
  <si>
    <r>
      <t>2</t>
    </r>
    <r>
      <rPr>
        <sz val="10"/>
        <rFont val="宋体"/>
        <family val="3"/>
        <charset val="134"/>
      </rPr>
      <t>、盘点日的上一日现金账面余额</t>
    </r>
    <phoneticPr fontId="4" type="noConversion"/>
  </si>
  <si>
    <r>
      <t xml:space="preserve"> </t>
    </r>
    <r>
      <rPr>
        <sz val="10"/>
        <rFont val="宋体"/>
        <family val="3"/>
        <charset val="134"/>
      </rPr>
      <t>减：报表日至盘点日的上一日累计支出数</t>
    </r>
    <phoneticPr fontId="4" type="noConversion"/>
  </si>
  <si>
    <r>
      <rPr>
        <b/>
        <sz val="10"/>
        <rFont val="宋体"/>
        <family val="3"/>
        <charset val="134"/>
      </rPr>
      <t>开户银行（或机构）</t>
    </r>
  </si>
  <si>
    <r>
      <rPr>
        <b/>
        <sz val="10"/>
        <rFont val="宋体"/>
        <family val="3"/>
        <charset val="134"/>
      </rPr>
      <t>户名</t>
    </r>
  </si>
  <si>
    <r>
      <rPr>
        <b/>
        <sz val="10"/>
        <rFont val="宋体"/>
        <family val="3"/>
        <charset val="134"/>
      </rPr>
      <t>存入日期</t>
    </r>
  </si>
  <si>
    <r>
      <rPr>
        <b/>
        <sz val="10"/>
        <rFont val="宋体"/>
        <family val="3"/>
        <charset val="134"/>
      </rPr>
      <t>到期日</t>
    </r>
  </si>
  <si>
    <r>
      <rPr>
        <b/>
        <sz val="10"/>
        <rFont val="宋体"/>
        <family val="3"/>
        <charset val="134"/>
      </rPr>
      <t>备注</t>
    </r>
  </si>
  <si>
    <t>…</t>
    <phoneticPr fontId="1" type="noConversion"/>
  </si>
  <si>
    <r>
      <t>3</t>
    </r>
    <r>
      <rPr>
        <sz val="10"/>
        <rFont val="宋体"/>
        <family val="3"/>
        <charset val="134"/>
      </rPr>
      <t>、盘点日现金应有数额</t>
    </r>
    <phoneticPr fontId="4" type="noConversion"/>
  </si>
  <si>
    <r>
      <rPr>
        <sz val="10"/>
        <color theme="1"/>
        <rFont val="宋体"/>
        <family val="3"/>
        <charset val="134"/>
      </rPr>
      <t>致：致同会计师事务所（特殊普通合伙）</t>
    </r>
    <phoneticPr fontId="1" type="noConversion"/>
  </si>
  <si>
    <t xml:space="preserve"> </t>
    <phoneticPr fontId="4" type="noConversion"/>
  </si>
  <si>
    <r>
      <rPr>
        <sz val="10"/>
        <rFont val="宋体"/>
        <family val="3"/>
        <charset val="134"/>
      </rPr>
      <t>页</t>
    </r>
    <r>
      <rPr>
        <sz val="10"/>
        <rFont val="Arial Narrow"/>
        <family val="2"/>
      </rPr>
      <t xml:space="preserve">  </t>
    </r>
    <r>
      <rPr>
        <sz val="10"/>
        <rFont val="宋体"/>
        <family val="3"/>
        <charset val="134"/>
      </rPr>
      <t>次：</t>
    </r>
    <phoneticPr fontId="1" type="noConversion"/>
  </si>
  <si>
    <r>
      <t>3.</t>
    </r>
    <r>
      <rPr>
        <sz val="10"/>
        <rFont val="宋体"/>
        <family val="3"/>
        <charset val="134"/>
      </rPr>
      <t>结合现金监盘结果，列示现金长、短款原因。</t>
    </r>
    <phoneticPr fontId="1" type="noConversion"/>
  </si>
  <si>
    <r>
      <rPr>
        <b/>
        <sz val="10"/>
        <rFont val="宋体"/>
        <family val="3"/>
        <charset val="134"/>
      </rPr>
      <t>合</t>
    </r>
    <r>
      <rPr>
        <b/>
        <sz val="10"/>
        <rFont val="Arial Narrow"/>
        <family val="2"/>
      </rPr>
      <t xml:space="preserve"> </t>
    </r>
    <r>
      <rPr>
        <b/>
        <sz val="10"/>
        <rFont val="宋体"/>
        <family val="3"/>
        <charset val="134"/>
      </rPr>
      <t>计</t>
    </r>
    <phoneticPr fontId="1" type="noConversion"/>
  </si>
  <si>
    <t>--</t>
    <phoneticPr fontId="1" type="noConversion"/>
  </si>
  <si>
    <t>--</t>
    <phoneticPr fontId="1" type="noConversion"/>
  </si>
  <si>
    <r>
      <t>2.</t>
    </r>
    <r>
      <rPr>
        <sz val="10"/>
        <rFont val="宋体"/>
        <family val="3"/>
        <charset val="134"/>
      </rPr>
      <t>对于以外币计价的的库存现金余额，确定是否采用了适当的汇率进行了折算。</t>
    </r>
    <phoneticPr fontId="1" type="noConversion"/>
  </si>
  <si>
    <r>
      <rPr>
        <sz val="10"/>
        <color rgb="FFFF0000"/>
        <rFont val="宋体"/>
        <family val="3"/>
        <charset val="134"/>
      </rPr>
      <t>美元</t>
    </r>
    <phoneticPr fontId="4" type="noConversion"/>
  </si>
  <si>
    <t>银行账户清单完整性承诺</t>
    <phoneticPr fontId="4" type="noConversion"/>
  </si>
  <si>
    <r>
      <rPr>
        <b/>
        <sz val="10"/>
        <rFont val="宋体"/>
        <family val="3"/>
        <charset val="134"/>
      </rPr>
      <t>三、审计说明：</t>
    </r>
    <r>
      <rPr>
        <sz val="10"/>
        <rFont val="宋体"/>
        <family val="3"/>
        <charset val="134"/>
      </rPr>
      <t/>
    </r>
    <phoneticPr fontId="4" type="noConversion"/>
  </si>
  <si>
    <r>
      <rPr>
        <sz val="10"/>
        <rFont val="宋体"/>
        <family val="3"/>
        <charset val="134"/>
      </rPr>
      <t>页</t>
    </r>
    <r>
      <rPr>
        <sz val="10"/>
        <rFont val="Arial Narrow"/>
        <family val="2"/>
      </rPr>
      <t xml:space="preserve">  </t>
    </r>
    <r>
      <rPr>
        <sz val="10"/>
        <rFont val="宋体"/>
        <family val="3"/>
        <charset val="134"/>
      </rPr>
      <t>次：</t>
    </r>
    <phoneticPr fontId="4" type="noConversion"/>
  </si>
  <si>
    <r>
      <rPr>
        <sz val="10"/>
        <rFont val="宋体"/>
        <family val="3"/>
        <charset val="134"/>
      </rPr>
      <t>页</t>
    </r>
    <r>
      <rPr>
        <sz val="10"/>
        <rFont val="Arial Narrow"/>
        <family val="2"/>
      </rPr>
      <t xml:space="preserve">   </t>
    </r>
    <r>
      <rPr>
        <sz val="10"/>
        <rFont val="宋体"/>
        <family val="3"/>
        <charset val="134"/>
      </rPr>
      <t>次：</t>
    </r>
    <phoneticPr fontId="4" type="noConversion"/>
  </si>
  <si>
    <t>现金明细表</t>
  </si>
  <si>
    <t>货币资金审定表</t>
    <phoneticPr fontId="1" type="noConversion"/>
  </si>
  <si>
    <t>货币资金实质性程序表</t>
    <phoneticPr fontId="1" type="noConversion"/>
  </si>
  <si>
    <r>
      <rPr>
        <b/>
        <sz val="10"/>
        <rFont val="宋体"/>
        <family val="3"/>
        <charset val="134"/>
      </rPr>
      <t>序号</t>
    </r>
    <phoneticPr fontId="4" type="noConversion"/>
  </si>
  <si>
    <t>常规★</t>
    <phoneticPr fontId="1" type="noConversion"/>
  </si>
  <si>
    <t>（七）</t>
    <phoneticPr fontId="1" type="noConversion"/>
  </si>
  <si>
    <t>4</t>
  </si>
  <si>
    <t>5</t>
  </si>
  <si>
    <t>6</t>
  </si>
  <si>
    <t>…</t>
  </si>
  <si>
    <t>……</t>
    <phoneticPr fontId="1" type="noConversion"/>
  </si>
  <si>
    <r>
      <t>XX</t>
    </r>
    <r>
      <rPr>
        <sz val="10"/>
        <rFont val="宋体"/>
        <family val="3"/>
        <charset val="134"/>
      </rPr>
      <t>银行</t>
    </r>
    <phoneticPr fontId="1" type="noConversion"/>
  </si>
  <si>
    <t>银行存款及其他货币资金明细表</t>
    <phoneticPr fontId="4" type="noConversion"/>
  </si>
  <si>
    <r>
      <t>XX</t>
    </r>
    <r>
      <rPr>
        <sz val="10"/>
        <color rgb="FFFF0000"/>
        <rFont val="宋体"/>
        <family val="3"/>
        <charset val="134"/>
      </rPr>
      <t>银行</t>
    </r>
    <phoneticPr fontId="1" type="noConversion"/>
  </si>
  <si>
    <t>已开立银行结算账户清单核对表</t>
    <phoneticPr fontId="1" type="noConversion"/>
  </si>
  <si>
    <r>
      <t>XX</t>
    </r>
    <r>
      <rPr>
        <sz val="10"/>
        <color rgb="FFFF0000"/>
        <rFont val="宋体"/>
        <family val="3"/>
        <charset val="134"/>
      </rPr>
      <t>财务公司</t>
    </r>
    <phoneticPr fontId="1" type="noConversion"/>
  </si>
  <si>
    <t>……</t>
    <phoneticPr fontId="4" type="noConversion"/>
  </si>
  <si>
    <t>货币资金调整分录汇总表</t>
    <phoneticPr fontId="4" type="noConversion"/>
  </si>
  <si>
    <t>调整分录汇总表</t>
    <phoneticPr fontId="1" type="noConversion"/>
  </si>
  <si>
    <t>银行存单盘点表</t>
    <phoneticPr fontId="1" type="noConversion"/>
  </si>
  <si>
    <t>银行账户情况承诺</t>
    <phoneticPr fontId="1" type="noConversion"/>
  </si>
  <si>
    <t>√</t>
    <phoneticPr fontId="4" type="noConversion"/>
  </si>
  <si>
    <t>存在</t>
    <phoneticPr fontId="4" type="noConversion"/>
  </si>
  <si>
    <t>备选</t>
  </si>
  <si>
    <r>
      <rPr>
        <b/>
        <sz val="10"/>
        <rFont val="宋体"/>
        <family val="2"/>
        <charset val="134"/>
      </rPr>
      <t>对应</t>
    </r>
    <r>
      <rPr>
        <b/>
        <sz val="10"/>
        <rFont val="Arial"/>
        <family val="2"/>
      </rPr>
      <t>LEAP</t>
    </r>
    <r>
      <rPr>
        <b/>
        <sz val="10"/>
        <rFont val="宋体"/>
        <family val="2"/>
        <charset val="134"/>
      </rPr>
      <t>程序</t>
    </r>
    <phoneticPr fontId="4" type="noConversion"/>
  </si>
  <si>
    <t>IPE程序</t>
  </si>
  <si>
    <t>期初余额</t>
  </si>
  <si>
    <t xml:space="preserve">应对措施-实质性/非实质性分析程序 </t>
  </si>
  <si>
    <t xml:space="preserve">应对措施-函证 </t>
  </si>
  <si>
    <t>应对措施-检查</t>
  </si>
  <si>
    <t>应对措施-会计估计</t>
  </si>
  <si>
    <t>应对措施-常规程序</t>
  </si>
  <si>
    <t>审计目标</t>
  </si>
  <si>
    <t>存在</t>
  </si>
  <si>
    <t>完整性</t>
  </si>
  <si>
    <t>权利和义务</t>
  </si>
  <si>
    <t>列报</t>
    <phoneticPr fontId="4" type="noConversion"/>
  </si>
  <si>
    <r>
      <t>2</t>
    </r>
    <r>
      <rPr>
        <b/>
        <sz val="10"/>
        <rFont val="宋体"/>
        <family val="3"/>
        <charset val="134"/>
      </rPr>
      <t>、审计结论</t>
    </r>
  </si>
  <si>
    <t>准确性、计价和分摊</t>
  </si>
  <si>
    <t>列报</t>
  </si>
  <si>
    <t>E1-3</t>
  </si>
  <si>
    <t>E1-1</t>
  </si>
  <si>
    <t>E1-1</t>
    <phoneticPr fontId="4" type="noConversion"/>
  </si>
  <si>
    <t>银行存款及其他货币资金明细表（仅人民币）</t>
    <phoneticPr fontId="1" type="noConversion"/>
  </si>
  <si>
    <t>E1-2</t>
  </si>
  <si>
    <t>E1-5</t>
  </si>
  <si>
    <t>E1-4</t>
  </si>
  <si>
    <t>E1-6</t>
  </si>
  <si>
    <t>E1-7</t>
  </si>
  <si>
    <t>E1-8</t>
  </si>
  <si>
    <t>E1-9</t>
  </si>
  <si>
    <t>E1-10</t>
  </si>
  <si>
    <t>库存现金（外币）盘点表</t>
  </si>
  <si>
    <t>库存现金（人民币）盘点表</t>
  </si>
  <si>
    <t>附注披露信息(国企)</t>
    <phoneticPr fontId="1" type="noConversion"/>
  </si>
  <si>
    <t>附注披露信息(上市公司)</t>
    <phoneticPr fontId="1" type="noConversion"/>
  </si>
  <si>
    <t>自定义底稿</t>
    <phoneticPr fontId="1" type="noConversion"/>
  </si>
  <si>
    <t>E1-11</t>
  </si>
  <si>
    <t>E1-12</t>
  </si>
  <si>
    <t>E1-13</t>
  </si>
  <si>
    <t>——</t>
    <phoneticPr fontId="4" type="noConversion"/>
  </si>
  <si>
    <t>数字货币明细表</t>
    <phoneticPr fontId="4" type="noConversion"/>
  </si>
  <si>
    <t>银行存款及其他货币资金明细表（人民币及外币）</t>
    <phoneticPr fontId="1" type="noConversion"/>
  </si>
  <si>
    <r>
      <rPr>
        <sz val="10"/>
        <rFont val="宋体"/>
        <family val="3"/>
        <charset val="134"/>
      </rPr>
      <t>索引号：</t>
    </r>
  </si>
  <si>
    <r>
      <rPr>
        <sz val="10"/>
        <rFont val="宋体"/>
        <family val="3"/>
        <charset val="134"/>
      </rPr>
      <t>页次：</t>
    </r>
  </si>
  <si>
    <r>
      <rPr>
        <b/>
        <sz val="12"/>
        <color theme="1"/>
        <rFont val="宋体"/>
        <family val="3"/>
        <charset val="134"/>
      </rPr>
      <t>关于银行账户清单完整性的管理层承诺函</t>
    </r>
    <phoneticPr fontId="4" type="noConversion"/>
  </si>
  <si>
    <r>
      <t xml:space="preserve">        </t>
    </r>
    <r>
      <rPr>
        <sz val="10"/>
        <color theme="1"/>
        <rFont val="宋体"/>
        <family val="3"/>
        <charset val="134"/>
      </rPr>
      <t>截至</t>
    </r>
    <r>
      <rPr>
        <sz val="10"/>
        <color theme="1"/>
        <rFont val="Arial Narrow"/>
        <family val="2"/>
      </rPr>
      <t xml:space="preserve"> 20XX</t>
    </r>
    <r>
      <rPr>
        <sz val="10"/>
        <color theme="1"/>
        <rFont val="宋体"/>
        <family val="3"/>
        <charset val="134"/>
      </rPr>
      <t>年</t>
    </r>
    <r>
      <rPr>
        <sz val="10"/>
        <color theme="1"/>
        <rFont val="Arial Narrow"/>
        <family val="2"/>
      </rPr>
      <t>X</t>
    </r>
    <r>
      <rPr>
        <sz val="10"/>
        <color theme="1"/>
        <rFont val="宋体"/>
        <family val="3"/>
        <charset val="134"/>
      </rPr>
      <t>月</t>
    </r>
    <r>
      <rPr>
        <sz val="10"/>
        <color theme="1"/>
        <rFont val="Arial Narrow"/>
        <family val="2"/>
      </rPr>
      <t>X</t>
    </r>
    <r>
      <rPr>
        <sz val="10"/>
        <color theme="1"/>
        <rFont val="宋体"/>
        <family val="3"/>
        <charset val="134"/>
      </rPr>
      <t>日止，本公司所有银行账户如下：</t>
    </r>
  </si>
  <si>
    <r>
      <rPr>
        <b/>
        <sz val="10"/>
        <color theme="1"/>
        <rFont val="宋体"/>
        <family val="3"/>
        <charset val="134"/>
      </rPr>
      <t>开户银行名称</t>
    </r>
  </si>
  <si>
    <r>
      <rPr>
        <b/>
        <sz val="10"/>
        <color theme="1"/>
        <rFont val="宋体"/>
        <family val="3"/>
        <charset val="134"/>
      </rPr>
      <t>银行账号</t>
    </r>
    <phoneticPr fontId="1" type="noConversion"/>
  </si>
  <si>
    <r>
      <rPr>
        <b/>
        <sz val="10"/>
        <color theme="1"/>
        <rFont val="宋体"/>
        <family val="3"/>
        <charset val="134"/>
      </rPr>
      <t>账户性质</t>
    </r>
  </si>
  <si>
    <r>
      <rPr>
        <b/>
        <sz val="10"/>
        <color theme="1"/>
        <rFont val="宋体"/>
        <family val="3"/>
        <charset val="134"/>
      </rPr>
      <t>开户日期</t>
    </r>
  </si>
  <si>
    <r>
      <rPr>
        <b/>
        <sz val="10"/>
        <color theme="1"/>
        <rFont val="宋体"/>
        <family val="3"/>
        <charset val="134"/>
      </rPr>
      <t>销户日期</t>
    </r>
  </si>
  <si>
    <r>
      <rPr>
        <b/>
        <sz val="10"/>
        <color theme="1"/>
        <rFont val="宋体"/>
        <family val="3"/>
        <charset val="134"/>
      </rPr>
      <t>目前状态</t>
    </r>
  </si>
  <si>
    <r>
      <rPr>
        <b/>
        <sz val="10"/>
        <color theme="1"/>
        <rFont val="宋体"/>
        <family val="3"/>
        <charset val="134"/>
      </rPr>
      <t>冻结、抵押、质押情况</t>
    </r>
  </si>
  <si>
    <r>
      <t xml:space="preserve">  </t>
    </r>
    <r>
      <rPr>
        <sz val="10"/>
        <color theme="1"/>
        <rFont val="宋体"/>
        <family val="3"/>
        <charset val="134"/>
      </rPr>
      <t>（公司盖章）</t>
    </r>
  </si>
  <si>
    <r>
      <t xml:space="preserve"> </t>
    </r>
    <r>
      <rPr>
        <sz val="10"/>
        <color theme="1"/>
        <rFont val="宋体"/>
        <family val="3"/>
        <charset val="134"/>
      </rPr>
      <t>声明日期：</t>
    </r>
    <r>
      <rPr>
        <u/>
        <sz val="10"/>
        <color indexed="8"/>
        <rFont val="Arial Narrow"/>
        <family val="2"/>
      </rPr>
      <t xml:space="preserve">            </t>
    </r>
    <r>
      <rPr>
        <sz val="10"/>
        <color indexed="8"/>
        <rFont val="宋体"/>
        <family val="3"/>
        <charset val="134"/>
      </rPr>
      <t>年</t>
    </r>
    <r>
      <rPr>
        <u/>
        <sz val="10"/>
        <color indexed="8"/>
        <rFont val="Arial Narrow"/>
        <family val="2"/>
      </rPr>
      <t xml:space="preserve">      </t>
    </r>
    <r>
      <rPr>
        <sz val="10"/>
        <color indexed="8"/>
        <rFont val="宋体"/>
        <family val="3"/>
        <charset val="134"/>
      </rPr>
      <t>月</t>
    </r>
    <r>
      <rPr>
        <u/>
        <sz val="10"/>
        <color indexed="8"/>
        <rFont val="Arial Narrow"/>
        <family val="2"/>
      </rPr>
      <t xml:space="preserve">      </t>
    </r>
    <r>
      <rPr>
        <sz val="10"/>
        <color indexed="8"/>
        <rFont val="宋体"/>
        <family val="3"/>
        <charset val="134"/>
      </rPr>
      <t>日</t>
    </r>
  </si>
  <si>
    <t>数字货币明细表</t>
  </si>
  <si>
    <r>
      <rPr>
        <b/>
        <sz val="12"/>
        <rFont val="宋体"/>
        <family val="3"/>
        <charset val="134"/>
      </rPr>
      <t>底稿开列时，可先在以下单元格填写有关内容，以便其他底稿引用有关数据：</t>
    </r>
    <phoneticPr fontId="4" type="noConversion"/>
  </si>
  <si>
    <r>
      <rPr>
        <b/>
        <sz val="10"/>
        <color indexed="8"/>
        <rFont val="宋体"/>
        <family val="3"/>
        <charset val="134"/>
      </rPr>
      <t>序号</t>
    </r>
  </si>
  <si>
    <r>
      <rPr>
        <b/>
        <sz val="10"/>
        <color indexed="8"/>
        <rFont val="宋体"/>
        <family val="3"/>
        <charset val="134"/>
      </rPr>
      <t>索引号</t>
    </r>
  </si>
  <si>
    <r>
      <rPr>
        <b/>
        <sz val="10"/>
        <rFont val="宋体"/>
        <family val="3"/>
        <charset val="134"/>
      </rPr>
      <t>底稿索引号</t>
    </r>
  </si>
  <si>
    <t>货币资金附注披露信息（上市公司）</t>
    <phoneticPr fontId="4" type="noConversion"/>
  </si>
  <si>
    <r>
      <t xml:space="preserve">  </t>
    </r>
    <r>
      <rPr>
        <sz val="12"/>
        <color rgb="FF000000"/>
        <rFont val="宋体"/>
        <family val="3"/>
        <charset val="134"/>
      </rPr>
      <t>其中：存放在境外的款项总额</t>
    </r>
    <phoneticPr fontId="1" type="noConversion"/>
  </si>
  <si>
    <r>
      <rPr>
        <sz val="10"/>
        <rFont val="宋体"/>
        <family val="3"/>
        <charset val="134"/>
      </rPr>
      <t>页次：</t>
    </r>
    <phoneticPr fontId="4" type="noConversion"/>
  </si>
  <si>
    <r>
      <rPr>
        <sz val="12"/>
        <rFont val="宋体"/>
        <family val="3"/>
        <charset val="134"/>
      </rPr>
      <t>货币资金</t>
    </r>
    <phoneticPr fontId="4" type="noConversion"/>
  </si>
  <si>
    <r>
      <rPr>
        <b/>
        <sz val="12"/>
        <color rgb="FF000000"/>
        <rFont val="宋体"/>
        <family val="3"/>
        <charset val="134"/>
      </rPr>
      <t>项</t>
    </r>
    <r>
      <rPr>
        <b/>
        <sz val="12"/>
        <color rgb="FF000000"/>
        <rFont val="Arial Narrow"/>
        <family val="2"/>
      </rPr>
      <t xml:space="preserve">  </t>
    </r>
    <r>
      <rPr>
        <b/>
        <sz val="12"/>
        <color rgb="FF000000"/>
        <rFont val="宋体"/>
        <family val="3"/>
        <charset val="134"/>
      </rPr>
      <t>目</t>
    </r>
  </si>
  <si>
    <r>
      <rPr>
        <b/>
        <sz val="12"/>
        <color rgb="FF000000"/>
        <rFont val="宋体"/>
        <family val="3"/>
        <charset val="134"/>
      </rPr>
      <t>期末数</t>
    </r>
    <phoneticPr fontId="1" type="noConversion"/>
  </si>
  <si>
    <r>
      <rPr>
        <b/>
        <sz val="12"/>
        <color rgb="FF000000"/>
        <rFont val="宋体"/>
        <family val="3"/>
        <charset val="134"/>
      </rPr>
      <t>期初数</t>
    </r>
  </si>
  <si>
    <r>
      <rPr>
        <sz val="12"/>
        <color rgb="FF000000"/>
        <rFont val="宋体"/>
        <family val="3"/>
        <charset val="134"/>
      </rPr>
      <t>库存现金</t>
    </r>
    <phoneticPr fontId="1" type="noConversion"/>
  </si>
  <si>
    <r>
      <rPr>
        <sz val="12"/>
        <color rgb="FF000000"/>
        <rFont val="宋体"/>
        <family val="3"/>
        <charset val="134"/>
      </rPr>
      <t>银行存款</t>
    </r>
    <phoneticPr fontId="1" type="noConversion"/>
  </si>
  <si>
    <r>
      <rPr>
        <sz val="12"/>
        <color rgb="FF000000"/>
        <rFont val="宋体"/>
        <family val="3"/>
        <charset val="134"/>
      </rPr>
      <t>存放财务公司款项</t>
    </r>
    <phoneticPr fontId="1" type="noConversion"/>
  </si>
  <si>
    <r>
      <rPr>
        <sz val="12"/>
        <color rgb="FF000000"/>
        <rFont val="宋体"/>
        <family val="3"/>
        <charset val="134"/>
      </rPr>
      <t>其他货币资金</t>
    </r>
    <phoneticPr fontId="1" type="noConversion"/>
  </si>
  <si>
    <r>
      <rPr>
        <sz val="12"/>
        <color rgb="FF000000"/>
        <rFont val="宋体"/>
        <family val="3"/>
        <charset val="134"/>
      </rPr>
      <t>存款应计利息</t>
    </r>
    <phoneticPr fontId="1" type="noConversion"/>
  </si>
  <si>
    <r>
      <rPr>
        <sz val="12"/>
        <color rgb="FF000000"/>
        <rFont val="宋体"/>
        <family val="3"/>
        <charset val="134"/>
      </rPr>
      <t>数字货币</t>
    </r>
    <phoneticPr fontId="1" type="noConversion"/>
  </si>
  <si>
    <r>
      <rPr>
        <b/>
        <sz val="12"/>
        <rFont val="宋体"/>
        <family val="3"/>
        <charset val="134"/>
      </rPr>
      <t>合计</t>
    </r>
    <phoneticPr fontId="1" type="noConversion"/>
  </si>
  <si>
    <r>
      <rPr>
        <sz val="12"/>
        <color rgb="FF0000FF"/>
        <rFont val="宋体"/>
        <family val="3"/>
        <charset val="134"/>
      </rPr>
      <t>（提示：
（</t>
    </r>
    <r>
      <rPr>
        <sz val="12"/>
        <color rgb="FF0000FF"/>
        <rFont val="Arial Narrow"/>
        <family val="2"/>
      </rPr>
      <t>1</t>
    </r>
    <r>
      <rPr>
        <sz val="12"/>
        <color rgb="FF0000FF"/>
        <rFont val="宋体"/>
        <family val="3"/>
        <charset val="134"/>
      </rPr>
      <t>）截止</t>
    </r>
    <r>
      <rPr>
        <sz val="12"/>
        <color rgb="FF0000FF"/>
        <rFont val="Arial Narrow"/>
        <family val="2"/>
      </rPr>
      <t>2023</t>
    </r>
    <r>
      <rPr>
        <sz val="12"/>
        <color rgb="FF0000FF"/>
        <rFont val="宋体"/>
        <family val="3"/>
        <charset val="134"/>
      </rPr>
      <t>年</t>
    </r>
    <r>
      <rPr>
        <sz val="12"/>
        <color rgb="FF0000FF"/>
        <rFont val="Arial Narrow"/>
        <family val="2"/>
      </rPr>
      <t>12</t>
    </r>
    <r>
      <rPr>
        <sz val="12"/>
        <color rgb="FF0000FF"/>
        <rFont val="宋体"/>
        <family val="3"/>
        <charset val="134"/>
      </rPr>
      <t>月</t>
    </r>
    <r>
      <rPr>
        <sz val="12"/>
        <color rgb="FF0000FF"/>
        <rFont val="Arial Narrow"/>
        <family val="2"/>
      </rPr>
      <t>31</t>
    </r>
    <r>
      <rPr>
        <sz val="12"/>
        <color rgb="FF0000FF"/>
        <rFont val="宋体"/>
        <family val="3"/>
        <charset val="134"/>
      </rPr>
      <t>日，人民币汇率中间价：美元</t>
    </r>
    <r>
      <rPr>
        <sz val="12"/>
        <color rgb="FF0000FF"/>
        <rFont val="Arial Narrow"/>
        <family val="2"/>
      </rPr>
      <t>7.0827</t>
    </r>
    <r>
      <rPr>
        <sz val="12"/>
        <color rgb="FF0000FF"/>
        <rFont val="宋体"/>
        <family val="3"/>
        <charset val="134"/>
      </rPr>
      <t>（</t>
    </r>
    <r>
      <rPr>
        <sz val="12"/>
        <color rgb="FF0000FF"/>
        <rFont val="Arial Narrow"/>
        <family val="2"/>
      </rPr>
      <t>6.9646</t>
    </r>
    <r>
      <rPr>
        <sz val="12"/>
        <color rgb="FF0000FF"/>
        <rFont val="宋体"/>
        <family val="3"/>
        <charset val="134"/>
      </rPr>
      <t>）、港币</t>
    </r>
    <r>
      <rPr>
        <sz val="12"/>
        <color rgb="FF0000FF"/>
        <rFont val="Arial Narrow"/>
        <family val="2"/>
      </rPr>
      <t>0.90622</t>
    </r>
    <r>
      <rPr>
        <sz val="12"/>
        <color rgb="FF0000FF"/>
        <rFont val="宋体"/>
        <family val="3"/>
        <charset val="134"/>
      </rPr>
      <t>（</t>
    </r>
    <r>
      <rPr>
        <sz val="12"/>
        <color rgb="FF0000FF"/>
        <rFont val="Arial Narrow"/>
        <family val="2"/>
      </rPr>
      <t>0.89327</t>
    </r>
    <r>
      <rPr>
        <sz val="12"/>
        <color rgb="FF0000FF"/>
        <rFont val="宋体"/>
        <family val="3"/>
        <charset val="134"/>
      </rPr>
      <t>）、英镑</t>
    </r>
    <r>
      <rPr>
        <sz val="12"/>
        <color rgb="FF0000FF"/>
        <rFont val="Arial Narrow"/>
        <family val="2"/>
      </rPr>
      <t>9.0411</t>
    </r>
    <r>
      <rPr>
        <sz val="12"/>
        <color rgb="FF0000FF"/>
        <rFont val="宋体"/>
        <family val="3"/>
        <charset val="134"/>
      </rPr>
      <t>（</t>
    </r>
    <r>
      <rPr>
        <sz val="12"/>
        <color rgb="FF0000FF"/>
        <rFont val="Arial Narrow"/>
        <family val="2"/>
      </rPr>
      <t>8.3941</t>
    </r>
    <r>
      <rPr>
        <sz val="12"/>
        <color rgb="FF0000FF"/>
        <rFont val="宋体"/>
        <family val="3"/>
        <charset val="134"/>
      </rPr>
      <t>）、</t>
    </r>
    <r>
      <rPr>
        <sz val="12"/>
        <color rgb="FF0000FF"/>
        <rFont val="Arial Narrow"/>
        <family val="2"/>
      </rPr>
      <t>100</t>
    </r>
    <r>
      <rPr>
        <sz val="12"/>
        <color rgb="FF0000FF"/>
        <rFont val="宋体"/>
        <family val="3"/>
        <charset val="134"/>
      </rPr>
      <t>日元</t>
    </r>
    <r>
      <rPr>
        <sz val="12"/>
        <color rgb="FF0000FF"/>
        <rFont val="Arial Narrow"/>
        <family val="2"/>
      </rPr>
      <t>5.0213</t>
    </r>
    <r>
      <rPr>
        <sz val="12"/>
        <color rgb="FF0000FF"/>
        <rFont val="宋体"/>
        <family val="3"/>
        <charset val="134"/>
      </rPr>
      <t>（</t>
    </r>
    <r>
      <rPr>
        <sz val="12"/>
        <color rgb="FF0000FF"/>
        <rFont val="Arial Narrow"/>
        <family val="2"/>
      </rPr>
      <t>5.2358</t>
    </r>
    <r>
      <rPr>
        <sz val="12"/>
        <color rgb="FF0000FF"/>
        <rFont val="宋体"/>
        <family val="3"/>
        <charset val="134"/>
      </rPr>
      <t>）、欧元</t>
    </r>
    <r>
      <rPr>
        <sz val="12"/>
        <color rgb="FF0000FF"/>
        <rFont val="Arial Narrow"/>
        <family val="2"/>
      </rPr>
      <t>7.8592</t>
    </r>
    <r>
      <rPr>
        <sz val="12"/>
        <color rgb="FF0000FF"/>
        <rFont val="宋体"/>
        <family val="3"/>
        <charset val="134"/>
      </rPr>
      <t>（</t>
    </r>
    <r>
      <rPr>
        <sz val="12"/>
        <color rgb="FF0000FF"/>
        <rFont val="Arial Narrow"/>
        <family val="2"/>
      </rPr>
      <t>7.4229</t>
    </r>
    <r>
      <rPr>
        <sz val="12"/>
        <color rgb="FF0000FF"/>
        <rFont val="宋体"/>
        <family val="3"/>
        <charset val="134"/>
      </rPr>
      <t>）。
（</t>
    </r>
    <r>
      <rPr>
        <sz val="12"/>
        <color rgb="FF0000FF"/>
        <rFont val="Arial Narrow"/>
        <family val="2"/>
      </rPr>
      <t>2</t>
    </r>
    <r>
      <rPr>
        <sz val="12"/>
        <color rgb="FF0000FF"/>
        <rFont val="宋体"/>
        <family val="3"/>
        <charset val="134"/>
      </rPr>
      <t>）根据《企业会计准则解释第</t>
    </r>
    <r>
      <rPr>
        <sz val="12"/>
        <color rgb="FF0000FF"/>
        <rFont val="Arial Narrow"/>
        <family val="2"/>
      </rPr>
      <t>15</t>
    </r>
    <r>
      <rPr>
        <sz val="12"/>
        <color rgb="FF0000FF"/>
        <rFont val="宋体"/>
        <family val="3"/>
        <charset val="134"/>
      </rPr>
      <t>号》（财会〔</t>
    </r>
    <r>
      <rPr>
        <sz val="12"/>
        <color rgb="FF0000FF"/>
        <rFont val="Arial Narrow"/>
        <family val="2"/>
      </rPr>
      <t>2021</t>
    </r>
    <r>
      <rPr>
        <sz val="12"/>
        <color rgb="FF0000FF"/>
        <rFont val="宋体"/>
        <family val="3"/>
        <charset val="134"/>
      </rPr>
      <t>〕</t>
    </r>
    <r>
      <rPr>
        <sz val="12"/>
        <color rgb="FF0000FF"/>
        <rFont val="Arial Narrow"/>
        <family val="2"/>
      </rPr>
      <t>35</t>
    </r>
    <r>
      <rPr>
        <sz val="12"/>
        <color rgb="FF0000FF"/>
        <rFont val="宋体"/>
        <family val="3"/>
        <charset val="134"/>
      </rPr>
      <t>号），关于资金集中管理相关列报，成员单位未归集至集团母公司账户而直接存入财务公司的资金，成员单位应当在资产负债表</t>
    </r>
    <r>
      <rPr>
        <sz val="12"/>
        <color rgb="FF0000FF"/>
        <rFont val="Arial Narrow"/>
        <family val="2"/>
      </rPr>
      <t>“</t>
    </r>
    <r>
      <rPr>
        <sz val="12"/>
        <color rgb="FF0000FF"/>
        <rFont val="宋体"/>
        <family val="3"/>
        <charset val="134"/>
      </rPr>
      <t>货币资金</t>
    </r>
    <r>
      <rPr>
        <sz val="12"/>
        <color rgb="FF0000FF"/>
        <rFont val="Arial Narrow"/>
        <family val="2"/>
      </rPr>
      <t>”</t>
    </r>
    <r>
      <rPr>
        <sz val="12"/>
        <color rgb="FF0000FF"/>
        <rFont val="宋体"/>
        <family val="3"/>
        <charset val="134"/>
      </rPr>
      <t>项目中列示，根据重要性原则并结合本企业的实际情况，成员单位可以在</t>
    </r>
    <r>
      <rPr>
        <sz val="12"/>
        <color rgb="FF0000FF"/>
        <rFont val="Arial Narrow"/>
        <family val="2"/>
      </rPr>
      <t>“</t>
    </r>
    <r>
      <rPr>
        <sz val="12"/>
        <color rgb="FF0000FF"/>
        <rFont val="宋体"/>
        <family val="3"/>
        <charset val="134"/>
      </rPr>
      <t>货币资金</t>
    </r>
    <r>
      <rPr>
        <sz val="12"/>
        <color rgb="FF0000FF"/>
        <rFont val="Arial Narrow"/>
        <family val="2"/>
      </rPr>
      <t>”</t>
    </r>
    <r>
      <rPr>
        <sz val="12"/>
        <color rgb="FF0000FF"/>
        <rFont val="宋体"/>
        <family val="3"/>
        <charset val="134"/>
      </rPr>
      <t>项目之下增设</t>
    </r>
    <r>
      <rPr>
        <sz val="12"/>
        <color rgb="FF0000FF"/>
        <rFont val="Arial Narrow"/>
        <family val="2"/>
      </rPr>
      <t>“</t>
    </r>
    <r>
      <rPr>
        <sz val="12"/>
        <color rgb="FF0000FF"/>
        <rFont val="宋体"/>
        <family val="3"/>
        <charset val="134"/>
      </rPr>
      <t>其中：存放财务公司款项</t>
    </r>
    <r>
      <rPr>
        <sz val="12"/>
        <color rgb="FF0000FF"/>
        <rFont val="Arial Narrow"/>
        <family val="2"/>
      </rPr>
      <t>”</t>
    </r>
    <r>
      <rPr>
        <sz val="12"/>
        <color rgb="FF0000FF"/>
        <rFont val="宋体"/>
        <family val="3"/>
        <charset val="134"/>
      </rPr>
      <t>项目单独列示。
（</t>
    </r>
    <r>
      <rPr>
        <sz val="12"/>
        <color rgb="FF0000FF"/>
        <rFont val="Arial Narrow"/>
        <family val="2"/>
      </rPr>
      <t>3</t>
    </r>
    <r>
      <rPr>
        <sz val="12"/>
        <color rgb="FF0000FF"/>
        <rFont val="宋体"/>
        <family val="3"/>
        <charset val="134"/>
      </rPr>
      <t>）企业持有由中国人民银行发行的数字人民币的，可以增设</t>
    </r>
    <r>
      <rPr>
        <sz val="12"/>
        <color rgb="FF0000FF"/>
        <rFont val="Arial Narrow"/>
        <family val="2"/>
      </rPr>
      <t>“</t>
    </r>
    <r>
      <rPr>
        <sz val="12"/>
        <color rgb="FF0000FF"/>
        <rFont val="宋体"/>
        <family val="3"/>
        <charset val="134"/>
      </rPr>
      <t>数字货币</t>
    </r>
    <r>
      <rPr>
        <sz val="12"/>
        <color rgb="FF0000FF"/>
        <rFont val="Arial Narrow"/>
        <family val="2"/>
      </rPr>
      <t>”</t>
    </r>
    <r>
      <rPr>
        <sz val="12"/>
        <color rgb="FF0000FF"/>
        <rFont val="宋体"/>
        <family val="3"/>
        <charset val="134"/>
      </rPr>
      <t>二级科目进行核算，在资产负债表中将其列报在</t>
    </r>
    <r>
      <rPr>
        <sz val="12"/>
        <color rgb="FF0000FF"/>
        <rFont val="Arial Narrow"/>
        <family val="2"/>
      </rPr>
      <t>“</t>
    </r>
    <r>
      <rPr>
        <sz val="12"/>
        <color rgb="FF0000FF"/>
        <rFont val="宋体"/>
        <family val="3"/>
        <charset val="134"/>
      </rPr>
      <t>货币资金</t>
    </r>
    <r>
      <rPr>
        <sz val="12"/>
        <color rgb="FF0000FF"/>
        <rFont val="Arial Narrow"/>
        <family val="2"/>
      </rPr>
      <t>”</t>
    </r>
    <r>
      <rPr>
        <sz val="12"/>
        <color rgb="FF0000FF"/>
        <rFont val="宋体"/>
        <family val="3"/>
        <charset val="134"/>
      </rPr>
      <t>项目。）</t>
    </r>
    <phoneticPr fontId="1" type="noConversion"/>
  </si>
  <si>
    <r>
      <rPr>
        <sz val="12"/>
        <rFont val="宋体"/>
        <family val="3"/>
        <charset val="134"/>
      </rPr>
      <t>期末，本集团</t>
    </r>
    <r>
      <rPr>
        <sz val="12"/>
        <color rgb="FF0000FF"/>
        <rFont val="宋体"/>
        <family val="3"/>
        <charset val="134"/>
      </rPr>
      <t>不存在</t>
    </r>
    <r>
      <rPr>
        <sz val="12"/>
        <rFont val="宋体"/>
        <family val="3"/>
        <charset val="134"/>
      </rPr>
      <t>抵押、质押或冻结、或存放在境外且资金汇回受到限制的款项。</t>
    </r>
  </si>
  <si>
    <r>
      <rPr>
        <sz val="12"/>
        <color rgb="FF0000FF"/>
        <rFont val="宋体"/>
        <family val="3"/>
        <charset val="134"/>
      </rPr>
      <t>（披露因抵押、质押或冻结等对使用有限制的款项，以及存放在境外的款项总额。公司应单独披露存放在境外且资金汇回受到限制的款项。）</t>
    </r>
  </si>
  <si>
    <r>
      <rPr>
        <sz val="12"/>
        <color rgb="FF0000FF"/>
        <rFont val="宋体"/>
        <family val="3"/>
        <charset val="134"/>
      </rPr>
      <t>【提示</t>
    </r>
    <r>
      <rPr>
        <sz val="12"/>
        <color rgb="FF0000FF"/>
        <rFont val="Arial Narrow"/>
        <family val="2"/>
      </rPr>
      <t>-</t>
    </r>
    <r>
      <rPr>
        <sz val="12"/>
        <color rgb="FF0000FF"/>
        <rFont val="宋体"/>
        <family val="3"/>
        <charset val="134"/>
      </rPr>
      <t>关于存款利息的披露：
（</t>
    </r>
    <r>
      <rPr>
        <sz val="12"/>
        <color rgb="FF0000FF"/>
        <rFont val="Arial Narrow"/>
        <family val="2"/>
      </rPr>
      <t>1</t>
    </r>
    <r>
      <rPr>
        <sz val="12"/>
        <color rgb="FF0000FF"/>
        <rFont val="宋体"/>
        <family val="3"/>
        <charset val="134"/>
      </rPr>
      <t>）银行存款包括应计利息：指基于实际利率法计提的应计但未到付息期的银行存款利息；不包括已到期可收取但于资产负债表日尚未收到的利息（即逾期未收利息，列示于报表项目</t>
    </r>
    <r>
      <rPr>
        <sz val="12"/>
        <color rgb="FF0000FF"/>
        <rFont val="Arial Narrow"/>
        <family val="2"/>
      </rPr>
      <t>“</t>
    </r>
    <r>
      <rPr>
        <sz val="12"/>
        <color rgb="FF0000FF"/>
        <rFont val="宋体"/>
        <family val="3"/>
        <charset val="134"/>
      </rPr>
      <t>应收利息</t>
    </r>
    <r>
      <rPr>
        <sz val="12"/>
        <color rgb="FF0000FF"/>
        <rFont val="Arial Narrow"/>
        <family val="2"/>
      </rPr>
      <t>”</t>
    </r>
    <r>
      <rPr>
        <sz val="12"/>
        <color rgb="FF0000FF"/>
        <rFont val="宋体"/>
        <family val="3"/>
        <charset val="134"/>
      </rPr>
      <t>）；
（</t>
    </r>
    <r>
      <rPr>
        <sz val="12"/>
        <color rgb="FF0000FF"/>
        <rFont val="Arial Narrow"/>
        <family val="2"/>
      </rPr>
      <t>2</t>
    </r>
    <r>
      <rPr>
        <sz val="12"/>
        <color rgb="FF0000FF"/>
        <rFont val="宋体"/>
        <family val="3"/>
        <charset val="134"/>
      </rPr>
      <t>）可以在表格下方增加说明：银行存款中含应计利息</t>
    </r>
    <r>
      <rPr>
        <sz val="12"/>
        <color rgb="FF0000FF"/>
        <rFont val="Arial Narrow"/>
        <family val="2"/>
      </rPr>
      <t>XXX</t>
    </r>
    <r>
      <rPr>
        <sz val="12"/>
        <color rgb="FF0000FF"/>
        <rFont val="宋体"/>
        <family val="3"/>
        <charset val="134"/>
      </rPr>
      <t>元；也可以增加二级明细</t>
    </r>
    <r>
      <rPr>
        <sz val="12"/>
        <color rgb="FF0000FF"/>
        <rFont val="Arial Narrow"/>
        <family val="2"/>
      </rPr>
      <t>“</t>
    </r>
    <r>
      <rPr>
        <sz val="12"/>
        <color rgb="FF0000FF"/>
        <rFont val="宋体"/>
        <family val="3"/>
        <charset val="134"/>
      </rPr>
      <t>存款应计利息</t>
    </r>
    <r>
      <rPr>
        <sz val="12"/>
        <color rgb="FF0000FF"/>
        <rFont val="Arial Narrow"/>
        <family val="2"/>
      </rPr>
      <t>”</t>
    </r>
    <r>
      <rPr>
        <sz val="12"/>
        <color rgb="FF0000FF"/>
        <rFont val="宋体"/>
        <family val="3"/>
        <charset val="134"/>
      </rPr>
      <t>。
（</t>
    </r>
    <r>
      <rPr>
        <sz val="12"/>
        <color rgb="FF0000FF"/>
        <rFont val="Arial Narrow"/>
        <family val="2"/>
      </rPr>
      <t>3</t>
    </r>
    <r>
      <rPr>
        <sz val="12"/>
        <color rgb="FF0000FF"/>
        <rFont val="宋体"/>
        <family val="3"/>
        <charset val="134"/>
      </rPr>
      <t>）这部分利息不属于</t>
    </r>
    <r>
      <rPr>
        <sz val="12"/>
        <color rgb="FF0000FF"/>
        <rFont val="Arial Narrow"/>
        <family val="2"/>
      </rPr>
      <t>“</t>
    </r>
    <r>
      <rPr>
        <sz val="12"/>
        <color rgb="FF0000FF"/>
        <rFont val="宋体"/>
        <family val="3"/>
        <charset val="134"/>
      </rPr>
      <t>现金及现金等价物</t>
    </r>
    <r>
      <rPr>
        <sz val="12"/>
        <color rgb="FF0000FF"/>
        <rFont val="Arial Narrow"/>
        <family val="2"/>
      </rPr>
      <t>”</t>
    </r>
    <r>
      <rPr>
        <sz val="12"/>
        <color rgb="FF0000FF"/>
        <rFont val="宋体"/>
        <family val="3"/>
        <charset val="134"/>
      </rPr>
      <t>。】</t>
    </r>
    <phoneticPr fontId="1" type="noConversion"/>
  </si>
  <si>
    <r>
      <rPr>
        <b/>
        <sz val="12"/>
        <rFont val="宋体"/>
        <family val="3"/>
        <charset val="134"/>
      </rPr>
      <t>外币性货币项目</t>
    </r>
    <phoneticPr fontId="4" type="noConversion"/>
  </si>
  <si>
    <r>
      <rPr>
        <b/>
        <sz val="12"/>
        <color rgb="FF000000"/>
        <rFont val="宋体"/>
        <family val="3"/>
        <charset val="134"/>
      </rPr>
      <t>期末数</t>
    </r>
  </si>
  <si>
    <r>
      <rPr>
        <b/>
        <sz val="12"/>
        <color rgb="FF000000"/>
        <rFont val="宋体"/>
        <family val="3"/>
        <charset val="134"/>
      </rPr>
      <t>外币余额</t>
    </r>
    <phoneticPr fontId="1" type="noConversion"/>
  </si>
  <si>
    <r>
      <rPr>
        <b/>
        <sz val="12"/>
        <color rgb="FF000000"/>
        <rFont val="宋体"/>
        <family val="3"/>
        <charset val="134"/>
      </rPr>
      <t>折算率</t>
    </r>
  </si>
  <si>
    <r>
      <rPr>
        <b/>
        <sz val="12"/>
        <color rgb="FF000000"/>
        <rFont val="宋体"/>
        <family val="3"/>
        <charset val="134"/>
      </rPr>
      <t>人民币金额</t>
    </r>
  </si>
  <si>
    <r>
      <rPr>
        <sz val="12"/>
        <color rgb="FF000000"/>
        <rFont val="宋体"/>
        <family val="3"/>
        <charset val="134"/>
      </rPr>
      <t>货币资金：</t>
    </r>
    <phoneticPr fontId="1" type="noConversion"/>
  </si>
  <si>
    <r>
      <rPr>
        <sz val="12"/>
        <color rgb="FF000000"/>
        <rFont val="宋体"/>
        <family val="3"/>
        <charset val="134"/>
      </rPr>
      <t>其中：美元</t>
    </r>
    <phoneticPr fontId="1" type="noConversion"/>
  </si>
  <si>
    <r>
      <t xml:space="preserve">      </t>
    </r>
    <r>
      <rPr>
        <sz val="12"/>
        <color rgb="FF000000"/>
        <rFont val="宋体"/>
        <family val="3"/>
        <charset val="134"/>
      </rPr>
      <t>日元</t>
    </r>
    <phoneticPr fontId="1" type="noConversion"/>
  </si>
  <si>
    <r>
      <t xml:space="preserve">      </t>
    </r>
    <r>
      <rPr>
        <sz val="12"/>
        <color rgb="FF000000"/>
        <rFont val="宋体"/>
        <family val="3"/>
        <charset val="134"/>
      </rPr>
      <t>澳元</t>
    </r>
    <phoneticPr fontId="1" type="noConversion"/>
  </si>
  <si>
    <r>
      <t xml:space="preserve">      </t>
    </r>
    <r>
      <rPr>
        <sz val="12"/>
        <color rgb="FF000000"/>
        <rFont val="宋体"/>
        <family val="3"/>
        <charset val="134"/>
      </rPr>
      <t>欧元</t>
    </r>
    <phoneticPr fontId="1" type="noConversion"/>
  </si>
  <si>
    <r>
      <rPr>
        <sz val="12"/>
        <rFont val="宋体"/>
        <family val="3"/>
        <charset val="134"/>
      </rPr>
      <t>货币资金</t>
    </r>
  </si>
  <si>
    <r>
      <rPr>
        <b/>
        <sz val="12"/>
        <color rgb="FF000000"/>
        <rFont val="宋体"/>
        <family val="3"/>
        <charset val="134"/>
      </rPr>
      <t>原币金额</t>
    </r>
  </si>
  <si>
    <r>
      <rPr>
        <sz val="12"/>
        <color rgb="FF000000"/>
        <rFont val="宋体"/>
        <family val="3"/>
        <charset val="134"/>
      </rPr>
      <t>库存现金：</t>
    </r>
  </si>
  <si>
    <r>
      <rPr>
        <sz val="12"/>
        <color rgb="FF000000"/>
        <rFont val="宋体"/>
        <family val="3"/>
        <charset val="134"/>
      </rPr>
      <t>人民币</t>
    </r>
  </si>
  <si>
    <r>
      <rPr>
        <sz val="12"/>
        <color rgb="FF000000"/>
        <rFont val="宋体"/>
        <family val="3"/>
        <charset val="134"/>
      </rPr>
      <t>美元</t>
    </r>
  </si>
  <si>
    <r>
      <rPr>
        <sz val="12"/>
        <color rgb="FF000000"/>
        <rFont val="宋体"/>
        <family val="3"/>
        <charset val="134"/>
      </rPr>
      <t>日元</t>
    </r>
  </si>
  <si>
    <r>
      <rPr>
        <sz val="12"/>
        <color rgb="FF000000"/>
        <rFont val="宋体"/>
        <family val="3"/>
        <charset val="134"/>
      </rPr>
      <t>澳元</t>
    </r>
  </si>
  <si>
    <r>
      <rPr>
        <sz val="12"/>
        <color rgb="FF000000"/>
        <rFont val="宋体"/>
        <family val="3"/>
        <charset val="134"/>
      </rPr>
      <t>欧元</t>
    </r>
  </si>
  <si>
    <r>
      <rPr>
        <sz val="12"/>
        <color rgb="FF000000"/>
        <rFont val="宋体"/>
        <family val="3"/>
        <charset val="134"/>
      </rPr>
      <t>银行存款：</t>
    </r>
  </si>
  <si>
    <r>
      <rPr>
        <sz val="12"/>
        <color rgb="FF000000"/>
        <rFont val="宋体"/>
        <family val="3"/>
        <charset val="134"/>
      </rPr>
      <t>银行存款中：财务公司存款</t>
    </r>
    <phoneticPr fontId="1" type="noConversion"/>
  </si>
  <si>
    <r>
      <rPr>
        <sz val="12"/>
        <color rgb="FF000000"/>
        <rFont val="宋体"/>
        <family val="3"/>
        <charset val="134"/>
      </rPr>
      <t>人民币</t>
    </r>
    <phoneticPr fontId="1" type="noConversion"/>
  </si>
  <si>
    <r>
      <rPr>
        <sz val="12"/>
        <color rgb="FF000000"/>
        <rFont val="宋体"/>
        <family val="3"/>
        <charset val="134"/>
      </rPr>
      <t>其他货币资金：</t>
    </r>
  </si>
  <si>
    <r>
      <rPr>
        <b/>
        <sz val="12"/>
        <color rgb="FF000000"/>
        <rFont val="宋体"/>
        <family val="3"/>
        <charset val="134"/>
      </rPr>
      <t>合</t>
    </r>
    <r>
      <rPr>
        <b/>
        <sz val="12"/>
        <color rgb="FF000000"/>
        <rFont val="Arial Narrow"/>
        <family val="2"/>
      </rPr>
      <t xml:space="preserve">  </t>
    </r>
    <r>
      <rPr>
        <b/>
        <sz val="12"/>
        <color rgb="FF000000"/>
        <rFont val="宋体"/>
        <family val="3"/>
        <charset val="134"/>
      </rPr>
      <t>计</t>
    </r>
  </si>
  <si>
    <t>货币资金附注披露信息（国企）</t>
    <phoneticPr fontId="4" type="noConversion"/>
  </si>
  <si>
    <r>
      <rPr>
        <sz val="11"/>
        <color theme="1"/>
        <rFont val="宋体"/>
        <family val="3"/>
        <charset val="134"/>
      </rPr>
      <t>货币资金附注披露信息：</t>
    </r>
    <phoneticPr fontId="4" type="noConversion"/>
  </si>
  <si>
    <r>
      <rPr>
        <b/>
        <sz val="12"/>
        <color rgb="FF000000"/>
        <rFont val="宋体"/>
        <family val="3"/>
        <charset val="134"/>
      </rPr>
      <t>项</t>
    </r>
    <r>
      <rPr>
        <b/>
        <sz val="12"/>
        <color rgb="FF000000"/>
        <rFont val="Arial Narrow"/>
        <family val="2"/>
      </rPr>
      <t xml:space="preserve"> </t>
    </r>
    <r>
      <rPr>
        <b/>
        <sz val="12"/>
        <color rgb="FF000000"/>
        <rFont val="宋体"/>
        <family val="3"/>
        <charset val="134"/>
      </rPr>
      <t>目</t>
    </r>
  </si>
  <si>
    <r>
      <rPr>
        <b/>
        <sz val="12"/>
        <color rgb="FF000000"/>
        <rFont val="宋体"/>
        <family val="3"/>
        <charset val="134"/>
      </rPr>
      <t>期末余额</t>
    </r>
  </si>
  <si>
    <r>
      <rPr>
        <b/>
        <sz val="12"/>
        <color rgb="FF000000"/>
        <rFont val="宋体"/>
        <family val="3"/>
        <charset val="134"/>
      </rPr>
      <t>年初余额</t>
    </r>
  </si>
  <si>
    <r>
      <rPr>
        <sz val="12"/>
        <color rgb="FF000000"/>
        <rFont val="宋体"/>
        <family val="3"/>
        <charset val="134"/>
      </rPr>
      <t>现金</t>
    </r>
  </si>
  <si>
    <r>
      <rPr>
        <sz val="12"/>
        <color rgb="FF000000"/>
        <rFont val="宋体"/>
        <family val="3"/>
        <charset val="134"/>
      </rPr>
      <t>银行存款</t>
    </r>
  </si>
  <si>
    <r>
      <rPr>
        <sz val="12"/>
        <color rgb="FF000000"/>
        <rFont val="宋体"/>
        <family val="3"/>
        <charset val="134"/>
      </rPr>
      <t>其他货币</t>
    </r>
    <r>
      <rPr>
        <sz val="12"/>
        <rFont val="宋体"/>
        <family val="3"/>
        <charset val="134"/>
      </rPr>
      <t>资金</t>
    </r>
  </si>
  <si>
    <r>
      <rPr>
        <sz val="12"/>
        <color rgb="FF0000FF"/>
        <rFont val="宋体"/>
        <family val="3"/>
        <charset val="134"/>
      </rPr>
      <t>（如有因抵押、质押或冻结等对使用有限制、存放在境外、有潜在回收风险的款项应单独说明。）</t>
    </r>
  </si>
  <si>
    <r>
      <rPr>
        <sz val="12"/>
        <color rgb="FF0000FF"/>
        <rFont val="宋体"/>
        <family val="3"/>
        <charset val="134"/>
      </rPr>
      <t>（提示：企业持有由中国人民银行发行的数字人民币，可单独增加</t>
    </r>
    <r>
      <rPr>
        <sz val="12"/>
        <color rgb="FF0000FF"/>
        <rFont val="Arial Narrow"/>
        <family val="2"/>
      </rPr>
      <t>“</t>
    </r>
    <r>
      <rPr>
        <sz val="12"/>
        <color rgb="FF0000FF"/>
        <rFont val="宋体"/>
        <family val="3"/>
        <charset val="134"/>
      </rPr>
      <t>数字货币</t>
    </r>
    <r>
      <rPr>
        <sz val="12"/>
        <color rgb="FF0000FF"/>
        <rFont val="Arial Narrow"/>
        <family val="2"/>
      </rPr>
      <t>”</t>
    </r>
    <r>
      <rPr>
        <sz val="12"/>
        <color rgb="FF0000FF"/>
        <rFont val="宋体"/>
        <family val="3"/>
        <charset val="134"/>
      </rPr>
      <t>二级明细项目）</t>
    </r>
    <phoneticPr fontId="1" type="noConversion"/>
  </si>
  <si>
    <r>
      <rPr>
        <sz val="12"/>
        <rFont val="宋体"/>
        <family val="3"/>
        <charset val="134"/>
      </rPr>
      <t>受限制的货币资金明细</t>
    </r>
    <phoneticPr fontId="1" type="noConversion"/>
  </si>
  <si>
    <r>
      <rPr>
        <b/>
        <sz val="10.5"/>
        <color rgb="FF000000"/>
        <rFont val="宋体"/>
        <family val="3"/>
        <charset val="134"/>
      </rPr>
      <t>项</t>
    </r>
    <r>
      <rPr>
        <b/>
        <sz val="10.5"/>
        <color rgb="FF000000"/>
        <rFont val="Arial Narrow"/>
        <family val="2"/>
      </rPr>
      <t xml:space="preserve"> </t>
    </r>
    <r>
      <rPr>
        <b/>
        <sz val="10.5"/>
        <color rgb="FF000000"/>
        <rFont val="宋体"/>
        <family val="3"/>
        <charset val="134"/>
      </rPr>
      <t>目</t>
    </r>
  </si>
  <si>
    <r>
      <rPr>
        <b/>
        <sz val="10.5"/>
        <color rgb="FF000000"/>
        <rFont val="宋体"/>
        <family val="3"/>
        <charset val="134"/>
      </rPr>
      <t>期末余额</t>
    </r>
  </si>
  <si>
    <r>
      <rPr>
        <b/>
        <sz val="10.5"/>
        <color rgb="FF000000"/>
        <rFont val="宋体"/>
        <family val="3"/>
        <charset val="134"/>
      </rPr>
      <t>年初余额</t>
    </r>
  </si>
  <si>
    <r>
      <rPr>
        <sz val="10.5"/>
        <color rgb="FF000000"/>
        <rFont val="宋体"/>
        <family val="3"/>
        <charset val="134"/>
      </rPr>
      <t>银行承兑汇票保证金</t>
    </r>
    <phoneticPr fontId="1" type="noConversion"/>
  </si>
  <si>
    <r>
      <rPr>
        <sz val="10.5"/>
        <color rgb="FF000000"/>
        <rFont val="宋体"/>
        <family val="3"/>
        <charset val="134"/>
      </rPr>
      <t>信用证保证金</t>
    </r>
  </si>
  <si>
    <r>
      <rPr>
        <sz val="10.5"/>
        <color rgb="FF000000"/>
        <rFont val="宋体"/>
        <family val="3"/>
        <charset val="134"/>
      </rPr>
      <t>履约保证金</t>
    </r>
  </si>
  <si>
    <r>
      <rPr>
        <sz val="10.5"/>
        <color rgb="FF000000"/>
        <rFont val="宋体"/>
        <family val="3"/>
        <charset val="134"/>
      </rPr>
      <t>用于担保的定期存款或通知存款</t>
    </r>
  </si>
  <si>
    <r>
      <rPr>
        <sz val="10.5"/>
        <color rgb="FF000000"/>
        <rFont val="宋体"/>
        <family val="3"/>
        <charset val="134"/>
      </rPr>
      <t>放在境外且资金汇回受到限制的款项</t>
    </r>
  </si>
  <si>
    <r>
      <rPr>
        <b/>
        <sz val="10.5"/>
        <color rgb="FF000000"/>
        <rFont val="宋体"/>
        <family val="3"/>
        <charset val="134"/>
      </rPr>
      <t>合</t>
    </r>
    <r>
      <rPr>
        <b/>
        <sz val="10.5"/>
        <color rgb="FF000000"/>
        <rFont val="Arial Narrow"/>
        <family val="2"/>
      </rPr>
      <t xml:space="preserve">  </t>
    </r>
    <r>
      <rPr>
        <b/>
        <sz val="10.5"/>
        <color rgb="FF000000"/>
        <rFont val="宋体"/>
        <family val="3"/>
        <charset val="134"/>
      </rPr>
      <t>计</t>
    </r>
  </si>
  <si>
    <r>
      <rPr>
        <b/>
        <sz val="10"/>
        <rFont val="宋体"/>
        <family val="3"/>
        <charset val="134"/>
      </rPr>
      <t>项目名称（外币及人民币）</t>
    </r>
    <phoneticPr fontId="4" type="noConversion"/>
  </si>
  <si>
    <r>
      <rPr>
        <b/>
        <sz val="10"/>
        <rFont val="宋体"/>
        <family val="3"/>
        <charset val="134"/>
      </rPr>
      <t>期初数</t>
    </r>
    <phoneticPr fontId="4" type="noConversion"/>
  </si>
  <si>
    <r>
      <rPr>
        <b/>
        <sz val="10"/>
        <rFont val="宋体"/>
        <family val="3"/>
        <charset val="134"/>
      </rPr>
      <t>期末数</t>
    </r>
    <phoneticPr fontId="4" type="noConversion"/>
  </si>
  <si>
    <r>
      <rPr>
        <b/>
        <sz val="10"/>
        <color indexed="8"/>
        <rFont val="宋体"/>
        <family val="3"/>
        <charset val="134"/>
      </rPr>
      <t>本期与上期比较</t>
    </r>
    <phoneticPr fontId="4" type="noConversion"/>
  </si>
  <si>
    <r>
      <rPr>
        <b/>
        <sz val="10"/>
        <rFont val="宋体"/>
        <family val="3"/>
        <charset val="134"/>
      </rPr>
      <t>原因分析</t>
    </r>
    <phoneticPr fontId="41" type="noConversion"/>
  </si>
  <si>
    <r>
      <rPr>
        <b/>
        <sz val="10"/>
        <rFont val="宋体"/>
        <family val="3"/>
        <charset val="134"/>
      </rPr>
      <t>未审数</t>
    </r>
    <phoneticPr fontId="4" type="noConversion"/>
  </si>
  <si>
    <r>
      <rPr>
        <b/>
        <sz val="10"/>
        <rFont val="宋体"/>
        <family val="3"/>
        <charset val="134"/>
      </rPr>
      <t>账项调整</t>
    </r>
    <phoneticPr fontId="4" type="noConversion"/>
  </si>
  <si>
    <r>
      <rPr>
        <b/>
        <sz val="10"/>
        <rFont val="宋体"/>
        <family val="3"/>
        <charset val="134"/>
      </rPr>
      <t>审定数</t>
    </r>
    <phoneticPr fontId="4" type="noConversion"/>
  </si>
  <si>
    <r>
      <rPr>
        <b/>
        <sz val="10"/>
        <rFont val="宋体"/>
        <family val="3"/>
        <charset val="134"/>
      </rPr>
      <t>变动额</t>
    </r>
    <phoneticPr fontId="4" type="noConversion"/>
  </si>
  <si>
    <r>
      <rPr>
        <b/>
        <sz val="10"/>
        <color indexed="8"/>
        <rFont val="宋体"/>
        <family val="3"/>
        <charset val="134"/>
      </rPr>
      <t>变动率</t>
    </r>
    <phoneticPr fontId="4" type="noConversion"/>
  </si>
  <si>
    <r>
      <rPr>
        <b/>
        <sz val="10"/>
        <color indexed="8"/>
        <rFont val="宋体"/>
        <family val="3"/>
        <charset val="134"/>
      </rPr>
      <t>库存现金</t>
    </r>
    <phoneticPr fontId="1" type="noConversion"/>
  </si>
  <si>
    <r>
      <rPr>
        <b/>
        <sz val="10"/>
        <color indexed="8"/>
        <rFont val="宋体"/>
        <family val="3"/>
        <charset val="134"/>
      </rPr>
      <t>银行存款（本金）</t>
    </r>
    <phoneticPr fontId="1" type="noConversion"/>
  </si>
  <si>
    <r>
      <rPr>
        <sz val="10"/>
        <color indexed="8"/>
        <rFont val="宋体"/>
        <family val="3"/>
        <charset val="134"/>
      </rPr>
      <t>其中：存放财务公司款项</t>
    </r>
    <phoneticPr fontId="1" type="noConversion"/>
  </si>
  <si>
    <r>
      <t xml:space="preserve">      </t>
    </r>
    <r>
      <rPr>
        <sz val="10"/>
        <color indexed="8"/>
        <rFont val="宋体"/>
        <family val="3"/>
        <charset val="134"/>
      </rPr>
      <t>银行机构存款</t>
    </r>
    <phoneticPr fontId="1" type="noConversion"/>
  </si>
  <si>
    <r>
      <rPr>
        <b/>
        <sz val="10"/>
        <color indexed="8"/>
        <rFont val="宋体"/>
        <family val="3"/>
        <charset val="134"/>
      </rPr>
      <t>其他货币资金（本金）</t>
    </r>
    <phoneticPr fontId="1" type="noConversion"/>
  </si>
  <si>
    <r>
      <rPr>
        <b/>
        <sz val="10"/>
        <color indexed="8"/>
        <rFont val="宋体"/>
        <family val="3"/>
        <charset val="134"/>
      </rPr>
      <t>数字货币（本金）</t>
    </r>
    <phoneticPr fontId="1" type="noConversion"/>
  </si>
  <si>
    <r>
      <rPr>
        <sz val="10"/>
        <color indexed="8"/>
        <rFont val="宋体"/>
        <family val="3"/>
        <charset val="134"/>
      </rPr>
      <t>应计利息</t>
    </r>
    <phoneticPr fontId="1" type="noConversion"/>
  </si>
  <si>
    <r>
      <rPr>
        <sz val="10"/>
        <color indexed="8"/>
        <rFont val="宋体"/>
        <family val="3"/>
        <charset val="134"/>
      </rPr>
      <t>其中：财务公司存款</t>
    </r>
    <phoneticPr fontId="1" type="noConversion"/>
  </si>
  <si>
    <r>
      <t xml:space="preserve">      </t>
    </r>
    <r>
      <rPr>
        <sz val="10"/>
        <color indexed="8"/>
        <rFont val="宋体"/>
        <family val="3"/>
        <charset val="134"/>
      </rPr>
      <t>其他货币资金</t>
    </r>
    <phoneticPr fontId="1" type="noConversion"/>
  </si>
  <si>
    <r>
      <t xml:space="preserve">      </t>
    </r>
    <r>
      <rPr>
        <sz val="10"/>
        <color indexed="8"/>
        <rFont val="宋体"/>
        <family val="3"/>
        <charset val="134"/>
      </rPr>
      <t>数字货币</t>
    </r>
    <phoneticPr fontId="1" type="noConversion"/>
  </si>
  <si>
    <r>
      <rPr>
        <b/>
        <sz val="10"/>
        <color indexed="8"/>
        <rFont val="宋体"/>
        <family val="3"/>
        <charset val="134"/>
      </rPr>
      <t>合</t>
    </r>
    <r>
      <rPr>
        <b/>
        <sz val="10"/>
        <color indexed="8"/>
        <rFont val="Arial Narrow"/>
        <family val="2"/>
      </rPr>
      <t xml:space="preserve"> </t>
    </r>
    <r>
      <rPr>
        <b/>
        <sz val="10"/>
        <color indexed="8"/>
        <rFont val="宋体"/>
        <family val="3"/>
        <charset val="134"/>
      </rPr>
      <t>计</t>
    </r>
    <phoneticPr fontId="1" type="noConversion"/>
  </si>
  <si>
    <r>
      <rPr>
        <sz val="10"/>
        <color indexed="8"/>
        <rFont val="宋体"/>
        <family val="3"/>
        <charset val="134"/>
      </rPr>
      <t>其中：存放在境外的款项总额</t>
    </r>
    <phoneticPr fontId="1" type="noConversion"/>
  </si>
  <si>
    <r>
      <rPr>
        <b/>
        <sz val="10"/>
        <rFont val="宋体"/>
        <family val="3"/>
        <charset val="134"/>
      </rPr>
      <t>试算平衡表数</t>
    </r>
    <phoneticPr fontId="4" type="noConversion"/>
  </si>
  <si>
    <r>
      <rPr>
        <b/>
        <sz val="10"/>
        <rFont val="宋体"/>
        <family val="3"/>
        <charset val="134"/>
      </rPr>
      <t>差异数</t>
    </r>
    <phoneticPr fontId="4" type="noConversion"/>
  </si>
  <si>
    <r>
      <rPr>
        <b/>
        <sz val="10"/>
        <rFont val="宋体"/>
        <family val="3"/>
        <charset val="134"/>
      </rPr>
      <t>项目名称（仅人民币）</t>
    </r>
    <phoneticPr fontId="4" type="noConversion"/>
  </si>
  <si>
    <r>
      <rPr>
        <sz val="10"/>
        <rFont val="宋体"/>
        <family val="3"/>
        <charset val="134"/>
      </rPr>
      <t>（</t>
    </r>
    <r>
      <rPr>
        <sz val="10"/>
        <rFont val="Arial Narrow"/>
        <family val="2"/>
      </rPr>
      <t>2</t>
    </r>
    <r>
      <rPr>
        <sz val="10"/>
        <rFont val="宋体"/>
        <family val="3"/>
        <charset val="134"/>
      </rPr>
      <t>）其他货币资金主要是：</t>
    </r>
    <phoneticPr fontId="4" type="noConversion"/>
  </si>
  <si>
    <r>
      <t>NORE 1</t>
    </r>
    <r>
      <rPr>
        <sz val="10"/>
        <color rgb="FFFF0000"/>
        <rFont val="宋体"/>
        <family val="3"/>
        <charset val="134"/>
      </rPr>
      <t>：主要原因（比例超过</t>
    </r>
    <r>
      <rPr>
        <sz val="10"/>
        <color rgb="FFFF0000"/>
        <rFont val="Arial Narrow"/>
        <family val="2"/>
      </rPr>
      <t>30%</t>
    </r>
    <r>
      <rPr>
        <sz val="10"/>
        <color rgb="FFFF0000"/>
        <rFont val="宋体"/>
        <family val="3"/>
        <charset val="134"/>
      </rPr>
      <t>的）</t>
    </r>
  </si>
  <si>
    <r>
      <rPr>
        <sz val="10"/>
        <rFont val="宋体"/>
        <family val="3"/>
        <charset val="134"/>
      </rPr>
      <t>（</t>
    </r>
    <r>
      <rPr>
        <sz val="10"/>
        <rFont val="Arial Narrow"/>
        <family val="2"/>
      </rPr>
      <t>3</t>
    </r>
    <r>
      <rPr>
        <sz val="10"/>
        <rFont val="宋体"/>
        <family val="3"/>
        <charset val="134"/>
      </rPr>
      <t>）对有抵押、冻结等对变现有限制或存放在境外的或有潜在回收风险的款项应单独说明。</t>
    </r>
    <phoneticPr fontId="4" type="noConversion"/>
  </si>
  <si>
    <t>库存现金明细表</t>
    <phoneticPr fontId="4" type="noConversion"/>
  </si>
  <si>
    <r>
      <rPr>
        <sz val="10"/>
        <rFont val="宋体"/>
        <family val="3"/>
        <charset val="134"/>
      </rPr>
      <t>索引号：</t>
    </r>
    <phoneticPr fontId="1" type="noConversion"/>
  </si>
  <si>
    <r>
      <t>1.</t>
    </r>
    <r>
      <rPr>
        <sz val="10"/>
        <rFont val="宋体"/>
        <family val="3"/>
        <charset val="134"/>
      </rPr>
      <t>取得库存现金明细账，检查与总账、明细账合计数、报表金额等是否核对相符。</t>
    </r>
    <r>
      <rPr>
        <sz val="10"/>
        <rFont val="Arial Narrow"/>
        <family val="2"/>
      </rPr>
      <t xml:space="preserve"> </t>
    </r>
    <phoneticPr fontId="4" type="noConversion"/>
  </si>
  <si>
    <r>
      <rPr>
        <b/>
        <sz val="10"/>
        <rFont val="宋体"/>
        <family val="3"/>
        <charset val="134"/>
      </rPr>
      <t>未审数（人民币金额）</t>
    </r>
    <phoneticPr fontId="1" type="noConversion"/>
  </si>
  <si>
    <r>
      <rPr>
        <b/>
        <sz val="10"/>
        <rFont val="宋体"/>
        <family val="3"/>
        <charset val="134"/>
      </rPr>
      <t>期末审定数（人民币金额）</t>
    </r>
    <phoneticPr fontId="1" type="noConversion"/>
  </si>
  <si>
    <r>
      <rPr>
        <b/>
        <sz val="10"/>
        <rFont val="宋体"/>
        <family val="3"/>
        <charset val="134"/>
      </rPr>
      <t>期末余额（原币）</t>
    </r>
    <phoneticPr fontId="4" type="noConversion"/>
  </si>
  <si>
    <r>
      <rPr>
        <b/>
        <sz val="10"/>
        <rFont val="宋体"/>
        <family val="3"/>
        <charset val="134"/>
      </rPr>
      <t>期末折算汇率</t>
    </r>
  </si>
  <si>
    <r>
      <rPr>
        <b/>
        <sz val="10"/>
        <rFont val="宋体"/>
        <family val="3"/>
        <charset val="134"/>
      </rPr>
      <t>期末折算人民币金额</t>
    </r>
    <phoneticPr fontId="1" type="noConversion"/>
  </si>
  <si>
    <r>
      <rPr>
        <sz val="10"/>
        <color rgb="FFFF0000"/>
        <rFont val="宋体"/>
        <family val="3"/>
        <charset val="134"/>
      </rPr>
      <t>日元</t>
    </r>
    <phoneticPr fontId="1" type="noConversion"/>
  </si>
  <si>
    <r>
      <rPr>
        <sz val="10"/>
        <color rgb="FFFF0000"/>
        <rFont val="宋体"/>
        <family val="3"/>
        <charset val="134"/>
      </rPr>
      <t>澳元</t>
    </r>
    <phoneticPr fontId="1" type="noConversion"/>
  </si>
  <si>
    <r>
      <rPr>
        <sz val="10"/>
        <color rgb="FFFF0000"/>
        <rFont val="宋体"/>
        <family val="3"/>
        <charset val="134"/>
      </rPr>
      <t>欧元</t>
    </r>
    <phoneticPr fontId="1" type="noConversion"/>
  </si>
  <si>
    <r>
      <rPr>
        <sz val="10"/>
        <rFont val="宋体"/>
        <family val="3"/>
        <charset val="134"/>
      </rPr>
      <t>其中：存放在境外的款项总额</t>
    </r>
    <phoneticPr fontId="1" type="noConversion"/>
  </si>
  <si>
    <r>
      <rPr>
        <b/>
        <sz val="10"/>
        <rFont val="宋体"/>
        <family val="3"/>
        <charset val="134"/>
      </rPr>
      <t>总账银行名称</t>
    </r>
    <phoneticPr fontId="4" type="noConversion"/>
  </si>
  <si>
    <r>
      <rPr>
        <b/>
        <sz val="10"/>
        <rFont val="宋体"/>
        <family val="3"/>
        <charset val="134"/>
      </rPr>
      <t>银行账号</t>
    </r>
    <phoneticPr fontId="1" type="noConversion"/>
  </si>
  <si>
    <r>
      <rPr>
        <b/>
        <sz val="10"/>
        <rFont val="宋体"/>
        <family val="3"/>
        <charset val="134"/>
      </rPr>
      <t>账户性质</t>
    </r>
    <r>
      <rPr>
        <b/>
        <sz val="10"/>
        <rFont val="Arial Narrow"/>
        <family val="2"/>
      </rPr>
      <t>/</t>
    </r>
    <r>
      <rPr>
        <b/>
        <sz val="10"/>
        <rFont val="宋体"/>
        <family val="3"/>
        <charset val="134"/>
      </rPr>
      <t>主要用途</t>
    </r>
    <phoneticPr fontId="1" type="noConversion"/>
  </si>
  <si>
    <r>
      <rPr>
        <b/>
        <sz val="10"/>
        <rFont val="宋体"/>
        <family val="3"/>
        <charset val="134"/>
      </rPr>
      <t>原币币种</t>
    </r>
    <phoneticPr fontId="1" type="noConversion"/>
  </si>
  <si>
    <r>
      <rPr>
        <b/>
        <sz val="10"/>
        <rFont val="宋体"/>
        <family val="3"/>
        <charset val="134"/>
      </rPr>
      <t>期末汇率</t>
    </r>
    <phoneticPr fontId="1" type="noConversion"/>
  </si>
  <si>
    <r>
      <rPr>
        <b/>
        <sz val="10"/>
        <rFont val="宋体"/>
        <family val="3"/>
        <charset val="134"/>
      </rPr>
      <t>未审数（人民币金额）</t>
    </r>
    <phoneticPr fontId="4" type="noConversion"/>
  </si>
  <si>
    <r>
      <rPr>
        <b/>
        <sz val="10"/>
        <rFont val="宋体"/>
        <family val="3"/>
        <charset val="134"/>
      </rPr>
      <t>审计调整</t>
    </r>
    <phoneticPr fontId="4" type="noConversion"/>
  </si>
  <si>
    <r>
      <rPr>
        <b/>
        <sz val="10"/>
        <rFont val="宋体"/>
        <family val="3"/>
        <charset val="134"/>
      </rPr>
      <t>审定本币测算差异</t>
    </r>
    <phoneticPr fontId="1" type="noConversion"/>
  </si>
  <si>
    <r>
      <rPr>
        <b/>
        <sz val="10"/>
        <rFont val="宋体"/>
        <family val="3"/>
        <charset val="134"/>
      </rPr>
      <t>期末对账单余额</t>
    </r>
    <phoneticPr fontId="1" type="noConversion"/>
  </si>
  <si>
    <r>
      <rPr>
        <b/>
        <sz val="10"/>
        <rFont val="宋体"/>
        <family val="3"/>
        <charset val="134"/>
      </rPr>
      <t>期末账面余额与银行对账单余额差异</t>
    </r>
    <phoneticPr fontId="1" type="noConversion"/>
  </si>
  <si>
    <r>
      <rPr>
        <b/>
        <sz val="10"/>
        <rFont val="宋体"/>
        <family val="3"/>
        <charset val="134"/>
      </rPr>
      <t>银行对账单索引号</t>
    </r>
    <phoneticPr fontId="1" type="noConversion"/>
  </si>
  <si>
    <r>
      <rPr>
        <b/>
        <sz val="10"/>
        <rFont val="宋体"/>
        <family val="3"/>
        <charset val="134"/>
      </rPr>
      <t>银行存款余额调节表索引号</t>
    </r>
    <phoneticPr fontId="1" type="noConversion"/>
  </si>
  <si>
    <r>
      <rPr>
        <b/>
        <sz val="10"/>
        <rFont val="宋体"/>
        <family val="3"/>
        <charset val="134"/>
      </rPr>
      <t>银行询证函索引号</t>
    </r>
    <phoneticPr fontId="1" type="noConversion"/>
  </si>
  <si>
    <r>
      <rPr>
        <b/>
        <sz val="10"/>
        <rFont val="宋体"/>
        <family val="3"/>
        <charset val="134"/>
      </rPr>
      <t>受限金额</t>
    </r>
    <phoneticPr fontId="1" type="noConversion"/>
  </si>
  <si>
    <r>
      <rPr>
        <b/>
        <sz val="10"/>
        <rFont val="宋体"/>
        <family val="3"/>
        <charset val="134"/>
      </rPr>
      <t>受限原因</t>
    </r>
    <phoneticPr fontId="1" type="noConversion"/>
  </si>
  <si>
    <r>
      <rPr>
        <b/>
        <sz val="10"/>
        <rFont val="宋体"/>
        <family val="3"/>
        <charset val="134"/>
      </rPr>
      <t>利率</t>
    </r>
    <phoneticPr fontId="1" type="noConversion"/>
  </si>
  <si>
    <r>
      <rPr>
        <b/>
        <sz val="10"/>
        <rFont val="宋体"/>
        <family val="3"/>
        <charset val="134"/>
      </rPr>
      <t>备注</t>
    </r>
    <r>
      <rPr>
        <b/>
        <sz val="10"/>
        <color rgb="FF0000FF"/>
        <rFont val="宋体"/>
        <family val="3"/>
        <charset val="134"/>
      </rPr>
      <t>（财务公司、境外、资金池等）</t>
    </r>
    <phoneticPr fontId="1" type="noConversion"/>
  </si>
  <si>
    <r>
      <rPr>
        <b/>
        <sz val="10"/>
        <rFont val="宋体"/>
        <family val="3"/>
        <charset val="134"/>
      </rPr>
      <t>期末余额</t>
    </r>
    <phoneticPr fontId="1" type="noConversion"/>
  </si>
  <si>
    <r>
      <rPr>
        <b/>
        <sz val="10"/>
        <rFont val="宋体"/>
        <family val="3"/>
        <charset val="134"/>
      </rPr>
      <t>企业报表调整</t>
    </r>
    <phoneticPr fontId="4" type="noConversion"/>
  </si>
  <si>
    <r>
      <rPr>
        <b/>
        <sz val="10"/>
        <rFont val="宋体"/>
        <family val="3"/>
        <charset val="134"/>
      </rPr>
      <t>企业报表数</t>
    </r>
    <phoneticPr fontId="4" type="noConversion"/>
  </si>
  <si>
    <r>
      <rPr>
        <b/>
        <sz val="10"/>
        <rFont val="宋体"/>
        <family val="3"/>
        <charset val="134"/>
      </rPr>
      <t>测算本币</t>
    </r>
    <phoneticPr fontId="4" type="noConversion"/>
  </si>
  <si>
    <r>
      <rPr>
        <b/>
        <sz val="10"/>
        <rFont val="宋体"/>
        <family val="3"/>
        <charset val="134"/>
      </rPr>
      <t>原报本币测算差异</t>
    </r>
    <phoneticPr fontId="4" type="noConversion"/>
  </si>
  <si>
    <r>
      <rPr>
        <b/>
        <sz val="10"/>
        <rFont val="宋体"/>
        <family val="3"/>
        <charset val="134"/>
      </rPr>
      <t>期初调整</t>
    </r>
    <phoneticPr fontId="4" type="noConversion"/>
  </si>
  <si>
    <r>
      <rPr>
        <b/>
        <sz val="10"/>
        <rFont val="宋体"/>
        <family val="3"/>
        <charset val="134"/>
      </rPr>
      <t>期末调整</t>
    </r>
    <phoneticPr fontId="4" type="noConversion"/>
  </si>
  <si>
    <r>
      <rPr>
        <b/>
        <sz val="10"/>
        <rFont val="宋体"/>
        <family val="3"/>
        <charset val="134"/>
      </rPr>
      <t>期初审定</t>
    </r>
    <phoneticPr fontId="4" type="noConversion"/>
  </si>
  <si>
    <r>
      <rPr>
        <b/>
        <sz val="10"/>
        <rFont val="宋体"/>
        <family val="3"/>
        <charset val="134"/>
      </rPr>
      <t>期末审定</t>
    </r>
    <phoneticPr fontId="4" type="noConversion"/>
  </si>
  <si>
    <r>
      <rPr>
        <b/>
        <sz val="10"/>
        <rFont val="宋体"/>
        <family val="3"/>
        <charset val="134"/>
      </rPr>
      <t>原币</t>
    </r>
    <phoneticPr fontId="4" type="noConversion"/>
  </si>
  <si>
    <r>
      <rPr>
        <b/>
        <sz val="10"/>
        <rFont val="宋体"/>
        <family val="3"/>
        <charset val="134"/>
      </rPr>
      <t>人民币</t>
    </r>
    <phoneticPr fontId="4" type="noConversion"/>
  </si>
  <si>
    <r>
      <rPr>
        <b/>
        <sz val="10"/>
        <rFont val="宋体"/>
        <family val="3"/>
        <charset val="134"/>
      </rPr>
      <t>（一）存款本金</t>
    </r>
    <phoneticPr fontId="1" type="noConversion"/>
  </si>
  <si>
    <r>
      <rPr>
        <b/>
        <sz val="10"/>
        <rFont val="宋体"/>
        <family val="3"/>
        <charset val="134"/>
      </rPr>
      <t>银行：</t>
    </r>
    <phoneticPr fontId="1" type="noConversion"/>
  </si>
  <si>
    <r>
      <rPr>
        <b/>
        <sz val="10"/>
        <rFont val="宋体"/>
        <family val="3"/>
        <charset val="134"/>
      </rPr>
      <t>其他金融机构（存放财务公司款项）：</t>
    </r>
    <phoneticPr fontId="1" type="noConversion"/>
  </si>
  <si>
    <r>
      <rPr>
        <b/>
        <sz val="10"/>
        <rFont val="宋体"/>
        <family val="3"/>
        <charset val="134"/>
      </rPr>
      <t>其他货币资金：</t>
    </r>
    <phoneticPr fontId="1" type="noConversion"/>
  </si>
  <si>
    <r>
      <rPr>
        <sz val="10"/>
        <color rgb="FFFF0000"/>
        <rFont val="宋体"/>
        <family val="3"/>
        <charset val="134"/>
      </rPr>
      <t>银行承兑汇票保证金</t>
    </r>
  </si>
  <si>
    <r>
      <rPr>
        <sz val="10"/>
        <color rgb="FFFF0000"/>
        <rFont val="宋体"/>
        <family val="3"/>
        <charset val="134"/>
      </rPr>
      <t>信用证保证金</t>
    </r>
  </si>
  <si>
    <r>
      <rPr>
        <sz val="10"/>
        <color rgb="FFFF0000"/>
        <rFont val="宋体"/>
        <family val="3"/>
        <charset val="134"/>
      </rPr>
      <t>履约保证金</t>
    </r>
  </si>
  <si>
    <r>
      <rPr>
        <b/>
        <sz val="10"/>
        <rFont val="宋体"/>
        <family val="3"/>
        <charset val="134"/>
      </rPr>
      <t>存款本金小计</t>
    </r>
    <phoneticPr fontId="1" type="noConversion"/>
  </si>
  <si>
    <r>
      <rPr>
        <b/>
        <sz val="10"/>
        <rFont val="宋体"/>
        <family val="3"/>
        <charset val="134"/>
      </rPr>
      <t>（二）应计利息</t>
    </r>
    <r>
      <rPr>
        <b/>
        <sz val="10"/>
        <rFont val="Arial Narrow"/>
        <family val="2"/>
      </rPr>
      <t>(</t>
    </r>
    <r>
      <rPr>
        <b/>
        <sz val="10"/>
        <rFont val="宋体"/>
        <family val="3"/>
        <charset val="134"/>
      </rPr>
      <t>基于实际利率法计提的金融工具的利息应包含在相应金融工具的账面余额中</t>
    </r>
    <r>
      <rPr>
        <b/>
        <sz val="10"/>
        <rFont val="Arial Narrow"/>
        <family val="2"/>
      </rPr>
      <t>)</t>
    </r>
    <phoneticPr fontId="1" type="noConversion"/>
  </si>
  <si>
    <r>
      <rPr>
        <b/>
        <sz val="10"/>
        <rFont val="宋体"/>
        <family val="3"/>
        <charset val="134"/>
      </rPr>
      <t>其他金融机构：</t>
    </r>
    <phoneticPr fontId="1" type="noConversion"/>
  </si>
  <si>
    <r>
      <t>XX</t>
    </r>
    <r>
      <rPr>
        <sz val="10"/>
        <rFont val="宋体"/>
        <family val="3"/>
        <charset val="134"/>
      </rPr>
      <t>财务公司</t>
    </r>
  </si>
  <si>
    <r>
      <rPr>
        <b/>
        <sz val="10"/>
        <rFont val="宋体"/>
        <family val="3"/>
        <charset val="134"/>
      </rPr>
      <t>存款应计利息小计</t>
    </r>
    <phoneticPr fontId="1" type="noConversion"/>
  </si>
  <si>
    <r>
      <rPr>
        <b/>
        <sz val="10"/>
        <rFont val="宋体"/>
        <family val="3"/>
        <charset val="134"/>
      </rPr>
      <t>银行存款小计</t>
    </r>
    <phoneticPr fontId="1" type="noConversion"/>
  </si>
  <si>
    <r>
      <rPr>
        <b/>
        <sz val="10"/>
        <rFont val="宋体"/>
        <family val="3"/>
        <charset val="134"/>
      </rPr>
      <t>财务公司存款小计</t>
    </r>
    <phoneticPr fontId="1" type="noConversion"/>
  </si>
  <si>
    <r>
      <rPr>
        <b/>
        <sz val="10"/>
        <rFont val="宋体"/>
        <family val="3"/>
        <charset val="134"/>
      </rPr>
      <t>其他货币资金小计</t>
    </r>
    <phoneticPr fontId="1" type="noConversion"/>
  </si>
  <si>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</si>
  <si>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账项调整（调减为负数）</t>
    </r>
    <phoneticPr fontId="1" type="noConversion"/>
  </si>
  <si>
    <r>
      <rPr>
        <b/>
        <sz val="10"/>
        <rFont val="宋体"/>
        <family val="3"/>
        <charset val="134"/>
      </rPr>
      <t>银行对账单索引号</t>
    </r>
    <phoneticPr fontId="4" type="noConversion"/>
  </si>
  <si>
    <r>
      <rPr>
        <b/>
        <sz val="10"/>
        <rFont val="宋体"/>
        <family val="3"/>
        <charset val="134"/>
      </rPr>
      <t>银行存款余额调节表索引号</t>
    </r>
    <phoneticPr fontId="4" type="noConversion"/>
  </si>
  <si>
    <r>
      <rPr>
        <b/>
        <sz val="10"/>
        <rFont val="宋体"/>
        <family val="3"/>
        <charset val="134"/>
      </rPr>
      <t>银行询证函索引号</t>
    </r>
    <phoneticPr fontId="4" type="noConversion"/>
  </si>
  <si>
    <r>
      <rPr>
        <b/>
        <sz val="10"/>
        <rFont val="宋体"/>
        <family val="3"/>
        <charset val="134"/>
      </rPr>
      <t>受限金额</t>
    </r>
    <phoneticPr fontId="4" type="noConversion"/>
  </si>
  <si>
    <r>
      <rPr>
        <b/>
        <sz val="10"/>
        <rFont val="宋体"/>
        <family val="3"/>
        <charset val="134"/>
      </rPr>
      <t>受限原因</t>
    </r>
    <phoneticPr fontId="4" type="noConversion"/>
  </si>
  <si>
    <r>
      <rPr>
        <b/>
        <sz val="10"/>
        <rFont val="宋体"/>
        <family val="3"/>
        <charset val="134"/>
      </rPr>
      <t>备注</t>
    </r>
    <r>
      <rPr>
        <b/>
        <sz val="10"/>
        <color rgb="FF0000FF"/>
        <rFont val="宋体"/>
        <family val="3"/>
        <charset val="134"/>
      </rPr>
      <t>（财务公司、境外、资金池等）</t>
    </r>
    <phoneticPr fontId="4" type="noConversion"/>
  </si>
  <si>
    <r>
      <rPr>
        <b/>
        <sz val="10"/>
        <rFont val="宋体"/>
        <family val="3"/>
        <charset val="134"/>
      </rPr>
      <t>汇率</t>
    </r>
    <phoneticPr fontId="4" type="noConversion"/>
  </si>
  <si>
    <r>
      <rPr>
        <b/>
        <sz val="10"/>
        <rFont val="宋体"/>
        <family val="3"/>
        <charset val="134"/>
      </rPr>
      <t>期初余额</t>
    </r>
    <r>
      <rPr>
        <b/>
        <sz val="10"/>
        <rFont val="Arial Narrow"/>
        <family val="2"/>
      </rPr>
      <t>(</t>
    </r>
    <r>
      <rPr>
        <b/>
        <sz val="10"/>
        <rFont val="宋体"/>
        <family val="3"/>
        <charset val="134"/>
      </rPr>
      <t>原币</t>
    </r>
    <r>
      <rPr>
        <b/>
        <sz val="10"/>
        <rFont val="Arial Narrow"/>
        <family val="2"/>
      </rPr>
      <t>)</t>
    </r>
    <phoneticPr fontId="4" type="noConversion"/>
  </si>
  <si>
    <r>
      <rPr>
        <b/>
        <sz val="10"/>
        <rFont val="宋体"/>
        <family val="3"/>
        <charset val="134"/>
      </rPr>
      <t>本期增加</t>
    </r>
    <r>
      <rPr>
        <b/>
        <sz val="10"/>
        <rFont val="Arial Narrow"/>
        <family val="2"/>
      </rPr>
      <t>(</t>
    </r>
    <r>
      <rPr>
        <b/>
        <sz val="10"/>
        <rFont val="宋体"/>
        <family val="3"/>
        <charset val="134"/>
      </rPr>
      <t>原币</t>
    </r>
    <r>
      <rPr>
        <b/>
        <sz val="10"/>
        <rFont val="Arial Narrow"/>
        <family val="2"/>
      </rPr>
      <t>)</t>
    </r>
    <phoneticPr fontId="4" type="noConversion"/>
  </si>
  <si>
    <r>
      <rPr>
        <b/>
        <sz val="10"/>
        <rFont val="宋体"/>
        <family val="3"/>
        <charset val="134"/>
      </rPr>
      <t>本期减少</t>
    </r>
    <r>
      <rPr>
        <b/>
        <sz val="10"/>
        <rFont val="Arial Narrow"/>
        <family val="2"/>
      </rPr>
      <t>(</t>
    </r>
    <r>
      <rPr>
        <b/>
        <sz val="10"/>
        <rFont val="宋体"/>
        <family val="3"/>
        <charset val="134"/>
      </rPr>
      <t>原币</t>
    </r>
    <r>
      <rPr>
        <b/>
        <sz val="10"/>
        <rFont val="Arial Narrow"/>
        <family val="2"/>
      </rPr>
      <t>)</t>
    </r>
    <phoneticPr fontId="4" type="noConversion"/>
  </si>
  <si>
    <r>
      <rPr>
        <b/>
        <sz val="10"/>
        <rFont val="宋体"/>
        <family val="3"/>
        <charset val="134"/>
      </rPr>
      <t>期末余额</t>
    </r>
    <r>
      <rPr>
        <b/>
        <sz val="10"/>
        <rFont val="Arial Narrow"/>
        <family val="2"/>
      </rPr>
      <t>(</t>
    </r>
    <r>
      <rPr>
        <b/>
        <sz val="10"/>
        <rFont val="宋体"/>
        <family val="3"/>
        <charset val="134"/>
      </rPr>
      <t>原币</t>
    </r>
    <r>
      <rPr>
        <b/>
        <sz val="10"/>
        <rFont val="Arial Narrow"/>
        <family val="2"/>
      </rPr>
      <t>)</t>
    </r>
    <phoneticPr fontId="4" type="noConversion"/>
  </si>
  <si>
    <r>
      <rPr>
        <b/>
        <sz val="10"/>
        <rFont val="宋体"/>
        <family val="3"/>
        <charset val="134"/>
      </rPr>
      <t>期末余额</t>
    </r>
    <r>
      <rPr>
        <b/>
        <sz val="10"/>
        <rFont val="Arial Narrow"/>
        <family val="2"/>
      </rPr>
      <t>(</t>
    </r>
    <r>
      <rPr>
        <b/>
        <sz val="10"/>
        <rFont val="宋体"/>
        <family val="3"/>
        <charset val="134"/>
      </rPr>
      <t>本位币</t>
    </r>
    <r>
      <rPr>
        <b/>
        <sz val="10"/>
        <rFont val="Arial Narrow"/>
        <family val="2"/>
      </rPr>
      <t>)</t>
    </r>
    <phoneticPr fontId="4" type="noConversion"/>
  </si>
  <si>
    <r>
      <rPr>
        <b/>
        <sz val="10"/>
        <rFont val="宋体"/>
        <family val="3"/>
        <charset val="134"/>
      </rPr>
      <t>账项调整（原币）</t>
    </r>
    <phoneticPr fontId="4" type="noConversion"/>
  </si>
  <si>
    <r>
      <rPr>
        <b/>
        <sz val="10"/>
        <rFont val="宋体"/>
        <family val="3"/>
        <charset val="134"/>
      </rPr>
      <t>期末审定数（原币）</t>
    </r>
    <phoneticPr fontId="4" type="noConversion"/>
  </si>
  <si>
    <r>
      <rPr>
        <b/>
        <sz val="10"/>
        <rFont val="宋体"/>
        <family val="3"/>
        <charset val="134"/>
      </rPr>
      <t>期末审定数（人民币）</t>
    </r>
    <phoneticPr fontId="4" type="noConversion"/>
  </si>
  <si>
    <r>
      <rPr>
        <b/>
        <sz val="10"/>
        <rFont val="宋体"/>
        <family val="3"/>
        <charset val="134"/>
      </rPr>
      <t>银行询证函索引号</t>
    </r>
  </si>
  <si>
    <r>
      <rPr>
        <sz val="10"/>
        <rFont val="宋体"/>
        <family val="3"/>
        <charset val="134"/>
      </rPr>
      <t>索引：</t>
    </r>
    <phoneticPr fontId="4" type="noConversion"/>
  </si>
  <si>
    <r>
      <rPr>
        <sz val="10"/>
        <rFont val="宋体"/>
        <family val="3"/>
        <charset val="134"/>
      </rPr>
      <t>页次：</t>
    </r>
    <phoneticPr fontId="1" type="noConversion"/>
  </si>
  <si>
    <r>
      <rPr>
        <b/>
        <sz val="10"/>
        <color indexed="8"/>
        <rFont val="宋体"/>
        <family val="3"/>
        <charset val="134"/>
      </rPr>
      <t>调整事项说明</t>
    </r>
    <phoneticPr fontId="4"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</si>
  <si>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4" type="noConversion"/>
  </si>
  <si>
    <r>
      <rPr>
        <b/>
        <sz val="10"/>
        <rFont val="宋体"/>
        <family val="3"/>
        <charset val="134"/>
      </rPr>
      <t>报表项目</t>
    </r>
    <phoneticPr fontId="4" type="noConversion"/>
  </si>
  <si>
    <r>
      <rPr>
        <b/>
        <sz val="10"/>
        <rFont val="宋体"/>
        <family val="3"/>
        <charset val="134"/>
      </rPr>
      <t>科目名称</t>
    </r>
    <phoneticPr fontId="4" type="noConversion"/>
  </si>
  <si>
    <r>
      <rPr>
        <b/>
        <sz val="10"/>
        <rFont val="宋体"/>
        <family val="3"/>
        <charset val="134"/>
      </rPr>
      <t>附注项目</t>
    </r>
    <phoneticPr fontId="4" type="noConversion"/>
  </si>
  <si>
    <r>
      <rPr>
        <b/>
        <sz val="10"/>
        <rFont val="宋体"/>
        <family val="3"/>
        <charset val="134"/>
      </rPr>
      <t>借方调整金额</t>
    </r>
    <phoneticPr fontId="4" type="noConversion"/>
  </si>
  <si>
    <r>
      <rPr>
        <b/>
        <sz val="10"/>
        <rFont val="宋体"/>
        <family val="3"/>
        <charset val="134"/>
      </rPr>
      <t>贷方调整金额</t>
    </r>
    <phoneticPr fontId="4" type="noConversion"/>
  </si>
  <si>
    <r>
      <rPr>
        <b/>
        <sz val="10"/>
        <rFont val="宋体"/>
        <family val="3"/>
        <charset val="134"/>
      </rPr>
      <t>索引</t>
    </r>
    <phoneticPr fontId="4" type="noConversion"/>
  </si>
  <si>
    <r>
      <rPr>
        <sz val="12"/>
        <color indexed="12"/>
        <rFont val="宋体"/>
        <family val="3"/>
        <charset val="134"/>
      </rPr>
      <t>【注：本底稿适用于调整分录较多、较复杂的项目，且仅列示与本报表项目相关的审计调整。项目组可根据项目实际情况选择是否使用该底稿。】</t>
    </r>
    <phoneticPr fontId="4" type="noConversion"/>
  </si>
  <si>
    <t>库存现金（人民币）盘点核对表</t>
    <phoneticPr fontId="4" type="noConversion"/>
  </si>
  <si>
    <r>
      <rPr>
        <sz val="10"/>
        <rFont val="宋体"/>
        <family val="3"/>
        <charset val="134"/>
      </rPr>
      <t>索引号：</t>
    </r>
    <phoneticPr fontId="44" type="noConversion"/>
  </si>
  <si>
    <r>
      <rPr>
        <b/>
        <sz val="10"/>
        <rFont val="宋体"/>
        <family val="3"/>
        <charset val="134"/>
      </rPr>
      <t>人民币余额</t>
    </r>
    <phoneticPr fontId="4" type="noConversion"/>
  </si>
  <si>
    <r>
      <rPr>
        <b/>
        <sz val="10"/>
        <rFont val="宋体"/>
        <family val="3"/>
        <charset val="134"/>
      </rPr>
      <t>项目</t>
    </r>
  </si>
  <si>
    <r>
      <rPr>
        <b/>
        <sz val="10"/>
        <rFont val="宋体"/>
        <family val="3"/>
        <charset val="134"/>
      </rPr>
      <t>金额</t>
    </r>
  </si>
  <si>
    <r>
      <rPr>
        <sz val="10"/>
        <rFont val="宋体"/>
        <family val="3"/>
        <charset val="134"/>
      </rPr>
      <t>加：报表日至盘点日的上一日累计收入数</t>
    </r>
    <phoneticPr fontId="4" type="noConversion"/>
  </si>
  <si>
    <r>
      <rPr>
        <sz val="10"/>
        <rFont val="宋体"/>
        <family val="3"/>
        <charset val="134"/>
      </rPr>
      <t>加：收入凭证未记账数</t>
    </r>
    <phoneticPr fontId="4" type="noConversion"/>
  </si>
  <si>
    <r>
      <rPr>
        <sz val="10"/>
        <rFont val="宋体"/>
        <family val="3"/>
        <charset val="134"/>
      </rPr>
      <t>减：支出凭证未记账数</t>
    </r>
    <phoneticPr fontId="4" type="noConversion"/>
  </si>
  <si>
    <r>
      <rPr>
        <sz val="10"/>
        <rFont val="宋体"/>
        <family val="3"/>
        <charset val="134"/>
      </rPr>
      <t>加：未做记账凭证的收入数</t>
    </r>
    <phoneticPr fontId="4" type="noConversion"/>
  </si>
  <si>
    <r>
      <rPr>
        <sz val="10"/>
        <rFont val="宋体"/>
        <family val="3"/>
        <charset val="134"/>
      </rPr>
      <t>减：未做记账凭证的支出数</t>
    </r>
    <phoneticPr fontId="4" type="noConversion"/>
  </si>
  <si>
    <r>
      <rPr>
        <sz val="10"/>
        <rFont val="宋体"/>
        <family val="3"/>
        <charset val="134"/>
      </rPr>
      <t>长款</t>
    </r>
  </si>
  <si>
    <r>
      <rPr>
        <sz val="10"/>
        <rFont val="宋体"/>
        <family val="3"/>
        <charset val="134"/>
      </rPr>
      <t>短款</t>
    </r>
  </si>
  <si>
    <r>
      <rPr>
        <b/>
        <sz val="10"/>
        <rFont val="宋体"/>
        <family val="3"/>
        <charset val="134"/>
      </rPr>
      <t>合计</t>
    </r>
  </si>
  <si>
    <r>
      <rPr>
        <sz val="10"/>
        <rFont val="宋体"/>
        <family val="3"/>
        <charset val="134"/>
      </rPr>
      <t>出纳：</t>
    </r>
  </si>
  <si>
    <r>
      <t>库存现金（</t>
    </r>
    <r>
      <rPr>
        <b/>
        <sz val="14"/>
        <color rgb="FFFF0000"/>
        <rFont val="宋体"/>
        <family val="3"/>
        <charset val="134"/>
      </rPr>
      <t>外币</t>
    </r>
    <r>
      <rPr>
        <b/>
        <sz val="14"/>
        <rFont val="宋体"/>
        <family val="3"/>
        <charset val="134"/>
      </rPr>
      <t>）盘点核对表</t>
    </r>
    <phoneticPr fontId="4" type="noConversion"/>
  </si>
  <si>
    <r>
      <t>1.</t>
    </r>
    <r>
      <rPr>
        <sz val="10"/>
        <rFont val="宋体"/>
        <family val="3"/>
        <charset val="134"/>
      </rPr>
      <t>选取要盘点的资金地点（如：包括存放地点、较大余额、经营过程当中组成部分等）在出纳在场的情况下监盘所选定的现金，对现金盘点的全过程执行控制，直到盘点结束。</t>
    </r>
    <phoneticPr fontId="1" type="noConversion"/>
  </si>
  <si>
    <r>
      <t>2.</t>
    </r>
    <r>
      <rPr>
        <sz val="10"/>
        <rFont val="宋体"/>
        <family val="3"/>
        <charset val="134"/>
      </rPr>
      <t>列出冲抵库存现金的借条的日期、付款人和金额的清单；列出未做报销的费用凭证的日期、领款人和金额的清单。</t>
    </r>
    <r>
      <rPr>
        <sz val="10"/>
        <rFont val="Arial Narrow"/>
        <family val="2"/>
      </rPr>
      <t xml:space="preserve"> </t>
    </r>
    <phoneticPr fontId="1" type="noConversion"/>
  </si>
  <si>
    <r>
      <rPr>
        <sz val="10"/>
        <rFont val="宋体"/>
        <family val="3"/>
        <charset val="134"/>
      </rPr>
      <t>报表日美元账面余额</t>
    </r>
  </si>
  <si>
    <r>
      <rPr>
        <sz val="10"/>
        <rFont val="宋体"/>
        <family val="3"/>
        <charset val="134"/>
      </rPr>
      <t>报表日美元应有余额</t>
    </r>
  </si>
  <si>
    <r>
      <rPr>
        <sz val="10"/>
        <rFont val="宋体"/>
        <family val="3"/>
        <charset val="134"/>
      </rPr>
      <t>差异（汇兑损益）</t>
    </r>
    <phoneticPr fontId="4" type="noConversion"/>
  </si>
  <si>
    <t>银行存单盘点表</t>
    <phoneticPr fontId="4" type="noConversion"/>
  </si>
  <si>
    <r>
      <rPr>
        <b/>
        <sz val="10"/>
        <rFont val="宋体"/>
        <family val="3"/>
        <charset val="134"/>
      </rPr>
      <t>银行存单原件记载（或开户证明、银行代保管证明等）</t>
    </r>
    <phoneticPr fontId="1" type="noConversion"/>
  </si>
  <si>
    <r>
      <rPr>
        <b/>
        <sz val="10"/>
        <rFont val="宋体"/>
        <family val="3"/>
        <charset val="134"/>
      </rPr>
      <t>是否与账面记录核对一致</t>
    </r>
    <phoneticPr fontId="1" type="noConversion"/>
  </si>
  <si>
    <r>
      <rPr>
        <b/>
        <sz val="10"/>
        <rFont val="宋体"/>
        <family val="3"/>
        <charset val="134"/>
      </rPr>
      <t>不一致的情况描述</t>
    </r>
    <phoneticPr fontId="1" type="noConversion"/>
  </si>
  <si>
    <r>
      <rPr>
        <b/>
        <sz val="10"/>
        <rFont val="宋体"/>
        <family val="3"/>
        <charset val="134"/>
      </rPr>
      <t>是否抵押、质押受限</t>
    </r>
    <phoneticPr fontId="1" type="noConversion"/>
  </si>
  <si>
    <r>
      <rPr>
        <b/>
        <sz val="10"/>
        <rFont val="宋体"/>
        <family val="3"/>
        <charset val="134"/>
      </rPr>
      <t>银行存单原件索引号</t>
    </r>
    <phoneticPr fontId="1" type="noConversion"/>
  </si>
  <si>
    <r>
      <rPr>
        <b/>
        <sz val="10"/>
        <rFont val="宋体"/>
        <family val="3"/>
        <charset val="134"/>
      </rPr>
      <t>开户证明索引号</t>
    </r>
    <phoneticPr fontId="1" type="noConversion"/>
  </si>
  <si>
    <r>
      <rPr>
        <b/>
        <sz val="10"/>
        <rFont val="宋体"/>
        <family val="3"/>
        <charset val="134"/>
      </rPr>
      <t>银行代保管证明索引号</t>
    </r>
    <phoneticPr fontId="1" type="noConversion"/>
  </si>
  <si>
    <r>
      <rPr>
        <b/>
        <sz val="10"/>
        <rFont val="宋体"/>
        <family val="3"/>
        <charset val="134"/>
      </rPr>
      <t>金额</t>
    </r>
    <phoneticPr fontId="1" type="noConversion"/>
  </si>
  <si>
    <r>
      <rPr>
        <b/>
        <sz val="10"/>
        <rFont val="宋体"/>
        <family val="3"/>
        <charset val="134"/>
      </rPr>
      <t>二、审计程：</t>
    </r>
    <phoneticPr fontId="4" type="noConversion"/>
  </si>
  <si>
    <r>
      <rPr>
        <b/>
        <sz val="10"/>
        <color theme="1"/>
        <rFont val="宋体"/>
        <family val="3"/>
        <charset val="134"/>
      </rPr>
      <t>（一）已开立银行结算账户清单与账面核对：</t>
    </r>
    <phoneticPr fontId="1" type="noConversion"/>
  </si>
  <si>
    <r>
      <t>1.</t>
    </r>
    <r>
      <rPr>
        <sz val="10"/>
        <color rgb="FFFF0000"/>
        <rFont val="宋体"/>
        <family val="3"/>
        <charset val="134"/>
      </rPr>
      <t>监盘开户证实书或定期存单（若无法获取，则应获取其他相关支持文件，比如质押回单等），编制银行存单盘点表，检查是否与账面记录金额一致；核对存款人、账号、期间、截止日、计息等是否与客户记录相符；是否抵押或限制使用。</t>
    </r>
    <phoneticPr fontId="1" type="noConversion"/>
  </si>
  <si>
    <r>
      <t>2.</t>
    </r>
    <r>
      <rPr>
        <sz val="10"/>
        <color rgb="FFFF0000"/>
        <rFont val="宋体"/>
        <family val="3"/>
        <charset val="134"/>
      </rPr>
      <t>对未质押的定期存款，检查开户证明原件，核对存款人、金额、期限等信息；对已质押的定期存款，检查定期存单复印件，并与对应的质押合同核对；对质押事项逾期的，重点关注相关质权是否已被行使。</t>
    </r>
    <phoneticPr fontId="1" type="noConversion"/>
  </si>
  <si>
    <r>
      <rPr>
        <b/>
        <sz val="10"/>
        <rFont val="宋体"/>
        <family val="3"/>
        <charset val="134"/>
      </rPr>
      <t>审计调整</t>
    </r>
    <r>
      <rPr>
        <b/>
        <sz val="10"/>
        <rFont val="Arial Narrow"/>
        <family val="2"/>
      </rPr>
      <t>-</t>
    </r>
    <r>
      <rPr>
        <b/>
        <sz val="10"/>
        <rFont val="宋体"/>
        <family val="3"/>
        <charset val="134"/>
      </rPr>
      <t>原币（调减为负数）</t>
    </r>
    <phoneticPr fontId="1" type="noConversion"/>
  </si>
  <si>
    <r>
      <rPr>
        <sz val="10"/>
        <color indexed="12"/>
        <rFont val="宋体"/>
        <family val="3"/>
        <charset val="134"/>
      </rPr>
      <t>项目组根据项目风险进行判断，针对首次承接、</t>
    </r>
    <r>
      <rPr>
        <sz val="10"/>
        <color indexed="12"/>
        <rFont val="Arial Narrow"/>
        <family val="2"/>
      </rPr>
      <t>IPO/</t>
    </r>
    <r>
      <rPr>
        <sz val="10"/>
        <color indexed="12"/>
        <rFont val="宋体"/>
        <family val="3"/>
        <charset val="134"/>
      </rPr>
      <t>上市公司</t>
    </r>
    <r>
      <rPr>
        <sz val="10"/>
        <color indexed="12"/>
        <rFont val="Arial Narrow"/>
        <family val="2"/>
      </rPr>
      <t>/</t>
    </r>
    <r>
      <rPr>
        <sz val="10"/>
        <color indexed="12"/>
        <rFont val="宋体"/>
        <family val="3"/>
        <charset val="134"/>
      </rPr>
      <t>新三板</t>
    </r>
    <r>
      <rPr>
        <sz val="10"/>
        <color indexed="12"/>
        <rFont val="Arial Narrow"/>
        <family val="2"/>
      </rPr>
      <t>/</t>
    </r>
    <r>
      <rPr>
        <sz val="10"/>
        <color indexed="12"/>
        <rFont val="宋体"/>
        <family val="3"/>
        <charset val="134"/>
      </rPr>
      <t>再融资</t>
    </r>
    <r>
      <rPr>
        <sz val="10"/>
        <color indexed="12"/>
        <rFont val="Arial Narrow"/>
        <family val="2"/>
      </rPr>
      <t>/</t>
    </r>
    <r>
      <rPr>
        <sz val="10"/>
        <color indexed="12"/>
        <rFont val="宋体"/>
        <family val="3"/>
        <charset val="134"/>
      </rPr>
      <t>存在舞弊风险的项目，如果有外币账户或境外开户，需取得银行账户情况承诺；其他项目可以由项目合伙人判断确定执行的方式，例如在管理层声明书中增加条款或账户清单作为附件等。</t>
    </r>
    <phoneticPr fontId="1" type="noConversion"/>
  </si>
  <si>
    <t>提示：</t>
    <phoneticPr fontId="4" type="noConversion"/>
  </si>
  <si>
    <t>北京</t>
    <phoneticPr fontId="4" type="noConversion"/>
  </si>
  <si>
    <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4"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</si>
  <si>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4" type="noConversion"/>
  </si>
  <si>
    <t>1.本科目核算企业的库存现金。企业有内部周转使用备用金的，可以单独设置“备用金”科目。</t>
  </si>
  <si>
    <t>2.若公司仅有一种币种的现金，可不填列本表（用盘点表代替）。</t>
  </si>
  <si>
    <t>3.期初余额应与上年末审定数一致。</t>
  </si>
  <si>
    <t>无需打印</t>
    <phoneticPr fontId="4" type="noConversion"/>
  </si>
  <si>
    <r>
      <t xml:space="preserve">        </t>
    </r>
    <r>
      <rPr>
        <sz val="10"/>
        <color theme="1"/>
        <rFont val="宋体"/>
        <family val="3"/>
        <charset val="134"/>
      </rPr>
      <t>本公司（</t>
    </r>
    <r>
      <rPr>
        <sz val="10"/>
        <color theme="1"/>
        <rFont val="Arial Narrow"/>
        <family val="2"/>
      </rPr>
      <t>XXX</t>
    </r>
    <r>
      <rPr>
        <sz val="10"/>
        <color theme="1"/>
        <rFont val="宋体"/>
        <family val="3"/>
        <charset val="134"/>
      </rPr>
      <t>公司）截止</t>
    </r>
    <r>
      <rPr>
        <sz val="10"/>
        <color theme="1"/>
        <rFont val="Arial Narrow"/>
        <family val="2"/>
      </rPr>
      <t>20XX</t>
    </r>
    <r>
      <rPr>
        <sz val="10"/>
        <color theme="1"/>
        <rFont val="宋体"/>
        <family val="3"/>
        <charset val="134"/>
      </rPr>
      <t>年</t>
    </r>
    <r>
      <rPr>
        <sz val="10"/>
        <color theme="1"/>
        <rFont val="Arial Narrow"/>
        <family val="2"/>
      </rPr>
      <t>X</t>
    </r>
    <r>
      <rPr>
        <sz val="10"/>
        <color theme="1"/>
        <rFont val="宋体"/>
        <family val="3"/>
        <charset val="134"/>
      </rPr>
      <t>月</t>
    </r>
    <r>
      <rPr>
        <sz val="10"/>
        <color theme="1"/>
        <rFont val="Arial Narrow"/>
        <family val="2"/>
      </rPr>
      <t>X</t>
    </r>
    <r>
      <rPr>
        <sz val="10"/>
        <color theme="1"/>
        <rFont val="宋体"/>
        <family val="3"/>
        <charset val="134"/>
      </rPr>
      <t>日只在一家银行开立基本账户，所有银行账户记录均已反映在提供给贵公司的账簿中，本公司无账外账户存在，</t>
    </r>
    <r>
      <rPr>
        <sz val="10"/>
        <color theme="1"/>
        <rFont val="宋体"/>
        <family val="2"/>
        <charset val="134"/>
      </rPr>
      <t>也不存在借用其他公司账户使用及将本公司银行账户借与他人使用的情况。</t>
    </r>
    <phoneticPr fontId="1" type="noConversion"/>
  </si>
  <si>
    <t>√</t>
    <phoneticPr fontId="4" type="noConversion"/>
  </si>
  <si>
    <t>√</t>
    <phoneticPr fontId="4" type="noConversion"/>
  </si>
  <si>
    <t>财务报表的认定　</t>
  </si>
  <si>
    <t>权利和义务</t>
    <phoneticPr fontId="4" type="noConversion"/>
  </si>
  <si>
    <t>常规★</t>
    <phoneticPr fontId="1" type="noConversion"/>
  </si>
  <si>
    <t>序号</t>
    <phoneticPr fontId="4" type="noConversion"/>
  </si>
  <si>
    <t>财务报表的认定</t>
    <phoneticPr fontId="4" type="noConversion"/>
  </si>
  <si>
    <t>程序分类</t>
    <phoneticPr fontId="4" type="noConversion"/>
  </si>
  <si>
    <r>
      <t>E.</t>
    </r>
    <r>
      <rPr>
        <sz val="10"/>
        <rFont val="宋体"/>
        <family val="3"/>
        <charset val="134"/>
      </rPr>
      <t>货币资金已被恰当地汇总或分解且表述清楚，相关披露在按照企业会计准则的编制基础下是相关的、可理解的</t>
    </r>
    <phoneticPr fontId="4" type="noConversion"/>
  </si>
  <si>
    <t>E1A</t>
    <phoneticPr fontId="1" type="noConversion"/>
  </si>
  <si>
    <r>
      <rPr>
        <b/>
        <sz val="10"/>
        <rFont val="宋体"/>
        <family val="3"/>
        <charset val="134"/>
      </rPr>
      <t>二、审计目标与认定对应关系</t>
    </r>
    <phoneticPr fontId="4" type="noConversion"/>
  </si>
  <si>
    <t>致同会计师事务所</t>
    <phoneticPr fontId="1" type="noConversion"/>
  </si>
  <si>
    <r>
      <rPr>
        <sz val="10"/>
        <rFont val="宋体"/>
        <family val="3"/>
        <charset val="134"/>
      </rPr>
      <t>页</t>
    </r>
    <r>
      <rPr>
        <sz val="10"/>
        <rFont val="Arial Narrow"/>
        <family val="2"/>
      </rPr>
      <t xml:space="preserve">  </t>
    </r>
    <r>
      <rPr>
        <sz val="10"/>
        <rFont val="宋体"/>
        <family val="3"/>
        <charset val="134"/>
      </rPr>
      <t>次：</t>
    </r>
    <phoneticPr fontId="1" type="noConversion"/>
  </si>
  <si>
    <t>货币资金</t>
    <phoneticPr fontId="1" type="noConversion"/>
  </si>
  <si>
    <t>一、本账户涉及的科目</t>
    <phoneticPr fontId="4" type="noConversion"/>
  </si>
  <si>
    <r>
      <t>A.</t>
    </r>
    <r>
      <rPr>
        <sz val="10"/>
        <rFont val="宋体"/>
        <family val="3"/>
        <charset val="134"/>
      </rPr>
      <t>资产负债表中记录的货币资金是存在的，且已记录于恰当的账户</t>
    </r>
    <phoneticPr fontId="4" type="noConversion"/>
  </si>
  <si>
    <t>库存现金</t>
    <phoneticPr fontId="1"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</si>
  <si>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1"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</si>
  <si>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1"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</si>
  <si>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1" type="noConversion"/>
  </si>
  <si>
    <t>备选</t>
    <phoneticPr fontId="1" type="noConversion"/>
  </si>
  <si>
    <t>E1-1
/E1-2
/E1-3
//E1-4</t>
    <phoneticPr fontId="1" type="noConversion"/>
  </si>
  <si>
    <t>√</t>
    <phoneticPr fontId="4" type="noConversion"/>
  </si>
  <si>
    <t>√</t>
    <phoneticPr fontId="4" type="noConversion"/>
  </si>
  <si>
    <t>分析货币资金构成及重要指标：
(1)分析货币资金、其他货币资金构成，结构比以及变动情况，了解被审计单位融资政策等，分析其变动原因；
(2)分析银行存款在总资产比重、定期存款占货币资金比重等重要指标的本期与前期变化情况；
(3)分析货币资金余额、定期存款余额占贷款余额的比例，关注是否存在存贷双高异常情况；</t>
    <phoneticPr fontId="1" type="noConversion"/>
  </si>
  <si>
    <t>1</t>
    <phoneticPr fontId="1" type="noConversion"/>
  </si>
  <si>
    <r>
      <t>2.</t>
    </r>
    <r>
      <rPr>
        <sz val="10"/>
        <color rgb="FFFF0000"/>
        <rFont val="宋体"/>
        <family val="3"/>
        <charset val="134"/>
      </rPr>
      <t>在底稿中记录不对银行存款（包括零余额账户和在本期内注销的账户）、借款及与金融机构往来的其他重要信息实施函证程序的理由。（审计准则规定的可以不执行银行函证程序的理由是：银行存款、借款及与金融机构</t>
    </r>
    <phoneticPr fontId="1" type="noConversion"/>
  </si>
  <si>
    <t>往来的其他重要信息对财务报表不重要且与之相关的重大错报风险很低。）</t>
    <phoneticPr fontId="1" type="noConversion"/>
  </si>
  <si>
    <r>
      <t>1.</t>
    </r>
    <r>
      <rPr>
        <sz val="10"/>
        <color rgb="FFFF0000"/>
        <rFont val="宋体"/>
        <family val="3"/>
        <charset val="134"/>
      </rPr>
      <t>如果直接从网银中获取的对账单应记录获取过程</t>
    </r>
    <phoneticPr fontId="1" type="noConversion"/>
  </si>
  <si>
    <r>
      <t>1.</t>
    </r>
    <r>
      <rPr>
        <sz val="10"/>
        <color rgb="FF0000FF"/>
        <rFont val="宋体"/>
        <family val="3"/>
        <charset val="134"/>
      </rPr>
      <t>本科目核算企业存入银行或其他金融机构的各种款项；核算内容不包括不保本浮动收益型的结构性存款以及保本浮动收益的结构性存款（浮动收益并非不现实的）等理财产品；作为银行存款核算的款项一般必须有存单。</t>
    </r>
    <phoneticPr fontId="1" type="noConversion"/>
  </si>
  <si>
    <r>
      <t>1</t>
    </r>
    <r>
      <rPr>
        <sz val="10"/>
        <rFont val="宋体"/>
        <family val="3"/>
        <charset val="134"/>
      </rPr>
      <t>、资产负债表中记录的银行存款是存在的，且已经记录在恰当的账户中；</t>
    </r>
    <r>
      <rPr>
        <sz val="10"/>
        <rFont val="Arial Narrow"/>
        <family val="2"/>
      </rPr>
      <t xml:space="preserve">           2</t>
    </r>
    <r>
      <rPr>
        <sz val="10"/>
        <rFont val="宋体"/>
        <family val="3"/>
        <charset val="134"/>
      </rPr>
      <t xml:space="preserve">、所有应记录的银行存款均已记录，所有应当包括在财务报表中的相关披露均已包括；
</t>
    </r>
    <r>
      <rPr>
        <sz val="10"/>
        <rFont val="Arial Narrow"/>
        <family val="2"/>
      </rPr>
      <t>3</t>
    </r>
    <r>
      <rPr>
        <sz val="10"/>
        <rFont val="宋体"/>
        <family val="3"/>
        <charset val="134"/>
      </rPr>
      <t>、银行存款以恰当的金额包括在财务报表中，与之相关的计价或分摊调整已恰当记录，相关披露已得到恰当计量和描述</t>
    </r>
    <r>
      <rPr>
        <sz val="10"/>
        <rFont val="Arial Narrow"/>
        <family val="2"/>
      </rPr>
      <t xml:space="preserve"> </t>
    </r>
    <phoneticPr fontId="1" type="noConversion"/>
  </si>
  <si>
    <r>
      <t>1</t>
    </r>
    <r>
      <rPr>
        <sz val="10"/>
        <rFont val="宋体"/>
        <family val="3"/>
        <charset val="134"/>
      </rPr>
      <t>、资产负债表中记录的银行存款是存在的，且已经记录在恰当的账户中；</t>
    </r>
    <r>
      <rPr>
        <sz val="10"/>
        <rFont val="Arial Narrow"/>
        <family val="2"/>
      </rPr>
      <t>2</t>
    </r>
    <r>
      <rPr>
        <sz val="10"/>
        <rFont val="宋体"/>
        <family val="3"/>
        <charset val="134"/>
      </rPr>
      <t xml:space="preserve">、所有应记录的银行存款均已记录，所有应当包括在财务报表中的相关披露均已包括；
</t>
    </r>
    <r>
      <rPr>
        <sz val="10"/>
        <rFont val="Arial Narrow"/>
        <family val="2"/>
      </rPr>
      <t>3</t>
    </r>
    <r>
      <rPr>
        <sz val="10"/>
        <rFont val="宋体"/>
        <family val="3"/>
        <charset val="134"/>
      </rPr>
      <t>、银行存款以恰当的金额包括在财务报表中，与之相关的计价或分摊调整已恰当记录，相关披露已得到恰当计量和描述</t>
    </r>
    <r>
      <rPr>
        <sz val="10"/>
        <rFont val="Arial Narrow"/>
        <family val="2"/>
      </rPr>
      <t xml:space="preserve"> </t>
    </r>
    <phoneticPr fontId="1" type="noConversion"/>
  </si>
  <si>
    <r>
      <t>1.</t>
    </r>
    <r>
      <rPr>
        <sz val="10"/>
        <rFont val="宋体"/>
        <family val="3"/>
        <charset val="134"/>
      </rPr>
      <t>资产负债表中记录的数字货币是存在的，且已经记录在恰当的账户中；</t>
    </r>
    <r>
      <rPr>
        <sz val="10"/>
        <rFont val="Arial Narrow"/>
        <family val="2"/>
      </rPr>
      <t>2.</t>
    </r>
    <r>
      <rPr>
        <sz val="10"/>
        <rFont val="宋体"/>
        <family val="3"/>
        <charset val="134"/>
      </rPr>
      <t>所有应记录的数字货币均已记录，所有应当包括在财务报表中的相关披露均已包括；</t>
    </r>
    <r>
      <rPr>
        <sz val="10"/>
        <rFont val="Arial Narrow"/>
        <family val="2"/>
      </rPr>
      <t/>
    </r>
    <phoneticPr fontId="4" type="noConversion"/>
  </si>
  <si>
    <r>
      <t>3.</t>
    </r>
    <r>
      <rPr>
        <sz val="10"/>
        <rFont val="宋体"/>
        <family val="3"/>
        <charset val="134"/>
      </rPr>
      <t>数字货币以恰当的金额包括在财务报表中，与之相关的计价或分摊调整已恰当记录，相关披露已得到恰当计量和描述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4" type="noConversion"/>
  </si>
  <si>
    <t>期末银行查询余额</t>
    <phoneticPr fontId="4" type="noConversion"/>
  </si>
  <si>
    <t>期末账面余额与银行查询余额的差异</t>
    <phoneticPr fontId="4" type="noConversion"/>
  </si>
  <si>
    <t>银行余额索引号</t>
    <phoneticPr fontId="4" type="noConversion"/>
  </si>
  <si>
    <r>
      <t>1.</t>
    </r>
    <r>
      <rPr>
        <sz val="10"/>
        <rFont val="宋体"/>
        <family val="3"/>
        <charset val="134"/>
      </rPr>
      <t>资产负债表中记录的货币资金是存在的，且已记录于恰当的账户；</t>
    </r>
    <r>
      <rPr>
        <sz val="10"/>
        <rFont val="Arial Narrow"/>
        <family val="2"/>
      </rPr>
      <t/>
    </r>
    <phoneticPr fontId="1" type="noConversion"/>
  </si>
  <si>
    <r>
      <t>2.</t>
    </r>
    <r>
      <rPr>
        <sz val="10"/>
        <rFont val="宋体"/>
        <family val="3"/>
        <charset val="134"/>
      </rPr>
      <t>所有应当记录的货币资金均已记录，所有应当包括在财务报表中的相关披露均已包括；</t>
    </r>
    <r>
      <rPr>
        <sz val="10"/>
        <rFont val="Arial Narrow"/>
        <family val="2"/>
      </rPr>
      <t/>
    </r>
    <phoneticPr fontId="1" type="noConversion"/>
  </si>
  <si>
    <r>
      <t>3.</t>
    </r>
    <r>
      <rPr>
        <sz val="10"/>
        <rFont val="宋体"/>
        <family val="3"/>
        <charset val="134"/>
      </rPr>
      <t>记录的货币资金由被审计单位拥有或控制；</t>
    </r>
    <r>
      <rPr>
        <sz val="10"/>
        <rFont val="Arial Narrow"/>
        <family val="2"/>
      </rPr>
      <t/>
    </r>
    <phoneticPr fontId="1" type="noConversion"/>
  </si>
  <si>
    <r>
      <t>4.</t>
    </r>
    <r>
      <rPr>
        <sz val="10"/>
        <rFont val="宋体"/>
        <family val="3"/>
        <charset val="134"/>
      </rPr>
      <t>货币资金以恰当的金额包括在财务报表中，与之相关的计价或分摊调整已恰当记录，相关披露已得到恰当计量和描述。</t>
    </r>
    <phoneticPr fontId="1" type="noConversion"/>
  </si>
  <si>
    <r>
      <t>1.</t>
    </r>
    <r>
      <rPr>
        <sz val="10"/>
        <rFont val="宋体"/>
        <family val="3"/>
        <charset val="134"/>
      </rPr>
      <t>选取要盘点的资金地点（如：包括存放地点、较大余额、经营过程当中组成部分等）在出纳在场的情况下监盘所选定的现金，对现金盘点的全过程执行控制，直到盘点结束。</t>
    </r>
    <phoneticPr fontId="1" type="noConversion"/>
  </si>
  <si>
    <r>
      <t>2.</t>
    </r>
    <r>
      <rPr>
        <sz val="10"/>
        <rFont val="宋体"/>
        <family val="3"/>
        <charset val="134"/>
      </rPr>
      <t>列出冲抵库存现金的借条的日期、付款人和金额的清单；列出未做报销的费用凭证的日期、领款人和金额的清单。</t>
    </r>
    <r>
      <rPr>
        <sz val="10"/>
        <rFont val="Arial Narrow"/>
        <family val="2"/>
      </rPr>
      <t xml:space="preserve"> </t>
    </r>
    <phoneticPr fontId="1" type="noConversion"/>
  </si>
  <si>
    <r>
      <t>3.</t>
    </r>
    <r>
      <rPr>
        <sz val="10"/>
        <rFont val="宋体"/>
        <family val="3"/>
        <charset val="134"/>
      </rPr>
      <t>调查重大或者异常的调节项目；取得由现金出纳、会计主管签字确认的现金盘点表原件。</t>
    </r>
    <phoneticPr fontId="1" type="noConversion"/>
  </si>
  <si>
    <t>提示：</t>
    <phoneticPr fontId="1" type="noConversion"/>
  </si>
  <si>
    <r>
      <t>1.</t>
    </r>
    <r>
      <rPr>
        <sz val="10"/>
        <color indexed="12"/>
        <rFont val="宋体"/>
        <family val="3"/>
        <charset val="134"/>
      </rPr>
      <t>本表可按币种分别填列。</t>
    </r>
    <phoneticPr fontId="4" type="noConversion"/>
  </si>
  <si>
    <r>
      <t>1.</t>
    </r>
    <r>
      <rPr>
        <sz val="10"/>
        <rFont val="宋体"/>
        <family val="3"/>
        <charset val="134"/>
      </rPr>
      <t>资产负债表中记录的货币资金是存在的，且已记录于恰当的账户；</t>
    </r>
    <r>
      <rPr>
        <sz val="10"/>
        <rFont val="Arial Narrow"/>
        <family val="2"/>
      </rPr>
      <t xml:space="preserve">   2.</t>
    </r>
    <r>
      <rPr>
        <sz val="10"/>
        <rFont val="宋体"/>
        <family val="3"/>
        <charset val="134"/>
      </rPr>
      <t>所有应当记录的货币资金均已记录，所有应当包括在财务报表中的相关披露均已包括；</t>
    </r>
    <phoneticPr fontId="1" type="noConversion"/>
  </si>
  <si>
    <r>
      <t>3.</t>
    </r>
    <r>
      <rPr>
        <sz val="10"/>
        <rFont val="宋体"/>
        <family val="3"/>
        <charset val="134"/>
      </rPr>
      <t>记录的货币资金由被审计单位拥有或控制；</t>
    </r>
    <r>
      <rPr>
        <sz val="10"/>
        <rFont val="Arial Narrow"/>
        <family val="2"/>
      </rPr>
      <t xml:space="preserve">   4.</t>
    </r>
    <r>
      <rPr>
        <sz val="10"/>
        <rFont val="宋体"/>
        <family val="3"/>
        <charset val="134"/>
      </rPr>
      <t>货币资金以恰当的金额包括在财务报表中，与之相关的计价或分摊调整已恰当记录，相关披露已得到恰当计量和描述。</t>
    </r>
    <phoneticPr fontId="1" type="noConversion"/>
  </si>
  <si>
    <r>
      <t>3.</t>
    </r>
    <r>
      <rPr>
        <sz val="10"/>
        <color rgb="FFFF0000"/>
        <rFont val="宋体"/>
        <family val="3"/>
        <charset val="134"/>
      </rPr>
      <t>如果监盘的电子存单，应记录现场电子存单的获取过程，包括企业有权限人员登录网银平台查询、下载等操作过程等。</t>
    </r>
    <phoneticPr fontId="1" type="noConversion"/>
  </si>
  <si>
    <r>
      <t>1.</t>
    </r>
    <r>
      <rPr>
        <sz val="10"/>
        <color rgb="FFFF0000"/>
        <rFont val="宋体"/>
        <family val="3"/>
        <charset val="134"/>
      </rPr>
      <t>经检查核对，以上所列存单报告日余额与被审计单位报告日账面余额一致；</t>
    </r>
    <phoneticPr fontId="1" type="noConversion"/>
  </si>
  <si>
    <r>
      <t>2.</t>
    </r>
    <r>
      <rPr>
        <sz val="10"/>
        <color rgb="FFFF0000"/>
        <rFont val="宋体"/>
        <family val="3"/>
        <charset val="134"/>
      </rPr>
      <t>以上所列存单存在的抵押或限制使用情况已在财务报告附注予以恰当披露；</t>
    </r>
    <phoneticPr fontId="1" type="noConversion"/>
  </si>
  <si>
    <t>监盘并检查开户证实书或定期存单，编制银行存单盘点表，检查是否与账面记录金额一致（包括核对存款人、账号、期间、截止日、计息等），是否被质押或担保等限制使用，是否为被审计单位所有：
（1）对未质押的定期存款，应检查开户证实书原件或定期存单原件；
（2）对已质押的定期存款，应检查质押回单等，并与相应的质押合同核对，同时关注定期存单对应的质押借款有无入账、质押事项逾期的关注相关质权是否已被行使；
（3）对审计外勤工作结束日前已提取的定期存款，应核对相应的兑付凭证、银行对账单等。</t>
    <phoneticPr fontId="1" type="noConversion"/>
  </si>
  <si>
    <t>提示：</t>
    <phoneticPr fontId="1" type="noConversion"/>
  </si>
  <si>
    <r>
      <rPr>
        <sz val="10"/>
        <color indexed="12"/>
        <rFont val="宋体"/>
        <family val="3"/>
        <charset val="134"/>
      </rPr>
      <t>对于超过借款期限但仍处于质押状态的定期存款，还应关注相关借款的偿还情况，了解相关质权是否已被行使；对于为他人担保的定期存单，关注担保是否逾期及相关质权是否已被行使；</t>
    </r>
    <r>
      <rPr>
        <sz val="10"/>
        <color indexed="12"/>
        <rFont val="Arial Narrow"/>
        <family val="2"/>
      </rPr>
      <t/>
    </r>
    <phoneticPr fontId="1" type="noConversion"/>
  </si>
  <si>
    <r>
      <t>1.</t>
    </r>
    <r>
      <rPr>
        <sz val="10"/>
        <color rgb="FF0000FF"/>
        <rFont val="宋体"/>
        <family val="3"/>
        <charset val="134"/>
      </rPr>
      <t>对已质押的定期存款，检查定期存单复印件、质押回单，并与相应的质押合同核对，核对存款人、金额、期限等相关信息。对于质押借款的定期存单，关注定期存单对应的质押借款有无入账，</t>
    </r>
    <phoneticPr fontId="1" type="noConversion"/>
  </si>
  <si>
    <r>
      <rPr>
        <sz val="10"/>
        <color rgb="FF0000FF"/>
        <rFont val="Arial Narrow"/>
        <family val="2"/>
      </rPr>
      <t>2.</t>
    </r>
    <r>
      <rPr>
        <sz val="10"/>
        <color rgb="FF0000FF"/>
        <rFont val="宋体"/>
        <family val="3"/>
        <charset val="134"/>
      </rPr>
      <t>对未质押的定期存款，应检查开户证实书原件而非复印件，以防止被审计单位提供的复印件是未质押或未提现前原件的复印件，特别关注被审计单位在定期存单到期之前，是否存在先质押贷款</t>
    </r>
    <phoneticPr fontId="1" type="noConversion"/>
  </si>
  <si>
    <t>或提前套现，再用质押贷款所得货币资金或套取的货币资金虚增收入、或挪作他用或从事其他违规业务。在检查时需认真核对相关信息，包括存款人、金额、期限等，如有异常，需实施进一步审计程序；</t>
    <phoneticPr fontId="1" type="noConversion"/>
  </si>
  <si>
    <r>
      <t>3.</t>
    </r>
    <r>
      <rPr>
        <sz val="10"/>
        <color rgb="FFFF0000"/>
        <rFont val="宋体"/>
        <family val="3"/>
        <charset val="134"/>
      </rPr>
      <t>对于以上所列存单存户名与被审计单位不一致的情况应查明原因，实施进一步审计程序，并考虑是否存在舞弊风险。</t>
    </r>
    <phoneticPr fontId="1" type="noConversion"/>
  </si>
  <si>
    <t>常规程序</t>
  </si>
  <si>
    <t>提示：</t>
    <phoneticPr fontId="1" type="noConversion"/>
  </si>
  <si>
    <t>备选</t>
    <phoneticPr fontId="1" type="noConversion"/>
  </si>
  <si>
    <t>E0</t>
    <phoneticPr fontId="1" type="noConversion"/>
  </si>
  <si>
    <t>获取企业信用报告（中国人民银行征信中心或开户行），打印全部信息(详细版)，核对企业基本信息是否一致，借款、质押、抵押及其他担保等信息是否与账面记录和披露一致。如果不一致查明原因，必要时查阅相关会议纪要和法律信函、复核相关费用账户记录、与外部法律顾问进行直接沟通、检查公章管理及使用情况等检查是否存在未披露的担保。</t>
    <phoneticPr fontId="1" type="noConversion"/>
  </si>
  <si>
    <t>E1-14
/E1-15</t>
    <phoneticPr fontId="1" type="noConversion"/>
  </si>
  <si>
    <t>银行存款余额调节表</t>
    <phoneticPr fontId="4" type="noConversion"/>
  </si>
  <si>
    <r>
      <rPr>
        <sz val="10"/>
        <rFont val="宋体"/>
        <family val="3"/>
        <charset val="134"/>
      </rPr>
      <t>索引号：</t>
    </r>
    <phoneticPr fontId="1" type="noConversion"/>
  </si>
  <si>
    <r>
      <rPr>
        <sz val="10"/>
        <rFont val="宋体"/>
        <family val="3"/>
        <charset val="134"/>
      </rPr>
      <t>页次：</t>
    </r>
    <phoneticPr fontId="1" type="noConversion"/>
  </si>
  <si>
    <r>
      <rPr>
        <b/>
        <sz val="10"/>
        <color indexed="8"/>
        <rFont val="宋体"/>
        <family val="3"/>
        <charset val="134"/>
      </rPr>
      <t>一、审计目标</t>
    </r>
    <r>
      <rPr>
        <b/>
        <sz val="10"/>
        <color indexed="8"/>
        <rFont val="Arial Narrow"/>
        <family val="2"/>
      </rPr>
      <t>:</t>
    </r>
    <phoneticPr fontId="35" type="noConversion"/>
  </si>
  <si>
    <r>
      <rPr>
        <b/>
        <sz val="10"/>
        <rFont val="宋体"/>
        <family val="3"/>
        <charset val="134"/>
      </rPr>
      <t>二、审计过程：</t>
    </r>
    <phoneticPr fontId="4" type="noConversion"/>
  </si>
  <si>
    <r>
      <rPr>
        <b/>
        <u/>
        <sz val="10"/>
        <rFont val="宋体"/>
        <family val="3"/>
        <charset val="134"/>
      </rPr>
      <t>开户银行：</t>
    </r>
  </si>
  <si>
    <r>
      <rPr>
        <b/>
        <u/>
        <sz val="10"/>
        <rFont val="宋体"/>
        <family val="3"/>
        <charset val="134"/>
      </rPr>
      <t>银行账号：</t>
    </r>
  </si>
  <si>
    <r>
      <rPr>
        <b/>
        <u/>
        <sz val="10"/>
        <rFont val="宋体"/>
        <family val="3"/>
        <charset val="134"/>
      </rPr>
      <t>币种</t>
    </r>
    <phoneticPr fontId="1" type="noConversion"/>
  </si>
  <si>
    <r>
      <rPr>
        <b/>
        <sz val="10"/>
        <rFont val="宋体"/>
        <family val="3"/>
        <charset val="134"/>
      </rPr>
      <t>被审计单位提供</t>
    </r>
    <phoneticPr fontId="101" type="noConversion"/>
  </si>
  <si>
    <r>
      <rPr>
        <b/>
        <sz val="10"/>
        <rFont val="宋体"/>
        <family val="3"/>
        <charset val="134"/>
      </rPr>
      <t>审计人员检查</t>
    </r>
    <phoneticPr fontId="1" type="noConversion"/>
  </si>
  <si>
    <r>
      <rPr>
        <b/>
        <sz val="10"/>
        <rFont val="宋体"/>
        <family val="3"/>
        <charset val="134"/>
      </rPr>
      <t>序号</t>
    </r>
    <phoneticPr fontId="1" type="noConversion"/>
  </si>
  <si>
    <r>
      <rPr>
        <b/>
        <sz val="10"/>
        <rFont val="宋体"/>
        <family val="3"/>
        <charset val="134"/>
      </rPr>
      <t>审计前金额</t>
    </r>
  </si>
  <si>
    <r>
      <rPr>
        <b/>
        <sz val="10"/>
        <rFont val="宋体"/>
        <family val="3"/>
        <charset val="134"/>
      </rPr>
      <t>原始凭证检查</t>
    </r>
    <phoneticPr fontId="1" type="noConversion"/>
  </si>
  <si>
    <r>
      <rPr>
        <b/>
        <sz val="10"/>
        <rFont val="宋体"/>
        <family val="3"/>
        <charset val="134"/>
      </rPr>
      <t>审计调整</t>
    </r>
    <phoneticPr fontId="1" type="noConversion"/>
  </si>
  <si>
    <r>
      <rPr>
        <b/>
        <sz val="10"/>
        <rFont val="宋体"/>
        <family val="3"/>
        <charset val="134"/>
      </rPr>
      <t>企业银行存款日记账余额</t>
    </r>
  </si>
  <si>
    <r>
      <rPr>
        <b/>
        <sz val="10"/>
        <rFont val="宋体"/>
        <family val="3"/>
        <charset val="134"/>
      </rPr>
      <t>加：银行已收企业未收款项</t>
    </r>
    <phoneticPr fontId="4" type="noConversion"/>
  </si>
  <si>
    <r>
      <rPr>
        <b/>
        <sz val="10"/>
        <rFont val="宋体"/>
        <family val="3"/>
        <charset val="134"/>
      </rPr>
      <t>银行对账单记录</t>
    </r>
  </si>
  <si>
    <r>
      <rPr>
        <b/>
        <sz val="10"/>
        <rFont val="宋体"/>
        <family val="3"/>
        <charset val="134"/>
      </rPr>
      <t>报表日后是否入账</t>
    </r>
    <phoneticPr fontId="1" type="noConversion"/>
  </si>
  <si>
    <r>
      <rPr>
        <b/>
        <sz val="10"/>
        <rFont val="宋体"/>
        <family val="3"/>
        <charset val="134"/>
      </rPr>
      <t>收款凭证检查</t>
    </r>
  </si>
  <si>
    <r>
      <rPr>
        <b/>
        <sz val="10"/>
        <rFont val="宋体"/>
        <family val="3"/>
        <charset val="134"/>
      </rPr>
      <t>是否调整</t>
    </r>
    <phoneticPr fontId="1" type="noConversion"/>
  </si>
  <si>
    <r>
      <rPr>
        <b/>
        <sz val="10"/>
        <rFont val="宋体"/>
        <family val="3"/>
        <charset val="134"/>
      </rPr>
      <t>银行收款日期</t>
    </r>
  </si>
  <si>
    <r>
      <rPr>
        <b/>
        <sz val="10"/>
        <rFont val="宋体"/>
        <family val="3"/>
        <charset val="134"/>
      </rPr>
      <t>收款金额</t>
    </r>
  </si>
  <si>
    <r>
      <rPr>
        <b/>
        <sz val="10"/>
        <rFont val="宋体"/>
        <family val="3"/>
        <charset val="134"/>
      </rPr>
      <t>记账日期</t>
    </r>
  </si>
  <si>
    <r>
      <rPr>
        <b/>
        <sz val="10"/>
        <rFont val="宋体"/>
        <family val="3"/>
        <charset val="134"/>
      </rPr>
      <t>记账凭证编号</t>
    </r>
  </si>
  <si>
    <r>
      <rPr>
        <b/>
        <sz val="10"/>
        <rFont val="宋体"/>
        <family val="3"/>
        <charset val="134"/>
      </rPr>
      <t>经济内容</t>
    </r>
  </si>
  <si>
    <r>
      <rPr>
        <b/>
        <sz val="10"/>
        <rFont val="宋体"/>
        <family val="3"/>
        <charset val="134"/>
      </rPr>
      <t>对应科目</t>
    </r>
  </si>
  <si>
    <r>
      <rPr>
        <sz val="10"/>
        <rFont val="宋体"/>
        <family val="3"/>
        <charset val="134"/>
      </rPr>
      <t>其中：</t>
    </r>
    <phoneticPr fontId="15" type="noConversion"/>
  </si>
  <si>
    <r>
      <rPr>
        <b/>
        <sz val="10"/>
        <rFont val="宋体"/>
        <family val="3"/>
        <charset val="134"/>
      </rPr>
      <t>减：银行已付、企业未付款项</t>
    </r>
    <phoneticPr fontId="4" type="noConversion"/>
  </si>
  <si>
    <r>
      <rPr>
        <b/>
        <sz val="10"/>
        <rFont val="宋体"/>
        <family val="3"/>
        <charset val="134"/>
      </rPr>
      <t>银行对账单记录</t>
    </r>
    <phoneticPr fontId="1" type="noConversion"/>
  </si>
  <si>
    <r>
      <rPr>
        <b/>
        <sz val="10"/>
        <rFont val="宋体"/>
        <family val="3"/>
        <charset val="134"/>
      </rPr>
      <t>付款凭证检查</t>
    </r>
    <phoneticPr fontId="1" type="noConversion"/>
  </si>
  <si>
    <r>
      <rPr>
        <b/>
        <sz val="10"/>
        <rFont val="宋体"/>
        <family val="3"/>
        <charset val="134"/>
      </rPr>
      <t>是否调整</t>
    </r>
    <phoneticPr fontId="1" type="noConversion"/>
  </si>
  <si>
    <r>
      <rPr>
        <b/>
        <sz val="10"/>
        <rFont val="宋体"/>
        <family val="3"/>
        <charset val="134"/>
      </rPr>
      <t>银行付款日期</t>
    </r>
    <phoneticPr fontId="1" type="noConversion"/>
  </si>
  <si>
    <r>
      <rPr>
        <b/>
        <sz val="10"/>
        <rFont val="宋体"/>
        <family val="3"/>
        <charset val="134"/>
      </rPr>
      <t>付款金额</t>
    </r>
    <phoneticPr fontId="1" type="noConversion"/>
  </si>
  <si>
    <r>
      <rPr>
        <b/>
        <sz val="10"/>
        <rFont val="宋体"/>
        <family val="3"/>
        <charset val="134"/>
      </rPr>
      <t>记账凭证编号</t>
    </r>
    <phoneticPr fontId="1" type="noConversion"/>
  </si>
  <si>
    <r>
      <rPr>
        <sz val="10"/>
        <rFont val="宋体"/>
        <family val="3"/>
        <charset val="134"/>
      </rPr>
      <t>其中：</t>
    </r>
    <r>
      <rPr>
        <sz val="10"/>
        <rFont val="Times New Roman"/>
        <family val="1"/>
      </rPr>
      <t/>
    </r>
    <phoneticPr fontId="15" type="noConversion"/>
  </si>
  <si>
    <r>
      <rPr>
        <b/>
        <sz val="10"/>
        <rFont val="宋体"/>
        <family val="3"/>
        <charset val="134"/>
      </rPr>
      <t>调节后余额</t>
    </r>
  </si>
  <si>
    <r>
      <rPr>
        <b/>
        <sz val="10"/>
        <rFont val="宋体"/>
        <family val="3"/>
        <charset val="134"/>
      </rPr>
      <t>银行对账单余额</t>
    </r>
    <phoneticPr fontId="4" type="noConversion"/>
  </si>
  <si>
    <r>
      <rPr>
        <b/>
        <sz val="10"/>
        <rFont val="宋体"/>
        <family val="3"/>
        <charset val="134"/>
      </rPr>
      <t>加：企业已收银行未收款项</t>
    </r>
    <phoneticPr fontId="4" type="noConversion"/>
  </si>
  <si>
    <r>
      <rPr>
        <b/>
        <sz val="10"/>
        <rFont val="宋体"/>
        <family val="3"/>
        <charset val="134"/>
      </rPr>
      <t>账面记录</t>
    </r>
    <phoneticPr fontId="1" type="noConversion"/>
  </si>
  <si>
    <r>
      <rPr>
        <b/>
        <sz val="10"/>
        <rFont val="宋体"/>
        <family val="3"/>
        <charset val="134"/>
      </rPr>
      <t>检查记录</t>
    </r>
    <phoneticPr fontId="1" type="noConversion"/>
  </si>
  <si>
    <r>
      <rPr>
        <b/>
        <sz val="10"/>
        <rFont val="宋体"/>
        <family val="3"/>
        <charset val="134"/>
      </rPr>
      <t>被审计单位收款日期</t>
    </r>
    <phoneticPr fontId="1" type="noConversion"/>
  </si>
  <si>
    <r>
      <rPr>
        <b/>
        <sz val="10"/>
        <rFont val="宋体"/>
        <family val="3"/>
        <charset val="134"/>
      </rPr>
      <t>收款凭证编号</t>
    </r>
    <phoneticPr fontId="1" type="noConversion"/>
  </si>
  <si>
    <r>
      <rPr>
        <b/>
        <sz val="10"/>
        <rFont val="宋体"/>
        <family val="3"/>
        <charset val="134"/>
      </rPr>
      <t>金额</t>
    </r>
    <phoneticPr fontId="1" type="noConversion"/>
  </si>
  <si>
    <r>
      <rPr>
        <b/>
        <sz val="10"/>
        <rFont val="宋体"/>
        <family val="3"/>
        <charset val="134"/>
      </rPr>
      <t>经济内容</t>
    </r>
    <phoneticPr fontId="1" type="noConversion"/>
  </si>
  <si>
    <r>
      <rPr>
        <b/>
        <sz val="10"/>
        <rFont val="宋体"/>
        <family val="3"/>
        <charset val="134"/>
      </rPr>
      <t>对应科目</t>
    </r>
    <phoneticPr fontId="1" type="noConversion"/>
  </si>
  <si>
    <r>
      <rPr>
        <b/>
        <sz val="10"/>
        <rFont val="宋体"/>
        <family val="3"/>
        <charset val="134"/>
      </rPr>
      <t>银行对账单显示的收款时间</t>
    </r>
    <phoneticPr fontId="1" type="noConversion"/>
  </si>
  <si>
    <r>
      <rPr>
        <b/>
        <sz val="10"/>
        <rFont val="宋体"/>
        <family val="3"/>
        <charset val="134"/>
      </rPr>
      <t>财务处理是否正确</t>
    </r>
    <phoneticPr fontId="1" type="noConversion"/>
  </si>
  <si>
    <r>
      <rPr>
        <b/>
        <sz val="10"/>
        <rFont val="宋体"/>
        <family val="3"/>
        <charset val="134"/>
      </rPr>
      <t>减：企业已付、银行未付款项</t>
    </r>
    <phoneticPr fontId="4" type="noConversion"/>
  </si>
  <si>
    <r>
      <rPr>
        <b/>
        <sz val="10"/>
        <rFont val="宋体"/>
        <family val="3"/>
        <charset val="134"/>
      </rPr>
      <t>账面记录</t>
    </r>
    <phoneticPr fontId="1" type="noConversion"/>
  </si>
  <si>
    <r>
      <rPr>
        <b/>
        <sz val="10"/>
        <rFont val="宋体"/>
        <family val="3"/>
        <charset val="134"/>
      </rPr>
      <t>检查记录</t>
    </r>
    <phoneticPr fontId="1" type="noConversion"/>
  </si>
  <si>
    <r>
      <rPr>
        <b/>
        <sz val="10"/>
        <rFont val="宋体"/>
        <family val="3"/>
        <charset val="134"/>
      </rPr>
      <t>被审计单位付款日期</t>
    </r>
    <phoneticPr fontId="1" type="noConversion"/>
  </si>
  <si>
    <r>
      <rPr>
        <b/>
        <sz val="10"/>
        <rFont val="宋体"/>
        <family val="3"/>
        <charset val="134"/>
      </rPr>
      <t>付款款凭证编号</t>
    </r>
    <phoneticPr fontId="1" type="noConversion"/>
  </si>
  <si>
    <r>
      <rPr>
        <b/>
        <sz val="10"/>
        <rFont val="宋体"/>
        <family val="3"/>
        <charset val="134"/>
      </rPr>
      <t>经济内容</t>
    </r>
    <phoneticPr fontId="1" type="noConversion"/>
  </si>
  <si>
    <r>
      <rPr>
        <b/>
        <sz val="10"/>
        <rFont val="宋体"/>
        <family val="3"/>
        <charset val="134"/>
      </rPr>
      <t>银行对账单显示的付款时间</t>
    </r>
    <phoneticPr fontId="1" type="noConversion"/>
  </si>
  <si>
    <r>
      <rPr>
        <b/>
        <sz val="10"/>
        <rFont val="宋体"/>
        <family val="3"/>
        <charset val="134"/>
      </rPr>
      <t>财务处理是否正确</t>
    </r>
    <phoneticPr fontId="1" type="noConversion"/>
  </si>
  <si>
    <r>
      <rPr>
        <b/>
        <sz val="10"/>
        <rFont val="宋体"/>
        <family val="3"/>
        <charset val="134"/>
      </rPr>
      <t>调整后是否一致</t>
    </r>
    <phoneticPr fontId="1" type="noConversion"/>
  </si>
  <si>
    <r>
      <rPr>
        <b/>
        <sz val="10"/>
        <rFont val="宋体"/>
        <family val="3"/>
        <charset val="134"/>
      </rPr>
      <t>三、审计说明：</t>
    </r>
    <phoneticPr fontId="4" type="noConversion"/>
  </si>
  <si>
    <t>E1-3
/E1-6</t>
    <phoneticPr fontId="1" type="noConversion"/>
  </si>
  <si>
    <t>备选</t>
    <phoneticPr fontId="1" type="noConversion"/>
  </si>
  <si>
    <t>测算银行存款及其他货币资金应计利息是否正确</t>
    <phoneticPr fontId="1" type="noConversion"/>
  </si>
  <si>
    <t>E1-18</t>
    <phoneticPr fontId="1" type="noConversion"/>
  </si>
  <si>
    <t>如存在财务公司存款，取得财务公司与企业签订的金融服务协议，考虑财务公司信用风险。对于首次将资金存放于财务公司的，必要时取得企业对财务公司出具的风险评估报告；必要时后续期间取得业对财务公司出具的风险持续评估报告。</t>
    <phoneticPr fontId="1" type="noConversion"/>
  </si>
  <si>
    <t>E1-20
/E1-21</t>
    <phoneticPr fontId="1" type="noConversion"/>
  </si>
  <si>
    <t>E1-23</t>
    <phoneticPr fontId="1" type="noConversion"/>
  </si>
  <si>
    <t>银行存款、其他货币资金</t>
    <phoneticPr fontId="1" type="noConversion"/>
  </si>
  <si>
    <t>获取银行存款/其他货币资金对账单、银行存款/其他货币资金余额调节表与账面金额进行核对，查明大额及不正常未达账项，结合期后回款（付款）情况验证银行存款余额调节表项目，判断其是否为调整事项；对于长期未达账项，检查是否存在记账差错、挪用资金等事项；</t>
    <phoneticPr fontId="1" type="noConversion"/>
  </si>
  <si>
    <r>
      <rPr>
        <sz val="10"/>
        <color indexed="12"/>
        <rFont val="宋体"/>
        <family val="3"/>
        <charset val="134"/>
      </rPr>
      <t>（</t>
    </r>
    <r>
      <rPr>
        <sz val="10"/>
        <color indexed="12"/>
        <rFont val="Arial Narrow"/>
        <family val="2"/>
      </rPr>
      <t>1</t>
    </r>
    <r>
      <rPr>
        <sz val="10"/>
        <color indexed="12"/>
        <rFont val="宋体"/>
        <family val="3"/>
        <charset val="134"/>
      </rPr>
      <t>）依据《关于规范上市公司与企业集团财务公司业务往来的通知》，上市公司首次将资金存放于财务公司前，应取得并审阅财务公司最近一个会计年度经审计的年度财务报告以及风险指标等必要信息，出具风险评估报告，经董事会审议通过后对外披露。上市公司与财务公司发生业务往来期间，应每半年取得并审阅财务公司的财务报告以及风险指标等必要信息，出具风险持续评估报告，经董事会审议通过后与半年度报告和年度报告一并对外披露。</t>
    </r>
    <phoneticPr fontId="1" type="noConversion"/>
  </si>
  <si>
    <r>
      <rPr>
        <sz val="10"/>
        <color indexed="12"/>
        <rFont val="宋体"/>
        <family val="3"/>
        <charset val="134"/>
      </rPr>
      <t>（</t>
    </r>
    <r>
      <rPr>
        <sz val="10"/>
        <color indexed="12"/>
        <rFont val="Arial Narrow"/>
        <family val="2"/>
      </rPr>
      <t>2</t>
    </r>
    <r>
      <rPr>
        <sz val="10"/>
        <color indexed="12"/>
        <rFont val="宋体"/>
        <family val="3"/>
        <charset val="134"/>
      </rPr>
      <t>）对存放财务公司款项，应关注财务公司自身风险状况，依据《关于规范上市公司与企业集团财务公司业务往来的通知》，存在下列情形上市公司不得继续向财务公司新增存款，如果识别出存在文件规定情形，应该对存放财务公司的存款考虑计提拨备。①财务公司同业拆借、票据承兑等集团外</t>
    </r>
    <r>
      <rPr>
        <sz val="10"/>
        <color indexed="12"/>
        <rFont val="Arial Narrow"/>
        <family val="2"/>
      </rPr>
      <t>(</t>
    </r>
    <r>
      <rPr>
        <sz val="10"/>
        <color indexed="12"/>
        <rFont val="宋体"/>
        <family val="3"/>
        <charset val="134"/>
      </rPr>
      <t>或有</t>
    </r>
    <r>
      <rPr>
        <sz val="10"/>
        <color indexed="12"/>
        <rFont val="Arial Narrow"/>
        <family val="2"/>
      </rPr>
      <t>)</t>
    </r>
    <r>
      <rPr>
        <sz val="10"/>
        <color indexed="12"/>
        <rFont val="宋体"/>
        <family val="3"/>
        <charset val="134"/>
      </rPr>
      <t>负债类业务因财务公司原因出现逾期超过</t>
    </r>
    <r>
      <rPr>
        <sz val="10"/>
        <color indexed="12"/>
        <rFont val="Arial Narrow"/>
        <family val="2"/>
      </rPr>
      <t>5</t>
    </r>
    <r>
      <rPr>
        <sz val="10"/>
        <color indexed="12"/>
        <rFont val="宋体"/>
        <family val="3"/>
        <charset val="134"/>
      </rPr>
      <t>个工作日的情况</t>
    </r>
    <r>
      <rPr>
        <sz val="10"/>
        <color indexed="12"/>
        <rFont val="Arial Narrow"/>
        <family val="2"/>
      </rPr>
      <t>;</t>
    </r>
    <r>
      <rPr>
        <sz val="10"/>
        <color indexed="12"/>
        <rFont val="宋体"/>
        <family val="3"/>
        <charset val="134"/>
      </rPr>
      <t>②财务公司或上市公司的控股股东、实际控制人及其他关联方发生重大信用风险事件</t>
    </r>
    <r>
      <rPr>
        <sz val="10"/>
        <color indexed="12"/>
        <rFont val="Arial Narrow"/>
        <family val="2"/>
      </rPr>
      <t>(</t>
    </r>
    <r>
      <rPr>
        <sz val="10"/>
        <color indexed="12"/>
        <rFont val="宋体"/>
        <family val="3"/>
        <charset val="134"/>
      </rPr>
      <t>包括但不限于公开市场债券逾期超过</t>
    </r>
    <r>
      <rPr>
        <sz val="10"/>
        <color indexed="12"/>
        <rFont val="Arial Narrow"/>
        <family val="2"/>
      </rPr>
      <t>7</t>
    </r>
    <r>
      <rPr>
        <sz val="10"/>
        <color indexed="12"/>
        <rFont val="宋体"/>
        <family val="3"/>
        <charset val="134"/>
      </rPr>
      <t>个工作日、大额担保代偿等</t>
    </r>
    <r>
      <rPr>
        <sz val="10"/>
        <color indexed="12"/>
        <rFont val="Arial Narrow"/>
        <family val="2"/>
      </rPr>
      <t>);</t>
    </r>
    <r>
      <rPr>
        <sz val="10"/>
        <color indexed="12"/>
        <rFont val="宋体"/>
        <family val="3"/>
        <charset val="134"/>
      </rPr>
      <t>③财务公司按照《企业集团财务公司管理办法》规定的资本充足率、流动性比例等监管指标持续无法满足监管要求，且主要股东无法落实资本补充和风险救助义务</t>
    </r>
    <r>
      <rPr>
        <sz val="10"/>
        <color indexed="12"/>
        <rFont val="Arial Narrow"/>
        <family val="2"/>
      </rPr>
      <t>;</t>
    </r>
    <r>
      <rPr>
        <sz val="10"/>
        <color indexed="12"/>
        <rFont val="宋体"/>
        <family val="3"/>
        <charset val="134"/>
      </rPr>
      <t>④风险处置预案规定的其他情形</t>
    </r>
    <phoneticPr fontId="1" type="noConversion"/>
  </si>
  <si>
    <t>（1）如果定期存款占银行存款的比例偏高，或同时负债比例偏高，注册会计师需要向管理层询问定期存款存在的商业理由并评估其合理性；</t>
  </si>
  <si>
    <t>（2）获取定期存款明细表，检查是否与账面记录金额一致，存款人是否为被审计单位，定期存款是否被质押或限制使用；</t>
  </si>
  <si>
    <t>（3）在监盘库存现金的同时，监盘定期存款凭据，或实地观察被审计单位登录网银系统查询定期存款信息并将查询信息截屏保存。如果被审计单位在资产负债表日有大额定期存款，基于对风险的判断考虑选择在资产负债表日实施监盘；</t>
  </si>
  <si>
    <t>（4）对存款期限跨越审计基准日的未质押的定期存款，检查开户证实书原件而非复印件，以防止被审计单位提供的复印件是未质押或未提现前原件的复印件，特别关注被审计单位在定期存单到期之前，是否存在先质押贷款或提前套现，再用质押贷款所得货币资金或套取的货币资金虚增收入、或挪作他用或从事其他违规业务。在检查时，还要认真核对相关信息，包括存款人、金额、期限等，如有异常，需实施进一步审计程序；</t>
  </si>
  <si>
    <t>（5）对已质押的定期存款，检查定期存单复印件，并与相应的质押合同核对，核对存款人、金额、期限等相关信息。对于质押借款的定期存单，关注定期存单对应的质押借款有无入账，对于超过借款期限但仍处于质押状态的定期存款，还应关注相关借款的偿还情况，了解相关质权是否已被行使；对于为他人担保的定期存单，关注担保是否逾期及相关质权是否已被行使；</t>
  </si>
  <si>
    <t>（6）函证定期存款相关信息，按照《中国注册会计师审计准则第1312号--函证》的要求实施函证程序；</t>
  </si>
  <si>
    <t>（7）结合财务费用和投资收益审计，分析利息收入的合理性，判断定期存款是否真实存在，或是否存在体外资金循环的情形。如果账面利息收入远大于根据定期存款计算应得利息，很可能表明被审计单位存在账外定期存款。如果账面利息收入远小于根据定期存款计算的应得利息，很可能表明被审计单位存在转移利息收入、或挪用、虚构定期存款情况；</t>
  </si>
  <si>
    <t>（8）对于在报告期内到期结转的定期存款、资产负债表日后已提取的定期存款，检查、核对相应的兑付凭证、银行对账单或网银记录等；</t>
  </si>
  <si>
    <t>（9）关注被审计单位是否在财务报表附注中对定期存款及其受限情况（如有）给予充分披露。</t>
  </si>
  <si>
    <r>
      <rPr>
        <sz val="10"/>
        <color indexed="12"/>
        <rFont val="宋体"/>
        <family val="3"/>
        <charset val="134"/>
      </rPr>
      <t>①了解被审计单位与银行账户有关的内部控制和操作规程；</t>
    </r>
  </si>
  <si>
    <r>
      <rPr>
        <sz val="10"/>
        <color indexed="12"/>
        <rFont val="宋体"/>
        <family val="3"/>
        <charset val="134"/>
      </rPr>
      <t>②询问被审计单位资金管理人员，了解是否存在资金池业务；</t>
    </r>
  </si>
  <si>
    <r>
      <rPr>
        <sz val="10"/>
        <color indexed="12"/>
        <rFont val="宋体"/>
        <family val="3"/>
        <charset val="134"/>
      </rPr>
      <t>③查阅董事会会议等有关会议纪要；</t>
    </r>
  </si>
  <si>
    <r>
      <rPr>
        <sz val="10"/>
        <color indexed="12"/>
        <rFont val="宋体"/>
        <family val="3"/>
        <charset val="134"/>
      </rPr>
      <t>④向开设银行账户的银行进行函证，要求确认是否该账户有资金池安排；</t>
    </r>
  </si>
  <si>
    <r>
      <rPr>
        <sz val="10"/>
        <color indexed="12"/>
        <rFont val="宋体"/>
        <family val="3"/>
        <charset val="134"/>
      </rPr>
      <t>⑤检查被审计单位与控股股东、实际控制人及其关联方的资金往来；需要注意的是，资金池协议可能约定，参与资金池安排的账户之间的资金划转可能不予在银行对账单或网银中显示。</t>
    </r>
  </si>
  <si>
    <r>
      <rPr>
        <sz val="10"/>
        <color indexed="12"/>
        <rFont val="宋体"/>
        <family val="3"/>
        <charset val="134"/>
      </rPr>
      <t>①获取资金池协议、股东大会或根据其有效公司规章规定的有权机关同意加入协议的决议等文件，关注相关协议签订的授权审批情况；</t>
    </r>
  </si>
  <si>
    <r>
      <rPr>
        <sz val="10"/>
        <color indexed="12"/>
        <rFont val="宋体"/>
        <family val="3"/>
        <charset val="134"/>
      </rPr>
      <t>②阅读资金池协议，了解资金集中方式、相关账户的余额显示模式，关注账户支付控制及其变更的设定等重要内容；</t>
    </r>
  </si>
  <si>
    <r>
      <rPr>
        <sz val="10"/>
        <color indexed="12"/>
        <rFont val="宋体"/>
        <family val="3"/>
        <charset val="134"/>
      </rPr>
      <t>③在理解银行对账单上关于资金池资金使用的各种银行术语的释义的基础上，函证实际余额，在可行的情况下，可以同时函证可用余额；必要时，关注函证基准日后资金池账户之间的资金划拨，防止被审计单位为应付注册会计师的函证程序而突击划转资金；</t>
    </r>
  </si>
  <si>
    <r>
      <rPr>
        <sz val="10"/>
        <color indexed="12"/>
        <rFont val="宋体"/>
        <family val="3"/>
        <charset val="134"/>
      </rPr>
      <t>④询问并获取被审计单位的控股股东或其关联方的财务信息，分析是否存在资金紧张或长期资金不在资金池内流通的情况，是否存在资金可能被占用无法按期归还的情形；</t>
    </r>
  </si>
  <si>
    <r>
      <rPr>
        <sz val="10"/>
        <color indexed="12"/>
        <rFont val="宋体"/>
        <family val="3"/>
        <charset val="134"/>
      </rPr>
      <t>⑤延伸检查被审计单位实际控制人或董监高等关联方是否通过资金池业务，配合被审计单位虚构销售交易以虚增销售收入；</t>
    </r>
  </si>
  <si>
    <r>
      <rPr>
        <sz val="10"/>
        <color indexed="12"/>
        <rFont val="宋体"/>
        <family val="3"/>
        <charset val="134"/>
      </rPr>
      <t>⑥关注被审计单位是否将资金池资金按照企业会计准则的要求在会计报表中予以恰当列报。在资产负债表中，资金池资金可能并不符合货币资金的定义，而应列报为其他应收款、委托贷款或其他流动资产等，在现金流量表中，资金池资金可能并不符合现金及现金等价物定义；是否在财务报表附注中对资金池业务及其受限情况（如有）给予充分披露。</t>
    </r>
  </si>
  <si>
    <r>
      <rPr>
        <sz val="10"/>
        <color indexed="12"/>
        <rFont val="宋体"/>
        <family val="3"/>
        <charset val="134"/>
      </rPr>
      <t>（</t>
    </r>
    <r>
      <rPr>
        <sz val="10"/>
        <color indexed="12"/>
        <rFont val="Arial Narrow"/>
        <family val="2"/>
      </rPr>
      <t>1</t>
    </r>
    <r>
      <rPr>
        <sz val="10"/>
        <color indexed="12"/>
        <rFont val="宋体"/>
        <family val="3"/>
        <charset val="134"/>
      </rPr>
      <t>）注册会计师可以通过下列程序检查被审计单位是否存在资金池业务：</t>
    </r>
  </si>
  <si>
    <r>
      <rPr>
        <sz val="10"/>
        <color indexed="12"/>
        <rFont val="宋体"/>
        <family val="3"/>
        <charset val="134"/>
      </rPr>
      <t>（</t>
    </r>
    <r>
      <rPr>
        <sz val="10"/>
        <color indexed="12"/>
        <rFont val="Arial Narrow"/>
        <family val="2"/>
      </rPr>
      <t>2</t>
    </r>
    <r>
      <rPr>
        <sz val="10"/>
        <color indexed="12"/>
        <rFont val="宋体"/>
        <family val="3"/>
        <charset val="134"/>
      </rPr>
      <t>）如果被审计单位存在资金池业务，注册会计师需要了解和评估被审计单位加入资金池业务的合理合规性，以及对于资金池资金在各企业之间和集团层面的管理，是否采取了适当措施保证资金安全。注册会计师可考虑实施以下审计程序：</t>
    </r>
  </si>
  <si>
    <t>其他</t>
    <phoneticPr fontId="1" type="noConversion"/>
  </si>
  <si>
    <r>
      <t>获取或编制现金、银行存款、其他货币资金、</t>
    </r>
    <r>
      <rPr>
        <sz val="10"/>
        <color rgb="FFFF0000"/>
        <rFont val="宋体"/>
        <family val="3"/>
        <charset val="134"/>
      </rPr>
      <t>数字货币</t>
    </r>
    <r>
      <rPr>
        <sz val="10"/>
        <color theme="1"/>
        <rFont val="宋体"/>
        <family val="3"/>
        <charset val="134"/>
      </rPr>
      <t>的明细表,完成以下工作，并编制审定表
(1)复核加计是否正确，与总账、明细账合计数核对是否相符，期初余额与上期审定期末余额是否相符；
(2)检查外币现金、银行存款、其他货币资金折合记账本位币所采用的折算汇率是否正确，折算差额是否已按规定进行会计处理。</t>
    </r>
    <phoneticPr fontId="1" type="noConversion"/>
  </si>
  <si>
    <r>
      <rPr>
        <sz val="10"/>
        <rFont val="宋体"/>
        <family val="3"/>
        <charset val="134"/>
      </rPr>
      <t>对期初余额的审计，取得现金、银行存款、其他货币资金、</t>
    </r>
    <r>
      <rPr>
        <sz val="10"/>
        <color rgb="FFFF0000"/>
        <rFont val="宋体"/>
        <family val="3"/>
        <charset val="134"/>
      </rPr>
      <t>数字货币</t>
    </r>
    <r>
      <rPr>
        <sz val="10"/>
        <rFont val="宋体"/>
        <family val="3"/>
        <charset val="134"/>
      </rPr>
      <t>期初余额明细表复核加计是否正确，与总账、明细账合计数是否相符，外币折算是否正确，获取上期末银行对账单和调节表与账面金额核对、查明大额及不正常未达账项，函证期初银行存款/其他货币资金/数字货币以及其他必要追加的审计程序。</t>
    </r>
    <r>
      <rPr>
        <sz val="10"/>
        <color rgb="FFFF0000"/>
        <rFont val="宋体"/>
        <family val="3"/>
        <charset val="134"/>
      </rPr>
      <t>（适用于首次承接）</t>
    </r>
    <phoneticPr fontId="1" type="noConversion"/>
  </si>
  <si>
    <t>实施银行存款、其他货币资金截止测试，抽查资产负债表日前后若干天一定金额以上银行存款收支凭证进行检查，如果跨期收支事项，考虑是否应进行调整。</t>
    <phoneticPr fontId="1" type="noConversion"/>
  </si>
  <si>
    <t xml:space="preserve">保证金存款、存出投资款、第三方支付平台、信用卡的其他货币资金：
（1）对于保证金存款，检查开立银行承兑汇票的协议或银行授信协议等，将保证金金额与相应的交易进行核对，检查保证金与相关债务的比例和合同约定是否一致；
（2）对于存出投资款，检查资金流向，获取董事会决议等批准文件、开户资料、投资协议等；
（3）因互联网支付留存于第三方支付平台的资金。获取第三方支付平台发生额及余额明细，并与账面记录进行核对，检查大额交易；向第三方平台支付账户函证；
（4）对于信用卡存款，若信用卡持有人是被审计单位职员，应取得该职员提供的确认书，并应考虑进行调整                                                                 </t>
    <phoneticPr fontId="1" type="noConversion"/>
  </si>
  <si>
    <t>资金池业务：
（1）了解被审计单位与银行账户有关的内部控制和操作规程，询问被审计单位资金管理人员，检查与关联方往来、银行函证等，了解是否存在资金池业务；
（2）获取资金池协议、股东大会或根据其有效公司规章规定的有权机关同意加入协议的决议等文件，关注相关协议签订的授权审批情况；
（3）了解资金集中方式、相关账户的余额显示模式，关注账户支付控制及其变更的设定等重要内容；
（4）函证拨入、拨出单位和拨入/拨出余额，在可行的情况下，可以同时函证可用余额；必要时，关注函证基准日后资金池账户之间的资金划拨，防止被审计单位为应付注册会计师的函证程序而突击划转资金；
（5）关注被审计单位是否将资金池资金按照企业会计准则的要求在会计报表中予以恰当列报。</t>
    <phoneticPr fontId="1" type="noConversion"/>
  </si>
  <si>
    <t>关注是否存在质押、冻结等对变现有限制或存在境外的款项。是否已作必要的调整和披露</t>
    <phoneticPr fontId="1" type="noConversion"/>
  </si>
  <si>
    <r>
      <t>2.</t>
    </r>
    <r>
      <rPr>
        <sz val="10"/>
        <color rgb="FF0000FF"/>
        <rFont val="宋体"/>
        <family val="3"/>
        <charset val="134"/>
      </rPr>
      <t>本工作底稿应按列入银行存款的每一银行账户金额填写；对不能随时用于支付的银行存款、其他货币资金在审计工作底稿中予以列明，以考虑对现金流量表的影响。</t>
    </r>
    <phoneticPr fontId="1" type="noConversion"/>
  </si>
  <si>
    <t>对不能随时用于支付等不符合现金及现金等价物条件的银行存款、其他货币资金在审计工作底稿中予以列明，考虑对现金流量表的影响</t>
    <phoneticPr fontId="1" type="noConversion"/>
  </si>
  <si>
    <t>关注在金融机构存放的超过保险储蓄额的存款，核实持有此类存款的金融机构财务状况的稳定性，以保证其能够履行义务，确定货币资金是否减值（如兑付风险）。</t>
    <phoneticPr fontId="1" type="noConversion"/>
  </si>
  <si>
    <t>如存在大额数字货币：
(1)选取样本检查数字货币收支的记账凭证和原始凭证，检查交易是否真实、会计处理是否正确；
（2）实施截止测试，检查是否记录在正确的会计期间；</t>
    <phoneticPr fontId="1" type="noConversion"/>
  </si>
  <si>
    <t>根据评估的舞弊风险等因素增加的审计程序。</t>
  </si>
  <si>
    <r>
      <rPr>
        <sz val="10"/>
        <color indexed="12"/>
        <rFont val="宋体"/>
        <family val="3"/>
        <charset val="134"/>
      </rPr>
      <t>（</t>
    </r>
    <r>
      <rPr>
        <sz val="10"/>
        <color indexed="12"/>
        <rFont val="Arial Narrow"/>
        <family val="2"/>
      </rPr>
      <t>3</t>
    </r>
    <r>
      <rPr>
        <sz val="10"/>
        <color indexed="12"/>
        <rFont val="宋体"/>
        <family val="3"/>
        <charset val="134"/>
      </rPr>
      <t>）关注资金池业务的列报和披露</t>
    </r>
    <phoneticPr fontId="1" type="noConversion"/>
  </si>
  <si>
    <t>关注被审计单位是否将资金池资金按照企业会计准则的要求在会计报表中予以恰当列报。在资产负债表中，被审计单位通过资金池业务向其他关联公司提供的融资可能并不符合货币资金的定义，而应列报为其他应收款等相关科目；同时，在现金流量表中，资金池资金可能并不符合现金及现金等价物定义；是否在财务报表附注中对资金池业务及其受限情况、由此产生的关联交易（如有）给予充分披露。</t>
    <phoneticPr fontId="1" type="noConversion"/>
  </si>
  <si>
    <t>如存在大额现金交易或余额，考虑分析现金交易的成因，判断其合理性，增加大额现金检查、截止测试、舞弊应对等其他审计程序</t>
    <phoneticPr fontId="1" type="noConversion"/>
  </si>
  <si>
    <t>选取样本检查银行存款、其他货币资金收支的银行回单等原始凭证，检查原始凭证是否齐全，记账凭证与原始凭证是否相符，账务处理是否正确，是否记录于恰当的会计期间等项内容；必要时核查大额货币资金流出和流入的业务背景，如有与被审计单位生产经营无关的收支事项，应查明原因并作相应的记录。</t>
    <phoneticPr fontId="1" type="noConversion"/>
  </si>
  <si>
    <t>检查是否存洗钱等违法违规行为。</t>
  </si>
  <si>
    <t>在企业人员陪同下到人民银行或基本存款账户开户行查询并打印《已开立银行结算账户清单》，观察银行办事人员的查询、打印过程，并检查被审计单位账面记录的银行人民币结算账户是否完整</t>
    <phoneticPr fontId="1" type="noConversion"/>
  </si>
  <si>
    <r>
      <rPr>
        <b/>
        <sz val="10"/>
        <color theme="1"/>
        <rFont val="宋体"/>
        <family val="3"/>
        <charset val="134"/>
      </rPr>
      <t>开户日期</t>
    </r>
    <phoneticPr fontId="1" type="noConversion"/>
  </si>
  <si>
    <r>
      <rPr>
        <b/>
        <sz val="10"/>
        <color theme="1"/>
        <rFont val="宋体"/>
        <family val="3"/>
        <charset val="134"/>
      </rPr>
      <t>序号</t>
    </r>
    <phoneticPr fontId="1" type="noConversion"/>
  </si>
  <si>
    <r>
      <rPr>
        <b/>
        <sz val="10"/>
        <color theme="1"/>
        <rFont val="宋体"/>
        <family val="3"/>
        <charset val="134"/>
      </rPr>
      <t>已开立银行结算账户清单</t>
    </r>
    <phoneticPr fontId="1" type="noConversion"/>
  </si>
  <si>
    <r>
      <rPr>
        <b/>
        <sz val="10"/>
        <color theme="1"/>
        <rFont val="宋体"/>
        <family val="3"/>
        <charset val="134"/>
      </rPr>
      <t>开户银行名称</t>
    </r>
    <phoneticPr fontId="1" type="noConversion"/>
  </si>
  <si>
    <r>
      <rPr>
        <b/>
        <sz val="10"/>
        <color theme="1"/>
        <rFont val="宋体"/>
        <family val="3"/>
        <charset val="134"/>
      </rPr>
      <t>账号</t>
    </r>
    <phoneticPr fontId="1" type="noConversion"/>
  </si>
  <si>
    <r>
      <rPr>
        <b/>
        <sz val="10"/>
        <color theme="1"/>
        <rFont val="宋体"/>
        <family val="3"/>
        <charset val="134"/>
      </rPr>
      <t>账户性质</t>
    </r>
    <phoneticPr fontId="1" type="noConversion"/>
  </si>
  <si>
    <r>
      <rPr>
        <b/>
        <sz val="10"/>
        <color theme="1"/>
        <rFont val="宋体"/>
        <family val="3"/>
        <charset val="134"/>
      </rPr>
      <t>账户状态</t>
    </r>
    <phoneticPr fontId="1" type="noConversion"/>
  </si>
  <si>
    <r>
      <rPr>
        <b/>
        <sz val="10"/>
        <color theme="1"/>
        <rFont val="宋体"/>
        <family val="3"/>
        <charset val="134"/>
      </rPr>
      <t>销户日期</t>
    </r>
    <phoneticPr fontId="1" type="noConversion"/>
  </si>
  <si>
    <r>
      <rPr>
        <b/>
        <sz val="10"/>
        <rFont val="宋体"/>
        <family val="3"/>
        <charset val="134"/>
      </rPr>
      <t>四、审计结论：</t>
    </r>
    <phoneticPr fontId="4" type="noConversion"/>
  </si>
  <si>
    <t>开户原因</t>
    <phoneticPr fontId="1" type="noConversion"/>
  </si>
  <si>
    <t>销户原因</t>
    <phoneticPr fontId="1" type="noConversion"/>
  </si>
  <si>
    <t>与企业信息核对一致</t>
    <phoneticPr fontId="1" type="noConversion"/>
  </si>
  <si>
    <t>不一致原因</t>
    <phoneticPr fontId="1" type="noConversion"/>
  </si>
  <si>
    <t>检查不符合现金及现金等价物条件的银行存款、受限货币资金、理财产品投资、资金池业务等是否已按企业会计准则或其他适用的规定在财务报表中做出恰当列报和披露。</t>
    <phoneticPr fontId="1" type="noConversion"/>
  </si>
  <si>
    <r>
      <t>3.</t>
    </r>
    <r>
      <rPr>
        <sz val="10"/>
        <color rgb="FF0000FF"/>
        <rFont val="宋体"/>
        <family val="3"/>
        <charset val="134"/>
      </rPr>
      <t>获取银行存款明细账，检查是否存在大量大额红字冲销或调整记录，如存在，需要实施进一步的审计程序</t>
    </r>
    <phoneticPr fontId="1" type="noConversion"/>
  </si>
  <si>
    <t>4.如果被审计单位有定期存款，注册会计师可以考虑实施以下审计程序：</t>
    <phoneticPr fontId="1" type="noConversion"/>
  </si>
  <si>
    <r>
      <t>5.</t>
    </r>
    <r>
      <rPr>
        <b/>
        <sz val="10"/>
        <color rgb="FF0000FF"/>
        <rFont val="宋体"/>
        <family val="3"/>
        <charset val="134"/>
      </rPr>
      <t>对存放财务公司款项</t>
    </r>
    <phoneticPr fontId="1" type="noConversion"/>
  </si>
  <si>
    <r>
      <t>6.</t>
    </r>
    <r>
      <rPr>
        <b/>
        <sz val="10"/>
        <color indexed="12"/>
        <rFont val="宋体"/>
        <family val="3"/>
        <charset val="134"/>
      </rPr>
      <t>资金池业务</t>
    </r>
    <phoneticPr fontId="1" type="noConversion"/>
  </si>
  <si>
    <r>
      <t>7.</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4" type="noConversion"/>
  </si>
  <si>
    <r>
      <t>8.</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4" type="noConversion"/>
  </si>
  <si>
    <r>
      <rPr>
        <sz val="10"/>
        <color theme="1"/>
        <rFont val="宋体"/>
        <family val="3"/>
        <charset val="134"/>
      </rPr>
      <t>对银行存款（包括零余额账户和在本期内注销的账户）、其他货币资金、</t>
    </r>
    <r>
      <rPr>
        <sz val="10"/>
        <color rgb="FFFF0000"/>
        <rFont val="宋体"/>
        <family val="3"/>
        <charset val="134"/>
      </rPr>
      <t>数字货币、</t>
    </r>
    <r>
      <rPr>
        <sz val="10"/>
        <color theme="1"/>
        <rFont val="宋体"/>
        <family val="3"/>
        <charset val="134"/>
      </rPr>
      <t>借款及与金融机构往来</t>
    </r>
    <r>
      <rPr>
        <sz val="10"/>
        <color theme="1"/>
        <rFont val="Arial Narrow"/>
        <family val="2"/>
      </rPr>
      <t>/</t>
    </r>
    <r>
      <rPr>
        <sz val="10"/>
        <color theme="1"/>
        <rFont val="宋体"/>
        <family val="3"/>
        <charset val="134"/>
      </rPr>
      <t>交易等其他重要信息实施函证程序：
（</t>
    </r>
    <r>
      <rPr>
        <sz val="10"/>
        <color theme="1"/>
        <rFont val="Arial Narrow"/>
        <family val="2"/>
      </rPr>
      <t>1</t>
    </r>
    <r>
      <rPr>
        <sz val="10"/>
        <color theme="1"/>
        <rFont val="宋体"/>
        <family val="3"/>
        <charset val="134"/>
      </rPr>
      <t>）以积极方式对银行存款、其他货币资金、借款等进行函证，设计询证函、发函前核实被函证单位信息；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）编制函证结果汇总表，检查发函、回函物流信息和轨迹、比对回函印章和签字等以核实回函的真实性，检查回函是否相符，对不符事项查明原因确定是否存在错报或舞弊；
（</t>
    </r>
    <r>
      <rPr>
        <sz val="10"/>
        <color theme="1"/>
        <rFont val="Arial Narrow"/>
        <family val="2"/>
      </rPr>
      <t>4</t>
    </r>
    <r>
      <rPr>
        <sz val="10"/>
        <color theme="1"/>
        <rFont val="宋体"/>
        <family val="3"/>
        <charset val="134"/>
      </rPr>
      <t>）如果未收到回函，应当考虑与被询证者联系，要求对方作出回应或再次寄发询证函；
（</t>
    </r>
    <r>
      <rPr>
        <sz val="10"/>
        <color theme="1"/>
        <rFont val="Arial Narrow"/>
        <family val="2"/>
      </rPr>
      <t>5</t>
    </r>
    <r>
      <rPr>
        <sz val="10"/>
        <color theme="1"/>
        <rFont val="宋体"/>
        <family val="3"/>
        <charset val="134"/>
      </rPr>
      <t>）如果管理层不允许寄发询证函的，询问管理层不允许寄发的原因，是否为审计准则规定的可以不执行银行函证程序的范围；
（</t>
    </r>
    <r>
      <rPr>
        <sz val="10"/>
        <color theme="1"/>
        <rFont val="Arial Narrow"/>
        <family val="2"/>
      </rPr>
      <t>6</t>
    </r>
    <r>
      <rPr>
        <sz val="10"/>
        <color theme="1"/>
        <rFont val="宋体"/>
        <family val="3"/>
        <charset val="134"/>
      </rPr>
      <t>）如果管理层不允许寄发询证函的原因不合理、再次发函未收到回函、或者认为回函不可靠等，评价对评估的重大错报风险（包括舞弊风险）的影响，考虑与治理层进行沟通，并确定其对审计工作和审计意见的影响。</t>
    </r>
    <phoneticPr fontId="1" type="noConversion"/>
  </si>
  <si>
    <r>
      <t>1.</t>
    </r>
    <r>
      <rPr>
        <sz val="10"/>
        <rFont val="宋体"/>
        <family val="3"/>
        <charset val="134"/>
      </rPr>
      <t>资产负债表中记录的库存现金是存在的，且已经记录在恰当的账户中；</t>
    </r>
    <phoneticPr fontId="1" type="noConversion"/>
  </si>
  <si>
    <r>
      <t>2.</t>
    </r>
    <r>
      <rPr>
        <sz val="10"/>
        <rFont val="宋体"/>
        <family val="3"/>
        <charset val="134"/>
      </rPr>
      <t>所有应记录的库存现金均已记录，所有应当包括在财务报表中的相关披露均已包括；</t>
    </r>
    <phoneticPr fontId="1" type="noConversion"/>
  </si>
  <si>
    <r>
      <t>3.</t>
    </r>
    <r>
      <rPr>
        <sz val="10"/>
        <rFont val="宋体"/>
        <family val="3"/>
        <charset val="134"/>
      </rPr>
      <t>库存现金以恰当的金额包括在财务报表中，与之相关的计价或分摊调整已恰当记录，相关披露已得到恰当计量和描述</t>
    </r>
    <r>
      <rPr>
        <sz val="10"/>
        <rFont val="Arial Narrow"/>
        <family val="2"/>
      </rPr>
      <t xml:space="preserve"> </t>
    </r>
    <phoneticPr fontId="1" type="noConversion"/>
  </si>
  <si>
    <r>
      <t>1</t>
    </r>
    <r>
      <rPr>
        <sz val="10"/>
        <rFont val="宋体"/>
        <family val="3"/>
        <charset val="134"/>
      </rPr>
      <t>、资产负债表中记录的银行存款是存在的，且已经记录在恰当的账户中；</t>
    </r>
    <r>
      <rPr>
        <sz val="10"/>
        <rFont val="Arial Narrow"/>
        <family val="2"/>
      </rPr>
      <t>2</t>
    </r>
    <r>
      <rPr>
        <sz val="10"/>
        <rFont val="宋体"/>
        <family val="3"/>
        <charset val="134"/>
      </rPr>
      <t>、所有应记录的银行存款均已记录，所有应当包括在财务报表中的相关披露均已包括；</t>
    </r>
    <r>
      <rPr>
        <sz val="10"/>
        <rFont val="Arial Narrow"/>
        <family val="2"/>
      </rPr>
      <t/>
    </r>
    <phoneticPr fontId="1" type="noConversion"/>
  </si>
  <si>
    <r>
      <t>3</t>
    </r>
    <r>
      <rPr>
        <sz val="10"/>
        <rFont val="宋体"/>
        <family val="3"/>
        <charset val="134"/>
      </rPr>
      <t>、银行存款以恰当的金额包括在财务报表中，与之相关的计价或分摊调整已恰当记录，相关披露已得到恰当计量和描述</t>
    </r>
    <r>
      <rPr>
        <sz val="10"/>
        <rFont val="Arial Narrow"/>
        <family val="2"/>
      </rPr>
      <t xml:space="preserve"> </t>
    </r>
    <phoneticPr fontId="1" type="noConversion"/>
  </si>
  <si>
    <r>
      <t>2.</t>
    </r>
    <r>
      <rPr>
        <sz val="10"/>
        <color rgb="FFFF0000"/>
        <rFont val="宋体"/>
        <family val="3"/>
        <charset val="134"/>
      </rPr>
      <t>在底稿中记录不对银行存款（包括零余额账户和在本期内注销的账户）、借款及与金融机构往来的其他重要信息实施函证程序的理由。（审计准则规定的可以不执行银行函证程序的理由是：银行存款、借款及与金融机构往来的其他重要信息对财务报表不重要且与</t>
    </r>
    <phoneticPr fontId="1" type="noConversion"/>
  </si>
  <si>
    <r>
      <t>1.</t>
    </r>
    <r>
      <rPr>
        <sz val="10"/>
        <color indexed="8"/>
        <rFont val="宋体"/>
        <family val="3"/>
        <charset val="134"/>
      </rPr>
      <t>资产负债表中记录的数字货币是存在的，且已经记录在恰当的账户中；</t>
    </r>
    <r>
      <rPr>
        <sz val="10"/>
        <color indexed="8"/>
        <rFont val="Arial Narrow"/>
        <family val="2"/>
      </rPr>
      <t>2.</t>
    </r>
    <r>
      <rPr>
        <sz val="10"/>
        <color indexed="8"/>
        <rFont val="宋体"/>
        <family val="3"/>
        <charset val="134"/>
      </rPr>
      <t>所有应记录的数字货币均已记录，所有应当包括在财务报表中的相关披露均已包括；</t>
    </r>
  </si>
  <si>
    <r>
      <t>3.</t>
    </r>
    <r>
      <rPr>
        <sz val="10"/>
        <color indexed="8"/>
        <rFont val="宋体"/>
        <family val="3"/>
        <charset val="134"/>
      </rPr>
      <t>数字货币以恰当的金额包括在财务报表中，与之相关的计价或分摊调整已恰当记录，相关披露已得到恰当计量和描述</t>
    </r>
    <r>
      <rPr>
        <sz val="10"/>
        <color indexed="8"/>
        <rFont val="Arial Narrow"/>
        <family val="2"/>
      </rPr>
      <t xml:space="preserve"> </t>
    </r>
    <r>
      <rPr>
        <sz val="10"/>
        <color indexed="8"/>
        <rFont val="宋体"/>
        <family val="3"/>
        <charset val="134"/>
      </rPr>
      <t>。</t>
    </r>
  </si>
  <si>
    <r>
      <t>1.</t>
    </r>
    <r>
      <rPr>
        <sz val="10"/>
        <rFont val="宋体"/>
        <family val="3"/>
        <charset val="134"/>
      </rPr>
      <t>获取（本期）货币资金银行余额调节表确定计算的准确性，将账面余额与总账核对并与银行对账单核对。</t>
    </r>
    <r>
      <rPr>
        <sz val="10"/>
        <rFont val="Arial Narrow"/>
        <family val="2"/>
      </rPr>
      <t xml:space="preserve">   </t>
    </r>
    <phoneticPr fontId="41" type="noConversion"/>
  </si>
  <si>
    <r>
      <t>2.</t>
    </r>
    <r>
      <rPr>
        <sz val="10"/>
        <rFont val="宋体"/>
        <family val="3"/>
        <charset val="134"/>
      </rPr>
      <t>对于长期未达账项，检查是否存在记账差错、挪用资金等事项。</t>
    </r>
    <phoneticPr fontId="1" type="noConversion"/>
  </si>
  <si>
    <r>
      <t>3.</t>
    </r>
    <r>
      <rPr>
        <sz val="10"/>
        <rFont val="宋体"/>
        <family val="3"/>
        <charset val="134"/>
      </rPr>
      <t>对于大额或异常的未兑现支票，在途存款及其他调节项目：了解项目性质、检查支持性文件；追查至期后银行对账单记录，确认这些项目在期后是否已结</t>
    </r>
    <phoneticPr fontId="1" type="noConversion"/>
  </si>
  <si>
    <r>
      <rPr>
        <sz val="10"/>
        <rFont val="宋体"/>
        <family val="3"/>
        <charset val="134"/>
      </rPr>
      <t>清，调查在合理期间内没有被结清的项目。</t>
    </r>
    <r>
      <rPr>
        <sz val="10"/>
        <rFont val="Arial Narrow"/>
        <family val="2"/>
      </rPr>
      <t xml:space="preserve"> </t>
    </r>
    <phoneticPr fontId="1" type="noConversion"/>
  </si>
  <si>
    <t>已开立银行账款清单核对表</t>
    <phoneticPr fontId="4" type="noConversion"/>
  </si>
  <si>
    <t>银行存款余额调节表</t>
    <phoneticPr fontId="1" type="noConversion"/>
  </si>
  <si>
    <t>E1-7
/E1-8</t>
    <phoneticPr fontId="1" type="noConversion"/>
  </si>
  <si>
    <t>E1-10
/E1-11</t>
    <phoneticPr fontId="1" type="noConversion"/>
  </si>
  <si>
    <t>E1-14</t>
    <phoneticPr fontId="1" type="noConversion"/>
  </si>
  <si>
    <t>E1-15</t>
    <phoneticPr fontId="1" type="noConversion"/>
  </si>
  <si>
    <t>货币资金实质性程序表</t>
    <phoneticPr fontId="1" type="noConversion"/>
  </si>
  <si>
    <t>E1-3
/E0</t>
    <phoneticPr fontId="1" type="noConversion"/>
  </si>
  <si>
    <r>
      <t>A1-1</t>
    </r>
    <r>
      <rPr>
        <sz val="10"/>
        <color rgb="FFFF0000"/>
        <rFont val="Arial Narrow"/>
        <family val="2"/>
      </rPr>
      <t>/A1-15 /A1-16</t>
    </r>
    <phoneticPr fontId="1" type="noConversion"/>
  </si>
  <si>
    <r>
      <t>A1-1</t>
    </r>
    <r>
      <rPr>
        <sz val="10"/>
        <color rgb="FFFF0000"/>
        <rFont val="Arial Narrow"/>
        <family val="2"/>
      </rPr>
      <t>/A1-15 /A1-16</t>
    </r>
    <phoneticPr fontId="1" type="noConversion"/>
  </si>
  <si>
    <t>IPO/上市/新三板/重组/舞弊应对</t>
  </si>
  <si>
    <t>2</t>
    <phoneticPr fontId="1" type="noConversion"/>
  </si>
  <si>
    <t>3</t>
    <phoneticPr fontId="1" type="noConversion"/>
  </si>
  <si>
    <t>7</t>
  </si>
  <si>
    <t>8</t>
  </si>
  <si>
    <t>9</t>
  </si>
  <si>
    <t>10</t>
  </si>
  <si>
    <t>11</t>
  </si>
  <si>
    <t>12</t>
  </si>
  <si>
    <t>13</t>
  </si>
  <si>
    <t>14</t>
  </si>
  <si>
    <t>15</t>
  </si>
  <si>
    <t>1</t>
    <phoneticPr fontId="1" type="noConversion"/>
  </si>
  <si>
    <t>4</t>
    <phoneticPr fontId="1" type="noConversion"/>
  </si>
  <si>
    <r>
      <t>1.</t>
    </r>
    <r>
      <rPr>
        <sz val="10"/>
        <color theme="1"/>
        <rFont val="宋体"/>
        <family val="3"/>
        <charset val="134"/>
      </rPr>
      <t>资产负债表中记录的货币资金是存在的，且已记录于恰当的账户；</t>
    </r>
    <r>
      <rPr>
        <sz val="10"/>
        <color theme="1"/>
        <rFont val="Arial Narrow"/>
        <family val="2"/>
      </rPr>
      <t>2.</t>
    </r>
    <r>
      <rPr>
        <sz val="10"/>
        <color theme="1"/>
        <rFont val="宋体"/>
        <family val="3"/>
        <charset val="134"/>
      </rPr>
      <t>所有应当记录的货币资金均已记录，所有应当包括在财务报表中的相关披露均已包括；</t>
    </r>
    <r>
      <rPr>
        <sz val="10"/>
        <color theme="1"/>
        <rFont val="Arial Narrow"/>
        <family val="2"/>
      </rPr>
      <t/>
    </r>
    <phoneticPr fontId="1" type="noConversion"/>
  </si>
  <si>
    <r>
      <t>3.</t>
    </r>
    <r>
      <rPr>
        <sz val="10"/>
        <color theme="1"/>
        <rFont val="宋体"/>
        <family val="3"/>
        <charset val="134"/>
      </rPr>
      <t>记录的货币资金由被审计单位拥有或控制</t>
    </r>
    <phoneticPr fontId="1" type="noConversion"/>
  </si>
  <si>
    <t>之相关的重大错报风险很低。）</t>
    <phoneticPr fontId="1" type="noConversion"/>
  </si>
  <si>
    <t>监盘库存现金：
(l)选择恰当的日期突击监盘现金，对被审计单位库存现金存放在两处或两处以上的，应同时实施监盘，留存所有盘点人员签字的现金盘点表原件；
(2)将盘点金额与现金日记账余额进行核对，如有差异，应要求被审计单位查明原因并作适当调整；
(3)在非资产负债表日进行盘点时，应调整至资产负债表日的金额。
(4)若有充抵库存现金的借条、未提现支票、未作报销的原始凭证，在盘点表中注明，如有必要应作调整。</t>
    <phoneticPr fontId="1" type="noConversion"/>
  </si>
  <si>
    <t>三、计划实施的实质性程序</t>
    <phoneticPr fontId="4" type="noConversion"/>
  </si>
  <si>
    <t>7.存在大额境外资金，关注是否存在缺少具体业务支持或与交易金额不相匹配的大额资金或汇票往来等异常情况</t>
    <phoneticPr fontId="1" type="noConversion"/>
  </si>
  <si>
    <r>
      <t>8.</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4" type="noConversion"/>
  </si>
  <si>
    <r>
      <t>9.</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4" type="noConversion"/>
  </si>
  <si>
    <t>计算银行存款、其他货币资金累计余额应收利息收入，结合财务费用和投资收益审计，分析利息收入的合理性，关注银行存款是否真实存在、是否存在高息资金拆借、是否存在体外资金循环等情形。</t>
    <phoneticPr fontId="1" type="noConversion"/>
  </si>
  <si>
    <r>
      <rPr>
        <b/>
        <sz val="10"/>
        <color theme="1"/>
        <rFont val="宋体"/>
        <family val="3"/>
        <charset val="134"/>
      </rPr>
      <t>（一）</t>
    </r>
    <phoneticPr fontId="1" type="noConversion"/>
  </si>
  <si>
    <r>
      <rPr>
        <b/>
        <sz val="10"/>
        <color theme="1"/>
        <rFont val="宋体"/>
        <family val="3"/>
        <charset val="134"/>
      </rPr>
      <t>（二）</t>
    </r>
    <phoneticPr fontId="1" type="noConversion"/>
  </si>
  <si>
    <r>
      <rPr>
        <b/>
        <sz val="10"/>
        <color theme="1"/>
        <rFont val="宋体"/>
        <family val="3"/>
        <charset val="134"/>
      </rPr>
      <t>（三）</t>
    </r>
    <phoneticPr fontId="1" type="noConversion"/>
  </si>
  <si>
    <r>
      <rPr>
        <b/>
        <sz val="10"/>
        <color theme="1"/>
        <rFont val="宋体"/>
        <family val="3"/>
        <charset val="134"/>
      </rPr>
      <t>（四）</t>
    </r>
    <phoneticPr fontId="1" type="noConversion"/>
  </si>
  <si>
    <r>
      <rPr>
        <b/>
        <sz val="10"/>
        <color theme="1"/>
        <rFont val="宋体"/>
        <family val="3"/>
        <charset val="134"/>
      </rPr>
      <t>（五）</t>
    </r>
    <phoneticPr fontId="1" type="noConversion"/>
  </si>
  <si>
    <r>
      <rPr>
        <b/>
        <sz val="10"/>
        <color theme="1"/>
        <rFont val="宋体"/>
        <family val="3"/>
        <charset val="134"/>
      </rPr>
      <t>（六）</t>
    </r>
    <phoneticPr fontId="1" type="noConversion"/>
  </si>
  <si>
    <r>
      <rPr>
        <sz val="10"/>
        <rFont val="宋体"/>
        <family val="3"/>
        <charset val="134"/>
      </rPr>
      <t>被审计单位：</t>
    </r>
    <r>
      <rPr>
        <sz val="10"/>
        <rFont val="Arial Narrow"/>
        <family val="2"/>
      </rPr>
      <t/>
    </r>
    <phoneticPr fontId="4" type="noConversion"/>
  </si>
  <si>
    <t>编制人：</t>
    <phoneticPr fontId="4" type="noConversion"/>
  </si>
  <si>
    <t>编制日期：</t>
    <phoneticPr fontId="4" type="noConversion"/>
  </si>
  <si>
    <t>复核人：</t>
    <phoneticPr fontId="4" type="noConversion"/>
  </si>
  <si>
    <t>复核日期：</t>
    <phoneticPr fontId="4" type="noConversion"/>
  </si>
  <si>
    <t>完整性</t>
    <phoneticPr fontId="4" type="noConversion"/>
  </si>
  <si>
    <t>准确性、计价和分摊</t>
    <phoneticPr fontId="4" type="noConversion"/>
  </si>
  <si>
    <r>
      <t>B.</t>
    </r>
    <r>
      <rPr>
        <sz val="10"/>
        <rFont val="宋体"/>
        <family val="3"/>
        <charset val="134"/>
      </rPr>
      <t>所有应当记录的货币资金均已记录，所有应当包括在财务报表中的相关披露均已包括</t>
    </r>
    <phoneticPr fontId="4" type="noConversion"/>
  </si>
  <si>
    <r>
      <t>C.</t>
    </r>
    <r>
      <rPr>
        <sz val="10"/>
        <rFont val="宋体"/>
        <family val="3"/>
        <charset val="134"/>
      </rPr>
      <t>记录的货币资金由被审计单位拥有或控制</t>
    </r>
    <phoneticPr fontId="4" type="noConversion"/>
  </si>
  <si>
    <r>
      <t>D.</t>
    </r>
    <r>
      <rPr>
        <sz val="10"/>
        <rFont val="宋体"/>
        <family val="3"/>
        <charset val="134"/>
      </rPr>
      <t>货币资金以恰当的金额包括在财务报表中，与之相关的计价或分摊调整已恰当记录，相关披露已得到恰当计量和描述</t>
    </r>
    <phoneticPr fontId="4" type="noConversion"/>
  </si>
  <si>
    <t>NOTE1</t>
    <phoneticPr fontId="4" type="noConversion"/>
  </si>
  <si>
    <t>根据被审计单位实际情况和风险评估情况裁剪、修改或增加审计程序</t>
    <phoneticPr fontId="4" type="noConversion"/>
  </si>
  <si>
    <t>T1
/E0-2
/</t>
    <phoneticPr fontId="1" type="noConversion"/>
  </si>
  <si>
    <t>审计程序</t>
    <phoneticPr fontId="1" type="noConversion"/>
  </si>
  <si>
    <t>截止日：202X年12月31日</t>
  </si>
  <si>
    <t>关于工作底稿与审计程序索引号对应的说明</t>
    <phoneticPr fontId="4" type="noConversion"/>
  </si>
  <si>
    <r>
      <t>1.</t>
    </r>
    <r>
      <rPr>
        <b/>
        <sz val="12"/>
        <rFont val="宋体"/>
        <family val="3"/>
        <charset val="134"/>
      </rPr>
      <t>编制的审计工作底稿应与审计程序对应。</t>
    </r>
    <r>
      <rPr>
        <sz val="11"/>
        <color theme="1"/>
        <rFont val="宋体"/>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4" type="noConversion"/>
  </si>
  <si>
    <r>
      <t>2.</t>
    </r>
    <r>
      <rPr>
        <b/>
        <sz val="12"/>
        <rFont val="宋体"/>
        <family val="3"/>
        <charset val="134"/>
      </rPr>
      <t>获取的支持性证据应与审计底稿或程序对应。</t>
    </r>
    <r>
      <rPr>
        <sz val="11"/>
        <color theme="1"/>
        <rFont val="宋体"/>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2"/>
        <charset val="134"/>
        <scheme val="minor"/>
      </rPr>
      <t>、</t>
    </r>
    <r>
      <rPr>
        <sz val="12"/>
        <rFont val="Arial Narrow"/>
        <family val="2"/>
      </rPr>
      <t>D1-2-2</t>
    </r>
    <r>
      <rPr>
        <sz val="11"/>
        <color theme="1"/>
        <rFont val="宋体"/>
        <family val="2"/>
        <charset val="134"/>
        <scheme val="minor"/>
      </rPr>
      <t>、</t>
    </r>
    <r>
      <rPr>
        <sz val="12"/>
        <rFont val="Arial Narrow"/>
        <family val="2"/>
      </rPr>
      <t>……</t>
    </r>
    <r>
      <rPr>
        <sz val="11"/>
        <color theme="1"/>
        <rFont val="宋体"/>
        <family val="2"/>
        <charset val="134"/>
        <scheme val="minor"/>
      </rPr>
      <t>），并在底稿中说明引用的支持性证据、关联索引号。</t>
    </r>
    <phoneticPr fontId="4" type="noConversion"/>
  </si>
  <si>
    <r>
      <rPr>
        <b/>
        <sz val="12"/>
        <rFont val="Arial Narrow"/>
        <family val="2"/>
      </rPr>
      <t>3.</t>
    </r>
    <r>
      <rPr>
        <b/>
        <sz val="12"/>
        <rFont val="宋体"/>
        <family val="3"/>
        <charset val="134"/>
      </rPr>
      <t>工作底稿索引号的编码规则：</t>
    </r>
    <r>
      <rPr>
        <sz val="11"/>
        <color theme="1"/>
        <rFont val="宋体"/>
        <family val="2"/>
        <charset val="134"/>
        <scheme val="minor"/>
      </rPr>
      <t>实质性程序索引号按循环从</t>
    </r>
    <r>
      <rPr>
        <sz val="12"/>
        <rFont val="Arial Narrow"/>
        <family val="2"/>
      </rPr>
      <t>“D”</t>
    </r>
    <r>
      <rPr>
        <sz val="11"/>
        <color theme="1"/>
        <rFont val="宋体"/>
        <family val="2"/>
        <charset val="134"/>
        <scheme val="minor"/>
      </rPr>
      <t>到</t>
    </r>
    <r>
      <rPr>
        <sz val="12"/>
        <rFont val="Arial Narrow"/>
        <family val="2"/>
      </rPr>
      <t>“N”,</t>
    </r>
    <r>
      <rPr>
        <sz val="11"/>
        <color theme="1"/>
        <rFont val="宋体"/>
        <family val="2"/>
        <charset val="134"/>
        <scheme val="minor"/>
      </rPr>
      <t>循环内账户以顺序号排列，模板中底稿索引号按账户顺序</t>
    </r>
    <r>
      <rPr>
        <sz val="12"/>
        <rFont val="Arial Narrow"/>
        <family val="2"/>
      </rPr>
      <t>+</t>
    </r>
    <r>
      <rPr>
        <sz val="11"/>
        <color theme="1"/>
        <rFont val="宋体"/>
        <family val="2"/>
        <charset val="134"/>
        <scheme val="minor"/>
      </rPr>
      <t>自然数顺序（即模板中索引号按二级自然顺序排列，如</t>
    </r>
    <r>
      <rPr>
        <sz val="12"/>
        <rFont val="Arial Narrow"/>
        <family val="2"/>
      </rPr>
      <t>D1-1</t>
    </r>
    <r>
      <rPr>
        <sz val="11"/>
        <color theme="1"/>
        <rFont val="宋体"/>
        <family val="2"/>
        <charset val="134"/>
        <scheme val="minor"/>
      </rPr>
      <t>、</t>
    </r>
    <r>
      <rPr>
        <sz val="12"/>
        <rFont val="Arial Narrow"/>
        <family val="2"/>
      </rPr>
      <t>D1-2</t>
    </r>
    <r>
      <rPr>
        <sz val="11"/>
        <color theme="1"/>
        <rFont val="宋体"/>
        <family val="2"/>
        <charset val="134"/>
        <scheme val="minor"/>
      </rPr>
      <t>、</t>
    </r>
    <r>
      <rPr>
        <sz val="12"/>
        <rFont val="Arial Narrow"/>
        <family val="2"/>
      </rPr>
      <t>D1-3</t>
    </r>
    <r>
      <rPr>
        <sz val="11"/>
        <color theme="1"/>
        <rFont val="宋体"/>
        <family val="2"/>
        <charset val="134"/>
        <scheme val="minor"/>
      </rPr>
      <t>、</t>
    </r>
    <r>
      <rPr>
        <sz val="12"/>
        <rFont val="Arial Narrow"/>
        <family val="2"/>
      </rPr>
      <t>……D1-N</t>
    </r>
    <r>
      <rPr>
        <sz val="11"/>
        <color theme="1"/>
        <rFont val="宋体"/>
        <family val="2"/>
        <charset val="134"/>
        <scheme val="minor"/>
      </rPr>
      <t>）。</t>
    </r>
    <phoneticPr fontId="4" type="noConversion"/>
  </si>
  <si>
    <t>E1-9</t>
    <phoneticPr fontId="1" type="noConversion"/>
  </si>
  <si>
    <r>
      <t>IPO/</t>
    </r>
    <r>
      <rPr>
        <sz val="11"/>
        <color rgb="FF0000FF"/>
        <rFont val="宋体"/>
        <family val="3"/>
        <charset val="134"/>
      </rPr>
      <t>上市</t>
    </r>
    <r>
      <rPr>
        <sz val="11"/>
        <color rgb="FF0000FF"/>
        <rFont val="Arial Narrow"/>
        <family val="2"/>
      </rPr>
      <t>/</t>
    </r>
    <r>
      <rPr>
        <sz val="11"/>
        <color rgb="FF0000FF"/>
        <rFont val="宋体"/>
        <family val="3"/>
        <charset val="134"/>
      </rPr>
      <t>新三板</t>
    </r>
    <r>
      <rPr>
        <sz val="11"/>
        <color rgb="FF0000FF"/>
        <rFont val="Arial Narrow"/>
        <family val="2"/>
      </rPr>
      <t>/</t>
    </r>
    <r>
      <rPr>
        <sz val="11"/>
        <color rgb="FF0000FF"/>
        <rFont val="宋体"/>
        <family val="3"/>
        <charset val="134"/>
      </rPr>
      <t>重组</t>
    </r>
    <r>
      <rPr>
        <sz val="11"/>
        <color rgb="FF0000FF"/>
        <rFont val="Arial Narrow"/>
        <family val="2"/>
      </rPr>
      <t>/</t>
    </r>
    <r>
      <rPr>
        <sz val="11"/>
        <color rgb="FF0000FF"/>
        <rFont val="宋体"/>
        <family val="3"/>
        <charset val="134"/>
      </rPr>
      <t>对银行账账户存在疑虑时，应直接完成底稿</t>
    </r>
    <r>
      <rPr>
        <sz val="11"/>
        <color rgb="FF0000FF"/>
        <rFont val="Arial Narrow"/>
        <family val="2"/>
      </rPr>
      <t>&lt;E1-29&gt;</t>
    </r>
    <phoneticPr fontId="1" type="noConversion"/>
  </si>
  <si>
    <t>期末对账单余额</t>
    <phoneticPr fontId="1" type="noConversion"/>
  </si>
  <si>
    <t>回函确认金额</t>
    <phoneticPr fontId="1" type="noConversion"/>
  </si>
  <si>
    <r>
      <t>3.</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号——识别和应对第三方配合实施财务舞弊》：货币资金舞弊通常与收入舞弊、关联方资金占用及违规担保相联系，关注被审计单位以定期存款质押的方式为关联方提供担保，关联方取得借款后用于货款回笼。</t>
    </r>
    <phoneticPr fontId="4" type="noConversion"/>
  </si>
  <si>
    <r>
      <t>2.</t>
    </r>
    <r>
      <rPr>
        <sz val="10"/>
        <color rgb="FF0000FF"/>
        <rFont val="宋体"/>
        <family val="3"/>
        <charset val="134"/>
      </rPr>
      <t>如果对被审计单位银行账户的完整性存有疑虑，应亲自到人民银行或基本存款账户开户行查询并打印《已开立银行结算账户清单》，以确认被审计单位账面记录的银行账户是否完整。</t>
    </r>
    <phoneticPr fontId="1" type="noConversion"/>
  </si>
  <si>
    <r>
      <t>5.</t>
    </r>
    <r>
      <rPr>
        <sz val="10"/>
        <color rgb="FF0000FF"/>
        <rFont val="宋体"/>
        <family val="3"/>
        <charset val="134"/>
      </rPr>
      <t>如果对被审计单位外币银行账户的完整性存有疑虑，可以查阅被审计单位的公章使用登记，检查其中是否有使用公章申请开户的情况，如有，检查该账户是否已列入被审计单位提供的银行账户清单中。或者向负责保管网银密钥（</t>
    </r>
    <r>
      <rPr>
        <sz val="10"/>
        <color rgb="FF0000FF"/>
        <rFont val="Arial Narrow"/>
        <family val="2"/>
      </rPr>
      <t>UKey</t>
    </r>
    <r>
      <rPr>
        <sz val="10"/>
        <color rgb="FF0000FF"/>
        <rFont val="宋体"/>
        <family val="3"/>
        <charset val="134"/>
      </rPr>
      <t>）的人员获取被审计单位开通网银的账户清单，实地观察该人员登录被审计单位网银系统，打印相关银行开立的所有银行账户清单，并与被审计单位管理层提供的信息进行比较，以检查其完整性如可行，注册会计师可以考虑与被审计单位人员一同前往被审计单位所在地人民银行外汇管理局，现场查询被审计单位的外币银行账户情况。</t>
    </r>
    <phoneticPr fontId="1" type="noConversion"/>
  </si>
  <si>
    <r>
      <t>1.</t>
    </r>
    <r>
      <rPr>
        <sz val="10"/>
        <color rgb="FF0000FF"/>
        <rFont val="宋体"/>
        <family val="3"/>
        <charset val="134"/>
      </rPr>
      <t>应询问办理货币资金业务的相关人员（如出纳），了解银行账户的开立、使用、注销等情况。</t>
    </r>
    <phoneticPr fontId="1" type="noConversion"/>
  </si>
  <si>
    <r>
      <t>4.</t>
    </r>
    <r>
      <rPr>
        <sz val="10"/>
        <color rgb="FF0000FF"/>
        <rFont val="宋体"/>
        <family val="3"/>
        <charset val="134"/>
      </rPr>
      <t>结合其他相关细节测试，关注交易相关单据中被审计单位的收（付）款银行账户是否均包含在注册会计师已获取的开立银行账户清单内。</t>
    </r>
    <r>
      <rPr>
        <sz val="10"/>
        <color rgb="FF0000FF"/>
        <rFont val="Arial Narrow"/>
        <family val="2"/>
      </rPr>
      <t xml:space="preserve">                                                                                                                                                                                                                                                                                                                                          </t>
    </r>
    <phoneticPr fontId="1" type="noConversion"/>
  </si>
  <si>
    <r>
      <t>6.</t>
    </r>
    <r>
      <rPr>
        <sz val="10"/>
        <color rgb="FF0000FF"/>
        <rFont val="宋体"/>
        <family val="3"/>
        <charset val="134"/>
      </rPr>
      <t>对于使用个人账户代替被审计单位账户发生经济业务的，应考虑获取该账户户主与被审计单位的书面声明，并考虑资产负载表日是否需要调整。</t>
    </r>
    <phoneticPr fontId="1" type="noConversion"/>
  </si>
  <si>
    <r>
      <t>3.</t>
    </r>
    <r>
      <rPr>
        <sz val="10"/>
        <color rgb="FF0000FF"/>
        <rFont val="宋体"/>
        <family val="3"/>
        <charset val="134"/>
      </rPr>
      <t>结合企业信用报告，核对开户信息。</t>
    </r>
    <r>
      <rPr>
        <sz val="10"/>
        <color rgb="FF0000FF"/>
        <rFont val="Arial Narrow"/>
        <family val="2"/>
      </rPr>
      <t xml:space="preserve">                             </t>
    </r>
    <phoneticPr fontId="1" type="noConversion"/>
  </si>
  <si>
    <r>
      <t>7.</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t>
    </r>
    <r>
      <rPr>
        <sz val="10"/>
        <color rgb="FF0000FF"/>
        <rFont val="Arial Narrow"/>
        <family val="2"/>
      </rPr>
      <t>——</t>
    </r>
    <r>
      <rPr>
        <sz val="10"/>
        <color rgb="FF0000FF"/>
        <rFont val="宋体"/>
        <family val="3"/>
        <charset val="134"/>
      </rPr>
      <t>识别和应对第三方配合实施财务舞弊》：关注被审计单位及其控股股东是否与银行签订现金管理账户协议，将被审计单位</t>
    </r>
    <phoneticPr fontId="4" type="noConversion"/>
  </si>
  <si>
    <r>
      <rPr>
        <sz val="10"/>
        <color rgb="FF0000FF"/>
        <rFont val="宋体"/>
        <family val="3"/>
        <charset val="134"/>
      </rPr>
      <t>的银行账户作为子账户向控股股东集团账户自动归集（参见《中国注册会计师审计准则问题解答第</t>
    </r>
    <r>
      <rPr>
        <sz val="10"/>
        <color rgb="FF0000FF"/>
        <rFont val="Arial Narrow"/>
        <family val="2"/>
      </rPr>
      <t>12</t>
    </r>
    <r>
      <rPr>
        <sz val="10"/>
        <color rgb="FF0000FF"/>
        <rFont val="宋体"/>
        <family val="3"/>
        <charset val="134"/>
      </rPr>
      <t>号</t>
    </r>
    <r>
      <rPr>
        <sz val="10"/>
        <color rgb="FF0000FF"/>
        <rFont val="Arial Narrow"/>
        <family val="2"/>
      </rPr>
      <t>——</t>
    </r>
    <r>
      <rPr>
        <sz val="10"/>
        <color rgb="FF0000FF"/>
        <rFont val="宋体"/>
        <family val="3"/>
        <charset val="134"/>
      </rPr>
      <t>货币资金审计》），实现控股股东对被审计单位的资金占用。</t>
    </r>
    <phoneticPr fontId="4" type="noConversion"/>
  </si>
  <si>
    <t xml:space="preserve">询问办理货币资金业务的相关人员（如出纳），了解银行账户的开立、使用、注销等情况。获取本期所有（如包括本期沿用、注销、余额为零的）银行账户的清单，必要时亲自到人民银行或基本存款账户开户行查询并打印《已开立银行结算账户清单》，与企业账面账户情况进行核对，检查被审计单位银行账户的完整性，分析企业开户目的、账户是否合理。必要时获取被审计单位已将全部银行存款账户信息提供给注册会计师的书面声明。                                                                                                                                                                                       </t>
    <phoneticPr fontId="1" type="noConversion"/>
  </si>
  <si>
    <t>E1-26A</t>
    <phoneticPr fontId="1" type="noConversion"/>
  </si>
  <si>
    <t>E1-26A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</si>
</sst>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1" formatCode="_ * #,##0_ ;_ * \-#,##0_ ;_ * &quot;-&quot;_ ;_ @_ "/>
    <numFmt numFmtId="43" formatCode="_ * #,##0.00_ ;_ * \-#,##0.00_ ;_ * &quot;-&quot;??_ ;_ @_ "/>
    <numFmt numFmtId="176" formatCode="&quot;$&quot;#,##0_);\(&quot;$&quot;#,##0\)"/>
    <numFmt numFmtId="177" formatCode="_-* #,##0_-;\-* #,##0_-;_-* &quot;-&quot;_-;_-@_-"/>
    <numFmt numFmtId="178" formatCode="_-* #,##0.00_-;\-* #,##0.00_-;_-* &quot;-&quot;??_-;_-@_-"/>
    <numFmt numFmtId="179" formatCode="_-&quot;$&quot;* #,##0_-;\-&quot;$&quot;* #,##0_-;_-&quot;$&quot;* &quot;-&quot;_-;_-@_-"/>
    <numFmt numFmtId="180" formatCode="_-&quot;$&quot;* #,##0.00_-;\-&quot;$&quot;* #,##0.00_-;_-&quot;$&quot;* &quot;-&quot;??_-;_-@_-"/>
    <numFmt numFmtId="181" formatCode="&quot;\&quot;#,##0;[Red]&quot;\&quot;&quot;\&quot;\-#,##0"/>
    <numFmt numFmtId="182" formatCode="&quot;\&quot;#,##0.00;[Red]&quot;\&quot;&quot;\&quot;\-#,##0.00"/>
    <numFmt numFmtId="183" formatCode="&quot;\&quot;#,##0;&quot;\&quot;&quot;\&quot;\-#,##0"/>
    <numFmt numFmtId="184" formatCode="_(* #,##0_);_(* \(#,##0\);_(* &quot;-&quot;_);_(@_)"/>
    <numFmt numFmtId="185" formatCode="_(* #,##0.00_);_(* \(#,##0.00\);_(* &quot;-&quot;??_);_(@_)"/>
    <numFmt numFmtId="186" formatCode="0.0000_);[Red]\(0.0000\)"/>
    <numFmt numFmtId="187" formatCode="000000"/>
    <numFmt numFmtId="188" formatCode="_-#,##0_-;\(#,##0\);_-\ \ &quot;-&quot;_-;_-@_-"/>
    <numFmt numFmtId="189" formatCode="_-#,##0.00_-;\(#,##0.00\);_-\ \ &quot;-&quot;_-;_-@_-"/>
    <numFmt numFmtId="190" formatCode="mmm/dd/yyyy;_-\ &quot;N/A&quot;_-;_-\ &quot;-&quot;_-"/>
    <numFmt numFmtId="191" formatCode="mmm/yyyy;_-\ &quot;N/A&quot;_-;_-\ &quot;-&quot;_-"/>
    <numFmt numFmtId="192" formatCode="_-#,##0%_-;\(#,##0%\);_-\ &quot;-&quot;_-"/>
    <numFmt numFmtId="193" formatCode="_-#,###,_-;\(#,###,\);_-\ \ &quot;-&quot;_-;_-@_-"/>
    <numFmt numFmtId="194" formatCode="_-#,###.00,_-;\(#,###.00,\);_-\ \ &quot;-&quot;_-;_-@_-"/>
    <numFmt numFmtId="195" formatCode="_-#0&quot;.&quot;0,_-;\(#0&quot;.&quot;0,\);_-\ \ &quot;-&quot;_-;_-@_-"/>
    <numFmt numFmtId="196" formatCode="_-#0&quot;.&quot;0000_-;\(#0&quot;.&quot;0000\);_-\ \ &quot;-&quot;_-;_-@_-"/>
    <numFmt numFmtId="197" formatCode="_([$€-2]* #,##0.00_);_([$€-2]* \(#,##0.00\);_([$€-2]* &quot;-&quot;??_)"/>
    <numFmt numFmtId="198" formatCode="0.00_);[Red]\(0.00\)"/>
    <numFmt numFmtId="199" formatCode="#,##0.00_ "/>
    <numFmt numFmtId="200" formatCode="#,##0.00_);[Red]\(#,##0.00\)"/>
    <numFmt numFmtId="201" formatCode="[$-F800]dddd\,\ mmmm\ dd\,\ yyyy"/>
    <numFmt numFmtId="202" formatCode="_ * #,##0.0000_ ;_ * \-#,##0.0000_ ;_ * &quot;-&quot;??_ ;_ @_ "/>
  </numFmts>
  <fonts count="104">
    <font>
      <sz val="11"/>
      <color theme="1"/>
      <name val="宋体"/>
      <family val="2"/>
      <charset val="134"/>
      <scheme val="minor"/>
    </font>
    <font>
      <sz val="9"/>
      <name val="宋体"/>
      <family val="2"/>
      <charset val="134"/>
      <scheme val="minor"/>
    </font>
    <font>
      <b/>
      <sz val="12"/>
      <name val="Arial Narrow"/>
      <family val="2"/>
    </font>
    <font>
      <b/>
      <sz val="12"/>
      <name val="宋体"/>
      <family val="3"/>
      <charset val="134"/>
    </font>
    <font>
      <sz val="9"/>
      <name val="宋体"/>
      <family val="3"/>
      <charset val="134"/>
    </font>
    <font>
      <sz val="12"/>
      <name val="Arial Narrow"/>
      <family val="2"/>
    </font>
    <font>
      <sz val="10"/>
      <name val="Arial Narrow"/>
      <family val="2"/>
    </font>
    <font>
      <sz val="10"/>
      <name val="宋体"/>
      <family val="3"/>
      <charset val="134"/>
    </font>
    <font>
      <sz val="10.5"/>
      <name val="Arial Narrow"/>
      <family val="2"/>
    </font>
    <font>
      <u/>
      <sz val="12"/>
      <color indexed="12"/>
      <name val="宋体"/>
      <family val="3"/>
      <charset val="134"/>
    </font>
    <font>
      <sz val="12"/>
      <name val="宋体"/>
      <family val="3"/>
      <charset val="134"/>
    </font>
    <font>
      <b/>
      <sz val="10"/>
      <name val="Arial Narrow"/>
      <family val="2"/>
    </font>
    <font>
      <sz val="11"/>
      <color indexed="9"/>
      <name val="宋体"/>
      <family val="3"/>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name val="宋体"/>
      <family val="3"/>
      <charset val="134"/>
    </font>
    <font>
      <sz val="10"/>
      <color indexed="12"/>
      <name val="宋体"/>
      <family val="3"/>
      <charset val="134"/>
    </font>
    <font>
      <sz val="12"/>
      <name val="Times New Roman"/>
      <family val="1"/>
    </font>
    <font>
      <u/>
      <sz val="10"/>
      <name val="Arial Narrow"/>
      <family val="2"/>
    </font>
    <font>
      <sz val="10"/>
      <color indexed="10"/>
      <name val="宋体"/>
      <family val="3"/>
      <charset val="134"/>
    </font>
    <font>
      <sz val="10"/>
      <color indexed="10"/>
      <name val="Arial Narrow"/>
      <family val="2"/>
    </font>
    <font>
      <sz val="10"/>
      <color indexed="12"/>
      <name val="Arial Narrow"/>
      <family val="2"/>
    </font>
    <font>
      <b/>
      <sz val="10"/>
      <color indexed="12"/>
      <name val="Arial Narrow"/>
      <family val="2"/>
    </font>
    <font>
      <b/>
      <sz val="10"/>
      <color indexed="12"/>
      <name val="宋体"/>
      <family val="3"/>
      <charset val="134"/>
    </font>
    <font>
      <b/>
      <sz val="10"/>
      <color indexed="8"/>
      <name val="Arial Narrow"/>
      <family val="2"/>
    </font>
    <font>
      <b/>
      <sz val="10"/>
      <color indexed="8"/>
      <name val="宋体"/>
      <family val="3"/>
      <charset val="134"/>
    </font>
    <font>
      <sz val="10"/>
      <name val="Times New Roman"/>
      <family val="1"/>
    </font>
    <font>
      <b/>
      <u/>
      <sz val="10"/>
      <color indexed="10"/>
      <name val="Arial Narrow"/>
      <family val="2"/>
    </font>
    <font>
      <sz val="10"/>
      <color rgb="FF0000FF"/>
      <name val="Arial Narrow"/>
      <family val="2"/>
    </font>
    <font>
      <sz val="10"/>
      <color rgb="FF0000FF"/>
      <name val="宋体"/>
      <family val="3"/>
      <charset val="134"/>
    </font>
    <font>
      <sz val="10"/>
      <color indexed="8"/>
      <name val="Arial Narrow"/>
      <family val="2"/>
    </font>
    <font>
      <sz val="11"/>
      <color theme="1"/>
      <name val="宋体"/>
      <family val="2"/>
      <scheme val="minor"/>
    </font>
    <font>
      <sz val="9"/>
      <name val="宋体"/>
      <family val="3"/>
      <charset val="134"/>
      <scheme val="minor"/>
    </font>
    <font>
      <u val="singleAccounting"/>
      <vertAlign val="subscript"/>
      <sz val="10"/>
      <name val="Times New Roman"/>
      <family val="1"/>
    </font>
    <font>
      <i/>
      <sz val="9"/>
      <name val="Times New Roman"/>
      <family val="1"/>
    </font>
    <font>
      <sz val="9"/>
      <name val="Tahoma"/>
      <family val="2"/>
      <charset val="134"/>
    </font>
    <font>
      <sz val="10"/>
      <color indexed="48"/>
      <name val="Arial Narrow"/>
      <family val="2"/>
    </font>
    <font>
      <sz val="12"/>
      <color indexed="48"/>
      <name val="Arial Narrow"/>
      <family val="2"/>
    </font>
    <font>
      <sz val="11"/>
      <color theme="1"/>
      <name val="宋体"/>
      <family val="2"/>
      <charset val="134"/>
      <scheme val="minor"/>
    </font>
    <font>
      <sz val="11"/>
      <color theme="1"/>
      <name val="宋体"/>
      <family val="3"/>
      <charset val="134"/>
      <scheme val="minor"/>
    </font>
    <font>
      <sz val="10"/>
      <color indexed="8"/>
      <name val="宋体"/>
      <family val="3"/>
      <charset val="134"/>
    </font>
    <font>
      <u/>
      <sz val="10"/>
      <color rgb="FFFF0000"/>
      <name val="Arial Narrow"/>
      <family val="2"/>
    </font>
    <font>
      <sz val="10"/>
      <color rgb="FFFF0000"/>
      <name val="Arial Narrow"/>
      <family val="2"/>
    </font>
    <font>
      <sz val="10"/>
      <color theme="1"/>
      <name val="宋体"/>
      <family val="3"/>
      <charset val="134"/>
    </font>
    <font>
      <b/>
      <sz val="10"/>
      <color theme="1"/>
      <name val="宋体"/>
      <family val="3"/>
      <charset val="134"/>
    </font>
    <font>
      <b/>
      <sz val="10"/>
      <color rgb="FF0000FF"/>
      <name val="宋体"/>
      <family val="3"/>
      <charset val="134"/>
    </font>
    <font>
      <sz val="10"/>
      <color theme="1"/>
      <name val="Arial Narrow"/>
      <family val="2"/>
    </font>
    <font>
      <b/>
      <sz val="10"/>
      <color theme="1"/>
      <name val="Arial Narrow"/>
      <family val="2"/>
    </font>
    <font>
      <b/>
      <sz val="10"/>
      <name val="Arial"/>
      <family val="2"/>
    </font>
    <font>
      <b/>
      <sz val="12"/>
      <color rgb="FF000000"/>
      <name val="Arial Narrow"/>
      <family val="2"/>
    </font>
    <font>
      <sz val="12"/>
      <color rgb="FF000000"/>
      <name val="Arial Narrow"/>
      <family val="2"/>
    </font>
    <font>
      <u/>
      <sz val="10"/>
      <color indexed="8"/>
      <name val="Arial Narrow"/>
      <family val="2"/>
    </font>
    <font>
      <sz val="12"/>
      <color theme="1"/>
      <name val="Arial Narrow"/>
      <family val="2"/>
    </font>
    <font>
      <sz val="10"/>
      <color rgb="FFFF0000"/>
      <name val="宋体"/>
      <family val="3"/>
      <charset val="134"/>
    </font>
    <font>
      <b/>
      <sz val="12"/>
      <color theme="1"/>
      <name val="宋体"/>
      <family val="3"/>
      <charset val="134"/>
    </font>
    <font>
      <b/>
      <sz val="12"/>
      <color theme="1"/>
      <name val="Arial Narrow"/>
      <family val="2"/>
    </font>
    <font>
      <b/>
      <sz val="10.5"/>
      <color rgb="FF000000"/>
      <name val="Arial Narrow"/>
      <family val="2"/>
    </font>
    <font>
      <sz val="10.5"/>
      <color rgb="FF000000"/>
      <name val="Arial Narrow"/>
      <family val="2"/>
    </font>
    <font>
      <b/>
      <sz val="10"/>
      <color rgb="FFE92841"/>
      <name val="Arial Narrow"/>
      <family val="2"/>
    </font>
    <font>
      <b/>
      <sz val="10"/>
      <name val="宋体"/>
      <family val="2"/>
      <charset val="134"/>
    </font>
    <font>
      <b/>
      <sz val="10"/>
      <name val="Arial"/>
      <family val="2"/>
      <charset val="134"/>
    </font>
    <font>
      <sz val="10"/>
      <name val="宋体"/>
      <family val="2"/>
      <charset val="134"/>
    </font>
    <font>
      <sz val="11"/>
      <color theme="1"/>
      <name val="宋体"/>
      <family val="3"/>
      <charset val="134"/>
    </font>
    <font>
      <b/>
      <sz val="14"/>
      <name val="宋体"/>
      <family val="3"/>
      <charset val="134"/>
    </font>
    <font>
      <sz val="11"/>
      <name val="宋体"/>
      <family val="3"/>
      <charset val="134"/>
    </font>
    <font>
      <b/>
      <sz val="11"/>
      <color indexed="8"/>
      <name val="宋体"/>
      <family val="3"/>
      <charset val="134"/>
    </font>
    <font>
      <u/>
      <sz val="11"/>
      <color indexed="12"/>
      <name val="宋体"/>
      <family val="3"/>
      <charset val="134"/>
    </font>
    <font>
      <sz val="11"/>
      <color theme="1"/>
      <name val="Arial Narrow"/>
      <family val="2"/>
    </font>
    <font>
      <b/>
      <sz val="12"/>
      <color rgb="FF000000"/>
      <name val="宋体"/>
      <family val="3"/>
      <charset val="134"/>
    </font>
    <font>
      <sz val="12"/>
      <color rgb="FF000000"/>
      <name val="宋体"/>
      <family val="3"/>
      <charset val="134"/>
    </font>
    <font>
      <sz val="12"/>
      <color rgb="FF0000FF"/>
      <name val="宋体"/>
      <family val="3"/>
      <charset val="134"/>
    </font>
    <font>
      <sz val="12"/>
      <color rgb="FF0000FF"/>
      <name val="Arial Narrow"/>
      <family val="2"/>
    </font>
    <font>
      <b/>
      <sz val="10.5"/>
      <color rgb="FF000000"/>
      <name val="宋体"/>
      <family val="3"/>
      <charset val="134"/>
    </font>
    <font>
      <sz val="10.5"/>
      <color rgb="FF000000"/>
      <name val="宋体"/>
      <family val="3"/>
      <charset val="134"/>
    </font>
    <font>
      <sz val="12"/>
      <color theme="1"/>
      <name val="宋体"/>
      <family val="3"/>
      <charset val="134"/>
    </font>
    <font>
      <sz val="14"/>
      <name val="Arial Narrow"/>
      <family val="2"/>
    </font>
    <font>
      <sz val="14"/>
      <name val="宋体"/>
      <family val="3"/>
      <charset val="134"/>
    </font>
    <font>
      <sz val="11"/>
      <color rgb="FFFF0000"/>
      <name val="Arial Narrow"/>
      <family val="2"/>
    </font>
    <font>
      <sz val="12"/>
      <color indexed="12"/>
      <name val="宋体"/>
      <family val="3"/>
      <charset val="134"/>
    </font>
    <font>
      <sz val="12"/>
      <color indexed="12"/>
      <name val="Arial Narrow"/>
      <family val="2"/>
    </font>
    <font>
      <b/>
      <sz val="14"/>
      <color rgb="FFFF0000"/>
      <name val="宋体"/>
      <family val="3"/>
      <charset val="134"/>
    </font>
    <font>
      <sz val="14"/>
      <color theme="1"/>
      <name val="Arial Narrow"/>
      <family val="2"/>
    </font>
    <font>
      <sz val="10"/>
      <color theme="1"/>
      <name val="宋体"/>
      <family val="2"/>
      <charset val="134"/>
    </font>
    <font>
      <sz val="11"/>
      <color theme="1"/>
      <name val="宋体"/>
      <family val="2"/>
      <charset val="134"/>
    </font>
    <font>
      <sz val="10"/>
      <color indexed="12"/>
      <name val="Arial Narrow"/>
      <family val="3"/>
      <charset val="134"/>
    </font>
    <font>
      <sz val="9"/>
      <color indexed="81"/>
      <name val="宋体"/>
      <family val="3"/>
      <charset val="134"/>
    </font>
    <font>
      <b/>
      <sz val="9"/>
      <color indexed="81"/>
      <name val="宋体"/>
      <family val="3"/>
      <charset val="134"/>
    </font>
    <font>
      <sz val="11"/>
      <color rgb="FF0000FF"/>
      <name val="Arial Narrow"/>
      <family val="2"/>
    </font>
    <font>
      <sz val="11"/>
      <color rgb="FF0000FF"/>
      <name val="宋体"/>
      <family val="3"/>
      <charset val="134"/>
    </font>
    <font>
      <u/>
      <sz val="11"/>
      <color theme="10"/>
      <name val="宋体"/>
      <family val="2"/>
      <scheme val="minor"/>
    </font>
    <font>
      <b/>
      <u/>
      <sz val="10"/>
      <name val="Arial Narrow"/>
      <family val="2"/>
    </font>
    <font>
      <b/>
      <u/>
      <sz val="10"/>
      <name val="宋体"/>
      <family val="3"/>
      <charset val="134"/>
    </font>
    <font>
      <sz val="11"/>
      <name val="楷体"/>
      <family val="3"/>
      <charset val="134"/>
    </font>
    <font>
      <b/>
      <sz val="11"/>
      <color theme="1"/>
      <name val="宋体"/>
      <family val="3"/>
      <charset val="134"/>
    </font>
    <font>
      <b/>
      <sz val="10"/>
      <color rgb="FF0000FF"/>
      <name val="Arial Narrow"/>
      <family val="2"/>
    </font>
  </fonts>
  <fills count="13">
    <fill>
      <patternFill patternType="none"/>
    </fill>
    <fill>
      <patternFill patternType="gray125"/>
    </fill>
    <fill>
      <patternFill patternType="solid">
        <fgColor indexed="14"/>
        <bgColor indexed="64"/>
      </patternFill>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rgb="FFFFFF99"/>
        <bgColor indexed="64"/>
      </patternFill>
    </fill>
    <fill>
      <patternFill patternType="solid">
        <fgColor theme="0"/>
        <bgColor indexed="64"/>
      </patternFill>
    </fill>
    <fill>
      <patternFill patternType="solid">
        <fgColor rgb="FFDCD5E5"/>
        <bgColor indexed="64"/>
      </patternFill>
    </fill>
    <fill>
      <patternFill patternType="solid">
        <fgColor rgb="FFE4DFEC"/>
        <bgColor indexed="64"/>
      </patternFill>
    </fill>
    <fill>
      <patternFill patternType="solid">
        <fgColor rgb="FFFFFF00"/>
        <bgColor indexed="64"/>
      </patternFill>
    </fill>
    <fill>
      <patternFill patternType="solid">
        <fgColor theme="0" tint="-0.14999847407452621"/>
        <bgColor indexed="64"/>
      </patternFill>
    </fill>
  </fills>
  <borders count="19">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diagonal/>
    </border>
    <border>
      <left/>
      <right style="hair">
        <color indexed="64"/>
      </right>
      <top/>
      <bottom/>
      <diagonal/>
    </border>
  </borders>
  <cellStyleXfs count="75">
    <xf numFmtId="0" fontId="0" fillId="0" borderId="0">
      <alignment vertical="center"/>
    </xf>
    <xf numFmtId="0" fontId="9" fillId="0" borderId="0" applyNumberFormat="0" applyFill="0" applyBorder="0" applyAlignment="0" applyProtection="0">
      <alignment vertical="top"/>
      <protection locked="0"/>
    </xf>
    <xf numFmtId="0" fontId="10" fillId="0" borderId="0">
      <protection locked="0"/>
    </xf>
    <xf numFmtId="0" fontId="12" fillId="3" borderId="0" applyNumberFormat="0" applyBorder="0" applyAlignment="0" applyProtection="0">
      <alignment vertical="center"/>
    </xf>
    <xf numFmtId="3" fontId="13" fillId="0" borderId="0"/>
    <xf numFmtId="176" fontId="14" fillId="0" borderId="4" applyAlignment="0" applyProtection="0"/>
    <xf numFmtId="177" fontId="15" fillId="0" borderId="0" applyFont="0" applyFill="0" applyBorder="0" applyAlignment="0" applyProtection="0"/>
    <xf numFmtId="178" fontId="15" fillId="0" borderId="0" applyFont="0" applyFill="0" applyBorder="0" applyAlignment="0" applyProtection="0"/>
    <xf numFmtId="179" fontId="15" fillId="0" borderId="0" applyFont="0" applyFill="0" applyBorder="0" applyAlignment="0" applyProtection="0"/>
    <xf numFmtId="180"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0" fontId="16" fillId="0" borderId="0" applyNumberFormat="0" applyFill="0" applyBorder="0" applyAlignment="0" applyProtection="0">
      <alignment vertical="top"/>
      <protection locked="0"/>
    </xf>
    <xf numFmtId="38" fontId="17" fillId="4" borderId="0" applyNumberFormat="0" applyBorder="0" applyAlignment="0" applyProtection="0"/>
    <xf numFmtId="0" fontId="18" fillId="0" borderId="0" applyNumberFormat="0" applyFill="0" applyBorder="0" applyAlignment="0" applyProtection="0">
      <alignment vertical="top"/>
      <protection locked="0"/>
    </xf>
    <xf numFmtId="10" fontId="17" fillId="5" borderId="5" applyNumberFormat="0" applyBorder="0" applyAlignment="0" applyProtection="0"/>
    <xf numFmtId="181" fontId="10" fillId="0" borderId="0" applyFont="0" applyFill="0" applyBorder="0" applyAlignment="0" applyProtection="0"/>
    <xf numFmtId="182" fontId="10" fillId="0" borderId="0" applyFont="0" applyFill="0" applyBorder="0" applyAlignment="0" applyProtection="0"/>
    <xf numFmtId="0" fontId="19" fillId="0" borderId="0"/>
    <xf numFmtId="183" fontId="10" fillId="0" borderId="0"/>
    <xf numFmtId="0" fontId="20" fillId="0" borderId="0"/>
    <xf numFmtId="10" fontId="15" fillId="0" borderId="0" applyFont="0" applyFill="0" applyBorder="0" applyAlignment="0" applyProtection="0"/>
    <xf numFmtId="3" fontId="21" fillId="0" borderId="0"/>
    <xf numFmtId="0" fontId="10" fillId="0" borderId="0">
      <protection locked="0"/>
    </xf>
    <xf numFmtId="0" fontId="22" fillId="0" borderId="0"/>
    <xf numFmtId="184" fontId="10" fillId="0" borderId="0" applyFont="0" applyFill="0" applyBorder="0" applyAlignment="0" applyProtection="0"/>
    <xf numFmtId="185" fontId="10" fillId="0" borderId="0" applyFont="0" applyFill="0" applyBorder="0" applyAlignment="0" applyProtection="0"/>
    <xf numFmtId="41" fontId="23" fillId="0" borderId="0" applyFont="0" applyFill="0" applyBorder="0" applyAlignment="0" applyProtection="0"/>
    <xf numFmtId="43" fontId="23" fillId="0" borderId="0" applyFont="0" applyFill="0" applyBorder="0" applyAlignment="0" applyProtection="0"/>
    <xf numFmtId="0" fontId="10" fillId="0" borderId="0" applyFill="0" applyBorder="0"/>
    <xf numFmtId="43" fontId="10" fillId="0" borderId="0" applyFont="0" applyFill="0" applyBorder="0" applyAlignment="0" applyProtection="0"/>
    <xf numFmtId="0" fontId="26" fillId="0" borderId="0"/>
    <xf numFmtId="9" fontId="10" fillId="0" borderId="0" applyFont="0" applyFill="0" applyBorder="0" applyAlignment="0" applyProtection="0"/>
    <xf numFmtId="0" fontId="10" fillId="0" borderId="0">
      <alignment vertical="center"/>
    </xf>
    <xf numFmtId="0" fontId="10" fillId="0" borderId="0">
      <alignment vertical="center"/>
    </xf>
    <xf numFmtId="0" fontId="10" fillId="0" borderId="0"/>
    <xf numFmtId="0" fontId="40" fillId="0" borderId="0"/>
    <xf numFmtId="49" fontId="35" fillId="0" borderId="0" applyProtection="0">
      <alignment horizontal="left"/>
    </xf>
    <xf numFmtId="188" fontId="35" fillId="0" borderId="0" applyFill="0" applyBorder="0" applyProtection="0">
      <alignment horizontal="right"/>
    </xf>
    <xf numFmtId="189" fontId="35" fillId="0" borderId="0" applyFill="0" applyBorder="0" applyProtection="0">
      <alignment horizontal="right"/>
    </xf>
    <xf numFmtId="190" fontId="42" fillId="0" borderId="0" applyFill="0" applyBorder="0" applyProtection="0">
      <alignment horizontal="center"/>
    </xf>
    <xf numFmtId="191" fontId="42" fillId="0" borderId="0" applyFill="0" applyBorder="0" applyProtection="0">
      <alignment horizontal="center"/>
    </xf>
    <xf numFmtId="192" fontId="43" fillId="0" borderId="0" applyFill="0" applyBorder="0" applyProtection="0">
      <alignment horizontal="right"/>
    </xf>
    <xf numFmtId="193" fontId="35" fillId="0" borderId="0" applyFill="0" applyBorder="0" applyProtection="0">
      <alignment horizontal="right"/>
    </xf>
    <xf numFmtId="194" fontId="35" fillId="0" borderId="0" applyFill="0" applyBorder="0" applyProtection="0">
      <alignment horizontal="right"/>
    </xf>
    <xf numFmtId="195" fontId="35" fillId="0" borderId="0" applyFill="0" applyBorder="0" applyProtection="0">
      <alignment horizontal="right"/>
    </xf>
    <xf numFmtId="196" fontId="35" fillId="0" borderId="0" applyFill="0" applyBorder="0" applyProtection="0">
      <alignment horizontal="right"/>
    </xf>
    <xf numFmtId="197" fontId="35" fillId="0" borderId="0" applyFont="0" applyFill="0" applyBorder="0" applyAlignment="0" applyProtection="0"/>
    <xf numFmtId="0" fontId="15" fillId="0" borderId="0"/>
    <xf numFmtId="43" fontId="47" fillId="0" borderId="0" applyFont="0" applyFill="0" applyBorder="0" applyAlignment="0" applyProtection="0">
      <alignment vertical="center"/>
    </xf>
    <xf numFmtId="9" fontId="47" fillId="0" borderId="0" applyFont="0" applyFill="0" applyBorder="0" applyAlignment="0" applyProtection="0">
      <alignment vertical="center"/>
    </xf>
    <xf numFmtId="197" fontId="48" fillId="0" borderId="0">
      <alignment vertical="center"/>
    </xf>
    <xf numFmtId="197" fontId="10" fillId="0" borderId="0"/>
    <xf numFmtId="0" fontId="10" fillId="0" borderId="0">
      <alignment vertical="center"/>
    </xf>
    <xf numFmtId="0" fontId="10" fillId="0" borderId="0"/>
    <xf numFmtId="0" fontId="26" fillId="0" borderId="0">
      <alignment vertical="center" shrinkToFit="1"/>
    </xf>
    <xf numFmtId="0" fontId="10" fillId="0" borderId="0">
      <protection locked="0"/>
    </xf>
    <xf numFmtId="0" fontId="10" fillId="0" borderId="0">
      <protection locked="0"/>
    </xf>
    <xf numFmtId="197" fontId="10" fillId="0" borderId="0"/>
    <xf numFmtId="0" fontId="9" fillId="0" borderId="0" applyNumberFormat="0" applyFill="0" applyBorder="0" applyAlignment="0" applyProtection="0">
      <alignment vertical="top"/>
      <protection locked="0"/>
    </xf>
    <xf numFmtId="9" fontId="10" fillId="0" borderId="0" applyFont="0" applyFill="0" applyBorder="0" applyAlignment="0" applyProtection="0"/>
    <xf numFmtId="197" fontId="47" fillId="0" borderId="0">
      <alignment vertical="center"/>
    </xf>
    <xf numFmtId="197" fontId="47" fillId="0" borderId="0">
      <alignment vertical="center"/>
    </xf>
    <xf numFmtId="0" fontId="10" fillId="0" borderId="0">
      <alignment vertical="center"/>
    </xf>
    <xf numFmtId="197" fontId="47" fillId="0" borderId="0">
      <alignment vertical="center"/>
    </xf>
    <xf numFmtId="0" fontId="35" fillId="0" borderId="0">
      <protection locked="0"/>
    </xf>
    <xf numFmtId="0" fontId="47" fillId="0" borderId="0">
      <alignment vertical="center"/>
    </xf>
    <xf numFmtId="0" fontId="10" fillId="0" borderId="0">
      <alignment vertical="center"/>
    </xf>
    <xf numFmtId="9" fontId="47" fillId="0" borderId="0" applyFont="0" applyFill="0" applyBorder="0" applyAlignment="0" applyProtection="0">
      <alignment vertical="center"/>
    </xf>
    <xf numFmtId="0" fontId="98" fillId="0" borderId="0" applyNumberFormat="0" applyFill="0" applyBorder="0" applyAlignment="0" applyProtection="0"/>
    <xf numFmtId="0" fontId="47" fillId="0" borderId="0">
      <alignment vertical="center"/>
    </xf>
    <xf numFmtId="43" fontId="47" fillId="0" borderId="0" applyFont="0" applyFill="0" applyBorder="0" applyAlignment="0" applyProtection="0">
      <alignment vertical="center"/>
    </xf>
    <xf numFmtId="43" fontId="10" fillId="0" borderId="0" applyFont="0" applyFill="0" applyBorder="0" applyAlignment="0" applyProtection="0"/>
    <xf numFmtId="197" fontId="47" fillId="0" borderId="0">
      <alignment vertical="center"/>
    </xf>
    <xf numFmtId="197" fontId="10" fillId="0" borderId="0"/>
  </cellStyleXfs>
  <cellXfs count="547">
    <xf numFmtId="0" fontId="0" fillId="0" borderId="0" xfId="0">
      <alignment vertical="center"/>
    </xf>
    <xf numFmtId="0" fontId="2" fillId="0" borderId="0" xfId="0" applyFont="1" applyProtection="1">
      <alignment vertical="center"/>
      <protection locked="0"/>
    </xf>
    <xf numFmtId="0" fontId="5" fillId="0" borderId="0" xfId="0" applyFont="1" applyProtection="1">
      <alignment vertical="center"/>
      <protection locked="0"/>
    </xf>
    <xf numFmtId="0" fontId="6" fillId="0" borderId="0" xfId="0" applyFont="1" applyAlignment="1" applyProtection="1">
      <alignment horizontal="center" vertical="center"/>
      <protection locked="0"/>
    </xf>
    <xf numFmtId="0" fontId="8" fillId="0" borderId="0" xfId="0" applyFont="1" applyAlignment="1" applyProtection="1">
      <alignment horizontal="justify" wrapText="1"/>
      <protection locked="0"/>
    </xf>
    <xf numFmtId="0" fontId="6" fillId="0" borderId="0" xfId="0" applyFont="1" applyAlignment="1" applyProtection="1">
      <protection locked="0"/>
    </xf>
    <xf numFmtId="0" fontId="5" fillId="0" borderId="0" xfId="0" applyFont="1" applyAlignment="1" applyProtection="1">
      <protection locked="0"/>
    </xf>
    <xf numFmtId="0" fontId="11" fillId="0" borderId="0" xfId="2" applyFont="1" applyAlignment="1">
      <alignment vertical="center"/>
      <protection locked="0"/>
    </xf>
    <xf numFmtId="0" fontId="5" fillId="0" borderId="0" xfId="2" applyFont="1">
      <protection locked="0"/>
    </xf>
    <xf numFmtId="0" fontId="2" fillId="0" borderId="0" xfId="2" applyFont="1" applyAlignment="1">
      <alignment vertical="center"/>
      <protection locked="0"/>
    </xf>
    <xf numFmtId="0" fontId="6" fillId="0" borderId="0" xfId="2" applyFont="1" applyAlignment="1">
      <alignment horizontal="left" vertical="center"/>
      <protection locked="0"/>
    </xf>
    <xf numFmtId="0" fontId="6" fillId="0" borderId="0" xfId="2" applyFont="1" applyAlignment="1">
      <alignment horizontal="left" vertical="center" indent="2"/>
      <protection locked="0"/>
    </xf>
    <xf numFmtId="0" fontId="6" fillId="0" borderId="0" xfId="2" applyFont="1" applyAlignment="1">
      <alignment vertical="center"/>
      <protection locked="0"/>
    </xf>
    <xf numFmtId="43" fontId="5" fillId="0" borderId="0" xfId="29" applyNumberFormat="1" applyFont="1" applyBorder="1" applyAlignment="1">
      <alignment vertical="center"/>
    </xf>
    <xf numFmtId="43" fontId="6" fillId="0" borderId="0" xfId="29" applyNumberFormat="1" applyFont="1" applyBorder="1" applyAlignment="1">
      <alignment vertical="center"/>
    </xf>
    <xf numFmtId="43" fontId="6" fillId="0" borderId="0" xfId="29" applyNumberFormat="1" applyFont="1" applyBorder="1" applyAlignment="1">
      <alignment horizontal="left" vertical="center"/>
    </xf>
    <xf numFmtId="49" fontId="6" fillId="0" borderId="0" xfId="29" applyNumberFormat="1" applyFont="1" applyBorder="1" applyAlignment="1">
      <alignment vertical="center"/>
    </xf>
    <xf numFmtId="49" fontId="6" fillId="0" borderId="0" xfId="29" applyNumberFormat="1" applyFont="1" applyBorder="1" applyAlignment="1">
      <alignment horizontal="center" vertical="center"/>
    </xf>
    <xf numFmtId="0" fontId="6" fillId="0" borderId="0" xfId="31" applyFont="1" applyAlignment="1">
      <alignment vertical="center"/>
    </xf>
    <xf numFmtId="0" fontId="6" fillId="0" borderId="0" xfId="31" applyFont="1" applyAlignment="1">
      <alignment horizontal="left" vertical="center"/>
    </xf>
    <xf numFmtId="0" fontId="5" fillId="0" borderId="0" xfId="33" applyFont="1">
      <alignment vertical="center"/>
    </xf>
    <xf numFmtId="0" fontId="6" fillId="0" borderId="0" xfId="34" applyFont="1">
      <alignment vertical="center"/>
    </xf>
    <xf numFmtId="0" fontId="6" fillId="0" borderId="0" xfId="2" applyFont="1" applyAlignment="1">
      <alignment horizontal="right" vertical="center"/>
      <protection locked="0"/>
    </xf>
    <xf numFmtId="0" fontId="33" fillId="0" borderId="0" xfId="2" applyFont="1" applyAlignment="1" applyProtection="1">
      <alignment vertical="center"/>
    </xf>
    <xf numFmtId="0" fontId="11" fillId="0" borderId="0" xfId="2" applyFont="1" applyAlignment="1" applyProtection="1">
      <alignment horizontal="left" vertical="center"/>
    </xf>
    <xf numFmtId="0" fontId="6" fillId="0" borderId="0" xfId="2" applyFont="1">
      <protection locked="0"/>
    </xf>
    <xf numFmtId="43" fontId="6" fillId="0" borderId="11" xfId="2" applyNumberFormat="1" applyFont="1" applyBorder="1" applyAlignment="1">
      <alignment horizontal="center" vertical="center"/>
      <protection locked="0"/>
    </xf>
    <xf numFmtId="0" fontId="30" fillId="0" borderId="0" xfId="2" applyFont="1" applyAlignment="1">
      <alignment vertical="center"/>
      <protection locked="0"/>
    </xf>
    <xf numFmtId="0" fontId="30" fillId="0" borderId="0" xfId="2" applyFont="1">
      <protection locked="0"/>
    </xf>
    <xf numFmtId="0" fontId="31" fillId="0" borderId="0" xfId="2" applyFont="1" applyAlignment="1">
      <alignment horizontal="right"/>
      <protection locked="0"/>
    </xf>
    <xf numFmtId="0" fontId="30" fillId="0" borderId="0" xfId="2" applyFont="1" applyAlignment="1">
      <alignment horizontal="right"/>
      <protection locked="0"/>
    </xf>
    <xf numFmtId="186" fontId="30" fillId="0" borderId="0" xfId="2" applyNumberFormat="1" applyFont="1" applyAlignment="1">
      <alignment horizontal="center" vertical="center"/>
      <protection locked="0"/>
    </xf>
    <xf numFmtId="0" fontId="6" fillId="0" borderId="0" xfId="2" applyFont="1" applyAlignment="1" applyProtection="1">
      <alignment vertical="center"/>
    </xf>
    <xf numFmtId="0" fontId="6" fillId="0" borderId="11" xfId="2" applyFont="1" applyBorder="1" applyAlignment="1">
      <alignment horizontal="center" vertical="center" wrapText="1"/>
      <protection locked="0"/>
    </xf>
    <xf numFmtId="0" fontId="11" fillId="0" borderId="0" xfId="2" applyFont="1">
      <protection locked="0"/>
    </xf>
    <xf numFmtId="0" fontId="5" fillId="0" borderId="0" xfId="2" applyFont="1" applyAlignment="1">
      <alignment vertical="center"/>
      <protection locked="0"/>
    </xf>
    <xf numFmtId="0" fontId="7" fillId="0" borderId="0" xfId="2" applyFont="1" applyAlignment="1">
      <alignment vertical="center"/>
      <protection locked="0"/>
    </xf>
    <xf numFmtId="0" fontId="6" fillId="0" borderId="11" xfId="2" applyFont="1" applyBorder="1" applyAlignment="1">
      <alignment horizontal="left" vertical="center" wrapText="1"/>
      <protection locked="0"/>
    </xf>
    <xf numFmtId="0" fontId="30" fillId="0" borderId="0" xfId="2" applyFont="1" applyAlignment="1">
      <alignment horizontal="left" vertical="center"/>
      <protection locked="0"/>
    </xf>
    <xf numFmtId="14" fontId="6" fillId="0" borderId="11" xfId="2" applyNumberFormat="1" applyFont="1" applyBorder="1" applyAlignment="1">
      <alignment horizontal="center" vertical="center" wrapText="1"/>
      <protection locked="0"/>
    </xf>
    <xf numFmtId="0" fontId="6" fillId="0" borderId="11" xfId="2" applyFont="1" applyBorder="1" applyAlignment="1">
      <alignment vertical="center"/>
      <protection locked="0"/>
    </xf>
    <xf numFmtId="199" fontId="6" fillId="0" borderId="11" xfId="2" applyNumberFormat="1" applyFont="1" applyBorder="1" applyAlignment="1">
      <alignment vertical="center"/>
      <protection locked="0"/>
    </xf>
    <xf numFmtId="0" fontId="29" fillId="0" borderId="0" xfId="2" applyFont="1" applyAlignment="1">
      <alignment vertical="center"/>
      <protection locked="0"/>
    </xf>
    <xf numFmtId="0" fontId="45" fillId="0" borderId="0" xfId="2" applyFont="1" applyAlignment="1">
      <alignment vertical="center"/>
      <protection locked="0"/>
    </xf>
    <xf numFmtId="0" fontId="46" fillId="0" borderId="0" xfId="2" applyFont="1" applyAlignment="1">
      <alignment vertical="center"/>
      <protection locked="0"/>
    </xf>
    <xf numFmtId="14" fontId="30" fillId="0" borderId="0" xfId="2" applyNumberFormat="1" applyFont="1" applyAlignment="1">
      <alignment vertical="center"/>
      <protection locked="0"/>
    </xf>
    <xf numFmtId="0" fontId="29" fillId="0" borderId="0" xfId="2" applyFont="1" applyAlignment="1">
      <alignment horizontal="right" vertical="center"/>
      <protection locked="0"/>
    </xf>
    <xf numFmtId="0" fontId="11" fillId="0" borderId="0" xfId="2" applyFont="1" applyAlignment="1" applyProtection="1">
      <alignment horizontal="right" vertical="center"/>
    </xf>
    <xf numFmtId="0" fontId="50" fillId="0" borderId="0" xfId="2" applyFont="1" applyAlignment="1">
      <alignment horizontal="center" vertical="center"/>
      <protection locked="0"/>
    </xf>
    <xf numFmtId="0" fontId="6" fillId="0" borderId="0" xfId="2" quotePrefix="1" applyFont="1" applyAlignment="1">
      <alignment horizontal="left" vertical="center"/>
      <protection locked="0"/>
    </xf>
    <xf numFmtId="10" fontId="27" fillId="0" borderId="0" xfId="32" applyNumberFormat="1" applyFont="1" applyBorder="1" applyAlignment="1">
      <alignment vertical="center"/>
    </xf>
    <xf numFmtId="0" fontId="6" fillId="0" borderId="11" xfId="0" applyFont="1" applyBorder="1" applyAlignment="1" applyProtection="1">
      <alignment horizontal="center" vertical="center"/>
      <protection locked="0"/>
    </xf>
    <xf numFmtId="0" fontId="55" fillId="0" borderId="11" xfId="0" applyFont="1" applyBorder="1" applyAlignment="1">
      <alignment horizontal="center" vertical="center"/>
    </xf>
    <xf numFmtId="0" fontId="33" fillId="0" borderId="5" xfId="0" applyFont="1" applyBorder="1" applyAlignment="1">
      <alignment horizontal="center" vertical="center"/>
    </xf>
    <xf numFmtId="43" fontId="5" fillId="0" borderId="0" xfId="49" applyFont="1" applyFill="1" applyAlignment="1" applyProtection="1">
      <protection locked="0"/>
    </xf>
    <xf numFmtId="0" fontId="58" fillId="0" borderId="2" xfId="0" applyFont="1" applyBorder="1" applyAlignment="1" applyProtection="1">
      <alignment horizontal="justify" wrapText="1"/>
      <protection locked="0"/>
    </xf>
    <xf numFmtId="43" fontId="59" fillId="0" borderId="0" xfId="49" applyFont="1" applyFill="1" applyAlignment="1" applyProtection="1">
      <alignment horizontal="right" wrapText="1"/>
      <protection locked="0"/>
    </xf>
    <xf numFmtId="43" fontId="58" fillId="0" borderId="3" xfId="49" applyFont="1" applyFill="1" applyBorder="1" applyAlignment="1" applyProtection="1">
      <alignment horizontal="right" vertical="center" wrapText="1"/>
      <protection locked="0"/>
    </xf>
    <xf numFmtId="43" fontId="2" fillId="0" borderId="3" xfId="49" applyFont="1" applyFill="1" applyBorder="1" applyAlignment="1" applyProtection="1">
      <alignment horizontal="right" vertical="center" wrapText="1"/>
      <protection locked="0"/>
    </xf>
    <xf numFmtId="0" fontId="58" fillId="0" borderId="2" xfId="0" applyFont="1" applyBorder="1" applyAlignment="1" applyProtection="1">
      <alignment horizontal="justify" vertical="center" wrapText="1"/>
      <protection locked="0"/>
    </xf>
    <xf numFmtId="43" fontId="58" fillId="0" borderId="2" xfId="49" applyFont="1" applyFill="1" applyBorder="1" applyAlignment="1" applyProtection="1">
      <alignment horizontal="right" vertical="center" wrapText="1"/>
      <protection locked="0"/>
    </xf>
    <xf numFmtId="43" fontId="2" fillId="0" borderId="2" xfId="49" applyFont="1" applyFill="1" applyBorder="1" applyAlignment="1" applyProtection="1">
      <alignment horizontal="right" vertical="center" wrapText="1"/>
      <protection locked="0"/>
    </xf>
    <xf numFmtId="202" fontId="59" fillId="0" borderId="0" xfId="49" applyNumberFormat="1" applyFont="1" applyFill="1" applyAlignment="1" applyProtection="1">
      <alignment horizontal="right" wrapText="1"/>
      <protection locked="0"/>
    </xf>
    <xf numFmtId="197" fontId="6" fillId="0" borderId="0" xfId="51" applyFont="1" applyAlignment="1" applyProtection="1">
      <alignment vertical="center" wrapText="1"/>
      <protection locked="0"/>
    </xf>
    <xf numFmtId="187" fontId="6" fillId="0" borderId="11" xfId="35" applyNumberFormat="1" applyFont="1" applyBorder="1" applyAlignment="1" applyProtection="1">
      <alignment horizontal="center" vertical="center" wrapText="1"/>
      <protection locked="0"/>
    </xf>
    <xf numFmtId="0" fontId="7" fillId="0" borderId="11" xfId="2" applyFont="1" applyBorder="1" applyAlignment="1">
      <alignment horizontal="center" vertical="center" wrapText="1"/>
      <protection locked="0"/>
    </xf>
    <xf numFmtId="14" fontId="6" fillId="0" borderId="0" xfId="2" applyNumberFormat="1" applyFont="1" applyAlignment="1">
      <alignment horizontal="left" vertical="center"/>
      <protection locked="0"/>
    </xf>
    <xf numFmtId="198" fontId="6" fillId="0" borderId="11" xfId="30" applyNumberFormat="1" applyFont="1" applyFill="1" applyBorder="1" applyAlignment="1">
      <alignment horizontal="center" vertical="center"/>
    </xf>
    <xf numFmtId="14" fontId="6" fillId="0" borderId="0" xfId="29" applyNumberFormat="1" applyFont="1" applyBorder="1" applyAlignment="1">
      <alignment vertical="center"/>
    </xf>
    <xf numFmtId="43" fontId="59" fillId="0" borderId="0" xfId="49" applyFont="1" applyFill="1" applyAlignment="1" applyProtection="1">
      <alignment horizontal="right" vertical="center" wrapText="1"/>
      <protection locked="0"/>
    </xf>
    <xf numFmtId="43" fontId="59" fillId="0" borderId="0" xfId="49" applyFont="1" applyFill="1" applyAlignment="1" applyProtection="1">
      <alignment horizontal="right" vertical="center" wrapText="1" shrinkToFit="1"/>
      <protection locked="0"/>
    </xf>
    <xf numFmtId="43" fontId="58" fillId="0" borderId="1" xfId="49" applyFont="1" applyBorder="1" applyAlignment="1" applyProtection="1">
      <alignment horizontal="right" vertical="center" wrapText="1"/>
      <protection locked="0"/>
    </xf>
    <xf numFmtId="14" fontId="6" fillId="0" borderId="0" xfId="2" applyNumberFormat="1" applyFont="1" applyAlignment="1">
      <alignment vertical="center"/>
      <protection locked="0"/>
    </xf>
    <xf numFmtId="198" fontId="6" fillId="0" borderId="11" xfId="2" applyNumberFormat="1" applyFont="1" applyBorder="1" applyAlignment="1">
      <alignment horizontal="center" vertical="center"/>
      <protection locked="0"/>
    </xf>
    <xf numFmtId="0" fontId="39" fillId="0" borderId="11" xfId="2" applyFont="1" applyBorder="1" applyAlignment="1">
      <alignment horizontal="center" vertical="center"/>
      <protection locked="0"/>
    </xf>
    <xf numFmtId="43" fontId="6" fillId="0" borderId="11" xfId="49" applyFont="1" applyBorder="1" applyAlignment="1" applyProtection="1">
      <alignment horizontal="center" vertical="center" wrapText="1"/>
      <protection locked="0"/>
    </xf>
    <xf numFmtId="43" fontId="6" fillId="0" borderId="11" xfId="49" applyFont="1" applyFill="1" applyBorder="1" applyAlignment="1">
      <alignment horizontal="right" vertical="center" wrapText="1"/>
    </xf>
    <xf numFmtId="0" fontId="53" fillId="0" borderId="11" xfId="0" applyFont="1" applyBorder="1" applyAlignment="1">
      <alignment vertical="center" wrapText="1"/>
    </xf>
    <xf numFmtId="0" fontId="6" fillId="0" borderId="0" xfId="53" applyFont="1">
      <alignment vertical="center"/>
    </xf>
    <xf numFmtId="14" fontId="6" fillId="0" borderId="0" xfId="53" applyNumberFormat="1" applyFont="1">
      <alignment vertical="center"/>
    </xf>
    <xf numFmtId="0" fontId="55" fillId="0" borderId="0" xfId="53" applyFont="1" applyAlignment="1">
      <alignment horizontal="left" vertical="center"/>
    </xf>
    <xf numFmtId="0" fontId="55" fillId="0" borderId="0" xfId="53" applyFont="1">
      <alignment vertical="center"/>
    </xf>
    <xf numFmtId="0" fontId="56" fillId="6" borderId="11" xfId="54" applyFont="1" applyFill="1" applyBorder="1" applyAlignment="1">
      <alignment horizontal="center" vertical="center" wrapText="1"/>
    </xf>
    <xf numFmtId="0" fontId="6" fillId="0" borderId="0" xfId="54" applyFont="1" applyAlignment="1">
      <alignment vertical="center"/>
    </xf>
    <xf numFmtId="0" fontId="55" fillId="0" borderId="0" xfId="53" applyFont="1" applyAlignment="1">
      <alignment horizontal="justify" vertical="center"/>
    </xf>
    <xf numFmtId="0" fontId="6" fillId="0" borderId="0" xfId="53" applyFont="1" applyAlignment="1">
      <alignment horizontal="justify" vertical="center"/>
    </xf>
    <xf numFmtId="43" fontId="6" fillId="0" borderId="11" xfId="49" applyFont="1" applyFill="1" applyBorder="1" applyAlignment="1">
      <alignment vertical="center"/>
    </xf>
    <xf numFmtId="43" fontId="6" fillId="0" borderId="11" xfId="49" applyFont="1" applyFill="1" applyBorder="1" applyAlignment="1">
      <alignment horizontal="center" vertical="center" wrapText="1"/>
    </xf>
    <xf numFmtId="0" fontId="6" fillId="2" borderId="0" xfId="0" applyFont="1" applyFill="1" applyAlignment="1" applyProtection="1">
      <alignment horizontal="justify" vertical="center" wrapText="1"/>
      <protection locked="0"/>
    </xf>
    <xf numFmtId="0" fontId="5" fillId="0" borderId="0" xfId="0" applyFont="1" applyAlignment="1" applyProtection="1">
      <alignment horizontal="justify"/>
      <protection locked="0"/>
    </xf>
    <xf numFmtId="43" fontId="6" fillId="8" borderId="11" xfId="49" applyFont="1" applyFill="1" applyBorder="1" applyAlignment="1">
      <alignment vertical="center"/>
    </xf>
    <xf numFmtId="0" fontId="55" fillId="0" borderId="0" xfId="2" applyFont="1" applyAlignment="1">
      <alignment vertical="center"/>
      <protection locked="0"/>
    </xf>
    <xf numFmtId="43" fontId="6" fillId="0" borderId="11" xfId="2" quotePrefix="1" applyNumberFormat="1" applyFont="1" applyBorder="1" applyAlignment="1">
      <alignment horizontal="center" vertical="center"/>
      <protection locked="0"/>
    </xf>
    <xf numFmtId="0" fontId="6" fillId="0" borderId="6" xfId="31" applyFont="1" applyBorder="1" applyAlignment="1">
      <alignment vertical="center"/>
    </xf>
    <xf numFmtId="43" fontId="6" fillId="0" borderId="18" xfId="29" applyNumberFormat="1" applyFont="1" applyBorder="1" applyAlignment="1">
      <alignment vertical="center"/>
    </xf>
    <xf numFmtId="43" fontId="6" fillId="0" borderId="6" xfId="29" applyNumberFormat="1" applyFont="1" applyBorder="1" applyAlignment="1">
      <alignment vertical="center"/>
    </xf>
    <xf numFmtId="197" fontId="6" fillId="0" borderId="11" xfId="51" applyFont="1" applyBorder="1" applyAlignment="1" applyProtection="1">
      <alignment horizontal="center" vertical="center" wrapText="1"/>
      <protection locked="0"/>
    </xf>
    <xf numFmtId="197" fontId="51" fillId="0" borderId="11" xfId="51" applyFont="1" applyBorder="1" applyAlignment="1" applyProtection="1">
      <alignment horizontal="center" vertical="center" wrapText="1"/>
      <protection locked="0"/>
    </xf>
    <xf numFmtId="43" fontId="6" fillId="0" borderId="0" xfId="29" applyNumberFormat="1" applyFont="1" applyBorder="1" applyAlignment="1">
      <alignment horizontal="right" vertical="center"/>
    </xf>
    <xf numFmtId="0" fontId="66" fillId="0" borderId="2" xfId="0" applyFont="1" applyBorder="1" applyAlignment="1">
      <alignment horizontal="justify" vertical="center" wrapText="1"/>
    </xf>
    <xf numFmtId="0" fontId="66" fillId="0" borderId="2" xfId="0" applyFont="1" applyBorder="1" applyAlignment="1">
      <alignment horizontal="right" vertical="center" wrapText="1"/>
    </xf>
    <xf numFmtId="0" fontId="65" fillId="0" borderId="2" xfId="0" applyFont="1" applyBorder="1" applyAlignment="1">
      <alignment horizontal="right" vertical="center" wrapText="1"/>
    </xf>
    <xf numFmtId="202" fontId="59" fillId="0" borderId="0" xfId="49" applyNumberFormat="1" applyFont="1" applyFill="1" applyBorder="1" applyAlignment="1" applyProtection="1">
      <alignment horizontal="right" vertical="center" wrapText="1"/>
      <protection locked="0"/>
    </xf>
    <xf numFmtId="43" fontId="59" fillId="0" borderId="0" xfId="49" applyFont="1" applyFill="1" applyBorder="1" applyAlignment="1" applyProtection="1">
      <alignment horizontal="right" vertical="center" wrapText="1" shrinkToFit="1"/>
      <protection locked="0"/>
    </xf>
    <xf numFmtId="43" fontId="6" fillId="0" borderId="0" xfId="2" applyNumberFormat="1" applyFont="1" applyAlignment="1">
      <alignment vertical="center"/>
      <protection locked="0"/>
    </xf>
    <xf numFmtId="202" fontId="58" fillId="0" borderId="0" xfId="49" applyNumberFormat="1" applyFont="1" applyBorder="1" applyAlignment="1" applyProtection="1">
      <alignment horizontal="right" vertical="center" wrapText="1"/>
      <protection locked="0"/>
    </xf>
    <xf numFmtId="43" fontId="58" fillId="0" borderId="0" xfId="49" applyFont="1" applyBorder="1" applyAlignment="1" applyProtection="1">
      <alignment horizontal="right" vertical="center" wrapText="1"/>
      <protection locked="0"/>
    </xf>
    <xf numFmtId="0" fontId="51" fillId="0" borderId="11" xfId="2" applyFont="1" applyBorder="1" applyAlignment="1">
      <alignment horizontal="center" vertical="center" wrapText="1"/>
      <protection locked="0"/>
    </xf>
    <xf numFmtId="187" fontId="51" fillId="0" borderId="11" xfId="35" applyNumberFormat="1" applyFont="1" applyBorder="1" applyAlignment="1" applyProtection="1">
      <alignment vertical="center" wrapText="1"/>
      <protection locked="0"/>
    </xf>
    <xf numFmtId="0" fontId="51" fillId="0" borderId="11" xfId="2" applyFont="1" applyBorder="1" applyAlignment="1">
      <alignment vertical="center" wrapText="1"/>
      <protection locked="0"/>
    </xf>
    <xf numFmtId="197" fontId="67" fillId="6" borderId="11" xfId="58" applyFont="1" applyFill="1" applyBorder="1" applyAlignment="1" applyProtection="1">
      <alignment horizontal="center" vertical="center" wrapText="1"/>
      <protection locked="0"/>
    </xf>
    <xf numFmtId="0" fontId="33" fillId="0" borderId="11" xfId="57" applyFont="1" applyBorder="1" applyAlignment="1" applyProtection="1">
      <alignment horizontal="center" vertical="center"/>
    </xf>
    <xf numFmtId="43" fontId="6" fillId="0" borderId="0" xfId="29" applyNumberFormat="1" applyFont="1" applyFill="1" applyBorder="1" applyAlignment="1">
      <alignment vertical="center"/>
    </xf>
    <xf numFmtId="0" fontId="11" fillId="0" borderId="0" xfId="0" applyFont="1" applyAlignment="1" applyProtection="1">
      <alignment horizontal="justify"/>
      <protection locked="0"/>
    </xf>
    <xf numFmtId="43" fontId="6" fillId="10" borderId="11" xfId="49" applyFont="1" applyFill="1" applyBorder="1" applyAlignment="1">
      <alignment vertical="center"/>
    </xf>
    <xf numFmtId="10" fontId="6" fillId="10" borderId="11" xfId="50" applyNumberFormat="1" applyFont="1" applyFill="1" applyBorder="1" applyAlignment="1">
      <alignment vertical="center"/>
    </xf>
    <xf numFmtId="43" fontId="11" fillId="10" borderId="11" xfId="49" applyFont="1" applyFill="1" applyBorder="1" applyAlignment="1">
      <alignment vertical="center"/>
    </xf>
    <xf numFmtId="43" fontId="6" fillId="10" borderId="11" xfId="49" applyFont="1" applyFill="1" applyBorder="1" applyAlignment="1">
      <alignment horizontal="right" vertical="center" wrapText="1"/>
    </xf>
    <xf numFmtId="43" fontId="11" fillId="10" borderId="11" xfId="49" applyFont="1" applyFill="1" applyBorder="1" applyAlignment="1">
      <alignment horizontal="right" vertical="center" wrapText="1"/>
    </xf>
    <xf numFmtId="200" fontId="6" fillId="10" borderId="0" xfId="2" applyNumberFormat="1" applyFont="1" applyFill="1" applyAlignment="1">
      <alignment vertical="center"/>
      <protection locked="0"/>
    </xf>
    <xf numFmtId="43" fontId="6" fillId="10" borderId="0" xfId="49" applyFont="1" applyFill="1" applyBorder="1" applyAlignment="1">
      <alignment horizontal="right" vertical="center" wrapText="1"/>
    </xf>
    <xf numFmtId="43" fontId="56" fillId="10" borderId="11" xfId="2" applyNumberFormat="1" applyFont="1" applyFill="1" applyBorder="1" applyAlignment="1">
      <alignment horizontal="center" vertical="center"/>
      <protection locked="0"/>
    </xf>
    <xf numFmtId="43" fontId="11" fillId="10" borderId="11" xfId="2" applyNumberFormat="1" applyFont="1" applyFill="1" applyBorder="1" applyAlignment="1">
      <alignment horizontal="center" vertical="center" wrapText="1"/>
      <protection locked="0"/>
    </xf>
    <xf numFmtId="43" fontId="11" fillId="0" borderId="11" xfId="49" applyFont="1" applyFill="1" applyBorder="1" applyAlignment="1">
      <alignment horizontal="right" vertical="center" wrapText="1"/>
    </xf>
    <xf numFmtId="0" fontId="6" fillId="0" borderId="0" xfId="2" applyFont="1" applyBorder="1">
      <protection locked="0"/>
    </xf>
    <xf numFmtId="0" fontId="11" fillId="0" borderId="0" xfId="2" applyFont="1" applyBorder="1" applyAlignment="1">
      <alignment vertical="center"/>
      <protection locked="0"/>
    </xf>
    <xf numFmtId="43" fontId="11" fillId="0" borderId="11" xfId="49" applyFont="1" applyFill="1" applyBorder="1" applyAlignment="1">
      <alignment vertical="center"/>
    </xf>
    <xf numFmtId="43" fontId="11" fillId="8" borderId="11" xfId="49" applyFont="1" applyFill="1" applyBorder="1" applyAlignment="1">
      <alignment vertical="center"/>
    </xf>
    <xf numFmtId="49" fontId="6" fillId="0" borderId="11" xfId="61" applyNumberFormat="1" applyFont="1" applyBorder="1" applyAlignment="1" applyProtection="1">
      <alignment horizontal="center" vertical="center"/>
      <protection locked="0"/>
    </xf>
    <xf numFmtId="197" fontId="52" fillId="0" borderId="11" xfId="61" applyFont="1" applyBorder="1" applyAlignment="1">
      <alignment horizontal="center" vertical="center" wrapText="1"/>
    </xf>
    <xf numFmtId="197" fontId="53" fillId="0" borderId="11" xfId="61" applyFont="1" applyBorder="1" applyAlignment="1">
      <alignment horizontal="center" vertical="center" wrapText="1"/>
    </xf>
    <xf numFmtId="0" fontId="6" fillId="0" borderId="0" xfId="2" applyFont="1" applyFill="1" applyAlignment="1">
      <alignment vertical="center"/>
      <protection locked="0"/>
    </xf>
    <xf numFmtId="0" fontId="5" fillId="0" borderId="0" xfId="2" applyFont="1" applyFill="1" applyAlignment="1">
      <alignment vertical="center"/>
      <protection locked="0"/>
    </xf>
    <xf numFmtId="0" fontId="6" fillId="0" borderId="0" xfId="2" applyFont="1" applyAlignment="1">
      <alignment horizontal="left" vertical="center" wrapText="1"/>
      <protection locked="0"/>
    </xf>
    <xf numFmtId="0" fontId="11" fillId="0" borderId="6" xfId="31" applyFont="1" applyBorder="1" applyAlignment="1">
      <alignment horizontal="left" vertical="center"/>
    </xf>
    <xf numFmtId="0" fontId="6" fillId="0" borderId="0" xfId="2" applyFont="1" applyFill="1" applyAlignment="1">
      <alignment horizontal="right" vertical="center"/>
      <protection locked="0"/>
    </xf>
    <xf numFmtId="0" fontId="6" fillId="0" borderId="0" xfId="2" applyFont="1" applyFill="1">
      <protection locked="0"/>
    </xf>
    <xf numFmtId="0" fontId="30" fillId="0" borderId="0" xfId="2" applyFont="1" applyFill="1">
      <protection locked="0"/>
    </xf>
    <xf numFmtId="0" fontId="5" fillId="0" borderId="0" xfId="2" applyFont="1" applyFill="1">
      <protection locked="0"/>
    </xf>
    <xf numFmtId="0" fontId="6" fillId="0" borderId="0" xfId="0" applyFont="1">
      <alignment vertical="center"/>
    </xf>
    <xf numFmtId="0" fontId="36" fillId="0" borderId="0" xfId="0" applyFont="1" applyAlignment="1">
      <alignment horizontal="center"/>
    </xf>
    <xf numFmtId="0" fontId="6" fillId="0" borderId="0" xfId="0" applyFont="1" applyProtection="1">
      <alignment vertical="center"/>
      <protection locked="0"/>
    </xf>
    <xf numFmtId="0" fontId="6" fillId="0" borderId="0" xfId="65" applyFont="1">
      <protection locked="0"/>
    </xf>
    <xf numFmtId="0" fontId="3" fillId="0" borderId="0" xfId="33" applyFont="1" applyAlignment="1">
      <alignment vertical="center"/>
    </xf>
    <xf numFmtId="0" fontId="11" fillId="6" borderId="11" xfId="2" applyFont="1" applyFill="1" applyBorder="1" applyAlignment="1">
      <alignment horizontal="center" vertical="center"/>
      <protection locked="0"/>
    </xf>
    <xf numFmtId="0" fontId="11" fillId="6" borderId="11" xfId="2" applyFont="1" applyFill="1" applyBorder="1" applyAlignment="1">
      <alignment horizontal="center" vertical="center" wrapText="1"/>
      <protection locked="0"/>
    </xf>
    <xf numFmtId="0" fontId="6" fillId="0" borderId="11" xfId="2" applyFont="1" applyBorder="1" applyAlignment="1">
      <alignment horizontal="center" vertical="center"/>
      <protection locked="0"/>
    </xf>
    <xf numFmtId="0" fontId="6" fillId="0" borderId="0" xfId="2" applyFont="1" applyAlignment="1">
      <alignment vertical="center" wrapText="1"/>
      <protection locked="0"/>
    </xf>
    <xf numFmtId="0" fontId="55" fillId="0" borderId="0" xfId="53" applyFont="1" applyAlignment="1">
      <alignment vertical="center" wrapText="1"/>
    </xf>
    <xf numFmtId="14" fontId="6" fillId="0" borderId="0" xfId="53" applyNumberFormat="1" applyFont="1" applyAlignment="1">
      <alignment horizontal="right" vertical="center"/>
    </xf>
    <xf numFmtId="0" fontId="33" fillId="0" borderId="5" xfId="0" applyFont="1" applyFill="1" applyBorder="1" applyAlignment="1">
      <alignment horizontal="center" vertical="center"/>
    </xf>
    <xf numFmtId="0" fontId="2" fillId="0" borderId="0" xfId="0" applyFont="1" applyAlignment="1" applyProtection="1">
      <alignment horizontal="justify"/>
      <protection locked="0"/>
    </xf>
    <xf numFmtId="0" fontId="74" fillId="0" borderId="5" xfId="0" applyFont="1" applyBorder="1" applyAlignment="1">
      <alignment horizontal="center" vertical="center"/>
    </xf>
    <xf numFmtId="0" fontId="75" fillId="0" borderId="5" xfId="1" applyFont="1" applyFill="1" applyBorder="1" applyAlignment="1" applyProtection="1">
      <alignment vertical="center"/>
    </xf>
    <xf numFmtId="0" fontId="75" fillId="0" borderId="0" xfId="1" applyFont="1" applyFill="1" applyAlignment="1" applyProtection="1">
      <protection locked="0"/>
    </xf>
    <xf numFmtId="0" fontId="73" fillId="0" borderId="5" xfId="0" applyFont="1" applyFill="1" applyBorder="1" applyAlignment="1" applyProtection="1">
      <protection locked="0"/>
    </xf>
    <xf numFmtId="0" fontId="71" fillId="0" borderId="0" xfId="0" applyFont="1">
      <alignment vertical="center"/>
    </xf>
    <xf numFmtId="0" fontId="76" fillId="0" borderId="0" xfId="0" applyFont="1">
      <alignment vertical="center"/>
    </xf>
    <xf numFmtId="0" fontId="6" fillId="0" borderId="0" xfId="0" applyFont="1" applyAlignment="1" applyProtection="1">
      <alignment vertical="center"/>
      <protection locked="0"/>
    </xf>
    <xf numFmtId="0" fontId="11" fillId="0" borderId="0" xfId="0" applyFont="1" applyAlignment="1" applyProtection="1">
      <alignment horizontal="left" vertical="center"/>
      <protection locked="0"/>
    </xf>
    <xf numFmtId="0" fontId="6" fillId="0" borderId="0" xfId="0" applyFont="1" applyBorder="1" applyAlignment="1" applyProtection="1">
      <alignment vertical="center" wrapText="1"/>
      <protection locked="0"/>
    </xf>
    <xf numFmtId="49" fontId="11" fillId="0" borderId="0" xfId="0" applyNumberFormat="1" applyFont="1" applyAlignment="1" applyProtection="1">
      <alignment horizontal="left" vertical="center"/>
      <protection locked="0"/>
    </xf>
    <xf numFmtId="0" fontId="11" fillId="0" borderId="0" xfId="0" applyFont="1" applyAlignment="1" applyProtection="1">
      <alignment horizontal="justify" vertical="center"/>
      <protection locked="0"/>
    </xf>
    <xf numFmtId="0" fontId="76" fillId="0" borderId="0" xfId="0" applyFont="1" applyFill="1">
      <alignment vertical="center"/>
    </xf>
    <xf numFmtId="0" fontId="10" fillId="0" borderId="0" xfId="2" applyFont="1">
      <protection locked="0"/>
    </xf>
    <xf numFmtId="0" fontId="58" fillId="0" borderId="1" xfId="0" applyFont="1" applyBorder="1" applyAlignment="1" applyProtection="1">
      <alignment horizontal="justify" wrapText="1"/>
      <protection locked="0"/>
    </xf>
    <xf numFmtId="0" fontId="59" fillId="0" borderId="0" xfId="0" applyFont="1" applyAlignment="1" applyProtection="1">
      <alignment horizontal="justify" vertical="center" wrapText="1"/>
      <protection locked="0"/>
    </xf>
    <xf numFmtId="43" fontId="2" fillId="0" borderId="3" xfId="49" applyFont="1" applyFill="1" applyBorder="1" applyAlignment="1" applyProtection="1">
      <alignment horizontal="left" vertical="center" wrapText="1"/>
      <protection locked="0"/>
    </xf>
    <xf numFmtId="0" fontId="80" fillId="0" borderId="0" xfId="0" applyFont="1" applyAlignment="1" applyProtection="1">
      <alignment horizontal="left" vertical="center"/>
      <protection locked="0"/>
    </xf>
    <xf numFmtId="0" fontId="5" fillId="0" borderId="0" xfId="0" applyFont="1" applyAlignment="1" applyProtection="1">
      <alignment horizontal="left" vertical="center"/>
      <protection locked="0"/>
    </xf>
    <xf numFmtId="0" fontId="58" fillId="0" borderId="2" xfId="0" applyFont="1" applyBorder="1" applyAlignment="1" applyProtection="1">
      <alignment horizontal="right" wrapText="1"/>
      <protection locked="0"/>
    </xf>
    <xf numFmtId="0" fontId="59" fillId="0" borderId="2" xfId="0" applyFont="1" applyBorder="1" applyAlignment="1" applyProtection="1">
      <alignment horizontal="justify" vertical="center" wrapText="1"/>
      <protection locked="0"/>
    </xf>
    <xf numFmtId="0" fontId="58" fillId="0" borderId="0" xfId="0" applyFont="1" applyAlignment="1" applyProtection="1">
      <alignment horizontal="justify" vertical="center" wrapText="1"/>
      <protection locked="0"/>
    </xf>
    <xf numFmtId="0" fontId="10" fillId="0" borderId="0" xfId="2" applyFont="1" applyAlignment="1">
      <alignment vertical="center"/>
      <protection locked="0"/>
    </xf>
    <xf numFmtId="0" fontId="58" fillId="0" borderId="3" xfId="0" applyFont="1" applyBorder="1" applyAlignment="1" applyProtection="1">
      <alignment horizontal="justify" vertical="center" wrapText="1"/>
      <protection locked="0"/>
    </xf>
    <xf numFmtId="0" fontId="58" fillId="0" borderId="3" xfId="0" applyFont="1" applyBorder="1" applyAlignment="1" applyProtection="1">
      <alignment vertical="center" wrapText="1"/>
      <protection locked="0"/>
    </xf>
    <xf numFmtId="0" fontId="58" fillId="0" borderId="0" xfId="0" applyFont="1" applyAlignment="1" applyProtection="1">
      <alignment vertical="center" wrapText="1"/>
      <protection locked="0"/>
    </xf>
    <xf numFmtId="43" fontId="59" fillId="0" borderId="0" xfId="49" applyFont="1" applyAlignment="1" applyProtection="1">
      <alignment horizontal="justify" vertical="center" wrapText="1"/>
      <protection locked="0"/>
    </xf>
    <xf numFmtId="43" fontId="59" fillId="0" borderId="0" xfId="49" applyFont="1" applyBorder="1" applyAlignment="1" applyProtection="1">
      <alignment horizontal="justify" vertical="center" wrapText="1"/>
      <protection locked="0"/>
    </xf>
    <xf numFmtId="43" fontId="58" fillId="0" borderId="2" xfId="49" applyFont="1" applyBorder="1" applyAlignment="1" applyProtection="1">
      <alignment horizontal="justify" vertical="center" wrapText="1"/>
      <protection locked="0"/>
    </xf>
    <xf numFmtId="0" fontId="65" fillId="0" borderId="1" xfId="0" applyFont="1" applyBorder="1" applyAlignment="1">
      <alignment horizontal="justify" vertical="center" wrapText="1"/>
    </xf>
    <xf numFmtId="0" fontId="65" fillId="0" borderId="1" xfId="0" applyFont="1" applyBorder="1" applyAlignment="1">
      <alignment horizontal="right" vertical="center" wrapText="1"/>
    </xf>
    <xf numFmtId="0" fontId="66" fillId="0" borderId="0" xfId="0" applyFont="1" applyAlignment="1">
      <alignment horizontal="justify" vertical="center" wrapText="1"/>
    </xf>
    <xf numFmtId="0" fontId="65" fillId="0" borderId="2" xfId="0" applyFont="1" applyBorder="1" applyAlignment="1">
      <alignment horizontal="justify" vertical="center" wrapText="1"/>
    </xf>
    <xf numFmtId="197" fontId="11" fillId="6" borderId="11" xfId="52" applyFont="1" applyFill="1" applyBorder="1" applyAlignment="1" applyProtection="1">
      <alignment horizontal="center" vertical="center"/>
      <protection locked="0"/>
    </xf>
    <xf numFmtId="197" fontId="33" fillId="0" borderId="11" xfId="51" applyFont="1" applyBorder="1" applyAlignment="1" applyProtection="1">
      <alignment vertical="center" wrapText="1"/>
      <protection locked="0"/>
    </xf>
    <xf numFmtId="197" fontId="39" fillId="0" borderId="11" xfId="51" applyFont="1" applyBorder="1" applyAlignment="1" applyProtection="1">
      <alignment vertical="center" wrapText="1"/>
      <protection locked="0"/>
    </xf>
    <xf numFmtId="197" fontId="33" fillId="10" borderId="11" xfId="51" applyFont="1" applyFill="1" applyBorder="1" applyAlignment="1" applyProtection="1">
      <alignment horizontal="left" vertical="center" wrapText="1" indent="1"/>
      <protection locked="0"/>
    </xf>
    <xf numFmtId="0" fontId="10" fillId="0" borderId="0" xfId="33" applyFont="1">
      <alignment vertical="center"/>
    </xf>
    <xf numFmtId="43" fontId="6" fillId="0" borderId="13" xfId="2" applyNumberFormat="1" applyFont="1" applyBorder="1" applyAlignment="1">
      <alignment horizontal="center" vertical="center"/>
      <protection locked="0"/>
    </xf>
    <xf numFmtId="202" fontId="6" fillId="0" borderId="13" xfId="49" applyNumberFormat="1" applyFont="1" applyFill="1" applyBorder="1" applyAlignment="1">
      <alignment horizontal="right" vertical="center" wrapText="1"/>
    </xf>
    <xf numFmtId="0" fontId="11" fillId="6" borderId="11" xfId="2" applyFont="1" applyFill="1" applyBorder="1" applyAlignment="1">
      <alignment vertical="center" wrapText="1"/>
      <protection locked="0"/>
    </xf>
    <xf numFmtId="0" fontId="6" fillId="0" borderId="13" xfId="2" applyFont="1" applyBorder="1" applyAlignment="1">
      <alignment horizontal="left" vertical="center"/>
      <protection locked="0"/>
    </xf>
    <xf numFmtId="43" fontId="6" fillId="10" borderId="13" xfId="49" applyFont="1" applyFill="1" applyBorder="1" applyAlignment="1">
      <alignment horizontal="right" vertical="center" wrapText="1"/>
    </xf>
    <xf numFmtId="0" fontId="72" fillId="0" borderId="0" xfId="33" applyFont="1" applyAlignment="1">
      <alignment vertical="center"/>
    </xf>
    <xf numFmtId="0" fontId="84" fillId="0" borderId="0" xfId="33" applyFont="1">
      <alignment vertical="center"/>
    </xf>
    <xf numFmtId="0" fontId="85" fillId="0" borderId="0" xfId="33" applyFont="1">
      <alignment vertical="center"/>
    </xf>
    <xf numFmtId="0" fontId="11" fillId="0" borderId="11" xfId="2" applyFont="1" applyBorder="1" applyAlignment="1">
      <alignment horizontal="left" vertical="center" wrapText="1"/>
      <protection locked="0"/>
    </xf>
    <xf numFmtId="0" fontId="10" fillId="0" borderId="0" xfId="2" applyFont="1" applyFill="1" applyAlignment="1">
      <alignment vertical="center"/>
      <protection locked="0"/>
    </xf>
    <xf numFmtId="0" fontId="85" fillId="11" borderId="0" xfId="2" applyFont="1" applyFill="1" applyAlignment="1">
      <alignment vertical="center"/>
      <protection locked="0"/>
    </xf>
    <xf numFmtId="0" fontId="3" fillId="0" borderId="0" xfId="2" applyFont="1" applyFill="1" applyAlignment="1" applyProtection="1">
      <alignment horizontal="right" vertical="center"/>
    </xf>
    <xf numFmtId="0" fontId="72" fillId="0" borderId="0" xfId="2" applyFont="1" applyAlignment="1" applyProtection="1">
      <alignment horizontal="right" vertical="center"/>
    </xf>
    <xf numFmtId="0" fontId="85" fillId="0" borderId="0" xfId="2" applyFont="1" applyAlignment="1">
      <alignment vertical="center"/>
      <protection locked="0"/>
    </xf>
    <xf numFmtId="0" fontId="83" fillId="0" borderId="0" xfId="0" applyFont="1">
      <alignment vertical="center"/>
    </xf>
    <xf numFmtId="0" fontId="61" fillId="0" borderId="0" xfId="0" applyFont="1">
      <alignment vertical="center"/>
    </xf>
    <xf numFmtId="0" fontId="76" fillId="0" borderId="0" xfId="0" applyFont="1" applyAlignment="1">
      <alignment horizontal="center" vertical="center"/>
    </xf>
    <xf numFmtId="0" fontId="76" fillId="0" borderId="11" xfId="0" applyFont="1" applyFill="1" applyBorder="1">
      <alignment vertical="center"/>
    </xf>
    <xf numFmtId="0" fontId="76" fillId="0" borderId="11" xfId="0" applyFont="1" applyBorder="1">
      <alignment vertical="center"/>
    </xf>
    <xf numFmtId="0" fontId="33" fillId="6" borderId="11" xfId="57" applyFont="1" applyFill="1" applyBorder="1" applyAlignment="1" applyProtection="1">
      <alignment vertical="center" wrapText="1"/>
    </xf>
    <xf numFmtId="197" fontId="11" fillId="6" borderId="11" xfId="58" applyFont="1" applyFill="1" applyBorder="1" applyAlignment="1" applyProtection="1">
      <alignment horizontal="center" vertical="center" wrapText="1"/>
      <protection locked="0"/>
    </xf>
    <xf numFmtId="0" fontId="76" fillId="0" borderId="0" xfId="0" applyFont="1" applyAlignment="1">
      <alignment vertical="center" wrapText="1"/>
    </xf>
    <xf numFmtId="0" fontId="39" fillId="0" borderId="11" xfId="57" applyFont="1" applyBorder="1" applyAlignment="1" applyProtection="1">
      <alignment vertical="center"/>
    </xf>
    <xf numFmtId="0" fontId="6" fillId="0" borderId="11" xfId="57" applyFont="1" applyBorder="1" applyAlignment="1" applyProtection="1">
      <alignment vertical="center"/>
    </xf>
    <xf numFmtId="0" fontId="51" fillId="0" borderId="11" xfId="57" applyFont="1" applyBorder="1" applyAlignment="1" applyProtection="1">
      <alignment horizontal="left" vertical="center" indent="1"/>
    </xf>
    <xf numFmtId="0" fontId="5" fillId="0" borderId="0" xfId="57" applyFont="1">
      <protection locked="0"/>
    </xf>
    <xf numFmtId="0" fontId="11" fillId="0" borderId="0" xfId="2" applyFont="1" applyAlignment="1">
      <alignment horizontal="left" vertical="center"/>
      <protection locked="0"/>
    </xf>
    <xf numFmtId="0" fontId="90" fillId="0" borderId="0" xfId="0" applyFont="1">
      <alignment vertical="center"/>
    </xf>
    <xf numFmtId="0" fontId="56" fillId="0" borderId="0" xfId="53" applyFont="1">
      <alignment vertical="center"/>
    </xf>
    <xf numFmtId="0" fontId="11" fillId="6" borderId="11" xfId="2" applyFont="1" applyFill="1" applyBorder="1" applyAlignment="1">
      <alignment horizontal="center" vertical="center" wrapText="1"/>
      <protection locked="0"/>
    </xf>
    <xf numFmtId="0" fontId="11" fillId="6" borderId="11" xfId="2" applyFont="1" applyFill="1" applyBorder="1" applyAlignment="1">
      <alignment horizontal="center" vertical="center"/>
      <protection locked="0"/>
    </xf>
    <xf numFmtId="0" fontId="6" fillId="0" borderId="11" xfId="2" applyFont="1" applyBorder="1" applyAlignment="1">
      <alignment horizontal="center" vertical="center"/>
      <protection locked="0"/>
    </xf>
    <xf numFmtId="43" fontId="51" fillId="0" borderId="11" xfId="2" applyNumberFormat="1" applyFont="1" applyBorder="1" applyAlignment="1">
      <alignment horizontal="center" vertical="center"/>
      <protection locked="0"/>
    </xf>
    <xf numFmtId="0" fontId="51" fillId="0" borderId="11" xfId="2" applyFont="1" applyBorder="1" applyAlignment="1">
      <alignment horizontal="center" vertical="center"/>
      <protection locked="0"/>
    </xf>
    <xf numFmtId="0" fontId="11" fillId="10" borderId="11" xfId="2" applyFont="1" applyFill="1" applyBorder="1" applyAlignment="1">
      <alignment horizontal="center" vertical="center"/>
      <protection locked="0"/>
    </xf>
    <xf numFmtId="197" fontId="55" fillId="0" borderId="11" xfId="61" applyFont="1" applyFill="1" applyBorder="1" applyAlignment="1">
      <alignment vertical="center" wrapText="1"/>
    </xf>
    <xf numFmtId="0" fontId="37" fillId="0" borderId="0" xfId="2" applyFont="1" applyAlignment="1">
      <alignment vertical="center"/>
      <protection locked="0"/>
    </xf>
    <xf numFmtId="0" fontId="80" fillId="0" borderId="0" xfId="2" applyFont="1">
      <protection locked="0"/>
    </xf>
    <xf numFmtId="43" fontId="11" fillId="10" borderId="11" xfId="2" applyNumberFormat="1" applyFont="1" applyFill="1" applyBorder="1" applyAlignment="1">
      <alignment horizontal="center" vertical="center"/>
      <protection locked="0"/>
    </xf>
    <xf numFmtId="43" fontId="6" fillId="10" borderId="11" xfId="2" applyNumberFormat="1" applyFont="1" applyFill="1" applyBorder="1" applyAlignment="1">
      <alignment horizontal="center" vertical="center"/>
      <protection locked="0"/>
    </xf>
    <xf numFmtId="0" fontId="80" fillId="0" borderId="0" xfId="0" applyFont="1" applyAlignment="1" applyProtection="1">
      <alignment horizontal="left" vertical="center" wrapText="1"/>
      <protection locked="0"/>
    </xf>
    <xf numFmtId="0" fontId="11" fillId="6" borderId="11" xfId="2" applyFont="1" applyFill="1" applyBorder="1" applyAlignment="1">
      <alignment horizontal="center" vertical="center"/>
      <protection locked="0"/>
    </xf>
    <xf numFmtId="0" fontId="6" fillId="0" borderId="11" xfId="2" applyFont="1" applyBorder="1" applyAlignment="1">
      <alignment horizontal="left" vertical="center"/>
      <protection locked="0"/>
    </xf>
    <xf numFmtId="0" fontId="6" fillId="0" borderId="11" xfId="2" applyFont="1" applyBorder="1" applyAlignment="1">
      <alignment horizontal="center" vertical="center"/>
      <protection locked="0"/>
    </xf>
    <xf numFmtId="0" fontId="6" fillId="0" borderId="0" xfId="2" applyFont="1" applyAlignment="1">
      <alignment vertical="center" wrapText="1"/>
      <protection locked="0"/>
    </xf>
    <xf numFmtId="0" fontId="6" fillId="0" borderId="0" xfId="2" applyFont="1" applyAlignment="1">
      <alignment horizontal="left" vertical="center"/>
      <protection locked="0"/>
    </xf>
    <xf numFmtId="0" fontId="55" fillId="0" borderId="0" xfId="53" applyFont="1" applyAlignment="1">
      <alignment vertical="center" wrapText="1"/>
    </xf>
    <xf numFmtId="0" fontId="24" fillId="6" borderId="11" xfId="2" applyFont="1" applyFill="1" applyBorder="1" applyAlignment="1">
      <alignment horizontal="center" vertical="center" wrapText="1"/>
      <protection locked="0"/>
    </xf>
    <xf numFmtId="0" fontId="32" fillId="0" borderId="0" xfId="0" applyFont="1" applyProtection="1">
      <alignment vertical="center"/>
      <protection locked="0"/>
    </xf>
    <xf numFmtId="0" fontId="6" fillId="0" borderId="0" xfId="0" applyFont="1" applyAlignment="1">
      <alignment vertical="center" wrapText="1"/>
    </xf>
    <xf numFmtId="43" fontId="76" fillId="0" borderId="11" xfId="49" applyFont="1" applyFill="1" applyBorder="1">
      <alignment vertical="center"/>
    </xf>
    <xf numFmtId="43" fontId="76" fillId="0" borderId="11" xfId="49" applyFont="1" applyBorder="1">
      <alignment vertical="center"/>
    </xf>
    <xf numFmtId="0" fontId="76" fillId="0" borderId="11" xfId="0" applyFont="1" applyFill="1" applyBorder="1" applyAlignment="1">
      <alignment horizontal="center" vertical="center"/>
    </xf>
    <xf numFmtId="0" fontId="76" fillId="0" borderId="11" xfId="0" applyFont="1" applyBorder="1" applyAlignment="1">
      <alignment horizontal="center" vertical="center"/>
    </xf>
    <xf numFmtId="0" fontId="76" fillId="0" borderId="11" xfId="0" applyFont="1" applyFill="1" applyBorder="1" applyAlignment="1">
      <alignment horizontal="left" vertical="center"/>
    </xf>
    <xf numFmtId="0" fontId="92" fillId="0" borderId="11" xfId="0" applyFont="1" applyFill="1" applyBorder="1" applyAlignment="1">
      <alignment horizontal="left" vertical="center"/>
    </xf>
    <xf numFmtId="0" fontId="76" fillId="0" borderId="11" xfId="0" applyFont="1" applyBorder="1" applyAlignment="1">
      <alignment horizontal="left" vertical="center"/>
    </xf>
    <xf numFmtId="0" fontId="70" fillId="0" borderId="11" xfId="2" applyFont="1" applyBorder="1" applyAlignment="1">
      <alignment horizontal="center" vertical="center" wrapText="1"/>
      <protection locked="0"/>
    </xf>
    <xf numFmtId="0" fontId="6" fillId="0" borderId="11" xfId="2" applyNumberFormat="1" applyFont="1" applyBorder="1" applyAlignment="1">
      <alignment horizontal="center" vertical="center"/>
      <protection locked="0"/>
    </xf>
    <xf numFmtId="0" fontId="6" fillId="0" borderId="11" xfId="2" applyNumberFormat="1" applyFont="1" applyFill="1" applyBorder="1" applyAlignment="1">
      <alignment horizontal="center" vertical="center"/>
      <protection locked="0"/>
    </xf>
    <xf numFmtId="0" fontId="6" fillId="0" borderId="11" xfId="2" quotePrefix="1" applyNumberFormat="1" applyFont="1" applyBorder="1" applyAlignment="1">
      <alignment horizontal="center" vertical="center"/>
      <protection locked="0"/>
    </xf>
    <xf numFmtId="0" fontId="6" fillId="0" borderId="11" xfId="2" quotePrefix="1" applyNumberFormat="1" applyFont="1" applyFill="1" applyBorder="1" applyAlignment="1">
      <alignment horizontal="center" vertical="center"/>
      <protection locked="0"/>
    </xf>
    <xf numFmtId="0" fontId="11" fillId="0" borderId="11" xfId="2" quotePrefix="1" applyNumberFormat="1" applyFont="1" applyBorder="1" applyAlignment="1">
      <alignment horizontal="center" vertical="center" wrapText="1"/>
      <protection locked="0"/>
    </xf>
    <xf numFmtId="0" fontId="11" fillId="0" borderId="11" xfId="2" quotePrefix="1" applyNumberFormat="1" applyFont="1" applyFill="1" applyBorder="1" applyAlignment="1">
      <alignment horizontal="center" vertical="center" wrapText="1"/>
      <protection locked="0"/>
    </xf>
    <xf numFmtId="43" fontId="6" fillId="0" borderId="11" xfId="49" applyFont="1" applyFill="1" applyBorder="1" applyAlignment="1" applyProtection="1">
      <alignment horizontal="right" vertical="center"/>
      <protection locked="0"/>
    </xf>
    <xf numFmtId="43" fontId="6" fillId="0" borderId="11" xfId="49" quotePrefix="1" applyFont="1" applyFill="1" applyBorder="1" applyAlignment="1" applyProtection="1">
      <alignment horizontal="right" vertical="center"/>
      <protection locked="0"/>
    </xf>
    <xf numFmtId="43" fontId="11" fillId="0" borderId="11" xfId="49" quotePrefix="1" applyFont="1" applyFill="1" applyBorder="1" applyAlignment="1" applyProtection="1">
      <alignment horizontal="right" vertical="center" wrapText="1"/>
      <protection locked="0"/>
    </xf>
    <xf numFmtId="0" fontId="70" fillId="0" borderId="11" xfId="2" applyNumberFormat="1" applyFont="1" applyFill="1" applyBorder="1" applyAlignment="1">
      <alignment horizontal="center" vertical="center"/>
      <protection locked="0"/>
    </xf>
    <xf numFmtId="0" fontId="70" fillId="0" borderId="11" xfId="2" applyNumberFormat="1" applyFont="1" applyBorder="1" applyAlignment="1">
      <alignment horizontal="center" vertical="center"/>
      <protection locked="0"/>
    </xf>
    <xf numFmtId="43" fontId="70" fillId="0" borderId="11" xfId="2" applyNumberFormat="1" applyFont="1" applyBorder="1" applyAlignment="1">
      <alignment horizontal="center" vertical="center"/>
      <protection locked="0"/>
    </xf>
    <xf numFmtId="10" fontId="6" fillId="0" borderId="11" xfId="2" applyNumberFormat="1" applyFont="1" applyBorder="1" applyAlignment="1">
      <alignment horizontal="center" vertical="center"/>
      <protection locked="0"/>
    </xf>
    <xf numFmtId="0" fontId="10" fillId="0" borderId="0" xfId="33" applyFont="1" applyAlignment="1">
      <alignment vertical="center"/>
    </xf>
    <xf numFmtId="0" fontId="85" fillId="0" borderId="0" xfId="33" applyFont="1" applyAlignment="1">
      <alignment vertical="center"/>
    </xf>
    <xf numFmtId="0" fontId="36" fillId="0" borderId="0" xfId="0" applyFont="1" applyAlignment="1">
      <alignment horizontal="center" vertical="center"/>
    </xf>
    <xf numFmtId="0" fontId="6" fillId="0" borderId="0" xfId="65" applyFont="1" applyAlignment="1">
      <alignment vertical="center"/>
      <protection locked="0"/>
    </xf>
    <xf numFmtId="0" fontId="6" fillId="0" borderId="0" xfId="34" applyFont="1" applyAlignment="1">
      <alignment vertical="center"/>
    </xf>
    <xf numFmtId="0" fontId="6" fillId="0" borderId="0" xfId="2" applyFont="1" applyBorder="1" applyAlignment="1">
      <alignment vertical="center"/>
      <protection locked="0"/>
    </xf>
    <xf numFmtId="0" fontId="32" fillId="0" borderId="0" xfId="0" applyFont="1" applyAlignment="1" applyProtection="1">
      <alignment vertical="center"/>
      <protection locked="0"/>
    </xf>
    <xf numFmtId="0" fontId="30" fillId="0" borderId="0" xfId="0" applyFont="1" applyAlignment="1" applyProtection="1">
      <alignment vertical="center"/>
      <protection locked="0"/>
    </xf>
    <xf numFmtId="43" fontId="6" fillId="0" borderId="13" xfId="49" applyFont="1" applyFill="1" applyBorder="1" applyAlignment="1">
      <alignment horizontal="right" vertical="center" wrapText="1"/>
    </xf>
    <xf numFmtId="0" fontId="5" fillId="0" borderId="0" xfId="0" applyFont="1" applyAlignment="1" applyProtection="1">
      <alignment horizontal="justify" vertical="center"/>
      <protection locked="0"/>
    </xf>
    <xf numFmtId="0" fontId="58" fillId="0" borderId="1" xfId="0" applyFont="1" applyBorder="1" applyAlignment="1" applyProtection="1">
      <alignment horizontal="justify" vertical="center" wrapText="1"/>
      <protection locked="0"/>
    </xf>
    <xf numFmtId="0" fontId="58" fillId="0" borderId="1" xfId="0" applyFont="1" applyBorder="1" applyAlignment="1" applyProtection="1">
      <alignment horizontal="center" vertical="center" wrapText="1"/>
      <protection locked="0"/>
    </xf>
    <xf numFmtId="43" fontId="5" fillId="0" borderId="0" xfId="2" applyNumberFormat="1" applyFont="1" applyAlignment="1">
      <alignment vertical="center"/>
      <protection locked="0"/>
    </xf>
    <xf numFmtId="43" fontId="5" fillId="0" borderId="0" xfId="49" applyFont="1" applyFill="1" applyAlignment="1" applyProtection="1">
      <alignment horizontal="right" vertical="center"/>
      <protection locked="0"/>
    </xf>
    <xf numFmtId="0" fontId="5" fillId="0" borderId="0" xfId="0" applyFont="1" applyAlignment="1" applyProtection="1">
      <alignment vertical="center"/>
      <protection locked="0"/>
    </xf>
    <xf numFmtId="0" fontId="2" fillId="0" borderId="0" xfId="0" applyFont="1" applyAlignment="1" applyProtection="1">
      <alignment horizontal="justify" vertical="center"/>
      <protection locked="0"/>
    </xf>
    <xf numFmtId="0" fontId="58" fillId="0" borderId="2" xfId="0" applyFont="1" applyBorder="1" applyAlignment="1" applyProtection="1">
      <alignment horizontal="right" vertical="center" wrapText="1"/>
      <protection locked="0"/>
    </xf>
    <xf numFmtId="202" fontId="59" fillId="0" borderId="0" xfId="49" applyNumberFormat="1" applyFont="1" applyFill="1" applyAlignment="1" applyProtection="1">
      <alignment horizontal="right" vertical="center" wrapText="1"/>
      <protection locked="0"/>
    </xf>
    <xf numFmtId="43" fontId="5" fillId="0" borderId="0" xfId="49" applyFont="1" applyFill="1" applyAlignment="1" applyProtection="1">
      <alignment vertical="center"/>
      <protection locked="0"/>
    </xf>
    <xf numFmtId="0" fontId="0" fillId="0" borderId="0" xfId="0" applyAlignment="1" applyProtection="1">
      <alignment vertical="center"/>
      <protection locked="0"/>
    </xf>
    <xf numFmtId="0" fontId="91" fillId="0" borderId="11" xfId="54" applyFont="1" applyBorder="1" applyAlignment="1">
      <alignment horizontal="left" vertical="center"/>
    </xf>
    <xf numFmtId="0" fontId="55" fillId="0" borderId="11" xfId="54" applyFont="1" applyBorder="1" applyAlignment="1">
      <alignment horizontal="left" vertical="center"/>
    </xf>
    <xf numFmtId="14" fontId="55" fillId="0" borderId="11" xfId="54" applyNumberFormat="1" applyFont="1" applyBorder="1" applyAlignment="1">
      <alignment horizontal="left" vertical="center"/>
    </xf>
    <xf numFmtId="43" fontId="51" fillId="0" borderId="0" xfId="2" applyNumberFormat="1" applyFont="1" applyFill="1" applyAlignment="1">
      <alignment vertical="center"/>
      <protection locked="0"/>
    </xf>
    <xf numFmtId="0" fontId="6" fillId="0" borderId="0" xfId="31" applyFont="1" applyBorder="1" applyAlignment="1">
      <alignment vertical="center"/>
    </xf>
    <xf numFmtId="0" fontId="11" fillId="0" borderId="0" xfId="31" applyFont="1" applyBorder="1" applyAlignment="1">
      <alignment horizontal="left" vertical="center"/>
    </xf>
    <xf numFmtId="0" fontId="51" fillId="0" borderId="0" xfId="31" applyFont="1" applyBorder="1" applyAlignment="1">
      <alignment vertical="center"/>
    </xf>
    <xf numFmtId="197" fontId="39" fillId="0" borderId="11" xfId="51" applyFont="1" applyBorder="1" applyAlignment="1" applyProtection="1">
      <alignment horizontal="left" vertical="center" wrapText="1"/>
      <protection locked="0"/>
    </xf>
    <xf numFmtId="0" fontId="11" fillId="10" borderId="11" xfId="55" applyFont="1" applyFill="1" applyBorder="1" applyAlignment="1">
      <alignment horizontal="center" vertical="center" wrapText="1"/>
    </xf>
    <xf numFmtId="0" fontId="6" fillId="0" borderId="0" xfId="2" applyFont="1" applyAlignment="1">
      <alignment horizontal="left" vertical="center" wrapText="1"/>
      <protection locked="0"/>
    </xf>
    <xf numFmtId="0" fontId="6" fillId="0" borderId="0" xfId="2" applyFont="1" applyAlignment="1">
      <alignment vertical="center" wrapText="1"/>
      <protection locked="0"/>
    </xf>
    <xf numFmtId="0" fontId="6" fillId="0" borderId="0" xfId="2" applyFont="1" applyAlignment="1">
      <alignment horizontal="left" vertical="center"/>
      <protection locked="0"/>
    </xf>
    <xf numFmtId="0" fontId="24" fillId="6" borderId="11" xfId="2" applyFont="1" applyFill="1" applyBorder="1" applyAlignment="1">
      <alignment horizontal="center" vertical="center" wrapText="1"/>
      <protection locked="0"/>
    </xf>
    <xf numFmtId="0" fontId="7" fillId="0" borderId="0" xfId="0" applyFont="1" applyAlignment="1" applyProtection="1">
      <alignment vertical="center"/>
      <protection locked="0"/>
    </xf>
    <xf numFmtId="0" fontId="24" fillId="0" borderId="0" xfId="0" applyFont="1" applyAlignment="1" applyProtection="1">
      <alignment vertical="center"/>
      <protection locked="0"/>
    </xf>
    <xf numFmtId="0" fontId="52" fillId="0" borderId="11" xfId="0" applyFont="1" applyBorder="1" applyAlignment="1">
      <alignment horizontal="center" vertical="center" wrapText="1"/>
    </xf>
    <xf numFmtId="0" fontId="39" fillId="0" borderId="5" xfId="0" applyFont="1" applyFill="1" applyBorder="1" applyAlignment="1">
      <alignment horizontal="center" vertical="center"/>
    </xf>
    <xf numFmtId="197" fontId="52" fillId="0" borderId="11" xfId="61" applyFont="1" applyFill="1" applyBorder="1" applyAlignment="1">
      <alignment vertical="center" wrapText="1"/>
    </xf>
    <xf numFmtId="197" fontId="53" fillId="0" borderId="11" xfId="61" applyFont="1" applyFill="1" applyBorder="1" applyAlignment="1">
      <alignment horizontal="center" vertical="center" wrapText="1"/>
    </xf>
    <xf numFmtId="0" fontId="55" fillId="0" borderId="0" xfId="0" applyFont="1">
      <alignment vertical="center"/>
    </xf>
    <xf numFmtId="0" fontId="55" fillId="0" borderId="0" xfId="0" applyFont="1" applyAlignment="1" applyProtection="1">
      <alignment horizontal="center" vertical="center"/>
      <protection locked="0"/>
    </xf>
    <xf numFmtId="0" fontId="6" fillId="0" borderId="0" xfId="34" applyFont="1" applyAlignment="1">
      <alignment horizontal="center" vertical="center"/>
    </xf>
    <xf numFmtId="0" fontId="55" fillId="0" borderId="0" xfId="34" applyFont="1" applyAlignment="1">
      <alignment horizontal="center" vertical="center"/>
    </xf>
    <xf numFmtId="0" fontId="11" fillId="0" borderId="0" xfId="0" applyFont="1" applyAlignment="1" applyProtection="1">
      <alignment horizontal="center" vertical="center"/>
      <protection locked="0"/>
    </xf>
    <xf numFmtId="0" fontId="52" fillId="0" borderId="11" xfId="52" applyNumberFormat="1" applyFont="1" applyBorder="1" applyAlignment="1">
      <alignment horizontal="center" vertical="center" wrapText="1"/>
    </xf>
    <xf numFmtId="197" fontId="52" fillId="0" borderId="11" xfId="61" applyFont="1" applyFill="1" applyBorder="1" applyAlignment="1">
      <alignment horizontal="center" vertical="center" wrapText="1"/>
    </xf>
    <xf numFmtId="197" fontId="55" fillId="0" borderId="11" xfId="61" applyFont="1" applyFill="1" applyBorder="1" applyAlignment="1">
      <alignment horizontal="center" vertical="center" wrapText="1"/>
    </xf>
    <xf numFmtId="0" fontId="55" fillId="0" borderId="0" xfId="0" applyFont="1" applyAlignment="1">
      <alignment horizontal="center" vertical="center"/>
    </xf>
    <xf numFmtId="0" fontId="11" fillId="0" borderId="0" xfId="34" applyFont="1" applyAlignment="1">
      <alignment horizontal="center" vertical="center"/>
    </xf>
    <xf numFmtId="0" fontId="30" fillId="0" borderId="0" xfId="1" applyFont="1" applyAlignment="1" applyProtection="1">
      <alignment horizontal="left" vertical="center"/>
    </xf>
    <xf numFmtId="197" fontId="37" fillId="12" borderId="0" xfId="61" applyFont="1" applyFill="1" applyAlignment="1" applyProtection="1">
      <alignment horizontal="left" vertical="center" wrapText="1"/>
      <protection locked="0"/>
    </xf>
    <xf numFmtId="0" fontId="52" fillId="0" borderId="11" xfId="63" applyFont="1" applyFill="1" applyBorder="1" applyAlignment="1" applyProtection="1">
      <alignment horizontal="center" vertical="center" wrapText="1"/>
    </xf>
    <xf numFmtId="0" fontId="51" fillId="0" borderId="0" xfId="2" applyFont="1" applyBorder="1" applyAlignment="1">
      <alignment vertical="center"/>
      <protection locked="0"/>
    </xf>
    <xf numFmtId="0" fontId="62" fillId="0" borderId="0" xfId="2" applyFont="1" applyBorder="1" applyAlignment="1">
      <alignment vertical="center"/>
      <protection locked="0"/>
    </xf>
    <xf numFmtId="0" fontId="51" fillId="0" borderId="0" xfId="2" applyFont="1" applyFill="1" applyAlignment="1">
      <alignment vertical="center"/>
      <protection locked="0"/>
    </xf>
    <xf numFmtId="0" fontId="86" fillId="0" borderId="0" xfId="0" applyFont="1" applyFill="1">
      <alignment vertical="center"/>
    </xf>
    <xf numFmtId="0" fontId="6" fillId="0" borderId="0" xfId="2" applyFont="1" applyAlignment="1">
      <alignment horizontal="left" vertical="center"/>
      <protection locked="0"/>
    </xf>
    <xf numFmtId="43" fontId="6" fillId="0" borderId="11" xfId="49" applyNumberFormat="1" applyFont="1" applyBorder="1" applyAlignment="1" applyProtection="1">
      <alignment horizontal="center" vertical="center" wrapText="1"/>
      <protection locked="0"/>
    </xf>
    <xf numFmtId="0" fontId="6" fillId="0" borderId="0" xfId="0" applyFont="1" applyAlignment="1">
      <alignment vertical="center"/>
    </xf>
    <xf numFmtId="43" fontId="76" fillId="0" borderId="11" xfId="49" applyFont="1" applyFill="1" applyBorder="1" applyAlignment="1">
      <alignment horizontal="center" vertical="center"/>
    </xf>
    <xf numFmtId="43" fontId="76" fillId="0" borderId="11" xfId="49" applyFont="1" applyBorder="1" applyAlignment="1">
      <alignment horizontal="center" vertical="center"/>
    </xf>
    <xf numFmtId="0" fontId="32" fillId="0" borderId="0" xfId="2" applyFont="1" applyAlignment="1">
      <alignment vertical="center"/>
      <protection locked="0"/>
    </xf>
    <xf numFmtId="0" fontId="51" fillId="0" borderId="0" xfId="2" applyFont="1" applyAlignment="1">
      <alignment vertical="center"/>
      <protection locked="0"/>
    </xf>
    <xf numFmtId="0" fontId="38" fillId="0" borderId="0" xfId="2" applyFont="1" applyAlignment="1">
      <alignment vertical="center"/>
      <protection locked="0"/>
    </xf>
    <xf numFmtId="0" fontId="54" fillId="0" borderId="0" xfId="2" applyFont="1" applyAlignment="1">
      <alignment vertical="center"/>
      <protection locked="0"/>
    </xf>
    <xf numFmtId="0" fontId="38" fillId="0" borderId="0" xfId="2" applyFont="1" applyAlignment="1">
      <alignment horizontal="left" vertical="center"/>
      <protection locked="0"/>
    </xf>
    <xf numFmtId="0" fontId="96" fillId="0" borderId="0" xfId="0" applyFont="1">
      <alignment vertical="center"/>
    </xf>
    <xf numFmtId="0" fontId="30" fillId="0" borderId="0" xfId="0" applyFont="1" applyAlignment="1" applyProtection="1">
      <alignment horizontal="left" vertical="center" wrapText="1"/>
      <protection locked="0"/>
    </xf>
    <xf numFmtId="0" fontId="53" fillId="0" borderId="11" xfId="52" applyNumberFormat="1" applyFont="1" applyBorder="1" applyAlignment="1">
      <alignment horizontal="center" vertical="center" wrapText="1"/>
    </xf>
    <xf numFmtId="0" fontId="99" fillId="0" borderId="0" xfId="2" applyFont="1" applyAlignment="1">
      <alignment vertical="center"/>
      <protection locked="0"/>
    </xf>
    <xf numFmtId="0" fontId="11" fillId="10" borderId="11" xfId="70" applyFont="1" applyFill="1" applyBorder="1" applyAlignment="1">
      <alignment horizontal="center" vertical="center"/>
    </xf>
    <xf numFmtId="0" fontId="11" fillId="10" borderId="11" xfId="70" quotePrefix="1" applyFont="1" applyFill="1" applyBorder="1" applyAlignment="1">
      <alignment horizontal="center" vertical="center"/>
    </xf>
    <xf numFmtId="0" fontId="11" fillId="10" borderId="11" xfId="70" quotePrefix="1" applyFont="1" applyFill="1" applyBorder="1" applyAlignment="1">
      <alignment horizontal="left" vertical="center"/>
    </xf>
    <xf numFmtId="199" fontId="11" fillId="10" borderId="11" xfId="70" applyNumberFormat="1" applyFont="1" applyFill="1" applyBorder="1" applyAlignment="1">
      <alignment horizontal="right" vertical="center"/>
    </xf>
    <xf numFmtId="43" fontId="6" fillId="0" borderId="11" xfId="71" applyFont="1" applyFill="1" applyBorder="1" applyAlignment="1">
      <alignment horizontal="right" vertical="center" wrapText="1"/>
    </xf>
    <xf numFmtId="199" fontId="11" fillId="10" borderId="11" xfId="70" applyNumberFormat="1" applyFont="1" applyFill="1" applyBorder="1" applyAlignment="1">
      <alignment horizontal="center" vertical="center"/>
    </xf>
    <xf numFmtId="0" fontId="6" fillId="0" borderId="11" xfId="70" applyFont="1" applyBorder="1" applyAlignment="1">
      <alignment horizontal="center" vertical="center"/>
    </xf>
    <xf numFmtId="199" fontId="70" fillId="0" borderId="11" xfId="70" applyNumberFormat="1" applyFont="1" applyBorder="1" applyAlignment="1">
      <alignment horizontal="left" vertical="center"/>
    </xf>
    <xf numFmtId="199" fontId="6" fillId="0" borderId="11" xfId="70" applyNumberFormat="1" applyFont="1" applyBorder="1" applyAlignment="1">
      <alignment horizontal="right" vertical="center"/>
    </xf>
    <xf numFmtId="14" fontId="6" fillId="0" borderId="11" xfId="70" applyNumberFormat="1" applyFont="1" applyBorder="1" applyAlignment="1">
      <alignment horizontal="left" vertical="center"/>
    </xf>
    <xf numFmtId="49" fontId="6" fillId="0" borderId="11" xfId="70" applyNumberFormat="1" applyFont="1" applyBorder="1" applyAlignment="1" applyProtection="1">
      <alignment horizontal="center" vertical="center"/>
      <protection locked="0"/>
    </xf>
    <xf numFmtId="0" fontId="6" fillId="6" borderId="0" xfId="2" applyFont="1" applyFill="1" applyAlignment="1">
      <alignment vertical="center"/>
      <protection locked="0"/>
    </xf>
    <xf numFmtId="199" fontId="11" fillId="10" borderId="11" xfId="70" applyNumberFormat="1" applyFont="1" applyFill="1" applyBorder="1">
      <alignment vertical="center"/>
    </xf>
    <xf numFmtId="0" fontId="11" fillId="10" borderId="11" xfId="70" applyFont="1" applyFill="1" applyBorder="1">
      <alignment vertical="center"/>
    </xf>
    <xf numFmtId="199" fontId="6" fillId="10" borderId="11" xfId="70" applyNumberFormat="1" applyFont="1" applyFill="1" applyBorder="1" applyAlignment="1">
      <alignment horizontal="right" vertical="center"/>
    </xf>
    <xf numFmtId="43" fontId="51" fillId="10" borderId="11" xfId="72" applyFont="1" applyFill="1" applyBorder="1" applyAlignment="1">
      <alignment horizontal="right" vertical="center" wrapText="1"/>
    </xf>
    <xf numFmtId="199" fontId="6" fillId="10" borderId="11" xfId="70" applyNumberFormat="1" applyFont="1" applyFill="1" applyBorder="1">
      <alignment vertical="center"/>
    </xf>
    <xf numFmtId="0" fontId="11" fillId="10" borderId="11" xfId="70" applyFont="1" applyFill="1" applyBorder="1" applyAlignment="1">
      <alignment horizontal="left" vertical="center"/>
    </xf>
    <xf numFmtId="43" fontId="6" fillId="0" borderId="11" xfId="72" applyFont="1" applyFill="1" applyBorder="1" applyAlignment="1">
      <alignment horizontal="right" vertical="center" wrapText="1"/>
    </xf>
    <xf numFmtId="49" fontId="11" fillId="10" borderId="11" xfId="55" applyNumberFormat="1" applyFont="1" applyFill="1" applyBorder="1" applyAlignment="1">
      <alignment horizontal="centerContinuous" vertical="center"/>
    </xf>
    <xf numFmtId="0" fontId="11" fillId="10" borderId="11" xfId="55" applyFont="1" applyFill="1" applyBorder="1" applyAlignment="1">
      <alignment horizontal="centerContinuous" vertical="center"/>
    </xf>
    <xf numFmtId="49" fontId="11" fillId="10" borderId="11" xfId="55" applyNumberFormat="1" applyFont="1" applyFill="1" applyBorder="1" applyAlignment="1">
      <alignment horizontal="center" vertical="center"/>
    </xf>
    <xf numFmtId="0" fontId="11" fillId="10" borderId="11" xfId="55" applyFont="1" applyFill="1" applyBorder="1" applyAlignment="1">
      <alignment horizontal="center" vertical="center"/>
    </xf>
    <xf numFmtId="0" fontId="6" fillId="10" borderId="11" xfId="70" quotePrefix="1" applyFont="1" applyFill="1" applyBorder="1" applyAlignment="1">
      <alignment horizontal="left" vertical="center"/>
    </xf>
    <xf numFmtId="199" fontId="6" fillId="10" borderId="14" xfId="70" applyNumberFormat="1" applyFont="1" applyFill="1" applyBorder="1">
      <alignment vertical="center"/>
    </xf>
    <xf numFmtId="199" fontId="6" fillId="10" borderId="15" xfId="70" applyNumberFormat="1" applyFont="1" applyFill="1" applyBorder="1">
      <alignment vertical="center"/>
    </xf>
    <xf numFmtId="0" fontId="30" fillId="0" borderId="0" xfId="0" applyFont="1" applyAlignment="1" applyProtection="1">
      <alignment horizontal="left" vertical="center" wrapText="1"/>
      <protection locked="0"/>
    </xf>
    <xf numFmtId="0" fontId="103" fillId="0" borderId="0" xfId="2" applyFont="1" applyAlignment="1">
      <alignment vertical="center"/>
      <protection locked="0"/>
    </xf>
    <xf numFmtId="0" fontId="30" fillId="0" borderId="0" xfId="0" applyFont="1" applyAlignment="1" applyProtection="1">
      <alignment horizontal="left" vertical="center"/>
      <protection locked="0"/>
    </xf>
    <xf numFmtId="0" fontId="25" fillId="0" borderId="0" xfId="0" applyFont="1" applyAlignment="1" applyProtection="1">
      <alignment horizontal="left" vertical="center"/>
      <protection locked="0"/>
    </xf>
    <xf numFmtId="0" fontId="31" fillId="0" borderId="0" xfId="0" applyFont="1" applyAlignment="1" applyProtection="1">
      <alignment horizontal="left" vertical="center"/>
      <protection locked="0"/>
    </xf>
    <xf numFmtId="0" fontId="55" fillId="0" borderId="11" xfId="54" applyFont="1" applyBorder="1" applyAlignment="1">
      <alignment horizontal="center" vertical="center"/>
    </xf>
    <xf numFmtId="201" fontId="55" fillId="0" borderId="11" xfId="54" applyNumberFormat="1" applyFont="1" applyBorder="1" applyAlignment="1">
      <alignment horizontal="left" vertical="center"/>
    </xf>
    <xf numFmtId="14" fontId="55" fillId="0" borderId="11" xfId="54" applyNumberFormat="1" applyFont="1" applyBorder="1" applyAlignment="1">
      <alignment horizontal="center" vertical="center"/>
    </xf>
    <xf numFmtId="201" fontId="55" fillId="0" borderId="11" xfId="54" applyNumberFormat="1" applyFont="1" applyBorder="1" applyAlignment="1">
      <alignment horizontal="center" vertical="center"/>
    </xf>
    <xf numFmtId="0" fontId="55" fillId="0" borderId="11" xfId="54" applyFont="1" applyBorder="1" applyAlignment="1">
      <alignment vertical="center"/>
    </xf>
    <xf numFmtId="0" fontId="55" fillId="0" borderId="0" xfId="54" applyFont="1" applyAlignment="1">
      <alignment vertical="center"/>
    </xf>
    <xf numFmtId="201" fontId="55" fillId="0" borderId="0" xfId="54" applyNumberFormat="1" applyFont="1" applyAlignment="1">
      <alignment vertical="center"/>
    </xf>
    <xf numFmtId="0" fontId="52" fillId="0" borderId="11" xfId="54" applyFont="1" applyBorder="1" applyAlignment="1">
      <alignment horizontal="left" vertical="center"/>
    </xf>
    <xf numFmtId="14" fontId="52" fillId="0" borderId="11" xfId="54" applyNumberFormat="1" applyFont="1" applyBorder="1" applyAlignment="1">
      <alignment horizontal="center" vertical="center"/>
    </xf>
    <xf numFmtId="0" fontId="54" fillId="0" borderId="0" xfId="53" applyFont="1">
      <alignment vertical="center"/>
    </xf>
    <xf numFmtId="0" fontId="11" fillId="10" borderId="11" xfId="70" quotePrefix="1" applyFont="1" applyFill="1" applyBorder="1" applyAlignment="1">
      <alignment horizontal="left" vertical="center"/>
    </xf>
    <xf numFmtId="0" fontId="6" fillId="0" borderId="0" xfId="2" applyFont="1" applyAlignment="1">
      <alignment horizontal="left" vertical="center"/>
      <protection locked="0"/>
    </xf>
    <xf numFmtId="0" fontId="24" fillId="6" borderId="11" xfId="0" applyFont="1" applyFill="1" applyBorder="1" applyAlignment="1" applyProtection="1">
      <alignment horizontal="center" vertical="center" wrapText="1"/>
      <protection locked="0"/>
    </xf>
    <xf numFmtId="0" fontId="6" fillId="0" borderId="11" xfId="0" applyFont="1" applyFill="1" applyBorder="1" applyAlignment="1" applyProtection="1">
      <alignment horizontal="center" vertical="center" wrapText="1"/>
      <protection locked="0"/>
    </xf>
    <xf numFmtId="0" fontId="76" fillId="9" borderId="11" xfId="0" applyFont="1" applyFill="1" applyBorder="1" applyAlignment="1">
      <alignment horizontal="center" vertical="center"/>
    </xf>
    <xf numFmtId="0" fontId="39" fillId="0" borderId="0" xfId="2" applyFont="1" applyAlignment="1" applyProtection="1">
      <alignment vertical="center"/>
    </xf>
    <xf numFmtId="49" fontId="11" fillId="10" borderId="11" xfId="55" applyNumberFormat="1" applyFont="1" applyFill="1" applyBorder="1" applyAlignment="1">
      <alignment horizontal="center" vertical="center" wrapText="1"/>
    </xf>
    <xf numFmtId="199" fontId="6" fillId="10" borderId="16" xfId="70" applyNumberFormat="1" applyFont="1" applyFill="1" applyBorder="1">
      <alignment vertical="center"/>
    </xf>
    <xf numFmtId="14" fontId="6" fillId="0" borderId="0" xfId="29" applyNumberFormat="1" applyFont="1" applyBorder="1" applyAlignment="1">
      <alignment horizontal="left" vertical="center"/>
    </xf>
    <xf numFmtId="0" fontId="9" fillId="0" borderId="5" xfId="1" applyFill="1" applyBorder="1" applyAlignment="1" applyProtection="1">
      <alignment vertical="center"/>
    </xf>
    <xf numFmtId="43" fontId="30" fillId="0" borderId="0" xfId="1" applyNumberFormat="1" applyFont="1" applyBorder="1" applyAlignment="1" applyProtection="1">
      <alignment horizontal="center" vertical="center"/>
    </xf>
    <xf numFmtId="43" fontId="30" fillId="0" borderId="0" xfId="1" applyNumberFormat="1" applyFont="1" applyBorder="1" applyAlignment="1" applyProtection="1">
      <alignment horizontal="left" vertical="center"/>
    </xf>
    <xf numFmtId="0" fontId="55" fillId="0" borderId="0" xfId="2" applyFont="1" applyAlignment="1" applyProtection="1">
      <alignment vertical="center"/>
    </xf>
    <xf numFmtId="0" fontId="96" fillId="0" borderId="0" xfId="0" applyFont="1" applyFill="1">
      <alignment vertical="center"/>
    </xf>
    <xf numFmtId="0" fontId="30" fillId="0" borderId="0" xfId="0" applyFont="1" applyAlignment="1" applyProtection="1">
      <alignment horizontal="left" vertical="center" wrapText="1"/>
      <protection locked="0"/>
    </xf>
    <xf numFmtId="0" fontId="52" fillId="0" borderId="11" xfId="0" applyFont="1" applyBorder="1" applyAlignment="1">
      <alignment vertical="center" wrapText="1"/>
    </xf>
    <xf numFmtId="0" fontId="71" fillId="0" borderId="11" xfId="0" applyFont="1" applyBorder="1" applyAlignment="1">
      <alignment horizontal="center" vertical="center"/>
    </xf>
    <xf numFmtId="0" fontId="76" fillId="0" borderId="11" xfId="0" applyFont="1" applyBorder="1" applyAlignment="1">
      <alignment horizontal="center" vertical="center" wrapText="1"/>
    </xf>
    <xf numFmtId="0" fontId="76" fillId="0" borderId="11" xfId="0" applyFont="1" applyFill="1" applyBorder="1" applyAlignment="1">
      <alignment horizontal="center" vertical="center" wrapText="1"/>
    </xf>
    <xf numFmtId="0" fontId="71" fillId="0" borderId="11" xfId="0" applyFont="1" applyBorder="1">
      <alignment vertical="center"/>
    </xf>
    <xf numFmtId="0" fontId="53" fillId="0" borderId="11" xfId="0" applyFont="1" applyBorder="1">
      <alignment vertical="center"/>
    </xf>
    <xf numFmtId="0" fontId="102" fillId="0" borderId="11" xfId="0" applyFont="1" applyBorder="1">
      <alignment vertical="center"/>
    </xf>
    <xf numFmtId="0" fontId="71" fillId="0" borderId="11" xfId="0" applyFont="1" applyFill="1" applyBorder="1" applyAlignment="1">
      <alignment horizontal="center" vertical="center"/>
    </xf>
    <xf numFmtId="49" fontId="7" fillId="0" borderId="11" xfId="61" applyNumberFormat="1" applyFont="1" applyBorder="1" applyAlignment="1" applyProtection="1">
      <alignment horizontal="center" vertical="center" wrapText="1"/>
      <protection locked="0"/>
    </xf>
    <xf numFmtId="197" fontId="11" fillId="6" borderId="11" xfId="51" applyFont="1" applyFill="1" applyBorder="1" applyAlignment="1" applyProtection="1">
      <alignment horizontal="center" vertical="center" wrapText="1"/>
      <protection locked="0"/>
    </xf>
    <xf numFmtId="197" fontId="33" fillId="6" borderId="11" xfId="52" applyFont="1" applyFill="1" applyBorder="1" applyAlignment="1" applyProtection="1">
      <alignment horizontal="center" vertical="center" wrapText="1"/>
      <protection locked="0"/>
    </xf>
    <xf numFmtId="0" fontId="56" fillId="0" borderId="11" xfId="0" applyFont="1" applyBorder="1">
      <alignment vertical="center"/>
    </xf>
    <xf numFmtId="49" fontId="24" fillId="0" borderId="11" xfId="61" applyNumberFormat="1" applyFont="1" applyBorder="1" applyAlignment="1" applyProtection="1">
      <alignment horizontal="center" vertical="center"/>
      <protection locked="0"/>
    </xf>
    <xf numFmtId="43" fontId="11" fillId="0" borderId="11" xfId="29" applyNumberFormat="1" applyFont="1" applyFill="1" applyBorder="1" applyAlignment="1">
      <alignment vertical="center"/>
    </xf>
    <xf numFmtId="10" fontId="6" fillId="0" borderId="11" xfId="50" applyNumberFormat="1" applyFont="1" applyFill="1" applyBorder="1" applyAlignment="1">
      <alignment vertical="center"/>
    </xf>
    <xf numFmtId="43" fontId="6" fillId="0" borderId="7" xfId="29" applyNumberFormat="1" applyFont="1" applyBorder="1" applyAlignment="1">
      <alignment horizontal="left" vertical="center"/>
    </xf>
    <xf numFmtId="43" fontId="6" fillId="0" borderId="7" xfId="29" applyNumberFormat="1" applyFont="1" applyBorder="1" applyAlignment="1">
      <alignment vertical="center"/>
    </xf>
    <xf numFmtId="0" fontId="6" fillId="0" borderId="0" xfId="31" applyFont="1" applyBorder="1" applyAlignment="1">
      <alignment horizontal="left" vertical="center"/>
    </xf>
    <xf numFmtId="187" fontId="51" fillId="0" borderId="11" xfId="35" applyNumberFormat="1" applyFont="1" applyBorder="1" applyAlignment="1" applyProtection="1">
      <alignment horizontal="center" vertical="center" wrapText="1"/>
      <protection locked="0"/>
    </xf>
    <xf numFmtId="0" fontId="91" fillId="0" borderId="11" xfId="0" applyFont="1" applyFill="1" applyBorder="1" applyAlignment="1">
      <alignment horizontal="left" vertical="center"/>
    </xf>
    <xf numFmtId="0" fontId="7" fillId="2" borderId="0" xfId="0" applyFont="1" applyFill="1" applyAlignment="1" applyProtection="1">
      <alignment horizontal="justify" vertical="center" wrapText="1"/>
      <protection locked="0"/>
    </xf>
    <xf numFmtId="43" fontId="11" fillId="9" borderId="11" xfId="49" applyFont="1" applyFill="1" applyBorder="1" applyAlignment="1">
      <alignment vertical="center"/>
    </xf>
    <xf numFmtId="43" fontId="6" fillId="9" borderId="11" xfId="49" applyFont="1" applyFill="1" applyBorder="1" applyAlignment="1">
      <alignment vertical="center"/>
    </xf>
    <xf numFmtId="0" fontId="30" fillId="0" borderId="0" xfId="0" applyFont="1" applyAlignment="1" applyProtection="1">
      <alignment horizontal="left" vertical="center" wrapText="1"/>
      <protection locked="0"/>
    </xf>
    <xf numFmtId="0" fontId="11" fillId="10" borderId="11" xfId="2" applyFont="1" applyFill="1" applyBorder="1" applyAlignment="1">
      <alignment horizontal="center" vertical="center"/>
      <protection locked="0"/>
    </xf>
    <xf numFmtId="197" fontId="38" fillId="0" borderId="0" xfId="73" applyFont="1" applyFill="1" applyAlignment="1">
      <alignment horizontal="left" vertical="center"/>
    </xf>
    <xf numFmtId="197" fontId="51" fillId="0" borderId="11" xfId="61" applyFont="1" applyFill="1" applyBorder="1" applyAlignment="1">
      <alignment horizontal="center" vertical="center" wrapText="1"/>
    </xf>
    <xf numFmtId="0" fontId="72" fillId="0" borderId="0" xfId="0" applyFont="1" applyAlignment="1" applyProtection="1">
      <alignment horizontal="center" vertical="center"/>
      <protection locked="0"/>
    </xf>
    <xf numFmtId="43" fontId="56" fillId="0" borderId="11" xfId="2" applyNumberFormat="1" applyFont="1" applyFill="1" applyBorder="1" applyAlignment="1">
      <alignment horizontal="center" vertical="center"/>
      <protection locked="0"/>
    </xf>
    <xf numFmtId="0" fontId="11" fillId="10" borderId="11" xfId="2" applyFont="1" applyFill="1" applyBorder="1" applyAlignment="1">
      <alignment horizontal="left" vertical="center"/>
      <protection locked="0"/>
    </xf>
    <xf numFmtId="0" fontId="11" fillId="10" borderId="11" xfId="2" applyFont="1" applyFill="1" applyBorder="1" applyAlignment="1">
      <alignment horizontal="center" vertical="center" wrapText="1"/>
      <protection locked="0"/>
    </xf>
    <xf numFmtId="43" fontId="11" fillId="10" borderId="11" xfId="49" applyFont="1" applyFill="1" applyBorder="1" applyAlignment="1" applyProtection="1">
      <alignment horizontal="right" vertical="center" wrapText="1"/>
      <protection locked="0"/>
    </xf>
    <xf numFmtId="0" fontId="6" fillId="10" borderId="0" xfId="2" applyFont="1" applyFill="1" applyAlignment="1">
      <alignment vertical="center"/>
      <protection locked="0"/>
    </xf>
    <xf numFmtId="0" fontId="11" fillId="10" borderId="0" xfId="2" applyFont="1" applyFill="1" applyAlignment="1" applyProtection="1">
      <alignment horizontal="left" vertical="center"/>
    </xf>
    <xf numFmtId="0" fontId="11" fillId="10" borderId="11" xfId="2" applyFont="1" applyFill="1" applyBorder="1" applyAlignment="1">
      <alignment horizontal="left" vertical="center" wrapText="1"/>
      <protection locked="0"/>
    </xf>
    <xf numFmtId="187" fontId="6" fillId="10" borderId="11" xfId="35" applyNumberFormat="1" applyFont="1" applyFill="1" applyBorder="1" applyAlignment="1" applyProtection="1">
      <alignment horizontal="center" vertical="center" wrapText="1"/>
      <protection locked="0"/>
    </xf>
    <xf numFmtId="0" fontId="6" fillId="10" borderId="11" xfId="2" applyNumberFormat="1" applyFont="1" applyFill="1" applyBorder="1" applyAlignment="1">
      <alignment horizontal="center" vertical="center"/>
      <protection locked="0"/>
    </xf>
    <xf numFmtId="43" fontId="6" fillId="10" borderId="11" xfId="49" applyFont="1" applyFill="1" applyBorder="1" applyAlignment="1" applyProtection="1">
      <alignment horizontal="right" vertical="center"/>
      <protection locked="0"/>
    </xf>
    <xf numFmtId="0" fontId="6" fillId="10" borderId="0" xfId="2" applyFont="1" applyFill="1">
      <protection locked="0"/>
    </xf>
    <xf numFmtId="0" fontId="6" fillId="10" borderId="11" xfId="2" applyFont="1" applyFill="1" applyBorder="1" applyAlignment="1">
      <alignment horizontal="center" vertical="center" wrapText="1"/>
      <protection locked="0"/>
    </xf>
    <xf numFmtId="0" fontId="11" fillId="10" borderId="0" xfId="2" applyFont="1" applyFill="1">
      <protection locked="0"/>
    </xf>
    <xf numFmtId="0" fontId="11" fillId="10" borderId="11" xfId="2" applyNumberFormat="1" applyFont="1" applyFill="1" applyBorder="1" applyAlignment="1">
      <alignment horizontal="center" vertical="center" wrapText="1"/>
      <protection locked="0"/>
    </xf>
    <xf numFmtId="0" fontId="11" fillId="10" borderId="11" xfId="2" quotePrefix="1" applyNumberFormat="1" applyFont="1" applyFill="1" applyBorder="1" applyAlignment="1">
      <alignment horizontal="center" vertical="center" wrapText="1"/>
      <protection locked="0"/>
    </xf>
    <xf numFmtId="43" fontId="11" fillId="10" borderId="11" xfId="49" quotePrefix="1" applyFont="1" applyFill="1" applyBorder="1" applyAlignment="1" applyProtection="1">
      <alignment horizontal="right" vertical="center" wrapText="1"/>
      <protection locked="0"/>
    </xf>
    <xf numFmtId="0" fontId="6" fillId="10" borderId="11" xfId="2" applyFont="1" applyFill="1" applyBorder="1" applyAlignment="1">
      <alignment horizontal="left" vertical="center"/>
      <protection locked="0"/>
    </xf>
    <xf numFmtId="0" fontId="6" fillId="10" borderId="11" xfId="2" quotePrefix="1" applyNumberFormat="1" applyFont="1" applyFill="1" applyBorder="1" applyAlignment="1">
      <alignment horizontal="center" vertical="center"/>
      <protection locked="0"/>
    </xf>
    <xf numFmtId="43" fontId="6" fillId="10" borderId="11" xfId="49" quotePrefix="1" applyFont="1" applyFill="1" applyBorder="1" applyAlignment="1" applyProtection="1">
      <alignment horizontal="right" vertical="center"/>
      <protection locked="0"/>
    </xf>
    <xf numFmtId="10" fontId="6" fillId="10" borderId="11" xfId="2" applyNumberFormat="1" applyFont="1" applyFill="1" applyBorder="1" applyAlignment="1">
      <alignment horizontal="center" vertical="center"/>
      <protection locked="0"/>
    </xf>
    <xf numFmtId="0" fontId="11" fillId="10" borderId="0" xfId="2" applyFont="1" applyFill="1" applyAlignment="1">
      <alignment vertical="center"/>
      <protection locked="0"/>
    </xf>
    <xf numFmtId="43" fontId="6" fillId="10" borderId="11" xfId="2" quotePrefix="1" applyNumberFormat="1" applyFont="1" applyFill="1" applyBorder="1" applyAlignment="1">
      <alignment horizontal="center" vertical="center"/>
      <protection locked="0"/>
    </xf>
    <xf numFmtId="43" fontId="6" fillId="10" borderId="11" xfId="2" applyNumberFormat="1" applyFont="1" applyFill="1" applyBorder="1" applyAlignment="1">
      <alignment horizontal="center" vertical="center" wrapText="1"/>
      <protection locked="0"/>
    </xf>
    <xf numFmtId="43" fontId="11" fillId="10" borderId="11" xfId="2" quotePrefix="1" applyNumberFormat="1" applyFont="1" applyFill="1" applyBorder="1" applyAlignment="1">
      <alignment horizontal="center" vertical="center" wrapText="1"/>
      <protection locked="0"/>
    </xf>
    <xf numFmtId="49" fontId="37" fillId="0" borderId="0" xfId="74" applyNumberFormat="1" applyFont="1" applyAlignment="1">
      <alignment horizontal="left" vertical="center"/>
    </xf>
    <xf numFmtId="0" fontId="7" fillId="0" borderId="0" xfId="2" applyFont="1" applyAlignment="1">
      <alignment horizontal="left" vertical="center"/>
      <protection locked="0"/>
    </xf>
    <xf numFmtId="0" fontId="37" fillId="0" borderId="0" xfId="0" applyFont="1">
      <alignment vertical="center"/>
    </xf>
    <xf numFmtId="0" fontId="37" fillId="0" borderId="0" xfId="53" applyFont="1" applyAlignment="1">
      <alignment horizontal="left" vertical="center"/>
    </xf>
    <xf numFmtId="0" fontId="37" fillId="0" borderId="0" xfId="0" applyFont="1" applyAlignment="1">
      <alignment horizontal="left" vertical="center"/>
    </xf>
    <xf numFmtId="0" fontId="2" fillId="0" borderId="0" xfId="0" applyFont="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6" fillId="0" borderId="11" xfId="0" applyFont="1" applyBorder="1" applyAlignment="1" applyProtection="1">
      <alignment horizontal="left" vertical="center" wrapText="1"/>
      <protection locked="0"/>
    </xf>
    <xf numFmtId="0" fontId="3" fillId="0" borderId="0" xfId="33" applyFont="1" applyAlignment="1">
      <alignment horizontal="center" vertical="center"/>
    </xf>
    <xf numFmtId="0" fontId="72" fillId="0" borderId="0" xfId="33" applyFont="1" applyAlignment="1">
      <alignment horizontal="center" vertical="center"/>
    </xf>
    <xf numFmtId="0" fontId="24" fillId="6" borderId="11" xfId="0" applyFont="1" applyFill="1" applyBorder="1" applyAlignment="1" applyProtection="1">
      <alignment horizontal="center" vertical="center"/>
      <protection locked="0"/>
    </xf>
    <xf numFmtId="197" fontId="24" fillId="6" borderId="11" xfId="61" applyFont="1" applyFill="1" applyBorder="1" applyAlignment="1" applyProtection="1">
      <alignment horizontal="center" vertical="center"/>
      <protection locked="0"/>
    </xf>
    <xf numFmtId="0" fontId="7" fillId="0" borderId="11" xfId="63" applyFont="1" applyBorder="1" applyAlignment="1" applyProtection="1">
      <alignment horizontal="center" vertical="center" wrapText="1"/>
      <protection locked="0"/>
    </xf>
    <xf numFmtId="0" fontId="11" fillId="6" borderId="11" xfId="0" applyFont="1" applyFill="1" applyBorder="1" applyAlignment="1" applyProtection="1">
      <alignment horizontal="center" vertical="center" wrapText="1"/>
      <protection locked="0"/>
    </xf>
    <xf numFmtId="0" fontId="24" fillId="0" borderId="7" xfId="0" applyFont="1" applyBorder="1" applyAlignment="1" applyProtection="1">
      <alignment horizontal="left" vertical="center"/>
      <protection locked="0"/>
    </xf>
    <xf numFmtId="0" fontId="11" fillId="0" borderId="7" xfId="0" applyFont="1" applyBorder="1" applyAlignment="1" applyProtection="1">
      <alignment horizontal="left" vertical="center"/>
      <protection locked="0"/>
    </xf>
    <xf numFmtId="49" fontId="24" fillId="6" borderId="11" xfId="0" applyNumberFormat="1" applyFont="1" applyFill="1" applyBorder="1" applyAlignment="1" applyProtection="1">
      <alignment horizontal="center" vertical="center"/>
      <protection locked="0"/>
    </xf>
    <xf numFmtId="197" fontId="24" fillId="6" borderId="11" xfId="61" applyFont="1" applyFill="1" applyBorder="1" applyAlignment="1" applyProtection="1">
      <alignment horizontal="center" vertical="center" wrapText="1"/>
      <protection locked="0"/>
    </xf>
    <xf numFmtId="0" fontId="24" fillId="6" borderId="11" xfId="0" applyFont="1" applyFill="1" applyBorder="1" applyAlignment="1" applyProtection="1">
      <alignment horizontal="center" vertical="center" wrapText="1"/>
      <protection locked="0"/>
    </xf>
    <xf numFmtId="49" fontId="69" fillId="6" borderId="11" xfId="0" applyNumberFormat="1" applyFont="1" applyFill="1" applyBorder="1" applyAlignment="1" applyProtection="1">
      <alignment horizontal="center" vertical="center" wrapText="1"/>
      <protection locked="0"/>
    </xf>
    <xf numFmtId="0" fontId="3" fillId="0" borderId="0" xfId="2" applyFont="1" applyAlignment="1">
      <alignment horizontal="center" vertical="center"/>
      <protection locked="0"/>
    </xf>
    <xf numFmtId="0" fontId="72" fillId="0" borderId="0" xfId="2" applyFont="1" applyAlignment="1">
      <alignment horizontal="center" vertical="center"/>
      <protection locked="0"/>
    </xf>
    <xf numFmtId="0" fontId="58" fillId="0" borderId="1" xfId="0" applyFont="1" applyBorder="1" applyAlignment="1" applyProtection="1">
      <alignment horizontal="center" vertical="center" wrapText="1"/>
      <protection locked="0"/>
    </xf>
    <xf numFmtId="0" fontId="80" fillId="0" borderId="0" xfId="0" applyFont="1" applyAlignment="1" applyProtection="1">
      <alignment horizontal="left" vertical="center" wrapText="1"/>
      <protection locked="0"/>
    </xf>
    <xf numFmtId="0" fontId="58" fillId="0" borderId="1" xfId="0" applyFont="1" applyBorder="1" applyAlignment="1" applyProtection="1">
      <alignment horizontal="center" wrapText="1"/>
      <protection locked="0"/>
    </xf>
    <xf numFmtId="197" fontId="11" fillId="6" borderId="11" xfId="51" applyFont="1" applyFill="1" applyBorder="1" applyAlignment="1" applyProtection="1">
      <alignment horizontal="center" vertical="center" wrapText="1"/>
      <protection locked="0"/>
    </xf>
    <xf numFmtId="197" fontId="33" fillId="6" borderId="11" xfId="52" applyFont="1" applyFill="1" applyBorder="1" applyAlignment="1" applyProtection="1">
      <alignment horizontal="center" vertical="center" wrapText="1"/>
      <protection locked="0"/>
    </xf>
    <xf numFmtId="197" fontId="11" fillId="6" borderId="11" xfId="52" applyFont="1" applyFill="1" applyBorder="1" applyAlignment="1" applyProtection="1">
      <alignment horizontal="center" vertical="center" wrapText="1"/>
      <protection locked="0"/>
    </xf>
    <xf numFmtId="43" fontId="72" fillId="0" borderId="0" xfId="29" applyNumberFormat="1" applyFont="1" applyBorder="1" applyAlignment="1">
      <alignment horizontal="center" vertical="center"/>
    </xf>
    <xf numFmtId="43" fontId="3" fillId="0" borderId="0" xfId="29" applyNumberFormat="1" applyFont="1" applyBorder="1" applyAlignment="1">
      <alignment horizontal="center" vertical="center"/>
    </xf>
    <xf numFmtId="0" fontId="11" fillId="6" borderId="11" xfId="2" applyFont="1" applyFill="1" applyBorder="1" applyAlignment="1">
      <alignment horizontal="center" vertical="center" wrapText="1"/>
      <protection locked="0"/>
    </xf>
    <xf numFmtId="0" fontId="11" fillId="6" borderId="11" xfId="2" applyFont="1" applyFill="1" applyBorder="1" applyAlignment="1">
      <alignment horizontal="center" vertical="center"/>
      <protection locked="0"/>
    </xf>
    <xf numFmtId="0" fontId="30" fillId="0" borderId="0" xfId="0" applyFont="1" applyAlignment="1" applyProtection="1">
      <alignment horizontal="left" vertical="center" wrapText="1"/>
      <protection locked="0"/>
    </xf>
    <xf numFmtId="0" fontId="11" fillId="9" borderId="11" xfId="2" applyFont="1" applyFill="1" applyBorder="1" applyAlignment="1">
      <alignment horizontal="left" vertical="center" wrapText="1"/>
      <protection locked="0"/>
    </xf>
    <xf numFmtId="0" fontId="11" fillId="9" borderId="11" xfId="2" applyFont="1" applyFill="1" applyBorder="1" applyAlignment="1">
      <alignment horizontal="center" vertical="center" wrapText="1"/>
      <protection locked="0"/>
    </xf>
    <xf numFmtId="0" fontId="11" fillId="10" borderId="11" xfId="2" applyFont="1" applyFill="1" applyBorder="1" applyAlignment="1">
      <alignment horizontal="center" vertical="center" wrapText="1"/>
      <protection locked="0"/>
    </xf>
    <xf numFmtId="0" fontId="24" fillId="6" borderId="11" xfId="2" applyFont="1" applyFill="1" applyBorder="1" applyAlignment="1">
      <alignment horizontal="center" vertical="center" wrapText="1"/>
      <protection locked="0"/>
    </xf>
    <xf numFmtId="0" fontId="24" fillId="6" borderId="12" xfId="2" applyFont="1" applyFill="1" applyBorder="1" applyAlignment="1">
      <alignment horizontal="center" vertical="center" wrapText="1"/>
      <protection locked="0"/>
    </xf>
    <xf numFmtId="0" fontId="24" fillId="6" borderId="13" xfId="2" applyFont="1" applyFill="1" applyBorder="1" applyAlignment="1">
      <alignment horizontal="center" vertical="center" wrapText="1"/>
      <protection locked="0"/>
    </xf>
    <xf numFmtId="0" fontId="6" fillId="0" borderId="0" xfId="0" applyFont="1" applyAlignment="1">
      <alignment horizontal="left" vertical="center" wrapText="1"/>
    </xf>
    <xf numFmtId="0" fontId="11" fillId="10" borderId="11" xfId="2" applyFont="1" applyFill="1" applyBorder="1" applyAlignment="1">
      <alignment horizontal="left" vertical="center"/>
      <protection locked="0"/>
    </xf>
    <xf numFmtId="0" fontId="24" fillId="6" borderId="17" xfId="2" applyFont="1" applyFill="1" applyBorder="1" applyAlignment="1">
      <alignment horizontal="center" vertical="center" wrapText="1"/>
      <protection locked="0"/>
    </xf>
    <xf numFmtId="0" fontId="11" fillId="6" borderId="14" xfId="2" applyFont="1" applyFill="1" applyBorder="1" applyAlignment="1">
      <alignment horizontal="center" vertical="center" wrapText="1"/>
      <protection locked="0"/>
    </xf>
    <xf numFmtId="0" fontId="11" fillId="6" borderId="15" xfId="2" applyFont="1" applyFill="1" applyBorder="1" applyAlignment="1">
      <alignment horizontal="center" vertical="center" wrapText="1"/>
      <protection locked="0"/>
    </xf>
    <xf numFmtId="0" fontId="11" fillId="6" borderId="16" xfId="2" applyFont="1" applyFill="1" applyBorder="1" applyAlignment="1">
      <alignment horizontal="center" vertical="center" wrapText="1"/>
      <protection locked="0"/>
    </xf>
    <xf numFmtId="0" fontId="88" fillId="0" borderId="0" xfId="57" applyFont="1" applyAlignment="1">
      <alignment horizontal="left" vertical="center" wrapText="1"/>
      <protection locked="0"/>
    </xf>
    <xf numFmtId="0" fontId="5" fillId="0" borderId="0" xfId="57" applyFont="1" applyAlignment="1">
      <alignment horizontal="left" vertical="center" wrapText="1"/>
      <protection locked="0"/>
    </xf>
    <xf numFmtId="0" fontId="11" fillId="10" borderId="11" xfId="70" quotePrefix="1" applyFont="1" applyFill="1" applyBorder="1" applyAlignment="1">
      <alignment horizontal="left" vertical="center"/>
    </xf>
    <xf numFmtId="0" fontId="11" fillId="6" borderId="11" xfId="70" quotePrefix="1" applyFont="1" applyFill="1" applyBorder="1" applyAlignment="1">
      <alignment horizontal="left" vertical="center"/>
    </xf>
    <xf numFmtId="43" fontId="6" fillId="10" borderId="11" xfId="72" applyFont="1" applyFill="1" applyBorder="1" applyAlignment="1">
      <alignment horizontal="center" vertical="center" wrapText="1"/>
    </xf>
    <xf numFmtId="43" fontId="6" fillId="7" borderId="11" xfId="72" applyFont="1" applyFill="1" applyBorder="1" applyAlignment="1">
      <alignment horizontal="center" vertical="center" wrapText="1"/>
    </xf>
    <xf numFmtId="199" fontId="11" fillId="10" borderId="11" xfId="70" applyNumberFormat="1" applyFont="1" applyFill="1" applyBorder="1" applyAlignment="1">
      <alignment horizontal="center" vertical="center"/>
    </xf>
    <xf numFmtId="199" fontId="11" fillId="6" borderId="11" xfId="70" applyNumberFormat="1" applyFont="1" applyFill="1" applyBorder="1" applyAlignment="1">
      <alignment horizontal="center" vertical="center"/>
    </xf>
    <xf numFmtId="43" fontId="6" fillId="10" borderId="12" xfId="72" applyFont="1" applyFill="1" applyBorder="1" applyAlignment="1">
      <alignment horizontal="center" vertical="center" wrapText="1"/>
    </xf>
    <xf numFmtId="43" fontId="6" fillId="7" borderId="13" xfId="72" applyFont="1" applyFill="1" applyBorder="1" applyAlignment="1">
      <alignment horizontal="center" vertical="center" wrapText="1"/>
    </xf>
    <xf numFmtId="43" fontId="6" fillId="10" borderId="11" xfId="71" applyFont="1" applyFill="1" applyBorder="1" applyAlignment="1">
      <alignment horizontal="center" vertical="center" wrapText="1"/>
    </xf>
    <xf numFmtId="43" fontId="6" fillId="7" borderId="11" xfId="71" applyFont="1" applyFill="1" applyBorder="1" applyAlignment="1">
      <alignment horizontal="center" vertical="center" wrapText="1"/>
    </xf>
    <xf numFmtId="199" fontId="11" fillId="10" borderId="11" xfId="70" applyNumberFormat="1" applyFont="1" applyFill="1" applyBorder="1" applyAlignment="1">
      <alignment horizontal="center" vertical="center" wrapText="1"/>
    </xf>
    <xf numFmtId="199" fontId="11" fillId="6" borderId="11" xfId="70" applyNumberFormat="1" applyFont="1" applyFill="1" applyBorder="1" applyAlignment="1">
      <alignment horizontal="center" vertical="center" wrapText="1"/>
    </xf>
    <xf numFmtId="0" fontId="11" fillId="10" borderId="11" xfId="70" applyFont="1" applyFill="1" applyBorder="1" applyAlignment="1">
      <alignment horizontal="center" vertical="center"/>
    </xf>
    <xf numFmtId="0" fontId="11" fillId="6" borderId="11" xfId="70" applyFont="1" applyFill="1" applyBorder="1" applyAlignment="1">
      <alignment horizontal="center" vertical="center"/>
    </xf>
    <xf numFmtId="0" fontId="11" fillId="10" borderId="11" xfId="2" applyFont="1" applyFill="1" applyBorder="1" applyAlignment="1">
      <alignment horizontal="center" vertical="center"/>
      <protection locked="0"/>
    </xf>
    <xf numFmtId="0" fontId="11" fillId="10" borderId="11" xfId="70" quotePrefix="1" applyFont="1" applyFill="1" applyBorder="1" applyAlignment="1">
      <alignment horizontal="center" vertical="center"/>
    </xf>
    <xf numFmtId="0" fontId="11" fillId="6" borderId="11" xfId="70" quotePrefix="1" applyFont="1" applyFill="1" applyBorder="1" applyAlignment="1">
      <alignment horizontal="center" vertical="center"/>
    </xf>
    <xf numFmtId="0" fontId="6" fillId="0" borderId="0" xfId="2" applyFont="1" applyAlignment="1">
      <alignment horizontal="left" vertical="center" wrapText="1"/>
      <protection locked="0"/>
    </xf>
    <xf numFmtId="0" fontId="6" fillId="0" borderId="11" xfId="2" applyFont="1" applyBorder="1" applyAlignment="1">
      <alignment horizontal="left" vertical="center"/>
      <protection locked="0"/>
    </xf>
    <xf numFmtId="0" fontId="6" fillId="0" borderId="14" xfId="2" applyFont="1" applyBorder="1" applyAlignment="1">
      <alignment horizontal="center" vertical="center"/>
      <protection locked="0"/>
    </xf>
    <xf numFmtId="0" fontId="6" fillId="0" borderId="15" xfId="2" applyFont="1" applyBorder="1" applyAlignment="1">
      <alignment horizontal="center" vertical="center"/>
      <protection locked="0"/>
    </xf>
    <xf numFmtId="0" fontId="6" fillId="0" borderId="16" xfId="2" applyFont="1" applyBorder="1" applyAlignment="1">
      <alignment horizontal="center" vertical="center"/>
      <protection locked="0"/>
    </xf>
    <xf numFmtId="0" fontId="11" fillId="0" borderId="14" xfId="2" applyFont="1" applyBorder="1" applyAlignment="1">
      <alignment horizontal="center" vertical="center"/>
      <protection locked="0"/>
    </xf>
    <xf numFmtId="0" fontId="11" fillId="0" borderId="16" xfId="2" applyFont="1" applyBorder="1" applyAlignment="1">
      <alignment horizontal="center" vertical="center"/>
      <protection locked="0"/>
    </xf>
    <xf numFmtId="0" fontId="3" fillId="0" borderId="0" xfId="31" applyFont="1" applyAlignment="1">
      <alignment horizontal="center" vertical="center"/>
    </xf>
    <xf numFmtId="0" fontId="11" fillId="6" borderId="8" xfId="2" applyFont="1" applyFill="1" applyBorder="1" applyAlignment="1">
      <alignment horizontal="center" vertical="center"/>
      <protection locked="0"/>
    </xf>
    <xf numFmtId="0" fontId="11" fillId="6" borderId="9" xfId="2" applyFont="1" applyFill="1" applyBorder="1" applyAlignment="1">
      <alignment horizontal="center" vertical="center"/>
      <protection locked="0"/>
    </xf>
    <xf numFmtId="0" fontId="11" fillId="6" borderId="10" xfId="2" applyFont="1" applyFill="1" applyBorder="1" applyAlignment="1">
      <alignment horizontal="center" vertical="center"/>
      <protection locked="0"/>
    </xf>
    <xf numFmtId="0" fontId="6" fillId="0" borderId="11" xfId="2" applyFont="1" applyBorder="1" applyAlignment="1">
      <alignment horizontal="left" vertical="center" indent="1"/>
      <protection locked="0"/>
    </xf>
    <xf numFmtId="0" fontId="6" fillId="0" borderId="14" xfId="2" applyFont="1" applyBorder="1" applyAlignment="1">
      <alignment horizontal="left" vertical="center" indent="1"/>
      <protection locked="0"/>
    </xf>
    <xf numFmtId="0" fontId="6" fillId="0" borderId="15" xfId="2" applyFont="1" applyBorder="1" applyAlignment="1">
      <alignment horizontal="left" vertical="center" indent="1"/>
      <protection locked="0"/>
    </xf>
    <xf numFmtId="0" fontId="6" fillId="0" borderId="16" xfId="2" applyFont="1" applyBorder="1" applyAlignment="1">
      <alignment horizontal="left" vertical="center" indent="1"/>
      <protection locked="0"/>
    </xf>
    <xf numFmtId="0" fontId="6" fillId="0" borderId="14" xfId="2" applyFont="1" applyBorder="1" applyAlignment="1">
      <alignment horizontal="left" vertical="center"/>
      <protection locked="0"/>
    </xf>
    <xf numFmtId="0" fontId="6" fillId="0" borderId="15" xfId="2" applyFont="1" applyBorder="1" applyAlignment="1">
      <alignment horizontal="left" vertical="center"/>
      <protection locked="0"/>
    </xf>
    <xf numFmtId="0" fontId="6" fillId="0" borderId="16" xfId="2" applyFont="1" applyBorder="1" applyAlignment="1">
      <alignment horizontal="left" vertical="center"/>
      <protection locked="0"/>
    </xf>
    <xf numFmtId="0" fontId="6" fillId="0" borderId="11" xfId="2" applyFont="1" applyBorder="1" applyAlignment="1">
      <alignment horizontal="left" vertical="center" wrapText="1" indent="1"/>
      <protection locked="0"/>
    </xf>
    <xf numFmtId="0" fontId="6" fillId="0" borderId="14" xfId="2" applyFont="1" applyBorder="1" applyAlignment="1">
      <alignment horizontal="left" vertical="center" wrapText="1" indent="1"/>
      <protection locked="0"/>
    </xf>
    <xf numFmtId="0" fontId="6" fillId="0" borderId="15" xfId="2" applyFont="1" applyBorder="1" applyAlignment="1">
      <alignment horizontal="left" vertical="center" wrapText="1" indent="1"/>
      <protection locked="0"/>
    </xf>
    <xf numFmtId="0" fontId="6" fillId="0" borderId="16" xfId="2" applyFont="1" applyBorder="1" applyAlignment="1">
      <alignment horizontal="left" vertical="center" wrapText="1" indent="1"/>
      <protection locked="0"/>
    </xf>
    <xf numFmtId="0" fontId="6" fillId="0" borderId="11" xfId="2" applyFont="1" applyBorder="1" applyAlignment="1">
      <alignment horizontal="center" vertical="center"/>
      <protection locked="0"/>
    </xf>
    <xf numFmtId="0" fontId="45" fillId="0" borderId="0" xfId="2" applyFont="1" applyAlignment="1">
      <alignment horizontal="right" vertical="center"/>
      <protection locked="0"/>
    </xf>
    <xf numFmtId="0" fontId="11" fillId="6" borderId="12" xfId="2" applyFont="1" applyFill="1" applyBorder="1" applyAlignment="1">
      <alignment horizontal="center" vertical="center" wrapText="1"/>
      <protection locked="0"/>
    </xf>
    <xf numFmtId="0" fontId="11" fillId="6" borderId="13" xfId="2" applyFont="1" applyFill="1" applyBorder="1" applyAlignment="1">
      <alignment horizontal="center" vertical="center" wrapText="1"/>
      <protection locked="0"/>
    </xf>
    <xf numFmtId="0" fontId="51" fillId="0" borderId="0" xfId="2" applyFont="1" applyAlignment="1">
      <alignment vertical="center" wrapText="1"/>
      <protection locked="0"/>
    </xf>
    <xf numFmtId="0" fontId="51" fillId="0" borderId="0" xfId="2" applyFont="1" applyBorder="1" applyAlignment="1">
      <alignment vertical="center" wrapText="1"/>
      <protection locked="0"/>
    </xf>
    <xf numFmtId="0" fontId="51" fillId="0" borderId="7" xfId="2" applyFont="1" applyFill="1" applyBorder="1" applyAlignment="1">
      <alignment vertical="center"/>
      <protection locked="0"/>
    </xf>
    <xf numFmtId="0" fontId="37" fillId="0" borderId="0" xfId="0" applyFont="1" applyAlignment="1">
      <alignment horizontal="left" vertical="center" wrapText="1"/>
    </xf>
    <xf numFmtId="0" fontId="55" fillId="0" borderId="0" xfId="53" applyFont="1" applyAlignment="1">
      <alignment horizontal="center" vertical="center"/>
    </xf>
    <xf numFmtId="0" fontId="53" fillId="9" borderId="12" xfId="54" applyFont="1" applyFill="1" applyBorder="1" applyAlignment="1">
      <alignment horizontal="center" vertical="center" wrapText="1"/>
    </xf>
    <xf numFmtId="0" fontId="56" fillId="9" borderId="13" xfId="54" applyFont="1" applyFill="1" applyBorder="1" applyAlignment="1">
      <alignment horizontal="center" vertical="center" wrapText="1"/>
    </xf>
    <xf numFmtId="0" fontId="6" fillId="0" borderId="0" xfId="2" applyFont="1" applyAlignment="1">
      <alignment horizontal="left" vertical="center"/>
      <protection locked="0"/>
    </xf>
    <xf numFmtId="0" fontId="62" fillId="0" borderId="0" xfId="53" applyFont="1" applyAlignment="1">
      <alignment horizontal="left" vertical="center" wrapText="1"/>
    </xf>
    <xf numFmtId="0" fontId="51" fillId="0" borderId="0" xfId="53" applyFont="1" applyAlignment="1">
      <alignment horizontal="left" vertical="center" wrapText="1"/>
    </xf>
    <xf numFmtId="0" fontId="56" fillId="6" borderId="12" xfId="54" applyFont="1" applyFill="1" applyBorder="1" applyAlignment="1">
      <alignment horizontal="center" vertical="center" wrapText="1"/>
    </xf>
    <xf numFmtId="0" fontId="56" fillId="6" borderId="13" xfId="54" applyFont="1" applyFill="1" applyBorder="1" applyAlignment="1">
      <alignment horizontal="center" vertical="center" wrapText="1"/>
    </xf>
    <xf numFmtId="0" fontId="56" fillId="6" borderId="14" xfId="54" applyFont="1" applyFill="1" applyBorder="1" applyAlignment="1">
      <alignment horizontal="center" vertical="center" wrapText="1"/>
    </xf>
    <xf numFmtId="0" fontId="56" fillId="6" borderId="15" xfId="54" applyFont="1" applyFill="1" applyBorder="1" applyAlignment="1">
      <alignment horizontal="center" vertical="center" wrapText="1"/>
    </xf>
    <xf numFmtId="0" fontId="56" fillId="6" borderId="16" xfId="54" applyFont="1" applyFill="1" applyBorder="1" applyAlignment="1">
      <alignment horizontal="center" vertical="center" wrapText="1"/>
    </xf>
    <xf numFmtId="0" fontId="93" fillId="0" borderId="0" xfId="2" applyFont="1" applyAlignment="1">
      <alignment vertical="center" wrapText="1"/>
      <protection locked="0"/>
    </xf>
    <xf numFmtId="0" fontId="30" fillId="0" borderId="0" xfId="2" applyFont="1" applyAlignment="1">
      <alignment vertical="center" wrapText="1"/>
      <protection locked="0"/>
    </xf>
    <xf numFmtId="0" fontId="64" fillId="0" borderId="0" xfId="53" applyFont="1" applyAlignment="1">
      <alignment horizontal="center" vertical="center"/>
    </xf>
    <xf numFmtId="0" fontId="55" fillId="0" borderId="0" xfId="53" applyFont="1" applyAlignment="1">
      <alignment vertical="center" wrapText="1"/>
    </xf>
  </cellXfs>
  <cellStyles count="75">
    <cellStyle name="?" xfId="3"/>
    <cellStyle name="@_text" xfId="37"/>
    <cellStyle name="{Comma [0]}" xfId="38"/>
    <cellStyle name="{Comma}" xfId="39"/>
    <cellStyle name="{Date}" xfId="40"/>
    <cellStyle name="{Month}" xfId="41"/>
    <cellStyle name="{Percent}" xfId="42"/>
    <cellStyle name="{Thousand [0]}" xfId="43"/>
    <cellStyle name="{Thousand}" xfId="44"/>
    <cellStyle name="{Z'0000(1 dec)}" xfId="45"/>
    <cellStyle name="{Z'0000(4 dec)}" xfId="46"/>
    <cellStyle name="Black" xfId="4"/>
    <cellStyle name="Border" xfId="5"/>
    <cellStyle name="Comma [0]_1995" xfId="6"/>
    <cellStyle name="Comma_1995" xfId="7"/>
    <cellStyle name="Currency [0]_1995" xfId="8"/>
    <cellStyle name="Currency_1995" xfId="9"/>
    <cellStyle name="Dezimal [0]_laroux" xfId="10"/>
    <cellStyle name="Dezimal_laroux" xfId="11"/>
    <cellStyle name="Euro" xfId="47"/>
    <cellStyle name="Followed Hyperlink_AheadBehind.xls Chart 23" xfId="12"/>
    <cellStyle name="Grey" xfId="13"/>
    <cellStyle name="Hyperlink_AheadBehind.xls Chart 23" xfId="14"/>
    <cellStyle name="Input [yellow]" xfId="15"/>
    <cellStyle name="Milliers [0]_laroux" xfId="16"/>
    <cellStyle name="Milliers_laroux" xfId="17"/>
    <cellStyle name="Non défini" xfId="18"/>
    <cellStyle name="Normal - Style1" xfId="19"/>
    <cellStyle name="Normal 2" xfId="48"/>
    <cellStyle name="Normal_22-Jun EUS Forecasts" xfId="20"/>
    <cellStyle name="Percent [2]" xfId="21"/>
    <cellStyle name="Red" xfId="22"/>
    <cellStyle name="百分比" xfId="50" builtinId="5"/>
    <cellStyle name="百分比 2" xfId="32"/>
    <cellStyle name="百分比 2 2" xfId="68"/>
    <cellStyle name="百分比 2 2 2" xfId="60"/>
    <cellStyle name="常规" xfId="0" builtinId="0"/>
    <cellStyle name="常规 11 5" xfId="73"/>
    <cellStyle name="常规 2" xfId="2"/>
    <cellStyle name="常规 2 2" xfId="23"/>
    <cellStyle name="常规 2 2 2" xfId="54"/>
    <cellStyle name="常规 2 2 3 3" xfId="57"/>
    <cellStyle name="常规 2 3" xfId="36"/>
    <cellStyle name="常规 2 3 2" xfId="67"/>
    <cellStyle name="常规 2 8" xfId="56"/>
    <cellStyle name="常规 3" xfId="52"/>
    <cellStyle name="常规 3 2" xfId="53"/>
    <cellStyle name="常规 4" xfId="51"/>
    <cellStyle name="常规 4 2" xfId="58"/>
    <cellStyle name="常规 4 3" xfId="70"/>
    <cellStyle name="常规 5" xfId="63"/>
    <cellStyle name="常规 5 2" xfId="66"/>
    <cellStyle name="常规 7" xfId="61"/>
    <cellStyle name="常规 7 2" xfId="62"/>
    <cellStyle name="常规 7 3" xfId="64"/>
    <cellStyle name="常规_2004京都审计所需资料" xfId="35"/>
    <cellStyle name="常规_Book1" xfId="33"/>
    <cellStyle name="常规_c-资产类" xfId="31"/>
    <cellStyle name="常规_sheet" xfId="65"/>
    <cellStyle name="常规_WOOKSHEET2" xfId="55"/>
    <cellStyle name="常规_进一步审计程序--销售与收款循环 2" xfId="74"/>
    <cellStyle name="常规_新审定表" xfId="29"/>
    <cellStyle name="常规_制造费用" xfId="34"/>
    <cellStyle name="超链接" xfId="1" builtinId="8"/>
    <cellStyle name="超链接 2" xfId="69"/>
    <cellStyle name="超链接 2 3" xfId="59"/>
    <cellStyle name="普通_ 外G9(3)" xfId="24"/>
    <cellStyle name="千分位[0]_宁波" xfId="25"/>
    <cellStyle name="千分位_宁波" xfId="26"/>
    <cellStyle name="千位[0]_laroux" xfId="27"/>
    <cellStyle name="千位_laroux" xfId="28"/>
    <cellStyle name="千位分隔" xfId="49" builtinId="3"/>
    <cellStyle name="千位分隔 2" xfId="30"/>
    <cellStyle name="千位分隔 2 2" xfId="71"/>
    <cellStyle name="千位分隔 2 2 2" xfId="72"/>
  </cellStyles>
  <dxfs count="0"/>
  <tableStyles count="0" defaultTableStyle="TableStyleMedium9" defaultPivotStyle="PivotStyleLight16"/>
  <colors>
    <mruColors>
      <color rgb="FFE4DFEC"/>
      <color rgb="FFE4D5E5"/>
      <color rgb="FFDCD5E5"/>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1"/>
  <sheetViews>
    <sheetView tabSelected="1" view="pageBreakPreview" zoomScaleNormal="80" zoomScaleSheetLayoutView="100" workbookViewId="0"/>
  </sheetViews>
  <sheetFormatPr defaultColWidth="9" defaultRowHeight="19.95" customHeight="1"/>
  <cols>
    <col min="1" max="1" width="74.33203125" style="6" customWidth="1"/>
    <col min="2" max="2" width="2" style="6" customWidth="1"/>
    <col min="3" max="3" width="2.109375" style="6" customWidth="1"/>
    <col min="4" max="4" width="6.109375" style="5" customWidth="1"/>
    <col min="5" max="5" width="55.44140625" style="5" customWidth="1"/>
    <col min="6" max="6" width="13.109375" style="5" customWidth="1"/>
    <col min="7" max="7" width="9" style="274"/>
    <col min="8" max="16384" width="9" style="6"/>
  </cols>
  <sheetData>
    <row r="1" spans="1:7" s="2" customFormat="1" ht="19.95" customHeight="1">
      <c r="A1" s="1" t="s">
        <v>138</v>
      </c>
      <c r="D1" s="3"/>
      <c r="E1" s="3"/>
      <c r="F1" s="3"/>
      <c r="G1" s="274"/>
    </row>
    <row r="2" spans="1:7" ht="19.95" customHeight="1">
      <c r="A2" s="88" t="s">
        <v>603</v>
      </c>
      <c r="B2" s="4"/>
      <c r="C2" s="4"/>
      <c r="D2" s="53" t="s">
        <v>139</v>
      </c>
      <c r="E2" s="152" t="s">
        <v>0</v>
      </c>
      <c r="F2" s="53" t="s">
        <v>140</v>
      </c>
    </row>
    <row r="3" spans="1:7" ht="19.95" customHeight="1">
      <c r="A3" s="406" t="s">
        <v>617</v>
      </c>
      <c r="B3" s="4"/>
      <c r="C3" s="4"/>
      <c r="D3" s="150">
        <v>1</v>
      </c>
      <c r="E3" s="380" t="s">
        <v>63</v>
      </c>
      <c r="F3" s="296" t="s">
        <v>368</v>
      </c>
    </row>
    <row r="4" spans="1:7" ht="19.95" customHeight="1">
      <c r="A4" s="406" t="s">
        <v>604</v>
      </c>
      <c r="D4" s="150">
        <v>2</v>
      </c>
      <c r="E4" s="380" t="s">
        <v>62</v>
      </c>
      <c r="F4" s="296" t="s">
        <v>102</v>
      </c>
    </row>
    <row r="5" spans="1:7" ht="19.95" customHeight="1">
      <c r="A5" s="406" t="s">
        <v>605</v>
      </c>
      <c r="D5" s="150">
        <v>3</v>
      </c>
      <c r="E5" s="153" t="s">
        <v>116</v>
      </c>
      <c r="F5" s="296"/>
      <c r="G5" s="279" t="s">
        <v>357</v>
      </c>
    </row>
    <row r="6" spans="1:7" ht="19.95" customHeight="1">
      <c r="A6" s="406" t="s">
        <v>606</v>
      </c>
      <c r="D6" s="150">
        <v>4</v>
      </c>
      <c r="E6" s="153" t="s">
        <v>115</v>
      </c>
      <c r="F6" s="296"/>
      <c r="G6" s="279" t="s">
        <v>357</v>
      </c>
    </row>
    <row r="7" spans="1:7" ht="19.95" customHeight="1">
      <c r="A7" s="406" t="s">
        <v>607</v>
      </c>
      <c r="D7" s="150">
        <v>5</v>
      </c>
      <c r="E7" s="153" t="s">
        <v>61</v>
      </c>
      <c r="F7" s="296" t="s">
        <v>105</v>
      </c>
    </row>
    <row r="8" spans="1:7" ht="19.95" customHeight="1">
      <c r="A8" s="113"/>
      <c r="D8" s="150">
        <v>6</v>
      </c>
      <c r="E8" s="153" t="s">
        <v>104</v>
      </c>
      <c r="F8" s="296" t="s">
        <v>101</v>
      </c>
    </row>
    <row r="9" spans="1:7" ht="19.95" customHeight="1">
      <c r="A9" s="413" t="s">
        <v>618</v>
      </c>
      <c r="D9" s="150">
        <v>7</v>
      </c>
      <c r="E9" s="153" t="s">
        <v>123</v>
      </c>
      <c r="F9" s="296" t="s">
        <v>101</v>
      </c>
    </row>
    <row r="10" spans="1:7" ht="19.95" customHeight="1">
      <c r="A10" s="443" t="s">
        <v>619</v>
      </c>
      <c r="D10" s="150">
        <v>8</v>
      </c>
      <c r="E10" s="154" t="s">
        <v>137</v>
      </c>
      <c r="F10" s="296" t="s">
        <v>107</v>
      </c>
    </row>
    <row r="11" spans="1:7" ht="19.95" customHeight="1">
      <c r="A11" s="443"/>
      <c r="D11" s="150">
        <v>9</v>
      </c>
      <c r="E11" s="153" t="s">
        <v>79</v>
      </c>
      <c r="F11" s="296" t="s">
        <v>106</v>
      </c>
    </row>
    <row r="12" spans="1:7" ht="19.95" customHeight="1">
      <c r="A12" s="443"/>
      <c r="D12" s="150">
        <v>10</v>
      </c>
      <c r="E12" s="380" t="s">
        <v>565</v>
      </c>
      <c r="F12" s="296" t="s">
        <v>108</v>
      </c>
    </row>
    <row r="13" spans="1:7" ht="19.95" customHeight="1">
      <c r="A13" s="443"/>
      <c r="D13" s="150">
        <v>11</v>
      </c>
      <c r="E13" s="380" t="s">
        <v>114</v>
      </c>
      <c r="F13" s="296" t="s">
        <v>109</v>
      </c>
    </row>
    <row r="14" spans="1:7" ht="19.95" customHeight="1">
      <c r="A14" s="443" t="s">
        <v>620</v>
      </c>
      <c r="D14" s="150">
        <v>12</v>
      </c>
      <c r="E14" s="380" t="s">
        <v>113</v>
      </c>
      <c r="F14" s="296" t="s">
        <v>110</v>
      </c>
    </row>
    <row r="15" spans="1:7" ht="19.95" customHeight="1">
      <c r="A15" s="443"/>
      <c r="D15" s="150">
        <v>13</v>
      </c>
      <c r="E15" s="380" t="s">
        <v>80</v>
      </c>
      <c r="F15" s="296" t="s">
        <v>111</v>
      </c>
    </row>
    <row r="16" spans="1:7" ht="19.95" customHeight="1">
      <c r="A16" s="443"/>
      <c r="D16" s="150">
        <v>14</v>
      </c>
      <c r="E16" s="380" t="s">
        <v>75</v>
      </c>
      <c r="F16" s="296" t="s">
        <v>112</v>
      </c>
    </row>
    <row r="17" spans="1:6" ht="19.95" customHeight="1">
      <c r="A17" s="444" t="s">
        <v>621</v>
      </c>
      <c r="D17" s="150">
        <v>15</v>
      </c>
      <c r="E17" s="380" t="s">
        <v>81</v>
      </c>
      <c r="F17" s="296" t="s">
        <v>118</v>
      </c>
    </row>
    <row r="18" spans="1:6" ht="19.95" customHeight="1">
      <c r="A18" s="444"/>
      <c r="D18" s="150">
        <v>16</v>
      </c>
      <c r="E18" s="155" t="s">
        <v>117</v>
      </c>
      <c r="F18" s="296" t="s">
        <v>119</v>
      </c>
    </row>
    <row r="19" spans="1:6" ht="19.95" customHeight="1">
      <c r="A19" s="444"/>
      <c r="D19" s="150">
        <v>17</v>
      </c>
      <c r="E19" s="155" t="s">
        <v>117</v>
      </c>
      <c r="F19" s="296" t="s">
        <v>120</v>
      </c>
    </row>
    <row r="20" spans="1:6" ht="19.95" customHeight="1">
      <c r="D20" s="6"/>
      <c r="E20" s="6"/>
      <c r="F20" s="6"/>
    </row>
    <row r="21" spans="1:6" ht="19.95" customHeight="1">
      <c r="D21" s="6"/>
      <c r="E21" s="6"/>
      <c r="F21" s="6"/>
    </row>
  </sheetData>
  <mergeCells count="3">
    <mergeCell ref="A10:A13"/>
    <mergeCell ref="A14:A16"/>
    <mergeCell ref="A17:A19"/>
  </mergeCells>
  <phoneticPr fontId="1" type="noConversion"/>
  <hyperlinks>
    <hyperlink ref="E15" location="'银行存单盘点表E1-9'!A1" display="银行存单盘点表"/>
    <hyperlink ref="E17" location="'银行账户情况承诺E1-11'!A1" display="银行账户情况承诺"/>
    <hyperlink ref="E8" location="'银行存款及其他货币资金明细表(仅人民币)E1-3'!A1" display="银行存款及其他货币资金明细表（仅人民币）"/>
    <hyperlink ref="E7" location="'现金明细表E1-2'!A1" display="现金明细表"/>
    <hyperlink ref="E6" location="'附注披露信息(国企)'!A1" display="附注披露信息(国企)"/>
    <hyperlink ref="E5" location="'附注披露信息(上市公司)'!A1" display="附注披露信息(上市公司)"/>
    <hyperlink ref="E4" location="'货币资金审定表E1-1'!A1" display="货币资金审定表"/>
    <hyperlink ref="E3" location="货币资金实质性程序表E1A!A1" display="货币资金实质性程序表"/>
    <hyperlink ref="E16" location="'已开立银行账户清单核对表E1-10'!A1" display="已开立银行结算账户清单核对表"/>
    <hyperlink ref="E11" location="'调整分录汇总E1-5'!A1" display="调整分录汇总表"/>
    <hyperlink ref="E9" location="'银行存款及其他货币资金明细表(人民币及外币)E1-3'!A1" display="银行存款及其他货币资金明细表（人民币及外币）"/>
    <hyperlink ref="E14" location="'库存现金（外币）盘点表E1-8'!A1" display="库存现金（外币）盘点表"/>
    <hyperlink ref="E13" location="'库存现金（人民币）盘点表E1-7'!A1" display="库存现金（人民币）盘点表"/>
    <hyperlink ref="E10" location="'数字货币明细表E1-4'!A1" display="数字货币明细表"/>
    <hyperlink ref="E12" location="'银行存款余额调节表E1-6'!A1" display="银行存款余额调节表"/>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4"/>
  <sheetViews>
    <sheetView view="pageBreakPreview" zoomScaleNormal="100" zoomScaleSheetLayoutView="100" workbookViewId="0">
      <selection sqref="A1:J1"/>
    </sheetView>
  </sheetViews>
  <sheetFormatPr defaultColWidth="8.77734375" defaultRowHeight="17.100000000000001" customHeight="1"/>
  <cols>
    <col min="1" max="2" width="7" style="157" customWidth="1"/>
    <col min="3" max="3" width="68.21875" style="157" customWidth="1"/>
    <col min="4" max="4" width="10.33203125" style="157" customWidth="1"/>
    <col min="5" max="5" width="5.77734375" style="205" customWidth="1"/>
    <col min="6" max="7" width="7.21875" style="205" customWidth="1"/>
    <col min="8" max="8" width="8.21875" style="205" customWidth="1"/>
    <col min="9" max="9" width="6.21875" style="205" customWidth="1"/>
    <col min="10" max="10" width="7.44140625" style="205" customWidth="1"/>
    <col min="11" max="11" width="60.6640625" style="157" customWidth="1"/>
    <col min="12" max="16384" width="8.77734375" style="157"/>
  </cols>
  <sheetData>
    <row r="1" spans="1:11" ht="19.95" customHeight="1">
      <c r="A1" s="446" t="s">
        <v>370</v>
      </c>
      <c r="B1" s="446"/>
      <c r="C1" s="446"/>
      <c r="D1" s="446"/>
      <c r="E1" s="446"/>
      <c r="F1" s="446"/>
      <c r="G1" s="446"/>
      <c r="H1" s="446"/>
      <c r="I1" s="446"/>
      <c r="J1" s="446"/>
    </row>
    <row r="2" spans="1:11" ht="19.95" customHeight="1">
      <c r="A2" s="447" t="s">
        <v>570</v>
      </c>
      <c r="B2" s="447"/>
      <c r="C2" s="447"/>
      <c r="D2" s="447"/>
      <c r="E2" s="447"/>
      <c r="F2" s="447"/>
      <c r="G2" s="447"/>
      <c r="H2" s="447"/>
      <c r="I2" s="447"/>
      <c r="J2" s="447"/>
    </row>
    <row r="3" spans="1:11" ht="19.95" customHeight="1">
      <c r="A3" s="158" t="str">
        <f>底稿目录!A2</f>
        <v>被审计单位：</v>
      </c>
      <c r="B3" s="158"/>
      <c r="C3" s="158"/>
      <c r="D3" s="141" t="str">
        <f>底稿目录!A4</f>
        <v>编制人：</v>
      </c>
      <c r="E3" s="3"/>
      <c r="F3" s="3"/>
      <c r="G3" s="300" t="str">
        <f>底稿目录!A5</f>
        <v>编制日期：</v>
      </c>
      <c r="I3" s="3" t="s">
        <v>232</v>
      </c>
      <c r="J3" s="309" t="str">
        <f>底稿目录!F3</f>
        <v>E1A</v>
      </c>
    </row>
    <row r="4" spans="1:11" ht="19.95" customHeight="1">
      <c r="A4" s="158" t="str">
        <f>底稿目录!A3</f>
        <v>截止日：202X年12月31日</v>
      </c>
      <c r="B4" s="158"/>
      <c r="C4" s="158"/>
      <c r="D4" s="141" t="str">
        <f>底稿目录!A6</f>
        <v>复核人：</v>
      </c>
      <c r="E4" s="3"/>
      <c r="F4" s="3"/>
      <c r="G4" s="300" t="str">
        <f>底稿目录!A7</f>
        <v>复核日期：</v>
      </c>
      <c r="I4" s="3" t="s">
        <v>371</v>
      </c>
      <c r="J4" s="307"/>
    </row>
    <row r="5" spans="1:11" ht="19.95" customHeight="1">
      <c r="A5" s="294" t="s">
        <v>373</v>
      </c>
      <c r="B5" s="294"/>
      <c r="C5" s="160"/>
      <c r="D5" s="21"/>
      <c r="E5" s="301"/>
      <c r="F5" s="301"/>
      <c r="G5" s="301"/>
      <c r="H5" s="302"/>
      <c r="I5" s="301"/>
      <c r="J5" s="308"/>
    </row>
    <row r="6" spans="1:11" ht="19.95" customHeight="1">
      <c r="A6" s="293" t="s">
        <v>372</v>
      </c>
      <c r="B6" s="293"/>
      <c r="C6" s="160"/>
      <c r="D6" s="21"/>
      <c r="E6" s="301"/>
      <c r="F6" s="301"/>
      <c r="G6" s="301"/>
      <c r="H6" s="302"/>
      <c r="I6" s="301"/>
      <c r="J6" s="308"/>
    </row>
    <row r="7" spans="1:11" ht="19.95" customHeight="1">
      <c r="A7" s="161" t="s">
        <v>369</v>
      </c>
      <c r="B7" s="161"/>
      <c r="C7" s="159"/>
      <c r="D7" s="162"/>
      <c r="E7" s="3"/>
      <c r="F7" s="3"/>
      <c r="G7" s="3"/>
      <c r="H7" s="300"/>
      <c r="I7" s="3"/>
      <c r="J7" s="303"/>
    </row>
    <row r="8" spans="1:11" ht="19.95" customHeight="1">
      <c r="A8" s="448" t="s">
        <v>93</v>
      </c>
      <c r="B8" s="448"/>
      <c r="C8" s="448"/>
      <c r="D8" s="448"/>
      <c r="E8" s="448"/>
      <c r="F8" s="448"/>
      <c r="G8" s="448"/>
      <c r="H8" s="449" t="s">
        <v>361</v>
      </c>
      <c r="I8" s="449"/>
      <c r="J8" s="449"/>
    </row>
    <row r="9" spans="1:11" ht="19.95" customHeight="1">
      <c r="A9" s="445" t="s">
        <v>374</v>
      </c>
      <c r="B9" s="445"/>
      <c r="C9" s="445"/>
      <c r="D9" s="445"/>
      <c r="E9" s="445"/>
      <c r="F9" s="445"/>
      <c r="G9" s="445"/>
      <c r="H9" s="450" t="s">
        <v>83</v>
      </c>
      <c r="I9" s="450"/>
      <c r="J9" s="450"/>
    </row>
    <row r="10" spans="1:11" ht="19.95" customHeight="1">
      <c r="A10" s="445" t="s">
        <v>610</v>
      </c>
      <c r="B10" s="445"/>
      <c r="C10" s="445"/>
      <c r="D10" s="445"/>
      <c r="E10" s="445"/>
      <c r="F10" s="445"/>
      <c r="G10" s="445"/>
      <c r="H10" s="450" t="s">
        <v>608</v>
      </c>
      <c r="I10" s="450"/>
      <c r="J10" s="450"/>
    </row>
    <row r="11" spans="1:11" ht="19.95" customHeight="1">
      <c r="A11" s="445" t="s">
        <v>611</v>
      </c>
      <c r="B11" s="445"/>
      <c r="C11" s="445"/>
      <c r="D11" s="445"/>
      <c r="E11" s="445"/>
      <c r="F11" s="445"/>
      <c r="G11" s="445"/>
      <c r="H11" s="450" t="s">
        <v>362</v>
      </c>
      <c r="I11" s="450"/>
      <c r="J11" s="450"/>
    </row>
    <row r="12" spans="1:11" ht="19.95" customHeight="1">
      <c r="A12" s="445" t="s">
        <v>612</v>
      </c>
      <c r="B12" s="445"/>
      <c r="C12" s="445"/>
      <c r="D12" s="445"/>
      <c r="E12" s="445"/>
      <c r="F12" s="445"/>
      <c r="G12" s="445"/>
      <c r="H12" s="450" t="s">
        <v>609</v>
      </c>
      <c r="I12" s="450"/>
      <c r="J12" s="450"/>
    </row>
    <row r="13" spans="1:11" ht="19.95" customHeight="1">
      <c r="A13" s="445" t="s">
        <v>367</v>
      </c>
      <c r="B13" s="445"/>
      <c r="C13" s="445"/>
      <c r="D13" s="445"/>
      <c r="E13" s="445"/>
      <c r="F13" s="445"/>
      <c r="G13" s="445"/>
      <c r="H13" s="450" t="s">
        <v>97</v>
      </c>
      <c r="I13" s="450"/>
      <c r="J13" s="450"/>
    </row>
    <row r="14" spans="1:11" ht="19.95" customHeight="1">
      <c r="A14" s="452" t="s">
        <v>592</v>
      </c>
      <c r="B14" s="453"/>
      <c r="C14" s="453"/>
      <c r="D14" s="159"/>
      <c r="E14" s="303"/>
      <c r="F14" s="3"/>
      <c r="G14" s="3"/>
      <c r="H14" s="3"/>
      <c r="I14" s="300"/>
      <c r="J14" s="3"/>
    </row>
    <row r="15" spans="1:11" ht="19.95" customHeight="1">
      <c r="A15" s="454" t="s">
        <v>364</v>
      </c>
      <c r="B15" s="457" t="s">
        <v>85</v>
      </c>
      <c r="C15" s="455" t="s">
        <v>616</v>
      </c>
      <c r="D15" s="456" t="s">
        <v>366</v>
      </c>
      <c r="E15" s="449" t="s">
        <v>365</v>
      </c>
      <c r="F15" s="449"/>
      <c r="G15" s="449"/>
      <c r="H15" s="449"/>
      <c r="I15" s="449"/>
      <c r="J15" s="451" t="s">
        <v>141</v>
      </c>
    </row>
    <row r="16" spans="1:11" ht="35.4" customHeight="1">
      <c r="A16" s="454"/>
      <c r="B16" s="457"/>
      <c r="C16" s="455"/>
      <c r="D16" s="456"/>
      <c r="E16" s="373" t="s">
        <v>94</v>
      </c>
      <c r="F16" s="373" t="s">
        <v>95</v>
      </c>
      <c r="G16" s="373" t="s">
        <v>96</v>
      </c>
      <c r="H16" s="373" t="s">
        <v>99</v>
      </c>
      <c r="I16" s="373" t="s">
        <v>100</v>
      </c>
      <c r="J16" s="451"/>
      <c r="K16" s="411" t="s">
        <v>614</v>
      </c>
    </row>
    <row r="17" spans="1:11" ht="81.599999999999994" customHeight="1">
      <c r="A17" s="397" t="s">
        <v>597</v>
      </c>
      <c r="B17" s="386" t="s">
        <v>417</v>
      </c>
      <c r="C17" s="386" t="s">
        <v>514</v>
      </c>
      <c r="D17" s="295" t="s">
        <v>363</v>
      </c>
      <c r="E17" s="305" t="s">
        <v>82</v>
      </c>
      <c r="F17" s="305" t="s">
        <v>82</v>
      </c>
      <c r="G17" s="306"/>
      <c r="H17" s="298" t="s">
        <v>82</v>
      </c>
      <c r="I17" s="387"/>
      <c r="J17" s="388" t="s">
        <v>380</v>
      </c>
    </row>
    <row r="18" spans="1:11" ht="50.4" customHeight="1">
      <c r="A18" s="397" t="s">
        <v>598</v>
      </c>
      <c r="B18" s="386" t="s">
        <v>86</v>
      </c>
      <c r="C18" s="297" t="s">
        <v>376</v>
      </c>
      <c r="D18" s="295" t="s">
        <v>363</v>
      </c>
      <c r="E18" s="306"/>
      <c r="F18" s="298" t="s">
        <v>381</v>
      </c>
      <c r="G18" s="306"/>
      <c r="H18" s="305" t="s">
        <v>381</v>
      </c>
      <c r="I18" s="387"/>
      <c r="J18" s="412" t="s">
        <v>615</v>
      </c>
      <c r="K18" s="310" t="s">
        <v>377</v>
      </c>
    </row>
    <row r="19" spans="1:11" ht="61.2" customHeight="1">
      <c r="A19" s="397" t="s">
        <v>599</v>
      </c>
      <c r="B19" s="386" t="s">
        <v>87</v>
      </c>
      <c r="C19" s="297" t="s">
        <v>515</v>
      </c>
      <c r="D19" s="311" t="s">
        <v>379</v>
      </c>
      <c r="E19" s="298" t="s">
        <v>360</v>
      </c>
      <c r="F19" s="305" t="s">
        <v>360</v>
      </c>
      <c r="G19" s="305" t="s">
        <v>360</v>
      </c>
      <c r="H19" s="305" t="s">
        <v>359</v>
      </c>
      <c r="I19" s="387"/>
      <c r="J19" s="388"/>
      <c r="K19" s="310" t="s">
        <v>378</v>
      </c>
    </row>
    <row r="20" spans="1:11" ht="93.6" customHeight="1">
      <c r="A20" s="397" t="s">
        <v>600</v>
      </c>
      <c r="B20" s="386" t="s">
        <v>88</v>
      </c>
      <c r="C20" s="297" t="s">
        <v>383</v>
      </c>
      <c r="D20" s="295" t="s">
        <v>363</v>
      </c>
      <c r="E20" s="298" t="s">
        <v>82</v>
      </c>
      <c r="F20" s="306"/>
      <c r="G20" s="306"/>
      <c r="H20" s="305" t="s">
        <v>382</v>
      </c>
      <c r="I20" s="387"/>
      <c r="J20" s="389" t="s">
        <v>568</v>
      </c>
      <c r="K20" s="310"/>
    </row>
    <row r="21" spans="1:11" ht="19.95" customHeight="1">
      <c r="A21" s="397" t="s">
        <v>601</v>
      </c>
      <c r="B21" s="390"/>
      <c r="C21" s="391" t="s">
        <v>375</v>
      </c>
      <c r="D21" s="390"/>
      <c r="E21" s="387"/>
      <c r="F21" s="387"/>
      <c r="G21" s="387"/>
      <c r="H21" s="387"/>
      <c r="I21" s="387"/>
      <c r="J21" s="242"/>
      <c r="K21" s="310"/>
    </row>
    <row r="22" spans="1:11" ht="99" customHeight="1">
      <c r="A22" s="52">
        <v>1</v>
      </c>
      <c r="B22" s="386" t="s">
        <v>417</v>
      </c>
      <c r="C22" s="386" t="s">
        <v>591</v>
      </c>
      <c r="D22" s="295" t="s">
        <v>363</v>
      </c>
      <c r="E22" s="298" t="s">
        <v>360</v>
      </c>
      <c r="F22" s="305" t="s">
        <v>360</v>
      </c>
      <c r="G22" s="305" t="s">
        <v>360</v>
      </c>
      <c r="H22" s="305" t="s">
        <v>359</v>
      </c>
      <c r="I22" s="387"/>
      <c r="J22" s="388" t="s">
        <v>566</v>
      </c>
    </row>
    <row r="23" spans="1:11" ht="42" customHeight="1">
      <c r="A23" s="52">
        <v>2</v>
      </c>
      <c r="B23" s="386" t="s">
        <v>90</v>
      </c>
      <c r="C23" s="386" t="s">
        <v>527</v>
      </c>
      <c r="D23" s="295" t="s">
        <v>574</v>
      </c>
      <c r="E23" s="298"/>
      <c r="F23" s="305"/>
      <c r="G23" s="305"/>
      <c r="H23" s="298"/>
      <c r="I23" s="387"/>
      <c r="J23" s="388" t="s">
        <v>637</v>
      </c>
    </row>
    <row r="24" spans="1:11" ht="19.95" customHeight="1">
      <c r="A24" s="397" t="s">
        <v>602</v>
      </c>
      <c r="B24" s="392"/>
      <c r="C24" s="391" t="s">
        <v>487</v>
      </c>
      <c r="D24" s="390"/>
      <c r="E24" s="387"/>
      <c r="F24" s="387"/>
      <c r="G24" s="387"/>
      <c r="H24" s="387"/>
      <c r="I24" s="387"/>
      <c r="J24" s="242"/>
    </row>
    <row r="25" spans="1:11" s="163" customFormat="1" ht="53.4" customHeight="1">
      <c r="A25" s="128" t="s">
        <v>384</v>
      </c>
      <c r="B25" s="386" t="s">
        <v>90</v>
      </c>
      <c r="C25" s="386" t="s">
        <v>488</v>
      </c>
      <c r="D25" s="295" t="s">
        <v>363</v>
      </c>
      <c r="E25" s="298" t="s">
        <v>360</v>
      </c>
      <c r="F25" s="298" t="s">
        <v>360</v>
      </c>
      <c r="G25" s="130"/>
      <c r="H25" s="305" t="s">
        <v>360</v>
      </c>
      <c r="I25" s="130"/>
      <c r="J25" s="374" t="s">
        <v>480</v>
      </c>
      <c r="K25" s="315"/>
    </row>
    <row r="26" spans="1:11" s="163" customFormat="1" ht="51" customHeight="1">
      <c r="A26" s="128" t="s">
        <v>575</v>
      </c>
      <c r="B26" s="386" t="s">
        <v>90</v>
      </c>
      <c r="C26" s="386" t="s">
        <v>484</v>
      </c>
      <c r="D26" s="295" t="s">
        <v>419</v>
      </c>
      <c r="E26" s="298" t="s">
        <v>360</v>
      </c>
      <c r="F26" s="298"/>
      <c r="G26" s="130"/>
      <c r="H26" s="305" t="s">
        <v>360</v>
      </c>
      <c r="I26" s="130"/>
      <c r="J26" s="374"/>
      <c r="K26" s="315"/>
    </row>
    <row r="27" spans="1:11" s="163" customFormat="1" ht="118.2" customHeight="1">
      <c r="A27" s="128" t="s">
        <v>576</v>
      </c>
      <c r="B27" s="386" t="s">
        <v>417</v>
      </c>
      <c r="C27" s="386" t="s">
        <v>410</v>
      </c>
      <c r="D27" s="295" t="s">
        <v>65</v>
      </c>
      <c r="E27" s="298" t="s">
        <v>360</v>
      </c>
      <c r="F27" s="130"/>
      <c r="G27" s="298" t="s">
        <v>360</v>
      </c>
      <c r="H27" s="393"/>
      <c r="I27" s="130"/>
      <c r="J27" s="374" t="s">
        <v>622</v>
      </c>
      <c r="K27" s="315"/>
    </row>
    <row r="28" spans="1:11" s="163" customFormat="1" ht="75" customHeight="1">
      <c r="A28" s="128" t="s">
        <v>67</v>
      </c>
      <c r="B28" s="386" t="s">
        <v>417</v>
      </c>
      <c r="C28" s="386" t="s">
        <v>635</v>
      </c>
      <c r="D28" s="295" t="s">
        <v>65</v>
      </c>
      <c r="E28" s="328" t="s">
        <v>82</v>
      </c>
      <c r="F28" s="298" t="s">
        <v>360</v>
      </c>
      <c r="G28" s="304" t="s">
        <v>82</v>
      </c>
      <c r="H28" s="393"/>
      <c r="I28" s="304"/>
      <c r="J28" s="374" t="s">
        <v>567</v>
      </c>
      <c r="K28" s="384" t="s">
        <v>623</v>
      </c>
    </row>
    <row r="29" spans="1:11" s="163" customFormat="1" ht="201" customHeight="1">
      <c r="A29" s="128" t="s">
        <v>68</v>
      </c>
      <c r="B29" s="386" t="s">
        <v>89</v>
      </c>
      <c r="C29" s="224" t="s">
        <v>551</v>
      </c>
      <c r="D29" s="295" t="s">
        <v>65</v>
      </c>
      <c r="E29" s="298" t="s">
        <v>360</v>
      </c>
      <c r="F29" s="304" t="s">
        <v>82</v>
      </c>
      <c r="G29" s="328" t="s">
        <v>82</v>
      </c>
      <c r="H29" s="304" t="s">
        <v>82</v>
      </c>
      <c r="I29" s="304"/>
      <c r="J29" s="374" t="s">
        <v>420</v>
      </c>
      <c r="K29" s="315"/>
    </row>
    <row r="30" spans="1:11" s="163" customFormat="1" ht="45.6" customHeight="1">
      <c r="A30" s="128" t="s">
        <v>69</v>
      </c>
      <c r="B30" s="386" t="s">
        <v>88</v>
      </c>
      <c r="C30" s="386" t="s">
        <v>596</v>
      </c>
      <c r="D30" s="295" t="s">
        <v>65</v>
      </c>
      <c r="E30" s="298" t="s">
        <v>360</v>
      </c>
      <c r="F30" s="304" t="s">
        <v>82</v>
      </c>
      <c r="G30" s="130"/>
      <c r="H30" s="304" t="s">
        <v>82</v>
      </c>
      <c r="I30" s="130"/>
      <c r="J30" s="374" t="s">
        <v>569</v>
      </c>
      <c r="K30" s="315"/>
    </row>
    <row r="31" spans="1:11" s="163" customFormat="1" ht="64.8" customHeight="1">
      <c r="A31" s="128" t="s">
        <v>577</v>
      </c>
      <c r="B31" s="386" t="s">
        <v>90</v>
      </c>
      <c r="C31" s="386" t="s">
        <v>421</v>
      </c>
      <c r="D31" s="295" t="s">
        <v>65</v>
      </c>
      <c r="E31" s="305" t="s">
        <v>360</v>
      </c>
      <c r="F31" s="129"/>
      <c r="G31" s="305" t="s">
        <v>360</v>
      </c>
      <c r="H31" s="393"/>
      <c r="I31" s="130"/>
      <c r="J31" s="374" t="s">
        <v>422</v>
      </c>
    </row>
    <row r="32" spans="1:11" s="163" customFormat="1" ht="25.8" customHeight="1">
      <c r="A32" s="128" t="s">
        <v>578</v>
      </c>
      <c r="B32" s="386" t="s">
        <v>90</v>
      </c>
      <c r="C32" s="386" t="s">
        <v>482</v>
      </c>
      <c r="D32" s="295" t="s">
        <v>481</v>
      </c>
      <c r="E32" s="305" t="s">
        <v>360</v>
      </c>
      <c r="F32" s="305" t="s">
        <v>360</v>
      </c>
      <c r="G32" s="305"/>
      <c r="H32" s="298" t="s">
        <v>360</v>
      </c>
      <c r="I32" s="130"/>
      <c r="J32" s="374" t="s">
        <v>483</v>
      </c>
    </row>
    <row r="33" spans="1:10" s="163" customFormat="1" ht="33" customHeight="1">
      <c r="A33" s="128" t="s">
        <v>579</v>
      </c>
      <c r="B33" s="386" t="s">
        <v>90</v>
      </c>
      <c r="C33" s="386" t="s">
        <v>516</v>
      </c>
      <c r="D33" s="295" t="s">
        <v>65</v>
      </c>
      <c r="E33" s="305" t="s">
        <v>82</v>
      </c>
      <c r="F33" s="305" t="s">
        <v>82</v>
      </c>
      <c r="G33" s="305"/>
      <c r="H33" s="298"/>
      <c r="I33" s="130"/>
      <c r="J33" s="374" t="s">
        <v>485</v>
      </c>
    </row>
    <row r="34" spans="1:10" s="163" customFormat="1" ht="52.8" customHeight="1">
      <c r="A34" s="128" t="s">
        <v>580</v>
      </c>
      <c r="B34" s="386" t="s">
        <v>90</v>
      </c>
      <c r="C34" s="386" t="s">
        <v>528</v>
      </c>
      <c r="D34" s="295" t="s">
        <v>65</v>
      </c>
      <c r="E34" s="298" t="s">
        <v>82</v>
      </c>
      <c r="F34" s="305"/>
      <c r="G34" s="305" t="s">
        <v>82</v>
      </c>
      <c r="H34" s="305" t="s">
        <v>82</v>
      </c>
      <c r="I34" s="130"/>
      <c r="J34" s="374" t="s">
        <v>486</v>
      </c>
    </row>
    <row r="35" spans="1:10" s="163" customFormat="1" ht="138" customHeight="1">
      <c r="A35" s="128" t="s">
        <v>581</v>
      </c>
      <c r="B35" s="386" t="s">
        <v>417</v>
      </c>
      <c r="C35" s="386" t="s">
        <v>517</v>
      </c>
      <c r="D35" s="295" t="s">
        <v>84</v>
      </c>
      <c r="E35" s="298" t="s">
        <v>82</v>
      </c>
      <c r="F35" s="305" t="s">
        <v>82</v>
      </c>
      <c r="G35" s="305"/>
      <c r="H35" s="305" t="s">
        <v>82</v>
      </c>
      <c r="I35" s="130"/>
      <c r="J35" s="374"/>
    </row>
    <row r="36" spans="1:10" s="163" customFormat="1" ht="149.4" customHeight="1">
      <c r="A36" s="128" t="s">
        <v>582</v>
      </c>
      <c r="B36" s="386" t="s">
        <v>89</v>
      </c>
      <c r="C36" s="386" t="s">
        <v>518</v>
      </c>
      <c r="D36" s="295" t="s">
        <v>84</v>
      </c>
      <c r="E36" s="298" t="s">
        <v>82</v>
      </c>
      <c r="F36" s="298" t="s">
        <v>82</v>
      </c>
      <c r="G36" s="305" t="s">
        <v>82</v>
      </c>
      <c r="H36" s="298"/>
      <c r="I36" s="305" t="s">
        <v>82</v>
      </c>
      <c r="J36" s="374"/>
    </row>
    <row r="37" spans="1:10" s="163" customFormat="1" ht="37.200000000000003" customHeight="1">
      <c r="A37" s="128" t="s">
        <v>583</v>
      </c>
      <c r="B37" s="386" t="s">
        <v>417</v>
      </c>
      <c r="C37" s="386" t="s">
        <v>519</v>
      </c>
      <c r="D37" s="295" t="s">
        <v>65</v>
      </c>
      <c r="E37" s="298"/>
      <c r="F37" s="298"/>
      <c r="G37" s="305" t="s">
        <v>82</v>
      </c>
      <c r="H37" s="298"/>
      <c r="I37" s="298" t="s">
        <v>82</v>
      </c>
      <c r="J37" s="374" t="s">
        <v>571</v>
      </c>
    </row>
    <row r="38" spans="1:10" s="163" customFormat="1" ht="30.6" customHeight="1">
      <c r="A38" s="128" t="s">
        <v>584</v>
      </c>
      <c r="B38" s="386" t="s">
        <v>417</v>
      </c>
      <c r="C38" s="386" t="s">
        <v>521</v>
      </c>
      <c r="D38" s="295" t="s">
        <v>65</v>
      </c>
      <c r="E38" s="298"/>
      <c r="F38" s="298"/>
      <c r="G38" s="305"/>
      <c r="H38" s="298"/>
      <c r="I38" s="298" t="s">
        <v>82</v>
      </c>
      <c r="J38" s="374" t="s">
        <v>572</v>
      </c>
    </row>
    <row r="39" spans="1:10" s="163" customFormat="1" ht="37.200000000000003" customHeight="1">
      <c r="A39" s="128" t="s">
        <v>585</v>
      </c>
      <c r="B39" s="386" t="s">
        <v>91</v>
      </c>
      <c r="C39" s="386" t="s">
        <v>522</v>
      </c>
      <c r="D39" s="295" t="s">
        <v>84</v>
      </c>
      <c r="E39" s="298"/>
      <c r="F39" s="298"/>
      <c r="G39" s="298" t="s">
        <v>82</v>
      </c>
      <c r="H39" s="298"/>
      <c r="I39" s="298"/>
      <c r="J39" s="374"/>
    </row>
    <row r="40" spans="1:10" s="163" customFormat="1" ht="25.2" customHeight="1">
      <c r="A40" s="398" t="s">
        <v>66</v>
      </c>
      <c r="B40" s="386"/>
      <c r="C40" s="77" t="s">
        <v>513</v>
      </c>
      <c r="D40" s="295"/>
      <c r="E40" s="305"/>
      <c r="F40" s="305"/>
      <c r="G40" s="305"/>
      <c r="H40" s="298"/>
      <c r="I40" s="130"/>
      <c r="J40" s="374"/>
    </row>
    <row r="41" spans="1:10" s="163" customFormat="1" ht="58.8" customHeight="1">
      <c r="A41" s="128" t="s">
        <v>586</v>
      </c>
      <c r="B41" s="386" t="s">
        <v>90</v>
      </c>
      <c r="C41" s="386" t="s">
        <v>523</v>
      </c>
      <c r="D41" s="295" t="s">
        <v>84</v>
      </c>
      <c r="E41" s="298" t="s">
        <v>82</v>
      </c>
      <c r="F41" s="305"/>
      <c r="G41" s="305" t="s">
        <v>82</v>
      </c>
      <c r="H41" s="305" t="s">
        <v>82</v>
      </c>
      <c r="I41" s="130"/>
      <c r="J41" s="374"/>
    </row>
    <row r="42" spans="1:10" s="163" customFormat="1" ht="39.6" customHeight="1">
      <c r="A42" s="128" t="s">
        <v>575</v>
      </c>
      <c r="B42" s="386" t="s">
        <v>92</v>
      </c>
      <c r="C42" s="386" t="s">
        <v>529</v>
      </c>
      <c r="D42" s="295" t="s">
        <v>84</v>
      </c>
      <c r="E42" s="305" t="s">
        <v>82</v>
      </c>
      <c r="F42" s="305"/>
      <c r="G42" s="305" t="s">
        <v>82</v>
      </c>
      <c r="H42" s="305"/>
      <c r="I42" s="130"/>
      <c r="J42" s="374"/>
    </row>
    <row r="43" spans="1:10" s="163" customFormat="1" ht="44.4" customHeight="1">
      <c r="A43" s="128" t="s">
        <v>576</v>
      </c>
      <c r="B43" s="386"/>
      <c r="C43" s="386" t="s">
        <v>524</v>
      </c>
      <c r="D43" s="295" t="s">
        <v>574</v>
      </c>
      <c r="E43" s="305"/>
      <c r="F43" s="129"/>
      <c r="G43" s="305"/>
      <c r="H43" s="393"/>
      <c r="I43" s="130"/>
      <c r="J43" s="374" t="s">
        <v>636</v>
      </c>
    </row>
    <row r="44" spans="1:10" s="163" customFormat="1" ht="39" customHeight="1">
      <c r="A44" s="128" t="s">
        <v>587</v>
      </c>
      <c r="B44" s="394" t="s">
        <v>92</v>
      </c>
      <c r="C44" s="386" t="s">
        <v>544</v>
      </c>
      <c r="D44" s="295" t="s">
        <v>65</v>
      </c>
      <c r="E44" s="130"/>
      <c r="F44" s="130"/>
      <c r="G44" s="130"/>
      <c r="H44" s="393"/>
      <c r="I44" s="298" t="s">
        <v>82</v>
      </c>
      <c r="J44" s="374" t="s">
        <v>573</v>
      </c>
    </row>
  </sheetData>
  <mergeCells count="21">
    <mergeCell ref="H13:J13"/>
    <mergeCell ref="J15:J16"/>
    <mergeCell ref="A14:C14"/>
    <mergeCell ref="A15:A16"/>
    <mergeCell ref="C15:C16"/>
    <mergeCell ref="D15:D16"/>
    <mergeCell ref="E15:I15"/>
    <mergeCell ref="B15:B16"/>
    <mergeCell ref="A13:G13"/>
    <mergeCell ref="A10:G10"/>
    <mergeCell ref="A11:G11"/>
    <mergeCell ref="A12:G12"/>
    <mergeCell ref="A1:J1"/>
    <mergeCell ref="A2:J2"/>
    <mergeCell ref="A8:G8"/>
    <mergeCell ref="A9:G9"/>
    <mergeCell ref="H8:J8"/>
    <mergeCell ref="H9:J9"/>
    <mergeCell ref="H10:J10"/>
    <mergeCell ref="H11:J11"/>
    <mergeCell ref="H12:J12"/>
  </mergeCells>
  <phoneticPr fontId="1" type="noConversion"/>
  <hyperlinks>
    <hyperlink ref="J3" location="底稿目录!A1" display="底稿目录!A1"/>
  </hyperlinks>
  <pageMargins left="0.70866141732283472" right="0.70866141732283472" top="0.74803149606299213" bottom="0.74803149606299213" header="0.31496062992125984" footer="0.31496062992125984"/>
  <pageSetup paperSize="9" scale="65" orientation="portrait" blackAndWhite="1" horizontalDpi="300" verticalDpi="300"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62"/>
  <sheetViews>
    <sheetView view="pageBreakPreview" zoomScale="85" zoomScaleSheetLayoutView="85" workbookViewId="0">
      <selection sqref="A1:G1"/>
    </sheetView>
  </sheetViews>
  <sheetFormatPr defaultColWidth="9" defaultRowHeight="19.95" customHeight="1"/>
  <cols>
    <col min="1" max="1" width="30.44140625" style="35" customWidth="1"/>
    <col min="2" max="2" width="10.44140625" style="35" bestFit="1" customWidth="1"/>
    <col min="3" max="3" width="9.77734375" style="35" bestFit="1" customWidth="1"/>
    <col min="4" max="4" width="15.21875" style="35" customWidth="1"/>
    <col min="5" max="5" width="10.88671875" style="35" customWidth="1"/>
    <col min="6" max="6" width="12.6640625" style="35" customWidth="1"/>
    <col min="7" max="7" width="23.77734375" style="35" customWidth="1"/>
    <col min="8" max="16384" width="9" style="35"/>
  </cols>
  <sheetData>
    <row r="1" spans="1:10" ht="19.95" customHeight="1">
      <c r="A1" s="458" t="s">
        <v>1</v>
      </c>
      <c r="B1" s="458"/>
      <c r="C1" s="458"/>
      <c r="D1" s="458"/>
      <c r="E1" s="458"/>
      <c r="F1" s="458"/>
      <c r="G1" s="458"/>
      <c r="H1" s="7"/>
      <c r="I1" s="7"/>
      <c r="J1" s="7"/>
    </row>
    <row r="2" spans="1:10" ht="19.95" customHeight="1">
      <c r="A2" s="459" t="s">
        <v>142</v>
      </c>
      <c r="B2" s="459"/>
      <c r="C2" s="459"/>
      <c r="D2" s="459"/>
      <c r="E2" s="459"/>
      <c r="F2" s="459"/>
      <c r="G2" s="459"/>
      <c r="H2" s="9"/>
      <c r="I2" s="9"/>
      <c r="J2" s="9"/>
    </row>
    <row r="3" spans="1:10" ht="19.95" customHeight="1">
      <c r="A3" s="14" t="str">
        <f>底稿目录!A2</f>
        <v>被审计单位：</v>
      </c>
      <c r="B3" s="14"/>
      <c r="C3" s="15" t="str">
        <f>底稿目录!A4</f>
        <v>编制人：</v>
      </c>
      <c r="D3" s="14"/>
      <c r="E3" s="14" t="str">
        <f>底稿目录!A5</f>
        <v>编制日期：</v>
      </c>
      <c r="F3" s="68"/>
      <c r="G3" s="12" t="s">
        <v>19</v>
      </c>
      <c r="I3" s="12"/>
    </row>
    <row r="4" spans="1:10" ht="19.95" customHeight="1">
      <c r="A4" s="14" t="str">
        <f>底稿目录!A3</f>
        <v>截止日：202X年12月31日</v>
      </c>
      <c r="B4" s="16"/>
      <c r="C4" s="15" t="str">
        <f>底稿目录!A6</f>
        <v>复核人：</v>
      </c>
      <c r="D4" s="14"/>
      <c r="E4" s="14" t="str">
        <f>底稿目录!A7</f>
        <v>复核日期：</v>
      </c>
      <c r="F4" s="68"/>
      <c r="G4" s="12" t="s">
        <v>144</v>
      </c>
      <c r="I4" s="12"/>
    </row>
    <row r="5" spans="1:10" ht="19.95" customHeight="1">
      <c r="A5" s="14"/>
      <c r="B5" s="16"/>
      <c r="C5" s="15"/>
      <c r="D5" s="14"/>
      <c r="E5" s="14"/>
      <c r="F5" s="68"/>
      <c r="G5" s="234"/>
      <c r="I5" s="12"/>
    </row>
    <row r="6" spans="1:10" ht="19.95" customHeight="1" thickBot="1">
      <c r="A6" s="269" t="s">
        <v>145</v>
      </c>
      <c r="B6" s="16"/>
      <c r="C6" s="15"/>
      <c r="D6" s="14"/>
      <c r="E6" s="14"/>
      <c r="F6" s="68"/>
      <c r="G6" s="234"/>
      <c r="I6" s="12"/>
    </row>
    <row r="7" spans="1:10" ht="19.95" customHeight="1" thickBot="1">
      <c r="A7" s="270" t="s">
        <v>146</v>
      </c>
      <c r="B7" s="271" t="s">
        <v>147</v>
      </c>
      <c r="C7" s="271" t="s">
        <v>148</v>
      </c>
      <c r="E7" s="12"/>
    </row>
    <row r="8" spans="1:10" ht="19.95" customHeight="1">
      <c r="A8" s="166" t="s">
        <v>149</v>
      </c>
      <c r="B8" s="69">
        <f>'货币资金审定表E1-1'!G7</f>
        <v>0</v>
      </c>
      <c r="C8" s="69">
        <f>'货币资金审定表E1-1'!D7</f>
        <v>0</v>
      </c>
      <c r="D8" s="272"/>
      <c r="E8" s="12"/>
    </row>
    <row r="9" spans="1:10" ht="19.95" customHeight="1">
      <c r="A9" s="166" t="s">
        <v>150</v>
      </c>
      <c r="B9" s="273">
        <f>'货币资金审定表E1-1'!G10</f>
        <v>0</v>
      </c>
      <c r="C9" s="69">
        <f>'货币资金审定表E1-1'!D10</f>
        <v>0</v>
      </c>
      <c r="D9" s="272"/>
      <c r="E9" s="12"/>
    </row>
    <row r="10" spans="1:10" ht="19.95" customHeight="1">
      <c r="A10" s="166" t="s">
        <v>151</v>
      </c>
      <c r="B10" s="273">
        <f>'货币资金审定表E1-1'!G9</f>
        <v>0</v>
      </c>
      <c r="C10" s="69">
        <f>'货币资金审定表E1-1'!D9</f>
        <v>0</v>
      </c>
      <c r="D10" s="272"/>
      <c r="E10" s="12"/>
    </row>
    <row r="11" spans="1:10" ht="19.95" customHeight="1">
      <c r="A11" s="166" t="s">
        <v>152</v>
      </c>
      <c r="B11" s="273">
        <f>'货币资金审定表E1-1'!G11</f>
        <v>0</v>
      </c>
      <c r="C11" s="69">
        <f>'货币资金审定表E1-1'!D11</f>
        <v>0</v>
      </c>
      <c r="D11" s="272"/>
      <c r="E11" s="12"/>
    </row>
    <row r="12" spans="1:10" ht="19.95" customHeight="1">
      <c r="A12" s="166" t="s">
        <v>153</v>
      </c>
      <c r="B12" s="273">
        <f>'货币资金审定表E1-1'!G14+'货币资金审定表E1-1'!G15+'货币资金审定表E1-1'!G16</f>
        <v>0</v>
      </c>
      <c r="C12" s="69">
        <f>'货币资金审定表E1-1'!D14+'货币资金审定表E1-1'!D15+'货币资金审定表E1-1'!D16</f>
        <v>0</v>
      </c>
      <c r="D12" s="272"/>
      <c r="E12" s="12"/>
    </row>
    <row r="13" spans="1:10" ht="19.95" customHeight="1" thickBot="1">
      <c r="A13" s="166" t="s">
        <v>154</v>
      </c>
      <c r="B13" s="273"/>
      <c r="C13" s="69"/>
      <c r="D13" s="272"/>
      <c r="E13" s="12"/>
    </row>
    <row r="14" spans="1:10" ht="19.95" customHeight="1">
      <c r="A14" s="167" t="s">
        <v>155</v>
      </c>
      <c r="B14" s="58">
        <f>SUM(B8:B13)</f>
        <v>0</v>
      </c>
      <c r="C14" s="58">
        <f>SUM(C8:C13)</f>
        <v>0</v>
      </c>
      <c r="E14" s="104"/>
    </row>
    <row r="15" spans="1:10" ht="19.95" customHeight="1" thickBot="1">
      <c r="A15" s="59" t="s">
        <v>143</v>
      </c>
      <c r="B15" s="61"/>
      <c r="C15" s="60"/>
      <c r="E15" s="12"/>
    </row>
    <row r="16" spans="1:10" ht="19.95" customHeight="1">
      <c r="A16" s="14"/>
      <c r="B16" s="15">
        <f ca="1">B14-D62</f>
        <v>0</v>
      </c>
      <c r="C16" s="15">
        <f>C14-G62</f>
        <v>0</v>
      </c>
      <c r="D16" s="14"/>
      <c r="E16" s="14"/>
      <c r="F16" s="68"/>
      <c r="G16" s="234"/>
      <c r="I16" s="12"/>
    </row>
    <row r="17" spans="1:9" ht="19.95" customHeight="1">
      <c r="A17" s="168" t="s">
        <v>156</v>
      </c>
      <c r="B17" s="274"/>
      <c r="C17" s="274"/>
      <c r="D17" s="274"/>
      <c r="E17" s="274"/>
      <c r="F17" s="274"/>
      <c r="G17" s="274"/>
      <c r="I17" s="12"/>
    </row>
    <row r="18" spans="1:9" ht="19.95" customHeight="1">
      <c r="A18" s="169" t="s">
        <v>157</v>
      </c>
      <c r="B18" s="274"/>
      <c r="C18" s="274"/>
      <c r="D18" s="274"/>
      <c r="E18" s="274"/>
      <c r="F18" s="274"/>
      <c r="G18" s="274"/>
      <c r="I18" s="12"/>
    </row>
    <row r="19" spans="1:9" ht="31.95" customHeight="1">
      <c r="A19" s="461" t="s">
        <v>158</v>
      </c>
      <c r="B19" s="461"/>
      <c r="C19" s="461"/>
      <c r="D19" s="461"/>
      <c r="E19" s="461"/>
      <c r="F19" s="461"/>
      <c r="G19" s="461"/>
      <c r="I19" s="12"/>
    </row>
    <row r="20" spans="1:9" ht="19.95" customHeight="1">
      <c r="A20" s="229"/>
      <c r="B20" s="229"/>
      <c r="C20" s="229"/>
      <c r="D20" s="229"/>
      <c r="E20" s="229"/>
      <c r="F20" s="229"/>
      <c r="G20" s="229"/>
      <c r="I20" s="12"/>
    </row>
    <row r="21" spans="1:9" ht="19.95" customHeight="1">
      <c r="A21" s="229"/>
      <c r="B21" s="229"/>
      <c r="C21" s="229"/>
      <c r="D21" s="229"/>
      <c r="E21" s="229"/>
      <c r="F21" s="229"/>
      <c r="G21" s="229"/>
      <c r="I21" s="12"/>
    </row>
    <row r="22" spans="1:9" ht="19.95" customHeight="1">
      <c r="A22" s="229"/>
      <c r="B22" s="229"/>
      <c r="C22" s="229"/>
      <c r="D22" s="229"/>
      <c r="E22" s="229"/>
      <c r="F22" s="229"/>
      <c r="G22" s="229"/>
      <c r="I22" s="12"/>
    </row>
    <row r="23" spans="1:9" ht="19.95" customHeight="1">
      <c r="A23" s="168" t="s">
        <v>159</v>
      </c>
      <c r="B23" s="229"/>
      <c r="C23" s="229"/>
      <c r="D23" s="229"/>
      <c r="E23" s="229"/>
      <c r="F23" s="229"/>
      <c r="G23" s="229"/>
      <c r="I23" s="12"/>
    </row>
    <row r="24" spans="1:9" ht="19.95" customHeight="1">
      <c r="A24" s="229"/>
      <c r="B24" s="229"/>
      <c r="C24" s="229"/>
      <c r="D24" s="229"/>
      <c r="E24" s="229"/>
      <c r="F24" s="229"/>
      <c r="G24" s="229"/>
      <c r="I24" s="12"/>
    </row>
    <row r="25" spans="1:9" ht="19.95" customHeight="1" thickBot="1">
      <c r="A25" s="275" t="s">
        <v>160</v>
      </c>
      <c r="B25" s="16"/>
      <c r="C25" s="15"/>
      <c r="D25" s="14"/>
      <c r="E25" s="14"/>
      <c r="F25" s="68"/>
      <c r="G25" s="234"/>
      <c r="I25" s="12"/>
    </row>
    <row r="26" spans="1:9" ht="19.95" customHeight="1" thickBot="1">
      <c r="A26" s="270" t="s">
        <v>146</v>
      </c>
      <c r="B26" s="460" t="s">
        <v>161</v>
      </c>
      <c r="C26" s="460"/>
      <c r="D26" s="460"/>
      <c r="E26" s="460" t="s">
        <v>148</v>
      </c>
      <c r="F26" s="460"/>
      <c r="G26" s="460"/>
      <c r="I26" s="12"/>
    </row>
    <row r="27" spans="1:9" ht="19.95" customHeight="1" thickBot="1">
      <c r="A27" s="59"/>
      <c r="B27" s="276" t="s">
        <v>162</v>
      </c>
      <c r="C27" s="276" t="s">
        <v>163</v>
      </c>
      <c r="D27" s="276" t="s">
        <v>164</v>
      </c>
      <c r="E27" s="276" t="s">
        <v>162</v>
      </c>
      <c r="F27" s="276" t="s">
        <v>163</v>
      </c>
      <c r="G27" s="276" t="s">
        <v>164</v>
      </c>
      <c r="I27" s="12"/>
    </row>
    <row r="28" spans="1:9" ht="19.95" customHeight="1">
      <c r="A28" s="166" t="s">
        <v>165</v>
      </c>
      <c r="B28" s="69"/>
      <c r="C28" s="69"/>
      <c r="D28" s="69"/>
      <c r="E28" s="69"/>
      <c r="F28" s="69"/>
      <c r="G28" s="69"/>
      <c r="I28" s="12"/>
    </row>
    <row r="29" spans="1:9" ht="19.95" customHeight="1">
      <c r="A29" s="166" t="s">
        <v>166</v>
      </c>
      <c r="B29" s="69">
        <f ca="1">B40+B46+B52+B58</f>
        <v>0</v>
      </c>
      <c r="C29" s="277" t="e">
        <f>C46</f>
        <v>#N/A</v>
      </c>
      <c r="D29" s="69">
        <f>D40+D46+D52+D58</f>
        <v>0</v>
      </c>
      <c r="E29" s="69">
        <f ca="1">E40+E46+E52+E58</f>
        <v>0</v>
      </c>
      <c r="F29" s="277">
        <f>F40</f>
        <v>0</v>
      </c>
      <c r="G29" s="69">
        <f>G40+G46+G52+G58</f>
        <v>0</v>
      </c>
      <c r="I29" s="12"/>
    </row>
    <row r="30" spans="1:9" ht="19.95" customHeight="1">
      <c r="A30" s="166" t="s">
        <v>167</v>
      </c>
      <c r="B30" s="69">
        <f ca="1">B41+B47+B53+B59</f>
        <v>0</v>
      </c>
      <c r="C30" s="277" t="e">
        <f t="shared" ref="C30:C32" si="0">C47</f>
        <v>#N/A</v>
      </c>
      <c r="D30" s="69">
        <f t="shared" ref="D30:E32" si="1">D41+D47+D53+D59</f>
        <v>0</v>
      </c>
      <c r="E30" s="69">
        <f t="shared" ca="1" si="1"/>
        <v>0</v>
      </c>
      <c r="F30" s="277">
        <f t="shared" ref="F30:F32" si="2">F41</f>
        <v>0</v>
      </c>
      <c r="G30" s="69">
        <f>G41+G47+G53+G59</f>
        <v>0</v>
      </c>
      <c r="I30" s="12"/>
    </row>
    <row r="31" spans="1:9" ht="19.95" customHeight="1">
      <c r="A31" s="166" t="s">
        <v>168</v>
      </c>
      <c r="B31" s="69">
        <f ca="1">B42+B48+B54+B60</f>
        <v>0</v>
      </c>
      <c r="C31" s="277" t="e">
        <f t="shared" si="0"/>
        <v>#N/A</v>
      </c>
      <c r="D31" s="69">
        <f t="shared" si="1"/>
        <v>0</v>
      </c>
      <c r="E31" s="69">
        <f t="shared" ca="1" si="1"/>
        <v>0</v>
      </c>
      <c r="F31" s="277">
        <f t="shared" si="2"/>
        <v>0</v>
      </c>
      <c r="G31" s="69">
        <f>G42+G48+G54+G60</f>
        <v>0</v>
      </c>
      <c r="I31" s="12"/>
    </row>
    <row r="32" spans="1:9" ht="19.95" customHeight="1" thickBot="1">
      <c r="A32" s="166" t="s">
        <v>169</v>
      </c>
      <c r="B32" s="69">
        <f ca="1">B43+B49+B55+B61</f>
        <v>0</v>
      </c>
      <c r="C32" s="277" t="e">
        <f t="shared" si="0"/>
        <v>#N/A</v>
      </c>
      <c r="D32" s="69">
        <f t="shared" si="1"/>
        <v>0</v>
      </c>
      <c r="E32" s="69">
        <f t="shared" ca="1" si="1"/>
        <v>0</v>
      </c>
      <c r="F32" s="277">
        <f t="shared" si="2"/>
        <v>0</v>
      </c>
      <c r="G32" s="69">
        <f>G43+G49+G55+G61</f>
        <v>0</v>
      </c>
      <c r="I32" s="12"/>
    </row>
    <row r="33" spans="1:9" ht="19.95" customHeight="1">
      <c r="A33" s="57"/>
      <c r="B33" s="57"/>
      <c r="C33" s="57"/>
      <c r="D33" s="58"/>
      <c r="E33" s="58"/>
      <c r="F33" s="58"/>
      <c r="G33" s="58"/>
      <c r="I33" s="12"/>
    </row>
    <row r="34" spans="1:9" ht="19.95" customHeight="1">
      <c r="A34" s="14"/>
      <c r="B34" s="16"/>
      <c r="C34" s="15"/>
      <c r="D34" s="14"/>
      <c r="E34" s="14"/>
      <c r="F34" s="68"/>
      <c r="G34" s="234"/>
      <c r="I34" s="12"/>
    </row>
    <row r="35" spans="1:9" s="274" customFormat="1" ht="19.95" customHeight="1" thickBot="1">
      <c r="A35" s="269" t="s">
        <v>170</v>
      </c>
    </row>
    <row r="36" spans="1:9" s="274" customFormat="1" ht="19.95" customHeight="1" thickBot="1">
      <c r="A36" s="270" t="s">
        <v>146</v>
      </c>
      <c r="B36" s="460" t="s">
        <v>161</v>
      </c>
      <c r="C36" s="460"/>
      <c r="D36" s="460"/>
      <c r="E36" s="460" t="s">
        <v>148</v>
      </c>
      <c r="F36" s="460"/>
      <c r="G36" s="460"/>
    </row>
    <row r="37" spans="1:9" s="274" customFormat="1" ht="19.95" customHeight="1" thickBot="1">
      <c r="A37" s="59"/>
      <c r="B37" s="276" t="s">
        <v>171</v>
      </c>
      <c r="C37" s="276" t="s">
        <v>163</v>
      </c>
      <c r="D37" s="276" t="s">
        <v>164</v>
      </c>
      <c r="E37" s="276" t="s">
        <v>171</v>
      </c>
      <c r="F37" s="276" t="s">
        <v>163</v>
      </c>
      <c r="G37" s="276" t="s">
        <v>164</v>
      </c>
    </row>
    <row r="38" spans="1:9" s="274" customFormat="1" ht="19.95" customHeight="1">
      <c r="A38" s="166" t="s">
        <v>172</v>
      </c>
      <c r="B38" s="69"/>
      <c r="C38" s="69"/>
      <c r="D38" s="69">
        <f>SUM(D39:D43)</f>
        <v>0</v>
      </c>
      <c r="E38" s="69"/>
      <c r="F38" s="69"/>
      <c r="G38" s="69">
        <f>SUM(G39:G43)</f>
        <v>0</v>
      </c>
    </row>
    <row r="39" spans="1:9" s="274" customFormat="1" ht="19.95" customHeight="1">
      <c r="A39" s="166" t="s">
        <v>173</v>
      </c>
      <c r="B39" s="69">
        <f>SUMIF('现金明细表E1-2'!$A:$A,'附注披露信息(上市公司)'!$A39,'现金明细表E1-2'!$E:$E)+SUMIF('现金明细表E1-2'!$A:$A,'附注披露信息(上市公司)'!$A39,'现金明细表E1-2'!$H:$H)</f>
        <v>0</v>
      </c>
      <c r="C39" s="277">
        <v>1</v>
      </c>
      <c r="D39" s="278">
        <f>B39*C39</f>
        <v>0</v>
      </c>
      <c r="E39" s="69">
        <f>SUMIF('现金明细表E1-2'!$A:$A,'附注披露信息(上市公司)'!$A39,'现金明细表E1-2'!$B:$B)</f>
        <v>0</v>
      </c>
      <c r="F39" s="277">
        <v>1</v>
      </c>
      <c r="G39" s="278">
        <f>E39*F39</f>
        <v>0</v>
      </c>
    </row>
    <row r="40" spans="1:9" s="274" customFormat="1" ht="19.95" customHeight="1">
      <c r="A40" s="166" t="s">
        <v>174</v>
      </c>
      <c r="B40" s="69">
        <f>SUMIF('现金明细表E1-2'!$A:$A,'附注披露信息(上市公司)'!$A40,'现金明细表E1-2'!$E:$E)+SUMIF('现金明细表E1-2'!$A:$A,'附注披露信息(上市公司)'!$A40,'现金明细表E1-2'!$H:$H)</f>
        <v>0</v>
      </c>
      <c r="C40" s="277">
        <f>VLOOKUP(A40,'现金明细表E1-2'!$A:$F,6,FALSE)</f>
        <v>0</v>
      </c>
      <c r="D40" s="278">
        <f>SUMIF('现金明细表E1-2'!$A$15:$A$19,A40,'现金明细表E1-2'!$G$15:$G$19)</f>
        <v>0</v>
      </c>
      <c r="E40" s="69">
        <f>SUMIF('现金明细表E1-2'!$A:$A,'附注披露信息(上市公司)'!$A40,'现金明细表E1-2'!$B:$B)</f>
        <v>0</v>
      </c>
      <c r="F40" s="277"/>
      <c r="G40" s="278">
        <f>SUMIF('现金明细表E1-2'!$A$15:$A$19,A40,'现金明细表E1-2'!$B$15:$B$19)</f>
        <v>0</v>
      </c>
    </row>
    <row r="41" spans="1:9" s="274" customFormat="1" ht="19.95" customHeight="1">
      <c r="A41" s="166" t="s">
        <v>175</v>
      </c>
      <c r="B41" s="69">
        <f>SUMIF('现金明细表E1-2'!$A:$A,'附注披露信息(上市公司)'!$A41,'现金明细表E1-2'!$E:$E)+SUMIF('现金明细表E1-2'!$A:$A,'附注披露信息(上市公司)'!$A41,'现金明细表E1-2'!$H:$H)</f>
        <v>0</v>
      </c>
      <c r="C41" s="277">
        <f>VLOOKUP(A41,'现金明细表E1-2'!$A:$F,6,FALSE)</f>
        <v>0</v>
      </c>
      <c r="D41" s="278">
        <f>SUMIF('现金明细表E1-2'!$A$15:$A$19,A41,'现金明细表E1-2'!$G$15:$G$19)</f>
        <v>0</v>
      </c>
      <c r="E41" s="69">
        <f>SUMIF('现金明细表E1-2'!$A:$A,'附注披露信息(上市公司)'!$A41,'现金明细表E1-2'!$B:$B)</f>
        <v>0</v>
      </c>
      <c r="F41" s="277"/>
      <c r="G41" s="278">
        <f>SUMIF('现金明细表E1-2'!$A$15:$A$19,A41,'现金明细表E1-2'!$B$15:$B$19)</f>
        <v>0</v>
      </c>
    </row>
    <row r="42" spans="1:9" s="274" customFormat="1" ht="19.95" customHeight="1">
      <c r="A42" s="166" t="s">
        <v>176</v>
      </c>
      <c r="B42" s="69">
        <f>SUMIF('现金明细表E1-2'!$A:$A,'附注披露信息(上市公司)'!$A42,'现金明细表E1-2'!$E:$E)+SUMIF('现金明细表E1-2'!$A:$A,'附注披露信息(上市公司)'!$A42,'现金明细表E1-2'!$H:$H)</f>
        <v>0</v>
      </c>
      <c r="C42" s="277">
        <f>VLOOKUP(A42,'现金明细表E1-2'!$A:$F,6,FALSE)</f>
        <v>0</v>
      </c>
      <c r="D42" s="278">
        <f t="shared" ref="D42:D43" si="3">B42*C42</f>
        <v>0</v>
      </c>
      <c r="E42" s="69">
        <f>SUMIF('现金明细表E1-2'!$A:$A,'附注披露信息(上市公司)'!$A42,'现金明细表E1-2'!$B:$B)</f>
        <v>0</v>
      </c>
      <c r="F42" s="277"/>
      <c r="G42" s="278">
        <f>SUMIF('现金明细表E1-2'!$A$15:$A$19,A42,'现金明细表E1-2'!$B$15:$B$19)</f>
        <v>0</v>
      </c>
    </row>
    <row r="43" spans="1:9" s="274" customFormat="1" ht="19.95" customHeight="1">
      <c r="A43" s="166" t="s">
        <v>177</v>
      </c>
      <c r="B43" s="69">
        <f>SUMIF('现金明细表E1-2'!$A:$A,'附注披露信息(上市公司)'!$A43,'现金明细表E1-2'!$E:$E)+SUMIF('现金明细表E1-2'!$A:$A,'附注披露信息(上市公司)'!$A43,'现金明细表E1-2'!$H:$H)</f>
        <v>0</v>
      </c>
      <c r="C43" s="277">
        <f>VLOOKUP(A43,'现金明细表E1-2'!$A:$F,6,FALSE)</f>
        <v>0</v>
      </c>
      <c r="D43" s="278">
        <f t="shared" si="3"/>
        <v>0</v>
      </c>
      <c r="E43" s="69">
        <f>SUMIF('现金明细表E1-2'!$A:$A,'附注披露信息(上市公司)'!$A43,'现金明细表E1-2'!$B:$B)</f>
        <v>0</v>
      </c>
      <c r="F43" s="277"/>
      <c r="G43" s="278">
        <f>SUMIF('现金明细表E1-2'!$A$15:$A$19,A43,'现金明细表E1-2'!$B$15:$B$19)</f>
        <v>0</v>
      </c>
    </row>
    <row r="44" spans="1:9" s="274" customFormat="1" ht="19.95" customHeight="1">
      <c r="A44" s="166" t="s">
        <v>178</v>
      </c>
      <c r="B44" s="69"/>
      <c r="C44" s="277"/>
      <c r="D44" s="69">
        <f>SUM(D45:D49)</f>
        <v>0</v>
      </c>
      <c r="E44" s="69"/>
      <c r="F44" s="277"/>
      <c r="G44" s="69">
        <f>SUM(G45:G49)</f>
        <v>0</v>
      </c>
    </row>
    <row r="45" spans="1:9" s="274" customFormat="1" ht="19.95" customHeight="1">
      <c r="A45" s="166" t="s">
        <v>173</v>
      </c>
      <c r="B45" s="69">
        <f>SUMIF('银行存款及其他货币资金明细表(人民币及外币)E1-3'!$E$13:$E$17,$A45,'银行存款及其他货币资金明细表(人民币及外币)E1-3'!$AB$13:$AB$17)+SUMIF('银行存款及其他货币资金明细表(人民币及外币)E1-3'!$E$32:$E$33,$A45,'银行存款及其他货币资金明细表(人民币及外币)E1-3'!$AB$33:$AB$34)</f>
        <v>0</v>
      </c>
      <c r="C45" s="277">
        <v>1</v>
      </c>
      <c r="D45" s="278">
        <f>B45*C45</f>
        <v>0</v>
      </c>
      <c r="E45" s="69">
        <f>SUMIF('银行存款及其他货币资金明细表(人民币及外币)E1-3'!$E$13:$E$17,$A45,'银行存款及其他货币资金明细表(人民币及外币)E1-3'!$Z$13:$Z$17)+SUMIF('银行存款及其他货币资金明细表(人民币及外币)E1-3'!$E$32:$E$33,$A45,'银行存款及其他货币资金明细表(人民币及外币)E1-3'!$Z$33:$Z$34)</f>
        <v>0</v>
      </c>
      <c r="F45" s="277">
        <v>1</v>
      </c>
      <c r="G45" s="278">
        <f>E45*F45</f>
        <v>0</v>
      </c>
    </row>
    <row r="46" spans="1:9" s="274" customFormat="1" ht="19.95" customHeight="1">
      <c r="A46" s="166" t="s">
        <v>174</v>
      </c>
      <c r="B46" s="69">
        <f>SUMIF('银行存款及其他货币资金明细表(人民币及外币)E1-3'!$E$13:$E$17,$A46,'银行存款及其他货币资金明细表(人民币及外币)E1-3'!$AB$13:$AB$17)+SUMIF('银行存款及其他货币资金明细表(人民币及外币)E1-3'!$E$32:$E$33,$A46,'银行存款及其他货币资金明细表(人民币及外币)E1-3'!$AB$33:$AB$34)</f>
        <v>0</v>
      </c>
      <c r="C46" s="277" t="e">
        <f>VLOOKUP(A46,'银行存款及其他货币资金明细表(人民币及外币)E1-3'!$E:$F,2,FALSE)</f>
        <v>#N/A</v>
      </c>
      <c r="D46" s="69">
        <f>SUMIF('银行存款及其他货币资金明细表(人民币及外币)E1-3'!$E$13:$E$17,A46,'银行存款及其他货币资金明细表(人民币及外币)E1-3'!$AB$13:$AB$17)+SUMIF('银行存款及其他货币资金明细表(人民币及外币)E1-3'!$E$32:$E$33,A46,'银行存款及其他货币资金明细表(人民币及外币)E1-3'!$AB$32:$AB$33)</f>
        <v>0</v>
      </c>
      <c r="E46" s="69">
        <f>SUMIF('银行存款及其他货币资金明细表(人民币及外币)E1-3'!$E$13:$E$17,$A46,'银行存款及其他货币资金明细表(人民币及外币)E1-3'!$Z$13:$Z$17)+SUMIF('银行存款及其他货币资金明细表(人民币及外币)E1-3'!$E$32:$E$33,$A46,'银行存款及其他货币资金明细表(人民币及外币)E1-3'!$Z$33:$Z$34)</f>
        <v>0</v>
      </c>
      <c r="F46" s="277"/>
      <c r="G46" s="278">
        <f>SUMIF('银行存款及其他货币资金明细表(人民币及外币)E1-3'!$E$13:$E$17,A46,'银行存款及其他货币资金明细表(人民币及外币)E1-3'!$G$13:$G$17)+SUMIF('银行存款及其他货币资金明细表(人民币及外币)E1-3'!$E$32:$E$33,A46,'银行存款及其他货币资金明细表(人民币及外币)E1-3'!$G$32:$G$33)</f>
        <v>0</v>
      </c>
    </row>
    <row r="47" spans="1:9" s="274" customFormat="1" ht="19.95" customHeight="1">
      <c r="A47" s="166" t="s">
        <v>175</v>
      </c>
      <c r="B47" s="69">
        <f>SUMIF('银行存款及其他货币资金明细表(人民币及外币)E1-3'!$E$13:$E$17,$A47,'银行存款及其他货币资金明细表(人民币及外币)E1-3'!$AB$13:$AB$17)+SUMIF('银行存款及其他货币资金明细表(人民币及外币)E1-3'!$E$32:$E$33,$A47,'银行存款及其他货币资金明细表(人民币及外币)E1-3'!$AB$33:$AB$34)</f>
        <v>0</v>
      </c>
      <c r="C47" s="277" t="e">
        <f>VLOOKUP(A47,'银行存款及其他货币资金明细表(人民币及外币)E1-3'!$E:$F,2,FALSE)</f>
        <v>#N/A</v>
      </c>
      <c r="D47" s="69">
        <f>SUMIF('银行存款及其他货币资金明细表(人民币及外币)E1-3'!$E$13:$E$17,A47,'银行存款及其他货币资金明细表(人民币及外币)E1-3'!$AB$13:$AB$17)+SUMIF('银行存款及其他货币资金明细表(人民币及外币)E1-3'!$E$32:$E$33,A47,'银行存款及其他货币资金明细表(人民币及外币)E1-3'!$AB$32:$AB$33)</f>
        <v>0</v>
      </c>
      <c r="E47" s="69">
        <f>SUMIF('银行存款及其他货币资金明细表(人民币及外币)E1-3'!$E$13:$E$17,$A47,'银行存款及其他货币资金明细表(人民币及外币)E1-3'!$Z$13:$Z$17)+SUMIF('银行存款及其他货币资金明细表(人民币及外币)E1-3'!$E$32:$E$33,$A47,'银行存款及其他货币资金明细表(人民币及外币)E1-3'!$Z$33:$Z$34)</f>
        <v>0</v>
      </c>
      <c r="F47" s="277"/>
      <c r="G47" s="278">
        <f>SUMIF('银行存款及其他货币资金明细表(人民币及外币)E1-3'!$E$13:$E$17,A47,'银行存款及其他货币资金明细表(人民币及外币)E1-3'!$G$13:$G$17)+SUMIF('银行存款及其他货币资金明细表(人民币及外币)E1-3'!$E$32:$E$33,A47,'银行存款及其他货币资金明细表(人民币及外币)E1-3'!$G$32:$G$33)</f>
        <v>0</v>
      </c>
    </row>
    <row r="48" spans="1:9" s="274" customFormat="1" ht="19.95" customHeight="1">
      <c r="A48" s="166" t="s">
        <v>176</v>
      </c>
      <c r="B48" s="69">
        <f>SUMIF('银行存款及其他货币资金明细表(人民币及外币)E1-3'!$E$13:$E$17,$A48,'银行存款及其他货币资金明细表(人民币及外币)E1-3'!$AB$13:$AB$17)+SUMIF('银行存款及其他货币资金明细表(人民币及外币)E1-3'!$E$32:$E$33,$A48,'银行存款及其他货币资金明细表(人民币及外币)E1-3'!$AB$33:$AB$34)</f>
        <v>0</v>
      </c>
      <c r="C48" s="277" t="e">
        <f>VLOOKUP(A48,'银行存款及其他货币资金明细表(人民币及外币)E1-3'!$E:$F,2,FALSE)</f>
        <v>#N/A</v>
      </c>
      <c r="D48" s="69">
        <f>SUMIF('银行存款及其他货币资金明细表(人民币及外币)E1-3'!$E$13:$E$17,A48,'银行存款及其他货币资金明细表(人民币及外币)E1-3'!$AB$13:$AB$17)+SUMIF('银行存款及其他货币资金明细表(人民币及外币)E1-3'!$E$32:$E$33,A48,'银行存款及其他货币资金明细表(人民币及外币)E1-3'!$AB$32:$AB$33)</f>
        <v>0</v>
      </c>
      <c r="E48" s="69">
        <f>SUMIF('银行存款及其他货币资金明细表(人民币及外币)E1-3'!$E$13:$E$17,$A48,'银行存款及其他货币资金明细表(人民币及外币)E1-3'!$Z$13:$Z$17)+SUMIF('银行存款及其他货币资金明细表(人民币及外币)E1-3'!$E$32:$E$33,$A48,'银行存款及其他货币资金明细表(人民币及外币)E1-3'!$Z$33:$Z$34)</f>
        <v>0</v>
      </c>
      <c r="F48" s="277"/>
      <c r="G48" s="278">
        <f>SUMIF('银行存款及其他货币资金明细表(人民币及外币)E1-3'!$E$13:$E$17,A48,'银行存款及其他货币资金明细表(人民币及外币)E1-3'!$G$13:$G$17)+SUMIF('银行存款及其他货币资金明细表(人民币及外币)E1-3'!$E$32:$E$33,A48,'银行存款及其他货币资金明细表(人民币及外币)E1-3'!$G$32:$G$33)</f>
        <v>0</v>
      </c>
    </row>
    <row r="49" spans="1:8" s="274" customFormat="1" ht="19.95" customHeight="1">
      <c r="A49" s="166" t="s">
        <v>177</v>
      </c>
      <c r="B49" s="69">
        <f>SUMIF('银行存款及其他货币资金明细表(人民币及外币)E1-3'!$E$13:$E$17,$A49,'银行存款及其他货币资金明细表(人民币及外币)E1-3'!$AB$13:$AB$17)+SUMIF('银行存款及其他货币资金明细表(人民币及外币)E1-3'!$E$32:$E$33,$A49,'银行存款及其他货币资金明细表(人民币及外币)E1-3'!$AB$33:$AB$34)</f>
        <v>0</v>
      </c>
      <c r="C49" s="277" t="e">
        <f>VLOOKUP(A49,'银行存款及其他货币资金明细表(人民币及外币)E1-3'!$E:$F,2,FALSE)</f>
        <v>#N/A</v>
      </c>
      <c r="D49" s="69">
        <f>SUMIF('银行存款及其他货币资金明细表(人民币及外币)E1-3'!$E$13:$E$17,A49,'银行存款及其他货币资金明细表(人民币及外币)E1-3'!$AB$13:$AB$17)+SUMIF('银行存款及其他货币资金明细表(人民币及外币)E1-3'!$E$32:$E$33,A49,'银行存款及其他货币资金明细表(人民币及外币)E1-3'!$AB$32:$AB$33)</f>
        <v>0</v>
      </c>
      <c r="E49" s="69">
        <f>SUMIF('银行存款及其他货币资金明细表(人民币及外币)E1-3'!$E$13:$E$17,$A49,'银行存款及其他货币资金明细表(人民币及外币)E1-3'!$Z$13:$Z$17)+SUMIF('银行存款及其他货币资金明细表(人民币及外币)E1-3'!$E$32:$E$33,$A49,'银行存款及其他货币资金明细表(人民币及外币)E1-3'!$Z$33:$Z$34)</f>
        <v>0</v>
      </c>
      <c r="F49" s="277"/>
      <c r="G49" s="278">
        <f>SUMIF('银行存款及其他货币资金明细表(人民币及外币)E1-3'!$E$13:$E$17,A49,'银行存款及其他货币资金明细表(人民币及外币)E1-3'!$G$13:$G$17)+SUMIF('银行存款及其他货币资金明细表(人民币及外币)E1-3'!$E$32:$E$33,A49,'银行存款及其他货币资金明细表(人民币及外币)E1-3'!$G$32:$G$33)</f>
        <v>0</v>
      </c>
    </row>
    <row r="50" spans="1:8" s="274" customFormat="1" ht="19.95" customHeight="1">
      <c r="A50" s="166" t="s">
        <v>179</v>
      </c>
      <c r="B50" s="69"/>
      <c r="C50" s="277"/>
      <c r="D50" s="69">
        <f>SUM(D51:D55)</f>
        <v>0</v>
      </c>
      <c r="E50" s="69"/>
      <c r="F50" s="277"/>
      <c r="G50" s="69">
        <f>SUM(G51:G55)</f>
        <v>0</v>
      </c>
    </row>
    <row r="51" spans="1:8" s="274" customFormat="1" ht="19.95" customHeight="1">
      <c r="A51" s="166" t="s">
        <v>180</v>
      </c>
      <c r="B51" s="69">
        <f>SUMIF('银行存款及其他货币资金明细表(人民币及外币)E1-3'!$E$19:$E$21,$A51,'银行存款及其他货币资金明细表(人民币及外币)E1-3'!$AB$19:$AB$21)+SUMIF('银行存款及其他货币资金明细表(人民币及外币)E1-3'!$E$35:$E$36,$A51,'银行存款及其他货币资金明细表(人民币及外币)E1-3'!$AB$35:$AB$36)</f>
        <v>0</v>
      </c>
      <c r="C51" s="277">
        <f>C45</f>
        <v>1</v>
      </c>
      <c r="D51" s="278">
        <f>B51*C51</f>
        <v>0</v>
      </c>
      <c r="E51" s="69">
        <f>SUMIF('银行存款及其他货币资金明细表(人民币及外币)E1-3'!$E$19:$E$21,$A51,'银行存款及其他货币资金明细表(人民币及外币)E1-3'!$Z$19:$Z$21)+SUMIF('银行存款及其他货币资金明细表(人民币及外币)E1-3'!$E$35:$E$36,$A51,'银行存款及其他货币资金明细表(人民币及外币)E1-3'!$Z$35:$Z$36)</f>
        <v>0</v>
      </c>
      <c r="F51" s="277">
        <v>1</v>
      </c>
      <c r="G51" s="278">
        <f>E51*F51</f>
        <v>0</v>
      </c>
    </row>
    <row r="52" spans="1:8" s="274" customFormat="1" ht="19.95" customHeight="1">
      <c r="A52" s="166" t="s">
        <v>174</v>
      </c>
      <c r="B52" s="69">
        <f>SUMIF('银行存款及其他货币资金明细表(人民币及外币)E1-3'!$E$19:$E$21,$A52,'银行存款及其他货币资金明细表(人民币及外币)E1-3'!$AB$19:$AB$21)+SUMIF('银行存款及其他货币资金明细表(人民币及外币)E1-3'!$E$35:$E$36,$A52,'银行存款及其他货币资金明细表(人民币及外币)E1-3'!$AB$35:$AB$36)</f>
        <v>0</v>
      </c>
      <c r="C52" s="277" t="e">
        <f>VLOOKUP(A52,'银行存款及其他货币资金明细表(人民币及外币)E1-3'!$E:$F,2,FALSE)</f>
        <v>#N/A</v>
      </c>
      <c r="D52" s="278">
        <f>SUMIF('银行存款及其他货币资金明细表(人民币及外币)E1-3'!$E$19:$E$21,A52,'银行存款及其他货币资金明细表(人民币及外币)E1-3'!$AB$19:$AB$21)+SUMIF('银行存款及其他货币资金明细表(人民币及外币)E1-3'!$E$35:$E$36,A52,'银行存款及其他货币资金明细表(人民币及外币)E1-3'!$AB$35:$AB$36)</f>
        <v>0</v>
      </c>
      <c r="E52" s="69">
        <f>SUMIF('银行存款及其他货币资金明细表(人民币及外币)E1-3'!$E$19:$E$21,$A52,'银行存款及其他货币资金明细表(人民币及外币)E1-3'!$Z$19:$Z$21)+SUMIF('银行存款及其他货币资金明细表(人民币及外币)E1-3'!$E$35:$E$36,$A52,'银行存款及其他货币资金明细表(人民币及外币)E1-3'!$Z$35:$Z$36)</f>
        <v>0</v>
      </c>
      <c r="F52" s="277"/>
      <c r="G52" s="278">
        <f>SUMIF('银行存款及其他货币资金明细表(人民币及外币)E1-3'!$E$19:$E$21,A52,'银行存款及其他货币资金明细表(人民币及外币)E1-3'!$G$19:$G$21)+SUMIF('银行存款及其他货币资金明细表(人民币及外币)E1-3'!$E$35:$E$36,A52,'银行存款及其他货币资金明细表(人民币及外币)E1-3'!$G$35:$G$36)</f>
        <v>0</v>
      </c>
      <c r="H52" s="274" t="e">
        <f>D52/C52</f>
        <v>#N/A</v>
      </c>
    </row>
    <row r="53" spans="1:8" s="274" customFormat="1" ht="19.95" customHeight="1">
      <c r="A53" s="166" t="s">
        <v>175</v>
      </c>
      <c r="B53" s="69">
        <f>SUMIF('银行存款及其他货币资金明细表(人民币及外币)E1-3'!$E$19:$E$21,$A53,'银行存款及其他货币资金明细表(人民币及外币)E1-3'!$AB$19:$AB$21)+SUMIF('银行存款及其他货币资金明细表(人民币及外币)E1-3'!$E$35:$E$36,$A53,'银行存款及其他货币资金明细表(人民币及外币)E1-3'!$AB$35:$AB$36)</f>
        <v>0</v>
      </c>
      <c r="C53" s="277" t="e">
        <f>VLOOKUP(A53,'银行存款及其他货币资金明细表(人民币及外币)E1-3'!$E:$F,2,FALSE)</f>
        <v>#N/A</v>
      </c>
      <c r="D53" s="278">
        <f>SUMIF('银行存款及其他货币资金明细表(人民币及外币)E1-3'!$E$19:$E$21,A53,'银行存款及其他货币资金明细表(人民币及外币)E1-3'!$AB$19:$AB$21)+SUMIF('银行存款及其他货币资金明细表(人民币及外币)E1-3'!$E$35:$E$36,A53,'银行存款及其他货币资金明细表(人民币及外币)E1-3'!$AB$35:$AB$36)</f>
        <v>0</v>
      </c>
      <c r="E53" s="69">
        <f>SUMIF('银行存款及其他货币资金明细表(人民币及外币)E1-3'!$E$19:$E$21,$A53,'银行存款及其他货币资金明细表(人民币及外币)E1-3'!$Z$19:$Z$21)+SUMIF('银行存款及其他货币资金明细表(人民币及外币)E1-3'!$E$35:$E$36,$A53,'银行存款及其他货币资金明细表(人民币及外币)E1-3'!$Z$35:$Z$36)</f>
        <v>0</v>
      </c>
      <c r="F53" s="277"/>
      <c r="G53" s="278">
        <f>SUMIF('银行存款及其他货币资金明细表(人民币及外币)E1-3'!$E$19:$E$21,A53,'银行存款及其他货币资金明细表(人民币及外币)E1-3'!$G$19:$G$21)+SUMIF('银行存款及其他货币资金明细表(人民币及外币)E1-3'!$E$35:$E$36,A53,'银行存款及其他货币资金明细表(人民币及外币)E1-3'!$G$35:$G$36)</f>
        <v>0</v>
      </c>
    </row>
    <row r="54" spans="1:8" s="274" customFormat="1" ht="19.95" customHeight="1">
      <c r="A54" s="166" t="s">
        <v>176</v>
      </c>
      <c r="B54" s="69">
        <f>SUMIF('银行存款及其他货币资金明细表(人民币及外币)E1-3'!$E$19:$E$21,$A54,'银行存款及其他货币资金明细表(人民币及外币)E1-3'!$AB$19:$AB$21)+SUMIF('银行存款及其他货币资金明细表(人民币及外币)E1-3'!$E$35:$E$36,$A54,'银行存款及其他货币资金明细表(人民币及外币)E1-3'!$AB$35:$AB$36)</f>
        <v>0</v>
      </c>
      <c r="C54" s="277" t="e">
        <f>VLOOKUP(A54,'银行存款及其他货币资金明细表(人民币及外币)E1-3'!$E:$F,2,FALSE)</f>
        <v>#N/A</v>
      </c>
      <c r="D54" s="278">
        <f>SUMIF('银行存款及其他货币资金明细表(人民币及外币)E1-3'!$E$19:$E$21,A54,'银行存款及其他货币资金明细表(人民币及外币)E1-3'!$AB$19:$AB$21)+SUMIF('银行存款及其他货币资金明细表(人民币及外币)E1-3'!$E$35:$E$36,A54,'银行存款及其他货币资金明细表(人民币及外币)E1-3'!$AB$35:$AB$36)</f>
        <v>0</v>
      </c>
      <c r="E54" s="69">
        <f>SUMIF('银行存款及其他货币资金明细表(人民币及外币)E1-3'!$E$19:$E$21,$A54,'银行存款及其他货币资金明细表(人民币及外币)E1-3'!$Z$19:$Z$21)+SUMIF('银行存款及其他货币资金明细表(人民币及外币)E1-3'!$E$35:$E$36,$A54,'银行存款及其他货币资金明细表(人民币及外币)E1-3'!$Z$35:$Z$36)</f>
        <v>0</v>
      </c>
      <c r="F54" s="277"/>
      <c r="G54" s="278">
        <f>SUMIF('银行存款及其他货币资金明细表(人民币及外币)E1-3'!$E$19:$E$21,A54,'银行存款及其他货币资金明细表(人民币及外币)E1-3'!$G$19:$G$21)+SUMIF('银行存款及其他货币资金明细表(人民币及外币)E1-3'!$E$35:$E$36,A54,'银行存款及其他货币资金明细表(人民币及外币)E1-3'!$G$35:$G$36)</f>
        <v>0</v>
      </c>
    </row>
    <row r="55" spans="1:8" s="274" customFormat="1" ht="19.95" customHeight="1">
      <c r="A55" s="166" t="s">
        <v>177</v>
      </c>
      <c r="B55" s="69">
        <f>SUMIF('银行存款及其他货币资金明细表(人民币及外币)E1-3'!$E$19:$E$21,$A55,'银行存款及其他货币资金明细表(人民币及外币)E1-3'!$AB$19:$AB$21)+SUMIF('银行存款及其他货币资金明细表(人民币及外币)E1-3'!$E$35:$E$36,$A55,'银行存款及其他货币资金明细表(人民币及外币)E1-3'!$AB$35:$AB$36)</f>
        <v>0</v>
      </c>
      <c r="C55" s="277" t="e">
        <f>VLOOKUP(A55,'银行存款及其他货币资金明细表(人民币及外币)E1-3'!$E:$F,2,FALSE)</f>
        <v>#N/A</v>
      </c>
      <c r="D55" s="278">
        <f>SUMIF('银行存款及其他货币资金明细表(人民币及外币)E1-3'!$E$19:$E$21,A55,'银行存款及其他货币资金明细表(人民币及外币)E1-3'!$AB$19:$AB$21)+SUMIF('银行存款及其他货币资金明细表(人民币及外币)E1-3'!$E$35:$E$36,A55,'银行存款及其他货币资金明细表(人民币及外币)E1-3'!$AB$35:$AB$36)</f>
        <v>0</v>
      </c>
      <c r="E55" s="69">
        <f>SUMIF('银行存款及其他货币资金明细表(人民币及外币)E1-3'!$E$19:$E$21,$A55,'银行存款及其他货币资金明细表(人民币及外币)E1-3'!$Z$19:$Z$21)+SUMIF('银行存款及其他货币资金明细表(人民币及外币)E1-3'!$E$35:$E$36,$A55,'银行存款及其他货币资金明细表(人民币及外币)E1-3'!$Z$35:$Z$36)</f>
        <v>0</v>
      </c>
      <c r="F55" s="277"/>
      <c r="G55" s="278">
        <f>SUMIF('银行存款及其他货币资金明细表(人民币及外币)E1-3'!$E$19:$E$21,A55,'银行存款及其他货币资金明细表(人民币及外币)E1-3'!$G$19:$G$21)+SUMIF('银行存款及其他货币资金明细表(人民币及外币)E1-3'!$E$35:$E$36,A55,'银行存款及其他货币资金明细表(人民币及外币)E1-3'!$G$35:$G$36)</f>
        <v>0</v>
      </c>
    </row>
    <row r="56" spans="1:8" s="274" customFormat="1" ht="19.95" customHeight="1">
      <c r="A56" s="166" t="s">
        <v>181</v>
      </c>
      <c r="B56" s="69"/>
      <c r="C56" s="277"/>
      <c r="D56" s="69">
        <f ca="1">SUM(D57:D61)</f>
        <v>0</v>
      </c>
      <c r="E56" s="69"/>
      <c r="F56" s="277"/>
      <c r="G56" s="69">
        <f>SUM(G57:G61)</f>
        <v>0</v>
      </c>
    </row>
    <row r="57" spans="1:8" s="274" customFormat="1" ht="19.95" customHeight="1">
      <c r="A57" s="166" t="s">
        <v>173</v>
      </c>
      <c r="B57" s="69">
        <f ca="1">SUMIF('银行存款及其他货币资金明细表(人民币及外币)E1-3'!$E$23:$E$28,'附注披露信息(上市公司)'!$A57,'银行存款及其他货币资金明细表(人民币及外币)E1-3'!$AB$19:$AB$21)+SUMIF('银行存款及其他货币资金明细表(人民币及外币)E1-3'!$E$38,$A57,'银行存款及其他货币资金明细表(人民币及外币)E1-3'!$AB$38:$AB$40)</f>
        <v>0</v>
      </c>
      <c r="C57" s="277">
        <f>C51</f>
        <v>1</v>
      </c>
      <c r="D57" s="278">
        <f ca="1">B57*C57</f>
        <v>0</v>
      </c>
      <c r="E57" s="69">
        <f ca="1">SUMIF('银行存款及其他货币资金明细表(人民币及外币)E1-3'!$E$23:$E$28,'附注披露信息(上市公司)'!$A57,'银行存款及其他货币资金明细表(人民币及外币)E1-3'!$Z$19:$Z$21)+SUMIF('银行存款及其他货币资金明细表(人民币及外币)E1-3'!$E$38,$A57,'银行存款及其他货币资金明细表(人民币及外币)E1-3'!$Z$38:$Z$40)</f>
        <v>0</v>
      </c>
      <c r="F57" s="277">
        <v>1</v>
      </c>
      <c r="G57" s="69">
        <f>SUMIF('银行存款及其他货币资金明细表(人民币及外币)E1-3'!$E$23:$E$28,A57,'银行存款及其他货币资金明细表(人民币及外币)E1-3'!$G$23:$G$28)+SUMIF('银行存款及其他货币资金明细表(人民币及外币)E1-3'!$G$38:$G$40,A57,'银行存款及其他货币资金明细表(人民币及外币)E1-3'!$G$38:$G$40)</f>
        <v>0</v>
      </c>
    </row>
    <row r="58" spans="1:8" s="274" customFormat="1" ht="19.95" customHeight="1">
      <c r="A58" s="166" t="s">
        <v>174</v>
      </c>
      <c r="B58" s="69">
        <f ca="1">SUMIF('银行存款及其他货币资金明细表(人民币及外币)E1-3'!$E$23:$E$28,'附注披露信息(上市公司)'!$A58,'银行存款及其他货币资金明细表(人民币及外币)E1-3'!$AB$19:$AB$21)+SUMIF('银行存款及其他货币资金明细表(人民币及外币)E1-3'!$E$38,$A58,'银行存款及其他货币资金明细表(人民币及外币)E1-3'!$AB$38:$AB$40)</f>
        <v>0</v>
      </c>
      <c r="C58" s="277" t="e">
        <f>VLOOKUP(A58,'银行存款及其他货币资金明细表(人民币及外币)E1-3'!$E:$F,2,FALSE)</f>
        <v>#N/A</v>
      </c>
      <c r="D58" s="69">
        <f>SUMIF('银行存款及其他货币资金明细表(人民币及外币)E1-3'!$E$23:$E$28,A58,'银行存款及其他货币资金明细表(人民币及外币)E1-3'!$AB$23:$AB$28)+SUMIF('银行存款及其他货币资金明细表(人民币及外币)E1-3'!$E$38:$E$40,A58,'银行存款及其他货币资金明细表(人民币及外币)E1-3'!$AB$38:$AB$40)</f>
        <v>0</v>
      </c>
      <c r="E58" s="69">
        <f ca="1">SUMIF('银行存款及其他货币资金明细表(人民币及外币)E1-3'!$E$23:$E$28,'附注披露信息(上市公司)'!$A58,'银行存款及其他货币资金明细表(人民币及外币)E1-3'!$Z$19:$Z$21)+SUMIF('银行存款及其他货币资金明细表(人民币及外币)E1-3'!$E$38,$A58,'银行存款及其他货币资金明细表(人民币及外币)E1-3'!$Z$38:$Z$40)</f>
        <v>0</v>
      </c>
      <c r="F58" s="277"/>
      <c r="G58" s="69">
        <f>SUMIF('银行存款及其他货币资金明细表(人民币及外币)E1-3'!$E$23:$E$28,A58,'银行存款及其他货币资金明细表(人民币及外币)E1-3'!$G$23:$G$28)+SUMIF('银行存款及其他货币资金明细表(人民币及外币)E1-3'!$G$38:$G$40,A58,'银行存款及其他货币资金明细表(人民币及外币)E1-3'!$G$38:$G$40)</f>
        <v>0</v>
      </c>
    </row>
    <row r="59" spans="1:8" s="274" customFormat="1" ht="19.95" customHeight="1">
      <c r="A59" s="166" t="s">
        <v>175</v>
      </c>
      <c r="B59" s="69">
        <f ca="1">SUMIF('银行存款及其他货币资金明细表(人民币及外币)E1-3'!$E$23:$E$28,'附注披露信息(上市公司)'!$A59,'银行存款及其他货币资金明细表(人民币及外币)E1-3'!$AB$19:$AB$21)+SUMIF('银行存款及其他货币资金明细表(人民币及外币)E1-3'!$E$38,$A59,'银行存款及其他货币资金明细表(人民币及外币)E1-3'!$AB$38:$AB$40)</f>
        <v>0</v>
      </c>
      <c r="C59" s="277" t="e">
        <f>VLOOKUP(A59,'银行存款及其他货币资金明细表(人民币及外币)E1-3'!$E:$F,2,FALSE)</f>
        <v>#N/A</v>
      </c>
      <c r="D59" s="69">
        <f>SUMIF('银行存款及其他货币资金明细表(人民币及外币)E1-3'!$E$23:$E$28,A59,'银行存款及其他货币资金明细表(人民币及外币)E1-3'!$AB$23:$AB$28)+SUMIF('银行存款及其他货币资金明细表(人民币及外币)E1-3'!$E$38:$E$40,A59,'银行存款及其他货币资金明细表(人民币及外币)E1-3'!$AB$38:$AB$40)</f>
        <v>0</v>
      </c>
      <c r="E59" s="69">
        <f ca="1">SUMIF('银行存款及其他货币资金明细表(人民币及外币)E1-3'!$E$23:$E$28,'附注披露信息(上市公司)'!$A59,'银行存款及其他货币资金明细表(人民币及外币)E1-3'!$Z$19:$Z$21)+SUMIF('银行存款及其他货币资金明细表(人民币及外币)E1-3'!$E$38,$A59,'银行存款及其他货币资金明细表(人民币及外币)E1-3'!$Z$38:$Z$40)</f>
        <v>0</v>
      </c>
      <c r="F59" s="277"/>
      <c r="G59" s="69">
        <f>SUMIF('银行存款及其他货币资金明细表(人民币及外币)E1-3'!$E$23:$E$28,A59,'银行存款及其他货币资金明细表(人民币及外币)E1-3'!$G$23:$G$28)+SUMIF('银行存款及其他货币资金明细表(人民币及外币)E1-3'!$G$38:$G$40,A59,'银行存款及其他货币资金明细表(人民币及外币)E1-3'!$G$38:$G$40)</f>
        <v>0</v>
      </c>
    </row>
    <row r="60" spans="1:8" s="274" customFormat="1" ht="19.95" customHeight="1">
      <c r="A60" s="166" t="s">
        <v>176</v>
      </c>
      <c r="B60" s="69">
        <f ca="1">SUMIF('银行存款及其他货币资金明细表(人民币及外币)E1-3'!$E$23:$E$28,'附注披露信息(上市公司)'!$A60,'银行存款及其他货币资金明细表(人民币及外币)E1-3'!$AB$19:$AB$21)+SUMIF('银行存款及其他货币资金明细表(人民币及外币)E1-3'!$E$38,$A60,'银行存款及其他货币资金明细表(人民币及外币)E1-3'!$AB$38:$AB$40)</f>
        <v>0</v>
      </c>
      <c r="C60" s="277" t="e">
        <f>VLOOKUP(A60,'银行存款及其他货币资金明细表(人民币及外币)E1-3'!$E:$F,2,FALSE)</f>
        <v>#N/A</v>
      </c>
      <c r="D60" s="69">
        <f>SUMIF('银行存款及其他货币资金明细表(人民币及外币)E1-3'!$E$23:$E$28,A60,'银行存款及其他货币资金明细表(人民币及外币)E1-3'!$AB$23:$AB$28)+SUMIF('银行存款及其他货币资金明细表(人民币及外币)E1-3'!$E$38:$E$40,A60,'银行存款及其他货币资金明细表(人民币及外币)E1-3'!$AB$38:$AB$40)</f>
        <v>0</v>
      </c>
      <c r="E60" s="69">
        <f ca="1">SUMIF('银行存款及其他货币资金明细表(人民币及外币)E1-3'!$E$23:$E$28,'附注披露信息(上市公司)'!$A60,'银行存款及其他货币资金明细表(人民币及外币)E1-3'!$Z$19:$Z$21)+SUMIF('银行存款及其他货币资金明细表(人民币及外币)E1-3'!$E$38,$A60,'银行存款及其他货币资金明细表(人民币及外币)E1-3'!$Z$38:$Z$40)</f>
        <v>0</v>
      </c>
      <c r="F60" s="277"/>
      <c r="G60" s="69">
        <f>SUMIF('银行存款及其他货币资金明细表(人民币及外币)E1-3'!$E$23:$E$28,A60,'银行存款及其他货币资金明细表(人民币及外币)E1-3'!$G$23:$G$28)+SUMIF('银行存款及其他货币资金明细表(人民币及外币)E1-3'!$G$38:$G$40,A60,'银行存款及其他货币资金明细表(人民币及外币)E1-3'!$G$38:$G$40)</f>
        <v>0</v>
      </c>
    </row>
    <row r="61" spans="1:8" s="274" customFormat="1" ht="19.95" customHeight="1" thickBot="1">
      <c r="A61" s="171" t="s">
        <v>177</v>
      </c>
      <c r="B61" s="69">
        <f ca="1">SUMIF('银行存款及其他货币资金明细表(人民币及外币)E1-3'!$E$23:$E$28,'附注披露信息(上市公司)'!$A61,'银行存款及其他货币资金明细表(人民币及外币)E1-3'!$AB$19:$AB$21)+SUMIF('银行存款及其他货币资金明细表(人民币及外币)E1-3'!$E$38,$A61,'银行存款及其他货币资金明细表(人民币及外币)E1-3'!$AB$38:$AB$40)</f>
        <v>0</v>
      </c>
      <c r="C61" s="277" t="e">
        <f>VLOOKUP(A61,'银行存款及其他货币资金明细表(人民币及外币)E1-3'!$E:$F,2,FALSE)</f>
        <v>#N/A</v>
      </c>
      <c r="D61" s="69">
        <f>SUMIF('银行存款及其他货币资金明细表(人民币及外币)E1-3'!$E$23:$E$28,A61,'银行存款及其他货币资金明细表(人民币及外币)E1-3'!$AB$23:$AB$28)+SUMIF('银行存款及其他货币资金明细表(人民币及外币)E1-3'!$E$38:$E$40,A61,'银行存款及其他货币资金明细表(人民币及外币)E1-3'!$AB$38:$AB$40)</f>
        <v>0</v>
      </c>
      <c r="E61" s="69">
        <f ca="1">SUMIF('银行存款及其他货币资金明细表(人民币及外币)E1-3'!$E$23:$E$28,'附注披露信息(上市公司)'!$A61,'银行存款及其他货币资金明细表(人民币及外币)E1-3'!$Z$19:$Z$21)+SUMIF('银行存款及其他货币资金明细表(人民币及外币)E1-3'!$E$38,$A61,'银行存款及其他货币资金明细表(人民币及外币)E1-3'!$Z$38:$Z$40)</f>
        <v>0</v>
      </c>
      <c r="F61" s="277"/>
      <c r="G61" s="69">
        <f>SUMIF('银行存款及其他货币资金明细表(人民币及外币)E1-3'!$E$23:$E$28,A61,'银行存款及其他货币资金明细表(人民币及外币)E1-3'!$G$23:$G$28)+SUMIF('银行存款及其他货币资金明细表(人民币及外币)E1-3'!$G$38:$G$40,A61,'银行存款及其他货币资金明细表(人民币及外币)E1-3'!$G$38:$G$40)</f>
        <v>0</v>
      </c>
    </row>
    <row r="62" spans="1:8" s="274" customFormat="1" ht="19.95" customHeight="1">
      <c r="A62" s="172" t="s">
        <v>182</v>
      </c>
      <c r="B62" s="57"/>
      <c r="C62" s="57"/>
      <c r="D62" s="58">
        <f ca="1">D56+D50+D44+D38</f>
        <v>0</v>
      </c>
      <c r="E62" s="58"/>
      <c r="F62" s="58"/>
      <c r="G62" s="58">
        <f>G56+G50+G44+G38</f>
        <v>0</v>
      </c>
    </row>
  </sheetData>
  <mergeCells count="7">
    <mergeCell ref="A1:G1"/>
    <mergeCell ref="A2:G2"/>
    <mergeCell ref="B36:D36"/>
    <mergeCell ref="E36:G36"/>
    <mergeCell ref="A19:G19"/>
    <mergeCell ref="B26:D26"/>
    <mergeCell ref="E26:G26"/>
  </mergeCells>
  <phoneticPr fontId="1" type="noConversion"/>
  <pageMargins left="0.70866141732283461" right="0.70866141732283461" top="0.74803149606299213" bottom="0.74803149606299213" header="0.31496062992125984" footer="0.31496062992125984"/>
  <pageSetup paperSize="9" scale="69" fitToHeight="100" orientation="portrait" blackAndWhite="1" cellComments="atEnd"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62"/>
  <sheetViews>
    <sheetView view="pageBreakPreview" zoomScaleSheetLayoutView="100" workbookViewId="0">
      <selection sqref="A1:G1"/>
    </sheetView>
  </sheetViews>
  <sheetFormatPr defaultColWidth="9" defaultRowHeight="19.95" customHeight="1"/>
  <cols>
    <col min="1" max="1" width="27.77734375" style="35" customWidth="1"/>
    <col min="2" max="2" width="11.88671875" style="35" customWidth="1"/>
    <col min="3" max="3" width="12.21875" style="35" customWidth="1"/>
    <col min="4" max="4" width="15.21875" style="35" customWidth="1"/>
    <col min="5" max="5" width="11.88671875" style="35" customWidth="1"/>
    <col min="6" max="6" width="12.6640625" style="35" customWidth="1"/>
    <col min="7" max="7" width="16.6640625" style="35" customWidth="1"/>
    <col min="8" max="16384" width="9" style="35"/>
  </cols>
  <sheetData>
    <row r="1" spans="1:10" ht="19.95" customHeight="1">
      <c r="A1" s="458" t="s">
        <v>1</v>
      </c>
      <c r="B1" s="458"/>
      <c r="C1" s="458"/>
      <c r="D1" s="458"/>
      <c r="E1" s="458"/>
      <c r="F1" s="458"/>
      <c r="G1" s="458"/>
      <c r="H1" s="7"/>
      <c r="I1" s="7"/>
      <c r="J1" s="7"/>
    </row>
    <row r="2" spans="1:10" ht="19.95" customHeight="1">
      <c r="A2" s="459" t="s">
        <v>183</v>
      </c>
      <c r="B2" s="459"/>
      <c r="C2" s="459"/>
      <c r="D2" s="459"/>
      <c r="E2" s="459"/>
      <c r="F2" s="459"/>
      <c r="G2" s="459"/>
      <c r="H2" s="9"/>
      <c r="I2" s="9"/>
      <c r="J2" s="9"/>
    </row>
    <row r="3" spans="1:10" ht="19.95" customHeight="1">
      <c r="A3" s="14" t="str">
        <f>底稿目录!A2</f>
        <v>被审计单位：</v>
      </c>
      <c r="B3" s="14"/>
      <c r="C3" s="15" t="str">
        <f>底稿目录!A4</f>
        <v>编制人：</v>
      </c>
      <c r="D3" s="14"/>
      <c r="E3" s="14" t="str">
        <f>底稿目录!A5</f>
        <v>编制日期：</v>
      </c>
      <c r="F3" s="68"/>
      <c r="G3" s="10" t="s">
        <v>19</v>
      </c>
      <c r="H3" s="10"/>
      <c r="I3" s="12"/>
    </row>
    <row r="4" spans="1:10" ht="19.95" customHeight="1">
      <c r="A4" s="14" t="str">
        <f>底稿目录!A3</f>
        <v>截止日：202X年12月31日</v>
      </c>
      <c r="B4" s="16"/>
      <c r="C4" s="15" t="str">
        <f>底稿目录!A6</f>
        <v>复核人：</v>
      </c>
      <c r="D4" s="14"/>
      <c r="E4" s="14" t="str">
        <f>底稿目录!A7</f>
        <v>复核日期：</v>
      </c>
      <c r="F4" s="68"/>
      <c r="G4" s="10" t="s">
        <v>125</v>
      </c>
      <c r="H4" s="10"/>
      <c r="I4" s="12"/>
    </row>
    <row r="5" spans="1:10" ht="19.95" customHeight="1">
      <c r="A5" s="35" t="s">
        <v>184</v>
      </c>
    </row>
    <row r="6" spans="1:10" s="2" customFormat="1" ht="19.95" customHeight="1" thickBot="1">
      <c r="A6" s="169" t="s">
        <v>170</v>
      </c>
    </row>
    <row r="7" spans="1:10" s="2" customFormat="1" ht="19.95" customHeight="1">
      <c r="A7" s="174" t="s">
        <v>185</v>
      </c>
      <c r="B7" s="175" t="s">
        <v>186</v>
      </c>
      <c r="C7" s="175" t="s">
        <v>187</v>
      </c>
      <c r="D7" s="176"/>
      <c r="E7" s="176"/>
    </row>
    <row r="8" spans="1:10" s="2" customFormat="1" ht="19.95" customHeight="1">
      <c r="A8" s="177" t="s">
        <v>188</v>
      </c>
      <c r="B8" s="70">
        <f>'现金明细表E1-2'!G22</f>
        <v>0</v>
      </c>
      <c r="C8" s="69">
        <f>'现金明细表E1-2'!B22</f>
        <v>0</v>
      </c>
      <c r="D8" s="102"/>
      <c r="E8" s="103">
        <f>B8-'附注披露信息(上市公司)'!B8</f>
        <v>0</v>
      </c>
    </row>
    <row r="9" spans="1:10" s="2" customFormat="1" ht="19.95" customHeight="1">
      <c r="A9" s="177" t="s">
        <v>189</v>
      </c>
      <c r="B9" s="70">
        <f>'银行存款及其他货币资金明细表(人民币及外币)E1-3'!AB42+'银行存款及其他货币资金明细表(人民币及外币)E1-3'!AB43</f>
        <v>0</v>
      </c>
      <c r="C9" s="69">
        <f>'银行存款及其他货币资金明细表(人民币及外币)E1-3'!G43+'银行存款及其他货币资金明细表(人民币及外币)E1-3'!G42</f>
        <v>0</v>
      </c>
      <c r="D9" s="102"/>
      <c r="E9" s="103"/>
    </row>
    <row r="10" spans="1:10" s="2" customFormat="1" ht="19.95" customHeight="1">
      <c r="A10" s="178" t="s">
        <v>190</v>
      </c>
      <c r="B10" s="70">
        <f>'银行存款及其他货币资金明细表(人民币及外币)E1-3'!AB44</f>
        <v>0</v>
      </c>
      <c r="C10" s="69">
        <f>'银行存款及其他货币资金明细表(人民币及外币)E1-3'!G44</f>
        <v>0</v>
      </c>
      <c r="D10" s="102"/>
      <c r="E10" s="103"/>
    </row>
    <row r="11" spans="1:10" s="2" customFormat="1" ht="19.95" customHeight="1" thickBot="1">
      <c r="A11" s="178" t="s">
        <v>154</v>
      </c>
      <c r="B11" s="70"/>
      <c r="C11" s="69"/>
      <c r="D11" s="102"/>
      <c r="E11" s="103"/>
    </row>
    <row r="12" spans="1:10" s="2" customFormat="1" ht="19.95" customHeight="1" thickBot="1">
      <c r="A12" s="179" t="s">
        <v>182</v>
      </c>
      <c r="B12" s="71">
        <f>SUM(B8:B11)</f>
        <v>0</v>
      </c>
      <c r="C12" s="71">
        <f>SUM(C8:C11)</f>
        <v>0</v>
      </c>
      <c r="D12" s="105"/>
      <c r="E12" s="106">
        <f ca="1">B12-'附注披露信息(上市公司)'!D62</f>
        <v>0</v>
      </c>
    </row>
    <row r="13" spans="1:10" s="2" customFormat="1" ht="19.95" customHeight="1">
      <c r="A13" s="168" t="s">
        <v>191</v>
      </c>
    </row>
    <row r="14" spans="1:10" s="2" customFormat="1" ht="19.95" customHeight="1">
      <c r="A14" s="168" t="s">
        <v>192</v>
      </c>
    </row>
    <row r="15" spans="1:10" s="2" customFormat="1" ht="19.95" customHeight="1" thickBot="1">
      <c r="A15" s="169" t="s">
        <v>193</v>
      </c>
    </row>
    <row r="16" spans="1:10" ht="19.95" customHeight="1" thickBot="1">
      <c r="A16" s="180" t="s">
        <v>194</v>
      </c>
      <c r="B16" s="181" t="s">
        <v>195</v>
      </c>
      <c r="C16" s="181" t="s">
        <v>196</v>
      </c>
    </row>
    <row r="17" spans="1:7" ht="19.95" customHeight="1">
      <c r="A17" s="182" t="s">
        <v>197</v>
      </c>
      <c r="B17" s="70">
        <f>SUMIF('银行存款及其他货币资金明细表(人民币及外币)E1-3'!$D$23:$D$28,A17,'银行存款及其他货币资金明细表(人民币及外币)E1-3'!$AB$23:$AB$28)+SUMIF('银行存款及其他货币资金明细表(人民币及外币)E1-3'!$D$38:$D$40,A17,'银行存款及其他货币资金明细表(人民币及外币)E1-3'!$AB$38:$AB$40)</f>
        <v>0</v>
      </c>
      <c r="C17" s="70">
        <f>SUMIF('银行存款及其他货币资金明细表(人民币及外币)E1-3'!$D$23:$D$28,A17,'银行存款及其他货币资金明细表(人民币及外币)E1-3'!$AB$23:$AB$28)+SUMIF('银行存款及其他货币资金明细表(人民币及外币)E1-3'!$D$38:$D$40,A17,'银行存款及其他货币资金明细表(人民币及外币)E1-3'!$AB$38:$AB$40)</f>
        <v>0</v>
      </c>
    </row>
    <row r="18" spans="1:7" ht="19.95" customHeight="1">
      <c r="A18" s="182" t="s">
        <v>198</v>
      </c>
      <c r="B18" s="70">
        <f>SUMIF('银行存款及其他货币资金明细表(人民币及外币)E1-3'!$D$23:$D$28,A18,'银行存款及其他货币资金明细表(人民币及外币)E1-3'!$AB$23:$AB$28)+SUMIF('银行存款及其他货币资金明细表(人民币及外币)E1-3'!$D$38:$D$40,A18,'银行存款及其他货币资金明细表(人民币及外币)E1-3'!$AB$38:$AB$40)</f>
        <v>0</v>
      </c>
      <c r="C18" s="70">
        <f>SUMIF('银行存款及其他货币资金明细表(人民币及外币)E1-3'!$D$23:$D$28,A18,'银行存款及其他货币资金明细表(人民币及外币)E1-3'!$AB$23:$AB$28)+SUMIF('银行存款及其他货币资金明细表(人民币及外币)E1-3'!$D$38:$D$40,A18,'银行存款及其他货币资金明细表(人民币及外币)E1-3'!$AB$38:$AB$40)</f>
        <v>0</v>
      </c>
    </row>
    <row r="19" spans="1:7" ht="19.95" customHeight="1">
      <c r="A19" s="182" t="s">
        <v>199</v>
      </c>
      <c r="B19" s="70">
        <f>SUMIF('银行存款及其他货币资金明细表(人民币及外币)E1-3'!$D$23:$D$28,A19,'银行存款及其他货币资金明细表(人民币及外币)E1-3'!$AB$23:$AB$28)+SUMIF('银行存款及其他货币资金明细表(人民币及外币)E1-3'!$D$38:$D$40,A19,'银行存款及其他货币资金明细表(人民币及外币)E1-3'!$AB$38:$AB$40)</f>
        <v>0</v>
      </c>
      <c r="C19" s="70">
        <f>SUMIF('银行存款及其他货币资金明细表(人民币及外币)E1-3'!$D$23:$D$28,A19,'银行存款及其他货币资金明细表(人民币及外币)E1-3'!$AB$23:$AB$28)+SUMIF('银行存款及其他货币资金明细表(人民币及外币)E1-3'!$D$38:$D$40,A19,'银行存款及其他货币资金明细表(人民币及外币)E1-3'!$AB$38:$AB$40)</f>
        <v>0</v>
      </c>
    </row>
    <row r="20" spans="1:7" ht="19.95" customHeight="1">
      <c r="A20" s="182" t="s">
        <v>200</v>
      </c>
      <c r="B20" s="70">
        <f>SUMIF('银行存款及其他货币资金明细表(人民币及外币)E1-3'!$D$23:$D$28,A20,'银行存款及其他货币资金明细表(人民币及外币)E1-3'!$AB$23:$AB$28)+SUMIF('银行存款及其他货币资金明细表(人民币及外币)E1-3'!$D$38:$D$40,A20,'银行存款及其他货币资金明细表(人民币及外币)E1-3'!$AB$38:$AB$40)</f>
        <v>0</v>
      </c>
      <c r="C20" s="70">
        <f>SUMIF('银行存款及其他货币资金明细表(人民币及外币)E1-3'!$D$23:$D$28,A20,'银行存款及其他货币资金明细表(人民币及外币)E1-3'!$AB$23:$AB$28)+SUMIF('银行存款及其他货币资金明细表(人民币及外币)E1-3'!$D$38:$D$40,A20,'银行存款及其他货币资金明细表(人民币及外币)E1-3'!$AB$38:$AB$40)</f>
        <v>0</v>
      </c>
    </row>
    <row r="21" spans="1:7" ht="19.95" customHeight="1">
      <c r="A21" s="182" t="s">
        <v>201</v>
      </c>
      <c r="B21" s="70">
        <f>SUMIF('银行存款及其他货币资金明细表(人民币及外币)E1-3'!$D$23:$D$28,A21,'银行存款及其他货币资金明细表(人民币及外币)E1-3'!$AB$23:$AB$28)+SUMIF('银行存款及其他货币资金明细表(人民币及外币)E1-3'!$D$38:$D$40,A21,'银行存款及其他货币资金明细表(人民币及外币)E1-3'!$AB$38:$AB$40)</f>
        <v>0</v>
      </c>
      <c r="C21" s="70">
        <f>SUMIF('银行存款及其他货币资金明细表(人民币及外币)E1-3'!$D$23:$D$28,A21,'银行存款及其他货币资金明细表(人民币及外币)E1-3'!$AB$23:$AB$28)+SUMIF('银行存款及其他货币资金明细表(人民币及外币)E1-3'!$D$38:$D$40,A21,'银行存款及其他货币资金明细表(人民币及外币)E1-3'!$AB$38:$AB$40)</f>
        <v>0</v>
      </c>
    </row>
    <row r="22" spans="1:7" ht="19.95" customHeight="1" thickBot="1">
      <c r="A22" s="99" t="s">
        <v>70</v>
      </c>
      <c r="B22" s="100"/>
      <c r="C22" s="100"/>
    </row>
    <row r="23" spans="1:7" ht="19.95" customHeight="1" thickBot="1">
      <c r="A23" s="183" t="s">
        <v>202</v>
      </c>
      <c r="B23" s="101"/>
      <c r="C23" s="101"/>
    </row>
    <row r="25" spans="1:7" ht="19.95" customHeight="1" thickBot="1">
      <c r="A25" s="151" t="s">
        <v>160</v>
      </c>
      <c r="B25" s="16"/>
      <c r="C25" s="15"/>
      <c r="D25" s="14"/>
      <c r="E25" s="14"/>
      <c r="F25" s="68"/>
      <c r="G25" s="11"/>
    </row>
    <row r="26" spans="1:7" ht="19.95" customHeight="1" thickBot="1">
      <c r="A26" s="165" t="s">
        <v>146</v>
      </c>
      <c r="B26" s="462" t="s">
        <v>161</v>
      </c>
      <c r="C26" s="462"/>
      <c r="D26" s="462"/>
      <c r="E26" s="462" t="s">
        <v>148</v>
      </c>
      <c r="F26" s="462"/>
      <c r="G26" s="462"/>
    </row>
    <row r="27" spans="1:7" ht="19.95" customHeight="1" thickBot="1">
      <c r="A27" s="55"/>
      <c r="B27" s="170" t="s">
        <v>162</v>
      </c>
      <c r="C27" s="170" t="s">
        <v>163</v>
      </c>
      <c r="D27" s="170" t="s">
        <v>164</v>
      </c>
      <c r="E27" s="170" t="s">
        <v>162</v>
      </c>
      <c r="F27" s="170" t="s">
        <v>163</v>
      </c>
      <c r="G27" s="170" t="s">
        <v>164</v>
      </c>
    </row>
    <row r="28" spans="1:7" ht="19.95" customHeight="1">
      <c r="A28" s="166" t="s">
        <v>165</v>
      </c>
      <c r="B28" s="56"/>
      <c r="C28" s="56"/>
      <c r="D28" s="56"/>
      <c r="E28" s="56"/>
      <c r="F28" s="56"/>
      <c r="G28" s="56"/>
    </row>
    <row r="29" spans="1:7" ht="19.95" customHeight="1">
      <c r="A29" s="166" t="s">
        <v>166</v>
      </c>
      <c r="B29" s="56">
        <f ca="1">B40+B46+B52+B58</f>
        <v>0</v>
      </c>
      <c r="C29" s="62" t="e">
        <f>C46</f>
        <v>#N/A</v>
      </c>
      <c r="D29" s="56">
        <f>D40+D46+D52+D58</f>
        <v>0</v>
      </c>
      <c r="E29" s="56">
        <f ca="1">E40+E46+E52+E58</f>
        <v>0</v>
      </c>
      <c r="F29" s="62">
        <f>F40</f>
        <v>0</v>
      </c>
      <c r="G29" s="56">
        <f>G40+G46+G52+G58</f>
        <v>0</v>
      </c>
    </row>
    <row r="30" spans="1:7" ht="19.95" customHeight="1">
      <c r="A30" s="166" t="s">
        <v>167</v>
      </c>
      <c r="B30" s="56">
        <f ca="1">B41+B47+B53+B59</f>
        <v>0</v>
      </c>
      <c r="C30" s="62" t="e">
        <f t="shared" ref="C30:C32" si="0">C47</f>
        <v>#N/A</v>
      </c>
      <c r="D30" s="56">
        <f t="shared" ref="D30:E32" si="1">D41+D47+D53+D59</f>
        <v>0</v>
      </c>
      <c r="E30" s="56">
        <f t="shared" ca="1" si="1"/>
        <v>0</v>
      </c>
      <c r="F30" s="62">
        <f t="shared" ref="F30:F32" si="2">F41</f>
        <v>0</v>
      </c>
      <c r="G30" s="56">
        <f>G41+G47+G53+G59</f>
        <v>0</v>
      </c>
    </row>
    <row r="31" spans="1:7" ht="19.95" customHeight="1">
      <c r="A31" s="166" t="s">
        <v>168</v>
      </c>
      <c r="B31" s="56">
        <f ca="1">B42+B48+B54+B60</f>
        <v>0</v>
      </c>
      <c r="C31" s="62" t="e">
        <f t="shared" si="0"/>
        <v>#N/A</v>
      </c>
      <c r="D31" s="56">
        <f t="shared" si="1"/>
        <v>0</v>
      </c>
      <c r="E31" s="56">
        <f t="shared" ca="1" si="1"/>
        <v>0</v>
      </c>
      <c r="F31" s="62">
        <f t="shared" si="2"/>
        <v>0</v>
      </c>
      <c r="G31" s="56">
        <f>G42+G48+G54+G60</f>
        <v>0</v>
      </c>
    </row>
    <row r="32" spans="1:7" ht="19.95" customHeight="1" thickBot="1">
      <c r="A32" s="166" t="s">
        <v>169</v>
      </c>
      <c r="B32" s="56">
        <f ca="1">B43+B49+B55+B61</f>
        <v>0</v>
      </c>
      <c r="C32" s="62" t="e">
        <f t="shared" si="0"/>
        <v>#N/A</v>
      </c>
      <c r="D32" s="56">
        <f t="shared" si="1"/>
        <v>0</v>
      </c>
      <c r="E32" s="56">
        <f t="shared" ca="1" si="1"/>
        <v>0</v>
      </c>
      <c r="F32" s="62">
        <f t="shared" si="2"/>
        <v>0</v>
      </c>
      <c r="G32" s="56">
        <f>G43+G49+G55+G61</f>
        <v>0</v>
      </c>
    </row>
    <row r="33" spans="1:7" ht="19.95" customHeight="1">
      <c r="A33" s="57"/>
      <c r="B33" s="57"/>
      <c r="C33" s="57"/>
      <c r="D33" s="58"/>
      <c r="E33" s="58"/>
      <c r="F33" s="58"/>
      <c r="G33" s="58"/>
    </row>
    <row r="34" spans="1:7" ht="19.95" customHeight="1">
      <c r="A34" s="14"/>
      <c r="B34" s="16"/>
      <c r="C34" s="15"/>
      <c r="D34" s="14"/>
      <c r="E34" s="14"/>
      <c r="F34" s="68"/>
      <c r="G34" s="11"/>
    </row>
    <row r="35" spans="1:7" ht="19.95" customHeight="1" thickBot="1">
      <c r="A35" s="89" t="s">
        <v>170</v>
      </c>
      <c r="B35" s="6"/>
      <c r="C35" s="6"/>
      <c r="D35" s="6"/>
      <c r="E35" s="6"/>
      <c r="F35" s="6"/>
      <c r="G35" s="6"/>
    </row>
    <row r="36" spans="1:7" ht="19.95" customHeight="1" thickBot="1">
      <c r="A36" s="165" t="s">
        <v>146</v>
      </c>
      <c r="B36" s="462" t="s">
        <v>161</v>
      </c>
      <c r="C36" s="462"/>
      <c r="D36" s="462"/>
      <c r="E36" s="462" t="s">
        <v>148</v>
      </c>
      <c r="F36" s="462"/>
      <c r="G36" s="462"/>
    </row>
    <row r="37" spans="1:7" ht="19.95" customHeight="1" thickBot="1">
      <c r="A37" s="55"/>
      <c r="B37" s="170" t="s">
        <v>171</v>
      </c>
      <c r="C37" s="170" t="s">
        <v>163</v>
      </c>
      <c r="D37" s="170" t="s">
        <v>164</v>
      </c>
      <c r="E37" s="170" t="s">
        <v>171</v>
      </c>
      <c r="F37" s="170" t="s">
        <v>163</v>
      </c>
      <c r="G37" s="170" t="s">
        <v>164</v>
      </c>
    </row>
    <row r="38" spans="1:7" ht="19.95" customHeight="1">
      <c r="A38" s="166" t="s">
        <v>172</v>
      </c>
      <c r="B38" s="56"/>
      <c r="C38" s="56"/>
      <c r="D38" s="56">
        <f>SUM(D39:D43)</f>
        <v>0</v>
      </c>
      <c r="E38" s="56"/>
      <c r="F38" s="56"/>
      <c r="G38" s="56">
        <f>SUM(G39:G43)</f>
        <v>0</v>
      </c>
    </row>
    <row r="39" spans="1:7" ht="19.95" customHeight="1">
      <c r="A39" s="166" t="s">
        <v>173</v>
      </c>
      <c r="B39" s="69">
        <f>SUMIF('现金明细表E1-2'!$A:$A,'附注披露信息(上市公司)'!$A39,'现金明细表E1-2'!$E:$E)+SUMIF('现金明细表E1-2'!$A:$A,'附注披露信息(上市公司)'!$A39,'现金明细表E1-2'!$H:$H)</f>
        <v>0</v>
      </c>
      <c r="C39" s="277">
        <v>1</v>
      </c>
      <c r="D39" s="54">
        <f>B39*C39</f>
        <v>0</v>
      </c>
      <c r="E39" s="69">
        <f>SUMIF('现金明细表E1-2'!$A:$A,'附注披露信息(上市公司)'!$A39,'现金明细表E1-2'!$B:$B)</f>
        <v>0</v>
      </c>
      <c r="F39" s="62">
        <v>1</v>
      </c>
      <c r="G39" s="54">
        <f>E39*F39</f>
        <v>0</v>
      </c>
    </row>
    <row r="40" spans="1:7" ht="19.95" customHeight="1">
      <c r="A40" s="166" t="s">
        <v>174</v>
      </c>
      <c r="B40" s="69">
        <f>SUMIF('现金明细表E1-2'!$A:$A,'附注披露信息(上市公司)'!$A40,'现金明细表E1-2'!$E:$E)+SUMIF('现金明细表E1-2'!$A:$A,'附注披露信息(上市公司)'!$A40,'现金明细表E1-2'!$H:$H)</f>
        <v>0</v>
      </c>
      <c r="C40" s="277">
        <f>VLOOKUP(A40,'现金明细表E1-2'!$A:$F,6,FALSE)</f>
        <v>0</v>
      </c>
      <c r="D40" s="54">
        <f>SUMIF('现金明细表E1-2'!$A$15:$A$19,A40,'现金明细表E1-2'!$G$15:$G$19)</f>
        <v>0</v>
      </c>
      <c r="E40" s="69">
        <f>SUMIF('现金明细表E1-2'!$A:$A,'附注披露信息(上市公司)'!$A40,'现金明细表E1-2'!$B:$B)</f>
        <v>0</v>
      </c>
      <c r="F40" s="62"/>
      <c r="G40" s="54">
        <f>SUMIF('现金明细表E1-2'!$A$15:$A$19,A40,'现金明细表E1-2'!$B$15:$B$19)</f>
        <v>0</v>
      </c>
    </row>
    <row r="41" spans="1:7" ht="19.95" customHeight="1">
      <c r="A41" s="166" t="s">
        <v>175</v>
      </c>
      <c r="B41" s="69">
        <f>SUMIF('现金明细表E1-2'!$A:$A,'附注披露信息(上市公司)'!$A41,'现金明细表E1-2'!$E:$E)+SUMIF('现金明细表E1-2'!$A:$A,'附注披露信息(上市公司)'!$A41,'现金明细表E1-2'!$H:$H)</f>
        <v>0</v>
      </c>
      <c r="C41" s="277">
        <f>VLOOKUP(A41,'现金明细表E1-2'!$A:$F,6,FALSE)</f>
        <v>0</v>
      </c>
      <c r="D41" s="54">
        <f>SUMIF('现金明细表E1-2'!$A$15:$A$19,A41,'现金明细表E1-2'!$G$15:$G$19)</f>
        <v>0</v>
      </c>
      <c r="E41" s="69">
        <f>SUMIF('现金明细表E1-2'!$A:$A,'附注披露信息(上市公司)'!$A41,'现金明细表E1-2'!$B:$B)</f>
        <v>0</v>
      </c>
      <c r="F41" s="62"/>
      <c r="G41" s="54">
        <f>SUMIF('现金明细表E1-2'!$A$15:$A$19,A41,'现金明细表E1-2'!$B$15:$B$19)</f>
        <v>0</v>
      </c>
    </row>
    <row r="42" spans="1:7" ht="19.95" customHeight="1">
      <c r="A42" s="166" t="s">
        <v>176</v>
      </c>
      <c r="B42" s="69">
        <f>SUMIF('现金明细表E1-2'!$A:$A,'附注披露信息(上市公司)'!$A42,'现金明细表E1-2'!$E:$E)+SUMIF('现金明细表E1-2'!$A:$A,'附注披露信息(上市公司)'!$A42,'现金明细表E1-2'!$H:$H)</f>
        <v>0</v>
      </c>
      <c r="C42" s="277">
        <f>VLOOKUP(A42,'现金明细表E1-2'!$A:$F,6,FALSE)</f>
        <v>0</v>
      </c>
      <c r="D42" s="54">
        <f t="shared" ref="D42:D43" si="3">B42*C42</f>
        <v>0</v>
      </c>
      <c r="E42" s="69">
        <f>SUMIF('现金明细表E1-2'!$A:$A,'附注披露信息(上市公司)'!$A42,'现金明细表E1-2'!$B:$B)</f>
        <v>0</v>
      </c>
      <c r="F42" s="62"/>
      <c r="G42" s="54">
        <f>SUMIF('现金明细表E1-2'!$A$15:$A$19,A42,'现金明细表E1-2'!$B$15:$B$19)</f>
        <v>0</v>
      </c>
    </row>
    <row r="43" spans="1:7" ht="19.95" customHeight="1">
      <c r="A43" s="166" t="s">
        <v>177</v>
      </c>
      <c r="B43" s="69">
        <f>SUMIF('现金明细表E1-2'!$A:$A,'附注披露信息(上市公司)'!$A43,'现金明细表E1-2'!$E:$E)+SUMIF('现金明细表E1-2'!$A:$A,'附注披露信息(上市公司)'!$A43,'现金明细表E1-2'!$H:$H)</f>
        <v>0</v>
      </c>
      <c r="C43" s="277">
        <f>VLOOKUP(A43,'现金明细表E1-2'!$A:$F,6,FALSE)</f>
        <v>0</v>
      </c>
      <c r="D43" s="54">
        <f t="shared" si="3"/>
        <v>0</v>
      </c>
      <c r="E43" s="69">
        <f>SUMIF('现金明细表E1-2'!$A:$A,'附注披露信息(上市公司)'!$A43,'现金明细表E1-2'!$B:$B)</f>
        <v>0</v>
      </c>
      <c r="F43" s="62"/>
      <c r="G43" s="54">
        <f>SUMIF('现金明细表E1-2'!$A$15:$A$19,A43,'现金明细表E1-2'!$B$15:$B$19)</f>
        <v>0</v>
      </c>
    </row>
    <row r="44" spans="1:7" ht="19.95" customHeight="1">
      <c r="A44" s="166" t="s">
        <v>178</v>
      </c>
      <c r="B44" s="56"/>
      <c r="C44" s="62"/>
      <c r="D44" s="56">
        <f>SUM(D45:D49)</f>
        <v>0</v>
      </c>
      <c r="E44" s="56"/>
      <c r="F44" s="62"/>
      <c r="G44" s="56">
        <f>SUM(G45:G49)</f>
        <v>0</v>
      </c>
    </row>
    <row r="45" spans="1:7" ht="19.95" customHeight="1">
      <c r="A45" s="166" t="s">
        <v>173</v>
      </c>
      <c r="B45" s="69">
        <f>SUMIF('银行存款及其他货币资金明细表(人民币及外币)E1-3'!$E$13:$E$17,$A45,'银行存款及其他货币资金明细表(人民币及外币)E1-3'!$AB$13:$AB$17)+SUMIF('银行存款及其他货币资金明细表(人民币及外币)E1-3'!$E$32:$E$33,$A45,'银行存款及其他货币资金明细表(人民币及外币)E1-3'!$AB$33:$AB$34)</f>
        <v>0</v>
      </c>
      <c r="C45" s="277">
        <v>1</v>
      </c>
      <c r="D45" s="278">
        <f>B45*C45</f>
        <v>0</v>
      </c>
      <c r="E45" s="69">
        <f>SUMIF('银行存款及其他货币资金明细表(人民币及外币)E1-3'!$E$13:$E$17,$A45,'银行存款及其他货币资金明细表(人民币及外币)E1-3'!$Z$13:$Z$17)+SUMIF('银行存款及其他货币资金明细表(人民币及外币)E1-3'!$E$32:$E$33,$A45,'银行存款及其他货币资金明细表(人民币及外币)E1-3'!$Z$33:$Z$34)</f>
        <v>0</v>
      </c>
      <c r="F45" s="277">
        <v>1</v>
      </c>
      <c r="G45" s="54">
        <f>E45*F45</f>
        <v>0</v>
      </c>
    </row>
    <row r="46" spans="1:7" ht="19.95" customHeight="1">
      <c r="A46" s="166" t="s">
        <v>174</v>
      </c>
      <c r="B46" s="69">
        <f>SUMIF('银行存款及其他货币资金明细表(人民币及外币)E1-3'!$E$13:$E$17,$A46,'银行存款及其他货币资金明细表(人民币及外币)E1-3'!$AB$13:$AB$17)+SUMIF('银行存款及其他货币资金明细表(人民币及外币)E1-3'!$E$32:$E$33,$A46,'银行存款及其他货币资金明细表(人民币及外币)E1-3'!$AB$33:$AB$34)</f>
        <v>0</v>
      </c>
      <c r="C46" s="277" t="e">
        <f>VLOOKUP(A46,'银行存款及其他货币资金明细表(人民币及外币)E1-3'!$E:$F,2,FALSE)</f>
        <v>#N/A</v>
      </c>
      <c r="D46" s="69">
        <f>SUMIF('银行存款及其他货币资金明细表(人民币及外币)E1-3'!$E$13:$E$17,A46,'银行存款及其他货币资金明细表(人民币及外币)E1-3'!$AB$13:$AB$17)+SUMIF('银行存款及其他货币资金明细表(人民币及外币)E1-3'!$E$32:$E$33,A46,'银行存款及其他货币资金明细表(人民币及外币)E1-3'!$AB$32:$AB$33)</f>
        <v>0</v>
      </c>
      <c r="E46" s="69">
        <f>SUMIF('银行存款及其他货币资金明细表(人民币及外币)E1-3'!$E$13:$E$17,$A46,'银行存款及其他货币资金明细表(人民币及外币)E1-3'!$Z$13:$Z$17)+SUMIF('银行存款及其他货币资金明细表(人民币及外币)E1-3'!$E$32:$E$33,$A46,'银行存款及其他货币资金明细表(人民币及外币)E1-3'!$Z$33:$Z$34)</f>
        <v>0</v>
      </c>
      <c r="F46" s="277"/>
      <c r="G46" s="54">
        <f>SUMIF('银行存款及其他货币资金明细表(人民币及外币)E1-3'!$E$13:$E$17,A46,'银行存款及其他货币资金明细表(人民币及外币)E1-3'!$G$13:$G$17)+SUMIF('银行存款及其他货币资金明细表(人民币及外币)E1-3'!$E$32:$E$33,A46,'银行存款及其他货币资金明细表(人民币及外币)E1-3'!$G$32:$G$33)</f>
        <v>0</v>
      </c>
    </row>
    <row r="47" spans="1:7" ht="19.95" customHeight="1">
      <c r="A47" s="166" t="s">
        <v>175</v>
      </c>
      <c r="B47" s="69">
        <f>SUMIF('银行存款及其他货币资金明细表(人民币及外币)E1-3'!$E$13:$E$17,$A47,'银行存款及其他货币资金明细表(人民币及外币)E1-3'!$AB$13:$AB$17)+SUMIF('银行存款及其他货币资金明细表(人民币及外币)E1-3'!$E$32:$E$33,$A47,'银行存款及其他货币资金明细表(人民币及外币)E1-3'!$AB$33:$AB$34)</f>
        <v>0</v>
      </c>
      <c r="C47" s="277" t="e">
        <f>VLOOKUP(A47,'银行存款及其他货币资金明细表(人民币及外币)E1-3'!$E:$F,2,FALSE)</f>
        <v>#N/A</v>
      </c>
      <c r="D47" s="69">
        <f>SUMIF('银行存款及其他货币资金明细表(人民币及外币)E1-3'!$E$13:$E$17,A47,'银行存款及其他货币资金明细表(人民币及外币)E1-3'!$AB$13:$AB$17)+SUMIF('银行存款及其他货币资金明细表(人民币及外币)E1-3'!$E$32:$E$33,A47,'银行存款及其他货币资金明细表(人民币及外币)E1-3'!$AB$32:$AB$33)</f>
        <v>0</v>
      </c>
      <c r="E47" s="69">
        <f>SUMIF('银行存款及其他货币资金明细表(人民币及外币)E1-3'!$E$13:$E$17,$A47,'银行存款及其他货币资金明细表(人民币及外币)E1-3'!$Z$13:$Z$17)+SUMIF('银行存款及其他货币资金明细表(人民币及外币)E1-3'!$E$32:$E$33,$A47,'银行存款及其他货币资金明细表(人民币及外币)E1-3'!$Z$33:$Z$34)</f>
        <v>0</v>
      </c>
      <c r="F47" s="277"/>
      <c r="G47" s="54">
        <f>SUMIF('银行存款及其他货币资金明细表(人民币及外币)E1-3'!$E$13:$E$17,A47,'银行存款及其他货币资金明细表(人民币及外币)E1-3'!$G$13:$G$17)+SUMIF('银行存款及其他货币资金明细表(人民币及外币)E1-3'!$E$32:$E$33,A47,'银行存款及其他货币资金明细表(人民币及外币)E1-3'!$G$32:$G$33)</f>
        <v>0</v>
      </c>
    </row>
    <row r="48" spans="1:7" ht="19.95" customHeight="1">
      <c r="A48" s="166" t="s">
        <v>176</v>
      </c>
      <c r="B48" s="69">
        <f>SUMIF('银行存款及其他货币资金明细表(人民币及外币)E1-3'!$E$13:$E$17,$A48,'银行存款及其他货币资金明细表(人民币及外币)E1-3'!$AB$13:$AB$17)+SUMIF('银行存款及其他货币资金明细表(人民币及外币)E1-3'!$E$32:$E$33,$A48,'银行存款及其他货币资金明细表(人民币及外币)E1-3'!$AB$33:$AB$34)</f>
        <v>0</v>
      </c>
      <c r="C48" s="277" t="e">
        <f>VLOOKUP(A48,'银行存款及其他货币资金明细表(人民币及外币)E1-3'!$E:$F,2,FALSE)</f>
        <v>#N/A</v>
      </c>
      <c r="D48" s="69">
        <f>SUMIF('银行存款及其他货币资金明细表(人民币及外币)E1-3'!$E$13:$E$17,A48,'银行存款及其他货币资金明细表(人民币及外币)E1-3'!$AB$13:$AB$17)+SUMIF('银行存款及其他货币资金明细表(人民币及外币)E1-3'!$E$32:$E$33,A48,'银行存款及其他货币资金明细表(人民币及外币)E1-3'!$AB$32:$AB$33)</f>
        <v>0</v>
      </c>
      <c r="E48" s="69">
        <f>SUMIF('银行存款及其他货币资金明细表(人民币及外币)E1-3'!$E$13:$E$17,$A48,'银行存款及其他货币资金明细表(人民币及外币)E1-3'!$Z$13:$Z$17)+SUMIF('银行存款及其他货币资金明细表(人民币及外币)E1-3'!$E$32:$E$33,$A48,'银行存款及其他货币资金明细表(人民币及外币)E1-3'!$Z$33:$Z$34)</f>
        <v>0</v>
      </c>
      <c r="F48" s="277"/>
      <c r="G48" s="54">
        <f>SUMIF('银行存款及其他货币资金明细表(人民币及外币)E1-3'!$E$13:$E$17,A48,'银行存款及其他货币资金明细表(人民币及外币)E1-3'!$G$13:$G$17)+SUMIF('银行存款及其他货币资金明细表(人民币及外币)E1-3'!$E$32:$E$33,A48,'银行存款及其他货币资金明细表(人民币及外币)E1-3'!$G$32:$G$33)</f>
        <v>0</v>
      </c>
    </row>
    <row r="49" spans="1:7" ht="19.95" customHeight="1">
      <c r="A49" s="166" t="s">
        <v>177</v>
      </c>
      <c r="B49" s="69">
        <f>SUMIF('银行存款及其他货币资金明细表(人民币及外币)E1-3'!$E$13:$E$17,$A49,'银行存款及其他货币资金明细表(人民币及外币)E1-3'!$AB$13:$AB$17)+SUMIF('银行存款及其他货币资金明细表(人民币及外币)E1-3'!$E$32:$E$33,$A49,'银行存款及其他货币资金明细表(人民币及外币)E1-3'!$AB$33:$AB$34)</f>
        <v>0</v>
      </c>
      <c r="C49" s="277" t="e">
        <f>VLOOKUP(A49,'银行存款及其他货币资金明细表(人民币及外币)E1-3'!$E:$F,2,FALSE)</f>
        <v>#N/A</v>
      </c>
      <c r="D49" s="69">
        <f>SUMIF('银行存款及其他货币资金明细表(人民币及外币)E1-3'!$E$13:$E$17,A49,'银行存款及其他货币资金明细表(人民币及外币)E1-3'!$AB$13:$AB$17)+SUMIF('银行存款及其他货币资金明细表(人民币及外币)E1-3'!$E$32:$E$33,A49,'银行存款及其他货币资金明细表(人民币及外币)E1-3'!$AB$32:$AB$33)</f>
        <v>0</v>
      </c>
      <c r="E49" s="69">
        <f>SUMIF('银行存款及其他货币资金明细表(人民币及外币)E1-3'!$E$13:$E$17,$A49,'银行存款及其他货币资金明细表(人民币及外币)E1-3'!$Z$13:$Z$17)+SUMIF('银行存款及其他货币资金明细表(人民币及外币)E1-3'!$E$32:$E$33,$A49,'银行存款及其他货币资金明细表(人民币及外币)E1-3'!$Z$33:$Z$34)</f>
        <v>0</v>
      </c>
      <c r="F49" s="277"/>
      <c r="G49" s="54">
        <f>SUMIF('银行存款及其他货币资金明细表(人民币及外币)E1-3'!$E$13:$E$17,A49,'银行存款及其他货币资金明细表(人民币及外币)E1-3'!$G$13:$G$17)+SUMIF('银行存款及其他货币资金明细表(人民币及外币)E1-3'!$E$32:$E$33,A49,'银行存款及其他货币资金明细表(人民币及外币)E1-3'!$G$32:$G$33)</f>
        <v>0</v>
      </c>
    </row>
    <row r="50" spans="1:7" ht="19.95" customHeight="1">
      <c r="A50" s="166" t="s">
        <v>179</v>
      </c>
      <c r="B50" s="69"/>
      <c r="C50" s="277"/>
      <c r="D50" s="69">
        <f>SUM(D51:D55)</f>
        <v>0</v>
      </c>
      <c r="E50" s="69"/>
      <c r="F50" s="277"/>
      <c r="G50" s="56">
        <f>SUM(G51:G55)</f>
        <v>0</v>
      </c>
    </row>
    <row r="51" spans="1:7" ht="19.95" customHeight="1">
      <c r="A51" s="166" t="s">
        <v>180</v>
      </c>
      <c r="B51" s="69">
        <f>SUMIF('银行存款及其他货币资金明细表(人民币及外币)E1-3'!$E$19:$E$21,$A51,'银行存款及其他货币资金明细表(人民币及外币)E1-3'!$AB$19:$AB$21)+SUMIF('银行存款及其他货币资金明细表(人民币及外币)E1-3'!$E$35:$E$36,$A51,'银行存款及其他货币资金明细表(人民币及外币)E1-3'!$AB$35:$AB$36)</f>
        <v>0</v>
      </c>
      <c r="C51" s="277">
        <f>C45</f>
        <v>1</v>
      </c>
      <c r="D51" s="278">
        <f>B51*C51</f>
        <v>0</v>
      </c>
      <c r="E51" s="69">
        <f>SUMIF('银行存款及其他货币资金明细表(人民币及外币)E1-3'!$E$19:$E$21,$A51,'银行存款及其他货币资金明细表(人民币及外币)E1-3'!$Z$19:$Z$21)+SUMIF('银行存款及其他货币资金明细表(人民币及外币)E1-3'!$E$35:$E$36,$A51,'银行存款及其他货币资金明细表(人民币及外币)E1-3'!$Z$35:$Z$36)</f>
        <v>0</v>
      </c>
      <c r="F51" s="277">
        <v>1</v>
      </c>
      <c r="G51" s="54">
        <f>E51*F51</f>
        <v>0</v>
      </c>
    </row>
    <row r="52" spans="1:7" ht="19.95" customHeight="1">
      <c r="A52" s="166" t="s">
        <v>174</v>
      </c>
      <c r="B52" s="69">
        <f>SUMIF('银行存款及其他货币资金明细表(人民币及外币)E1-3'!$E$19:$E$21,$A52,'银行存款及其他货币资金明细表(人民币及外币)E1-3'!$AB$19:$AB$21)+SUMIF('银行存款及其他货币资金明细表(人民币及外币)E1-3'!$E$35:$E$36,$A52,'银行存款及其他货币资金明细表(人民币及外币)E1-3'!$AB$35:$AB$36)</f>
        <v>0</v>
      </c>
      <c r="C52" s="277" t="e">
        <f>VLOOKUP(A52,'银行存款及其他货币资金明细表(人民币及外币)E1-3'!$E:$F,2,FALSE)</f>
        <v>#N/A</v>
      </c>
      <c r="D52" s="278">
        <f>SUMIF('银行存款及其他货币资金明细表(人民币及外币)E1-3'!$E$19:$E$21,A52,'银行存款及其他货币资金明细表(人民币及外币)E1-3'!$AB$19:$AB$21)+SUMIF('银行存款及其他货币资金明细表(人民币及外币)E1-3'!$E$35:$E$36,A52,'银行存款及其他货币资金明细表(人民币及外币)E1-3'!$AB$35:$AB$36)</f>
        <v>0</v>
      </c>
      <c r="E52" s="69">
        <f>SUMIF('银行存款及其他货币资金明细表(人民币及外币)E1-3'!$E$19:$E$21,$A52,'银行存款及其他货币资金明细表(人民币及外币)E1-3'!$Z$19:$Z$21)+SUMIF('银行存款及其他货币资金明细表(人民币及外币)E1-3'!$E$35:$E$36,$A52,'银行存款及其他货币资金明细表(人民币及外币)E1-3'!$Z$35:$Z$36)</f>
        <v>0</v>
      </c>
      <c r="F52" s="277"/>
      <c r="G52" s="54">
        <f>SUMIF('银行存款及其他货币资金明细表(人民币及外币)E1-3'!$E$19:$E$21,A52,'银行存款及其他货币资金明细表(人民币及外币)E1-3'!$G$19:$G$21)+SUMIF('银行存款及其他货币资金明细表(人民币及外币)E1-3'!$E$35:$E$36,A52,'银行存款及其他货币资金明细表(人民币及外币)E1-3'!$G$35:$G$36)</f>
        <v>0</v>
      </c>
    </row>
    <row r="53" spans="1:7" ht="19.95" customHeight="1">
      <c r="A53" s="166" t="s">
        <v>175</v>
      </c>
      <c r="B53" s="69">
        <f>SUMIF('银行存款及其他货币资金明细表(人民币及外币)E1-3'!$E$19:$E$21,$A53,'银行存款及其他货币资金明细表(人民币及外币)E1-3'!$AB$19:$AB$21)+SUMIF('银行存款及其他货币资金明细表(人民币及外币)E1-3'!$E$35:$E$36,$A53,'银行存款及其他货币资金明细表(人民币及外币)E1-3'!$AB$35:$AB$36)</f>
        <v>0</v>
      </c>
      <c r="C53" s="277" t="e">
        <f>VLOOKUP(A53,'银行存款及其他货币资金明细表(人民币及外币)E1-3'!$E:$F,2,FALSE)</f>
        <v>#N/A</v>
      </c>
      <c r="D53" s="278">
        <f>SUMIF('银行存款及其他货币资金明细表(人民币及外币)E1-3'!$E$19:$E$21,A53,'银行存款及其他货币资金明细表(人民币及外币)E1-3'!$AB$19:$AB$21)+SUMIF('银行存款及其他货币资金明细表(人民币及外币)E1-3'!$E$35:$E$36,A53,'银行存款及其他货币资金明细表(人民币及外币)E1-3'!$AB$35:$AB$36)</f>
        <v>0</v>
      </c>
      <c r="E53" s="69">
        <f>SUMIF('银行存款及其他货币资金明细表(人民币及外币)E1-3'!$E$19:$E$21,$A53,'银行存款及其他货币资金明细表(人民币及外币)E1-3'!$Z$19:$Z$21)+SUMIF('银行存款及其他货币资金明细表(人民币及外币)E1-3'!$E$35:$E$36,$A53,'银行存款及其他货币资金明细表(人民币及外币)E1-3'!$Z$35:$Z$36)</f>
        <v>0</v>
      </c>
      <c r="F53" s="277"/>
      <c r="G53" s="54">
        <f>SUMIF('银行存款及其他货币资金明细表(人民币及外币)E1-3'!$E$19:$E$21,A53,'银行存款及其他货币资金明细表(人民币及外币)E1-3'!$G$19:$G$21)+SUMIF('银行存款及其他货币资金明细表(人民币及外币)E1-3'!$E$35:$E$36,A53,'银行存款及其他货币资金明细表(人民币及外币)E1-3'!$G$35:$G$36)</f>
        <v>0</v>
      </c>
    </row>
    <row r="54" spans="1:7" ht="19.95" customHeight="1">
      <c r="A54" s="166" t="s">
        <v>176</v>
      </c>
      <c r="B54" s="69">
        <f>SUMIF('银行存款及其他货币资金明细表(人民币及外币)E1-3'!$E$19:$E$21,$A54,'银行存款及其他货币资金明细表(人民币及外币)E1-3'!$AB$19:$AB$21)+SUMIF('银行存款及其他货币资金明细表(人民币及外币)E1-3'!$E$35:$E$36,$A54,'银行存款及其他货币资金明细表(人民币及外币)E1-3'!$AB$35:$AB$36)</f>
        <v>0</v>
      </c>
      <c r="C54" s="277" t="e">
        <f>VLOOKUP(A54,'银行存款及其他货币资金明细表(人民币及外币)E1-3'!$E:$F,2,FALSE)</f>
        <v>#N/A</v>
      </c>
      <c r="D54" s="278">
        <f>SUMIF('银行存款及其他货币资金明细表(人民币及外币)E1-3'!$E$19:$E$21,A54,'银行存款及其他货币资金明细表(人民币及外币)E1-3'!$AB$19:$AB$21)+SUMIF('银行存款及其他货币资金明细表(人民币及外币)E1-3'!$E$35:$E$36,A54,'银行存款及其他货币资金明细表(人民币及外币)E1-3'!$AB$35:$AB$36)</f>
        <v>0</v>
      </c>
      <c r="E54" s="69">
        <f>SUMIF('银行存款及其他货币资金明细表(人民币及外币)E1-3'!$E$19:$E$21,$A54,'银行存款及其他货币资金明细表(人民币及外币)E1-3'!$Z$19:$Z$21)+SUMIF('银行存款及其他货币资金明细表(人民币及外币)E1-3'!$E$35:$E$36,$A54,'银行存款及其他货币资金明细表(人民币及外币)E1-3'!$Z$35:$Z$36)</f>
        <v>0</v>
      </c>
      <c r="F54" s="277"/>
      <c r="G54" s="54">
        <f>SUMIF('银行存款及其他货币资金明细表(人民币及外币)E1-3'!$E$19:$E$21,A54,'银行存款及其他货币资金明细表(人民币及外币)E1-3'!$G$19:$G$21)+SUMIF('银行存款及其他货币资金明细表(人民币及外币)E1-3'!$E$35:$E$36,A54,'银行存款及其他货币资金明细表(人民币及外币)E1-3'!$G$35:$G$36)</f>
        <v>0</v>
      </c>
    </row>
    <row r="55" spans="1:7" ht="19.95" customHeight="1">
      <c r="A55" s="166" t="s">
        <v>177</v>
      </c>
      <c r="B55" s="69">
        <f>SUMIF('银行存款及其他货币资金明细表(人民币及外币)E1-3'!$E$19:$E$21,$A55,'银行存款及其他货币资金明细表(人民币及外币)E1-3'!$AB$19:$AB$21)+SUMIF('银行存款及其他货币资金明细表(人民币及外币)E1-3'!$E$35:$E$36,$A55,'银行存款及其他货币资金明细表(人民币及外币)E1-3'!$AB$35:$AB$36)</f>
        <v>0</v>
      </c>
      <c r="C55" s="277" t="e">
        <f>VLOOKUP(A55,'银行存款及其他货币资金明细表(人民币及外币)E1-3'!$E:$F,2,FALSE)</f>
        <v>#N/A</v>
      </c>
      <c r="D55" s="278">
        <f>SUMIF('银行存款及其他货币资金明细表(人民币及外币)E1-3'!$E$19:$E$21,A55,'银行存款及其他货币资金明细表(人民币及外币)E1-3'!$AB$19:$AB$21)+SUMIF('银行存款及其他货币资金明细表(人民币及外币)E1-3'!$E$35:$E$36,A55,'银行存款及其他货币资金明细表(人民币及外币)E1-3'!$AB$35:$AB$36)</f>
        <v>0</v>
      </c>
      <c r="E55" s="69">
        <f>SUMIF('银行存款及其他货币资金明细表(人民币及外币)E1-3'!$E$19:$E$21,$A55,'银行存款及其他货币资金明细表(人民币及外币)E1-3'!$Z$19:$Z$21)+SUMIF('银行存款及其他货币资金明细表(人民币及外币)E1-3'!$E$35:$E$36,$A55,'银行存款及其他货币资金明细表(人民币及外币)E1-3'!$Z$35:$Z$36)</f>
        <v>0</v>
      </c>
      <c r="F55" s="277"/>
      <c r="G55" s="54">
        <f>SUMIF('银行存款及其他货币资金明细表(人民币及外币)E1-3'!$E$19:$E$21,A55,'银行存款及其他货币资金明细表(人民币及外币)E1-3'!$G$19:$G$21)+SUMIF('银行存款及其他货币资金明细表(人民币及外币)E1-3'!$E$35:$E$36,A55,'银行存款及其他货币资金明细表(人民币及外币)E1-3'!$G$35:$G$36)</f>
        <v>0</v>
      </c>
    </row>
    <row r="56" spans="1:7" ht="19.95" customHeight="1">
      <c r="A56" s="166" t="s">
        <v>181</v>
      </c>
      <c r="B56" s="69"/>
      <c r="C56" s="277"/>
      <c r="D56" s="69">
        <f ca="1">SUM(D57:D61)</f>
        <v>0</v>
      </c>
      <c r="E56" s="69"/>
      <c r="F56" s="277"/>
      <c r="G56" s="56">
        <f>SUM(G57:G61)</f>
        <v>0</v>
      </c>
    </row>
    <row r="57" spans="1:7" ht="19.95" customHeight="1">
      <c r="A57" s="166" t="s">
        <v>173</v>
      </c>
      <c r="B57" s="69">
        <f ca="1">SUMIF('银行存款及其他货币资金明细表(人民币及外币)E1-3'!$E$23:$E$28,'附注披露信息(上市公司)'!$A57,'银行存款及其他货币资金明细表(人民币及外币)E1-3'!$AB$19:$AB$21)+SUMIF('银行存款及其他货币资金明细表(人民币及外币)E1-3'!$E$38,$A57,'银行存款及其他货币资金明细表(人民币及外币)E1-3'!$AB$38:$AB$40)</f>
        <v>0</v>
      </c>
      <c r="C57" s="277">
        <f>C51</f>
        <v>1</v>
      </c>
      <c r="D57" s="278">
        <f ca="1">B57*C57</f>
        <v>0</v>
      </c>
      <c r="E57" s="69">
        <f ca="1">SUMIF('银行存款及其他货币资金明细表(人民币及外币)E1-3'!$E$23:$E$28,'附注披露信息(上市公司)'!$A57,'银行存款及其他货币资金明细表(人民币及外币)E1-3'!$Z$19:$Z$21)+SUMIF('银行存款及其他货币资金明细表(人民币及外币)E1-3'!$E$38,$A57,'银行存款及其他货币资金明细表(人民币及外币)E1-3'!$Z$38:$Z$40)</f>
        <v>0</v>
      </c>
      <c r="F57" s="277">
        <v>1</v>
      </c>
      <c r="G57" s="56">
        <f>SUMIF('银行存款及其他货币资金明细表(人民币及外币)E1-3'!$E$23:$E$28,A57,'银行存款及其他货币资金明细表(人民币及外币)E1-3'!$G$23:$G$28)+SUMIF('银行存款及其他货币资金明细表(人民币及外币)E1-3'!$G$38:$G$40,A57,'银行存款及其他货币资金明细表(人民币及外币)E1-3'!$G$38:$G$40)</f>
        <v>0</v>
      </c>
    </row>
    <row r="58" spans="1:7" ht="19.95" customHeight="1">
      <c r="A58" s="166" t="s">
        <v>174</v>
      </c>
      <c r="B58" s="69">
        <f ca="1">SUMIF('银行存款及其他货币资金明细表(人民币及外币)E1-3'!$E$23:$E$28,'附注披露信息(上市公司)'!$A58,'银行存款及其他货币资金明细表(人民币及外币)E1-3'!$AB$19:$AB$21)+SUMIF('银行存款及其他货币资金明细表(人民币及外币)E1-3'!$E$38,$A58,'银行存款及其他货币资金明细表(人民币及外币)E1-3'!$AB$38:$AB$40)</f>
        <v>0</v>
      </c>
      <c r="C58" s="277" t="e">
        <f>VLOOKUP(A58,'银行存款及其他货币资金明细表(人民币及外币)E1-3'!$E:$F,2,FALSE)</f>
        <v>#N/A</v>
      </c>
      <c r="D58" s="69">
        <f>SUMIF('银行存款及其他货币资金明细表(人民币及外币)E1-3'!$E$23:$E$28,A58,'银行存款及其他货币资金明细表(人民币及外币)E1-3'!$AB$23:$AB$28)+SUMIF('银行存款及其他货币资金明细表(人民币及外币)E1-3'!$E$38:$E$40,A58,'银行存款及其他货币资金明细表(人民币及外币)E1-3'!$AB$38:$AB$40)</f>
        <v>0</v>
      </c>
      <c r="E58" s="69">
        <f ca="1">SUMIF('银行存款及其他货币资金明细表(人民币及外币)E1-3'!$E$23:$E$28,'附注披露信息(上市公司)'!$A58,'银行存款及其他货币资金明细表(人民币及外币)E1-3'!$Z$19:$Z$21)+SUMIF('银行存款及其他货币资金明细表(人民币及外币)E1-3'!$E$38,$A58,'银行存款及其他货币资金明细表(人民币及外币)E1-3'!$Z$38:$Z$40)</f>
        <v>0</v>
      </c>
      <c r="F58" s="277"/>
      <c r="G58" s="56">
        <f>SUMIF('银行存款及其他货币资金明细表(人民币及外币)E1-3'!$E$23:$E$28,A58,'银行存款及其他货币资金明细表(人民币及外币)E1-3'!$G$23:$G$28)+SUMIF('银行存款及其他货币资金明细表(人民币及外币)E1-3'!$G$38:$G$40,A58,'银行存款及其他货币资金明细表(人民币及外币)E1-3'!$G$38:$G$40)</f>
        <v>0</v>
      </c>
    </row>
    <row r="59" spans="1:7" ht="19.95" customHeight="1">
      <c r="A59" s="166" t="s">
        <v>175</v>
      </c>
      <c r="B59" s="69">
        <f ca="1">SUMIF('银行存款及其他货币资金明细表(人民币及外币)E1-3'!$E$23:$E$28,'附注披露信息(上市公司)'!$A59,'银行存款及其他货币资金明细表(人民币及外币)E1-3'!$AB$19:$AB$21)+SUMIF('银行存款及其他货币资金明细表(人民币及外币)E1-3'!$E$38,$A59,'银行存款及其他货币资金明细表(人民币及外币)E1-3'!$AB$38:$AB$40)</f>
        <v>0</v>
      </c>
      <c r="C59" s="277" t="e">
        <f>VLOOKUP(A59,'银行存款及其他货币资金明细表(人民币及外币)E1-3'!$E:$F,2,FALSE)</f>
        <v>#N/A</v>
      </c>
      <c r="D59" s="69">
        <f>SUMIF('银行存款及其他货币资金明细表(人民币及外币)E1-3'!$E$23:$E$28,A59,'银行存款及其他货币资金明细表(人民币及外币)E1-3'!$AB$23:$AB$28)+SUMIF('银行存款及其他货币资金明细表(人民币及外币)E1-3'!$E$38:$E$40,A59,'银行存款及其他货币资金明细表(人民币及外币)E1-3'!$AB$38:$AB$40)</f>
        <v>0</v>
      </c>
      <c r="E59" s="69">
        <f ca="1">SUMIF('银行存款及其他货币资金明细表(人民币及外币)E1-3'!$E$23:$E$28,'附注披露信息(上市公司)'!$A59,'银行存款及其他货币资金明细表(人民币及外币)E1-3'!$Z$19:$Z$21)+SUMIF('银行存款及其他货币资金明细表(人民币及外币)E1-3'!$E$38,$A59,'银行存款及其他货币资金明细表(人民币及外币)E1-3'!$Z$38:$Z$40)</f>
        <v>0</v>
      </c>
      <c r="F59" s="277"/>
      <c r="G59" s="56">
        <f>SUMIF('银行存款及其他货币资金明细表(人民币及外币)E1-3'!$E$23:$E$28,A59,'银行存款及其他货币资金明细表(人民币及外币)E1-3'!$G$23:$G$28)+SUMIF('银行存款及其他货币资金明细表(人民币及外币)E1-3'!$G$38:$G$40,A59,'银行存款及其他货币资金明细表(人民币及外币)E1-3'!$G$38:$G$40)</f>
        <v>0</v>
      </c>
    </row>
    <row r="60" spans="1:7" ht="19.95" customHeight="1">
      <c r="A60" s="166" t="s">
        <v>176</v>
      </c>
      <c r="B60" s="69">
        <f ca="1">SUMIF('银行存款及其他货币资金明细表(人民币及外币)E1-3'!$E$23:$E$28,'附注披露信息(上市公司)'!$A60,'银行存款及其他货币资金明细表(人民币及外币)E1-3'!$AB$19:$AB$21)+SUMIF('银行存款及其他货币资金明细表(人民币及外币)E1-3'!$E$38,$A60,'银行存款及其他货币资金明细表(人民币及外币)E1-3'!$AB$38:$AB$40)</f>
        <v>0</v>
      </c>
      <c r="C60" s="277" t="e">
        <f>VLOOKUP(A60,'银行存款及其他货币资金明细表(人民币及外币)E1-3'!$E:$F,2,FALSE)</f>
        <v>#N/A</v>
      </c>
      <c r="D60" s="69">
        <f>SUMIF('银行存款及其他货币资金明细表(人民币及外币)E1-3'!$E$23:$E$28,A60,'银行存款及其他货币资金明细表(人民币及外币)E1-3'!$AB$23:$AB$28)+SUMIF('银行存款及其他货币资金明细表(人民币及外币)E1-3'!$E$38:$E$40,A60,'银行存款及其他货币资金明细表(人民币及外币)E1-3'!$AB$38:$AB$40)</f>
        <v>0</v>
      </c>
      <c r="E60" s="69">
        <f ca="1">SUMIF('银行存款及其他货币资金明细表(人民币及外币)E1-3'!$E$23:$E$28,'附注披露信息(上市公司)'!$A60,'银行存款及其他货币资金明细表(人民币及外币)E1-3'!$Z$19:$Z$21)+SUMIF('银行存款及其他货币资金明细表(人民币及外币)E1-3'!$E$38,$A60,'银行存款及其他货币资金明细表(人民币及外币)E1-3'!$Z$38:$Z$40)</f>
        <v>0</v>
      </c>
      <c r="F60" s="277"/>
      <c r="G60" s="56">
        <f>SUMIF('银行存款及其他货币资金明细表(人民币及外币)E1-3'!$E$23:$E$28,A60,'银行存款及其他货币资金明细表(人民币及外币)E1-3'!$G$23:$G$28)+SUMIF('银行存款及其他货币资金明细表(人民币及外币)E1-3'!$G$38:$G$40,A60,'银行存款及其他货币资金明细表(人民币及外币)E1-3'!$G$38:$G$40)</f>
        <v>0</v>
      </c>
    </row>
    <row r="61" spans="1:7" ht="19.95" customHeight="1" thickBot="1">
      <c r="A61" s="171" t="s">
        <v>177</v>
      </c>
      <c r="B61" s="69">
        <f ca="1">SUMIF('银行存款及其他货币资金明细表(人民币及外币)E1-3'!$E$23:$E$28,'附注披露信息(上市公司)'!$A61,'银行存款及其他货币资金明细表(人民币及外币)E1-3'!$AB$19:$AB$21)+SUMIF('银行存款及其他货币资金明细表(人民币及外币)E1-3'!$E$38,$A61,'银行存款及其他货币资金明细表(人民币及外币)E1-3'!$AB$38:$AB$40)</f>
        <v>0</v>
      </c>
      <c r="C61" s="277" t="e">
        <f>VLOOKUP(A61,'银行存款及其他货币资金明细表(人民币及外币)E1-3'!$E:$F,2,FALSE)</f>
        <v>#N/A</v>
      </c>
      <c r="D61" s="69">
        <f>SUMIF('银行存款及其他货币资金明细表(人民币及外币)E1-3'!$E$23:$E$28,A61,'银行存款及其他货币资金明细表(人民币及外币)E1-3'!$AB$23:$AB$28)+SUMIF('银行存款及其他货币资金明细表(人民币及外币)E1-3'!$E$38:$E$40,A61,'银行存款及其他货币资金明细表(人民币及外币)E1-3'!$AB$38:$AB$40)</f>
        <v>0</v>
      </c>
      <c r="E61" s="69">
        <f ca="1">SUMIF('银行存款及其他货币资金明细表(人民币及外币)E1-3'!$E$23:$E$28,'附注披露信息(上市公司)'!$A61,'银行存款及其他货币资金明细表(人民币及外币)E1-3'!$Z$19:$Z$21)+SUMIF('银行存款及其他货币资金明细表(人民币及外币)E1-3'!$E$38,$A61,'银行存款及其他货币资金明细表(人民币及外币)E1-3'!$Z$38:$Z$40)</f>
        <v>0</v>
      </c>
      <c r="F61" s="277"/>
      <c r="G61" s="56">
        <f>SUMIF('银行存款及其他货币资金明细表(人民币及外币)E1-3'!$E$23:$E$28,A61,'银行存款及其他货币资金明细表(人民币及外币)E1-3'!$G$23:$G$28)+SUMIF('银行存款及其他货币资金明细表(人民币及外币)E1-3'!$G$38:$G$40,A61,'银行存款及其他货币资金明细表(人民币及外币)E1-3'!$G$38:$G$40)</f>
        <v>0</v>
      </c>
    </row>
    <row r="62" spans="1:7" ht="19.95" customHeight="1">
      <c r="A62" s="172" t="s">
        <v>182</v>
      </c>
      <c r="B62" s="57"/>
      <c r="C62" s="57"/>
      <c r="D62" s="58">
        <f ca="1">D56+D50+D44+D38</f>
        <v>0</v>
      </c>
      <c r="E62" s="58"/>
      <c r="F62" s="58"/>
      <c r="G62" s="58">
        <f>G56+G50+G44+G38</f>
        <v>0</v>
      </c>
    </row>
  </sheetData>
  <mergeCells count="6">
    <mergeCell ref="A1:G1"/>
    <mergeCell ref="A2:G2"/>
    <mergeCell ref="B26:D26"/>
    <mergeCell ref="E26:G26"/>
    <mergeCell ref="B36:D36"/>
    <mergeCell ref="E36:G36"/>
  </mergeCells>
  <phoneticPr fontId="1" type="noConversion"/>
  <printOptions horizontalCentered="1"/>
  <pageMargins left="0.70866141732283461" right="0.70866141732283461" top="0.74803149606299213" bottom="0.74803149606299213" header="0.31496062992125984" footer="0.31496062992125984"/>
  <pageSetup paperSize="9" scale="82" fitToHeight="10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47"/>
  <sheetViews>
    <sheetView view="pageBreakPreview" zoomScaleSheetLayoutView="100" workbookViewId="0">
      <selection sqref="A1:J1"/>
    </sheetView>
  </sheetViews>
  <sheetFormatPr defaultColWidth="9" defaultRowHeight="19.95" customHeight="1"/>
  <cols>
    <col min="1" max="1" width="25.5546875" style="14" customWidth="1"/>
    <col min="2" max="2" width="14.109375" style="14" customWidth="1"/>
    <col min="3" max="3" width="9.77734375" style="14" customWidth="1"/>
    <col min="4" max="4" width="13.88671875" style="14" customWidth="1"/>
    <col min="5" max="5" width="14" style="14" customWidth="1"/>
    <col min="6" max="6" width="13.44140625" style="14" customWidth="1"/>
    <col min="7" max="7" width="14.77734375" style="14" customWidth="1"/>
    <col min="8" max="8" width="13.109375" style="14" customWidth="1"/>
    <col min="9" max="9" width="9.6640625" style="14" customWidth="1"/>
    <col min="10" max="10" width="5" style="14" customWidth="1"/>
    <col min="11" max="16384" width="9" style="14"/>
  </cols>
  <sheetData>
    <row r="1" spans="1:10" s="13" customFormat="1" ht="19.95" customHeight="1">
      <c r="A1" s="467" t="s">
        <v>1</v>
      </c>
      <c r="B1" s="467"/>
      <c r="C1" s="467"/>
      <c r="D1" s="467"/>
      <c r="E1" s="467"/>
      <c r="F1" s="467"/>
      <c r="G1" s="467"/>
      <c r="H1" s="467"/>
      <c r="I1" s="467"/>
      <c r="J1" s="467"/>
    </row>
    <row r="2" spans="1:10" s="13" customFormat="1" ht="19.95" customHeight="1">
      <c r="A2" s="466" t="s">
        <v>4</v>
      </c>
      <c r="B2" s="466"/>
      <c r="C2" s="466"/>
      <c r="D2" s="466"/>
      <c r="E2" s="466"/>
      <c r="F2" s="466"/>
      <c r="G2" s="466"/>
      <c r="H2" s="466"/>
      <c r="I2" s="466"/>
      <c r="J2" s="466"/>
    </row>
    <row r="3" spans="1:10" ht="19.95" customHeight="1">
      <c r="A3" s="14" t="str">
        <f>底稿目录!A2</f>
        <v>被审计单位：</v>
      </c>
      <c r="D3" s="15" t="str">
        <f>底稿目录!A4</f>
        <v>编制人：</v>
      </c>
      <c r="G3" s="14" t="str">
        <f>底稿目录!A5</f>
        <v>编制日期：</v>
      </c>
      <c r="I3" s="98" t="s">
        <v>19</v>
      </c>
      <c r="J3" s="381" t="s">
        <v>103</v>
      </c>
    </row>
    <row r="4" spans="1:10" ht="19.95" customHeight="1">
      <c r="A4" s="14" t="str">
        <f>底稿目录!A3</f>
        <v>截止日：202X年12月31日</v>
      </c>
      <c r="B4" s="16"/>
      <c r="D4" s="15" t="str">
        <f>底稿目录!A6</f>
        <v>复核人：</v>
      </c>
      <c r="G4" s="14" t="str">
        <f>底稿目录!A7</f>
        <v>复核日期：</v>
      </c>
      <c r="I4" s="98" t="s">
        <v>60</v>
      </c>
      <c r="J4" s="17"/>
    </row>
    <row r="5" spans="1:10" s="63" customFormat="1" ht="19.95" customHeight="1">
      <c r="A5" s="463" t="s">
        <v>203</v>
      </c>
      <c r="B5" s="463" t="s">
        <v>204</v>
      </c>
      <c r="C5" s="463"/>
      <c r="D5" s="463"/>
      <c r="E5" s="463" t="s">
        <v>205</v>
      </c>
      <c r="F5" s="463"/>
      <c r="G5" s="463"/>
      <c r="H5" s="464" t="s">
        <v>206</v>
      </c>
      <c r="I5" s="465"/>
      <c r="J5" s="463" t="s">
        <v>207</v>
      </c>
    </row>
    <row r="6" spans="1:10" s="63" customFormat="1" ht="19.95" customHeight="1">
      <c r="A6" s="463"/>
      <c r="B6" s="395" t="s">
        <v>208</v>
      </c>
      <c r="C6" s="395" t="s">
        <v>209</v>
      </c>
      <c r="D6" s="395" t="s">
        <v>210</v>
      </c>
      <c r="E6" s="395" t="s">
        <v>208</v>
      </c>
      <c r="F6" s="395" t="s">
        <v>209</v>
      </c>
      <c r="G6" s="395" t="s">
        <v>210</v>
      </c>
      <c r="H6" s="184" t="s">
        <v>211</v>
      </c>
      <c r="I6" s="396" t="s">
        <v>212</v>
      </c>
      <c r="J6" s="463"/>
    </row>
    <row r="7" spans="1:10" s="63" customFormat="1" ht="19.95" customHeight="1">
      <c r="A7" s="185" t="s">
        <v>213</v>
      </c>
      <c r="B7" s="116">
        <f>'现金明细表E1-2'!B22</f>
        <v>0</v>
      </c>
      <c r="C7" s="126"/>
      <c r="D7" s="116">
        <f>B7+C7</f>
        <v>0</v>
      </c>
      <c r="E7" s="407">
        <f>'现金明细表E1-2'!G22</f>
        <v>0</v>
      </c>
      <c r="F7" s="407">
        <f>G7-E7</f>
        <v>0</v>
      </c>
      <c r="G7" s="407">
        <f>'现金明细表E1-2'!I22</f>
        <v>0</v>
      </c>
      <c r="H7" s="114">
        <f>G7-D7</f>
        <v>0</v>
      </c>
      <c r="I7" s="115">
        <f t="shared" ref="I7:I19" si="0">IF(AND(D7=0,G7=0),0,IF(AND(D7=0,G7&gt;0),1,H7/D7))</f>
        <v>0</v>
      </c>
      <c r="J7" s="96"/>
    </row>
    <row r="8" spans="1:10" s="63" customFormat="1" ht="19.95" customHeight="1">
      <c r="A8" s="185" t="s">
        <v>214</v>
      </c>
      <c r="B8" s="116">
        <f>B9+B10</f>
        <v>0</v>
      </c>
      <c r="C8" s="116">
        <f>C9+C10</f>
        <v>0</v>
      </c>
      <c r="D8" s="116">
        <f>B8+C8</f>
        <v>0</v>
      </c>
      <c r="E8" s="116">
        <f>E9+E10</f>
        <v>0</v>
      </c>
      <c r="F8" s="116">
        <f>F9+F10</f>
        <v>0</v>
      </c>
      <c r="G8" s="116">
        <f t="shared" ref="G8:G11" si="1">E8+F8</f>
        <v>0</v>
      </c>
      <c r="H8" s="114">
        <f>G8-D8</f>
        <v>0</v>
      </c>
      <c r="I8" s="115">
        <f t="shared" si="0"/>
        <v>0</v>
      </c>
      <c r="J8" s="96"/>
    </row>
    <row r="9" spans="1:10" s="63" customFormat="1" ht="19.95" customHeight="1">
      <c r="A9" s="186" t="s">
        <v>215</v>
      </c>
      <c r="B9" s="114">
        <f>'银行存款及其他货币资金明细表(人民币及外币)E1-3'!H18</f>
        <v>0</v>
      </c>
      <c r="C9" s="114">
        <f>'银行存款及其他货币资金明细表(人民币及外币)E1-3'!V18</f>
        <v>0</v>
      </c>
      <c r="D9" s="114">
        <f t="shared" ref="D9:D11" si="2">B9+C9</f>
        <v>0</v>
      </c>
      <c r="E9" s="114">
        <f>'银行存款及其他货币资金明细表(人民币及外币)E1-3'!R18</f>
        <v>0</v>
      </c>
      <c r="F9" s="114">
        <f>'银行存款及其他货币资金明细表(人民币及外币)E1-3'!X18</f>
        <v>0</v>
      </c>
      <c r="G9" s="114">
        <f t="shared" si="1"/>
        <v>0</v>
      </c>
      <c r="H9" s="114">
        <f>G9-D9</f>
        <v>0</v>
      </c>
      <c r="I9" s="115">
        <f t="shared" si="0"/>
        <v>0</v>
      </c>
      <c r="J9" s="96"/>
    </row>
    <row r="10" spans="1:10" s="63" customFormat="1" ht="19.95" customHeight="1">
      <c r="A10" s="186" t="s">
        <v>216</v>
      </c>
      <c r="B10" s="114">
        <f>'银行存款及其他货币资金明细表(人民币及外币)E1-3'!H12</f>
        <v>0</v>
      </c>
      <c r="C10" s="114">
        <f>'银行存款及其他货币资金明细表(人民币及外币)E1-3'!V12</f>
        <v>0</v>
      </c>
      <c r="D10" s="114">
        <f>B10+C10</f>
        <v>0</v>
      </c>
      <c r="E10" s="114">
        <f>'银行存款及其他货币资金明细表(人民币及外币)E1-3'!R12</f>
        <v>0</v>
      </c>
      <c r="F10" s="114">
        <f>'银行存款及其他货币资金明细表(人民币及外币)E1-3'!X12</f>
        <v>0</v>
      </c>
      <c r="G10" s="114">
        <f>E10+F10</f>
        <v>0</v>
      </c>
      <c r="H10" s="114">
        <f>G10-D10</f>
        <v>0</v>
      </c>
      <c r="I10" s="115">
        <f t="shared" si="0"/>
        <v>0</v>
      </c>
      <c r="J10" s="96"/>
    </row>
    <row r="11" spans="1:10" s="63" customFormat="1" ht="19.95" customHeight="1">
      <c r="A11" s="185" t="s">
        <v>217</v>
      </c>
      <c r="B11" s="116">
        <f>'银行存款及其他货币资金明细表(人民币及外币)E1-3'!H22</f>
        <v>0</v>
      </c>
      <c r="C11" s="116">
        <f>'银行存款及其他货币资金明细表(人民币及外币)E1-3'!V22</f>
        <v>0</v>
      </c>
      <c r="D11" s="116">
        <f t="shared" si="2"/>
        <v>0</v>
      </c>
      <c r="E11" s="116">
        <f>'银行存款及其他货币资金明细表(人民币及外币)E1-3'!R22</f>
        <v>0</v>
      </c>
      <c r="F11" s="116">
        <f>'银行存款及其他货币资金明细表(人民币及外币)E1-3'!X22</f>
        <v>0</v>
      </c>
      <c r="G11" s="116">
        <f t="shared" si="1"/>
        <v>0</v>
      </c>
      <c r="H11" s="116">
        <f t="shared" ref="H11:H16" si="3">G11-D11</f>
        <v>0</v>
      </c>
      <c r="I11" s="115">
        <f t="shared" si="0"/>
        <v>0</v>
      </c>
      <c r="J11" s="96"/>
    </row>
    <row r="12" spans="1:10" s="63" customFormat="1" ht="19.95" customHeight="1">
      <c r="A12" s="185" t="s">
        <v>218</v>
      </c>
      <c r="B12" s="116"/>
      <c r="C12" s="116"/>
      <c r="D12" s="116">
        <f t="shared" ref="D12" si="4">B12+C12</f>
        <v>0</v>
      </c>
      <c r="E12" s="116"/>
      <c r="F12" s="116"/>
      <c r="G12" s="116">
        <f t="shared" ref="G12" si="5">E12+F12</f>
        <v>0</v>
      </c>
      <c r="H12" s="116">
        <f t="shared" ref="H12" si="6">G12-D12</f>
        <v>0</v>
      </c>
      <c r="I12" s="115">
        <f t="shared" ref="I12" si="7">IF(AND(D12=0,G12=0),0,IF(AND(D12=0,G12&gt;0),1,H12/D12))</f>
        <v>0</v>
      </c>
      <c r="J12" s="96"/>
    </row>
    <row r="13" spans="1:10" s="63" customFormat="1" ht="19.95" customHeight="1">
      <c r="A13" s="186" t="s">
        <v>219</v>
      </c>
      <c r="B13" s="116">
        <f>SUM(B14:B17)</f>
        <v>0</v>
      </c>
      <c r="C13" s="116">
        <f t="shared" ref="C13:D13" si="8">SUM(C14:C17)</f>
        <v>0</v>
      </c>
      <c r="D13" s="116">
        <f t="shared" si="8"/>
        <v>0</v>
      </c>
      <c r="E13" s="116">
        <f t="shared" ref="E13" si="9">SUM(E14:E17)</f>
        <v>0</v>
      </c>
      <c r="F13" s="116">
        <f t="shared" ref="F13" si="10">SUM(F14:F17)</f>
        <v>0</v>
      </c>
      <c r="G13" s="116">
        <f t="shared" ref="G13" si="11">SUM(G14:G17)</f>
        <v>0</v>
      </c>
      <c r="H13" s="114">
        <f t="shared" si="3"/>
        <v>0</v>
      </c>
      <c r="I13" s="115">
        <f t="shared" si="0"/>
        <v>0</v>
      </c>
      <c r="J13" s="96"/>
    </row>
    <row r="14" spans="1:10" s="63" customFormat="1" ht="19.95" customHeight="1">
      <c r="A14" s="186" t="s">
        <v>220</v>
      </c>
      <c r="B14" s="114">
        <f>'银行存款及其他货币资金明细表(人民币及外币)E1-3'!H34</f>
        <v>0</v>
      </c>
      <c r="C14" s="114">
        <f>'银行存款及其他货币资金明细表(人民币及外币)E1-3'!V34</f>
        <v>0</v>
      </c>
      <c r="D14" s="114">
        <f t="shared" ref="D14:D19" si="12">B14+C14</f>
        <v>0</v>
      </c>
      <c r="E14" s="114">
        <f>'银行存款及其他货币资金明细表(人民币及外币)E1-3'!R34</f>
        <v>0</v>
      </c>
      <c r="F14" s="114">
        <f>'银行存款及其他货币资金明细表(人民币及外币)E1-3'!X34</f>
        <v>0</v>
      </c>
      <c r="G14" s="114">
        <f>E14+F14</f>
        <v>0</v>
      </c>
      <c r="H14" s="114">
        <f t="shared" si="3"/>
        <v>0</v>
      </c>
      <c r="I14" s="115">
        <f t="shared" si="0"/>
        <v>0</v>
      </c>
      <c r="J14" s="96"/>
    </row>
    <row r="15" spans="1:10" s="63" customFormat="1" ht="19.95" customHeight="1">
      <c r="A15" s="186" t="s">
        <v>216</v>
      </c>
      <c r="B15" s="114">
        <f>'银行存款及其他货币资金明细表(人民币及外币)E1-3'!H31</f>
        <v>0</v>
      </c>
      <c r="C15" s="114">
        <f>'银行存款及其他货币资金明细表(人民币及外币)E1-3'!V31</f>
        <v>0</v>
      </c>
      <c r="D15" s="114">
        <f t="shared" si="12"/>
        <v>0</v>
      </c>
      <c r="E15" s="114">
        <f>'银行存款及其他货币资金明细表(人民币及外币)E1-3'!R31</f>
        <v>0</v>
      </c>
      <c r="F15" s="114">
        <f>'银行存款及其他货币资金明细表(人民币及外币)E1-3'!X31</f>
        <v>0</v>
      </c>
      <c r="G15" s="114">
        <f>E15+F15</f>
        <v>0</v>
      </c>
      <c r="H15" s="114">
        <f t="shared" si="3"/>
        <v>0</v>
      </c>
      <c r="I15" s="115">
        <f t="shared" si="0"/>
        <v>0</v>
      </c>
      <c r="J15" s="96"/>
    </row>
    <row r="16" spans="1:10" s="63" customFormat="1" ht="19.95" customHeight="1">
      <c r="A16" s="186" t="s">
        <v>221</v>
      </c>
      <c r="B16" s="114">
        <f>'银行存款及其他货币资金明细表(人民币及外币)E1-3'!H37</f>
        <v>0</v>
      </c>
      <c r="C16" s="114">
        <f>'银行存款及其他货币资金明细表(人民币及外币)E1-3'!V37</f>
        <v>0</v>
      </c>
      <c r="D16" s="114">
        <f t="shared" si="12"/>
        <v>0</v>
      </c>
      <c r="E16" s="114">
        <f>'银行存款及其他货币资金明细表(人民币及外币)E1-3'!R37</f>
        <v>0</v>
      </c>
      <c r="F16" s="114">
        <f>'银行存款及其他货币资金明细表(人民币及外币)E1-3'!X37</f>
        <v>0</v>
      </c>
      <c r="G16" s="114">
        <f>E16+F16</f>
        <v>0</v>
      </c>
      <c r="H16" s="114">
        <f t="shared" si="3"/>
        <v>0</v>
      </c>
      <c r="I16" s="115">
        <f t="shared" si="0"/>
        <v>0</v>
      </c>
      <c r="J16" s="96"/>
    </row>
    <row r="17" spans="1:10" s="63" customFormat="1" ht="19.95" customHeight="1">
      <c r="A17" s="186" t="s">
        <v>222</v>
      </c>
      <c r="B17" s="114"/>
      <c r="C17" s="114"/>
      <c r="D17" s="114">
        <f t="shared" si="12"/>
        <v>0</v>
      </c>
      <c r="E17" s="114"/>
      <c r="F17" s="114"/>
      <c r="G17" s="114">
        <f>E17+F17</f>
        <v>0</v>
      </c>
      <c r="H17" s="114">
        <f t="shared" ref="H17" si="13">G17-D17</f>
        <v>0</v>
      </c>
      <c r="I17" s="115">
        <f t="shared" ref="I17" si="14">IF(AND(D17=0,G17=0),0,IF(AND(D17=0,G17&gt;0),1,H17/D17))</f>
        <v>0</v>
      </c>
      <c r="J17" s="96"/>
    </row>
    <row r="18" spans="1:10" s="63" customFormat="1" ht="19.95" customHeight="1">
      <c r="A18" s="187" t="s">
        <v>223</v>
      </c>
      <c r="B18" s="116">
        <f>B7+B8+B11+B12+B13</f>
        <v>0</v>
      </c>
      <c r="C18" s="116">
        <f>C7+C8+C11+C12+C13</f>
        <v>0</v>
      </c>
      <c r="D18" s="116">
        <f t="shared" si="12"/>
        <v>0</v>
      </c>
      <c r="E18" s="116">
        <f>E7+E8+E11+E12+E13</f>
        <v>0</v>
      </c>
      <c r="F18" s="116">
        <f>F7+F8+F11+F12+F13</f>
        <v>0</v>
      </c>
      <c r="G18" s="116">
        <f>G7+G8+G11+G12+G13</f>
        <v>0</v>
      </c>
      <c r="H18" s="116">
        <f>H7+H8+H11+H12+H13</f>
        <v>0</v>
      </c>
      <c r="I18" s="115">
        <f t="shared" si="0"/>
        <v>0</v>
      </c>
      <c r="J18" s="97"/>
    </row>
    <row r="19" spans="1:10" s="63" customFormat="1" ht="19.95" customHeight="1">
      <c r="A19" s="287" t="s">
        <v>224</v>
      </c>
      <c r="B19" s="86">
        <f>'现金明细表E1-2'!B23+'银行存款及其他货币资金明细表(人民币及外币)E1-3'!H46</f>
        <v>0</v>
      </c>
      <c r="C19" s="86"/>
      <c r="D19" s="114">
        <f t="shared" si="12"/>
        <v>0</v>
      </c>
      <c r="E19" s="86">
        <f>'现金明细表E1-2'!E23+'银行存款及其他货币资金明细表(人民币及外币)E1-3'!R46</f>
        <v>0</v>
      </c>
      <c r="F19" s="86">
        <f>'现金明细表E1-2'!F23+'银行存款及其他货币资金明细表(人民币及外币)E1-3'!X46</f>
        <v>0</v>
      </c>
      <c r="G19" s="114">
        <f>E19+F19</f>
        <v>0</v>
      </c>
      <c r="H19" s="114">
        <f>G19-D19</f>
        <v>0</v>
      </c>
      <c r="I19" s="115">
        <f t="shared" si="0"/>
        <v>0</v>
      </c>
      <c r="J19" s="97"/>
    </row>
    <row r="20" spans="1:10" s="63" customFormat="1" ht="19.95" customHeight="1">
      <c r="A20" s="399" t="s">
        <v>225</v>
      </c>
      <c r="B20" s="86"/>
      <c r="C20" s="86"/>
      <c r="D20" s="86"/>
      <c r="E20" s="86"/>
      <c r="F20" s="86"/>
      <c r="G20" s="86"/>
      <c r="H20" s="86"/>
      <c r="I20" s="400"/>
      <c r="J20" s="97"/>
    </row>
    <row r="21" spans="1:10" s="63" customFormat="1" ht="19.95" customHeight="1">
      <c r="A21" s="399" t="s">
        <v>226</v>
      </c>
      <c r="B21" s="86"/>
      <c r="C21" s="86"/>
      <c r="D21" s="114">
        <f>D18-D20</f>
        <v>0</v>
      </c>
      <c r="E21" s="86"/>
      <c r="F21" s="86"/>
      <c r="G21" s="114">
        <f>G18-G20</f>
        <v>0</v>
      </c>
      <c r="H21" s="86"/>
      <c r="I21" s="400"/>
      <c r="J21" s="97"/>
    </row>
    <row r="22" spans="1:10" ht="19.95" customHeight="1">
      <c r="B22" s="15"/>
      <c r="C22" s="15"/>
      <c r="D22" s="15"/>
      <c r="E22" s="15"/>
      <c r="F22" s="15"/>
      <c r="G22" s="401"/>
      <c r="H22" s="402"/>
      <c r="I22" s="402"/>
      <c r="J22" s="402"/>
    </row>
    <row r="23" spans="1:10" s="63" customFormat="1" ht="19.95" customHeight="1">
      <c r="A23" s="463" t="s">
        <v>227</v>
      </c>
      <c r="B23" s="463" t="s">
        <v>204</v>
      </c>
      <c r="C23" s="463"/>
      <c r="D23" s="463"/>
      <c r="E23" s="463" t="s">
        <v>205</v>
      </c>
      <c r="F23" s="463"/>
      <c r="G23" s="463"/>
      <c r="H23" s="464" t="s">
        <v>206</v>
      </c>
      <c r="I23" s="465"/>
      <c r="J23" s="463" t="s">
        <v>207</v>
      </c>
    </row>
    <row r="24" spans="1:10" s="63" customFormat="1" ht="19.95" customHeight="1">
      <c r="A24" s="463"/>
      <c r="B24" s="395" t="s">
        <v>208</v>
      </c>
      <c r="C24" s="395" t="s">
        <v>209</v>
      </c>
      <c r="D24" s="395" t="s">
        <v>210</v>
      </c>
      <c r="E24" s="395" t="s">
        <v>208</v>
      </c>
      <c r="F24" s="395" t="s">
        <v>209</v>
      </c>
      <c r="G24" s="395" t="s">
        <v>210</v>
      </c>
      <c r="H24" s="184" t="s">
        <v>211</v>
      </c>
      <c r="I24" s="396" t="s">
        <v>212</v>
      </c>
      <c r="J24" s="463"/>
    </row>
    <row r="25" spans="1:10" s="63" customFormat="1" ht="19.95" customHeight="1">
      <c r="A25" s="185" t="s">
        <v>213</v>
      </c>
      <c r="B25" s="116">
        <f>'现金明细表E1-2'!B22</f>
        <v>0</v>
      </c>
      <c r="C25" s="90"/>
      <c r="D25" s="114">
        <f>B25+C25</f>
        <v>0</v>
      </c>
      <c r="E25" s="408">
        <f>'现金明细表E1-2'!G22</f>
        <v>0</v>
      </c>
      <c r="F25" s="407">
        <f>G25-E25</f>
        <v>0</v>
      </c>
      <c r="G25" s="408">
        <f>'现金明细表E1-2'!I22</f>
        <v>0</v>
      </c>
      <c r="H25" s="114">
        <f>G25-D25</f>
        <v>0</v>
      </c>
      <c r="I25" s="115">
        <f t="shared" ref="I25:I37" si="15">IF(AND(D25=0,G25=0),0,IF(AND(D25=0,G25&gt;0),1,H25/D25))</f>
        <v>0</v>
      </c>
      <c r="J25" s="96"/>
    </row>
    <row r="26" spans="1:10" s="63" customFormat="1" ht="19.95" customHeight="1">
      <c r="A26" s="185" t="s">
        <v>214</v>
      </c>
      <c r="B26" s="116">
        <f>B27+B28</f>
        <v>0</v>
      </c>
      <c r="C26" s="116">
        <f>C27+C28</f>
        <v>0</v>
      </c>
      <c r="D26" s="116">
        <f>B26+C26</f>
        <v>0</v>
      </c>
      <c r="E26" s="116">
        <f>E27+E28</f>
        <v>0</v>
      </c>
      <c r="F26" s="116">
        <f>F27+F28</f>
        <v>0</v>
      </c>
      <c r="G26" s="116">
        <f t="shared" ref="G26" si="16">E26+F26</f>
        <v>0</v>
      </c>
      <c r="H26" s="114">
        <f>G26-D26</f>
        <v>0</v>
      </c>
      <c r="I26" s="115">
        <f t="shared" si="15"/>
        <v>0</v>
      </c>
      <c r="J26" s="96"/>
    </row>
    <row r="27" spans="1:10" s="63" customFormat="1" ht="19.95" customHeight="1">
      <c r="A27" s="186" t="s">
        <v>215</v>
      </c>
      <c r="B27" s="114">
        <f>'银行存款及其他货币资金明细表(仅人民币)E1-3'!E22</f>
        <v>0</v>
      </c>
      <c r="C27" s="90"/>
      <c r="D27" s="114">
        <f t="shared" ref="D27" si="17">B27+C27</f>
        <v>0</v>
      </c>
      <c r="E27" s="114">
        <f>'银行存款及其他货币资金明细表(仅人民币)E1-3'!H22</f>
        <v>0</v>
      </c>
      <c r="F27" s="114">
        <f>'银行存款及其他货币资金明细表(仅人民币)E1-3'!I22</f>
        <v>0</v>
      </c>
      <c r="G27" s="114">
        <f t="shared" ref="G27" si="18">E27+F27</f>
        <v>0</v>
      </c>
      <c r="H27" s="114">
        <f>G27-D27</f>
        <v>0</v>
      </c>
      <c r="I27" s="115">
        <f t="shared" si="15"/>
        <v>0</v>
      </c>
      <c r="J27" s="96"/>
    </row>
    <row r="28" spans="1:10" s="63" customFormat="1" ht="19.95" customHeight="1">
      <c r="A28" s="186" t="s">
        <v>216</v>
      </c>
      <c r="B28" s="114">
        <f>'银行存款及其他货币资金明细表(仅人民币)E1-3'!E12</f>
        <v>0</v>
      </c>
      <c r="C28" s="90"/>
      <c r="D28" s="114">
        <f>B28+C28</f>
        <v>0</v>
      </c>
      <c r="E28" s="114">
        <f>'银行存款及其他货币资金明细表(仅人民币)E1-3'!H12</f>
        <v>0</v>
      </c>
      <c r="F28" s="114">
        <f>'银行存款及其他货币资金明细表(仅人民币)E1-3'!I12</f>
        <v>0</v>
      </c>
      <c r="G28" s="114">
        <f>E28+F28</f>
        <v>0</v>
      </c>
      <c r="H28" s="114">
        <f>G28-D28</f>
        <v>0</v>
      </c>
      <c r="I28" s="115">
        <f t="shared" si="15"/>
        <v>0</v>
      </c>
      <c r="J28" s="96"/>
    </row>
    <row r="29" spans="1:10" s="63" customFormat="1" ht="19.95" customHeight="1">
      <c r="A29" s="185" t="s">
        <v>217</v>
      </c>
      <c r="B29" s="116">
        <f>'银行存款及其他货币资金明细表(仅人民币)E1-3'!E26</f>
        <v>0</v>
      </c>
      <c r="C29" s="127"/>
      <c r="D29" s="116">
        <f t="shared" ref="D29" si="19">B29+C29</f>
        <v>0</v>
      </c>
      <c r="E29" s="116">
        <f>'银行存款及其他货币资金明细表(仅人民币)E1-3'!H26</f>
        <v>0</v>
      </c>
      <c r="F29" s="116">
        <f>'银行存款及其他货币资金明细表(仅人民币)E1-3'!I26</f>
        <v>0</v>
      </c>
      <c r="G29" s="116">
        <f t="shared" ref="G29" si="20">E29+F29</f>
        <v>0</v>
      </c>
      <c r="H29" s="116">
        <f t="shared" ref="H29:H34" si="21">G29-D29</f>
        <v>0</v>
      </c>
      <c r="I29" s="115">
        <f t="shared" si="15"/>
        <v>0</v>
      </c>
      <c r="J29" s="96"/>
    </row>
    <row r="30" spans="1:10" s="63" customFormat="1" ht="19.95" customHeight="1">
      <c r="A30" s="185" t="s">
        <v>218</v>
      </c>
      <c r="B30" s="116"/>
      <c r="C30" s="127"/>
      <c r="D30" s="116">
        <f t="shared" ref="D30" si="22">B30+C30</f>
        <v>0</v>
      </c>
      <c r="E30" s="116"/>
      <c r="F30" s="116"/>
      <c r="G30" s="116">
        <f t="shared" ref="G30" si="23">E30+F30</f>
        <v>0</v>
      </c>
      <c r="H30" s="116">
        <f t="shared" ref="H30" si="24">G30-D30</f>
        <v>0</v>
      </c>
      <c r="I30" s="115">
        <f t="shared" ref="I30" si="25">IF(AND(D30=0,G30=0),0,IF(AND(D30=0,G30&gt;0),1,H30/D30))</f>
        <v>0</v>
      </c>
      <c r="J30" s="96"/>
    </row>
    <row r="31" spans="1:10" s="63" customFormat="1" ht="19.95" customHeight="1">
      <c r="A31" s="186" t="s">
        <v>219</v>
      </c>
      <c r="B31" s="116">
        <f>SUM(B32:B35)</f>
        <v>0</v>
      </c>
      <c r="C31" s="116">
        <f t="shared" ref="C31:F31" si="26">SUM(C32:C35)</f>
        <v>0</v>
      </c>
      <c r="D31" s="116">
        <f t="shared" si="26"/>
        <v>0</v>
      </c>
      <c r="E31" s="116">
        <f t="shared" si="26"/>
        <v>0</v>
      </c>
      <c r="F31" s="116">
        <f t="shared" si="26"/>
        <v>0</v>
      </c>
      <c r="G31" s="116">
        <f t="shared" ref="G31" si="27">G32+G33+G34</f>
        <v>0</v>
      </c>
      <c r="H31" s="114">
        <f t="shared" si="21"/>
        <v>0</v>
      </c>
      <c r="I31" s="115">
        <f t="shared" si="15"/>
        <v>0</v>
      </c>
      <c r="J31" s="96"/>
    </row>
    <row r="32" spans="1:10" s="63" customFormat="1" ht="19.95" customHeight="1">
      <c r="A32" s="186" t="s">
        <v>220</v>
      </c>
      <c r="B32" s="114">
        <f>'银行存款及其他货币资金明细表(仅人民币)E1-3'!E39</f>
        <v>0</v>
      </c>
      <c r="C32" s="90"/>
      <c r="D32" s="114">
        <f t="shared" ref="D32:D37" si="28">B32+C32</f>
        <v>0</v>
      </c>
      <c r="E32" s="114">
        <f>'银行存款及其他货币资金明细表(仅人民币)E1-3'!H39</f>
        <v>0</v>
      </c>
      <c r="F32" s="114">
        <f>'银行存款及其他货币资金明细表(仅人民币)E1-3'!I39</f>
        <v>0</v>
      </c>
      <c r="G32" s="114">
        <f>E32+F32</f>
        <v>0</v>
      </c>
      <c r="H32" s="114">
        <f t="shared" si="21"/>
        <v>0</v>
      </c>
      <c r="I32" s="115">
        <f t="shared" si="15"/>
        <v>0</v>
      </c>
      <c r="J32" s="96"/>
    </row>
    <row r="33" spans="1:10" s="63" customFormat="1" ht="19.95" customHeight="1">
      <c r="A33" s="186" t="s">
        <v>216</v>
      </c>
      <c r="B33" s="114">
        <f>'银行存款及其他货币资金明细表(仅人民币)E1-3'!E36</f>
        <v>0</v>
      </c>
      <c r="C33" s="90"/>
      <c r="D33" s="114">
        <f t="shared" si="28"/>
        <v>0</v>
      </c>
      <c r="E33" s="114">
        <f>'银行存款及其他货币资金明细表(仅人民币)E1-3'!H36</f>
        <v>0</v>
      </c>
      <c r="F33" s="114">
        <f>'银行存款及其他货币资金明细表(仅人民币)E1-3'!I36</f>
        <v>0</v>
      </c>
      <c r="G33" s="114">
        <f>E33+F33</f>
        <v>0</v>
      </c>
      <c r="H33" s="114">
        <f t="shared" si="21"/>
        <v>0</v>
      </c>
      <c r="I33" s="115">
        <f t="shared" si="15"/>
        <v>0</v>
      </c>
      <c r="J33" s="96"/>
    </row>
    <row r="34" spans="1:10" s="63" customFormat="1" ht="19.95" customHeight="1">
      <c r="A34" s="186" t="s">
        <v>221</v>
      </c>
      <c r="B34" s="114">
        <f>'银行存款及其他货币资金明细表(仅人民币)E1-3'!E42</f>
        <v>0</v>
      </c>
      <c r="C34" s="90"/>
      <c r="D34" s="114">
        <f t="shared" si="28"/>
        <v>0</v>
      </c>
      <c r="E34" s="114">
        <f>'银行存款及其他货币资金明细表(仅人民币)E1-3'!H42</f>
        <v>0</v>
      </c>
      <c r="F34" s="114">
        <f>'银行存款及其他货币资金明细表(仅人民币)E1-3'!I42</f>
        <v>0</v>
      </c>
      <c r="G34" s="114">
        <f>E34+F34</f>
        <v>0</v>
      </c>
      <c r="H34" s="114">
        <f t="shared" si="21"/>
        <v>0</v>
      </c>
      <c r="I34" s="115">
        <f t="shared" si="15"/>
        <v>0</v>
      </c>
      <c r="J34" s="96"/>
    </row>
    <row r="35" spans="1:10" s="63" customFormat="1" ht="19.95" customHeight="1">
      <c r="A35" s="186" t="s">
        <v>222</v>
      </c>
      <c r="B35" s="114"/>
      <c r="C35" s="90"/>
      <c r="D35" s="114">
        <f t="shared" si="28"/>
        <v>0</v>
      </c>
      <c r="E35" s="114"/>
      <c r="F35" s="114"/>
      <c r="G35" s="114">
        <f>E35+F35</f>
        <v>0</v>
      </c>
      <c r="H35" s="114">
        <f>G35-D35</f>
        <v>0</v>
      </c>
      <c r="I35" s="115">
        <f t="shared" ref="I35" si="29">IF(AND(D35=0,G35=0),0,IF(AND(D35=0,G35&gt;0),1,H35/D35))</f>
        <v>0</v>
      </c>
      <c r="J35" s="96"/>
    </row>
    <row r="36" spans="1:10" s="63" customFormat="1" ht="19.95" customHeight="1">
      <c r="A36" s="187" t="s">
        <v>223</v>
      </c>
      <c r="B36" s="116">
        <f>B25+B26+B29+B30+B31</f>
        <v>0</v>
      </c>
      <c r="C36" s="116">
        <f>C25+C26+C29+C30+C31</f>
        <v>0</v>
      </c>
      <c r="D36" s="116">
        <f t="shared" si="28"/>
        <v>0</v>
      </c>
      <c r="E36" s="116">
        <f>E25+E26+E29+E30+E31</f>
        <v>0</v>
      </c>
      <c r="F36" s="116">
        <f>F25+F26+F29+F30+F31</f>
        <v>0</v>
      </c>
      <c r="G36" s="116">
        <f>G25+G26+G29+G30+G31</f>
        <v>0</v>
      </c>
      <c r="H36" s="116">
        <f>H25+H26+H29+H30+H31</f>
        <v>0</v>
      </c>
      <c r="I36" s="115">
        <f t="shared" si="15"/>
        <v>0</v>
      </c>
      <c r="J36" s="97"/>
    </row>
    <row r="37" spans="1:10" s="63" customFormat="1" ht="19.95" customHeight="1">
      <c r="A37" s="287" t="s">
        <v>224</v>
      </c>
      <c r="B37" s="86">
        <f>'现金明细表E1-2'!B23+'银行存款及其他货币资金明细表(仅人民币)E1-3'!E51</f>
        <v>0</v>
      </c>
      <c r="C37" s="86"/>
      <c r="D37" s="114">
        <f t="shared" si="28"/>
        <v>0</v>
      </c>
      <c r="E37" s="86">
        <f>'现金明细表E1-2'!E23+'银行存款及其他货币资金明细表(仅人民币)E1-3'!H51</f>
        <v>0</v>
      </c>
      <c r="F37" s="86">
        <f>'现金明细表E1-2'!F23+'银行存款及其他货币资金明细表(仅人民币)E1-3'!I51</f>
        <v>0</v>
      </c>
      <c r="G37" s="114">
        <f>E37+F37</f>
        <v>0</v>
      </c>
      <c r="H37" s="114">
        <f>G37-D37</f>
        <v>0</v>
      </c>
      <c r="I37" s="115">
        <f t="shared" si="15"/>
        <v>0</v>
      </c>
      <c r="J37" s="97"/>
    </row>
    <row r="38" spans="1:10" s="63" customFormat="1" ht="19.95" customHeight="1">
      <c r="A38" s="399" t="s">
        <v>225</v>
      </c>
      <c r="B38" s="86"/>
      <c r="C38" s="86"/>
      <c r="D38" s="86"/>
      <c r="E38" s="86"/>
      <c r="F38" s="86"/>
      <c r="G38" s="86"/>
      <c r="H38" s="86"/>
      <c r="I38" s="400"/>
      <c r="J38" s="97"/>
    </row>
    <row r="39" spans="1:10" s="63" customFormat="1" ht="19.95" customHeight="1">
      <c r="A39" s="399" t="s">
        <v>226</v>
      </c>
      <c r="B39" s="86"/>
      <c r="C39" s="86"/>
      <c r="D39" s="114">
        <f>D36-D38</f>
        <v>0</v>
      </c>
      <c r="E39" s="86"/>
      <c r="F39" s="86"/>
      <c r="G39" s="114">
        <f>G36-G38</f>
        <v>0</v>
      </c>
      <c r="H39" s="86"/>
      <c r="I39" s="400"/>
      <c r="J39" s="97"/>
    </row>
    <row r="40" spans="1:10" ht="19.95" customHeight="1">
      <c r="A40" s="285" t="s">
        <v>5</v>
      </c>
      <c r="B40" s="15"/>
      <c r="C40" s="15"/>
      <c r="D40" s="15"/>
      <c r="E40" s="15"/>
      <c r="F40" s="15"/>
      <c r="G40" s="15"/>
    </row>
    <row r="41" spans="1:10" ht="19.95" customHeight="1">
      <c r="A41" s="284" t="s">
        <v>6</v>
      </c>
      <c r="B41" s="284"/>
      <c r="C41" s="284"/>
      <c r="D41" s="50">
        <f>I18</f>
        <v>0</v>
      </c>
      <c r="E41" s="284"/>
      <c r="F41" s="284"/>
      <c r="G41" s="284" t="s">
        <v>228</v>
      </c>
    </row>
    <row r="42" spans="1:10" ht="19.95" customHeight="1">
      <c r="A42" s="286" t="s">
        <v>229</v>
      </c>
      <c r="B42" s="284"/>
      <c r="C42" s="284"/>
      <c r="D42" s="284"/>
      <c r="E42" s="284"/>
      <c r="F42" s="284"/>
    </row>
    <row r="43" spans="1:10" ht="19.95" customHeight="1">
      <c r="A43" s="284"/>
      <c r="B43" s="284"/>
      <c r="C43" s="284"/>
      <c r="D43" s="284"/>
      <c r="E43" s="284"/>
      <c r="F43" s="284"/>
    </row>
    <row r="44" spans="1:10" ht="19.95" customHeight="1">
      <c r="A44" s="403" t="s">
        <v>230</v>
      </c>
      <c r="B44" s="284"/>
      <c r="C44" s="284"/>
      <c r="D44" s="284"/>
      <c r="E44" s="284"/>
      <c r="F44" s="284"/>
    </row>
    <row r="45" spans="1:10" ht="19.95" customHeight="1">
      <c r="B45" s="403"/>
      <c r="C45" s="403"/>
      <c r="D45" s="403"/>
      <c r="E45" s="403"/>
      <c r="F45" s="403"/>
    </row>
    <row r="46" spans="1:10" ht="19.95" customHeight="1">
      <c r="A46" s="134" t="s">
        <v>98</v>
      </c>
      <c r="B46" s="19"/>
      <c r="C46" s="19"/>
      <c r="D46" s="19"/>
      <c r="E46" s="19"/>
      <c r="F46" s="19"/>
    </row>
    <row r="47" spans="1:10" ht="19.95" customHeight="1">
      <c r="A47" s="93"/>
      <c r="B47" s="18"/>
      <c r="C47" s="18"/>
      <c r="D47" s="18"/>
      <c r="E47" s="18"/>
      <c r="F47" s="18"/>
      <c r="G47" s="95"/>
      <c r="J47" s="94"/>
    </row>
  </sheetData>
  <mergeCells count="12">
    <mergeCell ref="A2:J2"/>
    <mergeCell ref="A1:J1"/>
    <mergeCell ref="A5:A6"/>
    <mergeCell ref="B5:D5"/>
    <mergeCell ref="E5:G5"/>
    <mergeCell ref="H5:I5"/>
    <mergeCell ref="J5:J6"/>
    <mergeCell ref="A23:A24"/>
    <mergeCell ref="B23:D23"/>
    <mergeCell ref="E23:G23"/>
    <mergeCell ref="H23:I23"/>
    <mergeCell ref="J23:J24"/>
  </mergeCells>
  <phoneticPr fontId="1" type="noConversion"/>
  <hyperlinks>
    <hyperlink ref="J3" location="底稿目录!A1" display="E1-1"/>
  </hyperlinks>
  <printOptions horizontalCentered="1"/>
  <pageMargins left="0.70866141732283472" right="0.70866141732283472" top="0.74803149606299213" bottom="0.74803149606299213" header="0.31496062992125984" footer="0.31496062992125984"/>
  <pageSetup paperSize="9" fitToHeight="10" orientation="landscape" blackAndWhite="1" r:id="rId1"/>
  <headerFooter alignWithMargins="0">
    <oddFooter>&amp;C&amp;P/&amp;N</oddFooter>
  </headerFooter>
  <rowBreaks count="1" manualBreakCount="1">
    <brk id="21"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V34"/>
  <sheetViews>
    <sheetView view="pageBreakPreview" zoomScaleSheetLayoutView="100" workbookViewId="0">
      <selection sqref="A1:J1"/>
    </sheetView>
  </sheetViews>
  <sheetFormatPr defaultColWidth="9" defaultRowHeight="19.95" customHeight="1"/>
  <cols>
    <col min="1" max="1" width="14.21875" style="8" customWidth="1"/>
    <col min="2" max="2" width="11.33203125" style="8" customWidth="1"/>
    <col min="3" max="3" width="12.21875" style="8" customWidth="1"/>
    <col min="4" max="4" width="11.77734375" style="8" customWidth="1"/>
    <col min="5" max="5" width="12.21875" style="8" customWidth="1"/>
    <col min="6" max="6" width="13.44140625" style="8" customWidth="1"/>
    <col min="7" max="7" width="13.21875" style="8" customWidth="1"/>
    <col min="8" max="8" width="16.21875" style="8" customWidth="1"/>
    <col min="9" max="10" width="15.6640625" style="8" customWidth="1"/>
    <col min="11" max="16384" width="9" style="8"/>
  </cols>
  <sheetData>
    <row r="1" spans="1:22" s="188" customFormat="1" ht="19.95" customHeight="1">
      <c r="A1" s="446" t="s">
        <v>1</v>
      </c>
      <c r="B1" s="446"/>
      <c r="C1" s="446"/>
      <c r="D1" s="446"/>
      <c r="E1" s="446"/>
      <c r="F1" s="446"/>
      <c r="G1" s="446"/>
      <c r="H1" s="446"/>
      <c r="I1" s="446"/>
      <c r="J1" s="446"/>
    </row>
    <row r="2" spans="1:22" s="188" customFormat="1" ht="19.95" customHeight="1">
      <c r="A2" s="447" t="s">
        <v>231</v>
      </c>
      <c r="B2" s="447"/>
      <c r="C2" s="447"/>
      <c r="D2" s="447"/>
      <c r="E2" s="447"/>
      <c r="F2" s="447"/>
      <c r="G2" s="447"/>
      <c r="H2" s="447"/>
      <c r="I2" s="447"/>
      <c r="J2" s="447"/>
    </row>
    <row r="3" spans="1:22" s="12" customFormat="1" ht="19.95" customHeight="1">
      <c r="A3" s="14" t="str">
        <f>底稿目录!A2</f>
        <v>被审计单位：</v>
      </c>
      <c r="D3" s="72"/>
      <c r="E3" s="14" t="str">
        <f>底稿目录!A4</f>
        <v>编制人：</v>
      </c>
      <c r="G3" s="14" t="str">
        <f>底稿目录!A5</f>
        <v>编制日期：</v>
      </c>
      <c r="I3" s="12" t="s">
        <v>232</v>
      </c>
      <c r="J3" s="382" t="str">
        <f>底稿目录!F7</f>
        <v>E1-2</v>
      </c>
    </row>
    <row r="4" spans="1:22" s="12" customFormat="1" ht="19.95" customHeight="1">
      <c r="A4" s="14" t="str">
        <f>底稿目录!A3</f>
        <v>截止日：202X年12月31日</v>
      </c>
      <c r="D4" s="72"/>
      <c r="E4" s="14" t="str">
        <f>底稿目录!A6</f>
        <v>复核人：</v>
      </c>
      <c r="G4" s="14" t="str">
        <f>底稿目录!A7</f>
        <v>复核日期：</v>
      </c>
      <c r="I4" s="12" t="s">
        <v>50</v>
      </c>
    </row>
    <row r="5" spans="1:22" s="12" customFormat="1" ht="19.95" customHeight="1">
      <c r="A5" s="23" t="s">
        <v>7</v>
      </c>
      <c r="C5" s="140"/>
      <c r="D5" s="141"/>
      <c r="E5" s="141"/>
      <c r="F5" s="141"/>
      <c r="H5" s="141"/>
      <c r="I5" s="141"/>
      <c r="J5" s="141"/>
      <c r="K5" s="141"/>
      <c r="L5" s="141"/>
      <c r="M5" s="141"/>
      <c r="N5" s="142"/>
      <c r="O5" s="21"/>
      <c r="P5" s="141"/>
      <c r="Q5" s="141"/>
      <c r="R5" s="142"/>
      <c r="S5" s="141"/>
      <c r="T5" s="141"/>
      <c r="U5" s="141"/>
      <c r="V5" s="141"/>
    </row>
    <row r="6" spans="1:22" s="12" customFormat="1" ht="19.95" customHeight="1">
      <c r="A6" s="139" t="s">
        <v>552</v>
      </c>
      <c r="B6" s="139"/>
      <c r="C6" s="140"/>
      <c r="D6" s="141"/>
      <c r="E6" s="141"/>
      <c r="F6" s="141"/>
      <c r="H6" s="141"/>
      <c r="I6" s="141"/>
      <c r="J6" s="141"/>
      <c r="K6" s="141"/>
      <c r="L6" s="141"/>
      <c r="M6" s="141"/>
      <c r="N6" s="142"/>
      <c r="O6" s="21"/>
      <c r="P6" s="141"/>
      <c r="Q6" s="141"/>
      <c r="R6" s="142"/>
      <c r="S6" s="141"/>
      <c r="T6" s="141"/>
      <c r="U6" s="141"/>
      <c r="V6" s="141"/>
    </row>
    <row r="7" spans="1:22" s="12" customFormat="1" ht="19.95" customHeight="1">
      <c r="A7" s="141" t="s">
        <v>553</v>
      </c>
      <c r="C7" s="140"/>
      <c r="D7" s="141"/>
      <c r="E7" s="141"/>
      <c r="F7" s="141"/>
      <c r="G7" s="141"/>
      <c r="H7" s="141"/>
      <c r="I7" s="141"/>
      <c r="J7" s="141"/>
      <c r="K7" s="141"/>
      <c r="L7" s="141"/>
      <c r="M7" s="141"/>
      <c r="N7" s="142"/>
      <c r="O7" s="21"/>
      <c r="P7" s="141"/>
      <c r="Q7" s="141"/>
      <c r="R7" s="142"/>
      <c r="S7" s="141"/>
      <c r="T7" s="141"/>
      <c r="U7" s="141"/>
      <c r="V7" s="141"/>
    </row>
    <row r="8" spans="1:22" s="12" customFormat="1" ht="19.95" customHeight="1">
      <c r="A8" s="141" t="s">
        <v>554</v>
      </c>
      <c r="C8" s="140"/>
      <c r="D8" s="141"/>
      <c r="E8" s="141"/>
      <c r="F8" s="141"/>
      <c r="G8" s="141"/>
      <c r="H8" s="141"/>
      <c r="I8" s="141"/>
      <c r="J8" s="141"/>
      <c r="K8" s="141"/>
      <c r="L8" s="141"/>
      <c r="M8" s="141"/>
      <c r="N8" s="142"/>
      <c r="O8" s="21"/>
      <c r="P8" s="141"/>
      <c r="Q8" s="141"/>
      <c r="R8" s="142"/>
      <c r="S8" s="141"/>
      <c r="T8" s="141"/>
      <c r="U8" s="141"/>
      <c r="V8" s="141"/>
    </row>
    <row r="9" spans="1:22" s="12" customFormat="1" ht="19.95" customHeight="1">
      <c r="A9" s="24" t="s">
        <v>9</v>
      </c>
      <c r="D9" s="21"/>
    </row>
    <row r="10" spans="1:22" s="12" customFormat="1" ht="19.95" customHeight="1">
      <c r="A10" s="32" t="s">
        <v>233</v>
      </c>
      <c r="B10" s="32"/>
      <c r="D10" s="21"/>
    </row>
    <row r="11" spans="1:22" s="12" customFormat="1" ht="19.95" customHeight="1">
      <c r="A11" s="12" t="s">
        <v>55</v>
      </c>
      <c r="D11" s="21"/>
      <c r="F11" s="47"/>
    </row>
    <row r="12" spans="1:22" s="12" customFormat="1" ht="19.95" customHeight="1">
      <c r="A12" s="32" t="s">
        <v>51</v>
      </c>
      <c r="D12" s="21"/>
      <c r="F12" s="47"/>
    </row>
    <row r="13" spans="1:22" s="7" customFormat="1" ht="19.95" customHeight="1">
      <c r="A13" s="469" t="s">
        <v>10</v>
      </c>
      <c r="B13" s="469" t="s">
        <v>234</v>
      </c>
      <c r="C13" s="469"/>
      <c r="D13" s="469"/>
      <c r="E13" s="469"/>
      <c r="F13" s="469"/>
      <c r="G13" s="469"/>
      <c r="H13" s="468" t="s">
        <v>348</v>
      </c>
      <c r="I13" s="468" t="s">
        <v>235</v>
      </c>
      <c r="J13" s="469" t="s">
        <v>21</v>
      </c>
    </row>
    <row r="14" spans="1:22" s="7" customFormat="1" ht="32.549999999999997" customHeight="1">
      <c r="A14" s="469"/>
      <c r="B14" s="219" t="s">
        <v>11</v>
      </c>
      <c r="C14" s="219" t="s">
        <v>12</v>
      </c>
      <c r="D14" s="219" t="s">
        <v>13</v>
      </c>
      <c r="E14" s="218" t="s">
        <v>236</v>
      </c>
      <c r="F14" s="191" t="s">
        <v>237</v>
      </c>
      <c r="G14" s="191" t="s">
        <v>238</v>
      </c>
      <c r="H14" s="468"/>
      <c r="I14" s="468"/>
      <c r="J14" s="469"/>
    </row>
    <row r="15" spans="1:22" s="12" customFormat="1" ht="19.95" customHeight="1">
      <c r="A15" s="220" t="s">
        <v>15</v>
      </c>
      <c r="B15" s="26"/>
      <c r="C15" s="26"/>
      <c r="D15" s="26"/>
      <c r="E15" s="117">
        <f>B15+C15-D15</f>
        <v>0</v>
      </c>
      <c r="F15" s="26"/>
      <c r="G15" s="117">
        <f>E15*F15</f>
        <v>0</v>
      </c>
      <c r="H15" s="76"/>
      <c r="I15" s="117">
        <f>G15+H15*F15</f>
        <v>0</v>
      </c>
      <c r="J15" s="221" t="s">
        <v>613</v>
      </c>
    </row>
    <row r="16" spans="1:22" s="12" customFormat="1" ht="19.95" customHeight="1">
      <c r="A16" s="222" t="s">
        <v>56</v>
      </c>
      <c r="B16" s="26"/>
      <c r="C16" s="26"/>
      <c r="D16" s="26"/>
      <c r="E16" s="117">
        <f t="shared" ref="E16:E21" si="0">B16+C16-D16</f>
        <v>0</v>
      </c>
      <c r="F16" s="26"/>
      <c r="G16" s="117">
        <f t="shared" ref="G16:G20" si="1">E16*F16</f>
        <v>0</v>
      </c>
      <c r="H16" s="76"/>
      <c r="I16" s="117">
        <f>G16+H16*F16</f>
        <v>0</v>
      </c>
      <c r="J16" s="26"/>
    </row>
    <row r="17" spans="1:17" s="12" customFormat="1" ht="19.95" customHeight="1">
      <c r="A17" s="222" t="s">
        <v>239</v>
      </c>
      <c r="B17" s="26"/>
      <c r="C17" s="26"/>
      <c r="D17" s="26"/>
      <c r="E17" s="117">
        <f t="shared" si="0"/>
        <v>0</v>
      </c>
      <c r="F17" s="26"/>
      <c r="G17" s="117">
        <f t="shared" si="1"/>
        <v>0</v>
      </c>
      <c r="H17" s="76"/>
      <c r="I17" s="117">
        <f>G17+H17*F17</f>
        <v>0</v>
      </c>
      <c r="J17" s="26"/>
    </row>
    <row r="18" spans="1:17" s="12" customFormat="1" ht="19.95" customHeight="1">
      <c r="A18" s="222" t="s">
        <v>240</v>
      </c>
      <c r="B18" s="26"/>
      <c r="C18" s="26"/>
      <c r="D18" s="26"/>
      <c r="E18" s="117">
        <f t="shared" si="0"/>
        <v>0</v>
      </c>
      <c r="F18" s="26"/>
      <c r="G18" s="117">
        <f t="shared" si="1"/>
        <v>0</v>
      </c>
      <c r="H18" s="76"/>
      <c r="I18" s="117">
        <f t="shared" ref="I18:I21" si="2">G18+H18*F18</f>
        <v>0</v>
      </c>
      <c r="J18" s="26"/>
    </row>
    <row r="19" spans="1:17" s="12" customFormat="1" ht="19.95" customHeight="1">
      <c r="A19" s="222" t="s">
        <v>241</v>
      </c>
      <c r="B19" s="26"/>
      <c r="C19" s="26"/>
      <c r="D19" s="26"/>
      <c r="E19" s="117">
        <f t="shared" si="0"/>
        <v>0</v>
      </c>
      <c r="F19" s="26"/>
      <c r="G19" s="117">
        <f t="shared" si="1"/>
        <v>0</v>
      </c>
      <c r="H19" s="76"/>
      <c r="I19" s="117">
        <f t="shared" si="2"/>
        <v>0</v>
      </c>
      <c r="J19" s="26"/>
    </row>
    <row r="20" spans="1:17" s="12" customFormat="1" ht="19.95" customHeight="1">
      <c r="A20" s="220"/>
      <c r="B20" s="26"/>
      <c r="C20" s="26"/>
      <c r="D20" s="26"/>
      <c r="E20" s="117">
        <f t="shared" si="0"/>
        <v>0</v>
      </c>
      <c r="F20" s="26"/>
      <c r="G20" s="117">
        <f t="shared" si="1"/>
        <v>0</v>
      </c>
      <c r="H20" s="76"/>
      <c r="I20" s="117">
        <f t="shared" si="2"/>
        <v>0</v>
      </c>
      <c r="J20" s="26"/>
    </row>
    <row r="21" spans="1:17" s="12" customFormat="1" ht="19.95" customHeight="1">
      <c r="A21" s="220"/>
      <c r="B21" s="26"/>
      <c r="C21" s="26"/>
      <c r="D21" s="26"/>
      <c r="E21" s="117">
        <f t="shared" si="0"/>
        <v>0</v>
      </c>
      <c r="F21" s="26"/>
      <c r="G21" s="117">
        <f>E21*F21</f>
        <v>0</v>
      </c>
      <c r="H21" s="76"/>
      <c r="I21" s="117">
        <f t="shared" si="2"/>
        <v>0</v>
      </c>
      <c r="J21" s="26"/>
    </row>
    <row r="22" spans="1:17" s="7" customFormat="1" ht="19.95" customHeight="1">
      <c r="A22" s="223" t="s">
        <v>16</v>
      </c>
      <c r="B22" s="117">
        <f>SUM(B15:B21)</f>
        <v>0</v>
      </c>
      <c r="C22" s="117">
        <f>SUM(C15:C21)</f>
        <v>0</v>
      </c>
      <c r="D22" s="117">
        <f>SUM(D15:D21)</f>
        <v>0</v>
      </c>
      <c r="E22" s="117">
        <f>SUM(E15:E21)</f>
        <v>0</v>
      </c>
      <c r="F22" s="117">
        <f t="shared" ref="F22" si="3">SUM(F15:F21)</f>
        <v>0</v>
      </c>
      <c r="G22" s="117">
        <f>SUM(G15:G21)</f>
        <v>0</v>
      </c>
      <c r="H22" s="117">
        <f>SUM(H15:H21)</f>
        <v>0</v>
      </c>
      <c r="I22" s="117">
        <f>SUM(I15:I21)</f>
        <v>0</v>
      </c>
      <c r="J22" s="87"/>
    </row>
    <row r="23" spans="1:17" s="12" customFormat="1" ht="19.95" customHeight="1">
      <c r="A23" s="192" t="s">
        <v>242</v>
      </c>
      <c r="B23" s="189"/>
      <c r="C23" s="189"/>
      <c r="D23" s="189"/>
      <c r="E23" s="193">
        <f>B23+C23-D23</f>
        <v>0</v>
      </c>
      <c r="F23" s="189"/>
      <c r="G23" s="193">
        <f>E23+F23</f>
        <v>0</v>
      </c>
      <c r="H23" s="190"/>
      <c r="I23" s="268"/>
      <c r="J23" s="189"/>
    </row>
    <row r="24" spans="1:17" s="12" customFormat="1" ht="19.95" customHeight="1">
      <c r="A24" s="7" t="s">
        <v>17</v>
      </c>
      <c r="I24" s="283"/>
      <c r="J24" s="131"/>
    </row>
    <row r="25" spans="1:17" s="12" customFormat="1" ht="19.95" customHeight="1">
      <c r="A25" s="46"/>
    </row>
    <row r="26" spans="1:17" s="12" customFormat="1" ht="19.95" customHeight="1">
      <c r="A26" s="7" t="s">
        <v>18</v>
      </c>
    </row>
    <row r="27" spans="1:17" s="12" customFormat="1" ht="19.95" customHeight="1"/>
    <row r="28" spans="1:17" s="12" customFormat="1" ht="19.95" customHeight="1">
      <c r="A28" s="266" t="s">
        <v>350</v>
      </c>
    </row>
    <row r="29" spans="1:17" ht="19.95" customHeight="1">
      <c r="A29" s="225" t="s">
        <v>354</v>
      </c>
    </row>
    <row r="30" spans="1:17" s="12" customFormat="1" ht="19.95" customHeight="1">
      <c r="A30" s="225" t="s">
        <v>355</v>
      </c>
    </row>
    <row r="31" spans="1:17" s="12" customFormat="1" ht="19.95" customHeight="1">
      <c r="A31" s="225" t="s">
        <v>356</v>
      </c>
    </row>
    <row r="32" spans="1:17" s="35" customFormat="1" ht="19.95" customHeight="1">
      <c r="A32" s="267" t="s">
        <v>352</v>
      </c>
      <c r="P32" s="132"/>
      <c r="Q32" s="132"/>
    </row>
    <row r="33" spans="1:17" s="35" customFormat="1" ht="19.95" customHeight="1">
      <c r="A33" s="267" t="s">
        <v>353</v>
      </c>
      <c r="P33" s="132"/>
      <c r="Q33" s="132"/>
    </row>
    <row r="34" spans="1:17" ht="19.95" customHeight="1">
      <c r="A34" s="226"/>
    </row>
  </sheetData>
  <mergeCells count="7">
    <mergeCell ref="I13:I14"/>
    <mergeCell ref="A1:J1"/>
    <mergeCell ref="A2:J2"/>
    <mergeCell ref="A13:A14"/>
    <mergeCell ref="J13:J14"/>
    <mergeCell ref="H13:H14"/>
    <mergeCell ref="B13:G13"/>
  </mergeCells>
  <phoneticPr fontId="4" type="noConversion"/>
  <hyperlinks>
    <hyperlink ref="J3" location="底稿目录!A1" display="底稿目录!A1"/>
  </hyperlinks>
  <printOptions horizontalCentered="1"/>
  <pageMargins left="0.70866141732283472" right="0.70866141732283472" top="0.74803149606299213" bottom="0.74803149606299213" header="0.31496062992125984" footer="0.31496062992125984"/>
  <pageSetup paperSize="9" scale="90" fitToHeight="10" orientation="landscape" blackAndWhite="1" cellComments="atEnd" r:id="rId1"/>
  <headerFooter>
    <oddFooter>&amp;C&amp;P/&amp;N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92"/>
  <sheetViews>
    <sheetView view="pageBreakPreview" zoomScale="94" zoomScaleSheetLayoutView="94" workbookViewId="0">
      <selection activeCell="J50" sqref="J50"/>
    </sheetView>
  </sheetViews>
  <sheetFormatPr defaultColWidth="9" defaultRowHeight="19.95" customHeight="1"/>
  <cols>
    <col min="1" max="1" width="15.109375" style="8" customWidth="1"/>
    <col min="2" max="2" width="13.5546875" style="8" customWidth="1"/>
    <col min="3" max="3" width="15.109375" style="8" customWidth="1"/>
    <col min="4" max="4" width="11.6640625" style="8" customWidth="1"/>
    <col min="5" max="5" width="12.6640625" style="8" customWidth="1"/>
    <col min="6" max="8" width="12" style="8" customWidth="1"/>
    <col min="9" max="9" width="12.77734375" style="8" customWidth="1"/>
    <col min="10" max="10" width="13.109375" style="8" customWidth="1"/>
    <col min="11" max="11" width="11.6640625" style="8" customWidth="1"/>
    <col min="12" max="12" width="12.5546875" style="8" customWidth="1"/>
    <col min="13" max="13" width="10.88671875" style="8" customWidth="1"/>
    <col min="14" max="14" width="9.77734375" style="8" customWidth="1"/>
    <col min="15" max="15" width="9" style="8"/>
    <col min="16" max="16" width="8.88671875" style="8" customWidth="1"/>
    <col min="17" max="18" width="9" style="138"/>
    <col min="19" max="19" width="10.44140625" style="8" customWidth="1"/>
    <col min="20" max="22" width="9" style="8"/>
    <col min="23" max="23" width="26.21875" style="8" customWidth="1"/>
    <col min="24" max="16384" width="9" style="8"/>
  </cols>
  <sheetData>
    <row r="1" spans="1:26" s="188" customFormat="1" ht="19.95" customHeight="1">
      <c r="A1" s="446" t="s">
        <v>1</v>
      </c>
      <c r="B1" s="446"/>
      <c r="C1" s="446"/>
      <c r="D1" s="446"/>
      <c r="E1" s="446"/>
      <c r="F1" s="446"/>
      <c r="G1" s="446"/>
      <c r="H1" s="446"/>
      <c r="I1" s="446"/>
      <c r="J1" s="446"/>
      <c r="K1" s="446"/>
      <c r="L1" s="446"/>
      <c r="M1" s="446"/>
      <c r="N1" s="446"/>
      <c r="O1" s="446"/>
      <c r="P1" s="446"/>
      <c r="Q1" s="446"/>
      <c r="R1" s="446"/>
      <c r="S1" s="446"/>
      <c r="W1" s="200"/>
      <c r="X1" s="198"/>
      <c r="Y1" s="164"/>
      <c r="Z1" s="164"/>
    </row>
    <row r="2" spans="1:26" s="196" customFormat="1" ht="19.95" customHeight="1">
      <c r="A2" s="447" t="s">
        <v>73</v>
      </c>
      <c r="B2" s="447"/>
      <c r="C2" s="447"/>
      <c r="D2" s="447"/>
      <c r="E2" s="447"/>
      <c r="F2" s="447"/>
      <c r="G2" s="447"/>
      <c r="H2" s="447"/>
      <c r="I2" s="447"/>
      <c r="J2" s="447"/>
      <c r="K2" s="447"/>
      <c r="L2" s="447"/>
      <c r="M2" s="447"/>
      <c r="N2" s="447"/>
      <c r="O2" s="447"/>
      <c r="P2" s="447"/>
      <c r="Q2" s="447"/>
      <c r="R2" s="447"/>
      <c r="S2" s="447"/>
      <c r="W2" s="201"/>
      <c r="X2" s="199"/>
      <c r="Y2" s="202"/>
      <c r="Z2" s="202"/>
    </row>
    <row r="3" spans="1:26" s="12" customFormat="1" ht="19.95" customHeight="1">
      <c r="A3" s="14" t="str">
        <f>底稿目录!A2</f>
        <v>被审计单位：</v>
      </c>
      <c r="B3" s="14"/>
      <c r="D3" s="14"/>
      <c r="E3" s="15" t="str">
        <f>底稿目录!A4</f>
        <v>编制人：</v>
      </c>
      <c r="J3" s="14" t="str">
        <f>底稿目录!A5</f>
        <v>编制日期：</v>
      </c>
      <c r="K3" s="14"/>
      <c r="L3" s="14"/>
      <c r="M3" s="14"/>
      <c r="N3" s="72"/>
      <c r="P3" s="22"/>
      <c r="Q3" s="135"/>
      <c r="R3" s="135" t="s">
        <v>124</v>
      </c>
      <c r="S3" s="382" t="str">
        <f>底稿目录!F8</f>
        <v>E1-3</v>
      </c>
      <c r="W3" s="47"/>
      <c r="Y3" s="8"/>
      <c r="Z3" s="8"/>
    </row>
    <row r="4" spans="1:26" s="12" customFormat="1" ht="19.95" customHeight="1">
      <c r="A4" s="14" t="str">
        <f>底稿目录!A3</f>
        <v>截止日：202X年12月31日</v>
      </c>
      <c r="B4" s="14"/>
      <c r="D4" s="16"/>
      <c r="E4" s="15" t="str">
        <f>底稿目录!A6</f>
        <v>复核人：</v>
      </c>
      <c r="J4" s="14" t="str">
        <f>底稿目录!A7</f>
        <v>复核日期：</v>
      </c>
      <c r="K4" s="14"/>
      <c r="L4" s="14"/>
      <c r="M4" s="14"/>
      <c r="N4" s="72"/>
      <c r="P4" s="22"/>
      <c r="Q4" s="135"/>
      <c r="R4" s="135" t="s">
        <v>286</v>
      </c>
      <c r="W4" s="47"/>
      <c r="Z4" s="8"/>
    </row>
    <row r="5" spans="1:26" s="12" customFormat="1" ht="19.95" customHeight="1">
      <c r="A5" s="23" t="s">
        <v>7</v>
      </c>
      <c r="C5" s="140"/>
      <c r="D5" s="141"/>
      <c r="E5" s="141"/>
      <c r="F5" s="141"/>
      <c r="G5" s="141"/>
      <c r="H5" s="141"/>
      <c r="I5" s="141"/>
      <c r="J5" s="141"/>
      <c r="K5" s="142"/>
      <c r="L5" s="21"/>
      <c r="M5" s="21"/>
      <c r="N5" s="141"/>
      <c r="O5" s="141"/>
      <c r="P5" s="142"/>
      <c r="Q5" s="141"/>
      <c r="R5" s="131"/>
      <c r="W5" s="47"/>
      <c r="Y5" s="8"/>
      <c r="Z5" s="8"/>
    </row>
    <row r="6" spans="1:26" s="12" customFormat="1" ht="19.95" customHeight="1">
      <c r="A6" s="139" t="s">
        <v>555</v>
      </c>
      <c r="B6" s="139"/>
      <c r="C6" s="140"/>
      <c r="D6" s="141"/>
      <c r="E6" s="141"/>
      <c r="F6" s="141"/>
      <c r="G6" s="141"/>
      <c r="H6" s="141"/>
      <c r="I6" s="141"/>
      <c r="J6" s="141"/>
      <c r="K6" s="142"/>
      <c r="L6" s="21"/>
      <c r="M6" s="21"/>
      <c r="N6" s="141"/>
      <c r="O6" s="141"/>
      <c r="P6" s="142"/>
      <c r="Q6" s="141"/>
      <c r="R6" s="131"/>
      <c r="W6" s="47"/>
      <c r="Y6" s="8"/>
      <c r="Z6" s="8"/>
    </row>
    <row r="7" spans="1:26" s="12" customFormat="1" ht="19.95" customHeight="1">
      <c r="A7" s="139" t="s">
        <v>556</v>
      </c>
      <c r="B7" s="139"/>
      <c r="C7" s="140"/>
      <c r="D7" s="141"/>
      <c r="E7" s="141"/>
      <c r="F7" s="141"/>
      <c r="G7" s="141"/>
      <c r="H7" s="141"/>
      <c r="I7" s="141"/>
      <c r="J7" s="141"/>
      <c r="K7" s="142"/>
      <c r="L7" s="21"/>
      <c r="M7" s="21"/>
      <c r="N7" s="141"/>
      <c r="O7" s="141"/>
      <c r="P7" s="142"/>
      <c r="Q7" s="141"/>
      <c r="R7" s="131"/>
      <c r="W7" s="47"/>
      <c r="Y7" s="8"/>
      <c r="Z7" s="8"/>
    </row>
    <row r="8" spans="1:26" s="12" customFormat="1" ht="19.95" customHeight="1">
      <c r="A8" s="24" t="s">
        <v>9</v>
      </c>
      <c r="F8" s="10"/>
      <c r="G8" s="10"/>
      <c r="Q8" s="131"/>
      <c r="R8" s="131"/>
      <c r="W8" s="47"/>
      <c r="Y8" s="8"/>
      <c r="Z8" s="8"/>
    </row>
    <row r="9" spans="1:26" s="12" customFormat="1" ht="19.95" customHeight="1">
      <c r="A9" s="468" t="s">
        <v>22</v>
      </c>
      <c r="B9" s="468" t="s">
        <v>243</v>
      </c>
      <c r="C9" s="468" t="s">
        <v>244</v>
      </c>
      <c r="D9" s="468" t="s">
        <v>245</v>
      </c>
      <c r="E9" s="469" t="s">
        <v>248</v>
      </c>
      <c r="F9" s="469"/>
      <c r="G9" s="469"/>
      <c r="H9" s="469"/>
      <c r="I9" s="468" t="s">
        <v>287</v>
      </c>
      <c r="J9" s="468" t="s">
        <v>235</v>
      </c>
      <c r="K9" s="474" t="s">
        <v>624</v>
      </c>
      <c r="L9" s="468" t="s">
        <v>252</v>
      </c>
      <c r="M9" s="475" t="s">
        <v>625</v>
      </c>
      <c r="N9" s="468" t="s">
        <v>288</v>
      </c>
      <c r="O9" s="468" t="s">
        <v>289</v>
      </c>
      <c r="P9" s="468" t="s">
        <v>290</v>
      </c>
      <c r="Q9" s="468" t="s">
        <v>291</v>
      </c>
      <c r="R9" s="468" t="s">
        <v>292</v>
      </c>
      <c r="S9" s="468" t="s">
        <v>293</v>
      </c>
      <c r="W9" s="47"/>
    </row>
    <row r="10" spans="1:26" s="12" customFormat="1" ht="19.95" customHeight="1">
      <c r="A10" s="468"/>
      <c r="B10" s="468"/>
      <c r="C10" s="468"/>
      <c r="D10" s="468"/>
      <c r="E10" s="230" t="s">
        <v>11</v>
      </c>
      <c r="F10" s="230" t="s">
        <v>12</v>
      </c>
      <c r="G10" s="230" t="s">
        <v>13</v>
      </c>
      <c r="H10" s="230" t="s">
        <v>14</v>
      </c>
      <c r="I10" s="468"/>
      <c r="J10" s="468"/>
      <c r="K10" s="468"/>
      <c r="L10" s="468"/>
      <c r="M10" s="476"/>
      <c r="N10" s="468"/>
      <c r="O10" s="468"/>
      <c r="P10" s="468"/>
      <c r="Q10" s="468"/>
      <c r="R10" s="468"/>
      <c r="S10" s="468"/>
      <c r="W10" s="47"/>
      <c r="X10" s="7"/>
    </row>
    <row r="11" spans="1:26" s="418" customFormat="1" ht="19.95" customHeight="1">
      <c r="A11" s="415" t="s">
        <v>271</v>
      </c>
      <c r="B11" s="415"/>
      <c r="C11" s="416"/>
      <c r="D11" s="416"/>
      <c r="E11" s="410"/>
      <c r="F11" s="410"/>
      <c r="G11" s="410"/>
      <c r="H11" s="410"/>
      <c r="I11" s="416"/>
      <c r="J11" s="410"/>
      <c r="K11" s="410"/>
      <c r="L11" s="410"/>
      <c r="M11" s="410"/>
      <c r="N11" s="416"/>
      <c r="O11" s="416"/>
      <c r="P11" s="416"/>
      <c r="Q11" s="417"/>
      <c r="R11" s="416"/>
      <c r="S11" s="228"/>
      <c r="W11" s="419"/>
    </row>
    <row r="12" spans="1:26" s="25" customFormat="1" ht="19.95" customHeight="1">
      <c r="A12" s="197" t="s">
        <v>272</v>
      </c>
      <c r="B12" s="197"/>
      <c r="C12" s="64"/>
      <c r="D12" s="64"/>
      <c r="E12" s="228">
        <f>SUM(E13:E21)</f>
        <v>0</v>
      </c>
      <c r="F12" s="121">
        <f t="shared" ref="F12:J12" si="0">SUM(F13:F21)</f>
        <v>0</v>
      </c>
      <c r="G12" s="121">
        <f t="shared" si="0"/>
        <v>0</v>
      </c>
      <c r="H12" s="117">
        <f t="shared" si="0"/>
        <v>0</v>
      </c>
      <c r="I12" s="228">
        <f t="shared" si="0"/>
        <v>0</v>
      </c>
      <c r="J12" s="121">
        <f t="shared" si="0"/>
        <v>0</v>
      </c>
      <c r="K12" s="121">
        <f>SUM(K13:K21)</f>
        <v>0</v>
      </c>
      <c r="L12" s="121">
        <f>SUM(L13:L21)</f>
        <v>0</v>
      </c>
      <c r="M12" s="121">
        <f>SUM(M13:M21)</f>
        <v>0</v>
      </c>
      <c r="N12" s="121"/>
      <c r="O12" s="121"/>
      <c r="P12" s="121"/>
      <c r="Q12" s="121"/>
      <c r="R12" s="121"/>
      <c r="S12" s="121"/>
      <c r="W12" s="47"/>
      <c r="X12" s="12"/>
      <c r="Y12" s="12"/>
      <c r="Z12" s="12"/>
    </row>
    <row r="13" spans="1:26" s="25" customFormat="1" ht="19.95" customHeight="1">
      <c r="A13" s="107" t="s">
        <v>74</v>
      </c>
      <c r="B13" s="33"/>
      <c r="C13" s="33"/>
      <c r="D13" s="33"/>
      <c r="E13" s="26"/>
      <c r="F13" s="26"/>
      <c r="G13" s="26"/>
      <c r="H13" s="117">
        <f t="shared" ref="H13:H21" si="1">E13+F13-G13</f>
        <v>0</v>
      </c>
      <c r="I13" s="26"/>
      <c r="J13" s="121">
        <f>H13+I13</f>
        <v>0</v>
      </c>
      <c r="K13" s="76"/>
      <c r="L13" s="121">
        <f>J13-K13</f>
        <v>0</v>
      </c>
      <c r="M13" s="414"/>
      <c r="N13" s="247"/>
      <c r="O13" s="247"/>
      <c r="P13" s="247"/>
      <c r="Q13" s="253"/>
      <c r="R13" s="248"/>
      <c r="S13" s="247"/>
      <c r="W13" s="47"/>
      <c r="X13" s="12"/>
      <c r="Y13" s="12"/>
      <c r="Z13" s="12"/>
    </row>
    <row r="14" spans="1:26" s="25" customFormat="1" ht="19.95" customHeight="1">
      <c r="A14" s="107" t="s">
        <v>74</v>
      </c>
      <c r="B14" s="246"/>
      <c r="C14" s="33"/>
      <c r="D14" s="246"/>
      <c r="E14" s="26"/>
      <c r="F14" s="26"/>
      <c r="G14" s="26"/>
      <c r="H14" s="117">
        <f t="shared" si="1"/>
        <v>0</v>
      </c>
      <c r="I14" s="26"/>
      <c r="J14" s="121">
        <f t="shared" ref="J14:J21" si="2">H14+I14</f>
        <v>0</v>
      </c>
      <c r="K14" s="76"/>
      <c r="L14" s="121">
        <f>J14-K14</f>
        <v>0</v>
      </c>
      <c r="M14" s="414"/>
      <c r="N14" s="247"/>
      <c r="O14" s="247"/>
      <c r="P14" s="247"/>
      <c r="Q14" s="253"/>
      <c r="R14" s="256"/>
      <c r="S14" s="257"/>
    </row>
    <row r="15" spans="1:26" s="25" customFormat="1" ht="19.95" customHeight="1">
      <c r="A15" s="107" t="s">
        <v>74</v>
      </c>
      <c r="B15" s="33"/>
      <c r="C15" s="33"/>
      <c r="D15" s="33"/>
      <c r="E15" s="26"/>
      <c r="F15" s="26"/>
      <c r="G15" s="26"/>
      <c r="H15" s="117">
        <f t="shared" si="1"/>
        <v>0</v>
      </c>
      <c r="I15" s="26"/>
      <c r="J15" s="121">
        <f t="shared" si="2"/>
        <v>0</v>
      </c>
      <c r="K15" s="76"/>
      <c r="L15" s="121">
        <f t="shared" ref="L15:L21" si="3">J15-K15</f>
        <v>0</v>
      </c>
      <c r="M15" s="414"/>
      <c r="N15" s="247"/>
      <c r="O15" s="247"/>
      <c r="P15" s="247"/>
      <c r="Q15" s="253"/>
      <c r="R15" s="248"/>
      <c r="S15" s="247"/>
    </row>
    <row r="16" spans="1:26" s="25" customFormat="1" ht="19.95" customHeight="1">
      <c r="A16" s="107" t="s">
        <v>74</v>
      </c>
      <c r="B16" s="33"/>
      <c r="C16" s="33"/>
      <c r="D16" s="33"/>
      <c r="E16" s="26"/>
      <c r="F16" s="26"/>
      <c r="G16" s="26"/>
      <c r="H16" s="117">
        <f t="shared" si="1"/>
        <v>0</v>
      </c>
      <c r="I16" s="26"/>
      <c r="J16" s="121">
        <f t="shared" si="2"/>
        <v>0</v>
      </c>
      <c r="K16" s="76"/>
      <c r="L16" s="121">
        <f t="shared" si="3"/>
        <v>0</v>
      </c>
      <c r="M16" s="414"/>
      <c r="N16" s="247"/>
      <c r="O16" s="247"/>
      <c r="P16" s="247"/>
      <c r="Q16" s="253"/>
      <c r="R16" s="248"/>
      <c r="S16" s="247"/>
    </row>
    <row r="17" spans="1:19" s="25" customFormat="1" ht="19.95" customHeight="1">
      <c r="A17" s="107" t="s">
        <v>74</v>
      </c>
      <c r="B17" s="33"/>
      <c r="C17" s="33"/>
      <c r="D17" s="33"/>
      <c r="E17" s="26"/>
      <c r="F17" s="26"/>
      <c r="G17" s="26"/>
      <c r="H17" s="117">
        <f t="shared" si="1"/>
        <v>0</v>
      </c>
      <c r="I17" s="26"/>
      <c r="J17" s="121">
        <f t="shared" si="2"/>
        <v>0</v>
      </c>
      <c r="K17" s="76"/>
      <c r="L17" s="121">
        <f t="shared" si="3"/>
        <v>0</v>
      </c>
      <c r="M17" s="414"/>
      <c r="N17" s="247"/>
      <c r="O17" s="247"/>
      <c r="P17" s="247"/>
      <c r="Q17" s="253"/>
      <c r="R17" s="248"/>
      <c r="S17" s="247"/>
    </row>
    <row r="18" spans="1:19" s="25" customFormat="1" ht="19.95" customHeight="1">
      <c r="A18" s="107" t="s">
        <v>74</v>
      </c>
      <c r="B18" s="33"/>
      <c r="C18" s="33"/>
      <c r="D18" s="33"/>
      <c r="E18" s="26"/>
      <c r="F18" s="26"/>
      <c r="G18" s="26"/>
      <c r="H18" s="117">
        <f t="shared" si="1"/>
        <v>0</v>
      </c>
      <c r="I18" s="26"/>
      <c r="J18" s="121">
        <f t="shared" si="2"/>
        <v>0</v>
      </c>
      <c r="K18" s="76"/>
      <c r="L18" s="121">
        <f t="shared" si="3"/>
        <v>0</v>
      </c>
      <c r="M18" s="414"/>
      <c r="N18" s="247"/>
      <c r="O18" s="247"/>
      <c r="P18" s="247"/>
      <c r="Q18" s="253"/>
      <c r="R18" s="248"/>
      <c r="S18" s="247"/>
    </row>
    <row r="19" spans="1:19" s="25" customFormat="1" ht="19.95" customHeight="1">
      <c r="A19" s="107" t="s">
        <v>74</v>
      </c>
      <c r="B19" s="33"/>
      <c r="C19" s="33"/>
      <c r="D19" s="33"/>
      <c r="E19" s="26"/>
      <c r="F19" s="26"/>
      <c r="G19" s="26"/>
      <c r="H19" s="117">
        <f t="shared" si="1"/>
        <v>0</v>
      </c>
      <c r="I19" s="26"/>
      <c r="J19" s="121">
        <f t="shared" si="2"/>
        <v>0</v>
      </c>
      <c r="K19" s="76"/>
      <c r="L19" s="121">
        <f t="shared" si="3"/>
        <v>0</v>
      </c>
      <c r="M19" s="414"/>
      <c r="N19" s="247"/>
      <c r="O19" s="247"/>
      <c r="P19" s="247"/>
      <c r="Q19" s="253"/>
      <c r="R19" s="248"/>
      <c r="S19" s="247"/>
    </row>
    <row r="20" spans="1:19" s="25" customFormat="1" ht="19.95" customHeight="1">
      <c r="A20" s="107" t="s">
        <v>74</v>
      </c>
      <c r="B20" s="33"/>
      <c r="C20" s="33"/>
      <c r="D20" s="33"/>
      <c r="E20" s="26"/>
      <c r="F20" s="26"/>
      <c r="G20" s="26"/>
      <c r="H20" s="117">
        <f t="shared" si="1"/>
        <v>0</v>
      </c>
      <c r="I20" s="26"/>
      <c r="J20" s="121">
        <f t="shared" si="2"/>
        <v>0</v>
      </c>
      <c r="K20" s="76"/>
      <c r="L20" s="121">
        <f t="shared" si="3"/>
        <v>0</v>
      </c>
      <c r="M20" s="414"/>
      <c r="N20" s="247"/>
      <c r="O20" s="247"/>
      <c r="P20" s="247"/>
      <c r="Q20" s="253"/>
      <c r="R20" s="248"/>
      <c r="S20" s="247"/>
    </row>
    <row r="21" spans="1:19" s="25" customFormat="1" ht="19.95" customHeight="1">
      <c r="A21" s="107" t="s">
        <v>74</v>
      </c>
      <c r="B21" s="33"/>
      <c r="C21" s="33"/>
      <c r="D21" s="33"/>
      <c r="E21" s="26"/>
      <c r="F21" s="26"/>
      <c r="G21" s="26"/>
      <c r="H21" s="117">
        <f t="shared" si="1"/>
        <v>0</v>
      </c>
      <c r="I21" s="26"/>
      <c r="J21" s="121">
        <f t="shared" si="2"/>
        <v>0</v>
      </c>
      <c r="K21" s="76"/>
      <c r="L21" s="121">
        <f t="shared" si="3"/>
        <v>0</v>
      </c>
      <c r="M21" s="414"/>
      <c r="N21" s="247"/>
      <c r="O21" s="247"/>
      <c r="P21" s="247"/>
      <c r="Q21" s="253"/>
      <c r="R21" s="248"/>
      <c r="S21" s="247"/>
    </row>
    <row r="22" spans="1:19" s="424" customFormat="1" ht="19.95" customHeight="1">
      <c r="A22" s="415" t="s">
        <v>273</v>
      </c>
      <c r="B22" s="420"/>
      <c r="C22" s="421"/>
      <c r="D22" s="421"/>
      <c r="E22" s="228">
        <f t="shared" ref="E22:M22" si="4">SUM(E23:E25)</f>
        <v>0</v>
      </c>
      <c r="F22" s="121">
        <f t="shared" si="4"/>
        <v>0</v>
      </c>
      <c r="G22" s="121">
        <f t="shared" si="4"/>
        <v>0</v>
      </c>
      <c r="H22" s="117">
        <f t="shared" si="4"/>
        <v>0</v>
      </c>
      <c r="I22" s="228">
        <f t="shared" si="4"/>
        <v>0</v>
      </c>
      <c r="J22" s="121">
        <f t="shared" si="4"/>
        <v>0</v>
      </c>
      <c r="K22" s="121">
        <f t="shared" si="4"/>
        <v>0</v>
      </c>
      <c r="L22" s="121">
        <f t="shared" si="4"/>
        <v>0</v>
      </c>
      <c r="M22" s="121">
        <f t="shared" si="4"/>
        <v>0</v>
      </c>
      <c r="N22" s="422"/>
      <c r="O22" s="422"/>
      <c r="P22" s="422"/>
      <c r="Q22" s="423"/>
      <c r="R22" s="422"/>
      <c r="S22" s="422"/>
    </row>
    <row r="23" spans="1:19" s="25" customFormat="1" ht="19.95" customHeight="1">
      <c r="A23" s="107" t="s">
        <v>76</v>
      </c>
      <c r="B23" s="33"/>
      <c r="C23" s="33"/>
      <c r="D23" s="33"/>
      <c r="E23" s="26"/>
      <c r="F23" s="26"/>
      <c r="G23" s="26"/>
      <c r="H23" s="117">
        <f>E23+F23-G23</f>
        <v>0</v>
      </c>
      <c r="I23" s="26"/>
      <c r="J23" s="121">
        <f t="shared" ref="J23:J33" si="5">H23+I23</f>
        <v>0</v>
      </c>
      <c r="K23" s="123"/>
      <c r="L23" s="121">
        <f t="shared" ref="L23:L25" si="6">J23-K23</f>
        <v>0</v>
      </c>
      <c r="M23" s="414"/>
      <c r="N23" s="247"/>
      <c r="O23" s="247"/>
      <c r="P23" s="247"/>
      <c r="Q23" s="253"/>
      <c r="R23" s="248"/>
      <c r="S23" s="247"/>
    </row>
    <row r="24" spans="1:19" s="25" customFormat="1" ht="19.95" customHeight="1">
      <c r="A24" s="107" t="s">
        <v>76</v>
      </c>
      <c r="B24" s="33"/>
      <c r="C24" s="33"/>
      <c r="D24" s="33"/>
      <c r="E24" s="26"/>
      <c r="F24" s="26"/>
      <c r="G24" s="26"/>
      <c r="H24" s="117">
        <f t="shared" ref="H24:H25" si="7">E24+F24-G24</f>
        <v>0</v>
      </c>
      <c r="I24" s="26"/>
      <c r="J24" s="121">
        <f t="shared" si="5"/>
        <v>0</v>
      </c>
      <c r="K24" s="123"/>
      <c r="L24" s="121">
        <f t="shared" si="6"/>
        <v>0</v>
      </c>
      <c r="M24" s="414"/>
      <c r="N24" s="247"/>
      <c r="O24" s="247"/>
      <c r="P24" s="247"/>
      <c r="Q24" s="253"/>
      <c r="R24" s="248"/>
      <c r="S24" s="247"/>
    </row>
    <row r="25" spans="1:19" s="25" customFormat="1" ht="19.95" customHeight="1">
      <c r="A25" s="107" t="s">
        <v>76</v>
      </c>
      <c r="B25" s="33"/>
      <c r="C25" s="33"/>
      <c r="D25" s="33"/>
      <c r="E25" s="26"/>
      <c r="F25" s="26"/>
      <c r="G25" s="26"/>
      <c r="H25" s="117">
        <f t="shared" si="7"/>
        <v>0</v>
      </c>
      <c r="I25" s="26"/>
      <c r="J25" s="121">
        <f t="shared" si="5"/>
        <v>0</v>
      </c>
      <c r="K25" s="123"/>
      <c r="L25" s="121">
        <f t="shared" si="6"/>
        <v>0</v>
      </c>
      <c r="M25" s="414"/>
      <c r="N25" s="247"/>
      <c r="O25" s="247"/>
      <c r="P25" s="247"/>
      <c r="Q25" s="253"/>
      <c r="R25" s="248"/>
      <c r="S25" s="247"/>
    </row>
    <row r="26" spans="1:19" s="424" customFormat="1" ht="19.95" customHeight="1">
      <c r="A26" s="420" t="s">
        <v>274</v>
      </c>
      <c r="B26" s="425"/>
      <c r="C26" s="425"/>
      <c r="D26" s="425"/>
      <c r="E26" s="228">
        <f>SUM(E27:E33)</f>
        <v>0</v>
      </c>
      <c r="F26" s="121">
        <f t="shared" ref="F26:H26" si="8">SUM(F27:F33)</f>
        <v>0</v>
      </c>
      <c r="G26" s="121">
        <f t="shared" si="8"/>
        <v>0</v>
      </c>
      <c r="H26" s="117">
        <f t="shared" si="8"/>
        <v>0</v>
      </c>
      <c r="I26" s="228">
        <f>SUM(I27:I33)</f>
        <v>0</v>
      </c>
      <c r="J26" s="121">
        <f>SUM(J27:J33)</f>
        <v>0</v>
      </c>
      <c r="K26" s="121">
        <f>SUM(K27:K33)</f>
        <v>0</v>
      </c>
      <c r="L26" s="121">
        <f>SUM(L27:L33)</f>
        <v>0</v>
      </c>
      <c r="M26" s="121"/>
      <c r="N26" s="422"/>
      <c r="O26" s="422"/>
      <c r="P26" s="422"/>
      <c r="Q26" s="423"/>
      <c r="R26" s="422"/>
      <c r="S26" s="422"/>
    </row>
    <row r="27" spans="1:19" s="25" customFormat="1" ht="19.95" customHeight="1">
      <c r="A27" s="107" t="s">
        <v>74</v>
      </c>
      <c r="B27" s="33"/>
      <c r="C27" s="33"/>
      <c r="D27" s="108" t="s">
        <v>275</v>
      </c>
      <c r="E27" s="26"/>
      <c r="F27" s="26"/>
      <c r="G27" s="26"/>
      <c r="H27" s="117">
        <f t="shared" ref="H27:H33" si="9">E27+F27-G27</f>
        <v>0</v>
      </c>
      <c r="I27" s="26"/>
      <c r="J27" s="121">
        <f t="shared" si="5"/>
        <v>0</v>
      </c>
      <c r="K27" s="123"/>
      <c r="L27" s="121">
        <f t="shared" ref="L27:L33" si="10">J27-K27</f>
        <v>0</v>
      </c>
      <c r="M27" s="414"/>
      <c r="N27" s="247"/>
      <c r="O27" s="247"/>
      <c r="P27" s="247"/>
      <c r="Q27" s="253"/>
      <c r="R27" s="248"/>
      <c r="S27" s="247"/>
    </row>
    <row r="28" spans="1:19" s="25" customFormat="1" ht="19.95" customHeight="1">
      <c r="A28" s="107" t="s">
        <v>74</v>
      </c>
      <c r="B28" s="33"/>
      <c r="C28" s="33"/>
      <c r="D28" s="109" t="s">
        <v>276</v>
      </c>
      <c r="E28" s="26"/>
      <c r="F28" s="26"/>
      <c r="G28" s="26"/>
      <c r="H28" s="117">
        <f t="shared" si="9"/>
        <v>0</v>
      </c>
      <c r="I28" s="26"/>
      <c r="J28" s="121">
        <f t="shared" si="5"/>
        <v>0</v>
      </c>
      <c r="K28" s="123"/>
      <c r="L28" s="121">
        <f t="shared" si="10"/>
        <v>0</v>
      </c>
      <c r="M28" s="414"/>
      <c r="N28" s="247"/>
      <c r="O28" s="247"/>
      <c r="P28" s="247"/>
      <c r="Q28" s="253"/>
      <c r="R28" s="248"/>
      <c r="S28" s="247"/>
    </row>
    <row r="29" spans="1:19" s="25" customFormat="1" ht="19.95" customHeight="1">
      <c r="A29" s="107" t="s">
        <v>74</v>
      </c>
      <c r="B29" s="33"/>
      <c r="C29" s="33"/>
      <c r="D29" s="109" t="s">
        <v>277</v>
      </c>
      <c r="E29" s="26"/>
      <c r="F29" s="26"/>
      <c r="G29" s="26"/>
      <c r="H29" s="117">
        <f t="shared" si="9"/>
        <v>0</v>
      </c>
      <c r="I29" s="26"/>
      <c r="J29" s="121">
        <f t="shared" si="5"/>
        <v>0</v>
      </c>
      <c r="K29" s="123"/>
      <c r="L29" s="121">
        <f t="shared" si="10"/>
        <v>0</v>
      </c>
      <c r="M29" s="414"/>
      <c r="N29" s="247"/>
      <c r="O29" s="247"/>
      <c r="P29" s="247"/>
      <c r="Q29" s="253"/>
      <c r="R29" s="248"/>
      <c r="S29" s="247"/>
    </row>
    <row r="30" spans="1:19" s="25" customFormat="1" ht="19.95" customHeight="1">
      <c r="A30" s="107" t="s">
        <v>74</v>
      </c>
      <c r="B30" s="33"/>
      <c r="C30" s="33"/>
      <c r="D30" s="33"/>
      <c r="E30" s="26"/>
      <c r="F30" s="26"/>
      <c r="G30" s="26"/>
      <c r="H30" s="117">
        <f t="shared" si="9"/>
        <v>0</v>
      </c>
      <c r="I30" s="26"/>
      <c r="J30" s="121">
        <f t="shared" si="5"/>
        <v>0</v>
      </c>
      <c r="K30" s="123"/>
      <c r="L30" s="121">
        <f t="shared" si="10"/>
        <v>0</v>
      </c>
      <c r="M30" s="414"/>
      <c r="N30" s="247"/>
      <c r="O30" s="247"/>
      <c r="P30" s="247"/>
      <c r="Q30" s="253"/>
      <c r="R30" s="248"/>
      <c r="S30" s="247"/>
    </row>
    <row r="31" spans="1:19" s="25" customFormat="1" ht="19.95" customHeight="1">
      <c r="A31" s="107" t="s">
        <v>74</v>
      </c>
      <c r="B31" s="33"/>
      <c r="C31" s="33"/>
      <c r="D31" s="33"/>
      <c r="E31" s="26"/>
      <c r="F31" s="26"/>
      <c r="G31" s="26"/>
      <c r="H31" s="117">
        <f t="shared" si="9"/>
        <v>0</v>
      </c>
      <c r="I31" s="26"/>
      <c r="J31" s="121">
        <f t="shared" si="5"/>
        <v>0</v>
      </c>
      <c r="K31" s="123"/>
      <c r="L31" s="121">
        <f t="shared" si="10"/>
        <v>0</v>
      </c>
      <c r="M31" s="414"/>
      <c r="N31" s="247"/>
      <c r="O31" s="247"/>
      <c r="P31" s="247"/>
      <c r="Q31" s="253"/>
      <c r="R31" s="248"/>
      <c r="S31" s="247"/>
    </row>
    <row r="32" spans="1:19" s="25" customFormat="1" ht="19.95" customHeight="1">
      <c r="A32" s="107" t="s">
        <v>74</v>
      </c>
      <c r="B32" s="33"/>
      <c r="C32" s="33"/>
      <c r="D32" s="33"/>
      <c r="E32" s="26"/>
      <c r="F32" s="26"/>
      <c r="G32" s="26"/>
      <c r="H32" s="117">
        <f t="shared" si="9"/>
        <v>0</v>
      </c>
      <c r="I32" s="26"/>
      <c r="J32" s="121">
        <f t="shared" si="5"/>
        <v>0</v>
      </c>
      <c r="K32" s="123"/>
      <c r="L32" s="121">
        <f t="shared" si="10"/>
        <v>0</v>
      </c>
      <c r="M32" s="414"/>
      <c r="N32" s="247"/>
      <c r="O32" s="247"/>
      <c r="P32" s="247"/>
      <c r="Q32" s="253"/>
      <c r="R32" s="248"/>
      <c r="S32" s="247"/>
    </row>
    <row r="33" spans="1:19" s="25" customFormat="1" ht="19.95" customHeight="1">
      <c r="A33" s="107" t="s">
        <v>74</v>
      </c>
      <c r="B33" s="33"/>
      <c r="C33" s="33"/>
      <c r="D33" s="33"/>
      <c r="E33" s="26"/>
      <c r="F33" s="26"/>
      <c r="G33" s="26"/>
      <c r="H33" s="117">
        <f t="shared" si="9"/>
        <v>0</v>
      </c>
      <c r="I33" s="26"/>
      <c r="J33" s="121">
        <f t="shared" si="5"/>
        <v>0</v>
      </c>
      <c r="K33" s="123"/>
      <c r="L33" s="121">
        <f t="shared" si="10"/>
        <v>0</v>
      </c>
      <c r="M33" s="414"/>
      <c r="N33" s="247"/>
      <c r="O33" s="247"/>
      <c r="P33" s="247"/>
      <c r="Q33" s="253"/>
      <c r="R33" s="248"/>
      <c r="S33" s="247"/>
    </row>
    <row r="34" spans="1:19" s="426" customFormat="1" ht="19.95" customHeight="1">
      <c r="A34" s="473" t="s">
        <v>278</v>
      </c>
      <c r="B34" s="473"/>
      <c r="C34" s="473"/>
      <c r="D34" s="473"/>
      <c r="E34" s="122">
        <f>E22+E12+E26</f>
        <v>0</v>
      </c>
      <c r="F34" s="121">
        <f>F22+F12+F26</f>
        <v>0</v>
      </c>
      <c r="G34" s="121">
        <f>G22+G12+G26</f>
        <v>0</v>
      </c>
      <c r="H34" s="122">
        <f>H22+H12+H26</f>
        <v>0</v>
      </c>
      <c r="I34" s="122">
        <f>I22+I12+I26</f>
        <v>0</v>
      </c>
      <c r="J34" s="121">
        <f>J12+J22+J26</f>
        <v>0</v>
      </c>
      <c r="K34" s="121">
        <f>K12+K22+K26</f>
        <v>0</v>
      </c>
      <c r="L34" s="121">
        <f>L12+L22+L26</f>
        <v>0</v>
      </c>
      <c r="M34" s="121"/>
      <c r="N34" s="422"/>
      <c r="O34" s="422"/>
      <c r="P34" s="422"/>
      <c r="Q34" s="423"/>
      <c r="R34" s="422"/>
      <c r="S34" s="422"/>
    </row>
    <row r="35" spans="1:19" s="418" customFormat="1" ht="19.95" customHeight="1">
      <c r="A35" s="415" t="s">
        <v>279</v>
      </c>
      <c r="B35" s="415"/>
      <c r="C35" s="416"/>
      <c r="D35" s="416"/>
      <c r="E35" s="410"/>
      <c r="F35" s="410"/>
      <c r="G35" s="410"/>
      <c r="H35" s="410"/>
      <c r="I35" s="416"/>
      <c r="J35" s="410"/>
      <c r="K35" s="410"/>
      <c r="L35" s="410"/>
      <c r="M35" s="410"/>
      <c r="N35" s="427"/>
      <c r="O35" s="427"/>
      <c r="P35" s="427"/>
      <c r="Q35" s="417"/>
      <c r="R35" s="427"/>
      <c r="S35" s="427"/>
    </row>
    <row r="36" spans="1:19" s="25" customFormat="1" ht="19.95" customHeight="1">
      <c r="A36" s="197" t="s">
        <v>272</v>
      </c>
      <c r="B36" s="197"/>
      <c r="C36" s="33"/>
      <c r="D36" s="33"/>
      <c r="E36" s="228">
        <f>SUM(E37:E38)</f>
        <v>0</v>
      </c>
      <c r="F36" s="121">
        <f t="shared" ref="F36:J36" si="11">SUM(F37:F38)</f>
        <v>0</v>
      </c>
      <c r="G36" s="121">
        <f t="shared" si="11"/>
        <v>0</v>
      </c>
      <c r="H36" s="117">
        <f t="shared" si="11"/>
        <v>0</v>
      </c>
      <c r="I36" s="228">
        <f t="shared" si="11"/>
        <v>0</v>
      </c>
      <c r="J36" s="121">
        <f t="shared" si="11"/>
        <v>0</v>
      </c>
      <c r="K36" s="121">
        <f t="shared" ref="K36:L36" si="12">SUM(K37:K38)</f>
        <v>0</v>
      </c>
      <c r="L36" s="121">
        <f t="shared" si="12"/>
        <v>0</v>
      </c>
      <c r="M36" s="121"/>
      <c r="N36" s="249" t="s">
        <v>53</v>
      </c>
      <c r="O36" s="249" t="s">
        <v>53</v>
      </c>
      <c r="P36" s="249" t="s">
        <v>53</v>
      </c>
      <c r="Q36" s="254"/>
      <c r="R36" s="250"/>
      <c r="S36" s="247"/>
    </row>
    <row r="37" spans="1:19" s="25" customFormat="1" ht="19.95" customHeight="1">
      <c r="A37" s="33" t="s">
        <v>72</v>
      </c>
      <c r="B37" s="33"/>
      <c r="C37" s="33"/>
      <c r="D37" s="33"/>
      <c r="E37" s="26"/>
      <c r="F37" s="26"/>
      <c r="G37" s="26"/>
      <c r="H37" s="117">
        <f t="shared" ref="H37:H41" si="13">E37+F37-G37</f>
        <v>0</v>
      </c>
      <c r="I37" s="26"/>
      <c r="J37" s="121">
        <f>H37+I37</f>
        <v>0</v>
      </c>
      <c r="K37" s="76"/>
      <c r="L37" s="121">
        <f>J37-K37</f>
        <v>0</v>
      </c>
      <c r="M37" s="121"/>
      <c r="N37" s="249"/>
      <c r="O37" s="249"/>
      <c r="P37" s="249"/>
      <c r="Q37" s="254"/>
      <c r="R37" s="250"/>
      <c r="S37" s="247"/>
    </row>
    <row r="38" spans="1:19" s="25" customFormat="1" ht="19.95" customHeight="1">
      <c r="A38" s="33" t="s">
        <v>72</v>
      </c>
      <c r="B38" s="33"/>
      <c r="C38" s="33"/>
      <c r="D38" s="33"/>
      <c r="E38" s="26"/>
      <c r="F38" s="26"/>
      <c r="G38" s="26"/>
      <c r="H38" s="117">
        <f t="shared" si="13"/>
        <v>0</v>
      </c>
      <c r="I38" s="26"/>
      <c r="J38" s="121">
        <f t="shared" ref="J38:J41" si="14">H38+I38</f>
        <v>0</v>
      </c>
      <c r="K38" s="76"/>
      <c r="L38" s="121">
        <f>J38-K38</f>
        <v>0</v>
      </c>
      <c r="M38" s="121"/>
      <c r="N38" s="249"/>
      <c r="O38" s="249"/>
      <c r="P38" s="249"/>
      <c r="Q38" s="254"/>
      <c r="R38" s="250"/>
      <c r="S38" s="247"/>
    </row>
    <row r="39" spans="1:19" s="25" customFormat="1" ht="19.95" customHeight="1">
      <c r="A39" s="197" t="s">
        <v>280</v>
      </c>
      <c r="B39" s="197"/>
      <c r="C39" s="33"/>
      <c r="D39" s="33"/>
      <c r="E39" s="228">
        <f>SUM(E40:E41)</f>
        <v>0</v>
      </c>
      <c r="F39" s="121">
        <f t="shared" ref="F39:J39" si="15">SUM(F40:F41)</f>
        <v>0</v>
      </c>
      <c r="G39" s="121">
        <f t="shared" si="15"/>
        <v>0</v>
      </c>
      <c r="H39" s="117">
        <f t="shared" si="15"/>
        <v>0</v>
      </c>
      <c r="I39" s="228">
        <f t="shared" si="15"/>
        <v>0</v>
      </c>
      <c r="J39" s="121">
        <f t="shared" si="15"/>
        <v>0</v>
      </c>
      <c r="K39" s="121">
        <f t="shared" ref="K39:L39" si="16">SUM(K40:K41)</f>
        <v>0</v>
      </c>
      <c r="L39" s="121">
        <f t="shared" si="16"/>
        <v>0</v>
      </c>
      <c r="M39" s="121"/>
      <c r="N39" s="249"/>
      <c r="O39" s="249"/>
      <c r="P39" s="249"/>
      <c r="Q39" s="254"/>
      <c r="R39" s="250"/>
      <c r="S39" s="247"/>
    </row>
    <row r="40" spans="1:19" s="25" customFormat="1" ht="19.95" customHeight="1">
      <c r="A40" s="33" t="s">
        <v>281</v>
      </c>
      <c r="B40" s="33"/>
      <c r="C40" s="33"/>
      <c r="D40" s="33"/>
      <c r="E40" s="26"/>
      <c r="F40" s="26"/>
      <c r="G40" s="26"/>
      <c r="H40" s="117">
        <f t="shared" si="13"/>
        <v>0</v>
      </c>
      <c r="I40" s="26"/>
      <c r="J40" s="121">
        <f t="shared" si="14"/>
        <v>0</v>
      </c>
      <c r="K40" s="76"/>
      <c r="L40" s="121">
        <f>J40-K40</f>
        <v>0</v>
      </c>
      <c r="M40" s="121"/>
      <c r="N40" s="249"/>
      <c r="O40" s="249"/>
      <c r="P40" s="249"/>
      <c r="Q40" s="254"/>
      <c r="R40" s="250"/>
      <c r="S40" s="247"/>
    </row>
    <row r="41" spans="1:19" s="25" customFormat="1" ht="19.95" customHeight="1">
      <c r="A41" s="33" t="s">
        <v>281</v>
      </c>
      <c r="B41" s="33"/>
      <c r="C41" s="33"/>
      <c r="D41" s="33"/>
      <c r="E41" s="26"/>
      <c r="F41" s="26"/>
      <c r="G41" s="26"/>
      <c r="H41" s="117">
        <f t="shared" si="13"/>
        <v>0</v>
      </c>
      <c r="I41" s="26"/>
      <c r="J41" s="121">
        <f t="shared" si="14"/>
        <v>0</v>
      </c>
      <c r="K41" s="76"/>
      <c r="L41" s="121">
        <f>J41-K41</f>
        <v>0</v>
      </c>
      <c r="M41" s="121"/>
      <c r="N41" s="249"/>
      <c r="O41" s="249"/>
      <c r="P41" s="249"/>
      <c r="Q41" s="254"/>
      <c r="R41" s="250"/>
      <c r="S41" s="247"/>
    </row>
    <row r="42" spans="1:19" s="25" customFormat="1" ht="19.95" customHeight="1">
      <c r="A42" s="197" t="s">
        <v>274</v>
      </c>
      <c r="B42" s="33"/>
      <c r="C42" s="33"/>
      <c r="D42" s="33"/>
      <c r="E42" s="228">
        <f t="shared" ref="E42:J42" si="17">SUM(E43:E45)</f>
        <v>0</v>
      </c>
      <c r="F42" s="121">
        <f t="shared" si="17"/>
        <v>0</v>
      </c>
      <c r="G42" s="121">
        <f t="shared" si="17"/>
        <v>0</v>
      </c>
      <c r="H42" s="117">
        <f t="shared" si="17"/>
        <v>0</v>
      </c>
      <c r="I42" s="228">
        <f t="shared" si="17"/>
        <v>0</v>
      </c>
      <c r="J42" s="121">
        <f t="shared" si="17"/>
        <v>0</v>
      </c>
      <c r="K42" s="121">
        <f>SUM(K43:K45)</f>
        <v>0</v>
      </c>
      <c r="L42" s="121">
        <f>SUM(L43:L45)</f>
        <v>0</v>
      </c>
      <c r="M42" s="121"/>
      <c r="N42" s="249"/>
      <c r="O42" s="249"/>
      <c r="P42" s="249"/>
      <c r="Q42" s="254"/>
      <c r="R42" s="250"/>
      <c r="S42" s="247"/>
    </row>
    <row r="43" spans="1:19" s="25" customFormat="1" ht="19.95" customHeight="1">
      <c r="A43" s="33" t="s">
        <v>72</v>
      </c>
      <c r="B43" s="33"/>
      <c r="C43" s="33"/>
      <c r="D43" s="404" t="s">
        <v>275</v>
      </c>
      <c r="E43" s="26"/>
      <c r="F43" s="26"/>
      <c r="G43" s="26"/>
      <c r="H43" s="117">
        <f t="shared" ref="H43:H45" si="18">E43+F43-G43</f>
        <v>0</v>
      </c>
      <c r="I43" s="26"/>
      <c r="J43" s="121">
        <f t="shared" ref="J43:J44" si="19">H43+I43</f>
        <v>0</v>
      </c>
      <c r="K43" s="76"/>
      <c r="L43" s="121">
        <f>J43-K43</f>
        <v>0</v>
      </c>
      <c r="M43" s="121"/>
      <c r="N43" s="249"/>
      <c r="O43" s="249"/>
      <c r="P43" s="249"/>
      <c r="Q43" s="254"/>
      <c r="R43" s="250"/>
      <c r="S43" s="247"/>
    </row>
    <row r="44" spans="1:19" s="25" customFormat="1" ht="19.95" customHeight="1">
      <c r="A44" s="33" t="s">
        <v>72</v>
      </c>
      <c r="B44" s="33"/>
      <c r="C44" s="33"/>
      <c r="D44" s="107" t="s">
        <v>276</v>
      </c>
      <c r="E44" s="26"/>
      <c r="F44" s="26"/>
      <c r="G44" s="26"/>
      <c r="H44" s="117">
        <f t="shared" si="18"/>
        <v>0</v>
      </c>
      <c r="I44" s="26"/>
      <c r="J44" s="121">
        <f t="shared" si="19"/>
        <v>0</v>
      </c>
      <c r="K44" s="76"/>
      <c r="L44" s="121">
        <f>J44-K44</f>
        <v>0</v>
      </c>
      <c r="M44" s="121"/>
      <c r="N44" s="249"/>
      <c r="O44" s="249"/>
      <c r="P44" s="249"/>
      <c r="Q44" s="254"/>
      <c r="R44" s="250"/>
      <c r="S44" s="247"/>
    </row>
    <row r="45" spans="1:19" s="25" customFormat="1" ht="19.95" customHeight="1">
      <c r="A45" s="33" t="s">
        <v>72</v>
      </c>
      <c r="B45" s="33"/>
      <c r="C45" s="33"/>
      <c r="D45" s="107" t="s">
        <v>277</v>
      </c>
      <c r="E45" s="26"/>
      <c r="F45" s="26"/>
      <c r="G45" s="26"/>
      <c r="H45" s="117">
        <f t="shared" si="18"/>
        <v>0</v>
      </c>
      <c r="I45" s="26"/>
      <c r="J45" s="121">
        <f>H45+I45</f>
        <v>0</v>
      </c>
      <c r="K45" s="76"/>
      <c r="L45" s="121">
        <f>J45-K45</f>
        <v>0</v>
      </c>
      <c r="M45" s="121"/>
      <c r="N45" s="249"/>
      <c r="O45" s="249"/>
      <c r="P45" s="249"/>
      <c r="Q45" s="254"/>
      <c r="R45" s="250"/>
      <c r="S45" s="247"/>
    </row>
    <row r="46" spans="1:19" s="426" customFormat="1" ht="19.95" customHeight="1">
      <c r="A46" s="473" t="s">
        <v>282</v>
      </c>
      <c r="B46" s="473"/>
      <c r="C46" s="473"/>
      <c r="D46" s="473"/>
      <c r="E46" s="122">
        <f>E39+E36+E42</f>
        <v>0</v>
      </c>
      <c r="F46" s="121">
        <f>F39+F36+F42</f>
        <v>0</v>
      </c>
      <c r="G46" s="121">
        <f>G39+G36+G42</f>
        <v>0</v>
      </c>
      <c r="H46" s="122">
        <f>H42+H39+H36</f>
        <v>0</v>
      </c>
      <c r="I46" s="122">
        <f>I36+I39+I42</f>
        <v>0</v>
      </c>
      <c r="J46" s="121">
        <f>J36+J39+J42</f>
        <v>0</v>
      </c>
      <c r="K46" s="121">
        <f>K36+K39+K42</f>
        <v>0</v>
      </c>
      <c r="L46" s="121">
        <f>L36+L39+L42</f>
        <v>0</v>
      </c>
      <c r="M46" s="121"/>
      <c r="N46" s="428" t="s">
        <v>53</v>
      </c>
      <c r="O46" s="428" t="s">
        <v>53</v>
      </c>
      <c r="P46" s="428" t="s">
        <v>53</v>
      </c>
      <c r="Q46" s="429"/>
      <c r="R46" s="428"/>
      <c r="S46" s="422"/>
    </row>
    <row r="47" spans="1:19" s="34" customFormat="1" ht="19.95" customHeight="1">
      <c r="A47" s="471" t="s">
        <v>283</v>
      </c>
      <c r="B47" s="471"/>
      <c r="C47" s="471"/>
      <c r="D47" s="471"/>
      <c r="E47" s="228">
        <f>E36+E12</f>
        <v>0</v>
      </c>
      <c r="F47" s="122">
        <f>F36+F12</f>
        <v>0</v>
      </c>
      <c r="G47" s="122">
        <f>G36+G12</f>
        <v>0</v>
      </c>
      <c r="H47" s="122">
        <f>H36+H12</f>
        <v>0</v>
      </c>
      <c r="I47" s="228">
        <f>I36+I12</f>
        <v>0</v>
      </c>
      <c r="J47" s="122">
        <f>H47+I47</f>
        <v>0</v>
      </c>
      <c r="K47" s="122">
        <f>K36+K12</f>
        <v>0</v>
      </c>
      <c r="L47" s="121">
        <f>J47-K47</f>
        <v>0</v>
      </c>
      <c r="M47" s="122"/>
      <c r="N47" s="251"/>
      <c r="O47" s="251"/>
      <c r="P47" s="251"/>
      <c r="Q47" s="255"/>
      <c r="R47" s="252"/>
      <c r="S47" s="247"/>
    </row>
    <row r="48" spans="1:19" s="34" customFormat="1" ht="19.95" customHeight="1">
      <c r="A48" s="471" t="s">
        <v>284</v>
      </c>
      <c r="B48" s="471"/>
      <c r="C48" s="471"/>
      <c r="D48" s="471"/>
      <c r="E48" s="228">
        <f>E22+E39</f>
        <v>0</v>
      </c>
      <c r="F48" s="121">
        <f>F22+F39</f>
        <v>0</v>
      </c>
      <c r="G48" s="121">
        <f>G22+G39</f>
        <v>0</v>
      </c>
      <c r="H48" s="117">
        <f>H22+H39</f>
        <v>0</v>
      </c>
      <c r="I48" s="228">
        <f>I39+I22</f>
        <v>0</v>
      </c>
      <c r="J48" s="121">
        <f>H48+I48</f>
        <v>0</v>
      </c>
      <c r="K48" s="121">
        <f>K22+K39</f>
        <v>0</v>
      </c>
      <c r="L48" s="121">
        <f t="shared" ref="L48" si="20">J48-K48</f>
        <v>0</v>
      </c>
      <c r="M48" s="121"/>
      <c r="N48" s="251"/>
      <c r="O48" s="251"/>
      <c r="P48" s="251"/>
      <c r="Q48" s="255"/>
      <c r="R48" s="252"/>
      <c r="S48" s="247"/>
    </row>
    <row r="49" spans="1:28" s="34" customFormat="1" ht="19.95" customHeight="1">
      <c r="A49" s="471" t="s">
        <v>285</v>
      </c>
      <c r="B49" s="471"/>
      <c r="C49" s="471"/>
      <c r="D49" s="471"/>
      <c r="E49" s="228">
        <f>E26+E42</f>
        <v>0</v>
      </c>
      <c r="F49" s="121">
        <f>F26+F42</f>
        <v>0</v>
      </c>
      <c r="G49" s="121">
        <f>G26+G42</f>
        <v>0</v>
      </c>
      <c r="H49" s="117">
        <f>H26+H42</f>
        <v>0</v>
      </c>
      <c r="I49" s="228">
        <f>I26+I42</f>
        <v>0</v>
      </c>
      <c r="J49" s="121">
        <f>H49+I49</f>
        <v>0</v>
      </c>
      <c r="K49" s="121">
        <f>K26+K42</f>
        <v>0</v>
      </c>
      <c r="L49" s="121">
        <f>J49-K49</f>
        <v>0</v>
      </c>
      <c r="M49" s="121"/>
      <c r="N49" s="251"/>
      <c r="O49" s="251"/>
      <c r="P49" s="251"/>
      <c r="Q49" s="255"/>
      <c r="R49" s="252"/>
      <c r="S49" s="247"/>
    </row>
    <row r="50" spans="1:28" s="34" customFormat="1" ht="19.95" customHeight="1">
      <c r="A50" s="472" t="s">
        <v>52</v>
      </c>
      <c r="B50" s="472"/>
      <c r="C50" s="472"/>
      <c r="D50" s="472"/>
      <c r="E50" s="122">
        <f t="shared" ref="E50:I50" si="21">SUM(E47:E49)</f>
        <v>0</v>
      </c>
      <c r="F50" s="121">
        <f t="shared" si="21"/>
        <v>0</v>
      </c>
      <c r="G50" s="121">
        <f t="shared" si="21"/>
        <v>0</v>
      </c>
      <c r="H50" s="122">
        <f t="shared" si="21"/>
        <v>0</v>
      </c>
      <c r="I50" s="122">
        <f t="shared" si="21"/>
        <v>0</v>
      </c>
      <c r="J50" s="121">
        <f>SUM(J47:J49)</f>
        <v>0</v>
      </c>
      <c r="K50" s="121">
        <f>SUM(K47:K49)</f>
        <v>0</v>
      </c>
      <c r="L50" s="121">
        <f>SUM(L47:L49)</f>
        <v>0</v>
      </c>
      <c r="M50" s="121"/>
      <c r="N50" s="247" t="s">
        <v>3</v>
      </c>
      <c r="O50" s="247" t="s">
        <v>3</v>
      </c>
      <c r="P50" s="247" t="s">
        <v>3</v>
      </c>
      <c r="Q50" s="253"/>
      <c r="R50" s="248"/>
      <c r="S50" s="247"/>
    </row>
    <row r="51" spans="1:28" s="424" customFormat="1" ht="19.95" customHeight="1">
      <c r="A51" s="430" t="s">
        <v>242</v>
      </c>
      <c r="B51" s="430"/>
      <c r="C51" s="425"/>
      <c r="D51" s="425"/>
      <c r="E51" s="228"/>
      <c r="F51" s="228"/>
      <c r="G51" s="228"/>
      <c r="H51" s="117">
        <f>E51+F51-G51</f>
        <v>0</v>
      </c>
      <c r="I51" s="228"/>
      <c r="J51" s="117">
        <f>H51+I51</f>
        <v>0</v>
      </c>
      <c r="K51" s="117"/>
      <c r="L51" s="117"/>
      <c r="M51" s="117"/>
      <c r="N51" s="431" t="s">
        <v>53</v>
      </c>
      <c r="O51" s="431" t="s">
        <v>53</v>
      </c>
      <c r="P51" s="431" t="s">
        <v>53</v>
      </c>
      <c r="Q51" s="432"/>
      <c r="R51" s="431"/>
      <c r="S51" s="422"/>
    </row>
    <row r="52" spans="1:28" s="25" customFormat="1" ht="19.95" customHeight="1">
      <c r="A52" s="125" t="s">
        <v>20</v>
      </c>
      <c r="B52" s="125"/>
      <c r="C52" s="124"/>
      <c r="D52" s="124"/>
      <c r="I52" s="7"/>
      <c r="Q52" s="136"/>
      <c r="R52" s="136"/>
    </row>
    <row r="53" spans="1:28" s="25" customFormat="1" ht="19.95" customHeight="1">
      <c r="A53" s="312" t="s">
        <v>387</v>
      </c>
      <c r="B53" s="125"/>
      <c r="C53" s="124"/>
      <c r="D53" s="124"/>
      <c r="I53" s="7"/>
      <c r="Q53" s="136"/>
      <c r="R53" s="136"/>
    </row>
    <row r="54" spans="1:28" s="25" customFormat="1" ht="19.95" customHeight="1">
      <c r="A54" s="314" t="s">
        <v>557</v>
      </c>
      <c r="B54" s="12"/>
      <c r="C54" s="12"/>
      <c r="D54" s="12"/>
      <c r="E54" s="12"/>
      <c r="F54" s="12"/>
      <c r="G54" s="12"/>
      <c r="H54" s="12"/>
      <c r="I54" s="12"/>
      <c r="J54" s="12"/>
      <c r="K54" s="12"/>
      <c r="L54" s="12"/>
      <c r="M54" s="12"/>
      <c r="N54" s="12"/>
      <c r="O54" s="12"/>
      <c r="P54" s="12"/>
      <c r="Q54" s="131"/>
      <c r="R54" s="131"/>
      <c r="S54" s="12"/>
    </row>
    <row r="55" spans="1:28" s="25" customFormat="1" ht="19.95" customHeight="1">
      <c r="A55" s="313" t="s">
        <v>590</v>
      </c>
      <c r="Q55" s="136"/>
      <c r="R55" s="136"/>
    </row>
    <row r="56" spans="1:28" s="28" customFormat="1" ht="19.95" customHeight="1">
      <c r="A56" s="7" t="s">
        <v>18</v>
      </c>
      <c r="B56" s="25"/>
      <c r="Q56" s="137"/>
      <c r="R56" s="137"/>
    </row>
    <row r="57" spans="1:28" ht="19.95" customHeight="1">
      <c r="A57" s="25"/>
      <c r="B57" s="25"/>
    </row>
    <row r="58" spans="1:28" s="263" customFormat="1" ht="19.95" customHeight="1">
      <c r="A58" s="266" t="s">
        <v>350</v>
      </c>
      <c r="B58" s="266"/>
      <c r="C58" s="266"/>
      <c r="D58" s="158"/>
      <c r="E58" s="158"/>
      <c r="F58" s="158"/>
      <c r="G58" s="158"/>
      <c r="H58" s="158"/>
      <c r="I58" s="158"/>
      <c r="J58" s="158"/>
      <c r="K58" s="158"/>
      <c r="L58" s="158"/>
      <c r="M58" s="158"/>
      <c r="N58" s="158"/>
      <c r="O58" s="158"/>
      <c r="P58" s="158"/>
      <c r="Q58" s="158"/>
      <c r="R58" s="158"/>
      <c r="S58" s="158"/>
      <c r="T58" s="158"/>
      <c r="U58" s="158"/>
      <c r="V58" s="158"/>
      <c r="AB58" s="158"/>
    </row>
    <row r="59" spans="1:28" s="12" customFormat="1" ht="19.95" customHeight="1">
      <c r="A59" s="225" t="s">
        <v>388</v>
      </c>
      <c r="B59" s="91"/>
      <c r="C59" s="91"/>
      <c r="D59" s="91"/>
      <c r="Q59" s="131"/>
      <c r="R59" s="131"/>
    </row>
    <row r="60" spans="1:28" s="12" customFormat="1" ht="19.95" customHeight="1">
      <c r="A60" s="225" t="s">
        <v>520</v>
      </c>
      <c r="B60" s="91"/>
      <c r="C60" s="91"/>
      <c r="D60" s="91"/>
      <c r="Q60" s="131"/>
      <c r="R60" s="131"/>
    </row>
    <row r="61" spans="1:28" s="12" customFormat="1" ht="19.95" customHeight="1">
      <c r="A61" s="225" t="s">
        <v>545</v>
      </c>
      <c r="B61" s="91"/>
      <c r="C61" s="91"/>
      <c r="D61" s="91"/>
      <c r="Q61" s="131"/>
      <c r="R61" s="131"/>
    </row>
    <row r="62" spans="1:28" s="12" customFormat="1" ht="19.95" customHeight="1">
      <c r="A62" s="324" t="s">
        <v>546</v>
      </c>
      <c r="B62" s="91"/>
      <c r="C62" s="91"/>
      <c r="D62" s="91"/>
      <c r="Q62" s="131"/>
      <c r="R62" s="131"/>
    </row>
    <row r="63" spans="1:28" s="12" customFormat="1" ht="19.95" customHeight="1">
      <c r="A63" s="323" t="s">
        <v>491</v>
      </c>
      <c r="B63" s="91"/>
      <c r="C63" s="91"/>
      <c r="D63" s="91"/>
      <c r="Q63" s="131"/>
      <c r="R63" s="131"/>
    </row>
    <row r="64" spans="1:28" s="12" customFormat="1" ht="19.95" customHeight="1">
      <c r="A64" s="323" t="s">
        <v>492</v>
      </c>
      <c r="B64" s="91"/>
      <c r="C64" s="91"/>
      <c r="D64" s="91"/>
      <c r="Q64" s="131"/>
      <c r="R64" s="131"/>
    </row>
    <row r="65" spans="1:19" s="12" customFormat="1" ht="19.95" customHeight="1">
      <c r="A65" s="323" t="s">
        <v>493</v>
      </c>
      <c r="B65" s="91"/>
      <c r="C65" s="91"/>
      <c r="D65" s="91"/>
      <c r="Q65" s="131"/>
      <c r="R65" s="131"/>
    </row>
    <row r="66" spans="1:19" s="12" customFormat="1" ht="19.95" customHeight="1">
      <c r="A66" s="323" t="s">
        <v>494</v>
      </c>
      <c r="B66" s="91"/>
      <c r="C66" s="91"/>
      <c r="D66" s="91"/>
      <c r="Q66" s="131"/>
      <c r="R66" s="131"/>
    </row>
    <row r="67" spans="1:19" s="12" customFormat="1" ht="19.95" customHeight="1">
      <c r="A67" s="323" t="s">
        <v>495</v>
      </c>
      <c r="B67" s="91"/>
      <c r="C67" s="91"/>
      <c r="D67" s="91"/>
      <c r="Q67" s="131"/>
      <c r="R67" s="131"/>
    </row>
    <row r="68" spans="1:19" s="12" customFormat="1" ht="19.95" customHeight="1">
      <c r="A68" s="323" t="s">
        <v>496</v>
      </c>
      <c r="B68" s="91"/>
      <c r="C68" s="91"/>
      <c r="D68" s="91"/>
      <c r="Q68" s="131"/>
      <c r="R68" s="131"/>
    </row>
    <row r="69" spans="1:19" s="12" customFormat="1" ht="19.95" customHeight="1">
      <c r="A69" s="323" t="s">
        <v>497</v>
      </c>
      <c r="B69" s="91"/>
      <c r="C69" s="91"/>
      <c r="D69" s="91"/>
      <c r="Q69" s="131"/>
      <c r="R69" s="131"/>
    </row>
    <row r="70" spans="1:19" s="12" customFormat="1" ht="19.95" customHeight="1">
      <c r="A70" s="323" t="s">
        <v>498</v>
      </c>
      <c r="B70" s="91"/>
      <c r="C70" s="91"/>
      <c r="D70" s="91"/>
      <c r="Q70" s="131"/>
      <c r="R70" s="131"/>
    </row>
    <row r="71" spans="1:19" s="12" customFormat="1" ht="19.95" customHeight="1">
      <c r="A71" s="323" t="s">
        <v>499</v>
      </c>
      <c r="B71" s="91"/>
      <c r="C71" s="91"/>
      <c r="D71" s="91"/>
      <c r="Q71" s="131"/>
      <c r="R71" s="131"/>
    </row>
    <row r="72" spans="1:19" s="12" customFormat="1" ht="19.95" customHeight="1">
      <c r="A72" s="357" t="s">
        <v>547</v>
      </c>
      <c r="B72" s="91"/>
      <c r="C72" s="91"/>
      <c r="D72" s="91"/>
      <c r="Q72" s="131"/>
      <c r="R72" s="131"/>
    </row>
    <row r="73" spans="1:19" s="35" customFormat="1" ht="34.799999999999997" customHeight="1">
      <c r="A73" s="470" t="s">
        <v>489</v>
      </c>
      <c r="B73" s="470"/>
      <c r="C73" s="470"/>
      <c r="D73" s="470"/>
      <c r="E73" s="470"/>
      <c r="F73" s="470"/>
      <c r="G73" s="470"/>
      <c r="H73" s="470"/>
      <c r="I73" s="470"/>
      <c r="J73" s="470"/>
      <c r="K73" s="470"/>
      <c r="L73" s="470"/>
      <c r="M73" s="470"/>
      <c r="N73" s="470"/>
      <c r="O73" s="470"/>
      <c r="P73" s="470"/>
      <c r="Q73" s="470"/>
      <c r="R73" s="470"/>
      <c r="S73" s="470"/>
    </row>
    <row r="74" spans="1:19" s="35" customFormat="1" ht="54.6" customHeight="1">
      <c r="A74" s="470" t="s">
        <v>490</v>
      </c>
      <c r="B74" s="470"/>
      <c r="C74" s="470"/>
      <c r="D74" s="470"/>
      <c r="E74" s="470"/>
      <c r="F74" s="470"/>
      <c r="G74" s="470"/>
      <c r="H74" s="470"/>
      <c r="I74" s="470"/>
      <c r="J74" s="470"/>
      <c r="K74" s="470"/>
      <c r="L74" s="470"/>
      <c r="M74" s="470"/>
      <c r="N74" s="470"/>
      <c r="O74" s="470"/>
      <c r="P74" s="470"/>
      <c r="Q74" s="470"/>
      <c r="R74" s="470"/>
      <c r="S74" s="470"/>
    </row>
    <row r="75" spans="1:19" s="35" customFormat="1" ht="19.8" customHeight="1">
      <c r="A75" s="360" t="s">
        <v>548</v>
      </c>
      <c r="B75" s="356"/>
      <c r="C75" s="356"/>
      <c r="D75" s="356"/>
      <c r="E75" s="356"/>
      <c r="F75" s="356"/>
      <c r="G75" s="356"/>
      <c r="H75" s="356"/>
      <c r="I75" s="356"/>
      <c r="J75" s="356"/>
      <c r="K75" s="356"/>
      <c r="L75" s="356"/>
      <c r="M75" s="409"/>
      <c r="N75" s="356"/>
      <c r="O75" s="356"/>
      <c r="P75" s="356"/>
      <c r="Q75" s="356"/>
      <c r="R75" s="356"/>
      <c r="S75" s="356"/>
    </row>
    <row r="76" spans="1:19" s="35" customFormat="1" ht="19.8" customHeight="1">
      <c r="A76" s="358" t="s">
        <v>511</v>
      </c>
      <c r="B76" s="356"/>
      <c r="C76" s="356"/>
      <c r="D76" s="356"/>
      <c r="E76" s="356"/>
      <c r="F76" s="356"/>
      <c r="G76" s="356"/>
      <c r="H76" s="356"/>
      <c r="I76" s="356"/>
      <c r="J76" s="356"/>
      <c r="K76" s="356"/>
      <c r="L76" s="356"/>
      <c r="M76" s="409"/>
      <c r="N76" s="356"/>
      <c r="O76" s="356"/>
      <c r="P76" s="356"/>
      <c r="Q76" s="356"/>
      <c r="R76" s="356"/>
      <c r="S76" s="356"/>
    </row>
    <row r="77" spans="1:19" s="35" customFormat="1" ht="19.8" customHeight="1">
      <c r="A77" s="358" t="s">
        <v>500</v>
      </c>
      <c r="B77" s="356"/>
      <c r="C77" s="356"/>
      <c r="D77" s="356"/>
      <c r="E77" s="356"/>
      <c r="F77" s="356"/>
      <c r="G77" s="356"/>
      <c r="H77" s="356"/>
      <c r="I77" s="356"/>
      <c r="J77" s="356"/>
      <c r="K77" s="356"/>
      <c r="L77" s="356"/>
      <c r="M77" s="409"/>
      <c r="N77" s="356"/>
      <c r="O77" s="356"/>
      <c r="P77" s="356"/>
      <c r="Q77" s="356"/>
      <c r="R77" s="356"/>
      <c r="S77" s="356"/>
    </row>
    <row r="78" spans="1:19" s="35" customFormat="1" ht="19.8" customHeight="1">
      <c r="A78" s="358" t="s">
        <v>501</v>
      </c>
      <c r="B78" s="356"/>
      <c r="C78" s="356"/>
      <c r="D78" s="356"/>
      <c r="E78" s="356"/>
      <c r="F78" s="356"/>
      <c r="G78" s="356"/>
      <c r="H78" s="356"/>
      <c r="I78" s="356"/>
      <c r="J78" s="356"/>
      <c r="K78" s="356"/>
      <c r="L78" s="356"/>
      <c r="M78" s="409"/>
      <c r="N78" s="356"/>
      <c r="O78" s="356"/>
      <c r="P78" s="356"/>
      <c r="Q78" s="356"/>
      <c r="R78" s="356"/>
      <c r="S78" s="356"/>
    </row>
    <row r="79" spans="1:19" s="35" customFormat="1" ht="19.8" customHeight="1">
      <c r="A79" s="358" t="s">
        <v>502</v>
      </c>
      <c r="B79" s="356"/>
      <c r="C79" s="356"/>
      <c r="D79" s="356"/>
      <c r="E79" s="356"/>
      <c r="F79" s="356"/>
      <c r="G79" s="356"/>
      <c r="H79" s="356"/>
      <c r="I79" s="356"/>
      <c r="J79" s="356"/>
      <c r="K79" s="356"/>
      <c r="L79" s="356"/>
      <c r="M79" s="409"/>
      <c r="N79" s="356"/>
      <c r="O79" s="356"/>
      <c r="P79" s="356"/>
      <c r="Q79" s="356"/>
      <c r="R79" s="356"/>
      <c r="S79" s="356"/>
    </row>
    <row r="80" spans="1:19" s="35" customFormat="1" ht="19.8" customHeight="1">
      <c r="A80" s="358" t="s">
        <v>503</v>
      </c>
      <c r="B80" s="356"/>
      <c r="C80" s="356"/>
      <c r="D80" s="356"/>
      <c r="E80" s="356"/>
      <c r="F80" s="356"/>
      <c r="G80" s="356"/>
      <c r="H80" s="356"/>
      <c r="I80" s="356"/>
      <c r="J80" s="356"/>
      <c r="K80" s="356"/>
      <c r="L80" s="356"/>
      <c r="M80" s="409"/>
      <c r="N80" s="356"/>
      <c r="O80" s="356"/>
      <c r="P80" s="356"/>
      <c r="Q80" s="356"/>
      <c r="R80" s="356"/>
      <c r="S80" s="356"/>
    </row>
    <row r="81" spans="1:19" s="35" customFormat="1" ht="19.8" customHeight="1">
      <c r="A81" s="358" t="s">
        <v>504</v>
      </c>
      <c r="B81" s="356"/>
      <c r="C81" s="356"/>
      <c r="D81" s="356"/>
      <c r="E81" s="356"/>
      <c r="F81" s="356"/>
      <c r="G81" s="356"/>
      <c r="H81" s="356"/>
      <c r="I81" s="356"/>
      <c r="J81" s="356"/>
      <c r="K81" s="356"/>
      <c r="L81" s="356"/>
      <c r="M81" s="409"/>
      <c r="N81" s="356"/>
      <c r="O81" s="356"/>
      <c r="P81" s="356"/>
      <c r="Q81" s="356"/>
      <c r="R81" s="356"/>
      <c r="S81" s="356"/>
    </row>
    <row r="82" spans="1:19" s="35" customFormat="1" ht="19.8" customHeight="1">
      <c r="A82" s="358" t="s">
        <v>512</v>
      </c>
      <c r="B82" s="356"/>
      <c r="C82" s="356"/>
      <c r="D82" s="356"/>
      <c r="E82" s="356"/>
      <c r="F82" s="356"/>
      <c r="G82" s="356"/>
      <c r="H82" s="356"/>
      <c r="I82" s="356"/>
      <c r="J82" s="356"/>
      <c r="K82" s="356"/>
      <c r="L82" s="356"/>
      <c r="M82" s="409"/>
      <c r="N82" s="356"/>
      <c r="O82" s="356"/>
      <c r="P82" s="356"/>
      <c r="Q82" s="356"/>
      <c r="R82" s="356"/>
      <c r="S82" s="356"/>
    </row>
    <row r="83" spans="1:19" s="35" customFormat="1" ht="19.8" customHeight="1">
      <c r="A83" s="358" t="s">
        <v>505</v>
      </c>
      <c r="B83" s="356"/>
      <c r="C83" s="356"/>
      <c r="D83" s="356"/>
      <c r="E83" s="356"/>
      <c r="F83" s="356"/>
      <c r="G83" s="356"/>
      <c r="H83" s="356"/>
      <c r="I83" s="356"/>
      <c r="J83" s="356"/>
      <c r="K83" s="356"/>
      <c r="L83" s="356"/>
      <c r="M83" s="409"/>
      <c r="N83" s="356"/>
      <c r="O83" s="356"/>
      <c r="P83" s="356"/>
      <c r="Q83" s="356"/>
      <c r="R83" s="356"/>
      <c r="S83" s="356"/>
    </row>
    <row r="84" spans="1:19" s="35" customFormat="1" ht="19.8" customHeight="1">
      <c r="A84" s="358" t="s">
        <v>506</v>
      </c>
      <c r="B84" s="356"/>
      <c r="C84" s="356"/>
      <c r="D84" s="356"/>
      <c r="E84" s="356"/>
      <c r="F84" s="356"/>
      <c r="G84" s="356"/>
      <c r="H84" s="356"/>
      <c r="I84" s="356"/>
      <c r="J84" s="356"/>
      <c r="K84" s="356"/>
      <c r="L84" s="356"/>
      <c r="M84" s="409"/>
      <c r="N84" s="356"/>
      <c r="O84" s="356"/>
      <c r="P84" s="356"/>
      <c r="Q84" s="356"/>
      <c r="R84" s="356"/>
      <c r="S84" s="356"/>
    </row>
    <row r="85" spans="1:19" s="35" customFormat="1" ht="19.8" customHeight="1">
      <c r="A85" s="358" t="s">
        <v>507</v>
      </c>
      <c r="B85" s="356"/>
      <c r="C85" s="356"/>
      <c r="D85" s="356"/>
      <c r="E85" s="356"/>
      <c r="F85" s="356"/>
      <c r="G85" s="356"/>
      <c r="H85" s="356"/>
      <c r="I85" s="356"/>
      <c r="J85" s="356"/>
      <c r="K85" s="356"/>
      <c r="L85" s="356"/>
      <c r="M85" s="409"/>
      <c r="N85" s="356"/>
      <c r="O85" s="356"/>
      <c r="P85" s="356"/>
      <c r="Q85" s="356"/>
      <c r="R85" s="356"/>
      <c r="S85" s="356"/>
    </row>
    <row r="86" spans="1:19" s="35" customFormat="1" ht="19.8" customHeight="1">
      <c r="A86" s="358" t="s">
        <v>508</v>
      </c>
      <c r="B86" s="356"/>
      <c r="C86" s="356"/>
      <c r="D86" s="356"/>
      <c r="E86" s="356"/>
      <c r="F86" s="356"/>
      <c r="G86" s="356"/>
      <c r="H86" s="356"/>
      <c r="I86" s="356"/>
      <c r="J86" s="356"/>
      <c r="K86" s="356"/>
      <c r="L86" s="356"/>
      <c r="M86" s="409"/>
      <c r="N86" s="356"/>
      <c r="O86" s="356"/>
      <c r="P86" s="356"/>
      <c r="Q86" s="356"/>
      <c r="R86" s="356"/>
      <c r="S86" s="356"/>
    </row>
    <row r="87" spans="1:19" s="35" customFormat="1" ht="19.8" customHeight="1">
      <c r="A87" s="358" t="s">
        <v>509</v>
      </c>
      <c r="B87" s="356"/>
      <c r="C87" s="356"/>
      <c r="D87" s="356"/>
      <c r="E87" s="356"/>
      <c r="F87" s="356"/>
      <c r="G87" s="356"/>
      <c r="H87" s="356"/>
      <c r="I87" s="356"/>
      <c r="J87" s="356"/>
      <c r="K87" s="356"/>
      <c r="L87" s="356"/>
      <c r="M87" s="409"/>
      <c r="N87" s="356"/>
      <c r="O87" s="356"/>
      <c r="P87" s="356"/>
      <c r="Q87" s="356"/>
      <c r="R87" s="356"/>
      <c r="S87" s="356"/>
    </row>
    <row r="88" spans="1:19" s="35" customFormat="1" ht="19.8" customHeight="1">
      <c r="A88" s="358" t="s">
        <v>510</v>
      </c>
      <c r="B88" s="356"/>
      <c r="C88" s="356"/>
      <c r="D88" s="356"/>
      <c r="E88" s="356"/>
      <c r="F88" s="356"/>
      <c r="G88" s="356"/>
      <c r="H88" s="356"/>
      <c r="I88" s="356"/>
      <c r="J88" s="356"/>
      <c r="K88" s="356"/>
      <c r="L88" s="356"/>
      <c r="M88" s="409"/>
      <c r="N88" s="356"/>
      <c r="O88" s="356"/>
      <c r="P88" s="356"/>
      <c r="Q88" s="356"/>
      <c r="R88" s="356"/>
      <c r="S88" s="356"/>
    </row>
    <row r="89" spans="1:19" s="35" customFormat="1" ht="19.8" customHeight="1">
      <c r="A89" s="358" t="s">
        <v>525</v>
      </c>
      <c r="B89" s="356"/>
      <c r="C89" s="356"/>
      <c r="D89" s="356"/>
      <c r="E89" s="356"/>
      <c r="F89" s="356"/>
      <c r="G89" s="356"/>
      <c r="H89" s="356"/>
      <c r="I89" s="356"/>
      <c r="J89" s="356"/>
      <c r="K89" s="356"/>
      <c r="L89" s="356"/>
      <c r="M89" s="409"/>
      <c r="N89" s="356"/>
      <c r="O89" s="356"/>
      <c r="P89" s="356"/>
      <c r="Q89" s="356"/>
      <c r="R89" s="356"/>
      <c r="S89" s="356"/>
    </row>
    <row r="90" spans="1:19" s="35" customFormat="1" ht="19.8" customHeight="1">
      <c r="A90" s="359" t="s">
        <v>526</v>
      </c>
      <c r="B90" s="356"/>
      <c r="C90" s="356"/>
      <c r="D90" s="356"/>
      <c r="E90" s="356"/>
      <c r="F90" s="356"/>
      <c r="G90" s="356"/>
      <c r="H90" s="356"/>
      <c r="I90" s="356"/>
      <c r="J90" s="356"/>
      <c r="K90" s="356"/>
      <c r="L90" s="356"/>
      <c r="M90" s="409"/>
      <c r="N90" s="356"/>
      <c r="O90" s="356"/>
      <c r="P90" s="356"/>
      <c r="Q90" s="356"/>
      <c r="R90" s="356"/>
      <c r="S90" s="356"/>
    </row>
    <row r="91" spans="1:19" s="12" customFormat="1" ht="19.95" customHeight="1">
      <c r="A91" s="267" t="s">
        <v>549</v>
      </c>
      <c r="B91" s="91"/>
      <c r="C91" s="91"/>
      <c r="D91" s="91"/>
      <c r="Q91" s="131"/>
      <c r="R91" s="131"/>
    </row>
    <row r="92" spans="1:19" s="35" customFormat="1" ht="19.95" customHeight="1">
      <c r="A92" s="267" t="s">
        <v>550</v>
      </c>
      <c r="Q92" s="132"/>
      <c r="R92" s="132"/>
    </row>
  </sheetData>
  <mergeCells count="26">
    <mergeCell ref="A1:S1"/>
    <mergeCell ref="A2:S2"/>
    <mergeCell ref="A9:A10"/>
    <mergeCell ref="B9:B10"/>
    <mergeCell ref="C9:C10"/>
    <mergeCell ref="D9:D10"/>
    <mergeCell ref="E9:H9"/>
    <mergeCell ref="I9:I10"/>
    <mergeCell ref="J9:J10"/>
    <mergeCell ref="S9:S10"/>
    <mergeCell ref="N9:N10"/>
    <mergeCell ref="O9:O10"/>
    <mergeCell ref="P9:P10"/>
    <mergeCell ref="K9:K10"/>
    <mergeCell ref="M9:M10"/>
    <mergeCell ref="A74:S74"/>
    <mergeCell ref="A73:S73"/>
    <mergeCell ref="L9:L10"/>
    <mergeCell ref="A47:D47"/>
    <mergeCell ref="A48:D48"/>
    <mergeCell ref="A49:D49"/>
    <mergeCell ref="A50:D50"/>
    <mergeCell ref="A34:D34"/>
    <mergeCell ref="A46:D46"/>
    <mergeCell ref="Q9:Q10"/>
    <mergeCell ref="R9:R10"/>
  </mergeCells>
  <phoneticPr fontId="1" type="noConversion"/>
  <dataValidations count="1">
    <dataValidation allowBlank="1" showInputMessage="1" showErrorMessage="1" promptTitle="提示：" sqref="D27 D43 C12:D12 C22:D22"/>
  </dataValidations>
  <hyperlinks>
    <hyperlink ref="S3" location="底稿目录!A1" display="底稿目录!A1"/>
  </hyperlinks>
  <printOptions horizontalCentered="1"/>
  <pageMargins left="0.70866141732283472" right="0.70866141732283472" top="0.74803149606299213" bottom="0.74803149606299213" header="0.31496062992125984" footer="0.31496062992125984"/>
  <pageSetup paperSize="9" scale="60" fitToHeight="100" orientation="landscape" blackAndWhite="1" r:id="rId1"/>
  <headerFooter>
    <oddFooter>&amp;C&amp;P/&amp;N</oddFooter>
  </headerFooter>
  <rowBreaks count="1" manualBreakCount="1">
    <brk id="34" max="17"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AO89"/>
  <sheetViews>
    <sheetView view="pageBreakPreview" zoomScaleSheetLayoutView="100" workbookViewId="0">
      <selection activeCell="AC40" sqref="AC40"/>
    </sheetView>
  </sheetViews>
  <sheetFormatPr defaultColWidth="9" defaultRowHeight="19.95" customHeight="1"/>
  <cols>
    <col min="1" max="1" width="16.44140625" style="35" customWidth="1"/>
    <col min="2" max="2" width="11.6640625" style="35" customWidth="1"/>
    <col min="3" max="3" width="13.109375" style="35" customWidth="1"/>
    <col min="4" max="4" width="11.44140625" style="35" customWidth="1"/>
    <col min="5" max="5" width="8.77734375" style="35" customWidth="1"/>
    <col min="6" max="6" width="6" style="35" customWidth="1"/>
    <col min="7" max="7" width="9.21875" style="35" customWidth="1"/>
    <col min="8" max="8" width="11" style="35" customWidth="1"/>
    <col min="9" max="9" width="10" style="35" customWidth="1"/>
    <col min="10" max="10" width="12" style="35" customWidth="1"/>
    <col min="11" max="11" width="8.88671875" style="35" customWidth="1"/>
    <col min="12" max="12" width="10.21875" style="35" customWidth="1"/>
    <col min="13" max="13" width="8.6640625" style="35" customWidth="1"/>
    <col min="14" max="14" width="10.77734375" style="35" customWidth="1"/>
    <col min="15" max="15" width="9.44140625" style="35" customWidth="1"/>
    <col min="16" max="16" width="9.5546875" style="35" customWidth="1"/>
    <col min="17" max="17" width="10.109375" style="35" customWidth="1"/>
    <col min="18" max="19" width="8.6640625" style="35" customWidth="1"/>
    <col min="20" max="20" width="9.21875" style="35" customWidth="1"/>
    <col min="21" max="21" width="8.33203125" style="35" customWidth="1"/>
    <col min="22" max="22" width="10.21875" style="35" customWidth="1"/>
    <col min="23" max="23" width="9.33203125" style="35" customWidth="1"/>
    <col min="24" max="24" width="10.109375" style="35" customWidth="1"/>
    <col min="25" max="25" width="9.88671875" style="35" customWidth="1"/>
    <col min="26" max="26" width="11.21875" style="35" customWidth="1"/>
    <col min="27" max="27" width="9.44140625" style="35" customWidth="1"/>
    <col min="28" max="28" width="11.33203125" style="35" customWidth="1"/>
    <col min="29" max="29" width="10.33203125" style="35" customWidth="1"/>
    <col min="30" max="30" width="10.21875" style="35" customWidth="1"/>
    <col min="31" max="31" width="13.109375" style="35" customWidth="1"/>
    <col min="32" max="32" width="11.44140625" style="35" customWidth="1"/>
    <col min="33" max="33" width="10.33203125" style="35" customWidth="1"/>
    <col min="34" max="34" width="11.77734375" style="35" customWidth="1"/>
    <col min="35" max="35" width="9" style="35"/>
    <col min="36" max="37" width="9.6640625" style="35" bestFit="1" customWidth="1"/>
    <col min="38" max="38" width="9" style="35"/>
    <col min="39" max="39" width="9" style="35" customWidth="1"/>
    <col min="40" max="16384" width="9" style="35"/>
  </cols>
  <sheetData>
    <row r="1" spans="1:41" s="260" customFormat="1" ht="19.05" customHeight="1">
      <c r="A1" s="446" t="s">
        <v>1</v>
      </c>
      <c r="B1" s="446"/>
      <c r="C1" s="446"/>
      <c r="D1" s="446"/>
      <c r="E1" s="446"/>
      <c r="F1" s="446"/>
      <c r="G1" s="446"/>
      <c r="H1" s="446"/>
      <c r="I1" s="446"/>
      <c r="J1" s="446"/>
      <c r="K1" s="446"/>
      <c r="L1" s="446"/>
      <c r="M1" s="446"/>
      <c r="N1" s="446"/>
      <c r="O1" s="446"/>
      <c r="P1" s="446"/>
      <c r="Q1" s="446"/>
      <c r="R1" s="446"/>
      <c r="S1" s="446"/>
      <c r="T1" s="446"/>
      <c r="U1" s="446" t="s">
        <v>1</v>
      </c>
      <c r="V1" s="446"/>
      <c r="W1" s="446"/>
      <c r="X1" s="446"/>
      <c r="Y1" s="446"/>
      <c r="Z1" s="446"/>
      <c r="AA1" s="446"/>
      <c r="AB1" s="446"/>
      <c r="AC1" s="446"/>
      <c r="AD1" s="446"/>
      <c r="AE1" s="446"/>
      <c r="AF1" s="446"/>
      <c r="AG1" s="446"/>
      <c r="AH1" s="143"/>
      <c r="AI1" s="143"/>
      <c r="AJ1" s="143"/>
      <c r="AK1" s="143"/>
      <c r="AL1" s="143"/>
      <c r="AM1" s="143"/>
      <c r="AN1" s="143"/>
      <c r="AO1" s="143"/>
    </row>
    <row r="2" spans="1:41" s="261" customFormat="1" ht="19.05" customHeight="1">
      <c r="A2" s="447" t="s">
        <v>73</v>
      </c>
      <c r="B2" s="447"/>
      <c r="C2" s="447"/>
      <c r="D2" s="447"/>
      <c r="E2" s="447"/>
      <c r="F2" s="447"/>
      <c r="G2" s="447"/>
      <c r="H2" s="447"/>
      <c r="I2" s="447"/>
      <c r="J2" s="447"/>
      <c r="K2" s="447"/>
      <c r="L2" s="447"/>
      <c r="M2" s="447"/>
      <c r="N2" s="447"/>
      <c r="O2" s="447"/>
      <c r="P2" s="447"/>
      <c r="Q2" s="447"/>
      <c r="R2" s="447"/>
      <c r="S2" s="447"/>
      <c r="T2" s="447"/>
      <c r="U2" s="447" t="s">
        <v>73</v>
      </c>
      <c r="V2" s="447"/>
      <c r="W2" s="447"/>
      <c r="X2" s="447"/>
      <c r="Y2" s="447"/>
      <c r="Z2" s="447"/>
      <c r="AA2" s="447"/>
      <c r="AB2" s="447"/>
      <c r="AC2" s="447"/>
      <c r="AD2" s="447"/>
      <c r="AE2" s="447"/>
      <c r="AF2" s="447"/>
      <c r="AG2" s="447"/>
      <c r="AH2" s="194"/>
      <c r="AI2" s="194"/>
      <c r="AJ2" s="194"/>
      <c r="AK2" s="194"/>
      <c r="AL2" s="194"/>
      <c r="AM2" s="194"/>
      <c r="AN2" s="194"/>
      <c r="AO2" s="194"/>
    </row>
    <row r="3" spans="1:41" s="12" customFormat="1" ht="19.05" customHeight="1">
      <c r="A3" s="14" t="str">
        <f>底稿目录!A2</f>
        <v>被审计单位：</v>
      </c>
      <c r="B3" s="14"/>
      <c r="D3" s="14"/>
      <c r="G3" s="15" t="str">
        <f>底稿目录!A4</f>
        <v>编制人：</v>
      </c>
      <c r="L3" s="14" t="str">
        <f>底稿目录!A5</f>
        <v>编制日期：</v>
      </c>
      <c r="M3" s="14"/>
      <c r="N3" s="14"/>
      <c r="O3" s="14"/>
      <c r="P3" s="14"/>
      <c r="Q3" s="22" t="s">
        <v>19</v>
      </c>
      <c r="R3" s="382" t="str">
        <f>底稿目录!F9</f>
        <v>E1-3</v>
      </c>
      <c r="U3" s="14"/>
      <c r="V3" s="14"/>
      <c r="W3" s="14"/>
      <c r="X3" s="14"/>
      <c r="Y3" s="14" t="str">
        <f>底稿目录!A4</f>
        <v>编制人：</v>
      </c>
      <c r="Z3" s="14"/>
      <c r="AA3" s="14"/>
      <c r="AB3" s="14"/>
      <c r="AC3" s="14"/>
      <c r="AE3" s="22" t="str">
        <f>底稿目录!A5</f>
        <v>编制日期：</v>
      </c>
      <c r="AF3" s="22"/>
      <c r="AG3" s="22"/>
      <c r="AH3" s="22"/>
      <c r="AL3" s="22" t="s">
        <v>19</v>
      </c>
      <c r="AM3" s="382" t="str">
        <f>R3</f>
        <v>E1-3</v>
      </c>
    </row>
    <row r="4" spans="1:41" s="12" customFormat="1" ht="19.05" customHeight="1">
      <c r="A4" s="14" t="str">
        <f>底稿目录!A3</f>
        <v>截止日：202X年12月31日</v>
      </c>
      <c r="B4" s="14"/>
      <c r="D4" s="16"/>
      <c r="G4" s="15" t="str">
        <f>底稿目录!A6</f>
        <v>复核人：</v>
      </c>
      <c r="L4" s="14" t="str">
        <f>底稿目录!A7</f>
        <v>复核日期：</v>
      </c>
      <c r="M4" s="14"/>
      <c r="N4" s="14"/>
      <c r="O4" s="14"/>
      <c r="P4" s="14"/>
      <c r="Q4" s="22" t="s">
        <v>50</v>
      </c>
      <c r="R4" s="14"/>
      <c r="U4" s="14"/>
      <c r="V4" s="14"/>
      <c r="W4" s="14"/>
      <c r="X4" s="14"/>
      <c r="Y4" s="14" t="str">
        <f>底稿目录!A6</f>
        <v>复核人：</v>
      </c>
      <c r="Z4" s="14"/>
      <c r="AA4" s="14"/>
      <c r="AB4" s="14"/>
      <c r="AC4" s="14"/>
      <c r="AE4" s="22" t="str">
        <f>底稿目录!A7</f>
        <v>复核日期：</v>
      </c>
      <c r="AF4" s="22"/>
      <c r="AG4" s="22"/>
      <c r="AH4" s="22"/>
      <c r="AL4" s="22" t="s">
        <v>50</v>
      </c>
    </row>
    <row r="5" spans="1:41" s="12" customFormat="1" ht="19.05" customHeight="1">
      <c r="A5" s="23" t="s">
        <v>7</v>
      </c>
      <c r="C5" s="262"/>
      <c r="D5" s="158"/>
      <c r="E5" s="158"/>
      <c r="F5" s="158"/>
      <c r="G5" s="158"/>
      <c r="H5" s="158"/>
      <c r="I5" s="158"/>
      <c r="J5" s="158"/>
      <c r="K5" s="158"/>
      <c r="L5" s="158"/>
      <c r="M5" s="158"/>
      <c r="N5" s="158"/>
      <c r="O5" s="263"/>
      <c r="P5" s="264"/>
      <c r="Q5" s="158"/>
      <c r="R5" s="158"/>
      <c r="S5" s="263"/>
      <c r="T5" s="158"/>
      <c r="U5" s="158"/>
      <c r="V5" s="158"/>
      <c r="W5" s="158"/>
    </row>
    <row r="6" spans="1:41" s="12" customFormat="1" ht="28.2" customHeight="1">
      <c r="B6" s="477" t="s">
        <v>389</v>
      </c>
      <c r="C6" s="477"/>
      <c r="D6" s="477"/>
      <c r="E6" s="477"/>
      <c r="F6" s="477"/>
      <c r="G6" s="477"/>
      <c r="H6" s="477"/>
      <c r="I6" s="477"/>
      <c r="J6" s="477"/>
      <c r="K6" s="477"/>
      <c r="L6" s="477"/>
      <c r="M6" s="477"/>
      <c r="N6" s="477"/>
      <c r="O6" s="477"/>
      <c r="P6" s="477"/>
      <c r="Q6" s="477"/>
      <c r="R6" s="477"/>
      <c r="S6" s="238"/>
      <c r="T6" s="238"/>
      <c r="U6" s="477" t="s">
        <v>390</v>
      </c>
      <c r="V6" s="477"/>
      <c r="W6" s="477"/>
      <c r="X6" s="477"/>
      <c r="Y6" s="477"/>
      <c r="Z6" s="477"/>
      <c r="AA6" s="477"/>
      <c r="AB6" s="477"/>
      <c r="AC6" s="477"/>
      <c r="AD6" s="477"/>
      <c r="AE6" s="477"/>
      <c r="AF6" s="477"/>
      <c r="AG6" s="477"/>
      <c r="AH6" s="477"/>
      <c r="AI6" s="477"/>
      <c r="AJ6" s="477"/>
      <c r="AK6" s="477"/>
      <c r="AL6" s="477"/>
      <c r="AM6" s="477"/>
    </row>
    <row r="7" spans="1:41" s="12" customFormat="1" ht="19.05" customHeight="1">
      <c r="A7" s="24" t="s">
        <v>9</v>
      </c>
      <c r="H7" s="234"/>
      <c r="I7" s="234"/>
    </row>
    <row r="8" spans="1:41" s="12" customFormat="1" ht="19.05" customHeight="1">
      <c r="A8" s="468" t="s">
        <v>22</v>
      </c>
      <c r="B8" s="468" t="s">
        <v>243</v>
      </c>
      <c r="C8" s="468" t="s">
        <v>244</v>
      </c>
      <c r="D8" s="468" t="s">
        <v>245</v>
      </c>
      <c r="E8" s="468" t="s">
        <v>246</v>
      </c>
      <c r="F8" s="468" t="s">
        <v>247</v>
      </c>
      <c r="G8" s="469" t="s">
        <v>248</v>
      </c>
      <c r="H8" s="469"/>
      <c r="I8" s="469"/>
      <c r="J8" s="469"/>
      <c r="K8" s="469"/>
      <c r="L8" s="469"/>
      <c r="M8" s="469"/>
      <c r="N8" s="469"/>
      <c r="O8" s="469"/>
      <c r="P8" s="469"/>
      <c r="Q8" s="469"/>
      <c r="R8" s="469"/>
      <c r="S8" s="469"/>
      <c r="T8" s="469"/>
      <c r="U8" s="468" t="s">
        <v>249</v>
      </c>
      <c r="V8" s="468"/>
      <c r="W8" s="468"/>
      <c r="X8" s="468"/>
      <c r="Y8" s="468" t="s">
        <v>210</v>
      </c>
      <c r="Z8" s="468"/>
      <c r="AA8" s="468"/>
      <c r="AB8" s="468"/>
      <c r="AC8" s="468" t="s">
        <v>250</v>
      </c>
      <c r="AD8" s="468" t="s">
        <v>251</v>
      </c>
      <c r="AE8" s="468" t="s">
        <v>252</v>
      </c>
      <c r="AF8" s="475" t="s">
        <v>625</v>
      </c>
      <c r="AG8" s="468" t="s">
        <v>253</v>
      </c>
      <c r="AH8" s="468" t="s">
        <v>254</v>
      </c>
      <c r="AI8" s="468" t="s">
        <v>255</v>
      </c>
      <c r="AJ8" s="468" t="s">
        <v>256</v>
      </c>
      <c r="AK8" s="468" t="s">
        <v>257</v>
      </c>
      <c r="AL8" s="468" t="s">
        <v>258</v>
      </c>
      <c r="AM8" s="468" t="s">
        <v>259</v>
      </c>
    </row>
    <row r="9" spans="1:41" s="12" customFormat="1" ht="19.05" customHeight="1">
      <c r="A9" s="468"/>
      <c r="B9" s="468"/>
      <c r="C9" s="468"/>
      <c r="D9" s="468"/>
      <c r="E9" s="468"/>
      <c r="F9" s="468"/>
      <c r="G9" s="469" t="s">
        <v>11</v>
      </c>
      <c r="H9" s="469"/>
      <c r="I9" s="469" t="s">
        <v>12</v>
      </c>
      <c r="J9" s="469"/>
      <c r="K9" s="469" t="s">
        <v>13</v>
      </c>
      <c r="L9" s="469"/>
      <c r="M9" s="469" t="s">
        <v>260</v>
      </c>
      <c r="N9" s="469"/>
      <c r="O9" s="469" t="s">
        <v>261</v>
      </c>
      <c r="P9" s="469"/>
      <c r="Q9" s="469" t="s">
        <v>262</v>
      </c>
      <c r="R9" s="469"/>
      <c r="S9" s="469" t="s">
        <v>263</v>
      </c>
      <c r="T9" s="468" t="s">
        <v>264</v>
      </c>
      <c r="U9" s="468" t="s">
        <v>265</v>
      </c>
      <c r="V9" s="468"/>
      <c r="W9" s="468" t="s">
        <v>266</v>
      </c>
      <c r="X9" s="468"/>
      <c r="Y9" s="468" t="s">
        <v>267</v>
      </c>
      <c r="Z9" s="468"/>
      <c r="AA9" s="468" t="s">
        <v>268</v>
      </c>
      <c r="AB9" s="468"/>
      <c r="AC9" s="468"/>
      <c r="AD9" s="468"/>
      <c r="AE9" s="468"/>
      <c r="AF9" s="479"/>
      <c r="AG9" s="468"/>
      <c r="AH9" s="468"/>
      <c r="AI9" s="468"/>
      <c r="AJ9" s="468"/>
      <c r="AK9" s="468"/>
      <c r="AL9" s="468"/>
      <c r="AM9" s="468"/>
    </row>
    <row r="10" spans="1:41" s="12" customFormat="1" ht="19.05" customHeight="1">
      <c r="A10" s="468"/>
      <c r="B10" s="468"/>
      <c r="C10" s="468"/>
      <c r="D10" s="468"/>
      <c r="E10" s="468"/>
      <c r="F10" s="468"/>
      <c r="G10" s="230" t="s">
        <v>269</v>
      </c>
      <c r="H10" s="230" t="s">
        <v>270</v>
      </c>
      <c r="I10" s="230" t="s">
        <v>269</v>
      </c>
      <c r="J10" s="230" t="s">
        <v>270</v>
      </c>
      <c r="K10" s="230" t="s">
        <v>269</v>
      </c>
      <c r="L10" s="230" t="s">
        <v>270</v>
      </c>
      <c r="M10" s="230" t="s">
        <v>269</v>
      </c>
      <c r="N10" s="230" t="s">
        <v>270</v>
      </c>
      <c r="O10" s="230" t="s">
        <v>269</v>
      </c>
      <c r="P10" s="230" t="s">
        <v>270</v>
      </c>
      <c r="Q10" s="230" t="s">
        <v>269</v>
      </c>
      <c r="R10" s="230" t="s">
        <v>270</v>
      </c>
      <c r="S10" s="469"/>
      <c r="T10" s="468"/>
      <c r="U10" s="230" t="s">
        <v>269</v>
      </c>
      <c r="V10" s="230" t="s">
        <v>270</v>
      </c>
      <c r="W10" s="230" t="s">
        <v>269</v>
      </c>
      <c r="X10" s="230" t="s">
        <v>270</v>
      </c>
      <c r="Y10" s="230" t="s">
        <v>269</v>
      </c>
      <c r="Z10" s="230" t="s">
        <v>270</v>
      </c>
      <c r="AA10" s="230" t="s">
        <v>269</v>
      </c>
      <c r="AB10" s="230" t="s">
        <v>270</v>
      </c>
      <c r="AC10" s="468"/>
      <c r="AD10" s="468"/>
      <c r="AE10" s="468"/>
      <c r="AF10" s="476"/>
      <c r="AG10" s="468"/>
      <c r="AH10" s="468"/>
      <c r="AI10" s="468"/>
      <c r="AJ10" s="468"/>
      <c r="AK10" s="468"/>
      <c r="AL10" s="468"/>
      <c r="AM10" s="468"/>
    </row>
    <row r="11" spans="1:41" s="418" customFormat="1" ht="19.05" customHeight="1">
      <c r="A11" s="415" t="s">
        <v>271</v>
      </c>
      <c r="B11" s="415"/>
      <c r="C11" s="416"/>
      <c r="D11" s="416"/>
      <c r="E11" s="416"/>
      <c r="F11" s="416"/>
      <c r="G11" s="410"/>
      <c r="H11" s="410"/>
      <c r="I11" s="410"/>
      <c r="J11" s="410"/>
      <c r="K11" s="410"/>
      <c r="L11" s="410"/>
      <c r="M11" s="410"/>
      <c r="N11" s="410"/>
      <c r="O11" s="410"/>
      <c r="P11" s="410"/>
      <c r="Q11" s="410"/>
      <c r="R11" s="410"/>
      <c r="S11" s="410"/>
      <c r="T11" s="410"/>
      <c r="U11" s="416"/>
      <c r="V11" s="416"/>
      <c r="W11" s="416"/>
      <c r="X11" s="416"/>
      <c r="Y11" s="416"/>
      <c r="Z11" s="416"/>
      <c r="AA11" s="416"/>
      <c r="AB11" s="410"/>
      <c r="AC11" s="410"/>
      <c r="AD11" s="410"/>
      <c r="AE11" s="410"/>
      <c r="AF11" s="410"/>
      <c r="AG11" s="416"/>
      <c r="AH11" s="416"/>
      <c r="AI11" s="416"/>
      <c r="AJ11" s="416"/>
      <c r="AK11" s="416"/>
      <c r="AL11" s="416"/>
      <c r="AM11" s="416"/>
    </row>
    <row r="12" spans="1:41" s="418" customFormat="1" ht="19.05" customHeight="1">
      <c r="A12" s="420" t="s">
        <v>272</v>
      </c>
      <c r="B12" s="420"/>
      <c r="C12" s="421"/>
      <c r="D12" s="421"/>
      <c r="E12" s="421"/>
      <c r="F12" s="421"/>
      <c r="G12" s="121">
        <f t="shared" ref="G12:AF12" si="0">SUM(G13:G17)</f>
        <v>0</v>
      </c>
      <c r="H12" s="121">
        <f t="shared" si="0"/>
        <v>0</v>
      </c>
      <c r="I12" s="121">
        <f t="shared" si="0"/>
        <v>0</v>
      </c>
      <c r="J12" s="121">
        <f t="shared" si="0"/>
        <v>0</v>
      </c>
      <c r="K12" s="121">
        <f t="shared" si="0"/>
        <v>0</v>
      </c>
      <c r="L12" s="121">
        <f t="shared" si="0"/>
        <v>0</v>
      </c>
      <c r="M12" s="121">
        <f t="shared" si="0"/>
        <v>0</v>
      </c>
      <c r="N12" s="121">
        <f t="shared" si="0"/>
        <v>0</v>
      </c>
      <c r="O12" s="121">
        <f t="shared" si="0"/>
        <v>0</v>
      </c>
      <c r="P12" s="121">
        <f t="shared" si="0"/>
        <v>0</v>
      </c>
      <c r="Q12" s="121">
        <f t="shared" si="0"/>
        <v>0</v>
      </c>
      <c r="R12" s="121">
        <f t="shared" si="0"/>
        <v>0</v>
      </c>
      <c r="S12" s="121">
        <f t="shared" si="0"/>
        <v>0</v>
      </c>
      <c r="T12" s="118">
        <f t="shared" si="0"/>
        <v>0</v>
      </c>
      <c r="U12" s="227">
        <f t="shared" si="0"/>
        <v>0</v>
      </c>
      <c r="V12" s="227">
        <f t="shared" si="0"/>
        <v>0</v>
      </c>
      <c r="W12" s="227">
        <f t="shared" si="0"/>
        <v>0</v>
      </c>
      <c r="X12" s="227">
        <f t="shared" si="0"/>
        <v>0</v>
      </c>
      <c r="Y12" s="227">
        <f t="shared" si="0"/>
        <v>0</v>
      </c>
      <c r="Z12" s="227">
        <f t="shared" si="0"/>
        <v>0</v>
      </c>
      <c r="AA12" s="227">
        <f t="shared" si="0"/>
        <v>0</v>
      </c>
      <c r="AB12" s="227">
        <f t="shared" si="0"/>
        <v>0</v>
      </c>
      <c r="AC12" s="227">
        <f>SUM(AC13:AC17)</f>
        <v>0</v>
      </c>
      <c r="AD12" s="227">
        <f t="shared" si="0"/>
        <v>0</v>
      </c>
      <c r="AE12" s="227">
        <f t="shared" si="0"/>
        <v>0</v>
      </c>
      <c r="AF12" s="227">
        <f t="shared" si="0"/>
        <v>0</v>
      </c>
      <c r="AG12" s="422"/>
      <c r="AH12" s="422"/>
      <c r="AI12" s="422"/>
      <c r="AJ12" s="228"/>
      <c r="AK12" s="228"/>
      <c r="AL12" s="433"/>
      <c r="AM12" s="228"/>
    </row>
    <row r="13" spans="1:41" s="12" customFormat="1" ht="19.05" customHeight="1">
      <c r="A13" s="107" t="s">
        <v>74</v>
      </c>
      <c r="B13" s="246"/>
      <c r="C13" s="33"/>
      <c r="D13" s="65"/>
      <c r="E13" s="65"/>
      <c r="F13" s="317"/>
      <c r="G13" s="26"/>
      <c r="H13" s="26"/>
      <c r="I13" s="26"/>
      <c r="J13" s="26"/>
      <c r="K13" s="26"/>
      <c r="L13" s="26"/>
      <c r="M13" s="117">
        <f>G13+I13-K13</f>
        <v>0</v>
      </c>
      <c r="N13" s="117">
        <f>H13+J13-L13</f>
        <v>0</v>
      </c>
      <c r="O13" s="76"/>
      <c r="P13" s="76"/>
      <c r="Q13" s="117">
        <f>M13+O13</f>
        <v>0</v>
      </c>
      <c r="R13" s="117">
        <f>N13+P13</f>
        <v>0</v>
      </c>
      <c r="S13" s="117">
        <f>Q13*F13</f>
        <v>0</v>
      </c>
      <c r="T13" s="117">
        <f>S13-R13</f>
        <v>0</v>
      </c>
      <c r="U13" s="26"/>
      <c r="V13" s="26"/>
      <c r="W13" s="26"/>
      <c r="X13" s="26"/>
      <c r="Y13" s="117">
        <f>U13+G13</f>
        <v>0</v>
      </c>
      <c r="Z13" s="117">
        <f>V13+H13</f>
        <v>0</v>
      </c>
      <c r="AA13" s="117">
        <f>Q13+W13</f>
        <v>0</v>
      </c>
      <c r="AB13" s="117">
        <f>R13+X13</f>
        <v>0</v>
      </c>
      <c r="AC13" s="117">
        <f>AA13*F13-AB13</f>
        <v>0</v>
      </c>
      <c r="AD13" s="76"/>
      <c r="AE13" s="117">
        <f t="shared" ref="AE13:AF18" si="1">AA13-AD13</f>
        <v>0</v>
      </c>
      <c r="AF13" s="76"/>
      <c r="AG13" s="247"/>
      <c r="AH13" s="247"/>
      <c r="AI13" s="247"/>
      <c r="AJ13" s="26"/>
      <c r="AK13" s="258"/>
      <c r="AL13" s="259"/>
      <c r="AM13" s="26"/>
    </row>
    <row r="14" spans="1:41" s="12" customFormat="1" ht="19.05" customHeight="1">
      <c r="A14" s="107" t="s">
        <v>74</v>
      </c>
      <c r="B14" s="33"/>
      <c r="C14" s="33"/>
      <c r="D14" s="65"/>
      <c r="E14" s="65"/>
      <c r="F14" s="317"/>
      <c r="G14" s="26"/>
      <c r="H14" s="26"/>
      <c r="I14" s="26"/>
      <c r="J14" s="26"/>
      <c r="K14" s="26"/>
      <c r="L14" s="26"/>
      <c r="M14" s="117">
        <f t="shared" ref="M14:M17" si="2">G14+I14-K14</f>
        <v>0</v>
      </c>
      <c r="N14" s="117">
        <f t="shared" ref="N14:N17" si="3">H14+J14-L14</f>
        <v>0</v>
      </c>
      <c r="O14" s="76"/>
      <c r="P14" s="76"/>
      <c r="Q14" s="117">
        <f t="shared" ref="Q14:Q17" si="4">M14+O14</f>
        <v>0</v>
      </c>
      <c r="R14" s="117">
        <f t="shared" ref="R14:R17" si="5">N14+P14</f>
        <v>0</v>
      </c>
      <c r="S14" s="117">
        <f t="shared" ref="S14:S17" si="6">Q14*F14</f>
        <v>0</v>
      </c>
      <c r="T14" s="117">
        <f t="shared" ref="T14:T17" si="7">S14-R14</f>
        <v>0</v>
      </c>
      <c r="U14" s="26"/>
      <c r="V14" s="26"/>
      <c r="W14" s="26"/>
      <c r="X14" s="26"/>
      <c r="Y14" s="117">
        <f t="shared" ref="Y14:Y17" si="8">U14+G14</f>
        <v>0</v>
      </c>
      <c r="Z14" s="117">
        <f t="shared" ref="Z14:Z17" si="9">V14+H14</f>
        <v>0</v>
      </c>
      <c r="AA14" s="117">
        <f t="shared" ref="AA14:AB17" si="10">Q14+W14</f>
        <v>0</v>
      </c>
      <c r="AB14" s="117">
        <f t="shared" si="10"/>
        <v>0</v>
      </c>
      <c r="AC14" s="117">
        <f t="shared" ref="AC14:AC28" si="11">AA14*F14-AB14</f>
        <v>0</v>
      </c>
      <c r="AD14" s="76"/>
      <c r="AE14" s="117">
        <f t="shared" si="1"/>
        <v>0</v>
      </c>
      <c r="AF14" s="76"/>
      <c r="AG14" s="247"/>
      <c r="AH14" s="247"/>
      <c r="AI14" s="247"/>
      <c r="AJ14" s="26"/>
      <c r="AK14" s="26"/>
      <c r="AL14" s="259"/>
      <c r="AM14" s="26"/>
    </row>
    <row r="15" spans="1:41" s="12" customFormat="1" ht="19.05" customHeight="1">
      <c r="A15" s="107" t="s">
        <v>74</v>
      </c>
      <c r="B15" s="33"/>
      <c r="C15" s="33"/>
      <c r="D15" s="65"/>
      <c r="E15" s="65"/>
      <c r="F15" s="317"/>
      <c r="G15" s="26"/>
      <c r="H15" s="26"/>
      <c r="I15" s="26"/>
      <c r="J15" s="26"/>
      <c r="K15" s="26"/>
      <c r="L15" s="26"/>
      <c r="M15" s="117">
        <f t="shared" si="2"/>
        <v>0</v>
      </c>
      <c r="N15" s="117">
        <f t="shared" si="3"/>
        <v>0</v>
      </c>
      <c r="O15" s="76"/>
      <c r="P15" s="76"/>
      <c r="Q15" s="117">
        <f t="shared" si="4"/>
        <v>0</v>
      </c>
      <c r="R15" s="117">
        <f t="shared" si="5"/>
        <v>0</v>
      </c>
      <c r="S15" s="117">
        <f t="shared" si="6"/>
        <v>0</v>
      </c>
      <c r="T15" s="117">
        <f t="shared" si="7"/>
        <v>0</v>
      </c>
      <c r="U15" s="26"/>
      <c r="V15" s="26"/>
      <c r="W15" s="26"/>
      <c r="X15" s="26"/>
      <c r="Y15" s="117">
        <f t="shared" si="8"/>
        <v>0</v>
      </c>
      <c r="Z15" s="117">
        <f t="shared" si="9"/>
        <v>0</v>
      </c>
      <c r="AA15" s="117">
        <f t="shared" si="10"/>
        <v>0</v>
      </c>
      <c r="AB15" s="117">
        <f t="shared" si="10"/>
        <v>0</v>
      </c>
      <c r="AC15" s="117">
        <f t="shared" si="11"/>
        <v>0</v>
      </c>
      <c r="AD15" s="76"/>
      <c r="AE15" s="117">
        <f t="shared" si="1"/>
        <v>0</v>
      </c>
      <c r="AF15" s="76"/>
      <c r="AG15" s="247"/>
      <c r="AH15" s="247"/>
      <c r="AI15" s="247"/>
      <c r="AJ15" s="26"/>
      <c r="AK15" s="26"/>
      <c r="AL15" s="259"/>
      <c r="AM15" s="26"/>
    </row>
    <row r="16" spans="1:41" s="12" customFormat="1" ht="19.05" customHeight="1">
      <c r="A16" s="107" t="s">
        <v>74</v>
      </c>
      <c r="B16" s="33"/>
      <c r="C16" s="33"/>
      <c r="D16" s="65"/>
      <c r="E16" s="65"/>
      <c r="F16" s="317"/>
      <c r="G16" s="26"/>
      <c r="H16" s="26"/>
      <c r="I16" s="26"/>
      <c r="J16" s="26"/>
      <c r="K16" s="26"/>
      <c r="L16" s="26"/>
      <c r="M16" s="117">
        <f t="shared" si="2"/>
        <v>0</v>
      </c>
      <c r="N16" s="117">
        <f t="shared" si="3"/>
        <v>0</v>
      </c>
      <c r="O16" s="76"/>
      <c r="P16" s="76"/>
      <c r="Q16" s="117">
        <f t="shared" si="4"/>
        <v>0</v>
      </c>
      <c r="R16" s="117">
        <f t="shared" si="5"/>
        <v>0</v>
      </c>
      <c r="S16" s="117">
        <f t="shared" si="6"/>
        <v>0</v>
      </c>
      <c r="T16" s="117">
        <f t="shared" si="7"/>
        <v>0</v>
      </c>
      <c r="U16" s="26"/>
      <c r="V16" s="26"/>
      <c r="W16" s="26"/>
      <c r="X16" s="26"/>
      <c r="Y16" s="117">
        <f t="shared" si="8"/>
        <v>0</v>
      </c>
      <c r="Z16" s="117">
        <f t="shared" si="9"/>
        <v>0</v>
      </c>
      <c r="AA16" s="117">
        <f t="shared" si="10"/>
        <v>0</v>
      </c>
      <c r="AB16" s="117">
        <f t="shared" si="10"/>
        <v>0</v>
      </c>
      <c r="AC16" s="117">
        <f t="shared" si="11"/>
        <v>0</v>
      </c>
      <c r="AD16" s="76"/>
      <c r="AE16" s="117">
        <f t="shared" si="1"/>
        <v>0</v>
      </c>
      <c r="AF16" s="76"/>
      <c r="AG16" s="247"/>
      <c r="AH16" s="247"/>
      <c r="AI16" s="247"/>
      <c r="AJ16" s="26"/>
      <c r="AK16" s="26"/>
      <c r="AL16" s="259"/>
      <c r="AM16" s="26"/>
    </row>
    <row r="17" spans="1:39" s="12" customFormat="1" ht="19.05" customHeight="1">
      <c r="A17" s="107" t="s">
        <v>74</v>
      </c>
      <c r="B17" s="33"/>
      <c r="C17" s="33"/>
      <c r="D17" s="65"/>
      <c r="E17" s="65"/>
      <c r="F17" s="317"/>
      <c r="G17" s="26"/>
      <c r="H17" s="26"/>
      <c r="I17" s="26"/>
      <c r="J17" s="26"/>
      <c r="K17" s="26"/>
      <c r="L17" s="26"/>
      <c r="M17" s="117">
        <f t="shared" si="2"/>
        <v>0</v>
      </c>
      <c r="N17" s="117">
        <f t="shared" si="3"/>
        <v>0</v>
      </c>
      <c r="O17" s="76"/>
      <c r="P17" s="76"/>
      <c r="Q17" s="117">
        <f t="shared" si="4"/>
        <v>0</v>
      </c>
      <c r="R17" s="117">
        <f t="shared" si="5"/>
        <v>0</v>
      </c>
      <c r="S17" s="117">
        <f t="shared" si="6"/>
        <v>0</v>
      </c>
      <c r="T17" s="117">
        <f t="shared" si="7"/>
        <v>0</v>
      </c>
      <c r="U17" s="26"/>
      <c r="V17" s="26"/>
      <c r="W17" s="26"/>
      <c r="X17" s="26"/>
      <c r="Y17" s="117">
        <f t="shared" si="8"/>
        <v>0</v>
      </c>
      <c r="Z17" s="117">
        <f t="shared" si="9"/>
        <v>0</v>
      </c>
      <c r="AA17" s="117">
        <f t="shared" si="10"/>
        <v>0</v>
      </c>
      <c r="AB17" s="117">
        <f t="shared" si="10"/>
        <v>0</v>
      </c>
      <c r="AC17" s="117">
        <f t="shared" si="11"/>
        <v>0</v>
      </c>
      <c r="AD17" s="76"/>
      <c r="AE17" s="117">
        <f t="shared" si="1"/>
        <v>0</v>
      </c>
      <c r="AF17" s="76"/>
      <c r="AG17" s="247"/>
      <c r="AH17" s="247"/>
      <c r="AI17" s="247"/>
      <c r="AJ17" s="26"/>
      <c r="AK17" s="26"/>
      <c r="AL17" s="259"/>
      <c r="AM17" s="26"/>
    </row>
    <row r="18" spans="1:39" s="418" customFormat="1" ht="19.05" customHeight="1">
      <c r="A18" s="415" t="s">
        <v>273</v>
      </c>
      <c r="B18" s="420"/>
      <c r="C18" s="421"/>
      <c r="D18" s="421"/>
      <c r="E18" s="421"/>
      <c r="F18" s="425"/>
      <c r="G18" s="121">
        <f t="shared" ref="G18:AD18" si="12">SUM(G19:G21)</f>
        <v>0</v>
      </c>
      <c r="H18" s="121">
        <f t="shared" si="12"/>
        <v>0</v>
      </c>
      <c r="I18" s="121">
        <f t="shared" si="12"/>
        <v>0</v>
      </c>
      <c r="J18" s="121">
        <f t="shared" si="12"/>
        <v>0</v>
      </c>
      <c r="K18" s="121">
        <f t="shared" si="12"/>
        <v>0</v>
      </c>
      <c r="L18" s="121">
        <f t="shared" si="12"/>
        <v>0</v>
      </c>
      <c r="M18" s="121">
        <f t="shared" si="12"/>
        <v>0</v>
      </c>
      <c r="N18" s="121">
        <f t="shared" si="12"/>
        <v>0</v>
      </c>
      <c r="O18" s="121">
        <f t="shared" si="12"/>
        <v>0</v>
      </c>
      <c r="P18" s="121">
        <f t="shared" si="12"/>
        <v>0</v>
      </c>
      <c r="Q18" s="121">
        <f t="shared" si="12"/>
        <v>0</v>
      </c>
      <c r="R18" s="121">
        <f t="shared" si="12"/>
        <v>0</v>
      </c>
      <c r="S18" s="121">
        <f t="shared" si="12"/>
        <v>0</v>
      </c>
      <c r="T18" s="118">
        <f t="shared" si="12"/>
        <v>0</v>
      </c>
      <c r="U18" s="227">
        <f t="shared" si="12"/>
        <v>0</v>
      </c>
      <c r="V18" s="121">
        <f t="shared" si="12"/>
        <v>0</v>
      </c>
      <c r="W18" s="121">
        <f t="shared" si="12"/>
        <v>0</v>
      </c>
      <c r="X18" s="121">
        <f t="shared" si="12"/>
        <v>0</v>
      </c>
      <c r="Y18" s="121">
        <f t="shared" si="12"/>
        <v>0</v>
      </c>
      <c r="Z18" s="121">
        <f t="shared" si="12"/>
        <v>0</v>
      </c>
      <c r="AA18" s="121">
        <f t="shared" si="12"/>
        <v>0</v>
      </c>
      <c r="AB18" s="121">
        <f t="shared" si="12"/>
        <v>0</v>
      </c>
      <c r="AC18" s="121">
        <f>SUM(AC19:AC21)</f>
        <v>0</v>
      </c>
      <c r="AD18" s="121">
        <f t="shared" si="12"/>
        <v>0</v>
      </c>
      <c r="AE18" s="118">
        <f t="shared" si="1"/>
        <v>0</v>
      </c>
      <c r="AF18" s="118">
        <f t="shared" si="1"/>
        <v>0</v>
      </c>
      <c r="AG18" s="422"/>
      <c r="AH18" s="422"/>
      <c r="AI18" s="422"/>
      <c r="AJ18" s="228"/>
      <c r="AK18" s="228"/>
      <c r="AL18" s="433"/>
      <c r="AM18" s="228"/>
    </row>
    <row r="19" spans="1:39" s="12" customFormat="1" ht="19.05" customHeight="1">
      <c r="A19" s="107" t="s">
        <v>76</v>
      </c>
      <c r="B19" s="33"/>
      <c r="C19" s="33"/>
      <c r="D19" s="33"/>
      <c r="E19" s="33"/>
      <c r="F19" s="317"/>
      <c r="G19" s="26"/>
      <c r="H19" s="26"/>
      <c r="I19" s="26"/>
      <c r="J19" s="26"/>
      <c r="K19" s="26"/>
      <c r="L19" s="26"/>
      <c r="M19" s="117">
        <f t="shared" ref="M19:M21" si="13">G19+I19-K19</f>
        <v>0</v>
      </c>
      <c r="N19" s="117">
        <f t="shared" ref="N19:N21" si="14">H19+J19-L19</f>
        <v>0</v>
      </c>
      <c r="O19" s="26"/>
      <c r="P19" s="26"/>
      <c r="Q19" s="117">
        <f t="shared" ref="Q19:Q21" si="15">M19+O19</f>
        <v>0</v>
      </c>
      <c r="R19" s="117">
        <f t="shared" ref="R19:R21" si="16">N19+P19</f>
        <v>0</v>
      </c>
      <c r="S19" s="117">
        <f t="shared" ref="S19:S21" si="17">Q19*F19</f>
        <v>0</v>
      </c>
      <c r="T19" s="117">
        <f t="shared" ref="T19:T21" si="18">S19-R19</f>
        <v>0</v>
      </c>
      <c r="U19" s="26"/>
      <c r="V19" s="26"/>
      <c r="W19" s="26"/>
      <c r="X19" s="26"/>
      <c r="Y19" s="117">
        <f t="shared" ref="Y19:Y21" si="19">U19+G19</f>
        <v>0</v>
      </c>
      <c r="Z19" s="117">
        <f t="shared" ref="Z19:Z21" si="20">V19+H19</f>
        <v>0</v>
      </c>
      <c r="AA19" s="117">
        <f t="shared" ref="AA19:AA21" si="21">Q19+W19</f>
        <v>0</v>
      </c>
      <c r="AB19" s="117">
        <f t="shared" ref="AB19:AB21" si="22">R19+X19</f>
        <v>0</v>
      </c>
      <c r="AC19" s="117">
        <f t="shared" si="11"/>
        <v>0</v>
      </c>
      <c r="AD19" s="76"/>
      <c r="AE19" s="117">
        <f t="shared" ref="AE19:AE21" si="23">AA19-AD19</f>
        <v>0</v>
      </c>
      <c r="AF19" s="76"/>
      <c r="AG19" s="247"/>
      <c r="AH19" s="247"/>
      <c r="AI19" s="247"/>
      <c r="AJ19" s="26"/>
      <c r="AK19" s="26"/>
      <c r="AL19" s="259"/>
      <c r="AM19" s="26"/>
    </row>
    <row r="20" spans="1:39" s="12" customFormat="1" ht="19.05" customHeight="1">
      <c r="A20" s="107" t="s">
        <v>76</v>
      </c>
      <c r="B20" s="33"/>
      <c r="C20" s="33"/>
      <c r="D20" s="33"/>
      <c r="E20" s="33"/>
      <c r="F20" s="317"/>
      <c r="G20" s="26"/>
      <c r="H20" s="26"/>
      <c r="I20" s="26"/>
      <c r="J20" s="26"/>
      <c r="K20" s="26"/>
      <c r="L20" s="26"/>
      <c r="M20" s="117">
        <f t="shared" si="13"/>
        <v>0</v>
      </c>
      <c r="N20" s="117">
        <f t="shared" si="14"/>
        <v>0</v>
      </c>
      <c r="O20" s="26"/>
      <c r="P20" s="26"/>
      <c r="Q20" s="117">
        <f t="shared" si="15"/>
        <v>0</v>
      </c>
      <c r="R20" s="117">
        <f t="shared" si="16"/>
        <v>0</v>
      </c>
      <c r="S20" s="117">
        <f t="shared" si="17"/>
        <v>0</v>
      </c>
      <c r="T20" s="117">
        <f t="shared" si="18"/>
        <v>0</v>
      </c>
      <c r="U20" s="26"/>
      <c r="V20" s="26"/>
      <c r="W20" s="26"/>
      <c r="X20" s="26"/>
      <c r="Y20" s="117">
        <f t="shared" si="19"/>
        <v>0</v>
      </c>
      <c r="Z20" s="117">
        <f t="shared" si="20"/>
        <v>0</v>
      </c>
      <c r="AA20" s="117">
        <f t="shared" si="21"/>
        <v>0</v>
      </c>
      <c r="AB20" s="117">
        <f t="shared" si="22"/>
        <v>0</v>
      </c>
      <c r="AC20" s="117">
        <f t="shared" si="11"/>
        <v>0</v>
      </c>
      <c r="AD20" s="76"/>
      <c r="AE20" s="117">
        <f t="shared" si="23"/>
        <v>0</v>
      </c>
      <c r="AF20" s="76"/>
      <c r="AG20" s="247"/>
      <c r="AH20" s="247"/>
      <c r="AI20" s="247"/>
      <c r="AJ20" s="26"/>
      <c r="AK20" s="26"/>
      <c r="AL20" s="259"/>
      <c r="AM20" s="26"/>
    </row>
    <row r="21" spans="1:39" s="12" customFormat="1" ht="19.05" customHeight="1">
      <c r="A21" s="107" t="s">
        <v>76</v>
      </c>
      <c r="B21" s="33"/>
      <c r="C21" s="33"/>
      <c r="D21" s="33"/>
      <c r="E21" s="33"/>
      <c r="F21" s="317"/>
      <c r="G21" s="26"/>
      <c r="H21" s="26"/>
      <c r="I21" s="26"/>
      <c r="J21" s="26"/>
      <c r="K21" s="26"/>
      <c r="L21" s="26"/>
      <c r="M21" s="117">
        <f t="shared" si="13"/>
        <v>0</v>
      </c>
      <c r="N21" s="117">
        <f t="shared" si="14"/>
        <v>0</v>
      </c>
      <c r="O21" s="26"/>
      <c r="P21" s="26"/>
      <c r="Q21" s="117">
        <f t="shared" si="15"/>
        <v>0</v>
      </c>
      <c r="R21" s="117">
        <f t="shared" si="16"/>
        <v>0</v>
      </c>
      <c r="S21" s="117">
        <f t="shared" si="17"/>
        <v>0</v>
      </c>
      <c r="T21" s="117">
        <f t="shared" si="18"/>
        <v>0</v>
      </c>
      <c r="U21" s="26"/>
      <c r="V21" s="26"/>
      <c r="W21" s="26"/>
      <c r="X21" s="26"/>
      <c r="Y21" s="117">
        <f t="shared" si="19"/>
        <v>0</v>
      </c>
      <c r="Z21" s="117">
        <f t="shared" si="20"/>
        <v>0</v>
      </c>
      <c r="AA21" s="117">
        <f t="shared" si="21"/>
        <v>0</v>
      </c>
      <c r="AB21" s="117">
        <f t="shared" si="22"/>
        <v>0</v>
      </c>
      <c r="AC21" s="117">
        <f t="shared" si="11"/>
        <v>0</v>
      </c>
      <c r="AD21" s="76"/>
      <c r="AE21" s="117">
        <f t="shared" si="23"/>
        <v>0</v>
      </c>
      <c r="AF21" s="76"/>
      <c r="AG21" s="247"/>
      <c r="AH21" s="247"/>
      <c r="AI21" s="247"/>
      <c r="AJ21" s="26"/>
      <c r="AK21" s="26"/>
      <c r="AL21" s="259"/>
      <c r="AM21" s="26"/>
    </row>
    <row r="22" spans="1:39" s="418" customFormat="1" ht="19.05" customHeight="1">
      <c r="A22" s="420" t="s">
        <v>274</v>
      </c>
      <c r="B22" s="425"/>
      <c r="C22" s="425"/>
      <c r="D22" s="425"/>
      <c r="E22" s="425"/>
      <c r="F22" s="425"/>
      <c r="G22" s="121">
        <f t="shared" ref="G22:AE22" si="24">SUM(G23:G28)</f>
        <v>0</v>
      </c>
      <c r="H22" s="121">
        <f t="shared" si="24"/>
        <v>0</v>
      </c>
      <c r="I22" s="121">
        <f t="shared" si="24"/>
        <v>0</v>
      </c>
      <c r="J22" s="121">
        <f t="shared" si="24"/>
        <v>0</v>
      </c>
      <c r="K22" s="121">
        <f t="shared" si="24"/>
        <v>0</v>
      </c>
      <c r="L22" s="121">
        <f t="shared" si="24"/>
        <v>0</v>
      </c>
      <c r="M22" s="121">
        <f t="shared" si="24"/>
        <v>0</v>
      </c>
      <c r="N22" s="121">
        <f t="shared" si="24"/>
        <v>0</v>
      </c>
      <c r="O22" s="121">
        <f t="shared" si="24"/>
        <v>0</v>
      </c>
      <c r="P22" s="121">
        <f t="shared" si="24"/>
        <v>0</v>
      </c>
      <c r="Q22" s="121">
        <f t="shared" si="24"/>
        <v>0</v>
      </c>
      <c r="R22" s="121">
        <f t="shared" si="24"/>
        <v>0</v>
      </c>
      <c r="S22" s="121">
        <f t="shared" si="24"/>
        <v>0</v>
      </c>
      <c r="T22" s="118">
        <f t="shared" si="24"/>
        <v>0</v>
      </c>
      <c r="U22" s="227">
        <f t="shared" si="24"/>
        <v>0</v>
      </c>
      <c r="V22" s="121">
        <f t="shared" si="24"/>
        <v>0</v>
      </c>
      <c r="W22" s="121">
        <f t="shared" si="24"/>
        <v>0</v>
      </c>
      <c r="X22" s="121">
        <f t="shared" si="24"/>
        <v>0</v>
      </c>
      <c r="Y22" s="121">
        <f t="shared" si="24"/>
        <v>0</v>
      </c>
      <c r="Z22" s="121">
        <f t="shared" si="24"/>
        <v>0</v>
      </c>
      <c r="AA22" s="121">
        <f t="shared" si="24"/>
        <v>0</v>
      </c>
      <c r="AB22" s="121">
        <f t="shared" si="24"/>
        <v>0</v>
      </c>
      <c r="AC22" s="121">
        <f>SUM(AC23:AC28)</f>
        <v>0</v>
      </c>
      <c r="AD22" s="121">
        <f t="shared" si="24"/>
        <v>0</v>
      </c>
      <c r="AE22" s="121">
        <f t="shared" si="24"/>
        <v>0</v>
      </c>
      <c r="AF22" s="121">
        <f>SUM(AF23:AF28)</f>
        <v>0</v>
      </c>
      <c r="AG22" s="422"/>
      <c r="AH22" s="422"/>
      <c r="AI22" s="422"/>
      <c r="AJ22" s="228"/>
      <c r="AK22" s="228"/>
      <c r="AL22" s="433"/>
      <c r="AM22" s="228"/>
    </row>
    <row r="23" spans="1:39" s="12" customFormat="1" ht="19.05" customHeight="1">
      <c r="A23" s="107" t="s">
        <v>74</v>
      </c>
      <c r="B23" s="33"/>
      <c r="C23" s="33"/>
      <c r="D23" s="108" t="s">
        <v>275</v>
      </c>
      <c r="E23" s="33"/>
      <c r="F23" s="317"/>
      <c r="G23" s="26"/>
      <c r="H23" s="26"/>
      <c r="I23" s="26"/>
      <c r="J23" s="26"/>
      <c r="K23" s="26"/>
      <c r="L23" s="26"/>
      <c r="M23" s="117">
        <f t="shared" ref="M23:M28" si="25">G23+I23-K23</f>
        <v>0</v>
      </c>
      <c r="N23" s="117">
        <f t="shared" ref="N23:N28" si="26">H23+J23-L23</f>
        <v>0</v>
      </c>
      <c r="O23" s="26"/>
      <c r="P23" s="26"/>
      <c r="Q23" s="117">
        <f t="shared" ref="Q23:Q28" si="27">M23+O23</f>
        <v>0</v>
      </c>
      <c r="R23" s="117">
        <f t="shared" ref="R23:R28" si="28">N23+P23</f>
        <v>0</v>
      </c>
      <c r="S23" s="117">
        <f t="shared" ref="S23:S28" si="29">Q23*F23</f>
        <v>0</v>
      </c>
      <c r="T23" s="117">
        <f t="shared" ref="T23:T28" si="30">S23-R23</f>
        <v>0</v>
      </c>
      <c r="U23" s="26"/>
      <c r="V23" s="26"/>
      <c r="W23" s="26"/>
      <c r="X23" s="26"/>
      <c r="Y23" s="117">
        <f t="shared" ref="Y23:Y28" si="31">U23+G23</f>
        <v>0</v>
      </c>
      <c r="Z23" s="117">
        <f t="shared" ref="Z23:Z28" si="32">V23+H23</f>
        <v>0</v>
      </c>
      <c r="AA23" s="117">
        <f t="shared" ref="AA23:AA28" si="33">Q23+W23</f>
        <v>0</v>
      </c>
      <c r="AB23" s="117">
        <f t="shared" ref="AB23:AB28" si="34">R23+X23</f>
        <v>0</v>
      </c>
      <c r="AC23" s="117">
        <f>AA23*F23-AB23</f>
        <v>0</v>
      </c>
      <c r="AD23" s="76"/>
      <c r="AE23" s="117">
        <f t="shared" ref="AE23:AE28" si="35">AA23-AD23</f>
        <v>0</v>
      </c>
      <c r="AF23" s="76"/>
      <c r="AG23" s="247"/>
      <c r="AH23" s="247"/>
      <c r="AI23" s="247"/>
      <c r="AJ23" s="26"/>
      <c r="AK23" s="26"/>
      <c r="AL23" s="259"/>
      <c r="AM23" s="26"/>
    </row>
    <row r="24" spans="1:39" s="12" customFormat="1" ht="19.05" customHeight="1">
      <c r="A24" s="107" t="s">
        <v>74</v>
      </c>
      <c r="B24" s="33"/>
      <c r="C24" s="33"/>
      <c r="D24" s="109" t="s">
        <v>276</v>
      </c>
      <c r="E24" s="33"/>
      <c r="F24" s="317"/>
      <c r="G24" s="26"/>
      <c r="H24" s="26"/>
      <c r="I24" s="26"/>
      <c r="J24" s="26"/>
      <c r="K24" s="26"/>
      <c r="L24" s="26"/>
      <c r="M24" s="117">
        <f t="shared" si="25"/>
        <v>0</v>
      </c>
      <c r="N24" s="117">
        <f t="shared" si="26"/>
        <v>0</v>
      </c>
      <c r="O24" s="26"/>
      <c r="P24" s="26"/>
      <c r="Q24" s="117">
        <f t="shared" si="27"/>
        <v>0</v>
      </c>
      <c r="R24" s="117">
        <f t="shared" si="28"/>
        <v>0</v>
      </c>
      <c r="S24" s="117">
        <f t="shared" si="29"/>
        <v>0</v>
      </c>
      <c r="T24" s="117">
        <f t="shared" si="30"/>
        <v>0</v>
      </c>
      <c r="U24" s="26"/>
      <c r="V24" s="26"/>
      <c r="W24" s="26"/>
      <c r="X24" s="26"/>
      <c r="Y24" s="117">
        <f t="shared" si="31"/>
        <v>0</v>
      </c>
      <c r="Z24" s="117">
        <f t="shared" si="32"/>
        <v>0</v>
      </c>
      <c r="AA24" s="117">
        <f t="shared" si="33"/>
        <v>0</v>
      </c>
      <c r="AB24" s="117">
        <f t="shared" si="34"/>
        <v>0</v>
      </c>
      <c r="AC24" s="117">
        <f t="shared" si="11"/>
        <v>0</v>
      </c>
      <c r="AD24" s="76"/>
      <c r="AE24" s="117">
        <f t="shared" si="35"/>
        <v>0</v>
      </c>
      <c r="AF24" s="76"/>
      <c r="AG24" s="247"/>
      <c r="AH24" s="247"/>
      <c r="AI24" s="247"/>
      <c r="AJ24" s="26"/>
      <c r="AK24" s="26"/>
      <c r="AL24" s="259"/>
      <c r="AM24" s="26"/>
    </row>
    <row r="25" spans="1:39" s="12" customFormat="1" ht="19.05" customHeight="1">
      <c r="A25" s="107" t="s">
        <v>74</v>
      </c>
      <c r="B25" s="33"/>
      <c r="C25" s="33"/>
      <c r="D25" s="109" t="s">
        <v>277</v>
      </c>
      <c r="E25" s="33"/>
      <c r="F25" s="317"/>
      <c r="G25" s="26"/>
      <c r="H25" s="26"/>
      <c r="I25" s="26"/>
      <c r="J25" s="26"/>
      <c r="K25" s="26"/>
      <c r="L25" s="26"/>
      <c r="M25" s="117">
        <f t="shared" si="25"/>
        <v>0</v>
      </c>
      <c r="N25" s="117">
        <f t="shared" si="26"/>
        <v>0</v>
      </c>
      <c r="O25" s="26"/>
      <c r="P25" s="26"/>
      <c r="Q25" s="117">
        <f t="shared" si="27"/>
        <v>0</v>
      </c>
      <c r="R25" s="117">
        <f t="shared" si="28"/>
        <v>0</v>
      </c>
      <c r="S25" s="117">
        <f t="shared" si="29"/>
        <v>0</v>
      </c>
      <c r="T25" s="117">
        <f t="shared" si="30"/>
        <v>0</v>
      </c>
      <c r="U25" s="26"/>
      <c r="V25" s="26"/>
      <c r="W25" s="26"/>
      <c r="X25" s="26"/>
      <c r="Y25" s="117">
        <f t="shared" si="31"/>
        <v>0</v>
      </c>
      <c r="Z25" s="117">
        <f t="shared" si="32"/>
        <v>0</v>
      </c>
      <c r="AA25" s="117">
        <f t="shared" si="33"/>
        <v>0</v>
      </c>
      <c r="AB25" s="117">
        <f t="shared" si="34"/>
        <v>0</v>
      </c>
      <c r="AC25" s="117">
        <f t="shared" si="11"/>
        <v>0</v>
      </c>
      <c r="AD25" s="76"/>
      <c r="AE25" s="117">
        <f t="shared" si="35"/>
        <v>0</v>
      </c>
      <c r="AF25" s="76"/>
      <c r="AG25" s="247"/>
      <c r="AH25" s="247"/>
      <c r="AI25" s="247"/>
      <c r="AJ25" s="26"/>
      <c r="AK25" s="26"/>
      <c r="AL25" s="259"/>
      <c r="AM25" s="26"/>
    </row>
    <row r="26" spans="1:39" s="12" customFormat="1" ht="19.05" customHeight="1">
      <c r="A26" s="107" t="s">
        <v>74</v>
      </c>
      <c r="B26" s="33"/>
      <c r="C26" s="33"/>
      <c r="D26" s="33"/>
      <c r="E26" s="33"/>
      <c r="F26" s="317"/>
      <c r="G26" s="26"/>
      <c r="H26" s="26"/>
      <c r="I26" s="26"/>
      <c r="J26" s="26"/>
      <c r="K26" s="26"/>
      <c r="L26" s="26"/>
      <c r="M26" s="117">
        <f t="shared" si="25"/>
        <v>0</v>
      </c>
      <c r="N26" s="117">
        <f t="shared" si="26"/>
        <v>0</v>
      </c>
      <c r="O26" s="26"/>
      <c r="P26" s="26"/>
      <c r="Q26" s="117">
        <f t="shared" si="27"/>
        <v>0</v>
      </c>
      <c r="R26" s="117">
        <f t="shared" si="28"/>
        <v>0</v>
      </c>
      <c r="S26" s="117">
        <f t="shared" si="29"/>
        <v>0</v>
      </c>
      <c r="T26" s="117">
        <f t="shared" si="30"/>
        <v>0</v>
      </c>
      <c r="U26" s="26"/>
      <c r="V26" s="26"/>
      <c r="W26" s="26"/>
      <c r="X26" s="26"/>
      <c r="Y26" s="117">
        <f t="shared" si="31"/>
        <v>0</v>
      </c>
      <c r="Z26" s="117">
        <f t="shared" si="32"/>
        <v>0</v>
      </c>
      <c r="AA26" s="117">
        <f t="shared" si="33"/>
        <v>0</v>
      </c>
      <c r="AB26" s="117">
        <f t="shared" si="34"/>
        <v>0</v>
      </c>
      <c r="AC26" s="117">
        <f t="shared" si="11"/>
        <v>0</v>
      </c>
      <c r="AD26" s="76"/>
      <c r="AE26" s="117">
        <f t="shared" si="35"/>
        <v>0</v>
      </c>
      <c r="AF26" s="76"/>
      <c r="AG26" s="247"/>
      <c r="AH26" s="247"/>
      <c r="AI26" s="247"/>
      <c r="AJ26" s="26"/>
      <c r="AK26" s="26"/>
      <c r="AL26" s="259"/>
      <c r="AM26" s="26"/>
    </row>
    <row r="27" spans="1:39" s="12" customFormat="1" ht="19.05" customHeight="1">
      <c r="A27" s="107" t="s">
        <v>74</v>
      </c>
      <c r="B27" s="33"/>
      <c r="C27" s="33"/>
      <c r="D27" s="33"/>
      <c r="E27" s="33"/>
      <c r="F27" s="317"/>
      <c r="G27" s="26"/>
      <c r="H27" s="26"/>
      <c r="I27" s="26"/>
      <c r="J27" s="26"/>
      <c r="K27" s="26"/>
      <c r="L27" s="26"/>
      <c r="M27" s="117">
        <f t="shared" si="25"/>
        <v>0</v>
      </c>
      <c r="N27" s="117">
        <f t="shared" si="26"/>
        <v>0</v>
      </c>
      <c r="O27" s="26"/>
      <c r="P27" s="26"/>
      <c r="Q27" s="117">
        <f t="shared" si="27"/>
        <v>0</v>
      </c>
      <c r="R27" s="117">
        <f t="shared" si="28"/>
        <v>0</v>
      </c>
      <c r="S27" s="117">
        <f t="shared" si="29"/>
        <v>0</v>
      </c>
      <c r="T27" s="117">
        <f t="shared" si="30"/>
        <v>0</v>
      </c>
      <c r="U27" s="26"/>
      <c r="V27" s="26"/>
      <c r="W27" s="26"/>
      <c r="X27" s="26"/>
      <c r="Y27" s="117">
        <f t="shared" si="31"/>
        <v>0</v>
      </c>
      <c r="Z27" s="117">
        <f t="shared" si="32"/>
        <v>0</v>
      </c>
      <c r="AA27" s="117">
        <f t="shared" si="33"/>
        <v>0</v>
      </c>
      <c r="AB27" s="117">
        <f t="shared" si="34"/>
        <v>0</v>
      </c>
      <c r="AC27" s="117">
        <f t="shared" si="11"/>
        <v>0</v>
      </c>
      <c r="AD27" s="76"/>
      <c r="AE27" s="117">
        <f t="shared" si="35"/>
        <v>0</v>
      </c>
      <c r="AF27" s="76"/>
      <c r="AG27" s="247"/>
      <c r="AH27" s="247"/>
      <c r="AI27" s="247"/>
      <c r="AJ27" s="26"/>
      <c r="AK27" s="26"/>
      <c r="AL27" s="259"/>
      <c r="AM27" s="26"/>
    </row>
    <row r="28" spans="1:39" s="12" customFormat="1" ht="19.05" customHeight="1">
      <c r="A28" s="107" t="s">
        <v>74</v>
      </c>
      <c r="B28" s="33"/>
      <c r="C28" s="33"/>
      <c r="D28" s="33"/>
      <c r="E28" s="33"/>
      <c r="F28" s="317"/>
      <c r="G28" s="26"/>
      <c r="H28" s="26"/>
      <c r="I28" s="26"/>
      <c r="J28" s="26"/>
      <c r="K28" s="26"/>
      <c r="L28" s="26"/>
      <c r="M28" s="117">
        <f t="shared" si="25"/>
        <v>0</v>
      </c>
      <c r="N28" s="117">
        <f t="shared" si="26"/>
        <v>0</v>
      </c>
      <c r="O28" s="26"/>
      <c r="P28" s="26"/>
      <c r="Q28" s="117">
        <f t="shared" si="27"/>
        <v>0</v>
      </c>
      <c r="R28" s="117">
        <f t="shared" si="28"/>
        <v>0</v>
      </c>
      <c r="S28" s="117">
        <f t="shared" si="29"/>
        <v>0</v>
      </c>
      <c r="T28" s="117">
        <f t="shared" si="30"/>
        <v>0</v>
      </c>
      <c r="U28" s="26"/>
      <c r="V28" s="26"/>
      <c r="W28" s="26"/>
      <c r="X28" s="26"/>
      <c r="Y28" s="117">
        <f t="shared" si="31"/>
        <v>0</v>
      </c>
      <c r="Z28" s="117">
        <f t="shared" si="32"/>
        <v>0</v>
      </c>
      <c r="AA28" s="117">
        <f t="shared" si="33"/>
        <v>0</v>
      </c>
      <c r="AB28" s="117">
        <f t="shared" si="34"/>
        <v>0</v>
      </c>
      <c r="AC28" s="117">
        <f t="shared" si="11"/>
        <v>0</v>
      </c>
      <c r="AD28" s="76"/>
      <c r="AE28" s="117">
        <f t="shared" si="35"/>
        <v>0</v>
      </c>
      <c r="AF28" s="76"/>
      <c r="AG28" s="247"/>
      <c r="AH28" s="247"/>
      <c r="AI28" s="247"/>
      <c r="AJ28" s="26"/>
      <c r="AK28" s="26"/>
      <c r="AL28" s="259"/>
      <c r="AM28" s="26"/>
    </row>
    <row r="29" spans="1:39" s="434" customFormat="1" ht="19.05" customHeight="1">
      <c r="A29" s="473" t="s">
        <v>278</v>
      </c>
      <c r="B29" s="473"/>
      <c r="C29" s="473"/>
      <c r="D29" s="473"/>
      <c r="E29" s="473"/>
      <c r="F29" s="473"/>
      <c r="G29" s="122">
        <f t="shared" ref="G29:AE29" si="36">G18+G12+G22</f>
        <v>0</v>
      </c>
      <c r="H29" s="121">
        <f t="shared" si="36"/>
        <v>0</v>
      </c>
      <c r="I29" s="121">
        <f t="shared" si="36"/>
        <v>0</v>
      </c>
      <c r="J29" s="121">
        <f t="shared" si="36"/>
        <v>0</v>
      </c>
      <c r="K29" s="121">
        <f t="shared" si="36"/>
        <v>0</v>
      </c>
      <c r="L29" s="121">
        <f t="shared" si="36"/>
        <v>0</v>
      </c>
      <c r="M29" s="121">
        <f t="shared" si="36"/>
        <v>0</v>
      </c>
      <c r="N29" s="121">
        <f t="shared" si="36"/>
        <v>0</v>
      </c>
      <c r="O29" s="121">
        <f t="shared" si="36"/>
        <v>0</v>
      </c>
      <c r="P29" s="121">
        <f t="shared" si="36"/>
        <v>0</v>
      </c>
      <c r="Q29" s="121">
        <f t="shared" si="36"/>
        <v>0</v>
      </c>
      <c r="R29" s="121">
        <f t="shared" si="36"/>
        <v>0</v>
      </c>
      <c r="S29" s="121">
        <f t="shared" si="36"/>
        <v>0</v>
      </c>
      <c r="T29" s="118">
        <f t="shared" si="36"/>
        <v>0</v>
      </c>
      <c r="U29" s="122">
        <f t="shared" si="36"/>
        <v>0</v>
      </c>
      <c r="V29" s="121">
        <f t="shared" si="36"/>
        <v>0</v>
      </c>
      <c r="W29" s="121">
        <f t="shared" si="36"/>
        <v>0</v>
      </c>
      <c r="X29" s="121">
        <f t="shared" si="36"/>
        <v>0</v>
      </c>
      <c r="Y29" s="121">
        <f t="shared" si="36"/>
        <v>0</v>
      </c>
      <c r="Z29" s="121">
        <f t="shared" si="36"/>
        <v>0</v>
      </c>
      <c r="AA29" s="121">
        <f t="shared" si="36"/>
        <v>0</v>
      </c>
      <c r="AB29" s="121">
        <f t="shared" si="36"/>
        <v>0</v>
      </c>
      <c r="AC29" s="121">
        <f>AC18+AC12+AC22</f>
        <v>0</v>
      </c>
      <c r="AD29" s="121">
        <f t="shared" si="36"/>
        <v>0</v>
      </c>
      <c r="AE29" s="121">
        <f t="shared" si="36"/>
        <v>0</v>
      </c>
      <c r="AF29" s="121"/>
      <c r="AG29" s="422"/>
      <c r="AH29" s="422"/>
      <c r="AI29" s="422"/>
      <c r="AJ29" s="228"/>
      <c r="AK29" s="228"/>
      <c r="AL29" s="433"/>
      <c r="AM29" s="228"/>
    </row>
    <row r="30" spans="1:39" s="418" customFormat="1" ht="19.05" customHeight="1">
      <c r="A30" s="415" t="s">
        <v>279</v>
      </c>
      <c r="B30" s="415"/>
      <c r="C30" s="416"/>
      <c r="D30" s="416"/>
      <c r="E30" s="416"/>
      <c r="F30" s="416"/>
      <c r="G30" s="410"/>
      <c r="H30" s="410"/>
      <c r="I30" s="410"/>
      <c r="J30" s="410"/>
      <c r="K30" s="410"/>
      <c r="L30" s="410"/>
      <c r="M30" s="410"/>
      <c r="N30" s="410"/>
      <c r="O30" s="410"/>
      <c r="P30" s="410"/>
      <c r="Q30" s="410"/>
      <c r="R30" s="410"/>
      <c r="S30" s="410"/>
      <c r="T30" s="410"/>
      <c r="U30" s="416"/>
      <c r="V30" s="416"/>
      <c r="W30" s="416"/>
      <c r="X30" s="416"/>
      <c r="Y30" s="416"/>
      <c r="Z30" s="416"/>
      <c r="AA30" s="416"/>
      <c r="AB30" s="410"/>
      <c r="AC30" s="410"/>
      <c r="AD30" s="410"/>
      <c r="AE30" s="410"/>
      <c r="AF30" s="410"/>
      <c r="AG30" s="427"/>
      <c r="AH30" s="427"/>
      <c r="AI30" s="427"/>
      <c r="AJ30" s="416"/>
      <c r="AK30" s="416"/>
      <c r="AL30" s="416"/>
      <c r="AM30" s="416"/>
    </row>
    <row r="31" spans="1:39" s="418" customFormat="1" ht="19.05" customHeight="1">
      <c r="A31" s="420" t="s">
        <v>272</v>
      </c>
      <c r="B31" s="420"/>
      <c r="C31" s="425"/>
      <c r="D31" s="425"/>
      <c r="E31" s="425"/>
      <c r="F31" s="425"/>
      <c r="G31" s="228">
        <f>SUM(G32:G33)</f>
        <v>0</v>
      </c>
      <c r="H31" s="121">
        <f t="shared" ref="H31:S31" si="37">SUM(H32:H33)</f>
        <v>0</v>
      </c>
      <c r="I31" s="121">
        <f t="shared" si="37"/>
        <v>0</v>
      </c>
      <c r="J31" s="121">
        <f t="shared" si="37"/>
        <v>0</v>
      </c>
      <c r="K31" s="121">
        <f t="shared" si="37"/>
        <v>0</v>
      </c>
      <c r="L31" s="121">
        <f t="shared" si="37"/>
        <v>0</v>
      </c>
      <c r="M31" s="121">
        <f t="shared" si="37"/>
        <v>0</v>
      </c>
      <c r="N31" s="121">
        <f t="shared" si="37"/>
        <v>0</v>
      </c>
      <c r="O31" s="121">
        <f t="shared" si="37"/>
        <v>0</v>
      </c>
      <c r="P31" s="121">
        <f t="shared" si="37"/>
        <v>0</v>
      </c>
      <c r="Q31" s="121">
        <f t="shared" si="37"/>
        <v>0</v>
      </c>
      <c r="R31" s="121">
        <f t="shared" si="37"/>
        <v>0</v>
      </c>
      <c r="S31" s="121">
        <f t="shared" si="37"/>
        <v>0</v>
      </c>
      <c r="T31" s="117">
        <f>SUM(T32:T33)</f>
        <v>0</v>
      </c>
      <c r="U31" s="228">
        <f>SUM(U32:U33)</f>
        <v>0</v>
      </c>
      <c r="V31" s="121">
        <f t="shared" ref="V31:AE31" si="38">SUM(V32:V33)</f>
        <v>0</v>
      </c>
      <c r="W31" s="121">
        <f t="shared" si="38"/>
        <v>0</v>
      </c>
      <c r="X31" s="121">
        <f t="shared" si="38"/>
        <v>0</v>
      </c>
      <c r="Y31" s="121">
        <f t="shared" si="38"/>
        <v>0</v>
      </c>
      <c r="Z31" s="121">
        <f t="shared" si="38"/>
        <v>0</v>
      </c>
      <c r="AA31" s="121">
        <f t="shared" si="38"/>
        <v>0</v>
      </c>
      <c r="AB31" s="121">
        <f t="shared" si="38"/>
        <v>0</v>
      </c>
      <c r="AC31" s="121">
        <f t="shared" si="38"/>
        <v>0</v>
      </c>
      <c r="AD31" s="117"/>
      <c r="AE31" s="121">
        <f t="shared" si="38"/>
        <v>0</v>
      </c>
      <c r="AF31" s="121"/>
      <c r="AG31" s="431" t="s">
        <v>53</v>
      </c>
      <c r="AH31" s="431" t="s">
        <v>53</v>
      </c>
      <c r="AI31" s="431" t="s">
        <v>53</v>
      </c>
      <c r="AJ31" s="435"/>
      <c r="AK31" s="435"/>
      <c r="AL31" s="433"/>
      <c r="AM31" s="436"/>
    </row>
    <row r="32" spans="1:39" s="12" customFormat="1" ht="19.05" customHeight="1">
      <c r="A32" s="33" t="s">
        <v>72</v>
      </c>
      <c r="B32" s="33"/>
      <c r="C32" s="33"/>
      <c r="D32" s="33"/>
      <c r="E32" s="33"/>
      <c r="F32" s="317"/>
      <c r="G32" s="26"/>
      <c r="H32" s="26"/>
      <c r="I32" s="26"/>
      <c r="J32" s="26"/>
      <c r="K32" s="26"/>
      <c r="L32" s="26"/>
      <c r="M32" s="117">
        <f t="shared" ref="M32:M33" si="39">G32+I32-K32</f>
        <v>0</v>
      </c>
      <c r="N32" s="117">
        <f t="shared" ref="N32:N33" si="40">H32+J32-L32</f>
        <v>0</v>
      </c>
      <c r="O32" s="26"/>
      <c r="P32" s="26"/>
      <c r="Q32" s="117">
        <f t="shared" ref="Q32:Q33" si="41">M32+O32</f>
        <v>0</v>
      </c>
      <c r="R32" s="117">
        <f t="shared" ref="R32:R33" si="42">N32+P32</f>
        <v>0</v>
      </c>
      <c r="S32" s="117">
        <f t="shared" ref="S32:S33" si="43">Q32*F32</f>
        <v>0</v>
      </c>
      <c r="T32" s="117">
        <f t="shared" ref="T32:T33" si="44">S32-R32</f>
        <v>0</v>
      </c>
      <c r="U32" s="26"/>
      <c r="V32" s="26"/>
      <c r="W32" s="26"/>
      <c r="X32" s="26"/>
      <c r="Y32" s="117">
        <f t="shared" ref="Y32:Y33" si="45">U32+G32</f>
        <v>0</v>
      </c>
      <c r="Z32" s="117">
        <f t="shared" ref="Z32:Z33" si="46">V32+H32</f>
        <v>0</v>
      </c>
      <c r="AA32" s="117">
        <f t="shared" ref="AA32:AA33" si="47">Q32+W32</f>
        <v>0</v>
      </c>
      <c r="AB32" s="117">
        <f t="shared" ref="AB32:AB33" si="48">R32+X32</f>
        <v>0</v>
      </c>
      <c r="AC32" s="117">
        <f t="shared" ref="AC32:AC33" si="49">AA32*F32-AB32</f>
        <v>0</v>
      </c>
      <c r="AD32" s="76"/>
      <c r="AE32" s="117">
        <f t="shared" ref="AE32:AE33" si="50">AA32-AD32</f>
        <v>0</v>
      </c>
      <c r="AF32" s="117"/>
      <c r="AG32" s="249"/>
      <c r="AH32" s="249"/>
      <c r="AI32" s="249"/>
      <c r="AJ32" s="92"/>
      <c r="AK32" s="92"/>
      <c r="AL32" s="259"/>
      <c r="AM32" s="26"/>
    </row>
    <row r="33" spans="1:39" s="12" customFormat="1" ht="19.05" customHeight="1">
      <c r="A33" s="33" t="s">
        <v>72</v>
      </c>
      <c r="B33" s="33"/>
      <c r="C33" s="33"/>
      <c r="D33" s="33"/>
      <c r="E33" s="33"/>
      <c r="F33" s="317"/>
      <c r="G33" s="26"/>
      <c r="H33" s="26"/>
      <c r="I33" s="26"/>
      <c r="J33" s="26"/>
      <c r="K33" s="26"/>
      <c r="L33" s="26"/>
      <c r="M33" s="117">
        <f t="shared" si="39"/>
        <v>0</v>
      </c>
      <c r="N33" s="117">
        <f t="shared" si="40"/>
        <v>0</v>
      </c>
      <c r="O33" s="26"/>
      <c r="P33" s="26"/>
      <c r="Q33" s="117">
        <f t="shared" si="41"/>
        <v>0</v>
      </c>
      <c r="R33" s="117">
        <f t="shared" si="42"/>
        <v>0</v>
      </c>
      <c r="S33" s="117">
        <f t="shared" si="43"/>
        <v>0</v>
      </c>
      <c r="T33" s="117">
        <f t="shared" si="44"/>
        <v>0</v>
      </c>
      <c r="U33" s="26"/>
      <c r="V33" s="26"/>
      <c r="W33" s="26"/>
      <c r="X33" s="26"/>
      <c r="Y33" s="117">
        <f t="shared" si="45"/>
        <v>0</v>
      </c>
      <c r="Z33" s="117">
        <f t="shared" si="46"/>
        <v>0</v>
      </c>
      <c r="AA33" s="117">
        <f t="shared" si="47"/>
        <v>0</v>
      </c>
      <c r="AB33" s="117">
        <f t="shared" si="48"/>
        <v>0</v>
      </c>
      <c r="AC33" s="117">
        <f t="shared" si="49"/>
        <v>0</v>
      </c>
      <c r="AD33" s="76"/>
      <c r="AE33" s="117">
        <f t="shared" si="50"/>
        <v>0</v>
      </c>
      <c r="AF33" s="117"/>
      <c r="AG33" s="249"/>
      <c r="AH33" s="249"/>
      <c r="AI33" s="249"/>
      <c r="AJ33" s="92"/>
      <c r="AK33" s="92"/>
      <c r="AL33" s="259"/>
      <c r="AM33" s="26"/>
    </row>
    <row r="34" spans="1:39" s="418" customFormat="1" ht="19.05" customHeight="1">
      <c r="A34" s="420" t="s">
        <v>280</v>
      </c>
      <c r="B34" s="420"/>
      <c r="C34" s="425"/>
      <c r="D34" s="425"/>
      <c r="E34" s="425"/>
      <c r="F34" s="425"/>
      <c r="G34" s="228">
        <f>SUM(G35:G36)</f>
        <v>0</v>
      </c>
      <c r="H34" s="121">
        <f t="shared" ref="H34:S34" si="51">SUM(H35:H36)</f>
        <v>0</v>
      </c>
      <c r="I34" s="121">
        <f t="shared" si="51"/>
        <v>0</v>
      </c>
      <c r="J34" s="121">
        <f t="shared" si="51"/>
        <v>0</v>
      </c>
      <c r="K34" s="121">
        <f t="shared" si="51"/>
        <v>0</v>
      </c>
      <c r="L34" s="121">
        <f t="shared" si="51"/>
        <v>0</v>
      </c>
      <c r="M34" s="121">
        <f t="shared" si="51"/>
        <v>0</v>
      </c>
      <c r="N34" s="121">
        <f t="shared" si="51"/>
        <v>0</v>
      </c>
      <c r="O34" s="121">
        <f t="shared" si="51"/>
        <v>0</v>
      </c>
      <c r="P34" s="121">
        <f t="shared" si="51"/>
        <v>0</v>
      </c>
      <c r="Q34" s="121">
        <f t="shared" si="51"/>
        <v>0</v>
      </c>
      <c r="R34" s="121">
        <f t="shared" si="51"/>
        <v>0</v>
      </c>
      <c r="S34" s="121">
        <f t="shared" si="51"/>
        <v>0</v>
      </c>
      <c r="T34" s="117">
        <f>SUM(T35:T36)</f>
        <v>0</v>
      </c>
      <c r="U34" s="228">
        <f>SUM(U35:U36)</f>
        <v>0</v>
      </c>
      <c r="V34" s="121">
        <f t="shared" ref="V34:AE34" si="52">SUM(V35:V36)</f>
        <v>0</v>
      </c>
      <c r="W34" s="121">
        <f t="shared" si="52"/>
        <v>0</v>
      </c>
      <c r="X34" s="121">
        <f t="shared" si="52"/>
        <v>0</v>
      </c>
      <c r="Y34" s="121">
        <f t="shared" si="52"/>
        <v>0</v>
      </c>
      <c r="Z34" s="121">
        <f t="shared" si="52"/>
        <v>0</v>
      </c>
      <c r="AA34" s="121">
        <f t="shared" si="52"/>
        <v>0</v>
      </c>
      <c r="AB34" s="121">
        <f t="shared" si="52"/>
        <v>0</v>
      </c>
      <c r="AC34" s="121">
        <f t="shared" si="52"/>
        <v>0</v>
      </c>
      <c r="AD34" s="117"/>
      <c r="AE34" s="121">
        <f t="shared" si="52"/>
        <v>0</v>
      </c>
      <c r="AF34" s="121"/>
      <c r="AG34" s="431"/>
      <c r="AH34" s="431"/>
      <c r="AI34" s="431"/>
      <c r="AJ34" s="435"/>
      <c r="AK34" s="435"/>
      <c r="AL34" s="433"/>
      <c r="AM34" s="228"/>
    </row>
    <row r="35" spans="1:39" s="12" customFormat="1" ht="19.05" customHeight="1">
      <c r="A35" s="33" t="s">
        <v>281</v>
      </c>
      <c r="B35" s="33"/>
      <c r="C35" s="33"/>
      <c r="D35" s="33"/>
      <c r="E35" s="33"/>
      <c r="F35" s="317"/>
      <c r="G35" s="26"/>
      <c r="H35" s="26"/>
      <c r="I35" s="26"/>
      <c r="J35" s="26"/>
      <c r="K35" s="26"/>
      <c r="L35" s="26"/>
      <c r="M35" s="117">
        <f t="shared" ref="M35:M36" si="53">G35+I35-K35</f>
        <v>0</v>
      </c>
      <c r="N35" s="117">
        <f t="shared" ref="N35:N36" si="54">H35+J35-L35</f>
        <v>0</v>
      </c>
      <c r="O35" s="26"/>
      <c r="P35" s="26"/>
      <c r="Q35" s="117">
        <f t="shared" ref="Q35:Q36" si="55">M35+O35</f>
        <v>0</v>
      </c>
      <c r="R35" s="117">
        <f t="shared" ref="R35:R36" si="56">N35+P35</f>
        <v>0</v>
      </c>
      <c r="S35" s="117">
        <f t="shared" ref="S35:S36" si="57">Q35*F35</f>
        <v>0</v>
      </c>
      <c r="T35" s="117">
        <f t="shared" ref="T35:T36" si="58">S35-R35</f>
        <v>0</v>
      </c>
      <c r="U35" s="26"/>
      <c r="V35" s="26"/>
      <c r="W35" s="26"/>
      <c r="X35" s="26"/>
      <c r="Y35" s="117">
        <f t="shared" ref="Y35:Y36" si="59">U35+G35</f>
        <v>0</v>
      </c>
      <c r="Z35" s="117">
        <f t="shared" ref="Z35:Z36" si="60">V35+H35</f>
        <v>0</v>
      </c>
      <c r="AA35" s="117">
        <f t="shared" ref="AA35:AA36" si="61">Q35+W35</f>
        <v>0</v>
      </c>
      <c r="AB35" s="117">
        <f t="shared" ref="AB35:AB36" si="62">R35+X35</f>
        <v>0</v>
      </c>
      <c r="AC35" s="117">
        <f t="shared" ref="AC35:AC40" si="63">AA35*F35-AB35</f>
        <v>0</v>
      </c>
      <c r="AD35" s="76"/>
      <c r="AE35" s="117">
        <f t="shared" ref="AE35:AE36" si="64">AA35-AD35</f>
        <v>0</v>
      </c>
      <c r="AF35" s="117"/>
      <c r="AG35" s="249"/>
      <c r="AH35" s="249"/>
      <c r="AI35" s="249"/>
      <c r="AJ35" s="92"/>
      <c r="AK35" s="92"/>
      <c r="AL35" s="259"/>
      <c r="AM35" s="26"/>
    </row>
    <row r="36" spans="1:39" s="12" customFormat="1" ht="19.05" customHeight="1">
      <c r="A36" s="33" t="s">
        <v>281</v>
      </c>
      <c r="B36" s="33"/>
      <c r="C36" s="33"/>
      <c r="D36" s="33"/>
      <c r="E36" s="33"/>
      <c r="F36" s="317"/>
      <c r="G36" s="26"/>
      <c r="H36" s="26"/>
      <c r="I36" s="26"/>
      <c r="J36" s="26"/>
      <c r="K36" s="26"/>
      <c r="L36" s="26"/>
      <c r="M36" s="117">
        <f t="shared" si="53"/>
        <v>0</v>
      </c>
      <c r="N36" s="117">
        <f t="shared" si="54"/>
        <v>0</v>
      </c>
      <c r="O36" s="26"/>
      <c r="P36" s="26"/>
      <c r="Q36" s="117">
        <f t="shared" si="55"/>
        <v>0</v>
      </c>
      <c r="R36" s="117">
        <f t="shared" si="56"/>
        <v>0</v>
      </c>
      <c r="S36" s="117">
        <f t="shared" si="57"/>
        <v>0</v>
      </c>
      <c r="T36" s="117">
        <f t="shared" si="58"/>
        <v>0</v>
      </c>
      <c r="U36" s="26"/>
      <c r="V36" s="26"/>
      <c r="W36" s="26"/>
      <c r="X36" s="26"/>
      <c r="Y36" s="117">
        <f t="shared" si="59"/>
        <v>0</v>
      </c>
      <c r="Z36" s="117">
        <f t="shared" si="60"/>
        <v>0</v>
      </c>
      <c r="AA36" s="117">
        <f t="shared" si="61"/>
        <v>0</v>
      </c>
      <c r="AB36" s="117">
        <f t="shared" si="62"/>
        <v>0</v>
      </c>
      <c r="AC36" s="117">
        <f t="shared" si="63"/>
        <v>0</v>
      </c>
      <c r="AD36" s="76"/>
      <c r="AE36" s="117">
        <f t="shared" si="64"/>
        <v>0</v>
      </c>
      <c r="AF36" s="117"/>
      <c r="AG36" s="249"/>
      <c r="AH36" s="249"/>
      <c r="AI36" s="249"/>
      <c r="AJ36" s="92"/>
      <c r="AK36" s="92"/>
      <c r="AL36" s="259"/>
      <c r="AM36" s="26"/>
    </row>
    <row r="37" spans="1:39" s="418" customFormat="1" ht="19.05" customHeight="1">
      <c r="A37" s="420" t="s">
        <v>274</v>
      </c>
      <c r="B37" s="425"/>
      <c r="C37" s="425"/>
      <c r="D37" s="425"/>
      <c r="E37" s="425"/>
      <c r="F37" s="425"/>
      <c r="G37" s="228">
        <f t="shared" ref="G37:AE37" si="65">SUM(G38:G40)</f>
        <v>0</v>
      </c>
      <c r="H37" s="228">
        <f t="shared" si="65"/>
        <v>0</v>
      </c>
      <c r="I37" s="228">
        <f t="shared" si="65"/>
        <v>0</v>
      </c>
      <c r="J37" s="228">
        <f t="shared" si="65"/>
        <v>0</v>
      </c>
      <c r="K37" s="228">
        <f t="shared" si="65"/>
        <v>0</v>
      </c>
      <c r="L37" s="228">
        <f t="shared" si="65"/>
        <v>0</v>
      </c>
      <c r="M37" s="228">
        <f t="shared" si="65"/>
        <v>0</v>
      </c>
      <c r="N37" s="228">
        <f t="shared" si="65"/>
        <v>0</v>
      </c>
      <c r="O37" s="228">
        <f t="shared" si="65"/>
        <v>0</v>
      </c>
      <c r="P37" s="228">
        <f t="shared" si="65"/>
        <v>0</v>
      </c>
      <c r="Q37" s="228">
        <f t="shared" si="65"/>
        <v>0</v>
      </c>
      <c r="R37" s="228">
        <f t="shared" si="65"/>
        <v>0</v>
      </c>
      <c r="S37" s="228">
        <f t="shared" si="65"/>
        <v>0</v>
      </c>
      <c r="T37" s="228">
        <f t="shared" si="65"/>
        <v>0</v>
      </c>
      <c r="U37" s="228">
        <f t="shared" si="65"/>
        <v>0</v>
      </c>
      <c r="V37" s="228">
        <f t="shared" si="65"/>
        <v>0</v>
      </c>
      <c r="W37" s="228">
        <f t="shared" si="65"/>
        <v>0</v>
      </c>
      <c r="X37" s="228">
        <f t="shared" si="65"/>
        <v>0</v>
      </c>
      <c r="Y37" s="228">
        <f t="shared" si="65"/>
        <v>0</v>
      </c>
      <c r="Z37" s="228">
        <f t="shared" si="65"/>
        <v>0</v>
      </c>
      <c r="AA37" s="228">
        <f t="shared" si="65"/>
        <v>0</v>
      </c>
      <c r="AB37" s="228">
        <f t="shared" si="65"/>
        <v>0</v>
      </c>
      <c r="AC37" s="228">
        <f>SUM(AC38:AC40)</f>
        <v>0</v>
      </c>
      <c r="AD37" s="228">
        <f t="shared" si="65"/>
        <v>0</v>
      </c>
      <c r="AE37" s="228">
        <f t="shared" si="65"/>
        <v>0</v>
      </c>
      <c r="AF37" s="228"/>
      <c r="AG37" s="431"/>
      <c r="AH37" s="431"/>
      <c r="AI37" s="431"/>
      <c r="AJ37" s="435"/>
      <c r="AK37" s="435"/>
      <c r="AL37" s="433"/>
      <c r="AM37" s="228"/>
    </row>
    <row r="38" spans="1:39" s="12" customFormat="1" ht="19.05" customHeight="1">
      <c r="A38" s="33" t="s">
        <v>72</v>
      </c>
      <c r="B38" s="33"/>
      <c r="C38" s="33"/>
      <c r="D38" s="404" t="s">
        <v>275</v>
      </c>
      <c r="E38" s="33"/>
      <c r="F38" s="317"/>
      <c r="G38" s="26"/>
      <c r="H38" s="26"/>
      <c r="I38" s="26"/>
      <c r="J38" s="26"/>
      <c r="K38" s="26"/>
      <c r="L38" s="26"/>
      <c r="M38" s="117">
        <f t="shared" ref="M38:M40" si="66">G38+I38-K38</f>
        <v>0</v>
      </c>
      <c r="N38" s="117">
        <f t="shared" ref="N38:N40" si="67">H38+J38-L38</f>
        <v>0</v>
      </c>
      <c r="O38" s="26"/>
      <c r="P38" s="26"/>
      <c r="Q38" s="117">
        <f t="shared" ref="Q38:Q40" si="68">M38+O38</f>
        <v>0</v>
      </c>
      <c r="R38" s="117">
        <f t="shared" ref="R38:R40" si="69">N38+P38</f>
        <v>0</v>
      </c>
      <c r="S38" s="117">
        <f t="shared" ref="S38:S40" si="70">Q38*F38</f>
        <v>0</v>
      </c>
      <c r="T38" s="117">
        <f t="shared" ref="T38:T40" si="71">S38-R38</f>
        <v>0</v>
      </c>
      <c r="U38" s="26"/>
      <c r="V38" s="26"/>
      <c r="W38" s="26"/>
      <c r="X38" s="26"/>
      <c r="Y38" s="117">
        <f t="shared" ref="Y38:Y40" si="72">U38+G38</f>
        <v>0</v>
      </c>
      <c r="Z38" s="117">
        <f t="shared" ref="Z38:Z40" si="73">V38+H38</f>
        <v>0</v>
      </c>
      <c r="AA38" s="117">
        <f t="shared" ref="AA38:AA40" si="74">Q38+W38</f>
        <v>0</v>
      </c>
      <c r="AB38" s="117">
        <f t="shared" ref="AB38:AB40" si="75">R38+X38</f>
        <v>0</v>
      </c>
      <c r="AC38" s="117">
        <f>AA38*F38-AB38</f>
        <v>0</v>
      </c>
      <c r="AD38" s="76"/>
      <c r="AE38" s="117">
        <f t="shared" ref="AE38:AE40" si="76">AA38-AD38</f>
        <v>0</v>
      </c>
      <c r="AF38" s="117"/>
      <c r="AG38" s="249"/>
      <c r="AH38" s="249"/>
      <c r="AI38" s="249"/>
      <c r="AJ38" s="92"/>
      <c r="AK38" s="92"/>
      <c r="AL38" s="259"/>
      <c r="AM38" s="26"/>
    </row>
    <row r="39" spans="1:39" s="12" customFormat="1" ht="19.05" customHeight="1">
      <c r="A39" s="33" t="s">
        <v>72</v>
      </c>
      <c r="B39" s="33"/>
      <c r="C39" s="33"/>
      <c r="D39" s="107" t="s">
        <v>276</v>
      </c>
      <c r="E39" s="33"/>
      <c r="F39" s="317"/>
      <c r="G39" s="26"/>
      <c r="H39" s="26"/>
      <c r="I39" s="26"/>
      <c r="J39" s="26"/>
      <c r="K39" s="26"/>
      <c r="L39" s="26"/>
      <c r="M39" s="117">
        <f t="shared" si="66"/>
        <v>0</v>
      </c>
      <c r="N39" s="117">
        <f t="shared" si="67"/>
        <v>0</v>
      </c>
      <c r="O39" s="26"/>
      <c r="P39" s="26"/>
      <c r="Q39" s="117">
        <f t="shared" si="68"/>
        <v>0</v>
      </c>
      <c r="R39" s="117">
        <f t="shared" si="69"/>
        <v>0</v>
      </c>
      <c r="S39" s="117">
        <f t="shared" si="70"/>
        <v>0</v>
      </c>
      <c r="T39" s="117">
        <f t="shared" si="71"/>
        <v>0</v>
      </c>
      <c r="U39" s="26"/>
      <c r="V39" s="26"/>
      <c r="W39" s="26"/>
      <c r="X39" s="26"/>
      <c r="Y39" s="117">
        <f t="shared" si="72"/>
        <v>0</v>
      </c>
      <c r="Z39" s="117">
        <f t="shared" si="73"/>
        <v>0</v>
      </c>
      <c r="AA39" s="117">
        <f t="shared" si="74"/>
        <v>0</v>
      </c>
      <c r="AB39" s="117">
        <f t="shared" si="75"/>
        <v>0</v>
      </c>
      <c r="AC39" s="117">
        <f t="shared" si="63"/>
        <v>0</v>
      </c>
      <c r="AD39" s="76"/>
      <c r="AE39" s="117">
        <f t="shared" si="76"/>
        <v>0</v>
      </c>
      <c r="AF39" s="117"/>
      <c r="AG39" s="249"/>
      <c r="AH39" s="249"/>
      <c r="AI39" s="249"/>
      <c r="AJ39" s="92"/>
      <c r="AK39" s="92"/>
      <c r="AL39" s="259"/>
      <c r="AM39" s="26"/>
    </row>
    <row r="40" spans="1:39" s="12" customFormat="1" ht="19.05" customHeight="1">
      <c r="A40" s="33" t="s">
        <v>72</v>
      </c>
      <c r="B40" s="33"/>
      <c r="C40" s="33"/>
      <c r="D40" s="107" t="s">
        <v>277</v>
      </c>
      <c r="E40" s="33"/>
      <c r="F40" s="317"/>
      <c r="G40" s="26"/>
      <c r="H40" s="26"/>
      <c r="I40" s="26"/>
      <c r="J40" s="26"/>
      <c r="K40" s="26"/>
      <c r="L40" s="26"/>
      <c r="M40" s="117">
        <f t="shared" si="66"/>
        <v>0</v>
      </c>
      <c r="N40" s="117">
        <f t="shared" si="67"/>
        <v>0</v>
      </c>
      <c r="O40" s="26"/>
      <c r="P40" s="26"/>
      <c r="Q40" s="117">
        <f t="shared" si="68"/>
        <v>0</v>
      </c>
      <c r="R40" s="117">
        <f t="shared" si="69"/>
        <v>0</v>
      </c>
      <c r="S40" s="117">
        <f t="shared" si="70"/>
        <v>0</v>
      </c>
      <c r="T40" s="117">
        <f t="shared" si="71"/>
        <v>0</v>
      </c>
      <c r="U40" s="26"/>
      <c r="V40" s="26"/>
      <c r="W40" s="26"/>
      <c r="X40" s="26"/>
      <c r="Y40" s="117">
        <f t="shared" si="72"/>
        <v>0</v>
      </c>
      <c r="Z40" s="117">
        <f t="shared" si="73"/>
        <v>0</v>
      </c>
      <c r="AA40" s="117">
        <f t="shared" si="74"/>
        <v>0</v>
      </c>
      <c r="AB40" s="117">
        <f t="shared" si="75"/>
        <v>0</v>
      </c>
      <c r="AC40" s="117">
        <f t="shared" si="63"/>
        <v>0</v>
      </c>
      <c r="AD40" s="76"/>
      <c r="AE40" s="117">
        <f t="shared" si="76"/>
        <v>0</v>
      </c>
      <c r="AF40" s="117"/>
      <c r="AG40" s="249"/>
      <c r="AH40" s="249"/>
      <c r="AI40" s="249"/>
      <c r="AJ40" s="92"/>
      <c r="AK40" s="92"/>
      <c r="AL40" s="259"/>
      <c r="AM40" s="26"/>
    </row>
    <row r="41" spans="1:39" s="434" customFormat="1" ht="19.05" customHeight="1">
      <c r="A41" s="473" t="s">
        <v>282</v>
      </c>
      <c r="B41" s="473"/>
      <c r="C41" s="473"/>
      <c r="D41" s="473"/>
      <c r="E41" s="473"/>
      <c r="F41" s="473"/>
      <c r="G41" s="122">
        <f t="shared" ref="G41:S41" si="77">G34+G31+G37</f>
        <v>0</v>
      </c>
      <c r="H41" s="122">
        <f t="shared" si="77"/>
        <v>0</v>
      </c>
      <c r="I41" s="122">
        <f t="shared" si="77"/>
        <v>0</v>
      </c>
      <c r="J41" s="122">
        <f t="shared" si="77"/>
        <v>0</v>
      </c>
      <c r="K41" s="122">
        <f t="shared" si="77"/>
        <v>0</v>
      </c>
      <c r="L41" s="122">
        <f t="shared" si="77"/>
        <v>0</v>
      </c>
      <c r="M41" s="122">
        <f t="shared" si="77"/>
        <v>0</v>
      </c>
      <c r="N41" s="122">
        <f t="shared" si="77"/>
        <v>0</v>
      </c>
      <c r="O41" s="122">
        <f t="shared" si="77"/>
        <v>0</v>
      </c>
      <c r="P41" s="122">
        <f t="shared" si="77"/>
        <v>0</v>
      </c>
      <c r="Q41" s="122">
        <f t="shared" si="77"/>
        <v>0</v>
      </c>
      <c r="R41" s="122">
        <f t="shared" si="77"/>
        <v>0</v>
      </c>
      <c r="S41" s="122">
        <f t="shared" si="77"/>
        <v>0</v>
      </c>
      <c r="T41" s="122">
        <f>T31+T34+T37</f>
        <v>0</v>
      </c>
      <c r="U41" s="122">
        <f>U31+U34+U37</f>
        <v>0</v>
      </c>
      <c r="V41" s="122">
        <f t="shared" ref="V41:AE41" si="78">V34+V31+V37</f>
        <v>0</v>
      </c>
      <c r="W41" s="122">
        <f t="shared" si="78"/>
        <v>0</v>
      </c>
      <c r="X41" s="122">
        <f t="shared" si="78"/>
        <v>0</v>
      </c>
      <c r="Y41" s="122">
        <f t="shared" si="78"/>
        <v>0</v>
      </c>
      <c r="Z41" s="122">
        <f t="shared" si="78"/>
        <v>0</v>
      </c>
      <c r="AA41" s="122">
        <f t="shared" si="78"/>
        <v>0</v>
      </c>
      <c r="AB41" s="122">
        <f t="shared" si="78"/>
        <v>0</v>
      </c>
      <c r="AC41" s="122">
        <f t="shared" si="78"/>
        <v>0</v>
      </c>
      <c r="AD41" s="122">
        <f t="shared" si="78"/>
        <v>0</v>
      </c>
      <c r="AE41" s="122">
        <f t="shared" si="78"/>
        <v>0</v>
      </c>
      <c r="AF41" s="122"/>
      <c r="AG41" s="428" t="s">
        <v>54</v>
      </c>
      <c r="AH41" s="428" t="s">
        <v>54</v>
      </c>
      <c r="AI41" s="428" t="s">
        <v>54</v>
      </c>
      <c r="AJ41" s="437"/>
      <c r="AK41" s="437"/>
      <c r="AL41" s="433"/>
      <c r="AM41" s="228"/>
    </row>
    <row r="42" spans="1:39" s="434" customFormat="1" ht="19.05" customHeight="1">
      <c r="A42" s="478" t="s">
        <v>283</v>
      </c>
      <c r="B42" s="478"/>
      <c r="C42" s="478"/>
      <c r="D42" s="478"/>
      <c r="E42" s="478"/>
      <c r="F42" s="420"/>
      <c r="G42" s="228">
        <f t="shared" ref="G42:AE42" si="79">G31+G12</f>
        <v>0</v>
      </c>
      <c r="H42" s="122">
        <f t="shared" si="79"/>
        <v>0</v>
      </c>
      <c r="I42" s="122">
        <f t="shared" si="79"/>
        <v>0</v>
      </c>
      <c r="J42" s="122">
        <f t="shared" si="79"/>
        <v>0</v>
      </c>
      <c r="K42" s="122">
        <f t="shared" si="79"/>
        <v>0</v>
      </c>
      <c r="L42" s="122">
        <f t="shared" si="79"/>
        <v>0</v>
      </c>
      <c r="M42" s="122">
        <f t="shared" si="79"/>
        <v>0</v>
      </c>
      <c r="N42" s="122">
        <f t="shared" si="79"/>
        <v>0</v>
      </c>
      <c r="O42" s="122">
        <f t="shared" si="79"/>
        <v>0</v>
      </c>
      <c r="P42" s="122">
        <f t="shared" si="79"/>
        <v>0</v>
      </c>
      <c r="Q42" s="122">
        <f t="shared" si="79"/>
        <v>0</v>
      </c>
      <c r="R42" s="122">
        <f t="shared" si="79"/>
        <v>0</v>
      </c>
      <c r="S42" s="122">
        <f t="shared" si="79"/>
        <v>0</v>
      </c>
      <c r="T42" s="122">
        <f t="shared" si="79"/>
        <v>0</v>
      </c>
      <c r="U42" s="228">
        <f t="shared" si="79"/>
        <v>0</v>
      </c>
      <c r="V42" s="122">
        <f t="shared" si="79"/>
        <v>0</v>
      </c>
      <c r="W42" s="122">
        <f t="shared" si="79"/>
        <v>0</v>
      </c>
      <c r="X42" s="122">
        <f t="shared" si="79"/>
        <v>0</v>
      </c>
      <c r="Y42" s="122">
        <f t="shared" si="79"/>
        <v>0</v>
      </c>
      <c r="Z42" s="122">
        <f t="shared" si="79"/>
        <v>0</v>
      </c>
      <c r="AA42" s="122">
        <f t="shared" si="79"/>
        <v>0</v>
      </c>
      <c r="AB42" s="122">
        <f t="shared" si="79"/>
        <v>0</v>
      </c>
      <c r="AC42" s="122">
        <f t="shared" si="79"/>
        <v>0</v>
      </c>
      <c r="AD42" s="122">
        <f t="shared" si="79"/>
        <v>0</v>
      </c>
      <c r="AE42" s="122">
        <f t="shared" si="79"/>
        <v>0</v>
      </c>
      <c r="AF42" s="122"/>
      <c r="AG42" s="428"/>
      <c r="AH42" s="428"/>
      <c r="AI42" s="428"/>
      <c r="AJ42" s="437"/>
      <c r="AK42" s="437"/>
      <c r="AL42" s="433"/>
      <c r="AM42" s="228"/>
    </row>
    <row r="43" spans="1:39" s="434" customFormat="1" ht="19.05" customHeight="1">
      <c r="A43" s="478" t="s">
        <v>284</v>
      </c>
      <c r="B43" s="478"/>
      <c r="C43" s="478"/>
      <c r="D43" s="478"/>
      <c r="E43" s="478"/>
      <c r="F43" s="420"/>
      <c r="G43" s="228">
        <f>G18+G34</f>
        <v>0</v>
      </c>
      <c r="H43" s="122">
        <f>H18+H34</f>
        <v>0</v>
      </c>
      <c r="I43" s="122">
        <f t="shared" ref="I43:T43" si="80">I34+I18</f>
        <v>0</v>
      </c>
      <c r="J43" s="122">
        <f t="shared" si="80"/>
        <v>0</v>
      </c>
      <c r="K43" s="122">
        <f t="shared" si="80"/>
        <v>0</v>
      </c>
      <c r="L43" s="122">
        <f t="shared" si="80"/>
        <v>0</v>
      </c>
      <c r="M43" s="122">
        <f t="shared" si="80"/>
        <v>0</v>
      </c>
      <c r="N43" s="122">
        <f t="shared" si="80"/>
        <v>0</v>
      </c>
      <c r="O43" s="122">
        <f t="shared" si="80"/>
        <v>0</v>
      </c>
      <c r="P43" s="122">
        <f t="shared" si="80"/>
        <v>0</v>
      </c>
      <c r="Q43" s="122">
        <f t="shared" si="80"/>
        <v>0</v>
      </c>
      <c r="R43" s="122">
        <f t="shared" si="80"/>
        <v>0</v>
      </c>
      <c r="S43" s="122">
        <f t="shared" si="80"/>
        <v>0</v>
      </c>
      <c r="T43" s="122">
        <f t="shared" si="80"/>
        <v>0</v>
      </c>
      <c r="U43" s="228">
        <f t="shared" ref="U43:AE43" si="81">U18+U34</f>
        <v>0</v>
      </c>
      <c r="V43" s="122">
        <f t="shared" si="81"/>
        <v>0</v>
      </c>
      <c r="W43" s="122">
        <f t="shared" si="81"/>
        <v>0</v>
      </c>
      <c r="X43" s="122">
        <f t="shared" si="81"/>
        <v>0</v>
      </c>
      <c r="Y43" s="122">
        <f t="shared" si="81"/>
        <v>0</v>
      </c>
      <c r="Z43" s="122">
        <f t="shared" si="81"/>
        <v>0</v>
      </c>
      <c r="AA43" s="122">
        <f t="shared" si="81"/>
        <v>0</v>
      </c>
      <c r="AB43" s="122">
        <f t="shared" si="81"/>
        <v>0</v>
      </c>
      <c r="AC43" s="122">
        <f t="shared" si="81"/>
        <v>0</v>
      </c>
      <c r="AD43" s="122">
        <f t="shared" si="81"/>
        <v>0</v>
      </c>
      <c r="AE43" s="122">
        <f t="shared" si="81"/>
        <v>0</v>
      </c>
      <c r="AF43" s="122"/>
      <c r="AG43" s="428"/>
      <c r="AH43" s="428"/>
      <c r="AI43" s="428"/>
      <c r="AJ43" s="437"/>
      <c r="AK43" s="437"/>
      <c r="AL43" s="433"/>
      <c r="AM43" s="228"/>
    </row>
    <row r="44" spans="1:39" s="434" customFormat="1" ht="19.05" customHeight="1">
      <c r="A44" s="478" t="s">
        <v>285</v>
      </c>
      <c r="B44" s="478"/>
      <c r="C44" s="478"/>
      <c r="D44" s="478"/>
      <c r="E44" s="478"/>
      <c r="F44" s="420"/>
      <c r="G44" s="228">
        <f t="shared" ref="G44:AE44" si="82">G22+G37</f>
        <v>0</v>
      </c>
      <c r="H44" s="122">
        <f t="shared" si="82"/>
        <v>0</v>
      </c>
      <c r="I44" s="122">
        <f t="shared" si="82"/>
        <v>0</v>
      </c>
      <c r="J44" s="122">
        <f t="shared" si="82"/>
        <v>0</v>
      </c>
      <c r="K44" s="122">
        <f t="shared" si="82"/>
        <v>0</v>
      </c>
      <c r="L44" s="122">
        <f t="shared" si="82"/>
        <v>0</v>
      </c>
      <c r="M44" s="122">
        <f t="shared" si="82"/>
        <v>0</v>
      </c>
      <c r="N44" s="122">
        <f t="shared" si="82"/>
        <v>0</v>
      </c>
      <c r="O44" s="122">
        <f t="shared" si="82"/>
        <v>0</v>
      </c>
      <c r="P44" s="122">
        <f t="shared" si="82"/>
        <v>0</v>
      </c>
      <c r="Q44" s="122">
        <f t="shared" si="82"/>
        <v>0</v>
      </c>
      <c r="R44" s="122">
        <f t="shared" si="82"/>
        <v>0</v>
      </c>
      <c r="S44" s="122">
        <f t="shared" si="82"/>
        <v>0</v>
      </c>
      <c r="T44" s="122">
        <f t="shared" si="82"/>
        <v>0</v>
      </c>
      <c r="U44" s="228">
        <f t="shared" si="82"/>
        <v>0</v>
      </c>
      <c r="V44" s="122">
        <f t="shared" si="82"/>
        <v>0</v>
      </c>
      <c r="W44" s="122">
        <f t="shared" si="82"/>
        <v>0</v>
      </c>
      <c r="X44" s="122">
        <f t="shared" si="82"/>
        <v>0</v>
      </c>
      <c r="Y44" s="122">
        <f t="shared" si="82"/>
        <v>0</v>
      </c>
      <c r="Z44" s="122">
        <f t="shared" si="82"/>
        <v>0</v>
      </c>
      <c r="AA44" s="122">
        <f t="shared" si="82"/>
        <v>0</v>
      </c>
      <c r="AB44" s="122">
        <f t="shared" si="82"/>
        <v>0</v>
      </c>
      <c r="AC44" s="122">
        <f t="shared" si="82"/>
        <v>0</v>
      </c>
      <c r="AD44" s="122">
        <f t="shared" si="82"/>
        <v>0</v>
      </c>
      <c r="AE44" s="122">
        <f t="shared" si="82"/>
        <v>0</v>
      </c>
      <c r="AF44" s="122"/>
      <c r="AG44" s="428"/>
      <c r="AH44" s="428"/>
      <c r="AI44" s="428"/>
      <c r="AJ44" s="437"/>
      <c r="AK44" s="437"/>
      <c r="AL44" s="433"/>
      <c r="AM44" s="228"/>
    </row>
    <row r="45" spans="1:39" s="434" customFormat="1" ht="19.05" customHeight="1">
      <c r="A45" s="473" t="s">
        <v>52</v>
      </c>
      <c r="B45" s="473"/>
      <c r="C45" s="473"/>
      <c r="D45" s="473"/>
      <c r="E45" s="473"/>
      <c r="F45" s="473"/>
      <c r="G45" s="122">
        <f>G42+G43+G44</f>
        <v>0</v>
      </c>
      <c r="H45" s="122">
        <f>H42+H43+H44</f>
        <v>0</v>
      </c>
      <c r="I45" s="122">
        <f t="shared" ref="I45" si="83">I42+I43+I44</f>
        <v>0</v>
      </c>
      <c r="J45" s="122">
        <f t="shared" ref="J45:S45" si="84">J42+J43+J44</f>
        <v>0</v>
      </c>
      <c r="K45" s="122">
        <f t="shared" si="84"/>
        <v>0</v>
      </c>
      <c r="L45" s="122">
        <f t="shared" si="84"/>
        <v>0</v>
      </c>
      <c r="M45" s="122">
        <f t="shared" si="84"/>
        <v>0</v>
      </c>
      <c r="N45" s="122">
        <f t="shared" si="84"/>
        <v>0</v>
      </c>
      <c r="O45" s="122">
        <f t="shared" si="84"/>
        <v>0</v>
      </c>
      <c r="P45" s="122">
        <f t="shared" si="84"/>
        <v>0</v>
      </c>
      <c r="Q45" s="122">
        <f t="shared" si="84"/>
        <v>0</v>
      </c>
      <c r="R45" s="122">
        <f t="shared" si="84"/>
        <v>0</v>
      </c>
      <c r="S45" s="122">
        <f t="shared" si="84"/>
        <v>0</v>
      </c>
      <c r="T45" s="122">
        <f>T43+T42+T44</f>
        <v>0</v>
      </c>
      <c r="U45" s="122">
        <f>U42+U43+U44</f>
        <v>0</v>
      </c>
      <c r="V45" s="122">
        <f t="shared" ref="V45:AE45" si="85">V42+V43+V44</f>
        <v>0</v>
      </c>
      <c r="W45" s="122">
        <f t="shared" si="85"/>
        <v>0</v>
      </c>
      <c r="X45" s="122">
        <f t="shared" si="85"/>
        <v>0</v>
      </c>
      <c r="Y45" s="122">
        <f t="shared" si="85"/>
        <v>0</v>
      </c>
      <c r="Z45" s="122">
        <f t="shared" si="85"/>
        <v>0</v>
      </c>
      <c r="AA45" s="122">
        <f t="shared" si="85"/>
        <v>0</v>
      </c>
      <c r="AB45" s="122">
        <f t="shared" si="85"/>
        <v>0</v>
      </c>
      <c r="AC45" s="122">
        <f t="shared" si="85"/>
        <v>0</v>
      </c>
      <c r="AD45" s="122">
        <f t="shared" si="85"/>
        <v>0</v>
      </c>
      <c r="AE45" s="122">
        <f t="shared" si="85"/>
        <v>0</v>
      </c>
      <c r="AF45" s="122"/>
      <c r="AG45" s="422" t="s">
        <v>3</v>
      </c>
      <c r="AH45" s="422" t="s">
        <v>3</v>
      </c>
      <c r="AI45" s="422" t="s">
        <v>3</v>
      </c>
      <c r="AJ45" s="228"/>
      <c r="AK45" s="228"/>
      <c r="AL45" s="433"/>
      <c r="AM45" s="228"/>
    </row>
    <row r="46" spans="1:39" s="12" customFormat="1" ht="19.05" customHeight="1">
      <c r="A46" s="231" t="s">
        <v>242</v>
      </c>
      <c r="B46" s="231"/>
      <c r="C46" s="33"/>
      <c r="D46" s="33"/>
      <c r="E46" s="33"/>
      <c r="F46" s="33"/>
      <c r="G46" s="26"/>
      <c r="H46" s="26"/>
      <c r="I46" s="26"/>
      <c r="J46" s="26"/>
      <c r="K46" s="26"/>
      <c r="L46" s="26"/>
      <c r="M46" s="26"/>
      <c r="N46" s="26"/>
      <c r="O46" s="26"/>
      <c r="P46" s="26"/>
      <c r="Q46" s="26"/>
      <c r="R46" s="26"/>
      <c r="S46" s="26"/>
      <c r="T46" s="117">
        <f>G46+I46-K46</f>
        <v>0</v>
      </c>
      <c r="U46" s="26"/>
      <c r="V46" s="26"/>
      <c r="W46" s="26"/>
      <c r="X46" s="26"/>
      <c r="Y46" s="26"/>
      <c r="Z46" s="26"/>
      <c r="AA46" s="26"/>
      <c r="AB46" s="117">
        <f>T46+U46</f>
        <v>0</v>
      </c>
      <c r="AC46" s="117"/>
      <c r="AD46" s="76"/>
      <c r="AE46" s="117"/>
      <c r="AF46" s="117"/>
      <c r="AG46" s="249" t="s">
        <v>53</v>
      </c>
      <c r="AH46" s="249" t="s">
        <v>53</v>
      </c>
      <c r="AI46" s="249" t="s">
        <v>53</v>
      </c>
      <c r="AJ46" s="92"/>
      <c r="AK46" s="92"/>
      <c r="AL46" s="259"/>
      <c r="AM46" s="26"/>
    </row>
    <row r="47" spans="1:39" s="12" customFormat="1" ht="19.05" customHeight="1">
      <c r="B47" s="125"/>
      <c r="C47" s="265"/>
      <c r="D47" s="265"/>
      <c r="E47" s="265"/>
      <c r="F47" s="265"/>
    </row>
    <row r="48" spans="1:39" s="12" customFormat="1" ht="19.05" customHeight="1">
      <c r="A48" s="125" t="s">
        <v>20</v>
      </c>
    </row>
    <row r="49" spans="1:27" s="12" customFormat="1" ht="19.05" customHeight="1">
      <c r="B49" s="312" t="s">
        <v>387</v>
      </c>
    </row>
    <row r="50" spans="1:27" s="12" customFormat="1" ht="19.05" customHeight="1">
      <c r="B50" s="314" t="s">
        <v>385</v>
      </c>
    </row>
    <row r="51" spans="1:27" s="12" customFormat="1" ht="19.05" customHeight="1">
      <c r="B51" s="313" t="s">
        <v>386</v>
      </c>
    </row>
    <row r="52" spans="1:27" s="12" customFormat="1" ht="19.05" customHeight="1"/>
    <row r="53" spans="1:27" s="12" customFormat="1" ht="19.05" customHeight="1">
      <c r="A53" s="7" t="s">
        <v>18</v>
      </c>
    </row>
    <row r="54" spans="1:27" s="263" customFormat="1" ht="19.95" customHeight="1">
      <c r="A54" s="266" t="s">
        <v>350</v>
      </c>
      <c r="B54" s="266"/>
      <c r="C54" s="266"/>
      <c r="D54" s="158"/>
      <c r="E54" s="158"/>
      <c r="F54" s="158"/>
      <c r="G54" s="158"/>
      <c r="H54" s="158"/>
      <c r="I54" s="158"/>
      <c r="J54" s="158"/>
      <c r="K54" s="158"/>
      <c r="L54" s="158"/>
      <c r="M54" s="158"/>
      <c r="N54" s="158"/>
      <c r="O54" s="158"/>
      <c r="P54" s="158"/>
      <c r="Q54" s="158"/>
      <c r="R54" s="158"/>
      <c r="S54" s="158"/>
      <c r="T54" s="158"/>
      <c r="U54" s="158"/>
      <c r="AA54" s="158"/>
    </row>
    <row r="55" spans="1:27" s="12" customFormat="1" ht="19.95" customHeight="1">
      <c r="A55" s="225" t="s">
        <v>388</v>
      </c>
      <c r="B55" s="91"/>
      <c r="C55" s="91"/>
      <c r="D55" s="91"/>
      <c r="P55" s="131"/>
      <c r="Q55" s="131"/>
    </row>
    <row r="56" spans="1:27" s="12" customFormat="1" ht="19.95" customHeight="1">
      <c r="A56" s="225" t="s">
        <v>520</v>
      </c>
      <c r="B56" s="91"/>
      <c r="C56" s="91"/>
      <c r="D56" s="91"/>
      <c r="P56" s="131"/>
      <c r="Q56" s="131"/>
    </row>
    <row r="57" spans="1:27" s="12" customFormat="1" ht="19.95" customHeight="1">
      <c r="A57" s="225" t="s">
        <v>545</v>
      </c>
      <c r="B57" s="91"/>
      <c r="C57" s="91"/>
      <c r="D57" s="91"/>
      <c r="P57" s="131"/>
      <c r="Q57" s="131"/>
    </row>
    <row r="58" spans="1:27" s="12" customFormat="1" ht="19.95" customHeight="1">
      <c r="A58" s="324" t="s">
        <v>546</v>
      </c>
      <c r="B58" s="91"/>
      <c r="C58" s="91"/>
      <c r="D58" s="91"/>
      <c r="P58" s="131"/>
      <c r="Q58" s="131"/>
    </row>
    <row r="59" spans="1:27" s="12" customFormat="1" ht="19.95" customHeight="1">
      <c r="A59" s="323" t="s">
        <v>491</v>
      </c>
      <c r="B59" s="91"/>
      <c r="C59" s="91"/>
      <c r="D59" s="91"/>
      <c r="P59" s="131"/>
      <c r="Q59" s="131"/>
    </row>
    <row r="60" spans="1:27" s="12" customFormat="1" ht="19.95" customHeight="1">
      <c r="A60" s="323" t="s">
        <v>492</v>
      </c>
      <c r="B60" s="91"/>
      <c r="C60" s="91"/>
      <c r="D60" s="91"/>
      <c r="P60" s="131"/>
      <c r="Q60" s="131"/>
    </row>
    <row r="61" spans="1:27" s="12" customFormat="1" ht="19.95" customHeight="1">
      <c r="A61" s="323" t="s">
        <v>493</v>
      </c>
      <c r="B61" s="91"/>
      <c r="C61" s="91"/>
      <c r="D61" s="91"/>
      <c r="P61" s="131"/>
      <c r="Q61" s="131"/>
    </row>
    <row r="62" spans="1:27" s="12" customFormat="1" ht="19.95" customHeight="1">
      <c r="A62" s="323" t="s">
        <v>494</v>
      </c>
      <c r="B62" s="91"/>
      <c r="C62" s="91"/>
      <c r="D62" s="91"/>
      <c r="P62" s="131"/>
      <c r="Q62" s="131"/>
    </row>
    <row r="63" spans="1:27" s="12" customFormat="1" ht="19.95" customHeight="1">
      <c r="A63" s="323" t="s">
        <v>495</v>
      </c>
      <c r="B63" s="91"/>
      <c r="C63" s="91"/>
      <c r="D63" s="91"/>
      <c r="P63" s="131"/>
      <c r="Q63" s="131"/>
    </row>
    <row r="64" spans="1:27" s="12" customFormat="1" ht="19.95" customHeight="1">
      <c r="A64" s="323" t="s">
        <v>496</v>
      </c>
      <c r="B64" s="91"/>
      <c r="C64" s="91"/>
      <c r="D64" s="91"/>
      <c r="P64" s="131"/>
      <c r="Q64" s="131"/>
    </row>
    <row r="65" spans="1:18" s="12" customFormat="1" ht="19.95" customHeight="1">
      <c r="A65" s="323" t="s">
        <v>497</v>
      </c>
      <c r="B65" s="91"/>
      <c r="C65" s="91"/>
      <c r="D65" s="91"/>
      <c r="P65" s="131"/>
      <c r="Q65" s="131"/>
    </row>
    <row r="66" spans="1:18" s="12" customFormat="1" ht="19.95" customHeight="1">
      <c r="A66" s="323" t="s">
        <v>498</v>
      </c>
      <c r="B66" s="91"/>
      <c r="C66" s="91"/>
      <c r="D66" s="91"/>
      <c r="P66" s="131"/>
      <c r="Q66" s="131"/>
    </row>
    <row r="67" spans="1:18" s="12" customFormat="1" ht="19.95" customHeight="1">
      <c r="A67" s="323" t="s">
        <v>499</v>
      </c>
      <c r="B67" s="91"/>
      <c r="C67" s="91"/>
      <c r="D67" s="91"/>
      <c r="P67" s="131"/>
      <c r="Q67" s="131"/>
    </row>
    <row r="68" spans="1:18" s="12" customFormat="1" ht="19.95" customHeight="1">
      <c r="A68" s="357" t="s">
        <v>547</v>
      </c>
      <c r="B68" s="91"/>
      <c r="C68" s="91"/>
      <c r="D68" s="91"/>
      <c r="P68" s="131"/>
      <c r="Q68" s="131"/>
    </row>
    <row r="69" spans="1:18" ht="34.799999999999997" customHeight="1">
      <c r="A69" s="470" t="s">
        <v>489</v>
      </c>
      <c r="B69" s="470"/>
      <c r="C69" s="470"/>
      <c r="D69" s="470"/>
      <c r="E69" s="470"/>
      <c r="F69" s="470"/>
      <c r="G69" s="470"/>
      <c r="H69" s="470"/>
      <c r="I69" s="470"/>
      <c r="J69" s="470"/>
      <c r="K69" s="470"/>
      <c r="L69" s="470"/>
      <c r="M69" s="470"/>
      <c r="N69" s="470"/>
      <c r="O69" s="470"/>
      <c r="P69" s="470"/>
      <c r="Q69" s="470"/>
      <c r="R69" s="470"/>
    </row>
    <row r="70" spans="1:18" ht="54.6" customHeight="1">
      <c r="A70" s="470" t="s">
        <v>490</v>
      </c>
      <c r="B70" s="470"/>
      <c r="C70" s="470"/>
      <c r="D70" s="470"/>
      <c r="E70" s="470"/>
      <c r="F70" s="470"/>
      <c r="G70" s="470"/>
      <c r="H70" s="470"/>
      <c r="I70" s="470"/>
      <c r="J70" s="470"/>
      <c r="K70" s="470"/>
      <c r="L70" s="470"/>
      <c r="M70" s="470"/>
      <c r="N70" s="470"/>
      <c r="O70" s="470"/>
      <c r="P70" s="470"/>
      <c r="Q70" s="470"/>
      <c r="R70" s="470"/>
    </row>
    <row r="71" spans="1:18" ht="19.8" customHeight="1">
      <c r="A71" s="360" t="s">
        <v>548</v>
      </c>
      <c r="B71" s="327"/>
      <c r="C71" s="327"/>
      <c r="D71" s="327"/>
      <c r="E71" s="327"/>
      <c r="F71" s="327"/>
      <c r="G71" s="327"/>
      <c r="H71" s="327"/>
      <c r="I71" s="327"/>
      <c r="J71" s="327"/>
      <c r="K71" s="327"/>
      <c r="L71" s="327"/>
      <c r="M71" s="327"/>
      <c r="N71" s="327"/>
      <c r="O71" s="327"/>
      <c r="P71" s="327"/>
      <c r="Q71" s="327"/>
      <c r="R71" s="327"/>
    </row>
    <row r="72" spans="1:18" ht="19.8" customHeight="1">
      <c r="A72" s="358" t="s">
        <v>511</v>
      </c>
      <c r="B72" s="327"/>
      <c r="C72" s="327"/>
      <c r="D72" s="327"/>
      <c r="E72" s="327"/>
      <c r="F72" s="327"/>
      <c r="G72" s="327"/>
      <c r="H72" s="327"/>
      <c r="I72" s="327"/>
      <c r="J72" s="327"/>
      <c r="K72" s="327"/>
      <c r="L72" s="327"/>
      <c r="M72" s="327"/>
      <c r="N72" s="327"/>
      <c r="O72" s="327"/>
      <c r="P72" s="327"/>
      <c r="Q72" s="327"/>
      <c r="R72" s="327"/>
    </row>
    <row r="73" spans="1:18" ht="19.8" customHeight="1">
      <c r="A73" s="358" t="s">
        <v>500</v>
      </c>
      <c r="B73" s="327"/>
      <c r="C73" s="327"/>
      <c r="D73" s="327"/>
      <c r="E73" s="327"/>
      <c r="F73" s="327"/>
      <c r="G73" s="327"/>
      <c r="H73" s="327"/>
      <c r="I73" s="327"/>
      <c r="J73" s="327"/>
      <c r="K73" s="327"/>
      <c r="L73" s="327"/>
      <c r="M73" s="327"/>
      <c r="N73" s="327"/>
      <c r="O73" s="327"/>
      <c r="P73" s="327"/>
      <c r="Q73" s="327"/>
      <c r="R73" s="327"/>
    </row>
    <row r="74" spans="1:18" ht="19.8" customHeight="1">
      <c r="A74" s="358" t="s">
        <v>501</v>
      </c>
      <c r="B74" s="327"/>
      <c r="C74" s="327"/>
      <c r="D74" s="327"/>
      <c r="E74" s="327"/>
      <c r="F74" s="327"/>
      <c r="G74" s="327"/>
      <c r="H74" s="327"/>
      <c r="I74" s="327"/>
      <c r="J74" s="327"/>
      <c r="K74" s="327"/>
      <c r="L74" s="327"/>
      <c r="M74" s="327"/>
      <c r="N74" s="327"/>
      <c r="O74" s="327"/>
      <c r="P74" s="327"/>
      <c r="Q74" s="327"/>
      <c r="R74" s="327"/>
    </row>
    <row r="75" spans="1:18" ht="19.8" customHeight="1">
      <c r="A75" s="358" t="s">
        <v>502</v>
      </c>
      <c r="B75" s="327"/>
      <c r="C75" s="327"/>
      <c r="D75" s="327"/>
      <c r="E75" s="327"/>
      <c r="F75" s="327"/>
      <c r="G75" s="327"/>
      <c r="H75" s="327"/>
      <c r="I75" s="327"/>
      <c r="J75" s="327"/>
      <c r="K75" s="327"/>
      <c r="L75" s="327"/>
      <c r="M75" s="327"/>
      <c r="N75" s="327"/>
      <c r="O75" s="327"/>
      <c r="P75" s="327"/>
      <c r="Q75" s="327"/>
      <c r="R75" s="327"/>
    </row>
    <row r="76" spans="1:18" ht="19.8" customHeight="1">
      <c r="A76" s="358" t="s">
        <v>503</v>
      </c>
      <c r="B76" s="327"/>
      <c r="C76" s="327"/>
      <c r="D76" s="327"/>
      <c r="E76" s="327"/>
      <c r="F76" s="327"/>
      <c r="G76" s="327"/>
      <c r="H76" s="327"/>
      <c r="I76" s="327"/>
      <c r="J76" s="327"/>
      <c r="K76" s="327"/>
      <c r="L76" s="327"/>
      <c r="M76" s="327"/>
      <c r="N76" s="327"/>
      <c r="O76" s="327"/>
      <c r="P76" s="327"/>
      <c r="Q76" s="327"/>
      <c r="R76" s="327"/>
    </row>
    <row r="77" spans="1:18" ht="19.8" customHeight="1">
      <c r="A77" s="358" t="s">
        <v>504</v>
      </c>
      <c r="B77" s="327"/>
      <c r="C77" s="327"/>
      <c r="D77" s="327"/>
      <c r="E77" s="327"/>
      <c r="F77" s="327"/>
      <c r="G77" s="327"/>
      <c r="H77" s="327"/>
      <c r="I77" s="327"/>
      <c r="J77" s="327"/>
      <c r="K77" s="327"/>
      <c r="L77" s="327"/>
      <c r="M77" s="327"/>
      <c r="N77" s="327"/>
      <c r="O77" s="327"/>
      <c r="P77" s="327"/>
      <c r="Q77" s="327"/>
      <c r="R77" s="327"/>
    </row>
    <row r="78" spans="1:18" ht="19.8" customHeight="1">
      <c r="A78" s="358" t="s">
        <v>512</v>
      </c>
      <c r="B78" s="327"/>
      <c r="C78" s="327"/>
      <c r="D78" s="327"/>
      <c r="E78" s="327"/>
      <c r="F78" s="327"/>
      <c r="G78" s="327"/>
      <c r="H78" s="327"/>
      <c r="I78" s="327"/>
      <c r="J78" s="327"/>
      <c r="K78" s="327"/>
      <c r="L78" s="327"/>
      <c r="M78" s="327"/>
      <c r="N78" s="327"/>
      <c r="O78" s="327"/>
      <c r="P78" s="327"/>
      <c r="Q78" s="327"/>
      <c r="R78" s="327"/>
    </row>
    <row r="79" spans="1:18" ht="19.8" customHeight="1">
      <c r="A79" s="358" t="s">
        <v>505</v>
      </c>
      <c r="B79" s="327"/>
      <c r="C79" s="327"/>
      <c r="D79" s="327"/>
      <c r="E79" s="327"/>
      <c r="F79" s="327"/>
      <c r="G79" s="327"/>
      <c r="H79" s="327"/>
      <c r="I79" s="327"/>
      <c r="J79" s="327"/>
      <c r="K79" s="327"/>
      <c r="L79" s="327"/>
      <c r="M79" s="327"/>
      <c r="N79" s="327"/>
      <c r="O79" s="327"/>
      <c r="P79" s="327"/>
      <c r="Q79" s="327"/>
      <c r="R79" s="327"/>
    </row>
    <row r="80" spans="1:18" ht="19.8" customHeight="1">
      <c r="A80" s="358" t="s">
        <v>506</v>
      </c>
      <c r="B80" s="327"/>
      <c r="C80" s="327"/>
      <c r="D80" s="327"/>
      <c r="E80" s="327"/>
      <c r="F80" s="327"/>
      <c r="G80" s="327"/>
      <c r="H80" s="327"/>
      <c r="I80" s="327"/>
      <c r="J80" s="327"/>
      <c r="K80" s="327"/>
      <c r="L80" s="327"/>
      <c r="M80" s="327"/>
      <c r="N80" s="327"/>
      <c r="O80" s="327"/>
      <c r="P80" s="327"/>
      <c r="Q80" s="327"/>
      <c r="R80" s="327"/>
    </row>
    <row r="81" spans="1:18" ht="19.8" customHeight="1">
      <c r="A81" s="358" t="s">
        <v>507</v>
      </c>
      <c r="B81" s="327"/>
      <c r="C81" s="327"/>
      <c r="D81" s="327"/>
      <c r="E81" s="327"/>
      <c r="F81" s="327"/>
      <c r="G81" s="327"/>
      <c r="H81" s="327"/>
      <c r="I81" s="327"/>
      <c r="J81" s="327"/>
      <c r="K81" s="327"/>
      <c r="L81" s="327"/>
      <c r="M81" s="327"/>
      <c r="N81" s="327"/>
      <c r="O81" s="327"/>
      <c r="P81" s="327"/>
      <c r="Q81" s="327"/>
      <c r="R81" s="327"/>
    </row>
    <row r="82" spans="1:18" ht="19.8" customHeight="1">
      <c r="A82" s="358" t="s">
        <v>508</v>
      </c>
      <c r="B82" s="327"/>
      <c r="C82" s="327"/>
      <c r="D82" s="327"/>
      <c r="E82" s="327"/>
      <c r="F82" s="327"/>
      <c r="G82" s="327"/>
      <c r="H82" s="327"/>
      <c r="I82" s="327"/>
      <c r="J82" s="327"/>
      <c r="K82" s="327"/>
      <c r="L82" s="327"/>
      <c r="M82" s="327"/>
      <c r="N82" s="327"/>
      <c r="O82" s="327"/>
      <c r="P82" s="327"/>
      <c r="Q82" s="327"/>
      <c r="R82" s="327"/>
    </row>
    <row r="83" spans="1:18" ht="19.8" customHeight="1">
      <c r="A83" s="358" t="s">
        <v>509</v>
      </c>
      <c r="B83" s="327"/>
      <c r="C83" s="327"/>
      <c r="D83" s="327"/>
      <c r="E83" s="327"/>
      <c r="F83" s="327"/>
      <c r="G83" s="327"/>
      <c r="H83" s="327"/>
      <c r="I83" s="327"/>
      <c r="J83" s="327"/>
      <c r="K83" s="327"/>
      <c r="L83" s="327"/>
      <c r="M83" s="327"/>
      <c r="N83" s="327"/>
      <c r="O83" s="327"/>
      <c r="P83" s="327"/>
      <c r="Q83" s="327"/>
      <c r="R83" s="327"/>
    </row>
    <row r="84" spans="1:18" ht="19.8" customHeight="1">
      <c r="A84" s="358" t="s">
        <v>510</v>
      </c>
      <c r="B84" s="327"/>
      <c r="C84" s="327"/>
      <c r="D84" s="327"/>
      <c r="E84" s="327"/>
      <c r="F84" s="327"/>
      <c r="G84" s="327"/>
      <c r="H84" s="327"/>
      <c r="I84" s="327"/>
      <c r="J84" s="327"/>
      <c r="K84" s="327"/>
      <c r="L84" s="327"/>
      <c r="M84" s="327"/>
      <c r="N84" s="327"/>
      <c r="O84" s="327"/>
      <c r="P84" s="327"/>
      <c r="Q84" s="327"/>
      <c r="R84" s="327"/>
    </row>
    <row r="85" spans="1:18" ht="19.8" customHeight="1">
      <c r="A85" s="358" t="s">
        <v>525</v>
      </c>
      <c r="B85" s="327"/>
      <c r="C85" s="327"/>
      <c r="D85" s="327"/>
      <c r="E85" s="327"/>
      <c r="F85" s="327"/>
      <c r="G85" s="327"/>
      <c r="H85" s="327"/>
      <c r="I85" s="327"/>
      <c r="J85" s="327"/>
      <c r="K85" s="327"/>
      <c r="L85" s="327"/>
      <c r="M85" s="327"/>
      <c r="N85" s="327"/>
      <c r="O85" s="327"/>
      <c r="P85" s="327"/>
      <c r="Q85" s="327"/>
      <c r="R85" s="327"/>
    </row>
    <row r="86" spans="1:18" ht="19.8" customHeight="1">
      <c r="A86" s="359" t="s">
        <v>526</v>
      </c>
      <c r="B86" s="327"/>
      <c r="C86" s="327"/>
      <c r="D86" s="327"/>
      <c r="E86" s="327"/>
      <c r="F86" s="327"/>
      <c r="G86" s="327"/>
      <c r="H86" s="327"/>
      <c r="I86" s="327"/>
      <c r="J86" s="327"/>
      <c r="K86" s="327"/>
      <c r="L86" s="327"/>
      <c r="M86" s="327"/>
      <c r="N86" s="327"/>
      <c r="O86" s="327"/>
      <c r="P86" s="327"/>
      <c r="Q86" s="327"/>
      <c r="R86" s="327"/>
    </row>
    <row r="87" spans="1:18" ht="19.8" customHeight="1">
      <c r="A87" s="359" t="s">
        <v>593</v>
      </c>
      <c r="B87" s="385"/>
      <c r="C87" s="385"/>
      <c r="D87" s="385"/>
      <c r="E87" s="385"/>
      <c r="F87" s="385"/>
      <c r="G87" s="385"/>
      <c r="H87" s="385"/>
      <c r="I87" s="385"/>
      <c r="J87" s="385"/>
      <c r="K87" s="385"/>
      <c r="L87" s="385"/>
      <c r="M87" s="385"/>
      <c r="N87" s="385"/>
      <c r="O87" s="385"/>
      <c r="P87" s="385"/>
      <c r="Q87" s="385"/>
      <c r="R87" s="385"/>
    </row>
    <row r="88" spans="1:18" s="12" customFormat="1" ht="19.95" customHeight="1">
      <c r="A88" s="267" t="s">
        <v>594</v>
      </c>
      <c r="B88" s="91"/>
      <c r="C88" s="91"/>
      <c r="D88" s="91"/>
      <c r="P88" s="131"/>
      <c r="Q88" s="131"/>
    </row>
    <row r="89" spans="1:18" ht="19.95" customHeight="1">
      <c r="A89" s="267" t="s">
        <v>595</v>
      </c>
      <c r="P89" s="132"/>
      <c r="Q89" s="132"/>
    </row>
  </sheetData>
  <mergeCells count="46">
    <mergeCell ref="AK8:AK10"/>
    <mergeCell ref="AL8:AL10"/>
    <mergeCell ref="AJ8:AJ10"/>
    <mergeCell ref="E8:E10"/>
    <mergeCell ref="F8:F10"/>
    <mergeCell ref="AC8:AC10"/>
    <mergeCell ref="Y8:AB8"/>
    <mergeCell ref="AF8:AF10"/>
    <mergeCell ref="A44:E44"/>
    <mergeCell ref="A45:F45"/>
    <mergeCell ref="A29:F29"/>
    <mergeCell ref="A41:F41"/>
    <mergeCell ref="A42:E42"/>
    <mergeCell ref="A43:E43"/>
    <mergeCell ref="U1:AG1"/>
    <mergeCell ref="U2:AG2"/>
    <mergeCell ref="A8:A10"/>
    <mergeCell ref="B8:B10"/>
    <mergeCell ref="C8:C10"/>
    <mergeCell ref="A1:T1"/>
    <mergeCell ref="A2:T2"/>
    <mergeCell ref="U9:V9"/>
    <mergeCell ref="W9:X9"/>
    <mergeCell ref="U8:X8"/>
    <mergeCell ref="Y9:Z9"/>
    <mergeCell ref="AA9:AB9"/>
    <mergeCell ref="AG8:AG10"/>
    <mergeCell ref="AD8:AD10"/>
    <mergeCell ref="AE8:AE10"/>
    <mergeCell ref="D8:D10"/>
    <mergeCell ref="A69:R69"/>
    <mergeCell ref="A70:R70"/>
    <mergeCell ref="B6:R6"/>
    <mergeCell ref="AM8:AM10"/>
    <mergeCell ref="I9:J9"/>
    <mergeCell ref="K9:L9"/>
    <mergeCell ref="G8:T8"/>
    <mergeCell ref="M9:N9"/>
    <mergeCell ref="O9:P9"/>
    <mergeCell ref="Q9:R9"/>
    <mergeCell ref="S9:S10"/>
    <mergeCell ref="T9:T10"/>
    <mergeCell ref="G9:H9"/>
    <mergeCell ref="AH8:AH10"/>
    <mergeCell ref="AI8:AI10"/>
    <mergeCell ref="U6:AM6"/>
  </mergeCells>
  <phoneticPr fontId="1" type="noConversion"/>
  <dataValidations count="2">
    <dataValidation type="list" allowBlank="1" showInputMessage="1" showErrorMessage="1" sqref="E46:F46 E13:E17 E31:E40 E19:E28">
      <formula1>"人民币, 美元, 日元, 港元, 欧元"</formula1>
    </dataValidation>
    <dataValidation allowBlank="1" showInputMessage="1" showErrorMessage="1" promptTitle="提示：" sqref="D23 D38 C12:F12 C18:E18"/>
  </dataValidations>
  <hyperlinks>
    <hyperlink ref="R3" location="底稿目录!A1" display="底稿目录!A1"/>
    <hyperlink ref="AM3" location="底稿目录!A1" display="底稿目录!A1"/>
  </hyperlinks>
  <printOptions horizontalCentered="1"/>
  <pageMargins left="0.70866141732283472" right="0.70866141732283472" top="0.74803149606299213" bottom="0.74803149606299213" header="0.31496062992125984" footer="0.31496062992125984"/>
  <pageSetup paperSize="9" scale="60" fitToHeight="100" orientation="landscape" blackAndWhite="1" r:id="rId1"/>
  <headerFooter>
    <oddFooter>&amp;C&amp;P/&amp;N</oddFooter>
  </headerFooter>
  <rowBreaks count="1" manualBreakCount="1">
    <brk id="41" max="37" man="1"/>
  </rowBreaks>
  <colBreaks count="1" manualBreakCount="1">
    <brk id="20" max="55" man="1"/>
  </col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Views>
    <sheetView view="pageBreakPreview" zoomScaleNormal="100" zoomScaleSheetLayoutView="100" workbookViewId="0">
      <selection sqref="A1:Q1"/>
    </sheetView>
  </sheetViews>
  <sheetFormatPr defaultColWidth="8.77734375" defaultRowHeight="19.95" customHeight="1"/>
  <cols>
    <col min="1" max="1" width="5.109375" style="157" customWidth="1"/>
    <col min="2" max="2" width="16.77734375" style="157" customWidth="1"/>
    <col min="3" max="6" width="8.77734375" style="157"/>
    <col min="7" max="7" width="8.77734375" style="163"/>
    <col min="8" max="10" width="8.77734375" style="157"/>
    <col min="11" max="11" width="12.33203125" style="157" customWidth="1"/>
    <col min="12" max="12" width="10.5546875" style="157" customWidth="1"/>
    <col min="13" max="13" width="8.77734375" style="157"/>
    <col min="14" max="14" width="12.5546875" style="157" customWidth="1"/>
    <col min="15" max="15" width="9.109375" style="157" bestFit="1" customWidth="1"/>
    <col min="16" max="16" width="8.6640625" style="157" bestFit="1" customWidth="1"/>
    <col min="17" max="17" width="5.44140625" style="157" bestFit="1" customWidth="1"/>
    <col min="18" max="16384" width="8.77734375" style="157"/>
  </cols>
  <sheetData>
    <row r="1" spans="1:17" s="203" customFormat="1" ht="19.95" customHeight="1">
      <c r="A1" s="446" t="s">
        <v>1</v>
      </c>
      <c r="B1" s="446"/>
      <c r="C1" s="446"/>
      <c r="D1" s="446"/>
      <c r="E1" s="446"/>
      <c r="F1" s="446"/>
      <c r="G1" s="446"/>
      <c r="H1" s="446"/>
      <c r="I1" s="446"/>
      <c r="J1" s="446"/>
      <c r="K1" s="446"/>
      <c r="L1" s="446"/>
      <c r="M1" s="446"/>
      <c r="N1" s="446"/>
      <c r="O1" s="446"/>
      <c r="P1" s="446"/>
      <c r="Q1" s="446"/>
    </row>
    <row r="2" spans="1:17" s="156" customFormat="1" ht="19.95" customHeight="1">
      <c r="A2" s="447" t="s">
        <v>122</v>
      </c>
      <c r="B2" s="447"/>
      <c r="C2" s="447"/>
      <c r="D2" s="447"/>
      <c r="E2" s="447"/>
      <c r="F2" s="447"/>
      <c r="G2" s="447"/>
      <c r="H2" s="447"/>
      <c r="I2" s="447"/>
      <c r="J2" s="447"/>
      <c r="K2" s="447"/>
      <c r="L2" s="447"/>
      <c r="M2" s="447"/>
      <c r="N2" s="447"/>
      <c r="O2" s="447"/>
      <c r="P2" s="447"/>
      <c r="Q2" s="447"/>
    </row>
    <row r="3" spans="1:17" ht="19.95" customHeight="1">
      <c r="A3" s="14" t="str">
        <f>底稿目录!A2</f>
        <v>被审计单位：</v>
      </c>
      <c r="B3" s="12"/>
      <c r="C3" s="12"/>
      <c r="D3" s="72"/>
      <c r="E3" s="14" t="str">
        <f>底稿目录!A4</f>
        <v>编制人：</v>
      </c>
      <c r="G3" s="112"/>
      <c r="H3" s="12"/>
      <c r="I3" s="12"/>
      <c r="J3" s="12"/>
      <c r="K3" s="14" t="str">
        <f>底稿目录!A5</f>
        <v>编制日期：</v>
      </c>
      <c r="L3" s="12"/>
      <c r="M3" s="12"/>
      <c r="N3" s="12"/>
      <c r="O3" s="12"/>
      <c r="P3" s="12" t="s">
        <v>232</v>
      </c>
      <c r="Q3" s="382" t="str">
        <f>底稿目录!F10</f>
        <v>E1-4</v>
      </c>
    </row>
    <row r="4" spans="1:17" ht="19.95" customHeight="1">
      <c r="A4" s="14" t="str">
        <f>底稿目录!A3</f>
        <v>截止日：202X年12月31日</v>
      </c>
      <c r="B4" s="12"/>
      <c r="C4" s="12"/>
      <c r="D4" s="72"/>
      <c r="E4" s="14" t="str">
        <f>底稿目录!A6</f>
        <v>复核人：</v>
      </c>
      <c r="G4" s="112"/>
      <c r="H4" s="12"/>
      <c r="I4" s="12"/>
      <c r="J4" s="12"/>
      <c r="K4" s="14" t="str">
        <f>底稿目录!A7</f>
        <v>复核日期：</v>
      </c>
      <c r="L4" s="12"/>
      <c r="M4" s="12"/>
      <c r="N4" s="12"/>
      <c r="O4" s="12"/>
      <c r="P4" s="12" t="s">
        <v>50</v>
      </c>
      <c r="Q4" s="12"/>
    </row>
    <row r="5" spans="1:17" ht="19.95" customHeight="1">
      <c r="A5" s="23" t="s">
        <v>7</v>
      </c>
      <c r="C5" s="238"/>
      <c r="D5" s="238"/>
      <c r="E5" s="238"/>
      <c r="F5" s="238"/>
      <c r="G5" s="238"/>
      <c r="H5" s="238"/>
      <c r="I5" s="238"/>
      <c r="J5" s="238"/>
      <c r="K5" s="238"/>
      <c r="L5" s="238"/>
      <c r="M5" s="238"/>
      <c r="N5" s="238"/>
      <c r="O5" s="238"/>
      <c r="P5" s="238"/>
      <c r="Q5" s="238"/>
    </row>
    <row r="6" spans="1:17" ht="19.95" customHeight="1">
      <c r="A6" s="318" t="s">
        <v>391</v>
      </c>
      <c r="B6" s="238"/>
      <c r="C6" s="238"/>
      <c r="D6" s="238"/>
      <c r="E6" s="238"/>
      <c r="F6" s="238"/>
      <c r="G6" s="238"/>
      <c r="H6" s="238"/>
      <c r="I6" s="238"/>
      <c r="J6" s="238"/>
      <c r="K6" s="238"/>
      <c r="L6" s="238"/>
      <c r="M6" s="238"/>
      <c r="N6" s="238"/>
      <c r="O6" s="238"/>
      <c r="P6" s="238"/>
      <c r="Q6" s="238"/>
    </row>
    <row r="7" spans="1:17" ht="19.95" customHeight="1">
      <c r="A7" s="318" t="s">
        <v>392</v>
      </c>
      <c r="B7" s="238"/>
      <c r="C7" s="238"/>
      <c r="D7" s="238"/>
      <c r="E7" s="238"/>
      <c r="F7" s="238"/>
      <c r="G7" s="238"/>
      <c r="H7" s="238"/>
      <c r="I7" s="238"/>
      <c r="J7" s="238"/>
      <c r="K7" s="238"/>
      <c r="L7" s="238"/>
      <c r="M7" s="238"/>
      <c r="N7" s="238"/>
      <c r="O7" s="238"/>
      <c r="P7" s="238"/>
      <c r="Q7" s="238"/>
    </row>
    <row r="8" spans="1:17" ht="19.95" customHeight="1">
      <c r="A8" s="24" t="s">
        <v>9</v>
      </c>
    </row>
    <row r="9" spans="1:17" s="205" customFormat="1" ht="55.05" customHeight="1">
      <c r="A9" s="145" t="s">
        <v>64</v>
      </c>
      <c r="B9" s="145" t="s">
        <v>22</v>
      </c>
      <c r="C9" s="145" t="s">
        <v>10</v>
      </c>
      <c r="D9" s="145" t="s">
        <v>294</v>
      </c>
      <c r="E9" s="145" t="s">
        <v>295</v>
      </c>
      <c r="F9" s="145" t="s">
        <v>296</v>
      </c>
      <c r="G9" s="145" t="s">
        <v>297</v>
      </c>
      <c r="H9" s="145" t="s">
        <v>298</v>
      </c>
      <c r="I9" s="145" t="s">
        <v>299</v>
      </c>
      <c r="J9" s="145" t="s">
        <v>300</v>
      </c>
      <c r="K9" s="145" t="s">
        <v>301</v>
      </c>
      <c r="L9" s="145" t="s">
        <v>302</v>
      </c>
      <c r="M9" s="236" t="s">
        <v>393</v>
      </c>
      <c r="N9" s="292" t="s">
        <v>394</v>
      </c>
      <c r="O9" s="292" t="s">
        <v>395</v>
      </c>
      <c r="P9" s="145" t="s">
        <v>303</v>
      </c>
      <c r="Q9" s="145" t="s">
        <v>21</v>
      </c>
    </row>
    <row r="10" spans="1:17" ht="19.95" customHeight="1">
      <c r="A10" s="241">
        <v>1</v>
      </c>
      <c r="B10" s="244" t="s">
        <v>351</v>
      </c>
      <c r="C10" s="405"/>
      <c r="D10" s="319"/>
      <c r="E10" s="239"/>
      <c r="F10" s="239"/>
      <c r="G10" s="239"/>
      <c r="H10" s="121">
        <f>E10+F10-G10</f>
        <v>0</v>
      </c>
      <c r="I10" s="121">
        <f>H10*D10</f>
        <v>0</v>
      </c>
      <c r="J10" s="206"/>
      <c r="K10" s="121">
        <f>H10+J10</f>
        <v>0</v>
      </c>
      <c r="L10" s="121">
        <f>K10*D10</f>
        <v>0</v>
      </c>
      <c r="M10" s="206"/>
      <c r="N10" s="121">
        <f>M10-K10</f>
        <v>0</v>
      </c>
      <c r="O10" s="241"/>
      <c r="P10" s="241"/>
      <c r="Q10" s="242"/>
    </row>
    <row r="11" spans="1:17" ht="19.95" customHeight="1">
      <c r="A11" s="241">
        <v>2</v>
      </c>
      <c r="B11" s="244" t="s">
        <v>351</v>
      </c>
      <c r="C11" s="243"/>
      <c r="D11" s="319"/>
      <c r="E11" s="239"/>
      <c r="F11" s="239"/>
      <c r="G11" s="239"/>
      <c r="H11" s="121">
        <f t="shared" ref="H11:H16" si="0">E11+F11-G11</f>
        <v>0</v>
      </c>
      <c r="I11" s="121">
        <f t="shared" ref="I11:I16" si="1">H11*D11</f>
        <v>0</v>
      </c>
      <c r="J11" s="206"/>
      <c r="K11" s="121">
        <f t="shared" ref="K11:K16" si="2">H11+J11</f>
        <v>0</v>
      </c>
      <c r="L11" s="121">
        <f t="shared" ref="L11:L16" si="3">K11*D11</f>
        <v>0</v>
      </c>
      <c r="M11" s="206"/>
      <c r="N11" s="121">
        <f>M11-K11</f>
        <v>0</v>
      </c>
      <c r="O11" s="241"/>
      <c r="P11" s="241"/>
      <c r="Q11" s="242"/>
    </row>
    <row r="12" spans="1:17" ht="19.95" customHeight="1">
      <c r="A12" s="241">
        <v>3</v>
      </c>
      <c r="B12" s="244" t="s">
        <v>351</v>
      </c>
      <c r="C12" s="243"/>
      <c r="D12" s="319"/>
      <c r="E12" s="239"/>
      <c r="F12" s="239"/>
      <c r="G12" s="239"/>
      <c r="H12" s="121">
        <f t="shared" si="0"/>
        <v>0</v>
      </c>
      <c r="I12" s="121">
        <f t="shared" si="1"/>
        <v>0</v>
      </c>
      <c r="J12" s="206"/>
      <c r="K12" s="121">
        <f t="shared" si="2"/>
        <v>0</v>
      </c>
      <c r="L12" s="121">
        <f t="shared" si="3"/>
        <v>0</v>
      </c>
      <c r="M12" s="206"/>
      <c r="N12" s="121">
        <f>M12-K12</f>
        <v>0</v>
      </c>
      <c r="O12" s="241"/>
      <c r="P12" s="241"/>
      <c r="Q12" s="242"/>
    </row>
    <row r="13" spans="1:17" ht="19.95" customHeight="1">
      <c r="A13" s="241">
        <v>4</v>
      </c>
      <c r="B13" s="244" t="s">
        <v>351</v>
      </c>
      <c r="C13" s="243"/>
      <c r="D13" s="319"/>
      <c r="E13" s="239"/>
      <c r="F13" s="239"/>
      <c r="G13" s="239"/>
      <c r="H13" s="121">
        <f t="shared" si="0"/>
        <v>0</v>
      </c>
      <c r="I13" s="121">
        <f t="shared" si="1"/>
        <v>0</v>
      </c>
      <c r="J13" s="206"/>
      <c r="K13" s="121">
        <f t="shared" si="2"/>
        <v>0</v>
      </c>
      <c r="L13" s="121">
        <f t="shared" si="3"/>
        <v>0</v>
      </c>
      <c r="M13" s="206"/>
      <c r="N13" s="121">
        <f>M13-K13</f>
        <v>0</v>
      </c>
      <c r="O13" s="241"/>
      <c r="P13" s="241"/>
      <c r="Q13" s="242"/>
    </row>
    <row r="14" spans="1:17" ht="19.95" customHeight="1">
      <c r="A14" s="241">
        <v>5</v>
      </c>
      <c r="B14" s="244" t="s">
        <v>351</v>
      </c>
      <c r="C14" s="243"/>
      <c r="D14" s="319"/>
      <c r="E14" s="239"/>
      <c r="F14" s="239"/>
      <c r="G14" s="239"/>
      <c r="H14" s="121">
        <f t="shared" si="0"/>
        <v>0</v>
      </c>
      <c r="I14" s="121">
        <f t="shared" si="1"/>
        <v>0</v>
      </c>
      <c r="J14" s="206"/>
      <c r="K14" s="121">
        <f t="shared" si="2"/>
        <v>0</v>
      </c>
      <c r="L14" s="121">
        <f t="shared" si="3"/>
        <v>0</v>
      </c>
      <c r="M14" s="206"/>
      <c r="N14" s="121">
        <f t="shared" ref="N14:N16" si="4">M14-K14</f>
        <v>0</v>
      </c>
      <c r="O14" s="241"/>
      <c r="P14" s="241"/>
      <c r="Q14" s="242"/>
    </row>
    <row r="15" spans="1:17" ht="19.95" customHeight="1">
      <c r="A15" s="241">
        <v>6</v>
      </c>
      <c r="B15" s="244" t="s">
        <v>351</v>
      </c>
      <c r="C15" s="245"/>
      <c r="D15" s="320"/>
      <c r="E15" s="240"/>
      <c r="F15" s="240"/>
      <c r="G15" s="239"/>
      <c r="H15" s="121">
        <f t="shared" si="0"/>
        <v>0</v>
      </c>
      <c r="I15" s="121">
        <f t="shared" si="1"/>
        <v>0</v>
      </c>
      <c r="J15" s="207"/>
      <c r="K15" s="121">
        <f t="shared" si="2"/>
        <v>0</v>
      </c>
      <c r="L15" s="121">
        <f t="shared" si="3"/>
        <v>0</v>
      </c>
      <c r="M15" s="207"/>
      <c r="N15" s="121">
        <f>M15-K15</f>
        <v>0</v>
      </c>
      <c r="O15" s="242"/>
      <c r="P15" s="242"/>
      <c r="Q15" s="242"/>
    </row>
    <row r="16" spans="1:17" ht="19.95" customHeight="1">
      <c r="A16" s="241">
        <v>7</v>
      </c>
      <c r="B16" s="244" t="s">
        <v>351</v>
      </c>
      <c r="C16" s="245"/>
      <c r="D16" s="320"/>
      <c r="E16" s="240"/>
      <c r="F16" s="240"/>
      <c r="G16" s="239"/>
      <c r="H16" s="121">
        <f t="shared" si="0"/>
        <v>0</v>
      </c>
      <c r="I16" s="121">
        <f t="shared" si="1"/>
        <v>0</v>
      </c>
      <c r="J16" s="207"/>
      <c r="K16" s="121">
        <f t="shared" si="2"/>
        <v>0</v>
      </c>
      <c r="L16" s="121">
        <f t="shared" si="3"/>
        <v>0</v>
      </c>
      <c r="M16" s="207"/>
      <c r="N16" s="121">
        <f t="shared" si="4"/>
        <v>0</v>
      </c>
      <c r="O16" s="242"/>
      <c r="P16" s="242"/>
      <c r="Q16" s="242"/>
    </row>
    <row r="17" spans="1:17" ht="19.95" customHeight="1">
      <c r="A17" s="480" t="s">
        <v>16</v>
      </c>
      <c r="B17" s="481"/>
      <c r="C17" s="481"/>
      <c r="D17" s="482"/>
      <c r="E17" s="121">
        <f t="shared" ref="E17:G17" si="5">SUM(E10:E16)</f>
        <v>0</v>
      </c>
      <c r="F17" s="121">
        <f t="shared" si="5"/>
        <v>0</v>
      </c>
      <c r="G17" s="121">
        <f t="shared" si="5"/>
        <v>0</v>
      </c>
      <c r="H17" s="121">
        <f>SUM(H10:H16)</f>
        <v>0</v>
      </c>
      <c r="I17" s="121">
        <f t="shared" ref="I17:N17" si="6">SUM(I10:I16)</f>
        <v>0</v>
      </c>
      <c r="J17" s="121">
        <f t="shared" si="6"/>
        <v>0</v>
      </c>
      <c r="K17" s="121">
        <f t="shared" si="6"/>
        <v>0</v>
      </c>
      <c r="L17" s="121">
        <f t="shared" si="6"/>
        <v>0</v>
      </c>
      <c r="M17" s="121">
        <f t="shared" si="6"/>
        <v>0</v>
      </c>
      <c r="N17" s="121">
        <f t="shared" si="6"/>
        <v>0</v>
      </c>
      <c r="O17" s="375" t="s">
        <v>121</v>
      </c>
      <c r="P17" s="375" t="s">
        <v>121</v>
      </c>
      <c r="Q17" s="375" t="s">
        <v>121</v>
      </c>
    </row>
    <row r="20" spans="1:17" ht="19.95" customHeight="1">
      <c r="A20" s="7" t="s">
        <v>20</v>
      </c>
    </row>
    <row r="22" spans="1:17" ht="19.95" customHeight="1">
      <c r="A22" s="7" t="s">
        <v>18</v>
      </c>
    </row>
  </sheetData>
  <mergeCells count="3">
    <mergeCell ref="A1:Q1"/>
    <mergeCell ref="A2:Q2"/>
    <mergeCell ref="A17:D17"/>
  </mergeCells>
  <phoneticPr fontId="4" type="noConversion"/>
  <hyperlinks>
    <hyperlink ref="Q3" location="底稿目录!A1" display="底稿目录!A1"/>
  </hyperlinks>
  <pageMargins left="0.70866141732283472" right="0.70866141732283472" top="0.74803149606299213" bottom="0.74803149606299213" header="0.31496062992125984" footer="0.31496062992125984"/>
  <pageSetup paperSize="9" scale="80"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26"/>
  <sheetViews>
    <sheetView view="pageBreakPreview" zoomScaleNormal="100" zoomScaleSheetLayoutView="100" workbookViewId="0">
      <selection sqref="A1:J1"/>
    </sheetView>
  </sheetViews>
  <sheetFormatPr defaultColWidth="8.77734375" defaultRowHeight="19.95" customHeight="1"/>
  <cols>
    <col min="1" max="1" width="14.6640625" style="157" customWidth="1"/>
    <col min="2" max="2" width="15.6640625" style="157" customWidth="1"/>
    <col min="3" max="3" width="13.5546875" style="157" customWidth="1"/>
    <col min="4" max="4" width="14.6640625" style="157" customWidth="1"/>
    <col min="5" max="5" width="16.109375" style="157" customWidth="1"/>
    <col min="6" max="6" width="7.21875" style="157" customWidth="1"/>
    <col min="7" max="8" width="12.109375" style="157" customWidth="1"/>
    <col min="9" max="9" width="10.77734375" style="157" bestFit="1" customWidth="1"/>
    <col min="10" max="10" width="10" style="157" customWidth="1"/>
    <col min="11" max="16384" width="8.77734375" style="157"/>
  </cols>
  <sheetData>
    <row r="1" spans="1:10" ht="19.95" customHeight="1">
      <c r="A1" s="467" t="s">
        <v>1</v>
      </c>
      <c r="B1" s="467"/>
      <c r="C1" s="467"/>
      <c r="D1" s="467"/>
      <c r="E1" s="467"/>
      <c r="F1" s="467"/>
      <c r="G1" s="467"/>
      <c r="H1" s="467"/>
      <c r="I1" s="467"/>
      <c r="J1" s="467"/>
    </row>
    <row r="2" spans="1:10" ht="19.95" customHeight="1">
      <c r="A2" s="466" t="s">
        <v>78</v>
      </c>
      <c r="B2" s="466"/>
      <c r="C2" s="466"/>
      <c r="D2" s="466"/>
      <c r="E2" s="466"/>
      <c r="F2" s="466"/>
      <c r="G2" s="466"/>
      <c r="H2" s="466"/>
      <c r="I2" s="466"/>
      <c r="J2" s="466"/>
    </row>
    <row r="3" spans="1:10" ht="19.95" customHeight="1">
      <c r="A3" s="14" t="str">
        <f>底稿目录!A2</f>
        <v>被审计单位：</v>
      </c>
      <c r="B3" s="14"/>
      <c r="C3" s="14" t="str">
        <f>底稿目录!A4</f>
        <v>编制人：</v>
      </c>
      <c r="D3" s="14"/>
      <c r="E3" s="14"/>
      <c r="F3" s="15"/>
      <c r="G3" s="14" t="str">
        <f>底稿目录!A5</f>
        <v>编制日期：</v>
      </c>
      <c r="H3" s="14"/>
      <c r="I3" s="98" t="s">
        <v>304</v>
      </c>
      <c r="J3" s="382" t="str">
        <f>底稿目录!F11</f>
        <v>E1-5</v>
      </c>
    </row>
    <row r="4" spans="1:10" ht="19.95" customHeight="1">
      <c r="A4" s="14" t="str">
        <f>底稿目录!A3</f>
        <v>截止日：202X年12月31日</v>
      </c>
      <c r="B4" s="14"/>
      <c r="C4" s="14" t="str">
        <f>底稿目录!A6</f>
        <v>复核人：</v>
      </c>
      <c r="D4" s="14"/>
      <c r="E4" s="14"/>
      <c r="F4" s="15"/>
      <c r="G4" s="14" t="str">
        <f>底稿目录!A7</f>
        <v>复核日期：</v>
      </c>
      <c r="H4" s="14"/>
      <c r="I4" s="98" t="s">
        <v>305</v>
      </c>
    </row>
    <row r="5" spans="1:10" s="210" customFormat="1" ht="33.450000000000003" customHeight="1">
      <c r="A5" s="208" t="s">
        <v>306</v>
      </c>
      <c r="B5" s="208" t="s">
        <v>307</v>
      </c>
      <c r="C5" s="209" t="s">
        <v>308</v>
      </c>
      <c r="D5" s="209" t="s">
        <v>309</v>
      </c>
      <c r="E5" s="209" t="s">
        <v>310</v>
      </c>
      <c r="F5" s="110" t="s">
        <v>77</v>
      </c>
      <c r="G5" s="209" t="s">
        <v>311</v>
      </c>
      <c r="H5" s="209" t="s">
        <v>312</v>
      </c>
      <c r="I5" s="209" t="s">
        <v>313</v>
      </c>
      <c r="J5" s="209" t="s">
        <v>21</v>
      </c>
    </row>
    <row r="6" spans="1:10" ht="19.95" customHeight="1">
      <c r="A6" s="211"/>
      <c r="B6" s="211"/>
      <c r="C6" s="211"/>
      <c r="D6" s="211"/>
      <c r="E6" s="211"/>
      <c r="F6" s="211"/>
      <c r="G6" s="211"/>
      <c r="H6" s="211"/>
      <c r="I6" s="211"/>
      <c r="J6" s="211"/>
    </row>
    <row r="7" spans="1:10" ht="19.95" customHeight="1">
      <c r="A7" s="212"/>
      <c r="B7" s="211"/>
      <c r="C7" s="211"/>
      <c r="D7" s="211"/>
      <c r="E7" s="211"/>
      <c r="F7" s="211"/>
      <c r="G7" s="211"/>
      <c r="H7" s="211"/>
      <c r="I7" s="211"/>
      <c r="J7" s="211"/>
    </row>
    <row r="8" spans="1:10" ht="19.95" customHeight="1">
      <c r="A8" s="213"/>
      <c r="B8" s="211"/>
      <c r="C8" s="211"/>
      <c r="D8" s="211"/>
      <c r="E8" s="211"/>
      <c r="F8" s="211"/>
      <c r="G8" s="211"/>
      <c r="H8" s="211"/>
      <c r="I8" s="211"/>
      <c r="J8" s="211"/>
    </row>
    <row r="9" spans="1:10" ht="19.95" customHeight="1">
      <c r="A9" s="213"/>
      <c r="B9" s="211"/>
      <c r="C9" s="211"/>
      <c r="D9" s="211"/>
      <c r="E9" s="211"/>
      <c r="F9" s="211"/>
      <c r="G9" s="211"/>
      <c r="H9" s="211"/>
      <c r="I9" s="211"/>
      <c r="J9" s="211"/>
    </row>
    <row r="10" spans="1:10" ht="19.95" customHeight="1">
      <c r="A10" s="213"/>
      <c r="B10" s="211"/>
      <c r="C10" s="211"/>
      <c r="D10" s="211"/>
      <c r="E10" s="211"/>
      <c r="F10" s="211"/>
      <c r="G10" s="211"/>
      <c r="H10" s="211"/>
      <c r="I10" s="211"/>
      <c r="J10" s="211"/>
    </row>
    <row r="11" spans="1:10" ht="19.95" customHeight="1">
      <c r="A11" s="111"/>
      <c r="B11" s="211"/>
      <c r="C11" s="211"/>
      <c r="D11" s="211"/>
      <c r="E11" s="211"/>
      <c r="F11" s="211"/>
      <c r="G11" s="211"/>
      <c r="H11" s="211"/>
      <c r="I11" s="211"/>
      <c r="J11" s="211"/>
    </row>
    <row r="12" spans="1:10" ht="19.95" customHeight="1">
      <c r="A12" s="213"/>
      <c r="B12" s="211"/>
      <c r="C12" s="211"/>
      <c r="D12" s="211"/>
      <c r="E12" s="211"/>
      <c r="F12" s="211"/>
      <c r="G12" s="211"/>
      <c r="H12" s="211"/>
      <c r="I12" s="211"/>
      <c r="J12" s="211"/>
    </row>
    <row r="13" spans="1:10" ht="19.95" customHeight="1">
      <c r="A13" s="213"/>
      <c r="B13" s="211"/>
      <c r="C13" s="211"/>
      <c r="D13" s="211"/>
      <c r="E13" s="211"/>
      <c r="F13" s="211"/>
      <c r="G13" s="211"/>
      <c r="H13" s="211"/>
      <c r="I13" s="211"/>
      <c r="J13" s="211"/>
    </row>
    <row r="14" spans="1:10" ht="19.95" customHeight="1">
      <c r="A14" s="213"/>
      <c r="B14" s="211"/>
      <c r="C14" s="211"/>
      <c r="D14" s="211"/>
      <c r="E14" s="211"/>
      <c r="F14" s="211"/>
      <c r="G14" s="211"/>
      <c r="H14" s="211"/>
      <c r="I14" s="211"/>
      <c r="J14" s="211"/>
    </row>
    <row r="15" spans="1:10" ht="19.95" customHeight="1">
      <c r="A15" s="213"/>
      <c r="B15" s="211"/>
      <c r="C15" s="211"/>
      <c r="D15" s="211"/>
      <c r="E15" s="211"/>
      <c r="F15" s="211"/>
      <c r="G15" s="211"/>
      <c r="H15" s="211"/>
      <c r="I15" s="211"/>
      <c r="J15" s="211"/>
    </row>
    <row r="16" spans="1:10" ht="19.95" customHeight="1">
      <c r="A16" s="213"/>
      <c r="B16" s="211"/>
      <c r="C16" s="211"/>
      <c r="D16" s="211"/>
      <c r="E16" s="211"/>
      <c r="F16" s="211"/>
      <c r="G16" s="211"/>
      <c r="H16" s="211"/>
      <c r="I16" s="211"/>
      <c r="J16" s="211"/>
    </row>
    <row r="17" spans="1:10" ht="19.95" customHeight="1">
      <c r="A17" s="213"/>
      <c r="B17" s="211"/>
      <c r="C17" s="211"/>
      <c r="D17" s="211"/>
      <c r="E17" s="211"/>
      <c r="F17" s="211"/>
      <c r="G17" s="211"/>
      <c r="H17" s="211"/>
      <c r="I17" s="211"/>
      <c r="J17" s="211"/>
    </row>
    <row r="18" spans="1:10" ht="19.95" customHeight="1">
      <c r="A18" s="213"/>
      <c r="B18" s="211"/>
      <c r="C18" s="211"/>
      <c r="D18" s="211"/>
      <c r="E18" s="211"/>
      <c r="F18" s="211"/>
      <c r="G18" s="211"/>
      <c r="H18" s="211"/>
      <c r="I18" s="211"/>
      <c r="J18" s="211"/>
    </row>
    <row r="19" spans="1:10" ht="19.95" customHeight="1">
      <c r="A19" s="213"/>
      <c r="B19" s="211"/>
      <c r="C19" s="211"/>
      <c r="D19" s="211"/>
      <c r="E19" s="211"/>
      <c r="F19" s="211"/>
      <c r="G19" s="211"/>
      <c r="H19" s="211"/>
      <c r="I19" s="211"/>
      <c r="J19" s="211"/>
    </row>
    <row r="20" spans="1:10" ht="19.95" customHeight="1">
      <c r="A20" s="213"/>
      <c r="B20" s="211"/>
      <c r="C20" s="211"/>
      <c r="D20" s="211"/>
      <c r="E20" s="211"/>
      <c r="F20" s="211"/>
      <c r="G20" s="211"/>
      <c r="H20" s="211"/>
      <c r="I20" s="211"/>
      <c r="J20" s="211"/>
    </row>
    <row r="21" spans="1:10" ht="31.8" customHeight="1">
      <c r="A21" s="483" t="s">
        <v>314</v>
      </c>
      <c r="B21" s="484"/>
      <c r="C21" s="484"/>
      <c r="D21" s="484"/>
      <c r="E21" s="484"/>
      <c r="F21" s="484"/>
      <c r="G21" s="484"/>
      <c r="H21" s="484"/>
      <c r="I21" s="484"/>
      <c r="J21" s="484"/>
    </row>
    <row r="22" spans="1:10" ht="19.95" customHeight="1">
      <c r="A22" s="214"/>
      <c r="B22" s="214"/>
      <c r="C22" s="214"/>
      <c r="D22" s="214"/>
      <c r="E22" s="214"/>
      <c r="F22" s="214"/>
      <c r="G22" s="214"/>
      <c r="H22" s="214"/>
      <c r="I22" s="214"/>
      <c r="J22" s="214"/>
    </row>
    <row r="23" spans="1:10" ht="19.95" customHeight="1">
      <c r="A23" s="214"/>
      <c r="B23" s="214"/>
      <c r="C23" s="214"/>
      <c r="D23" s="214"/>
      <c r="E23" s="214"/>
      <c r="F23" s="214"/>
      <c r="G23" s="214"/>
      <c r="H23" s="214"/>
      <c r="I23" s="214"/>
      <c r="J23" s="214"/>
    </row>
    <row r="24" spans="1:10" ht="32.549999999999997" customHeight="1">
      <c r="A24" s="483"/>
      <c r="B24" s="484"/>
      <c r="C24" s="484"/>
      <c r="D24" s="484"/>
      <c r="E24" s="484"/>
      <c r="F24" s="484"/>
      <c r="G24" s="484"/>
      <c r="H24" s="484"/>
      <c r="I24" s="484"/>
      <c r="J24" s="484"/>
    </row>
    <row r="25" spans="1:10" ht="19.95" customHeight="1">
      <c r="A25" s="214"/>
      <c r="B25" s="214"/>
      <c r="C25" s="214"/>
      <c r="D25" s="214"/>
      <c r="E25" s="214"/>
      <c r="F25" s="214"/>
      <c r="G25" s="214"/>
      <c r="H25" s="214"/>
      <c r="I25" s="214"/>
      <c r="J25" s="214"/>
    </row>
    <row r="26" spans="1:10" ht="19.95" customHeight="1">
      <c r="A26" s="214"/>
      <c r="B26" s="214"/>
      <c r="C26" s="214"/>
      <c r="D26" s="214"/>
      <c r="E26" s="214"/>
      <c r="F26" s="214"/>
      <c r="G26" s="214"/>
      <c r="H26" s="214"/>
      <c r="I26" s="214"/>
      <c r="J26" s="214"/>
    </row>
  </sheetData>
  <mergeCells count="4">
    <mergeCell ref="A1:J1"/>
    <mergeCell ref="A2:J2"/>
    <mergeCell ref="A24:J24"/>
    <mergeCell ref="A21:J21"/>
  </mergeCells>
  <phoneticPr fontId="1"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 right="0.7" top="0.75" bottom="0.75" header="0.3" footer="0.3"/>
  <pageSetup paperSize="9"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Views>
    <sheetView view="pageBreakPreview" zoomScaleNormal="115" zoomScaleSheetLayoutView="100" workbookViewId="0">
      <selection sqref="A1:K1"/>
    </sheetView>
  </sheetViews>
  <sheetFormatPr defaultColWidth="9" defaultRowHeight="19.95" customHeight="1"/>
  <cols>
    <col min="1" max="1" width="11.5546875" style="35" customWidth="1"/>
    <col min="2" max="2" width="21.88671875" style="35" customWidth="1"/>
    <col min="3" max="3" width="10.88671875" style="35" customWidth="1"/>
    <col min="4" max="4" width="12.44140625" style="35" customWidth="1"/>
    <col min="5" max="5" width="13.109375" style="35" bestFit="1" customWidth="1"/>
    <col min="6" max="7" width="8.88671875" style="35" customWidth="1"/>
    <col min="8" max="8" width="11.33203125" style="35" customWidth="1"/>
    <col min="9" max="9" width="13.21875" style="35" customWidth="1"/>
    <col min="10" max="11" width="9" style="35" customWidth="1"/>
    <col min="12" max="16384" width="9" style="35"/>
  </cols>
  <sheetData>
    <row r="1" spans="1:17" s="9" customFormat="1" ht="19.95" customHeight="1">
      <c r="A1" s="458" t="s">
        <v>1</v>
      </c>
      <c r="B1" s="458"/>
      <c r="C1" s="458"/>
      <c r="D1" s="458"/>
      <c r="E1" s="458"/>
      <c r="F1" s="458"/>
      <c r="G1" s="458"/>
      <c r="H1" s="458"/>
      <c r="I1" s="458"/>
      <c r="J1" s="458"/>
      <c r="K1" s="458"/>
    </row>
    <row r="2" spans="1:17" s="9" customFormat="1" ht="19.95" customHeight="1">
      <c r="A2" s="459" t="s">
        <v>423</v>
      </c>
      <c r="B2" s="459"/>
      <c r="C2" s="459"/>
      <c r="D2" s="459"/>
      <c r="E2" s="459"/>
      <c r="F2" s="459"/>
      <c r="G2" s="459"/>
      <c r="H2" s="459"/>
      <c r="I2" s="459"/>
      <c r="J2" s="459"/>
      <c r="K2" s="459"/>
    </row>
    <row r="3" spans="1:17" s="12" customFormat="1" ht="19.95" customHeight="1">
      <c r="A3" s="14" t="str">
        <f>底稿目录!A2</f>
        <v>被审计单位：</v>
      </c>
      <c r="B3" s="14"/>
      <c r="C3" s="14"/>
      <c r="E3" s="15" t="str">
        <f>底稿目录!A4</f>
        <v>编制人：</v>
      </c>
      <c r="F3" s="14"/>
      <c r="G3" s="14"/>
      <c r="H3" s="14" t="str">
        <f>底稿目录!A5</f>
        <v>编制日期：</v>
      </c>
      <c r="J3" s="12" t="s">
        <v>424</v>
      </c>
      <c r="K3" s="382" t="str">
        <f>底稿目录!F12</f>
        <v>E1-6</v>
      </c>
    </row>
    <row r="4" spans="1:17" s="12" customFormat="1" ht="19.95" customHeight="1">
      <c r="A4" s="14" t="str">
        <f>底稿目录!A3</f>
        <v>截止日：202X年12月31日</v>
      </c>
      <c r="B4" s="16"/>
      <c r="C4" s="16"/>
      <c r="E4" s="15" t="str">
        <f>底稿目录!A6</f>
        <v>复核人：</v>
      </c>
      <c r="F4" s="16"/>
      <c r="G4" s="16"/>
      <c r="H4" s="14" t="str">
        <f>底稿目录!A7</f>
        <v>复核日期：</v>
      </c>
      <c r="J4" s="12" t="s">
        <v>425</v>
      </c>
    </row>
    <row r="5" spans="1:17" s="12" customFormat="1" ht="19.95" customHeight="1">
      <c r="A5" s="23" t="s">
        <v>426</v>
      </c>
      <c r="L5" s="291"/>
      <c r="M5" s="291"/>
      <c r="N5" s="22"/>
      <c r="O5" s="22"/>
      <c r="P5" s="22"/>
      <c r="Q5" s="22"/>
    </row>
    <row r="6" spans="1:17" s="12" customFormat="1" ht="19.95" customHeight="1">
      <c r="A6" s="376" t="s">
        <v>558</v>
      </c>
      <c r="L6" s="291"/>
      <c r="M6" s="291"/>
      <c r="N6" s="22"/>
      <c r="O6" s="22"/>
      <c r="P6" s="22"/>
      <c r="Q6" s="22"/>
    </row>
    <row r="7" spans="1:17" s="12" customFormat="1" ht="19.95" customHeight="1">
      <c r="A7" s="376" t="s">
        <v>559</v>
      </c>
      <c r="L7" s="372"/>
      <c r="M7" s="372"/>
      <c r="N7" s="22"/>
      <c r="O7" s="22"/>
      <c r="P7" s="22"/>
      <c r="Q7" s="22"/>
    </row>
    <row r="8" spans="1:17" s="12" customFormat="1" ht="19.95" customHeight="1">
      <c r="A8" s="7" t="s">
        <v>427</v>
      </c>
      <c r="L8" s="291"/>
      <c r="M8" s="291"/>
      <c r="N8" s="22"/>
      <c r="O8" s="22"/>
      <c r="P8" s="22"/>
      <c r="Q8" s="22"/>
    </row>
    <row r="9" spans="1:17" s="12" customFormat="1" ht="19.95" customHeight="1">
      <c r="A9" s="12" t="s">
        <v>560</v>
      </c>
      <c r="L9" s="291"/>
      <c r="M9" s="291"/>
      <c r="N9" s="22"/>
      <c r="O9" s="22"/>
      <c r="P9" s="22"/>
      <c r="Q9" s="22"/>
    </row>
    <row r="10" spans="1:17" s="12" customFormat="1" ht="19.95" customHeight="1">
      <c r="A10" s="12" t="s">
        <v>561</v>
      </c>
      <c r="L10" s="372"/>
      <c r="M10" s="372"/>
      <c r="N10" s="22"/>
      <c r="O10" s="22"/>
      <c r="P10" s="22"/>
      <c r="Q10" s="22"/>
    </row>
    <row r="11" spans="1:17" s="12" customFormat="1" ht="19.95" customHeight="1">
      <c r="A11" s="16" t="s">
        <v>562</v>
      </c>
      <c r="C11" s="16"/>
      <c r="D11" s="16"/>
      <c r="E11" s="16"/>
      <c r="F11" s="16"/>
      <c r="G11" s="16"/>
      <c r="H11" s="16"/>
      <c r="I11" s="16"/>
      <c r="J11" s="16"/>
      <c r="K11" s="16"/>
    </row>
    <row r="12" spans="1:17" s="12" customFormat="1" ht="19.95" customHeight="1">
      <c r="A12" s="16" t="s">
        <v>563</v>
      </c>
      <c r="C12" s="16"/>
      <c r="D12" s="16"/>
      <c r="E12" s="16"/>
      <c r="F12" s="16"/>
      <c r="G12" s="16"/>
      <c r="H12" s="16"/>
      <c r="I12" s="16"/>
      <c r="J12" s="16"/>
      <c r="K12" s="16"/>
    </row>
    <row r="13" spans="1:17" s="7" customFormat="1" ht="19.95" customHeight="1">
      <c r="A13" s="329" t="s">
        <v>428</v>
      </c>
      <c r="E13" s="329" t="s">
        <v>429</v>
      </c>
      <c r="F13" s="329"/>
      <c r="G13" s="329"/>
      <c r="H13" s="329"/>
      <c r="I13" s="329"/>
      <c r="J13" s="329"/>
      <c r="K13" s="329" t="s">
        <v>430</v>
      </c>
    </row>
    <row r="14" spans="1:17" s="12" customFormat="1" ht="19.95" customHeight="1">
      <c r="A14" s="497" t="s">
        <v>431</v>
      </c>
      <c r="B14" s="498"/>
      <c r="C14" s="498"/>
      <c r="D14" s="499" t="s">
        <v>432</v>
      </c>
      <c r="E14" s="469"/>
      <c r="F14" s="469"/>
      <c r="G14" s="469"/>
      <c r="H14" s="469"/>
      <c r="I14" s="469"/>
      <c r="J14" s="469"/>
      <c r="K14" s="469"/>
    </row>
    <row r="15" spans="1:17" s="12" customFormat="1" ht="19.95" customHeight="1">
      <c r="A15" s="330" t="s">
        <v>433</v>
      </c>
      <c r="B15" s="330" t="s">
        <v>318</v>
      </c>
      <c r="C15" s="331" t="s">
        <v>434</v>
      </c>
      <c r="D15" s="497" t="s">
        <v>435</v>
      </c>
      <c r="E15" s="498"/>
      <c r="F15" s="498"/>
      <c r="G15" s="498"/>
      <c r="H15" s="498"/>
      <c r="I15" s="498"/>
      <c r="J15" s="498"/>
      <c r="K15" s="500" t="s">
        <v>436</v>
      </c>
    </row>
    <row r="16" spans="1:17" s="7" customFormat="1" ht="19.95" customHeight="1">
      <c r="A16" s="332" t="s">
        <v>437</v>
      </c>
      <c r="B16" s="333"/>
      <c r="C16" s="334"/>
      <c r="D16" s="498"/>
      <c r="E16" s="498"/>
      <c r="F16" s="498"/>
      <c r="G16" s="498"/>
      <c r="H16" s="498"/>
      <c r="I16" s="498"/>
      <c r="J16" s="498"/>
      <c r="K16" s="501"/>
    </row>
    <row r="17" spans="1:11" s="12" customFormat="1" ht="19.95" customHeight="1">
      <c r="A17" s="485" t="s">
        <v>438</v>
      </c>
      <c r="B17" s="486"/>
      <c r="C17" s="493">
        <f>SUM(C20:C24)</f>
        <v>0</v>
      </c>
      <c r="D17" s="489" t="s">
        <v>439</v>
      </c>
      <c r="E17" s="490"/>
      <c r="F17" s="495" t="s">
        <v>440</v>
      </c>
      <c r="G17" s="489" t="s">
        <v>441</v>
      </c>
      <c r="H17" s="490"/>
      <c r="I17" s="490"/>
      <c r="J17" s="490"/>
      <c r="K17" s="489" t="s">
        <v>442</v>
      </c>
    </row>
    <row r="18" spans="1:11" s="12" customFormat="1" ht="19.95" customHeight="1">
      <c r="A18" s="486"/>
      <c r="B18" s="486"/>
      <c r="C18" s="494"/>
      <c r="D18" s="335" t="s">
        <v>443</v>
      </c>
      <c r="E18" s="335" t="s">
        <v>444</v>
      </c>
      <c r="F18" s="496"/>
      <c r="G18" s="335" t="s">
        <v>445</v>
      </c>
      <c r="H18" s="335" t="s">
        <v>446</v>
      </c>
      <c r="I18" s="335" t="s">
        <v>447</v>
      </c>
      <c r="J18" s="335" t="s">
        <v>448</v>
      </c>
      <c r="K18" s="490"/>
    </row>
    <row r="19" spans="1:11" s="12" customFormat="1" ht="19.95" customHeight="1">
      <c r="A19" s="336" t="s">
        <v>449</v>
      </c>
      <c r="B19" s="337"/>
      <c r="C19" s="338"/>
      <c r="D19" s="339"/>
      <c r="E19" s="338"/>
      <c r="F19" s="340"/>
      <c r="G19" s="339"/>
      <c r="H19" s="337"/>
      <c r="I19" s="337"/>
      <c r="J19" s="337"/>
      <c r="K19" s="340"/>
    </row>
    <row r="20" spans="1:11" s="12" customFormat="1" ht="19.95" customHeight="1">
      <c r="A20" s="336">
        <v>1</v>
      </c>
      <c r="B20" s="337"/>
      <c r="C20" s="338"/>
      <c r="D20" s="339"/>
      <c r="E20" s="338"/>
      <c r="F20" s="340"/>
      <c r="G20" s="339"/>
      <c r="H20" s="337"/>
      <c r="I20" s="337"/>
      <c r="J20" s="337"/>
      <c r="K20" s="340"/>
    </row>
    <row r="21" spans="1:11" s="12" customFormat="1" ht="19.95" customHeight="1">
      <c r="A21" s="336">
        <v>2</v>
      </c>
      <c r="B21" s="337"/>
      <c r="C21" s="338"/>
      <c r="D21" s="339"/>
      <c r="E21" s="338"/>
      <c r="F21" s="340"/>
      <c r="G21" s="339"/>
      <c r="H21" s="337"/>
      <c r="I21" s="337"/>
      <c r="J21" s="337"/>
      <c r="K21" s="340"/>
    </row>
    <row r="22" spans="1:11" s="12" customFormat="1" ht="19.95" customHeight="1">
      <c r="A22" s="336">
        <v>3</v>
      </c>
      <c r="B22" s="337"/>
      <c r="C22" s="338"/>
      <c r="D22" s="339"/>
      <c r="E22" s="338"/>
      <c r="F22" s="340"/>
      <c r="G22" s="339"/>
      <c r="H22" s="337"/>
      <c r="I22" s="337"/>
      <c r="J22" s="337"/>
      <c r="K22" s="340"/>
    </row>
    <row r="23" spans="1:11" s="12" customFormat="1" ht="19.95" customHeight="1">
      <c r="A23" s="336">
        <v>4</v>
      </c>
      <c r="B23" s="337"/>
      <c r="C23" s="338"/>
      <c r="D23" s="339"/>
      <c r="E23" s="338"/>
      <c r="F23" s="340"/>
      <c r="G23" s="339"/>
      <c r="H23" s="337"/>
      <c r="I23" s="337"/>
      <c r="J23" s="337"/>
      <c r="K23" s="340"/>
    </row>
    <row r="24" spans="1:11" s="12" customFormat="1" ht="19.95" customHeight="1">
      <c r="A24" s="336">
        <v>5</v>
      </c>
      <c r="B24" s="337"/>
      <c r="C24" s="338"/>
      <c r="D24" s="339"/>
      <c r="E24" s="338"/>
      <c r="F24" s="340"/>
      <c r="G24" s="339"/>
      <c r="H24" s="337"/>
      <c r="I24" s="337"/>
      <c r="J24" s="337"/>
      <c r="K24" s="340"/>
    </row>
    <row r="25" spans="1:11" s="341" customFormat="1" ht="19.95" customHeight="1">
      <c r="A25" s="485" t="s">
        <v>450</v>
      </c>
      <c r="B25" s="486"/>
      <c r="C25" s="487">
        <f>SUM(C28:C32)</f>
        <v>0</v>
      </c>
      <c r="D25" s="489" t="s">
        <v>451</v>
      </c>
      <c r="E25" s="490"/>
      <c r="F25" s="495" t="s">
        <v>440</v>
      </c>
      <c r="G25" s="489" t="s">
        <v>452</v>
      </c>
      <c r="H25" s="490"/>
      <c r="I25" s="490"/>
      <c r="J25" s="490"/>
      <c r="K25" s="489" t="s">
        <v>453</v>
      </c>
    </row>
    <row r="26" spans="1:11" s="341" customFormat="1" ht="19.95" customHeight="1">
      <c r="A26" s="486"/>
      <c r="B26" s="486"/>
      <c r="C26" s="488"/>
      <c r="D26" s="335" t="s">
        <v>454</v>
      </c>
      <c r="E26" s="335" t="s">
        <v>455</v>
      </c>
      <c r="F26" s="496"/>
      <c r="G26" s="335" t="s">
        <v>445</v>
      </c>
      <c r="H26" s="335" t="s">
        <v>456</v>
      </c>
      <c r="I26" s="335" t="s">
        <v>447</v>
      </c>
      <c r="J26" s="342" t="s">
        <v>448</v>
      </c>
      <c r="K26" s="490"/>
    </row>
    <row r="27" spans="1:11" s="12" customFormat="1" ht="19.95" customHeight="1">
      <c r="A27" s="336" t="s">
        <v>457</v>
      </c>
      <c r="B27" s="337"/>
      <c r="C27" s="338"/>
      <c r="D27" s="339"/>
      <c r="E27" s="338"/>
      <c r="F27" s="340"/>
      <c r="G27" s="339"/>
      <c r="H27" s="337"/>
      <c r="I27" s="337"/>
      <c r="J27" s="337"/>
      <c r="K27" s="340"/>
    </row>
    <row r="28" spans="1:11" s="12" customFormat="1" ht="19.95" customHeight="1">
      <c r="A28" s="336">
        <v>1</v>
      </c>
      <c r="B28" s="337"/>
      <c r="C28" s="338"/>
      <c r="D28" s="339"/>
      <c r="E28" s="338"/>
      <c r="F28" s="340"/>
      <c r="G28" s="339"/>
      <c r="H28" s="337"/>
      <c r="I28" s="337"/>
      <c r="J28" s="337"/>
      <c r="K28" s="340"/>
    </row>
    <row r="29" spans="1:11" s="12" customFormat="1" ht="19.95" customHeight="1">
      <c r="A29" s="336">
        <v>2</v>
      </c>
      <c r="B29" s="337"/>
      <c r="C29" s="338"/>
      <c r="D29" s="339"/>
      <c r="E29" s="338"/>
      <c r="F29" s="340"/>
      <c r="G29" s="339"/>
      <c r="H29" s="337"/>
      <c r="I29" s="337"/>
      <c r="J29" s="337"/>
      <c r="K29" s="340"/>
    </row>
    <row r="30" spans="1:11" s="12" customFormat="1" ht="19.95" customHeight="1">
      <c r="A30" s="336">
        <v>3</v>
      </c>
      <c r="B30" s="337"/>
      <c r="C30" s="338"/>
      <c r="D30" s="339"/>
      <c r="E30" s="338"/>
      <c r="F30" s="340"/>
      <c r="G30" s="339"/>
      <c r="H30" s="337"/>
      <c r="I30" s="337"/>
      <c r="J30" s="337"/>
      <c r="K30" s="340"/>
    </row>
    <row r="31" spans="1:11" s="7" customFormat="1" ht="19.95" customHeight="1">
      <c r="A31" s="336">
        <v>4</v>
      </c>
      <c r="B31" s="337"/>
      <c r="C31" s="338"/>
      <c r="D31" s="339"/>
      <c r="E31" s="338"/>
      <c r="F31" s="340"/>
      <c r="G31" s="339"/>
      <c r="H31" s="337"/>
      <c r="I31" s="337"/>
      <c r="J31" s="337"/>
      <c r="K31" s="340"/>
    </row>
    <row r="32" spans="1:11" s="7" customFormat="1" ht="19.95" customHeight="1">
      <c r="A32" s="336">
        <v>5</v>
      </c>
      <c r="B32" s="337"/>
      <c r="C32" s="338"/>
      <c r="D32" s="339"/>
      <c r="E32" s="338"/>
      <c r="F32" s="340"/>
      <c r="G32" s="339"/>
      <c r="H32" s="337"/>
      <c r="I32" s="337"/>
      <c r="J32" s="337"/>
      <c r="K32" s="340"/>
    </row>
    <row r="33" spans="1:11" s="341" customFormat="1" ht="19.95" customHeight="1">
      <c r="A33" s="343" t="s">
        <v>458</v>
      </c>
      <c r="B33" s="344"/>
      <c r="C33" s="345">
        <f>C16+C17-C25</f>
        <v>0</v>
      </c>
      <c r="D33" s="346"/>
      <c r="E33" s="346"/>
      <c r="F33" s="346"/>
      <c r="G33" s="346"/>
      <c r="H33" s="346"/>
      <c r="I33" s="346"/>
      <c r="J33" s="346"/>
      <c r="K33" s="346"/>
    </row>
    <row r="34" spans="1:11" s="341" customFormat="1" ht="19.95" customHeight="1">
      <c r="A34" s="347" t="s">
        <v>459</v>
      </c>
      <c r="B34" s="347"/>
      <c r="C34" s="348">
        <v>0</v>
      </c>
      <c r="D34" s="346"/>
      <c r="E34" s="346"/>
      <c r="F34" s="346"/>
      <c r="G34" s="346"/>
      <c r="H34" s="346"/>
      <c r="I34" s="346"/>
      <c r="J34" s="346"/>
      <c r="K34" s="346"/>
    </row>
    <row r="35" spans="1:11" s="341" customFormat="1" ht="19.95" customHeight="1">
      <c r="A35" s="485" t="s">
        <v>460</v>
      </c>
      <c r="B35" s="486"/>
      <c r="C35" s="487">
        <f>SUM(C38:C42)</f>
        <v>0</v>
      </c>
      <c r="D35" s="349" t="s">
        <v>461</v>
      </c>
      <c r="E35" s="350"/>
      <c r="F35" s="350"/>
      <c r="G35" s="350"/>
      <c r="H35" s="350"/>
      <c r="I35" s="350" t="s">
        <v>462</v>
      </c>
      <c r="J35" s="350"/>
      <c r="K35" s="489" t="s">
        <v>453</v>
      </c>
    </row>
    <row r="36" spans="1:11" s="341" customFormat="1" ht="30" customHeight="1">
      <c r="A36" s="486"/>
      <c r="B36" s="486"/>
      <c r="C36" s="488"/>
      <c r="D36" s="377" t="s">
        <v>463</v>
      </c>
      <c r="E36" s="352" t="s">
        <v>464</v>
      </c>
      <c r="F36" s="352" t="s">
        <v>465</v>
      </c>
      <c r="G36" s="352" t="s">
        <v>466</v>
      </c>
      <c r="H36" s="352" t="s">
        <v>467</v>
      </c>
      <c r="I36" s="288" t="s">
        <v>468</v>
      </c>
      <c r="J36" s="288" t="s">
        <v>469</v>
      </c>
      <c r="K36" s="490"/>
    </row>
    <row r="37" spans="1:11" s="341" customFormat="1" ht="19.95" customHeight="1">
      <c r="A37" s="336" t="s">
        <v>457</v>
      </c>
      <c r="B37" s="337"/>
      <c r="C37" s="338"/>
      <c r="D37" s="339"/>
      <c r="E37" s="338"/>
      <c r="F37" s="340"/>
      <c r="G37" s="339"/>
      <c r="H37" s="337"/>
      <c r="I37" s="337"/>
      <c r="J37" s="337"/>
      <c r="K37" s="340"/>
    </row>
    <row r="38" spans="1:11" s="341" customFormat="1" ht="19.95" customHeight="1">
      <c r="A38" s="336">
        <v>1</v>
      </c>
      <c r="B38" s="337"/>
      <c r="C38" s="338"/>
      <c r="D38" s="339"/>
      <c r="E38" s="338"/>
      <c r="F38" s="340"/>
      <c r="G38" s="339"/>
      <c r="H38" s="337"/>
      <c r="I38" s="337"/>
      <c r="J38" s="337"/>
      <c r="K38" s="340"/>
    </row>
    <row r="39" spans="1:11" s="341" customFormat="1" ht="19.95" customHeight="1">
      <c r="A39" s="336">
        <v>2</v>
      </c>
      <c r="B39" s="337"/>
      <c r="C39" s="338"/>
      <c r="D39" s="339"/>
      <c r="E39" s="338"/>
      <c r="F39" s="340"/>
      <c r="G39" s="339"/>
      <c r="H39" s="337"/>
      <c r="I39" s="337"/>
      <c r="J39" s="337"/>
      <c r="K39" s="340"/>
    </row>
    <row r="40" spans="1:11" s="341" customFormat="1" ht="19.95" customHeight="1">
      <c r="A40" s="336">
        <v>3</v>
      </c>
      <c r="B40" s="337"/>
      <c r="C40" s="338"/>
      <c r="D40" s="339"/>
      <c r="E40" s="338"/>
      <c r="F40" s="340"/>
      <c r="G40" s="339"/>
      <c r="H40" s="337"/>
      <c r="I40" s="337"/>
      <c r="J40" s="337"/>
      <c r="K40" s="340"/>
    </row>
    <row r="41" spans="1:11" s="341" customFormat="1" ht="19.95" customHeight="1">
      <c r="A41" s="336">
        <v>4</v>
      </c>
      <c r="B41" s="337"/>
      <c r="C41" s="338"/>
      <c r="D41" s="339"/>
      <c r="E41" s="338"/>
      <c r="F41" s="340"/>
      <c r="G41" s="339"/>
      <c r="H41" s="337"/>
      <c r="I41" s="337"/>
      <c r="J41" s="337"/>
      <c r="K41" s="340"/>
    </row>
    <row r="42" spans="1:11" s="341" customFormat="1" ht="19.95" customHeight="1">
      <c r="A42" s="336">
        <v>5</v>
      </c>
      <c r="B42" s="337"/>
      <c r="C42" s="338"/>
      <c r="D42" s="339"/>
      <c r="E42" s="338"/>
      <c r="F42" s="340"/>
      <c r="G42" s="339"/>
      <c r="H42" s="337"/>
      <c r="I42" s="337"/>
      <c r="J42" s="337"/>
      <c r="K42" s="340"/>
    </row>
    <row r="43" spans="1:11" s="341" customFormat="1" ht="19.95" customHeight="1">
      <c r="A43" s="485" t="s">
        <v>470</v>
      </c>
      <c r="B43" s="486"/>
      <c r="C43" s="491">
        <f>SUM(C46:C50)</f>
        <v>0</v>
      </c>
      <c r="D43" s="349" t="s">
        <v>471</v>
      </c>
      <c r="E43" s="350"/>
      <c r="F43" s="350"/>
      <c r="G43" s="350"/>
      <c r="H43" s="350"/>
      <c r="I43" s="350" t="s">
        <v>472</v>
      </c>
      <c r="J43" s="350"/>
      <c r="K43" s="489" t="s">
        <v>453</v>
      </c>
    </row>
    <row r="44" spans="1:11" s="341" customFormat="1" ht="30" customHeight="1">
      <c r="A44" s="486"/>
      <c r="B44" s="486"/>
      <c r="C44" s="492"/>
      <c r="D44" s="351" t="s">
        <v>473</v>
      </c>
      <c r="E44" s="352" t="s">
        <v>474</v>
      </c>
      <c r="F44" s="352" t="s">
        <v>465</v>
      </c>
      <c r="G44" s="352" t="s">
        <v>475</v>
      </c>
      <c r="H44" s="352" t="s">
        <v>467</v>
      </c>
      <c r="I44" s="288" t="s">
        <v>476</v>
      </c>
      <c r="J44" s="288" t="s">
        <v>477</v>
      </c>
      <c r="K44" s="490"/>
    </row>
    <row r="45" spans="1:11" s="341" customFormat="1" ht="19.95" customHeight="1">
      <c r="A45" s="336" t="s">
        <v>457</v>
      </c>
      <c r="B45" s="337"/>
      <c r="C45" s="338"/>
      <c r="D45" s="339"/>
      <c r="E45" s="338"/>
      <c r="F45" s="340"/>
      <c r="G45" s="339"/>
      <c r="H45" s="337"/>
      <c r="I45" s="337"/>
      <c r="J45" s="337"/>
      <c r="K45" s="340"/>
    </row>
    <row r="46" spans="1:11" s="341" customFormat="1" ht="19.95" customHeight="1">
      <c r="A46" s="336">
        <v>1</v>
      </c>
      <c r="B46" s="337"/>
      <c r="C46" s="338"/>
      <c r="D46" s="339"/>
      <c r="E46" s="338"/>
      <c r="F46" s="340"/>
      <c r="G46" s="339"/>
      <c r="H46" s="337"/>
      <c r="I46" s="337"/>
      <c r="J46" s="337"/>
      <c r="K46" s="340"/>
    </row>
    <row r="47" spans="1:11" s="341" customFormat="1" ht="19.95" customHeight="1">
      <c r="A47" s="336">
        <v>2</v>
      </c>
      <c r="B47" s="337"/>
      <c r="C47" s="338"/>
      <c r="D47" s="339"/>
      <c r="E47" s="338"/>
      <c r="F47" s="340"/>
      <c r="G47" s="339"/>
      <c r="H47" s="337"/>
      <c r="I47" s="337"/>
      <c r="J47" s="337"/>
      <c r="K47" s="340"/>
    </row>
    <row r="48" spans="1:11" s="341" customFormat="1" ht="19.95" customHeight="1">
      <c r="A48" s="336">
        <v>3</v>
      </c>
      <c r="B48" s="337"/>
      <c r="C48" s="338"/>
      <c r="D48" s="339"/>
      <c r="E48" s="338"/>
      <c r="F48" s="340"/>
      <c r="G48" s="339"/>
      <c r="H48" s="337"/>
      <c r="I48" s="337"/>
      <c r="J48" s="337"/>
      <c r="K48" s="340"/>
    </row>
    <row r="49" spans="1:11" s="341" customFormat="1" ht="19.95" customHeight="1">
      <c r="A49" s="336">
        <v>4</v>
      </c>
      <c r="B49" s="337"/>
      <c r="C49" s="338"/>
      <c r="D49" s="339"/>
      <c r="E49" s="338"/>
      <c r="F49" s="340"/>
      <c r="G49" s="339"/>
      <c r="H49" s="337"/>
      <c r="I49" s="337"/>
      <c r="J49" s="337"/>
      <c r="K49" s="340"/>
    </row>
    <row r="50" spans="1:11" s="341" customFormat="1" ht="19.95" customHeight="1">
      <c r="A50" s="336">
        <v>5</v>
      </c>
      <c r="B50" s="337"/>
      <c r="C50" s="338"/>
      <c r="D50" s="339"/>
      <c r="E50" s="338"/>
      <c r="F50" s="340"/>
      <c r="G50" s="339"/>
      <c r="H50" s="337"/>
      <c r="I50" s="337"/>
      <c r="J50" s="337"/>
      <c r="K50" s="340"/>
    </row>
    <row r="51" spans="1:11" s="341" customFormat="1" ht="19.95" customHeight="1">
      <c r="A51" s="332" t="s">
        <v>458</v>
      </c>
      <c r="B51" s="353"/>
      <c r="C51" s="345">
        <f>C34+C35-C43</f>
        <v>0</v>
      </c>
      <c r="D51" s="354"/>
      <c r="E51" s="355"/>
      <c r="F51" s="355"/>
      <c r="G51" s="355"/>
      <c r="H51" s="355"/>
      <c r="I51" s="355"/>
      <c r="J51" s="355"/>
      <c r="K51" s="355"/>
    </row>
    <row r="52" spans="1:11" s="341" customFormat="1" ht="19.95" customHeight="1">
      <c r="A52" s="371" t="s">
        <v>478</v>
      </c>
      <c r="B52" s="353"/>
      <c r="C52" s="345" t="str">
        <f>IF(C33=C51,"调节一致","调节不一致")</f>
        <v>调节一致</v>
      </c>
      <c r="D52" s="354"/>
      <c r="E52" s="355"/>
      <c r="F52" s="355"/>
      <c r="G52" s="355"/>
      <c r="H52" s="355"/>
      <c r="I52" s="355"/>
      <c r="J52" s="355"/>
      <c r="K52" s="378"/>
    </row>
    <row r="53" spans="1:11" s="12" customFormat="1" ht="19.95" customHeight="1">
      <c r="A53" s="7" t="s">
        <v>479</v>
      </c>
      <c r="G53" s="7" t="s">
        <v>18</v>
      </c>
      <c r="I53" s="7"/>
    </row>
    <row r="54" spans="1:11" s="12" customFormat="1" ht="19.95" customHeight="1">
      <c r="A54" s="7"/>
      <c r="I54" s="7"/>
    </row>
    <row r="55" spans="1:11" s="12" customFormat="1" ht="19.95" customHeight="1"/>
    <row r="56" spans="1:11" ht="19.95" customHeight="1">
      <c r="A56" s="12"/>
    </row>
  </sheetData>
  <mergeCells count="24">
    <mergeCell ref="A1:K1"/>
    <mergeCell ref="A2:K2"/>
    <mergeCell ref="A14:C14"/>
    <mergeCell ref="D14:K14"/>
    <mergeCell ref="D15:J16"/>
    <mergeCell ref="K15:K16"/>
    <mergeCell ref="K25:K26"/>
    <mergeCell ref="A17:B18"/>
    <mergeCell ref="C17:C18"/>
    <mergeCell ref="D17:E17"/>
    <mergeCell ref="F17:F18"/>
    <mergeCell ref="G17:J17"/>
    <mergeCell ref="K17:K18"/>
    <mergeCell ref="A25:B26"/>
    <mergeCell ref="C25:C26"/>
    <mergeCell ref="D25:E25"/>
    <mergeCell ref="F25:F26"/>
    <mergeCell ref="G25:J25"/>
    <mergeCell ref="A35:B36"/>
    <mergeCell ref="C35:C36"/>
    <mergeCell ref="K35:K36"/>
    <mergeCell ref="A43:B44"/>
    <mergeCell ref="C43:C44"/>
    <mergeCell ref="K43:K44"/>
  </mergeCells>
  <phoneticPr fontId="1" type="noConversion"/>
  <dataValidations count="1">
    <dataValidation type="list" allowBlank="1" showInputMessage="1" showErrorMessage="1" sqref="F37:F42 K19:K24 F27:F32 F19:F24 K27:K32 K37:K42 K45:K50 F45:F50">
      <formula1>"√,×"</formula1>
    </dataValidation>
  </dataValidations>
  <hyperlinks>
    <hyperlink ref="K3" location="底稿目录!A1" display="底稿目录!A1"/>
  </hyperlinks>
  <printOptions horizontalCentered="1"/>
  <pageMargins left="0.70866141732283472" right="0.70866141732283472" top="0.74803149606299213" bottom="0.74803149606299213" header="0.31496062992125984" footer="0.31496062992125984"/>
  <pageSetup paperSize="9" scale="68" fitToHeight="100" orientation="portrait" blackAndWhite="1" cellComments="atEnd" r:id="rId1"/>
  <headerFooter>
    <oddFooter>&amp;C&amp;P/&amp;N</oddFooter>
  </headerFooter>
  <rowBreaks count="1" manualBreakCount="1">
    <brk id="33" max="10"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67"/>
  <sheetViews>
    <sheetView showZeros="0" view="pageBreakPreview" zoomScaleNormal="115" zoomScaleSheetLayoutView="100" workbookViewId="0">
      <selection sqref="A1:G1"/>
    </sheetView>
  </sheetViews>
  <sheetFormatPr defaultColWidth="9" defaultRowHeight="19.95" customHeight="1"/>
  <cols>
    <col min="1" max="1" width="10.21875" style="35" customWidth="1"/>
    <col min="2" max="2" width="11" style="35" customWidth="1"/>
    <col min="3" max="3" width="15.5546875" style="35" customWidth="1"/>
    <col min="4" max="4" width="16.109375" style="35" customWidth="1"/>
    <col min="5" max="5" width="11.6640625" style="35" customWidth="1"/>
    <col min="6" max="6" width="16.88671875" style="35" customWidth="1"/>
    <col min="7" max="7" width="17.33203125" style="35" customWidth="1"/>
    <col min="8" max="16384" width="9" style="35"/>
  </cols>
  <sheetData>
    <row r="1" spans="1:8" s="173" customFormat="1" ht="19.95" customHeight="1">
      <c r="A1" s="509" t="s">
        <v>1</v>
      </c>
      <c r="B1" s="509"/>
      <c r="C1" s="509"/>
      <c r="D1" s="509"/>
      <c r="E1" s="509"/>
      <c r="F1" s="509"/>
      <c r="G1" s="509"/>
    </row>
    <row r="2" spans="1:8" s="173" customFormat="1" ht="19.95" customHeight="1">
      <c r="A2" s="459" t="s">
        <v>315</v>
      </c>
      <c r="B2" s="459"/>
      <c r="C2" s="459"/>
      <c r="D2" s="459"/>
      <c r="E2" s="459"/>
      <c r="F2" s="459"/>
      <c r="G2" s="459"/>
    </row>
    <row r="3" spans="1:8" s="12" customFormat="1" ht="19.95" customHeight="1">
      <c r="A3" s="14" t="str">
        <f>底稿目录!A2</f>
        <v>被审计单位：</v>
      </c>
      <c r="B3" s="14"/>
      <c r="C3" s="15" t="str">
        <f>底稿目录!A4</f>
        <v>编制人：</v>
      </c>
      <c r="D3" s="68" t="str">
        <f>底稿目录!A5</f>
        <v>编制日期：</v>
      </c>
      <c r="F3" s="22" t="s">
        <v>316</v>
      </c>
      <c r="G3" s="382" t="str">
        <f>底稿目录!F13</f>
        <v>E1-7</v>
      </c>
    </row>
    <row r="4" spans="1:8" s="12" customFormat="1" ht="19.95" customHeight="1">
      <c r="A4" s="14" t="str">
        <f>底稿目录!A3</f>
        <v>截止日：202X年12月31日</v>
      </c>
      <c r="B4" s="16"/>
      <c r="C4" s="15" t="str">
        <f>底稿目录!A6</f>
        <v>复核人：</v>
      </c>
      <c r="D4" s="379" t="str">
        <f>底稿目录!A7</f>
        <v>复核日期：</v>
      </c>
      <c r="F4" s="22" t="s">
        <v>125</v>
      </c>
    </row>
    <row r="5" spans="1:8" s="12" customFormat="1" ht="19.95" customHeight="1">
      <c r="A5" s="23" t="s">
        <v>7</v>
      </c>
    </row>
    <row r="6" spans="1:8" s="12" customFormat="1" ht="19.95" customHeight="1">
      <c r="A6" s="12" t="s">
        <v>396</v>
      </c>
      <c r="H6" s="233"/>
    </row>
    <row r="7" spans="1:8" s="12" customFormat="1" ht="19.95" customHeight="1">
      <c r="A7" s="291" t="s">
        <v>397</v>
      </c>
      <c r="B7" s="289"/>
      <c r="C7" s="289"/>
      <c r="D7" s="289"/>
      <c r="E7" s="289"/>
      <c r="F7" s="289"/>
      <c r="G7" s="289"/>
      <c r="H7" s="290"/>
    </row>
    <row r="8" spans="1:8" s="12" customFormat="1" ht="19.95" customHeight="1">
      <c r="A8" s="291" t="s">
        <v>398</v>
      </c>
      <c r="B8" s="289"/>
      <c r="C8" s="289"/>
      <c r="D8" s="289"/>
      <c r="E8" s="289"/>
      <c r="F8" s="289"/>
      <c r="G8" s="289"/>
      <c r="H8" s="290"/>
    </row>
    <row r="9" spans="1:8" s="12" customFormat="1" ht="19.95" customHeight="1">
      <c r="A9" s="291" t="s">
        <v>399</v>
      </c>
      <c r="B9" s="289"/>
      <c r="C9" s="289"/>
      <c r="D9" s="289"/>
      <c r="E9" s="289"/>
      <c r="F9" s="289"/>
      <c r="G9" s="289"/>
      <c r="H9" s="290"/>
    </row>
    <row r="10" spans="1:8" s="12" customFormat="1" ht="19.95" customHeight="1">
      <c r="A10" s="7" t="s">
        <v>9</v>
      </c>
    </row>
    <row r="11" spans="1:8" s="12" customFormat="1" ht="32.549999999999997" customHeight="1">
      <c r="A11" s="502" t="s">
        <v>400</v>
      </c>
      <c r="B11" s="502"/>
      <c r="C11" s="502"/>
      <c r="D11" s="502"/>
      <c r="E11" s="502"/>
      <c r="F11" s="502"/>
      <c r="G11" s="502"/>
    </row>
    <row r="12" spans="1:8" s="12" customFormat="1" ht="19.95" customHeight="1">
      <c r="A12" s="12" t="s">
        <v>401</v>
      </c>
    </row>
    <row r="13" spans="1:8" s="12" customFormat="1" ht="19.95" customHeight="1">
      <c r="A13" s="12" t="s">
        <v>402</v>
      </c>
    </row>
    <row r="14" spans="1:8" s="12" customFormat="1" ht="19.95" customHeight="1">
      <c r="A14" s="510" t="s">
        <v>33</v>
      </c>
      <c r="B14" s="511"/>
      <c r="C14" s="512"/>
      <c r="D14" s="510" t="s">
        <v>34</v>
      </c>
      <c r="E14" s="511"/>
      <c r="F14" s="511"/>
      <c r="G14" s="512"/>
    </row>
    <row r="15" spans="1:8" s="12" customFormat="1" ht="19.95" customHeight="1">
      <c r="A15" s="144" t="s">
        <v>35</v>
      </c>
      <c r="B15" s="144" t="s">
        <v>36</v>
      </c>
      <c r="C15" s="144" t="s">
        <v>317</v>
      </c>
      <c r="D15" s="468" t="s">
        <v>318</v>
      </c>
      <c r="E15" s="468"/>
      <c r="F15" s="468"/>
      <c r="G15" s="144" t="s">
        <v>319</v>
      </c>
    </row>
    <row r="16" spans="1:8" s="12" customFormat="1" ht="19.95" customHeight="1">
      <c r="A16" s="67">
        <v>100</v>
      </c>
      <c r="B16" s="232"/>
      <c r="C16" s="117">
        <f>A16*B16</f>
        <v>0</v>
      </c>
      <c r="D16" s="503" t="s">
        <v>25</v>
      </c>
      <c r="E16" s="503"/>
      <c r="F16" s="503"/>
      <c r="G16" s="41"/>
    </row>
    <row r="17" spans="1:7" s="12" customFormat="1" ht="19.95" customHeight="1">
      <c r="A17" s="67">
        <v>50</v>
      </c>
      <c r="B17" s="232"/>
      <c r="C17" s="117">
        <f t="shared" ref="C17:C28" si="0">A17*B17</f>
        <v>0</v>
      </c>
      <c r="D17" s="513" t="s">
        <v>320</v>
      </c>
      <c r="E17" s="513"/>
      <c r="F17" s="513"/>
      <c r="G17" s="41"/>
    </row>
    <row r="18" spans="1:7" s="12" customFormat="1" ht="19.95" customHeight="1">
      <c r="A18" s="67">
        <v>20</v>
      </c>
      <c r="B18" s="232"/>
      <c r="C18" s="117">
        <f t="shared" si="0"/>
        <v>0</v>
      </c>
      <c r="D18" s="514" t="s">
        <v>40</v>
      </c>
      <c r="E18" s="515"/>
      <c r="F18" s="516"/>
      <c r="G18" s="41"/>
    </row>
    <row r="19" spans="1:7" s="12" customFormat="1" ht="19.95" customHeight="1">
      <c r="A19" s="67">
        <v>10</v>
      </c>
      <c r="B19" s="232"/>
      <c r="C19" s="117">
        <f t="shared" si="0"/>
        <v>0</v>
      </c>
      <c r="D19" s="517" t="s">
        <v>39</v>
      </c>
      <c r="E19" s="518"/>
      <c r="F19" s="519"/>
      <c r="G19" s="117">
        <f>G16+G17-G18</f>
        <v>0</v>
      </c>
    </row>
    <row r="20" spans="1:7" s="12" customFormat="1" ht="19.95" customHeight="1">
      <c r="A20" s="67">
        <v>5</v>
      </c>
      <c r="B20" s="232"/>
      <c r="C20" s="117">
        <f t="shared" si="0"/>
        <v>0</v>
      </c>
      <c r="D20" s="514" t="s">
        <v>321</v>
      </c>
      <c r="E20" s="515"/>
      <c r="F20" s="516"/>
      <c r="G20" s="41"/>
    </row>
    <row r="21" spans="1:7" s="12" customFormat="1" ht="19.95" customHeight="1">
      <c r="A21" s="67">
        <v>2</v>
      </c>
      <c r="B21" s="232"/>
      <c r="C21" s="117">
        <f t="shared" si="0"/>
        <v>0</v>
      </c>
      <c r="D21" s="514" t="s">
        <v>322</v>
      </c>
      <c r="E21" s="515"/>
      <c r="F21" s="516"/>
      <c r="G21" s="41"/>
    </row>
    <row r="22" spans="1:7" s="12" customFormat="1" ht="19.95" customHeight="1">
      <c r="A22" s="67">
        <v>1</v>
      </c>
      <c r="B22" s="232"/>
      <c r="C22" s="117">
        <f t="shared" si="0"/>
        <v>0</v>
      </c>
      <c r="D22" s="514" t="s">
        <v>323</v>
      </c>
      <c r="E22" s="515"/>
      <c r="F22" s="516"/>
      <c r="G22" s="41"/>
    </row>
    <row r="23" spans="1:7" s="12" customFormat="1" ht="19.95" customHeight="1">
      <c r="A23" s="67">
        <v>0.5</v>
      </c>
      <c r="B23" s="232"/>
      <c r="C23" s="117">
        <f t="shared" si="0"/>
        <v>0</v>
      </c>
      <c r="D23" s="514" t="s">
        <v>324</v>
      </c>
      <c r="E23" s="515"/>
      <c r="F23" s="516"/>
      <c r="G23" s="41"/>
    </row>
    <row r="24" spans="1:7" s="12" customFormat="1" ht="19.95" customHeight="1">
      <c r="A24" s="67">
        <v>0.2</v>
      </c>
      <c r="B24" s="232"/>
      <c r="C24" s="117">
        <f t="shared" si="0"/>
        <v>0</v>
      </c>
      <c r="D24" s="503" t="s">
        <v>47</v>
      </c>
      <c r="E24" s="503"/>
      <c r="F24" s="503"/>
      <c r="G24" s="117">
        <f>G19+G20-G21+G22-G23</f>
        <v>0</v>
      </c>
    </row>
    <row r="25" spans="1:7" s="12" customFormat="1" ht="19.95" customHeight="1">
      <c r="A25" s="67">
        <v>0.1</v>
      </c>
      <c r="B25" s="232"/>
      <c r="C25" s="117">
        <f t="shared" si="0"/>
        <v>0</v>
      </c>
      <c r="D25" s="503" t="s">
        <v>26</v>
      </c>
      <c r="E25" s="503"/>
      <c r="F25" s="503"/>
      <c r="G25" s="117">
        <f>C29</f>
        <v>0</v>
      </c>
    </row>
    <row r="26" spans="1:7" s="12" customFormat="1" ht="19.95" customHeight="1">
      <c r="A26" s="67">
        <v>0.05</v>
      </c>
      <c r="B26" s="232"/>
      <c r="C26" s="117">
        <f t="shared" si="0"/>
        <v>0</v>
      </c>
      <c r="D26" s="503" t="s">
        <v>27</v>
      </c>
      <c r="E26" s="503"/>
      <c r="F26" s="503"/>
      <c r="G26" s="117">
        <f>G25-G24</f>
        <v>0</v>
      </c>
    </row>
    <row r="27" spans="1:7" s="12" customFormat="1" ht="19.95" customHeight="1">
      <c r="A27" s="67">
        <v>0.02</v>
      </c>
      <c r="B27" s="232"/>
      <c r="C27" s="117">
        <f t="shared" si="0"/>
        <v>0</v>
      </c>
      <c r="D27" s="503" t="s">
        <v>325</v>
      </c>
      <c r="E27" s="503"/>
      <c r="F27" s="503"/>
      <c r="G27" s="117">
        <f>IF(G26&gt;0,G26,)</f>
        <v>0</v>
      </c>
    </row>
    <row r="28" spans="1:7" s="12" customFormat="1" ht="19.95" customHeight="1">
      <c r="A28" s="67">
        <v>0.01</v>
      </c>
      <c r="B28" s="232"/>
      <c r="C28" s="117">
        <f t="shared" si="0"/>
        <v>0</v>
      </c>
      <c r="D28" s="503" t="s">
        <v>326</v>
      </c>
      <c r="E28" s="503"/>
      <c r="F28" s="503"/>
      <c r="G28" s="117">
        <f>IF(G26&lt;0,G26,)</f>
        <v>0</v>
      </c>
    </row>
    <row r="29" spans="1:7" s="12" customFormat="1" ht="19.95" customHeight="1">
      <c r="A29" s="507" t="s">
        <v>327</v>
      </c>
      <c r="B29" s="508"/>
      <c r="C29" s="118">
        <f>SUM(C16:C28)</f>
        <v>0</v>
      </c>
      <c r="D29" s="504"/>
      <c r="E29" s="505"/>
      <c r="F29" s="506"/>
      <c r="G29" s="41"/>
    </row>
    <row r="30" spans="1:7" s="12" customFormat="1" ht="19.95" customHeight="1">
      <c r="A30" s="10" t="s">
        <v>28</v>
      </c>
      <c r="B30" s="10"/>
      <c r="C30" s="10"/>
      <c r="D30" s="10" t="s">
        <v>2</v>
      </c>
      <c r="F30" s="10" t="s">
        <v>328</v>
      </c>
      <c r="G30" s="10" t="s">
        <v>2</v>
      </c>
    </row>
    <row r="31" spans="1:7" s="12" customFormat="1" ht="19.95" customHeight="1">
      <c r="A31" s="10" t="s">
        <v>29</v>
      </c>
      <c r="B31" s="10"/>
      <c r="C31" s="10"/>
      <c r="D31" s="10" t="s">
        <v>2</v>
      </c>
      <c r="F31" s="66"/>
      <c r="G31" s="10"/>
    </row>
    <row r="32" spans="1:7" s="12" customFormat="1" ht="19.95" customHeight="1">
      <c r="A32" s="7" t="s">
        <v>20</v>
      </c>
    </row>
    <row r="33" spans="1:9" s="12" customFormat="1" ht="19.95" customHeight="1">
      <c r="A33" s="42" t="s">
        <v>30</v>
      </c>
      <c r="B33" s="42"/>
    </row>
    <row r="34" spans="1:9" s="12" customFormat="1" ht="19.95" customHeight="1">
      <c r="B34" s="42"/>
    </row>
    <row r="35" spans="1:9" s="12" customFormat="1" ht="19.95" customHeight="1">
      <c r="A35" s="7" t="s">
        <v>18</v>
      </c>
    </row>
    <row r="36" spans="1:9" s="12" customFormat="1" ht="19.95" customHeight="1">
      <c r="A36" s="49"/>
    </row>
    <row r="37" spans="1:9" s="12" customFormat="1" ht="19.95" customHeight="1"/>
    <row r="38" spans="1:9" ht="19.95" customHeight="1">
      <c r="A38" s="12"/>
      <c r="B38" s="12"/>
      <c r="C38" s="12"/>
      <c r="D38" s="12"/>
      <c r="E38" s="12"/>
      <c r="F38" s="12"/>
      <c r="G38" s="12"/>
      <c r="H38" s="12"/>
      <c r="I38" s="12"/>
    </row>
    <row r="39" spans="1:9" ht="19.95" customHeight="1">
      <c r="A39" s="12"/>
      <c r="B39" s="12"/>
      <c r="C39" s="12"/>
      <c r="D39" s="12"/>
      <c r="E39" s="12"/>
      <c r="F39" s="12"/>
      <c r="G39" s="12"/>
      <c r="H39" s="12"/>
      <c r="I39" s="12"/>
    </row>
    <row r="40" spans="1:9" ht="19.95" customHeight="1">
      <c r="A40" s="12"/>
      <c r="B40" s="12"/>
      <c r="C40" s="12"/>
      <c r="D40" s="12"/>
      <c r="E40" s="12"/>
      <c r="F40" s="12"/>
      <c r="G40" s="12"/>
      <c r="H40" s="12"/>
      <c r="I40" s="12"/>
    </row>
    <row r="41" spans="1:9" ht="19.95" customHeight="1">
      <c r="A41" s="12"/>
      <c r="B41" s="12"/>
      <c r="C41" s="12"/>
      <c r="D41" s="12"/>
      <c r="E41" s="12"/>
      <c r="F41" s="12"/>
      <c r="G41" s="12"/>
      <c r="H41" s="12"/>
      <c r="I41" s="12"/>
    </row>
    <row r="42" spans="1:9" ht="19.95" customHeight="1">
      <c r="A42" s="12"/>
      <c r="B42" s="12"/>
      <c r="C42" s="12"/>
      <c r="D42" s="12"/>
      <c r="E42" s="12"/>
      <c r="F42" s="12"/>
      <c r="G42" s="12"/>
      <c r="H42" s="12"/>
      <c r="I42" s="12"/>
    </row>
    <row r="43" spans="1:9" ht="19.95" customHeight="1">
      <c r="A43" s="12"/>
      <c r="B43" s="12"/>
      <c r="C43" s="12"/>
      <c r="D43" s="12"/>
      <c r="E43" s="12"/>
      <c r="F43" s="12"/>
      <c r="G43" s="12"/>
      <c r="H43" s="12"/>
      <c r="I43" s="12"/>
    </row>
    <row r="44" spans="1:9" ht="19.95" customHeight="1">
      <c r="A44" s="12"/>
      <c r="B44" s="12"/>
      <c r="C44" s="12"/>
      <c r="D44" s="12"/>
      <c r="E44" s="12"/>
      <c r="F44" s="12"/>
      <c r="G44" s="12"/>
      <c r="H44" s="12"/>
      <c r="I44" s="12"/>
    </row>
    <row r="45" spans="1:9" ht="19.95" customHeight="1">
      <c r="A45" s="12"/>
      <c r="B45" s="12"/>
      <c r="C45" s="12"/>
      <c r="D45" s="12"/>
      <c r="E45" s="12"/>
      <c r="F45" s="12"/>
      <c r="G45" s="12"/>
      <c r="H45" s="12"/>
      <c r="I45" s="12"/>
    </row>
    <row r="46" spans="1:9" ht="19.95" customHeight="1">
      <c r="A46" s="12"/>
      <c r="B46" s="12"/>
      <c r="C46" s="12"/>
      <c r="D46" s="12"/>
      <c r="E46" s="12"/>
      <c r="F46" s="12"/>
      <c r="G46" s="12"/>
      <c r="H46" s="12"/>
      <c r="I46" s="12"/>
    </row>
    <row r="47" spans="1:9" ht="19.95" customHeight="1">
      <c r="A47" s="12"/>
      <c r="B47" s="12"/>
      <c r="C47" s="12"/>
      <c r="D47" s="12"/>
      <c r="E47" s="12"/>
      <c r="F47" s="12"/>
      <c r="G47" s="12"/>
      <c r="H47" s="12"/>
      <c r="I47" s="12"/>
    </row>
    <row r="48" spans="1:9" ht="19.95" customHeight="1">
      <c r="A48" s="12"/>
      <c r="B48" s="12"/>
      <c r="C48" s="12"/>
      <c r="D48" s="12"/>
      <c r="E48" s="12"/>
      <c r="F48" s="12"/>
      <c r="G48" s="12"/>
      <c r="H48" s="12"/>
      <c r="I48" s="12"/>
    </row>
    <row r="49" spans="1:9" ht="19.95" customHeight="1">
      <c r="A49" s="12"/>
      <c r="B49" s="12"/>
      <c r="C49" s="12"/>
      <c r="D49" s="12"/>
      <c r="E49" s="12"/>
      <c r="F49" s="12"/>
      <c r="G49" s="12"/>
      <c r="H49" s="12"/>
      <c r="I49" s="12"/>
    </row>
    <row r="50" spans="1:9" ht="19.95" customHeight="1">
      <c r="A50" s="12"/>
      <c r="B50" s="12"/>
      <c r="C50" s="12"/>
      <c r="D50" s="12"/>
      <c r="E50" s="12"/>
      <c r="F50" s="12"/>
      <c r="G50" s="12"/>
      <c r="H50" s="12"/>
      <c r="I50" s="12"/>
    </row>
    <row r="51" spans="1:9" ht="19.95" customHeight="1">
      <c r="A51" s="12"/>
      <c r="B51" s="12"/>
      <c r="C51" s="12"/>
      <c r="D51" s="12"/>
      <c r="E51" s="12"/>
      <c r="F51" s="12"/>
      <c r="G51" s="12"/>
      <c r="H51" s="12"/>
      <c r="I51" s="12"/>
    </row>
    <row r="52" spans="1:9" ht="19.95" customHeight="1">
      <c r="A52" s="12"/>
      <c r="B52" s="12"/>
      <c r="C52" s="12"/>
      <c r="D52" s="12"/>
      <c r="E52" s="12"/>
      <c r="F52" s="12"/>
      <c r="G52" s="12"/>
      <c r="H52" s="12"/>
      <c r="I52" s="12"/>
    </row>
    <row r="53" spans="1:9" ht="19.95" customHeight="1">
      <c r="A53" s="12"/>
      <c r="B53" s="12"/>
      <c r="C53" s="12"/>
      <c r="D53" s="12"/>
      <c r="E53" s="12"/>
      <c r="F53" s="12"/>
      <c r="G53" s="12"/>
      <c r="H53" s="12"/>
      <c r="I53" s="12"/>
    </row>
    <row r="54" spans="1:9" ht="19.95" customHeight="1">
      <c r="A54" s="12"/>
      <c r="B54" s="12"/>
      <c r="C54" s="12"/>
      <c r="D54" s="12"/>
      <c r="E54" s="12"/>
      <c r="F54" s="12"/>
      <c r="G54" s="12"/>
      <c r="H54" s="12"/>
      <c r="I54" s="12"/>
    </row>
    <row r="55" spans="1:9" ht="19.95" customHeight="1">
      <c r="A55" s="12"/>
      <c r="B55" s="12"/>
      <c r="C55" s="12"/>
      <c r="D55" s="12"/>
      <c r="E55" s="12"/>
      <c r="F55" s="12"/>
      <c r="G55" s="12"/>
      <c r="H55" s="12"/>
      <c r="I55" s="12"/>
    </row>
    <row r="56" spans="1:9" ht="19.95" customHeight="1">
      <c r="A56" s="12"/>
      <c r="B56" s="12"/>
      <c r="C56" s="12"/>
      <c r="D56" s="12"/>
      <c r="E56" s="12"/>
      <c r="F56" s="12"/>
      <c r="G56" s="12"/>
      <c r="H56" s="12"/>
      <c r="I56" s="12"/>
    </row>
    <row r="57" spans="1:9" ht="19.95" customHeight="1">
      <c r="A57" s="12"/>
      <c r="B57" s="12"/>
      <c r="C57" s="12"/>
      <c r="D57" s="12"/>
      <c r="E57" s="12"/>
      <c r="F57" s="12"/>
      <c r="G57" s="12"/>
      <c r="H57" s="12"/>
      <c r="I57" s="12"/>
    </row>
    <row r="58" spans="1:9" ht="19.95" customHeight="1">
      <c r="A58" s="12"/>
      <c r="B58" s="12"/>
      <c r="C58" s="12"/>
      <c r="D58" s="12"/>
      <c r="E58" s="12"/>
      <c r="F58" s="12"/>
      <c r="G58" s="12"/>
      <c r="H58" s="12"/>
      <c r="I58" s="12"/>
    </row>
    <row r="59" spans="1:9" ht="19.95" customHeight="1">
      <c r="A59" s="12"/>
      <c r="B59" s="12"/>
      <c r="C59" s="12"/>
      <c r="D59" s="12"/>
      <c r="E59" s="12"/>
      <c r="F59" s="12"/>
      <c r="G59" s="12"/>
      <c r="H59" s="12"/>
      <c r="I59" s="12"/>
    </row>
    <row r="60" spans="1:9" ht="19.95" customHeight="1">
      <c r="A60" s="12"/>
      <c r="B60" s="12"/>
      <c r="C60" s="12"/>
      <c r="D60" s="12"/>
      <c r="E60" s="12"/>
      <c r="F60" s="12"/>
      <c r="G60" s="12"/>
      <c r="H60" s="12"/>
      <c r="I60" s="12"/>
    </row>
    <row r="61" spans="1:9" ht="19.95" customHeight="1">
      <c r="A61" s="12"/>
      <c r="B61" s="12"/>
      <c r="C61" s="12"/>
      <c r="D61" s="12"/>
      <c r="E61" s="12"/>
      <c r="F61" s="12"/>
      <c r="G61" s="12"/>
      <c r="H61" s="12"/>
      <c r="I61" s="12"/>
    </row>
    <row r="62" spans="1:9" ht="19.95" customHeight="1">
      <c r="A62" s="12"/>
      <c r="B62" s="12"/>
      <c r="C62" s="12"/>
      <c r="D62" s="12"/>
      <c r="E62" s="12"/>
      <c r="F62" s="12"/>
      <c r="G62" s="12"/>
      <c r="H62" s="12"/>
      <c r="I62" s="12"/>
    </row>
    <row r="63" spans="1:9" ht="19.95" customHeight="1">
      <c r="A63" s="12"/>
      <c r="B63" s="12"/>
      <c r="C63" s="12"/>
      <c r="D63" s="12"/>
      <c r="E63" s="12"/>
      <c r="F63" s="12"/>
      <c r="G63" s="12"/>
      <c r="H63" s="12"/>
      <c r="I63" s="12"/>
    </row>
    <row r="64" spans="1:9" ht="19.95" customHeight="1">
      <c r="A64" s="12"/>
      <c r="B64" s="12"/>
      <c r="C64" s="12"/>
      <c r="D64" s="12"/>
      <c r="E64" s="12"/>
      <c r="F64" s="12"/>
      <c r="G64" s="12"/>
      <c r="H64" s="12"/>
      <c r="I64" s="12"/>
    </row>
    <row r="65" spans="1:9" ht="19.95" customHeight="1">
      <c r="A65" s="12"/>
      <c r="B65" s="12"/>
      <c r="C65" s="12"/>
      <c r="D65" s="12"/>
      <c r="E65" s="12"/>
      <c r="F65" s="12"/>
      <c r="G65" s="12"/>
      <c r="H65" s="12"/>
      <c r="I65" s="12"/>
    </row>
    <row r="66" spans="1:9" ht="19.95" customHeight="1">
      <c r="A66" s="12"/>
      <c r="B66" s="12"/>
      <c r="C66" s="12"/>
      <c r="D66" s="12"/>
      <c r="E66" s="12"/>
      <c r="F66" s="12"/>
      <c r="G66" s="12"/>
      <c r="H66" s="12"/>
      <c r="I66" s="12"/>
    </row>
    <row r="67" spans="1:9" ht="19.95" customHeight="1">
      <c r="A67" s="12"/>
      <c r="B67" s="12"/>
      <c r="C67" s="12"/>
      <c r="D67" s="12"/>
      <c r="E67" s="12"/>
      <c r="F67" s="12"/>
      <c r="G67" s="12"/>
      <c r="H67" s="12"/>
      <c r="I67" s="12"/>
    </row>
  </sheetData>
  <mergeCells count="21">
    <mergeCell ref="D29:F29"/>
    <mergeCell ref="A29:B29"/>
    <mergeCell ref="D16:F16"/>
    <mergeCell ref="A1:G1"/>
    <mergeCell ref="A2:G2"/>
    <mergeCell ref="A14:C14"/>
    <mergeCell ref="D14:G14"/>
    <mergeCell ref="D15:F15"/>
    <mergeCell ref="D28:F28"/>
    <mergeCell ref="D17:F17"/>
    <mergeCell ref="D18:F18"/>
    <mergeCell ref="D19:F19"/>
    <mergeCell ref="D20:F20"/>
    <mergeCell ref="D21:F21"/>
    <mergeCell ref="D22:F22"/>
    <mergeCell ref="D23:F23"/>
    <mergeCell ref="A11:G11"/>
    <mergeCell ref="D25:F25"/>
    <mergeCell ref="D26:F26"/>
    <mergeCell ref="D27:F27"/>
    <mergeCell ref="D24:F24"/>
  </mergeCells>
  <phoneticPr fontId="1" type="noConversion"/>
  <hyperlinks>
    <hyperlink ref="G3" location="底稿目录!A1" display="底稿目录!A1"/>
  </hyperlinks>
  <printOptions horizontalCentered="1"/>
  <pageMargins left="0.7" right="0.7" top="0.75" bottom="0.75" header="0.3" footer="0.3"/>
  <pageSetup paperSize="9" scale="90" fitToHeight="100" orientation="portrait" blackAndWhite="1" cellComments="atEnd"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8"/>
  <sheetViews>
    <sheetView showZeros="0" view="pageBreakPreview" zoomScaleNormal="115" zoomScaleSheetLayoutView="100" workbookViewId="0">
      <selection sqref="A1:H1"/>
    </sheetView>
  </sheetViews>
  <sheetFormatPr defaultColWidth="9" defaultRowHeight="19.95" customHeight="1"/>
  <cols>
    <col min="1" max="1" width="8.77734375" style="35" customWidth="1"/>
    <col min="2" max="2" width="8.33203125" style="35" customWidth="1"/>
    <col min="3" max="3" width="11" style="35" customWidth="1"/>
    <col min="4" max="4" width="13.77734375" style="35" customWidth="1"/>
    <col min="5" max="5" width="5.6640625" style="35" customWidth="1"/>
    <col min="6" max="6" width="11.6640625" style="35" customWidth="1"/>
    <col min="7" max="7" width="24.88671875" style="35" customWidth="1"/>
    <col min="8" max="8" width="14.21875" style="35" customWidth="1"/>
    <col min="9" max="16384" width="9" style="35"/>
  </cols>
  <sheetData>
    <row r="1" spans="1:12" ht="19.95" customHeight="1">
      <c r="A1" s="509" t="s">
        <v>1</v>
      </c>
      <c r="B1" s="509"/>
      <c r="C1" s="509"/>
      <c r="D1" s="509"/>
      <c r="E1" s="509"/>
      <c r="F1" s="509"/>
      <c r="G1" s="509"/>
      <c r="H1" s="509"/>
    </row>
    <row r="2" spans="1:12" ht="19.95" customHeight="1">
      <c r="A2" s="459" t="s">
        <v>329</v>
      </c>
      <c r="B2" s="459"/>
      <c r="C2" s="459"/>
      <c r="D2" s="459"/>
      <c r="E2" s="459"/>
      <c r="F2" s="459"/>
      <c r="G2" s="459"/>
      <c r="H2" s="459"/>
    </row>
    <row r="3" spans="1:12" s="12" customFormat="1" ht="19.95" customHeight="1">
      <c r="A3" s="14" t="str">
        <f>底稿目录!A2</f>
        <v>被审计单位：</v>
      </c>
      <c r="B3" s="14"/>
      <c r="D3" s="15" t="str">
        <f>底稿目录!A4</f>
        <v>编制人：</v>
      </c>
      <c r="E3" s="68" t="str">
        <f>底稿目录!A5</f>
        <v>编制日期：</v>
      </c>
      <c r="G3" s="22" t="s">
        <v>316</v>
      </c>
      <c r="H3" s="382" t="str">
        <f>底稿目录!F14</f>
        <v>E1-8</v>
      </c>
    </row>
    <row r="4" spans="1:12" s="12" customFormat="1" ht="19.95" customHeight="1">
      <c r="A4" s="14" t="str">
        <f>底稿目录!A3</f>
        <v>截止日：202X年12月31日</v>
      </c>
      <c r="B4" s="16"/>
      <c r="D4" s="15" t="str">
        <f>底稿目录!A6</f>
        <v>复核人：</v>
      </c>
      <c r="E4" s="68" t="str">
        <f>底稿目录!A7</f>
        <v>复核日期：</v>
      </c>
      <c r="G4" s="22" t="s">
        <v>125</v>
      </c>
    </row>
    <row r="5" spans="1:12" s="12" customFormat="1" ht="19.95" customHeight="1">
      <c r="A5" s="23" t="s">
        <v>7</v>
      </c>
    </row>
    <row r="6" spans="1:12" s="12" customFormat="1" ht="19.95" customHeight="1">
      <c r="A6" s="12" t="s">
        <v>396</v>
      </c>
      <c r="B6" s="290"/>
      <c r="C6" s="290"/>
      <c r="D6" s="290"/>
      <c r="E6" s="290"/>
      <c r="F6" s="290"/>
      <c r="G6" s="290"/>
      <c r="H6" s="290"/>
    </row>
    <row r="7" spans="1:12" s="12" customFormat="1" ht="19.95" customHeight="1">
      <c r="A7" s="291" t="s">
        <v>397</v>
      </c>
      <c r="B7" s="289"/>
      <c r="C7" s="289"/>
      <c r="D7" s="289"/>
      <c r="E7" s="289"/>
      <c r="F7" s="289"/>
      <c r="G7" s="289"/>
      <c r="H7" s="289"/>
    </row>
    <row r="8" spans="1:12" s="12" customFormat="1" ht="19.95" customHeight="1">
      <c r="A8" s="291" t="s">
        <v>398</v>
      </c>
      <c r="B8" s="289"/>
      <c r="C8" s="289"/>
      <c r="D8" s="289"/>
      <c r="E8" s="289"/>
      <c r="F8" s="289"/>
      <c r="G8" s="289"/>
      <c r="H8" s="289"/>
    </row>
    <row r="9" spans="1:12" s="12" customFormat="1" ht="19.95" customHeight="1">
      <c r="A9" s="291" t="s">
        <v>399</v>
      </c>
      <c r="B9" s="289"/>
      <c r="C9" s="289"/>
      <c r="D9" s="289"/>
      <c r="E9" s="289"/>
      <c r="F9" s="289"/>
      <c r="G9" s="289"/>
      <c r="H9" s="289"/>
    </row>
    <row r="10" spans="1:12" s="12" customFormat="1" ht="19.95" customHeight="1">
      <c r="A10" s="7" t="s">
        <v>9</v>
      </c>
      <c r="I10" s="147"/>
      <c r="J10" s="147"/>
      <c r="K10" s="147"/>
      <c r="L10" s="147"/>
    </row>
    <row r="11" spans="1:12" s="12" customFormat="1" ht="32.4" customHeight="1">
      <c r="A11" s="502" t="s">
        <v>330</v>
      </c>
      <c r="B11" s="502"/>
      <c r="C11" s="502"/>
      <c r="D11" s="502"/>
      <c r="E11" s="502"/>
      <c r="F11" s="502"/>
      <c r="G11" s="502"/>
      <c r="H11" s="502"/>
      <c r="I11" s="233"/>
      <c r="J11" s="233"/>
      <c r="K11" s="233"/>
      <c r="L11" s="233"/>
    </row>
    <row r="12" spans="1:12" s="12" customFormat="1" ht="19.95" customHeight="1">
      <c r="A12" s="12" t="s">
        <v>331</v>
      </c>
    </row>
    <row r="13" spans="1:12" s="12" customFormat="1" ht="19.95" customHeight="1">
      <c r="A13" s="12" t="s">
        <v>402</v>
      </c>
      <c r="B13" s="36"/>
      <c r="C13" s="36"/>
      <c r="D13" s="36"/>
      <c r="E13" s="36"/>
      <c r="F13" s="36"/>
      <c r="G13" s="36"/>
      <c r="H13" s="36"/>
    </row>
    <row r="14" spans="1:12" s="12" customFormat="1" ht="19.95" customHeight="1">
      <c r="A14" s="510" t="s">
        <v>33</v>
      </c>
      <c r="B14" s="511"/>
      <c r="C14" s="511"/>
      <c r="D14" s="512"/>
      <c r="E14" s="510" t="s">
        <v>34</v>
      </c>
      <c r="F14" s="511"/>
      <c r="G14" s="511"/>
      <c r="H14" s="512"/>
    </row>
    <row r="15" spans="1:12" s="12" customFormat="1" ht="19.95" customHeight="1">
      <c r="A15" s="144" t="s">
        <v>35</v>
      </c>
      <c r="B15" s="144" t="s">
        <v>36</v>
      </c>
      <c r="C15" s="144" t="s">
        <v>37</v>
      </c>
      <c r="D15" s="144" t="s">
        <v>38</v>
      </c>
      <c r="E15" s="468" t="s">
        <v>318</v>
      </c>
      <c r="F15" s="468"/>
      <c r="G15" s="468"/>
      <c r="H15" s="144" t="s">
        <v>319</v>
      </c>
    </row>
    <row r="16" spans="1:12" s="12" customFormat="1" ht="19.95" customHeight="1">
      <c r="A16" s="73"/>
      <c r="B16" s="74"/>
      <c r="C16" s="117">
        <f t="shared" ref="C16:C30" si="0">A16*B16</f>
        <v>0</v>
      </c>
      <c r="D16" s="117">
        <f>C16*$H$36</f>
        <v>0</v>
      </c>
      <c r="E16" s="503" t="s">
        <v>25</v>
      </c>
      <c r="F16" s="503"/>
      <c r="G16" s="503"/>
      <c r="H16" s="41"/>
    </row>
    <row r="17" spans="1:8" s="12" customFormat="1" ht="19.95" customHeight="1">
      <c r="A17" s="73"/>
      <c r="B17" s="146"/>
      <c r="C17" s="117">
        <f t="shared" si="0"/>
        <v>0</v>
      </c>
      <c r="D17" s="117">
        <f t="shared" ref="D17:D30" si="1">C17*$H$36</f>
        <v>0</v>
      </c>
      <c r="E17" s="520" t="s">
        <v>320</v>
      </c>
      <c r="F17" s="520"/>
      <c r="G17" s="520"/>
      <c r="H17" s="41"/>
    </row>
    <row r="18" spans="1:8" s="12" customFormat="1" ht="19.95" customHeight="1">
      <c r="A18" s="67">
        <v>100</v>
      </c>
      <c r="B18" s="146"/>
      <c r="C18" s="117">
        <f t="shared" si="0"/>
        <v>0</v>
      </c>
      <c r="D18" s="117">
        <f t="shared" si="1"/>
        <v>0</v>
      </c>
      <c r="E18" s="521" t="s">
        <v>40</v>
      </c>
      <c r="F18" s="522"/>
      <c r="G18" s="523"/>
      <c r="H18" s="41"/>
    </row>
    <row r="19" spans="1:8" s="12" customFormat="1" ht="19.95" customHeight="1">
      <c r="A19" s="67">
        <v>50</v>
      </c>
      <c r="B19" s="146"/>
      <c r="C19" s="117">
        <f t="shared" si="0"/>
        <v>0</v>
      </c>
      <c r="D19" s="117">
        <f t="shared" si="1"/>
        <v>0</v>
      </c>
      <c r="E19" s="517" t="s">
        <v>39</v>
      </c>
      <c r="F19" s="518"/>
      <c r="G19" s="519"/>
      <c r="H19" s="117">
        <f>H16+H17-H18</f>
        <v>0</v>
      </c>
    </row>
    <row r="20" spans="1:8" s="12" customFormat="1" ht="19.95" customHeight="1">
      <c r="A20" s="67">
        <v>20</v>
      </c>
      <c r="B20" s="40"/>
      <c r="C20" s="117">
        <f t="shared" si="0"/>
        <v>0</v>
      </c>
      <c r="D20" s="117">
        <f t="shared" si="1"/>
        <v>0</v>
      </c>
      <c r="E20" s="514" t="s">
        <v>321</v>
      </c>
      <c r="F20" s="515"/>
      <c r="G20" s="516"/>
      <c r="H20" s="41"/>
    </row>
    <row r="21" spans="1:8" s="12" customFormat="1" ht="19.95" customHeight="1">
      <c r="A21" s="67">
        <v>10</v>
      </c>
      <c r="B21" s="40"/>
      <c r="C21" s="117">
        <f t="shared" si="0"/>
        <v>0</v>
      </c>
      <c r="D21" s="117">
        <f t="shared" si="1"/>
        <v>0</v>
      </c>
      <c r="E21" s="514" t="s">
        <v>322</v>
      </c>
      <c r="F21" s="515"/>
      <c r="G21" s="516"/>
      <c r="H21" s="41"/>
    </row>
    <row r="22" spans="1:8" s="12" customFormat="1" ht="19.95" customHeight="1">
      <c r="A22" s="67">
        <v>5</v>
      </c>
      <c r="B22" s="40"/>
      <c r="C22" s="117">
        <f t="shared" si="0"/>
        <v>0</v>
      </c>
      <c r="D22" s="117">
        <f t="shared" si="1"/>
        <v>0</v>
      </c>
      <c r="E22" s="514" t="s">
        <v>323</v>
      </c>
      <c r="F22" s="515"/>
      <c r="G22" s="516"/>
      <c r="H22" s="41"/>
    </row>
    <row r="23" spans="1:8" s="12" customFormat="1" ht="19.95" customHeight="1">
      <c r="A23" s="67">
        <v>2</v>
      </c>
      <c r="B23" s="40"/>
      <c r="C23" s="117">
        <f t="shared" si="0"/>
        <v>0</v>
      </c>
      <c r="D23" s="117">
        <f t="shared" si="1"/>
        <v>0</v>
      </c>
      <c r="E23" s="514" t="s">
        <v>324</v>
      </c>
      <c r="F23" s="515"/>
      <c r="G23" s="516"/>
      <c r="H23" s="41"/>
    </row>
    <row r="24" spans="1:8" s="12" customFormat="1" ht="19.95" customHeight="1">
      <c r="A24" s="67">
        <v>1</v>
      </c>
      <c r="B24" s="40"/>
      <c r="C24" s="117">
        <f t="shared" si="0"/>
        <v>0</v>
      </c>
      <c r="D24" s="117">
        <f t="shared" si="1"/>
        <v>0</v>
      </c>
      <c r="E24" s="503" t="s">
        <v>47</v>
      </c>
      <c r="F24" s="503"/>
      <c r="G24" s="503"/>
      <c r="H24" s="117">
        <f>H19+H20-H21+H22-H23</f>
        <v>0</v>
      </c>
    </row>
    <row r="25" spans="1:8" s="12" customFormat="1" ht="19.95" customHeight="1">
      <c r="A25" s="67">
        <v>0.5</v>
      </c>
      <c r="B25" s="40"/>
      <c r="C25" s="117">
        <f t="shared" si="0"/>
        <v>0</v>
      </c>
      <c r="D25" s="117">
        <f t="shared" si="1"/>
        <v>0</v>
      </c>
      <c r="E25" s="503" t="s">
        <v>26</v>
      </c>
      <c r="F25" s="503"/>
      <c r="G25" s="503"/>
      <c r="H25" s="117">
        <f>C31</f>
        <v>0</v>
      </c>
    </row>
    <row r="26" spans="1:8" s="12" customFormat="1" ht="19.95" customHeight="1">
      <c r="A26" s="67">
        <v>0.2</v>
      </c>
      <c r="B26" s="40"/>
      <c r="C26" s="117">
        <f t="shared" si="0"/>
        <v>0</v>
      </c>
      <c r="D26" s="117">
        <f t="shared" si="1"/>
        <v>0</v>
      </c>
      <c r="E26" s="503" t="s">
        <v>27</v>
      </c>
      <c r="F26" s="503"/>
      <c r="G26" s="503"/>
      <c r="H26" s="117">
        <f>H25-H24</f>
        <v>0</v>
      </c>
    </row>
    <row r="27" spans="1:8" s="12" customFormat="1" ht="19.95" customHeight="1">
      <c r="A27" s="67">
        <v>0.1</v>
      </c>
      <c r="B27" s="40"/>
      <c r="C27" s="117">
        <f t="shared" si="0"/>
        <v>0</v>
      </c>
      <c r="D27" s="117">
        <f t="shared" si="1"/>
        <v>0</v>
      </c>
      <c r="E27" s="503" t="s">
        <v>325</v>
      </c>
      <c r="F27" s="503"/>
      <c r="G27" s="503"/>
      <c r="H27" s="117">
        <f>IF(H26&gt;0,H26,)</f>
        <v>0</v>
      </c>
    </row>
    <row r="28" spans="1:8" s="12" customFormat="1" ht="19.95" customHeight="1">
      <c r="A28" s="67">
        <v>0.05</v>
      </c>
      <c r="B28" s="40"/>
      <c r="C28" s="117">
        <f t="shared" si="0"/>
        <v>0</v>
      </c>
      <c r="D28" s="117">
        <f t="shared" si="1"/>
        <v>0</v>
      </c>
      <c r="E28" s="503" t="s">
        <v>326</v>
      </c>
      <c r="F28" s="503"/>
      <c r="G28" s="503"/>
      <c r="H28" s="117">
        <f>IF(H26&lt;0,H26,)</f>
        <v>0</v>
      </c>
    </row>
    <row r="29" spans="1:8" s="12" customFormat="1" ht="19.95" customHeight="1">
      <c r="A29" s="67">
        <v>0.02</v>
      </c>
      <c r="B29" s="40"/>
      <c r="C29" s="117">
        <f t="shared" si="0"/>
        <v>0</v>
      </c>
      <c r="D29" s="117">
        <f t="shared" si="1"/>
        <v>0</v>
      </c>
      <c r="E29" s="524"/>
      <c r="F29" s="524"/>
      <c r="G29" s="524"/>
      <c r="H29" s="41"/>
    </row>
    <row r="30" spans="1:8" s="12" customFormat="1" ht="19.95" customHeight="1">
      <c r="A30" s="67">
        <v>0.01</v>
      </c>
      <c r="B30" s="40"/>
      <c r="C30" s="117">
        <f t="shared" si="0"/>
        <v>0</v>
      </c>
      <c r="D30" s="117">
        <f t="shared" si="1"/>
        <v>0</v>
      </c>
      <c r="E30" s="524"/>
      <c r="F30" s="524"/>
      <c r="G30" s="524"/>
      <c r="H30" s="41"/>
    </row>
    <row r="31" spans="1:8" s="12" customFormat="1" ht="19.95" customHeight="1">
      <c r="A31" s="507" t="s">
        <v>327</v>
      </c>
      <c r="B31" s="508"/>
      <c r="C31" s="118">
        <f>SUM(C16:C30)</f>
        <v>0</v>
      </c>
      <c r="D31" s="118">
        <f>SUM(D16:D30)</f>
        <v>0</v>
      </c>
      <c r="E31" s="504"/>
      <c r="F31" s="505"/>
      <c r="G31" s="506"/>
      <c r="H31" s="41"/>
    </row>
    <row r="32" spans="1:8" s="12" customFormat="1" ht="19.95" customHeight="1">
      <c r="A32" s="10" t="s">
        <v>28</v>
      </c>
      <c r="B32" s="10"/>
      <c r="C32" s="10"/>
      <c r="D32" s="10" t="s">
        <v>2</v>
      </c>
      <c r="F32" s="10" t="s">
        <v>328</v>
      </c>
      <c r="G32" s="66"/>
      <c r="H32" s="10" t="s">
        <v>2</v>
      </c>
    </row>
    <row r="33" spans="1:10" s="12" customFormat="1" ht="19.95" customHeight="1">
      <c r="A33" s="10" t="s">
        <v>29</v>
      </c>
      <c r="B33" s="10"/>
      <c r="C33" s="10"/>
      <c r="D33" s="10" t="s">
        <v>2</v>
      </c>
      <c r="G33" s="66"/>
      <c r="H33" s="10"/>
    </row>
    <row r="34" spans="1:10" s="12" customFormat="1" ht="19.95" customHeight="1">
      <c r="A34" s="7" t="s">
        <v>20</v>
      </c>
    </row>
    <row r="35" spans="1:10" s="12" customFormat="1" ht="19.95" customHeight="1">
      <c r="A35" s="22" t="s">
        <v>8</v>
      </c>
      <c r="B35" s="42" t="s">
        <v>30</v>
      </c>
      <c r="F35" s="22"/>
      <c r="G35" s="12" t="s">
        <v>31</v>
      </c>
    </row>
    <row r="36" spans="1:10" s="12" customFormat="1" ht="19.95" customHeight="1">
      <c r="G36" s="12" t="s">
        <v>32</v>
      </c>
      <c r="H36" s="48">
        <v>8.8887999999999998</v>
      </c>
    </row>
    <row r="37" spans="1:10" s="12" customFormat="1" ht="19.95" customHeight="1">
      <c r="G37" s="12" t="s">
        <v>332</v>
      </c>
      <c r="H37" s="119">
        <f>H16</f>
        <v>0</v>
      </c>
    </row>
    <row r="38" spans="1:10" s="12" customFormat="1" ht="19.95" customHeight="1">
      <c r="G38" s="12" t="s">
        <v>333</v>
      </c>
      <c r="H38" s="120">
        <f>H16*H36</f>
        <v>0</v>
      </c>
    </row>
    <row r="39" spans="1:10" s="12" customFormat="1" ht="19.95" customHeight="1">
      <c r="G39" s="12" t="s">
        <v>334</v>
      </c>
      <c r="H39" s="120">
        <f>H38-H37</f>
        <v>0</v>
      </c>
    </row>
    <row r="40" spans="1:10" s="12" customFormat="1" ht="19.95" customHeight="1">
      <c r="A40" s="7" t="s">
        <v>18</v>
      </c>
    </row>
    <row r="41" spans="1:10" s="12" customFormat="1" ht="19.95" customHeight="1">
      <c r="A41" s="49"/>
    </row>
    <row r="42" spans="1:10" s="44" customFormat="1" ht="19.95" customHeight="1">
      <c r="A42" s="321" t="s">
        <v>403</v>
      </c>
      <c r="B42" s="43"/>
      <c r="C42" s="43"/>
      <c r="D42" s="43"/>
      <c r="E42" s="43"/>
      <c r="F42" s="43"/>
      <c r="G42" s="525"/>
      <c r="H42" s="525"/>
      <c r="I42" s="43"/>
      <c r="J42" s="43"/>
    </row>
    <row r="43" spans="1:10" ht="19.95" customHeight="1">
      <c r="A43" s="27" t="s">
        <v>404</v>
      </c>
      <c r="B43" s="27"/>
      <c r="C43" s="12"/>
      <c r="D43" s="12"/>
      <c r="E43" s="12"/>
      <c r="F43" s="12"/>
      <c r="G43" s="12"/>
      <c r="H43" s="12"/>
      <c r="I43" s="12"/>
      <c r="J43" s="12"/>
    </row>
    <row r="44" spans="1:10" ht="19.95" customHeight="1">
      <c r="A44" s="12"/>
      <c r="B44" s="12"/>
      <c r="C44" s="12"/>
      <c r="D44" s="12"/>
      <c r="E44" s="12"/>
      <c r="F44" s="12"/>
      <c r="G44" s="12"/>
      <c r="H44" s="12"/>
      <c r="I44" s="12"/>
      <c r="J44" s="12"/>
    </row>
    <row r="45" spans="1:10" ht="19.95" customHeight="1">
      <c r="A45" s="27"/>
      <c r="B45" s="27"/>
      <c r="C45" s="45"/>
      <c r="D45" s="31"/>
      <c r="E45" s="31"/>
      <c r="F45" s="31"/>
      <c r="G45" s="31"/>
      <c r="H45" s="31"/>
      <c r="I45" s="12"/>
      <c r="J45" s="12"/>
    </row>
    <row r="46" spans="1:10" ht="19.95" customHeight="1">
      <c r="A46" s="27"/>
      <c r="B46" s="27"/>
      <c r="C46" s="45"/>
      <c r="D46" s="31"/>
      <c r="E46" s="31"/>
      <c r="F46" s="31"/>
      <c r="G46" s="31"/>
      <c r="H46" s="31"/>
      <c r="I46" s="12"/>
      <c r="J46" s="12"/>
    </row>
    <row r="47" spans="1:10" ht="19.95" customHeight="1">
      <c r="A47" s="27"/>
      <c r="B47" s="27"/>
      <c r="C47" s="45"/>
      <c r="D47" s="31"/>
      <c r="E47" s="31"/>
      <c r="F47" s="31"/>
      <c r="G47" s="31"/>
      <c r="H47" s="31"/>
      <c r="I47" s="12"/>
      <c r="J47" s="12"/>
    </row>
    <row r="48" spans="1:10" ht="19.95" customHeight="1">
      <c r="A48" s="27"/>
      <c r="B48" s="27"/>
      <c r="C48" s="45"/>
      <c r="D48" s="31"/>
      <c r="E48" s="31"/>
      <c r="F48" s="31"/>
      <c r="G48" s="31"/>
      <c r="H48" s="31"/>
      <c r="I48" s="12"/>
      <c r="J48" s="12"/>
    </row>
    <row r="49" spans="1:10" ht="19.95" customHeight="1">
      <c r="A49" s="12"/>
      <c r="B49" s="12"/>
      <c r="C49" s="12"/>
      <c r="D49" s="12"/>
      <c r="E49" s="12"/>
      <c r="F49" s="12"/>
      <c r="G49" s="12"/>
      <c r="H49" s="12"/>
      <c r="I49" s="12"/>
      <c r="J49" s="12"/>
    </row>
    <row r="50" spans="1:10" ht="19.95" customHeight="1">
      <c r="A50" s="12"/>
      <c r="B50" s="12"/>
      <c r="C50" s="12"/>
      <c r="D50" s="12"/>
      <c r="E50" s="12"/>
      <c r="F50" s="12"/>
      <c r="G50" s="12"/>
      <c r="H50" s="12"/>
      <c r="I50" s="12"/>
      <c r="J50" s="12"/>
    </row>
    <row r="51" spans="1:10" ht="19.95" customHeight="1">
      <c r="A51" s="12"/>
      <c r="B51" s="12"/>
      <c r="C51" s="12"/>
      <c r="D51" s="12"/>
      <c r="E51" s="12"/>
      <c r="F51" s="12"/>
      <c r="G51" s="12"/>
      <c r="H51" s="12"/>
      <c r="I51" s="12"/>
      <c r="J51" s="12"/>
    </row>
    <row r="52" spans="1:10" ht="19.95" customHeight="1">
      <c r="A52" s="12"/>
      <c r="B52" s="12"/>
      <c r="C52" s="12"/>
      <c r="D52" s="12"/>
      <c r="E52" s="12"/>
      <c r="F52" s="12"/>
      <c r="G52" s="12"/>
      <c r="H52" s="12"/>
      <c r="I52" s="12"/>
      <c r="J52" s="12"/>
    </row>
    <row r="53" spans="1:10" ht="19.95" customHeight="1">
      <c r="A53" s="12"/>
      <c r="B53" s="12"/>
      <c r="C53" s="12"/>
      <c r="D53" s="12"/>
      <c r="E53" s="12"/>
      <c r="F53" s="12"/>
      <c r="G53" s="12"/>
      <c r="H53" s="12"/>
      <c r="I53" s="12"/>
      <c r="J53" s="12"/>
    </row>
    <row r="54" spans="1:10" ht="19.95" customHeight="1">
      <c r="A54" s="12"/>
      <c r="B54" s="12"/>
      <c r="C54" s="12"/>
      <c r="D54" s="12"/>
      <c r="E54" s="12"/>
      <c r="F54" s="12"/>
      <c r="G54" s="12"/>
      <c r="H54" s="12"/>
      <c r="I54" s="12"/>
      <c r="J54" s="12"/>
    </row>
    <row r="55" spans="1:10" ht="19.95" customHeight="1">
      <c r="A55" s="12"/>
      <c r="B55" s="12"/>
      <c r="C55" s="12"/>
      <c r="D55" s="12"/>
      <c r="E55" s="12"/>
      <c r="F55" s="12"/>
      <c r="G55" s="12"/>
      <c r="H55" s="12"/>
      <c r="I55" s="12"/>
      <c r="J55" s="12"/>
    </row>
    <row r="56" spans="1:10" ht="19.95" customHeight="1">
      <c r="A56" s="12"/>
      <c r="B56" s="12"/>
      <c r="C56" s="12"/>
      <c r="D56" s="12"/>
      <c r="E56" s="12"/>
      <c r="F56" s="12"/>
      <c r="G56" s="12"/>
      <c r="H56" s="12"/>
      <c r="I56" s="12"/>
      <c r="J56" s="12"/>
    </row>
    <row r="57" spans="1:10" ht="19.95" customHeight="1">
      <c r="A57" s="12"/>
      <c r="B57" s="12"/>
      <c r="C57" s="12"/>
      <c r="D57" s="12"/>
      <c r="E57" s="12"/>
      <c r="F57" s="12"/>
      <c r="G57" s="12"/>
      <c r="H57" s="12"/>
      <c r="I57" s="12"/>
      <c r="J57" s="12"/>
    </row>
    <row r="58" spans="1:10" ht="19.95" customHeight="1">
      <c r="A58" s="12"/>
      <c r="B58" s="12"/>
      <c r="C58" s="12"/>
      <c r="D58" s="12"/>
      <c r="E58" s="12"/>
      <c r="F58" s="12"/>
      <c r="G58" s="12"/>
      <c r="H58" s="12"/>
      <c r="I58" s="12"/>
      <c r="J58" s="12"/>
    </row>
    <row r="59" spans="1:10" ht="19.95" customHeight="1">
      <c r="A59" s="12"/>
      <c r="B59" s="12"/>
      <c r="C59" s="12"/>
      <c r="D59" s="12"/>
      <c r="E59" s="12"/>
      <c r="F59" s="12"/>
      <c r="G59" s="12"/>
      <c r="H59" s="12"/>
      <c r="I59" s="12"/>
      <c r="J59" s="12"/>
    </row>
    <row r="60" spans="1:10" ht="19.95" customHeight="1">
      <c r="A60" s="12"/>
      <c r="B60" s="12"/>
      <c r="C60" s="12"/>
      <c r="D60" s="12"/>
      <c r="E60" s="12"/>
      <c r="F60" s="12"/>
      <c r="G60" s="12"/>
      <c r="H60" s="12"/>
      <c r="I60" s="12"/>
      <c r="J60" s="12"/>
    </row>
    <row r="61" spans="1:10" ht="19.95" customHeight="1">
      <c r="A61" s="12"/>
      <c r="B61" s="12"/>
      <c r="C61" s="12"/>
      <c r="D61" s="12"/>
      <c r="E61" s="12"/>
      <c r="F61" s="12"/>
      <c r="G61" s="12"/>
      <c r="H61" s="12"/>
      <c r="I61" s="12"/>
      <c r="J61" s="12"/>
    </row>
    <row r="62" spans="1:10" ht="19.95" customHeight="1">
      <c r="A62" s="12"/>
      <c r="B62" s="12"/>
      <c r="C62" s="12"/>
      <c r="D62" s="12"/>
      <c r="E62" s="12"/>
      <c r="F62" s="12"/>
      <c r="G62" s="12"/>
      <c r="H62" s="12"/>
      <c r="I62" s="12"/>
      <c r="J62" s="12"/>
    </row>
    <row r="63" spans="1:10" ht="19.95" customHeight="1">
      <c r="A63" s="12"/>
      <c r="B63" s="12"/>
      <c r="C63" s="12"/>
      <c r="D63" s="12"/>
      <c r="E63" s="12"/>
      <c r="F63" s="12"/>
      <c r="G63" s="12"/>
      <c r="H63" s="12"/>
      <c r="I63" s="12"/>
      <c r="J63" s="12"/>
    </row>
    <row r="64" spans="1:10" ht="19.95" customHeight="1">
      <c r="A64" s="12"/>
      <c r="B64" s="12"/>
      <c r="C64" s="12"/>
      <c r="D64" s="12"/>
      <c r="E64" s="12"/>
      <c r="F64" s="12"/>
      <c r="G64" s="12"/>
      <c r="H64" s="12"/>
      <c r="I64" s="12"/>
      <c r="J64" s="12"/>
    </row>
    <row r="65" spans="1:10" ht="19.95" customHeight="1">
      <c r="A65" s="12"/>
      <c r="B65" s="12"/>
      <c r="C65" s="12"/>
      <c r="D65" s="12"/>
      <c r="E65" s="12"/>
      <c r="F65" s="12"/>
      <c r="G65" s="12"/>
      <c r="H65" s="12"/>
      <c r="I65" s="12"/>
      <c r="J65" s="12"/>
    </row>
    <row r="66" spans="1:10" ht="19.95" customHeight="1">
      <c r="A66" s="12"/>
      <c r="B66" s="12"/>
      <c r="C66" s="12"/>
      <c r="D66" s="12"/>
      <c r="E66" s="12"/>
      <c r="F66" s="12"/>
      <c r="G66" s="12"/>
      <c r="H66" s="12"/>
      <c r="I66" s="12"/>
      <c r="J66" s="12"/>
    </row>
    <row r="67" spans="1:10" ht="19.95" customHeight="1">
      <c r="A67" s="12"/>
      <c r="B67" s="12"/>
      <c r="C67" s="12"/>
      <c r="D67" s="12"/>
      <c r="E67" s="12"/>
      <c r="F67" s="12"/>
      <c r="G67" s="12"/>
      <c r="H67" s="12"/>
      <c r="I67" s="12"/>
      <c r="J67" s="12"/>
    </row>
    <row r="68" spans="1:10" ht="19.95" customHeight="1">
      <c r="A68" s="12"/>
      <c r="B68" s="12"/>
      <c r="C68" s="12"/>
      <c r="D68" s="12"/>
      <c r="E68" s="12"/>
      <c r="F68" s="12"/>
      <c r="G68" s="12"/>
      <c r="H68" s="12"/>
      <c r="I68" s="12"/>
      <c r="J68" s="12"/>
    </row>
    <row r="69" spans="1:10" ht="19.95" customHeight="1">
      <c r="A69" s="12"/>
      <c r="B69" s="12"/>
      <c r="C69" s="12"/>
      <c r="D69" s="12"/>
      <c r="E69" s="12"/>
      <c r="F69" s="12"/>
      <c r="G69" s="12"/>
      <c r="H69" s="12"/>
      <c r="I69" s="12"/>
      <c r="J69" s="12"/>
    </row>
    <row r="70" spans="1:10" ht="19.95" customHeight="1">
      <c r="A70" s="12"/>
      <c r="B70" s="12"/>
      <c r="C70" s="12"/>
      <c r="D70" s="12"/>
      <c r="E70" s="12"/>
      <c r="F70" s="12"/>
      <c r="G70" s="12"/>
      <c r="H70" s="12"/>
      <c r="I70" s="12"/>
      <c r="J70" s="12"/>
    </row>
    <row r="71" spans="1:10" ht="19.95" customHeight="1">
      <c r="A71" s="12"/>
      <c r="B71" s="12"/>
      <c r="C71" s="12"/>
      <c r="D71" s="12"/>
      <c r="E71" s="12"/>
      <c r="F71" s="12"/>
      <c r="G71" s="12"/>
      <c r="H71" s="12"/>
      <c r="I71" s="12"/>
      <c r="J71" s="12"/>
    </row>
    <row r="72" spans="1:10" ht="19.95" customHeight="1">
      <c r="A72" s="12"/>
      <c r="B72" s="12"/>
      <c r="C72" s="12"/>
      <c r="D72" s="12"/>
      <c r="E72" s="12"/>
      <c r="F72" s="12"/>
      <c r="G72" s="12"/>
      <c r="H72" s="12"/>
      <c r="I72" s="12"/>
      <c r="J72" s="12"/>
    </row>
    <row r="73" spans="1:10" ht="19.95" customHeight="1">
      <c r="A73" s="12"/>
      <c r="B73" s="12"/>
      <c r="C73" s="12"/>
      <c r="D73" s="12"/>
      <c r="E73" s="12"/>
      <c r="F73" s="12"/>
      <c r="G73" s="12"/>
      <c r="H73" s="12"/>
      <c r="I73" s="12"/>
      <c r="J73" s="12"/>
    </row>
    <row r="74" spans="1:10" ht="19.95" customHeight="1">
      <c r="A74" s="12"/>
      <c r="B74" s="12"/>
      <c r="C74" s="12"/>
      <c r="D74" s="12"/>
      <c r="E74" s="12"/>
      <c r="F74" s="12"/>
      <c r="G74" s="12"/>
      <c r="H74" s="12"/>
      <c r="I74" s="12"/>
      <c r="J74" s="12"/>
    </row>
    <row r="75" spans="1:10" ht="19.95" customHeight="1">
      <c r="A75" s="12"/>
      <c r="B75" s="12"/>
      <c r="C75" s="12"/>
      <c r="D75" s="12"/>
      <c r="E75" s="12"/>
      <c r="F75" s="12"/>
      <c r="G75" s="12"/>
      <c r="H75" s="12"/>
      <c r="I75" s="12"/>
      <c r="J75" s="12"/>
    </row>
    <row r="76" spans="1:10" ht="19.95" customHeight="1">
      <c r="A76" s="12"/>
      <c r="B76" s="12"/>
      <c r="C76" s="12"/>
      <c r="D76" s="12"/>
      <c r="E76" s="12"/>
      <c r="F76" s="12"/>
      <c r="G76" s="12"/>
      <c r="H76" s="12"/>
      <c r="I76" s="12"/>
      <c r="J76" s="12"/>
    </row>
    <row r="77" spans="1:10" ht="19.95" customHeight="1">
      <c r="A77" s="12"/>
      <c r="B77" s="12"/>
      <c r="C77" s="12"/>
      <c r="D77" s="12"/>
      <c r="E77" s="12"/>
      <c r="F77" s="12"/>
      <c r="G77" s="12"/>
      <c r="H77" s="12"/>
      <c r="I77" s="12"/>
      <c r="J77" s="12"/>
    </row>
    <row r="78" spans="1:10" ht="19.95" customHeight="1">
      <c r="A78" s="12"/>
      <c r="B78" s="12"/>
      <c r="C78" s="12"/>
      <c r="D78" s="12"/>
      <c r="E78" s="12"/>
      <c r="F78" s="12"/>
      <c r="G78" s="12"/>
      <c r="H78" s="12"/>
      <c r="I78" s="12"/>
      <c r="J78" s="12"/>
    </row>
  </sheetData>
  <mergeCells count="24">
    <mergeCell ref="E29:G29"/>
    <mergeCell ref="E30:G30"/>
    <mergeCell ref="A31:B31"/>
    <mergeCell ref="E31:G31"/>
    <mergeCell ref="G42:H42"/>
    <mergeCell ref="E28:G28"/>
    <mergeCell ref="E17:G17"/>
    <mergeCell ref="E18:G18"/>
    <mergeCell ref="E19:G19"/>
    <mergeCell ref="E20:G20"/>
    <mergeCell ref="E21:G21"/>
    <mergeCell ref="E22:G22"/>
    <mergeCell ref="E23:G23"/>
    <mergeCell ref="E24:G24"/>
    <mergeCell ref="E25:G25"/>
    <mergeCell ref="E26:G26"/>
    <mergeCell ref="E27:G27"/>
    <mergeCell ref="E16:G16"/>
    <mergeCell ref="A1:H1"/>
    <mergeCell ref="A2:H2"/>
    <mergeCell ref="A14:D14"/>
    <mergeCell ref="E14:H14"/>
    <mergeCell ref="E15:G15"/>
    <mergeCell ref="A11:H11"/>
  </mergeCells>
  <phoneticPr fontId="1" type="noConversion"/>
  <hyperlinks>
    <hyperlink ref="H3" location="底稿目录!A1" display="底稿目录!A1"/>
  </hyperlinks>
  <printOptions horizontalCentered="1"/>
  <pageMargins left="0.70866141732283472" right="0.70866141732283472" top="0.74803149606299213" bottom="0.74803149606299213" header="0.31496062992125984" footer="0.31496062992125984"/>
  <pageSetup paperSize="9" scale="85" fitToHeight="100" orientation="portrait" blackAndWhite="1" cellComments="atEnd"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O68"/>
  <sheetViews>
    <sheetView view="pageBreakPreview" zoomScaleNormal="115" zoomScaleSheetLayoutView="100" workbookViewId="0">
      <selection sqref="A1:O1"/>
    </sheetView>
  </sheetViews>
  <sheetFormatPr defaultColWidth="9" defaultRowHeight="19.95" customHeight="1"/>
  <cols>
    <col min="1" max="1" width="22" style="35" customWidth="1"/>
    <col min="2" max="2" width="17.5546875" style="35" customWidth="1"/>
    <col min="3" max="3" width="6.88671875" style="35" customWidth="1"/>
    <col min="4" max="4" width="8.88671875" style="35" customWidth="1"/>
    <col min="5" max="5" width="9.5546875" style="35" customWidth="1"/>
    <col min="6" max="6" width="10.88671875" style="35" customWidth="1"/>
    <col min="7" max="7" width="8.88671875" style="35" customWidth="1"/>
    <col min="8" max="8" width="3.44140625" style="35" bestFit="1" customWidth="1"/>
    <col min="9" max="9" width="13.5546875" style="35" customWidth="1"/>
    <col min="10" max="10" width="11.44140625" style="35" customWidth="1"/>
    <col min="11" max="12" width="10.88671875" style="35" customWidth="1"/>
    <col min="13" max="13" width="8.77734375" style="35" customWidth="1"/>
    <col min="14" max="14" width="12.109375" style="35" customWidth="1"/>
    <col min="15" max="15" width="5.44140625" style="35" bestFit="1" customWidth="1"/>
    <col min="16" max="16384" width="9" style="35"/>
  </cols>
  <sheetData>
    <row r="1" spans="1:15" s="20" customFormat="1" ht="19.95" customHeight="1">
      <c r="A1" s="446" t="s">
        <v>1</v>
      </c>
      <c r="B1" s="446"/>
      <c r="C1" s="446"/>
      <c r="D1" s="446"/>
      <c r="E1" s="446"/>
      <c r="F1" s="446"/>
      <c r="G1" s="446"/>
      <c r="H1" s="446"/>
      <c r="I1" s="446"/>
      <c r="J1" s="446"/>
      <c r="K1" s="446"/>
      <c r="L1" s="446"/>
      <c r="M1" s="446"/>
      <c r="N1" s="446"/>
      <c r="O1" s="446"/>
    </row>
    <row r="2" spans="1:15" s="195" customFormat="1" ht="19.95" customHeight="1">
      <c r="A2" s="447" t="s">
        <v>335</v>
      </c>
      <c r="B2" s="447"/>
      <c r="C2" s="447"/>
      <c r="D2" s="447"/>
      <c r="E2" s="447"/>
      <c r="F2" s="447"/>
      <c r="G2" s="447"/>
      <c r="H2" s="447"/>
      <c r="I2" s="447"/>
      <c r="J2" s="447"/>
      <c r="K2" s="447"/>
      <c r="L2" s="447"/>
      <c r="M2" s="447"/>
      <c r="N2" s="447"/>
      <c r="O2" s="447"/>
    </row>
    <row r="3" spans="1:15" s="12" customFormat="1" ht="19.95" customHeight="1">
      <c r="A3" s="14" t="str">
        <f>底稿目录!A2</f>
        <v>被审计单位：</v>
      </c>
      <c r="B3" s="14"/>
      <c r="F3" s="15" t="str">
        <f>底稿目录!A4</f>
        <v>编制人：</v>
      </c>
      <c r="G3" s="14"/>
      <c r="H3" s="14"/>
      <c r="J3" s="14" t="str">
        <f>底稿目录!A5</f>
        <v>编制日期：</v>
      </c>
      <c r="K3" s="72"/>
      <c r="L3" s="22"/>
      <c r="M3" s="22"/>
      <c r="N3" s="98" t="s">
        <v>124</v>
      </c>
      <c r="O3" s="382" t="str">
        <f>底稿目录!F15</f>
        <v>E1-9</v>
      </c>
    </row>
    <row r="4" spans="1:15" s="12" customFormat="1" ht="19.95" customHeight="1">
      <c r="A4" s="14" t="str">
        <f>底稿目录!A3</f>
        <v>截止日：202X年12月31日</v>
      </c>
      <c r="B4" s="16"/>
      <c r="F4" s="15" t="str">
        <f>底稿目录!A6</f>
        <v>复核人：</v>
      </c>
      <c r="G4" s="14"/>
      <c r="H4" s="14"/>
      <c r="J4" s="14" t="str">
        <f>底稿目录!A7</f>
        <v>复核日期：</v>
      </c>
      <c r="K4" s="72"/>
      <c r="L4" s="22"/>
      <c r="M4" s="22"/>
      <c r="N4" s="98" t="s">
        <v>59</v>
      </c>
    </row>
    <row r="5" spans="1:15" s="12" customFormat="1" ht="19.95" customHeight="1">
      <c r="A5" s="23" t="s">
        <v>7</v>
      </c>
    </row>
    <row r="6" spans="1:15" s="12" customFormat="1" ht="19.95" customHeight="1">
      <c r="A6" s="12" t="s">
        <v>405</v>
      </c>
      <c r="B6" s="290"/>
      <c r="C6" s="290"/>
      <c r="D6" s="290"/>
      <c r="E6" s="290"/>
      <c r="F6" s="290"/>
      <c r="G6" s="290"/>
      <c r="H6" s="290"/>
      <c r="I6" s="290"/>
      <c r="J6" s="290"/>
      <c r="K6" s="290"/>
      <c r="L6" s="290"/>
      <c r="M6" s="290"/>
      <c r="N6" s="290"/>
      <c r="O6" s="290"/>
    </row>
    <row r="7" spans="1:15" s="12" customFormat="1" ht="19.95" customHeight="1">
      <c r="A7" s="291" t="s">
        <v>406</v>
      </c>
      <c r="B7" s="290"/>
      <c r="C7" s="290"/>
      <c r="D7" s="290"/>
      <c r="E7" s="290"/>
      <c r="F7" s="290"/>
      <c r="G7" s="290"/>
      <c r="H7" s="290"/>
      <c r="I7" s="290"/>
      <c r="J7" s="290"/>
      <c r="K7" s="290"/>
      <c r="L7" s="290"/>
      <c r="M7" s="290"/>
      <c r="N7" s="290"/>
      <c r="O7" s="290"/>
    </row>
    <row r="8" spans="1:15" s="12" customFormat="1" ht="19.95" customHeight="1">
      <c r="A8" s="7" t="s">
        <v>9</v>
      </c>
    </row>
    <row r="9" spans="1:15" s="12" customFormat="1" ht="28.2" customHeight="1">
      <c r="A9" s="528" t="s">
        <v>346</v>
      </c>
      <c r="B9" s="528"/>
      <c r="C9" s="528"/>
      <c r="D9" s="528"/>
      <c r="E9" s="528"/>
      <c r="F9" s="528"/>
      <c r="G9" s="528"/>
      <c r="H9" s="528"/>
      <c r="I9" s="528"/>
      <c r="J9" s="528"/>
      <c r="K9" s="528"/>
      <c r="L9" s="528"/>
      <c r="M9" s="528"/>
      <c r="N9" s="528"/>
      <c r="O9" s="528"/>
    </row>
    <row r="10" spans="1:15" s="12" customFormat="1" ht="30.6" customHeight="1">
      <c r="A10" s="529" t="s">
        <v>347</v>
      </c>
      <c r="B10" s="529"/>
      <c r="C10" s="529"/>
      <c r="D10" s="529"/>
      <c r="E10" s="529"/>
      <c r="F10" s="529"/>
      <c r="G10" s="529"/>
      <c r="H10" s="529"/>
      <c r="I10" s="529"/>
      <c r="J10" s="529"/>
      <c r="K10" s="529"/>
      <c r="L10" s="529"/>
      <c r="M10" s="529"/>
      <c r="N10" s="529"/>
      <c r="O10" s="529"/>
    </row>
    <row r="11" spans="1:15" s="12" customFormat="1" ht="19.95" customHeight="1">
      <c r="A11" s="530" t="s">
        <v>407</v>
      </c>
      <c r="B11" s="530"/>
      <c r="C11" s="530"/>
      <c r="D11" s="530"/>
      <c r="E11" s="530"/>
      <c r="F11" s="530"/>
      <c r="G11" s="530"/>
      <c r="H11" s="530"/>
      <c r="I11" s="530"/>
      <c r="J11" s="530"/>
      <c r="K11" s="530"/>
      <c r="L11" s="530"/>
      <c r="M11" s="530"/>
      <c r="N11" s="530"/>
      <c r="O11" s="530"/>
    </row>
    <row r="12" spans="1:15" s="7" customFormat="1" ht="19.95" customHeight="1">
      <c r="A12" s="480" t="s">
        <v>336</v>
      </c>
      <c r="B12" s="481"/>
      <c r="C12" s="481"/>
      <c r="D12" s="481"/>
      <c r="E12" s="481"/>
      <c r="F12" s="481"/>
      <c r="G12" s="481"/>
      <c r="H12" s="482"/>
      <c r="I12" s="526" t="s">
        <v>337</v>
      </c>
      <c r="J12" s="526" t="s">
        <v>338</v>
      </c>
      <c r="K12" s="526" t="s">
        <v>339</v>
      </c>
      <c r="L12" s="526" t="s">
        <v>340</v>
      </c>
      <c r="M12" s="526" t="s">
        <v>341</v>
      </c>
      <c r="N12" s="526" t="s">
        <v>342</v>
      </c>
      <c r="O12" s="526" t="s">
        <v>45</v>
      </c>
    </row>
    <row r="13" spans="1:15" s="12" customFormat="1" ht="19.95" customHeight="1">
      <c r="A13" s="145" t="s">
        <v>41</v>
      </c>
      <c r="B13" s="144" t="s">
        <v>23</v>
      </c>
      <c r="C13" s="144" t="s">
        <v>24</v>
      </c>
      <c r="D13" s="144" t="s">
        <v>42</v>
      </c>
      <c r="E13" s="145" t="s">
        <v>43</v>
      </c>
      <c r="F13" s="145" t="s">
        <v>44</v>
      </c>
      <c r="G13" s="145" t="s">
        <v>343</v>
      </c>
      <c r="H13" s="145" t="s">
        <v>46</v>
      </c>
      <c r="I13" s="527"/>
      <c r="J13" s="527"/>
      <c r="K13" s="527"/>
      <c r="L13" s="527"/>
      <c r="M13" s="527"/>
      <c r="N13" s="527"/>
      <c r="O13" s="527"/>
    </row>
    <row r="14" spans="1:15" s="12" customFormat="1" ht="19.95" customHeight="1">
      <c r="A14" s="146"/>
      <c r="B14" s="146"/>
      <c r="C14" s="33"/>
      <c r="D14" s="146"/>
      <c r="E14" s="39"/>
      <c r="F14" s="33"/>
      <c r="G14" s="75"/>
      <c r="H14" s="33"/>
      <c r="I14" s="51"/>
      <c r="J14" s="37"/>
      <c r="K14" s="51"/>
      <c r="L14" s="37"/>
      <c r="M14" s="37"/>
      <c r="N14" s="37"/>
      <c r="O14" s="37"/>
    </row>
    <row r="15" spans="1:15" s="12" customFormat="1" ht="19.95" customHeight="1">
      <c r="A15" s="146"/>
      <c r="B15" s="146"/>
      <c r="C15" s="33"/>
      <c r="D15" s="146"/>
      <c r="E15" s="39"/>
      <c r="F15" s="33"/>
      <c r="G15" s="75"/>
      <c r="H15" s="33"/>
      <c r="I15" s="51"/>
      <c r="J15" s="37"/>
      <c r="K15" s="51"/>
      <c r="L15" s="37"/>
      <c r="M15" s="37"/>
      <c r="N15" s="37"/>
      <c r="O15" s="37"/>
    </row>
    <row r="16" spans="1:15" s="12" customFormat="1" ht="19.95" customHeight="1">
      <c r="A16" s="146"/>
      <c r="B16" s="146"/>
      <c r="C16" s="33"/>
      <c r="D16" s="146"/>
      <c r="E16" s="39"/>
      <c r="F16" s="33"/>
      <c r="G16" s="75"/>
      <c r="H16" s="33"/>
      <c r="I16" s="51"/>
      <c r="J16" s="37"/>
      <c r="K16" s="51"/>
      <c r="L16" s="37"/>
      <c r="M16" s="37"/>
      <c r="N16" s="37"/>
      <c r="O16" s="37"/>
    </row>
    <row r="17" spans="1:15" s="12" customFormat="1" ht="19.95" customHeight="1">
      <c r="A17" s="146"/>
      <c r="B17" s="146"/>
      <c r="C17" s="33"/>
      <c r="D17" s="146"/>
      <c r="E17" s="39"/>
      <c r="F17" s="33"/>
      <c r="G17" s="75"/>
      <c r="H17" s="33"/>
      <c r="I17" s="51"/>
      <c r="J17" s="37"/>
      <c r="K17" s="51"/>
      <c r="L17" s="37"/>
      <c r="M17" s="37"/>
      <c r="N17" s="37"/>
      <c r="O17" s="37"/>
    </row>
    <row r="18" spans="1:15" s="12" customFormat="1" ht="19.95" customHeight="1">
      <c r="A18" s="146"/>
      <c r="B18" s="146"/>
      <c r="C18" s="33"/>
      <c r="D18" s="146"/>
      <c r="E18" s="39"/>
      <c r="F18" s="33"/>
      <c r="G18" s="75"/>
      <c r="H18" s="33"/>
      <c r="I18" s="51"/>
      <c r="J18" s="37"/>
      <c r="K18" s="51"/>
      <c r="L18" s="37"/>
      <c r="M18" s="37"/>
      <c r="N18" s="37"/>
      <c r="O18" s="37"/>
    </row>
    <row r="19" spans="1:15" s="12" customFormat="1" ht="19.95" customHeight="1">
      <c r="A19" s="146"/>
      <c r="B19" s="146"/>
      <c r="C19" s="33"/>
      <c r="D19" s="146"/>
      <c r="E19" s="39"/>
      <c r="F19" s="33"/>
      <c r="G19" s="75"/>
      <c r="H19" s="33"/>
      <c r="I19" s="51"/>
      <c r="J19" s="37"/>
      <c r="K19" s="51"/>
      <c r="L19" s="37"/>
      <c r="M19" s="37"/>
      <c r="N19" s="37"/>
      <c r="O19" s="37"/>
    </row>
    <row r="20" spans="1:15" s="12" customFormat="1" ht="19.95" customHeight="1">
      <c r="A20" s="10" t="s">
        <v>328</v>
      </c>
      <c r="B20" s="10" t="s">
        <v>2</v>
      </c>
      <c r="C20" s="147"/>
      <c r="D20" s="10" t="s">
        <v>28</v>
      </c>
      <c r="G20" s="10" t="s">
        <v>2</v>
      </c>
      <c r="K20" s="10" t="s">
        <v>29</v>
      </c>
      <c r="N20" s="10" t="s">
        <v>2</v>
      </c>
      <c r="O20" s="72"/>
    </row>
    <row r="21" spans="1:15" s="12" customFormat="1" ht="19.95" customHeight="1">
      <c r="A21" s="147" t="s">
        <v>58</v>
      </c>
      <c r="B21" s="133"/>
      <c r="C21" s="133"/>
      <c r="D21" s="133"/>
      <c r="E21" s="133"/>
      <c r="F21" s="133"/>
      <c r="G21" s="133"/>
      <c r="H21" s="133"/>
      <c r="I21" s="133"/>
      <c r="J21" s="133"/>
      <c r="K21" s="133"/>
      <c r="L21" s="133"/>
      <c r="M21" s="133"/>
      <c r="N21" s="133"/>
      <c r="O21" s="133"/>
    </row>
    <row r="22" spans="1:15" s="12" customFormat="1" ht="19.95" customHeight="1">
      <c r="A22" s="322" t="s">
        <v>408</v>
      </c>
      <c r="B22" s="290"/>
      <c r="C22" s="290"/>
      <c r="D22" s="290"/>
      <c r="E22" s="290"/>
      <c r="F22" s="290"/>
      <c r="G22" s="290"/>
      <c r="H22" s="290"/>
      <c r="I22" s="290"/>
      <c r="J22" s="290"/>
      <c r="K22" s="290"/>
      <c r="L22" s="290"/>
      <c r="M22" s="290"/>
      <c r="N22" s="290"/>
      <c r="O22" s="290"/>
    </row>
    <row r="23" spans="1:15" s="12" customFormat="1" ht="19.95" customHeight="1">
      <c r="A23" s="322" t="s">
        <v>409</v>
      </c>
      <c r="B23" s="290"/>
      <c r="C23" s="290"/>
      <c r="D23" s="290"/>
      <c r="E23" s="290"/>
      <c r="F23" s="290"/>
      <c r="G23" s="290"/>
      <c r="H23" s="290"/>
      <c r="I23" s="290"/>
      <c r="J23" s="290"/>
      <c r="K23" s="290"/>
      <c r="L23" s="290"/>
      <c r="M23" s="290"/>
      <c r="N23" s="290"/>
      <c r="O23" s="290"/>
    </row>
    <row r="24" spans="1:15" s="12" customFormat="1" ht="19.95" customHeight="1">
      <c r="A24" s="322" t="s">
        <v>416</v>
      </c>
      <c r="B24" s="290"/>
      <c r="C24" s="290"/>
      <c r="D24" s="290"/>
      <c r="E24" s="290"/>
      <c r="F24" s="290"/>
      <c r="G24" s="290"/>
      <c r="H24" s="290"/>
      <c r="I24" s="290"/>
      <c r="J24" s="290"/>
      <c r="K24" s="290"/>
      <c r="L24" s="290"/>
      <c r="M24" s="290"/>
      <c r="N24" s="290"/>
      <c r="O24" s="290"/>
    </row>
    <row r="25" spans="1:15" s="12" customFormat="1" ht="19.95" customHeight="1">
      <c r="B25" s="10"/>
    </row>
    <row r="26" spans="1:15" s="12" customFormat="1" ht="19.95" customHeight="1">
      <c r="A26" s="215" t="s">
        <v>18</v>
      </c>
    </row>
    <row r="27" spans="1:15" s="12" customFormat="1" ht="19.95" customHeight="1"/>
    <row r="28" spans="1:15" s="12" customFormat="1" ht="19.95" customHeight="1">
      <c r="A28" s="324" t="s">
        <v>411</v>
      </c>
    </row>
    <row r="29" spans="1:15" s="12" customFormat="1" ht="19.95" customHeight="1">
      <c r="A29" s="225" t="s">
        <v>413</v>
      </c>
    </row>
    <row r="30" spans="1:15" s="27" customFormat="1" ht="19.95" customHeight="1">
      <c r="A30" s="38" t="s">
        <v>412</v>
      </c>
    </row>
    <row r="31" spans="1:15" s="12" customFormat="1" ht="19.95" customHeight="1">
      <c r="A31" s="323" t="s">
        <v>414</v>
      </c>
    </row>
    <row r="32" spans="1:15" s="12" customFormat="1" ht="19.95" customHeight="1">
      <c r="A32" s="325" t="s">
        <v>415</v>
      </c>
    </row>
    <row r="33" spans="1:1" s="12" customFormat="1" ht="19.95" customHeight="1">
      <c r="A33" s="438" t="s">
        <v>626</v>
      </c>
    </row>
    <row r="34" spans="1:1" s="12" customFormat="1" ht="19.95" customHeight="1">
      <c r="A34" s="439"/>
    </row>
    <row r="35" spans="1:1" s="12" customFormat="1" ht="19.95" customHeight="1"/>
    <row r="36" spans="1:1" s="12" customFormat="1" ht="19.95" customHeight="1"/>
    <row r="37" spans="1:1" s="12" customFormat="1" ht="19.95" customHeight="1"/>
    <row r="38" spans="1:1" s="12" customFormat="1" ht="19.95" customHeight="1"/>
    <row r="39" spans="1:1" s="12" customFormat="1" ht="19.95" customHeight="1"/>
    <row r="40" spans="1:1" s="12" customFormat="1" ht="19.95" customHeight="1"/>
    <row r="41" spans="1:1" s="12" customFormat="1" ht="19.95" customHeight="1"/>
    <row r="42" spans="1:1" s="12" customFormat="1" ht="19.95" customHeight="1"/>
    <row r="43" spans="1:1" s="12" customFormat="1" ht="19.95" customHeight="1"/>
    <row r="44" spans="1:1" s="12" customFormat="1" ht="19.95" customHeight="1"/>
    <row r="45" spans="1:1" s="12" customFormat="1" ht="19.95" customHeight="1"/>
    <row r="46" spans="1:1" s="12" customFormat="1" ht="19.95" customHeight="1"/>
    <row r="47" spans="1:1" s="12" customFormat="1" ht="19.95" customHeight="1"/>
    <row r="48" spans="1:1" s="12" customFormat="1" ht="19.95" customHeight="1"/>
    <row r="49" s="12" customFormat="1" ht="19.95" customHeight="1"/>
    <row r="50" s="12" customFormat="1" ht="19.95" customHeight="1"/>
    <row r="51" s="12" customFormat="1" ht="19.95" customHeight="1"/>
    <row r="52" s="12" customFormat="1" ht="19.95" customHeight="1"/>
    <row r="53" s="12" customFormat="1" ht="19.95" customHeight="1"/>
    <row r="54" s="12" customFormat="1" ht="19.95" customHeight="1"/>
    <row r="55" s="12" customFormat="1" ht="19.95" customHeight="1"/>
    <row r="56" s="12" customFormat="1" ht="19.95" customHeight="1"/>
    <row r="57" s="12" customFormat="1" ht="19.95" customHeight="1"/>
    <row r="58" s="12" customFormat="1" ht="19.95" customHeight="1"/>
    <row r="59" s="12" customFormat="1" ht="19.95" customHeight="1"/>
    <row r="60" s="12" customFormat="1" ht="19.95" customHeight="1"/>
    <row r="61" s="12" customFormat="1" ht="19.95" customHeight="1"/>
    <row r="62" s="12" customFormat="1" ht="19.95" customHeight="1"/>
    <row r="63" s="12" customFormat="1" ht="19.95" customHeight="1"/>
    <row r="64" s="12" customFormat="1" ht="19.95" customHeight="1"/>
    <row r="65" s="12" customFormat="1" ht="19.95" customHeight="1"/>
    <row r="66" s="12" customFormat="1" ht="19.95" customHeight="1"/>
    <row r="67" s="12" customFormat="1" ht="19.95" customHeight="1"/>
    <row r="68" s="12" customFormat="1" ht="19.95" customHeight="1"/>
  </sheetData>
  <mergeCells count="13">
    <mergeCell ref="O12:O13"/>
    <mergeCell ref="A9:O9"/>
    <mergeCell ref="A10:O10"/>
    <mergeCell ref="A11:O11"/>
    <mergeCell ref="A1:O1"/>
    <mergeCell ref="A2:O2"/>
    <mergeCell ref="A12:H12"/>
    <mergeCell ref="I12:I13"/>
    <mergeCell ref="K12:K13"/>
    <mergeCell ref="L12:L13"/>
    <mergeCell ref="J12:J13"/>
    <mergeCell ref="M12:M13"/>
    <mergeCell ref="N12:N13"/>
  </mergeCells>
  <phoneticPr fontId="1" type="noConversion"/>
  <dataValidations count="2">
    <dataValidation type="list" allowBlank="1" showInputMessage="1" showErrorMessage="1" sqref="C14:C19">
      <formula1>"人民币, 美元, 日元, 港元, 欧元"</formula1>
    </dataValidation>
    <dataValidation type="list" allowBlank="1" showInputMessage="1" showErrorMessage="1" sqref="I14:I19 K14:K19">
      <formula1>"√,×"</formula1>
    </dataValidation>
  </dataValidations>
  <hyperlinks>
    <hyperlink ref="O3" location="底稿目录!A1" display="底稿目录!A1"/>
  </hyperlinks>
  <printOptions horizontalCentered="1"/>
  <pageMargins left="0.70866141732283472" right="0.70866141732283472" top="0.74803149606299213" bottom="0.74803149606299213" header="0.31496062992125984" footer="0.31496062992125984"/>
  <pageSetup paperSize="9" scale="80" fitToHeight="100" orientation="landscape" blackAndWhite="1" r:id="rId1"/>
  <headerFooter alignWithMargins="0">
    <oddFooter>&amp;C&amp;P/&amp;N</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37"/>
  <sheetViews>
    <sheetView view="pageBreakPreview" zoomScaleNormal="100" zoomScaleSheetLayoutView="100" workbookViewId="0">
      <selection sqref="A1:K1"/>
    </sheetView>
  </sheetViews>
  <sheetFormatPr defaultColWidth="8.77734375" defaultRowHeight="19.95" customHeight="1"/>
  <cols>
    <col min="1" max="1" width="5.21875" style="157" customWidth="1"/>
    <col min="2" max="2" width="19.33203125" style="157" customWidth="1"/>
    <col min="3" max="3" width="21.6640625" style="157" customWidth="1"/>
    <col min="4" max="4" width="13.77734375" style="157" customWidth="1"/>
    <col min="5" max="5" width="8.77734375" style="157"/>
    <col min="6" max="6" width="12.5546875" style="157" bestFit="1" customWidth="1"/>
    <col min="7" max="7" width="10.109375" style="157" customWidth="1"/>
    <col min="8" max="8" width="14.6640625" style="157" customWidth="1"/>
    <col min="9" max="9" width="15.6640625" style="157" customWidth="1"/>
    <col min="10" max="10" width="8.77734375" style="157"/>
    <col min="11" max="11" width="14.6640625" style="157" customWidth="1"/>
    <col min="12" max="16384" width="8.77734375" style="157"/>
  </cols>
  <sheetData>
    <row r="1" spans="1:12" s="204" customFormat="1" ht="19.95" customHeight="1">
      <c r="A1" s="509" t="s">
        <v>1</v>
      </c>
      <c r="B1" s="509"/>
      <c r="C1" s="509"/>
      <c r="D1" s="509"/>
      <c r="E1" s="509"/>
      <c r="F1" s="509"/>
      <c r="G1" s="509"/>
      <c r="H1" s="509"/>
      <c r="I1" s="509"/>
      <c r="J1" s="509"/>
      <c r="K1" s="509"/>
    </row>
    <row r="2" spans="1:12" s="216" customFormat="1" ht="19.95" customHeight="1">
      <c r="A2" s="459" t="s">
        <v>564</v>
      </c>
      <c r="B2" s="459"/>
      <c r="C2" s="459"/>
      <c r="D2" s="459"/>
      <c r="E2" s="459"/>
      <c r="F2" s="459"/>
      <c r="G2" s="459"/>
      <c r="H2" s="459"/>
      <c r="I2" s="459"/>
      <c r="J2" s="459"/>
      <c r="K2" s="459"/>
    </row>
    <row r="3" spans="1:12" ht="19.95" customHeight="1">
      <c r="A3" s="14" t="str">
        <f>底稿目录!A2</f>
        <v>被审计单位：</v>
      </c>
      <c r="B3" s="78"/>
      <c r="C3" s="15" t="str">
        <f>底稿目录!A4</f>
        <v>编制人：</v>
      </c>
      <c r="D3" s="78"/>
      <c r="E3" s="78"/>
      <c r="F3" s="14" t="str">
        <f>底稿目录!A5</f>
        <v>编制日期：</v>
      </c>
      <c r="G3" s="14"/>
      <c r="H3" s="14"/>
      <c r="I3" s="79"/>
      <c r="J3" s="12" t="s">
        <v>316</v>
      </c>
      <c r="K3" s="382" t="str">
        <f>底稿目录!F16</f>
        <v>E1-10</v>
      </c>
      <c r="L3" s="326" t="s">
        <v>623</v>
      </c>
    </row>
    <row r="4" spans="1:12" ht="19.95" customHeight="1">
      <c r="A4" s="14" t="str">
        <f>底稿目录!A3</f>
        <v>截止日：202X年12月31日</v>
      </c>
      <c r="B4" s="78"/>
      <c r="C4" s="15" t="str">
        <f>底稿目录!A6</f>
        <v>复核人：</v>
      </c>
      <c r="D4" s="78"/>
      <c r="E4" s="78"/>
      <c r="F4" s="14" t="str">
        <f>底稿目录!A7</f>
        <v>复核日期：</v>
      </c>
      <c r="G4" s="14"/>
      <c r="H4" s="14"/>
      <c r="I4" s="79"/>
      <c r="J4" s="12" t="s">
        <v>125</v>
      </c>
    </row>
    <row r="5" spans="1:12" ht="19.95" customHeight="1">
      <c r="A5" s="23" t="s">
        <v>7</v>
      </c>
    </row>
    <row r="6" spans="1:12" ht="19.95" customHeight="1">
      <c r="A6" s="383" t="s">
        <v>588</v>
      </c>
      <c r="B6" s="290"/>
      <c r="C6" s="290"/>
      <c r="D6" s="290"/>
      <c r="E6" s="290"/>
      <c r="F6" s="290"/>
      <c r="G6" s="290"/>
      <c r="H6" s="290"/>
      <c r="I6" s="290"/>
      <c r="J6" s="290"/>
      <c r="K6" s="290"/>
    </row>
    <row r="7" spans="1:12" ht="19.95" customHeight="1">
      <c r="A7" s="383" t="s">
        <v>589</v>
      </c>
      <c r="B7" s="290"/>
      <c r="C7" s="290"/>
      <c r="D7" s="290"/>
      <c r="E7" s="290"/>
      <c r="F7" s="290"/>
      <c r="G7" s="290"/>
      <c r="H7" s="290"/>
      <c r="I7" s="290"/>
      <c r="J7" s="290"/>
      <c r="K7" s="290"/>
    </row>
    <row r="8" spans="1:12" ht="19.95" customHeight="1">
      <c r="A8" s="7" t="s">
        <v>344</v>
      </c>
      <c r="L8" s="148"/>
    </row>
    <row r="9" spans="1:12" ht="31.8" customHeight="1">
      <c r="A9" s="536" t="s">
        <v>530</v>
      </c>
      <c r="B9" s="537"/>
      <c r="C9" s="537"/>
      <c r="D9" s="537"/>
      <c r="E9" s="537"/>
      <c r="F9" s="537"/>
      <c r="G9" s="537"/>
      <c r="H9" s="537"/>
      <c r="I9" s="537"/>
      <c r="J9" s="537"/>
      <c r="K9" s="537"/>
      <c r="L9" s="235"/>
    </row>
    <row r="10" spans="1:12" ht="19.95" customHeight="1">
      <c r="A10" s="217" t="s">
        <v>345</v>
      </c>
      <c r="B10" s="81"/>
      <c r="C10" s="81"/>
      <c r="D10" s="81"/>
      <c r="E10" s="81"/>
      <c r="F10" s="81"/>
      <c r="G10" s="81"/>
      <c r="H10" s="81"/>
      <c r="I10" s="81"/>
      <c r="J10" s="81"/>
    </row>
    <row r="11" spans="1:12" s="299" customFormat="1" ht="19.95" customHeight="1">
      <c r="A11" s="538" t="s">
        <v>532</v>
      </c>
      <c r="B11" s="540" t="s">
        <v>533</v>
      </c>
      <c r="C11" s="541"/>
      <c r="D11" s="541"/>
      <c r="E11" s="541"/>
      <c r="F11" s="541"/>
      <c r="G11" s="542"/>
      <c r="H11" s="533" t="s">
        <v>540</v>
      </c>
      <c r="I11" s="533" t="s">
        <v>541</v>
      </c>
      <c r="J11" s="533" t="s">
        <v>542</v>
      </c>
      <c r="K11" s="533" t="s">
        <v>543</v>
      </c>
    </row>
    <row r="12" spans="1:12" s="299" customFormat="1" ht="19.95" customHeight="1">
      <c r="A12" s="539"/>
      <c r="B12" s="82" t="s">
        <v>534</v>
      </c>
      <c r="C12" s="82" t="s">
        <v>535</v>
      </c>
      <c r="D12" s="82" t="s">
        <v>536</v>
      </c>
      <c r="E12" s="82" t="s">
        <v>537</v>
      </c>
      <c r="F12" s="82" t="s">
        <v>531</v>
      </c>
      <c r="G12" s="82" t="s">
        <v>538</v>
      </c>
      <c r="H12" s="534"/>
      <c r="I12" s="534"/>
      <c r="J12" s="534"/>
      <c r="K12" s="534"/>
    </row>
    <row r="13" spans="1:12" s="299" customFormat="1" ht="19.95" customHeight="1">
      <c r="A13" s="361">
        <v>1</v>
      </c>
      <c r="B13" s="281"/>
      <c r="C13" s="281"/>
      <c r="D13" s="362"/>
      <c r="E13" s="364"/>
      <c r="F13" s="363"/>
      <c r="G13" s="363"/>
      <c r="H13" s="369"/>
      <c r="I13" s="368"/>
      <c r="J13" s="361"/>
      <c r="K13" s="365"/>
    </row>
    <row r="14" spans="1:12" s="299" customFormat="1" ht="19.95" customHeight="1">
      <c r="A14" s="361">
        <v>2</v>
      </c>
      <c r="B14" s="281"/>
      <c r="C14" s="281"/>
      <c r="D14" s="362"/>
      <c r="E14" s="364"/>
      <c r="F14" s="364"/>
      <c r="G14" s="363"/>
      <c r="H14" s="363"/>
      <c r="I14" s="281"/>
      <c r="J14" s="361"/>
      <c r="K14" s="365"/>
    </row>
    <row r="15" spans="1:12" s="299" customFormat="1" ht="19.95" customHeight="1">
      <c r="A15" s="365" t="s">
        <v>71</v>
      </c>
      <c r="B15" s="281"/>
      <c r="C15" s="281"/>
      <c r="D15" s="362"/>
      <c r="E15" s="364"/>
      <c r="F15" s="364"/>
      <c r="G15" s="363"/>
      <c r="H15" s="363"/>
      <c r="I15" s="281"/>
      <c r="J15" s="361"/>
      <c r="K15" s="365"/>
    </row>
    <row r="16" spans="1:12" s="299" customFormat="1" ht="19.95" customHeight="1">
      <c r="A16" s="365"/>
      <c r="B16" s="281"/>
      <c r="C16" s="281"/>
      <c r="D16" s="362"/>
      <c r="E16" s="364"/>
      <c r="F16" s="364"/>
      <c r="G16" s="363"/>
      <c r="H16" s="363"/>
      <c r="I16" s="281"/>
      <c r="J16" s="361"/>
      <c r="K16" s="365"/>
    </row>
    <row r="17" spans="1:11" s="299" customFormat="1" ht="19.95" customHeight="1">
      <c r="A17" s="365"/>
      <c r="B17" s="281"/>
      <c r="C17" s="281"/>
      <c r="D17" s="362"/>
      <c r="E17" s="364"/>
      <c r="F17" s="364"/>
      <c r="G17" s="363"/>
      <c r="H17" s="363"/>
      <c r="I17" s="281"/>
      <c r="J17" s="361"/>
      <c r="K17" s="365"/>
    </row>
    <row r="18" spans="1:11" s="299" customFormat="1" ht="19.95" customHeight="1">
      <c r="A18" s="365"/>
      <c r="B18" s="281"/>
      <c r="C18" s="281"/>
      <c r="D18" s="362"/>
      <c r="E18" s="364"/>
      <c r="F18" s="364"/>
      <c r="G18" s="363"/>
      <c r="H18" s="363"/>
      <c r="I18" s="281"/>
      <c r="J18" s="361"/>
      <c r="K18" s="365"/>
    </row>
    <row r="19" spans="1:11" s="299" customFormat="1" ht="19.95" customHeight="1">
      <c r="A19" s="365"/>
      <c r="B19" s="281"/>
      <c r="C19" s="281"/>
      <c r="D19" s="362"/>
      <c r="E19" s="364"/>
      <c r="F19" s="364"/>
      <c r="G19" s="363"/>
      <c r="H19" s="363"/>
      <c r="I19" s="281"/>
      <c r="J19" s="361"/>
      <c r="K19" s="365"/>
    </row>
    <row r="20" spans="1:11" s="299" customFormat="1" ht="19.95" customHeight="1">
      <c r="A20" s="365"/>
      <c r="B20" s="281"/>
      <c r="C20" s="281"/>
      <c r="D20" s="362"/>
      <c r="E20" s="364"/>
      <c r="F20" s="364"/>
      <c r="G20" s="363"/>
      <c r="H20" s="363"/>
      <c r="I20" s="281"/>
      <c r="J20" s="361"/>
      <c r="K20" s="365"/>
    </row>
    <row r="21" spans="1:11" s="299" customFormat="1" ht="19.95" customHeight="1">
      <c r="A21" s="365"/>
      <c r="B21" s="281"/>
      <c r="C21" s="281"/>
      <c r="D21" s="362"/>
      <c r="E21" s="364"/>
      <c r="F21" s="364"/>
      <c r="G21" s="363"/>
      <c r="H21" s="363"/>
      <c r="I21" s="281"/>
      <c r="J21" s="361"/>
      <c r="K21" s="365"/>
    </row>
    <row r="22" spans="1:11" s="299" customFormat="1" ht="19.95" customHeight="1">
      <c r="A22" s="365"/>
      <c r="B22" s="281"/>
      <c r="C22" s="281"/>
      <c r="D22" s="362"/>
      <c r="E22" s="364"/>
      <c r="F22" s="364"/>
      <c r="G22" s="363"/>
      <c r="H22" s="363"/>
      <c r="I22" s="281"/>
      <c r="J22" s="361"/>
      <c r="K22" s="365"/>
    </row>
    <row r="23" spans="1:11" s="299" customFormat="1" ht="19.95" customHeight="1">
      <c r="A23" s="366"/>
      <c r="B23" s="366"/>
      <c r="C23" s="366"/>
      <c r="D23" s="367"/>
      <c r="E23" s="367"/>
      <c r="F23" s="367"/>
      <c r="G23" s="367"/>
      <c r="H23" s="367"/>
      <c r="I23" s="366"/>
      <c r="J23" s="366"/>
      <c r="K23" s="366"/>
    </row>
    <row r="24" spans="1:11" s="299" customFormat="1" ht="19.95" customHeight="1">
      <c r="A24" s="535" t="s">
        <v>20</v>
      </c>
      <c r="B24" s="535"/>
      <c r="C24" s="366"/>
      <c r="D24" s="367"/>
      <c r="E24" s="367"/>
      <c r="F24" s="367"/>
      <c r="G24" s="367"/>
      <c r="H24" s="367"/>
      <c r="I24" s="366"/>
      <c r="J24" s="366"/>
      <c r="K24" s="366"/>
    </row>
    <row r="25" spans="1:11" s="299" customFormat="1" ht="19.95" customHeight="1">
      <c r="A25" s="316"/>
      <c r="B25" s="316"/>
      <c r="C25" s="366"/>
      <c r="D25" s="367"/>
      <c r="E25" s="367"/>
      <c r="F25" s="367"/>
      <c r="G25" s="367"/>
      <c r="H25" s="367"/>
      <c r="I25" s="366"/>
      <c r="J25" s="366"/>
      <c r="K25" s="366"/>
    </row>
    <row r="26" spans="1:11" s="299" customFormat="1" ht="19.95" customHeight="1"/>
    <row r="27" spans="1:11" s="299" customFormat="1" ht="19.95" customHeight="1">
      <c r="A27" s="34" t="s">
        <v>539</v>
      </c>
      <c r="B27" s="366"/>
      <c r="C27" s="366"/>
      <c r="D27" s="367"/>
      <c r="E27" s="367"/>
      <c r="F27" s="367"/>
      <c r="G27" s="367"/>
      <c r="H27" s="367"/>
      <c r="I27" s="366"/>
      <c r="J27" s="366"/>
      <c r="K27" s="366"/>
    </row>
    <row r="28" spans="1:11" s="299" customFormat="1" ht="19.95" customHeight="1">
      <c r="A28" s="81"/>
      <c r="B28" s="81"/>
      <c r="C28" s="81"/>
      <c r="D28" s="532"/>
      <c r="E28" s="532"/>
      <c r="F28" s="532"/>
      <c r="G28" s="532"/>
      <c r="H28" s="532"/>
      <c r="I28" s="532"/>
      <c r="J28" s="532"/>
    </row>
    <row r="29" spans="1:11" ht="19.95" customHeight="1">
      <c r="A29" s="370" t="s">
        <v>418</v>
      </c>
      <c r="B29" s="81"/>
      <c r="C29" s="81"/>
      <c r="D29" s="81"/>
      <c r="E29" s="81"/>
      <c r="F29" s="84"/>
      <c r="G29" s="84"/>
      <c r="H29" s="84"/>
      <c r="I29" s="81"/>
      <c r="J29" s="81"/>
    </row>
    <row r="30" spans="1:11" ht="19.95" customHeight="1">
      <c r="A30" s="441" t="s">
        <v>629</v>
      </c>
      <c r="B30" s="442"/>
      <c r="C30" s="441"/>
      <c r="D30" s="441"/>
      <c r="E30" s="441"/>
      <c r="F30" s="441"/>
      <c r="G30" s="441"/>
      <c r="H30" s="441"/>
      <c r="I30" s="441"/>
      <c r="J30" s="441"/>
      <c r="K30" s="442"/>
    </row>
    <row r="31" spans="1:11" ht="28.8" customHeight="1">
      <c r="A31" s="531" t="s">
        <v>627</v>
      </c>
      <c r="B31" s="531"/>
      <c r="C31" s="531"/>
      <c r="D31" s="531"/>
      <c r="E31" s="531"/>
      <c r="F31" s="531"/>
      <c r="G31" s="531"/>
      <c r="H31" s="531"/>
      <c r="I31" s="531"/>
      <c r="J31" s="531"/>
      <c r="K31" s="531"/>
    </row>
    <row r="32" spans="1:11" ht="19.95" customHeight="1">
      <c r="A32" s="442" t="s">
        <v>632</v>
      </c>
      <c r="B32" s="442"/>
      <c r="C32" s="442"/>
      <c r="D32" s="442"/>
      <c r="E32" s="442"/>
      <c r="F32" s="442"/>
      <c r="G32" s="442"/>
      <c r="H32" s="442"/>
      <c r="I32" s="442"/>
      <c r="J32" s="442"/>
      <c r="K32" s="442"/>
    </row>
    <row r="33" spans="1:11" ht="19.95" customHeight="1">
      <c r="A33" s="442" t="s">
        <v>630</v>
      </c>
      <c r="B33" s="442"/>
      <c r="C33" s="442"/>
      <c r="D33" s="442"/>
      <c r="E33" s="442"/>
      <c r="F33" s="442"/>
      <c r="G33" s="442"/>
      <c r="H33" s="442"/>
      <c r="I33" s="442"/>
      <c r="J33" s="442"/>
      <c r="K33" s="442"/>
    </row>
    <row r="34" spans="1:11" ht="64.2" customHeight="1">
      <c r="A34" s="531" t="s">
        <v>628</v>
      </c>
      <c r="B34" s="531"/>
      <c r="C34" s="531"/>
      <c r="D34" s="531"/>
      <c r="E34" s="531"/>
      <c r="F34" s="531"/>
      <c r="G34" s="531"/>
      <c r="H34" s="531"/>
      <c r="I34" s="531"/>
      <c r="J34" s="531"/>
      <c r="K34" s="531"/>
    </row>
    <row r="35" spans="1:11" ht="19.95" customHeight="1">
      <c r="A35" s="440" t="s">
        <v>631</v>
      </c>
      <c r="B35" s="440"/>
      <c r="C35" s="440"/>
      <c r="D35" s="440"/>
      <c r="E35" s="440"/>
      <c r="F35" s="440"/>
      <c r="G35" s="440"/>
      <c r="H35" s="440"/>
      <c r="I35" s="440"/>
      <c r="J35" s="440"/>
      <c r="K35" s="440"/>
    </row>
    <row r="36" spans="1:11" ht="19.95" customHeight="1">
      <c r="A36" s="438" t="s">
        <v>633</v>
      </c>
      <c r="B36" s="299"/>
      <c r="C36" s="299"/>
      <c r="D36" s="299"/>
      <c r="E36" s="299"/>
      <c r="F36" s="299"/>
      <c r="G36" s="299"/>
      <c r="H36" s="299"/>
      <c r="I36" s="299"/>
      <c r="J36" s="299"/>
      <c r="K36" s="299"/>
    </row>
    <row r="37" spans="1:11" ht="19.95" customHeight="1">
      <c r="A37" s="438" t="s">
        <v>634</v>
      </c>
      <c r="B37" s="299"/>
      <c r="C37" s="299"/>
      <c r="D37" s="299"/>
      <c r="E37" s="299"/>
      <c r="F37" s="299"/>
      <c r="G37" s="299"/>
      <c r="H37" s="299"/>
      <c r="I37" s="299"/>
      <c r="J37" s="299"/>
      <c r="K37" s="299"/>
    </row>
  </sheetData>
  <mergeCells count="13">
    <mergeCell ref="A34:K34"/>
    <mergeCell ref="A31:K31"/>
    <mergeCell ref="A1:K1"/>
    <mergeCell ref="A2:K2"/>
    <mergeCell ref="D28:J28"/>
    <mergeCell ref="J11:J12"/>
    <mergeCell ref="K11:K12"/>
    <mergeCell ref="A24:B24"/>
    <mergeCell ref="A9:K9"/>
    <mergeCell ref="A11:A12"/>
    <mergeCell ref="B11:G11"/>
    <mergeCell ref="H11:H12"/>
    <mergeCell ref="I11:I12"/>
  </mergeCells>
  <phoneticPr fontId="1" type="noConversion"/>
  <dataValidations count="1">
    <dataValidation type="list" allowBlank="1" showInputMessage="1" showErrorMessage="1" sqref="J13:J18">
      <formula1>"是,否"</formula1>
    </dataValidation>
  </dataValidations>
  <hyperlinks>
    <hyperlink ref="K3" location="底稿目录!A1" display="底稿目录!A1"/>
  </hyperlinks>
  <pageMargins left="0.70866141732283472" right="0.70866141732283472" top="0.74803149606299213" bottom="0.74803149606299213" header="0.31496062992125984" footer="0.31496062992125984"/>
  <pageSetup paperSize="9" scale="90" orientation="landscape" blackAndWhite="1" r:id="rId1"/>
  <headerFoot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G31"/>
  <sheetViews>
    <sheetView view="pageBreakPreview" zoomScaleSheetLayoutView="100" workbookViewId="0">
      <selection activeCell="G3" sqref="G3"/>
    </sheetView>
  </sheetViews>
  <sheetFormatPr defaultRowHeight="19.95" customHeight="1"/>
  <cols>
    <col min="1" max="1" width="30" style="78" customWidth="1"/>
    <col min="2" max="2" width="31.88671875" style="78" customWidth="1"/>
    <col min="3" max="3" width="18.21875" style="78" customWidth="1"/>
    <col min="4" max="4" width="13.109375" style="78" customWidth="1"/>
    <col min="5" max="5" width="13.33203125" style="78" customWidth="1"/>
    <col min="6" max="6" width="14" style="78" customWidth="1"/>
    <col min="7" max="7" width="10.88671875" style="78" customWidth="1"/>
    <col min="8" max="256" width="9" style="78"/>
    <col min="257" max="257" width="33.21875" style="78" customWidth="1"/>
    <col min="258" max="258" width="28.33203125" style="78" customWidth="1"/>
    <col min="259" max="259" width="12.6640625" style="78" customWidth="1"/>
    <col min="260" max="260" width="13.109375" style="78" customWidth="1"/>
    <col min="261" max="261" width="13.33203125" style="78" customWidth="1"/>
    <col min="262" max="262" width="14" style="78" customWidth="1"/>
    <col min="263" max="263" width="13.88671875" style="78" customWidth="1"/>
    <col min="264" max="512" width="9" style="78"/>
    <col min="513" max="513" width="33.21875" style="78" customWidth="1"/>
    <col min="514" max="514" width="28.33203125" style="78" customWidth="1"/>
    <col min="515" max="515" width="12.6640625" style="78" customWidth="1"/>
    <col min="516" max="516" width="13.109375" style="78" customWidth="1"/>
    <col min="517" max="517" width="13.33203125" style="78" customWidth="1"/>
    <col min="518" max="518" width="14" style="78" customWidth="1"/>
    <col min="519" max="519" width="13.88671875" style="78" customWidth="1"/>
    <col min="520" max="768" width="9" style="78"/>
    <col min="769" max="769" width="33.21875" style="78" customWidth="1"/>
    <col min="770" max="770" width="28.33203125" style="78" customWidth="1"/>
    <col min="771" max="771" width="12.6640625" style="78" customWidth="1"/>
    <col min="772" max="772" width="13.109375" style="78" customWidth="1"/>
    <col min="773" max="773" width="13.33203125" style="78" customWidth="1"/>
    <col min="774" max="774" width="14" style="78" customWidth="1"/>
    <col min="775" max="775" width="13.88671875" style="78" customWidth="1"/>
    <col min="776" max="1024" width="9" style="78"/>
    <col min="1025" max="1025" width="33.21875" style="78" customWidth="1"/>
    <col min="1026" max="1026" width="28.33203125" style="78" customWidth="1"/>
    <col min="1027" max="1027" width="12.6640625" style="78" customWidth="1"/>
    <col min="1028" max="1028" width="13.109375" style="78" customWidth="1"/>
    <col min="1029" max="1029" width="13.33203125" style="78" customWidth="1"/>
    <col min="1030" max="1030" width="14" style="78" customWidth="1"/>
    <col min="1031" max="1031" width="13.88671875" style="78" customWidth="1"/>
    <col min="1032" max="1280" width="9" style="78"/>
    <col min="1281" max="1281" width="33.21875" style="78" customWidth="1"/>
    <col min="1282" max="1282" width="28.33203125" style="78" customWidth="1"/>
    <col min="1283" max="1283" width="12.6640625" style="78" customWidth="1"/>
    <col min="1284" max="1284" width="13.109375" style="78" customWidth="1"/>
    <col min="1285" max="1285" width="13.33203125" style="78" customWidth="1"/>
    <col min="1286" max="1286" width="14" style="78" customWidth="1"/>
    <col min="1287" max="1287" width="13.88671875" style="78" customWidth="1"/>
    <col min="1288" max="1536" width="9" style="78"/>
    <col min="1537" max="1537" width="33.21875" style="78" customWidth="1"/>
    <col min="1538" max="1538" width="28.33203125" style="78" customWidth="1"/>
    <col min="1539" max="1539" width="12.6640625" style="78" customWidth="1"/>
    <col min="1540" max="1540" width="13.109375" style="78" customWidth="1"/>
    <col min="1541" max="1541" width="13.33203125" style="78" customWidth="1"/>
    <col min="1542" max="1542" width="14" style="78" customWidth="1"/>
    <col min="1543" max="1543" width="13.88671875" style="78" customWidth="1"/>
    <col min="1544" max="1792" width="9" style="78"/>
    <col min="1793" max="1793" width="33.21875" style="78" customWidth="1"/>
    <col min="1794" max="1794" width="28.33203125" style="78" customWidth="1"/>
    <col min="1795" max="1795" width="12.6640625" style="78" customWidth="1"/>
    <col min="1796" max="1796" width="13.109375" style="78" customWidth="1"/>
    <col min="1797" max="1797" width="13.33203125" style="78" customWidth="1"/>
    <col min="1798" max="1798" width="14" style="78" customWidth="1"/>
    <col min="1799" max="1799" width="13.88671875" style="78" customWidth="1"/>
    <col min="1800" max="2048" width="9" style="78"/>
    <col min="2049" max="2049" width="33.21875" style="78" customWidth="1"/>
    <col min="2050" max="2050" width="28.33203125" style="78" customWidth="1"/>
    <col min="2051" max="2051" width="12.6640625" style="78" customWidth="1"/>
    <col min="2052" max="2052" width="13.109375" style="78" customWidth="1"/>
    <col min="2053" max="2053" width="13.33203125" style="78" customWidth="1"/>
    <col min="2054" max="2054" width="14" style="78" customWidth="1"/>
    <col min="2055" max="2055" width="13.88671875" style="78" customWidth="1"/>
    <col min="2056" max="2304" width="9" style="78"/>
    <col min="2305" max="2305" width="33.21875" style="78" customWidth="1"/>
    <col min="2306" max="2306" width="28.33203125" style="78" customWidth="1"/>
    <col min="2307" max="2307" width="12.6640625" style="78" customWidth="1"/>
    <col min="2308" max="2308" width="13.109375" style="78" customWidth="1"/>
    <col min="2309" max="2309" width="13.33203125" style="78" customWidth="1"/>
    <col min="2310" max="2310" width="14" style="78" customWidth="1"/>
    <col min="2311" max="2311" width="13.88671875" style="78" customWidth="1"/>
    <col min="2312" max="2560" width="9" style="78"/>
    <col min="2561" max="2561" width="33.21875" style="78" customWidth="1"/>
    <col min="2562" max="2562" width="28.33203125" style="78" customWidth="1"/>
    <col min="2563" max="2563" width="12.6640625" style="78" customWidth="1"/>
    <col min="2564" max="2564" width="13.109375" style="78" customWidth="1"/>
    <col min="2565" max="2565" width="13.33203125" style="78" customWidth="1"/>
    <col min="2566" max="2566" width="14" style="78" customWidth="1"/>
    <col min="2567" max="2567" width="13.88671875" style="78" customWidth="1"/>
    <col min="2568" max="2816" width="9" style="78"/>
    <col min="2817" max="2817" width="33.21875" style="78" customWidth="1"/>
    <col min="2818" max="2818" width="28.33203125" style="78" customWidth="1"/>
    <col min="2819" max="2819" width="12.6640625" style="78" customWidth="1"/>
    <col min="2820" max="2820" width="13.109375" style="78" customWidth="1"/>
    <col min="2821" max="2821" width="13.33203125" style="78" customWidth="1"/>
    <col min="2822" max="2822" width="14" style="78" customWidth="1"/>
    <col min="2823" max="2823" width="13.88671875" style="78" customWidth="1"/>
    <col min="2824" max="3072" width="9" style="78"/>
    <col min="3073" max="3073" width="33.21875" style="78" customWidth="1"/>
    <col min="3074" max="3074" width="28.33203125" style="78" customWidth="1"/>
    <col min="3075" max="3075" width="12.6640625" style="78" customWidth="1"/>
    <col min="3076" max="3076" width="13.109375" style="78" customWidth="1"/>
    <col min="3077" max="3077" width="13.33203125" style="78" customWidth="1"/>
    <col min="3078" max="3078" width="14" style="78" customWidth="1"/>
    <col min="3079" max="3079" width="13.88671875" style="78" customWidth="1"/>
    <col min="3080" max="3328" width="9" style="78"/>
    <col min="3329" max="3329" width="33.21875" style="78" customWidth="1"/>
    <col min="3330" max="3330" width="28.33203125" style="78" customWidth="1"/>
    <col min="3331" max="3331" width="12.6640625" style="78" customWidth="1"/>
    <col min="3332" max="3332" width="13.109375" style="78" customWidth="1"/>
    <col min="3333" max="3333" width="13.33203125" style="78" customWidth="1"/>
    <col min="3334" max="3334" width="14" style="78" customWidth="1"/>
    <col min="3335" max="3335" width="13.88671875" style="78" customWidth="1"/>
    <col min="3336" max="3584" width="9" style="78"/>
    <col min="3585" max="3585" width="33.21875" style="78" customWidth="1"/>
    <col min="3586" max="3586" width="28.33203125" style="78" customWidth="1"/>
    <col min="3587" max="3587" width="12.6640625" style="78" customWidth="1"/>
    <col min="3588" max="3588" width="13.109375" style="78" customWidth="1"/>
    <col min="3589" max="3589" width="13.33203125" style="78" customWidth="1"/>
    <col min="3590" max="3590" width="14" style="78" customWidth="1"/>
    <col min="3591" max="3591" width="13.88671875" style="78" customWidth="1"/>
    <col min="3592" max="3840" width="9" style="78"/>
    <col min="3841" max="3841" width="33.21875" style="78" customWidth="1"/>
    <col min="3842" max="3842" width="28.33203125" style="78" customWidth="1"/>
    <col min="3843" max="3843" width="12.6640625" style="78" customWidth="1"/>
    <col min="3844" max="3844" width="13.109375" style="78" customWidth="1"/>
    <col min="3845" max="3845" width="13.33203125" style="78" customWidth="1"/>
    <col min="3846" max="3846" width="14" style="78" customWidth="1"/>
    <col min="3847" max="3847" width="13.88671875" style="78" customWidth="1"/>
    <col min="3848" max="4096" width="9" style="78"/>
    <col min="4097" max="4097" width="33.21875" style="78" customWidth="1"/>
    <col min="4098" max="4098" width="28.33203125" style="78" customWidth="1"/>
    <col min="4099" max="4099" width="12.6640625" style="78" customWidth="1"/>
    <col min="4100" max="4100" width="13.109375" style="78" customWidth="1"/>
    <col min="4101" max="4101" width="13.33203125" style="78" customWidth="1"/>
    <col min="4102" max="4102" width="14" style="78" customWidth="1"/>
    <col min="4103" max="4103" width="13.88671875" style="78" customWidth="1"/>
    <col min="4104" max="4352" width="9" style="78"/>
    <col min="4353" max="4353" width="33.21875" style="78" customWidth="1"/>
    <col min="4354" max="4354" width="28.33203125" style="78" customWidth="1"/>
    <col min="4355" max="4355" width="12.6640625" style="78" customWidth="1"/>
    <col min="4356" max="4356" width="13.109375" style="78" customWidth="1"/>
    <col min="4357" max="4357" width="13.33203125" style="78" customWidth="1"/>
    <col min="4358" max="4358" width="14" style="78" customWidth="1"/>
    <col min="4359" max="4359" width="13.88671875" style="78" customWidth="1"/>
    <col min="4360" max="4608" width="9" style="78"/>
    <col min="4609" max="4609" width="33.21875" style="78" customWidth="1"/>
    <col min="4610" max="4610" width="28.33203125" style="78" customWidth="1"/>
    <col min="4611" max="4611" width="12.6640625" style="78" customWidth="1"/>
    <col min="4612" max="4612" width="13.109375" style="78" customWidth="1"/>
    <col min="4613" max="4613" width="13.33203125" style="78" customWidth="1"/>
    <col min="4614" max="4614" width="14" style="78" customWidth="1"/>
    <col min="4615" max="4615" width="13.88671875" style="78" customWidth="1"/>
    <col min="4616" max="4864" width="9" style="78"/>
    <col min="4865" max="4865" width="33.21875" style="78" customWidth="1"/>
    <col min="4866" max="4866" width="28.33203125" style="78" customWidth="1"/>
    <col min="4867" max="4867" width="12.6640625" style="78" customWidth="1"/>
    <col min="4868" max="4868" width="13.109375" style="78" customWidth="1"/>
    <col min="4869" max="4869" width="13.33203125" style="78" customWidth="1"/>
    <col min="4870" max="4870" width="14" style="78" customWidth="1"/>
    <col min="4871" max="4871" width="13.88671875" style="78" customWidth="1"/>
    <col min="4872" max="5120" width="9" style="78"/>
    <col min="5121" max="5121" width="33.21875" style="78" customWidth="1"/>
    <col min="5122" max="5122" width="28.33203125" style="78" customWidth="1"/>
    <col min="5123" max="5123" width="12.6640625" style="78" customWidth="1"/>
    <col min="5124" max="5124" width="13.109375" style="78" customWidth="1"/>
    <col min="5125" max="5125" width="13.33203125" style="78" customWidth="1"/>
    <col min="5126" max="5126" width="14" style="78" customWidth="1"/>
    <col min="5127" max="5127" width="13.88671875" style="78" customWidth="1"/>
    <col min="5128" max="5376" width="9" style="78"/>
    <col min="5377" max="5377" width="33.21875" style="78" customWidth="1"/>
    <col min="5378" max="5378" width="28.33203125" style="78" customWidth="1"/>
    <col min="5379" max="5379" width="12.6640625" style="78" customWidth="1"/>
    <col min="5380" max="5380" width="13.109375" style="78" customWidth="1"/>
    <col min="5381" max="5381" width="13.33203125" style="78" customWidth="1"/>
    <col min="5382" max="5382" width="14" style="78" customWidth="1"/>
    <col min="5383" max="5383" width="13.88671875" style="78" customWidth="1"/>
    <col min="5384" max="5632" width="9" style="78"/>
    <col min="5633" max="5633" width="33.21875" style="78" customWidth="1"/>
    <col min="5634" max="5634" width="28.33203125" style="78" customWidth="1"/>
    <col min="5635" max="5635" width="12.6640625" style="78" customWidth="1"/>
    <col min="5636" max="5636" width="13.109375" style="78" customWidth="1"/>
    <col min="5637" max="5637" width="13.33203125" style="78" customWidth="1"/>
    <col min="5638" max="5638" width="14" style="78" customWidth="1"/>
    <col min="5639" max="5639" width="13.88671875" style="78" customWidth="1"/>
    <col min="5640" max="5888" width="9" style="78"/>
    <col min="5889" max="5889" width="33.21875" style="78" customWidth="1"/>
    <col min="5890" max="5890" width="28.33203125" style="78" customWidth="1"/>
    <col min="5891" max="5891" width="12.6640625" style="78" customWidth="1"/>
    <col min="5892" max="5892" width="13.109375" style="78" customWidth="1"/>
    <col min="5893" max="5893" width="13.33203125" style="78" customWidth="1"/>
    <col min="5894" max="5894" width="14" style="78" customWidth="1"/>
    <col min="5895" max="5895" width="13.88671875" style="78" customWidth="1"/>
    <col min="5896" max="6144" width="9" style="78"/>
    <col min="6145" max="6145" width="33.21875" style="78" customWidth="1"/>
    <col min="6146" max="6146" width="28.33203125" style="78" customWidth="1"/>
    <col min="6147" max="6147" width="12.6640625" style="78" customWidth="1"/>
    <col min="6148" max="6148" width="13.109375" style="78" customWidth="1"/>
    <col min="6149" max="6149" width="13.33203125" style="78" customWidth="1"/>
    <col min="6150" max="6150" width="14" style="78" customWidth="1"/>
    <col min="6151" max="6151" width="13.88671875" style="78" customWidth="1"/>
    <col min="6152" max="6400" width="9" style="78"/>
    <col min="6401" max="6401" width="33.21875" style="78" customWidth="1"/>
    <col min="6402" max="6402" width="28.33203125" style="78" customWidth="1"/>
    <col min="6403" max="6403" width="12.6640625" style="78" customWidth="1"/>
    <col min="6404" max="6404" width="13.109375" style="78" customWidth="1"/>
    <col min="6405" max="6405" width="13.33203125" style="78" customWidth="1"/>
    <col min="6406" max="6406" width="14" style="78" customWidth="1"/>
    <col min="6407" max="6407" width="13.88671875" style="78" customWidth="1"/>
    <col min="6408" max="6656" width="9" style="78"/>
    <col min="6657" max="6657" width="33.21875" style="78" customWidth="1"/>
    <col min="6658" max="6658" width="28.33203125" style="78" customWidth="1"/>
    <col min="6659" max="6659" width="12.6640625" style="78" customWidth="1"/>
    <col min="6660" max="6660" width="13.109375" style="78" customWidth="1"/>
    <col min="6661" max="6661" width="13.33203125" style="78" customWidth="1"/>
    <col min="6662" max="6662" width="14" style="78" customWidth="1"/>
    <col min="6663" max="6663" width="13.88671875" style="78" customWidth="1"/>
    <col min="6664" max="6912" width="9" style="78"/>
    <col min="6913" max="6913" width="33.21875" style="78" customWidth="1"/>
    <col min="6914" max="6914" width="28.33203125" style="78" customWidth="1"/>
    <col min="6915" max="6915" width="12.6640625" style="78" customWidth="1"/>
    <col min="6916" max="6916" width="13.109375" style="78" customWidth="1"/>
    <col min="6917" max="6917" width="13.33203125" style="78" customWidth="1"/>
    <col min="6918" max="6918" width="14" style="78" customWidth="1"/>
    <col min="6919" max="6919" width="13.88671875" style="78" customWidth="1"/>
    <col min="6920" max="7168" width="9" style="78"/>
    <col min="7169" max="7169" width="33.21875" style="78" customWidth="1"/>
    <col min="7170" max="7170" width="28.33203125" style="78" customWidth="1"/>
    <col min="7171" max="7171" width="12.6640625" style="78" customWidth="1"/>
    <col min="7172" max="7172" width="13.109375" style="78" customWidth="1"/>
    <col min="7173" max="7173" width="13.33203125" style="78" customWidth="1"/>
    <col min="7174" max="7174" width="14" style="78" customWidth="1"/>
    <col min="7175" max="7175" width="13.88671875" style="78" customWidth="1"/>
    <col min="7176" max="7424" width="9" style="78"/>
    <col min="7425" max="7425" width="33.21875" style="78" customWidth="1"/>
    <col min="7426" max="7426" width="28.33203125" style="78" customWidth="1"/>
    <col min="7427" max="7427" width="12.6640625" style="78" customWidth="1"/>
    <col min="7428" max="7428" width="13.109375" style="78" customWidth="1"/>
    <col min="7429" max="7429" width="13.33203125" style="78" customWidth="1"/>
    <col min="7430" max="7430" width="14" style="78" customWidth="1"/>
    <col min="7431" max="7431" width="13.88671875" style="78" customWidth="1"/>
    <col min="7432" max="7680" width="9" style="78"/>
    <col min="7681" max="7681" width="33.21875" style="78" customWidth="1"/>
    <col min="7682" max="7682" width="28.33203125" style="78" customWidth="1"/>
    <col min="7683" max="7683" width="12.6640625" style="78" customWidth="1"/>
    <col min="7684" max="7684" width="13.109375" style="78" customWidth="1"/>
    <col min="7685" max="7685" width="13.33203125" style="78" customWidth="1"/>
    <col min="7686" max="7686" width="14" style="78" customWidth="1"/>
    <col min="7687" max="7687" width="13.88671875" style="78" customWidth="1"/>
    <col min="7688" max="7936" width="9" style="78"/>
    <col min="7937" max="7937" width="33.21875" style="78" customWidth="1"/>
    <col min="7938" max="7938" width="28.33203125" style="78" customWidth="1"/>
    <col min="7939" max="7939" width="12.6640625" style="78" customWidth="1"/>
    <col min="7940" max="7940" width="13.109375" style="78" customWidth="1"/>
    <col min="7941" max="7941" width="13.33203125" style="78" customWidth="1"/>
    <col min="7942" max="7942" width="14" style="78" customWidth="1"/>
    <col min="7943" max="7943" width="13.88671875" style="78" customWidth="1"/>
    <col min="7944" max="8192" width="9" style="78"/>
    <col min="8193" max="8193" width="33.21875" style="78" customWidth="1"/>
    <col min="8194" max="8194" width="28.33203125" style="78" customWidth="1"/>
    <col min="8195" max="8195" width="12.6640625" style="78" customWidth="1"/>
    <col min="8196" max="8196" width="13.109375" style="78" customWidth="1"/>
    <col min="8197" max="8197" width="13.33203125" style="78" customWidth="1"/>
    <col min="8198" max="8198" width="14" style="78" customWidth="1"/>
    <col min="8199" max="8199" width="13.88671875" style="78" customWidth="1"/>
    <col min="8200" max="8448" width="9" style="78"/>
    <col min="8449" max="8449" width="33.21875" style="78" customWidth="1"/>
    <col min="8450" max="8450" width="28.33203125" style="78" customWidth="1"/>
    <col min="8451" max="8451" width="12.6640625" style="78" customWidth="1"/>
    <col min="8452" max="8452" width="13.109375" style="78" customWidth="1"/>
    <col min="8453" max="8453" width="13.33203125" style="78" customWidth="1"/>
    <col min="8454" max="8454" width="14" style="78" customWidth="1"/>
    <col min="8455" max="8455" width="13.88671875" style="78" customWidth="1"/>
    <col min="8456" max="8704" width="9" style="78"/>
    <col min="8705" max="8705" width="33.21875" style="78" customWidth="1"/>
    <col min="8706" max="8706" width="28.33203125" style="78" customWidth="1"/>
    <col min="8707" max="8707" width="12.6640625" style="78" customWidth="1"/>
    <col min="8708" max="8708" width="13.109375" style="78" customWidth="1"/>
    <col min="8709" max="8709" width="13.33203125" style="78" customWidth="1"/>
    <col min="8710" max="8710" width="14" style="78" customWidth="1"/>
    <col min="8711" max="8711" width="13.88671875" style="78" customWidth="1"/>
    <col min="8712" max="8960" width="9" style="78"/>
    <col min="8961" max="8961" width="33.21875" style="78" customWidth="1"/>
    <col min="8962" max="8962" width="28.33203125" style="78" customWidth="1"/>
    <col min="8963" max="8963" width="12.6640625" style="78" customWidth="1"/>
    <col min="8964" max="8964" width="13.109375" style="78" customWidth="1"/>
    <col min="8965" max="8965" width="13.33203125" style="78" customWidth="1"/>
    <col min="8966" max="8966" width="14" style="78" customWidth="1"/>
    <col min="8967" max="8967" width="13.88671875" style="78" customWidth="1"/>
    <col min="8968" max="9216" width="9" style="78"/>
    <col min="9217" max="9217" width="33.21875" style="78" customWidth="1"/>
    <col min="9218" max="9218" width="28.33203125" style="78" customWidth="1"/>
    <col min="9219" max="9219" width="12.6640625" style="78" customWidth="1"/>
    <col min="9220" max="9220" width="13.109375" style="78" customWidth="1"/>
    <col min="9221" max="9221" width="13.33203125" style="78" customWidth="1"/>
    <col min="9222" max="9222" width="14" style="78" customWidth="1"/>
    <col min="9223" max="9223" width="13.88671875" style="78" customWidth="1"/>
    <col min="9224" max="9472" width="9" style="78"/>
    <col min="9473" max="9473" width="33.21875" style="78" customWidth="1"/>
    <col min="9474" max="9474" width="28.33203125" style="78" customWidth="1"/>
    <col min="9475" max="9475" width="12.6640625" style="78" customWidth="1"/>
    <col min="9476" max="9476" width="13.109375" style="78" customWidth="1"/>
    <col min="9477" max="9477" width="13.33203125" style="78" customWidth="1"/>
    <col min="9478" max="9478" width="14" style="78" customWidth="1"/>
    <col min="9479" max="9479" width="13.88671875" style="78" customWidth="1"/>
    <col min="9480" max="9728" width="9" style="78"/>
    <col min="9729" max="9729" width="33.21875" style="78" customWidth="1"/>
    <col min="9730" max="9730" width="28.33203125" style="78" customWidth="1"/>
    <col min="9731" max="9731" width="12.6640625" style="78" customWidth="1"/>
    <col min="9732" max="9732" width="13.109375" style="78" customWidth="1"/>
    <col min="9733" max="9733" width="13.33203125" style="78" customWidth="1"/>
    <col min="9734" max="9734" width="14" style="78" customWidth="1"/>
    <col min="9735" max="9735" width="13.88671875" style="78" customWidth="1"/>
    <col min="9736" max="9984" width="9" style="78"/>
    <col min="9985" max="9985" width="33.21875" style="78" customWidth="1"/>
    <col min="9986" max="9986" width="28.33203125" style="78" customWidth="1"/>
    <col min="9987" max="9987" width="12.6640625" style="78" customWidth="1"/>
    <col min="9988" max="9988" width="13.109375" style="78" customWidth="1"/>
    <col min="9989" max="9989" width="13.33203125" style="78" customWidth="1"/>
    <col min="9990" max="9990" width="14" style="78" customWidth="1"/>
    <col min="9991" max="9991" width="13.88671875" style="78" customWidth="1"/>
    <col min="9992" max="10240" width="9" style="78"/>
    <col min="10241" max="10241" width="33.21875" style="78" customWidth="1"/>
    <col min="10242" max="10242" width="28.33203125" style="78" customWidth="1"/>
    <col min="10243" max="10243" width="12.6640625" style="78" customWidth="1"/>
    <col min="10244" max="10244" width="13.109375" style="78" customWidth="1"/>
    <col min="10245" max="10245" width="13.33203125" style="78" customWidth="1"/>
    <col min="10246" max="10246" width="14" style="78" customWidth="1"/>
    <col min="10247" max="10247" width="13.88671875" style="78" customWidth="1"/>
    <col min="10248" max="10496" width="9" style="78"/>
    <col min="10497" max="10497" width="33.21875" style="78" customWidth="1"/>
    <col min="10498" max="10498" width="28.33203125" style="78" customWidth="1"/>
    <col min="10499" max="10499" width="12.6640625" style="78" customWidth="1"/>
    <col min="10500" max="10500" width="13.109375" style="78" customWidth="1"/>
    <col min="10501" max="10501" width="13.33203125" style="78" customWidth="1"/>
    <col min="10502" max="10502" width="14" style="78" customWidth="1"/>
    <col min="10503" max="10503" width="13.88671875" style="78" customWidth="1"/>
    <col min="10504" max="10752" width="9" style="78"/>
    <col min="10753" max="10753" width="33.21875" style="78" customWidth="1"/>
    <col min="10754" max="10754" width="28.33203125" style="78" customWidth="1"/>
    <col min="10755" max="10755" width="12.6640625" style="78" customWidth="1"/>
    <col min="10756" max="10756" width="13.109375" style="78" customWidth="1"/>
    <col min="10757" max="10757" width="13.33203125" style="78" customWidth="1"/>
    <col min="10758" max="10758" width="14" style="78" customWidth="1"/>
    <col min="10759" max="10759" width="13.88671875" style="78" customWidth="1"/>
    <col min="10760" max="11008" width="9" style="78"/>
    <col min="11009" max="11009" width="33.21875" style="78" customWidth="1"/>
    <col min="11010" max="11010" width="28.33203125" style="78" customWidth="1"/>
    <col min="11011" max="11011" width="12.6640625" style="78" customWidth="1"/>
    <col min="11012" max="11012" width="13.109375" style="78" customWidth="1"/>
    <col min="11013" max="11013" width="13.33203125" style="78" customWidth="1"/>
    <col min="11014" max="11014" width="14" style="78" customWidth="1"/>
    <col min="11015" max="11015" width="13.88671875" style="78" customWidth="1"/>
    <col min="11016" max="11264" width="9" style="78"/>
    <col min="11265" max="11265" width="33.21875" style="78" customWidth="1"/>
    <col min="11266" max="11266" width="28.33203125" style="78" customWidth="1"/>
    <col min="11267" max="11267" width="12.6640625" style="78" customWidth="1"/>
    <col min="11268" max="11268" width="13.109375" style="78" customWidth="1"/>
    <col min="11269" max="11269" width="13.33203125" style="78" customWidth="1"/>
    <col min="11270" max="11270" width="14" style="78" customWidth="1"/>
    <col min="11271" max="11271" width="13.88671875" style="78" customWidth="1"/>
    <col min="11272" max="11520" width="9" style="78"/>
    <col min="11521" max="11521" width="33.21875" style="78" customWidth="1"/>
    <col min="11522" max="11522" width="28.33203125" style="78" customWidth="1"/>
    <col min="11523" max="11523" width="12.6640625" style="78" customWidth="1"/>
    <col min="11524" max="11524" width="13.109375" style="78" customWidth="1"/>
    <col min="11525" max="11525" width="13.33203125" style="78" customWidth="1"/>
    <col min="11526" max="11526" width="14" style="78" customWidth="1"/>
    <col min="11527" max="11527" width="13.88671875" style="78" customWidth="1"/>
    <col min="11528" max="11776" width="9" style="78"/>
    <col min="11777" max="11777" width="33.21875" style="78" customWidth="1"/>
    <col min="11778" max="11778" width="28.33203125" style="78" customWidth="1"/>
    <col min="11779" max="11779" width="12.6640625" style="78" customWidth="1"/>
    <col min="11780" max="11780" width="13.109375" style="78" customWidth="1"/>
    <col min="11781" max="11781" width="13.33203125" style="78" customWidth="1"/>
    <col min="11782" max="11782" width="14" style="78" customWidth="1"/>
    <col min="11783" max="11783" width="13.88671875" style="78" customWidth="1"/>
    <col min="11784" max="12032" width="9" style="78"/>
    <col min="12033" max="12033" width="33.21875" style="78" customWidth="1"/>
    <col min="12034" max="12034" width="28.33203125" style="78" customWidth="1"/>
    <col min="12035" max="12035" width="12.6640625" style="78" customWidth="1"/>
    <col min="12036" max="12036" width="13.109375" style="78" customWidth="1"/>
    <col min="12037" max="12037" width="13.33203125" style="78" customWidth="1"/>
    <col min="12038" max="12038" width="14" style="78" customWidth="1"/>
    <col min="12039" max="12039" width="13.88671875" style="78" customWidth="1"/>
    <col min="12040" max="12288" width="9" style="78"/>
    <col min="12289" max="12289" width="33.21875" style="78" customWidth="1"/>
    <col min="12290" max="12290" width="28.33203125" style="78" customWidth="1"/>
    <col min="12291" max="12291" width="12.6640625" style="78" customWidth="1"/>
    <col min="12292" max="12292" width="13.109375" style="78" customWidth="1"/>
    <col min="12293" max="12293" width="13.33203125" style="78" customWidth="1"/>
    <col min="12294" max="12294" width="14" style="78" customWidth="1"/>
    <col min="12295" max="12295" width="13.88671875" style="78" customWidth="1"/>
    <col min="12296" max="12544" width="9" style="78"/>
    <col min="12545" max="12545" width="33.21875" style="78" customWidth="1"/>
    <col min="12546" max="12546" width="28.33203125" style="78" customWidth="1"/>
    <col min="12547" max="12547" width="12.6640625" style="78" customWidth="1"/>
    <col min="12548" max="12548" width="13.109375" style="78" customWidth="1"/>
    <col min="12549" max="12549" width="13.33203125" style="78" customWidth="1"/>
    <col min="12550" max="12550" width="14" style="78" customWidth="1"/>
    <col min="12551" max="12551" width="13.88671875" style="78" customWidth="1"/>
    <col min="12552" max="12800" width="9" style="78"/>
    <col min="12801" max="12801" width="33.21875" style="78" customWidth="1"/>
    <col min="12802" max="12802" width="28.33203125" style="78" customWidth="1"/>
    <col min="12803" max="12803" width="12.6640625" style="78" customWidth="1"/>
    <col min="12804" max="12804" width="13.109375" style="78" customWidth="1"/>
    <col min="12805" max="12805" width="13.33203125" style="78" customWidth="1"/>
    <col min="12806" max="12806" width="14" style="78" customWidth="1"/>
    <col min="12807" max="12807" width="13.88671875" style="78" customWidth="1"/>
    <col min="12808" max="13056" width="9" style="78"/>
    <col min="13057" max="13057" width="33.21875" style="78" customWidth="1"/>
    <col min="13058" max="13058" width="28.33203125" style="78" customWidth="1"/>
    <col min="13059" max="13059" width="12.6640625" style="78" customWidth="1"/>
    <col min="13060" max="13060" width="13.109375" style="78" customWidth="1"/>
    <col min="13061" max="13061" width="13.33203125" style="78" customWidth="1"/>
    <col min="13062" max="13062" width="14" style="78" customWidth="1"/>
    <col min="13063" max="13063" width="13.88671875" style="78" customWidth="1"/>
    <col min="13064" max="13312" width="9" style="78"/>
    <col min="13313" max="13313" width="33.21875" style="78" customWidth="1"/>
    <col min="13314" max="13314" width="28.33203125" style="78" customWidth="1"/>
    <col min="13315" max="13315" width="12.6640625" style="78" customWidth="1"/>
    <col min="13316" max="13316" width="13.109375" style="78" customWidth="1"/>
    <col min="13317" max="13317" width="13.33203125" style="78" customWidth="1"/>
    <col min="13318" max="13318" width="14" style="78" customWidth="1"/>
    <col min="13319" max="13319" width="13.88671875" style="78" customWidth="1"/>
    <col min="13320" max="13568" width="9" style="78"/>
    <col min="13569" max="13569" width="33.21875" style="78" customWidth="1"/>
    <col min="13570" max="13570" width="28.33203125" style="78" customWidth="1"/>
    <col min="13571" max="13571" width="12.6640625" style="78" customWidth="1"/>
    <col min="13572" max="13572" width="13.109375" style="78" customWidth="1"/>
    <col min="13573" max="13573" width="13.33203125" style="78" customWidth="1"/>
    <col min="13574" max="13574" width="14" style="78" customWidth="1"/>
    <col min="13575" max="13575" width="13.88671875" style="78" customWidth="1"/>
    <col min="13576" max="13824" width="9" style="78"/>
    <col min="13825" max="13825" width="33.21875" style="78" customWidth="1"/>
    <col min="13826" max="13826" width="28.33203125" style="78" customWidth="1"/>
    <col min="13827" max="13827" width="12.6640625" style="78" customWidth="1"/>
    <col min="13828" max="13828" width="13.109375" style="78" customWidth="1"/>
    <col min="13829" max="13829" width="13.33203125" style="78" customWidth="1"/>
    <col min="13830" max="13830" width="14" style="78" customWidth="1"/>
    <col min="13831" max="13831" width="13.88671875" style="78" customWidth="1"/>
    <col min="13832" max="14080" width="9" style="78"/>
    <col min="14081" max="14081" width="33.21875" style="78" customWidth="1"/>
    <col min="14082" max="14082" width="28.33203125" style="78" customWidth="1"/>
    <col min="14083" max="14083" width="12.6640625" style="78" customWidth="1"/>
    <col min="14084" max="14084" width="13.109375" style="78" customWidth="1"/>
    <col min="14085" max="14085" width="13.33203125" style="78" customWidth="1"/>
    <col min="14086" max="14086" width="14" style="78" customWidth="1"/>
    <col min="14087" max="14087" width="13.88671875" style="78" customWidth="1"/>
    <col min="14088" max="14336" width="9" style="78"/>
    <col min="14337" max="14337" width="33.21875" style="78" customWidth="1"/>
    <col min="14338" max="14338" width="28.33203125" style="78" customWidth="1"/>
    <col min="14339" max="14339" width="12.6640625" style="78" customWidth="1"/>
    <col min="14340" max="14340" width="13.109375" style="78" customWidth="1"/>
    <col min="14341" max="14341" width="13.33203125" style="78" customWidth="1"/>
    <col min="14342" max="14342" width="14" style="78" customWidth="1"/>
    <col min="14343" max="14343" width="13.88671875" style="78" customWidth="1"/>
    <col min="14344" max="14592" width="9" style="78"/>
    <col min="14593" max="14593" width="33.21875" style="78" customWidth="1"/>
    <col min="14594" max="14594" width="28.33203125" style="78" customWidth="1"/>
    <col min="14595" max="14595" width="12.6640625" style="78" customWidth="1"/>
    <col min="14596" max="14596" width="13.109375" style="78" customWidth="1"/>
    <col min="14597" max="14597" width="13.33203125" style="78" customWidth="1"/>
    <col min="14598" max="14598" width="14" style="78" customWidth="1"/>
    <col min="14599" max="14599" width="13.88671875" style="78" customWidth="1"/>
    <col min="14600" max="14848" width="9" style="78"/>
    <col min="14849" max="14849" width="33.21875" style="78" customWidth="1"/>
    <col min="14850" max="14850" width="28.33203125" style="78" customWidth="1"/>
    <col min="14851" max="14851" width="12.6640625" style="78" customWidth="1"/>
    <col min="14852" max="14852" width="13.109375" style="78" customWidth="1"/>
    <col min="14853" max="14853" width="13.33203125" style="78" customWidth="1"/>
    <col min="14854" max="14854" width="14" style="78" customWidth="1"/>
    <col min="14855" max="14855" width="13.88671875" style="78" customWidth="1"/>
    <col min="14856" max="15104" width="9" style="78"/>
    <col min="15105" max="15105" width="33.21875" style="78" customWidth="1"/>
    <col min="15106" max="15106" width="28.33203125" style="78" customWidth="1"/>
    <col min="15107" max="15107" width="12.6640625" style="78" customWidth="1"/>
    <col min="15108" max="15108" width="13.109375" style="78" customWidth="1"/>
    <col min="15109" max="15109" width="13.33203125" style="78" customWidth="1"/>
    <col min="15110" max="15110" width="14" style="78" customWidth="1"/>
    <col min="15111" max="15111" width="13.88671875" style="78" customWidth="1"/>
    <col min="15112" max="15360" width="9" style="78"/>
    <col min="15361" max="15361" width="33.21875" style="78" customWidth="1"/>
    <col min="15362" max="15362" width="28.33203125" style="78" customWidth="1"/>
    <col min="15363" max="15363" width="12.6640625" style="78" customWidth="1"/>
    <col min="15364" max="15364" width="13.109375" style="78" customWidth="1"/>
    <col min="15365" max="15365" width="13.33203125" style="78" customWidth="1"/>
    <col min="15366" max="15366" width="14" style="78" customWidth="1"/>
    <col min="15367" max="15367" width="13.88671875" style="78" customWidth="1"/>
    <col min="15368" max="15616" width="9" style="78"/>
    <col min="15617" max="15617" width="33.21875" style="78" customWidth="1"/>
    <col min="15618" max="15618" width="28.33203125" style="78" customWidth="1"/>
    <col min="15619" max="15619" width="12.6640625" style="78" customWidth="1"/>
    <col min="15620" max="15620" width="13.109375" style="78" customWidth="1"/>
    <col min="15621" max="15621" width="13.33203125" style="78" customWidth="1"/>
    <col min="15622" max="15622" width="14" style="78" customWidth="1"/>
    <col min="15623" max="15623" width="13.88671875" style="78" customWidth="1"/>
    <col min="15624" max="15872" width="9" style="78"/>
    <col min="15873" max="15873" width="33.21875" style="78" customWidth="1"/>
    <col min="15874" max="15874" width="28.33203125" style="78" customWidth="1"/>
    <col min="15875" max="15875" width="12.6640625" style="78" customWidth="1"/>
    <col min="15876" max="15876" width="13.109375" style="78" customWidth="1"/>
    <col min="15877" max="15877" width="13.33203125" style="78" customWidth="1"/>
    <col min="15878" max="15878" width="14" style="78" customWidth="1"/>
    <col min="15879" max="15879" width="13.88671875" style="78" customWidth="1"/>
    <col min="15880" max="16128" width="9" style="78"/>
    <col min="16129" max="16129" width="33.21875" style="78" customWidth="1"/>
    <col min="16130" max="16130" width="28.33203125" style="78" customWidth="1"/>
    <col min="16131" max="16131" width="12.6640625" style="78" customWidth="1"/>
    <col min="16132" max="16132" width="13.109375" style="78" customWidth="1"/>
    <col min="16133" max="16133" width="13.33203125" style="78" customWidth="1"/>
    <col min="16134" max="16134" width="14" style="78" customWidth="1"/>
    <col min="16135" max="16135" width="13.88671875" style="78" customWidth="1"/>
    <col min="16136" max="16384" width="9" style="78"/>
  </cols>
  <sheetData>
    <row r="1" spans="1:7" ht="19.95" customHeight="1">
      <c r="A1" s="509" t="s">
        <v>1</v>
      </c>
      <c r="B1" s="509"/>
      <c r="C1" s="509"/>
      <c r="D1" s="509"/>
      <c r="E1" s="509"/>
      <c r="F1" s="509"/>
      <c r="G1" s="509"/>
    </row>
    <row r="2" spans="1:7" ht="19.95" customHeight="1">
      <c r="A2" s="459" t="s">
        <v>57</v>
      </c>
      <c r="B2" s="459"/>
      <c r="C2" s="459"/>
      <c r="D2" s="459"/>
      <c r="E2" s="459"/>
      <c r="F2" s="459"/>
      <c r="G2" s="459"/>
    </row>
    <row r="3" spans="1:7" ht="19.95" customHeight="1">
      <c r="A3" s="14" t="str">
        <f>底稿目录!A2</f>
        <v>被审计单位：</v>
      </c>
      <c r="C3" s="15" t="str">
        <f>底稿目录!A4</f>
        <v>编制人：</v>
      </c>
      <c r="D3" s="14" t="str">
        <f>底稿目录!A5</f>
        <v>编制日期：</v>
      </c>
      <c r="F3" s="149" t="s">
        <v>124</v>
      </c>
      <c r="G3" s="382" t="str">
        <f>底稿目录!F17</f>
        <v>E1-11</v>
      </c>
    </row>
    <row r="4" spans="1:7" ht="19.95" customHeight="1">
      <c r="A4" s="14" t="str">
        <f>底稿目录!A3</f>
        <v>截止日：202X年12月31日</v>
      </c>
      <c r="C4" s="15" t="str">
        <f>底稿目录!A6</f>
        <v>复核人：</v>
      </c>
      <c r="D4" s="14" t="str">
        <f>底稿目录!A7</f>
        <v>复核日期：</v>
      </c>
      <c r="F4" s="149" t="s">
        <v>125</v>
      </c>
      <c r="G4" s="12"/>
    </row>
    <row r="5" spans="1:7" ht="19.95" customHeight="1">
      <c r="A5" s="545" t="s">
        <v>126</v>
      </c>
      <c r="B5" s="545"/>
      <c r="C5" s="545"/>
      <c r="D5" s="545"/>
      <c r="E5" s="545"/>
      <c r="F5" s="545"/>
      <c r="G5" s="545"/>
    </row>
    <row r="6" spans="1:7" ht="19.95" customHeight="1">
      <c r="A6" s="80" t="s">
        <v>48</v>
      </c>
      <c r="B6" s="80"/>
      <c r="C6" s="81"/>
      <c r="D6" s="81"/>
      <c r="E6" s="81"/>
      <c r="F6" s="81"/>
      <c r="G6" s="81"/>
    </row>
    <row r="7" spans="1:7" ht="27" customHeight="1">
      <c r="A7" s="546" t="s">
        <v>358</v>
      </c>
      <c r="B7" s="546"/>
      <c r="C7" s="546"/>
      <c r="D7" s="546"/>
      <c r="E7" s="546"/>
      <c r="F7" s="546"/>
      <c r="G7" s="546"/>
    </row>
    <row r="8" spans="1:7" ht="19.95" customHeight="1">
      <c r="A8" s="81"/>
      <c r="B8" s="81"/>
      <c r="C8" s="81"/>
      <c r="D8" s="81"/>
      <c r="E8" s="81"/>
      <c r="F8" s="81"/>
      <c r="G8" s="81"/>
    </row>
    <row r="9" spans="1:7" ht="19.95" customHeight="1">
      <c r="A9" s="81" t="s">
        <v>127</v>
      </c>
      <c r="B9" s="81"/>
      <c r="C9" s="81"/>
      <c r="D9" s="81"/>
      <c r="E9" s="81"/>
      <c r="F9" s="81"/>
      <c r="G9" s="81"/>
    </row>
    <row r="10" spans="1:7" s="83" customFormat="1" ht="24">
      <c r="A10" s="82" t="s">
        <v>128</v>
      </c>
      <c r="B10" s="82" t="s">
        <v>129</v>
      </c>
      <c r="C10" s="82" t="s">
        <v>130</v>
      </c>
      <c r="D10" s="82" t="s">
        <v>131</v>
      </c>
      <c r="E10" s="82" t="s">
        <v>132</v>
      </c>
      <c r="F10" s="82" t="s">
        <v>133</v>
      </c>
      <c r="G10" s="82" t="s">
        <v>134</v>
      </c>
    </row>
    <row r="11" spans="1:7" s="83" customFormat="1" ht="19.95" customHeight="1">
      <c r="A11" s="280"/>
      <c r="B11" s="281"/>
      <c r="C11" s="280"/>
      <c r="D11" s="282"/>
      <c r="E11" s="282"/>
      <c r="F11" s="280"/>
      <c r="G11" s="280"/>
    </row>
    <row r="12" spans="1:7" s="83" customFormat="1" ht="19.95" customHeight="1">
      <c r="A12" s="281"/>
      <c r="B12" s="281"/>
      <c r="C12" s="281"/>
      <c r="D12" s="282"/>
      <c r="E12" s="282"/>
      <c r="F12" s="281"/>
      <c r="G12" s="281"/>
    </row>
    <row r="13" spans="1:7" s="83" customFormat="1" ht="19.95" customHeight="1">
      <c r="A13" s="281"/>
      <c r="B13" s="281"/>
      <c r="C13" s="281" t="s">
        <v>49</v>
      </c>
      <c r="D13" s="282"/>
      <c r="E13" s="282"/>
      <c r="F13" s="281"/>
      <c r="G13" s="281"/>
    </row>
    <row r="14" spans="1:7" s="83" customFormat="1" ht="19.95" customHeight="1">
      <c r="A14" s="281"/>
      <c r="B14" s="281"/>
      <c r="C14" s="281"/>
      <c r="D14" s="282"/>
      <c r="E14" s="282"/>
      <c r="F14" s="281"/>
      <c r="G14" s="281"/>
    </row>
    <row r="15" spans="1:7" s="83" customFormat="1" ht="19.95" customHeight="1">
      <c r="A15" s="281"/>
      <c r="B15" s="281"/>
      <c r="C15" s="281"/>
      <c r="D15" s="282"/>
      <c r="E15" s="282"/>
      <c r="F15" s="281"/>
      <c r="G15" s="281"/>
    </row>
    <row r="16" spans="1:7" s="83" customFormat="1" ht="19.95" customHeight="1">
      <c r="A16" s="281"/>
      <c r="B16" s="281"/>
      <c r="C16" s="281"/>
      <c r="D16" s="282"/>
      <c r="E16" s="282"/>
      <c r="F16" s="281"/>
      <c r="G16" s="281"/>
    </row>
    <row r="17" spans="1:7" s="83" customFormat="1" ht="19.95" customHeight="1">
      <c r="A17" s="281"/>
      <c r="B17" s="281"/>
      <c r="C17" s="281"/>
      <c r="D17" s="282"/>
      <c r="E17" s="282"/>
      <c r="F17" s="281"/>
      <c r="G17" s="281"/>
    </row>
    <row r="18" spans="1:7" s="83" customFormat="1" ht="19.95" customHeight="1">
      <c r="A18" s="281"/>
      <c r="B18" s="281"/>
      <c r="C18" s="281"/>
      <c r="D18" s="282"/>
      <c r="E18" s="282"/>
      <c r="F18" s="281"/>
      <c r="G18" s="281"/>
    </row>
    <row r="19" spans="1:7" s="83" customFormat="1" ht="19.95" customHeight="1">
      <c r="A19" s="281"/>
      <c r="B19" s="281"/>
      <c r="C19" s="281"/>
      <c r="D19" s="282"/>
      <c r="E19" s="282"/>
      <c r="F19" s="281"/>
      <c r="G19" s="281"/>
    </row>
    <row r="20" spans="1:7" ht="19.95" customHeight="1">
      <c r="A20" s="81"/>
      <c r="B20" s="81"/>
      <c r="C20" s="81"/>
      <c r="D20" s="532" t="s">
        <v>135</v>
      </c>
      <c r="E20" s="532"/>
      <c r="F20" s="532"/>
      <c r="G20" s="532"/>
    </row>
    <row r="21" spans="1:7" ht="19.95" customHeight="1">
      <c r="A21" s="81"/>
      <c r="B21" s="81"/>
      <c r="C21" s="81"/>
      <c r="D21" s="81"/>
      <c r="E21" s="84"/>
      <c r="F21" s="81"/>
      <c r="G21" s="81"/>
    </row>
    <row r="22" spans="1:7" ht="19.95" customHeight="1">
      <c r="A22" s="81"/>
      <c r="B22" s="81"/>
      <c r="C22" s="81"/>
      <c r="D22" s="81"/>
      <c r="E22" s="81" t="s">
        <v>136</v>
      </c>
      <c r="F22" s="81"/>
      <c r="G22" s="81"/>
    </row>
    <row r="23" spans="1:7" ht="19.95" customHeight="1">
      <c r="A23" s="85"/>
    </row>
    <row r="25" spans="1:7" ht="19.95" customHeight="1">
      <c r="A25" s="237" t="s">
        <v>350</v>
      </c>
    </row>
    <row r="26" spans="1:7" ht="19.95" customHeight="1">
      <c r="A26" s="543" t="s">
        <v>349</v>
      </c>
      <c r="B26" s="544"/>
      <c r="C26" s="544"/>
      <c r="D26" s="544"/>
      <c r="E26" s="544"/>
      <c r="F26" s="544"/>
      <c r="G26" s="544"/>
    </row>
    <row r="27" spans="1:7" ht="19.95" customHeight="1">
      <c r="A27" s="544"/>
      <c r="B27" s="544"/>
      <c r="C27" s="544"/>
      <c r="D27" s="544"/>
      <c r="E27" s="544"/>
      <c r="F27" s="544"/>
      <c r="G27" s="544"/>
    </row>
    <row r="28" spans="1:7" ht="19.95" customHeight="1">
      <c r="A28" s="27"/>
    </row>
    <row r="29" spans="1:7" ht="19.95" customHeight="1">
      <c r="A29" s="28"/>
    </row>
    <row r="30" spans="1:7" ht="19.95" customHeight="1">
      <c r="A30" s="29"/>
    </row>
    <row r="31" spans="1:7" ht="19.95" customHeight="1">
      <c r="A31" s="30"/>
    </row>
  </sheetData>
  <mergeCells count="6">
    <mergeCell ref="A26:G27"/>
    <mergeCell ref="D20:G20"/>
    <mergeCell ref="A1:G1"/>
    <mergeCell ref="A2:G2"/>
    <mergeCell ref="A5:G5"/>
    <mergeCell ref="A7:G7"/>
  </mergeCells>
  <phoneticPr fontId="1" type="noConversion"/>
  <hyperlinks>
    <hyperlink ref="G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16</vt:i4>
      </vt:variant>
      <vt:variant>
        <vt:lpstr>命名范围</vt:lpstr>
      </vt:variant>
      <vt:variant>
        <vt:i4>20</vt:i4>
      </vt:variant>
    </vt:vector>
  </HeadingPairs>
  <TitlesOfParts>
    <vt:vector size="36" baseType="lpstr">
      <vt:lpstr>底稿目录</vt:lpstr>
      <vt:lpstr>货币资金实质性程序表E1A</vt:lpstr>
      <vt:lpstr>附注披露信息(上市公司)</vt:lpstr>
      <vt:lpstr>附注披露信息(国企)</vt:lpstr>
      <vt:lpstr>货币资金审定表E1-1</vt:lpstr>
      <vt:lpstr>现金明细表E1-2</vt:lpstr>
      <vt:lpstr>银行存款及其他货币资金明细表(仅人民币)E1-3</vt:lpstr>
      <vt:lpstr>银行存款及其他货币资金明细表(人民币及外币)E1-3</vt:lpstr>
      <vt:lpstr>数字货币明细表E1-4</vt:lpstr>
      <vt:lpstr>调整分录汇总E1-5</vt:lpstr>
      <vt:lpstr>银行存款余额调节表E1-6</vt:lpstr>
      <vt:lpstr>库存现金（人民币）盘点表E1-7</vt:lpstr>
      <vt:lpstr>库存现金（外币）盘点表E1-8</vt:lpstr>
      <vt:lpstr>银行存单盘点表E1-9</vt:lpstr>
      <vt:lpstr>已开立银行账户清单核对表E1-10</vt:lpstr>
      <vt:lpstr>银行账户情况承诺E1-11</vt:lpstr>
      <vt:lpstr>底稿目录!Print_Area</vt:lpstr>
      <vt:lpstr>'调整分录汇总E1-5'!Print_Area</vt:lpstr>
      <vt:lpstr>'附注披露信息(国企)'!Print_Area</vt:lpstr>
      <vt:lpstr>'附注披露信息(上市公司)'!Print_Area</vt:lpstr>
      <vt:lpstr>'货币资金审定表E1-1'!Print_Area</vt:lpstr>
      <vt:lpstr>货币资金实质性程序表E1A!Print_Area</vt:lpstr>
      <vt:lpstr>'库存现金（人民币）盘点表E1-7'!Print_Area</vt:lpstr>
      <vt:lpstr>'库存现金（外币）盘点表E1-8'!Print_Area</vt:lpstr>
      <vt:lpstr>'数字货币明细表E1-4'!Print_Area</vt:lpstr>
      <vt:lpstr>'现金明细表E1-2'!Print_Area</vt:lpstr>
      <vt:lpstr>'已开立银行账户清单核对表E1-10'!Print_Area</vt:lpstr>
      <vt:lpstr>'银行存单盘点表E1-9'!Print_Area</vt:lpstr>
      <vt:lpstr>'银行存款及其他货币资金明细表(仅人民币)E1-3'!Print_Area</vt:lpstr>
      <vt:lpstr>'银行存款及其他货币资金明细表(人民币及外币)E1-3'!Print_Area</vt:lpstr>
      <vt:lpstr>'银行存款余额调节表E1-6'!Print_Area</vt:lpstr>
      <vt:lpstr>'银行账户情况承诺E1-11'!Print_Area</vt:lpstr>
      <vt:lpstr>货币资金实质性程序表E1A!Print_Titles</vt:lpstr>
      <vt:lpstr>'现金明细表E1-2'!Print_Titles</vt:lpstr>
      <vt:lpstr>'银行存款及其他货币资金明细表(仅人民币)E1-3'!Print_Titles</vt:lpstr>
      <vt:lpstr>'银行存款及其他货币资金明细表(人民币及外币)E1-3'!Print_Titles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chenxu.mu</dc:creator>
  <cp:lastModifiedBy>何先琴</cp:lastModifiedBy>
  <cp:lastPrinted>2025-10-20T07:00:28Z</cp:lastPrinted>
  <dcterms:created xsi:type="dcterms:W3CDTF">2014-12-31T06:17:43Z</dcterms:created>
  <dcterms:modified xsi:type="dcterms:W3CDTF">2025-12-03T06:10:50Z</dcterms:modified>
</cp:coreProperties>
</file>