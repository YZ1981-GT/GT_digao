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L 债务循环\"/>
    </mc:Choice>
  </mc:AlternateContent>
  <bookViews>
    <workbookView xWindow="0" yWindow="0" windowWidth="20748" windowHeight="9696" tabRatio="827"/>
  </bookViews>
  <sheets>
    <sheet name="底稿目录" sheetId="20" r:id="rId1"/>
    <sheet name="应付利息实质性程序表L2A" sheetId="24" r:id="rId2"/>
    <sheet name="审定表L2-1" sheetId="15" r:id="rId3"/>
    <sheet name="附注披露（国企）信息" sheetId="21" r:id="rId4"/>
    <sheet name="附注披露（上市公司）信息" sheetId="18" r:id="rId5"/>
    <sheet name="明细表L2-2" sheetId="13" r:id="rId6"/>
    <sheet name="应付利息调整分录汇总L2-3" sheetId="23" r:id="rId7"/>
    <sheet name="应付利息检查表L2-4" sheetId="17" r:id="rId8"/>
  </sheets>
  <definedNames>
    <definedName name="_xlnm._FilterDatabase" localSheetId="1">应付利息实质性程序表L2A!$A$15:$I$23</definedName>
    <definedName name="bs" localSheetId="6">{#N/A,#N/A,FALSE,"BBPREP"}</definedName>
    <definedName name="bs_1" localSheetId="6">{#N/A,#N/A,FALSE,"BBPREP"}</definedName>
    <definedName name="_xlnm.Print_Area" localSheetId="3">'附注披露（国企）信息'!$A$1:$D$34</definedName>
    <definedName name="_xlnm.Print_Area" localSheetId="4">'附注披露（上市公司）信息'!$A$1:$E$34</definedName>
    <definedName name="_xlnm.Print_Area" localSheetId="5">'明细表L2-2'!$A$1:$X$32</definedName>
    <definedName name="_xlnm.Print_Area" localSheetId="2">'审定表L2-1'!$A$1:$N$29</definedName>
    <definedName name="_xlnm.Print_Area" localSheetId="6">'应付利息调整分录汇总L2-3'!$A$1:$J$27</definedName>
    <definedName name="_xlnm.Print_Area" localSheetId="7">'应付利息检查表L2-4'!$A$1:$P$29</definedName>
    <definedName name="_xlnm.Print_Area" localSheetId="1">应付利息实质性程序表L2A!$A$1:$I$23</definedName>
    <definedName name="_xlnm.Print_Titles" localSheetId="5">'明细表L2-2'!$A:$A,'明细表L2-2'!$10:$11</definedName>
    <definedName name="_xlnm.Print_Titles" localSheetId="1">应付利息实质性程序表L2A!$15:$15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7" l="1"/>
  <c r="F24" i="17"/>
  <c r="H4" i="17"/>
  <c r="E4" i="17"/>
  <c r="A4" i="17"/>
  <c r="P3" i="17"/>
  <c r="H3" i="17"/>
  <c r="E3" i="17"/>
  <c r="A3" i="17"/>
  <c r="G4" i="23"/>
  <c r="C4" i="23"/>
  <c r="A4" i="23"/>
  <c r="J3" i="23"/>
  <c r="G3" i="23"/>
  <c r="C3" i="23"/>
  <c r="A3" i="23"/>
  <c r="V28" i="13"/>
  <c r="Q28" i="13"/>
  <c r="P28" i="13"/>
  <c r="O28" i="13"/>
  <c r="N28" i="13"/>
  <c r="M28" i="13"/>
  <c r="L28" i="13"/>
  <c r="J28" i="13"/>
  <c r="I28" i="13"/>
  <c r="H28" i="13"/>
  <c r="T27" i="13"/>
  <c r="S27" i="13"/>
  <c r="R27" i="13"/>
  <c r="U27" i="13" s="1"/>
  <c r="B14" i="21" s="1"/>
  <c r="K27" i="13"/>
  <c r="U26" i="13"/>
  <c r="T26" i="13"/>
  <c r="S26" i="13"/>
  <c r="R26" i="13"/>
  <c r="K26" i="13"/>
  <c r="T25" i="13"/>
  <c r="S25" i="13"/>
  <c r="R25" i="13"/>
  <c r="U25" i="13" s="1"/>
  <c r="K25" i="13"/>
  <c r="T24" i="13"/>
  <c r="S24" i="13"/>
  <c r="R24" i="13"/>
  <c r="U24" i="13" s="1"/>
  <c r="K24" i="13"/>
  <c r="T23" i="13"/>
  <c r="U23" i="13" s="1"/>
  <c r="S23" i="13"/>
  <c r="R23" i="13"/>
  <c r="K23" i="13"/>
  <c r="T22" i="13"/>
  <c r="S22" i="13"/>
  <c r="R22" i="13"/>
  <c r="U22" i="13" s="1"/>
  <c r="K22" i="13"/>
  <c r="T21" i="13"/>
  <c r="S21" i="13"/>
  <c r="R21" i="13"/>
  <c r="U21" i="13" s="1"/>
  <c r="K21" i="13"/>
  <c r="T20" i="13"/>
  <c r="S20" i="13"/>
  <c r="U20" i="13" s="1"/>
  <c r="R20" i="13"/>
  <c r="K20" i="13"/>
  <c r="T19" i="13"/>
  <c r="S19" i="13"/>
  <c r="R19" i="13"/>
  <c r="U19" i="13" s="1"/>
  <c r="K19" i="13"/>
  <c r="U18" i="13"/>
  <c r="T18" i="13"/>
  <c r="S18" i="13"/>
  <c r="R18" i="13"/>
  <c r="K18" i="13"/>
  <c r="T17" i="13"/>
  <c r="S17" i="13"/>
  <c r="R17" i="13"/>
  <c r="U17" i="13" s="1"/>
  <c r="K17" i="13"/>
  <c r="T16" i="13"/>
  <c r="S16" i="13"/>
  <c r="R16" i="13"/>
  <c r="U16" i="13" s="1"/>
  <c r="K16" i="13"/>
  <c r="T15" i="13"/>
  <c r="U15" i="13" s="1"/>
  <c r="S15" i="13"/>
  <c r="R15" i="13"/>
  <c r="K15" i="13"/>
  <c r="T14" i="13"/>
  <c r="S14" i="13"/>
  <c r="R14" i="13"/>
  <c r="U14" i="13" s="1"/>
  <c r="K14" i="13"/>
  <c r="T13" i="13"/>
  <c r="S13" i="13"/>
  <c r="R13" i="13"/>
  <c r="U13" i="13" s="1"/>
  <c r="K13" i="13"/>
  <c r="T12" i="13"/>
  <c r="S12" i="13"/>
  <c r="R12" i="13"/>
  <c r="R28" i="13" s="1"/>
  <c r="K12" i="13"/>
  <c r="H4" i="13"/>
  <c r="Q4" i="13" s="1"/>
  <c r="C4" i="13"/>
  <c r="M4" i="13" s="1"/>
  <c r="A4" i="13"/>
  <c r="D13" i="15" s="1"/>
  <c r="X3" i="13"/>
  <c r="Q3" i="13"/>
  <c r="K3" i="13"/>
  <c r="H3" i="13"/>
  <c r="C3" i="13"/>
  <c r="M3" i="13" s="1"/>
  <c r="A3" i="13"/>
  <c r="H13" i="15"/>
  <c r="F13" i="15"/>
  <c r="B13" i="15"/>
  <c r="F12" i="15"/>
  <c r="C12" i="15"/>
  <c r="G11" i="15"/>
  <c r="C11" i="15"/>
  <c r="H9" i="15"/>
  <c r="D9" i="15"/>
  <c r="H8" i="15"/>
  <c r="F8" i="15"/>
  <c r="B8" i="15"/>
  <c r="D7" i="15"/>
  <c r="B7" i="15"/>
  <c r="H4" i="15"/>
  <c r="E4" i="15"/>
  <c r="A4" i="15"/>
  <c r="N3" i="15"/>
  <c r="H3" i="15"/>
  <c r="E3" i="15"/>
  <c r="A3" i="15"/>
  <c r="C33" i="18"/>
  <c r="B33" i="18"/>
  <c r="A33" i="18"/>
  <c r="C32" i="18"/>
  <c r="B32" i="18"/>
  <c r="A32" i="18"/>
  <c r="C31" i="18"/>
  <c r="B31" i="18"/>
  <c r="A31" i="18"/>
  <c r="C30" i="18"/>
  <c r="B30" i="18"/>
  <c r="A30" i="18"/>
  <c r="C29" i="18"/>
  <c r="B29" i="18"/>
  <c r="A29" i="18"/>
  <c r="C28" i="18"/>
  <c r="B28" i="18"/>
  <c r="A28" i="18"/>
  <c r="C27" i="18"/>
  <c r="B27" i="18"/>
  <c r="A27" i="18"/>
  <c r="C26" i="18"/>
  <c r="B26" i="18"/>
  <c r="A26" i="18"/>
  <c r="C25" i="18"/>
  <c r="B25" i="18"/>
  <c r="A25" i="18"/>
  <c r="C24" i="18"/>
  <c r="B24" i="18"/>
  <c r="A24" i="18"/>
  <c r="C23" i="18"/>
  <c r="B23" i="18"/>
  <c r="A23" i="18"/>
  <c r="C22" i="18"/>
  <c r="B22" i="18"/>
  <c r="A22" i="18"/>
  <c r="C21" i="18"/>
  <c r="B21" i="18"/>
  <c r="A21" i="18"/>
  <c r="C20" i="18"/>
  <c r="B20" i="18"/>
  <c r="A20" i="18"/>
  <c r="C19" i="18"/>
  <c r="B19" i="18"/>
  <c r="A19" i="18"/>
  <c r="C18" i="18"/>
  <c r="B18" i="18"/>
  <c r="A18" i="18"/>
  <c r="C14" i="18"/>
  <c r="C4" i="18"/>
  <c r="B4" i="18"/>
  <c r="A4" i="18"/>
  <c r="C3" i="18"/>
  <c r="B3" i="18"/>
  <c r="A3" i="18"/>
  <c r="C33" i="21"/>
  <c r="B33" i="21"/>
  <c r="A33" i="21"/>
  <c r="C32" i="21"/>
  <c r="B32" i="21"/>
  <c r="A32" i="21"/>
  <c r="C31" i="21"/>
  <c r="B31" i="21"/>
  <c r="A31" i="21"/>
  <c r="C30" i="21"/>
  <c r="B30" i="21"/>
  <c r="A30" i="21"/>
  <c r="C29" i="21"/>
  <c r="B29" i="21"/>
  <c r="A29" i="21"/>
  <c r="C28" i="21"/>
  <c r="B28" i="21"/>
  <c r="A28" i="21"/>
  <c r="C27" i="21"/>
  <c r="B27" i="21"/>
  <c r="A27" i="21"/>
  <c r="C26" i="21"/>
  <c r="B26" i="21"/>
  <c r="A26" i="21"/>
  <c r="C25" i="21"/>
  <c r="B25" i="21"/>
  <c r="A25" i="21"/>
  <c r="C24" i="21"/>
  <c r="B24" i="21"/>
  <c r="A24" i="21"/>
  <c r="C23" i="21"/>
  <c r="B23" i="21"/>
  <c r="A23" i="21"/>
  <c r="C22" i="21"/>
  <c r="B22" i="21"/>
  <c r="A22" i="21"/>
  <c r="C21" i="21"/>
  <c r="B21" i="21"/>
  <c r="A21" i="21"/>
  <c r="C20" i="21"/>
  <c r="B20" i="21"/>
  <c r="A20" i="21"/>
  <c r="C19" i="21"/>
  <c r="B19" i="21"/>
  <c r="A19" i="21"/>
  <c r="C18" i="21"/>
  <c r="B18" i="21"/>
  <c r="A18" i="21"/>
  <c r="C14" i="21"/>
  <c r="C10" i="21"/>
  <c r="C8" i="21"/>
  <c r="C4" i="21"/>
  <c r="B4" i="21"/>
  <c r="A4" i="21"/>
  <c r="C3" i="21"/>
  <c r="B3" i="21"/>
  <c r="A3" i="21"/>
  <c r="E4" i="24"/>
  <c r="C4" i="24"/>
  <c r="A4" i="24"/>
  <c r="I3" i="24"/>
  <c r="E3" i="24"/>
  <c r="C3" i="24"/>
  <c r="A3" i="24"/>
  <c r="E10" i="20"/>
  <c r="E9" i="20"/>
  <c r="E8" i="20"/>
  <c r="E5" i="20"/>
  <c r="E4" i="20"/>
  <c r="B9" i="21" l="1"/>
  <c r="B9" i="18"/>
  <c r="B13" i="18"/>
  <c r="B13" i="21"/>
  <c r="B10" i="21"/>
  <c r="B10" i="18"/>
  <c r="C9" i="21"/>
  <c r="C9" i="18"/>
  <c r="C7" i="15"/>
  <c r="G8" i="15"/>
  <c r="B11" i="15"/>
  <c r="D12" i="15"/>
  <c r="G13" i="15"/>
  <c r="S28" i="13"/>
  <c r="G25" i="17" s="1"/>
  <c r="C10" i="18"/>
  <c r="G7" i="15"/>
  <c r="G14" i="15" s="1"/>
  <c r="B9" i="15"/>
  <c r="D11" i="15"/>
  <c r="E11" i="15" s="1"/>
  <c r="G12" i="15"/>
  <c r="B34" i="18"/>
  <c r="T28" i="13"/>
  <c r="F25" i="17" s="1"/>
  <c r="B12" i="21"/>
  <c r="B12" i="18"/>
  <c r="H7" i="15"/>
  <c r="H14" i="15" s="1"/>
  <c r="C9" i="15"/>
  <c r="E9" i="15" s="1"/>
  <c r="F11" i="15"/>
  <c r="F10" i="15" s="1"/>
  <c r="H12" i="15"/>
  <c r="I12" i="15" s="1"/>
  <c r="C13" i="21"/>
  <c r="C11" i="21" s="1"/>
  <c r="C13" i="18"/>
  <c r="C11" i="18" s="1"/>
  <c r="C8" i="15"/>
  <c r="F9" i="15"/>
  <c r="H11" i="15"/>
  <c r="H10" i="15" s="1"/>
  <c r="C13" i="15"/>
  <c r="E13" i="15" s="1"/>
  <c r="B34" i="21"/>
  <c r="C8" i="18"/>
  <c r="C15" i="18" s="1"/>
  <c r="B14" i="18"/>
  <c r="D8" i="15"/>
  <c r="G9" i="15"/>
  <c r="I9" i="15" s="1"/>
  <c r="B12" i="15"/>
  <c r="E12" i="15" s="1"/>
  <c r="K28" i="13"/>
  <c r="C10" i="15"/>
  <c r="D10" i="15"/>
  <c r="E8" i="15"/>
  <c r="B11" i="21"/>
  <c r="F26" i="17"/>
  <c r="U12" i="13"/>
  <c r="G26" i="17"/>
  <c r="E7" i="15"/>
  <c r="I8" i="15"/>
  <c r="G10" i="15"/>
  <c r="B11" i="18"/>
  <c r="F7" i="15"/>
  <c r="J13" i="15"/>
  <c r="K13" i="15" s="1"/>
  <c r="C15" i="21"/>
  <c r="J9" i="15"/>
  <c r="K9" i="15" s="1"/>
  <c r="J12" i="15"/>
  <c r="J8" i="15"/>
  <c r="K8" i="15" s="1"/>
  <c r="I13" i="15"/>
  <c r="C14" i="15" l="1"/>
  <c r="L9" i="15"/>
  <c r="M9" i="15" s="1"/>
  <c r="L13" i="15"/>
  <c r="M13" i="15" s="1"/>
  <c r="D14" i="15"/>
  <c r="K12" i="15"/>
  <c r="J11" i="15"/>
  <c r="K11" i="15" s="1"/>
  <c r="B10" i="15"/>
  <c r="B14" i="15" s="1"/>
  <c r="I11" i="15"/>
  <c r="L11" i="15" s="1"/>
  <c r="M11" i="15" s="1"/>
  <c r="I7" i="15"/>
  <c r="L7" i="15" s="1"/>
  <c r="L8" i="15"/>
  <c r="M8" i="15" s="1"/>
  <c r="L12" i="15"/>
  <c r="M12" i="15" s="1"/>
  <c r="U28" i="13"/>
  <c r="B8" i="18"/>
  <c r="B15" i="18" s="1"/>
  <c r="B8" i="21"/>
  <c r="B15" i="21" s="1"/>
  <c r="J7" i="15"/>
  <c r="J10" i="15"/>
  <c r="K10" i="15" s="1"/>
  <c r="I10" i="15"/>
  <c r="I14" i="15" s="1"/>
  <c r="B23" i="15" s="1"/>
  <c r="B26" i="15" s="1"/>
  <c r="B28" i="15" s="1"/>
  <c r="F14" i="15"/>
  <c r="J14" i="15" l="1"/>
  <c r="K14" i="15" s="1"/>
  <c r="E10" i="15"/>
  <c r="L10" i="15" s="1"/>
  <c r="K7" i="15"/>
  <c r="M7" i="15"/>
  <c r="E14" i="15"/>
  <c r="L14" i="15" l="1"/>
  <c r="M14" i="15" s="1"/>
  <c r="M10" i="15"/>
  <c r="C23" i="15"/>
  <c r="C26" i="15" s="1"/>
  <c r="C28" i="15"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<sst xmlns="http://schemas.openxmlformats.org/spreadsheetml/2006/main" count="306" uniqueCount="223">
  <si>
    <r>
      <rPr>
        <b/>
        <sz val="12"/>
        <rFont val="宋体"/>
        <family val="3"/>
        <charset val="134"/>
      </rPr>
      <t>底稿开列时，可先在以下单元格填写有关内容，以便其他底稿引用有关数据：</t>
    </r>
  </si>
  <si>
    <r>
      <rPr>
        <sz val="10"/>
        <rFont val="宋体"/>
        <family val="3"/>
        <charset val="134"/>
      </rPr>
      <t>被审计单位：</t>
    </r>
  </si>
  <si>
    <r>
      <rPr>
        <b/>
        <sz val="10"/>
        <color indexed="8"/>
        <rFont val="宋体"/>
        <family val="3"/>
        <charset val="134"/>
      </rPr>
      <t>序号</t>
    </r>
  </si>
  <si>
    <r>
      <rPr>
        <b/>
        <sz val="10"/>
        <color indexed="8"/>
        <rFont val="宋体"/>
        <family val="3"/>
        <charset val="134"/>
      </rPr>
      <t>内容</t>
    </r>
  </si>
  <si>
    <r>
      <rPr>
        <b/>
        <sz val="10"/>
        <color indexed="8"/>
        <rFont val="宋体"/>
        <family val="3"/>
        <charset val="134"/>
      </rPr>
      <t>索引号</t>
    </r>
  </si>
  <si>
    <t>编制人：</t>
  </si>
  <si>
    <t>L2A</t>
  </si>
  <si>
    <t>编制日期：</t>
  </si>
  <si>
    <t>L2-1</t>
  </si>
  <si>
    <t>复核人：</t>
  </si>
  <si>
    <t>应付利息附注披露（上市公司）信息核对表</t>
  </si>
  <si>
    <t>无需打印</t>
  </si>
  <si>
    <t>复核日期：</t>
  </si>
  <si>
    <t>应付利息附注披露（国企）信息核对表</t>
  </si>
  <si>
    <t>L2-2</t>
  </si>
  <si>
    <t>L2-3</t>
  </si>
  <si>
    <t>L2-4</t>
  </si>
  <si>
    <r>
      <rPr>
        <sz val="10"/>
        <rFont val="宋体"/>
        <family val="3"/>
        <charset val="134"/>
      </rPr>
      <t>索引号：</t>
    </r>
  </si>
  <si>
    <t>应付利息</t>
  </si>
  <si>
    <r>
      <rPr>
        <b/>
        <sz val="10"/>
        <rFont val="宋体"/>
        <family val="3"/>
        <charset val="134"/>
      </rPr>
      <t>财务报表的认定　</t>
    </r>
  </si>
  <si>
    <r>
      <rPr>
        <sz val="10"/>
        <rFont val="宋体"/>
        <family val="3"/>
        <charset val="134"/>
      </rPr>
      <t>存在</t>
    </r>
  </si>
  <si>
    <r>
      <rPr>
        <sz val="10"/>
        <rFont val="宋体"/>
        <family val="3"/>
        <charset val="134"/>
      </rPr>
      <t>完整性</t>
    </r>
  </si>
  <si>
    <r>
      <rPr>
        <sz val="10"/>
        <rFont val="宋体"/>
        <family val="3"/>
        <charset val="134"/>
      </rPr>
      <t>权利和义务</t>
    </r>
  </si>
  <si>
    <r>
      <rPr>
        <b/>
        <sz val="10"/>
        <rFont val="宋体"/>
        <family val="3"/>
        <charset val="134"/>
      </rPr>
      <t>三、计划实施的实质性程序</t>
    </r>
  </si>
  <si>
    <r>
      <rPr>
        <b/>
        <sz val="10"/>
        <rFont val="宋体"/>
        <family val="3"/>
        <charset val="134"/>
      </rPr>
      <t>序号</t>
    </r>
  </si>
  <si>
    <r>
      <rPr>
        <b/>
        <sz val="10"/>
        <rFont val="宋体"/>
        <family val="3"/>
        <charset val="134"/>
      </rPr>
      <t>程序分类</t>
    </r>
  </si>
  <si>
    <r>
      <rPr>
        <b/>
        <sz val="10"/>
        <rFont val="宋体"/>
        <family val="3"/>
        <charset val="134"/>
      </rPr>
      <t>对应的认定</t>
    </r>
    <r>
      <rPr>
        <b/>
        <sz val="10"/>
        <rFont val="Arial Narrow"/>
        <family val="2"/>
      </rPr>
      <t>/</t>
    </r>
    <r>
      <rPr>
        <b/>
        <sz val="10"/>
        <rFont val="宋体"/>
        <family val="3"/>
        <charset val="134"/>
      </rPr>
      <t>风险</t>
    </r>
  </si>
  <si>
    <t>1</t>
  </si>
  <si>
    <t>2</t>
  </si>
  <si>
    <t>3</t>
  </si>
  <si>
    <r>
      <rPr>
        <sz val="10"/>
        <color theme="1"/>
        <rFont val="宋体"/>
        <family val="3"/>
        <charset val="134"/>
      </rPr>
      <t>备选</t>
    </r>
  </si>
  <si>
    <t>4</t>
  </si>
  <si>
    <t>5</t>
  </si>
  <si>
    <t>6</t>
  </si>
  <si>
    <r>
      <rPr>
        <b/>
        <sz val="12"/>
        <rFont val="宋体"/>
        <family val="3"/>
        <charset val="134"/>
      </rPr>
      <t>致同会计师事务所</t>
    </r>
  </si>
  <si>
    <t>应付利息实质性程序</t>
  </si>
  <si>
    <t>索引号：</t>
  </si>
  <si>
    <t>页  次：</t>
  </si>
  <si>
    <r>
      <rPr>
        <b/>
        <sz val="10"/>
        <rFont val="宋体"/>
        <family val="3"/>
        <charset val="134"/>
      </rPr>
      <t>一、本账户涉及的科目：应付利息</t>
    </r>
  </si>
  <si>
    <t>二、审计目标与认定的对应关系</t>
  </si>
  <si>
    <t>审计目标</t>
  </si>
  <si>
    <r>
      <rPr>
        <sz val="10"/>
        <rFont val="Arial Narrow"/>
        <family val="2"/>
      </rPr>
      <t xml:space="preserve">A. </t>
    </r>
    <r>
      <rPr>
        <sz val="10"/>
        <rFont val="宋体"/>
        <family val="3"/>
        <charset val="134"/>
      </rPr>
      <t>资产负债表中记录的应付利息是存在的，且已记录于恰当的账户</t>
    </r>
  </si>
  <si>
    <r>
      <rPr>
        <sz val="10"/>
        <rFont val="Arial Narrow"/>
        <family val="2"/>
      </rPr>
      <t xml:space="preserve">B. </t>
    </r>
    <r>
      <rPr>
        <sz val="10"/>
        <rFont val="宋体"/>
        <family val="3"/>
        <charset val="134"/>
      </rPr>
      <t>所有应记录的应付利息均已记录，所有应当包括在财务报表中的相关披露均已包括</t>
    </r>
  </si>
  <si>
    <r>
      <rPr>
        <sz val="10"/>
        <rFont val="Arial Narrow"/>
        <family val="2"/>
      </rPr>
      <t xml:space="preserve">C. </t>
    </r>
    <r>
      <rPr>
        <sz val="10"/>
        <rFont val="宋体"/>
        <family val="3"/>
        <charset val="134"/>
      </rPr>
      <t>记录的应付利息是被审计单位应当履行的偿还义务</t>
    </r>
  </si>
  <si>
    <r>
      <rPr>
        <sz val="10"/>
        <rFont val="Arial Narrow"/>
        <family val="2"/>
      </rPr>
      <t xml:space="preserve">D. </t>
    </r>
    <r>
      <rPr>
        <sz val="10"/>
        <rFont val="宋体"/>
        <family val="3"/>
        <charset val="134"/>
      </rPr>
      <t>应付利息以恰当的金额包括在财务报表中，与之相关的计价或分摊调整已恰当记录，相关披露已得到恰当计量和描述</t>
    </r>
    <r>
      <rPr>
        <sz val="10"/>
        <rFont val="Arial Narrow"/>
        <family val="2"/>
      </rPr>
      <t xml:space="preserve"> </t>
    </r>
  </si>
  <si>
    <r>
      <rPr>
        <sz val="10"/>
        <rFont val="宋体"/>
        <family val="3"/>
        <charset val="134"/>
      </rPr>
      <t>准确性、计价和分摊</t>
    </r>
  </si>
  <si>
    <r>
      <rPr>
        <sz val="10"/>
        <rFont val="Arial Narrow"/>
        <family val="2"/>
      </rPr>
      <t xml:space="preserve">E. </t>
    </r>
    <r>
      <rPr>
        <sz val="10"/>
        <rFont val="宋体"/>
        <family val="3"/>
        <charset val="134"/>
      </rPr>
      <t>应付利息已被恰当地汇总或分解且表述清楚，相关披露在按照企业会计准则的编制基础下是相关的、可理解的</t>
    </r>
  </si>
  <si>
    <r>
      <rPr>
        <sz val="10"/>
        <rFont val="宋体"/>
        <family val="3"/>
        <charset val="134"/>
      </rPr>
      <t>列报</t>
    </r>
  </si>
  <si>
    <r>
      <rPr>
        <b/>
        <sz val="10"/>
        <rFont val="宋体"/>
        <family val="3"/>
        <charset val="134"/>
      </rPr>
      <t>底稿索引号</t>
    </r>
  </si>
  <si>
    <r>
      <rPr>
        <b/>
        <sz val="10"/>
        <rFont val="宋体"/>
        <family val="3"/>
        <charset val="134"/>
      </rPr>
      <t>存在</t>
    </r>
  </si>
  <si>
    <r>
      <rPr>
        <b/>
        <sz val="10"/>
        <rFont val="宋体"/>
        <family val="3"/>
        <charset val="134"/>
      </rPr>
      <t>完整性</t>
    </r>
  </si>
  <si>
    <r>
      <rPr>
        <b/>
        <sz val="10"/>
        <rFont val="宋体"/>
        <family val="3"/>
        <charset val="134"/>
      </rPr>
      <t>权利和
义务</t>
    </r>
  </si>
  <si>
    <r>
      <rPr>
        <b/>
        <sz val="10"/>
        <rFont val="宋体"/>
        <family val="3"/>
        <charset val="134"/>
      </rPr>
      <t>准确性、计价和分摊</t>
    </r>
  </si>
  <si>
    <r>
      <rPr>
        <b/>
        <sz val="10"/>
        <rFont val="宋体"/>
        <family val="3"/>
        <charset val="134"/>
      </rPr>
      <t>列报</t>
    </r>
  </si>
  <si>
    <r>
      <rPr>
        <sz val="10"/>
        <color theme="1"/>
        <rFont val="宋体"/>
        <family val="3"/>
        <charset val="134"/>
      </rPr>
      <t>获取或编制应付利息的明细表，完成以下工作，并编制审定表。
（</t>
    </r>
    <r>
      <rPr>
        <sz val="10"/>
        <color theme="1"/>
        <rFont val="Arial Narrow"/>
        <family val="2"/>
      </rPr>
      <t>1</t>
    </r>
    <r>
      <rPr>
        <sz val="10"/>
        <color theme="1"/>
        <rFont val="宋体"/>
        <family val="3"/>
        <charset val="134"/>
      </rPr>
      <t>）复核加计是否正确，与总账、明细账合计数核对是否相符，期初余额与上期审定期末余额是否相符；
（</t>
    </r>
    <r>
      <rPr>
        <sz val="10"/>
        <color theme="1"/>
        <rFont val="Arial Narrow"/>
        <family val="2"/>
      </rPr>
      <t>2</t>
    </r>
    <r>
      <rPr>
        <sz val="10"/>
        <color theme="1"/>
        <rFont val="宋体"/>
        <family val="3"/>
        <charset val="134"/>
      </rPr>
      <t>）确定流动负债和非流动负债的划分是否正确</t>
    </r>
    <r>
      <rPr>
        <sz val="10"/>
        <color theme="1"/>
        <rFont val="Arial Narrow"/>
        <family val="2"/>
      </rPr>
      <t xml:space="preserve"> </t>
    </r>
    <r>
      <rPr>
        <sz val="10"/>
        <color theme="1"/>
        <rFont val="宋体"/>
        <family val="3"/>
        <charset val="134"/>
      </rPr>
      <t>。</t>
    </r>
  </si>
  <si>
    <r>
      <rPr>
        <sz val="10"/>
        <color theme="1"/>
        <rFont val="宋体"/>
        <family val="3"/>
        <charset val="134"/>
      </rPr>
      <t>常规★</t>
    </r>
  </si>
  <si>
    <r>
      <rPr>
        <sz val="10"/>
        <color theme="1"/>
        <rFont val="宋体"/>
        <family val="3"/>
        <charset val="134"/>
      </rPr>
      <t>√</t>
    </r>
  </si>
  <si>
    <r>
      <rPr>
        <b/>
        <sz val="10"/>
        <color theme="1"/>
        <rFont val="宋体"/>
        <family val="3"/>
        <charset val="134"/>
      </rPr>
      <t>√</t>
    </r>
  </si>
  <si>
    <t>L2-1
/L2-2</t>
  </si>
  <si>
    <r>
      <rPr>
        <sz val="10"/>
        <color theme="1"/>
        <rFont val="宋体"/>
        <family val="3"/>
        <charset val="134"/>
      </rPr>
      <t>在使用手工编制、自定义信息报告、系统生成的非固定格式报告等由被审计单位生成的信息时，测试有关信息准确性和完整性，并针对编制和维护由被审计单位生成的信息的相关控制实施控制测试，以评价该信息是否能够为实现审计目的提供基础。</t>
    </r>
  </si>
  <si>
    <t>√</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</si>
  <si>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</si>
  <si>
    <r>
      <rPr>
        <sz val="10"/>
        <color theme="1"/>
        <rFont val="宋体"/>
        <family val="3"/>
        <charset val="134"/>
      </rPr>
      <t>对期初余额的审计，取得应付利息期初余额明细表复核加计是否正确，与总账、明细账合计数是否相符，检查上期应付利息在本期偿还情况。</t>
    </r>
    <r>
      <rPr>
        <sz val="10"/>
        <color rgb="FFFF0000"/>
        <rFont val="宋体"/>
        <family val="3"/>
        <charset val="134"/>
      </rPr>
      <t>（适用于首次承接）</t>
    </r>
  </si>
  <si>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</si>
  <si>
    <t>与借款等相关科目核对应付利息金额是否正确。</t>
  </si>
  <si>
    <t>检查与应付利息有关的的记账凭证和相应的支持性证据以确定交易的真实性，是否按规定进行相应的会计处理和披露。</t>
  </si>
  <si>
    <t>L2-4
/L1-5
/L3-5</t>
  </si>
  <si>
    <t>根据评估的舞弊风险等因素增加的审计程序。</t>
  </si>
  <si>
    <t>IPO/上市/新三板/重组/舞弊应对</t>
  </si>
  <si>
    <t>7</t>
  </si>
  <si>
    <t>检查应付利息是否已按企业会计准则或其他适用的规定在财务报表中做出恰当列报和披露。</t>
  </si>
  <si>
    <r>
      <rPr>
        <sz val="10"/>
        <rFont val="Arial Narrow"/>
        <family val="2"/>
      </rPr>
      <t>A1-1/</t>
    </r>
    <r>
      <rPr>
        <sz val="10"/>
        <color rgb="FFFF0000"/>
        <rFont val="Arial Narrow"/>
        <family val="2"/>
      </rPr>
      <t>A1-15 /A1-16</t>
    </r>
  </si>
  <si>
    <t xml:space="preserve"> </t>
  </si>
  <si>
    <r>
      <rPr>
        <b/>
        <sz val="14"/>
        <rFont val="宋体"/>
        <family val="3"/>
        <charset val="134"/>
      </rPr>
      <t>应付利息附注披露信息</t>
    </r>
  </si>
  <si>
    <r>
      <rPr>
        <u/>
        <sz val="12"/>
        <color indexed="12"/>
        <rFont val="宋体"/>
        <family val="3"/>
        <charset val="134"/>
      </rPr>
      <t>返回目录</t>
    </r>
  </si>
  <si>
    <r>
      <rPr>
        <sz val="10"/>
        <rFont val="宋体"/>
        <family val="3"/>
        <charset val="134"/>
      </rPr>
      <t>页次：</t>
    </r>
  </si>
  <si>
    <r>
      <rPr>
        <b/>
        <sz val="12"/>
        <rFont val="宋体"/>
        <family val="3"/>
        <charset val="134"/>
      </rPr>
      <t>附注披露信息（国企）：</t>
    </r>
  </si>
  <si>
    <r>
      <rPr>
        <sz val="12"/>
        <rFont val="宋体"/>
        <family val="3"/>
        <charset val="134"/>
      </rPr>
      <t>应付利息</t>
    </r>
  </si>
  <si>
    <r>
      <rPr>
        <b/>
        <sz val="12"/>
        <rFont val="宋体"/>
        <family val="3"/>
        <charset val="134"/>
      </rPr>
      <t>项</t>
    </r>
    <r>
      <rPr>
        <b/>
        <sz val="12"/>
        <rFont val="Arial Narrow"/>
        <family val="2"/>
      </rPr>
      <t xml:space="preserve">  </t>
    </r>
    <r>
      <rPr>
        <b/>
        <sz val="12"/>
        <rFont val="宋体"/>
        <family val="3"/>
        <charset val="134"/>
      </rPr>
      <t>目</t>
    </r>
  </si>
  <si>
    <r>
      <rPr>
        <b/>
        <sz val="12"/>
        <color rgb="FF000000"/>
        <rFont val="宋体"/>
        <family val="3"/>
        <charset val="134"/>
      </rPr>
      <t>期末余额</t>
    </r>
  </si>
  <si>
    <r>
      <rPr>
        <b/>
        <sz val="12"/>
        <color rgb="FF000000"/>
        <rFont val="宋体"/>
        <family val="3"/>
        <charset val="134"/>
      </rPr>
      <t>期初余额</t>
    </r>
  </si>
  <si>
    <r>
      <rPr>
        <sz val="12"/>
        <color rgb="FF000000"/>
        <rFont val="宋体"/>
        <family val="3"/>
        <charset val="134"/>
      </rPr>
      <t>分期付息到期还本的长期借款利息</t>
    </r>
  </si>
  <si>
    <r>
      <rPr>
        <sz val="12"/>
        <color rgb="FF000000"/>
        <rFont val="宋体"/>
        <family val="3"/>
        <charset val="134"/>
      </rPr>
      <t>企业债券利息</t>
    </r>
  </si>
  <si>
    <r>
      <rPr>
        <sz val="12"/>
        <color rgb="FF000000"/>
        <rFont val="宋体"/>
        <family val="3"/>
        <charset val="134"/>
      </rPr>
      <t>短期借款应付利息</t>
    </r>
  </si>
  <si>
    <r>
      <rPr>
        <sz val="12"/>
        <color rgb="FF000000"/>
        <rFont val="宋体"/>
        <family val="3"/>
        <charset val="134"/>
      </rPr>
      <t>划分为金融负债的优先股</t>
    </r>
    <r>
      <rPr>
        <sz val="12"/>
        <color rgb="FF000000"/>
        <rFont val="Arial Narrow"/>
        <family val="2"/>
      </rPr>
      <t>\</t>
    </r>
    <r>
      <rPr>
        <sz val="12"/>
        <color rgb="FF000000"/>
        <rFont val="宋体"/>
        <family val="3"/>
        <charset val="134"/>
      </rPr>
      <t>永续债利息</t>
    </r>
  </si>
  <si>
    <r>
      <rPr>
        <sz val="12"/>
        <color rgb="FF000000"/>
        <rFont val="宋体"/>
        <family val="3"/>
        <charset val="134"/>
      </rPr>
      <t>其中：工具</t>
    </r>
    <r>
      <rPr>
        <sz val="12"/>
        <color rgb="FF000000"/>
        <rFont val="Arial Narrow"/>
        <family val="2"/>
      </rPr>
      <t>1</t>
    </r>
  </si>
  <si>
    <r>
      <rPr>
        <sz val="12"/>
        <color rgb="FF000000"/>
        <rFont val="宋体"/>
        <family val="3"/>
        <charset val="134"/>
      </rPr>
      <t>工具</t>
    </r>
    <r>
      <rPr>
        <sz val="12"/>
        <color rgb="FF000000"/>
        <rFont val="Arial Narrow"/>
        <family val="2"/>
      </rPr>
      <t>2</t>
    </r>
  </si>
  <si>
    <r>
      <rPr>
        <sz val="12"/>
        <color rgb="FF000000"/>
        <rFont val="宋体"/>
        <family val="3"/>
        <charset val="134"/>
      </rPr>
      <t>其他</t>
    </r>
  </si>
  <si>
    <r>
      <rPr>
        <b/>
        <sz val="12"/>
        <color rgb="FF000000"/>
        <rFont val="宋体"/>
        <family val="3"/>
        <charset val="134"/>
      </rPr>
      <t>合</t>
    </r>
    <r>
      <rPr>
        <b/>
        <sz val="12"/>
        <color rgb="FF000000"/>
        <rFont val="Arial Narrow"/>
        <family val="2"/>
      </rPr>
      <t xml:space="preserve">  </t>
    </r>
    <r>
      <rPr>
        <b/>
        <sz val="12"/>
        <color rgb="FF000000"/>
        <rFont val="宋体"/>
        <family val="3"/>
        <charset val="134"/>
      </rPr>
      <t>计</t>
    </r>
  </si>
  <si>
    <r>
      <rPr>
        <sz val="12"/>
        <rFont val="宋体"/>
        <family val="3"/>
        <charset val="134"/>
      </rPr>
      <t>重要的逾期未付利息：</t>
    </r>
  </si>
  <si>
    <r>
      <rPr>
        <b/>
        <sz val="12"/>
        <rFont val="宋体"/>
        <family val="3"/>
        <charset val="134"/>
      </rPr>
      <t>借款单位</t>
    </r>
  </si>
  <si>
    <r>
      <rPr>
        <b/>
        <sz val="12"/>
        <rFont val="宋体"/>
        <family val="3"/>
        <charset val="134"/>
      </rPr>
      <t>逾期金额</t>
    </r>
  </si>
  <si>
    <r>
      <rPr>
        <b/>
        <sz val="12"/>
        <rFont val="宋体"/>
        <family val="3"/>
        <charset val="134"/>
      </rPr>
      <t>逾期原因</t>
    </r>
  </si>
  <si>
    <r>
      <rPr>
        <b/>
        <sz val="12"/>
        <rFont val="宋体"/>
        <family val="3"/>
        <charset val="134"/>
      </rPr>
      <t>合计</t>
    </r>
  </si>
  <si>
    <t>--</t>
  </si>
  <si>
    <r>
      <rPr>
        <b/>
        <sz val="12"/>
        <rFont val="宋体"/>
        <family val="3"/>
        <charset val="134"/>
      </rPr>
      <t>附注披露信息（上市公司）：</t>
    </r>
  </si>
  <si>
    <r>
      <rPr>
        <b/>
        <sz val="12"/>
        <color rgb="FF000000"/>
        <rFont val="宋体"/>
        <family val="3"/>
        <charset val="134"/>
      </rPr>
      <t>上年年末余额</t>
    </r>
  </si>
  <si>
    <r>
      <rPr>
        <b/>
        <sz val="10"/>
        <rFont val="宋体"/>
        <family val="3"/>
        <charset val="134"/>
      </rPr>
      <t>未审数</t>
    </r>
  </si>
  <si>
    <r>
      <rPr>
        <b/>
        <sz val="10"/>
        <rFont val="宋体"/>
        <family val="3"/>
        <charset val="134"/>
      </rPr>
      <t>审定数</t>
    </r>
  </si>
  <si>
    <r>
      <rPr>
        <sz val="10"/>
        <color rgb="FF000000"/>
        <rFont val="宋体"/>
        <family val="3"/>
        <charset val="134"/>
      </rPr>
      <t>分期付息到期还本的长期借款利息</t>
    </r>
  </si>
  <si>
    <r>
      <rPr>
        <sz val="10"/>
        <color rgb="FF000000"/>
        <rFont val="宋体"/>
        <family val="3"/>
        <charset val="134"/>
      </rPr>
      <t>企业债券利息</t>
    </r>
  </si>
  <si>
    <r>
      <rPr>
        <sz val="10"/>
        <color rgb="FF000000"/>
        <rFont val="宋体"/>
        <family val="3"/>
        <charset val="134"/>
      </rPr>
      <t>短期借款应付利息</t>
    </r>
  </si>
  <si>
    <r>
      <rPr>
        <sz val="10"/>
        <color rgb="FF000000"/>
        <rFont val="宋体"/>
        <family val="3"/>
        <charset val="134"/>
      </rPr>
      <t>划分为金融负债的优先股</t>
    </r>
    <r>
      <rPr>
        <sz val="10"/>
        <color rgb="FF000000"/>
        <rFont val="Arial Narrow"/>
        <family val="2"/>
      </rPr>
      <t>\</t>
    </r>
    <r>
      <rPr>
        <sz val="10"/>
        <color rgb="FF000000"/>
        <rFont val="宋体"/>
        <family val="3"/>
        <charset val="134"/>
      </rPr>
      <t>永续债利息</t>
    </r>
  </si>
  <si>
    <r>
      <rPr>
        <sz val="10"/>
        <color rgb="FF000000"/>
        <rFont val="宋体"/>
        <family val="3"/>
        <charset val="134"/>
      </rPr>
      <t>其中：工具</t>
    </r>
    <r>
      <rPr>
        <sz val="10"/>
        <color rgb="FF000000"/>
        <rFont val="Arial Narrow"/>
        <family val="2"/>
      </rPr>
      <t>1</t>
    </r>
  </si>
  <si>
    <r>
      <rPr>
        <sz val="10"/>
        <color rgb="FF000000"/>
        <rFont val="宋体"/>
        <family val="3"/>
        <charset val="134"/>
      </rPr>
      <t>工具</t>
    </r>
    <r>
      <rPr>
        <sz val="10"/>
        <color rgb="FF000000"/>
        <rFont val="Arial Narrow"/>
        <family val="2"/>
      </rPr>
      <t>2</t>
    </r>
  </si>
  <si>
    <r>
      <rPr>
        <sz val="10"/>
        <color rgb="FF000000"/>
        <rFont val="宋体"/>
        <family val="3"/>
        <charset val="134"/>
      </rPr>
      <t>其他</t>
    </r>
  </si>
  <si>
    <r>
      <rPr>
        <b/>
        <sz val="10"/>
        <rFont val="宋体"/>
        <family val="3"/>
        <charset val="134"/>
      </rPr>
      <t>合计</t>
    </r>
  </si>
  <si>
    <r>
      <rPr>
        <b/>
        <sz val="10"/>
        <rFont val="Arial Narrow"/>
        <family val="2"/>
      </rPr>
      <t>1</t>
    </r>
    <r>
      <rPr>
        <b/>
        <sz val="10"/>
        <rFont val="宋体"/>
        <family val="3"/>
        <charset val="134"/>
      </rPr>
      <t>、审计说明：</t>
    </r>
  </si>
  <si>
    <r>
      <rPr>
        <sz val="10"/>
        <rFont val="宋体"/>
        <family val="3"/>
        <charset val="134"/>
      </rPr>
      <t>（</t>
    </r>
    <r>
      <rPr>
        <sz val="10"/>
        <rFont val="Arial Narrow"/>
        <family val="2"/>
      </rPr>
      <t>1</t>
    </r>
    <r>
      <rPr>
        <sz val="10"/>
        <rFont val="宋体"/>
        <family val="3"/>
        <charset val="134"/>
      </rPr>
      <t>）应付利息本期较上期增加（负数为减少）：</t>
    </r>
  </si>
  <si>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</si>
  <si>
    <r>
      <rPr>
        <sz val="10"/>
        <rFont val="宋体"/>
        <family val="3"/>
        <charset val="134"/>
      </rPr>
      <t>（</t>
    </r>
    <r>
      <rPr>
        <sz val="10"/>
        <rFont val="Arial Narrow"/>
        <family val="2"/>
      </rPr>
      <t>2</t>
    </r>
    <r>
      <rPr>
        <sz val="10"/>
        <rFont val="宋体"/>
        <family val="3"/>
        <charset val="134"/>
      </rPr>
      <t>）欠付利息的原因说明：</t>
    </r>
  </si>
  <si>
    <r>
      <rPr>
        <sz val="10"/>
        <rFont val="宋体"/>
        <family val="3"/>
        <charset val="134"/>
      </rPr>
      <t>（</t>
    </r>
    <r>
      <rPr>
        <sz val="10"/>
        <rFont val="Arial Narrow"/>
        <family val="2"/>
      </rPr>
      <t>3</t>
    </r>
    <r>
      <rPr>
        <sz val="10"/>
        <rFont val="宋体"/>
        <family val="3"/>
        <charset val="134"/>
      </rPr>
      <t>）与经审计的财务报表核对</t>
    </r>
  </si>
  <si>
    <r>
      <rPr>
        <sz val="10"/>
        <rFont val="宋体"/>
        <family val="3"/>
        <charset val="134"/>
      </rPr>
      <t>期末数</t>
    </r>
  </si>
  <si>
    <r>
      <rPr>
        <sz val="10"/>
        <rFont val="宋体"/>
        <family val="3"/>
        <charset val="134"/>
      </rPr>
      <t>期初数</t>
    </r>
  </si>
  <si>
    <r>
      <rPr>
        <sz val="10"/>
        <rFont val="宋体"/>
        <family val="3"/>
        <charset val="134"/>
      </rPr>
      <t>应付利息审定数</t>
    </r>
  </si>
  <si>
    <r>
      <rPr>
        <sz val="10"/>
        <rFont val="宋体"/>
        <family val="3"/>
        <charset val="134"/>
      </rPr>
      <t>应付股利审定数</t>
    </r>
  </si>
  <si>
    <r>
      <rPr>
        <sz val="10"/>
        <rFont val="宋体"/>
        <family val="3"/>
        <charset val="134"/>
      </rPr>
      <t>其他应付款审定数</t>
    </r>
  </si>
  <si>
    <r>
      <rPr>
        <sz val="10"/>
        <rFont val="宋体"/>
        <family val="3"/>
        <charset val="134"/>
      </rPr>
      <t>其他应付款合计数</t>
    </r>
  </si>
  <si>
    <r>
      <rPr>
        <sz val="10"/>
        <rFont val="宋体"/>
        <family val="3"/>
        <charset val="134"/>
      </rPr>
      <t>报表数</t>
    </r>
  </si>
  <si>
    <r>
      <rPr>
        <sz val="10"/>
        <rFont val="宋体"/>
        <family val="3"/>
        <charset val="134"/>
      </rPr>
      <t>差异</t>
    </r>
  </si>
  <si>
    <r>
      <rPr>
        <b/>
        <sz val="10"/>
        <rFont val="Arial Narrow"/>
        <family val="2"/>
      </rPr>
      <t>2</t>
    </r>
    <r>
      <rPr>
        <b/>
        <sz val="10"/>
        <rFont val="宋体"/>
        <family val="3"/>
        <charset val="134"/>
      </rPr>
      <t>、审计结论：</t>
    </r>
  </si>
  <si>
    <r>
      <rPr>
        <b/>
        <sz val="14"/>
        <rFont val="宋体"/>
        <family val="3"/>
        <charset val="134"/>
      </rPr>
      <t>应付利息明细表</t>
    </r>
  </si>
  <si>
    <r>
      <rPr>
        <b/>
        <sz val="10"/>
        <rFont val="宋体"/>
        <family val="3"/>
        <charset val="134"/>
      </rPr>
      <t>一、审计目标</t>
    </r>
    <r>
      <rPr>
        <b/>
        <sz val="10"/>
        <rFont val="Arial Narrow"/>
        <family val="2"/>
      </rPr>
      <t>:</t>
    </r>
  </si>
  <si>
    <r>
      <rPr>
        <sz val="10"/>
        <rFont val="Arial Narrow"/>
        <family val="2"/>
      </rPr>
      <t>1</t>
    </r>
    <r>
      <rPr>
        <sz val="10"/>
        <rFont val="宋体"/>
        <family val="3"/>
        <charset val="134"/>
      </rPr>
      <t>、资产负债表中记录的应付利息是存在的，且已经记录在恰当的账户中；</t>
    </r>
    <r>
      <rPr>
        <sz val="10"/>
        <rFont val="Arial Narrow"/>
        <family val="2"/>
      </rPr>
      <t>2</t>
    </r>
    <r>
      <rPr>
        <sz val="10"/>
        <rFont val="等线"/>
        <family val="3"/>
        <charset val="134"/>
      </rPr>
      <t>、</t>
    </r>
    <r>
      <rPr>
        <sz val="10"/>
        <rFont val="Arial Narrow"/>
        <family val="2"/>
      </rPr>
      <t xml:space="preserve"> </t>
    </r>
    <r>
      <rPr>
        <sz val="10"/>
        <rFont val="等线"/>
        <family val="3"/>
        <charset val="134"/>
      </rPr>
      <t>所有应记录的短期借款均已记录，所有应当包括在财务报表中的相关披露均已包括；</t>
    </r>
  </si>
  <si>
    <r>
      <rPr>
        <sz val="10"/>
        <rFont val="Arial Narrow"/>
        <family val="2"/>
      </rPr>
      <t>3</t>
    </r>
    <r>
      <rPr>
        <sz val="10"/>
        <rFont val="宋体"/>
        <family val="3"/>
        <charset val="134"/>
      </rPr>
      <t>、应付利息以恰当的金额包括在财务报表中，与之相关的计价或分摊调整已恰当记录，相关披露已得到恰当计量和描述</t>
    </r>
  </si>
  <si>
    <r>
      <rPr>
        <b/>
        <sz val="10"/>
        <rFont val="宋体"/>
        <family val="3"/>
        <charset val="134"/>
      </rPr>
      <t>二、审计过程：</t>
    </r>
  </si>
  <si>
    <r>
      <rPr>
        <sz val="10"/>
        <rFont val="宋体"/>
        <family val="3"/>
        <charset val="134"/>
      </rPr>
      <t>考虑发生在企业与关联方之间的交易是否得到适当的会计处理</t>
    </r>
    <r>
      <rPr>
        <sz val="10"/>
        <rFont val="Arial Narrow"/>
        <family val="2"/>
      </rPr>
      <t>,</t>
    </r>
    <r>
      <rPr>
        <sz val="10"/>
        <rFont val="宋体"/>
        <family val="3"/>
        <charset val="134"/>
      </rPr>
      <t>了解关联交易事项的目的、价格和条件，检查交易的支持性文件，同时向关联方或其他注册会计师函证重大的交易（包括担保和其他重要信息），以确认交易的真实性；必要时，向与交易相关的人员和机构（如银行、律师）函证或与其讨论有关信息。</t>
    </r>
  </si>
  <si>
    <r>
      <rPr>
        <b/>
        <sz val="10"/>
        <rFont val="宋体"/>
        <family val="3"/>
        <charset val="134"/>
      </rPr>
      <t>类别</t>
    </r>
  </si>
  <si>
    <r>
      <rPr>
        <b/>
        <sz val="10"/>
        <rFont val="宋体"/>
        <family val="3"/>
        <charset val="134"/>
      </rPr>
      <t>名称</t>
    </r>
  </si>
  <si>
    <r>
      <rPr>
        <b/>
        <sz val="10"/>
        <rFont val="宋体"/>
        <family val="3"/>
        <charset val="134"/>
      </rPr>
      <t>债权人名称</t>
    </r>
  </si>
  <si>
    <r>
      <rPr>
        <b/>
        <sz val="10"/>
        <rFont val="宋体"/>
        <family val="3"/>
        <charset val="134"/>
      </rPr>
      <t>计息基数</t>
    </r>
  </si>
  <si>
    <r>
      <rPr>
        <b/>
        <sz val="10"/>
        <rFont val="宋体"/>
        <family val="3"/>
        <charset val="134"/>
      </rPr>
      <t>起息日</t>
    </r>
  </si>
  <si>
    <r>
      <rPr>
        <b/>
        <sz val="10"/>
        <rFont val="宋体"/>
        <family val="3"/>
        <charset val="134"/>
      </rPr>
      <t>到期日</t>
    </r>
  </si>
  <si>
    <r>
      <rPr>
        <b/>
        <sz val="10"/>
        <rFont val="宋体"/>
        <family val="3"/>
        <charset val="134"/>
      </rPr>
      <t>利率</t>
    </r>
  </si>
  <si>
    <r>
      <rPr>
        <b/>
        <sz val="10"/>
        <color indexed="8"/>
        <rFont val="宋体"/>
        <family val="3"/>
        <charset val="134"/>
      </rPr>
      <t>期初调整</t>
    </r>
  </si>
  <si>
    <r>
      <rPr>
        <b/>
        <sz val="10"/>
        <color indexed="8"/>
        <rFont val="宋体"/>
        <family val="3"/>
        <charset val="134"/>
      </rPr>
      <t>账项调整</t>
    </r>
  </si>
  <si>
    <r>
      <rPr>
        <b/>
        <sz val="10"/>
        <color indexed="8"/>
        <rFont val="宋体"/>
        <family val="3"/>
        <charset val="134"/>
      </rPr>
      <t>重分类调整</t>
    </r>
  </si>
  <si>
    <r>
      <rPr>
        <b/>
        <sz val="10"/>
        <rFont val="宋体"/>
        <family val="3"/>
        <charset val="134"/>
      </rPr>
      <t>逾期未支付金额</t>
    </r>
  </si>
  <si>
    <r>
      <rPr>
        <b/>
        <sz val="10"/>
        <rFont val="宋体"/>
        <family val="3"/>
        <charset val="134"/>
      </rPr>
      <t>逾期原因</t>
    </r>
  </si>
  <si>
    <r>
      <rPr>
        <b/>
        <sz val="10"/>
        <rFont val="宋体"/>
        <family val="3"/>
        <charset val="134"/>
      </rPr>
      <t>备注</t>
    </r>
  </si>
  <si>
    <r>
      <rPr>
        <b/>
        <sz val="10"/>
        <rFont val="宋体"/>
        <family val="3"/>
        <charset val="134"/>
      </rPr>
      <t>期初余额</t>
    </r>
  </si>
  <si>
    <r>
      <rPr>
        <b/>
        <sz val="10"/>
        <rFont val="宋体"/>
        <family val="3"/>
        <charset val="134"/>
      </rPr>
      <t>本期应付利息</t>
    </r>
  </si>
  <si>
    <r>
      <rPr>
        <b/>
        <sz val="10"/>
        <rFont val="宋体"/>
        <family val="3"/>
        <charset val="134"/>
      </rPr>
      <t>本期已付利息</t>
    </r>
  </si>
  <si>
    <r>
      <rPr>
        <b/>
        <sz val="10"/>
        <rFont val="宋体"/>
        <family val="3"/>
        <charset val="134"/>
      </rPr>
      <t>期末余额</t>
    </r>
  </si>
  <si>
    <r>
      <rPr>
        <b/>
        <sz val="10"/>
        <color indexed="8"/>
        <rFont val="宋体"/>
        <family val="3"/>
        <charset val="134"/>
      </rPr>
      <t>本期增加</t>
    </r>
  </si>
  <si>
    <r>
      <rPr>
        <b/>
        <sz val="10"/>
        <color indexed="8"/>
        <rFont val="宋体"/>
        <family val="3"/>
        <charset val="134"/>
      </rPr>
      <t>本期偿还</t>
    </r>
  </si>
  <si>
    <r>
      <rPr>
        <sz val="10"/>
        <rFont val="宋体"/>
        <family val="3"/>
        <charset val="134"/>
      </rPr>
      <t>分期付息到期还本的长期借款利息</t>
    </r>
  </si>
  <si>
    <t>北京</t>
  </si>
  <si>
    <r>
      <rPr>
        <sz val="10"/>
        <rFont val="宋体"/>
        <family val="3"/>
        <charset val="134"/>
      </rPr>
      <t>企业债券利息</t>
    </r>
  </si>
  <si>
    <r>
      <rPr>
        <sz val="10"/>
        <rFont val="宋体"/>
        <family val="3"/>
        <charset val="134"/>
      </rPr>
      <t>短期借款应付利息</t>
    </r>
  </si>
  <si>
    <r>
      <rPr>
        <sz val="10"/>
        <rFont val="宋体"/>
        <family val="3"/>
        <charset val="134"/>
      </rPr>
      <t>划分为金融负债的优先股</t>
    </r>
    <r>
      <rPr>
        <sz val="10"/>
        <rFont val="Arial Narrow"/>
        <family val="2"/>
      </rPr>
      <t>\</t>
    </r>
    <r>
      <rPr>
        <sz val="10"/>
        <rFont val="宋体"/>
        <family val="3"/>
        <charset val="134"/>
      </rPr>
      <t>永续债利息</t>
    </r>
  </si>
  <si>
    <r>
      <rPr>
        <sz val="10"/>
        <rFont val="宋体"/>
        <family val="3"/>
        <charset val="134"/>
      </rPr>
      <t>其中：工具</t>
    </r>
    <r>
      <rPr>
        <sz val="10"/>
        <rFont val="Arial Narrow"/>
        <family val="2"/>
      </rPr>
      <t>1</t>
    </r>
  </si>
  <si>
    <r>
      <rPr>
        <sz val="10"/>
        <rFont val="宋体"/>
        <family val="3"/>
        <charset val="134"/>
      </rPr>
      <t>工具</t>
    </r>
    <r>
      <rPr>
        <sz val="10"/>
        <rFont val="Arial Narrow"/>
        <family val="2"/>
      </rPr>
      <t>2</t>
    </r>
  </si>
  <si>
    <r>
      <rPr>
        <sz val="10"/>
        <rFont val="宋体"/>
        <family val="3"/>
        <charset val="134"/>
      </rPr>
      <t>其他</t>
    </r>
  </si>
  <si>
    <r>
      <rPr>
        <b/>
        <sz val="10"/>
        <rFont val="宋体"/>
        <family val="3"/>
        <charset val="134"/>
      </rPr>
      <t>三、审计说明：</t>
    </r>
  </si>
  <si>
    <r>
      <rPr>
        <sz val="10"/>
        <rFont val="宋体"/>
        <family val="3"/>
        <charset val="134"/>
      </rPr>
      <t>利息测算过程详见</t>
    </r>
  </si>
  <si>
    <r>
      <rPr>
        <b/>
        <sz val="10"/>
        <rFont val="宋体"/>
        <family val="3"/>
        <charset val="134"/>
      </rPr>
      <t>四、审计结论：</t>
    </r>
  </si>
  <si>
    <r>
      <rPr>
        <b/>
        <sz val="10"/>
        <color indexed="12"/>
        <rFont val="宋体"/>
        <family val="3"/>
        <charset val="134"/>
      </rPr>
      <t>提示：</t>
    </r>
  </si>
  <si>
    <r>
      <rPr>
        <sz val="10"/>
        <color indexed="12"/>
        <rFont val="Arial Narrow"/>
        <family val="2"/>
      </rPr>
      <t>2.</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</si>
  <si>
    <r>
      <rPr>
        <sz val="10"/>
        <color indexed="12"/>
        <rFont val="Arial Narrow"/>
        <family val="2"/>
      </rPr>
      <t>3.</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</si>
  <si>
    <t>致同会计师事务所</t>
  </si>
  <si>
    <t>应付利息调整分录汇总表</t>
  </si>
  <si>
    <r>
      <rPr>
        <sz val="10"/>
        <rFont val="宋体"/>
        <family val="3"/>
        <charset val="134"/>
      </rPr>
      <t>索引：</t>
    </r>
  </si>
  <si>
    <r>
      <rPr>
        <b/>
        <sz val="10"/>
        <color indexed="8"/>
        <rFont val="宋体"/>
        <family val="3"/>
        <charset val="134"/>
      </rPr>
      <t>调整事项说明</t>
    </r>
  </si>
  <si>
    <t>类别（报表调整/账项调整/其他）</t>
  </si>
  <si>
    <r>
      <rPr>
        <b/>
        <sz val="10"/>
        <rFont val="宋体"/>
        <family val="3"/>
        <charset val="134"/>
      </rPr>
      <t>报表项目</t>
    </r>
  </si>
  <si>
    <r>
      <rPr>
        <b/>
        <sz val="10"/>
        <rFont val="宋体"/>
        <family val="3"/>
        <charset val="134"/>
      </rPr>
      <t>科目名称</t>
    </r>
  </si>
  <si>
    <r>
      <rPr>
        <b/>
        <sz val="10"/>
        <rFont val="宋体"/>
        <family val="3"/>
        <charset val="134"/>
      </rPr>
      <t>附注项目</t>
    </r>
  </si>
  <si>
    <t>……</t>
  </si>
  <si>
    <r>
      <rPr>
        <b/>
        <sz val="10"/>
        <rFont val="宋体"/>
        <family val="3"/>
        <charset val="134"/>
      </rPr>
      <t>借方调整金额</t>
    </r>
  </si>
  <si>
    <r>
      <rPr>
        <b/>
        <sz val="10"/>
        <rFont val="宋体"/>
        <family val="3"/>
        <charset val="134"/>
      </rPr>
      <t>贷方调整金额</t>
    </r>
  </si>
  <si>
    <r>
      <rPr>
        <b/>
        <sz val="10"/>
        <rFont val="宋体"/>
        <family val="3"/>
        <charset val="134"/>
      </rPr>
      <t>索引</t>
    </r>
  </si>
  <si>
    <t>账项调整</t>
  </si>
  <si>
    <t>货币资金</t>
  </si>
  <si>
    <t>银行存款</t>
  </si>
  <si>
    <r>
      <rPr>
        <b/>
        <sz val="10"/>
        <rFont val="Arial Narrow"/>
        <family val="2"/>
      </rPr>
      <t>1</t>
    </r>
    <r>
      <rPr>
        <b/>
        <sz val="10"/>
        <rFont val="宋体"/>
        <family val="3"/>
        <charset val="134"/>
      </rPr>
      <t>、审计说明</t>
    </r>
  </si>
  <si>
    <r>
      <rPr>
        <b/>
        <sz val="10"/>
        <rFont val="Arial Narrow"/>
        <family val="2"/>
      </rPr>
      <t>2</t>
    </r>
    <r>
      <rPr>
        <b/>
        <sz val="10"/>
        <rFont val="宋体"/>
        <family val="3"/>
        <charset val="134"/>
      </rPr>
      <t>、审计结论</t>
    </r>
  </si>
  <si>
    <t>注：本底稿适用于调整分录较多、较复杂的项目，且仅列示与本报表项目相关的审计调整。项目组可根据项目实际情况选择是否使用该底稿。</t>
  </si>
  <si>
    <t>应付利息检查表</t>
  </si>
  <si>
    <t>1.资产负债表中记录的应付利息是存在的，且已经记录在恰当的账户中；     2.记录的应付利息由被审计单位拥有或控制；</t>
  </si>
  <si>
    <t xml:space="preserve">3.应付利息以恰当的金额包括在财务报表中，与之相关的计价或分摊调整已恰当记录，相关披露已得到恰当计量和描述 </t>
  </si>
  <si>
    <t>二、测试：</t>
  </si>
  <si>
    <t>测试内容说明：1.原始凭证齐全；2.经授权批准；3.会计处理正确；4.记账凭证与原始凭证金额核对相符；5…</t>
  </si>
  <si>
    <t>记账凭证</t>
  </si>
  <si>
    <t>支持性文件</t>
  </si>
  <si>
    <r>
      <rPr>
        <b/>
        <sz val="10"/>
        <rFont val="宋体"/>
        <family val="3"/>
        <charset val="134"/>
      </rPr>
      <t>核对内容</t>
    </r>
  </si>
  <si>
    <t>索引号</t>
  </si>
  <si>
    <t>是否异常</t>
  </si>
  <si>
    <t>备注说明</t>
  </si>
  <si>
    <t>日期</t>
  </si>
  <si>
    <t>凭证编号</t>
  </si>
  <si>
    <t>业务内容</t>
  </si>
  <si>
    <t>对方科目</t>
  </si>
  <si>
    <t>对方明细科目</t>
  </si>
  <si>
    <t>借方金额</t>
  </si>
  <si>
    <t>贷方金额</t>
  </si>
  <si>
    <t>三、审计说明：</t>
  </si>
  <si>
    <t>四、审计结论：</t>
  </si>
  <si>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77" type="noConversion"/>
  </si>
  <si>
    <t>关于工作底稿与审计程序索引号对应的说明</t>
    <phoneticPr fontId="77"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</si>
  <si>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77"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</si>
  <si>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77"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</si>
  <si>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77" type="noConversion"/>
  </si>
  <si>
    <t>根据被审计单位实际情况和风险评估情况裁剪、修改或增加审计程序</t>
    <phoneticPr fontId="77" type="noConversion"/>
  </si>
  <si>
    <t>审计程序</t>
    <phoneticPr fontId="78" type="noConversion"/>
  </si>
  <si>
    <t>合计</t>
    <phoneticPr fontId="77" type="noConversion"/>
  </si>
  <si>
    <t>本期发生额</t>
    <phoneticPr fontId="77" type="noConversion"/>
  </si>
  <si>
    <t>检查比例</t>
    <phoneticPr fontId="77" type="noConversion"/>
  </si>
  <si>
    <t>测试原因：大额（）关联方（）大额交易频繁（）异常（）其他（）</t>
    <phoneticPr fontId="77" type="noConversion"/>
  </si>
  <si>
    <r>
      <rPr>
        <sz val="10"/>
        <color rgb="FF0000FF"/>
        <rFont val="宋体"/>
        <family val="3"/>
        <charset val="134"/>
      </rPr>
      <t>注：</t>
    </r>
    <r>
      <rPr>
        <sz val="10"/>
        <color rgb="FF0000FF"/>
        <rFont val="Arial Narrow"/>
        <family val="2"/>
      </rPr>
      <t>“</t>
    </r>
    <r>
      <rPr>
        <sz val="10"/>
        <color rgb="FF0000FF"/>
        <rFont val="宋体"/>
        <family val="3"/>
        <charset val="134"/>
      </rPr>
      <t>应付利息</t>
    </r>
    <r>
      <rPr>
        <sz val="10"/>
        <color rgb="FF0000FF"/>
        <rFont val="Arial Narrow"/>
        <family val="2"/>
      </rPr>
      <t>”</t>
    </r>
    <r>
      <rPr>
        <sz val="10"/>
        <color rgb="FF0000FF"/>
        <rFont val="宋体"/>
        <family val="3"/>
        <charset val="134"/>
      </rPr>
      <t>仅反映相关金融工具已到期应支付但于资产负债表日尚未支付的利息。基于实际利率法计提的金融工具的利息应包含在相应金融工具的账面余额中。</t>
    </r>
    <phoneticPr fontId="77" type="noConversion"/>
  </si>
  <si>
    <r>
      <t>1.</t>
    </r>
    <r>
      <rPr>
        <sz val="10"/>
        <color indexed="12"/>
        <rFont val="宋体"/>
        <family val="3"/>
        <charset val="134"/>
      </rPr>
      <t>“应付利息”仅反映相关金融工具已到期应支付但于资产负债表日尚未支付的利息。基于实际利率法计提的金融工具的利息应包含在相应金融工具的账面余额中。</t>
    </r>
    <phoneticPr fontId="77" type="noConversion"/>
  </si>
  <si>
    <t>应付利息审定表</t>
  </si>
  <si>
    <t>原因分析</t>
  </si>
  <si>
    <t>期初数</t>
  </si>
  <si>
    <t>期末数</t>
  </si>
  <si>
    <t>项目</t>
  </si>
  <si>
    <t>本期未审数与上期
审定数的比较</t>
  </si>
  <si>
    <t>本期审定数与上期
审定数的比较</t>
  </si>
  <si>
    <t>未审数</t>
  </si>
  <si>
    <t>重分类调整</t>
  </si>
  <si>
    <t>审定数</t>
  </si>
  <si>
    <t>变动额</t>
  </si>
  <si>
    <t>变动率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</si>
</sst>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_(* #,##0_);_(* \(#,##0\);_(* &quot;-&quot;_);_(@_)"/>
    <numFmt numFmtId="195" formatCode="_(* #,##0.00_);_(* \(#,##0.00\);_(* &quot;-&quot;??_);_(@_)"/>
    <numFmt numFmtId="196" formatCode="0.000%"/>
  </numFmts>
  <fonts count="83">
    <font>
      <sz val="12"/>
      <name val="宋体"/>
      <charset val="134"/>
    </font>
    <font>
      <sz val="11"/>
      <color theme="1"/>
      <name val="宋体"/>
      <family val="2"/>
      <charset val="134"/>
      <scheme val="minor"/>
    </font>
    <font>
      <b/>
      <sz val="10"/>
      <name val="Arial Narrow"/>
      <family val="2"/>
    </font>
    <font>
      <b/>
      <sz val="12"/>
      <name val="Arial Narrow"/>
      <family val="2"/>
    </font>
    <font>
      <sz val="10"/>
      <name val="Arial Narrow"/>
      <family val="2"/>
    </font>
    <font>
      <sz val="12"/>
      <name val="Arial Narrow"/>
      <family val="2"/>
    </font>
    <font>
      <b/>
      <sz val="12"/>
      <name val="宋体"/>
      <family val="3"/>
      <charset val="134"/>
    </font>
    <font>
      <b/>
      <sz val="14"/>
      <name val="宋体"/>
      <family val="3"/>
      <charset val="134"/>
    </font>
    <font>
      <sz val="10"/>
      <name val="宋体"/>
      <family val="3"/>
      <charset val="134"/>
    </font>
    <font>
      <b/>
      <u/>
      <sz val="10"/>
      <color indexed="10"/>
      <name val="Arial Narrow"/>
      <family val="2"/>
    </font>
    <font>
      <b/>
      <sz val="10"/>
      <name val="宋体"/>
      <family val="3"/>
      <charset val="134"/>
    </font>
    <font>
      <sz val="10"/>
      <color indexed="12"/>
      <name val="Arial Narrow"/>
      <family val="2"/>
    </font>
    <font>
      <sz val="10"/>
      <color rgb="FFFF0000"/>
      <name val="Arial Narrow"/>
      <family val="2"/>
    </font>
    <font>
      <b/>
      <sz val="10"/>
      <name val="宋体"/>
      <family val="3"/>
      <charset val="134"/>
    </font>
    <font>
      <sz val="10"/>
      <color rgb="FFFF0000"/>
      <name val="宋体"/>
      <family val="3"/>
      <charset val="134"/>
    </font>
    <font>
      <sz val="10"/>
      <color rgb="FF0432FF"/>
      <name val="Arial Narrow"/>
      <family val="2"/>
    </font>
    <font>
      <u/>
      <sz val="12"/>
      <color indexed="12"/>
      <name val="Arial Narrow"/>
      <family val="2"/>
    </font>
    <font>
      <sz val="12"/>
      <name val="宋体"/>
      <family val="3"/>
      <charset val="134"/>
    </font>
    <font>
      <b/>
      <sz val="10"/>
      <color indexed="8"/>
      <name val="Arial Narrow"/>
      <family val="2"/>
    </font>
    <font>
      <b/>
      <sz val="10"/>
      <color indexed="8"/>
      <name val="宋体"/>
      <family val="3"/>
      <charset val="134"/>
    </font>
    <font>
      <b/>
      <sz val="10"/>
      <color rgb="FFE92841"/>
      <name val="Arial Narrow"/>
      <family val="2"/>
    </font>
    <font>
      <sz val="10"/>
      <color rgb="FF000000"/>
      <name val="宋体"/>
      <family val="3"/>
      <charset val="134"/>
    </font>
    <font>
      <sz val="10"/>
      <color rgb="FF000000"/>
      <name val="宋体"/>
      <family val="3"/>
      <charset val="134"/>
    </font>
    <font>
      <sz val="10"/>
      <color indexed="8"/>
      <name val="Arial Narrow"/>
      <family val="2"/>
    </font>
    <font>
      <sz val="10"/>
      <color indexed="8"/>
      <name val="宋体"/>
      <family val="3"/>
      <charset val="134"/>
    </font>
    <font>
      <sz val="10"/>
      <color rgb="FFFF0000"/>
      <name val="Arial Narrow"/>
      <family val="2"/>
    </font>
    <font>
      <i/>
      <u/>
      <sz val="10"/>
      <color indexed="12"/>
      <name val="Arial Narrow"/>
      <family val="2"/>
    </font>
    <font>
      <u/>
      <sz val="10"/>
      <name val="Arial Narrow"/>
      <family val="2"/>
    </font>
    <font>
      <sz val="10"/>
      <color indexed="12"/>
      <name val="仿宋_GB2312"/>
      <charset val="134"/>
    </font>
    <font>
      <b/>
      <sz val="14"/>
      <name val="Arial Narrow"/>
      <family val="2"/>
    </font>
    <font>
      <sz val="10"/>
      <name val="宋体"/>
      <family val="3"/>
      <charset val="134"/>
    </font>
    <font>
      <b/>
      <sz val="10"/>
      <color indexed="12"/>
      <name val="Arial Narrow"/>
      <family val="2"/>
    </font>
    <font>
      <i/>
      <sz val="10"/>
      <name val="Arial Narrow"/>
      <family val="2"/>
    </font>
    <font>
      <sz val="10"/>
      <color rgb="FF000000"/>
      <name val="Arial Narrow"/>
      <family val="2"/>
    </font>
    <font>
      <b/>
      <sz val="12"/>
      <color indexed="40"/>
      <name val="Arial Narrow"/>
      <family val="2"/>
    </font>
    <font>
      <b/>
      <sz val="12"/>
      <color rgb="FF000000"/>
      <name val="Arial Narrow"/>
      <family val="2"/>
    </font>
    <font>
      <sz val="12"/>
      <color rgb="FF000000"/>
      <name val="Arial Narrow"/>
      <family val="2"/>
    </font>
    <font>
      <sz val="12"/>
      <color rgb="FF0000FF"/>
      <name val="Arial Narrow"/>
      <family val="2"/>
    </font>
    <font>
      <sz val="11"/>
      <color theme="1"/>
      <name val="Arial Narrow"/>
      <family val="2"/>
    </font>
    <font>
      <sz val="10"/>
      <color theme="1"/>
      <name val="Arial Narrow"/>
      <family val="2"/>
    </font>
    <font>
      <sz val="11"/>
      <color theme="1"/>
      <name val="宋体"/>
      <family val="3"/>
      <charset val="134"/>
    </font>
    <font>
      <b/>
      <sz val="10"/>
      <color theme="1"/>
      <name val="Arial Narrow"/>
      <family val="2"/>
    </font>
    <font>
      <sz val="10"/>
      <color theme="1"/>
      <name val="宋体"/>
      <family val="3"/>
      <charset val="134"/>
    </font>
    <font>
      <sz val="10"/>
      <color indexed="8"/>
      <name val="宋体"/>
      <family val="3"/>
      <charset val="134"/>
    </font>
    <font>
      <b/>
      <sz val="10"/>
      <color rgb="FFFF0000"/>
      <name val="Arial Narrow"/>
      <family val="2"/>
    </font>
    <font>
      <sz val="10"/>
      <color rgb="FF0000FF"/>
      <name val="Arial Narrow"/>
      <family val="2"/>
    </font>
    <font>
      <b/>
      <sz val="10"/>
      <color theme="0" tint="-0.499984740745262"/>
      <name val="Arial Narrow"/>
      <family val="2"/>
    </font>
    <font>
      <b/>
      <sz val="10"/>
      <color indexed="10"/>
      <name val="宋体"/>
      <family val="3"/>
      <charset val="134"/>
    </font>
    <font>
      <sz val="10"/>
      <name val="Arial"/>
      <family val="2"/>
    </font>
    <font>
      <b/>
      <sz val="10"/>
      <color theme="1"/>
      <name val="宋体"/>
      <family val="3"/>
      <charset val="134"/>
    </font>
    <font>
      <b/>
      <sz val="12"/>
      <color indexed="8"/>
      <name val="Arial Narrow"/>
      <family val="2"/>
    </font>
    <font>
      <u/>
      <sz val="12"/>
      <color indexed="12"/>
      <name val="宋体"/>
      <family val="3"/>
      <charset val="134"/>
    </font>
    <font>
      <u/>
      <sz val="12"/>
      <color rgb="FF800080"/>
      <name val="宋体"/>
      <family val="3"/>
      <charset val="134"/>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1"/>
      <color theme="1"/>
      <name val="宋体"/>
      <family val="3"/>
      <charset val="134"/>
      <scheme val="minor"/>
    </font>
    <font>
      <sz val="11"/>
      <color theme="1"/>
      <name val="宋体"/>
      <family val="3"/>
      <charset val="134"/>
      <scheme val="minor"/>
    </font>
    <font>
      <sz val="12"/>
      <name val="Times New Roman"/>
      <family val="1"/>
    </font>
    <font>
      <sz val="12"/>
      <name val="楷体"/>
      <family val="3"/>
      <charset val="134"/>
    </font>
    <font>
      <sz val="12"/>
      <name val="楷体_GB2312"/>
      <charset val="134"/>
    </font>
    <font>
      <sz val="10"/>
      <color indexed="12"/>
      <name val="宋体"/>
      <family val="3"/>
      <charset val="134"/>
    </font>
    <font>
      <sz val="10"/>
      <name val="等线"/>
      <family val="3"/>
      <charset val="134"/>
    </font>
    <font>
      <sz val="10"/>
      <color rgb="FF0000FF"/>
      <name val="宋体"/>
      <family val="3"/>
      <charset val="134"/>
    </font>
    <font>
      <sz val="12"/>
      <color rgb="FF000000"/>
      <name val="宋体"/>
      <family val="3"/>
      <charset val="134"/>
    </font>
    <font>
      <b/>
      <sz val="12"/>
      <color rgb="FF000000"/>
      <name val="宋体"/>
      <family val="3"/>
      <charset val="134"/>
    </font>
    <font>
      <sz val="10"/>
      <color indexed="10"/>
      <name val="宋体"/>
      <family val="3"/>
      <charset val="134"/>
    </font>
    <font>
      <sz val="10"/>
      <color indexed="10"/>
      <name val="Arial Narrow"/>
      <family val="2"/>
    </font>
    <font>
      <b/>
      <sz val="10"/>
      <color indexed="12"/>
      <name val="宋体"/>
      <family val="3"/>
      <charset val="134"/>
    </font>
    <font>
      <sz val="9"/>
      <name val="宋体"/>
      <family val="3"/>
      <charset val="134"/>
    </font>
    <font>
      <sz val="9"/>
      <name val="宋体"/>
      <family val="2"/>
      <charset val="134"/>
      <scheme val="minor"/>
    </font>
    <font>
      <b/>
      <sz val="9"/>
      <color indexed="81"/>
      <name val="宋体"/>
      <family val="3"/>
      <charset val="134"/>
    </font>
    <font>
      <sz val="9"/>
      <color indexed="81"/>
      <name val="宋体"/>
      <family val="3"/>
      <charset val="134"/>
    </font>
    <font>
      <b/>
      <sz val="12"/>
      <name val="宋体"/>
      <family val="3"/>
      <charset val="134"/>
      <scheme val="minor"/>
    </font>
    <font>
      <b/>
      <sz val="14"/>
      <name val="宋体"/>
      <family val="3"/>
      <charset val="134"/>
      <scheme val="minor"/>
    </font>
  </fonts>
  <fills count="11">
    <fill>
      <patternFill patternType="none"/>
    </fill>
    <fill>
      <patternFill patternType="gray125"/>
    </fill>
    <fill>
      <patternFill patternType="solid">
        <fgColor theme="7" tint="0.79995117038483843"/>
        <bgColor indexed="64"/>
      </patternFill>
    </fill>
    <fill>
      <patternFill patternType="solid">
        <fgColor theme="7" tint="0.79995117038483843"/>
        <bgColor rgb="FFB7DEE8"/>
      </patternFill>
    </fill>
    <fill>
      <patternFill patternType="solid">
        <fgColor rgb="FFE4DFEC"/>
        <bgColor indexed="64"/>
      </patternFill>
    </fill>
    <fill>
      <patternFill patternType="solid">
        <fgColor theme="0" tint="-0.14996795556505021"/>
        <bgColor indexed="64"/>
      </patternFill>
    </fill>
    <fill>
      <patternFill patternType="solid">
        <fgColor rgb="FFD9D9D9"/>
        <bgColor indexed="64"/>
      </patternFill>
    </fill>
    <fill>
      <patternFill patternType="solid">
        <fgColor indexed="14"/>
        <bgColor indexed="64"/>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s>
  <borders count="17">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hair">
        <color auto="1"/>
      </top>
      <bottom/>
      <diagonal/>
    </border>
    <border>
      <left style="hair">
        <color auto="1"/>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right style="hair">
        <color auto="1"/>
      </right>
      <top style="hair">
        <color auto="1"/>
      </top>
      <bottom style="hair">
        <color auto="1"/>
      </bottom>
      <diagonal/>
    </border>
    <border>
      <left style="hair">
        <color indexed="8"/>
      </left>
      <right style="hair">
        <color indexed="8"/>
      </right>
      <top style="hair">
        <color indexed="8"/>
      </top>
      <bottom style="hair">
        <color indexed="8"/>
      </bottom>
      <diagonal/>
    </border>
    <border>
      <left/>
      <right/>
      <top style="medium">
        <color auto="1"/>
      </top>
      <bottom style="medium">
        <color auto="1"/>
      </bottom>
      <diagonal/>
    </border>
    <border>
      <left style="hair">
        <color auto="1"/>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60">
    <xf numFmtId="0" fontId="0" fillId="0" borderId="0">
      <protection locked="0"/>
    </xf>
    <xf numFmtId="43" fontId="17" fillId="0" borderId="0" applyFont="0" applyFill="0" applyBorder="0" applyAlignment="0" applyProtection="0"/>
    <xf numFmtId="9" fontId="17" fillId="0" borderId="0" applyFont="0" applyFill="0" applyBorder="0" applyAlignment="0" applyProtection="0"/>
    <xf numFmtId="0" fontId="51" fillId="0" borderId="0" applyNumberFormat="0" applyFill="0" applyBorder="0" applyAlignment="0" applyProtection="0">
      <alignment vertical="top"/>
      <protection locked="0"/>
    </xf>
    <xf numFmtId="49" fontId="53" fillId="0" borderId="0" applyProtection="0">
      <alignment horizontal="left"/>
    </xf>
    <xf numFmtId="176" fontId="53" fillId="0" borderId="0" applyFill="0" applyBorder="0" applyProtection="0">
      <alignment horizontal="right"/>
    </xf>
    <xf numFmtId="177" fontId="53" fillId="0" borderId="0" applyFill="0" applyBorder="0" applyProtection="0">
      <alignment horizontal="right"/>
    </xf>
    <xf numFmtId="178" fontId="54" fillId="0" borderId="0" applyFill="0" applyBorder="0" applyProtection="0">
      <alignment horizontal="center"/>
    </xf>
    <xf numFmtId="179" fontId="54" fillId="0" borderId="0" applyFill="0" applyBorder="0" applyProtection="0">
      <alignment horizontal="center"/>
    </xf>
    <xf numFmtId="180" fontId="55" fillId="0" borderId="0" applyFill="0" applyBorder="0" applyProtection="0">
      <alignment horizontal="right"/>
    </xf>
    <xf numFmtId="181" fontId="53" fillId="0" borderId="0" applyFill="0" applyBorder="0" applyProtection="0">
      <alignment horizontal="right"/>
    </xf>
    <xf numFmtId="182" fontId="53" fillId="0" borderId="0" applyFill="0" applyBorder="0" applyProtection="0">
      <alignment horizontal="right"/>
    </xf>
    <xf numFmtId="183" fontId="53" fillId="0" borderId="0" applyFill="0" applyBorder="0" applyProtection="0">
      <alignment horizontal="right"/>
    </xf>
    <xf numFmtId="184" fontId="53" fillId="0" borderId="0" applyFill="0" applyBorder="0" applyProtection="0">
      <alignment horizontal="right"/>
    </xf>
    <xf numFmtId="3" fontId="56" fillId="0" borderId="0"/>
    <xf numFmtId="185" fontId="57" fillId="0" borderId="16" applyAlignment="0" applyProtection="0"/>
    <xf numFmtId="186" fontId="48" fillId="0" borderId="0" applyFont="0" applyFill="0" applyBorder="0" applyAlignment="0" applyProtection="0"/>
    <xf numFmtId="187" fontId="48" fillId="0" borderId="0" applyFont="0" applyFill="0" applyBorder="0" applyAlignment="0" applyProtection="0"/>
    <xf numFmtId="188" fontId="48" fillId="0" borderId="0" applyFont="0" applyFill="0" applyBorder="0" applyAlignment="0" applyProtection="0"/>
    <xf numFmtId="189" fontId="48" fillId="0" borderId="0" applyFont="0" applyFill="0" applyBorder="0" applyAlignment="0" applyProtection="0"/>
    <xf numFmtId="41" fontId="48" fillId="0" borderId="0" applyFont="0" applyFill="0" applyBorder="0" applyAlignment="0" applyProtection="0"/>
    <xf numFmtId="43" fontId="48" fillId="0" borderId="0" applyFont="0" applyFill="0" applyBorder="0" applyAlignment="0" applyProtection="0"/>
    <xf numFmtId="190" fontId="53" fillId="0" borderId="0" applyFont="0" applyFill="0" applyBorder="0" applyAlignment="0" applyProtection="0"/>
    <xf numFmtId="0" fontId="58" fillId="0" borderId="0" applyNumberFormat="0" applyFill="0" applyBorder="0" applyAlignment="0" applyProtection="0">
      <alignment vertical="top"/>
      <protection locked="0"/>
    </xf>
    <xf numFmtId="38" fontId="59" fillId="8" borderId="0" applyNumberFormat="0" applyBorder="0" applyAlignment="0" applyProtection="0"/>
    <xf numFmtId="0" fontId="60" fillId="0" borderId="0" applyNumberFormat="0" applyFill="0" applyBorder="0" applyAlignment="0" applyProtection="0">
      <alignment vertical="top"/>
      <protection locked="0"/>
    </xf>
    <xf numFmtId="10" fontId="59" fillId="9" borderId="15" applyNumberFormat="0" applyBorder="0" applyAlignment="0" applyProtection="0"/>
    <xf numFmtId="191" fontId="17" fillId="0" borderId="0" applyFont="0" applyFill="0" applyBorder="0" applyAlignment="0" applyProtection="0"/>
    <xf numFmtId="192" fontId="17" fillId="0" borderId="0" applyFont="0" applyFill="0" applyBorder="0" applyAlignment="0" applyProtection="0"/>
    <xf numFmtId="0" fontId="61" fillId="0" borderId="0"/>
    <xf numFmtId="193" fontId="17" fillId="0" borderId="0"/>
    <xf numFmtId="0" fontId="62" fillId="0" borderId="0"/>
    <xf numFmtId="10" fontId="48" fillId="0" borderId="0" applyFont="0" applyFill="0" applyBorder="0" applyAlignment="0" applyProtection="0"/>
    <xf numFmtId="3" fontId="63" fillId="0" borderId="0"/>
    <xf numFmtId="190" fontId="64" fillId="0" borderId="0">
      <alignment vertical="center"/>
    </xf>
    <xf numFmtId="0" fontId="17" fillId="0" borderId="0">
      <protection locked="0"/>
    </xf>
    <xf numFmtId="0" fontId="17" fillId="0" borderId="0">
      <protection locked="0"/>
    </xf>
    <xf numFmtId="190" fontId="17" fillId="0" borderId="0">
      <protection locked="0"/>
    </xf>
    <xf numFmtId="0" fontId="17" fillId="0" borderId="0">
      <protection locked="0"/>
    </xf>
    <xf numFmtId="190" fontId="65" fillId="0" borderId="0">
      <alignment vertical="center"/>
    </xf>
    <xf numFmtId="190" fontId="17" fillId="0" borderId="0"/>
    <xf numFmtId="190" fontId="64" fillId="0" borderId="0">
      <alignment vertical="center"/>
    </xf>
    <xf numFmtId="190" fontId="64" fillId="0" borderId="0">
      <alignment vertical="center"/>
    </xf>
    <xf numFmtId="0" fontId="17" fillId="0" borderId="0">
      <protection locked="0"/>
    </xf>
    <xf numFmtId="0" fontId="17" fillId="0" borderId="0">
      <alignment vertical="center"/>
    </xf>
    <xf numFmtId="190" fontId="17" fillId="0" borderId="0">
      <alignment vertical="center"/>
    </xf>
    <xf numFmtId="0" fontId="66" fillId="0" borderId="0"/>
    <xf numFmtId="0" fontId="66" fillId="0" borderId="0"/>
    <xf numFmtId="0" fontId="53" fillId="0" borderId="0">
      <protection locked="0"/>
    </xf>
    <xf numFmtId="0" fontId="17" fillId="0" borderId="0"/>
    <xf numFmtId="0" fontId="17" fillId="0" borderId="0" applyFill="0" applyBorder="0"/>
    <xf numFmtId="0" fontId="17" fillId="0" borderId="0" applyFill="0" applyBorder="0"/>
    <xf numFmtId="0" fontId="51" fillId="0" borderId="0" applyNumberFormat="0" applyFill="0" applyBorder="0" applyAlignment="0" applyProtection="0">
      <alignment vertical="top"/>
      <protection locked="0"/>
    </xf>
    <xf numFmtId="0" fontId="67" fillId="0" borderId="0"/>
    <xf numFmtId="194" fontId="17" fillId="0" borderId="0" applyFont="0" applyFill="0" applyBorder="0" applyAlignment="0" applyProtection="0"/>
    <xf numFmtId="195" fontId="17" fillId="0" borderId="0" applyFont="0" applyFill="0" applyBorder="0" applyAlignment="0" applyProtection="0"/>
    <xf numFmtId="41" fontId="68" fillId="0" borderId="0" applyFont="0" applyFill="0" applyBorder="0" applyAlignment="0" applyProtection="0"/>
    <xf numFmtId="43" fontId="68" fillId="0" borderId="0" applyFont="0" applyFill="0" applyBorder="0" applyAlignment="0" applyProtection="0"/>
    <xf numFmtId="43" fontId="17" fillId="0" borderId="0" applyFont="0" applyFill="0" applyBorder="0" applyAlignment="0" applyProtection="0">
      <alignment vertical="center"/>
    </xf>
    <xf numFmtId="190" fontId="1" fillId="0" borderId="0">
      <alignment vertical="center"/>
    </xf>
  </cellStyleXfs>
  <cellXfs count="292">
    <xf numFmtId="0" fontId="0" fillId="0" borderId="0" xfId="0">
      <protection locked="0"/>
    </xf>
    <xf numFmtId="0" fontId="2" fillId="0" borderId="0" xfId="0" applyFont="1" applyAlignment="1">
      <alignment vertical="center"/>
      <protection locked="0"/>
    </xf>
    <xf numFmtId="0" fontId="3" fillId="0" borderId="0" xfId="0" applyFont="1" applyAlignment="1">
      <alignment vertical="center"/>
      <protection locked="0"/>
    </xf>
    <xf numFmtId="0" fontId="4" fillId="0" borderId="0" xfId="0" applyFont="1" applyAlignment="1">
      <alignment vertical="center"/>
      <protection locked="0"/>
    </xf>
    <xf numFmtId="0" fontId="4" fillId="0" borderId="0" xfId="49" applyFont="1" applyAlignment="1" applyProtection="1">
      <alignment vertical="center"/>
      <protection locked="0"/>
    </xf>
    <xf numFmtId="0" fontId="4" fillId="0" borderId="0" xfId="0" applyFont="1" applyBorder="1" applyAlignment="1">
      <alignment vertical="center"/>
      <protection locked="0"/>
    </xf>
    <xf numFmtId="14" fontId="5" fillId="0" borderId="0" xfId="0" applyNumberFormat="1" applyFont="1" applyAlignment="1">
      <alignment vertical="center"/>
      <protection locked="0"/>
    </xf>
    <xf numFmtId="0" fontId="5" fillId="0" borderId="0" xfId="0" applyFont="1" applyAlignment="1">
      <alignment vertical="center"/>
      <protection locked="0"/>
    </xf>
    <xf numFmtId="14" fontId="4" fillId="0" borderId="0" xfId="0" applyNumberFormat="1" applyFont="1" applyAlignment="1">
      <alignment vertical="center"/>
      <protection locked="0"/>
    </xf>
    <xf numFmtId="0" fontId="4" fillId="0" borderId="0" xfId="0" applyFont="1" applyAlignment="1">
      <alignment horizontal="left" vertical="center"/>
      <protection locked="0"/>
    </xf>
    <xf numFmtId="43" fontId="4" fillId="0" borderId="0" xfId="50" applyNumberFormat="1" applyFont="1" applyBorder="1" applyAlignment="1">
      <alignment horizontal="left" vertical="center"/>
    </xf>
    <xf numFmtId="14" fontId="2" fillId="0" borderId="0" xfId="49" applyNumberFormat="1" applyFont="1" applyAlignment="1">
      <alignment horizontal="left" vertical="center"/>
    </xf>
    <xf numFmtId="0" fontId="2" fillId="0" borderId="0" xfId="49" applyFont="1" applyAlignment="1">
      <alignment horizontal="left" vertical="center"/>
    </xf>
    <xf numFmtId="0" fontId="4" fillId="0" borderId="0" xfId="49" applyFont="1" applyAlignment="1">
      <alignment horizontal="left" vertical="center" wrapText="1"/>
    </xf>
    <xf numFmtId="0" fontId="2" fillId="0" borderId="0" xfId="49" applyFont="1" applyAlignment="1">
      <alignment horizontal="left" vertical="center" wrapText="1"/>
    </xf>
    <xf numFmtId="0" fontId="8" fillId="0" borderId="0" xfId="49" applyFont="1" applyAlignment="1">
      <alignment vertical="center"/>
    </xf>
    <xf numFmtId="0" fontId="9" fillId="0" borderId="0" xfId="35" applyFont="1" applyAlignment="1" applyProtection="1">
      <alignment horizontal="center" vertical="center"/>
    </xf>
    <xf numFmtId="14" fontId="10" fillId="0" borderId="0" xfId="49" applyNumberFormat="1" applyFont="1" applyAlignment="1">
      <alignment vertical="center"/>
    </xf>
    <xf numFmtId="0" fontId="11" fillId="0" borderId="0" xfId="49" applyFont="1" applyAlignment="1" applyProtection="1">
      <alignment horizontal="center" vertical="center"/>
      <protection hidden="1"/>
    </xf>
    <xf numFmtId="0" fontId="4" fillId="0" borderId="0" xfId="49" applyFont="1" applyAlignment="1" applyProtection="1">
      <alignment horizontal="left" vertical="center"/>
      <protection hidden="1"/>
    </xf>
    <xf numFmtId="0" fontId="11" fillId="0" borderId="0" xfId="49" applyFont="1" applyAlignment="1" applyProtection="1">
      <alignment horizontal="left" vertical="center"/>
      <protection locked="0"/>
    </xf>
    <xf numFmtId="0" fontId="12" fillId="0" borderId="0" xfId="0" applyFont="1" applyAlignment="1">
      <alignment horizontal="left" vertical="center"/>
      <protection locked="0"/>
    </xf>
    <xf numFmtId="0" fontId="13" fillId="2" borderId="1" xfId="36" applyFont="1" applyFill="1" applyBorder="1" applyAlignment="1">
      <alignment horizontal="center" vertical="center"/>
      <protection locked="0"/>
    </xf>
    <xf numFmtId="0" fontId="13" fillId="2" borderId="1" xfId="36" applyFont="1" applyFill="1" applyBorder="1" applyAlignment="1">
      <alignment horizontal="center" vertical="center" wrapText="1"/>
      <protection locked="0"/>
    </xf>
    <xf numFmtId="14" fontId="4" fillId="0" borderId="1" xfId="37" applyNumberFormat="1" applyFont="1" applyBorder="1" applyAlignment="1">
      <alignment horizontal="center" vertical="center"/>
      <protection locked="0"/>
    </xf>
    <xf numFmtId="49" fontId="4" fillId="0" borderId="1" xfId="37" applyNumberFormat="1" applyFont="1" applyBorder="1" applyAlignment="1">
      <alignment horizontal="center" vertical="center"/>
      <protection locked="0"/>
    </xf>
    <xf numFmtId="190" fontId="8" fillId="0" borderId="1" xfId="37" applyFont="1" applyBorder="1" applyAlignment="1">
      <alignment vertical="center"/>
      <protection locked="0"/>
    </xf>
    <xf numFmtId="43" fontId="4" fillId="0" borderId="1" xfId="58" applyFont="1" applyBorder="1" applyAlignment="1" applyProtection="1">
      <alignment vertical="center"/>
      <protection locked="0"/>
    </xf>
    <xf numFmtId="49" fontId="14" fillId="0" borderId="1" xfId="37" applyNumberFormat="1" applyFont="1" applyBorder="1" applyAlignment="1">
      <alignment horizontal="left" vertical="center"/>
      <protection locked="0"/>
    </xf>
    <xf numFmtId="49" fontId="8" fillId="0" borderId="1" xfId="37" applyNumberFormat="1" applyFont="1" applyBorder="1" applyAlignment="1">
      <alignment horizontal="center" vertical="center"/>
      <protection locked="0"/>
    </xf>
    <xf numFmtId="14" fontId="10" fillId="0" borderId="0" xfId="49" applyNumberFormat="1" applyFont="1" applyBorder="1" applyAlignment="1">
      <alignment vertical="center"/>
    </xf>
    <xf numFmtId="0" fontId="2" fillId="0" borderId="0" xfId="0" applyFont="1" applyBorder="1" applyAlignment="1">
      <alignment vertical="center"/>
      <protection locked="0"/>
    </xf>
    <xf numFmtId="0" fontId="8" fillId="0" borderId="0" xfId="0" applyFont="1" applyBorder="1" applyAlignment="1">
      <alignment vertical="center"/>
      <protection locked="0"/>
    </xf>
    <xf numFmtId="0" fontId="15" fillId="0" borderId="0" xfId="0" applyFont="1" applyAlignment="1">
      <alignment horizontal="left" vertical="center"/>
      <protection locked="0"/>
    </xf>
    <xf numFmtId="14" fontId="10" fillId="0" borderId="0" xfId="0" applyNumberFormat="1" applyFont="1" applyAlignment="1">
      <alignment vertical="center"/>
      <protection locked="0"/>
    </xf>
    <xf numFmtId="14" fontId="4" fillId="0" borderId="0" xfId="0" applyNumberFormat="1" applyFont="1" applyAlignment="1">
      <alignment horizontal="center" vertical="center"/>
      <protection locked="0"/>
    </xf>
    <xf numFmtId="190" fontId="16" fillId="0" borderId="0" xfId="3" applyNumberFormat="1" applyFont="1" applyFill="1" applyAlignment="1" applyProtection="1">
      <alignment vertical="center"/>
    </xf>
    <xf numFmtId="0" fontId="2" fillId="0" borderId="0" xfId="49" applyFont="1" applyAlignment="1">
      <alignment vertical="center" wrapText="1"/>
    </xf>
    <xf numFmtId="0" fontId="2" fillId="2" borderId="1" xfId="0" applyFont="1" applyFill="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4" fillId="0" borderId="1" xfId="58" applyNumberFormat="1" applyFont="1" applyBorder="1" applyAlignment="1" applyProtection="1">
      <alignment horizontal="center" vertical="center"/>
      <protection locked="0"/>
    </xf>
    <xf numFmtId="49" fontId="4" fillId="0" borderId="1" xfId="37" applyNumberFormat="1" applyFont="1" applyBorder="1" applyAlignment="1">
      <alignment vertical="center"/>
      <protection locked="0"/>
    </xf>
    <xf numFmtId="0" fontId="8" fillId="0" borderId="0" xfId="0" applyFont="1" applyBorder="1" applyAlignment="1">
      <alignment horizontal="center" vertical="center"/>
      <protection locked="0"/>
    </xf>
    <xf numFmtId="0" fontId="5" fillId="0" borderId="0" xfId="43" applyFont="1">
      <protection locked="0"/>
    </xf>
    <xf numFmtId="0" fontId="17" fillId="0" borderId="0" xfId="43" applyFont="1">
      <protection locked="0"/>
    </xf>
    <xf numFmtId="43" fontId="8" fillId="0" borderId="0" xfId="51" applyNumberFormat="1" applyFont="1" applyBorder="1" applyAlignment="1">
      <alignment vertical="center"/>
    </xf>
    <xf numFmtId="43" fontId="4" fillId="0" borderId="0" xfId="51" applyNumberFormat="1" applyFont="1" applyBorder="1" applyAlignment="1">
      <alignment vertical="center"/>
    </xf>
    <xf numFmtId="43" fontId="4" fillId="0" borderId="0" xfId="51" applyNumberFormat="1" applyFont="1" applyBorder="1" applyAlignment="1">
      <alignment horizontal="left" vertical="center"/>
    </xf>
    <xf numFmtId="0" fontId="18" fillId="2" borderId="1" xfId="43" applyFont="1" applyFill="1" applyBorder="1" applyAlignment="1" applyProtection="1">
      <alignment vertical="center"/>
    </xf>
    <xf numFmtId="0" fontId="19" fillId="2" borderId="1" xfId="43" applyFont="1" applyFill="1" applyBorder="1" applyAlignment="1" applyProtection="1">
      <alignment vertical="center" wrapText="1"/>
    </xf>
    <xf numFmtId="190" fontId="2" fillId="2" borderId="1" xfId="40" applyFont="1" applyFill="1" applyBorder="1" applyAlignment="1" applyProtection="1">
      <alignment horizontal="center" vertical="center" wrapText="1"/>
      <protection locked="0"/>
    </xf>
    <xf numFmtId="190" fontId="20" fillId="2" borderId="1" xfId="40" applyFont="1" applyFill="1" applyBorder="1" applyAlignment="1" applyProtection="1">
      <alignment horizontal="center" vertical="center" wrapText="1"/>
      <protection locked="0"/>
    </xf>
    <xf numFmtId="0" fontId="21" fillId="0" borderId="1" xfId="43" applyFont="1" applyBorder="1" applyAlignment="1" applyProtection="1">
      <alignment vertical="center"/>
    </xf>
    <xf numFmtId="0" fontId="22" fillId="0" borderId="1" xfId="43" applyFont="1" applyBorder="1" applyAlignment="1" applyProtection="1">
      <alignment vertical="center"/>
    </xf>
    <xf numFmtId="0" fontId="23" fillId="0" borderId="1" xfId="43" applyFont="1" applyBorder="1" applyAlignment="1" applyProtection="1">
      <alignment vertical="center"/>
    </xf>
    <xf numFmtId="43" fontId="23" fillId="0" borderId="1" xfId="1" applyFont="1" applyBorder="1" applyAlignment="1" applyProtection="1">
      <alignment vertical="center"/>
    </xf>
    <xf numFmtId="0" fontId="4" fillId="0" borderId="1" xfId="43" applyFont="1" applyBorder="1" applyAlignment="1" applyProtection="1">
      <alignment vertical="center"/>
    </xf>
    <xf numFmtId="0" fontId="24" fillId="0" borderId="1" xfId="43" applyFont="1" applyBorder="1" applyAlignment="1" applyProtection="1">
      <alignment vertical="center"/>
    </xf>
    <xf numFmtId="0" fontId="25" fillId="0" borderId="1" xfId="43" applyFont="1" applyBorder="1" applyAlignment="1" applyProtection="1">
      <alignment horizontal="left" vertical="center" indent="1"/>
    </xf>
    <xf numFmtId="0" fontId="18" fillId="0" borderId="1" xfId="43" applyFont="1" applyBorder="1" applyAlignment="1" applyProtection="1">
      <alignment horizontal="center" vertical="center"/>
    </xf>
    <xf numFmtId="43" fontId="2" fillId="0" borderId="6" xfId="51" applyNumberFormat="1" applyFont="1" applyBorder="1" applyAlignment="1">
      <alignment horizontal="left" vertical="center"/>
    </xf>
    <xf numFmtId="43" fontId="13" fillId="0" borderId="6" xfId="51" applyNumberFormat="1" applyFont="1" applyBorder="1" applyAlignment="1">
      <alignment horizontal="left" vertical="center"/>
    </xf>
    <xf numFmtId="43" fontId="4" fillId="0" borderId="6" xfId="51" applyNumberFormat="1" applyFont="1" applyBorder="1" applyAlignment="1">
      <alignment horizontal="left" vertical="center"/>
    </xf>
    <xf numFmtId="43" fontId="26" fillId="0" borderId="6" xfId="52" applyNumberFormat="1" applyFont="1" applyBorder="1" applyAlignment="1" applyProtection="1">
      <alignment horizontal="center" vertical="center"/>
    </xf>
    <xf numFmtId="0" fontId="4" fillId="0" borderId="0" xfId="47" applyFont="1" applyAlignment="1">
      <alignment vertical="center"/>
    </xf>
    <xf numFmtId="0" fontId="8" fillId="0" borderId="0" xfId="47" applyFont="1" applyAlignment="1">
      <alignment vertical="center"/>
    </xf>
    <xf numFmtId="9" fontId="27" fillId="0" borderId="0" xfId="2" applyFont="1" applyBorder="1" applyAlignment="1">
      <alignment horizontal="left" vertical="center"/>
    </xf>
    <xf numFmtId="0" fontId="4" fillId="0" borderId="0" xfId="47" applyFont="1" applyAlignment="1">
      <alignment horizontal="left" vertical="center"/>
    </xf>
    <xf numFmtId="10" fontId="27" fillId="0" borderId="0" xfId="2" applyNumberFormat="1" applyFont="1" applyBorder="1" applyAlignment="1">
      <alignment horizontal="left" vertical="center"/>
    </xf>
    <xf numFmtId="43" fontId="2" fillId="0" borderId="0" xfId="51" applyNumberFormat="1" applyFont="1" applyBorder="1" applyAlignment="1">
      <alignment horizontal="left" vertical="center"/>
    </xf>
    <xf numFmtId="0" fontId="8" fillId="0" borderId="0" xfId="47" applyFont="1" applyAlignment="1">
      <alignment horizontal="left" vertical="center"/>
    </xf>
    <xf numFmtId="43" fontId="4" fillId="0" borderId="0" xfId="51" applyNumberFormat="1" applyFont="1" applyFill="1" applyBorder="1" applyAlignment="1">
      <alignment vertical="center"/>
    </xf>
    <xf numFmtId="43" fontId="8" fillId="0" borderId="0" xfId="51" applyNumberFormat="1" applyFont="1" applyFill="1" applyBorder="1" applyAlignment="1">
      <alignment vertical="center"/>
    </xf>
    <xf numFmtId="0" fontId="2" fillId="0" borderId="0" xfId="47" applyFont="1" applyAlignment="1">
      <alignment vertical="center"/>
    </xf>
    <xf numFmtId="0" fontId="13" fillId="0" borderId="0" xfId="47" applyFont="1" applyAlignment="1">
      <alignment vertical="center"/>
    </xf>
    <xf numFmtId="0" fontId="4" fillId="0" borderId="0" xfId="44" applyFont="1">
      <alignment vertical="center"/>
    </xf>
    <xf numFmtId="0" fontId="5" fillId="0" borderId="0" xfId="44" applyFont="1">
      <alignment vertical="center"/>
    </xf>
    <xf numFmtId="0" fontId="4" fillId="0" borderId="0" xfId="0" applyFont="1">
      <protection locked="0"/>
    </xf>
    <xf numFmtId="0" fontId="4" fillId="0" borderId="0" xfId="35" applyFont="1">
      <protection locked="0"/>
    </xf>
    <xf numFmtId="0" fontId="4" fillId="0" borderId="0" xfId="48" applyFont="1">
      <protection locked="0"/>
    </xf>
    <xf numFmtId="0" fontId="5" fillId="0" borderId="0" xfId="0" applyFont="1">
      <protection locked="0"/>
    </xf>
    <xf numFmtId="43" fontId="4" fillId="0" borderId="0" xfId="0" applyNumberFormat="1" applyFont="1" applyAlignment="1">
      <alignment vertical="center"/>
      <protection locked="0"/>
    </xf>
    <xf numFmtId="0" fontId="2" fillId="2" borderId="1" xfId="0" applyFont="1" applyFill="1" applyBorder="1" applyAlignment="1">
      <alignment horizontal="center" vertical="center"/>
      <protection locked="0"/>
    </xf>
    <xf numFmtId="0" fontId="4" fillId="2" borderId="2" xfId="0" applyFont="1" applyFill="1" applyBorder="1" applyAlignment="1">
      <alignment horizontal="left" vertical="center"/>
      <protection locked="0"/>
    </xf>
    <xf numFmtId="0" fontId="30" fillId="0" borderId="11" xfId="0" applyFont="1" applyBorder="1" applyAlignment="1">
      <alignment horizontal="left" vertical="center"/>
      <protection locked="0"/>
    </xf>
    <xf numFmtId="0" fontId="30" fillId="0" borderId="1" xfId="0" applyFont="1" applyBorder="1" applyAlignment="1">
      <alignment horizontal="left" vertical="center"/>
      <protection locked="0"/>
    </xf>
    <xf numFmtId="43" fontId="4" fillId="0" borderId="1" xfId="1" applyFont="1" applyBorder="1" applyAlignment="1">
      <alignment horizontal="right" vertical="center"/>
    </xf>
    <xf numFmtId="14" fontId="4" fillId="0" borderId="1" xfId="0" applyNumberFormat="1" applyFont="1" applyBorder="1" applyAlignment="1">
      <alignment horizontal="center" vertical="center"/>
      <protection locked="0"/>
    </xf>
    <xf numFmtId="10" fontId="4" fillId="0" borderId="1" xfId="2" applyNumberFormat="1" applyFont="1" applyBorder="1" applyAlignment="1" applyProtection="1">
      <alignment horizontal="center" vertical="center"/>
      <protection locked="0"/>
    </xf>
    <xf numFmtId="0" fontId="4" fillId="0" borderId="11" xfId="0" applyFont="1" applyBorder="1" applyAlignment="1">
      <alignment horizontal="left" vertical="center"/>
      <protection locked="0"/>
    </xf>
    <xf numFmtId="0" fontId="4" fillId="0" borderId="1" xfId="0" applyFont="1" applyBorder="1" applyAlignment="1">
      <alignment horizontal="left" vertical="center"/>
      <protection locked="0"/>
    </xf>
    <xf numFmtId="196" fontId="4" fillId="0" borderId="1" xfId="2" applyNumberFormat="1" applyFont="1" applyBorder="1" applyAlignment="1" applyProtection="1">
      <alignment horizontal="center" vertical="center"/>
      <protection locked="0"/>
    </xf>
    <xf numFmtId="43" fontId="4" fillId="4" borderId="1" xfId="0" applyNumberFormat="1" applyFont="1" applyFill="1" applyBorder="1" applyAlignment="1">
      <alignment vertical="center"/>
      <protection locked="0"/>
    </xf>
    <xf numFmtId="0" fontId="2" fillId="0" borderId="6" xfId="0" applyFont="1" applyBorder="1" applyAlignment="1">
      <alignment vertical="center"/>
      <protection locked="0"/>
    </xf>
    <xf numFmtId="0" fontId="4" fillId="0" borderId="6" xfId="0" applyFont="1" applyBorder="1" applyAlignment="1">
      <alignment vertical="center"/>
      <protection locked="0"/>
    </xf>
    <xf numFmtId="0" fontId="31" fillId="0" borderId="0" xfId="0" applyFont="1" applyAlignment="1">
      <alignment vertical="center"/>
      <protection locked="0"/>
    </xf>
    <xf numFmtId="0" fontId="11" fillId="0" borderId="0" xfId="0" applyFont="1">
      <protection locked="0"/>
    </xf>
    <xf numFmtId="0" fontId="11" fillId="0" borderId="0" xfId="0" applyFont="1" applyAlignment="1">
      <alignment vertical="center"/>
      <protection locked="0"/>
    </xf>
    <xf numFmtId="0" fontId="4" fillId="0" borderId="0" xfId="0" applyFont="1" applyAlignment="1">
      <alignment horizontal="right" vertical="center"/>
      <protection locked="0"/>
    </xf>
    <xf numFmtId="190" fontId="18" fillId="2" borderId="1" xfId="39" applyFont="1" applyFill="1" applyBorder="1" applyAlignment="1" applyProtection="1">
      <alignment horizontal="center" vertical="center"/>
      <protection locked="0"/>
    </xf>
    <xf numFmtId="0" fontId="3" fillId="0" borderId="0" xfId="44" applyFont="1" applyAlignment="1">
      <alignment vertical="center" wrapText="1"/>
    </xf>
    <xf numFmtId="0" fontId="29" fillId="0" borderId="0" xfId="44" applyFont="1" applyAlignment="1">
      <alignment vertical="center"/>
    </xf>
    <xf numFmtId="43" fontId="4" fillId="0" borderId="1" xfId="0" applyNumberFormat="1" applyFont="1" applyBorder="1" applyAlignment="1">
      <alignment horizontal="center" vertical="center"/>
      <protection locked="0"/>
    </xf>
    <xf numFmtId="43" fontId="30" fillId="0" borderId="1" xfId="0" applyNumberFormat="1" applyFont="1" applyBorder="1" applyAlignment="1">
      <alignment horizontal="center" vertical="center"/>
      <protection locked="0"/>
    </xf>
    <xf numFmtId="0" fontId="30" fillId="0" borderId="1" xfId="0" applyFont="1" applyBorder="1" applyAlignment="1">
      <alignment horizontal="center" vertical="center"/>
      <protection locked="0"/>
    </xf>
    <xf numFmtId="0" fontId="4" fillId="0" borderId="1" xfId="0" applyFont="1" applyBorder="1" applyAlignment="1">
      <alignment horizontal="center" vertical="center"/>
      <protection locked="0"/>
    </xf>
    <xf numFmtId="0" fontId="4" fillId="0" borderId="6" xfId="0" applyFont="1" applyBorder="1">
      <protection locked="0"/>
    </xf>
    <xf numFmtId="0" fontId="2" fillId="0" borderId="0" xfId="44" applyFont="1">
      <alignment vertical="center"/>
    </xf>
    <xf numFmtId="43" fontId="5" fillId="0" borderId="0" xfId="50" applyNumberFormat="1" applyFont="1" applyBorder="1" applyAlignment="1">
      <alignment vertical="center"/>
    </xf>
    <xf numFmtId="43" fontId="2" fillId="0" borderId="0" xfId="50" applyNumberFormat="1" applyFont="1" applyBorder="1" applyAlignment="1">
      <alignment vertical="center"/>
    </xf>
    <xf numFmtId="43" fontId="4" fillId="0" borderId="0" xfId="50" applyNumberFormat="1" applyFont="1" applyBorder="1" applyAlignment="1">
      <alignment vertical="center"/>
    </xf>
    <xf numFmtId="14" fontId="4" fillId="0" borderId="0" xfId="50" applyNumberFormat="1" applyFont="1" applyBorder="1" applyAlignment="1">
      <alignment horizontal="left" vertical="center" indent="2"/>
    </xf>
    <xf numFmtId="49" fontId="4" fillId="0" borderId="0" xfId="50" applyNumberFormat="1" applyFont="1" applyBorder="1" applyAlignment="1">
      <alignment vertical="center"/>
    </xf>
    <xf numFmtId="0" fontId="33" fillId="0" borderId="12" xfId="0" applyFont="1" applyBorder="1" applyAlignment="1">
      <alignment horizontal="justify" vertical="center" wrapText="1"/>
      <protection locked="0"/>
    </xf>
    <xf numFmtId="43" fontId="4" fillId="4" borderId="12" xfId="1" applyFont="1" applyFill="1" applyBorder="1" applyAlignment="1">
      <alignment horizontal="right" vertical="center" wrapText="1"/>
    </xf>
    <xf numFmtId="43" fontId="2" fillId="0" borderId="12" xfId="1" applyFont="1" applyFill="1" applyBorder="1" applyAlignment="1">
      <alignment vertical="center"/>
    </xf>
    <xf numFmtId="43" fontId="2" fillId="4" borderId="12" xfId="1" applyFont="1" applyFill="1" applyBorder="1" applyAlignment="1">
      <alignment horizontal="center" vertical="center"/>
    </xf>
    <xf numFmtId="0" fontId="2" fillId="0" borderId="0" xfId="46" applyFont="1" applyBorder="1" applyAlignment="1">
      <alignment vertical="center"/>
    </xf>
    <xf numFmtId="0" fontId="4" fillId="0" borderId="0" xfId="46" applyFont="1" applyBorder="1" applyAlignment="1">
      <alignment vertical="center"/>
    </xf>
    <xf numFmtId="0" fontId="4" fillId="0" borderId="0" xfId="46" applyFont="1" applyAlignment="1">
      <alignment vertical="center"/>
    </xf>
    <xf numFmtId="0" fontId="4" fillId="0" borderId="0" xfId="46" applyFont="1" applyAlignment="1">
      <alignment horizontal="left" vertical="center"/>
    </xf>
    <xf numFmtId="0" fontId="4" fillId="0" borderId="1" xfId="46" applyFont="1" applyBorder="1" applyAlignment="1">
      <alignment vertical="center"/>
    </xf>
    <xf numFmtId="0" fontId="4" fillId="0" borderId="1" xfId="46" applyFont="1" applyBorder="1" applyAlignment="1">
      <alignment horizontal="center" vertical="center"/>
    </xf>
    <xf numFmtId="0" fontId="4" fillId="0" borderId="0" xfId="46" applyFont="1" applyAlignment="1">
      <alignment horizontal="center" vertical="center"/>
    </xf>
    <xf numFmtId="43" fontId="4" fillId="0" borderId="1" xfId="46" applyNumberFormat="1" applyFont="1" applyBorder="1" applyAlignment="1">
      <alignment vertical="center"/>
    </xf>
    <xf numFmtId="0" fontId="2" fillId="0" borderId="0" xfId="46" applyFont="1" applyAlignment="1">
      <alignment vertical="center"/>
    </xf>
    <xf numFmtId="14" fontId="4" fillId="0" borderId="0" xfId="50" applyNumberFormat="1" applyFont="1" applyBorder="1" applyAlignment="1">
      <alignment vertical="center"/>
    </xf>
    <xf numFmtId="0" fontId="4" fillId="0" borderId="0" xfId="50" applyFont="1" applyBorder="1" applyAlignment="1">
      <alignment horizontal="center" vertical="center"/>
    </xf>
    <xf numFmtId="10" fontId="4" fillId="4" borderId="12" xfId="2" applyNumberFormat="1" applyFont="1" applyFill="1" applyBorder="1" applyAlignment="1">
      <alignment horizontal="right" vertical="center" wrapText="1"/>
    </xf>
    <xf numFmtId="43" fontId="4" fillId="0" borderId="12" xfId="50" applyNumberFormat="1" applyFont="1" applyBorder="1" applyAlignment="1">
      <alignment vertical="center"/>
    </xf>
    <xf numFmtId="10" fontId="2" fillId="4" borderId="12" xfId="2" applyNumberFormat="1" applyFont="1" applyFill="1" applyBorder="1" applyAlignment="1">
      <alignment horizontal="right" vertical="center" wrapText="1"/>
    </xf>
    <xf numFmtId="43" fontId="2" fillId="0" borderId="12" xfId="50" applyNumberFormat="1" applyFont="1" applyBorder="1" applyAlignment="1">
      <alignment vertical="center"/>
    </xf>
    <xf numFmtId="0" fontId="3" fillId="0" borderId="0" xfId="44" applyFont="1">
      <alignment vertical="center"/>
    </xf>
    <xf numFmtId="0" fontId="34" fillId="0" borderId="0" xfId="0" applyFont="1" applyAlignment="1">
      <alignment vertical="center"/>
      <protection locked="0"/>
    </xf>
    <xf numFmtId="0" fontId="5" fillId="0" borderId="0" xfId="0" applyFont="1" applyAlignment="1">
      <alignment horizontal="justify" vertical="center"/>
      <protection locked="0"/>
    </xf>
    <xf numFmtId="0" fontId="3" fillId="0" borderId="13" xfId="0" applyFont="1" applyBorder="1" applyAlignment="1">
      <alignment horizontal="justify" vertical="center" wrapText="1"/>
      <protection locked="0"/>
    </xf>
    <xf numFmtId="0" fontId="35" fillId="0" borderId="13" xfId="0" applyFont="1" applyBorder="1" applyAlignment="1">
      <alignment horizontal="right" vertical="center" wrapText="1"/>
      <protection locked="0"/>
    </xf>
    <xf numFmtId="0" fontId="36" fillId="0" borderId="0" xfId="0" applyFont="1" applyAlignment="1">
      <alignment horizontal="justify" vertical="center" wrapText="1"/>
      <protection locked="0"/>
    </xf>
    <xf numFmtId="43" fontId="36" fillId="0" borderId="0" xfId="0" applyNumberFormat="1" applyFont="1" applyAlignment="1">
      <alignment horizontal="right" vertical="center" wrapText="1"/>
      <protection locked="0"/>
    </xf>
    <xf numFmtId="43" fontId="5" fillId="0" borderId="0" xfId="0" applyNumberFormat="1" applyFont="1" applyAlignment="1">
      <alignment horizontal="right" vertical="center" wrapText="1"/>
      <protection locked="0"/>
    </xf>
    <xf numFmtId="0" fontId="35" fillId="0" borderId="13" xfId="0" applyFont="1" applyBorder="1" applyAlignment="1">
      <alignment horizontal="justify" vertical="center" wrapText="1"/>
      <protection locked="0"/>
    </xf>
    <xf numFmtId="43" fontId="3" fillId="0" borderId="13" xfId="1" applyFont="1" applyBorder="1" applyAlignment="1" applyProtection="1">
      <alignment horizontal="right" vertical="center" wrapText="1"/>
      <protection locked="0"/>
    </xf>
    <xf numFmtId="0" fontId="3" fillId="0" borderId="13" xfId="0" applyFont="1" applyBorder="1" applyAlignment="1">
      <alignment horizontal="center" vertical="center" wrapText="1"/>
      <protection locked="0"/>
    </xf>
    <xf numFmtId="0" fontId="37" fillId="0" borderId="0" xfId="0" applyFont="1" applyAlignment="1">
      <alignment horizontal="justify" vertical="center" wrapText="1"/>
      <protection locked="0"/>
    </xf>
    <xf numFmtId="43" fontId="5" fillId="0" borderId="0" xfId="0" applyNumberFormat="1" applyFont="1" applyAlignment="1">
      <alignment horizontal="center" vertical="center" wrapText="1"/>
      <protection locked="0"/>
    </xf>
    <xf numFmtId="43" fontId="3" fillId="0" borderId="13" xfId="1" applyFont="1" applyBorder="1" applyAlignment="1" applyProtection="1">
      <alignment horizontal="center" vertical="center" wrapText="1"/>
      <protection locked="0"/>
    </xf>
    <xf numFmtId="190" fontId="38" fillId="0" borderId="0" xfId="34" applyFont="1">
      <alignment vertical="center"/>
    </xf>
    <xf numFmtId="190" fontId="39" fillId="0" borderId="0" xfId="34" applyFont="1" applyAlignment="1">
      <alignment horizontal="center" vertical="center"/>
    </xf>
    <xf numFmtId="190" fontId="39" fillId="0" borderId="0" xfId="34" applyFont="1">
      <alignment vertical="center"/>
    </xf>
    <xf numFmtId="190" fontId="8" fillId="0" borderId="0" xfId="34" applyFont="1" applyProtection="1">
      <alignment vertical="center"/>
      <protection locked="0"/>
    </xf>
    <xf numFmtId="0" fontId="8" fillId="0" borderId="0" xfId="38" applyFont="1" applyAlignment="1">
      <alignment horizontal="left" vertical="center"/>
      <protection locked="0"/>
    </xf>
    <xf numFmtId="190" fontId="40" fillId="0" borderId="0" xfId="34" applyFont="1">
      <alignment vertical="center"/>
    </xf>
    <xf numFmtId="190" fontId="2" fillId="0" borderId="0" xfId="42" applyFont="1" applyProtection="1">
      <alignment vertical="center"/>
      <protection locked="0"/>
    </xf>
    <xf numFmtId="190" fontId="4" fillId="0" borderId="0" xfId="34" applyFont="1" applyProtection="1">
      <alignment vertical="center"/>
      <protection locked="0"/>
    </xf>
    <xf numFmtId="190" fontId="8" fillId="0" borderId="0" xfId="42" applyFont="1" applyProtection="1">
      <alignment vertical="center"/>
      <protection locked="0"/>
    </xf>
    <xf numFmtId="49" fontId="13" fillId="0" borderId="0" xfId="34" applyNumberFormat="1" applyFont="1" applyAlignment="1" applyProtection="1">
      <alignment horizontal="left" vertical="center"/>
      <protection locked="0"/>
    </xf>
    <xf numFmtId="190" fontId="2" fillId="0" borderId="0" xfId="34" applyFont="1" applyAlignment="1" applyProtection="1">
      <alignment horizontal="justify" vertical="center"/>
      <protection locked="0"/>
    </xf>
    <xf numFmtId="49" fontId="2" fillId="0" borderId="0" xfId="42" applyNumberFormat="1" applyFont="1" applyFill="1" applyAlignment="1" applyProtection="1">
      <alignment horizontal="left" vertical="center"/>
      <protection locked="0"/>
    </xf>
    <xf numFmtId="190" fontId="2" fillId="2" borderId="1" xfId="42" applyFont="1" applyFill="1" applyBorder="1" applyAlignment="1" applyProtection="1">
      <alignment horizontal="center" vertical="center"/>
      <protection locked="0"/>
    </xf>
    <xf numFmtId="190" fontId="2" fillId="2" borderId="1" xfId="42" applyFont="1" applyFill="1" applyBorder="1" applyAlignment="1" applyProtection="1">
      <alignment horizontal="center" vertical="center" wrapText="1"/>
      <protection locked="0"/>
    </xf>
    <xf numFmtId="49" fontId="4" fillId="0" borderId="1" xfId="34" applyNumberFormat="1" applyFont="1" applyBorder="1" applyAlignment="1" applyProtection="1">
      <alignment horizontal="center" vertical="center"/>
      <protection locked="0"/>
    </xf>
    <xf numFmtId="190" fontId="39" fillId="0" borderId="2" xfId="42" applyFont="1" applyBorder="1" applyAlignment="1">
      <alignment vertical="center" wrapText="1"/>
    </xf>
    <xf numFmtId="190" fontId="39" fillId="0" borderId="1" xfId="34" applyFont="1" applyBorder="1" applyAlignment="1">
      <alignment horizontal="center" vertical="center" wrapText="1"/>
    </xf>
    <xf numFmtId="190" fontId="39" fillId="0" borderId="1" xfId="42" applyFont="1" applyBorder="1" applyAlignment="1">
      <alignment horizontal="center" vertical="center" wrapText="1"/>
    </xf>
    <xf numFmtId="190" fontId="41" fillId="0" borderId="1" xfId="42" applyFont="1" applyBorder="1" applyAlignment="1">
      <alignment horizontal="center" vertical="center" wrapText="1"/>
    </xf>
    <xf numFmtId="0" fontId="23" fillId="0" borderId="1" xfId="0" applyNumberFormat="1" applyFont="1" applyFill="1" applyBorder="1" applyAlignment="1" applyProtection="1">
      <alignment horizontal="center" vertical="center" wrapText="1"/>
    </xf>
    <xf numFmtId="0" fontId="19" fillId="0" borderId="1"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190" fontId="23" fillId="0" borderId="1" xfId="0" applyNumberFormat="1" applyFont="1" applyFill="1" applyBorder="1" applyAlignment="1" applyProtection="1">
      <alignment vertical="center" wrapText="1"/>
    </xf>
    <xf numFmtId="190" fontId="42" fillId="0" borderId="2" xfId="34" applyFont="1" applyBorder="1" applyAlignment="1">
      <alignment vertical="center" wrapText="1"/>
    </xf>
    <xf numFmtId="190" fontId="42" fillId="0" borderId="2" xfId="41" applyFont="1" applyBorder="1" applyAlignment="1">
      <alignment vertical="center" wrapText="1"/>
    </xf>
    <xf numFmtId="190" fontId="43" fillId="0" borderId="1" xfId="0" applyNumberFormat="1" applyFont="1" applyFill="1" applyBorder="1" applyAlignment="1" applyProtection="1">
      <alignment vertical="center" wrapText="1"/>
    </xf>
    <xf numFmtId="0" fontId="39" fillId="0" borderId="1" xfId="38" applyNumberFormat="1" applyFont="1" applyFill="1" applyBorder="1" applyAlignment="1" applyProtection="1">
      <alignment horizontal="center" vertical="center" wrapText="1"/>
    </xf>
    <xf numFmtId="190" fontId="39" fillId="0" borderId="1" xfId="42" applyFont="1" applyFill="1" applyBorder="1" applyAlignment="1">
      <alignment horizontal="center" vertical="center" wrapText="1"/>
    </xf>
    <xf numFmtId="190" fontId="42" fillId="0" borderId="2" xfId="42" applyFont="1" applyBorder="1" applyAlignment="1">
      <alignment vertical="center" wrapText="1"/>
    </xf>
    <xf numFmtId="190" fontId="44" fillId="0" borderId="0" xfId="34" applyFont="1" applyAlignment="1" applyProtection="1">
      <alignment horizontal="center" vertical="center"/>
      <protection locked="0"/>
    </xf>
    <xf numFmtId="190" fontId="45" fillId="5" borderId="0" xfId="42" applyFont="1" applyFill="1" applyAlignment="1" applyProtection="1">
      <alignment horizontal="left" vertical="top"/>
      <protection locked="0"/>
    </xf>
    <xf numFmtId="190" fontId="45" fillId="5" borderId="0" xfId="42" applyFont="1" applyFill="1" applyBorder="1" applyAlignment="1" applyProtection="1">
      <alignment horizontal="left" vertical="top"/>
      <protection locked="0"/>
    </xf>
    <xf numFmtId="190" fontId="25" fillId="0" borderId="0" xfId="42" applyFont="1" applyAlignment="1" applyProtection="1">
      <alignment horizontal="left" vertical="center"/>
      <protection locked="0"/>
    </xf>
    <xf numFmtId="190" fontId="46" fillId="5" borderId="0" xfId="34" applyFont="1" applyFill="1" applyAlignment="1" applyProtection="1">
      <alignment horizontal="center" vertical="center"/>
      <protection locked="0"/>
    </xf>
    <xf numFmtId="190" fontId="47" fillId="6" borderId="0" xfId="0" applyNumberFormat="1" applyFont="1" applyFill="1" applyBorder="1" applyAlignment="1" applyProtection="1">
      <alignment horizontal="left" vertical="center"/>
      <protection locked="0"/>
    </xf>
    <xf numFmtId="190" fontId="4" fillId="0" borderId="1" xfId="42" applyFont="1" applyBorder="1" applyAlignment="1">
      <alignment horizontal="center" vertical="center" wrapText="1"/>
    </xf>
    <xf numFmtId="190" fontId="46" fillId="5" borderId="0" xfId="34" applyFont="1" applyFill="1" applyAlignment="1" applyProtection="1">
      <alignment horizontal="left" vertical="center"/>
      <protection locked="0"/>
    </xf>
    <xf numFmtId="190" fontId="50" fillId="0" borderId="0" xfId="0" applyNumberFormat="1" applyFont="1" applyAlignment="1" applyProtection="1">
      <alignment horizontal="left" vertical="center"/>
    </xf>
    <xf numFmtId="190" fontId="18" fillId="0" borderId="0" xfId="0" applyNumberFormat="1" applyFont="1" applyAlignment="1" applyProtection="1">
      <alignment horizontal="left" vertical="center"/>
    </xf>
    <xf numFmtId="190" fontId="18" fillId="0" borderId="0" xfId="0" applyNumberFormat="1" applyFont="1" applyAlignment="1" applyProtection="1">
      <alignment horizontal="center" vertical="center"/>
    </xf>
    <xf numFmtId="190" fontId="23" fillId="0" borderId="0" xfId="0" applyNumberFormat="1" applyFont="1" applyAlignment="1" applyProtection="1">
      <alignment vertical="center"/>
    </xf>
    <xf numFmtId="190" fontId="23" fillId="0" borderId="0" xfId="0" applyNumberFormat="1" applyFont="1" applyAlignment="1" applyProtection="1">
      <alignment horizontal="center" vertical="center"/>
    </xf>
    <xf numFmtId="0" fontId="4" fillId="7" borderId="0" xfId="0" applyFont="1" applyFill="1" applyAlignment="1">
      <alignment horizontal="justify" vertical="center" wrapText="1"/>
      <protection locked="0"/>
    </xf>
    <xf numFmtId="190" fontId="18" fillId="0" borderId="15" xfId="0" applyNumberFormat="1" applyFont="1" applyBorder="1" applyAlignment="1" applyProtection="1">
      <alignment horizontal="center" vertical="center"/>
    </xf>
    <xf numFmtId="0" fontId="8" fillId="7" borderId="0" xfId="0" applyFont="1" applyFill="1" applyAlignment="1">
      <alignment horizontal="justify" vertical="center" wrapText="1"/>
      <protection locked="0"/>
    </xf>
    <xf numFmtId="0" fontId="23" fillId="0" borderId="15" xfId="0" applyFont="1" applyBorder="1" applyAlignment="1" applyProtection="1">
      <alignment horizontal="center" vertical="center"/>
    </xf>
    <xf numFmtId="190" fontId="51" fillId="0" borderId="15" xfId="3" applyNumberFormat="1" applyFont="1" applyBorder="1" applyAlignment="1" applyProtection="1">
      <alignment vertical="center"/>
    </xf>
    <xf numFmtId="190" fontId="18" fillId="0" borderId="0" xfId="0" applyNumberFormat="1" applyFont="1" applyAlignment="1" applyProtection="1">
      <alignment vertical="center"/>
    </xf>
    <xf numFmtId="0" fontId="0" fillId="0" borderId="0" xfId="0" applyAlignment="1">
      <alignment vertical="center"/>
      <protection locked="0"/>
    </xf>
    <xf numFmtId="190" fontId="52" fillId="0" borderId="15" xfId="3" applyNumberFormat="1" applyFont="1" applyBorder="1" applyAlignment="1" applyProtection="1">
      <alignment vertical="center"/>
    </xf>
    <xf numFmtId="0" fontId="3" fillId="0" borderId="0" xfId="0" applyFont="1" applyAlignment="1">
      <alignment horizontal="justify" vertical="center"/>
      <protection locked="0"/>
    </xf>
    <xf numFmtId="0" fontId="5" fillId="0" borderId="0" xfId="0" applyFont="1" applyAlignment="1">
      <alignment horizontal="justify" vertical="center" wrapText="1"/>
      <protection locked="0"/>
    </xf>
    <xf numFmtId="0" fontId="7" fillId="0" borderId="0" xfId="0" applyFont="1" applyAlignment="1">
      <alignment horizontal="center" vertical="center"/>
      <protection locked="0"/>
    </xf>
    <xf numFmtId="0" fontId="4" fillId="7" borderId="0" xfId="0" applyFont="1" applyFill="1" applyBorder="1" applyAlignment="1">
      <alignment horizontal="justify" vertical="center" wrapText="1"/>
      <protection locked="0"/>
    </xf>
    <xf numFmtId="190" fontId="50" fillId="0" borderId="0" xfId="0" applyNumberFormat="1" applyFont="1" applyAlignment="1" applyProtection="1">
      <alignment horizontal="center" vertical="center"/>
    </xf>
    <xf numFmtId="190" fontId="23" fillId="0" borderId="15" xfId="0" applyNumberFormat="1" applyFont="1" applyBorder="1" applyAlignment="1" applyProtection="1">
      <alignment horizontal="center" vertical="center"/>
    </xf>
    <xf numFmtId="190" fontId="71" fillId="0" borderId="0" xfId="59" applyFont="1" applyFill="1" applyAlignment="1">
      <alignment horizontal="left" vertical="center"/>
    </xf>
    <xf numFmtId="0" fontId="2" fillId="4" borderId="1" xfId="0" applyFont="1" applyFill="1" applyBorder="1" applyAlignment="1">
      <alignment horizontal="left" vertical="center"/>
      <protection locked="0"/>
    </xf>
    <xf numFmtId="0" fontId="2" fillId="4" borderId="1" xfId="0" applyFont="1" applyFill="1" applyBorder="1" applyAlignment="1">
      <alignment horizontal="right" vertical="center"/>
      <protection locked="0"/>
    </xf>
    <xf numFmtId="0" fontId="2" fillId="4" borderId="1" xfId="0" applyFont="1" applyFill="1" applyBorder="1" applyAlignment="1">
      <alignment horizontal="center" vertical="center"/>
      <protection locked="0"/>
    </xf>
    <xf numFmtId="196" fontId="2" fillId="4" borderId="1" xfId="2" applyNumberFormat="1" applyFont="1" applyFill="1" applyBorder="1" applyAlignment="1" applyProtection="1">
      <alignment horizontal="center" vertical="center"/>
      <protection locked="0"/>
    </xf>
    <xf numFmtId="43" fontId="32" fillId="4" borderId="1" xfId="0" applyNumberFormat="1" applyFont="1" applyFill="1" applyBorder="1" applyAlignment="1">
      <alignment vertical="center"/>
      <protection locked="0"/>
    </xf>
    <xf numFmtId="0" fontId="2" fillId="4" borderId="1" xfId="0" applyFont="1" applyFill="1" applyBorder="1">
      <protection locked="0"/>
    </xf>
    <xf numFmtId="0" fontId="2" fillId="4" borderId="0" xfId="0" applyFont="1" applyFill="1">
      <protection locked="0"/>
    </xf>
    <xf numFmtId="0" fontId="11" fillId="0" borderId="0" xfId="3" applyFont="1" applyAlignment="1">
      <alignment vertical="center"/>
      <protection locked="0"/>
    </xf>
    <xf numFmtId="43" fontId="11" fillId="0" borderId="0" xfId="3" applyNumberFormat="1" applyFont="1" applyBorder="1" applyAlignment="1" applyProtection="1">
      <alignment horizontal="left" vertical="center"/>
    </xf>
    <xf numFmtId="190" fontId="11" fillId="0" borderId="0" xfId="3" applyNumberFormat="1" applyFont="1" applyAlignment="1" applyProtection="1">
      <alignment vertical="center" wrapText="1"/>
      <protection locked="0"/>
    </xf>
    <xf numFmtId="43" fontId="4" fillId="0" borderId="0" xfId="51" applyNumberFormat="1" applyFont="1" applyBorder="1" applyAlignment="1">
      <alignment horizontal="right" vertical="center"/>
    </xf>
    <xf numFmtId="0" fontId="11" fillId="0" borderId="0" xfId="3" applyFont="1" applyAlignment="1">
      <alignment horizontal="left" vertical="center"/>
      <protection locked="0"/>
    </xf>
    <xf numFmtId="43" fontId="2" fillId="4" borderId="1" xfId="58" applyFont="1" applyFill="1" applyBorder="1" applyAlignment="1" applyProtection="1">
      <alignment vertical="center"/>
      <protection locked="0"/>
    </xf>
    <xf numFmtId="0" fontId="2" fillId="4" borderId="1" xfId="0" applyFont="1" applyFill="1" applyBorder="1" applyAlignment="1" applyProtection="1">
      <alignment horizontal="center" vertical="center"/>
      <protection locked="0"/>
    </xf>
    <xf numFmtId="0" fontId="2" fillId="4" borderId="1" xfId="58" applyNumberFormat="1" applyFont="1" applyFill="1" applyBorder="1" applyAlignment="1" applyProtection="1">
      <alignment horizontal="center" vertical="center"/>
      <protection locked="0"/>
    </xf>
    <xf numFmtId="49" fontId="2" fillId="4" borderId="1" xfId="37" applyNumberFormat="1" applyFont="1" applyFill="1" applyBorder="1" applyAlignment="1">
      <alignment vertical="center"/>
      <protection locked="0"/>
    </xf>
    <xf numFmtId="190" fontId="10" fillId="4" borderId="1" xfId="37" applyFont="1" applyFill="1" applyBorder="1" applyAlignment="1">
      <alignment vertical="center"/>
      <protection locked="0"/>
    </xf>
    <xf numFmtId="49" fontId="10" fillId="4" borderId="1" xfId="37" applyNumberFormat="1" applyFont="1" applyFill="1" applyBorder="1" applyAlignment="1">
      <alignment horizontal="center" vertical="center"/>
      <protection locked="0"/>
    </xf>
    <xf numFmtId="0" fontId="2" fillId="4" borderId="0" xfId="0" applyFont="1" applyFill="1" applyAlignment="1">
      <alignment vertical="center"/>
      <protection locked="0"/>
    </xf>
    <xf numFmtId="0" fontId="2" fillId="4" borderId="1" xfId="0" applyFont="1" applyFill="1" applyBorder="1" applyAlignment="1">
      <alignment vertical="center"/>
      <protection locked="0"/>
    </xf>
    <xf numFmtId="10" fontId="2" fillId="4" borderId="1" xfId="2" applyNumberFormat="1" applyFont="1" applyFill="1" applyBorder="1" applyAlignment="1" applyProtection="1">
      <alignment vertical="center"/>
      <protection locked="0"/>
    </xf>
    <xf numFmtId="0" fontId="10" fillId="4" borderId="1" xfId="0" applyFont="1" applyFill="1" applyBorder="1" applyAlignment="1">
      <alignment vertical="center"/>
      <protection locked="0"/>
    </xf>
    <xf numFmtId="0" fontId="8" fillId="0" borderId="0" xfId="49" applyFont="1" applyBorder="1" applyAlignment="1">
      <alignment vertical="center"/>
    </xf>
    <xf numFmtId="0" fontId="45" fillId="0" borderId="0" xfId="0" applyFont="1" applyAlignment="1">
      <alignment vertical="center"/>
      <protection locked="0"/>
    </xf>
    <xf numFmtId="43" fontId="10" fillId="2" borderId="12" xfId="1" applyFont="1" applyFill="1" applyBorder="1" applyAlignment="1" applyProtection="1">
      <alignment horizontal="center" vertical="center" wrapText="1"/>
      <protection locked="0"/>
    </xf>
    <xf numFmtId="43" fontId="10" fillId="2" borderId="12" xfId="1" applyFont="1" applyFill="1" applyBorder="1" applyAlignment="1" applyProtection="1">
      <alignment horizontal="center" vertical="center"/>
      <protection locked="0"/>
    </xf>
    <xf numFmtId="0" fontId="3" fillId="0" borderId="0" xfId="0" applyFont="1" applyAlignment="1">
      <alignment horizontal="left" vertical="center" wrapText="1"/>
      <protection locked="0"/>
    </xf>
    <xf numFmtId="0" fontId="5" fillId="0" borderId="0" xfId="0" applyFont="1" applyAlignment="1">
      <alignment horizontal="left" vertical="center" wrapText="1"/>
      <protection locked="0"/>
    </xf>
    <xf numFmtId="190" fontId="4" fillId="0" borderId="1" xfId="34" applyFont="1" applyBorder="1" applyAlignment="1" applyProtection="1">
      <alignment horizontal="left" vertical="center" wrapText="1"/>
      <protection locked="0"/>
    </xf>
    <xf numFmtId="190" fontId="3" fillId="0" borderId="0" xfId="45" applyFont="1" applyAlignment="1">
      <alignment horizontal="center" vertical="center"/>
    </xf>
    <xf numFmtId="190" fontId="7" fillId="0" borderId="0" xfId="45" applyFont="1" applyAlignment="1">
      <alignment horizontal="center" vertical="center"/>
    </xf>
    <xf numFmtId="190" fontId="29" fillId="0" borderId="0" xfId="45" applyFont="1" applyAlignment="1">
      <alignment horizontal="center" vertical="center"/>
    </xf>
    <xf numFmtId="190" fontId="13" fillId="2" borderId="1" xfId="34" applyFont="1" applyFill="1" applyBorder="1" applyAlignment="1" applyProtection="1">
      <alignment horizontal="center" vertical="center" wrapText="1"/>
      <protection locked="0"/>
    </xf>
    <xf numFmtId="190" fontId="4" fillId="2" borderId="1" xfId="34" applyFont="1" applyFill="1" applyBorder="1" applyAlignment="1" applyProtection="1">
      <alignment horizontal="center" vertical="center" wrapText="1"/>
      <protection locked="0"/>
    </xf>
    <xf numFmtId="190" fontId="4" fillId="0" borderId="1" xfId="42" applyFont="1" applyBorder="1" applyAlignment="1" applyProtection="1">
      <alignment horizontal="center" vertical="center" wrapText="1"/>
      <protection locked="0"/>
    </xf>
    <xf numFmtId="190" fontId="2" fillId="2" borderId="1" xfId="34" applyFont="1" applyFill="1" applyBorder="1" applyAlignment="1" applyProtection="1">
      <alignment horizontal="center" vertical="center"/>
      <protection locked="0"/>
    </xf>
    <xf numFmtId="190" fontId="45" fillId="5" borderId="14" xfId="42" applyFont="1" applyFill="1" applyBorder="1" applyAlignment="1" applyProtection="1">
      <alignment horizontal="left" vertical="top" wrapText="1"/>
      <protection locked="0"/>
    </xf>
    <xf numFmtId="190" fontId="45" fillId="5" borderId="0" xfId="42" applyFont="1" applyFill="1" applyAlignment="1" applyProtection="1">
      <alignment horizontal="left" vertical="top" wrapText="1"/>
      <protection locked="0"/>
    </xf>
    <xf numFmtId="190" fontId="45" fillId="5" borderId="14" xfId="42" applyFont="1" applyFill="1" applyBorder="1" applyAlignment="1" applyProtection="1">
      <alignment horizontal="left" vertical="top"/>
      <protection locked="0"/>
    </xf>
    <xf numFmtId="190" fontId="45" fillId="5" borderId="0" xfId="42" applyFont="1" applyFill="1" applyAlignment="1" applyProtection="1">
      <alignment horizontal="left" vertical="top"/>
      <protection locked="0"/>
    </xf>
    <xf numFmtId="49" fontId="2" fillId="2" borderId="4" xfId="34" applyNumberFormat="1" applyFont="1" applyFill="1" applyBorder="1" applyAlignment="1" applyProtection="1">
      <alignment horizontal="center" vertical="center"/>
      <protection locked="0"/>
    </xf>
    <xf numFmtId="49" fontId="2" fillId="2" borderId="5" xfId="34" applyNumberFormat="1" applyFont="1" applyFill="1" applyBorder="1" applyAlignment="1" applyProtection="1">
      <alignment horizontal="center" vertical="center"/>
      <protection locked="0"/>
    </xf>
    <xf numFmtId="190" fontId="10" fillId="10" borderId="1" xfId="42" applyFont="1" applyFill="1" applyBorder="1" applyAlignment="1" applyProtection="1">
      <alignment horizontal="center" vertical="center" wrapText="1"/>
      <protection locked="0"/>
    </xf>
    <xf numFmtId="190" fontId="2" fillId="2" borderId="4" xfId="34" applyFont="1" applyFill="1" applyBorder="1" applyAlignment="1" applyProtection="1">
      <alignment horizontal="center" vertical="center" wrapText="1"/>
      <protection locked="0"/>
    </xf>
    <xf numFmtId="190" fontId="2" fillId="2" borderId="5" xfId="34" applyFont="1" applyFill="1" applyBorder="1" applyAlignment="1" applyProtection="1">
      <alignment horizontal="center" vertical="center" wrapText="1"/>
      <protection locked="0"/>
    </xf>
    <xf numFmtId="190" fontId="2" fillId="2" borderId="4" xfId="42" applyFont="1" applyFill="1" applyBorder="1" applyAlignment="1" applyProtection="1">
      <alignment horizontal="center" vertical="center" wrapText="1"/>
      <protection locked="0"/>
    </xf>
    <xf numFmtId="190" fontId="2" fillId="2" borderId="5" xfId="42" applyFont="1" applyFill="1" applyBorder="1" applyAlignment="1" applyProtection="1">
      <alignment horizontal="center" vertical="center" wrapText="1"/>
      <protection locked="0"/>
    </xf>
    <xf numFmtId="43" fontId="81" fillId="0" borderId="0" xfId="50" applyNumberFormat="1" applyFont="1" applyBorder="1" applyAlignment="1">
      <alignment horizontal="center" vertical="center"/>
    </xf>
    <xf numFmtId="43" fontId="82" fillId="0" borderId="0" xfId="50" applyNumberFormat="1" applyFont="1" applyBorder="1" applyAlignment="1">
      <alignment horizontal="center" vertical="center"/>
    </xf>
    <xf numFmtId="43" fontId="10" fillId="2" borderId="12" xfId="1" applyFont="1" applyFill="1" applyBorder="1" applyAlignment="1" applyProtection="1">
      <alignment horizontal="center" vertical="center" wrapText="1"/>
      <protection locked="0"/>
    </xf>
    <xf numFmtId="43" fontId="10" fillId="2" borderId="12" xfId="1" applyFont="1" applyFill="1" applyBorder="1" applyAlignment="1">
      <alignment horizontal="center" vertical="center"/>
    </xf>
    <xf numFmtId="0" fontId="3" fillId="0" borderId="0" xfId="44" applyFont="1" applyAlignment="1">
      <alignment horizontal="center" vertical="center"/>
    </xf>
    <xf numFmtId="0" fontId="29" fillId="0" borderId="0" xfId="44" applyFont="1" applyAlignment="1">
      <alignment horizontal="center" vertical="center"/>
    </xf>
    <xf numFmtId="0" fontId="3" fillId="0" borderId="0" xfId="44" applyFont="1" applyAlignment="1">
      <alignment horizontal="center" vertical="center" wrapText="1"/>
    </xf>
    <xf numFmtId="0" fontId="2" fillId="2" borderId="2" xfId="0" applyFont="1" applyFill="1" applyBorder="1" applyAlignment="1">
      <alignment horizontal="center" vertical="center"/>
      <protection locked="0"/>
    </xf>
    <xf numFmtId="0" fontId="2" fillId="2" borderId="3" xfId="0" applyFont="1" applyFill="1" applyBorder="1" applyAlignment="1">
      <alignment horizontal="center" vertical="center"/>
      <protection locked="0"/>
    </xf>
    <xf numFmtId="0" fontId="2" fillId="2" borderId="11" xfId="0" applyFont="1" applyFill="1" applyBorder="1" applyAlignment="1">
      <alignment horizontal="center" vertical="center"/>
      <protection locked="0"/>
    </xf>
    <xf numFmtId="190" fontId="18" fillId="2" borderId="1" xfId="39" applyFont="1" applyFill="1" applyBorder="1" applyAlignment="1" applyProtection="1">
      <alignment horizontal="center" vertical="center"/>
      <protection locked="0"/>
    </xf>
    <xf numFmtId="190" fontId="18" fillId="2" borderId="2" xfId="39" applyFont="1" applyFill="1" applyBorder="1" applyAlignment="1" applyProtection="1">
      <alignment horizontal="center" vertical="center"/>
      <protection locked="0"/>
    </xf>
    <xf numFmtId="190" fontId="18" fillId="2" borderId="11" xfId="39" applyFont="1" applyFill="1" applyBorder="1" applyAlignment="1" applyProtection="1">
      <alignment horizontal="center" vertical="center"/>
      <protection locked="0"/>
    </xf>
    <xf numFmtId="0" fontId="2" fillId="2" borderId="4" xfId="0" applyFont="1" applyFill="1" applyBorder="1" applyAlignment="1">
      <alignment horizontal="center" vertical="center"/>
      <protection locked="0"/>
    </xf>
    <xf numFmtId="0" fontId="2" fillId="2" borderId="5" xfId="0" applyFont="1" applyFill="1" applyBorder="1" applyAlignment="1">
      <alignment horizontal="center" vertical="center"/>
      <protection locked="0"/>
    </xf>
    <xf numFmtId="0" fontId="2" fillId="2" borderId="4" xfId="0" applyFont="1" applyFill="1" applyBorder="1" applyAlignment="1">
      <alignment horizontal="center" vertical="center" wrapText="1"/>
      <protection locked="0"/>
    </xf>
    <xf numFmtId="0" fontId="2" fillId="2" borderId="5" xfId="0" applyFont="1" applyFill="1" applyBorder="1" applyAlignment="1">
      <alignment horizontal="center" vertical="center" wrapText="1"/>
      <protection locked="0"/>
    </xf>
    <xf numFmtId="0" fontId="2" fillId="4" borderId="2" xfId="0" applyFont="1" applyFill="1" applyBorder="1" applyAlignment="1">
      <alignment horizontal="center" vertical="center"/>
      <protection locked="0"/>
    </xf>
    <xf numFmtId="0" fontId="2" fillId="4" borderId="11" xfId="0" applyFont="1" applyFill="1" applyBorder="1" applyAlignment="1">
      <alignment horizontal="center" vertical="center"/>
      <protection locked="0"/>
    </xf>
    <xf numFmtId="0" fontId="2" fillId="2" borderId="7" xfId="0" applyFont="1" applyFill="1" applyBorder="1" applyAlignment="1">
      <alignment horizontal="center" vertical="center"/>
      <protection locked="0"/>
    </xf>
    <xf numFmtId="0" fontId="2" fillId="2" borderId="9" xfId="0" applyFont="1" applyFill="1" applyBorder="1" applyAlignment="1">
      <alignment horizontal="center" vertical="center"/>
      <protection locked="0"/>
    </xf>
    <xf numFmtId="0" fontId="2" fillId="2" borderId="8" xfId="0" applyFont="1" applyFill="1" applyBorder="1" applyAlignment="1">
      <alignment horizontal="center" vertical="center"/>
      <protection locked="0"/>
    </xf>
    <xf numFmtId="0" fontId="2" fillId="2" borderId="10" xfId="0" applyFont="1" applyFill="1" applyBorder="1" applyAlignment="1">
      <alignment horizontal="center" vertical="center"/>
      <protection locked="0"/>
    </xf>
    <xf numFmtId="43" fontId="6" fillId="0" borderId="0" xfId="51" applyNumberFormat="1" applyFont="1" applyBorder="1" applyAlignment="1">
      <alignment horizontal="center" vertical="center"/>
    </xf>
    <xf numFmtId="43" fontId="7" fillId="0" borderId="0" xfId="51" applyNumberFormat="1" applyFont="1" applyBorder="1" applyAlignment="1">
      <alignment horizontal="center" vertical="center"/>
    </xf>
    <xf numFmtId="0" fontId="28" fillId="0" borderId="0" xfId="35" applyFont="1" applyAlignment="1">
      <alignment horizontal="left" vertical="center" wrapText="1"/>
      <protection locked="0"/>
    </xf>
    <xf numFmtId="0" fontId="4" fillId="0" borderId="0" xfId="35" applyFont="1" applyAlignment="1">
      <alignment horizontal="left" vertical="center" wrapText="1"/>
      <protection locked="0"/>
    </xf>
    <xf numFmtId="14" fontId="10" fillId="4" borderId="1" xfId="37" applyNumberFormat="1" applyFont="1" applyFill="1" applyBorder="1" applyAlignment="1">
      <alignment horizontal="center" vertical="center"/>
      <protection locked="0"/>
    </xf>
    <xf numFmtId="0" fontId="6" fillId="0" borderId="0" xfId="0" applyFont="1" applyAlignment="1">
      <alignment horizontal="center" vertical="center"/>
      <protection locked="0"/>
    </xf>
    <xf numFmtId="0" fontId="7" fillId="0" borderId="0" xfId="0" applyFont="1" applyAlignment="1">
      <alignment horizontal="center" vertical="center"/>
      <protection locked="0"/>
    </xf>
    <xf numFmtId="0" fontId="13" fillId="3" borderId="1" xfId="36" applyFont="1" applyFill="1" applyBorder="1" applyAlignment="1" applyProtection="1">
      <alignment horizontal="center" vertical="center" wrapText="1"/>
    </xf>
    <xf numFmtId="0" fontId="13" fillId="3" borderId="4" xfId="36" applyFont="1" applyFill="1" applyBorder="1" applyAlignment="1" applyProtection="1">
      <alignment horizontal="center" vertical="center" wrapText="1"/>
    </xf>
    <xf numFmtId="0" fontId="13" fillId="3" borderId="5" xfId="36" applyFont="1" applyFill="1" applyBorder="1" applyAlignment="1" applyProtection="1">
      <alignment horizontal="center" vertical="center" wrapText="1"/>
    </xf>
    <xf numFmtId="0" fontId="13" fillId="2" borderId="1" xfId="35" applyFont="1" applyFill="1" applyBorder="1" applyAlignment="1">
      <alignment horizontal="center" vertical="center"/>
      <protection locked="0"/>
    </xf>
    <xf numFmtId="0" fontId="2" fillId="2" borderId="1" xfId="35" applyFont="1" applyFill="1" applyBorder="1" applyAlignment="1">
      <alignment horizontal="center" vertical="center"/>
      <protection locked="0"/>
    </xf>
    <xf numFmtId="0" fontId="4" fillId="0" borderId="0" xfId="49" applyFont="1" applyAlignment="1">
      <alignment horizontal="left" vertical="center" wrapText="1"/>
    </xf>
    <xf numFmtId="0" fontId="2" fillId="0" borderId="0" xfId="49" applyFont="1" applyAlignment="1">
      <alignment horizontal="left" vertical="center" wrapText="1"/>
    </xf>
    <xf numFmtId="0" fontId="13" fillId="2" borderId="1" xfId="36" applyFont="1" applyFill="1" applyBorder="1" applyAlignment="1">
      <alignment horizontal="center" vertical="center"/>
      <protection locked="0"/>
    </xf>
    <xf numFmtId="0" fontId="2" fillId="2" borderId="2" xfId="0" applyFont="1" applyFill="1" applyBorder="1" applyAlignment="1" applyProtection="1">
      <alignment horizontal="center" vertical="center"/>
      <protection locked="0"/>
    </xf>
    <xf numFmtId="0" fontId="2" fillId="2" borderId="3" xfId="0" applyFont="1" applyFill="1" applyBorder="1" applyAlignment="1" applyProtection="1">
      <alignment horizontal="center" vertical="center"/>
      <protection locked="0"/>
    </xf>
    <xf numFmtId="0" fontId="13" fillId="2" borderId="1" xfId="35" applyFont="1" applyFill="1" applyBorder="1" applyAlignment="1">
      <alignment horizontal="center" vertical="center" wrapText="1"/>
      <protection locked="0"/>
    </xf>
    <xf numFmtId="0" fontId="2" fillId="2" borderId="1" xfId="35" applyFont="1" applyFill="1" applyBorder="1" applyAlignment="1">
      <alignment horizontal="center" vertical="center" wrapText="1"/>
      <protection locked="0"/>
    </xf>
  </cellXfs>
  <cellStyles count="60">
    <cellStyle name="@_text" xfId="4"/>
    <cellStyle name="{Comma [0]}" xfId="5"/>
    <cellStyle name="{Comma}" xfId="6"/>
    <cellStyle name="{Date}" xfId="7"/>
    <cellStyle name="{Month}" xfId="8"/>
    <cellStyle name="{Percent}" xfId="9"/>
    <cellStyle name="{Thousand [0]}" xfId="10"/>
    <cellStyle name="{Thousand}" xfId="11"/>
    <cellStyle name="{Z'0000(1 dec)}" xfId="12"/>
    <cellStyle name="{Z'0000(4 dec)}" xfId="13"/>
    <cellStyle name="Black" xfId="14"/>
    <cellStyle name="Border" xfId="15"/>
    <cellStyle name="Comma [0]_1995" xfId="16"/>
    <cellStyle name="Comma_1995" xfId="17"/>
    <cellStyle name="Currency [0]_1995" xfId="18"/>
    <cellStyle name="Currency_1995" xfId="19"/>
    <cellStyle name="Dezimal [0]_laroux" xfId="20"/>
    <cellStyle name="Dezimal_laroux" xfId="21"/>
    <cellStyle name="Euro" xfId="22"/>
    <cellStyle name="Followed Hyperlink_AheadBehind.xls Chart 23" xfId="23"/>
    <cellStyle name="Grey" xfId="24"/>
    <cellStyle name="Hyperlink_AheadBehind.xls Chart 23" xfId="25"/>
    <cellStyle name="Input [yellow]" xfId="26"/>
    <cellStyle name="Milliers [0]_laroux" xfId="27"/>
    <cellStyle name="Milliers_laroux" xfId="28"/>
    <cellStyle name="Non défini" xfId="29"/>
    <cellStyle name="Normal - Style1" xfId="30"/>
    <cellStyle name="Normal_22-Jun EUS Forecasts" xfId="31"/>
    <cellStyle name="Percent [2]" xfId="32"/>
    <cellStyle name="Red" xfId="33"/>
    <cellStyle name="百分比" xfId="2" builtinId="5"/>
    <cellStyle name="常规" xfId="0" builtinId="0"/>
    <cellStyle name="常规 11 5" xfId="59"/>
    <cellStyle name="常规 2" xfId="34"/>
    <cellStyle name="常规 2 2" xfId="35"/>
    <cellStyle name="常规 2 2 4" xfId="36"/>
    <cellStyle name="常规 2 8 2" xfId="37"/>
    <cellStyle name="常规 3" xfId="38"/>
    <cellStyle name="常规 4" xfId="39"/>
    <cellStyle name="常规 4 2" xfId="40"/>
    <cellStyle name="常规 5" xfId="41"/>
    <cellStyle name="常规 7" xfId="42"/>
    <cellStyle name="常规 7 2" xfId="43"/>
    <cellStyle name="常规_Book1" xfId="44"/>
    <cellStyle name="常规_Book1 2" xfId="45"/>
    <cellStyle name="常规_c-资产类" xfId="46"/>
    <cellStyle name="常规_c-资产类 2" xfId="47"/>
    <cellStyle name="常规_sheet" xfId="48"/>
    <cellStyle name="常规_进一步审计程序--销售与收款循环" xfId="49"/>
    <cellStyle name="常规_新审定表" xfId="50"/>
    <cellStyle name="常规_新审定表 2" xfId="51"/>
    <cellStyle name="超链接" xfId="3" builtinId="8"/>
    <cellStyle name="超链接 2" xfId="52"/>
    <cellStyle name="普通_ 外G9(3)" xfId="53"/>
    <cellStyle name="千分位[0]_宁波" xfId="54"/>
    <cellStyle name="千分位_宁波" xfId="55"/>
    <cellStyle name="千位[0]_laroux" xfId="56"/>
    <cellStyle name="千位_laroux" xfId="57"/>
    <cellStyle name="千位分隔" xfId="1" builtinId="3"/>
    <cellStyle name="千位分隔 6" xfId="58"/>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1"/>
  <sheetViews>
    <sheetView tabSelected="1" workbookViewId="0"/>
  </sheetViews>
  <sheetFormatPr defaultColWidth="9" defaultRowHeight="19.95" customHeight="1"/>
  <cols>
    <col min="1" max="1" width="76" style="186" customWidth="1"/>
    <col min="2" max="3" width="3.09765625" style="186" customWidth="1"/>
    <col min="4" max="4" width="4.69921875" style="187" customWidth="1"/>
    <col min="5" max="5" width="44.09765625" style="186" customWidth="1"/>
    <col min="6" max="6" width="6.3984375" style="187" customWidth="1"/>
    <col min="7" max="16384" width="9" style="186"/>
  </cols>
  <sheetData>
    <row r="1" spans="1:7" s="183" customFormat="1" ht="19.95" customHeight="1">
      <c r="A1" s="2" t="s">
        <v>0</v>
      </c>
      <c r="B1" s="2"/>
      <c r="C1" s="2"/>
      <c r="D1" s="187"/>
      <c r="E1" s="186"/>
      <c r="F1" s="187"/>
    </row>
    <row r="2" spans="1:7" s="184" customFormat="1" ht="19.95" customHeight="1">
      <c r="A2" s="188" t="s">
        <v>1</v>
      </c>
      <c r="D2" s="183"/>
      <c r="E2" s="183"/>
      <c r="F2" s="200"/>
    </row>
    <row r="3" spans="1:7" s="185" customFormat="1" ht="19.95" customHeight="1">
      <c r="A3" s="199" t="s">
        <v>198</v>
      </c>
      <c r="D3" s="189" t="s">
        <v>2</v>
      </c>
      <c r="E3" s="189" t="s">
        <v>3</v>
      </c>
      <c r="F3" s="189" t="s">
        <v>4</v>
      </c>
    </row>
    <row r="4" spans="1:7" s="185" customFormat="1" ht="19.95" customHeight="1">
      <c r="A4" s="190" t="s">
        <v>5</v>
      </c>
      <c r="D4" s="191">
        <v>1</v>
      </c>
      <c r="E4" s="192" t="str">
        <f>应付利息实质性程序表L2A!A2</f>
        <v>应付利息实质性程序</v>
      </c>
      <c r="F4" s="201" t="s">
        <v>6</v>
      </c>
    </row>
    <row r="5" spans="1:7" ht="19.95" customHeight="1">
      <c r="A5" s="190" t="s">
        <v>7</v>
      </c>
      <c r="B5" s="193"/>
      <c r="C5" s="193"/>
      <c r="D5" s="191">
        <v>4</v>
      </c>
      <c r="E5" s="192" t="str">
        <f>'审定表L2-1'!A2</f>
        <v>应付利息审定表</v>
      </c>
      <c r="F5" s="201" t="s">
        <v>8</v>
      </c>
    </row>
    <row r="6" spans="1:7" ht="19.95" customHeight="1">
      <c r="A6" s="190" t="s">
        <v>9</v>
      </c>
      <c r="B6" s="193"/>
      <c r="C6" s="193"/>
      <c r="D6" s="191">
        <v>2</v>
      </c>
      <c r="E6" s="192" t="s">
        <v>10</v>
      </c>
      <c r="F6" s="201"/>
      <c r="G6" s="194" t="s">
        <v>11</v>
      </c>
    </row>
    <row r="7" spans="1:7" ht="19.95" customHeight="1">
      <c r="A7" s="190" t="s">
        <v>12</v>
      </c>
      <c r="B7" s="193"/>
      <c r="C7" s="193"/>
      <c r="D7" s="191">
        <v>3</v>
      </c>
      <c r="E7" s="192" t="s">
        <v>13</v>
      </c>
      <c r="F7" s="201"/>
      <c r="G7" s="194" t="s">
        <v>11</v>
      </c>
    </row>
    <row r="8" spans="1:7" ht="19.95" customHeight="1">
      <c r="B8" s="193"/>
      <c r="C8" s="193"/>
      <c r="D8" s="191">
        <v>6</v>
      </c>
      <c r="E8" s="192" t="str">
        <f>'明细表L2-2'!A2</f>
        <v>应付利息明细表</v>
      </c>
      <c r="F8" s="201" t="s">
        <v>14</v>
      </c>
    </row>
    <row r="9" spans="1:7" ht="19.95" customHeight="1">
      <c r="A9" s="198" t="s">
        <v>199</v>
      </c>
      <c r="B9" s="193"/>
      <c r="C9" s="193"/>
      <c r="D9" s="191">
        <v>5</v>
      </c>
      <c r="E9" s="192" t="str">
        <f>'应付利息调整分录汇总L2-3'!A2</f>
        <v>应付利息调整分录汇总表</v>
      </c>
      <c r="F9" s="201" t="s">
        <v>15</v>
      </c>
    </row>
    <row r="10" spans="1:7" ht="19.95" customHeight="1">
      <c r="A10" s="229" t="s">
        <v>200</v>
      </c>
      <c r="B10" s="193"/>
      <c r="C10" s="193"/>
      <c r="D10" s="191">
        <v>9</v>
      </c>
      <c r="E10" s="195" t="str">
        <f>'应付利息检查表L2-4'!A2</f>
        <v>应付利息检查表</v>
      </c>
      <c r="F10" s="201" t="s">
        <v>16</v>
      </c>
    </row>
    <row r="11" spans="1:7" ht="19.95" customHeight="1">
      <c r="A11" s="229"/>
    </row>
    <row r="12" spans="1:7" ht="19.95" customHeight="1">
      <c r="A12" s="229"/>
    </row>
    <row r="13" spans="1:7" ht="19.95" customHeight="1">
      <c r="A13" s="229"/>
    </row>
    <row r="14" spans="1:7" ht="19.95" customHeight="1">
      <c r="A14" s="229" t="s">
        <v>201</v>
      </c>
    </row>
    <row r="15" spans="1:7" ht="19.95" customHeight="1">
      <c r="A15" s="229"/>
    </row>
    <row r="16" spans="1:7" ht="19.95" customHeight="1">
      <c r="A16" s="229"/>
    </row>
    <row r="17" spans="1:1" ht="19.95" customHeight="1">
      <c r="A17" s="230" t="s">
        <v>202</v>
      </c>
    </row>
    <row r="18" spans="1:1" ht="19.95" customHeight="1">
      <c r="A18" s="230"/>
    </row>
    <row r="19" spans="1:1" ht="19.95" customHeight="1">
      <c r="A19" s="230"/>
    </row>
    <row r="20" spans="1:1" ht="19.95" customHeight="1">
      <c r="A20" s="196"/>
    </row>
    <row r="21" spans="1:1" ht="15.6">
      <c r="A21" s="197"/>
    </row>
  </sheetData>
  <mergeCells count="3">
    <mergeCell ref="A10:A13"/>
    <mergeCell ref="A14:A16"/>
    <mergeCell ref="A17:A19"/>
  </mergeCells>
  <phoneticPr fontId="77" type="noConversion"/>
  <hyperlinks>
    <hyperlink ref="E5" location="'审定表L2-1'!A1" display="='审定表L2-1'!A2"/>
    <hyperlink ref="E9" location="'应付利息调整分录汇总L2-3'!Print_Area" display="='应付利息调整分录汇总L2-3'!A2"/>
    <hyperlink ref="E8" location="'明细表L2-2'!A1" display="='明细表L2-2'!A2"/>
    <hyperlink ref="E10" location="'应付利息检查表L2-4'!A1" display="='应付利息检查表L2-4'!A2"/>
    <hyperlink ref="E6" location="'附注披露（上市公司）信息'!A1" display="应付利息附注披露（上市公司）信息核对表"/>
    <hyperlink ref="E7" location="'附注披露（国企）信息'!A1" display="应付利息附注披露（国企）信息核对表"/>
    <hyperlink ref="E4" location="应付利息实质性程序表L2A!A1" display="=应付利息实质性程序表L2A!A2"/>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M25"/>
  <sheetViews>
    <sheetView view="pageBreakPreview" zoomScaleNormal="100" workbookViewId="0">
      <selection sqref="A1:I1"/>
    </sheetView>
  </sheetViews>
  <sheetFormatPr defaultColWidth="9" defaultRowHeight="19.95" customHeight="1"/>
  <cols>
    <col min="1" max="1" width="4.5" style="146" customWidth="1"/>
    <col min="2" max="2" width="62" style="146" customWidth="1"/>
    <col min="3" max="3" width="10.8984375" style="146" customWidth="1"/>
    <col min="4" max="4" width="5.3984375" style="146" customWidth="1"/>
    <col min="5" max="5" width="6.59765625" style="146" customWidth="1"/>
    <col min="6" max="6" width="7.296875" style="146" customWidth="1"/>
    <col min="7" max="7" width="7.09765625" style="146" customWidth="1"/>
    <col min="8" max="8" width="5.5" style="146" customWidth="1"/>
    <col min="9" max="9" width="7" style="146" customWidth="1"/>
    <col min="10" max="10" width="12.59765625" style="147" customWidth="1"/>
    <col min="11" max="11" width="14.59765625" style="148" customWidth="1"/>
    <col min="12" max="12" width="17.59765625" style="148" customWidth="1"/>
    <col min="13" max="16384" width="9" style="146"/>
  </cols>
  <sheetData>
    <row r="1" spans="1:11" ht="19.95" customHeight="1">
      <c r="A1" s="232" t="s">
        <v>34</v>
      </c>
      <c r="B1" s="232"/>
      <c r="C1" s="232"/>
      <c r="D1" s="232"/>
      <c r="E1" s="232"/>
      <c r="F1" s="232"/>
      <c r="G1" s="232"/>
      <c r="H1" s="232"/>
      <c r="I1" s="232"/>
    </row>
    <row r="2" spans="1:11" ht="19.95" customHeight="1">
      <c r="A2" s="233" t="s">
        <v>35</v>
      </c>
      <c r="B2" s="234"/>
      <c r="C2" s="234"/>
      <c r="D2" s="234"/>
      <c r="E2" s="234"/>
      <c r="F2" s="234"/>
      <c r="G2" s="234"/>
      <c r="H2" s="234"/>
      <c r="I2" s="234"/>
      <c r="J2" s="36"/>
    </row>
    <row r="3" spans="1:11" ht="19.95" customHeight="1">
      <c r="A3" s="149" t="str">
        <f>底稿目录!A2</f>
        <v>被审计单位：</v>
      </c>
      <c r="B3" s="149"/>
      <c r="C3" s="150" t="str">
        <f>底稿目录!A4</f>
        <v>编制人：</v>
      </c>
      <c r="D3" s="151"/>
      <c r="E3" s="149" t="str">
        <f>底稿目录!A5</f>
        <v>编制日期：</v>
      </c>
      <c r="F3" s="149"/>
      <c r="G3" s="151"/>
      <c r="H3" s="149" t="s">
        <v>36</v>
      </c>
      <c r="I3" s="212" t="str">
        <f>底稿目录!F4</f>
        <v>L2A</v>
      </c>
    </row>
    <row r="4" spans="1:11" ht="19.95" customHeight="1">
      <c r="A4" s="149" t="str">
        <f>底稿目录!A3</f>
        <v>截止日：202X年12月31日</v>
      </c>
      <c r="B4" s="149"/>
      <c r="C4" s="150" t="str">
        <f>底稿目录!A6</f>
        <v>复核人：</v>
      </c>
      <c r="D4" s="151"/>
      <c r="E4" s="149" t="str">
        <f>底稿目录!A7</f>
        <v>复核日期：</v>
      </c>
      <c r="F4" s="149"/>
      <c r="G4" s="151"/>
      <c r="H4" s="149" t="s">
        <v>37</v>
      </c>
      <c r="I4" s="153"/>
    </row>
    <row r="5" spans="1:11" ht="19.95" customHeight="1">
      <c r="A5" s="152" t="s">
        <v>38</v>
      </c>
      <c r="B5" s="153"/>
      <c r="C5" s="153"/>
      <c r="D5" s="153"/>
      <c r="E5" s="153"/>
      <c r="F5" s="153"/>
      <c r="G5" s="153"/>
      <c r="H5" s="153"/>
      <c r="I5" s="153"/>
    </row>
    <row r="6" spans="1:11" ht="19.95" customHeight="1">
      <c r="A6" s="154" t="s">
        <v>18</v>
      </c>
      <c r="B6" s="153"/>
      <c r="C6" s="153"/>
      <c r="D6" s="153"/>
      <c r="E6" s="153"/>
      <c r="F6" s="153"/>
      <c r="G6" s="153"/>
      <c r="H6" s="153"/>
      <c r="I6" s="153"/>
    </row>
    <row r="7" spans="1:11" ht="19.95" customHeight="1">
      <c r="A7" s="155" t="s">
        <v>39</v>
      </c>
      <c r="B7" s="156"/>
      <c r="C7" s="156"/>
      <c r="D7" s="153"/>
      <c r="E7" s="153"/>
      <c r="F7" s="153"/>
      <c r="G7" s="153"/>
      <c r="H7" s="153"/>
      <c r="I7" s="153"/>
      <c r="J7" s="175"/>
      <c r="K7" s="175"/>
    </row>
    <row r="8" spans="1:11" ht="19.95" customHeight="1">
      <c r="A8" s="235" t="s">
        <v>40</v>
      </c>
      <c r="B8" s="235"/>
      <c r="C8" s="235"/>
      <c r="D8" s="235"/>
      <c r="E8" s="235"/>
      <c r="F8" s="235"/>
      <c r="G8" s="236" t="s">
        <v>19</v>
      </c>
      <c r="H8" s="236"/>
      <c r="I8" s="236"/>
      <c r="J8" s="175"/>
      <c r="K8" s="175"/>
    </row>
    <row r="9" spans="1:11" ht="19.95" customHeight="1">
      <c r="A9" s="231" t="s">
        <v>41</v>
      </c>
      <c r="B9" s="231"/>
      <c r="C9" s="231"/>
      <c r="D9" s="231"/>
      <c r="E9" s="231"/>
      <c r="F9" s="231"/>
      <c r="G9" s="237" t="s">
        <v>20</v>
      </c>
      <c r="H9" s="237"/>
      <c r="I9" s="237"/>
      <c r="J9" s="175"/>
      <c r="K9" s="175"/>
    </row>
    <row r="10" spans="1:11" ht="19.95" customHeight="1">
      <c r="A10" s="231" t="s">
        <v>42</v>
      </c>
      <c r="B10" s="231"/>
      <c r="C10" s="231"/>
      <c r="D10" s="231"/>
      <c r="E10" s="231"/>
      <c r="F10" s="231"/>
      <c r="G10" s="237" t="s">
        <v>21</v>
      </c>
      <c r="H10" s="237"/>
      <c r="I10" s="237"/>
      <c r="J10" s="175"/>
      <c r="K10" s="175"/>
    </row>
    <row r="11" spans="1:11" ht="19.95" customHeight="1">
      <c r="A11" s="231" t="s">
        <v>43</v>
      </c>
      <c r="B11" s="231"/>
      <c r="C11" s="231"/>
      <c r="D11" s="231"/>
      <c r="E11" s="231"/>
      <c r="F11" s="231"/>
      <c r="G11" s="237" t="s">
        <v>22</v>
      </c>
      <c r="H11" s="237"/>
      <c r="I11" s="237"/>
      <c r="J11" s="175"/>
      <c r="K11" s="175"/>
    </row>
    <row r="12" spans="1:11" ht="19.95" customHeight="1">
      <c r="A12" s="231" t="s">
        <v>44</v>
      </c>
      <c r="B12" s="231"/>
      <c r="C12" s="231"/>
      <c r="D12" s="231"/>
      <c r="E12" s="231"/>
      <c r="F12" s="231"/>
      <c r="G12" s="237" t="s">
        <v>45</v>
      </c>
      <c r="H12" s="237"/>
      <c r="I12" s="237"/>
      <c r="J12" s="175"/>
      <c r="K12" s="175"/>
    </row>
    <row r="13" spans="1:11" ht="19.95" customHeight="1">
      <c r="A13" s="231" t="s">
        <v>46</v>
      </c>
      <c r="B13" s="231"/>
      <c r="C13" s="231"/>
      <c r="D13" s="231"/>
      <c r="E13" s="231"/>
      <c r="F13" s="231"/>
      <c r="G13" s="237" t="s">
        <v>47</v>
      </c>
      <c r="H13" s="237"/>
      <c r="I13" s="237"/>
      <c r="J13" s="175"/>
      <c r="K13" s="175"/>
    </row>
    <row r="14" spans="1:11" ht="19.95" customHeight="1">
      <c r="A14" s="157" t="s">
        <v>23</v>
      </c>
      <c r="J14" s="175"/>
      <c r="K14" s="175"/>
    </row>
    <row r="15" spans="1:11" ht="19.95" customHeight="1">
      <c r="A15" s="243" t="s">
        <v>24</v>
      </c>
      <c r="B15" s="245" t="s">
        <v>204</v>
      </c>
      <c r="C15" s="246" t="s">
        <v>25</v>
      </c>
      <c r="D15" s="238" t="s">
        <v>26</v>
      </c>
      <c r="E15" s="238"/>
      <c r="F15" s="238"/>
      <c r="G15" s="238"/>
      <c r="H15" s="238"/>
      <c r="I15" s="248" t="s">
        <v>48</v>
      </c>
      <c r="J15" s="175"/>
      <c r="K15" s="175"/>
    </row>
    <row r="16" spans="1:11" ht="34.799999999999997" customHeight="1">
      <c r="A16" s="244"/>
      <c r="B16" s="245"/>
      <c r="C16" s="247"/>
      <c r="D16" s="158" t="s">
        <v>49</v>
      </c>
      <c r="E16" s="158" t="s">
        <v>50</v>
      </c>
      <c r="F16" s="159" t="s">
        <v>51</v>
      </c>
      <c r="G16" s="159" t="s">
        <v>52</v>
      </c>
      <c r="H16" s="159" t="s">
        <v>53</v>
      </c>
      <c r="I16" s="249"/>
      <c r="J16" s="202" t="s">
        <v>203</v>
      </c>
      <c r="K16" s="175"/>
    </row>
    <row r="17" spans="1:13" ht="64.8" customHeight="1">
      <c r="A17" s="160" t="s">
        <v>27</v>
      </c>
      <c r="B17" s="161" t="s">
        <v>54</v>
      </c>
      <c r="C17" s="162" t="s">
        <v>55</v>
      </c>
      <c r="D17" s="163" t="s">
        <v>56</v>
      </c>
      <c r="E17" s="163" t="s">
        <v>56</v>
      </c>
      <c r="F17" s="163"/>
      <c r="G17" s="164" t="s">
        <v>57</v>
      </c>
      <c r="H17" s="163"/>
      <c r="I17" s="163" t="s">
        <v>58</v>
      </c>
      <c r="J17" s="175"/>
      <c r="K17" s="175"/>
    </row>
    <row r="18" spans="1:13" ht="51.6" customHeight="1">
      <c r="A18" s="160" t="s">
        <v>28</v>
      </c>
      <c r="B18" s="161" t="s">
        <v>59</v>
      </c>
      <c r="C18" s="163" t="s">
        <v>55</v>
      </c>
      <c r="D18" s="165"/>
      <c r="E18" s="166" t="s">
        <v>60</v>
      </c>
      <c r="F18" s="165"/>
      <c r="G18" s="167" t="s">
        <v>60</v>
      </c>
      <c r="H18" s="168"/>
      <c r="I18" s="163"/>
      <c r="J18" s="239" t="s">
        <v>61</v>
      </c>
      <c r="K18" s="240"/>
      <c r="L18" s="240"/>
      <c r="M18" s="240"/>
    </row>
    <row r="19" spans="1:13" ht="36" customHeight="1">
      <c r="A19" s="160" t="s">
        <v>29</v>
      </c>
      <c r="B19" s="169" t="s">
        <v>62</v>
      </c>
      <c r="C19" s="163" t="s">
        <v>30</v>
      </c>
      <c r="D19" s="167" t="s">
        <v>60</v>
      </c>
      <c r="E19" s="166" t="s">
        <v>60</v>
      </c>
      <c r="F19" s="167" t="s">
        <v>60</v>
      </c>
      <c r="G19" s="167" t="s">
        <v>60</v>
      </c>
      <c r="H19" s="163"/>
      <c r="I19" s="163"/>
      <c r="J19" s="241" t="s">
        <v>63</v>
      </c>
      <c r="K19" s="242"/>
      <c r="L19" s="242"/>
      <c r="M19" s="242"/>
    </row>
    <row r="20" spans="1:13" ht="36" customHeight="1">
      <c r="A20" s="160" t="s">
        <v>31</v>
      </c>
      <c r="B20" s="169" t="s">
        <v>64</v>
      </c>
      <c r="C20" s="163" t="s">
        <v>55</v>
      </c>
      <c r="D20" s="167"/>
      <c r="E20" s="166"/>
      <c r="F20" s="167"/>
      <c r="G20" s="166" t="s">
        <v>60</v>
      </c>
      <c r="H20" s="163"/>
      <c r="I20" s="163"/>
      <c r="J20" s="177"/>
      <c r="K20" s="176"/>
      <c r="L20" s="176"/>
      <c r="M20" s="176"/>
    </row>
    <row r="21" spans="1:13" ht="39" customHeight="1">
      <c r="A21" s="160" t="s">
        <v>32</v>
      </c>
      <c r="B21" s="170" t="s">
        <v>65</v>
      </c>
      <c r="C21" s="163" t="s">
        <v>55</v>
      </c>
      <c r="D21" s="164" t="s">
        <v>57</v>
      </c>
      <c r="E21" s="163" t="s">
        <v>56</v>
      </c>
      <c r="F21" s="163"/>
      <c r="G21" s="163" t="s">
        <v>56</v>
      </c>
      <c r="H21" s="163"/>
      <c r="I21" s="163" t="s">
        <v>66</v>
      </c>
      <c r="J21" s="178"/>
      <c r="K21" s="179"/>
      <c r="L21" s="179"/>
    </row>
    <row r="22" spans="1:13" ht="36.450000000000003" customHeight="1">
      <c r="A22" s="160" t="s">
        <v>33</v>
      </c>
      <c r="B22" s="171" t="s">
        <v>67</v>
      </c>
      <c r="C22" s="167" t="s">
        <v>68</v>
      </c>
      <c r="D22" s="172"/>
      <c r="E22" s="172"/>
      <c r="F22" s="172"/>
      <c r="G22" s="172"/>
      <c r="H22" s="173"/>
      <c r="I22" s="173"/>
      <c r="J22" s="180"/>
      <c r="K22" s="179"/>
      <c r="L22" s="179"/>
    </row>
    <row r="23" spans="1:13" ht="38.549999999999997" customHeight="1">
      <c r="A23" s="160" t="s">
        <v>69</v>
      </c>
      <c r="B23" s="174" t="s">
        <v>70</v>
      </c>
      <c r="C23" s="162" t="s">
        <v>55</v>
      </c>
      <c r="D23" s="163"/>
      <c r="E23" s="163"/>
      <c r="F23" s="163"/>
      <c r="G23" s="163"/>
      <c r="H23" s="163" t="s">
        <v>56</v>
      </c>
      <c r="I23" s="181" t="s">
        <v>71</v>
      </c>
      <c r="J23" s="182"/>
      <c r="K23" s="179"/>
      <c r="L23" s="179"/>
    </row>
    <row r="25" spans="1:13" ht="19.95" customHeight="1">
      <c r="B25" s="146" t="s">
        <v>72</v>
      </c>
    </row>
  </sheetData>
  <mergeCells count="21">
    <mergeCell ref="G13:I13"/>
    <mergeCell ref="D15:H15"/>
    <mergeCell ref="J18:M18"/>
    <mergeCell ref="J19:M19"/>
    <mergeCell ref="A15:A16"/>
    <mergeCell ref="B15:B16"/>
    <mergeCell ref="C15:C16"/>
    <mergeCell ref="I15:I16"/>
    <mergeCell ref="A13:F13"/>
    <mergeCell ref="A10:F10"/>
    <mergeCell ref="A11:F11"/>
    <mergeCell ref="A12:F12"/>
    <mergeCell ref="A1:I1"/>
    <mergeCell ref="A2:I2"/>
    <mergeCell ref="A8:F8"/>
    <mergeCell ref="A9:F9"/>
    <mergeCell ref="G8:I8"/>
    <mergeCell ref="G9:I9"/>
    <mergeCell ref="G10:I10"/>
    <mergeCell ref="G11:I11"/>
    <mergeCell ref="G12:I12"/>
  </mergeCells>
  <phoneticPr fontId="77" type="noConversion"/>
  <hyperlinks>
    <hyperlink ref="I3" location="底稿目录!A1" display="=底稿目录!F4"/>
  </hyperlinks>
  <printOptions horizontalCentered="1"/>
  <pageMargins left="0.70866141732283505" right="0.70866141732283505" top="0.74803149606299202" bottom="0.74803149606299202" header="0.31496062992126" footer="0.31496062992126"/>
  <pageSetup paperSize="9" scale="70" fitToHeight="50" orientation="portrait" blackAndWhite="1" cellComments="atEnd" r:id="rId1"/>
  <headerFooter alignWithMargins="0">
    <oddFooter>&amp;C&amp;P/&amp;N&amp;R&amp;10&amp;P/&amp;N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O29"/>
  <sheetViews>
    <sheetView view="pageBreakPreview" zoomScaleNormal="130" workbookViewId="0">
      <selection sqref="A1:N1"/>
    </sheetView>
  </sheetViews>
  <sheetFormatPr defaultColWidth="9" defaultRowHeight="19.95" customHeight="1"/>
  <cols>
    <col min="1" max="1" width="18.3984375" style="110" customWidth="1"/>
    <col min="2" max="4" width="11" style="110" customWidth="1"/>
    <col min="5" max="5" width="12.59765625" style="110" customWidth="1"/>
    <col min="6" max="7" width="8.296875" style="110" customWidth="1"/>
    <col min="8" max="8" width="14.59765625" style="110" customWidth="1"/>
    <col min="9" max="9" width="10.09765625" style="110" customWidth="1"/>
    <col min="10" max="10" width="9" style="110"/>
    <col min="11" max="11" width="10.59765625" style="110" customWidth="1"/>
    <col min="12" max="12" width="10.09765625" style="110" customWidth="1"/>
    <col min="13" max="13" width="10.59765625" style="110" customWidth="1"/>
    <col min="14" max="14" width="8.296875" style="110" customWidth="1"/>
    <col min="15" max="16384" width="9" style="110"/>
  </cols>
  <sheetData>
    <row r="1" spans="1:15" ht="19.95" customHeight="1">
      <c r="A1" s="250" t="s">
        <v>160</v>
      </c>
      <c r="B1" s="250"/>
      <c r="C1" s="250"/>
      <c r="D1" s="250"/>
      <c r="E1" s="250"/>
      <c r="F1" s="250"/>
      <c r="G1" s="250"/>
      <c r="H1" s="250"/>
      <c r="I1" s="250"/>
      <c r="J1" s="250"/>
      <c r="K1" s="250"/>
      <c r="L1" s="250"/>
      <c r="M1" s="250"/>
      <c r="N1" s="250"/>
    </row>
    <row r="2" spans="1:15" s="108" customFormat="1" ht="19.95" customHeight="1">
      <c r="A2" s="251" t="s">
        <v>211</v>
      </c>
      <c r="B2" s="251"/>
      <c r="C2" s="251"/>
      <c r="D2" s="251"/>
      <c r="E2" s="251"/>
      <c r="F2" s="251"/>
      <c r="G2" s="251"/>
      <c r="H2" s="251"/>
      <c r="I2" s="251"/>
      <c r="J2" s="251"/>
      <c r="K2" s="251"/>
      <c r="L2" s="251"/>
      <c r="M2" s="251"/>
      <c r="N2" s="251"/>
      <c r="O2" s="36"/>
    </row>
    <row r="3" spans="1:15" ht="19.95" customHeight="1">
      <c r="A3" s="110" t="str">
        <f>底稿目录!A2</f>
        <v>被审计单位：</v>
      </c>
      <c r="E3" s="10" t="str">
        <f>底稿目录!A4</f>
        <v>编制人：</v>
      </c>
      <c r="H3" s="111" t="str">
        <f>底稿目录!A5</f>
        <v>编制日期：</v>
      </c>
      <c r="I3" s="126"/>
      <c r="M3" s="10" t="s">
        <v>17</v>
      </c>
      <c r="N3" s="211" t="str">
        <f>底稿目录!F5</f>
        <v>L2-1</v>
      </c>
    </row>
    <row r="4" spans="1:15" ht="19.95" customHeight="1">
      <c r="A4" s="110" t="str">
        <f>底稿目录!A3</f>
        <v>截止日：202X年12月31日</v>
      </c>
      <c r="B4" s="112"/>
      <c r="E4" s="10" t="str">
        <f>底稿目录!A6</f>
        <v>复核人：</v>
      </c>
      <c r="H4" s="111" t="str">
        <f>底稿目录!A7</f>
        <v>复核日期：</v>
      </c>
      <c r="I4" s="126"/>
      <c r="M4" s="10" t="s">
        <v>75</v>
      </c>
      <c r="N4" s="127"/>
    </row>
    <row r="5" spans="1:15" s="109" customFormat="1" ht="31.95" customHeight="1">
      <c r="A5" s="253" t="s">
        <v>215</v>
      </c>
      <c r="B5" s="252" t="s">
        <v>213</v>
      </c>
      <c r="C5" s="252"/>
      <c r="D5" s="252"/>
      <c r="E5" s="252"/>
      <c r="F5" s="252" t="s">
        <v>214</v>
      </c>
      <c r="G5" s="252"/>
      <c r="H5" s="252"/>
      <c r="I5" s="252"/>
      <c r="J5" s="252" t="s">
        <v>216</v>
      </c>
      <c r="K5" s="252"/>
      <c r="L5" s="252" t="s">
        <v>217</v>
      </c>
      <c r="M5" s="252"/>
      <c r="N5" s="252" t="s">
        <v>212</v>
      </c>
    </row>
    <row r="6" spans="1:15" ht="19.95" customHeight="1">
      <c r="A6" s="253"/>
      <c r="B6" s="227" t="s">
        <v>218</v>
      </c>
      <c r="C6" s="227" t="s">
        <v>172</v>
      </c>
      <c r="D6" s="227" t="s">
        <v>219</v>
      </c>
      <c r="E6" s="227" t="s">
        <v>220</v>
      </c>
      <c r="F6" s="227" t="s">
        <v>218</v>
      </c>
      <c r="G6" s="227" t="s">
        <v>172</v>
      </c>
      <c r="H6" s="227" t="s">
        <v>219</v>
      </c>
      <c r="I6" s="227" t="s">
        <v>220</v>
      </c>
      <c r="J6" s="228" t="s">
        <v>221</v>
      </c>
      <c r="K6" s="228" t="s">
        <v>222</v>
      </c>
      <c r="L6" s="228" t="s">
        <v>221</v>
      </c>
      <c r="M6" s="227" t="s">
        <v>222</v>
      </c>
      <c r="N6" s="252"/>
    </row>
    <row r="7" spans="1:15" s="109" customFormat="1" ht="24">
      <c r="A7" s="113" t="s">
        <v>99</v>
      </c>
      <c r="B7" s="114">
        <f>SUMIF('明细表L2-2'!A:A,A7,'明细表L2-2'!H:H)</f>
        <v>0</v>
      </c>
      <c r="C7" s="114">
        <f>SUMIF('明细表L2-2'!A:A,A7,'明细表L2-2'!L:L)</f>
        <v>0</v>
      </c>
      <c r="D7" s="114">
        <f>SUMIF('明细表L2-2'!A:A,A7,'明细表L2-2'!M:M)</f>
        <v>0</v>
      </c>
      <c r="E7" s="114">
        <f>B7+C7+D7</f>
        <v>0</v>
      </c>
      <c r="F7" s="114">
        <f>SUMIF('明细表L2-2'!A:A,A7,'明细表L2-2'!K:K)</f>
        <v>0</v>
      </c>
      <c r="G7" s="114">
        <f>SUMIF('明细表L2-2'!A:A,A7,'明细表L2-2'!L:L)+SUMIF('明细表L2-2'!A:A,A7,'明细表L2-2'!N:N)-SUMIF('明细表L2-2'!A:A,A7,'明细表L2-2'!O:O)</f>
        <v>0</v>
      </c>
      <c r="H7" s="114">
        <f>SUMIF('明细表L2-2'!A:A,A7,'明细表L2-2'!M:M)+SUMIF('明细表L2-2'!A:A,A7,'明细表L2-2'!P:P)-SUMIF('明细表L2-2'!A:A,A7,'明细表L2-2'!Q:Q)</f>
        <v>0</v>
      </c>
      <c r="I7" s="114">
        <f t="shared" ref="I7:I12" si="0">F7+G7+H7</f>
        <v>0</v>
      </c>
      <c r="J7" s="114">
        <f>F7-B7</f>
        <v>0</v>
      </c>
      <c r="K7" s="128">
        <f>IF(AND(B7=0,J7=0),0,IF(AND(B7=0,J7&gt;0),1,J7/B7))</f>
        <v>0</v>
      </c>
      <c r="L7" s="114">
        <f>I7-E7</f>
        <v>0</v>
      </c>
      <c r="M7" s="128">
        <f>IF(AND(E7=0,L7=0),0,IF(AND(E7=0,L7&gt;0),1,L7/E7))</f>
        <v>0</v>
      </c>
      <c r="N7" s="129"/>
    </row>
    <row r="8" spans="1:15" s="109" customFormat="1" ht="19.95" customHeight="1">
      <c r="A8" s="113" t="s">
        <v>100</v>
      </c>
      <c r="B8" s="114">
        <f>SUMIF('明细表L2-2'!A:A,A8,'明细表L2-2'!H:H)</f>
        <v>0</v>
      </c>
      <c r="C8" s="114">
        <f>SUMIF('明细表L2-2'!A:A,A8,'明细表L2-2'!L:L)</f>
        <v>0</v>
      </c>
      <c r="D8" s="114">
        <f>SUMIF('明细表L2-2'!A:A,A8,'明细表L2-2'!M:M)</f>
        <v>0</v>
      </c>
      <c r="E8" s="114">
        <f t="shared" ref="E8:E13" si="1">B8+C8+D8</f>
        <v>0</v>
      </c>
      <c r="F8" s="114">
        <f>SUMIF('明细表L2-2'!A:A,A8,'明细表L2-2'!K:K)</f>
        <v>0</v>
      </c>
      <c r="G8" s="114">
        <f>SUMIF('明细表L2-2'!A:A,A8,'明细表L2-2'!L:L)+SUMIF('明细表L2-2'!A:A,A8,'明细表L2-2'!N:N)-SUMIF('明细表L2-2'!A:A,A8,'明细表L2-2'!O:O)</f>
        <v>0</v>
      </c>
      <c r="H8" s="114">
        <f>SUMIF('明细表L2-2'!A:A,A8,'明细表L2-2'!M:M)+SUMIF('明细表L2-2'!A:A,A8,'明细表L2-2'!P:P)-SUMIF('明细表L2-2'!A:A,A8,'明细表L2-2'!Q:Q)</f>
        <v>0</v>
      </c>
      <c r="I8" s="114">
        <f t="shared" si="0"/>
        <v>0</v>
      </c>
      <c r="J8" s="114">
        <f t="shared" ref="J8:J13" si="2">F8-B8</f>
        <v>0</v>
      </c>
      <c r="K8" s="128">
        <f t="shared" ref="K8:K14" si="3">IF(AND(B8=0,J8=0),0,IF(AND(B8=0,J8&gt;0),1,J8/B8))</f>
        <v>0</v>
      </c>
      <c r="L8" s="114">
        <f t="shared" ref="L8:L13" si="4">I8-E8</f>
        <v>0</v>
      </c>
      <c r="M8" s="128">
        <f t="shared" ref="M8:M14" si="5">IF(AND(E8=0,L8=0),0,IF(AND(E8=0,L8&gt;0),1,L8/E8))</f>
        <v>0</v>
      </c>
      <c r="N8" s="129"/>
    </row>
    <row r="9" spans="1:15" s="109" customFormat="1" ht="19.95" customHeight="1">
      <c r="A9" s="113" t="s">
        <v>101</v>
      </c>
      <c r="B9" s="114">
        <f>SUMIF('明细表L2-2'!A:A,A9,'明细表L2-2'!H:H)</f>
        <v>0</v>
      </c>
      <c r="C9" s="114">
        <f>SUMIF('明细表L2-2'!A:A,A9,'明细表L2-2'!L:L)</f>
        <v>0</v>
      </c>
      <c r="D9" s="114">
        <f>SUMIF('明细表L2-2'!A:A,A9,'明细表L2-2'!M:M)</f>
        <v>0</v>
      </c>
      <c r="E9" s="114">
        <f t="shared" si="1"/>
        <v>0</v>
      </c>
      <c r="F9" s="114">
        <f>SUMIF('明细表L2-2'!A:A,A9,'明细表L2-2'!K:K)</f>
        <v>0</v>
      </c>
      <c r="G9" s="114">
        <f>SUMIF('明细表L2-2'!A:A,A9,'明细表L2-2'!L:L)+SUMIF('明细表L2-2'!A:A,A9,'明细表L2-2'!N:N)-SUMIF('明细表L2-2'!A:A,A9,'明细表L2-2'!O:O)</f>
        <v>0</v>
      </c>
      <c r="H9" s="114">
        <f>SUMIF('明细表L2-2'!A:A,A9,'明细表L2-2'!M:M)+SUMIF('明细表L2-2'!A:A,A9,'明细表L2-2'!P:P)-SUMIF('明细表L2-2'!A:A,A9,'明细表L2-2'!Q:Q)</f>
        <v>0</v>
      </c>
      <c r="I9" s="114">
        <f t="shared" si="0"/>
        <v>0</v>
      </c>
      <c r="J9" s="114">
        <f t="shared" si="2"/>
        <v>0</v>
      </c>
      <c r="K9" s="128">
        <f t="shared" si="3"/>
        <v>0</v>
      </c>
      <c r="L9" s="114">
        <f t="shared" si="4"/>
        <v>0</v>
      </c>
      <c r="M9" s="128">
        <f t="shared" si="5"/>
        <v>0</v>
      </c>
      <c r="N9" s="129"/>
    </row>
    <row r="10" spans="1:15" s="109" customFormat="1" ht="25.8">
      <c r="A10" s="113" t="s">
        <v>102</v>
      </c>
      <c r="B10" s="114">
        <f>SUM(B11:B12)</f>
        <v>0</v>
      </c>
      <c r="C10" s="114">
        <f t="shared" ref="C10:D10" si="6">SUM(C11:C12)</f>
        <v>0</v>
      </c>
      <c r="D10" s="114">
        <f t="shared" si="6"/>
        <v>0</v>
      </c>
      <c r="E10" s="114">
        <f t="shared" si="1"/>
        <v>0</v>
      </c>
      <c r="F10" s="114">
        <f t="shared" ref="F10" si="7">SUM(F11:F12)</f>
        <v>0</v>
      </c>
      <c r="G10" s="114">
        <f t="shared" ref="G10" si="8">SUM(G11:G12)</f>
        <v>0</v>
      </c>
      <c r="H10" s="114">
        <f t="shared" ref="H10" si="9">SUM(H11:H12)</f>
        <v>0</v>
      </c>
      <c r="I10" s="114">
        <f t="shared" si="0"/>
        <v>0</v>
      </c>
      <c r="J10" s="114">
        <f t="shared" si="2"/>
        <v>0</v>
      </c>
      <c r="K10" s="128">
        <f t="shared" si="3"/>
        <v>0</v>
      </c>
      <c r="L10" s="114">
        <f t="shared" si="4"/>
        <v>0</v>
      </c>
      <c r="M10" s="128">
        <f t="shared" si="5"/>
        <v>0</v>
      </c>
      <c r="N10" s="129"/>
    </row>
    <row r="11" spans="1:15" s="109" customFormat="1" ht="19.95" customHeight="1">
      <c r="A11" s="113" t="s">
        <v>103</v>
      </c>
      <c r="B11" s="114">
        <f>SUMIF('明细表L2-2'!A:A,A11,'明细表L2-2'!H:H)</f>
        <v>0</v>
      </c>
      <c r="C11" s="114">
        <f>SUMIF('明细表L2-2'!A:A,A11,'明细表L2-2'!L:L)</f>
        <v>0</v>
      </c>
      <c r="D11" s="114">
        <f>SUMIF('明细表L2-2'!A:A,A11,'明细表L2-2'!M:M)</f>
        <v>0</v>
      </c>
      <c r="E11" s="114">
        <f t="shared" si="1"/>
        <v>0</v>
      </c>
      <c r="F11" s="114">
        <f>SUMIF('明细表L2-2'!A:A,A11,'明细表L2-2'!K:K)</f>
        <v>0</v>
      </c>
      <c r="G11" s="114">
        <f>SUMIF('明细表L2-2'!A:A,A11,'明细表L2-2'!L:L)+SUMIF('明细表L2-2'!A:A,A11,'明细表L2-2'!N:N)-SUMIF('明细表L2-2'!A:A,A11,'明细表L2-2'!O:O)</f>
        <v>0</v>
      </c>
      <c r="H11" s="114">
        <f>SUMIF('明细表L2-2'!A:A,A11,'明细表L2-2'!M:M)+SUMIF('明细表L2-2'!A:A,A11,'明细表L2-2'!P:P)-SUMIF('明细表L2-2'!A:A,A11,'明细表L2-2'!Q:Q)</f>
        <v>0</v>
      </c>
      <c r="I11" s="114">
        <f t="shared" si="0"/>
        <v>0</v>
      </c>
      <c r="J11" s="114">
        <f t="shared" si="2"/>
        <v>0</v>
      </c>
      <c r="K11" s="128">
        <f t="shared" si="3"/>
        <v>0</v>
      </c>
      <c r="L11" s="114">
        <f t="shared" si="4"/>
        <v>0</v>
      </c>
      <c r="M11" s="128">
        <f t="shared" si="5"/>
        <v>0</v>
      </c>
      <c r="N11" s="129"/>
    </row>
    <row r="12" spans="1:15" s="109" customFormat="1" ht="19.95" customHeight="1">
      <c r="A12" s="113" t="s">
        <v>104</v>
      </c>
      <c r="B12" s="114">
        <f>SUMIF('明细表L2-2'!A:A,A12,'明细表L2-2'!H:H)</f>
        <v>0</v>
      </c>
      <c r="C12" s="114">
        <f>SUMIF('明细表L2-2'!A:A,A12,'明细表L2-2'!L:L)</f>
        <v>0</v>
      </c>
      <c r="D12" s="114">
        <f>SUMIF('明细表L2-2'!A:A,A12,'明细表L2-2'!M:M)</f>
        <v>0</v>
      </c>
      <c r="E12" s="114">
        <f t="shared" si="1"/>
        <v>0</v>
      </c>
      <c r="F12" s="114">
        <f>SUMIF('明细表L2-2'!A:A,A12,'明细表L2-2'!K:K)</f>
        <v>0</v>
      </c>
      <c r="G12" s="114">
        <f>SUMIF('明细表L2-2'!A:A,A12,'明细表L2-2'!L:L)+SUMIF('明细表L2-2'!A:A,A12,'明细表L2-2'!N:N)-SUMIF('明细表L2-2'!A:A,A12,'明细表L2-2'!O:O)</f>
        <v>0</v>
      </c>
      <c r="H12" s="114">
        <f>SUMIF('明细表L2-2'!A:A,A12,'明细表L2-2'!M:M)+SUMIF('明细表L2-2'!A:A,A12,'明细表L2-2'!P:P)-SUMIF('明细表L2-2'!A:A,A12,'明细表L2-2'!Q:Q)</f>
        <v>0</v>
      </c>
      <c r="I12" s="114">
        <f t="shared" si="0"/>
        <v>0</v>
      </c>
      <c r="J12" s="114">
        <f t="shared" si="2"/>
        <v>0</v>
      </c>
      <c r="K12" s="128">
        <f t="shared" si="3"/>
        <v>0</v>
      </c>
      <c r="L12" s="114">
        <f t="shared" si="4"/>
        <v>0</v>
      </c>
      <c r="M12" s="128">
        <f t="shared" si="5"/>
        <v>0</v>
      </c>
      <c r="N12" s="129"/>
    </row>
    <row r="13" spans="1:15" s="109" customFormat="1" ht="19.95" customHeight="1">
      <c r="A13" s="113" t="s">
        <v>105</v>
      </c>
      <c r="B13" s="114">
        <f>SUMIF('明细表L2-2'!A:A,A13,'明细表L2-2'!H:H)</f>
        <v>0</v>
      </c>
      <c r="C13" s="114">
        <f>SUMIF('明细表L2-2'!A:A,A13,'明细表L2-2'!L:L)</f>
        <v>0</v>
      </c>
      <c r="D13" s="114">
        <f>SUMIF('明细表L2-2'!A:A,A13,'明细表L2-2'!M:M)</f>
        <v>0</v>
      </c>
      <c r="E13" s="114">
        <f t="shared" si="1"/>
        <v>0</v>
      </c>
      <c r="F13" s="114">
        <f>SUMIF('明细表L2-2'!A:A,A13,'明细表L2-2'!K:K)</f>
        <v>0</v>
      </c>
      <c r="G13" s="114">
        <f>SUMIF('明细表L2-2'!A:A,A13,'明细表L2-2'!L:L)+SUMIF('明细表L2-2'!A:A,A13,'明细表L2-2'!N:N)-SUMIF('明细表L2-2'!A:A,A13,'明细表L2-2'!O:O)</f>
        <v>0</v>
      </c>
      <c r="H13" s="114">
        <f>SUMIF('明细表L2-2'!A:A,A13,'明细表L2-2'!M:M)+SUMIF('明细表L2-2'!A:A,A13,'明细表L2-2'!P:P)-SUMIF('明细表L2-2'!A:A,A13,'明细表L2-2'!Q:Q)</f>
        <v>0</v>
      </c>
      <c r="I13" s="114">
        <f t="shared" ref="I13" si="10">F13+G13+H13</f>
        <v>0</v>
      </c>
      <c r="J13" s="114">
        <f t="shared" si="2"/>
        <v>0</v>
      </c>
      <c r="K13" s="128">
        <f t="shared" si="3"/>
        <v>0</v>
      </c>
      <c r="L13" s="114">
        <f t="shared" si="4"/>
        <v>0</v>
      </c>
      <c r="M13" s="128">
        <f t="shared" si="5"/>
        <v>0</v>
      </c>
      <c r="N13" s="129"/>
    </row>
    <row r="14" spans="1:15" ht="19.95" customHeight="1">
      <c r="A14" s="115" t="s">
        <v>106</v>
      </c>
      <c r="B14" s="116">
        <f>SUM(B7:B10,B13)</f>
        <v>0</v>
      </c>
      <c r="C14" s="116">
        <f t="shared" ref="C14:I14" si="11">SUM(C7:C10,C13)</f>
        <v>0</v>
      </c>
      <c r="D14" s="116">
        <f t="shared" si="11"/>
        <v>0</v>
      </c>
      <c r="E14" s="116">
        <f t="shared" si="11"/>
        <v>0</v>
      </c>
      <c r="F14" s="116">
        <f t="shared" si="11"/>
        <v>0</v>
      </c>
      <c r="G14" s="116">
        <f t="shared" si="11"/>
        <v>0</v>
      </c>
      <c r="H14" s="116">
        <f t="shared" si="11"/>
        <v>0</v>
      </c>
      <c r="I14" s="116">
        <f t="shared" si="11"/>
        <v>0</v>
      </c>
      <c r="J14" s="116">
        <f>SUM(J7:J13)</f>
        <v>0</v>
      </c>
      <c r="K14" s="130">
        <f t="shared" si="3"/>
        <v>0</v>
      </c>
      <c r="L14" s="116">
        <f>SUM(L7:L13)</f>
        <v>0</v>
      </c>
      <c r="M14" s="130">
        <f t="shared" si="5"/>
        <v>0</v>
      </c>
      <c r="N14" s="131"/>
    </row>
    <row r="15" spans="1:15" ht="19.95" customHeight="1">
      <c r="A15" s="117" t="s">
        <v>107</v>
      </c>
      <c r="B15" s="118"/>
      <c r="C15" s="118"/>
      <c r="D15" s="118"/>
      <c r="E15" s="118"/>
      <c r="F15" s="118"/>
      <c r="G15" s="118"/>
    </row>
    <row r="16" spans="1:15" ht="19.95" customHeight="1">
      <c r="A16" s="119" t="s">
        <v>108</v>
      </c>
      <c r="B16" s="80"/>
      <c r="C16" s="80"/>
      <c r="D16" s="80"/>
      <c r="E16" s="80"/>
      <c r="F16" s="119"/>
      <c r="G16" s="119"/>
    </row>
    <row r="17" spans="1:7" ht="19.95" customHeight="1">
      <c r="A17" s="119" t="s">
        <v>109</v>
      </c>
      <c r="B17" s="80"/>
      <c r="C17" s="80"/>
      <c r="D17" s="80"/>
      <c r="E17" s="80"/>
      <c r="F17" s="119"/>
      <c r="G17" s="119"/>
    </row>
    <row r="18" spans="1:7" ht="19.95" customHeight="1">
      <c r="A18" s="119"/>
      <c r="B18" s="80"/>
      <c r="C18" s="80"/>
      <c r="D18" s="80"/>
      <c r="E18" s="80"/>
      <c r="F18" s="119"/>
      <c r="G18" s="119"/>
    </row>
    <row r="19" spans="1:7" ht="19.95" customHeight="1">
      <c r="A19" s="120" t="s">
        <v>110</v>
      </c>
      <c r="B19" s="80"/>
      <c r="C19" s="80"/>
      <c r="D19" s="80"/>
      <c r="E19" s="80"/>
      <c r="F19" s="119"/>
      <c r="G19" s="119"/>
    </row>
    <row r="20" spans="1:7" ht="19.95" customHeight="1">
      <c r="A20" s="120"/>
      <c r="B20" s="80"/>
      <c r="C20" s="80"/>
      <c r="D20" s="80"/>
      <c r="E20" s="80"/>
      <c r="F20" s="119"/>
      <c r="G20" s="119"/>
    </row>
    <row r="21" spans="1:7" ht="19.95" customHeight="1">
      <c r="A21" s="119" t="s">
        <v>111</v>
      </c>
      <c r="B21" s="119"/>
      <c r="C21" s="119"/>
      <c r="D21" s="120"/>
      <c r="E21" s="80"/>
      <c r="F21" s="119"/>
      <c r="G21" s="119"/>
    </row>
    <row r="22" spans="1:7" ht="19.95" customHeight="1">
      <c r="A22" s="121"/>
      <c r="B22" s="122" t="s">
        <v>112</v>
      </c>
      <c r="C22" s="122" t="s">
        <v>113</v>
      </c>
      <c r="D22" s="123"/>
      <c r="E22" s="80"/>
      <c r="F22" s="119"/>
      <c r="G22" s="119"/>
    </row>
    <row r="23" spans="1:7" ht="19.95" customHeight="1">
      <c r="A23" s="121" t="s">
        <v>114</v>
      </c>
      <c r="B23" s="124">
        <f>I14</f>
        <v>0</v>
      </c>
      <c r="C23" s="124">
        <f>E14</f>
        <v>0</v>
      </c>
      <c r="D23" s="119"/>
      <c r="E23" s="80"/>
      <c r="F23" s="119"/>
      <c r="G23" s="119"/>
    </row>
    <row r="24" spans="1:7" ht="19.95" customHeight="1">
      <c r="A24" s="121" t="s">
        <v>115</v>
      </c>
      <c r="B24" s="124"/>
      <c r="C24" s="124"/>
      <c r="D24" s="119"/>
      <c r="E24" s="80"/>
      <c r="F24" s="119"/>
      <c r="G24" s="119"/>
    </row>
    <row r="25" spans="1:7" ht="19.95" customHeight="1">
      <c r="A25" s="121" t="s">
        <v>116</v>
      </c>
      <c r="B25" s="124"/>
      <c r="C25" s="124"/>
      <c r="D25" s="119"/>
      <c r="E25" s="80"/>
      <c r="F25" s="119"/>
      <c r="G25" s="119"/>
    </row>
    <row r="26" spans="1:7" ht="19.95" customHeight="1">
      <c r="A26" s="121" t="s">
        <v>117</v>
      </c>
      <c r="B26" s="124">
        <f>SUM(B23:B25)</f>
        <v>0</v>
      </c>
      <c r="C26" s="124">
        <f>SUM(C23:C25)</f>
        <v>0</v>
      </c>
      <c r="D26" s="119"/>
      <c r="E26" s="80"/>
      <c r="F26" s="119"/>
      <c r="G26" s="119"/>
    </row>
    <row r="27" spans="1:7" ht="19.95" customHeight="1">
      <c r="A27" s="121" t="s">
        <v>118</v>
      </c>
      <c r="B27" s="124"/>
      <c r="C27" s="124"/>
      <c r="D27" s="119"/>
      <c r="E27" s="80"/>
      <c r="F27" s="119"/>
      <c r="G27" s="119"/>
    </row>
    <row r="28" spans="1:7" ht="19.95" customHeight="1">
      <c r="A28" s="121" t="s">
        <v>119</v>
      </c>
      <c r="B28" s="124">
        <f>B26-B27</f>
        <v>0</v>
      </c>
      <c r="C28" s="124">
        <f>C26-C27</f>
        <v>0</v>
      </c>
      <c r="D28" s="119"/>
      <c r="E28" s="80"/>
      <c r="F28" s="119"/>
      <c r="G28" s="119"/>
    </row>
    <row r="29" spans="1:7" ht="19.95" customHeight="1">
      <c r="A29" s="125" t="s">
        <v>120</v>
      </c>
      <c r="B29" s="119"/>
      <c r="C29" s="119"/>
      <c r="D29" s="119"/>
      <c r="E29" s="119"/>
      <c r="F29" s="119"/>
      <c r="G29" s="119"/>
    </row>
  </sheetData>
  <mergeCells count="8">
    <mergeCell ref="A1:N1"/>
    <mergeCell ref="A2:N2"/>
    <mergeCell ref="B5:E5"/>
    <mergeCell ref="F5:I5"/>
    <mergeCell ref="J5:K5"/>
    <mergeCell ref="L5:M5"/>
    <mergeCell ref="A5:A6"/>
    <mergeCell ref="N5:N6"/>
  </mergeCells>
  <phoneticPr fontId="77" type="noConversion"/>
  <hyperlinks>
    <hyperlink ref="N3" location="底稿目录!A1" display="=底稿目录!F5"/>
  </hyperlinks>
  <printOptions horizontalCentered="1"/>
  <pageMargins left="0.70866141732283505" right="0.70866141732283505" top="0.74803149606299202" bottom="0.74803149606299202" header="0.31496062992126" footer="0.31496062992126"/>
  <pageSetup paperSize="9" scale="80" fitToHeight="0"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E34"/>
  <sheetViews>
    <sheetView view="pageBreakPreview" topLeftCell="A7" zoomScaleNormal="100" workbookViewId="0">
      <selection activeCell="F23" sqref="F23"/>
    </sheetView>
  </sheetViews>
  <sheetFormatPr defaultColWidth="9" defaultRowHeight="19.95" customHeight="1"/>
  <cols>
    <col min="1" max="1" width="36.09765625" style="7" customWidth="1"/>
    <col min="2" max="2" width="14.296875" style="7" customWidth="1"/>
    <col min="3" max="3" width="14.59765625" style="7" customWidth="1"/>
    <col min="4" max="4" width="13.59765625" style="7" customWidth="1"/>
    <col min="5" max="16384" width="9" style="7"/>
  </cols>
  <sheetData>
    <row r="1" spans="1:5" s="75" customFormat="1" ht="19.95" customHeight="1">
      <c r="A1" s="254" t="s">
        <v>34</v>
      </c>
      <c r="B1" s="254"/>
      <c r="C1" s="254"/>
      <c r="D1" s="254"/>
    </row>
    <row r="2" spans="1:5" s="76" customFormat="1" ht="19.95" customHeight="1">
      <c r="A2" s="255" t="s">
        <v>73</v>
      </c>
      <c r="B2" s="255"/>
      <c r="C2" s="255"/>
      <c r="D2" s="255"/>
      <c r="E2" s="36" t="s">
        <v>74</v>
      </c>
    </row>
    <row r="3" spans="1:5" s="3" customFormat="1" ht="19.95" customHeight="1">
      <c r="A3" s="3" t="str">
        <f>底稿目录!A2</f>
        <v>被审计单位：</v>
      </c>
      <c r="B3" s="81" t="str">
        <f>'审定表L2-1'!E3</f>
        <v>编制人：</v>
      </c>
      <c r="C3" s="3" t="str">
        <f>底稿目录!A5</f>
        <v>编制日期：</v>
      </c>
      <c r="D3" s="3" t="s">
        <v>17</v>
      </c>
    </row>
    <row r="4" spans="1:5" s="3" customFormat="1" ht="19.95" customHeight="1">
      <c r="A4" s="3" t="str">
        <f>底稿目录!A3</f>
        <v>截止日：202X年12月31日</v>
      </c>
      <c r="B4" s="81" t="str">
        <f>底稿目录!A6</f>
        <v>复核人：</v>
      </c>
      <c r="C4" s="3" t="str">
        <f>底稿目录!A7</f>
        <v>复核日期：</v>
      </c>
      <c r="D4" s="3" t="s">
        <v>75</v>
      </c>
    </row>
    <row r="5" spans="1:5" ht="19.95" customHeight="1">
      <c r="A5" s="2" t="s">
        <v>76</v>
      </c>
      <c r="B5" s="133"/>
    </row>
    <row r="6" spans="1:5" ht="19.95" customHeight="1">
      <c r="A6" s="134" t="s">
        <v>77</v>
      </c>
      <c r="B6" s="134"/>
    </row>
    <row r="7" spans="1:5" ht="19.95" customHeight="1">
      <c r="A7" s="135" t="s">
        <v>78</v>
      </c>
      <c r="B7" s="136" t="s">
        <v>79</v>
      </c>
      <c r="C7" s="136" t="s">
        <v>80</v>
      </c>
    </row>
    <row r="8" spans="1:5" ht="19.95" customHeight="1">
      <c r="A8" s="137" t="s">
        <v>81</v>
      </c>
      <c r="B8" s="138">
        <f>SUMIF('明细表L2-2'!A:A,'附注披露（上市公司）信息'!A8,'明细表L2-2'!U:U)</f>
        <v>0</v>
      </c>
      <c r="C8" s="138">
        <f>SUMIF('明细表L2-2'!A:A,'附注披露（上市公司）信息'!A8,'明细表L2-2'!R:R)</f>
        <v>0</v>
      </c>
    </row>
    <row r="9" spans="1:5" ht="19.95" customHeight="1">
      <c r="A9" s="137" t="s">
        <v>82</v>
      </c>
      <c r="B9" s="138">
        <f>SUMIF('明细表L2-2'!A:A,'附注披露（上市公司）信息'!A9,'明细表L2-2'!U:U)</f>
        <v>0</v>
      </c>
      <c r="C9" s="138">
        <f>SUMIF('明细表L2-2'!A:A,'附注披露（上市公司）信息'!A9,'明细表L2-2'!R:R)</f>
        <v>0</v>
      </c>
    </row>
    <row r="10" spans="1:5" ht="19.95" customHeight="1">
      <c r="A10" s="137" t="s">
        <v>83</v>
      </c>
      <c r="B10" s="138">
        <f>SUMIF('明细表L2-2'!A:A,'附注披露（上市公司）信息'!A10,'明细表L2-2'!U:U)</f>
        <v>0</v>
      </c>
      <c r="C10" s="138">
        <f>SUMIF('明细表L2-2'!A:A,'附注披露（上市公司）信息'!A10,'明细表L2-2'!R:R)</f>
        <v>0</v>
      </c>
    </row>
    <row r="11" spans="1:5" ht="19.95" customHeight="1">
      <c r="A11" s="137" t="s">
        <v>84</v>
      </c>
      <c r="B11" s="139">
        <f>SUM(B12:B13)</f>
        <v>0</v>
      </c>
      <c r="C11" s="139">
        <f>SUM(C12:C13)</f>
        <v>0</v>
      </c>
    </row>
    <row r="12" spans="1:5" ht="19.95" customHeight="1">
      <c r="A12" s="137" t="s">
        <v>85</v>
      </c>
      <c r="B12" s="138">
        <f>SUMIF('明细表L2-2'!A:A,'附注披露（上市公司）信息'!A12,'明细表L2-2'!U:U)</f>
        <v>0</v>
      </c>
      <c r="C12" s="139"/>
    </row>
    <row r="13" spans="1:5" ht="19.95" customHeight="1">
      <c r="A13" s="137" t="s">
        <v>86</v>
      </c>
      <c r="B13" s="138">
        <f>SUMIF('明细表L2-2'!A:A,'附注披露（上市公司）信息'!A13,'明细表L2-2'!U:U)</f>
        <v>0</v>
      </c>
      <c r="C13" s="138">
        <f>SUMIF('明细表L2-2'!A:A,'附注披露（上市公司）信息'!A13,'明细表L2-2'!R:R)</f>
        <v>0</v>
      </c>
    </row>
    <row r="14" spans="1:5" ht="19.95" customHeight="1">
      <c r="A14" s="137" t="s">
        <v>87</v>
      </c>
      <c r="B14" s="138">
        <f>SUMIF('明细表L2-2'!A:A,'附注披露（上市公司）信息'!A14,'明细表L2-2'!U:U)</f>
        <v>0</v>
      </c>
      <c r="C14" s="138">
        <f>SUMIF('明细表L2-2'!A:A,'附注披露（上市公司）信息'!A14,'明细表L2-2'!R:R)</f>
        <v>0</v>
      </c>
    </row>
    <row r="15" spans="1:5" ht="19.95" customHeight="1">
      <c r="A15" s="140" t="s">
        <v>88</v>
      </c>
      <c r="B15" s="141">
        <f>SUM(B8:B11,B14)</f>
        <v>0</v>
      </c>
      <c r="C15" s="141">
        <f>SUM(C8:C11,C14)</f>
        <v>0</v>
      </c>
    </row>
    <row r="16" spans="1:5" ht="19.95" customHeight="1">
      <c r="A16" s="134" t="s">
        <v>89</v>
      </c>
    </row>
    <row r="17" spans="1:3" ht="19.95" customHeight="1">
      <c r="A17" s="135" t="s">
        <v>90</v>
      </c>
      <c r="B17" s="142" t="s">
        <v>91</v>
      </c>
      <c r="C17" s="142" t="s">
        <v>92</v>
      </c>
    </row>
    <row r="18" spans="1:3" ht="19.95" customHeight="1">
      <c r="A18" s="143" t="str">
        <f>IF('明细表L2-2'!V12&gt;0,'明细表L2-2'!C12,"")</f>
        <v/>
      </c>
      <c r="B18" s="144" t="str">
        <f>IF('明细表L2-2'!V12&gt;0,'明细表L2-2'!V12,"")</f>
        <v/>
      </c>
      <c r="C18" s="144" t="str">
        <f>IF('明细表L2-2'!V12&gt;0,'明细表L2-2'!W12,"")</f>
        <v/>
      </c>
    </row>
    <row r="19" spans="1:3" ht="19.95" customHeight="1">
      <c r="A19" s="143" t="str">
        <f>IF('明细表L2-2'!V13&gt;0,'明细表L2-2'!C13,"")</f>
        <v/>
      </c>
      <c r="B19" s="144" t="str">
        <f>IF('明细表L2-2'!V13&gt;0,'明细表L2-2'!V13,"")</f>
        <v/>
      </c>
      <c r="C19" s="144" t="str">
        <f>IF('明细表L2-2'!V13&gt;0,'明细表L2-2'!W13,"")</f>
        <v/>
      </c>
    </row>
    <row r="20" spans="1:3" ht="19.95" customHeight="1">
      <c r="A20" s="143" t="str">
        <f>IF('明细表L2-2'!V14&gt;0,'明细表L2-2'!C14,"")</f>
        <v/>
      </c>
      <c r="B20" s="144" t="str">
        <f>IF('明细表L2-2'!V14&gt;0,'明细表L2-2'!V14,"")</f>
        <v/>
      </c>
      <c r="C20" s="144" t="str">
        <f>IF('明细表L2-2'!V14&gt;0,'明细表L2-2'!W14,"")</f>
        <v/>
      </c>
    </row>
    <row r="21" spans="1:3" ht="19.95" customHeight="1">
      <c r="A21" s="143" t="str">
        <f>IF('明细表L2-2'!V15&gt;0,'明细表L2-2'!C15,"")</f>
        <v/>
      </c>
      <c r="B21" s="144" t="str">
        <f>IF('明细表L2-2'!V15&gt;0,'明细表L2-2'!V15,"")</f>
        <v/>
      </c>
      <c r="C21" s="144" t="str">
        <f>IF('明细表L2-2'!V15&gt;0,'明细表L2-2'!W15,"")</f>
        <v/>
      </c>
    </row>
    <row r="22" spans="1:3" ht="19.95" customHeight="1">
      <c r="A22" s="143" t="str">
        <f>IF('明细表L2-2'!V16&gt;0,'明细表L2-2'!C16,"")</f>
        <v/>
      </c>
      <c r="B22" s="144" t="str">
        <f>IF('明细表L2-2'!V16&gt;0,'明细表L2-2'!V16,"")</f>
        <v/>
      </c>
      <c r="C22" s="144" t="str">
        <f>IF('明细表L2-2'!V16&gt;0,'明细表L2-2'!W16,"")</f>
        <v/>
      </c>
    </row>
    <row r="23" spans="1:3" ht="19.95" customHeight="1">
      <c r="A23" s="143" t="str">
        <f>IF('明细表L2-2'!V17&gt;0,'明细表L2-2'!C17,"")</f>
        <v/>
      </c>
      <c r="B23" s="144" t="str">
        <f>IF('明细表L2-2'!V17&gt;0,'明细表L2-2'!V17,"")</f>
        <v/>
      </c>
      <c r="C23" s="144" t="str">
        <f>IF('明细表L2-2'!V17&gt;0,'明细表L2-2'!W17,"")</f>
        <v/>
      </c>
    </row>
    <row r="24" spans="1:3" ht="19.95" customHeight="1">
      <c r="A24" s="143" t="str">
        <f>IF('明细表L2-2'!V18&gt;0,'明细表L2-2'!C18,"")</f>
        <v/>
      </c>
      <c r="B24" s="144" t="str">
        <f>IF('明细表L2-2'!V18&gt;0,'明细表L2-2'!V18,"")</f>
        <v/>
      </c>
      <c r="C24" s="144" t="str">
        <f>IF('明细表L2-2'!V18&gt;0,'明细表L2-2'!W18,"")</f>
        <v/>
      </c>
    </row>
    <row r="25" spans="1:3" ht="19.95" customHeight="1">
      <c r="A25" s="143" t="str">
        <f>IF('明细表L2-2'!V19&gt;0,'明细表L2-2'!C19,"")</f>
        <v/>
      </c>
      <c r="B25" s="144" t="str">
        <f>IF('明细表L2-2'!V19&gt;0,'明细表L2-2'!V19,"")</f>
        <v/>
      </c>
      <c r="C25" s="144" t="str">
        <f>IF('明细表L2-2'!V19&gt;0,'明细表L2-2'!W19,"")</f>
        <v/>
      </c>
    </row>
    <row r="26" spans="1:3" ht="19.95" customHeight="1">
      <c r="A26" s="143" t="str">
        <f>IF('明细表L2-2'!V20&gt;0,'明细表L2-2'!C20,"")</f>
        <v/>
      </c>
      <c r="B26" s="144" t="str">
        <f>IF('明细表L2-2'!V20&gt;0,'明细表L2-2'!V20,"")</f>
        <v/>
      </c>
      <c r="C26" s="144" t="str">
        <f>IF('明细表L2-2'!V20&gt;0,'明细表L2-2'!W20,"")</f>
        <v/>
      </c>
    </row>
    <row r="27" spans="1:3" ht="19.95" customHeight="1">
      <c r="A27" s="143" t="str">
        <f>IF('明细表L2-2'!V21&gt;0,'明细表L2-2'!C21,"")</f>
        <v/>
      </c>
      <c r="B27" s="144" t="str">
        <f>IF('明细表L2-2'!V21&gt;0,'明细表L2-2'!V21,"")</f>
        <v/>
      </c>
      <c r="C27" s="144" t="str">
        <f>IF('明细表L2-2'!V21&gt;0,'明细表L2-2'!W21,"")</f>
        <v/>
      </c>
    </row>
    <row r="28" spans="1:3" ht="19.95" customHeight="1">
      <c r="A28" s="143" t="str">
        <f>IF('明细表L2-2'!V22&gt;0,'明细表L2-2'!C22,"")</f>
        <v/>
      </c>
      <c r="B28" s="144" t="str">
        <f>IF('明细表L2-2'!V22&gt;0,'明细表L2-2'!V22,"")</f>
        <v/>
      </c>
      <c r="C28" s="144" t="str">
        <f>IF('明细表L2-2'!V22&gt;0,'明细表L2-2'!W22,"")</f>
        <v/>
      </c>
    </row>
    <row r="29" spans="1:3" ht="19.95" customHeight="1">
      <c r="A29" s="143" t="str">
        <f>IF('明细表L2-2'!V23&gt;0,'明细表L2-2'!C23,"")</f>
        <v/>
      </c>
      <c r="B29" s="144" t="str">
        <f>IF('明细表L2-2'!V23&gt;0,'明细表L2-2'!V23,"")</f>
        <v/>
      </c>
      <c r="C29" s="144" t="str">
        <f>IF('明细表L2-2'!V23&gt;0,'明细表L2-2'!W23,"")</f>
        <v/>
      </c>
    </row>
    <row r="30" spans="1:3" ht="19.95" customHeight="1">
      <c r="A30" s="143" t="str">
        <f>IF('明细表L2-2'!V24&gt;0,'明细表L2-2'!C24,"")</f>
        <v/>
      </c>
      <c r="B30" s="144" t="str">
        <f>IF('明细表L2-2'!V24&gt;0,'明细表L2-2'!V24,"")</f>
        <v/>
      </c>
      <c r="C30" s="144" t="str">
        <f>IF('明细表L2-2'!V24&gt;0,'明细表L2-2'!W24,"")</f>
        <v/>
      </c>
    </row>
    <row r="31" spans="1:3" ht="19.95" customHeight="1">
      <c r="A31" s="143" t="str">
        <f>IF('明细表L2-2'!V25&gt;0,'明细表L2-2'!C25,"")</f>
        <v/>
      </c>
      <c r="B31" s="144" t="str">
        <f>IF('明细表L2-2'!V25&gt;0,'明细表L2-2'!V25,"")</f>
        <v/>
      </c>
      <c r="C31" s="144" t="str">
        <f>IF('明细表L2-2'!V25&gt;0,'明细表L2-2'!W25,"")</f>
        <v/>
      </c>
    </row>
    <row r="32" spans="1:3" ht="19.95" customHeight="1">
      <c r="A32" s="143" t="str">
        <f>IF('明细表L2-2'!V26&gt;0,'明细表L2-2'!C26,"")</f>
        <v/>
      </c>
      <c r="B32" s="144" t="str">
        <f>IF('明细表L2-2'!V26&gt;0,'明细表L2-2'!V26,"")</f>
        <v/>
      </c>
      <c r="C32" s="144" t="str">
        <f>IF('明细表L2-2'!V26&gt;0,'明细表L2-2'!W26,"")</f>
        <v/>
      </c>
    </row>
    <row r="33" spans="1:3" ht="19.95" customHeight="1">
      <c r="A33" s="143" t="str">
        <f>IF('明细表L2-2'!V27&gt;0,'明细表L2-2'!C27,"")</f>
        <v/>
      </c>
      <c r="B33" s="144" t="str">
        <f>IF('明细表L2-2'!V27&gt;0,'明细表L2-2'!V27,"")</f>
        <v/>
      </c>
      <c r="C33" s="144" t="str">
        <f>IF('明细表L2-2'!V27&gt;0,'明细表L2-2'!W27,"")</f>
        <v/>
      </c>
    </row>
    <row r="34" spans="1:3" ht="19.95" customHeight="1">
      <c r="A34" s="135" t="s">
        <v>93</v>
      </c>
      <c r="B34" s="145">
        <f>SUM(B18:B33)</f>
        <v>0</v>
      </c>
      <c r="C34" s="142" t="s">
        <v>94</v>
      </c>
    </row>
  </sheetData>
  <mergeCells count="2">
    <mergeCell ref="A1:D1"/>
    <mergeCell ref="A2:D2"/>
  </mergeCells>
  <phoneticPr fontId="77" type="noConversion"/>
  <hyperlinks>
    <hyperlink ref="E2" location="底稿目录!A1" display="返回目录"/>
  </hyperlinks>
  <printOptions horizontalCentered="1"/>
  <pageMargins left="0.70866141732283505" right="0.70866141732283505" top="0.74803149606299202" bottom="0.74803149606299202" header="0.31496062992126" footer="0.31496062992126"/>
  <pageSetup paperSize="9" fitToHeight="0"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34"/>
  <sheetViews>
    <sheetView view="pageBreakPreview" zoomScaleNormal="100" workbookViewId="0">
      <selection activeCell="F23" sqref="F23"/>
    </sheetView>
  </sheetViews>
  <sheetFormatPr defaultColWidth="15.69921875" defaultRowHeight="19.95" customHeight="1"/>
  <cols>
    <col min="1" max="1" width="17.19921875" style="7" customWidth="1"/>
    <col min="2" max="16384" width="15.69921875" style="7"/>
  </cols>
  <sheetData>
    <row r="1" spans="1:16" s="75" customFormat="1" ht="19.95" customHeight="1">
      <c r="A1" s="254" t="s">
        <v>34</v>
      </c>
      <c r="B1" s="254"/>
      <c r="C1" s="254"/>
      <c r="D1" s="254"/>
      <c r="E1" s="254"/>
      <c r="F1" s="107"/>
      <c r="G1" s="107"/>
      <c r="H1" s="107"/>
      <c r="I1" s="107"/>
      <c r="J1" s="107"/>
      <c r="K1" s="107"/>
      <c r="L1" s="107"/>
      <c r="M1" s="107"/>
      <c r="N1" s="107"/>
      <c r="O1" s="107"/>
      <c r="P1" s="107"/>
    </row>
    <row r="2" spans="1:16" s="76" customFormat="1" ht="19.95" customHeight="1">
      <c r="A2" s="255" t="s">
        <v>73</v>
      </c>
      <c r="B2" s="255"/>
      <c r="C2" s="255"/>
      <c r="D2" s="255"/>
      <c r="E2" s="255"/>
      <c r="F2" s="36" t="s">
        <v>74</v>
      </c>
      <c r="G2" s="132"/>
      <c r="H2" s="132"/>
      <c r="I2" s="132"/>
      <c r="J2" s="254"/>
      <c r="K2" s="254"/>
      <c r="L2" s="254"/>
      <c r="M2" s="254"/>
      <c r="N2" s="254"/>
      <c r="O2" s="254"/>
      <c r="P2" s="254"/>
    </row>
    <row r="3" spans="1:16" s="3" customFormat="1" ht="19.95" customHeight="1">
      <c r="A3" s="3" t="str">
        <f>底稿目录!A2</f>
        <v>被审计单位：</v>
      </c>
      <c r="B3" s="81" t="str">
        <f>'审定表L2-1'!E3</f>
        <v>编制人：</v>
      </c>
      <c r="C3" s="3" t="str">
        <f>底稿目录!A5</f>
        <v>编制日期：</v>
      </c>
      <c r="E3" s="3" t="s">
        <v>17</v>
      </c>
    </row>
    <row r="4" spans="1:16" s="3" customFormat="1" ht="19.95" customHeight="1">
      <c r="A4" s="3" t="str">
        <f>底稿目录!A3</f>
        <v>截止日：202X年12月31日</v>
      </c>
      <c r="B4" s="81" t="str">
        <f>底稿目录!A6</f>
        <v>复核人：</v>
      </c>
      <c r="C4" s="3" t="str">
        <f>底稿目录!A7</f>
        <v>复核日期：</v>
      </c>
      <c r="E4" s="3" t="s">
        <v>75</v>
      </c>
    </row>
    <row r="5" spans="1:16" ht="19.95" customHeight="1">
      <c r="A5" s="7" t="s">
        <v>95</v>
      </c>
      <c r="B5" s="133"/>
    </row>
    <row r="6" spans="1:16" ht="19.95" customHeight="1">
      <c r="A6" s="134" t="s">
        <v>77</v>
      </c>
      <c r="B6" s="134"/>
    </row>
    <row r="7" spans="1:16" ht="19.95" customHeight="1">
      <c r="A7" s="135" t="s">
        <v>78</v>
      </c>
      <c r="B7" s="136" t="s">
        <v>79</v>
      </c>
      <c r="C7" s="136" t="s">
        <v>96</v>
      </c>
    </row>
    <row r="8" spans="1:16" ht="31.2">
      <c r="A8" s="137" t="s">
        <v>81</v>
      </c>
      <c r="B8" s="138">
        <f>SUMIF('明细表L2-2'!A:A,'附注披露（上市公司）信息'!A8,'明细表L2-2'!U:U)</f>
        <v>0</v>
      </c>
      <c r="C8" s="138">
        <f>SUMIF('明细表L2-2'!A:A,'附注披露（上市公司）信息'!A8,'明细表L2-2'!R:R)</f>
        <v>0</v>
      </c>
    </row>
    <row r="9" spans="1:16" ht="19.95" customHeight="1">
      <c r="A9" s="137" t="s">
        <v>82</v>
      </c>
      <c r="B9" s="138">
        <f>SUMIF('明细表L2-2'!A:A,'附注披露（上市公司）信息'!A9,'明细表L2-2'!U:U)</f>
        <v>0</v>
      </c>
      <c r="C9" s="138">
        <f>SUMIF('明细表L2-2'!A:A,'附注披露（上市公司）信息'!A9,'明细表L2-2'!R:R)</f>
        <v>0</v>
      </c>
    </row>
    <row r="10" spans="1:16" ht="19.95" customHeight="1">
      <c r="A10" s="137" t="s">
        <v>83</v>
      </c>
      <c r="B10" s="138">
        <f>SUMIF('明细表L2-2'!A:A,'附注披露（上市公司）信息'!A10,'明细表L2-2'!U:U)</f>
        <v>0</v>
      </c>
      <c r="C10" s="138">
        <f>SUMIF('明细表L2-2'!A:A,'附注披露（上市公司）信息'!A10,'明细表L2-2'!R:R)</f>
        <v>0</v>
      </c>
    </row>
    <row r="11" spans="1:16" ht="31.8">
      <c r="A11" s="137" t="s">
        <v>84</v>
      </c>
      <c r="B11" s="139">
        <f>SUM(B12:B13)</f>
        <v>0</v>
      </c>
      <c r="C11" s="139">
        <f>SUM(C12:C13)</f>
        <v>0</v>
      </c>
    </row>
    <row r="12" spans="1:16" ht="19.95" customHeight="1">
      <c r="A12" s="137" t="s">
        <v>85</v>
      </c>
      <c r="B12" s="138">
        <f>SUMIF('明细表L2-2'!A:A,'附注披露（上市公司）信息'!A12,'明细表L2-2'!U:U)</f>
        <v>0</v>
      </c>
      <c r="C12" s="139"/>
    </row>
    <row r="13" spans="1:16" ht="19.95" customHeight="1">
      <c r="A13" s="137" t="s">
        <v>86</v>
      </c>
      <c r="B13" s="138">
        <f>SUMIF('明细表L2-2'!A:A,'附注披露（上市公司）信息'!A13,'明细表L2-2'!U:U)</f>
        <v>0</v>
      </c>
      <c r="C13" s="138">
        <f>SUMIF('明细表L2-2'!A:A,'附注披露（上市公司）信息'!A13,'明细表L2-2'!R:R)</f>
        <v>0</v>
      </c>
    </row>
    <row r="14" spans="1:16" ht="19.95" customHeight="1">
      <c r="A14" s="137" t="s">
        <v>87</v>
      </c>
      <c r="B14" s="138">
        <f>SUMIF('明细表L2-2'!A:A,'附注披露（上市公司）信息'!A14,'明细表L2-2'!U:U)</f>
        <v>0</v>
      </c>
      <c r="C14" s="138">
        <f>SUMIF('明细表L2-2'!A:A,'附注披露（上市公司）信息'!A14,'明细表L2-2'!R:R)</f>
        <v>0</v>
      </c>
    </row>
    <row r="15" spans="1:16" ht="19.95" customHeight="1">
      <c r="A15" s="140" t="s">
        <v>88</v>
      </c>
      <c r="B15" s="141">
        <f>SUM(B8:B11,B14)</f>
        <v>0</v>
      </c>
      <c r="C15" s="141">
        <f>SUM(C8:C11,C14)</f>
        <v>0</v>
      </c>
    </row>
    <row r="16" spans="1:16" ht="19.95" customHeight="1">
      <c r="A16" s="134" t="s">
        <v>89</v>
      </c>
    </row>
    <row r="17" spans="1:3" ht="19.95" customHeight="1">
      <c r="A17" s="135" t="s">
        <v>90</v>
      </c>
      <c r="B17" s="142" t="s">
        <v>91</v>
      </c>
      <c r="C17" s="142" t="s">
        <v>92</v>
      </c>
    </row>
    <row r="18" spans="1:3" ht="19.95" customHeight="1">
      <c r="A18" s="143" t="str">
        <f>IF('明细表L2-2'!V12&gt;0,'明细表L2-2'!C12,"")</f>
        <v/>
      </c>
      <c r="B18" s="144" t="str">
        <f>IF('明细表L2-2'!V12&gt;0,'明细表L2-2'!V12,"")</f>
        <v/>
      </c>
      <c r="C18" s="144" t="str">
        <f>IF('明细表L2-2'!V12&gt;0,'明细表L2-2'!W12,"")</f>
        <v/>
      </c>
    </row>
    <row r="19" spans="1:3" ht="19.95" customHeight="1">
      <c r="A19" s="143" t="str">
        <f>IF('明细表L2-2'!V13&gt;0,'明细表L2-2'!C13,"")</f>
        <v/>
      </c>
      <c r="B19" s="144" t="str">
        <f>IF('明细表L2-2'!V13&gt;0,'明细表L2-2'!V13,"")</f>
        <v/>
      </c>
      <c r="C19" s="144" t="str">
        <f>IF('明细表L2-2'!V13&gt;0,'明细表L2-2'!W13,"")</f>
        <v/>
      </c>
    </row>
    <row r="20" spans="1:3" ht="19.95" customHeight="1">
      <c r="A20" s="143" t="str">
        <f>IF('明细表L2-2'!V14&gt;0,'明细表L2-2'!C14,"")</f>
        <v/>
      </c>
      <c r="B20" s="144" t="str">
        <f>IF('明细表L2-2'!V14&gt;0,'明细表L2-2'!V14,"")</f>
        <v/>
      </c>
      <c r="C20" s="144" t="str">
        <f>IF('明细表L2-2'!V14&gt;0,'明细表L2-2'!W14,"")</f>
        <v/>
      </c>
    </row>
    <row r="21" spans="1:3" ht="19.95" customHeight="1">
      <c r="A21" s="143" t="str">
        <f>IF('明细表L2-2'!V15&gt;0,'明细表L2-2'!C15,"")</f>
        <v/>
      </c>
      <c r="B21" s="144" t="str">
        <f>IF('明细表L2-2'!V15&gt;0,'明细表L2-2'!V15,"")</f>
        <v/>
      </c>
      <c r="C21" s="144" t="str">
        <f>IF('明细表L2-2'!V15&gt;0,'明细表L2-2'!W15,"")</f>
        <v/>
      </c>
    </row>
    <row r="22" spans="1:3" ht="19.95" customHeight="1">
      <c r="A22" s="143" t="str">
        <f>IF('明细表L2-2'!V16&gt;0,'明细表L2-2'!C16,"")</f>
        <v/>
      </c>
      <c r="B22" s="144" t="str">
        <f>IF('明细表L2-2'!V16&gt;0,'明细表L2-2'!V16,"")</f>
        <v/>
      </c>
      <c r="C22" s="144" t="str">
        <f>IF('明细表L2-2'!V16&gt;0,'明细表L2-2'!W16,"")</f>
        <v/>
      </c>
    </row>
    <row r="23" spans="1:3" ht="19.95" customHeight="1">
      <c r="A23" s="143" t="str">
        <f>IF('明细表L2-2'!V17&gt;0,'明细表L2-2'!C17,"")</f>
        <v/>
      </c>
      <c r="B23" s="144" t="str">
        <f>IF('明细表L2-2'!V17&gt;0,'明细表L2-2'!V17,"")</f>
        <v/>
      </c>
      <c r="C23" s="144" t="str">
        <f>IF('明细表L2-2'!V17&gt;0,'明细表L2-2'!W17,"")</f>
        <v/>
      </c>
    </row>
    <row r="24" spans="1:3" ht="19.95" customHeight="1">
      <c r="A24" s="143" t="str">
        <f>IF('明细表L2-2'!V18&gt;0,'明细表L2-2'!C18,"")</f>
        <v/>
      </c>
      <c r="B24" s="144" t="str">
        <f>IF('明细表L2-2'!V18&gt;0,'明细表L2-2'!V18,"")</f>
        <v/>
      </c>
      <c r="C24" s="144" t="str">
        <f>IF('明细表L2-2'!V18&gt;0,'明细表L2-2'!W18,"")</f>
        <v/>
      </c>
    </row>
    <row r="25" spans="1:3" ht="19.95" customHeight="1">
      <c r="A25" s="143" t="str">
        <f>IF('明细表L2-2'!V19&gt;0,'明细表L2-2'!C19,"")</f>
        <v/>
      </c>
      <c r="B25" s="144" t="str">
        <f>IF('明细表L2-2'!V19&gt;0,'明细表L2-2'!V19,"")</f>
        <v/>
      </c>
      <c r="C25" s="144" t="str">
        <f>IF('明细表L2-2'!V19&gt;0,'明细表L2-2'!W19,"")</f>
        <v/>
      </c>
    </row>
    <row r="26" spans="1:3" ht="19.95" customHeight="1">
      <c r="A26" s="143" t="str">
        <f>IF('明细表L2-2'!V20&gt;0,'明细表L2-2'!C20,"")</f>
        <v/>
      </c>
      <c r="B26" s="144" t="str">
        <f>IF('明细表L2-2'!V20&gt;0,'明细表L2-2'!V20,"")</f>
        <v/>
      </c>
      <c r="C26" s="144" t="str">
        <f>IF('明细表L2-2'!V20&gt;0,'明细表L2-2'!W20,"")</f>
        <v/>
      </c>
    </row>
    <row r="27" spans="1:3" ht="19.95" customHeight="1">
      <c r="A27" s="143" t="str">
        <f>IF('明细表L2-2'!V21&gt;0,'明细表L2-2'!C21,"")</f>
        <v/>
      </c>
      <c r="B27" s="144" t="str">
        <f>IF('明细表L2-2'!V21&gt;0,'明细表L2-2'!V21,"")</f>
        <v/>
      </c>
      <c r="C27" s="144" t="str">
        <f>IF('明细表L2-2'!V21&gt;0,'明细表L2-2'!W21,"")</f>
        <v/>
      </c>
    </row>
    <row r="28" spans="1:3" ht="19.95" customHeight="1">
      <c r="A28" s="143" t="str">
        <f>IF('明细表L2-2'!V22&gt;0,'明细表L2-2'!C22,"")</f>
        <v/>
      </c>
      <c r="B28" s="144" t="str">
        <f>IF('明细表L2-2'!V22&gt;0,'明细表L2-2'!V22,"")</f>
        <v/>
      </c>
      <c r="C28" s="144" t="str">
        <f>IF('明细表L2-2'!V22&gt;0,'明细表L2-2'!W22,"")</f>
        <v/>
      </c>
    </row>
    <row r="29" spans="1:3" ht="19.95" customHeight="1">
      <c r="A29" s="143" t="str">
        <f>IF('明细表L2-2'!V23&gt;0,'明细表L2-2'!C23,"")</f>
        <v/>
      </c>
      <c r="B29" s="144" t="str">
        <f>IF('明细表L2-2'!V23&gt;0,'明细表L2-2'!V23,"")</f>
        <v/>
      </c>
      <c r="C29" s="144" t="str">
        <f>IF('明细表L2-2'!V23&gt;0,'明细表L2-2'!W23,"")</f>
        <v/>
      </c>
    </row>
    <row r="30" spans="1:3" ht="19.95" customHeight="1">
      <c r="A30" s="143" t="str">
        <f>IF('明细表L2-2'!V24&gt;0,'明细表L2-2'!C24,"")</f>
        <v/>
      </c>
      <c r="B30" s="144" t="str">
        <f>IF('明细表L2-2'!V24&gt;0,'明细表L2-2'!V24,"")</f>
        <v/>
      </c>
      <c r="C30" s="144" t="str">
        <f>IF('明细表L2-2'!V24&gt;0,'明细表L2-2'!W24,"")</f>
        <v/>
      </c>
    </row>
    <row r="31" spans="1:3" ht="19.95" customHeight="1">
      <c r="A31" s="143" t="str">
        <f>IF('明细表L2-2'!V25&gt;0,'明细表L2-2'!C25,"")</f>
        <v/>
      </c>
      <c r="B31" s="144" t="str">
        <f>IF('明细表L2-2'!V25&gt;0,'明细表L2-2'!V25,"")</f>
        <v/>
      </c>
      <c r="C31" s="144" t="str">
        <f>IF('明细表L2-2'!V25&gt;0,'明细表L2-2'!W25,"")</f>
        <v/>
      </c>
    </row>
    <row r="32" spans="1:3" ht="19.95" customHeight="1">
      <c r="A32" s="143" t="str">
        <f>IF('明细表L2-2'!V26&gt;0,'明细表L2-2'!C26,"")</f>
        <v/>
      </c>
      <c r="B32" s="144" t="str">
        <f>IF('明细表L2-2'!V26&gt;0,'明细表L2-2'!V26,"")</f>
        <v/>
      </c>
      <c r="C32" s="144" t="str">
        <f>IF('明细表L2-2'!V26&gt;0,'明细表L2-2'!W26,"")</f>
        <v/>
      </c>
    </row>
    <row r="33" spans="1:3" ht="19.95" customHeight="1">
      <c r="A33" s="143" t="str">
        <f>IF('明细表L2-2'!V27&gt;0,'明细表L2-2'!C27,"")</f>
        <v/>
      </c>
      <c r="B33" s="144" t="str">
        <f>IF('明细表L2-2'!V27&gt;0,'明细表L2-2'!V27,"")</f>
        <v/>
      </c>
      <c r="C33" s="144" t="str">
        <f>IF('明细表L2-2'!V27&gt;0,'明细表L2-2'!W27,"")</f>
        <v/>
      </c>
    </row>
    <row r="34" spans="1:3" ht="19.95" customHeight="1">
      <c r="A34" s="135" t="s">
        <v>93</v>
      </c>
      <c r="B34" s="145">
        <f>SUM(B18:B33)</f>
        <v>0</v>
      </c>
      <c r="C34" s="142" t="s">
        <v>94</v>
      </c>
    </row>
  </sheetData>
  <mergeCells count="3">
    <mergeCell ref="A1:E1"/>
    <mergeCell ref="A2:E2"/>
    <mergeCell ref="J2:P2"/>
  </mergeCells>
  <phoneticPr fontId="77" type="noConversion"/>
  <hyperlinks>
    <hyperlink ref="F2" location="底稿目录!A1" display="返回目录"/>
  </hyperlinks>
  <printOptions horizontalCentered="1"/>
  <pageMargins left="0.70866141732283505" right="0.70866141732283505" top="0.74803149606299202" bottom="0.74803149606299202" header="0.31496062992126" footer="0.31496062992126"/>
  <pageSetup paperSize="9" scale="88" fitToWidth="0" fitToHeight="0"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A39"/>
  <sheetViews>
    <sheetView showWhiteSpace="0" view="pageBreakPreview" zoomScaleNormal="100" workbookViewId="0">
      <selection sqref="A1:K1"/>
    </sheetView>
  </sheetViews>
  <sheetFormatPr defaultColWidth="9" defaultRowHeight="19.95" customHeight="1"/>
  <cols>
    <col min="1" max="1" width="28.69921875" style="80" customWidth="1"/>
    <col min="2" max="2" width="18.796875" style="80" customWidth="1"/>
    <col min="3" max="3" width="16.796875" style="80" customWidth="1"/>
    <col min="4" max="4" width="11.296875" style="80" customWidth="1"/>
    <col min="5" max="5" width="9.59765625" style="80" customWidth="1"/>
    <col min="6" max="6" width="9.5" style="80" customWidth="1"/>
    <col min="7" max="7" width="7.59765625" style="80" customWidth="1"/>
    <col min="8" max="8" width="10.59765625" style="80" customWidth="1"/>
    <col min="9" max="10" width="12.59765625" style="80" customWidth="1"/>
    <col min="11" max="11" width="11.59765625" style="80" customWidth="1"/>
    <col min="12" max="12" width="10" style="80" customWidth="1"/>
    <col min="13" max="20" width="11.59765625" style="80" customWidth="1"/>
    <col min="21" max="21" width="10" style="80" customWidth="1"/>
    <col min="22" max="22" width="8.69921875" style="80" customWidth="1"/>
    <col min="23" max="23" width="8.19921875" style="80" customWidth="1"/>
    <col min="24" max="24" width="4.69921875" style="80" customWidth="1"/>
    <col min="25" max="16384" width="9" style="80"/>
  </cols>
  <sheetData>
    <row r="1" spans="1:25" s="75" customFormat="1" ht="19.95" customHeight="1">
      <c r="A1" s="256" t="s">
        <v>34</v>
      </c>
      <c r="B1" s="256"/>
      <c r="C1" s="256"/>
      <c r="D1" s="256"/>
      <c r="E1" s="256"/>
      <c r="F1" s="256"/>
      <c r="G1" s="256"/>
      <c r="H1" s="256"/>
      <c r="I1" s="256"/>
      <c r="J1" s="256"/>
      <c r="K1" s="256"/>
      <c r="L1" s="256" t="s">
        <v>34</v>
      </c>
      <c r="M1" s="256"/>
      <c r="N1" s="256"/>
      <c r="O1" s="256"/>
      <c r="P1" s="256"/>
      <c r="Q1" s="256"/>
      <c r="R1" s="256"/>
      <c r="S1" s="256"/>
      <c r="T1" s="256"/>
      <c r="U1" s="256"/>
      <c r="V1" s="256"/>
      <c r="W1" s="100"/>
      <c r="X1" s="100"/>
      <c r="Y1" s="107"/>
    </row>
    <row r="2" spans="1:25" s="76" customFormat="1" ht="19.95" customHeight="1">
      <c r="A2" s="255" t="s">
        <v>121</v>
      </c>
      <c r="B2" s="255"/>
      <c r="C2" s="255"/>
      <c r="D2" s="255"/>
      <c r="E2" s="255"/>
      <c r="F2" s="255"/>
      <c r="G2" s="255"/>
      <c r="H2" s="255"/>
      <c r="I2" s="255"/>
      <c r="J2" s="255"/>
      <c r="K2" s="255"/>
      <c r="L2" s="255" t="s">
        <v>121</v>
      </c>
      <c r="M2" s="255"/>
      <c r="N2" s="255"/>
      <c r="O2" s="255"/>
      <c r="P2" s="255"/>
      <c r="Q2" s="255"/>
      <c r="R2" s="255"/>
      <c r="S2" s="255"/>
      <c r="T2" s="255"/>
      <c r="U2" s="255"/>
      <c r="V2" s="255"/>
      <c r="W2" s="101"/>
      <c r="X2" s="101"/>
      <c r="Y2" s="36"/>
    </row>
    <row r="3" spans="1:25" s="3" customFormat="1" ht="19.95" customHeight="1">
      <c r="A3" s="3" t="str">
        <f>底稿目录!A2</f>
        <v>被审计单位：</v>
      </c>
      <c r="C3" s="81" t="str">
        <f>底稿目录!A4</f>
        <v>编制人：</v>
      </c>
      <c r="H3" s="3" t="str">
        <f>底稿目录!A5</f>
        <v>编制日期：</v>
      </c>
      <c r="J3" s="98" t="s">
        <v>17</v>
      </c>
      <c r="K3" s="210" t="str">
        <f>底稿目录!F8</f>
        <v>L2-2</v>
      </c>
      <c r="M3" s="81" t="str">
        <f>C3</f>
        <v>编制人：</v>
      </c>
      <c r="Q3" s="3" t="str">
        <f>H3</f>
        <v>编制日期：</v>
      </c>
      <c r="W3" s="98" t="s">
        <v>17</v>
      </c>
      <c r="X3" s="210" t="str">
        <f>底稿目录!F8</f>
        <v>L2-2</v>
      </c>
    </row>
    <row r="4" spans="1:25" s="3" customFormat="1" ht="19.95" customHeight="1">
      <c r="A4" s="3" t="str">
        <f>底稿目录!A3</f>
        <v>截止日：202X年12月31日</v>
      </c>
      <c r="C4" s="81" t="str">
        <f>底稿目录!A6</f>
        <v>复核人：</v>
      </c>
      <c r="H4" s="3" t="str">
        <f>底稿目录!A7</f>
        <v>复核日期：</v>
      </c>
      <c r="J4" s="98" t="s">
        <v>75</v>
      </c>
      <c r="M4" s="81" t="str">
        <f>C4</f>
        <v>复核人：</v>
      </c>
      <c r="Q4" s="3" t="str">
        <f>H4</f>
        <v>复核日期：</v>
      </c>
      <c r="W4" s="98" t="s">
        <v>75</v>
      </c>
    </row>
    <row r="5" spans="1:25" s="3" customFormat="1" ht="19.95" customHeight="1">
      <c r="A5" s="1" t="s">
        <v>122</v>
      </c>
      <c r="I5" s="81"/>
      <c r="J5" s="98"/>
      <c r="U5" s="98"/>
      <c r="V5" s="98"/>
      <c r="W5" s="98"/>
    </row>
    <row r="6" spans="1:25" s="3" customFormat="1" ht="19.95" customHeight="1">
      <c r="A6" s="3" t="s">
        <v>123</v>
      </c>
      <c r="I6" s="81"/>
      <c r="J6" s="98"/>
      <c r="U6" s="98"/>
      <c r="V6" s="98"/>
      <c r="W6" s="98"/>
    </row>
    <row r="7" spans="1:25" s="3" customFormat="1" ht="19.95" customHeight="1">
      <c r="A7" s="3" t="s">
        <v>124</v>
      </c>
      <c r="I7" s="81"/>
      <c r="J7" s="98"/>
      <c r="U7" s="98"/>
      <c r="V7" s="98"/>
      <c r="W7" s="98"/>
    </row>
    <row r="8" spans="1:25" s="3" customFormat="1" ht="19.95" customHeight="1">
      <c r="A8" s="1" t="s">
        <v>125</v>
      </c>
      <c r="I8" s="81"/>
      <c r="J8" s="98"/>
      <c r="U8" s="98"/>
      <c r="V8" s="98"/>
      <c r="W8" s="98"/>
    </row>
    <row r="9" spans="1:25" s="3" customFormat="1" ht="19.95" customHeight="1">
      <c r="A9" s="3" t="s">
        <v>126</v>
      </c>
      <c r="I9" s="81"/>
      <c r="J9" s="98"/>
      <c r="U9" s="98"/>
      <c r="V9" s="98"/>
      <c r="W9" s="98"/>
    </row>
    <row r="10" spans="1:25" s="3" customFormat="1" ht="19.95" customHeight="1">
      <c r="A10" s="269" t="s">
        <v>127</v>
      </c>
      <c r="B10" s="271" t="s">
        <v>128</v>
      </c>
      <c r="C10" s="263" t="s">
        <v>129</v>
      </c>
      <c r="D10" s="263" t="s">
        <v>130</v>
      </c>
      <c r="E10" s="263" t="s">
        <v>131</v>
      </c>
      <c r="F10" s="263" t="s">
        <v>132</v>
      </c>
      <c r="G10" s="263" t="s">
        <v>133</v>
      </c>
      <c r="H10" s="257" t="s">
        <v>97</v>
      </c>
      <c r="I10" s="258"/>
      <c r="J10" s="258"/>
      <c r="K10" s="259"/>
      <c r="L10" s="260" t="s">
        <v>134</v>
      </c>
      <c r="M10" s="260"/>
      <c r="N10" s="261" t="s">
        <v>135</v>
      </c>
      <c r="O10" s="262"/>
      <c r="P10" s="261" t="s">
        <v>136</v>
      </c>
      <c r="Q10" s="262"/>
      <c r="R10" s="257" t="s">
        <v>98</v>
      </c>
      <c r="S10" s="258"/>
      <c r="T10" s="258"/>
      <c r="U10" s="259"/>
      <c r="V10" s="265" t="s">
        <v>137</v>
      </c>
      <c r="W10" s="265" t="s">
        <v>138</v>
      </c>
      <c r="X10" s="263" t="s">
        <v>139</v>
      </c>
    </row>
    <row r="11" spans="1:25" s="77" customFormat="1" ht="19.95" customHeight="1">
      <c r="A11" s="270"/>
      <c r="B11" s="272"/>
      <c r="C11" s="264"/>
      <c r="D11" s="264"/>
      <c r="E11" s="264"/>
      <c r="F11" s="264"/>
      <c r="G11" s="264"/>
      <c r="H11" s="82" t="s">
        <v>140</v>
      </c>
      <c r="I11" s="82" t="s">
        <v>141</v>
      </c>
      <c r="J11" s="82" t="s">
        <v>142</v>
      </c>
      <c r="K11" s="82" t="s">
        <v>143</v>
      </c>
      <c r="L11" s="99" t="s">
        <v>135</v>
      </c>
      <c r="M11" s="99" t="s">
        <v>136</v>
      </c>
      <c r="N11" s="99" t="s">
        <v>144</v>
      </c>
      <c r="O11" s="99" t="s">
        <v>145</v>
      </c>
      <c r="P11" s="99" t="s">
        <v>144</v>
      </c>
      <c r="Q11" s="99" t="s">
        <v>145</v>
      </c>
      <c r="R11" s="82" t="s">
        <v>140</v>
      </c>
      <c r="S11" s="82" t="s">
        <v>141</v>
      </c>
      <c r="T11" s="82" t="s">
        <v>142</v>
      </c>
      <c r="U11" s="82" t="s">
        <v>143</v>
      </c>
      <c r="V11" s="266"/>
      <c r="W11" s="266"/>
      <c r="X11" s="264"/>
    </row>
    <row r="12" spans="1:25" s="77" customFormat="1" ht="19.95" customHeight="1">
      <c r="A12" s="83" t="s">
        <v>146</v>
      </c>
      <c r="B12" s="84"/>
      <c r="C12" s="85"/>
      <c r="D12" s="86"/>
      <c r="E12" s="87"/>
      <c r="F12" s="87"/>
      <c r="G12" s="88"/>
      <c r="H12" s="86"/>
      <c r="I12" s="86"/>
      <c r="J12" s="86"/>
      <c r="K12" s="92">
        <f>H12+I12-J12</f>
        <v>0</v>
      </c>
      <c r="L12" s="86"/>
      <c r="M12" s="86"/>
      <c r="N12" s="86"/>
      <c r="O12" s="86"/>
      <c r="P12" s="86"/>
      <c r="Q12" s="86"/>
      <c r="R12" s="92">
        <f t="shared" ref="R12:R27" si="0">H12+L12+M12</f>
        <v>0</v>
      </c>
      <c r="S12" s="92">
        <f>I12+N12+P12</f>
        <v>0</v>
      </c>
      <c r="T12" s="92">
        <f>J12+O12+Q12</f>
        <v>0</v>
      </c>
      <c r="U12" s="92">
        <f>R12+S12-T12</f>
        <v>0</v>
      </c>
      <c r="V12" s="102"/>
      <c r="W12" s="103"/>
      <c r="X12" s="104"/>
    </row>
    <row r="13" spans="1:25" s="77" customFormat="1" ht="19.95" customHeight="1">
      <c r="A13" s="83" t="s">
        <v>146</v>
      </c>
      <c r="B13" s="89"/>
      <c r="C13" s="90"/>
      <c r="D13" s="86"/>
      <c r="E13" s="87"/>
      <c r="F13" s="87"/>
      <c r="G13" s="91"/>
      <c r="H13" s="86"/>
      <c r="I13" s="86"/>
      <c r="J13" s="86"/>
      <c r="K13" s="92">
        <f>H13+I13-J13</f>
        <v>0</v>
      </c>
      <c r="L13" s="86"/>
      <c r="M13" s="86"/>
      <c r="N13" s="86"/>
      <c r="O13" s="86"/>
      <c r="P13" s="86"/>
      <c r="Q13" s="86"/>
      <c r="R13" s="92">
        <f t="shared" si="0"/>
        <v>0</v>
      </c>
      <c r="S13" s="92">
        <f t="shared" ref="S13:T15" si="1">I13+N13+P13</f>
        <v>0</v>
      </c>
      <c r="T13" s="92">
        <f t="shared" si="1"/>
        <v>0</v>
      </c>
      <c r="U13" s="92">
        <f t="shared" ref="U13:U17" si="2">R13+S13-T13</f>
        <v>0</v>
      </c>
      <c r="V13" s="102"/>
      <c r="W13" s="102"/>
      <c r="X13" s="105"/>
    </row>
    <row r="14" spans="1:25" s="77" customFormat="1" ht="19.95" customHeight="1">
      <c r="A14" s="83" t="s">
        <v>146</v>
      </c>
      <c r="B14" s="89"/>
      <c r="C14" s="90"/>
      <c r="D14" s="86"/>
      <c r="E14" s="87"/>
      <c r="F14" s="87"/>
      <c r="G14" s="91"/>
      <c r="H14" s="86"/>
      <c r="I14" s="86"/>
      <c r="J14" s="86"/>
      <c r="K14" s="92">
        <f t="shared" ref="K14:K26" si="3">H14+I14-J14</f>
        <v>0</v>
      </c>
      <c r="L14" s="86"/>
      <c r="M14" s="86"/>
      <c r="N14" s="86"/>
      <c r="O14" s="86"/>
      <c r="P14" s="86"/>
      <c r="Q14" s="86"/>
      <c r="R14" s="92">
        <f t="shared" si="0"/>
        <v>0</v>
      </c>
      <c r="S14" s="92">
        <f t="shared" si="1"/>
        <v>0</v>
      </c>
      <c r="T14" s="92">
        <f t="shared" si="1"/>
        <v>0</v>
      </c>
      <c r="U14" s="92">
        <f t="shared" si="2"/>
        <v>0</v>
      </c>
      <c r="V14" s="102"/>
      <c r="W14" s="102"/>
      <c r="X14" s="105"/>
    </row>
    <row r="15" spans="1:25" s="77" customFormat="1" ht="19.95" customHeight="1">
      <c r="A15" s="83" t="s">
        <v>146</v>
      </c>
      <c r="B15" s="89"/>
      <c r="C15" s="90"/>
      <c r="D15" s="86"/>
      <c r="E15" s="87"/>
      <c r="F15" s="87"/>
      <c r="G15" s="91"/>
      <c r="H15" s="86"/>
      <c r="I15" s="86"/>
      <c r="J15" s="86"/>
      <c r="K15" s="92">
        <f t="shared" si="3"/>
        <v>0</v>
      </c>
      <c r="L15" s="86"/>
      <c r="M15" s="86"/>
      <c r="N15" s="86"/>
      <c r="O15" s="86"/>
      <c r="P15" s="86"/>
      <c r="Q15" s="86"/>
      <c r="R15" s="92">
        <f t="shared" si="0"/>
        <v>0</v>
      </c>
      <c r="S15" s="92">
        <f t="shared" si="1"/>
        <v>0</v>
      </c>
      <c r="T15" s="92">
        <f t="shared" si="1"/>
        <v>0</v>
      </c>
      <c r="U15" s="92">
        <f t="shared" si="2"/>
        <v>0</v>
      </c>
      <c r="V15" s="102"/>
      <c r="W15" s="102"/>
      <c r="X15" s="105"/>
    </row>
    <row r="16" spans="1:25" s="77" customFormat="1" ht="19.95" customHeight="1">
      <c r="A16" s="83" t="s">
        <v>146</v>
      </c>
      <c r="B16" s="89"/>
      <c r="C16" s="90"/>
      <c r="D16" s="86"/>
      <c r="E16" s="87"/>
      <c r="F16" s="87"/>
      <c r="G16" s="91"/>
      <c r="H16" s="86"/>
      <c r="I16" s="86"/>
      <c r="J16" s="86"/>
      <c r="K16" s="92">
        <f t="shared" si="3"/>
        <v>0</v>
      </c>
      <c r="L16" s="86"/>
      <c r="M16" s="86"/>
      <c r="N16" s="86"/>
      <c r="O16" s="86"/>
      <c r="P16" s="86"/>
      <c r="Q16" s="86"/>
      <c r="R16" s="92">
        <f t="shared" si="0"/>
        <v>0</v>
      </c>
      <c r="S16" s="92">
        <f>I16+N16+P16</f>
        <v>0</v>
      </c>
      <c r="T16" s="92">
        <f>J16+O16+Q16</f>
        <v>0</v>
      </c>
      <c r="U16" s="92">
        <f t="shared" si="2"/>
        <v>0</v>
      </c>
      <c r="V16" s="102"/>
      <c r="W16" s="102"/>
      <c r="X16" s="105"/>
    </row>
    <row r="17" spans="1:24" s="77" customFormat="1" ht="19.95" customHeight="1">
      <c r="A17" s="83" t="s">
        <v>148</v>
      </c>
      <c r="B17" s="89"/>
      <c r="C17" s="90"/>
      <c r="D17" s="86"/>
      <c r="E17" s="87"/>
      <c r="F17" s="87"/>
      <c r="G17" s="91"/>
      <c r="H17" s="86"/>
      <c r="I17" s="86"/>
      <c r="J17" s="86"/>
      <c r="K17" s="92">
        <f t="shared" si="3"/>
        <v>0</v>
      </c>
      <c r="L17" s="86"/>
      <c r="M17" s="86"/>
      <c r="N17" s="86"/>
      <c r="O17" s="86"/>
      <c r="P17" s="86"/>
      <c r="Q17" s="86"/>
      <c r="R17" s="92">
        <f t="shared" si="0"/>
        <v>0</v>
      </c>
      <c r="S17" s="92">
        <f>I17+N17+P17</f>
        <v>0</v>
      </c>
      <c r="T17" s="92">
        <f>J17+O17+Q17</f>
        <v>0</v>
      </c>
      <c r="U17" s="92">
        <f t="shared" si="2"/>
        <v>0</v>
      </c>
      <c r="V17" s="102"/>
      <c r="W17" s="102"/>
      <c r="X17" s="105"/>
    </row>
    <row r="18" spans="1:24" s="77" customFormat="1" ht="19.95" customHeight="1">
      <c r="A18" s="83" t="s">
        <v>148</v>
      </c>
      <c r="B18" s="89"/>
      <c r="C18" s="90"/>
      <c r="D18" s="86"/>
      <c r="E18" s="87"/>
      <c r="F18" s="87"/>
      <c r="G18" s="91"/>
      <c r="H18" s="86"/>
      <c r="I18" s="86"/>
      <c r="J18" s="86"/>
      <c r="K18" s="92">
        <f t="shared" si="3"/>
        <v>0</v>
      </c>
      <c r="L18" s="86"/>
      <c r="M18" s="86"/>
      <c r="N18" s="86"/>
      <c r="O18" s="86"/>
      <c r="P18" s="86"/>
      <c r="Q18" s="86"/>
      <c r="R18" s="92">
        <f t="shared" si="0"/>
        <v>0</v>
      </c>
      <c r="S18" s="92">
        <f t="shared" ref="S18:S21" si="4">I18+N18+P18</f>
        <v>0</v>
      </c>
      <c r="T18" s="92">
        <f t="shared" ref="T18:T20" si="5">J18+O18+Q18</f>
        <v>0</v>
      </c>
      <c r="U18" s="92">
        <f t="shared" ref="U18:U20" si="6">R18+S18-T18</f>
        <v>0</v>
      </c>
      <c r="V18" s="102"/>
      <c r="W18" s="102"/>
      <c r="X18" s="105"/>
    </row>
    <row r="19" spans="1:24" s="77" customFormat="1" ht="19.95" customHeight="1">
      <c r="A19" s="83" t="s">
        <v>148</v>
      </c>
      <c r="B19" s="89"/>
      <c r="C19" s="90"/>
      <c r="D19" s="86"/>
      <c r="E19" s="87"/>
      <c r="F19" s="87"/>
      <c r="G19" s="91"/>
      <c r="H19" s="86"/>
      <c r="I19" s="86"/>
      <c r="J19" s="86"/>
      <c r="K19" s="92">
        <f t="shared" si="3"/>
        <v>0</v>
      </c>
      <c r="L19" s="86"/>
      <c r="M19" s="86"/>
      <c r="N19" s="86"/>
      <c r="O19" s="86"/>
      <c r="P19" s="86"/>
      <c r="Q19" s="86"/>
      <c r="R19" s="92">
        <f t="shared" si="0"/>
        <v>0</v>
      </c>
      <c r="S19" s="92">
        <f t="shared" si="4"/>
        <v>0</v>
      </c>
      <c r="T19" s="92">
        <f t="shared" si="5"/>
        <v>0</v>
      </c>
      <c r="U19" s="92">
        <f t="shared" si="6"/>
        <v>0</v>
      </c>
      <c r="V19" s="102"/>
      <c r="W19" s="102"/>
      <c r="X19" s="105"/>
    </row>
    <row r="20" spans="1:24" s="77" customFormat="1" ht="19.95" customHeight="1">
      <c r="A20" s="83" t="s">
        <v>149</v>
      </c>
      <c r="B20" s="89"/>
      <c r="C20" s="90"/>
      <c r="D20" s="86"/>
      <c r="E20" s="87"/>
      <c r="F20" s="87"/>
      <c r="G20" s="91"/>
      <c r="H20" s="86"/>
      <c r="I20" s="86"/>
      <c r="J20" s="86"/>
      <c r="K20" s="92">
        <f t="shared" si="3"/>
        <v>0</v>
      </c>
      <c r="L20" s="86"/>
      <c r="M20" s="86"/>
      <c r="N20" s="86"/>
      <c r="O20" s="86"/>
      <c r="P20" s="86"/>
      <c r="Q20" s="86"/>
      <c r="R20" s="92">
        <f t="shared" si="0"/>
        <v>0</v>
      </c>
      <c r="S20" s="92">
        <f t="shared" si="4"/>
        <v>0</v>
      </c>
      <c r="T20" s="92">
        <f t="shared" si="5"/>
        <v>0</v>
      </c>
      <c r="U20" s="92">
        <f t="shared" si="6"/>
        <v>0</v>
      </c>
      <c r="V20" s="102"/>
      <c r="W20" s="102"/>
      <c r="X20" s="105"/>
    </row>
    <row r="21" spans="1:24" s="77" customFormat="1" ht="19.95" customHeight="1">
      <c r="A21" s="83" t="s">
        <v>149</v>
      </c>
      <c r="B21" s="89"/>
      <c r="C21" s="90"/>
      <c r="D21" s="86"/>
      <c r="E21" s="87"/>
      <c r="F21" s="87"/>
      <c r="G21" s="91"/>
      <c r="H21" s="86"/>
      <c r="I21" s="86"/>
      <c r="J21" s="86"/>
      <c r="K21" s="92">
        <f t="shared" si="3"/>
        <v>0</v>
      </c>
      <c r="L21" s="86"/>
      <c r="M21" s="86"/>
      <c r="N21" s="86"/>
      <c r="O21" s="86"/>
      <c r="P21" s="86"/>
      <c r="Q21" s="86"/>
      <c r="R21" s="92">
        <f t="shared" si="0"/>
        <v>0</v>
      </c>
      <c r="S21" s="92">
        <f t="shared" si="4"/>
        <v>0</v>
      </c>
      <c r="T21" s="92">
        <f t="shared" ref="T21:T23" si="7">J21+O21+Q21</f>
        <v>0</v>
      </c>
      <c r="U21" s="92">
        <f t="shared" ref="U21:U23" si="8">R21+S21-T21</f>
        <v>0</v>
      </c>
      <c r="V21" s="102"/>
      <c r="W21" s="102"/>
      <c r="X21" s="105"/>
    </row>
    <row r="22" spans="1:24" s="77" customFormat="1" ht="19.95" customHeight="1">
      <c r="A22" s="83" t="s">
        <v>149</v>
      </c>
      <c r="B22" s="89"/>
      <c r="C22" s="90"/>
      <c r="D22" s="86"/>
      <c r="E22" s="87"/>
      <c r="F22" s="87"/>
      <c r="G22" s="91"/>
      <c r="H22" s="86"/>
      <c r="I22" s="86"/>
      <c r="J22" s="86"/>
      <c r="K22" s="92">
        <f t="shared" si="3"/>
        <v>0</v>
      </c>
      <c r="L22" s="86"/>
      <c r="M22" s="86"/>
      <c r="N22" s="86"/>
      <c r="O22" s="86"/>
      <c r="P22" s="86"/>
      <c r="Q22" s="86"/>
      <c r="R22" s="92">
        <f t="shared" si="0"/>
        <v>0</v>
      </c>
      <c r="S22" s="92">
        <f t="shared" ref="S22:S23" si="9">I22+N22+P22</f>
        <v>0</v>
      </c>
      <c r="T22" s="92">
        <f t="shared" si="7"/>
        <v>0</v>
      </c>
      <c r="U22" s="92">
        <f t="shared" si="8"/>
        <v>0</v>
      </c>
      <c r="V22" s="102"/>
      <c r="W22" s="102"/>
      <c r="X22" s="105"/>
    </row>
    <row r="23" spans="1:24" s="77" customFormat="1" ht="19.95" customHeight="1">
      <c r="A23" s="83" t="s">
        <v>150</v>
      </c>
      <c r="B23" s="89"/>
      <c r="C23" s="90"/>
      <c r="D23" s="86"/>
      <c r="E23" s="87"/>
      <c r="F23" s="87"/>
      <c r="G23" s="91"/>
      <c r="H23" s="86"/>
      <c r="I23" s="86"/>
      <c r="J23" s="86"/>
      <c r="K23" s="92">
        <f t="shared" si="3"/>
        <v>0</v>
      </c>
      <c r="L23" s="86"/>
      <c r="M23" s="86"/>
      <c r="N23" s="86"/>
      <c r="O23" s="86"/>
      <c r="P23" s="86"/>
      <c r="Q23" s="86"/>
      <c r="R23" s="92">
        <f t="shared" si="0"/>
        <v>0</v>
      </c>
      <c r="S23" s="92">
        <f t="shared" si="9"/>
        <v>0</v>
      </c>
      <c r="T23" s="92">
        <f t="shared" si="7"/>
        <v>0</v>
      </c>
      <c r="U23" s="92">
        <f t="shared" si="8"/>
        <v>0</v>
      </c>
      <c r="V23" s="102"/>
      <c r="W23" s="102"/>
      <c r="X23" s="105"/>
    </row>
    <row r="24" spans="1:24" s="77" customFormat="1" ht="19.95" customHeight="1">
      <c r="A24" s="83" t="s">
        <v>151</v>
      </c>
      <c r="B24" s="89"/>
      <c r="C24" s="90"/>
      <c r="D24" s="86"/>
      <c r="E24" s="87"/>
      <c r="F24" s="87"/>
      <c r="G24" s="91"/>
      <c r="H24" s="86"/>
      <c r="I24" s="86"/>
      <c r="J24" s="86"/>
      <c r="K24" s="92">
        <f t="shared" si="3"/>
        <v>0</v>
      </c>
      <c r="L24" s="86"/>
      <c r="M24" s="86"/>
      <c r="N24" s="86"/>
      <c r="O24" s="86"/>
      <c r="P24" s="86"/>
      <c r="Q24" s="86"/>
      <c r="R24" s="92">
        <f t="shared" si="0"/>
        <v>0</v>
      </c>
      <c r="S24" s="92">
        <f t="shared" ref="S24:S27" si="10">I24+N24+P24</f>
        <v>0</v>
      </c>
      <c r="T24" s="92">
        <f t="shared" ref="T24:T27" si="11">J24+O24+Q24</f>
        <v>0</v>
      </c>
      <c r="U24" s="92">
        <f t="shared" ref="U24:U27" si="12">R24+S24-T24</f>
        <v>0</v>
      </c>
      <c r="V24" s="102"/>
      <c r="W24" s="102"/>
      <c r="X24" s="105"/>
    </row>
    <row r="25" spans="1:24" s="77" customFormat="1" ht="19.95" customHeight="1">
      <c r="A25" s="83" t="s">
        <v>152</v>
      </c>
      <c r="B25" s="89"/>
      <c r="C25" s="90"/>
      <c r="D25" s="86"/>
      <c r="E25" s="87"/>
      <c r="F25" s="87"/>
      <c r="G25" s="91"/>
      <c r="H25" s="86"/>
      <c r="I25" s="86"/>
      <c r="J25" s="86"/>
      <c r="K25" s="92">
        <f t="shared" si="3"/>
        <v>0</v>
      </c>
      <c r="L25" s="86"/>
      <c r="M25" s="86"/>
      <c r="N25" s="86"/>
      <c r="O25" s="86"/>
      <c r="P25" s="86"/>
      <c r="Q25" s="86"/>
      <c r="R25" s="92">
        <f t="shared" si="0"/>
        <v>0</v>
      </c>
      <c r="S25" s="92">
        <f t="shared" si="10"/>
        <v>0</v>
      </c>
      <c r="T25" s="92">
        <f t="shared" si="11"/>
        <v>0</v>
      </c>
      <c r="U25" s="92">
        <f t="shared" si="12"/>
        <v>0</v>
      </c>
      <c r="V25" s="102"/>
      <c r="W25" s="102"/>
      <c r="X25" s="105"/>
    </row>
    <row r="26" spans="1:24" s="77" customFormat="1" ht="19.95" customHeight="1">
      <c r="A26" s="83" t="s">
        <v>153</v>
      </c>
      <c r="B26" s="89"/>
      <c r="C26" s="90"/>
      <c r="D26" s="86"/>
      <c r="E26" s="87"/>
      <c r="F26" s="87"/>
      <c r="G26" s="91"/>
      <c r="H26" s="86"/>
      <c r="I26" s="86"/>
      <c r="J26" s="86"/>
      <c r="K26" s="92">
        <f t="shared" si="3"/>
        <v>0</v>
      </c>
      <c r="L26" s="86"/>
      <c r="M26" s="86"/>
      <c r="N26" s="86"/>
      <c r="O26" s="86"/>
      <c r="P26" s="86"/>
      <c r="Q26" s="86"/>
      <c r="R26" s="92">
        <f t="shared" si="0"/>
        <v>0</v>
      </c>
      <c r="S26" s="92">
        <f t="shared" si="10"/>
        <v>0</v>
      </c>
      <c r="T26" s="92">
        <f t="shared" si="11"/>
        <v>0</v>
      </c>
      <c r="U26" s="92">
        <f t="shared" si="12"/>
        <v>0</v>
      </c>
      <c r="V26" s="102"/>
      <c r="W26" s="102"/>
      <c r="X26" s="105"/>
    </row>
    <row r="27" spans="1:24" s="77" customFormat="1" ht="19.95" customHeight="1">
      <c r="A27" s="83" t="s">
        <v>153</v>
      </c>
      <c r="B27" s="89"/>
      <c r="C27" s="90"/>
      <c r="D27" s="86"/>
      <c r="E27" s="87"/>
      <c r="F27" s="87"/>
      <c r="G27" s="91"/>
      <c r="H27" s="86"/>
      <c r="I27" s="86"/>
      <c r="J27" s="86"/>
      <c r="K27" s="92">
        <f t="shared" ref="K27" si="13">H27+I27-J27</f>
        <v>0</v>
      </c>
      <c r="L27" s="86"/>
      <c r="M27" s="86"/>
      <c r="N27" s="86"/>
      <c r="O27" s="86"/>
      <c r="P27" s="86"/>
      <c r="Q27" s="86"/>
      <c r="R27" s="92">
        <f t="shared" si="0"/>
        <v>0</v>
      </c>
      <c r="S27" s="92">
        <f t="shared" si="10"/>
        <v>0</v>
      </c>
      <c r="T27" s="92">
        <f t="shared" si="11"/>
        <v>0</v>
      </c>
      <c r="U27" s="92">
        <f t="shared" si="12"/>
        <v>0</v>
      </c>
      <c r="V27" s="102"/>
      <c r="W27" s="102"/>
      <c r="X27" s="105"/>
    </row>
    <row r="28" spans="1:24" s="209" customFormat="1" ht="19.95" customHeight="1">
      <c r="A28" s="267" t="s">
        <v>106</v>
      </c>
      <c r="B28" s="268"/>
      <c r="C28" s="203"/>
      <c r="D28" s="204"/>
      <c r="E28" s="205"/>
      <c r="F28" s="205"/>
      <c r="G28" s="206"/>
      <c r="H28" s="92">
        <f t="shared" ref="H28:U28" si="14">SUM(H12:H27)</f>
        <v>0</v>
      </c>
      <c r="I28" s="92">
        <f t="shared" si="14"/>
        <v>0</v>
      </c>
      <c r="J28" s="92">
        <f t="shared" si="14"/>
        <v>0</v>
      </c>
      <c r="K28" s="92">
        <f t="shared" si="14"/>
        <v>0</v>
      </c>
      <c r="L28" s="92">
        <f t="shared" si="14"/>
        <v>0</v>
      </c>
      <c r="M28" s="92">
        <f t="shared" si="14"/>
        <v>0</v>
      </c>
      <c r="N28" s="92">
        <f t="shared" si="14"/>
        <v>0</v>
      </c>
      <c r="O28" s="92">
        <f t="shared" si="14"/>
        <v>0</v>
      </c>
      <c r="P28" s="92">
        <f t="shared" si="14"/>
        <v>0</v>
      </c>
      <c r="Q28" s="92">
        <f t="shared" si="14"/>
        <v>0</v>
      </c>
      <c r="R28" s="92">
        <f t="shared" si="14"/>
        <v>0</v>
      </c>
      <c r="S28" s="92">
        <f t="shared" si="14"/>
        <v>0</v>
      </c>
      <c r="T28" s="92">
        <f t="shared" si="14"/>
        <v>0</v>
      </c>
      <c r="U28" s="92">
        <f t="shared" si="14"/>
        <v>0</v>
      </c>
      <c r="V28" s="92">
        <f t="shared" ref="V28" si="15">SUM(V12:V27)</f>
        <v>0</v>
      </c>
      <c r="W28" s="207"/>
      <c r="X28" s="208"/>
    </row>
    <row r="29" spans="1:24" s="77" customFormat="1" ht="19.95" customHeight="1">
      <c r="A29" s="93" t="s">
        <v>154</v>
      </c>
      <c r="B29" s="93"/>
      <c r="C29" s="94"/>
      <c r="D29" s="94"/>
      <c r="E29" s="94"/>
      <c r="F29" s="94"/>
      <c r="G29" s="94"/>
      <c r="H29" s="94"/>
      <c r="I29" s="94"/>
      <c r="J29" s="94"/>
      <c r="K29" s="94"/>
      <c r="L29" s="94"/>
      <c r="M29" s="94"/>
      <c r="N29" s="94"/>
      <c r="O29" s="94"/>
      <c r="P29" s="94"/>
      <c r="Q29" s="94"/>
      <c r="R29" s="94"/>
      <c r="S29" s="94"/>
      <c r="T29" s="94"/>
      <c r="U29" s="94"/>
      <c r="V29" s="94"/>
      <c r="W29" s="94"/>
      <c r="X29" s="106"/>
    </row>
    <row r="30" spans="1:24" s="77" customFormat="1" ht="19.95" customHeight="1">
      <c r="A30" s="3" t="s">
        <v>155</v>
      </c>
      <c r="B30" s="3"/>
      <c r="C30" s="3"/>
      <c r="D30" s="3"/>
      <c r="E30" s="3"/>
      <c r="F30" s="3"/>
      <c r="G30" s="3"/>
      <c r="H30" s="3"/>
      <c r="I30" s="3"/>
      <c r="J30" s="3"/>
      <c r="K30" s="3"/>
      <c r="L30" s="3"/>
      <c r="M30" s="3"/>
      <c r="N30" s="3"/>
      <c r="O30" s="3"/>
      <c r="P30" s="3"/>
      <c r="Q30" s="3"/>
      <c r="R30" s="3"/>
      <c r="S30" s="3"/>
      <c r="T30" s="3"/>
      <c r="U30" s="3"/>
      <c r="V30" s="3"/>
      <c r="W30" s="3"/>
    </row>
    <row r="31" spans="1:24" s="77" customFormat="1" ht="19.95" customHeight="1">
      <c r="A31" s="226" t="s">
        <v>209</v>
      </c>
      <c r="B31" s="3"/>
      <c r="C31" s="3"/>
      <c r="D31" s="3"/>
      <c r="E31" s="3"/>
      <c r="F31" s="3"/>
      <c r="G31" s="3"/>
      <c r="H31" s="3"/>
      <c r="I31" s="3"/>
      <c r="J31" s="3"/>
      <c r="K31" s="3"/>
      <c r="L31" s="3"/>
      <c r="M31" s="3"/>
      <c r="N31" s="3"/>
      <c r="O31" s="3"/>
      <c r="P31" s="3"/>
      <c r="Q31" s="3"/>
      <c r="R31" s="3"/>
      <c r="S31" s="3"/>
      <c r="T31" s="3"/>
      <c r="U31" s="3"/>
      <c r="V31" s="3"/>
      <c r="W31" s="3"/>
    </row>
    <row r="32" spans="1:24" s="77" customFormat="1" ht="19.95" customHeight="1">
      <c r="A32" s="1" t="s">
        <v>156</v>
      </c>
      <c r="B32" s="3"/>
      <c r="C32" s="3"/>
      <c r="D32" s="3"/>
      <c r="E32" s="3"/>
      <c r="F32" s="3"/>
      <c r="G32" s="3"/>
      <c r="H32" s="3"/>
      <c r="I32" s="3"/>
      <c r="J32" s="3"/>
      <c r="K32" s="3"/>
      <c r="L32" s="3"/>
      <c r="M32" s="3"/>
      <c r="N32" s="3"/>
      <c r="O32" s="3"/>
      <c r="P32" s="3"/>
      <c r="Q32" s="3"/>
      <c r="R32" s="3"/>
      <c r="S32" s="3"/>
      <c r="T32" s="3"/>
      <c r="U32" s="3"/>
      <c r="V32" s="3"/>
      <c r="W32" s="3"/>
    </row>
    <row r="33" spans="1:27" s="77" customFormat="1" ht="19.95" customHeight="1">
      <c r="A33" s="3"/>
      <c r="B33" s="3"/>
      <c r="C33" s="3"/>
      <c r="D33" s="3"/>
      <c r="E33" s="3"/>
      <c r="F33" s="3"/>
      <c r="G33" s="3"/>
      <c r="H33" s="3"/>
      <c r="I33" s="3"/>
      <c r="J33" s="3"/>
      <c r="K33" s="3"/>
      <c r="L33" s="3"/>
      <c r="M33" s="3"/>
      <c r="N33" s="3"/>
      <c r="O33" s="3"/>
      <c r="P33" s="3"/>
      <c r="Q33" s="3"/>
      <c r="R33" s="3"/>
      <c r="S33" s="3"/>
      <c r="T33" s="3"/>
      <c r="U33" s="3"/>
      <c r="V33" s="3"/>
      <c r="W33" s="3"/>
    </row>
    <row r="34" spans="1:27" s="78" customFormat="1" ht="19.95" customHeight="1">
      <c r="A34" s="95" t="s">
        <v>157</v>
      </c>
    </row>
    <row r="35" spans="1:27" s="77" customFormat="1" ht="19.95" customHeight="1">
      <c r="A35" s="96" t="s">
        <v>210</v>
      </c>
      <c r="B35" s="96"/>
    </row>
    <row r="36" spans="1:27" s="79" customFormat="1" ht="19.95" customHeight="1">
      <c r="A36" s="97" t="s">
        <v>158</v>
      </c>
      <c r="B36" s="97"/>
      <c r="C36" s="97"/>
      <c r="D36" s="3"/>
      <c r="E36" s="3"/>
      <c r="F36" s="3"/>
      <c r="G36" s="3"/>
      <c r="H36" s="3"/>
      <c r="I36" s="3"/>
      <c r="J36" s="3"/>
      <c r="K36" s="3"/>
      <c r="L36" s="3"/>
      <c r="M36" s="3"/>
      <c r="N36" s="3"/>
      <c r="O36" s="3"/>
      <c r="P36" s="3"/>
      <c r="Q36" s="3"/>
      <c r="R36" s="3"/>
      <c r="S36" s="3"/>
      <c r="T36" s="3"/>
      <c r="U36" s="3"/>
      <c r="AA36" s="3"/>
    </row>
    <row r="37" spans="1:27" s="79" customFormat="1" ht="19.95" customHeight="1">
      <c r="A37" s="97" t="s">
        <v>159</v>
      </c>
      <c r="B37" s="97"/>
      <c r="C37" s="97"/>
      <c r="E37" s="3"/>
      <c r="F37" s="3"/>
      <c r="G37" s="3"/>
      <c r="H37" s="3"/>
      <c r="I37" s="3"/>
      <c r="J37" s="3"/>
      <c r="K37" s="3"/>
      <c r="L37" s="3"/>
      <c r="M37" s="3"/>
      <c r="N37" s="3"/>
      <c r="O37" s="3"/>
      <c r="P37" s="3"/>
      <c r="Q37" s="3"/>
      <c r="R37" s="3"/>
      <c r="S37" s="3"/>
      <c r="T37" s="3"/>
      <c r="U37" s="3"/>
      <c r="AA37" s="3"/>
    </row>
    <row r="38" spans="1:27" s="77" customFormat="1" ht="19.95" customHeight="1"/>
    <row r="39" spans="1:27" s="77" customFormat="1" ht="19.95" customHeight="1"/>
  </sheetData>
  <mergeCells count="20">
    <mergeCell ref="W10:W11"/>
    <mergeCell ref="X10:X11"/>
    <mergeCell ref="A28:B28"/>
    <mergeCell ref="A10:A11"/>
    <mergeCell ref="B10:B11"/>
    <mergeCell ref="C10:C11"/>
    <mergeCell ref="D10:D11"/>
    <mergeCell ref="A1:K1"/>
    <mergeCell ref="L1:V1"/>
    <mergeCell ref="A2:K2"/>
    <mergeCell ref="L2:V2"/>
    <mergeCell ref="H10:K10"/>
    <mergeCell ref="L10:M10"/>
    <mergeCell ref="N10:O10"/>
    <mergeCell ref="P10:Q10"/>
    <mergeCell ref="R10:U10"/>
    <mergeCell ref="E10:E11"/>
    <mergeCell ref="F10:F11"/>
    <mergeCell ref="G10:G11"/>
    <mergeCell ref="V10:V11"/>
  </mergeCells>
  <phoneticPr fontId="77" type="noConversion"/>
  <hyperlinks>
    <hyperlink ref="K3" location="底稿目录!A1" display="底稿目录!A1"/>
    <hyperlink ref="X3" location="底稿目录!A1" display="底稿目录!A1"/>
  </hyperlinks>
  <printOptions horizontalCentered="1"/>
  <pageMargins left="0.70866141732283505" right="0.70866141732283505" top="0.74803149606299202" bottom="0.74803149606299202" header="0.31496062992126" footer="0.31496062992126"/>
  <pageSetup paperSize="9" scale="75" fitToHeight="0" orientation="landscape" blackAndWhite="1" r:id="rId1"/>
  <headerFooter alignWithMargins="0">
    <oddFooter>&amp;C&amp;P/&amp;N</oddFooter>
  </headerFooter>
  <colBreaks count="1" manualBreakCount="1">
    <brk id="11" max="30"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28"/>
  <sheetViews>
    <sheetView view="pageBreakPreview" zoomScaleNormal="100" workbookViewId="0">
      <selection sqref="A1:J1"/>
    </sheetView>
  </sheetViews>
  <sheetFormatPr defaultColWidth="9" defaultRowHeight="19.95" customHeight="1"/>
  <cols>
    <col min="1" max="1" width="20.59765625" style="43" customWidth="1"/>
    <col min="2" max="2" width="17.09765625" style="44" customWidth="1"/>
    <col min="3" max="9" width="9" style="43"/>
    <col min="10" max="10" width="5.296875" style="43" customWidth="1"/>
    <col min="11" max="16384" width="9" style="43"/>
  </cols>
  <sheetData>
    <row r="1" spans="1:11" ht="19.95" customHeight="1">
      <c r="A1" s="273" t="s">
        <v>160</v>
      </c>
      <c r="B1" s="273"/>
      <c r="C1" s="273"/>
      <c r="D1" s="273"/>
      <c r="E1" s="273"/>
      <c r="F1" s="273"/>
      <c r="G1" s="273"/>
      <c r="H1" s="273"/>
      <c r="I1" s="273"/>
      <c r="J1" s="273"/>
    </row>
    <row r="2" spans="1:11" ht="19.95" customHeight="1">
      <c r="A2" s="274" t="s">
        <v>161</v>
      </c>
      <c r="B2" s="274"/>
      <c r="C2" s="274"/>
      <c r="D2" s="274"/>
      <c r="E2" s="274"/>
      <c r="F2" s="274"/>
      <c r="G2" s="274"/>
      <c r="H2" s="274"/>
      <c r="I2" s="274"/>
      <c r="J2" s="274"/>
      <c r="K2" s="36"/>
    </row>
    <row r="3" spans="1:11" ht="19.95" customHeight="1">
      <c r="A3" s="3" t="str">
        <f>底稿目录!A2</f>
        <v>被审计单位：</v>
      </c>
      <c r="B3" s="45"/>
      <c r="C3" s="46" t="str">
        <f>底稿目录!A4</f>
        <v>编制人：</v>
      </c>
      <c r="D3" s="46"/>
      <c r="E3" s="46"/>
      <c r="F3" s="47"/>
      <c r="G3" s="46" t="str">
        <f>底稿目录!A5</f>
        <v>编制日期：</v>
      </c>
      <c r="H3" s="46"/>
      <c r="I3" s="213" t="s">
        <v>162</v>
      </c>
      <c r="J3" s="211" t="str">
        <f>底稿目录!F9</f>
        <v>L2-3</v>
      </c>
    </row>
    <row r="4" spans="1:11" ht="19.95" customHeight="1">
      <c r="A4" s="3" t="str">
        <f>底稿目录!A3</f>
        <v>截止日：202X年12月31日</v>
      </c>
      <c r="B4" s="45"/>
      <c r="C4" s="46" t="str">
        <f>底稿目录!A6</f>
        <v>复核人：</v>
      </c>
      <c r="D4" s="46"/>
      <c r="E4" s="46"/>
      <c r="F4" s="47"/>
      <c r="G4" s="46" t="str">
        <f>底稿目录!A5</f>
        <v>编制日期：</v>
      </c>
      <c r="H4" s="46"/>
      <c r="I4" s="213" t="s">
        <v>75</v>
      </c>
    </row>
    <row r="5" spans="1:11" ht="31.05" customHeight="1">
      <c r="A5" s="48" t="s">
        <v>163</v>
      </c>
      <c r="B5" s="49" t="s">
        <v>164</v>
      </c>
      <c r="C5" s="50" t="s">
        <v>165</v>
      </c>
      <c r="D5" s="50" t="s">
        <v>166</v>
      </c>
      <c r="E5" s="50" t="s">
        <v>167</v>
      </c>
      <c r="F5" s="51" t="s">
        <v>168</v>
      </c>
      <c r="G5" s="50" t="s">
        <v>169</v>
      </c>
      <c r="H5" s="50" t="s">
        <v>170</v>
      </c>
      <c r="I5" s="50" t="s">
        <v>171</v>
      </c>
      <c r="J5" s="50" t="s">
        <v>139</v>
      </c>
    </row>
    <row r="6" spans="1:11" ht="19.95" customHeight="1">
      <c r="A6" s="52" t="s">
        <v>147</v>
      </c>
      <c r="B6" s="53" t="s">
        <v>172</v>
      </c>
      <c r="C6" s="52" t="s">
        <v>173</v>
      </c>
      <c r="D6" s="52" t="s">
        <v>174</v>
      </c>
      <c r="E6" s="52" t="s">
        <v>174</v>
      </c>
      <c r="F6" s="54"/>
      <c r="G6" s="55">
        <v>200</v>
      </c>
      <c r="H6" s="55">
        <v>200</v>
      </c>
      <c r="I6" s="52" t="s">
        <v>147</v>
      </c>
      <c r="J6" s="52" t="s">
        <v>147</v>
      </c>
    </row>
    <row r="7" spans="1:11" ht="19.95" customHeight="1">
      <c r="A7" s="56"/>
      <c r="B7" s="57"/>
      <c r="C7" s="54"/>
      <c r="D7" s="54"/>
      <c r="E7" s="54"/>
      <c r="F7" s="54"/>
      <c r="G7" s="55"/>
      <c r="H7" s="55"/>
      <c r="I7" s="54"/>
      <c r="J7" s="54"/>
    </row>
    <row r="8" spans="1:11" ht="19.95" customHeight="1">
      <c r="A8" s="58"/>
      <c r="B8" s="57"/>
      <c r="C8" s="54"/>
      <c r="D8" s="54"/>
      <c r="E8" s="54"/>
      <c r="F8" s="54"/>
      <c r="G8" s="55"/>
      <c r="H8" s="55"/>
      <c r="I8" s="54"/>
      <c r="J8" s="54"/>
    </row>
    <row r="9" spans="1:11" ht="19.95" customHeight="1">
      <c r="A9" s="58"/>
      <c r="B9" s="57"/>
      <c r="C9" s="54"/>
      <c r="D9" s="54"/>
      <c r="E9" s="54"/>
      <c r="F9" s="54"/>
      <c r="G9" s="55"/>
      <c r="H9" s="55"/>
      <c r="I9" s="54"/>
      <c r="J9" s="54"/>
    </row>
    <row r="10" spans="1:11" ht="19.95" customHeight="1">
      <c r="A10" s="58"/>
      <c r="B10" s="57"/>
      <c r="C10" s="54"/>
      <c r="D10" s="54"/>
      <c r="E10" s="54"/>
      <c r="F10" s="54"/>
      <c r="G10" s="55"/>
      <c r="H10" s="55"/>
      <c r="I10" s="54"/>
      <c r="J10" s="54"/>
    </row>
    <row r="11" spans="1:11" ht="19.95" customHeight="1">
      <c r="A11" s="59"/>
      <c r="B11" s="57"/>
      <c r="C11" s="54"/>
      <c r="D11" s="54"/>
      <c r="E11" s="54"/>
      <c r="F11" s="54"/>
      <c r="G11" s="55"/>
      <c r="H11" s="55"/>
      <c r="I11" s="54"/>
      <c r="J11" s="54"/>
    </row>
    <row r="12" spans="1:11" ht="19.95" customHeight="1">
      <c r="A12" s="58"/>
      <c r="B12" s="57"/>
      <c r="C12" s="54"/>
      <c r="D12" s="54"/>
      <c r="E12" s="54"/>
      <c r="F12" s="54"/>
      <c r="G12" s="55"/>
      <c r="H12" s="55"/>
      <c r="I12" s="54"/>
      <c r="J12" s="54"/>
    </row>
    <row r="13" spans="1:11" ht="19.95" customHeight="1">
      <c r="A13" s="58"/>
      <c r="B13" s="57"/>
      <c r="C13" s="54"/>
      <c r="D13" s="54"/>
      <c r="E13" s="54"/>
      <c r="F13" s="54"/>
      <c r="G13" s="55"/>
      <c r="H13" s="55"/>
      <c r="I13" s="54"/>
      <c r="J13" s="54"/>
    </row>
    <row r="14" spans="1:11" ht="19.95" customHeight="1">
      <c r="A14" s="58"/>
      <c r="B14" s="57"/>
      <c r="C14" s="54"/>
      <c r="D14" s="54"/>
      <c r="E14" s="54"/>
      <c r="F14" s="54"/>
      <c r="G14" s="55"/>
      <c r="H14" s="55"/>
      <c r="I14" s="54"/>
      <c r="J14" s="54"/>
    </row>
    <row r="15" spans="1:11" ht="19.95" customHeight="1">
      <c r="A15" s="58"/>
      <c r="B15" s="57"/>
      <c r="C15" s="54"/>
      <c r="D15" s="54"/>
      <c r="E15" s="54"/>
      <c r="F15" s="54"/>
      <c r="G15" s="55"/>
      <c r="H15" s="55"/>
      <c r="I15" s="54"/>
      <c r="J15" s="54"/>
    </row>
    <row r="16" spans="1:11" ht="19.95" customHeight="1">
      <c r="A16" s="58"/>
      <c r="B16" s="57"/>
      <c r="C16" s="54"/>
      <c r="D16" s="54"/>
      <c r="E16" s="54"/>
      <c r="F16" s="54"/>
      <c r="G16" s="55"/>
      <c r="H16" s="55"/>
      <c r="I16" s="54"/>
      <c r="J16" s="54"/>
    </row>
    <row r="17" spans="1:10" ht="19.95" customHeight="1">
      <c r="A17" s="58"/>
      <c r="B17" s="57"/>
      <c r="C17" s="54"/>
      <c r="D17" s="54"/>
      <c r="E17" s="54"/>
      <c r="F17" s="54"/>
      <c r="G17" s="55"/>
      <c r="H17" s="55"/>
      <c r="I17" s="54"/>
      <c r="J17" s="54"/>
    </row>
    <row r="18" spans="1:10" ht="19.95" customHeight="1">
      <c r="A18" s="58"/>
      <c r="B18" s="57"/>
      <c r="C18" s="54"/>
      <c r="D18" s="54"/>
      <c r="E18" s="54"/>
      <c r="F18" s="54"/>
      <c r="G18" s="55"/>
      <c r="H18" s="55"/>
      <c r="I18" s="54"/>
      <c r="J18" s="54"/>
    </row>
    <row r="19" spans="1:10" ht="19.95" customHeight="1">
      <c r="A19" s="58"/>
      <c r="B19" s="57"/>
      <c r="C19" s="54"/>
      <c r="D19" s="54"/>
      <c r="E19" s="54"/>
      <c r="F19" s="54"/>
      <c r="G19" s="55"/>
      <c r="H19" s="55"/>
      <c r="I19" s="54"/>
      <c r="J19" s="54"/>
    </row>
    <row r="20" spans="1:10" ht="19.95" customHeight="1">
      <c r="A20" s="58"/>
      <c r="B20" s="57"/>
      <c r="C20" s="54"/>
      <c r="D20" s="54"/>
      <c r="E20" s="54"/>
      <c r="F20" s="54"/>
      <c r="G20" s="55"/>
      <c r="H20" s="55"/>
      <c r="I20" s="54"/>
      <c r="J20" s="54"/>
    </row>
    <row r="21" spans="1:10" ht="19.95" customHeight="1">
      <c r="A21" s="60"/>
      <c r="B21" s="61"/>
      <c r="C21" s="62"/>
      <c r="D21" s="62"/>
      <c r="E21" s="62"/>
      <c r="F21" s="62"/>
      <c r="G21" s="63"/>
      <c r="H21" s="63"/>
      <c r="I21" s="62"/>
      <c r="J21" s="73"/>
    </row>
    <row r="22" spans="1:10" ht="19.95" customHeight="1">
      <c r="A22" s="64"/>
      <c r="B22" s="65"/>
      <c r="C22" s="64"/>
      <c r="D22" s="64"/>
      <c r="E22" s="66"/>
      <c r="F22" s="67"/>
      <c r="G22" s="68"/>
      <c r="H22" s="68"/>
      <c r="I22" s="68"/>
      <c r="J22" s="68"/>
    </row>
    <row r="23" spans="1:10" ht="19.95" customHeight="1">
      <c r="A23" s="69" t="s">
        <v>175</v>
      </c>
      <c r="B23" s="65"/>
      <c r="C23" s="64"/>
      <c r="D23" s="64"/>
      <c r="E23" s="64"/>
      <c r="F23" s="64"/>
      <c r="G23" s="64"/>
      <c r="H23" s="64"/>
      <c r="I23" s="64"/>
      <c r="J23" s="64"/>
    </row>
    <row r="24" spans="1:10" ht="19.95" customHeight="1">
      <c r="A24" s="64"/>
      <c r="B24" s="65"/>
      <c r="C24" s="64"/>
      <c r="D24" s="64"/>
      <c r="E24" s="64"/>
      <c r="F24" s="64"/>
      <c r="G24" s="64"/>
      <c r="H24" s="64"/>
      <c r="I24" s="64"/>
      <c r="J24" s="64"/>
    </row>
    <row r="25" spans="1:10" ht="19.95" customHeight="1">
      <c r="A25" s="67"/>
      <c r="B25" s="70"/>
      <c r="C25" s="64"/>
      <c r="D25" s="64"/>
      <c r="E25" s="64"/>
      <c r="F25" s="64"/>
      <c r="G25" s="64"/>
      <c r="H25" s="64"/>
      <c r="I25" s="64"/>
      <c r="J25" s="64"/>
    </row>
    <row r="26" spans="1:10" ht="19.95" customHeight="1">
      <c r="A26" s="71"/>
      <c r="B26" s="72"/>
      <c r="C26" s="67"/>
      <c r="D26" s="67"/>
      <c r="E26" s="67"/>
      <c r="F26" s="67"/>
      <c r="G26" s="67"/>
      <c r="H26" s="67"/>
      <c r="I26" s="67"/>
      <c r="J26" s="67"/>
    </row>
    <row r="27" spans="1:10" ht="19.95" customHeight="1">
      <c r="A27" s="73" t="s">
        <v>176</v>
      </c>
      <c r="B27" s="74"/>
      <c r="C27" s="67"/>
      <c r="D27" s="67"/>
      <c r="E27" s="67"/>
      <c r="F27" s="67"/>
      <c r="G27" s="67"/>
      <c r="H27" s="67"/>
      <c r="I27" s="67"/>
      <c r="J27" s="67"/>
    </row>
    <row r="28" spans="1:10" ht="19.95" customHeight="1">
      <c r="A28" s="275" t="s">
        <v>177</v>
      </c>
      <c r="B28" s="276"/>
      <c r="C28" s="276"/>
      <c r="D28" s="276"/>
      <c r="E28" s="276"/>
      <c r="F28" s="276"/>
      <c r="G28" s="276"/>
      <c r="H28" s="276"/>
      <c r="I28" s="276"/>
      <c r="J28" s="276"/>
    </row>
  </sheetData>
  <mergeCells count="3">
    <mergeCell ref="A1:J1"/>
    <mergeCell ref="A2:J2"/>
    <mergeCell ref="A28:J28"/>
  </mergeCells>
  <phoneticPr fontId="77" type="noConversion"/>
  <dataValidations count="1">
    <dataValidation type="list" allowBlank="1" showInputMessage="1" showErrorMessage="1" sqref="B6:B20">
      <formula1>"账项调整,报表调整,其他"</formula1>
    </dataValidation>
  </dataValidations>
  <hyperlinks>
    <hyperlink ref="J3" location="底稿目录!A1" display="=底稿目录!F9"/>
  </hyperlinks>
  <pageMargins left="0.70866141732283505" right="0.70866141732283505" top="0.74803149606299202" bottom="0.74803149606299202" header="0.31496062992126" footer="0.31496062992126"/>
  <pageSetup paperSize="9" scale="75" orientation="portrait"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S30"/>
  <sheetViews>
    <sheetView view="pageBreakPreview" zoomScaleNormal="100" workbookViewId="0">
      <selection sqref="A1:P1"/>
    </sheetView>
  </sheetViews>
  <sheetFormatPr defaultColWidth="9" defaultRowHeight="19.95" customHeight="1"/>
  <cols>
    <col min="1" max="1" width="9" style="6" customWidth="1"/>
    <col min="2" max="2" width="9" style="7"/>
    <col min="3" max="3" width="16" style="7" customWidth="1"/>
    <col min="4" max="4" width="10.59765625" style="7" customWidth="1"/>
    <col min="5" max="5" width="12.796875" style="7" customWidth="1"/>
    <col min="6" max="6" width="9.8984375" style="7" customWidth="1"/>
    <col min="7" max="7" width="9.19921875" style="7" customWidth="1"/>
    <col min="8" max="8" width="12.796875" style="7" customWidth="1"/>
    <col min="9" max="13" width="3.59765625" style="7" customWidth="1"/>
    <col min="14" max="16384" width="9" style="7"/>
  </cols>
  <sheetData>
    <row r="1" spans="1:19" s="1" customFormat="1" ht="19.95" customHeight="1">
      <c r="A1" s="278" t="s">
        <v>160</v>
      </c>
      <c r="B1" s="278"/>
      <c r="C1" s="278"/>
      <c r="D1" s="278"/>
      <c r="E1" s="278"/>
      <c r="F1" s="278"/>
      <c r="G1" s="278"/>
      <c r="H1" s="278"/>
      <c r="I1" s="278"/>
      <c r="J1" s="278"/>
      <c r="K1" s="278"/>
      <c r="L1" s="278"/>
      <c r="M1" s="278"/>
      <c r="N1" s="278"/>
      <c r="O1" s="278"/>
      <c r="P1" s="278"/>
    </row>
    <row r="2" spans="1:19" s="2" customFormat="1" ht="19.95" customHeight="1">
      <c r="A2" s="279" t="s">
        <v>178</v>
      </c>
      <c r="B2" s="279"/>
      <c r="C2" s="279"/>
      <c r="D2" s="279"/>
      <c r="E2" s="279"/>
      <c r="F2" s="279"/>
      <c r="G2" s="279"/>
      <c r="H2" s="279"/>
      <c r="I2" s="279"/>
      <c r="J2" s="279"/>
      <c r="K2" s="279"/>
      <c r="L2" s="279"/>
      <c r="M2" s="279"/>
      <c r="N2" s="279"/>
      <c r="O2" s="279"/>
      <c r="P2" s="279"/>
    </row>
    <row r="3" spans="1:19" s="3" customFormat="1" ht="19.95" customHeight="1">
      <c r="A3" s="8" t="str">
        <f>底稿目录!A2</f>
        <v>被审计单位：</v>
      </c>
      <c r="B3" s="9"/>
      <c r="C3" s="9"/>
      <c r="E3" s="10" t="str">
        <f>底稿目录!A4</f>
        <v>编制人：</v>
      </c>
      <c r="F3" s="10"/>
      <c r="H3" s="9" t="str">
        <f>底稿目录!A5</f>
        <v>编制日期：</v>
      </c>
      <c r="O3" s="3" t="s">
        <v>17</v>
      </c>
      <c r="P3" s="214" t="str">
        <f>底稿目录!F10</f>
        <v>L2-4</v>
      </c>
    </row>
    <row r="4" spans="1:19" s="3" customFormat="1" ht="19.95" customHeight="1">
      <c r="A4" s="8" t="str">
        <f>底稿目录!A3</f>
        <v>截止日：202X年12月31日</v>
      </c>
      <c r="B4" s="9"/>
      <c r="C4" s="9"/>
      <c r="E4" s="10" t="str">
        <f>底稿目录!A6</f>
        <v>复核人：</v>
      </c>
      <c r="F4" s="10"/>
      <c r="H4" s="9" t="str">
        <f>底稿目录!A7</f>
        <v>复核日期：</v>
      </c>
      <c r="O4" s="3" t="s">
        <v>75</v>
      </c>
    </row>
    <row r="5" spans="1:19" s="4" customFormat="1" ht="19.95" customHeight="1">
      <c r="A5" s="11" t="s">
        <v>122</v>
      </c>
      <c r="B5" s="12"/>
      <c r="C5" s="285"/>
      <c r="D5" s="286"/>
      <c r="E5" s="286"/>
      <c r="F5" s="286"/>
      <c r="G5" s="286"/>
      <c r="H5" s="286"/>
      <c r="I5" s="286"/>
      <c r="J5" s="286"/>
      <c r="K5" s="286"/>
      <c r="L5" s="286"/>
      <c r="M5" s="286"/>
    </row>
    <row r="6" spans="1:19" s="4" customFormat="1" ht="19.95" customHeight="1">
      <c r="A6" s="15" t="s">
        <v>179</v>
      </c>
      <c r="B6" s="16"/>
      <c r="C6" s="13"/>
      <c r="D6" s="14"/>
      <c r="E6" s="14"/>
      <c r="F6" s="14"/>
      <c r="G6" s="14"/>
      <c r="H6" s="14"/>
      <c r="I6" s="14"/>
      <c r="J6" s="14"/>
      <c r="K6" s="14"/>
      <c r="L6" s="14"/>
      <c r="M6" s="14"/>
      <c r="N6" s="37"/>
      <c r="O6" s="37"/>
      <c r="P6" s="37"/>
      <c r="Q6" s="37"/>
      <c r="R6" s="37"/>
      <c r="S6" s="37"/>
    </row>
    <row r="7" spans="1:19" s="4" customFormat="1" ht="19.95" customHeight="1">
      <c r="A7" s="15" t="s">
        <v>180</v>
      </c>
      <c r="B7" s="16"/>
      <c r="C7" s="13"/>
      <c r="D7" s="14"/>
      <c r="E7" s="14"/>
      <c r="F7" s="14"/>
      <c r="G7" s="14"/>
      <c r="H7" s="14"/>
      <c r="I7" s="14"/>
      <c r="J7" s="14"/>
      <c r="K7" s="14"/>
      <c r="L7" s="14"/>
      <c r="M7" s="14"/>
      <c r="N7" s="37"/>
      <c r="O7" s="37"/>
      <c r="P7" s="37"/>
      <c r="Q7" s="37"/>
      <c r="R7" s="37"/>
      <c r="S7" s="37"/>
    </row>
    <row r="8" spans="1:19" s="4" customFormat="1" ht="19.95" customHeight="1">
      <c r="A8" s="17" t="s">
        <v>181</v>
      </c>
      <c r="B8" s="18"/>
      <c r="C8" s="225" t="s">
        <v>208</v>
      </c>
      <c r="D8" s="19"/>
      <c r="E8" s="20"/>
      <c r="F8" s="20"/>
    </row>
    <row r="9" spans="1:19" s="4" customFormat="1" ht="19.95" customHeight="1">
      <c r="A9" s="21" t="s">
        <v>182</v>
      </c>
      <c r="B9" s="18"/>
      <c r="C9" s="18"/>
      <c r="D9" s="19"/>
      <c r="E9" s="20"/>
      <c r="F9" s="20"/>
    </row>
    <row r="10" spans="1:19" s="3" customFormat="1" ht="19.95" customHeight="1">
      <c r="A10" s="287" t="s">
        <v>183</v>
      </c>
      <c r="B10" s="287"/>
      <c r="C10" s="287"/>
      <c r="D10" s="287"/>
      <c r="E10" s="287"/>
      <c r="F10" s="287"/>
      <c r="G10" s="287"/>
      <c r="H10" s="290" t="s">
        <v>184</v>
      </c>
      <c r="I10" s="288" t="s">
        <v>185</v>
      </c>
      <c r="J10" s="289"/>
      <c r="K10" s="289"/>
      <c r="L10" s="289"/>
      <c r="M10" s="289"/>
      <c r="N10" s="280" t="s">
        <v>186</v>
      </c>
      <c r="O10" s="281" t="s">
        <v>187</v>
      </c>
      <c r="P10" s="283" t="s">
        <v>188</v>
      </c>
    </row>
    <row r="11" spans="1:19" s="3" customFormat="1" ht="19.95" customHeight="1">
      <c r="A11" s="22" t="s">
        <v>189</v>
      </c>
      <c r="B11" s="22" t="s">
        <v>190</v>
      </c>
      <c r="C11" s="22" t="s">
        <v>191</v>
      </c>
      <c r="D11" s="22" t="s">
        <v>192</v>
      </c>
      <c r="E11" s="22" t="s">
        <v>193</v>
      </c>
      <c r="F11" s="23" t="s">
        <v>194</v>
      </c>
      <c r="G11" s="23" t="s">
        <v>195</v>
      </c>
      <c r="H11" s="291"/>
      <c r="I11" s="38">
        <v>1</v>
      </c>
      <c r="J11" s="38">
        <v>2</v>
      </c>
      <c r="K11" s="38">
        <v>3</v>
      </c>
      <c r="L11" s="38">
        <v>4</v>
      </c>
      <c r="M11" s="38">
        <v>5</v>
      </c>
      <c r="N11" s="280"/>
      <c r="O11" s="282"/>
      <c r="P11" s="284"/>
    </row>
    <row r="12" spans="1:19" s="3" customFormat="1" ht="19.95" customHeight="1">
      <c r="A12" s="24"/>
      <c r="B12" s="25"/>
      <c r="C12" s="26"/>
      <c r="D12" s="26"/>
      <c r="E12" s="26"/>
      <c r="F12" s="27"/>
      <c r="G12" s="27"/>
      <c r="H12" s="28"/>
      <c r="I12" s="39"/>
      <c r="J12" s="39"/>
      <c r="K12" s="39"/>
      <c r="L12" s="39"/>
      <c r="M12" s="39"/>
      <c r="N12" s="40"/>
      <c r="O12" s="41"/>
      <c r="P12" s="41"/>
    </row>
    <row r="13" spans="1:19" s="3" customFormat="1" ht="19.95" customHeight="1">
      <c r="A13" s="24"/>
      <c r="B13" s="25"/>
      <c r="C13" s="26"/>
      <c r="D13" s="26"/>
      <c r="E13" s="26"/>
      <c r="F13" s="27"/>
      <c r="G13" s="27"/>
      <c r="H13" s="29"/>
      <c r="I13" s="39"/>
      <c r="J13" s="39"/>
      <c r="K13" s="39"/>
      <c r="L13" s="39"/>
      <c r="M13" s="39"/>
      <c r="N13" s="40"/>
      <c r="O13" s="41"/>
      <c r="P13" s="41"/>
    </row>
    <row r="14" spans="1:19" s="3" customFormat="1" ht="19.95" customHeight="1">
      <c r="A14" s="24"/>
      <c r="B14" s="25"/>
      <c r="C14" s="26"/>
      <c r="D14" s="26"/>
      <c r="E14" s="26"/>
      <c r="F14" s="27"/>
      <c r="G14" s="27"/>
      <c r="H14" s="29"/>
      <c r="I14" s="39"/>
      <c r="J14" s="39"/>
      <c r="K14" s="39"/>
      <c r="L14" s="39"/>
      <c r="M14" s="39"/>
      <c r="N14" s="40"/>
      <c r="O14" s="41"/>
      <c r="P14" s="41"/>
    </row>
    <row r="15" spans="1:19" s="3" customFormat="1" ht="19.95" customHeight="1">
      <c r="A15" s="24"/>
      <c r="B15" s="25"/>
      <c r="C15" s="26"/>
      <c r="D15" s="26"/>
      <c r="E15" s="26"/>
      <c r="F15" s="27"/>
      <c r="G15" s="27"/>
      <c r="H15" s="29"/>
      <c r="I15" s="39"/>
      <c r="J15" s="39"/>
      <c r="K15" s="39"/>
      <c r="L15" s="39"/>
      <c r="M15" s="39"/>
      <c r="N15" s="40"/>
      <c r="O15" s="41"/>
      <c r="P15" s="41"/>
    </row>
    <row r="16" spans="1:19" s="3" customFormat="1" ht="19.95" customHeight="1">
      <c r="A16" s="24"/>
      <c r="B16" s="25"/>
      <c r="C16" s="26"/>
      <c r="D16" s="26"/>
      <c r="E16" s="26"/>
      <c r="F16" s="27"/>
      <c r="G16" s="27"/>
      <c r="H16" s="29"/>
      <c r="I16" s="39"/>
      <c r="J16" s="39"/>
      <c r="K16" s="39"/>
      <c r="L16" s="39"/>
      <c r="M16" s="39"/>
      <c r="N16" s="40"/>
      <c r="O16" s="41"/>
      <c r="P16" s="41"/>
    </row>
    <row r="17" spans="1:16" s="3" customFormat="1" ht="19.95" customHeight="1">
      <c r="A17" s="24"/>
      <c r="B17" s="25"/>
      <c r="C17" s="26"/>
      <c r="D17" s="26"/>
      <c r="E17" s="26"/>
      <c r="F17" s="27"/>
      <c r="G17" s="27"/>
      <c r="H17" s="29"/>
      <c r="I17" s="39"/>
      <c r="J17" s="39"/>
      <c r="K17" s="39"/>
      <c r="L17" s="39"/>
      <c r="M17" s="39"/>
      <c r="N17" s="40"/>
      <c r="O17" s="41"/>
      <c r="P17" s="41"/>
    </row>
    <row r="18" spans="1:16" s="3" customFormat="1" ht="19.95" customHeight="1">
      <c r="A18" s="24"/>
      <c r="B18" s="25"/>
      <c r="C18" s="26"/>
      <c r="D18" s="26"/>
      <c r="E18" s="26"/>
      <c r="F18" s="27"/>
      <c r="G18" s="27"/>
      <c r="H18" s="29"/>
      <c r="I18" s="39"/>
      <c r="J18" s="39"/>
      <c r="K18" s="39"/>
      <c r="L18" s="39"/>
      <c r="M18" s="39"/>
      <c r="N18" s="40"/>
      <c r="O18" s="41"/>
      <c r="P18" s="41"/>
    </row>
    <row r="19" spans="1:16" s="3" customFormat="1" ht="19.95" customHeight="1">
      <c r="A19" s="24"/>
      <c r="B19" s="25"/>
      <c r="C19" s="26"/>
      <c r="D19" s="26"/>
      <c r="E19" s="26"/>
      <c r="F19" s="27"/>
      <c r="G19" s="27"/>
      <c r="H19" s="29"/>
      <c r="I19" s="39"/>
      <c r="J19" s="39"/>
      <c r="K19" s="39"/>
      <c r="L19" s="39"/>
      <c r="M19" s="39"/>
      <c r="N19" s="40"/>
      <c r="O19" s="41"/>
      <c r="P19" s="41"/>
    </row>
    <row r="20" spans="1:16" s="3" customFormat="1" ht="19.95" customHeight="1">
      <c r="A20" s="24"/>
      <c r="B20" s="25"/>
      <c r="C20" s="26"/>
      <c r="D20" s="26"/>
      <c r="E20" s="26"/>
      <c r="F20" s="27"/>
      <c r="G20" s="27"/>
      <c r="H20" s="29"/>
      <c r="I20" s="39"/>
      <c r="J20" s="39"/>
      <c r="K20" s="39"/>
      <c r="L20" s="39"/>
      <c r="M20" s="39"/>
      <c r="N20" s="40"/>
      <c r="O20" s="41"/>
      <c r="P20" s="41"/>
    </row>
    <row r="21" spans="1:16" s="3" customFormat="1" ht="19.95" customHeight="1">
      <c r="A21" s="24"/>
      <c r="B21" s="25"/>
      <c r="C21" s="26"/>
      <c r="D21" s="26"/>
      <c r="E21" s="26"/>
      <c r="F21" s="27"/>
      <c r="G21" s="27"/>
      <c r="H21" s="29"/>
      <c r="I21" s="39"/>
      <c r="J21" s="39"/>
      <c r="K21" s="39"/>
      <c r="L21" s="39"/>
      <c r="M21" s="39"/>
      <c r="N21" s="40"/>
      <c r="O21" s="41"/>
      <c r="P21" s="41"/>
    </row>
    <row r="22" spans="1:16" s="3" customFormat="1" ht="19.95" customHeight="1">
      <c r="A22" s="24"/>
      <c r="B22" s="25"/>
      <c r="C22" s="26"/>
      <c r="D22" s="26"/>
      <c r="E22" s="26"/>
      <c r="F22" s="27"/>
      <c r="G22" s="27"/>
      <c r="H22" s="29"/>
      <c r="I22" s="39"/>
      <c r="J22" s="39"/>
      <c r="K22" s="39"/>
      <c r="L22" s="39"/>
      <c r="M22" s="39"/>
      <c r="N22" s="40"/>
      <c r="O22" s="41"/>
      <c r="P22" s="41"/>
    </row>
    <row r="23" spans="1:16" s="3" customFormat="1" ht="19.95" customHeight="1">
      <c r="A23" s="24"/>
      <c r="B23" s="25"/>
      <c r="C23" s="26"/>
      <c r="D23" s="26"/>
      <c r="E23" s="26"/>
      <c r="F23" s="27"/>
      <c r="G23" s="27"/>
      <c r="H23" s="29"/>
      <c r="I23" s="39"/>
      <c r="J23" s="39"/>
      <c r="K23" s="39"/>
      <c r="L23" s="39"/>
      <c r="M23" s="39"/>
      <c r="N23" s="40"/>
      <c r="O23" s="41"/>
      <c r="P23" s="41"/>
    </row>
    <row r="24" spans="1:16" s="221" customFormat="1" ht="19.95" customHeight="1">
      <c r="A24" s="277" t="s">
        <v>205</v>
      </c>
      <c r="B24" s="277"/>
      <c r="C24" s="277"/>
      <c r="D24" s="219"/>
      <c r="E24" s="219"/>
      <c r="F24" s="215">
        <f>SUM(F12:F23)</f>
        <v>0</v>
      </c>
      <c r="G24" s="215">
        <f>SUM(G12:G23)</f>
        <v>0</v>
      </c>
      <c r="H24" s="220"/>
      <c r="I24" s="216"/>
      <c r="J24" s="216"/>
      <c r="K24" s="216"/>
      <c r="L24" s="216"/>
      <c r="M24" s="216"/>
      <c r="N24" s="217"/>
      <c r="O24" s="218"/>
      <c r="P24" s="218"/>
    </row>
    <row r="25" spans="1:16" s="221" customFormat="1" ht="19.95" customHeight="1">
      <c r="A25" s="277" t="s">
        <v>206</v>
      </c>
      <c r="B25" s="277"/>
      <c r="C25" s="277"/>
      <c r="D25" s="219"/>
      <c r="E25" s="219"/>
      <c r="F25" s="215">
        <f>'明细表L2-2'!T28</f>
        <v>0</v>
      </c>
      <c r="G25" s="215">
        <f>'明细表L2-2'!S28</f>
        <v>0</v>
      </c>
      <c r="H25" s="220"/>
      <c r="I25" s="216"/>
      <c r="J25" s="216"/>
      <c r="K25" s="216"/>
      <c r="L25" s="216"/>
      <c r="M25" s="216"/>
      <c r="N25" s="217"/>
      <c r="O25" s="218"/>
      <c r="P25" s="218"/>
    </row>
    <row r="26" spans="1:16" s="221" customFormat="1" ht="19.95" customHeight="1">
      <c r="A26" s="277" t="s">
        <v>207</v>
      </c>
      <c r="B26" s="277"/>
      <c r="C26" s="277"/>
      <c r="D26" s="222"/>
      <c r="E26" s="222"/>
      <c r="F26" s="223" t="e">
        <f>F24/F25</f>
        <v>#DIV/0!</v>
      </c>
      <c r="G26" s="223" t="e">
        <f>G24/G25</f>
        <v>#DIV/0!</v>
      </c>
      <c r="H26" s="224"/>
      <c r="I26" s="224"/>
      <c r="J26" s="224"/>
      <c r="K26" s="224"/>
      <c r="L26" s="224"/>
      <c r="M26" s="224"/>
      <c r="N26" s="222"/>
      <c r="O26" s="222"/>
      <c r="P26" s="222"/>
    </row>
    <row r="27" spans="1:16" s="5" customFormat="1" ht="19.95" customHeight="1">
      <c r="A27" s="30" t="s">
        <v>196</v>
      </c>
      <c r="C27" s="31"/>
      <c r="G27" s="32"/>
      <c r="H27" s="32"/>
      <c r="I27" s="42"/>
      <c r="J27" s="42"/>
      <c r="K27" s="42"/>
      <c r="L27" s="42"/>
      <c r="M27" s="42"/>
    </row>
    <row r="28" spans="1:16" s="3" customFormat="1" ht="19.95" customHeight="1">
      <c r="A28" s="8"/>
      <c r="C28" s="33"/>
      <c r="I28" s="9"/>
      <c r="J28" s="9"/>
      <c r="K28" s="9"/>
      <c r="L28" s="9"/>
      <c r="M28" s="9"/>
    </row>
    <row r="29" spans="1:16" s="3" customFormat="1" ht="19.95" customHeight="1">
      <c r="A29" s="34" t="s">
        <v>197</v>
      </c>
      <c r="H29" s="9"/>
      <c r="I29" s="9"/>
      <c r="J29" s="9"/>
      <c r="K29" s="9"/>
      <c r="L29" s="9"/>
      <c r="M29" s="9"/>
    </row>
    <row r="30" spans="1:16" s="3" customFormat="1" ht="19.95" customHeight="1">
      <c r="A30" s="35"/>
      <c r="C30" s="9"/>
      <c r="D30" s="9"/>
      <c r="E30" s="9"/>
      <c r="F30" s="9"/>
      <c r="G30" s="9"/>
      <c r="H30" s="9"/>
      <c r="I30" s="9"/>
      <c r="J30" s="9"/>
      <c r="K30" s="9"/>
      <c r="L30" s="9"/>
      <c r="M30" s="9"/>
    </row>
  </sheetData>
  <mergeCells count="12">
    <mergeCell ref="A24:C24"/>
    <mergeCell ref="A25:C25"/>
    <mergeCell ref="A26:C26"/>
    <mergeCell ref="A1:P1"/>
    <mergeCell ref="A2:P2"/>
    <mergeCell ref="N10:N11"/>
    <mergeCell ref="O10:O11"/>
    <mergeCell ref="P10:P11"/>
    <mergeCell ref="C5:M5"/>
    <mergeCell ref="A10:G10"/>
    <mergeCell ref="I10:M10"/>
    <mergeCell ref="H10:H11"/>
  </mergeCells>
  <phoneticPr fontId="77" type="noConversion"/>
  <dataValidations count="1">
    <dataValidation type="list" allowBlank="1" showInputMessage="1" showErrorMessage="1" sqref="I12:M25">
      <formula1>"√,X"</formula1>
    </dataValidation>
  </dataValidations>
  <hyperlinks>
    <hyperlink ref="P3" location="底稿目录!A1" display="=底稿目录!F10"/>
  </hyperlinks>
  <printOptions horizontalCentered="1"/>
  <pageMargins left="0.70866141732283505" right="0.70866141732283505" top="0.74803149606299202" bottom="0.74803149606299202" header="0.31496062992126" footer="0.31496062992126"/>
  <pageSetup paperSize="9" scale="89" orientation="landscape"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10</vt:i4>
      </vt:variant>
    </vt:vector>
  </HeadingPairs>
  <TitlesOfParts>
    <vt:vector size="18" baseType="lpstr">
      <vt:lpstr>底稿目录</vt:lpstr>
      <vt:lpstr>应付利息实质性程序表L2A</vt:lpstr>
      <vt:lpstr>审定表L2-1</vt:lpstr>
      <vt:lpstr>附注披露（国企）信息</vt:lpstr>
      <vt:lpstr>附注披露（上市公司）信息</vt:lpstr>
      <vt:lpstr>明细表L2-2</vt:lpstr>
      <vt:lpstr>应付利息调整分录汇总L2-3</vt:lpstr>
      <vt:lpstr>应付利息检查表L2-4</vt:lpstr>
      <vt:lpstr>应付利息实质性程序表L2A!_FilterDatabase</vt:lpstr>
      <vt:lpstr>'附注披露（国企）信息'!Print_Area</vt:lpstr>
      <vt:lpstr>'附注披露（上市公司）信息'!Print_Area</vt:lpstr>
      <vt:lpstr>'明细表L2-2'!Print_Area</vt:lpstr>
      <vt:lpstr>'审定表L2-1'!Print_Area</vt:lpstr>
      <vt:lpstr>'应付利息调整分录汇总L2-3'!Print_Area</vt:lpstr>
      <vt:lpstr>'应付利息检查表L2-4'!Print_Area</vt:lpstr>
      <vt:lpstr>应付利息实质性程序表L2A!Print_Area</vt:lpstr>
      <vt:lpstr>'明细表L2-2'!Print_Titles</vt:lpstr>
      <vt:lpstr>应付利息实质性程序表L2A!Print_Titles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2025-10-23T08:53:23Z</cp:lastPrinted>
  <dcterms:created xsi:type="dcterms:W3CDTF">2007-05-20T08:51:00Z</dcterms:created>
  <dcterms:modified xsi:type="dcterms:W3CDTF">2025-11-05T07:48:48Z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1158909805B54D1AAE12AD4AE03A95CD_12</vt:lpwstr>
  </property>
  <property fmtid="{D5CDD505-2E9C-101B-9397-08002B2CF9AE}" pid="3" name="KSOProductBuildVer">
    <vt:lpwstr>2052-12.1.0.22529</vt:lpwstr>
  </property>
</Properties>
</file>