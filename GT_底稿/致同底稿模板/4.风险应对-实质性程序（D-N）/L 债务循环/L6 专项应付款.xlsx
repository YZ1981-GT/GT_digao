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L 债务循环\"/>
    </mc:Choice>
  </mc:AlternateContent>
  <bookViews>
    <workbookView xWindow="0" yWindow="0" windowWidth="20748" windowHeight="9696" tabRatio="725"/>
  </bookViews>
  <sheets>
    <sheet name="底稿目录" sheetId="1" r:id="rId1"/>
    <sheet name="专项应付款实质性程序表L6A" sheetId="22" r:id="rId2"/>
    <sheet name="审定表L6-1" sheetId="12" r:id="rId3"/>
    <sheet name="附注披露（上市公司）信息" sheetId="17" r:id="rId4"/>
    <sheet name="附注披露（国企）信息" sheetId="19" r:id="rId5"/>
    <sheet name="明细表L6-2" sheetId="13" r:id="rId6"/>
    <sheet name="调整分录汇总L6-3" sheetId="21" r:id="rId7"/>
    <sheet name="检查表L6-4" sheetId="16" r:id="rId8"/>
    <sheet name="GT_Custom" sheetId="18" state="hidden" r:id="rId9"/>
  </sheets>
  <definedNames>
    <definedName name="_xlnm._FilterDatabase" localSheetId="1" hidden="1">专项应付款实质性程序表L6A!$A$16:$M$21</definedName>
    <definedName name="AFV" localSheetId="6" hidden="1">#REF!</definedName>
    <definedName name="AFV" localSheetId="1" hidden="1">#REF!</definedName>
    <definedName name="AFV" hidden="1">#REF!</definedName>
    <definedName name="AS2DocOpenMode" hidden="1">"AS2DocumentEdit"</definedName>
    <definedName name="b" hidden="1">#REF!</definedName>
    <definedName name="bs" localSheetId="6" hidden="1">{#N/A,#N/A,FALSE,"BBPREP"}</definedName>
    <definedName name="bs" hidden="1">{#N/A,#N/A,FALSE,"BBPREP"}</definedName>
    <definedName name="bs_1" localSheetId="6" hidden="1">{#N/A,#N/A,FALSE,"BBPREP"}</definedName>
    <definedName name="bs_1" hidden="1">{#N/A,#N/A,FALSE,"BBPREP"}</definedName>
    <definedName name="CCD" localSheetId="6" hidden="1">#REF!</definedName>
    <definedName name="CCD" localSheetId="1" hidden="1">#REF!</definedName>
    <definedName name="CCD" hidden="1">#REF!</definedName>
    <definedName name="CDE" localSheetId="6" hidden="1">#REF!</definedName>
    <definedName name="CDE" localSheetId="1" hidden="1">#REF!</definedName>
    <definedName name="CDE" hidden="1">#REF!</definedName>
    <definedName name="DEX" localSheetId="6" hidden="1">#REF!</definedName>
    <definedName name="DEX" localSheetId="1" hidden="1">#REF!</definedName>
    <definedName name="DEX" hidden="1">#REF!</definedName>
    <definedName name="EDC" localSheetId="6" hidden="1">#REF!</definedName>
    <definedName name="EDC" localSheetId="1" hidden="1">#REF!</definedName>
    <definedName name="EDC" hidden="1">#REF!</definedName>
    <definedName name="FAD" localSheetId="6" hidden="1">#REF!</definedName>
    <definedName name="FAD" localSheetId="1" hidden="1">#REF!</definedName>
    <definedName name="FAD" hidden="1">#REF!</definedName>
    <definedName name="FASD" localSheetId="6" hidden="1">#REF!</definedName>
    <definedName name="FASD" localSheetId="1" hidden="1">#REF!</definedName>
    <definedName name="FASD" hidden="1">#REF!</definedName>
    <definedName name="FEDC" localSheetId="6" hidden="1">#REF!</definedName>
    <definedName name="FEDC" localSheetId="1" hidden="1">#REF!</definedName>
    <definedName name="FEDC" hidden="1">#REF!</definedName>
    <definedName name="_xlnm.Print_Area" localSheetId="6">'调整分录汇总L6-3'!$A$1:$J$20</definedName>
    <definedName name="_xlnm.Print_Area" localSheetId="4">'附注披露（国企）信息'!$A$1:$E$16</definedName>
    <definedName name="_xlnm.Print_Area" localSheetId="3">'附注披露（上市公司）信息'!$A$1:$F$19</definedName>
    <definedName name="_xlnm.Print_Area" localSheetId="7">'检查表L6-4'!$A$1:$Q$25</definedName>
    <definedName name="_xlnm.Print_Area" localSheetId="5">'明细表L6-2'!$A$1:$X$27</definedName>
    <definedName name="_xlnm.Print_Area" localSheetId="2">'审定表L6-1'!$A$1:$K$30</definedName>
    <definedName name="_xlnm.Print_Area" localSheetId="1">专项应付款实质性程序表L6A!$A$1:$I$21</definedName>
    <definedName name="_xlnm.Print_Titles" localSheetId="5">'明细表L6-2'!$A:$B,'明细表L6-2'!$8:$9</definedName>
    <definedName name="_xlnm.Print_Titles" localSheetId="1">专项应付款实质性程序表L6A!$15:$15</definedName>
    <definedName name="RDES" localSheetId="6" hidden="1">#REF!</definedName>
    <definedName name="RDES" localSheetId="1" hidden="1">#REF!</definedName>
    <definedName name="RDES" hidden="1">#REF!</definedName>
    <definedName name="TextRefCopyRangeCount" hidden="1">136</definedName>
    <definedName name="VFE" localSheetId="6" hidden="1">#REF!</definedName>
    <definedName name="VFE" localSheetId="1" hidden="1">#REF!</definedName>
    <definedName name="VFE" hidden="1">#REF!</definedName>
    <definedName name="XAP" localSheetId="6" hidden="1">#REF!</definedName>
    <definedName name="XAP" localSheetId="1" hidden="1">#REF!</definedName>
    <definedName name="XAP" hidden="1">#REF!</definedName>
    <definedName name="XAQ" localSheetId="6" hidden="1">#REF!</definedName>
    <definedName name="XAQ" localSheetId="1" hidden="1">#REF!</definedName>
    <definedName name="XAQ" hidden="1">#REF!</definedName>
    <definedName name="XCD" localSheetId="6" hidden="1">#REF!</definedName>
    <definedName name="XCD" localSheetId="1" hidden="1">#REF!</definedName>
    <definedName name="XCD" hidden="1">#REF!</definedName>
    <definedName name="XREF_COLUMN_1" localSheetId="6" hidden="1">#REF!</definedName>
    <definedName name="XREF_COLUMN_1" localSheetId="1" hidden="1">#REF!</definedName>
    <definedName name="XREF_COLUMN_1" hidden="1">#REF!</definedName>
    <definedName name="XREF_COLUMN_2" localSheetId="6" hidden="1">#REF!</definedName>
    <definedName name="XREF_COLUMN_2" localSheetId="1" hidden="1">#REF!</definedName>
    <definedName name="XREF_COLUMN_2" hidden="1">#REF!</definedName>
    <definedName name="XREF_COLUMN_3" localSheetId="6" hidden="1">#REF!</definedName>
    <definedName name="XREF_COLUMN_3" localSheetId="1" hidden="1">#REF!</definedName>
    <definedName name="XREF_COLUMN_3" hidden="1">#REF!</definedName>
    <definedName name="XREF_COLUMN_5" localSheetId="6" hidden="1">#REF!</definedName>
    <definedName name="XREF_COLUMN_5" localSheetId="1" hidden="1">#REF!</definedName>
    <definedName name="XREF_COLUMN_5" hidden="1">#REF!</definedName>
    <definedName name="XRefActiveRow" localSheetId="6" hidden="1">#REF!</definedName>
    <definedName name="XRefActiveRow" localSheetId="1" hidden="1">#REF!</definedName>
    <definedName name="XRefActiveRow" hidden="1">#REF!</definedName>
    <definedName name="XRefColumnsCount" hidden="1">2</definedName>
    <definedName name="XRefCopy1" localSheetId="6" hidden="1">#REF!</definedName>
    <definedName name="XRefCopy1" localSheetId="1" hidden="1">#REF!</definedName>
    <definedName name="XRefCopy1" hidden="1">#REF!</definedName>
    <definedName name="XRefCopy1Row" localSheetId="6" hidden="1">#REF!</definedName>
    <definedName name="XRefCopy1Row" localSheetId="1" hidden="1">#REF!</definedName>
    <definedName name="XRefCopy1Row" hidden="1">#REF!</definedName>
    <definedName name="XRefCopy2Row" localSheetId="6" hidden="1">#REF!</definedName>
    <definedName name="XRefCopy2Row" localSheetId="1" hidden="1">#REF!</definedName>
    <definedName name="XRefCopy2Row" hidden="1">#REF!</definedName>
    <definedName name="XRefCopyRangeCount" hidden="1">2</definedName>
    <definedName name="XRefPaste1" localSheetId="6" hidden="1">#REF!</definedName>
    <definedName name="XRefPaste1" localSheetId="1" hidden="1">#REF!</definedName>
    <definedName name="XRefPaste1" hidden="1">#REF!</definedName>
    <definedName name="XRefPaste1Row" localSheetId="6" hidden="1">#REF!</definedName>
    <definedName name="XRefPaste1Row" localSheetId="1" hidden="1">#REF!</definedName>
    <definedName name="XRefPaste1Row" hidden="1">#REF!</definedName>
    <definedName name="XRefPaste2" localSheetId="6" hidden="1">#REF!</definedName>
    <definedName name="XRefPaste2" localSheetId="1" hidden="1">#REF!</definedName>
    <definedName name="XRefPaste2" hidden="1">#REF!</definedName>
    <definedName name="XRefPaste2Row" localSheetId="6" hidden="1">#REF!</definedName>
    <definedName name="XRefPaste2Row" localSheetId="1" hidden="1">#REF!</definedName>
    <definedName name="XRefPaste2Row" hidden="1">#REF!</definedName>
    <definedName name="XRefPaste3" localSheetId="6" hidden="1">#REF!</definedName>
    <definedName name="XRefPaste3" localSheetId="1" hidden="1">#REF!</definedName>
    <definedName name="XRefPaste3" hidden="1">#REF!</definedName>
    <definedName name="XRefPaste3Row" localSheetId="6" hidden="1">#REF!</definedName>
    <definedName name="XRefPaste3Row" localSheetId="1" hidden="1">#REF!</definedName>
    <definedName name="XRefPaste3Row" hidden="1">#REF!</definedName>
    <definedName name="XRefPasteRangeCount" hidden="1">2</definedName>
    <definedName name="本循环科目" localSheetId="6" hidden="1">#REF!</definedName>
    <definedName name="本循环科目" hidden="1">#REF!</definedName>
    <definedName name="底稿目录" localSheetId="6" hidden="1">#REF!</definedName>
    <definedName name="底稿目录" localSheetId="1" hidden="1">#REF!</definedName>
    <definedName name="底稿目录" hidden="1">#REF!</definedName>
    <definedName name="新目录" localSheetId="6" hidden="1">#REF!</definedName>
    <definedName name="新目录" localSheetId="1"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16" l="1"/>
  <c r="G19" i="16"/>
  <c r="K4" i="16" l="1"/>
  <c r="F4" i="16"/>
  <c r="A4" i="16"/>
  <c r="Q3" i="16"/>
  <c r="K3" i="16"/>
  <c r="F3" i="16"/>
  <c r="A3" i="16"/>
  <c r="G4" i="21"/>
  <c r="D4" i="21"/>
  <c r="A4" i="21"/>
  <c r="J3" i="21"/>
  <c r="G3" i="21"/>
  <c r="D3" i="21"/>
  <c r="A3" i="21"/>
  <c r="P20" i="13"/>
  <c r="O20" i="13"/>
  <c r="N20" i="13"/>
  <c r="M20" i="13"/>
  <c r="L20" i="13"/>
  <c r="K20" i="13"/>
  <c r="J20" i="13"/>
  <c r="I20" i="13"/>
  <c r="H20" i="13"/>
  <c r="G20" i="13"/>
  <c r="F20" i="13"/>
  <c r="E20" i="13"/>
  <c r="D20" i="13"/>
  <c r="C20" i="13"/>
  <c r="T19" i="13"/>
  <c r="S19" i="13"/>
  <c r="R19" i="13"/>
  <c r="Q19" i="13"/>
  <c r="P19" i="13"/>
  <c r="G19" i="13"/>
  <c r="T18" i="13"/>
  <c r="S18" i="13"/>
  <c r="R18" i="13"/>
  <c r="Q18" i="13"/>
  <c r="P18" i="13"/>
  <c r="G18" i="13"/>
  <c r="T17" i="13"/>
  <c r="S17" i="13"/>
  <c r="R17" i="13"/>
  <c r="Q17" i="13"/>
  <c r="P17" i="13"/>
  <c r="G17" i="13"/>
  <c r="T16" i="13"/>
  <c r="S16" i="13"/>
  <c r="R16" i="13"/>
  <c r="Q16" i="13"/>
  <c r="P16" i="13"/>
  <c r="G16" i="13"/>
  <c r="T15" i="13"/>
  <c r="S15" i="13"/>
  <c r="R15" i="13"/>
  <c r="Q15" i="13"/>
  <c r="P15" i="13"/>
  <c r="G15" i="13"/>
  <c r="T14" i="13"/>
  <c r="S14" i="13"/>
  <c r="R14" i="13"/>
  <c r="Q14" i="13"/>
  <c r="P14" i="13"/>
  <c r="G14" i="13"/>
  <c r="S13" i="13"/>
  <c r="R13" i="13"/>
  <c r="D12" i="17" s="1"/>
  <c r="Q13" i="13"/>
  <c r="T13" i="13" s="1"/>
  <c r="P13" i="13"/>
  <c r="G13" i="13"/>
  <c r="S12" i="13"/>
  <c r="R12" i="13"/>
  <c r="Q12" i="13"/>
  <c r="T12" i="13" s="1"/>
  <c r="P12" i="13"/>
  <c r="G12" i="13"/>
  <c r="T11" i="13"/>
  <c r="E11" i="19" s="1"/>
  <c r="S11" i="13"/>
  <c r="R11" i="13"/>
  <c r="Q11" i="13"/>
  <c r="P11" i="13"/>
  <c r="G11" i="13"/>
  <c r="S10" i="13"/>
  <c r="D10" i="19" s="1"/>
  <c r="R10" i="13"/>
  <c r="Q10" i="13"/>
  <c r="Q20" i="13" s="1"/>
  <c r="H20" i="16" s="1"/>
  <c r="H21" i="16" s="1"/>
  <c r="P10" i="13"/>
  <c r="G10" i="13"/>
  <c r="S4" i="13"/>
  <c r="O4" i="13"/>
  <c r="G4" i="13"/>
  <c r="E4" i="13"/>
  <c r="A4" i="13"/>
  <c r="X3" i="13"/>
  <c r="S3" i="13"/>
  <c r="O3" i="13"/>
  <c r="L3" i="13"/>
  <c r="G3" i="13"/>
  <c r="E3" i="13"/>
  <c r="A3" i="13"/>
  <c r="B16" i="19"/>
  <c r="B15" i="19"/>
  <c r="E14" i="19"/>
  <c r="D14" i="19"/>
  <c r="C14" i="19"/>
  <c r="B14" i="19"/>
  <c r="A14" i="19"/>
  <c r="D13" i="19"/>
  <c r="C13" i="19"/>
  <c r="B13" i="19"/>
  <c r="A13" i="19"/>
  <c r="D12" i="19"/>
  <c r="C12" i="19"/>
  <c r="B12" i="19"/>
  <c r="A12" i="19"/>
  <c r="D11" i="19"/>
  <c r="C11" i="19"/>
  <c r="B11" i="19"/>
  <c r="A11" i="19"/>
  <c r="B10" i="19"/>
  <c r="A10" i="19"/>
  <c r="D4" i="19"/>
  <c r="B4" i="19"/>
  <c r="A4" i="19"/>
  <c r="D3" i="19"/>
  <c r="B3" i="19"/>
  <c r="A3" i="19"/>
  <c r="B19" i="17"/>
  <c r="E18" i="17"/>
  <c r="D18" i="17"/>
  <c r="C18" i="17"/>
  <c r="B18" i="17"/>
  <c r="A18" i="17"/>
  <c r="E17" i="17"/>
  <c r="D17" i="17"/>
  <c r="C17" i="17"/>
  <c r="B17" i="17"/>
  <c r="A17" i="17"/>
  <c r="E16" i="17"/>
  <c r="D16" i="17"/>
  <c r="C16" i="17"/>
  <c r="B16" i="17"/>
  <c r="A16" i="17"/>
  <c r="E15" i="17"/>
  <c r="D15" i="17"/>
  <c r="C15" i="17"/>
  <c r="B15" i="17"/>
  <c r="A15" i="17"/>
  <c r="E14" i="17"/>
  <c r="D14" i="17"/>
  <c r="C14" i="17"/>
  <c r="B14" i="17"/>
  <c r="A14" i="17"/>
  <c r="E13" i="17"/>
  <c r="D13" i="17"/>
  <c r="C13" i="17"/>
  <c r="B13" i="17"/>
  <c r="A13" i="17"/>
  <c r="C12" i="17"/>
  <c r="B12" i="17"/>
  <c r="A12" i="17"/>
  <c r="D11" i="17"/>
  <c r="C11" i="17"/>
  <c r="B11" i="17"/>
  <c r="A11" i="17"/>
  <c r="E10" i="17"/>
  <c r="D10" i="17"/>
  <c r="C10" i="17"/>
  <c r="B10" i="17"/>
  <c r="A10" i="17"/>
  <c r="C9" i="17"/>
  <c r="C19" i="17" s="1"/>
  <c r="B9" i="17"/>
  <c r="A9" i="17"/>
  <c r="D4" i="17"/>
  <c r="B4" i="17"/>
  <c r="A4" i="17"/>
  <c r="D3" i="17"/>
  <c r="B3" i="17"/>
  <c r="A3" i="17"/>
  <c r="C28" i="12"/>
  <c r="C26" i="12"/>
  <c r="C25" i="12"/>
  <c r="G17" i="12"/>
  <c r="F17" i="12"/>
  <c r="E17" i="12"/>
  <c r="D17" i="12"/>
  <c r="C17" i="12"/>
  <c r="B17" i="12"/>
  <c r="K16" i="12"/>
  <c r="J16" i="12"/>
  <c r="I16" i="12"/>
  <c r="H16" i="12"/>
  <c r="G16" i="12"/>
  <c r="F16" i="12"/>
  <c r="E16" i="12"/>
  <c r="D16" i="12"/>
  <c r="C16" i="12"/>
  <c r="B16" i="12"/>
  <c r="A16" i="12"/>
  <c r="K15" i="12"/>
  <c r="J15" i="12"/>
  <c r="I15" i="12"/>
  <c r="H15" i="12"/>
  <c r="G15" i="12"/>
  <c r="F15" i="12"/>
  <c r="E15" i="12"/>
  <c r="D15" i="12"/>
  <c r="C15" i="12"/>
  <c r="B15" i="12"/>
  <c r="A15" i="12"/>
  <c r="K14" i="12"/>
  <c r="J14" i="12"/>
  <c r="I14" i="12"/>
  <c r="H14" i="12"/>
  <c r="G14" i="12"/>
  <c r="F14" i="12"/>
  <c r="E14" i="12"/>
  <c r="D14" i="12"/>
  <c r="C14" i="12"/>
  <c r="B14" i="12"/>
  <c r="A14" i="12"/>
  <c r="K13" i="12"/>
  <c r="J13" i="12"/>
  <c r="I13" i="12"/>
  <c r="H13" i="12"/>
  <c r="G13" i="12"/>
  <c r="F13" i="12"/>
  <c r="E13" i="12"/>
  <c r="D13" i="12"/>
  <c r="C13" i="12"/>
  <c r="B13" i="12"/>
  <c r="A13" i="12"/>
  <c r="K12" i="12"/>
  <c r="J12" i="12"/>
  <c r="I12" i="12"/>
  <c r="H12" i="12"/>
  <c r="G12" i="12"/>
  <c r="F12" i="12"/>
  <c r="E12" i="12"/>
  <c r="D12" i="12"/>
  <c r="C12" i="12"/>
  <c r="B12" i="12"/>
  <c r="A12" i="12"/>
  <c r="K11" i="12"/>
  <c r="J11" i="12"/>
  <c r="I11" i="12"/>
  <c r="H11" i="12"/>
  <c r="G11" i="12"/>
  <c r="F11" i="12"/>
  <c r="E11" i="12"/>
  <c r="D11" i="12"/>
  <c r="C11" i="12"/>
  <c r="B11" i="12"/>
  <c r="A11" i="12"/>
  <c r="H10" i="12"/>
  <c r="I10" i="12" s="1"/>
  <c r="J10" i="12" s="1"/>
  <c r="K10" i="12" s="1"/>
  <c r="G10" i="12"/>
  <c r="F10" i="12"/>
  <c r="E10" i="12"/>
  <c r="D10" i="12"/>
  <c r="C10" i="12"/>
  <c r="B10" i="12"/>
  <c r="A10" i="12"/>
  <c r="H9" i="12"/>
  <c r="I9" i="12" s="1"/>
  <c r="J9" i="12" s="1"/>
  <c r="K9" i="12" s="1"/>
  <c r="G9" i="12"/>
  <c r="F9" i="12"/>
  <c r="E9" i="12"/>
  <c r="D9" i="12"/>
  <c r="C9" i="12"/>
  <c r="B9" i="12"/>
  <c r="A9" i="12"/>
  <c r="H8" i="12"/>
  <c r="I8" i="12" s="1"/>
  <c r="J8" i="12" s="1"/>
  <c r="K8" i="12" s="1"/>
  <c r="G8" i="12"/>
  <c r="F8" i="12"/>
  <c r="E8" i="12"/>
  <c r="D8" i="12"/>
  <c r="C8" i="12"/>
  <c r="B8" i="12"/>
  <c r="A8" i="12"/>
  <c r="H7" i="12"/>
  <c r="G7" i="12"/>
  <c r="F7" i="12"/>
  <c r="E7" i="12"/>
  <c r="D7" i="12"/>
  <c r="C7" i="12"/>
  <c r="B7" i="12"/>
  <c r="A7" i="12"/>
  <c r="H4" i="12"/>
  <c r="E4" i="12"/>
  <c r="A4" i="12"/>
  <c r="K3" i="12"/>
  <c r="H3" i="12"/>
  <c r="E3" i="12"/>
  <c r="A3" i="12"/>
  <c r="E4" i="22"/>
  <c r="C4" i="22"/>
  <c r="A4" i="22"/>
  <c r="E3" i="22"/>
  <c r="C3" i="22"/>
  <c r="A3" i="22"/>
  <c r="E11" i="17" l="1"/>
  <c r="E12" i="19"/>
  <c r="E12" i="17"/>
  <c r="E13" i="19"/>
  <c r="R20" i="13"/>
  <c r="D15" i="19" s="1"/>
  <c r="D16" i="19" s="1"/>
  <c r="S20" i="13"/>
  <c r="E15" i="19" s="1"/>
  <c r="D9" i="17"/>
  <c r="D19" i="17" s="1"/>
  <c r="H17" i="12"/>
  <c r="T10" i="13"/>
  <c r="E10" i="19"/>
  <c r="T20" i="13"/>
  <c r="E9" i="17"/>
  <c r="E19" i="17" s="1"/>
  <c r="C10" i="19"/>
  <c r="C15" i="19"/>
  <c r="I7" i="12"/>
  <c r="E16" i="19" l="1"/>
  <c r="G20" i="16"/>
  <c r="G21" i="16" s="1"/>
  <c r="C16" i="19"/>
  <c r="I17" i="12"/>
  <c r="B25" i="12" s="1"/>
  <c r="B26" i="12" s="1"/>
  <c r="B28" i="12" s="1"/>
  <c r="J7" i="12"/>
  <c r="J17" i="12" l="1"/>
  <c r="K17" i="12" s="1"/>
  <c r="K7" i="12"/>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<sst xmlns="http://schemas.openxmlformats.org/spreadsheetml/2006/main" count="277" uniqueCount="210">
  <si>
    <r>
      <rPr>
        <b/>
        <sz val="12"/>
        <rFont val="宋体"/>
        <family val="3"/>
        <charset val="134"/>
      </rPr>
      <t>底稿开列时，可先在以下单元格填写有关内容，以便其他底稿引用有关数据：</t>
    </r>
  </si>
  <si>
    <r>
      <rPr>
        <sz val="10"/>
        <rFont val="宋体"/>
        <family val="3"/>
        <charset val="134"/>
      </rPr>
      <t>被审计单位：</t>
    </r>
  </si>
  <si>
    <r>
      <rPr>
        <b/>
        <sz val="12"/>
        <color indexed="8"/>
        <rFont val="宋体"/>
        <family val="3"/>
        <charset val="134"/>
      </rPr>
      <t>序号</t>
    </r>
  </si>
  <si>
    <r>
      <rPr>
        <b/>
        <sz val="12"/>
        <color indexed="8"/>
        <rFont val="宋体"/>
        <family val="3"/>
        <charset val="134"/>
      </rPr>
      <t>内容</t>
    </r>
  </si>
  <si>
    <r>
      <rPr>
        <b/>
        <sz val="12"/>
        <color indexed="8"/>
        <rFont val="宋体"/>
        <family val="3"/>
        <charset val="134"/>
      </rPr>
      <t>索引号</t>
    </r>
  </si>
  <si>
    <t>编制人：</t>
  </si>
  <si>
    <t>专项应付款循环实质性程序</t>
  </si>
  <si>
    <t>L6A</t>
  </si>
  <si>
    <t>编制日期：</t>
  </si>
  <si>
    <t>专项应付款审定表</t>
  </si>
  <si>
    <t>L6-1</t>
  </si>
  <si>
    <t>复核人：</t>
  </si>
  <si>
    <t>专项应付款附注披露（上市公司）信息核对表</t>
  </si>
  <si>
    <t>无需打印</t>
  </si>
  <si>
    <t>复核日期：</t>
  </si>
  <si>
    <t>专项应付款附注披露（国企）信息核对表</t>
  </si>
  <si>
    <t>专项应付款明细表</t>
  </si>
  <si>
    <t>L6-2</t>
  </si>
  <si>
    <t>专项应付款调整分录汇总表</t>
  </si>
  <si>
    <t>L6-3</t>
  </si>
  <si>
    <t>专项应付款检查表</t>
  </si>
  <si>
    <t>L6-4</t>
  </si>
  <si>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</si>
  <si>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</si>
  <si>
    <t>一、本账户涉及的科目</t>
  </si>
  <si>
    <t>专项应付款</t>
  </si>
  <si>
    <r>
      <rPr>
        <b/>
        <sz val="10"/>
        <rFont val="宋体"/>
        <family val="3"/>
        <charset val="134"/>
      </rPr>
      <t>财务报表的认定　</t>
    </r>
  </si>
  <si>
    <r>
      <rPr>
        <sz val="10"/>
        <rFont val="宋体"/>
        <family val="3"/>
        <charset val="134"/>
      </rPr>
      <t>存在</t>
    </r>
  </si>
  <si>
    <r>
      <rPr>
        <sz val="10"/>
        <rFont val="宋体"/>
        <family val="3"/>
        <charset val="134"/>
      </rPr>
      <t>完整性</t>
    </r>
  </si>
  <si>
    <r>
      <rPr>
        <sz val="10"/>
        <rFont val="宋体"/>
        <family val="3"/>
        <charset val="134"/>
      </rPr>
      <t>权利和义务</t>
    </r>
  </si>
  <si>
    <r>
      <rPr>
        <b/>
        <sz val="10"/>
        <rFont val="宋体"/>
        <family val="3"/>
        <charset val="134"/>
      </rPr>
      <t>三、计划实施的实质性程序</t>
    </r>
  </si>
  <si>
    <r>
      <rPr>
        <b/>
        <sz val="10"/>
        <rFont val="宋体"/>
        <family val="3"/>
        <charset val="134"/>
      </rPr>
      <t>序号</t>
    </r>
  </si>
  <si>
    <r>
      <rPr>
        <b/>
        <sz val="10"/>
        <rFont val="宋体"/>
        <family val="3"/>
        <charset val="134"/>
      </rPr>
      <t>程序分类</t>
    </r>
  </si>
  <si>
    <t>1</t>
  </si>
  <si>
    <t>2</t>
  </si>
  <si>
    <t>T1</t>
  </si>
  <si>
    <r>
      <rPr>
        <sz val="10"/>
        <color theme="1"/>
        <rFont val="宋体"/>
        <family val="3"/>
        <charset val="134"/>
      </rPr>
      <t>备选</t>
    </r>
  </si>
  <si>
    <t>3</t>
  </si>
  <si>
    <t>4</t>
  </si>
  <si>
    <t>5</t>
  </si>
  <si>
    <r>
      <rPr>
        <b/>
        <sz val="12"/>
        <rFont val="宋体"/>
        <family val="3"/>
        <charset val="134"/>
      </rPr>
      <t>致同会计师事务所</t>
    </r>
  </si>
  <si>
    <t>专项应付款实质性程序</t>
  </si>
  <si>
    <t>二、审计目标与认定的对应关系</t>
  </si>
  <si>
    <t>审计目标</t>
  </si>
  <si>
    <r>
      <rPr>
        <sz val="10"/>
        <rFont val="Arial Narrow"/>
        <family val="2"/>
      </rPr>
      <t xml:space="preserve">A. </t>
    </r>
    <r>
      <rPr>
        <sz val="10"/>
        <rFont val="宋体"/>
        <family val="3"/>
        <charset val="134"/>
      </rPr>
      <t>资产负债表中记录的专项应付款是存在的，且已记录于恰当的账户</t>
    </r>
  </si>
  <si>
    <r>
      <rPr>
        <sz val="10"/>
        <rFont val="Arial Narrow"/>
        <family val="2"/>
      </rPr>
      <t xml:space="preserve">B. </t>
    </r>
    <r>
      <rPr>
        <sz val="10"/>
        <rFont val="宋体"/>
        <family val="3"/>
        <charset val="134"/>
      </rPr>
      <t>所有应记录的专项应付款均已记录，所有应当包括在财务报表中的相关披露均已包括</t>
    </r>
  </si>
  <si>
    <r>
      <rPr>
        <sz val="10"/>
        <rFont val="Arial Narrow"/>
        <family val="2"/>
      </rPr>
      <t xml:space="preserve">C. </t>
    </r>
    <r>
      <rPr>
        <sz val="10"/>
        <rFont val="宋体"/>
        <family val="3"/>
        <charset val="134"/>
      </rPr>
      <t>记录的专项应付款是被审计单位应当履行的偿还义务</t>
    </r>
  </si>
  <si>
    <r>
      <rPr>
        <sz val="10"/>
        <rFont val="Arial Narrow"/>
        <family val="2"/>
      </rPr>
      <t xml:space="preserve">D. </t>
    </r>
    <r>
      <rPr>
        <sz val="10"/>
        <rFont val="宋体"/>
        <family val="3"/>
        <charset val="134"/>
      </rPr>
      <t>专项应付款以恰当的金额包括在财务报表中，与之相关的计价或分摊调整已恰当记录，相关披露已得到恰当计量和描述</t>
    </r>
    <r>
      <rPr>
        <sz val="10"/>
        <rFont val="Arial Narrow"/>
        <family val="2"/>
      </rPr>
      <t xml:space="preserve"> </t>
    </r>
  </si>
  <si>
    <r>
      <rPr>
        <sz val="10"/>
        <rFont val="宋体"/>
        <family val="3"/>
        <charset val="134"/>
      </rPr>
      <t>准确性、计价和分摊</t>
    </r>
  </si>
  <si>
    <r>
      <rPr>
        <sz val="10"/>
        <rFont val="Arial Narrow"/>
        <family val="2"/>
      </rPr>
      <t xml:space="preserve">E. </t>
    </r>
    <r>
      <rPr>
        <sz val="10"/>
        <rFont val="宋体"/>
        <family val="3"/>
        <charset val="134"/>
      </rPr>
      <t>专项应付款已被恰当地汇总或分解且表述清楚，相关披露在按照企业会计准则的编制基础下是相关的、可理解的</t>
    </r>
  </si>
  <si>
    <r>
      <rPr>
        <sz val="10"/>
        <rFont val="宋体"/>
        <family val="3"/>
        <charset val="134"/>
      </rPr>
      <t>列报</t>
    </r>
  </si>
  <si>
    <t>财务报表的认定</t>
  </si>
  <si>
    <t>底稿索引号</t>
  </si>
  <si>
    <r>
      <rPr>
        <b/>
        <sz val="10"/>
        <rFont val="宋体"/>
        <family val="3"/>
        <charset val="134"/>
      </rPr>
      <t>存在</t>
    </r>
  </si>
  <si>
    <r>
      <rPr>
        <b/>
        <sz val="10"/>
        <rFont val="宋体"/>
        <family val="3"/>
        <charset val="134"/>
      </rPr>
      <t>完整性</t>
    </r>
  </si>
  <si>
    <r>
      <rPr>
        <b/>
        <sz val="10"/>
        <rFont val="宋体"/>
        <family val="3"/>
        <charset val="134"/>
      </rPr>
      <t>权利和义务</t>
    </r>
  </si>
  <si>
    <r>
      <rPr>
        <b/>
        <sz val="10"/>
        <rFont val="宋体"/>
        <family val="3"/>
        <charset val="134"/>
      </rPr>
      <t>准确性、计价和分摊</t>
    </r>
  </si>
  <si>
    <r>
      <rPr>
        <b/>
        <sz val="10"/>
        <rFont val="宋体"/>
        <family val="3"/>
        <charset val="134"/>
      </rPr>
      <t>列报</t>
    </r>
  </si>
  <si>
    <r>
      <rPr>
        <sz val="10"/>
        <color theme="1"/>
        <rFont val="宋体"/>
        <family val="3"/>
        <charset val="134"/>
      </rPr>
      <t>获取或编制专项应付款明细表，完成以下工作，并编制审定表，复核加计是否正确，与总账、明细账合计数核对是否相符。</t>
    </r>
  </si>
  <si>
    <r>
      <rPr>
        <sz val="10"/>
        <color theme="1"/>
        <rFont val="宋体"/>
        <family val="3"/>
        <charset val="134"/>
      </rPr>
      <t>常规★</t>
    </r>
  </si>
  <si>
    <r>
      <rPr>
        <sz val="10"/>
        <color theme="1"/>
        <rFont val="宋体"/>
        <family val="3"/>
        <charset val="134"/>
      </rPr>
      <t>√</t>
    </r>
  </si>
  <si>
    <r>
      <rPr>
        <b/>
        <sz val="10"/>
        <color theme="1"/>
        <rFont val="宋体"/>
        <family val="3"/>
        <charset val="134"/>
      </rPr>
      <t>√</t>
    </r>
  </si>
  <si>
    <r>
      <rPr>
        <sz val="10"/>
        <color theme="1"/>
        <rFont val="Arial Narrow"/>
        <family val="2"/>
      </rPr>
      <t xml:space="preserve">L6-1
</t>
    </r>
    <r>
      <rPr>
        <sz val="10"/>
        <color theme="1"/>
        <rFont val="宋体"/>
        <family val="3"/>
        <charset val="134"/>
      </rPr>
      <t>/</t>
    </r>
    <r>
      <rPr>
        <sz val="10"/>
        <color theme="1"/>
        <rFont val="Arial Narrow"/>
        <family val="2"/>
      </rPr>
      <t>L6-2</t>
    </r>
  </si>
  <si>
    <r>
      <rPr>
        <sz val="10"/>
        <color theme="1"/>
        <rFont val="宋体"/>
        <family val="3"/>
        <charset val="134"/>
      </rPr>
      <t>在使用手工编制、自定义信息报告、系统生成的非固定格式报告等由被审计单位生成的信息时，测试有关信息准确性和完整性，并针对编制和维护由被审计单位生成的信息的相关控制实施控制测试，以评价该信息是否能够为实现审计目的提供基础。</t>
    </r>
  </si>
  <si>
    <t>√</t>
  </si>
  <si>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</si>
  <si>
    <r>
      <rPr>
        <sz val="10"/>
        <color theme="1"/>
        <rFont val="宋体"/>
        <family val="3"/>
        <charset val="134"/>
      </rPr>
      <t>对期初余额的审计，取得专项应付款期初余额明细表复核加计是否正确，与总账、明细账合计数是否相符，检查上期专项应付款在本期转销情况。</t>
    </r>
    <r>
      <rPr>
        <sz val="10"/>
        <rFont val="宋体"/>
        <family val="3"/>
        <charset val="134"/>
      </rPr>
      <t>考虑获取前期拨款的批准文件、转销或返还依据，必要时可就拨款事项向拨款单位函证。</t>
    </r>
    <r>
      <rPr>
        <sz val="10"/>
        <color rgb="FFFF0000"/>
        <rFont val="宋体"/>
        <family val="3"/>
        <charset val="134"/>
      </rPr>
      <t>（适用于首次承接）</t>
    </r>
  </si>
  <si>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</si>
  <si>
    <r>
      <rPr>
        <sz val="10"/>
        <color theme="1"/>
        <rFont val="宋体"/>
        <family val="3"/>
        <charset val="134"/>
      </rPr>
      <t xml:space="preserve">针对专项应付款考虑执行以下程序：
</t>
    </r>
    <r>
      <rPr>
        <sz val="10"/>
        <color theme="1"/>
        <rFont val="Arial Narrow"/>
        <family val="2"/>
      </rPr>
      <t xml:space="preserve"> </t>
    </r>
    <r>
      <rPr>
        <sz val="10"/>
        <color theme="1"/>
        <rFont val="宋体"/>
        <family val="3"/>
        <charset val="134"/>
      </rPr>
      <t>（</t>
    </r>
    <r>
      <rPr>
        <sz val="10"/>
        <color theme="1"/>
        <rFont val="Arial Narrow"/>
        <family val="2"/>
      </rPr>
      <t>1</t>
    </r>
    <r>
      <rPr>
        <sz val="10"/>
        <color theme="1"/>
        <rFont val="宋体"/>
        <family val="3"/>
        <charset val="134"/>
      </rPr>
      <t>）检查专项应付款的内容是否系政府作为企业所有者投入的具有专项或特定用途的资本性投资项目拨款。检查各项拨款的批准文件，确定专项应付款发生的真实性。必要时可就拨款事项向拨款单位函证。
（</t>
    </r>
    <r>
      <rPr>
        <sz val="10"/>
        <color theme="1"/>
        <rFont val="Arial Narrow"/>
        <family val="2"/>
      </rPr>
      <t>2</t>
    </r>
    <r>
      <rPr>
        <sz val="10"/>
        <color theme="1"/>
        <rFont val="宋体"/>
        <family val="3"/>
        <charset val="134"/>
      </rPr>
      <t>）检查拨款项目的完成情况，对专项应付款形成资产部分转销的手续是否健全；检查形成资产转销的和未形成长期资产需要核销及拨款结余返还的会计处理是否正确。</t>
    </r>
  </si>
  <si>
    <r>
      <rPr>
        <sz val="10"/>
        <color theme="1"/>
        <rFont val="Arial Narrow"/>
        <family val="2"/>
      </rPr>
      <t xml:space="preserve">L6-2
</t>
    </r>
    <r>
      <rPr>
        <sz val="10"/>
        <color theme="1"/>
        <rFont val="宋体"/>
        <family val="3"/>
        <charset val="134"/>
      </rPr>
      <t>/</t>
    </r>
    <r>
      <rPr>
        <sz val="10"/>
        <color theme="1"/>
        <rFont val="Arial Narrow"/>
        <family val="2"/>
      </rPr>
      <t>L6-4</t>
    </r>
  </si>
  <si>
    <t>检查专项应付款是否已按企业会计准则或其他适用的规定在财务报表中做出恰当列报和披露。</t>
  </si>
  <si>
    <r>
      <rPr>
        <sz val="10"/>
        <rFont val="Arial Narrow"/>
        <family val="2"/>
      </rPr>
      <t>A1-1/</t>
    </r>
    <r>
      <rPr>
        <sz val="10"/>
        <color rgb="FFFF0000"/>
        <rFont val="Arial Narrow"/>
        <family val="2"/>
      </rPr>
      <t>A1-15 /A1-16</t>
    </r>
  </si>
  <si>
    <r>
      <rPr>
        <b/>
        <sz val="14"/>
        <rFont val="宋体"/>
        <family val="3"/>
        <charset val="134"/>
      </rPr>
      <t>专项应付款审定表</t>
    </r>
  </si>
  <si>
    <r>
      <rPr>
        <u/>
        <sz val="12"/>
        <color indexed="12"/>
        <rFont val="宋体"/>
        <family val="3"/>
        <charset val="134"/>
      </rPr>
      <t>返回目录</t>
    </r>
  </si>
  <si>
    <r>
      <rPr>
        <sz val="10"/>
        <rFont val="宋体"/>
        <family val="3"/>
        <charset val="134"/>
      </rPr>
      <t>页次：</t>
    </r>
  </si>
  <si>
    <r>
      <rPr>
        <b/>
        <sz val="10"/>
        <color theme="1"/>
        <rFont val="宋体"/>
        <family val="3"/>
        <charset val="134"/>
      </rPr>
      <t>项</t>
    </r>
    <r>
      <rPr>
        <b/>
        <sz val="10"/>
        <color theme="1"/>
        <rFont val="Arial Narrow"/>
        <family val="2"/>
      </rPr>
      <t xml:space="preserve"> </t>
    </r>
    <r>
      <rPr>
        <b/>
        <sz val="10"/>
        <color theme="1"/>
        <rFont val="宋体"/>
        <family val="3"/>
        <charset val="134"/>
      </rPr>
      <t>目</t>
    </r>
  </si>
  <si>
    <r>
      <rPr>
        <b/>
        <sz val="10"/>
        <rFont val="宋体"/>
        <family val="3"/>
        <charset val="134"/>
      </rPr>
      <t>期初数</t>
    </r>
  </si>
  <si>
    <r>
      <rPr>
        <b/>
        <sz val="10"/>
        <rFont val="宋体"/>
        <family val="3"/>
        <charset val="134"/>
      </rPr>
      <t>期末数</t>
    </r>
  </si>
  <si>
    <r>
      <rPr>
        <b/>
        <sz val="9"/>
        <color indexed="8"/>
        <rFont val="宋体"/>
        <family val="3"/>
        <charset val="134"/>
      </rPr>
      <t>本期审定数与上期
审定数的比较</t>
    </r>
  </si>
  <si>
    <r>
      <rPr>
        <b/>
        <sz val="10"/>
        <rFont val="宋体"/>
        <family val="3"/>
        <charset val="134"/>
      </rPr>
      <t>未审数</t>
    </r>
  </si>
  <si>
    <r>
      <rPr>
        <b/>
        <sz val="10"/>
        <rFont val="宋体"/>
        <family val="3"/>
        <charset val="134"/>
      </rPr>
      <t>账项调整</t>
    </r>
  </si>
  <si>
    <r>
      <rPr>
        <b/>
        <sz val="10"/>
        <rFont val="宋体"/>
        <family val="3"/>
        <charset val="134"/>
      </rPr>
      <t>重分类调整</t>
    </r>
  </si>
  <si>
    <r>
      <rPr>
        <b/>
        <sz val="10"/>
        <rFont val="宋体"/>
        <family val="3"/>
        <charset val="134"/>
      </rPr>
      <t>审定数</t>
    </r>
  </si>
  <si>
    <r>
      <rPr>
        <b/>
        <sz val="9"/>
        <rFont val="宋体"/>
        <family val="3"/>
        <charset val="134"/>
      </rPr>
      <t>变动额</t>
    </r>
  </si>
  <si>
    <r>
      <rPr>
        <b/>
        <sz val="9"/>
        <color indexed="8"/>
        <rFont val="宋体"/>
        <family val="3"/>
        <charset val="134"/>
      </rPr>
      <t>变动率</t>
    </r>
  </si>
  <si>
    <r>
      <rPr>
        <b/>
        <sz val="10"/>
        <color indexed="8"/>
        <rFont val="宋体"/>
        <family val="3"/>
        <charset val="134"/>
      </rPr>
      <t>合计</t>
    </r>
  </si>
  <si>
    <r>
      <rPr>
        <b/>
        <sz val="10"/>
        <rFont val="Arial Narrow"/>
        <family val="2"/>
      </rPr>
      <t>1</t>
    </r>
    <r>
      <rPr>
        <b/>
        <sz val="10"/>
        <rFont val="宋体"/>
        <family val="3"/>
        <charset val="134"/>
      </rPr>
      <t>、审计说明：</t>
    </r>
  </si>
  <si>
    <r>
      <rPr>
        <sz val="10"/>
        <rFont val="宋体"/>
        <family val="3"/>
        <charset val="134"/>
      </rPr>
      <t>（</t>
    </r>
    <r>
      <rPr>
        <sz val="10"/>
        <rFont val="Arial Narrow"/>
        <family val="2"/>
      </rPr>
      <t>1</t>
    </r>
    <r>
      <rPr>
        <sz val="10"/>
        <rFont val="宋体"/>
        <family val="3"/>
        <charset val="134"/>
      </rPr>
      <t>）专项应付款期末净值较期初净值增加（负数为减少）：</t>
    </r>
  </si>
  <si>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</si>
  <si>
    <r>
      <rPr>
        <sz val="10"/>
        <rFont val="宋体"/>
        <family val="3"/>
        <charset val="134"/>
      </rPr>
      <t>（</t>
    </r>
    <r>
      <rPr>
        <sz val="10"/>
        <rFont val="Arial Narrow"/>
        <family val="2"/>
      </rPr>
      <t>2</t>
    </r>
    <r>
      <rPr>
        <sz val="10"/>
        <rFont val="宋体"/>
        <family val="3"/>
        <charset val="134"/>
      </rPr>
      <t>）与试算平衡表核对</t>
    </r>
  </si>
  <si>
    <r>
      <rPr>
        <sz val="10"/>
        <rFont val="宋体"/>
        <family val="3"/>
        <charset val="134"/>
      </rPr>
      <t>期末数</t>
    </r>
  </si>
  <si>
    <r>
      <rPr>
        <sz val="10"/>
        <rFont val="宋体"/>
        <family val="3"/>
        <charset val="134"/>
      </rPr>
      <t>期初数</t>
    </r>
  </si>
  <si>
    <r>
      <rPr>
        <sz val="10"/>
        <rFont val="宋体"/>
        <family val="3"/>
        <charset val="134"/>
      </rPr>
      <t>长期应付款审定数</t>
    </r>
  </si>
  <si>
    <r>
      <rPr>
        <sz val="10"/>
        <rFont val="宋体"/>
        <family val="3"/>
        <charset val="134"/>
      </rPr>
      <t>专项应付款审定数</t>
    </r>
  </si>
  <si>
    <r>
      <rPr>
        <sz val="10"/>
        <rFont val="宋体"/>
        <family val="3"/>
        <charset val="134"/>
      </rPr>
      <t>长期应付款与专项应付款合计数</t>
    </r>
  </si>
  <si>
    <r>
      <rPr>
        <sz val="10"/>
        <rFont val="宋体"/>
        <family val="3"/>
        <charset val="134"/>
      </rPr>
      <t>试算平衡表数</t>
    </r>
  </si>
  <si>
    <r>
      <rPr>
        <sz val="10"/>
        <rFont val="宋体"/>
        <family val="3"/>
        <charset val="134"/>
      </rPr>
      <t>差异</t>
    </r>
  </si>
  <si>
    <r>
      <rPr>
        <b/>
        <sz val="10"/>
        <rFont val="Arial Narrow"/>
        <family val="2"/>
      </rPr>
      <t>2</t>
    </r>
    <r>
      <rPr>
        <b/>
        <sz val="10"/>
        <rFont val="宋体"/>
        <family val="3"/>
        <charset val="134"/>
      </rPr>
      <t>、审计结论：</t>
    </r>
  </si>
  <si>
    <r>
      <rPr>
        <b/>
        <sz val="14"/>
        <rFont val="宋体"/>
        <family val="3"/>
        <charset val="134"/>
      </rPr>
      <t>专项应付款附注披露信息</t>
    </r>
  </si>
  <si>
    <t>索引号：</t>
  </si>
  <si>
    <r>
      <rPr>
        <b/>
        <sz val="12"/>
        <rFont val="宋体"/>
        <family val="3"/>
        <charset val="134"/>
      </rPr>
      <t>附注披露信息（上市公司）</t>
    </r>
  </si>
  <si>
    <r>
      <rPr>
        <b/>
        <sz val="12"/>
        <color rgb="FF0000FF"/>
        <rFont val="宋体"/>
        <family val="3"/>
        <charset val="134"/>
      </rPr>
      <t>【长期应付款与专项应付款的合计数披露详见</t>
    </r>
    <r>
      <rPr>
        <b/>
        <sz val="12"/>
        <color rgb="FF0000FF"/>
        <rFont val="Arial Narrow"/>
        <family val="2"/>
      </rPr>
      <t>P5-1</t>
    </r>
    <r>
      <rPr>
        <b/>
        <sz val="12"/>
        <color rgb="FF0000FF"/>
        <rFont val="宋体"/>
        <family val="3"/>
        <charset val="134"/>
      </rPr>
      <t>】</t>
    </r>
  </si>
  <si>
    <r>
      <rPr>
        <sz val="12"/>
        <rFont val="宋体"/>
        <family val="3"/>
        <charset val="134"/>
      </rPr>
      <t>（</t>
    </r>
    <r>
      <rPr>
        <sz val="12"/>
        <rFont val="Arial Narrow"/>
        <family val="2"/>
      </rPr>
      <t>2</t>
    </r>
    <r>
      <rPr>
        <sz val="12"/>
        <rFont val="宋体"/>
        <family val="3"/>
        <charset val="134"/>
      </rPr>
      <t>）专项应付款</t>
    </r>
  </si>
  <si>
    <r>
      <rPr>
        <b/>
        <sz val="12"/>
        <color indexed="8"/>
        <rFont val="宋体"/>
        <family val="3"/>
        <charset val="134"/>
      </rPr>
      <t>项目</t>
    </r>
  </si>
  <si>
    <r>
      <rPr>
        <b/>
        <sz val="12"/>
        <color indexed="8"/>
        <rFont val="宋体"/>
        <family val="3"/>
        <charset val="134"/>
      </rPr>
      <t>期初数</t>
    </r>
  </si>
  <si>
    <r>
      <rPr>
        <b/>
        <sz val="12"/>
        <color indexed="8"/>
        <rFont val="宋体"/>
        <family val="3"/>
        <charset val="134"/>
      </rPr>
      <t>本期增加</t>
    </r>
  </si>
  <si>
    <r>
      <rPr>
        <b/>
        <sz val="12"/>
        <color indexed="8"/>
        <rFont val="宋体"/>
        <family val="3"/>
        <charset val="134"/>
      </rPr>
      <t>本期减少</t>
    </r>
  </si>
  <si>
    <r>
      <rPr>
        <b/>
        <sz val="12"/>
        <color indexed="8"/>
        <rFont val="宋体"/>
        <family val="3"/>
        <charset val="134"/>
      </rPr>
      <t>期末数</t>
    </r>
  </si>
  <si>
    <r>
      <rPr>
        <b/>
        <sz val="12"/>
        <color indexed="8"/>
        <rFont val="宋体"/>
        <family val="3"/>
        <charset val="134"/>
      </rPr>
      <t>形成原因</t>
    </r>
  </si>
  <si>
    <r>
      <rPr>
        <b/>
        <sz val="12"/>
        <rFont val="宋体"/>
        <family val="3"/>
        <charset val="134"/>
      </rPr>
      <t>合计</t>
    </r>
  </si>
  <si>
    <r>
      <rPr>
        <b/>
        <sz val="12"/>
        <rFont val="宋体"/>
        <family val="3"/>
        <charset val="134"/>
      </rPr>
      <t>附注披露信息（国企）</t>
    </r>
  </si>
  <si>
    <r>
      <rPr>
        <sz val="12"/>
        <color indexed="12"/>
        <rFont val="宋体"/>
        <family val="3"/>
        <charset val="134"/>
      </rPr>
      <t>（说明：分项披露专项应付款年末余额最大的前五项）</t>
    </r>
  </si>
  <si>
    <t>201X.01.01</t>
  </si>
  <si>
    <t>201X.12.31</t>
  </si>
  <si>
    <r>
      <rPr>
        <sz val="12"/>
        <color indexed="8"/>
        <rFont val="宋体"/>
        <family val="3"/>
        <charset val="134"/>
      </rPr>
      <t>其他</t>
    </r>
  </si>
  <si>
    <r>
      <rPr>
        <b/>
        <sz val="12"/>
        <color indexed="8"/>
        <rFont val="宋体"/>
        <family val="3"/>
        <charset val="134"/>
      </rPr>
      <t>合计</t>
    </r>
  </si>
  <si>
    <r>
      <rPr>
        <b/>
        <sz val="14"/>
        <rFont val="宋体"/>
        <family val="3"/>
        <charset val="134"/>
      </rPr>
      <t>专项应付款明细表</t>
    </r>
  </si>
  <si>
    <r>
      <rPr>
        <b/>
        <sz val="10"/>
        <color indexed="8"/>
        <rFont val="宋体"/>
        <family val="3"/>
        <charset val="134"/>
      </rPr>
      <t>一、审计目标</t>
    </r>
    <r>
      <rPr>
        <b/>
        <sz val="10"/>
        <color indexed="8"/>
        <rFont val="Arial Narrow"/>
        <family val="2"/>
      </rPr>
      <t>:</t>
    </r>
  </si>
  <si>
    <r>
      <rPr>
        <sz val="10"/>
        <rFont val="Arial Narrow"/>
        <family val="2"/>
      </rPr>
      <t>1</t>
    </r>
    <r>
      <rPr>
        <sz val="10"/>
        <rFont val="宋体"/>
        <family val="3"/>
        <charset val="134"/>
      </rPr>
      <t>、资产负债表中记录的专项应付款是存在的，且已经记录在恰当的账户中；</t>
    </r>
    <r>
      <rPr>
        <sz val="10"/>
        <rFont val="Arial Narrow"/>
        <family val="2"/>
      </rPr>
      <t>2</t>
    </r>
    <r>
      <rPr>
        <sz val="10"/>
        <rFont val="等线"/>
        <family val="3"/>
        <charset val="134"/>
      </rPr>
      <t>、</t>
    </r>
    <r>
      <rPr>
        <sz val="10"/>
        <rFont val="Arial Narrow"/>
        <family val="2"/>
      </rPr>
      <t xml:space="preserve"> </t>
    </r>
    <r>
      <rPr>
        <sz val="10"/>
        <rFont val="等线"/>
        <family val="3"/>
        <charset val="134"/>
      </rPr>
      <t>所有应记录的短期借款均已记录，所有应当包括在财务报表中的相关披露均已包括；</t>
    </r>
  </si>
  <si>
    <r>
      <rPr>
        <sz val="10"/>
        <rFont val="Arial Narrow"/>
        <family val="2"/>
      </rPr>
      <t>3</t>
    </r>
    <r>
      <rPr>
        <sz val="10"/>
        <rFont val="宋体"/>
        <family val="3"/>
        <charset val="134"/>
      </rPr>
      <t>、专项应付款以恰当的金额包括在财务报表中，与之相关的计价或分摊调整已恰当记录，相关披露已得到恰当计量和描述</t>
    </r>
  </si>
  <si>
    <r>
      <rPr>
        <b/>
        <sz val="10"/>
        <rFont val="宋体"/>
        <family val="3"/>
        <charset val="134"/>
      </rPr>
      <t>二、审计过程：</t>
    </r>
  </si>
  <si>
    <r>
      <rPr>
        <b/>
        <sz val="10"/>
        <color indexed="8"/>
        <rFont val="宋体"/>
        <family val="3"/>
        <charset val="134"/>
      </rPr>
      <t>序号</t>
    </r>
  </si>
  <si>
    <r>
      <rPr>
        <b/>
        <sz val="10"/>
        <color indexed="8"/>
        <rFont val="宋体"/>
        <family val="3"/>
        <charset val="134"/>
      </rPr>
      <t>项目</t>
    </r>
  </si>
  <si>
    <r>
      <rPr>
        <b/>
        <sz val="10"/>
        <color indexed="8"/>
        <rFont val="宋体"/>
        <family val="3"/>
        <charset val="134"/>
      </rPr>
      <t>期初调整</t>
    </r>
  </si>
  <si>
    <r>
      <rPr>
        <b/>
        <sz val="10"/>
        <color indexed="8"/>
        <rFont val="宋体"/>
        <family val="3"/>
        <charset val="134"/>
      </rPr>
      <t>账项调整</t>
    </r>
  </si>
  <si>
    <r>
      <rPr>
        <b/>
        <sz val="10"/>
        <color indexed="8"/>
        <rFont val="宋体"/>
        <family val="3"/>
        <charset val="134"/>
      </rPr>
      <t>重分类调整</t>
    </r>
  </si>
  <si>
    <r>
      <rPr>
        <b/>
        <sz val="10"/>
        <color indexed="8"/>
        <rFont val="宋体"/>
        <family val="3"/>
        <charset val="134"/>
      </rPr>
      <t>文件依据</t>
    </r>
  </si>
  <si>
    <r>
      <rPr>
        <b/>
        <sz val="10"/>
        <color indexed="8"/>
        <rFont val="宋体"/>
        <family val="3"/>
        <charset val="134"/>
      </rPr>
      <t>索引号</t>
    </r>
  </si>
  <si>
    <r>
      <rPr>
        <b/>
        <sz val="10"/>
        <color indexed="8"/>
        <rFont val="宋体"/>
        <family val="3"/>
        <charset val="134"/>
      </rPr>
      <t>拨款项目的完成情况</t>
    </r>
  </si>
  <si>
    <r>
      <rPr>
        <b/>
        <sz val="10"/>
        <rFont val="宋体"/>
        <family val="3"/>
        <charset val="134"/>
      </rPr>
      <t>备注</t>
    </r>
  </si>
  <si>
    <r>
      <rPr>
        <b/>
        <sz val="10"/>
        <color indexed="8"/>
        <rFont val="宋体"/>
        <family val="3"/>
        <charset val="134"/>
      </rPr>
      <t>期初余额</t>
    </r>
  </si>
  <si>
    <r>
      <rPr>
        <b/>
        <sz val="10"/>
        <color indexed="8"/>
        <rFont val="宋体"/>
        <family val="3"/>
        <charset val="134"/>
      </rPr>
      <t>本期拨入</t>
    </r>
  </si>
  <si>
    <r>
      <rPr>
        <b/>
        <sz val="10"/>
        <color indexed="8"/>
        <rFont val="宋体"/>
        <family val="3"/>
        <charset val="134"/>
      </rPr>
      <t>本期结转</t>
    </r>
  </si>
  <si>
    <r>
      <rPr>
        <b/>
        <sz val="10"/>
        <color indexed="8"/>
        <rFont val="宋体"/>
        <family val="3"/>
        <charset val="134"/>
      </rPr>
      <t>本期返还</t>
    </r>
  </si>
  <si>
    <r>
      <rPr>
        <b/>
        <sz val="10"/>
        <color indexed="8"/>
        <rFont val="宋体"/>
        <family val="3"/>
        <charset val="134"/>
      </rPr>
      <t>期末余额</t>
    </r>
  </si>
  <si>
    <r>
      <rPr>
        <b/>
        <sz val="10"/>
        <rFont val="宋体"/>
        <family val="3"/>
        <charset val="134"/>
      </rPr>
      <t>三、审计说明：</t>
    </r>
  </si>
  <si>
    <r>
      <rPr>
        <b/>
        <sz val="10"/>
        <rFont val="宋体"/>
        <family val="3"/>
        <charset val="134"/>
      </rPr>
      <t>四、审计结论：</t>
    </r>
  </si>
  <si>
    <r>
      <rPr>
        <b/>
        <sz val="10"/>
        <color indexed="12"/>
        <rFont val="宋体"/>
        <family val="3"/>
        <charset val="134"/>
      </rPr>
      <t>提示：</t>
    </r>
  </si>
  <si>
    <r>
      <rPr>
        <sz val="10"/>
        <color indexed="12"/>
        <rFont val="Arial Narrow"/>
        <family val="2"/>
      </rPr>
      <t>1</t>
    </r>
    <r>
      <rPr>
        <sz val="10"/>
        <color indexed="12"/>
        <rFont val="宋体"/>
        <family val="3"/>
        <charset val="134"/>
      </rPr>
      <t>本科目核算企业取得</t>
    </r>
    <r>
      <rPr>
        <b/>
        <sz val="10"/>
        <color indexed="12"/>
        <rFont val="宋体"/>
        <family val="3"/>
        <charset val="134"/>
      </rPr>
      <t>政府作为企业所有者</t>
    </r>
    <r>
      <rPr>
        <sz val="10"/>
        <color indexed="12"/>
        <rFont val="宋体"/>
        <family val="3"/>
        <charset val="134"/>
      </rPr>
      <t>投入的具有专项或特定用途的款项。</t>
    </r>
  </si>
  <si>
    <r>
      <rPr>
        <sz val="10"/>
        <color rgb="FF0000FF"/>
        <rFont val="Arial Narrow"/>
        <family val="2"/>
      </rPr>
      <t>2.</t>
    </r>
    <r>
      <rPr>
        <sz val="10"/>
        <color rgb="FF0000FF"/>
        <rFont val="等线"/>
        <family val="3"/>
        <charset val="134"/>
      </rPr>
      <t>专项应付款核算内容不包括与政府补助相关的项目。</t>
    </r>
    <r>
      <rPr>
        <sz val="10"/>
        <color rgb="FF0000FF"/>
        <rFont val="Arial Narrow"/>
        <family val="2"/>
      </rPr>
      <t>“</t>
    </r>
    <r>
      <rPr>
        <sz val="10"/>
        <color rgb="FF0000FF"/>
        <rFont val="等线"/>
        <family val="3"/>
        <charset val="134"/>
      </rPr>
      <t>政府补助”是指企业从政府无偿取得的货币性资产或非货币性资产，与收入的区别主要在于其“无偿性”；而收入用于计量与客户之间的合同形成的、与所有者投入资本无关的经济利益流入。</t>
    </r>
    <r>
      <rPr>
        <sz val="10"/>
        <color rgb="FF0000FF"/>
        <rFont val="Arial Narrow"/>
        <family val="2"/>
      </rPr>
      <t xml:space="preserve">
</t>
    </r>
    <r>
      <rPr>
        <sz val="10"/>
        <color rgb="FF0000FF"/>
        <rFont val="等线"/>
        <family val="3"/>
        <charset val="134"/>
      </rPr>
      <t>根据《企业会计准则应用指南——会计科目和主要账务处理》的规定，“专项应付款”科目核算的是企业取得政府作为企业所有者投入的具有专项或特定用途的款项，政府以投资者身份向企业投入资本，享有企业相应的所有者权益。实务中只有拨付文件中明确计入专项应付款的项目，或者符合准则相关规定要求应计入专项应付款的项目（例如符合要求的搬迁补偿等）才可以计入专项应付款。</t>
    </r>
  </si>
  <si>
    <r>
      <rPr>
        <sz val="10"/>
        <color indexed="12"/>
        <rFont val="Arial Narrow"/>
        <family val="2"/>
      </rPr>
      <t>3</t>
    </r>
    <r>
      <rPr>
        <sz val="10"/>
        <color indexed="12"/>
        <rFont val="宋体"/>
        <family val="3"/>
        <charset val="134"/>
      </rPr>
      <t>应按专项应付款每一明细账户分别列示。</t>
    </r>
  </si>
  <si>
    <r>
      <rPr>
        <sz val="10"/>
        <color indexed="12"/>
        <rFont val="Arial Narrow"/>
        <family val="2"/>
      </rPr>
      <t>4.</t>
    </r>
    <r>
      <rPr>
        <sz val="10"/>
        <color indexed="12"/>
        <rFont val="宋体"/>
        <family val="3"/>
        <charset val="134"/>
      </rPr>
      <t>外币专项应付款应在</t>
    </r>
    <r>
      <rPr>
        <sz val="10"/>
        <color rgb="FF0000FF"/>
        <rFont val="等线"/>
        <family val="3"/>
        <charset val="134"/>
      </rPr>
      <t>“</t>
    </r>
    <r>
      <rPr>
        <sz val="10"/>
        <color indexed="12"/>
        <rFont val="宋体"/>
        <family val="3"/>
        <charset val="134"/>
      </rPr>
      <t>备注</t>
    </r>
    <r>
      <rPr>
        <sz val="10"/>
        <color rgb="FF0000FF"/>
        <rFont val="等线"/>
        <family val="3"/>
        <charset val="134"/>
      </rPr>
      <t>”</t>
    </r>
    <r>
      <rPr>
        <sz val="10"/>
        <color indexed="12"/>
        <rFont val="宋体"/>
        <family val="3"/>
        <charset val="134"/>
      </rPr>
      <t>栏中列明原币金额及折合汇率。</t>
    </r>
  </si>
  <si>
    <r>
      <rPr>
        <sz val="10"/>
        <color indexed="12"/>
        <rFont val="Arial Narrow"/>
        <family val="2"/>
      </rPr>
      <t>5.</t>
    </r>
    <r>
      <rPr>
        <sz val="10"/>
        <color indexed="12"/>
        <rFont val="宋体"/>
        <family val="3"/>
        <charset val="134"/>
      </rPr>
      <t>应说明专项应付款的来源、指定的专门用途、使用限制等相关内容。如：该专项应付款为财政部按照</t>
    </r>
    <r>
      <rPr>
        <sz val="10"/>
        <color indexed="12"/>
        <rFont val="Arial Narrow"/>
        <family val="2"/>
      </rPr>
      <t>XX</t>
    </r>
    <r>
      <rPr>
        <sz val="10"/>
        <color indexed="12"/>
        <rFont val="宋体"/>
        <family val="3"/>
        <charset val="134"/>
      </rPr>
      <t>文规定拨付的</t>
    </r>
    <r>
      <rPr>
        <sz val="10"/>
        <color indexed="12"/>
        <rFont val="Arial Narrow"/>
        <family val="2"/>
      </rPr>
      <t>X</t>
    </r>
    <r>
      <rPr>
        <sz val="10"/>
        <color indexed="12"/>
        <rFont val="宋体"/>
        <family val="3"/>
        <charset val="134"/>
      </rPr>
      <t>项目专用设备购置款。</t>
    </r>
  </si>
  <si>
    <r>
      <rPr>
        <sz val="10"/>
        <color indexed="12"/>
        <rFont val="Arial Narrow"/>
        <family val="2"/>
      </rPr>
      <t>6.</t>
    </r>
    <r>
      <rPr>
        <sz val="10"/>
        <color indexed="12"/>
        <rFont val="宋体"/>
        <family val="3"/>
        <charset val="134"/>
      </rPr>
      <t>企业因城镇整体规划、库区建设、棚户区改造、沉陷区治理等公共利益进行搬迁，收到政府从财政预算直接拨付的搬迁补偿款，在专项应付款中核算</t>
    </r>
    <r>
      <rPr>
        <sz val="10"/>
        <rFont val="宋体"/>
        <family val="3"/>
        <charset val="134"/>
      </rPr>
      <t>。</t>
    </r>
  </si>
  <si>
    <r>
      <rPr>
        <sz val="10"/>
        <color indexed="12"/>
        <rFont val="Arial Narrow"/>
        <family val="2"/>
      </rPr>
      <t>7.</t>
    </r>
    <r>
      <rPr>
        <sz val="10"/>
        <color indexed="12"/>
        <rFont val="宋体"/>
        <family val="3"/>
        <charset val="134"/>
      </rPr>
      <t>根据《财政部关于印发〈工业企业结构调整专项奖补资金管理办法〉的通知》，中央财政将安排工业企业结构调整专项奖补资金，用于支持地方政府和中央企业推动钢铁、煤炭等行业化解过剩产能。中央企业在收到预拨的专项奖补资金时，应当暂通过</t>
    </r>
    <r>
      <rPr>
        <sz val="10"/>
        <color rgb="FF0000FF"/>
        <rFont val="等线"/>
        <family val="3"/>
        <charset val="134"/>
      </rPr>
      <t>“</t>
    </r>
    <r>
      <rPr>
        <sz val="10"/>
        <color indexed="12"/>
        <rFont val="宋体"/>
        <family val="3"/>
        <charset val="134"/>
      </rPr>
      <t>专项应付款</t>
    </r>
    <r>
      <rPr>
        <sz val="10"/>
        <color rgb="FF0000FF"/>
        <rFont val="等线"/>
        <family val="3"/>
        <charset val="134"/>
      </rPr>
      <t>”</t>
    </r>
    <r>
      <rPr>
        <sz val="10"/>
        <color indexed="12"/>
        <rFont val="宋体"/>
        <family val="3"/>
        <charset val="134"/>
      </rPr>
      <t>科目核算，借记</t>
    </r>
    <r>
      <rPr>
        <sz val="10"/>
        <color rgb="FF0000FF"/>
        <rFont val="等线"/>
        <family val="3"/>
        <charset val="134"/>
      </rPr>
      <t>“</t>
    </r>
    <r>
      <rPr>
        <sz val="10"/>
        <color indexed="12"/>
        <rFont val="宋体"/>
        <family val="3"/>
        <charset val="134"/>
      </rPr>
      <t>银行存款</t>
    </r>
    <r>
      <rPr>
        <sz val="10"/>
        <color rgb="FF0000FF"/>
        <rFont val="等线"/>
        <family val="3"/>
        <charset val="134"/>
      </rPr>
      <t>”</t>
    </r>
    <r>
      <rPr>
        <sz val="10"/>
        <color indexed="12"/>
        <rFont val="宋体"/>
        <family val="3"/>
        <charset val="134"/>
      </rPr>
      <t>等科目，贷记</t>
    </r>
    <r>
      <rPr>
        <sz val="10"/>
        <color rgb="FF0000FF"/>
        <rFont val="等线"/>
        <family val="3"/>
        <charset val="134"/>
      </rPr>
      <t>“</t>
    </r>
    <r>
      <rPr>
        <sz val="10"/>
        <color indexed="12"/>
        <rFont val="宋体"/>
        <family val="3"/>
        <charset val="134"/>
      </rPr>
      <t>专项应付款</t>
    </r>
    <r>
      <rPr>
        <sz val="10"/>
        <color rgb="FF0000FF"/>
        <rFont val="等线"/>
        <family val="3"/>
        <charset val="134"/>
      </rPr>
      <t>”</t>
    </r>
    <r>
      <rPr>
        <sz val="10"/>
        <color indexed="12"/>
        <rFont val="宋体"/>
        <family val="3"/>
        <charset val="134"/>
      </rPr>
      <t>科目。</t>
    </r>
  </si>
  <si>
    <r>
      <rPr>
        <sz val="10"/>
        <color indexed="12"/>
        <rFont val="Arial Narrow"/>
        <family val="2"/>
      </rPr>
      <t>8.</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</si>
  <si>
    <r>
      <rPr>
        <sz val="10"/>
        <color indexed="12"/>
        <rFont val="Arial Narrow"/>
        <family val="2"/>
      </rPr>
      <t>9.</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</si>
  <si>
    <r>
      <rPr>
        <sz val="10"/>
        <rFont val="宋体"/>
        <family val="3"/>
        <charset val="134"/>
      </rPr>
      <t>索引：</t>
    </r>
  </si>
  <si>
    <r>
      <rPr>
        <b/>
        <sz val="10"/>
        <color indexed="8"/>
        <rFont val="宋体"/>
        <family val="3"/>
        <charset val="134"/>
      </rPr>
      <t>调整事项说明</t>
    </r>
  </si>
  <si>
    <r>
      <rPr>
        <b/>
        <sz val="10"/>
        <color indexed="8"/>
        <rFont val="宋体"/>
        <family val="3"/>
        <charset val="134"/>
      </rPr>
      <t>类别（报表调整</t>
    </r>
    <r>
      <rPr>
        <b/>
        <sz val="10"/>
        <color indexed="8"/>
        <rFont val="Arial Narrow"/>
        <family val="2"/>
      </rPr>
      <t>/</t>
    </r>
    <r>
      <rPr>
        <b/>
        <sz val="10"/>
        <color indexed="8"/>
        <rFont val="宋体"/>
        <family val="3"/>
        <charset val="134"/>
      </rPr>
      <t>账项调整</t>
    </r>
    <r>
      <rPr>
        <b/>
        <sz val="10"/>
        <color indexed="8"/>
        <rFont val="Arial Narrow"/>
        <family val="2"/>
      </rPr>
      <t>/</t>
    </r>
    <r>
      <rPr>
        <b/>
        <sz val="10"/>
        <color indexed="8"/>
        <rFont val="宋体"/>
        <family val="3"/>
        <charset val="134"/>
      </rPr>
      <t>其他）</t>
    </r>
  </si>
  <si>
    <r>
      <rPr>
        <b/>
        <sz val="10"/>
        <rFont val="宋体"/>
        <family val="3"/>
        <charset val="134"/>
      </rPr>
      <t>报表项目</t>
    </r>
  </si>
  <si>
    <r>
      <rPr>
        <b/>
        <sz val="10"/>
        <rFont val="宋体"/>
        <family val="3"/>
        <charset val="134"/>
      </rPr>
      <t>科目名称</t>
    </r>
  </si>
  <si>
    <r>
      <rPr>
        <b/>
        <sz val="10"/>
        <rFont val="宋体"/>
        <family val="3"/>
        <charset val="134"/>
      </rPr>
      <t>附注项目</t>
    </r>
  </si>
  <si>
    <t>……</t>
  </si>
  <si>
    <r>
      <rPr>
        <b/>
        <sz val="10"/>
        <rFont val="宋体"/>
        <family val="3"/>
        <charset val="134"/>
      </rPr>
      <t>借方调整金额</t>
    </r>
  </si>
  <si>
    <r>
      <rPr>
        <b/>
        <sz val="10"/>
        <rFont val="宋体"/>
        <family val="3"/>
        <charset val="134"/>
      </rPr>
      <t>贷方调整金额</t>
    </r>
  </si>
  <si>
    <r>
      <rPr>
        <b/>
        <sz val="10"/>
        <rFont val="宋体"/>
        <family val="3"/>
        <charset val="134"/>
      </rPr>
      <t>索引</t>
    </r>
  </si>
  <si>
    <t>注：本底稿适用于调整分录较多、较复杂的项目，且仅列示与本报表项目相关的审计调整。项目组可根据项目实际情况选择是否使用该底稿。</t>
  </si>
  <si>
    <r>
      <rPr>
        <b/>
        <sz val="14"/>
        <rFont val="宋体"/>
        <family val="3"/>
        <charset val="134"/>
      </rPr>
      <t>专项应付款检查表</t>
    </r>
  </si>
  <si>
    <r>
      <rPr>
        <sz val="10"/>
        <rFont val="Arial Narrow"/>
        <family val="2"/>
      </rPr>
      <t>1.</t>
    </r>
    <r>
      <rPr>
        <sz val="10"/>
        <rFont val="宋体"/>
        <family val="3"/>
        <charset val="134"/>
      </rPr>
      <t>资产负债表中记录的专项应付款是存在的，且已经记录在恰当的账户中；</t>
    </r>
    <r>
      <rPr>
        <sz val="10"/>
        <rFont val="Arial Narrow"/>
        <family val="2"/>
      </rPr>
      <t xml:space="preserve">     2.</t>
    </r>
    <r>
      <rPr>
        <sz val="10"/>
        <rFont val="宋体"/>
        <family val="3"/>
        <charset val="134"/>
      </rPr>
      <t>记录的专项应付款由被审计单位拥有或控制；</t>
    </r>
  </si>
  <si>
    <r>
      <rPr>
        <sz val="10"/>
        <rFont val="Arial Narrow"/>
        <family val="2"/>
      </rPr>
      <t>3.</t>
    </r>
    <r>
      <rPr>
        <sz val="10"/>
        <rFont val="宋体"/>
        <family val="3"/>
        <charset val="134"/>
      </rPr>
      <t>专项应付款以恰当的金额包括在财务报表中，与之相关的计价或分摊调整已恰当记录，相关披露已得到恰当计量和描述</t>
    </r>
    <r>
      <rPr>
        <sz val="10"/>
        <rFont val="Arial Narrow"/>
        <family val="2"/>
      </rPr>
      <t xml:space="preserve"> </t>
    </r>
  </si>
  <si>
    <t>二、测试：</t>
  </si>
  <si>
    <t>测试原因：大额（）关联方（）大额交易频繁（）异常（）其他（）</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</si>
  <si>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</si>
  <si>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项目</t>
  </si>
  <si>
    <t>记账凭证</t>
  </si>
  <si>
    <t>支持性文件</t>
  </si>
  <si>
    <t>核对内容</t>
  </si>
  <si>
    <t>索引号</t>
  </si>
  <si>
    <t>是否异常</t>
  </si>
  <si>
    <t>备注说明</t>
  </si>
  <si>
    <t>日期</t>
  </si>
  <si>
    <t>凭证编号</t>
  </si>
  <si>
    <t>业务内容</t>
  </si>
  <si>
    <t>对方科目</t>
  </si>
  <si>
    <t>对方明细科目</t>
  </si>
  <si>
    <t>借方金额</t>
  </si>
  <si>
    <t>贷方金额</t>
  </si>
  <si>
    <r>
      <rPr>
        <sz val="10"/>
        <rFont val="宋体"/>
        <family val="3"/>
        <charset val="134"/>
      </rPr>
      <t>提示：</t>
    </r>
  </si>
  <si>
    <r>
      <rPr>
        <sz val="10"/>
        <color rgb="FF0432FF"/>
        <rFont val="Arial Narrow"/>
        <family val="2"/>
      </rPr>
      <t>1</t>
    </r>
    <r>
      <rPr>
        <sz val="10"/>
        <color rgb="FF0432FF"/>
        <rFont val="宋体"/>
        <family val="3"/>
        <charset val="134"/>
      </rPr>
      <t>、检查专项拨款是否按既定用途使用。</t>
    </r>
  </si>
  <si>
    <r>
      <rPr>
        <sz val="10"/>
        <color rgb="FF0432FF"/>
        <rFont val="Arial Narrow"/>
        <family val="2"/>
      </rPr>
      <t>2</t>
    </r>
    <r>
      <rPr>
        <sz val="10"/>
        <color rgb="FF0432FF"/>
        <rFont val="宋体"/>
        <family val="3"/>
        <charset val="134"/>
      </rPr>
      <t>、未形成相应资产的专项应付款项是否经批准程序予以核销。</t>
    </r>
  </si>
  <si>
    <t>三、审计说明：</t>
  </si>
  <si>
    <t>四、审计结论：</t>
  </si>
  <si>
    <t>C1</t>
  </si>
  <si>
    <t>Custom 1</t>
  </si>
  <si>
    <t>C2</t>
  </si>
  <si>
    <t>Custom 2</t>
  </si>
  <si>
    <t>C3</t>
  </si>
  <si>
    <t>Custom 3</t>
  </si>
  <si>
    <t>C4</t>
  </si>
  <si>
    <t>Custom 4</t>
  </si>
  <si>
    <t>C5</t>
  </si>
  <si>
    <t>Custom 5</t>
  </si>
  <si>
    <t>C6</t>
  </si>
  <si>
    <t>Custom 6</t>
  </si>
  <si>
    <t>C7</t>
  </si>
  <si>
    <t>Custom 7</t>
  </si>
  <si>
    <t>C8</t>
  </si>
  <si>
    <t>Custom 8</t>
  </si>
  <si>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77" type="noConversion"/>
  </si>
  <si>
    <t>关于工作底稿与审计程序索引号对应的说明</t>
    <phoneticPr fontId="77"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</si>
  <si>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77"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</si>
  <si>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77"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</si>
  <si>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77" type="noConversion"/>
  </si>
  <si>
    <t>根据被审计单位实际情况和风险评估情况裁剪、修改或增加审计程序</t>
    <phoneticPr fontId="77" type="noConversion"/>
  </si>
  <si>
    <t>审计程序</t>
    <phoneticPr fontId="78" type="noConversion"/>
  </si>
  <si>
    <t>致同会计师事务所</t>
  </si>
  <si>
    <t>合计</t>
    <phoneticPr fontId="77" type="noConversion"/>
  </si>
  <si>
    <t>本期发生额</t>
    <phoneticPr fontId="77" type="noConversion"/>
  </si>
  <si>
    <t>检查比例</t>
    <phoneticPr fontId="7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</si>
</sst>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_(* #,##0_);_(* \(#,##0\);_(* &quot;-&quot;_);_(@_)"/>
    <numFmt numFmtId="195" formatCode="_(* #,##0.00_);_(* \(#,##0.00\);_(* &quot;-&quot;??_);_(@_)"/>
    <numFmt numFmtId="196" formatCode="#,##0.00_ "/>
  </numFmts>
  <fonts count="81">
    <font>
      <sz val="12"/>
      <name val="宋体"/>
      <charset val="134"/>
    </font>
    <font>
      <sz val="11"/>
      <color theme="1"/>
      <name val="宋体"/>
      <family val="2"/>
      <charset val="134"/>
      <scheme val="minor"/>
    </font>
    <font>
      <b/>
      <sz val="12"/>
      <name val="Arial Narrow"/>
      <family val="2"/>
    </font>
    <font>
      <sz val="10"/>
      <name val="Arial Narrow"/>
      <family val="2"/>
    </font>
    <font>
      <sz val="12"/>
      <name val="Arial Narrow"/>
      <family val="2"/>
    </font>
    <font>
      <b/>
      <sz val="14"/>
      <name val="Arial Narrow"/>
      <family val="2"/>
    </font>
    <font>
      <b/>
      <sz val="10"/>
      <color indexed="8"/>
      <name val="Arial Narrow"/>
      <family val="2"/>
    </font>
    <font>
      <b/>
      <u/>
      <sz val="10"/>
      <color indexed="10"/>
      <name val="Arial Narrow"/>
      <family val="2"/>
    </font>
    <font>
      <b/>
      <sz val="10"/>
      <name val="Arial Narrow"/>
      <family val="2"/>
    </font>
    <font>
      <b/>
      <sz val="10"/>
      <name val="宋体"/>
      <family val="3"/>
      <charset val="134"/>
    </font>
    <font>
      <sz val="10"/>
      <color rgb="FF0000FF"/>
      <name val="Arial Narrow"/>
      <family val="2"/>
    </font>
    <font>
      <sz val="10"/>
      <name val="宋体"/>
      <family val="3"/>
      <charset val="134"/>
    </font>
    <font>
      <sz val="10"/>
      <color rgb="FFFF0000"/>
      <name val="Arial Narrow"/>
      <family val="2"/>
    </font>
    <font>
      <sz val="10"/>
      <color rgb="FF0432FF"/>
      <name val="Arial Narrow"/>
      <family val="2"/>
    </font>
    <font>
      <u/>
      <sz val="12"/>
      <color indexed="12"/>
      <name val="Arial Narrow"/>
      <family val="2"/>
    </font>
    <font>
      <b/>
      <sz val="10"/>
      <color rgb="FFE92841"/>
      <name val="Arial Narrow"/>
      <family val="2"/>
    </font>
    <font>
      <sz val="10"/>
      <color indexed="8"/>
      <name val="Arial Narrow"/>
      <family val="2"/>
    </font>
    <font>
      <sz val="10"/>
      <color rgb="FF000000"/>
      <name val="Arial Narrow"/>
      <family val="2"/>
    </font>
    <font>
      <i/>
      <u/>
      <sz val="10"/>
      <color indexed="12"/>
      <name val="Arial Narrow"/>
      <family val="2"/>
    </font>
    <font>
      <sz val="10"/>
      <color indexed="12"/>
      <name val="仿宋_GB2312"/>
      <charset val="134"/>
    </font>
    <font>
      <b/>
      <sz val="10"/>
      <color rgb="FF000000"/>
      <name val="宋体"/>
      <family val="3"/>
      <charset val="134"/>
    </font>
    <font>
      <b/>
      <sz val="10"/>
      <color indexed="12"/>
      <name val="Arial Narrow"/>
      <family val="2"/>
    </font>
    <font>
      <sz val="10"/>
      <color indexed="12"/>
      <name val="Arial Narrow"/>
      <family val="2"/>
    </font>
    <font>
      <sz val="10"/>
      <color rgb="FF000000"/>
      <name val="宋体"/>
      <family val="3"/>
      <charset val="134"/>
    </font>
    <font>
      <b/>
      <sz val="12"/>
      <color rgb="FF0000FF"/>
      <name val="Arial Narrow"/>
      <family val="2"/>
    </font>
    <font>
      <sz val="12"/>
      <color indexed="12"/>
      <name val="Arial Narrow"/>
      <family val="2"/>
    </font>
    <font>
      <b/>
      <sz val="12"/>
      <color indexed="8"/>
      <name val="Arial Narrow"/>
      <family val="2"/>
    </font>
    <font>
      <sz val="12"/>
      <color indexed="8"/>
      <name val="Arial Narrow"/>
      <family val="2"/>
    </font>
    <font>
      <b/>
      <sz val="9"/>
      <color indexed="8"/>
      <name val="Arial Narrow"/>
      <family val="2"/>
    </font>
    <font>
      <b/>
      <sz val="9"/>
      <name val="Arial Narrow"/>
      <family val="2"/>
    </font>
    <font>
      <sz val="11"/>
      <color theme="1"/>
      <name val="Arial Narrow"/>
      <family val="2"/>
    </font>
    <font>
      <sz val="10"/>
      <color theme="1"/>
      <name val="Arial Narrow"/>
      <family val="2"/>
    </font>
    <font>
      <b/>
      <sz val="14"/>
      <name val="宋体"/>
      <family val="3"/>
      <charset val="134"/>
    </font>
    <font>
      <b/>
      <sz val="10"/>
      <color theme="1"/>
      <name val="Arial Narrow"/>
      <family val="2"/>
    </font>
    <font>
      <b/>
      <sz val="10"/>
      <color indexed="8"/>
      <name val="宋体"/>
      <family val="3"/>
      <charset val="134"/>
    </font>
    <font>
      <sz val="10"/>
      <color indexed="8"/>
      <name val="宋体"/>
      <family val="3"/>
      <charset val="134"/>
    </font>
    <font>
      <sz val="10"/>
      <color theme="1"/>
      <name val="宋体"/>
      <family val="3"/>
      <charset val="134"/>
    </font>
    <font>
      <b/>
      <sz val="10"/>
      <color rgb="FFFF0000"/>
      <name val="Arial Narrow"/>
      <family val="2"/>
    </font>
    <font>
      <b/>
      <sz val="12"/>
      <name val="宋体"/>
      <family val="3"/>
      <charset val="134"/>
    </font>
    <font>
      <sz val="10"/>
      <name val="Arial"/>
      <family val="2"/>
    </font>
    <font>
      <b/>
      <sz val="10"/>
      <color theme="1"/>
      <name val="宋体"/>
      <family val="3"/>
      <charset val="134"/>
    </font>
    <font>
      <sz val="10.5"/>
      <name val="Arial Narrow"/>
      <family val="2"/>
    </font>
    <font>
      <u/>
      <sz val="12"/>
      <color indexed="12"/>
      <name val="宋体"/>
      <family val="3"/>
      <charset val="134"/>
    </font>
    <font>
      <b/>
      <sz val="10"/>
      <color indexed="10"/>
      <name val="Arial Narrow"/>
      <family val="2"/>
    </font>
    <font>
      <u/>
      <sz val="12"/>
      <color rgb="FF800080"/>
      <name val="宋体"/>
      <family val="3"/>
      <charset val="134"/>
    </font>
    <font>
      <sz val="11"/>
      <color theme="1"/>
      <name val="宋体"/>
      <family val="3"/>
      <charset val="134"/>
      <scheme val="minor"/>
    </font>
    <font>
      <sz val="10"/>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Times New Roman"/>
      <family val="1"/>
    </font>
    <font>
      <sz val="12"/>
      <name val="楷体"/>
      <family val="3"/>
      <charset val="134"/>
    </font>
    <font>
      <sz val="12"/>
      <name val="楷体_GB2312"/>
      <charset val="134"/>
    </font>
    <font>
      <sz val="10"/>
      <color indexed="12"/>
      <name val="宋体"/>
      <family val="3"/>
      <charset val="134"/>
    </font>
    <font>
      <sz val="10"/>
      <color rgb="FF0000FF"/>
      <name val="等线"/>
      <family val="3"/>
      <charset val="134"/>
    </font>
    <font>
      <b/>
      <sz val="12"/>
      <color indexed="8"/>
      <name val="宋体"/>
      <family val="3"/>
      <charset val="134"/>
    </font>
    <font>
      <sz val="10"/>
      <color rgb="FF0432FF"/>
      <name val="宋体"/>
      <family val="3"/>
      <charset val="134"/>
    </font>
    <font>
      <b/>
      <sz val="10"/>
      <color indexed="12"/>
      <name val="宋体"/>
      <family val="3"/>
      <charset val="134"/>
    </font>
    <font>
      <sz val="12"/>
      <color indexed="8"/>
      <name val="宋体"/>
      <family val="3"/>
      <charset val="134"/>
    </font>
    <font>
      <b/>
      <sz val="9"/>
      <color indexed="8"/>
      <name val="宋体"/>
      <family val="3"/>
      <charset val="134"/>
    </font>
    <font>
      <b/>
      <sz val="9"/>
      <name val="宋体"/>
      <family val="3"/>
      <charset val="134"/>
    </font>
    <font>
      <sz val="12"/>
      <color indexed="12"/>
      <name val="宋体"/>
      <family val="3"/>
      <charset val="134"/>
    </font>
    <font>
      <sz val="10"/>
      <name val="等线"/>
      <family val="3"/>
      <charset val="134"/>
    </font>
    <font>
      <b/>
      <sz val="10"/>
      <color rgb="FFFF0000"/>
      <name val="宋体"/>
      <family val="3"/>
      <charset val="134"/>
    </font>
    <font>
      <sz val="10"/>
      <color rgb="FFFF0000"/>
      <name val="宋体"/>
      <family val="3"/>
      <charset val="134"/>
    </font>
    <font>
      <sz val="10"/>
      <color indexed="10"/>
      <name val="宋体"/>
      <family val="3"/>
      <charset val="134"/>
    </font>
    <font>
      <sz val="10"/>
      <color indexed="10"/>
      <name val="Arial Narrow"/>
      <family val="2"/>
    </font>
    <font>
      <b/>
      <sz val="12"/>
      <color rgb="FF0000FF"/>
      <name val="宋体"/>
      <family val="3"/>
      <charset val="134"/>
    </font>
    <font>
      <sz val="10"/>
      <color rgb="FF0000FF"/>
      <name val="宋体"/>
      <family val="3"/>
      <charset val="134"/>
    </font>
    <font>
      <sz val="12"/>
      <name val="宋体"/>
      <family val="3"/>
      <charset val="134"/>
    </font>
    <font>
      <sz val="9"/>
      <name val="宋体"/>
      <family val="3"/>
      <charset val="134"/>
    </font>
    <font>
      <sz val="9"/>
      <name val="宋体"/>
      <family val="2"/>
      <charset val="134"/>
      <scheme val="minor"/>
    </font>
    <font>
      <b/>
      <sz val="9"/>
      <color indexed="81"/>
      <name val="宋体"/>
      <family val="3"/>
      <charset val="134"/>
    </font>
    <font>
      <sz val="9"/>
      <color indexed="81"/>
      <name val="宋体"/>
      <family val="3"/>
      <charset val="134"/>
    </font>
  </fonts>
  <fills count="11">
    <fill>
      <patternFill patternType="none"/>
    </fill>
    <fill>
      <patternFill patternType="gray125"/>
    </fill>
    <fill>
      <patternFill patternType="solid">
        <fgColor theme="7" tint="0.79995117038483843"/>
        <bgColor rgb="FFB7DEE8"/>
      </patternFill>
    </fill>
    <fill>
      <patternFill patternType="solid">
        <fgColor theme="7" tint="0.79995117038483843"/>
        <bgColor indexed="64"/>
      </patternFill>
    </fill>
    <fill>
      <patternFill patternType="solid">
        <fgColor indexed="9"/>
        <bgColor indexed="64"/>
      </patternFill>
    </fill>
    <fill>
      <patternFill patternType="solid">
        <fgColor rgb="FFE4DFEC"/>
        <bgColor indexed="64"/>
      </patternFill>
    </fill>
    <fill>
      <patternFill patternType="solid">
        <fgColor theme="0" tint="-0.14996795556505021"/>
        <bgColor indexed="64"/>
      </patternFill>
    </fill>
    <fill>
      <patternFill patternType="solid">
        <fgColor indexed="14"/>
        <bgColor indexed="64"/>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s>
  <borders count="13">
    <border>
      <left/>
      <right/>
      <top/>
      <bottom/>
      <diagonal/>
    </border>
    <border>
      <left style="hair">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right style="hair">
        <color auto="1"/>
      </right>
      <top style="hair">
        <color auto="1"/>
      </top>
      <bottom style="hair">
        <color auto="1"/>
      </bottom>
      <diagonal/>
    </border>
    <border>
      <left/>
      <right/>
      <top style="medium">
        <color auto="1"/>
      </top>
      <bottom style="medium">
        <color auto="1"/>
      </bottom>
      <diagonal/>
    </border>
    <border>
      <left/>
      <right/>
      <top/>
      <bottom style="medium">
        <color auto="1"/>
      </bottom>
      <diagonal/>
    </border>
    <border>
      <left style="hair">
        <color auto="1"/>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61">
    <xf numFmtId="0" fontId="0" fillId="0" borderId="0">
      <protection locked="0"/>
    </xf>
    <xf numFmtId="43" fontId="76" fillId="0" borderId="0" applyFont="0" applyFill="0" applyBorder="0" applyAlignment="0" applyProtection="0"/>
    <xf numFmtId="9" fontId="76" fillId="0" borderId="0" applyFont="0" applyFill="0" applyBorder="0" applyAlignment="0" applyProtection="0">
      <alignment vertical="center"/>
    </xf>
    <xf numFmtId="0" fontId="42" fillId="0" borderId="0" applyNumberFormat="0" applyFill="0" applyBorder="0" applyAlignment="0" applyProtection="0">
      <alignment vertical="top"/>
      <protection locked="0"/>
    </xf>
    <xf numFmtId="49" fontId="46" fillId="0" borderId="0" applyProtection="0">
      <alignment horizontal="left"/>
    </xf>
    <xf numFmtId="176" fontId="46" fillId="0" borderId="0" applyFill="0" applyBorder="0" applyProtection="0">
      <alignment horizontal="right"/>
    </xf>
    <xf numFmtId="177" fontId="46" fillId="0" borderId="0" applyFill="0" applyBorder="0" applyProtection="0">
      <alignment horizontal="right"/>
    </xf>
    <xf numFmtId="178" fontId="47" fillId="0" borderId="0" applyFill="0" applyBorder="0" applyProtection="0">
      <alignment horizontal="center"/>
    </xf>
    <xf numFmtId="179" fontId="47" fillId="0" borderId="0" applyFill="0" applyBorder="0" applyProtection="0">
      <alignment horizontal="center"/>
    </xf>
    <xf numFmtId="180" fontId="48" fillId="0" borderId="0" applyFill="0" applyBorder="0" applyProtection="0">
      <alignment horizontal="right"/>
    </xf>
    <xf numFmtId="181" fontId="46" fillId="0" borderId="0" applyFill="0" applyBorder="0" applyProtection="0">
      <alignment horizontal="right"/>
    </xf>
    <xf numFmtId="182" fontId="46" fillId="0" borderId="0" applyFill="0" applyBorder="0" applyProtection="0">
      <alignment horizontal="right"/>
    </xf>
    <xf numFmtId="183" fontId="46" fillId="0" borderId="0" applyFill="0" applyBorder="0" applyProtection="0">
      <alignment horizontal="right"/>
    </xf>
    <xf numFmtId="184" fontId="46" fillId="0" borderId="0" applyFill="0" applyBorder="0" applyProtection="0">
      <alignment horizontal="right"/>
    </xf>
    <xf numFmtId="3" fontId="49" fillId="0" borderId="0"/>
    <xf numFmtId="185" fontId="50" fillId="0" borderId="12" applyAlignment="0" applyProtection="0"/>
    <xf numFmtId="186" fontId="39" fillId="0" borderId="0" applyFont="0" applyFill="0" applyBorder="0" applyAlignment="0" applyProtection="0"/>
    <xf numFmtId="187" fontId="39" fillId="0" borderId="0" applyFont="0" applyFill="0" applyBorder="0" applyAlignment="0" applyProtection="0"/>
    <xf numFmtId="188" fontId="39" fillId="0" borderId="0" applyFont="0" applyFill="0" applyBorder="0" applyAlignment="0" applyProtection="0"/>
    <xf numFmtId="189" fontId="39" fillId="0" borderId="0" applyFont="0" applyFill="0" applyBorder="0" applyAlignment="0" applyProtection="0"/>
    <xf numFmtId="41" fontId="39" fillId="0" borderId="0" applyFont="0" applyFill="0" applyBorder="0" applyAlignment="0" applyProtection="0"/>
    <xf numFmtId="43" fontId="39" fillId="0" borderId="0" applyFont="0" applyFill="0" applyBorder="0" applyAlignment="0" applyProtection="0"/>
    <xf numFmtId="190" fontId="46" fillId="0" borderId="0" applyFont="0" applyFill="0" applyBorder="0" applyAlignment="0" applyProtection="0"/>
    <xf numFmtId="0" fontId="51" fillId="0" borderId="0" applyNumberFormat="0" applyFill="0" applyBorder="0" applyAlignment="0" applyProtection="0">
      <alignment vertical="top"/>
      <protection locked="0"/>
    </xf>
    <xf numFmtId="38" fontId="52" fillId="8" borderId="0" applyNumberFormat="0" applyBorder="0" applyAlignment="0" applyProtection="0"/>
    <xf numFmtId="0" fontId="53" fillId="0" borderId="0" applyNumberFormat="0" applyFill="0" applyBorder="0" applyAlignment="0" applyProtection="0">
      <alignment vertical="top"/>
      <protection locked="0"/>
    </xf>
    <xf numFmtId="10" fontId="52" fillId="9" borderId="11" applyNumberFormat="0" applyBorder="0" applyAlignment="0" applyProtection="0"/>
    <xf numFmtId="191" fontId="76" fillId="0" borderId="0" applyFont="0" applyFill="0" applyBorder="0" applyAlignment="0" applyProtection="0"/>
    <xf numFmtId="192" fontId="76" fillId="0" borderId="0" applyFont="0" applyFill="0" applyBorder="0" applyAlignment="0" applyProtection="0"/>
    <xf numFmtId="0" fontId="54" fillId="0" borderId="0"/>
    <xf numFmtId="193" fontId="76" fillId="0" borderId="0"/>
    <xf numFmtId="0" fontId="55" fillId="0" borderId="0"/>
    <xf numFmtId="10" fontId="39" fillId="0" borderId="0" applyFont="0" applyFill="0" applyBorder="0" applyAlignment="0" applyProtection="0"/>
    <xf numFmtId="3" fontId="56" fillId="0" borderId="0"/>
    <xf numFmtId="9" fontId="76" fillId="0" borderId="0" applyFont="0" applyFill="0" applyBorder="0" applyAlignment="0" applyProtection="0"/>
    <xf numFmtId="190" fontId="76" fillId="0" borderId="0">
      <protection locked="0"/>
    </xf>
    <xf numFmtId="190" fontId="76" fillId="0" borderId="0">
      <protection locked="0"/>
    </xf>
    <xf numFmtId="0" fontId="76" fillId="0" borderId="0">
      <protection locked="0"/>
    </xf>
    <xf numFmtId="190" fontId="76" fillId="0" borderId="0"/>
    <xf numFmtId="0" fontId="76" fillId="0" borderId="0">
      <protection locked="0"/>
    </xf>
    <xf numFmtId="190" fontId="45" fillId="0" borderId="0">
      <alignment vertical="center"/>
    </xf>
    <xf numFmtId="190" fontId="76" fillId="0" borderId="0"/>
    <xf numFmtId="190" fontId="45" fillId="0" borderId="0">
      <alignment vertical="center"/>
    </xf>
    <xf numFmtId="190" fontId="45" fillId="0" borderId="0">
      <alignment vertical="center"/>
    </xf>
    <xf numFmtId="0" fontId="76" fillId="0" borderId="0">
      <protection locked="0"/>
    </xf>
    <xf numFmtId="0" fontId="76" fillId="0" borderId="0">
      <alignment vertical="center"/>
    </xf>
    <xf numFmtId="190" fontId="76" fillId="0" borderId="0">
      <alignment vertical="center"/>
    </xf>
    <xf numFmtId="0" fontId="57" fillId="0" borderId="0"/>
    <xf numFmtId="0" fontId="57" fillId="0" borderId="0"/>
    <xf numFmtId="0" fontId="46" fillId="0" borderId="0">
      <protection locked="0"/>
    </xf>
    <xf numFmtId="0" fontId="76" fillId="0" borderId="0"/>
    <xf numFmtId="0" fontId="76" fillId="0" borderId="0" applyFill="0" applyBorder="0"/>
    <xf numFmtId="0" fontId="76" fillId="0" borderId="0" applyFill="0" applyBorder="0"/>
    <xf numFmtId="0" fontId="42" fillId="0" borderId="0" applyNumberFormat="0" applyFill="0" applyBorder="0" applyAlignment="0" applyProtection="0">
      <alignment vertical="top"/>
      <protection locked="0"/>
    </xf>
    <xf numFmtId="0" fontId="58" fillId="0" borderId="0"/>
    <xf numFmtId="194" fontId="76" fillId="0" borderId="0" applyFont="0" applyFill="0" applyBorder="0" applyAlignment="0" applyProtection="0"/>
    <xf numFmtId="195" fontId="76" fillId="0" borderId="0" applyFont="0" applyFill="0" applyBorder="0" applyAlignment="0" applyProtection="0"/>
    <xf numFmtId="41" fontId="59" fillId="0" borderId="0" applyFont="0" applyFill="0" applyBorder="0" applyAlignment="0" applyProtection="0"/>
    <xf numFmtId="43" fontId="59" fillId="0" borderId="0" applyFont="0" applyFill="0" applyBorder="0" applyAlignment="0" applyProtection="0"/>
    <xf numFmtId="43" fontId="76" fillId="0" borderId="0" applyFont="0" applyFill="0" applyBorder="0" applyAlignment="0" applyProtection="0"/>
    <xf numFmtId="190" fontId="1" fillId="0" borderId="0">
      <alignment vertical="center"/>
    </xf>
  </cellStyleXfs>
  <cellXfs count="252">
    <xf numFmtId="0" fontId="0" fillId="0" borderId="0" xfId="0">
      <protection locked="0"/>
    </xf>
    <xf numFmtId="0" fontId="2" fillId="0" borderId="0" xfId="0" applyFont="1" applyAlignment="1">
      <alignment vertical="center"/>
      <protection locked="0"/>
    </xf>
    <xf numFmtId="0" fontId="3" fillId="0" borderId="0" xfId="0" applyFont="1" applyAlignment="1">
      <alignment vertical="center"/>
      <protection locked="0"/>
    </xf>
    <xf numFmtId="0" fontId="3" fillId="0" borderId="0" xfId="50" applyFont="1" applyAlignment="1" applyProtection="1">
      <alignment vertical="center"/>
      <protection locked="0"/>
    </xf>
    <xf numFmtId="0" fontId="4" fillId="0" borderId="0" xfId="0" applyFont="1" applyAlignment="1">
      <alignment vertical="center"/>
      <protection locked="0"/>
    </xf>
    <xf numFmtId="14" fontId="4" fillId="0" borderId="0" xfId="0" applyNumberFormat="1" applyFont="1" applyAlignment="1">
      <alignment vertical="center"/>
      <protection locked="0"/>
    </xf>
    <xf numFmtId="14" fontId="3" fillId="0" borderId="0" xfId="0" applyNumberFormat="1" applyFont="1" applyAlignment="1">
      <alignment horizontal="left" vertical="center"/>
      <protection locked="0"/>
    </xf>
    <xf numFmtId="0" fontId="3" fillId="0" borderId="0" xfId="0" applyFont="1" applyAlignment="1">
      <alignment horizontal="left" vertical="center"/>
      <protection locked="0"/>
    </xf>
    <xf numFmtId="190" fontId="6" fillId="0" borderId="0" xfId="35" applyFont="1" applyAlignment="1" applyProtection="1">
      <alignment vertical="center"/>
    </xf>
    <xf numFmtId="14" fontId="7" fillId="0" borderId="0" xfId="35" applyNumberFormat="1" applyFont="1" applyAlignment="1" applyProtection="1">
      <alignment horizontal="center"/>
    </xf>
    <xf numFmtId="0" fontId="3" fillId="0" borderId="0" xfId="50" applyFont="1" applyAlignment="1">
      <alignment horizontal="left" vertical="center" wrapText="1"/>
    </xf>
    <xf numFmtId="0" fontId="3" fillId="0" borderId="0" xfId="50" applyFont="1" applyAlignment="1">
      <alignment vertical="center"/>
    </xf>
    <xf numFmtId="190" fontId="7" fillId="0" borderId="0" xfId="36" applyFont="1" applyAlignment="1" applyProtection="1">
      <alignment horizontal="center"/>
    </xf>
    <xf numFmtId="0" fontId="8" fillId="0" borderId="0" xfId="50" applyFont="1" applyAlignment="1">
      <alignment horizontal="left" vertical="center" wrapText="1"/>
    </xf>
    <xf numFmtId="0" fontId="9" fillId="0" borderId="0" xfId="50" applyFont="1" applyAlignment="1">
      <alignment vertical="center"/>
    </xf>
    <xf numFmtId="14" fontId="10" fillId="0" borderId="0" xfId="35" applyNumberFormat="1" applyFont="1" applyAlignment="1">
      <alignment horizontal="left" vertical="center" wrapText="1"/>
      <protection locked="0"/>
    </xf>
    <xf numFmtId="0" fontId="11" fillId="0" borderId="0" xfId="50" applyFont="1" applyBorder="1" applyAlignment="1">
      <alignment vertical="center"/>
    </xf>
    <xf numFmtId="190" fontId="10" fillId="0" borderId="0" xfId="35" applyFont="1" applyAlignment="1">
      <alignment horizontal="left" vertical="center" wrapText="1"/>
      <protection locked="0"/>
    </xf>
    <xf numFmtId="0" fontId="12" fillId="0" borderId="0" xfId="0" applyFont="1" applyFill="1" applyBorder="1" applyAlignment="1">
      <alignment horizontal="left" vertical="center"/>
      <protection locked="0"/>
    </xf>
    <xf numFmtId="0" fontId="9" fillId="3" borderId="2" xfId="37" applyFont="1" applyFill="1" applyBorder="1" applyAlignment="1">
      <alignment horizontal="center" vertical="center"/>
      <protection locked="0"/>
    </xf>
    <xf numFmtId="0" fontId="9" fillId="3" borderId="2" xfId="37" applyFont="1" applyFill="1" applyBorder="1" applyAlignment="1">
      <alignment horizontal="center" vertical="center" wrapText="1"/>
      <protection locked="0"/>
    </xf>
    <xf numFmtId="0" fontId="3" fillId="0" borderId="2" xfId="0" applyFont="1" applyBorder="1" applyAlignment="1" applyProtection="1">
      <alignment horizontal="left" vertical="center"/>
    </xf>
    <xf numFmtId="14" fontId="3" fillId="0" borderId="2" xfId="0" applyNumberFormat="1" applyFont="1" applyBorder="1" applyAlignment="1" applyProtection="1">
      <alignment horizontal="left" vertical="center"/>
    </xf>
    <xf numFmtId="0" fontId="3" fillId="0" borderId="0" xfId="0" applyFont="1" applyAlignment="1" applyProtection="1">
      <alignment vertical="center"/>
    </xf>
    <xf numFmtId="14" fontId="13" fillId="0" borderId="0" xfId="0" applyNumberFormat="1" applyFont="1" applyAlignment="1" applyProtection="1">
      <alignment vertical="center"/>
    </xf>
    <xf numFmtId="0" fontId="3" fillId="0" borderId="0" xfId="0" applyFont="1" applyAlignment="1" applyProtection="1">
      <alignment horizontal="center" vertical="center"/>
    </xf>
    <xf numFmtId="0" fontId="9" fillId="0" borderId="0" xfId="0" applyFont="1" applyAlignment="1" applyProtection="1">
      <alignment vertical="center"/>
    </xf>
    <xf numFmtId="14" fontId="3" fillId="0" borderId="0" xfId="0" applyNumberFormat="1" applyFont="1" applyAlignment="1" applyProtection="1">
      <alignment vertical="center"/>
    </xf>
    <xf numFmtId="14" fontId="3" fillId="0" borderId="0" xfId="0" applyNumberFormat="1" applyFont="1" applyAlignment="1">
      <alignment vertical="center"/>
      <protection locked="0"/>
    </xf>
    <xf numFmtId="0" fontId="8" fillId="0" borderId="0" xfId="50" applyFont="1" applyAlignment="1">
      <alignment vertical="center" wrapText="1"/>
    </xf>
    <xf numFmtId="196" fontId="3" fillId="0" borderId="2" xfId="0" applyNumberFormat="1" applyFont="1" applyBorder="1" applyAlignment="1" applyProtection="1">
      <alignment horizontal="left" vertical="center"/>
    </xf>
    <xf numFmtId="0" fontId="3" fillId="0" borderId="2" xfId="0" applyFont="1" applyBorder="1" applyAlignment="1" applyProtection="1">
      <alignment horizontal="center" vertical="center"/>
      <protection locked="0"/>
    </xf>
    <xf numFmtId="9" fontId="3" fillId="0" borderId="0" xfId="2" applyFont="1" applyFill="1" applyBorder="1" applyAlignment="1">
      <alignment horizontal="center" vertical="center"/>
    </xf>
    <xf numFmtId="10" fontId="3" fillId="0" borderId="0" xfId="2" applyNumberFormat="1" applyFont="1" applyFill="1" applyBorder="1" applyAlignment="1">
      <alignment horizontal="center" vertical="center"/>
    </xf>
    <xf numFmtId="0" fontId="3" fillId="0" borderId="0" xfId="0" applyFont="1" applyAlignment="1" applyProtection="1">
      <alignment horizontal="left" vertical="center"/>
    </xf>
    <xf numFmtId="0" fontId="3" fillId="0" borderId="0" xfId="50" applyFont="1" applyAlignment="1" applyProtection="1">
      <alignment horizontal="left" vertical="center"/>
      <protection locked="0"/>
    </xf>
    <xf numFmtId="190" fontId="14" fillId="0" borderId="0" xfId="3" applyNumberFormat="1" applyFont="1" applyFill="1" applyAlignment="1" applyProtection="1">
      <alignment vertical="center"/>
    </xf>
    <xf numFmtId="0" fontId="3" fillId="0" borderId="2" xfId="0" applyFont="1" applyBorder="1" applyAlignment="1" applyProtection="1">
      <alignment horizontal="center" vertical="center"/>
    </xf>
    <xf numFmtId="0" fontId="3" fillId="0" borderId="0" xfId="44" applyFont="1">
      <protection locked="0"/>
    </xf>
    <xf numFmtId="0" fontId="4" fillId="0" borderId="0" xfId="44" applyFont="1">
      <protection locked="0"/>
    </xf>
    <xf numFmtId="43" fontId="3" fillId="0" borderId="0" xfId="52" applyNumberFormat="1" applyFont="1" applyBorder="1" applyAlignment="1">
      <alignment vertical="center"/>
    </xf>
    <xf numFmtId="43" fontId="3" fillId="0" borderId="0" xfId="52" applyNumberFormat="1" applyFont="1" applyBorder="1" applyAlignment="1">
      <alignment horizontal="left" vertical="center"/>
    </xf>
    <xf numFmtId="0" fontId="6" fillId="3" borderId="2" xfId="44" applyFont="1" applyFill="1" applyBorder="1" applyAlignment="1" applyProtection="1">
      <alignment vertical="center"/>
    </xf>
    <xf numFmtId="0" fontId="6" fillId="3" borderId="2" xfId="44" applyFont="1" applyFill="1" applyBorder="1" applyAlignment="1" applyProtection="1">
      <alignment vertical="center" wrapText="1"/>
    </xf>
    <xf numFmtId="0" fontId="6" fillId="3" borderId="2" xfId="44" applyFont="1" applyFill="1" applyBorder="1" applyAlignment="1" applyProtection="1">
      <alignment horizontal="center" vertical="center" wrapText="1"/>
    </xf>
    <xf numFmtId="190" fontId="8" fillId="3" borderId="2" xfId="41" applyFont="1" applyFill="1" applyBorder="1" applyAlignment="1" applyProtection="1">
      <alignment horizontal="center" vertical="center" wrapText="1"/>
      <protection locked="0"/>
    </xf>
    <xf numFmtId="190" fontId="15" fillId="3" borderId="2" xfId="41" applyFont="1" applyFill="1" applyBorder="1" applyAlignment="1" applyProtection="1">
      <alignment horizontal="center" vertical="center" wrapText="1"/>
      <protection locked="0"/>
    </xf>
    <xf numFmtId="0" fontId="3" fillId="0" borderId="2" xfId="44" applyFont="1" applyBorder="1" applyAlignment="1" applyProtection="1">
      <alignment vertical="center"/>
    </xf>
    <xf numFmtId="0" fontId="16" fillId="0" borderId="2" xfId="44" applyFont="1" applyBorder="1" applyAlignment="1" applyProtection="1">
      <alignment vertical="center"/>
    </xf>
    <xf numFmtId="43" fontId="16" fillId="0" borderId="2" xfId="1" applyFont="1" applyBorder="1" applyAlignment="1" applyProtection="1">
      <alignment vertical="center"/>
    </xf>
    <xf numFmtId="0" fontId="3" fillId="0" borderId="2" xfId="44" applyFont="1" applyBorder="1" applyAlignment="1" applyProtection="1">
      <alignment horizontal="left" vertical="center" indent="1"/>
    </xf>
    <xf numFmtId="0" fontId="17" fillId="0" borderId="2" xfId="44" applyFont="1" applyBorder="1" applyAlignment="1" applyProtection="1">
      <alignment vertical="center"/>
    </xf>
    <xf numFmtId="0" fontId="8" fillId="0" borderId="2" xfId="44" applyFont="1" applyBorder="1" applyAlignment="1" applyProtection="1">
      <alignment horizontal="center" vertical="center"/>
    </xf>
    <xf numFmtId="43" fontId="8" fillId="0" borderId="6" xfId="52" applyNumberFormat="1" applyFont="1" applyBorder="1" applyAlignment="1">
      <alignment horizontal="left" vertical="center"/>
    </xf>
    <xf numFmtId="43" fontId="3" fillId="0" borderId="6" xfId="52" applyNumberFormat="1" applyFont="1" applyBorder="1" applyAlignment="1">
      <alignment horizontal="left" vertical="center"/>
    </xf>
    <xf numFmtId="43" fontId="18" fillId="0" borderId="6" xfId="53" applyNumberFormat="1" applyFont="1" applyBorder="1" applyAlignment="1" applyProtection="1">
      <alignment horizontal="center" vertical="center"/>
    </xf>
    <xf numFmtId="0" fontId="8" fillId="0" borderId="0" xfId="48" applyFont="1" applyAlignment="1">
      <alignment vertical="center"/>
    </xf>
    <xf numFmtId="0" fontId="4" fillId="0" borderId="0" xfId="45" applyFont="1">
      <alignment vertical="center"/>
    </xf>
    <xf numFmtId="0" fontId="3" fillId="0" borderId="0" xfId="0" applyFont="1">
      <protection locked="0"/>
    </xf>
    <xf numFmtId="190" fontId="3" fillId="0" borderId="0" xfId="35" applyFont="1">
      <protection locked="0"/>
    </xf>
    <xf numFmtId="0" fontId="3" fillId="0" borderId="0" xfId="49" applyFont="1" applyAlignment="1">
      <alignment vertical="center"/>
      <protection locked="0"/>
    </xf>
    <xf numFmtId="0" fontId="4" fillId="0" borderId="0" xfId="0" applyFont="1">
      <protection locked="0"/>
    </xf>
    <xf numFmtId="190" fontId="8" fillId="0" borderId="0" xfId="35" applyFont="1" applyAlignment="1" applyProtection="1">
      <alignment horizontal="left" vertical="center"/>
    </xf>
    <xf numFmtId="190" fontId="3" fillId="0" borderId="0" xfId="35" applyFont="1" applyAlignment="1">
      <alignment vertical="center"/>
      <protection locked="0"/>
    </xf>
    <xf numFmtId="43" fontId="3" fillId="0" borderId="0" xfId="0" applyNumberFormat="1" applyFont="1" applyAlignment="1">
      <alignment vertical="center"/>
      <protection locked="0"/>
    </xf>
    <xf numFmtId="43" fontId="3" fillId="0" borderId="0" xfId="51" applyNumberFormat="1" applyFont="1" applyBorder="1" applyAlignment="1">
      <alignment vertical="center"/>
    </xf>
    <xf numFmtId="0" fontId="6" fillId="3" borderId="2" xfId="0" applyFont="1" applyFill="1" applyBorder="1" applyAlignment="1">
      <alignment horizontal="center" vertical="center"/>
      <protection locked="0"/>
    </xf>
    <xf numFmtId="190" fontId="6" fillId="3" borderId="2" xfId="40" applyFont="1" applyFill="1" applyBorder="1" applyAlignment="1" applyProtection="1">
      <alignment horizontal="center" vertical="center"/>
      <protection locked="0"/>
    </xf>
    <xf numFmtId="0" fontId="6" fillId="0" borderId="2" xfId="0" applyFont="1" applyBorder="1" applyAlignment="1">
      <alignment horizontal="center" vertical="center"/>
      <protection locked="0"/>
    </xf>
    <xf numFmtId="43" fontId="16" fillId="4" borderId="2" xfId="1" applyFont="1" applyFill="1" applyBorder="1" applyAlignment="1">
      <alignment horizontal="right" vertical="center"/>
    </xf>
    <xf numFmtId="43" fontId="3" fillId="5" borderId="2" xfId="1" applyFont="1" applyFill="1" applyBorder="1" applyAlignment="1">
      <alignment horizontal="right" vertical="center" wrapText="1"/>
    </xf>
    <xf numFmtId="0" fontId="20" fillId="0" borderId="2" xfId="0" applyFont="1" applyBorder="1" applyAlignment="1">
      <alignment horizontal="center" vertical="center"/>
      <protection locked="0"/>
    </xf>
    <xf numFmtId="0" fontId="8" fillId="0" borderId="6" xfId="0" applyFont="1" applyBorder="1" applyAlignment="1">
      <alignment vertical="center"/>
      <protection locked="0"/>
    </xf>
    <xf numFmtId="0" fontId="3" fillId="0" borderId="6" xfId="0" applyFont="1" applyBorder="1" applyAlignment="1">
      <alignment vertical="center"/>
      <protection locked="0"/>
    </xf>
    <xf numFmtId="0" fontId="8" fillId="0" borderId="0" xfId="0" applyFont="1" applyAlignment="1">
      <alignment vertical="center"/>
      <protection locked="0"/>
    </xf>
    <xf numFmtId="0" fontId="21" fillId="0" borderId="0" xfId="0" applyFont="1" applyAlignment="1">
      <alignment vertical="center"/>
      <protection locked="0"/>
    </xf>
    <xf numFmtId="0" fontId="22" fillId="0" borderId="0" xfId="0" applyFont="1" applyAlignment="1">
      <alignment vertical="center"/>
      <protection locked="0"/>
    </xf>
    <xf numFmtId="0" fontId="10" fillId="0" borderId="0" xfId="0" applyFont="1" applyAlignment="1">
      <alignment vertical="center"/>
      <protection locked="0"/>
    </xf>
    <xf numFmtId="0" fontId="3" fillId="0" borderId="0" xfId="0" applyFont="1" applyAlignment="1">
      <alignment horizontal="right" vertical="center"/>
      <protection locked="0"/>
    </xf>
    <xf numFmtId="190" fontId="14" fillId="0" borderId="0" xfId="3" applyNumberFormat="1" applyFont="1" applyAlignment="1" applyProtection="1">
      <alignment vertical="center" wrapText="1"/>
      <protection locked="0"/>
    </xf>
    <xf numFmtId="0" fontId="2" fillId="0" borderId="0" xfId="45" applyFont="1" applyAlignment="1">
      <alignment vertical="center"/>
    </xf>
    <xf numFmtId="0" fontId="5" fillId="0" borderId="0" xfId="45" applyFont="1" applyAlignment="1">
      <alignment vertical="center"/>
    </xf>
    <xf numFmtId="0" fontId="12" fillId="0" borderId="0" xfId="0" applyFont="1" applyAlignment="1">
      <alignment vertical="center"/>
      <protection locked="0"/>
    </xf>
    <xf numFmtId="0" fontId="16" fillId="4" borderId="2" xfId="0" applyFont="1" applyFill="1" applyBorder="1" applyAlignment="1">
      <alignment horizontal="center" vertical="center"/>
      <protection locked="0"/>
    </xf>
    <xf numFmtId="0" fontId="3" fillId="0" borderId="2" xfId="0" applyFont="1" applyBorder="1" applyAlignment="1">
      <alignment horizontal="center" vertical="center"/>
      <protection locked="0"/>
    </xf>
    <xf numFmtId="0" fontId="23" fillId="4" borderId="2" xfId="0" applyFont="1" applyFill="1" applyBorder="1" applyAlignment="1">
      <alignment horizontal="center" vertical="center"/>
      <protection locked="0"/>
    </xf>
    <xf numFmtId="0" fontId="11" fillId="0" borderId="2" xfId="0" applyFont="1" applyBorder="1" applyAlignment="1">
      <alignment horizontal="center" vertical="center"/>
      <protection locked="0"/>
    </xf>
    <xf numFmtId="0" fontId="2" fillId="0" borderId="0" xfId="45" applyFont="1">
      <alignment vertical="center"/>
    </xf>
    <xf numFmtId="0" fontId="11" fillId="0" borderId="0" xfId="0" applyFont="1" applyAlignment="1">
      <alignment vertical="center"/>
      <protection locked="0"/>
    </xf>
    <xf numFmtId="0" fontId="24" fillId="0" borderId="0" xfId="0" applyFont="1" applyAlignment="1">
      <alignment vertical="center"/>
      <protection locked="0"/>
    </xf>
    <xf numFmtId="0" fontId="4" fillId="0" borderId="0" xfId="0" applyFont="1" applyAlignment="1">
      <alignment horizontal="left" vertical="center"/>
      <protection locked="0"/>
    </xf>
    <xf numFmtId="0" fontId="25" fillId="0" borderId="0" xfId="0" applyFont="1" applyAlignment="1">
      <alignment horizontal="left" vertical="center"/>
      <protection locked="0"/>
    </xf>
    <xf numFmtId="0" fontId="26" fillId="0" borderId="8" xfId="0" applyFont="1" applyBorder="1" applyAlignment="1">
      <alignment horizontal="justify" vertical="center" wrapText="1"/>
      <protection locked="0"/>
    </xf>
    <xf numFmtId="0" fontId="2" fillId="0" borderId="8" xfId="0" applyFont="1" applyBorder="1" applyAlignment="1">
      <alignment horizontal="right" vertical="center" wrapText="1"/>
      <protection locked="0"/>
    </xf>
    <xf numFmtId="0" fontId="26" fillId="0" borderId="8" xfId="0" applyFont="1" applyBorder="1" applyAlignment="1">
      <alignment horizontal="right" vertical="center" wrapText="1"/>
      <protection locked="0"/>
    </xf>
    <xf numFmtId="43" fontId="4" fillId="0" borderId="0" xfId="1" applyFont="1" applyAlignment="1" applyProtection="1">
      <alignment vertical="center" wrapText="1"/>
      <protection locked="0"/>
    </xf>
    <xf numFmtId="43" fontId="27" fillId="0" borderId="0" xfId="0" applyNumberFormat="1" applyFont="1" applyAlignment="1">
      <alignment horizontal="right" vertical="center" wrapText="1"/>
      <protection locked="0"/>
    </xf>
    <xf numFmtId="0" fontId="27" fillId="0" borderId="9" xfId="0" applyFont="1" applyBorder="1" applyAlignment="1">
      <alignment vertical="center" wrapText="1"/>
      <protection locked="0"/>
    </xf>
    <xf numFmtId="43" fontId="4" fillId="0" borderId="9" xfId="0" applyNumberFormat="1" applyFont="1" applyBorder="1" applyAlignment="1">
      <alignment horizontal="right" vertical="center" wrapText="1"/>
      <protection locked="0"/>
    </xf>
    <xf numFmtId="0" fontId="26" fillId="0" borderId="9" xfId="0" applyFont="1" applyBorder="1" applyAlignment="1">
      <alignment horizontal="justify" vertical="center" wrapText="1"/>
      <protection locked="0"/>
    </xf>
    <xf numFmtId="43" fontId="26" fillId="0" borderId="9" xfId="0" applyNumberFormat="1" applyFont="1" applyBorder="1" applyAlignment="1">
      <alignment horizontal="right" vertical="center" wrapText="1"/>
      <protection locked="0"/>
    </xf>
    <xf numFmtId="0" fontId="4" fillId="0" borderId="0" xfId="0" applyFont="1" applyAlignment="1">
      <alignment horizontal="justify" vertical="center"/>
      <protection locked="0"/>
    </xf>
    <xf numFmtId="43" fontId="3" fillId="0" borderId="0" xfId="1" applyFont="1" applyAlignment="1" applyProtection="1">
      <alignment horizontal="left" vertical="center" wrapText="1"/>
      <protection locked="0"/>
    </xf>
    <xf numFmtId="0" fontId="27" fillId="0" borderId="0" xfId="0" applyFont="1" applyAlignment="1">
      <alignment horizontal="right" vertical="center" wrapText="1"/>
      <protection locked="0"/>
    </xf>
    <xf numFmtId="0" fontId="2" fillId="0" borderId="9" xfId="0" applyFont="1" applyBorder="1" applyAlignment="1">
      <alignment horizontal="justify" vertical="center" wrapText="1"/>
      <protection locked="0"/>
    </xf>
    <xf numFmtId="43" fontId="2" fillId="0" borderId="9" xfId="0" applyNumberFormat="1" applyFont="1" applyBorder="1" applyAlignment="1">
      <alignment horizontal="right" vertical="center" wrapText="1"/>
      <protection locked="0"/>
    </xf>
    <xf numFmtId="0" fontId="2" fillId="0" borderId="9" xfId="0" applyFont="1" applyBorder="1" applyAlignment="1">
      <alignment horizontal="right" vertical="center" wrapText="1"/>
      <protection locked="0"/>
    </xf>
    <xf numFmtId="0" fontId="4" fillId="0" borderId="0" xfId="45" applyFont="1" applyAlignment="1">
      <alignment vertical="center" wrapText="1"/>
    </xf>
    <xf numFmtId="0" fontId="3" fillId="0" borderId="0" xfId="0" applyFont="1" applyAlignment="1">
      <alignment vertical="center" wrapText="1"/>
      <protection locked="0"/>
    </xf>
    <xf numFmtId="0" fontId="4" fillId="0" borderId="0" xfId="0" applyFont="1" applyAlignment="1">
      <alignment vertical="center" wrapText="1"/>
      <protection locked="0"/>
    </xf>
    <xf numFmtId="190" fontId="8" fillId="3" borderId="2" xfId="40" applyFont="1" applyFill="1" applyBorder="1" applyAlignment="1" applyProtection="1">
      <alignment horizontal="center" vertical="center" wrapText="1"/>
      <protection locked="0"/>
    </xf>
    <xf numFmtId="0" fontId="3" fillId="5" borderId="2" xfId="1" applyNumberFormat="1" applyFont="1" applyFill="1" applyBorder="1" applyAlignment="1" applyProtection="1">
      <alignment vertical="center"/>
      <protection locked="0"/>
    </xf>
    <xf numFmtId="0" fontId="3" fillId="0" borderId="0" xfId="47" applyFont="1" applyAlignment="1">
      <alignment vertical="center"/>
    </xf>
    <xf numFmtId="0" fontId="3" fillId="0" borderId="2" xfId="47" applyFont="1" applyBorder="1" applyAlignment="1">
      <alignment vertical="center"/>
    </xf>
    <xf numFmtId="0" fontId="3" fillId="0" borderId="2" xfId="47" applyFont="1" applyBorder="1" applyAlignment="1">
      <alignment horizontal="center" vertical="center"/>
    </xf>
    <xf numFmtId="43" fontId="3" fillId="0" borderId="2" xfId="47" applyNumberFormat="1" applyFont="1" applyBorder="1" applyAlignment="1">
      <alignment vertical="center"/>
    </xf>
    <xf numFmtId="0" fontId="8" fillId="0" borderId="0" xfId="0" applyFont="1" applyAlignment="1">
      <alignment vertical="center" wrapText="1"/>
      <protection locked="0"/>
    </xf>
    <xf numFmtId="190" fontId="28" fillId="3" borderId="2" xfId="38" applyFont="1" applyFill="1" applyBorder="1" applyAlignment="1" applyProtection="1">
      <alignment horizontal="center" vertical="center" wrapText="1"/>
      <protection locked="0"/>
    </xf>
    <xf numFmtId="190" fontId="29" fillId="3" borderId="2" xfId="38" applyFont="1" applyFill="1" applyBorder="1" applyAlignment="1" applyProtection="1">
      <alignment horizontal="center" vertical="center"/>
      <protection locked="0"/>
    </xf>
    <xf numFmtId="10" fontId="3" fillId="5" borderId="2" xfId="2" applyNumberFormat="1" applyFont="1" applyFill="1" applyBorder="1" applyAlignment="1">
      <alignment horizontal="right" vertical="center" wrapText="1"/>
    </xf>
    <xf numFmtId="190" fontId="30" fillId="0" borderId="0" xfId="42" applyFont="1" applyAlignment="1">
      <alignment vertical="center"/>
    </xf>
    <xf numFmtId="190" fontId="31" fillId="0" borderId="0" xfId="42" applyFont="1">
      <alignment vertical="center"/>
    </xf>
    <xf numFmtId="190" fontId="30" fillId="0" borderId="0" xfId="42" applyFont="1">
      <alignment vertical="center"/>
    </xf>
    <xf numFmtId="190" fontId="30" fillId="0" borderId="0" xfId="42" applyFont="1" applyFill="1">
      <alignment vertical="center"/>
    </xf>
    <xf numFmtId="190" fontId="31" fillId="0" borderId="0" xfId="42" applyFont="1" applyAlignment="1">
      <alignment horizontal="center" vertical="center"/>
    </xf>
    <xf numFmtId="190" fontId="3" fillId="0" borderId="0" xfId="42" applyFont="1" applyProtection="1">
      <alignment vertical="center"/>
      <protection locked="0"/>
    </xf>
    <xf numFmtId="0" fontId="3" fillId="0" borderId="0" xfId="39" applyFont="1" applyAlignment="1">
      <alignment horizontal="left" vertical="center"/>
      <protection locked="0"/>
    </xf>
    <xf numFmtId="190" fontId="9" fillId="0" borderId="0" xfId="43" applyFont="1" applyProtection="1">
      <alignment vertical="center"/>
      <protection locked="0"/>
    </xf>
    <xf numFmtId="190" fontId="11" fillId="0" borderId="0" xfId="43" applyFont="1" applyProtection="1">
      <alignment vertical="center"/>
      <protection locked="0"/>
    </xf>
    <xf numFmtId="49" fontId="9" fillId="0" borderId="0" xfId="0" applyNumberFormat="1" applyFont="1" applyFill="1" applyBorder="1" applyAlignment="1" applyProtection="1">
      <alignment horizontal="left" vertical="center"/>
      <protection locked="0"/>
    </xf>
    <xf numFmtId="190" fontId="8" fillId="0" borderId="0" xfId="42" applyFont="1" applyAlignment="1" applyProtection="1">
      <alignment horizontal="justify" vertical="center"/>
      <protection locked="0"/>
    </xf>
    <xf numFmtId="49" fontId="8" fillId="0" borderId="0" xfId="42" applyNumberFormat="1" applyFont="1" applyAlignment="1" applyProtection="1">
      <alignment horizontal="left" vertical="center"/>
      <protection locked="0"/>
    </xf>
    <xf numFmtId="190" fontId="8" fillId="3" borderId="2" xfId="35" applyFont="1" applyFill="1" applyBorder="1" applyAlignment="1">
      <alignment horizontal="center" vertical="center" wrapText="1"/>
      <protection locked="0"/>
    </xf>
    <xf numFmtId="49" fontId="3" fillId="0" borderId="2" xfId="35" applyNumberFormat="1" applyFont="1" applyBorder="1" applyAlignment="1">
      <alignment horizontal="center" vertical="center"/>
      <protection locked="0"/>
    </xf>
    <xf numFmtId="190" fontId="31" fillId="0" borderId="4" xfId="43" applyFont="1" applyBorder="1" applyAlignment="1">
      <alignment vertical="center" wrapText="1"/>
    </xf>
    <xf numFmtId="190" fontId="31" fillId="0" borderId="2" xfId="35" applyFont="1" applyBorder="1" applyAlignment="1" applyProtection="1">
      <alignment horizontal="center" vertical="center" wrapText="1"/>
    </xf>
    <xf numFmtId="0" fontId="31" fillId="0" borderId="2" xfId="38" applyNumberFormat="1" applyFont="1" applyBorder="1" applyAlignment="1">
      <alignment horizontal="center" vertical="center" wrapText="1"/>
    </xf>
    <xf numFmtId="0" fontId="33" fillId="0" borderId="2" xfId="38" applyNumberFormat="1" applyFont="1" applyBorder="1" applyAlignment="1">
      <alignment horizontal="center" vertical="center" wrapText="1"/>
    </xf>
    <xf numFmtId="190" fontId="31" fillId="0" borderId="2" xfId="43" applyFont="1" applyBorder="1" applyAlignment="1">
      <alignment horizontal="center" vertical="center" wrapText="1"/>
    </xf>
    <xf numFmtId="0" fontId="16" fillId="0" borderId="2" xfId="0" applyNumberFormat="1" applyFont="1" applyFill="1" applyBorder="1" applyAlignment="1" applyProtection="1">
      <alignment horizontal="center" vertical="center" wrapText="1"/>
    </xf>
    <xf numFmtId="0" fontId="34" fillId="0" borderId="2" xfId="0" applyNumberFormat="1" applyFont="1" applyFill="1" applyBorder="1" applyAlignment="1" applyProtection="1">
      <alignment horizontal="center" vertical="center" wrapText="1"/>
    </xf>
    <xf numFmtId="0" fontId="35" fillId="0" borderId="2" xfId="0" applyNumberFormat="1" applyFont="1" applyFill="1" applyBorder="1" applyAlignment="1" applyProtection="1">
      <alignment horizontal="center" vertical="center" wrapText="1"/>
    </xf>
    <xf numFmtId="190" fontId="36" fillId="0" borderId="4" xfId="42" applyFont="1" applyBorder="1" applyAlignment="1">
      <alignment vertical="center" wrapText="1"/>
    </xf>
    <xf numFmtId="0" fontId="31" fillId="0" borderId="2" xfId="42" applyNumberFormat="1" applyFont="1" applyBorder="1" applyAlignment="1">
      <alignment vertical="center" wrapText="1"/>
    </xf>
    <xf numFmtId="190" fontId="33" fillId="0" borderId="2" xfId="43" applyFont="1" applyBorder="1" applyAlignment="1">
      <alignment horizontal="center" vertical="center" wrapText="1"/>
    </xf>
    <xf numFmtId="190" fontId="8" fillId="0" borderId="0" xfId="46" applyFont="1" applyFill="1" applyAlignment="1">
      <alignment horizontal="center" vertical="center"/>
    </xf>
    <xf numFmtId="190" fontId="3" fillId="0" borderId="0" xfId="42" applyFont="1" applyFill="1" applyAlignment="1" applyProtection="1">
      <alignment vertical="center" wrapText="1"/>
      <protection locked="0"/>
    </xf>
    <xf numFmtId="190" fontId="3" fillId="0" borderId="0" xfId="42" applyFont="1" applyFill="1" applyProtection="1">
      <alignment vertical="center"/>
      <protection locked="0"/>
    </xf>
    <xf numFmtId="190" fontId="37" fillId="0" borderId="0" xfId="42" applyFont="1" applyAlignment="1" applyProtection="1">
      <alignment horizontal="center" vertical="center"/>
      <protection locked="0"/>
    </xf>
    <xf numFmtId="190" fontId="3" fillId="0" borderId="2" xfId="0" applyNumberFormat="1" applyFont="1" applyFill="1" applyBorder="1" applyAlignment="1" applyProtection="1">
      <alignment horizontal="center" vertical="center" wrapText="1"/>
    </xf>
    <xf numFmtId="190" fontId="3" fillId="0" borderId="2" xfId="43" applyFont="1" applyBorder="1" applyAlignment="1">
      <alignment horizontal="center" vertical="center" wrapText="1"/>
    </xf>
    <xf numFmtId="0" fontId="3" fillId="7" borderId="0" xfId="0" applyFont="1" applyFill="1" applyAlignment="1">
      <alignment horizontal="justify" vertical="center" wrapText="1"/>
      <protection locked="0"/>
    </xf>
    <xf numFmtId="0" fontId="41" fillId="0" borderId="0" xfId="0" applyFont="1" applyAlignment="1">
      <alignment horizontal="justify" wrapText="1"/>
      <protection locked="0"/>
    </xf>
    <xf numFmtId="190" fontId="6" fillId="0" borderId="0" xfId="0" applyNumberFormat="1" applyFont="1" applyAlignment="1" applyProtection="1">
      <alignment horizontal="center" vertical="center"/>
    </xf>
    <xf numFmtId="190" fontId="26" fillId="0" borderId="11" xfId="0" applyNumberFormat="1" applyFont="1" applyBorder="1" applyAlignment="1" applyProtection="1">
      <alignment horizontal="center" vertical="center"/>
    </xf>
    <xf numFmtId="0" fontId="41" fillId="0" borderId="0" xfId="0" applyFont="1" applyAlignment="1">
      <alignment horizontal="justify" vertical="top" wrapText="1"/>
      <protection locked="0"/>
    </xf>
    <xf numFmtId="0" fontId="11" fillId="7" borderId="0" xfId="0" applyFont="1" applyFill="1" applyAlignment="1">
      <alignment horizontal="justify" vertical="center" wrapText="1"/>
      <protection locked="0"/>
    </xf>
    <xf numFmtId="0" fontId="26" fillId="0" borderId="11" xfId="0" applyFont="1" applyBorder="1" applyAlignment="1" applyProtection="1">
      <alignment horizontal="center" vertical="center"/>
    </xf>
    <xf numFmtId="0" fontId="42" fillId="0" borderId="11" xfId="3" applyFont="1" applyBorder="1" applyAlignment="1">
      <protection locked="0"/>
    </xf>
    <xf numFmtId="190" fontId="26" fillId="0" borderId="11" xfId="0" applyNumberFormat="1" applyFont="1" applyBorder="1" applyAlignment="1" applyProtection="1">
      <alignment vertical="center"/>
    </xf>
    <xf numFmtId="190" fontId="27" fillId="0" borderId="11" xfId="0" applyNumberFormat="1" applyFont="1" applyBorder="1" applyAlignment="1" applyProtection="1">
      <alignment vertical="center"/>
    </xf>
    <xf numFmtId="0" fontId="0" fillId="0" borderId="0" xfId="0" applyAlignment="1">
      <alignment vertical="center"/>
      <protection locked="0"/>
    </xf>
    <xf numFmtId="0" fontId="43" fillId="0" borderId="0" xfId="0" applyFont="1" applyAlignment="1">
      <alignment horizontal="justify"/>
      <protection locked="0"/>
    </xf>
    <xf numFmtId="43" fontId="42" fillId="0" borderId="11" xfId="3" applyNumberFormat="1" applyFont="1" applyBorder="1" applyAlignment="1">
      <alignment horizontal="left"/>
      <protection locked="0"/>
    </xf>
    <xf numFmtId="0" fontId="44" fillId="0" borderId="11" xfId="3" applyFont="1" applyBorder="1" applyAlignment="1">
      <protection locked="0"/>
    </xf>
    <xf numFmtId="0" fontId="4" fillId="0" borderId="0" xfId="0" applyFont="1" applyAlignment="1">
      <alignment horizontal="justify" vertical="center" wrapText="1"/>
      <protection locked="0"/>
    </xf>
    <xf numFmtId="0" fontId="3" fillId="7" borderId="0" xfId="0" applyFont="1" applyFill="1" applyBorder="1" applyAlignment="1">
      <alignment horizontal="justify" vertical="center" wrapText="1"/>
      <protection locked="0"/>
    </xf>
    <xf numFmtId="0" fontId="32" fillId="0" borderId="0" xfId="0" applyFont="1" applyAlignment="1">
      <alignment horizontal="center" vertical="center"/>
      <protection locked="0"/>
    </xf>
    <xf numFmtId="190" fontId="75" fillId="0" borderId="0" xfId="60" applyFont="1" applyFill="1" applyAlignment="1">
      <alignment horizontal="left" vertical="center"/>
    </xf>
    <xf numFmtId="43" fontId="3" fillId="10" borderId="2" xfId="1" applyFont="1" applyFill="1" applyBorder="1" applyAlignment="1">
      <alignment horizontal="right" vertical="center" wrapText="1"/>
    </xf>
    <xf numFmtId="0" fontId="6" fillId="10" borderId="2" xfId="0" applyFont="1" applyFill="1" applyBorder="1" applyAlignment="1">
      <alignment horizontal="center" vertical="center"/>
      <protection locked="0"/>
    </xf>
    <xf numFmtId="0" fontId="8" fillId="10" borderId="2" xfId="0" applyFont="1" applyFill="1" applyBorder="1" applyAlignment="1">
      <alignment horizontal="center" vertical="center"/>
      <protection locked="0"/>
    </xf>
    <xf numFmtId="0" fontId="8" fillId="10" borderId="0" xfId="0" applyFont="1" applyFill="1">
      <protection locked="0"/>
    </xf>
    <xf numFmtId="190" fontId="6" fillId="10" borderId="2" xfId="40" applyFont="1" applyFill="1" applyBorder="1" applyAlignment="1" applyProtection="1">
      <alignment horizontal="center" vertical="center" wrapText="1"/>
      <protection locked="0"/>
    </xf>
    <xf numFmtId="43" fontId="16" fillId="10" borderId="2" xfId="40" applyNumberFormat="1" applyFont="1" applyFill="1" applyBorder="1" applyAlignment="1" applyProtection="1">
      <alignment horizontal="left" vertical="center" wrapText="1" indent="1"/>
      <protection locked="0"/>
    </xf>
    <xf numFmtId="10" fontId="8" fillId="10" borderId="2" xfId="2" applyNumberFormat="1" applyFont="1" applyFill="1" applyBorder="1" applyAlignment="1">
      <alignment horizontal="right" vertical="center" wrapText="1"/>
    </xf>
    <xf numFmtId="0" fontId="3" fillId="10" borderId="0" xfId="0" applyFont="1" applyFill="1" applyAlignment="1">
      <alignment vertical="center" wrapText="1"/>
      <protection locked="0"/>
    </xf>
    <xf numFmtId="0" fontId="8" fillId="3" borderId="2" xfId="0" applyFont="1" applyFill="1" applyBorder="1" applyAlignment="1" applyProtection="1">
      <alignment horizontal="center" vertical="center"/>
      <protection locked="0"/>
    </xf>
    <xf numFmtId="43" fontId="3" fillId="0" borderId="2" xfId="1" applyFont="1" applyBorder="1" applyAlignment="1" applyProtection="1">
      <alignment horizontal="left" vertical="center"/>
    </xf>
    <xf numFmtId="43" fontId="3" fillId="0" borderId="2" xfId="1" applyFont="1" applyBorder="1" applyAlignment="1" applyProtection="1">
      <alignment horizontal="right" vertical="center"/>
    </xf>
    <xf numFmtId="0" fontId="8" fillId="10" borderId="2" xfId="0" applyFont="1" applyFill="1" applyBorder="1" applyAlignment="1" applyProtection="1">
      <alignment horizontal="left" vertical="center"/>
    </xf>
    <xf numFmtId="43" fontId="8" fillId="10" borderId="2" xfId="1" applyFont="1" applyFill="1" applyBorder="1" applyAlignment="1" applyProtection="1">
      <alignment horizontal="left" vertical="center"/>
    </xf>
    <xf numFmtId="196" fontId="8" fillId="10" borderId="2" xfId="0" applyNumberFormat="1" applyFont="1" applyFill="1" applyBorder="1" applyAlignment="1" applyProtection="1">
      <alignment horizontal="left" vertical="center"/>
    </xf>
    <xf numFmtId="0" fontId="8" fillId="10" borderId="2" xfId="0" applyFont="1" applyFill="1" applyBorder="1" applyAlignment="1" applyProtection="1">
      <alignment horizontal="center" vertical="center"/>
      <protection locked="0"/>
    </xf>
    <xf numFmtId="0" fontId="8" fillId="10" borderId="2" xfId="0" applyFont="1" applyFill="1" applyBorder="1" applyAlignment="1" applyProtection="1">
      <alignment horizontal="center" vertical="center"/>
    </xf>
    <xf numFmtId="0" fontId="8" fillId="0" borderId="0" xfId="50" applyFont="1" applyAlignment="1" applyProtection="1">
      <alignment vertical="center"/>
      <protection locked="0"/>
    </xf>
    <xf numFmtId="43" fontId="8" fillId="10" borderId="2" xfId="1" applyFont="1" applyFill="1" applyBorder="1" applyAlignment="1" applyProtection="1">
      <alignment horizontal="right" vertical="center"/>
    </xf>
    <xf numFmtId="10" fontId="8" fillId="10" borderId="2" xfId="2" applyNumberFormat="1" applyFont="1" applyFill="1" applyBorder="1" applyAlignment="1" applyProtection="1">
      <alignment horizontal="right" vertical="center"/>
    </xf>
    <xf numFmtId="190" fontId="22" fillId="0" borderId="0" xfId="3" applyNumberFormat="1" applyFont="1" applyAlignment="1" applyProtection="1">
      <alignment vertical="center" wrapText="1"/>
      <protection locked="0"/>
    </xf>
    <xf numFmtId="0" fontId="2" fillId="0" borderId="0" xfId="0" applyFont="1" applyAlignment="1">
      <alignment horizontal="left" vertical="center" wrapText="1"/>
      <protection locked="0"/>
    </xf>
    <xf numFmtId="0" fontId="4" fillId="0" borderId="0" xfId="0" applyFont="1" applyAlignment="1">
      <alignment horizontal="left" vertical="center" wrapText="1"/>
      <protection locked="0"/>
    </xf>
    <xf numFmtId="190" fontId="3" fillId="0" borderId="2" xfId="42" applyFont="1" applyBorder="1" applyAlignment="1" applyProtection="1">
      <alignment horizontal="center" vertical="center" wrapText="1"/>
      <protection locked="0"/>
    </xf>
    <xf numFmtId="0" fontId="9" fillId="5" borderId="4" xfId="0" applyNumberFormat="1" applyFont="1" applyFill="1" applyBorder="1" applyAlignment="1" applyProtection="1">
      <alignment horizontal="center" vertical="center"/>
      <protection locked="0"/>
    </xf>
    <xf numFmtId="0" fontId="9" fillId="5" borderId="5" xfId="0" applyNumberFormat="1" applyFont="1" applyFill="1" applyBorder="1" applyAlignment="1" applyProtection="1">
      <alignment horizontal="center" vertical="center"/>
      <protection locked="0"/>
    </xf>
    <xf numFmtId="0" fontId="9" fillId="5" borderId="7" xfId="0" applyNumberFormat="1" applyFont="1" applyFill="1" applyBorder="1" applyAlignment="1" applyProtection="1">
      <alignment horizontal="center" vertical="center"/>
      <protection locked="0"/>
    </xf>
    <xf numFmtId="190" fontId="10" fillId="6" borderId="10" xfId="43" applyFont="1" applyFill="1" applyBorder="1" applyAlignment="1" applyProtection="1">
      <alignment horizontal="left" vertical="center" wrapText="1"/>
      <protection locked="0"/>
    </xf>
    <xf numFmtId="190" fontId="10" fillId="6" borderId="0" xfId="43" applyFont="1" applyFill="1" applyAlignment="1" applyProtection="1">
      <alignment horizontal="left" vertical="center" wrapText="1"/>
      <protection locked="0"/>
    </xf>
    <xf numFmtId="49" fontId="8" fillId="3" borderId="1" xfId="42" applyNumberFormat="1" applyFont="1" applyFill="1" applyBorder="1" applyAlignment="1" applyProtection="1">
      <alignment horizontal="center" vertical="center"/>
      <protection locked="0"/>
    </xf>
    <xf numFmtId="49" fontId="8" fillId="3" borderId="3" xfId="42" applyNumberFormat="1" applyFont="1" applyFill="1" applyBorder="1" applyAlignment="1" applyProtection="1">
      <alignment horizontal="center" vertical="center"/>
      <protection locked="0"/>
    </xf>
    <xf numFmtId="190" fontId="9" fillId="10" borderId="2" xfId="43" applyFont="1" applyFill="1" applyBorder="1" applyAlignment="1" applyProtection="1">
      <alignment horizontal="center" vertical="center" wrapText="1"/>
      <protection locked="0"/>
    </xf>
    <xf numFmtId="190" fontId="8" fillId="3" borderId="1" xfId="42" applyFont="1" applyFill="1" applyBorder="1" applyAlignment="1" applyProtection="1">
      <alignment horizontal="center" vertical="center" wrapText="1"/>
      <protection locked="0"/>
    </xf>
    <xf numFmtId="190" fontId="8" fillId="3" borderId="3" xfId="42" applyFont="1" applyFill="1" applyBorder="1" applyAlignment="1" applyProtection="1">
      <alignment horizontal="center" vertical="center" wrapText="1"/>
      <protection locked="0"/>
    </xf>
    <xf numFmtId="0" fontId="9" fillId="5" borderId="1" xfId="0" applyNumberFormat="1" applyFont="1" applyFill="1" applyBorder="1" applyAlignment="1" applyProtection="1">
      <alignment horizontal="center" vertical="center" wrapText="1"/>
      <protection locked="0"/>
    </xf>
    <xf numFmtId="0" fontId="9" fillId="5" borderId="3" xfId="0" applyNumberFormat="1" applyFont="1" applyFill="1" applyBorder="1" applyAlignment="1" applyProtection="1">
      <alignment horizontal="center" vertical="center" wrapText="1"/>
      <protection locked="0"/>
    </xf>
    <xf numFmtId="190" fontId="3" fillId="0" borderId="2" xfId="42" applyFont="1" applyBorder="1" applyAlignment="1" applyProtection="1">
      <alignment horizontal="left" vertical="center" wrapText="1"/>
      <protection locked="0"/>
    </xf>
    <xf numFmtId="190" fontId="2" fillId="0" borderId="0" xfId="46" applyFont="1" applyAlignment="1">
      <alignment horizontal="center" vertical="center"/>
    </xf>
    <xf numFmtId="190" fontId="32" fillId="0" borderId="0" xfId="46" applyFont="1" applyAlignment="1">
      <alignment horizontal="center" vertical="center"/>
    </xf>
    <xf numFmtId="190" fontId="5" fillId="0" borderId="0" xfId="46" applyFont="1" applyAlignment="1">
      <alignment horizontal="center" vertical="center"/>
    </xf>
    <xf numFmtId="190" fontId="9" fillId="3" borderId="2" xfId="42" applyFont="1" applyFill="1" applyBorder="1" applyAlignment="1" applyProtection="1">
      <alignment horizontal="center" vertical="center" wrapText="1"/>
      <protection locked="0"/>
    </xf>
    <xf numFmtId="190" fontId="3" fillId="3" borderId="2" xfId="42" applyFont="1" applyFill="1" applyBorder="1" applyAlignment="1" applyProtection="1">
      <alignment horizontal="center" vertical="center" wrapText="1"/>
      <protection locked="0"/>
    </xf>
    <xf numFmtId="0" fontId="2" fillId="0" borderId="0" xfId="45" applyFont="1" applyAlignment="1">
      <alignment horizontal="center" vertical="center" wrapText="1"/>
    </xf>
    <xf numFmtId="0" fontId="5" fillId="0" borderId="0" xfId="45" applyFont="1" applyAlignment="1">
      <alignment horizontal="center" vertical="center" wrapText="1"/>
    </xf>
    <xf numFmtId="190" fontId="8" fillId="3" borderId="4" xfId="40" applyFont="1" applyFill="1" applyBorder="1" applyAlignment="1" applyProtection="1">
      <alignment horizontal="center" vertical="center" wrapText="1"/>
      <protection locked="0"/>
    </xf>
    <xf numFmtId="190" fontId="8" fillId="3" borderId="5" xfId="40" applyFont="1" applyFill="1" applyBorder="1" applyAlignment="1" applyProtection="1">
      <alignment horizontal="center" vertical="center" wrapText="1"/>
      <protection locked="0"/>
    </xf>
    <xf numFmtId="190" fontId="8" fillId="3" borderId="7" xfId="40" applyFont="1" applyFill="1" applyBorder="1" applyAlignment="1" applyProtection="1">
      <alignment horizontal="center" vertical="center" wrapText="1"/>
      <protection locked="0"/>
    </xf>
    <xf numFmtId="190" fontId="28" fillId="3" borderId="2" xfId="38" applyFont="1" applyFill="1" applyBorder="1" applyAlignment="1" applyProtection="1">
      <alignment horizontal="center" vertical="center" wrapText="1"/>
      <protection locked="0"/>
    </xf>
    <xf numFmtId="190" fontId="29" fillId="3" borderId="2" xfId="38" applyFont="1" applyFill="1" applyBorder="1" applyAlignment="1" applyProtection="1">
      <alignment horizontal="center" vertical="center" wrapText="1"/>
      <protection locked="0"/>
    </xf>
    <xf numFmtId="190" fontId="8" fillId="3" borderId="2" xfId="40" applyFont="1" applyFill="1" applyBorder="1" applyAlignment="1" applyProtection="1">
      <alignment horizontal="center" vertical="center" wrapText="1"/>
      <protection locked="0"/>
    </xf>
    <xf numFmtId="0" fontId="2" fillId="0" borderId="0" xfId="45" applyFont="1" applyAlignment="1">
      <alignment horizontal="center" vertical="center"/>
    </xf>
    <xf numFmtId="0" fontId="5" fillId="0" borderId="0" xfId="45" applyFont="1" applyAlignment="1">
      <alignment horizontal="center" vertical="center"/>
    </xf>
    <xf numFmtId="0" fontId="6" fillId="3" borderId="1" xfId="0" applyFont="1" applyFill="1" applyBorder="1" applyAlignment="1">
      <alignment horizontal="center" vertical="center" wrapText="1"/>
      <protection locked="0"/>
    </xf>
    <xf numFmtId="0" fontId="6" fillId="3" borderId="3" xfId="0" applyFont="1" applyFill="1" applyBorder="1" applyAlignment="1">
      <alignment horizontal="center" vertical="center" wrapText="1"/>
      <protection locked="0"/>
    </xf>
    <xf numFmtId="0" fontId="8" fillId="3" borderId="1" xfId="0" applyFont="1" applyFill="1" applyBorder="1" applyAlignment="1">
      <alignment horizontal="center" vertical="center"/>
      <protection locked="0"/>
    </xf>
    <xf numFmtId="0" fontId="8" fillId="3" borderId="3" xfId="0" applyFont="1" applyFill="1" applyBorder="1" applyAlignment="1">
      <alignment horizontal="center" vertical="center"/>
      <protection locked="0"/>
    </xf>
    <xf numFmtId="0" fontId="6" fillId="10" borderId="4" xfId="0" applyFont="1" applyFill="1" applyBorder="1" applyAlignment="1">
      <alignment horizontal="center" vertical="center"/>
      <protection locked="0"/>
    </xf>
    <xf numFmtId="0" fontId="6" fillId="10" borderId="7" xfId="0" applyFont="1" applyFill="1" applyBorder="1" applyAlignment="1">
      <alignment horizontal="center" vertical="center"/>
      <protection locked="0"/>
    </xf>
    <xf numFmtId="0" fontId="6" fillId="3" borderId="2" xfId="0" applyFont="1" applyFill="1" applyBorder="1" applyAlignment="1">
      <alignment horizontal="center" vertical="center"/>
      <protection locked="0"/>
    </xf>
    <xf numFmtId="0" fontId="6" fillId="3" borderId="1" xfId="0" applyFont="1" applyFill="1" applyBorder="1" applyAlignment="1">
      <alignment horizontal="center" vertical="center"/>
      <protection locked="0"/>
    </xf>
    <xf numFmtId="0" fontId="6" fillId="3" borderId="3" xfId="0" applyFont="1" applyFill="1" applyBorder="1" applyAlignment="1">
      <alignment horizontal="center" vertical="center"/>
      <protection locked="0"/>
    </xf>
    <xf numFmtId="0" fontId="8" fillId="3" borderId="4" xfId="0" applyFont="1" applyFill="1" applyBorder="1" applyAlignment="1">
      <alignment horizontal="center" vertical="center"/>
      <protection locked="0"/>
    </xf>
    <xf numFmtId="0" fontId="8" fillId="3" borderId="5" xfId="0" applyFont="1" applyFill="1" applyBorder="1" applyAlignment="1">
      <alignment horizontal="center" vertical="center"/>
      <protection locked="0"/>
    </xf>
    <xf numFmtId="0" fontId="8" fillId="3" borderId="7" xfId="0" applyFont="1" applyFill="1" applyBorder="1" applyAlignment="1">
      <alignment horizontal="center" vertical="center"/>
      <protection locked="0"/>
    </xf>
    <xf numFmtId="190" fontId="6" fillId="3" borderId="2" xfId="40" applyFont="1" applyFill="1" applyBorder="1" applyAlignment="1" applyProtection="1">
      <alignment horizontal="center" vertical="center"/>
      <protection locked="0"/>
    </xf>
    <xf numFmtId="43" fontId="38" fillId="0" borderId="0" xfId="52" applyNumberFormat="1" applyFont="1" applyBorder="1" applyAlignment="1">
      <alignment horizontal="center" vertical="center"/>
    </xf>
    <xf numFmtId="43" fontId="32" fillId="0" borderId="0" xfId="52" applyNumberFormat="1" applyFont="1" applyBorder="1" applyAlignment="1">
      <alignment horizontal="center" vertical="center"/>
    </xf>
    <xf numFmtId="190" fontId="19" fillId="0" borderId="0" xfId="36" applyFont="1" applyAlignment="1">
      <alignment horizontal="left" vertical="center" wrapText="1"/>
      <protection locked="0"/>
    </xf>
    <xf numFmtId="190" fontId="3" fillId="0" borderId="0" xfId="36" applyFont="1" applyAlignment="1">
      <alignment horizontal="left" vertical="center" wrapText="1"/>
      <protection locked="0"/>
    </xf>
    <xf numFmtId="0" fontId="9" fillId="10" borderId="2" xfId="0" applyFont="1" applyFill="1" applyBorder="1" applyAlignment="1" applyProtection="1">
      <alignment horizontal="center" vertical="center"/>
    </xf>
    <xf numFmtId="0" fontId="8" fillId="10" borderId="2" xfId="0" applyFont="1" applyFill="1" applyBorder="1" applyAlignment="1" applyProtection="1">
      <alignment horizontal="center" vertical="center"/>
    </xf>
    <xf numFmtId="0" fontId="2" fillId="0" borderId="0" xfId="0" applyFont="1" applyAlignment="1">
      <alignment horizontal="center" vertical="center"/>
      <protection locked="0"/>
    </xf>
    <xf numFmtId="0" fontId="5" fillId="0" borderId="0" xfId="0" applyFont="1" applyAlignment="1">
      <alignment horizontal="center" vertical="center"/>
      <protection locked="0"/>
    </xf>
    <xf numFmtId="0" fontId="3" fillId="0" borderId="0" xfId="50" applyFont="1" applyAlignment="1">
      <alignment horizontal="left" vertical="center" wrapText="1"/>
    </xf>
    <xf numFmtId="0" fontId="9" fillId="3" borderId="2" xfId="37" applyFont="1" applyFill="1" applyBorder="1" applyAlignment="1">
      <alignment horizontal="center" vertical="center"/>
      <protection locked="0"/>
    </xf>
    <xf numFmtId="0" fontId="9" fillId="3" borderId="4" xfId="0" applyFont="1" applyFill="1" applyBorder="1" applyAlignment="1" applyProtection="1">
      <alignment horizontal="center" vertical="center"/>
      <protection locked="0"/>
    </xf>
    <xf numFmtId="0" fontId="9" fillId="3" borderId="5" xfId="0" applyFont="1" applyFill="1" applyBorder="1" applyAlignment="1" applyProtection="1">
      <alignment horizontal="center" vertical="center"/>
      <protection locked="0"/>
    </xf>
    <xf numFmtId="190" fontId="9" fillId="2" borderId="1" xfId="35" applyFont="1" applyFill="1" applyBorder="1" applyAlignment="1" applyProtection="1">
      <alignment horizontal="center" vertical="center" wrapText="1"/>
    </xf>
    <xf numFmtId="190" fontId="9" fillId="2" borderId="3" xfId="35" applyFont="1" applyFill="1" applyBorder="1" applyAlignment="1" applyProtection="1">
      <alignment horizontal="center" vertical="center" wrapText="1"/>
    </xf>
    <xf numFmtId="190" fontId="9" fillId="3" borderId="2" xfId="36" applyFont="1" applyFill="1" applyBorder="1" applyAlignment="1">
      <alignment horizontal="center" vertical="center" wrapText="1"/>
      <protection locked="0"/>
    </xf>
    <xf numFmtId="0" fontId="9" fillId="2" borderId="2" xfId="37" applyFont="1" applyFill="1" applyBorder="1" applyAlignment="1" applyProtection="1">
      <alignment horizontal="center" vertical="center" wrapText="1"/>
    </xf>
    <xf numFmtId="0" fontId="9" fillId="2" borderId="1" xfId="37" applyFont="1" applyFill="1" applyBorder="1" applyAlignment="1" applyProtection="1">
      <alignment horizontal="center" vertical="center" wrapText="1"/>
    </xf>
    <xf numFmtId="0" fontId="9" fillId="2" borderId="3" xfId="37" applyFont="1" applyFill="1" applyBorder="1" applyAlignment="1" applyProtection="1">
      <alignment horizontal="center" vertical="center" wrapText="1"/>
    </xf>
    <xf numFmtId="190" fontId="9" fillId="3" borderId="2" xfId="36" applyFont="1" applyFill="1" applyBorder="1" applyAlignment="1">
      <alignment horizontal="center" vertical="center"/>
      <protection locked="0"/>
    </xf>
  </cellXfs>
  <cellStyles count="61">
    <cellStyle name="@_text" xfId="4"/>
    <cellStyle name="{Comma [0]}" xfId="5"/>
    <cellStyle name="{Comma}" xfId="6"/>
    <cellStyle name="{Date}" xfId="7"/>
    <cellStyle name="{Month}" xfId="8"/>
    <cellStyle name="{Percent}" xfId="9"/>
    <cellStyle name="{Thousand [0]}" xfId="10"/>
    <cellStyle name="{Thousand}" xfId="11"/>
    <cellStyle name="{Z'0000(1 dec)}" xfId="12"/>
    <cellStyle name="{Z'0000(4 dec)}" xfId="13"/>
    <cellStyle name="Black" xfId="14"/>
    <cellStyle name="Border" xfId="15"/>
    <cellStyle name="Comma [0]_1995" xfId="16"/>
    <cellStyle name="Comma_1995" xfId="17"/>
    <cellStyle name="Currency [0]_1995" xfId="18"/>
    <cellStyle name="Currency_1995" xfId="19"/>
    <cellStyle name="Dezimal [0]_laroux" xfId="20"/>
    <cellStyle name="Dezimal_laroux" xfId="21"/>
    <cellStyle name="Euro" xfId="22"/>
    <cellStyle name="Followed Hyperlink_AheadBehind.xls Chart 23" xfId="23"/>
    <cellStyle name="Grey" xfId="24"/>
    <cellStyle name="Hyperlink_AheadBehind.xls Chart 23" xfId="25"/>
    <cellStyle name="Input [yellow]" xfId="26"/>
    <cellStyle name="Milliers [0]_laroux" xfId="27"/>
    <cellStyle name="Milliers_laroux" xfId="28"/>
    <cellStyle name="Non défini" xfId="29"/>
    <cellStyle name="Normal - Style1" xfId="30"/>
    <cellStyle name="Normal_22-Jun EUS Forecasts" xfId="31"/>
    <cellStyle name="Percent [2]" xfId="32"/>
    <cellStyle name="Red" xfId="33"/>
    <cellStyle name="百分比" xfId="2" builtinId="5"/>
    <cellStyle name="百分比 2" xfId="34"/>
    <cellStyle name="常规" xfId="0" builtinId="0"/>
    <cellStyle name="常规 11 5" xfId="60"/>
    <cellStyle name="常规 2" xfId="35"/>
    <cellStyle name="常规 2 2" xfId="36"/>
    <cellStyle name="常规 2 2 4" xfId="37"/>
    <cellStyle name="常规 3" xfId="38"/>
    <cellStyle name="常规 3 2" xfId="39"/>
    <cellStyle name="常规 4" xfId="40"/>
    <cellStyle name="常规 4 2" xfId="41"/>
    <cellStyle name="常规 5" xfId="42"/>
    <cellStyle name="常规 7" xfId="43"/>
    <cellStyle name="常规 7 2" xfId="44"/>
    <cellStyle name="常规_Book1" xfId="45"/>
    <cellStyle name="常规_Book1 2" xfId="46"/>
    <cellStyle name="常规_c-资产类" xfId="47"/>
    <cellStyle name="常规_c-资产类 2" xfId="48"/>
    <cellStyle name="常规_sheet" xfId="49"/>
    <cellStyle name="常规_进一步审计程序--销售与收款循环" xfId="50"/>
    <cellStyle name="常规_新审定表" xfId="51"/>
    <cellStyle name="常规_新审定表 2" xfId="52"/>
    <cellStyle name="超链接" xfId="3" builtinId="8"/>
    <cellStyle name="超链接 2" xfId="53"/>
    <cellStyle name="普通_ 外G9(3)" xfId="54"/>
    <cellStyle name="千分位[0]_宁波" xfId="55"/>
    <cellStyle name="千分位_宁波" xfId="56"/>
    <cellStyle name="千位[0]_laroux" xfId="57"/>
    <cellStyle name="千位_laroux" xfId="58"/>
    <cellStyle name="千位分隔" xfId="1" builtinId="3"/>
    <cellStyle name="千位分隔 2" xfId="59"/>
  </cellStyles>
  <dxfs count="0"/>
  <tableStyles count="0" defaultTableStyle="TableStyleMedium9" defaultPivotStyle="PivotStyleLight16"/>
  <colors>
    <mruColors>
      <color rgb="FFE4DFEC"/>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1"/>
  <sheetViews>
    <sheetView tabSelected="1" workbookViewId="0"/>
  </sheetViews>
  <sheetFormatPr defaultColWidth="8.796875" defaultRowHeight="20.100000000000001" customHeight="1"/>
  <cols>
    <col min="1" max="1" width="77.59765625" style="61" customWidth="1"/>
    <col min="2" max="2" width="2" style="61" customWidth="1"/>
    <col min="3" max="3" width="2.09765625" style="61" customWidth="1"/>
    <col min="4" max="4" width="6.09765625" style="61" customWidth="1"/>
    <col min="5" max="5" width="45.09765625" style="61" customWidth="1"/>
    <col min="6" max="6" width="7.3984375" style="61" customWidth="1"/>
    <col min="7" max="16384" width="8.796875" style="61"/>
  </cols>
  <sheetData>
    <row r="1" spans="1:7" s="4" customFormat="1" ht="19.95" customHeight="1">
      <c r="A1" s="1" t="s">
        <v>0</v>
      </c>
    </row>
    <row r="2" spans="1:7" ht="19.95" customHeight="1">
      <c r="A2" s="151" t="s">
        <v>1</v>
      </c>
      <c r="B2" s="152"/>
      <c r="C2" s="152"/>
      <c r="D2" s="153"/>
      <c r="E2" s="153"/>
      <c r="F2" s="153"/>
      <c r="G2" s="152"/>
    </row>
    <row r="3" spans="1:7" ht="19.95" customHeight="1">
      <c r="A3" s="166" t="s">
        <v>199</v>
      </c>
      <c r="B3" s="152"/>
      <c r="C3" s="152"/>
      <c r="D3" s="154" t="s">
        <v>2</v>
      </c>
      <c r="E3" s="154" t="s">
        <v>3</v>
      </c>
      <c r="F3" s="154" t="s">
        <v>4</v>
      </c>
      <c r="G3" s="155"/>
    </row>
    <row r="4" spans="1:7" ht="19.95" customHeight="1">
      <c r="A4" s="156" t="s">
        <v>5</v>
      </c>
      <c r="B4" s="152"/>
      <c r="C4" s="152"/>
      <c r="D4" s="157">
        <v>1</v>
      </c>
      <c r="E4" s="158" t="s">
        <v>6</v>
      </c>
      <c r="F4" s="159" t="s">
        <v>7</v>
      </c>
      <c r="G4" s="155"/>
    </row>
    <row r="5" spans="1:7" ht="19.95" customHeight="1">
      <c r="A5" s="156" t="s">
        <v>8</v>
      </c>
      <c r="D5" s="157">
        <v>2</v>
      </c>
      <c r="E5" s="158" t="s">
        <v>9</v>
      </c>
      <c r="F5" s="160" t="s">
        <v>10</v>
      </c>
    </row>
    <row r="6" spans="1:7" ht="19.95" customHeight="1">
      <c r="A6" s="156" t="s">
        <v>11</v>
      </c>
      <c r="D6" s="157">
        <v>3</v>
      </c>
      <c r="E6" s="158" t="s">
        <v>12</v>
      </c>
      <c r="F6" s="159"/>
      <c r="G6" s="161" t="s">
        <v>13</v>
      </c>
    </row>
    <row r="7" spans="1:7" ht="19.95" customHeight="1">
      <c r="A7" s="156" t="s">
        <v>14</v>
      </c>
      <c r="D7" s="157">
        <v>4</v>
      </c>
      <c r="E7" s="158" t="s">
        <v>15</v>
      </c>
      <c r="F7" s="159"/>
      <c r="G7" s="161" t="s">
        <v>13</v>
      </c>
    </row>
    <row r="8" spans="1:7" ht="19.95" customHeight="1">
      <c r="A8" s="162"/>
      <c r="D8" s="157">
        <v>5</v>
      </c>
      <c r="E8" s="158" t="s">
        <v>16</v>
      </c>
      <c r="F8" s="160" t="s">
        <v>17</v>
      </c>
    </row>
    <row r="9" spans="1:7" ht="19.95" customHeight="1">
      <c r="A9" s="167" t="s">
        <v>200</v>
      </c>
      <c r="D9" s="157">
        <v>6</v>
      </c>
      <c r="E9" s="163" t="s">
        <v>18</v>
      </c>
      <c r="F9" s="160" t="s">
        <v>19</v>
      </c>
    </row>
    <row r="10" spans="1:7" ht="19.95" customHeight="1">
      <c r="A10" s="189" t="s">
        <v>201</v>
      </c>
      <c r="D10" s="157">
        <v>7</v>
      </c>
      <c r="E10" s="164" t="s">
        <v>20</v>
      </c>
      <c r="F10" s="160" t="s">
        <v>21</v>
      </c>
    </row>
    <row r="11" spans="1:7" ht="19.95" customHeight="1">
      <c r="A11" s="189"/>
    </row>
    <row r="12" spans="1:7" ht="19.95" customHeight="1">
      <c r="A12" s="189"/>
    </row>
    <row r="13" spans="1:7" ht="19.95" customHeight="1">
      <c r="A13" s="189"/>
    </row>
    <row r="14" spans="1:7" ht="19.95" customHeight="1">
      <c r="A14" s="189" t="s">
        <v>202</v>
      </c>
    </row>
    <row r="15" spans="1:7" ht="19.95" customHeight="1">
      <c r="A15" s="189"/>
    </row>
    <row r="16" spans="1:7" ht="19.95" customHeight="1">
      <c r="A16" s="189"/>
    </row>
    <row r="17" spans="1:1" ht="19.95" customHeight="1">
      <c r="A17" s="190" t="s">
        <v>203</v>
      </c>
    </row>
    <row r="18" spans="1:1" ht="19.95" customHeight="1">
      <c r="A18" s="190"/>
    </row>
    <row r="19" spans="1:1" ht="19.95" customHeight="1">
      <c r="A19" s="190"/>
    </row>
    <row r="20" spans="1:1" ht="19.95" customHeight="1">
      <c r="A20" s="165"/>
    </row>
    <row r="21" spans="1:1" ht="19.95" customHeight="1"/>
  </sheetData>
  <mergeCells count="3">
    <mergeCell ref="A10:A13"/>
    <mergeCell ref="A14:A16"/>
    <mergeCell ref="A17:A19"/>
  </mergeCells>
  <phoneticPr fontId="77" type="noConversion"/>
  <hyperlinks>
    <hyperlink ref="E6" location="'附注披露（上市公司）信息'!A1" display="专项应付款附注披露（上市公司）信息核对表"/>
    <hyperlink ref="E8" location="'明细表L6-2'!A1" display="专项应付款明细表"/>
    <hyperlink ref="E10" location="'检查表L6-4'!A1" display="专项应付款检查表"/>
    <hyperlink ref="E5" location="'审定表L6-1'!A1" display="专项应付款审定表"/>
    <hyperlink ref="E7" location="'附注披露（国企）信息'!A1" display="专项应付款附注披露（国企）信息核对表"/>
    <hyperlink ref="E4" location="实质性程序表L6A!A1" display="专项应付款循环实质性程序"/>
    <hyperlink ref="E9" location="'调整分录汇总L6-3'!A1" display="专项应付款调整分录汇总表"/>
  </hyperlinks>
  <pageMargins left="0.75" right="0.75" top="1" bottom="1" header="0.5" footer="0.5"/>
  <pageSetup paperSize="9" orientation="portrait" horizontalDpi="1200" verticalDpi="12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Q23"/>
  <sheetViews>
    <sheetView view="pageBreakPreview" zoomScaleNormal="100" workbookViewId="0">
      <selection sqref="A1:I1"/>
    </sheetView>
  </sheetViews>
  <sheetFormatPr defaultColWidth="9" defaultRowHeight="13.8"/>
  <cols>
    <col min="1" max="1" width="4.796875" style="122" customWidth="1"/>
    <col min="2" max="2" width="64.796875" style="122" customWidth="1"/>
    <col min="3" max="3" width="7.8984375" style="122" customWidth="1"/>
    <col min="4" max="4" width="5.796875" style="122" customWidth="1"/>
    <col min="5" max="5" width="6.3984375" style="122" customWidth="1"/>
    <col min="6" max="6" width="6.69921875" style="122" customWidth="1"/>
    <col min="7" max="7" width="7.19921875" style="122" customWidth="1"/>
    <col min="8" max="8" width="5.19921875" style="122" customWidth="1"/>
    <col min="9" max="9" width="7.19921875" style="122" customWidth="1"/>
    <col min="10" max="10" width="9" style="123"/>
    <col min="11" max="11" width="12.59765625" style="124" customWidth="1"/>
    <col min="12" max="12" width="14.59765625" style="121" customWidth="1"/>
    <col min="13" max="13" width="17.59765625" style="121" customWidth="1"/>
    <col min="14" max="16384" width="9" style="122"/>
  </cols>
  <sheetData>
    <row r="1" spans="1:13" ht="19.95" customHeight="1">
      <c r="A1" s="205" t="s">
        <v>40</v>
      </c>
      <c r="B1" s="205"/>
      <c r="C1" s="205"/>
      <c r="D1" s="205"/>
      <c r="E1" s="205"/>
      <c r="F1" s="205"/>
      <c r="G1" s="205"/>
      <c r="H1" s="205"/>
      <c r="I1" s="205"/>
      <c r="J1" s="145"/>
    </row>
    <row r="2" spans="1:13" ht="19.95" customHeight="1">
      <c r="A2" s="206" t="s">
        <v>41</v>
      </c>
      <c r="B2" s="207"/>
      <c r="C2" s="207"/>
      <c r="D2" s="207"/>
      <c r="E2" s="207"/>
      <c r="F2" s="207"/>
      <c r="G2" s="207"/>
      <c r="H2" s="207"/>
      <c r="I2" s="207"/>
      <c r="J2" s="36"/>
    </row>
    <row r="3" spans="1:13" ht="19.95" customHeight="1">
      <c r="A3" s="125" t="str">
        <f>底稿目录!A2</f>
        <v>被审计单位：</v>
      </c>
      <c r="B3" s="125"/>
      <c r="C3" s="126" t="str">
        <f>底稿目录!A4</f>
        <v>编制人：</v>
      </c>
      <c r="E3" s="125" t="str">
        <f>底稿目录!A5</f>
        <v>编制日期：</v>
      </c>
      <c r="F3" s="125"/>
      <c r="H3" s="125" t="s">
        <v>22</v>
      </c>
      <c r="I3" s="188" t="s">
        <v>7</v>
      </c>
      <c r="J3" s="146"/>
    </row>
    <row r="4" spans="1:13" ht="19.95" customHeight="1">
      <c r="A4" s="125" t="str">
        <f>底稿目录!A3</f>
        <v>截止日：202X年12月31日</v>
      </c>
      <c r="B4" s="125"/>
      <c r="C4" s="126" t="str">
        <f>底稿目录!A6</f>
        <v>复核人：</v>
      </c>
      <c r="E4" s="125" t="str">
        <f>底稿目录!A7</f>
        <v>复核日期：</v>
      </c>
      <c r="F4" s="125"/>
      <c r="H4" s="125" t="s">
        <v>23</v>
      </c>
      <c r="I4" s="125"/>
      <c r="J4" s="147"/>
    </row>
    <row r="5" spans="1:13" ht="19.95" customHeight="1">
      <c r="A5" s="127" t="s">
        <v>24</v>
      </c>
      <c r="B5" s="125"/>
      <c r="C5" s="125"/>
      <c r="D5" s="125"/>
      <c r="E5" s="125"/>
      <c r="F5" s="125"/>
      <c r="G5" s="125"/>
      <c r="H5" s="125"/>
      <c r="I5" s="125"/>
      <c r="J5" s="147"/>
    </row>
    <row r="6" spans="1:13" ht="19.95" customHeight="1">
      <c r="A6" s="128" t="s">
        <v>25</v>
      </c>
      <c r="B6" s="125"/>
      <c r="C6" s="125"/>
      <c r="D6" s="125"/>
      <c r="E6" s="125"/>
      <c r="F6" s="125"/>
      <c r="G6" s="125"/>
      <c r="H6" s="125"/>
      <c r="I6" s="125"/>
      <c r="J6" s="147"/>
    </row>
    <row r="7" spans="1:13" ht="19.95" customHeight="1">
      <c r="A7" s="129" t="s">
        <v>42</v>
      </c>
      <c r="B7" s="130"/>
      <c r="C7" s="125"/>
      <c r="D7" s="125"/>
      <c r="E7" s="125"/>
      <c r="F7" s="125"/>
      <c r="G7" s="125"/>
      <c r="H7" s="125"/>
      <c r="I7" s="125"/>
      <c r="J7" s="147"/>
      <c r="K7" s="148"/>
      <c r="L7" s="148"/>
    </row>
    <row r="8" spans="1:13" ht="19.95" customHeight="1">
      <c r="A8" s="208" t="s">
        <v>43</v>
      </c>
      <c r="B8" s="208"/>
      <c r="C8" s="208"/>
      <c r="D8" s="208"/>
      <c r="E8" s="208"/>
      <c r="F8" s="208"/>
      <c r="G8" s="209" t="s">
        <v>26</v>
      </c>
      <c r="H8" s="209"/>
      <c r="I8" s="209"/>
      <c r="J8" s="147"/>
      <c r="K8" s="148"/>
      <c r="L8" s="148"/>
    </row>
    <row r="9" spans="1:13" ht="19.95" customHeight="1">
      <c r="A9" s="204" t="s">
        <v>44</v>
      </c>
      <c r="B9" s="204"/>
      <c r="C9" s="204"/>
      <c r="D9" s="204"/>
      <c r="E9" s="204"/>
      <c r="F9" s="204"/>
      <c r="G9" s="191" t="s">
        <v>27</v>
      </c>
      <c r="H9" s="191"/>
      <c r="I9" s="191"/>
      <c r="J9" s="147"/>
      <c r="K9" s="148"/>
      <c r="L9" s="148"/>
    </row>
    <row r="10" spans="1:13" ht="19.95" customHeight="1">
      <c r="A10" s="204" t="s">
        <v>45</v>
      </c>
      <c r="B10" s="204"/>
      <c r="C10" s="204"/>
      <c r="D10" s="204"/>
      <c r="E10" s="204"/>
      <c r="F10" s="204"/>
      <c r="G10" s="191" t="s">
        <v>28</v>
      </c>
      <c r="H10" s="191"/>
      <c r="I10" s="191"/>
      <c r="J10" s="147"/>
      <c r="K10" s="148"/>
      <c r="L10" s="148"/>
    </row>
    <row r="11" spans="1:13" ht="19.95" customHeight="1">
      <c r="A11" s="204" t="s">
        <v>46</v>
      </c>
      <c r="B11" s="204"/>
      <c r="C11" s="204"/>
      <c r="D11" s="204"/>
      <c r="E11" s="204"/>
      <c r="F11" s="204"/>
      <c r="G11" s="191" t="s">
        <v>29</v>
      </c>
      <c r="H11" s="191"/>
      <c r="I11" s="191"/>
      <c r="J11" s="147"/>
      <c r="K11" s="148"/>
      <c r="L11" s="148"/>
    </row>
    <row r="12" spans="1:13" ht="19.95" customHeight="1">
      <c r="A12" s="204" t="s">
        <v>47</v>
      </c>
      <c r="B12" s="204"/>
      <c r="C12" s="204"/>
      <c r="D12" s="204"/>
      <c r="E12" s="204"/>
      <c r="F12" s="204"/>
      <c r="G12" s="191" t="s">
        <v>48</v>
      </c>
      <c r="H12" s="191"/>
      <c r="I12" s="191"/>
      <c r="J12" s="147"/>
      <c r="K12" s="148"/>
      <c r="L12" s="148"/>
    </row>
    <row r="13" spans="1:13" ht="19.95" customHeight="1">
      <c r="A13" s="204" t="s">
        <v>49</v>
      </c>
      <c r="B13" s="204"/>
      <c r="C13" s="204"/>
      <c r="D13" s="204"/>
      <c r="E13" s="204"/>
      <c r="F13" s="204"/>
      <c r="G13" s="191" t="s">
        <v>50</v>
      </c>
      <c r="H13" s="191"/>
      <c r="I13" s="191"/>
      <c r="J13" s="147"/>
      <c r="K13" s="148"/>
      <c r="L13" s="148"/>
    </row>
    <row r="14" spans="1:13" ht="19.95" customHeight="1">
      <c r="A14" s="131" t="s">
        <v>30</v>
      </c>
      <c r="J14" s="147"/>
      <c r="K14" s="148"/>
      <c r="L14" s="148"/>
    </row>
    <row r="15" spans="1:13" s="120" customFormat="1" ht="19.95" customHeight="1">
      <c r="A15" s="197" t="s">
        <v>31</v>
      </c>
      <c r="B15" s="199" t="s">
        <v>205</v>
      </c>
      <c r="C15" s="200" t="s">
        <v>32</v>
      </c>
      <c r="D15" s="192" t="s">
        <v>51</v>
      </c>
      <c r="E15" s="193"/>
      <c r="F15" s="193"/>
      <c r="G15" s="193"/>
      <c r="H15" s="194"/>
      <c r="I15" s="202" t="s">
        <v>52</v>
      </c>
      <c r="J15" s="147"/>
      <c r="K15" s="148"/>
      <c r="L15" s="148"/>
      <c r="M15" s="121"/>
    </row>
    <row r="16" spans="1:13" s="120" customFormat="1" ht="34.049999999999997" customHeight="1">
      <c r="A16" s="198"/>
      <c r="B16" s="199"/>
      <c r="C16" s="201"/>
      <c r="D16" s="132" t="s">
        <v>53</v>
      </c>
      <c r="E16" s="132" t="s">
        <v>54</v>
      </c>
      <c r="F16" s="132" t="s">
        <v>55</v>
      </c>
      <c r="G16" s="132" t="s">
        <v>56</v>
      </c>
      <c r="H16" s="132" t="s">
        <v>57</v>
      </c>
      <c r="I16" s="203"/>
      <c r="J16" s="168" t="s">
        <v>204</v>
      </c>
      <c r="K16" s="148"/>
      <c r="L16" s="148"/>
      <c r="M16" s="121"/>
    </row>
    <row r="17" spans="1:17" ht="39" customHeight="1">
      <c r="A17" s="133" t="s">
        <v>33</v>
      </c>
      <c r="B17" s="134" t="s">
        <v>58</v>
      </c>
      <c r="C17" s="135" t="s">
        <v>59</v>
      </c>
      <c r="D17" s="136" t="s">
        <v>60</v>
      </c>
      <c r="E17" s="136" t="s">
        <v>60</v>
      </c>
      <c r="F17" s="136"/>
      <c r="G17" s="137" t="s">
        <v>61</v>
      </c>
      <c r="H17" s="136"/>
      <c r="I17" s="138" t="s">
        <v>62</v>
      </c>
      <c r="J17" s="147"/>
      <c r="K17" s="148"/>
      <c r="L17" s="148"/>
    </row>
    <row r="18" spans="1:17" ht="52.5" customHeight="1">
      <c r="A18" s="133" t="s">
        <v>34</v>
      </c>
      <c r="B18" s="134" t="s">
        <v>63</v>
      </c>
      <c r="C18" s="138" t="s">
        <v>59</v>
      </c>
      <c r="D18" s="139"/>
      <c r="E18" s="140" t="s">
        <v>64</v>
      </c>
      <c r="F18" s="139"/>
      <c r="G18" s="141" t="s">
        <v>64</v>
      </c>
      <c r="H18" s="136"/>
      <c r="I18" s="149" t="s">
        <v>35</v>
      </c>
      <c r="J18" s="195" t="s">
        <v>65</v>
      </c>
      <c r="K18" s="196"/>
      <c r="L18" s="196"/>
      <c r="M18" s="196"/>
      <c r="N18" s="196"/>
      <c r="O18" s="196"/>
      <c r="P18" s="196"/>
      <c r="Q18" s="196"/>
    </row>
    <row r="19" spans="1:17" ht="49.8" customHeight="1">
      <c r="A19" s="133" t="s">
        <v>37</v>
      </c>
      <c r="B19" s="142" t="s">
        <v>66</v>
      </c>
      <c r="C19" s="138" t="s">
        <v>36</v>
      </c>
      <c r="D19" s="141" t="s">
        <v>64</v>
      </c>
      <c r="E19" s="140" t="s">
        <v>64</v>
      </c>
      <c r="F19" s="141" t="s">
        <v>64</v>
      </c>
      <c r="G19" s="141" t="s">
        <v>64</v>
      </c>
      <c r="H19" s="136"/>
      <c r="I19" s="138"/>
      <c r="J19" s="195" t="s">
        <v>67</v>
      </c>
      <c r="K19" s="196"/>
      <c r="L19" s="196"/>
      <c r="M19" s="196"/>
      <c r="N19" s="196"/>
      <c r="O19" s="196"/>
      <c r="P19" s="196"/>
      <c r="Q19" s="196"/>
    </row>
    <row r="20" spans="1:17" ht="90.6" customHeight="1">
      <c r="A20" s="133" t="s">
        <v>38</v>
      </c>
      <c r="B20" s="143" t="s">
        <v>68</v>
      </c>
      <c r="C20" s="138" t="s">
        <v>59</v>
      </c>
      <c r="D20" s="144" t="s">
        <v>61</v>
      </c>
      <c r="E20" s="138" t="s">
        <v>60</v>
      </c>
      <c r="F20" s="144" t="s">
        <v>61</v>
      </c>
      <c r="G20" s="138" t="s">
        <v>60</v>
      </c>
      <c r="H20" s="138"/>
      <c r="I20" s="138" t="s">
        <v>69</v>
      </c>
      <c r="J20" s="147"/>
      <c r="K20" s="148"/>
      <c r="L20" s="148"/>
    </row>
    <row r="21" spans="1:17" s="121" customFormat="1" ht="34.799999999999997" customHeight="1">
      <c r="A21" s="133" t="s">
        <v>39</v>
      </c>
      <c r="B21" s="142" t="s">
        <v>70</v>
      </c>
      <c r="C21" s="138" t="s">
        <v>59</v>
      </c>
      <c r="D21" s="138"/>
      <c r="E21" s="138" t="s">
        <v>60</v>
      </c>
      <c r="F21" s="138"/>
      <c r="G21" s="138"/>
      <c r="H21" s="138" t="s">
        <v>60</v>
      </c>
      <c r="I21" s="150" t="s">
        <v>71</v>
      </c>
      <c r="J21" s="147"/>
      <c r="K21" s="148"/>
      <c r="L21" s="148"/>
    </row>
    <row r="22" spans="1:17">
      <c r="J22" s="147"/>
      <c r="K22" s="148"/>
      <c r="L22" s="148"/>
    </row>
    <row r="23" spans="1:17">
      <c r="J23" s="147"/>
      <c r="K23" s="148"/>
      <c r="L23" s="148"/>
    </row>
  </sheetData>
  <mergeCells count="21">
    <mergeCell ref="A10:F10"/>
    <mergeCell ref="A11:F11"/>
    <mergeCell ref="A12:F12"/>
    <mergeCell ref="A1:I1"/>
    <mergeCell ref="A2:I2"/>
    <mergeCell ref="A8:F8"/>
    <mergeCell ref="A9:F9"/>
    <mergeCell ref="G8:I8"/>
    <mergeCell ref="G9:I9"/>
    <mergeCell ref="G10:I10"/>
    <mergeCell ref="G11:I11"/>
    <mergeCell ref="G12:I12"/>
    <mergeCell ref="G13:I13"/>
    <mergeCell ref="D15:H15"/>
    <mergeCell ref="J18:Q18"/>
    <mergeCell ref="J19:Q19"/>
    <mergeCell ref="A15:A16"/>
    <mergeCell ref="B15:B16"/>
    <mergeCell ref="C15:C16"/>
    <mergeCell ref="I15:I16"/>
    <mergeCell ref="A13:F13"/>
  </mergeCells>
  <phoneticPr fontId="77" type="noConversion"/>
  <hyperlinks>
    <hyperlink ref="I3" location="底稿目录!A1" display="L6A"/>
  </hyperlinks>
  <printOptions horizontalCentered="1"/>
  <pageMargins left="0.70866141732283472" right="0.70866141732283472" top="0.74803149606299213" bottom="0.74803149606299213" header="0.31496062992125984" footer="0.31496062992125984"/>
  <pageSetup paperSize="9" scale="70" fitToWidth="0" fitToHeight="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L30"/>
  <sheetViews>
    <sheetView view="pageBreakPreview" zoomScaleNormal="100" workbookViewId="0">
      <selection sqref="A1:K1"/>
    </sheetView>
  </sheetViews>
  <sheetFormatPr defaultColWidth="9" defaultRowHeight="15.6"/>
  <cols>
    <col min="1" max="1" width="17" style="109" customWidth="1"/>
    <col min="2" max="2" width="10.09765625" style="109" customWidth="1"/>
    <col min="3" max="3" width="9.59765625" style="109" customWidth="1"/>
    <col min="4" max="4" width="10.09765625" style="109" customWidth="1"/>
    <col min="5" max="5" width="8.59765625" style="109" customWidth="1"/>
    <col min="6" max="6" width="9.09765625" style="109" customWidth="1"/>
    <col min="7" max="7" width="10.09765625" style="109" customWidth="1"/>
    <col min="8" max="8" width="9.796875" style="109" customWidth="1"/>
    <col min="9" max="9" width="10" style="109" customWidth="1"/>
    <col min="10" max="16384" width="9" style="109"/>
  </cols>
  <sheetData>
    <row r="1" spans="1:12" s="107" customFormat="1" ht="19.95" customHeight="1">
      <c r="A1" s="210" t="s">
        <v>40</v>
      </c>
      <c r="B1" s="210"/>
      <c r="C1" s="210"/>
      <c r="D1" s="210"/>
      <c r="E1" s="210"/>
      <c r="F1" s="210"/>
      <c r="G1" s="210"/>
      <c r="H1" s="210"/>
      <c r="I1" s="210"/>
      <c r="J1" s="210"/>
      <c r="K1" s="210"/>
    </row>
    <row r="2" spans="1:12" s="107" customFormat="1" ht="19.95" customHeight="1">
      <c r="A2" s="211" t="s">
        <v>72</v>
      </c>
      <c r="B2" s="211"/>
      <c r="C2" s="211"/>
      <c r="D2" s="211"/>
      <c r="E2" s="211"/>
      <c r="F2" s="211"/>
      <c r="G2" s="211"/>
      <c r="H2" s="211"/>
      <c r="I2" s="211"/>
      <c r="J2" s="211"/>
      <c r="K2" s="211"/>
      <c r="L2" s="36"/>
    </row>
    <row r="3" spans="1:12" s="108" customFormat="1" ht="19.95" customHeight="1">
      <c r="A3" s="2" t="str">
        <f>底稿目录!A2</f>
        <v>被审计单位：</v>
      </c>
      <c r="B3" s="2"/>
      <c r="C3" s="2"/>
      <c r="E3" s="2" t="str">
        <f>底稿目录!A4</f>
        <v>编制人：</v>
      </c>
      <c r="F3" s="2"/>
      <c r="H3" s="28" t="str">
        <f>底稿目录!A5</f>
        <v>编制日期：</v>
      </c>
      <c r="J3" s="78" t="s">
        <v>22</v>
      </c>
      <c r="K3" s="188" t="str">
        <f>底稿目录!F5</f>
        <v>L6-1</v>
      </c>
    </row>
    <row r="4" spans="1:12" s="108" customFormat="1" ht="19.95" customHeight="1">
      <c r="A4" s="2" t="str">
        <f>底稿目录!A3</f>
        <v>截止日：202X年12月31日</v>
      </c>
      <c r="B4" s="2"/>
      <c r="C4" s="2"/>
      <c r="E4" s="2" t="str">
        <f>底稿目录!A6</f>
        <v>复核人：</v>
      </c>
      <c r="F4" s="2"/>
      <c r="H4" s="28" t="str">
        <f>底稿目录!A7</f>
        <v>复核日期：</v>
      </c>
      <c r="J4" s="78" t="s">
        <v>74</v>
      </c>
      <c r="K4" s="2"/>
    </row>
    <row r="5" spans="1:12" s="108" customFormat="1" ht="19.95" customHeight="1">
      <c r="A5" s="217" t="s">
        <v>75</v>
      </c>
      <c r="B5" s="212" t="s">
        <v>76</v>
      </c>
      <c r="C5" s="213"/>
      <c r="D5" s="213"/>
      <c r="E5" s="214"/>
      <c r="F5" s="212" t="s">
        <v>77</v>
      </c>
      <c r="G5" s="213"/>
      <c r="H5" s="213"/>
      <c r="I5" s="214"/>
      <c r="J5" s="215" t="s">
        <v>78</v>
      </c>
      <c r="K5" s="216"/>
    </row>
    <row r="6" spans="1:12" s="108" customFormat="1" ht="19.95" customHeight="1">
      <c r="A6" s="217"/>
      <c r="B6" s="110" t="s">
        <v>79</v>
      </c>
      <c r="C6" s="110" t="s">
        <v>80</v>
      </c>
      <c r="D6" s="110" t="s">
        <v>81</v>
      </c>
      <c r="E6" s="110" t="s">
        <v>82</v>
      </c>
      <c r="F6" s="110" t="s">
        <v>79</v>
      </c>
      <c r="G6" s="110" t="s">
        <v>80</v>
      </c>
      <c r="H6" s="110" t="s">
        <v>81</v>
      </c>
      <c r="I6" s="110" t="s">
        <v>82</v>
      </c>
      <c r="J6" s="118" t="s">
        <v>83</v>
      </c>
      <c r="K6" s="117" t="s">
        <v>84</v>
      </c>
    </row>
    <row r="7" spans="1:12" s="108" customFormat="1" ht="19.95" customHeight="1">
      <c r="A7" s="111">
        <f>'明细表L6-2'!B10</f>
        <v>0</v>
      </c>
      <c r="B7" s="70">
        <f>'明细表L6-2'!C10</f>
        <v>0</v>
      </c>
      <c r="C7" s="70">
        <f>'明细表L6-2'!H10</f>
        <v>0</v>
      </c>
      <c r="D7" s="70">
        <f>'明细表L6-2'!I10</f>
        <v>0</v>
      </c>
      <c r="E7" s="70">
        <f>B7+C7+D7</f>
        <v>0</v>
      </c>
      <c r="F7" s="70">
        <f>'明细表L6-2'!G10</f>
        <v>0</v>
      </c>
      <c r="G7" s="70">
        <f>'明细表L6-2'!H10+'明细表L6-2'!J10-'明细表L6-2'!K10-'明细表L6-2'!L10</f>
        <v>0</v>
      </c>
      <c r="H7" s="70">
        <f>'明细表L6-2'!I10+'明细表L6-2'!M10-'明细表L6-2'!N10-'明细表L6-2'!O10</f>
        <v>0</v>
      </c>
      <c r="I7" s="70">
        <f>F7+G7+H7</f>
        <v>0</v>
      </c>
      <c r="J7" s="70">
        <f>I7-E7</f>
        <v>0</v>
      </c>
      <c r="K7" s="119">
        <f t="shared" ref="K7:K17" si="0">IF(AND(E7=0,J7=0),0,IF(AND(E7=0,J7&gt;0),1,J7/E7))</f>
        <v>0</v>
      </c>
    </row>
    <row r="8" spans="1:12" s="108" customFormat="1" ht="19.95" customHeight="1">
      <c r="A8" s="111">
        <f>'明细表L6-2'!B11</f>
        <v>0</v>
      </c>
      <c r="B8" s="70">
        <f>'明细表L6-2'!C11</f>
        <v>0</v>
      </c>
      <c r="C8" s="70">
        <f>'明细表L6-2'!H11</f>
        <v>0</v>
      </c>
      <c r="D8" s="70">
        <f>'明细表L6-2'!I11</f>
        <v>0</v>
      </c>
      <c r="E8" s="70">
        <f t="shared" ref="E8:E16" si="1">B8+C8+D8</f>
        <v>0</v>
      </c>
      <c r="F8" s="70">
        <f>'明细表L6-2'!G11</f>
        <v>0</v>
      </c>
      <c r="G8" s="70">
        <f>'明细表L6-2'!H11+'明细表L6-2'!J11-'明细表L6-2'!K11-'明细表L6-2'!L11</f>
        <v>0</v>
      </c>
      <c r="H8" s="70">
        <f>'明细表L6-2'!I11+'明细表L6-2'!M11-'明细表L6-2'!N11-'明细表L6-2'!O11</f>
        <v>0</v>
      </c>
      <c r="I8" s="70">
        <f t="shared" ref="I8:I16" si="2">F8+G8+H8</f>
        <v>0</v>
      </c>
      <c r="J8" s="70">
        <f>I8-E8</f>
        <v>0</v>
      </c>
      <c r="K8" s="119">
        <f t="shared" si="0"/>
        <v>0</v>
      </c>
    </row>
    <row r="9" spans="1:12" s="108" customFormat="1" ht="19.95" customHeight="1">
      <c r="A9" s="111">
        <f>'明细表L6-2'!B12</f>
        <v>0</v>
      </c>
      <c r="B9" s="70">
        <f>'明细表L6-2'!C12</f>
        <v>0</v>
      </c>
      <c r="C9" s="70">
        <f>'明细表L6-2'!H12</f>
        <v>0</v>
      </c>
      <c r="D9" s="70">
        <f>'明细表L6-2'!I12</f>
        <v>0</v>
      </c>
      <c r="E9" s="70">
        <f t="shared" si="1"/>
        <v>0</v>
      </c>
      <c r="F9" s="70">
        <f>'明细表L6-2'!G12</f>
        <v>0</v>
      </c>
      <c r="G9" s="70">
        <f>'明细表L6-2'!H12+'明细表L6-2'!J12-'明细表L6-2'!K12-'明细表L6-2'!L12</f>
        <v>0</v>
      </c>
      <c r="H9" s="70">
        <f>'明细表L6-2'!I12+'明细表L6-2'!M12-'明细表L6-2'!N12-'明细表L6-2'!O12</f>
        <v>0</v>
      </c>
      <c r="I9" s="70">
        <f t="shared" si="2"/>
        <v>0</v>
      </c>
      <c r="J9" s="70">
        <f>I9-E9</f>
        <v>0</v>
      </c>
      <c r="K9" s="119">
        <f t="shared" si="0"/>
        <v>0</v>
      </c>
    </row>
    <row r="10" spans="1:12" s="108" customFormat="1" ht="19.95" customHeight="1">
      <c r="A10" s="111">
        <f>'明细表L6-2'!B13</f>
        <v>0</v>
      </c>
      <c r="B10" s="70">
        <f>'明细表L6-2'!C13</f>
        <v>0</v>
      </c>
      <c r="C10" s="70">
        <f>'明细表L6-2'!H13</f>
        <v>0</v>
      </c>
      <c r="D10" s="70">
        <f>'明细表L6-2'!I13</f>
        <v>0</v>
      </c>
      <c r="E10" s="70">
        <f t="shared" si="1"/>
        <v>0</v>
      </c>
      <c r="F10" s="70">
        <f>'明细表L6-2'!G13</f>
        <v>0</v>
      </c>
      <c r="G10" s="70">
        <f>'明细表L6-2'!H13+'明细表L6-2'!J13-'明细表L6-2'!K13-'明细表L6-2'!L13</f>
        <v>0</v>
      </c>
      <c r="H10" s="70">
        <f>'明细表L6-2'!I13+'明细表L6-2'!M13-'明细表L6-2'!N13-'明细表L6-2'!O13</f>
        <v>0</v>
      </c>
      <c r="I10" s="70">
        <f t="shared" si="2"/>
        <v>0</v>
      </c>
      <c r="J10" s="70">
        <f>I10-E10</f>
        <v>0</v>
      </c>
      <c r="K10" s="119">
        <f t="shared" si="0"/>
        <v>0</v>
      </c>
    </row>
    <row r="11" spans="1:12" s="108" customFormat="1" ht="19.95" customHeight="1">
      <c r="A11" s="111">
        <f>'明细表L6-2'!B14</f>
        <v>0</v>
      </c>
      <c r="B11" s="70">
        <f>'明细表L6-2'!C14</f>
        <v>0</v>
      </c>
      <c r="C11" s="70">
        <f>'明细表L6-2'!H14</f>
        <v>0</v>
      </c>
      <c r="D11" s="70">
        <f>'明细表L6-2'!I14</f>
        <v>0</v>
      </c>
      <c r="E11" s="70">
        <f t="shared" si="1"/>
        <v>0</v>
      </c>
      <c r="F11" s="70">
        <f>'明细表L6-2'!G14</f>
        <v>0</v>
      </c>
      <c r="G11" s="70">
        <f>'明细表L6-2'!H14+'明细表L6-2'!J14-'明细表L6-2'!K14-'明细表L6-2'!L14</f>
        <v>0</v>
      </c>
      <c r="H11" s="70">
        <f>'明细表L6-2'!I14+'明细表L6-2'!M14-'明细表L6-2'!N14-'明细表L6-2'!O14</f>
        <v>0</v>
      </c>
      <c r="I11" s="70">
        <f t="shared" si="2"/>
        <v>0</v>
      </c>
      <c r="J11" s="70">
        <f>I11-E11</f>
        <v>0</v>
      </c>
      <c r="K11" s="119">
        <f t="shared" si="0"/>
        <v>0</v>
      </c>
    </row>
    <row r="12" spans="1:12" s="108" customFormat="1" ht="19.95" customHeight="1">
      <c r="A12" s="111">
        <f>'明细表L6-2'!B15</f>
        <v>0</v>
      </c>
      <c r="B12" s="70">
        <f>'明细表L6-2'!C15</f>
        <v>0</v>
      </c>
      <c r="C12" s="70">
        <f>'明细表L6-2'!H15</f>
        <v>0</v>
      </c>
      <c r="D12" s="70">
        <f>'明细表L6-2'!I15</f>
        <v>0</v>
      </c>
      <c r="E12" s="70">
        <f t="shared" si="1"/>
        <v>0</v>
      </c>
      <c r="F12" s="70">
        <f>'明细表L6-2'!G15</f>
        <v>0</v>
      </c>
      <c r="G12" s="70">
        <f>'明细表L6-2'!H15+'明细表L6-2'!J15-'明细表L6-2'!K15-'明细表L6-2'!L15</f>
        <v>0</v>
      </c>
      <c r="H12" s="70">
        <f>'明细表L6-2'!I15+'明细表L6-2'!M15-'明细表L6-2'!N15-'明细表L6-2'!O15</f>
        <v>0</v>
      </c>
      <c r="I12" s="70">
        <f t="shared" si="2"/>
        <v>0</v>
      </c>
      <c r="J12" s="70">
        <f t="shared" ref="J12:J16" si="3">I12-E12</f>
        <v>0</v>
      </c>
      <c r="K12" s="119">
        <f t="shared" si="0"/>
        <v>0</v>
      </c>
    </row>
    <row r="13" spans="1:12" s="108" customFormat="1" ht="19.95" customHeight="1">
      <c r="A13" s="111">
        <f>'明细表L6-2'!B16</f>
        <v>0</v>
      </c>
      <c r="B13" s="70">
        <f>'明细表L6-2'!C16</f>
        <v>0</v>
      </c>
      <c r="C13" s="70">
        <f>'明细表L6-2'!H16</f>
        <v>0</v>
      </c>
      <c r="D13" s="70">
        <f>'明细表L6-2'!I16</f>
        <v>0</v>
      </c>
      <c r="E13" s="70">
        <f t="shared" si="1"/>
        <v>0</v>
      </c>
      <c r="F13" s="70">
        <f>'明细表L6-2'!G16</f>
        <v>0</v>
      </c>
      <c r="G13" s="70">
        <f>'明细表L6-2'!H16+'明细表L6-2'!J16-'明细表L6-2'!K16-'明细表L6-2'!L16</f>
        <v>0</v>
      </c>
      <c r="H13" s="70">
        <f>'明细表L6-2'!I16+'明细表L6-2'!M16-'明细表L6-2'!N16-'明细表L6-2'!O16</f>
        <v>0</v>
      </c>
      <c r="I13" s="70">
        <f t="shared" si="2"/>
        <v>0</v>
      </c>
      <c r="J13" s="70">
        <f t="shared" si="3"/>
        <v>0</v>
      </c>
      <c r="K13" s="119">
        <f t="shared" si="0"/>
        <v>0</v>
      </c>
    </row>
    <row r="14" spans="1:12" s="108" customFormat="1" ht="19.95" customHeight="1">
      <c r="A14" s="111">
        <f>'明细表L6-2'!B17</f>
        <v>0</v>
      </c>
      <c r="B14" s="70">
        <f>'明细表L6-2'!C17</f>
        <v>0</v>
      </c>
      <c r="C14" s="70">
        <f>'明细表L6-2'!H17</f>
        <v>0</v>
      </c>
      <c r="D14" s="70">
        <f>'明细表L6-2'!I17</f>
        <v>0</v>
      </c>
      <c r="E14" s="70">
        <f t="shared" si="1"/>
        <v>0</v>
      </c>
      <c r="F14" s="70">
        <f>'明细表L6-2'!G17</f>
        <v>0</v>
      </c>
      <c r="G14" s="70">
        <f>'明细表L6-2'!H17+'明细表L6-2'!J17-'明细表L6-2'!K17-'明细表L6-2'!L17</f>
        <v>0</v>
      </c>
      <c r="H14" s="70">
        <f>'明细表L6-2'!I17+'明细表L6-2'!M17-'明细表L6-2'!N17-'明细表L6-2'!O17</f>
        <v>0</v>
      </c>
      <c r="I14" s="70">
        <f t="shared" si="2"/>
        <v>0</v>
      </c>
      <c r="J14" s="70">
        <f t="shared" si="3"/>
        <v>0</v>
      </c>
      <c r="K14" s="119">
        <f t="shared" si="0"/>
        <v>0</v>
      </c>
    </row>
    <row r="15" spans="1:12" s="108" customFormat="1" ht="19.95" customHeight="1">
      <c r="A15" s="111">
        <f>'明细表L6-2'!B18</f>
        <v>0</v>
      </c>
      <c r="B15" s="70">
        <f>'明细表L6-2'!C18</f>
        <v>0</v>
      </c>
      <c r="C15" s="70">
        <f>'明细表L6-2'!H18</f>
        <v>0</v>
      </c>
      <c r="D15" s="70">
        <f>'明细表L6-2'!I18</f>
        <v>0</v>
      </c>
      <c r="E15" s="70">
        <f t="shared" si="1"/>
        <v>0</v>
      </c>
      <c r="F15" s="70">
        <f>'明细表L6-2'!G18</f>
        <v>0</v>
      </c>
      <c r="G15" s="70">
        <f>'明细表L6-2'!H18+'明细表L6-2'!J18-'明细表L6-2'!K18-'明细表L6-2'!L18</f>
        <v>0</v>
      </c>
      <c r="H15" s="70">
        <f>'明细表L6-2'!I18+'明细表L6-2'!M18-'明细表L6-2'!N18-'明细表L6-2'!O18</f>
        <v>0</v>
      </c>
      <c r="I15" s="70">
        <f t="shared" si="2"/>
        <v>0</v>
      </c>
      <c r="J15" s="70">
        <f t="shared" si="3"/>
        <v>0</v>
      </c>
      <c r="K15" s="119">
        <f t="shared" si="0"/>
        <v>0</v>
      </c>
    </row>
    <row r="16" spans="1:12" s="108" customFormat="1" ht="19.95" customHeight="1">
      <c r="A16" s="111">
        <f>'明细表L6-2'!B19</f>
        <v>0</v>
      </c>
      <c r="B16" s="70">
        <f>'明细表L6-2'!C19</f>
        <v>0</v>
      </c>
      <c r="C16" s="70">
        <f>'明细表L6-2'!H19</f>
        <v>0</v>
      </c>
      <c r="D16" s="70">
        <f>'明细表L6-2'!I19</f>
        <v>0</v>
      </c>
      <c r="E16" s="70">
        <f t="shared" si="1"/>
        <v>0</v>
      </c>
      <c r="F16" s="70">
        <f>'明细表L6-2'!G19</f>
        <v>0</v>
      </c>
      <c r="G16" s="70">
        <f>'明细表L6-2'!H19+'明细表L6-2'!J19-'明细表L6-2'!K19-'明细表L6-2'!L19</f>
        <v>0</v>
      </c>
      <c r="H16" s="70">
        <f>'明细表L6-2'!I19+'明细表L6-2'!M19-'明细表L6-2'!N19-'明细表L6-2'!O19</f>
        <v>0</v>
      </c>
      <c r="I16" s="70">
        <f t="shared" si="2"/>
        <v>0</v>
      </c>
      <c r="J16" s="70">
        <f t="shared" si="3"/>
        <v>0</v>
      </c>
      <c r="K16" s="119">
        <f t="shared" si="0"/>
        <v>0</v>
      </c>
    </row>
    <row r="17" spans="1:11" s="176" customFormat="1" ht="19.95" customHeight="1">
      <c r="A17" s="173" t="s">
        <v>85</v>
      </c>
      <c r="B17" s="174">
        <f>SUM(B7:B16)</f>
        <v>0</v>
      </c>
      <c r="C17" s="174">
        <f t="shared" ref="C17:J17" si="4">SUM(C7:C16)</f>
        <v>0</v>
      </c>
      <c r="D17" s="174">
        <f t="shared" si="4"/>
        <v>0</v>
      </c>
      <c r="E17" s="174">
        <f t="shared" si="4"/>
        <v>0</v>
      </c>
      <c r="F17" s="174">
        <f t="shared" si="4"/>
        <v>0</v>
      </c>
      <c r="G17" s="174">
        <f t="shared" si="4"/>
        <v>0</v>
      </c>
      <c r="H17" s="174">
        <f t="shared" si="4"/>
        <v>0</v>
      </c>
      <c r="I17" s="174">
        <f t="shared" si="4"/>
        <v>0</v>
      </c>
      <c r="J17" s="174">
        <f t="shared" si="4"/>
        <v>0</v>
      </c>
      <c r="K17" s="175">
        <f t="shared" si="0"/>
        <v>0</v>
      </c>
    </row>
    <row r="18" spans="1:11" s="108" customFormat="1" ht="19.95" customHeight="1">
      <c r="A18" s="74" t="s">
        <v>86</v>
      </c>
      <c r="B18" s="2"/>
      <c r="C18" s="2"/>
      <c r="D18" s="2"/>
      <c r="E18" s="2"/>
      <c r="F18" s="2"/>
      <c r="G18" s="2"/>
      <c r="H18" s="2"/>
      <c r="I18" s="78"/>
    </row>
    <row r="19" spans="1:11" s="108" customFormat="1" ht="19.95" customHeight="1">
      <c r="A19" s="112" t="s">
        <v>87</v>
      </c>
      <c r="B19" s="112"/>
      <c r="C19" s="65"/>
      <c r="D19" s="65"/>
      <c r="E19" s="2"/>
      <c r="F19" s="2"/>
      <c r="G19" s="2"/>
      <c r="H19" s="2"/>
      <c r="I19" s="78"/>
    </row>
    <row r="20" spans="1:11" s="108" customFormat="1" ht="19.95" customHeight="1">
      <c r="A20" s="112" t="s">
        <v>88</v>
      </c>
      <c r="B20" s="112"/>
      <c r="C20" s="112"/>
      <c r="D20" s="112"/>
      <c r="E20" s="2"/>
      <c r="F20" s="2"/>
      <c r="G20" s="2"/>
      <c r="H20" s="2"/>
      <c r="I20" s="78"/>
    </row>
    <row r="21" spans="1:11" s="108" customFormat="1" ht="19.95" customHeight="1">
      <c r="A21" s="112"/>
      <c r="B21" s="112"/>
      <c r="C21" s="112"/>
      <c r="D21" s="112"/>
      <c r="E21" s="2"/>
      <c r="F21" s="2"/>
      <c r="G21" s="2"/>
      <c r="H21" s="2"/>
      <c r="I21" s="78"/>
    </row>
    <row r="22" spans="1:11" s="108" customFormat="1" ht="19.95" customHeight="1">
      <c r="A22" s="112" t="s">
        <v>89</v>
      </c>
      <c r="B22" s="112"/>
      <c r="C22" s="112"/>
      <c r="D22" s="112"/>
      <c r="E22" s="2"/>
      <c r="F22" s="2"/>
      <c r="G22" s="2"/>
      <c r="H22" s="2"/>
      <c r="I22" s="78"/>
    </row>
    <row r="23" spans="1:11" s="108" customFormat="1" ht="19.95" customHeight="1">
      <c r="A23" s="113"/>
      <c r="B23" s="114" t="s">
        <v>90</v>
      </c>
      <c r="C23" s="114" t="s">
        <v>91</v>
      </c>
      <c r="D23" s="112"/>
      <c r="E23" s="2"/>
      <c r="F23" s="2"/>
      <c r="G23" s="2"/>
      <c r="H23" s="2"/>
      <c r="I23" s="78"/>
    </row>
    <row r="24" spans="1:11" s="108" customFormat="1" ht="19.95" customHeight="1">
      <c r="A24" s="113" t="s">
        <v>92</v>
      </c>
      <c r="B24" s="115"/>
      <c r="C24" s="115"/>
      <c r="D24" s="112"/>
      <c r="E24" s="2"/>
      <c r="F24" s="2"/>
      <c r="G24" s="2"/>
      <c r="H24" s="2"/>
      <c r="I24" s="78"/>
    </row>
    <row r="25" spans="1:11" s="108" customFormat="1" ht="19.95" customHeight="1">
      <c r="A25" s="113" t="s">
        <v>93</v>
      </c>
      <c r="B25" s="115">
        <f>I17</f>
        <v>0</v>
      </c>
      <c r="C25" s="115">
        <f>E17</f>
        <v>0</v>
      </c>
      <c r="D25" s="112"/>
      <c r="E25" s="2"/>
      <c r="F25" s="2"/>
      <c r="G25" s="2"/>
      <c r="H25" s="2"/>
      <c r="I25" s="78"/>
    </row>
    <row r="26" spans="1:11" s="108" customFormat="1" ht="19.95" customHeight="1">
      <c r="A26" s="113" t="s">
        <v>94</v>
      </c>
      <c r="B26" s="115">
        <f>B24+B25</f>
        <v>0</v>
      </c>
      <c r="C26" s="115">
        <f>C24+C25</f>
        <v>0</v>
      </c>
      <c r="D26" s="112"/>
      <c r="E26" s="2"/>
      <c r="F26" s="2"/>
      <c r="G26" s="2"/>
      <c r="H26" s="2"/>
      <c r="I26" s="78"/>
    </row>
    <row r="27" spans="1:11" s="108" customFormat="1" ht="19.95" customHeight="1">
      <c r="A27" s="113" t="s">
        <v>95</v>
      </c>
      <c r="B27" s="115"/>
      <c r="C27" s="115"/>
      <c r="D27" s="112"/>
      <c r="E27" s="2"/>
      <c r="F27" s="2"/>
      <c r="G27" s="2"/>
      <c r="H27" s="2"/>
      <c r="I27" s="78"/>
    </row>
    <row r="28" spans="1:11" s="108" customFormat="1" ht="19.95" customHeight="1">
      <c r="A28" s="113" t="s">
        <v>96</v>
      </c>
      <c r="B28" s="115">
        <f>B26-B27</f>
        <v>0</v>
      </c>
      <c r="C28" s="115">
        <f>C26-C27</f>
        <v>0</v>
      </c>
      <c r="D28" s="112"/>
      <c r="E28" s="2"/>
      <c r="F28" s="2"/>
      <c r="G28" s="2"/>
      <c r="H28" s="2"/>
      <c r="I28" s="78"/>
    </row>
    <row r="29" spans="1:11" s="108" customFormat="1" ht="19.95" customHeight="1">
      <c r="A29" s="74"/>
      <c r="B29" s="2"/>
      <c r="C29" s="2"/>
      <c r="D29" s="112"/>
      <c r="E29" s="2"/>
      <c r="F29" s="2"/>
      <c r="G29" s="2"/>
      <c r="H29" s="2"/>
      <c r="I29" s="78"/>
    </row>
    <row r="30" spans="1:11" s="108" customFormat="1" ht="19.95" customHeight="1">
      <c r="A30" s="116" t="s">
        <v>97</v>
      </c>
    </row>
  </sheetData>
  <mergeCells count="6">
    <mergeCell ref="A1:K1"/>
    <mergeCell ref="A2:K2"/>
    <mergeCell ref="B5:E5"/>
    <mergeCell ref="F5:I5"/>
    <mergeCell ref="J5:K5"/>
    <mergeCell ref="A5:A6"/>
  </mergeCells>
  <phoneticPr fontId="77" type="noConversion"/>
  <hyperlinks>
    <hyperlink ref="K3" location="底稿目录!A1" display="=底稿目录!F5"/>
  </hyperlinks>
  <printOptions horizontalCentered="1"/>
  <pageMargins left="0.70866141732283505" right="0.70866141732283505" top="0.74803149606299202" bottom="0.74803149606299202" header="0.31496062992126" footer="0.31496062992126"/>
  <pageSetup paperSize="9" scale="86"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21"/>
  <sheetViews>
    <sheetView view="pageBreakPreview" zoomScaleNormal="100" workbookViewId="0">
      <selection sqref="A1:F1"/>
    </sheetView>
  </sheetViews>
  <sheetFormatPr defaultColWidth="9" defaultRowHeight="15.6"/>
  <cols>
    <col min="1" max="1" width="24.5" style="4" customWidth="1"/>
    <col min="2" max="5" width="12.59765625" style="4" customWidth="1"/>
    <col min="6" max="6" width="12" style="4" customWidth="1"/>
    <col min="7" max="16384" width="9" style="4"/>
  </cols>
  <sheetData>
    <row r="1" spans="1:7" s="57" customFormat="1" ht="20.100000000000001" customHeight="1">
      <c r="A1" s="218" t="s">
        <v>40</v>
      </c>
      <c r="B1" s="218"/>
      <c r="C1" s="218"/>
      <c r="D1" s="218"/>
      <c r="E1" s="218"/>
      <c r="F1" s="218"/>
      <c r="G1" s="87"/>
    </row>
    <row r="2" spans="1:7" s="57" customFormat="1" ht="25.05" customHeight="1">
      <c r="A2" s="219" t="s">
        <v>98</v>
      </c>
      <c r="B2" s="219"/>
      <c r="C2" s="219"/>
      <c r="D2" s="219"/>
      <c r="E2" s="219"/>
      <c r="F2" s="219"/>
      <c r="G2" s="36" t="s">
        <v>73</v>
      </c>
    </row>
    <row r="3" spans="1:7" s="2" customFormat="1" ht="20.100000000000001" customHeight="1">
      <c r="A3" s="2" t="str">
        <f>底稿目录!A2</f>
        <v>被审计单位：</v>
      </c>
      <c r="B3" s="2" t="str">
        <f>'审定表L6-1'!E3</f>
        <v>编制人：</v>
      </c>
      <c r="D3" s="28" t="str">
        <f>底稿目录!A5</f>
        <v>编制日期：</v>
      </c>
      <c r="E3" s="28"/>
      <c r="F3" s="88" t="s">
        <v>99</v>
      </c>
    </row>
    <row r="4" spans="1:7" s="2" customFormat="1" ht="20.100000000000001" customHeight="1">
      <c r="A4" s="2" t="str">
        <f>底稿目录!A3</f>
        <v>截止日：202X年12月31日</v>
      </c>
      <c r="B4" s="2" t="str">
        <f>底稿目录!A6</f>
        <v>复核人：</v>
      </c>
      <c r="D4" s="28" t="str">
        <f>底稿目录!A7</f>
        <v>复核日期：</v>
      </c>
      <c r="E4" s="28"/>
      <c r="F4" s="2" t="s">
        <v>74</v>
      </c>
    </row>
    <row r="5" spans="1:7" ht="20.100000000000001" customHeight="1">
      <c r="A5" s="1" t="s">
        <v>100</v>
      </c>
    </row>
    <row r="6" spans="1:7" ht="20.100000000000001" customHeight="1">
      <c r="A6" s="89" t="s">
        <v>101</v>
      </c>
    </row>
    <row r="7" spans="1:7" ht="20.100000000000001" customHeight="1">
      <c r="A7" s="101" t="s">
        <v>102</v>
      </c>
    </row>
    <row r="8" spans="1:7" ht="20.100000000000001" customHeight="1">
      <c r="A8" s="92" t="s">
        <v>103</v>
      </c>
      <c r="B8" s="94" t="s">
        <v>104</v>
      </c>
      <c r="C8" s="94" t="s">
        <v>105</v>
      </c>
      <c r="D8" s="94" t="s">
        <v>106</v>
      </c>
      <c r="E8" s="94" t="s">
        <v>107</v>
      </c>
      <c r="F8" s="94" t="s">
        <v>108</v>
      </c>
    </row>
    <row r="9" spans="1:7" ht="20.100000000000001" customHeight="1">
      <c r="A9" s="102">
        <f>'明细表L6-2'!B10</f>
        <v>0</v>
      </c>
      <c r="B9" s="96">
        <f>'明细表L6-2'!P10</f>
        <v>0</v>
      </c>
      <c r="C9" s="96">
        <f>'明细表L6-2'!Q10</f>
        <v>0</v>
      </c>
      <c r="D9" s="96">
        <f>'明细表L6-2'!R10+'明细表L6-2'!S10</f>
        <v>0</v>
      </c>
      <c r="E9" s="96">
        <f>'明细表L6-2'!T10</f>
        <v>0</v>
      </c>
      <c r="F9" s="103"/>
    </row>
    <row r="10" spans="1:7" ht="20.100000000000001" customHeight="1">
      <c r="A10" s="102">
        <f>'明细表L6-2'!B11</f>
        <v>0</v>
      </c>
      <c r="B10" s="96">
        <f>'明细表L6-2'!P11</f>
        <v>0</v>
      </c>
      <c r="C10" s="96">
        <f>'明细表L6-2'!Q11</f>
        <v>0</v>
      </c>
      <c r="D10" s="96">
        <f>'明细表L6-2'!R11+'明细表L6-2'!S11</f>
        <v>0</v>
      </c>
      <c r="E10" s="96">
        <f>'明细表L6-2'!T11</f>
        <v>0</v>
      </c>
      <c r="F10" s="103"/>
    </row>
    <row r="11" spans="1:7" ht="20.100000000000001" customHeight="1">
      <c r="A11" s="102">
        <f>'明细表L6-2'!B12</f>
        <v>0</v>
      </c>
      <c r="B11" s="96">
        <f>'明细表L6-2'!P12</f>
        <v>0</v>
      </c>
      <c r="C11" s="96">
        <f>'明细表L6-2'!Q12</f>
        <v>0</v>
      </c>
      <c r="D11" s="96">
        <f>'明细表L6-2'!R12+'明细表L6-2'!S12</f>
        <v>0</v>
      </c>
      <c r="E11" s="96">
        <f>'明细表L6-2'!T12</f>
        <v>0</v>
      </c>
      <c r="F11" s="103"/>
    </row>
    <row r="12" spans="1:7" ht="20.100000000000001" customHeight="1">
      <c r="A12" s="102">
        <f>'明细表L6-2'!B13</f>
        <v>0</v>
      </c>
      <c r="B12" s="96">
        <f>'明细表L6-2'!P13</f>
        <v>0</v>
      </c>
      <c r="C12" s="96">
        <f>'明细表L6-2'!Q13</f>
        <v>0</v>
      </c>
      <c r="D12" s="96">
        <f>'明细表L6-2'!R13+'明细表L6-2'!S13</f>
        <v>0</v>
      </c>
      <c r="E12" s="96">
        <f>'明细表L6-2'!T13</f>
        <v>0</v>
      </c>
      <c r="F12" s="103"/>
    </row>
    <row r="13" spans="1:7" ht="20.100000000000001" customHeight="1">
      <c r="A13" s="102">
        <f>'明细表L6-2'!B14</f>
        <v>0</v>
      </c>
      <c r="B13" s="96">
        <f>'明细表L6-2'!P14</f>
        <v>0</v>
      </c>
      <c r="C13" s="96">
        <f>'明细表L6-2'!Q14</f>
        <v>0</v>
      </c>
      <c r="D13" s="96">
        <f>'明细表L6-2'!R14+'明细表L6-2'!S14</f>
        <v>0</v>
      </c>
      <c r="E13" s="96">
        <f>'明细表L6-2'!T14</f>
        <v>0</v>
      </c>
      <c r="F13" s="103"/>
    </row>
    <row r="14" spans="1:7" ht="20.100000000000001" customHeight="1">
      <c r="A14" s="102">
        <f>'明细表L6-2'!B15</f>
        <v>0</v>
      </c>
      <c r="B14" s="96">
        <f>'明细表L6-2'!P15</f>
        <v>0</v>
      </c>
      <c r="C14" s="96">
        <f>'明细表L6-2'!Q15</f>
        <v>0</v>
      </c>
      <c r="D14" s="96">
        <f>'明细表L6-2'!R15+'明细表L6-2'!S15</f>
        <v>0</v>
      </c>
      <c r="E14" s="96">
        <f>'明细表L6-2'!T15</f>
        <v>0</v>
      </c>
      <c r="F14" s="103"/>
    </row>
    <row r="15" spans="1:7" ht="20.100000000000001" customHeight="1">
      <c r="A15" s="102">
        <f>'明细表L6-2'!B16</f>
        <v>0</v>
      </c>
      <c r="B15" s="96">
        <f>'明细表L6-2'!P16</f>
        <v>0</v>
      </c>
      <c r="C15" s="96">
        <f>'明细表L6-2'!Q16</f>
        <v>0</v>
      </c>
      <c r="D15" s="96">
        <f>'明细表L6-2'!R16+'明细表L6-2'!S16</f>
        <v>0</v>
      </c>
      <c r="E15" s="96">
        <f>'明细表L6-2'!T16</f>
        <v>0</v>
      </c>
      <c r="F15" s="103"/>
    </row>
    <row r="16" spans="1:7" ht="20.100000000000001" customHeight="1">
      <c r="A16" s="102">
        <f>'明细表L6-2'!B17</f>
        <v>0</v>
      </c>
      <c r="B16" s="96">
        <f>'明细表L6-2'!P17</f>
        <v>0</v>
      </c>
      <c r="C16" s="96">
        <f>'明细表L6-2'!Q17</f>
        <v>0</v>
      </c>
      <c r="D16" s="96">
        <f>'明细表L6-2'!R17+'明细表L6-2'!S17</f>
        <v>0</v>
      </c>
      <c r="E16" s="96">
        <f>'明细表L6-2'!T17</f>
        <v>0</v>
      </c>
      <c r="F16" s="103"/>
    </row>
    <row r="17" spans="1:6" ht="20.100000000000001" customHeight="1">
      <c r="A17" s="102">
        <f>'明细表L6-2'!B18</f>
        <v>0</v>
      </c>
      <c r="B17" s="96">
        <f>'明细表L6-2'!P18</f>
        <v>0</v>
      </c>
      <c r="C17" s="96">
        <f>'明细表L6-2'!Q18</f>
        <v>0</v>
      </c>
      <c r="D17" s="96">
        <f>'明细表L6-2'!R18+'明细表L6-2'!S18</f>
        <v>0</v>
      </c>
      <c r="E17" s="96">
        <f>'明细表L6-2'!T18</f>
        <v>0</v>
      </c>
      <c r="F17" s="103"/>
    </row>
    <row r="18" spans="1:6" ht="20.100000000000001" customHeight="1">
      <c r="A18" s="102">
        <f>'明细表L6-2'!B19</f>
        <v>0</v>
      </c>
      <c r="B18" s="96">
        <f>'明细表L6-2'!P19</f>
        <v>0</v>
      </c>
      <c r="C18" s="96">
        <f>'明细表L6-2'!Q19</f>
        <v>0</v>
      </c>
      <c r="D18" s="96">
        <f>'明细表L6-2'!R19+'明细表L6-2'!S19</f>
        <v>0</v>
      </c>
      <c r="E18" s="96">
        <f>'明细表L6-2'!T19</f>
        <v>0</v>
      </c>
      <c r="F18" s="103"/>
    </row>
    <row r="19" spans="1:6" ht="20.100000000000001" customHeight="1">
      <c r="A19" s="104" t="s">
        <v>109</v>
      </c>
      <c r="B19" s="105">
        <f>SUM(B9:B18)</f>
        <v>0</v>
      </c>
      <c r="C19" s="105">
        <f>SUM(C9:C18)</f>
        <v>0</v>
      </c>
      <c r="D19" s="105">
        <f>SUM(D9:D18)</f>
        <v>0</v>
      </c>
      <c r="E19" s="105">
        <f>SUM(E9:E18)</f>
        <v>0</v>
      </c>
      <c r="F19" s="106"/>
    </row>
    <row r="20" spans="1:6" ht="37.5" customHeight="1"/>
    <row r="21" spans="1:6" ht="35.25" customHeight="1"/>
  </sheetData>
  <mergeCells count="2">
    <mergeCell ref="A1:F1"/>
    <mergeCell ref="A2:F2"/>
  </mergeCells>
  <phoneticPr fontId="77" type="noConversion"/>
  <hyperlinks>
    <hyperlink ref="G2" location="底稿目录!A1" display="返回目录"/>
  </hyperlinks>
  <pageMargins left="0.70866141732283505" right="0.70866141732283505" top="0.74803149606299202" bottom="0.74803149606299202" header="0.31496062992126" footer="0.31496062992126"/>
  <pageSetup paperSize="9" scale="88"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F16"/>
  <sheetViews>
    <sheetView view="pageBreakPreview" zoomScaleNormal="100" workbookViewId="0">
      <selection sqref="A1:E1"/>
    </sheetView>
  </sheetViews>
  <sheetFormatPr defaultColWidth="9" defaultRowHeight="15.6"/>
  <cols>
    <col min="1" max="1" width="24.5" style="4" customWidth="1"/>
    <col min="2" max="3" width="11.59765625" style="4" customWidth="1"/>
    <col min="4" max="4" width="11.296875" style="4" customWidth="1"/>
    <col min="5" max="5" width="11.5" style="4" customWidth="1"/>
    <col min="6" max="16384" width="9" style="4"/>
  </cols>
  <sheetData>
    <row r="1" spans="1:6" s="57" customFormat="1" ht="19.95" customHeight="1">
      <c r="A1" s="218" t="s">
        <v>40</v>
      </c>
      <c r="B1" s="218"/>
      <c r="C1" s="218"/>
      <c r="D1" s="218"/>
      <c r="E1" s="218"/>
    </row>
    <row r="2" spans="1:6" s="57" customFormat="1" ht="19.95" customHeight="1">
      <c r="A2" s="219" t="s">
        <v>98</v>
      </c>
      <c r="B2" s="219"/>
      <c r="C2" s="219"/>
      <c r="D2" s="219"/>
      <c r="E2" s="219"/>
      <c r="F2" s="36" t="s">
        <v>73</v>
      </c>
    </row>
    <row r="3" spans="1:6" s="2" customFormat="1" ht="19.95" customHeight="1">
      <c r="A3" s="2" t="str">
        <f>底稿目录!A2</f>
        <v>被审计单位：</v>
      </c>
      <c r="B3" s="2" t="str">
        <f>'审定表L6-1'!E3</f>
        <v>编制人：</v>
      </c>
      <c r="D3" s="2" t="str">
        <f>底稿目录!A5</f>
        <v>编制日期：</v>
      </c>
      <c r="E3" s="88" t="s">
        <v>99</v>
      </c>
    </row>
    <row r="4" spans="1:6" s="2" customFormat="1" ht="19.95" customHeight="1">
      <c r="A4" s="2" t="str">
        <f>底稿目录!A3</f>
        <v>截止日：202X年12月31日</v>
      </c>
      <c r="B4" s="2" t="str">
        <f>底稿目录!A6</f>
        <v>复核人：</v>
      </c>
      <c r="D4" s="2" t="str">
        <f>底稿目录!A7</f>
        <v>复核日期：</v>
      </c>
      <c r="E4" s="2" t="s">
        <v>74</v>
      </c>
    </row>
    <row r="5" spans="1:6" ht="19.95" customHeight="1">
      <c r="A5" s="1" t="s">
        <v>110</v>
      </c>
    </row>
    <row r="6" spans="1:6" ht="19.95" customHeight="1">
      <c r="A6" s="89" t="s">
        <v>101</v>
      </c>
    </row>
    <row r="7" spans="1:6" ht="19.95" customHeight="1">
      <c r="A7" s="90" t="s">
        <v>102</v>
      </c>
    </row>
    <row r="8" spans="1:6" ht="19.95" customHeight="1">
      <c r="A8" s="91" t="s">
        <v>111</v>
      </c>
    </row>
    <row r="9" spans="1:6" ht="19.95" customHeight="1">
      <c r="A9" s="92" t="s">
        <v>103</v>
      </c>
      <c r="B9" s="93" t="s">
        <v>112</v>
      </c>
      <c r="C9" s="94" t="s">
        <v>105</v>
      </c>
      <c r="D9" s="94" t="s">
        <v>106</v>
      </c>
      <c r="E9" s="93" t="s">
        <v>113</v>
      </c>
    </row>
    <row r="10" spans="1:6" ht="19.95" customHeight="1">
      <c r="A10" s="95">
        <f>'明细表L6-2'!B10</f>
        <v>0</v>
      </c>
      <c r="B10" s="96">
        <f>'明细表L6-2'!P10</f>
        <v>0</v>
      </c>
      <c r="C10" s="96">
        <f>'明细表L6-2'!Q10</f>
        <v>0</v>
      </c>
      <c r="D10" s="96">
        <f>'明细表L6-2'!R10+'明细表L6-2'!S10</f>
        <v>0</v>
      </c>
      <c r="E10" s="96">
        <f>'明细表L6-2'!T10</f>
        <v>0</v>
      </c>
    </row>
    <row r="11" spans="1:6" ht="19.95" customHeight="1">
      <c r="A11" s="95">
        <f>'明细表L6-2'!B11</f>
        <v>0</v>
      </c>
      <c r="B11" s="96">
        <f>'明细表L6-2'!P11</f>
        <v>0</v>
      </c>
      <c r="C11" s="96">
        <f>'明细表L6-2'!Q11</f>
        <v>0</v>
      </c>
      <c r="D11" s="96">
        <f>'明细表L6-2'!R11+'明细表L6-2'!S11</f>
        <v>0</v>
      </c>
      <c r="E11" s="96">
        <f>'明细表L6-2'!T11</f>
        <v>0</v>
      </c>
    </row>
    <row r="12" spans="1:6" ht="19.95" customHeight="1">
      <c r="A12" s="95">
        <f>'明细表L6-2'!B12</f>
        <v>0</v>
      </c>
      <c r="B12" s="96">
        <f>'明细表L6-2'!P12</f>
        <v>0</v>
      </c>
      <c r="C12" s="96">
        <f>'明细表L6-2'!Q12</f>
        <v>0</v>
      </c>
      <c r="D12" s="96">
        <f>'明细表L6-2'!R12+'明细表L6-2'!S12</f>
        <v>0</v>
      </c>
      <c r="E12" s="96">
        <f>'明细表L6-2'!T12</f>
        <v>0</v>
      </c>
    </row>
    <row r="13" spans="1:6" ht="19.95" customHeight="1">
      <c r="A13" s="95">
        <f>'明细表L6-2'!B13</f>
        <v>0</v>
      </c>
      <c r="B13" s="96">
        <f>'明细表L6-2'!P13</f>
        <v>0</v>
      </c>
      <c r="C13" s="96">
        <f>'明细表L6-2'!Q13</f>
        <v>0</v>
      </c>
      <c r="D13" s="96">
        <f>'明细表L6-2'!R13+'明细表L6-2'!S13</f>
        <v>0</v>
      </c>
      <c r="E13" s="96">
        <f>'明细表L6-2'!T13</f>
        <v>0</v>
      </c>
    </row>
    <row r="14" spans="1:6" ht="19.95" customHeight="1">
      <c r="A14" s="95">
        <f>'明细表L6-2'!B14</f>
        <v>0</v>
      </c>
      <c r="B14" s="96">
        <f>'明细表L6-2'!P14</f>
        <v>0</v>
      </c>
      <c r="C14" s="96">
        <f>'明细表L6-2'!Q14</f>
        <v>0</v>
      </c>
      <c r="D14" s="96">
        <f>'明细表L6-2'!R14+'明细表L6-2'!S14</f>
        <v>0</v>
      </c>
      <c r="E14" s="96">
        <f>'明细表L6-2'!T14</f>
        <v>0</v>
      </c>
    </row>
    <row r="15" spans="1:6" ht="19.95" customHeight="1">
      <c r="A15" s="97" t="s">
        <v>114</v>
      </c>
      <c r="B15" s="98">
        <f>'明细表L6-2'!P20-'明细表L6-2'!P10-'明细表L6-2'!P11-'明细表L6-2'!P12-'明细表L6-2'!P13-'明细表L6-2'!P14</f>
        <v>0</v>
      </c>
      <c r="C15" s="98">
        <f>'明细表L6-2'!Q20-'明细表L6-2'!Q10-'明细表L6-2'!Q11-'明细表L6-2'!Q12-'明细表L6-2'!Q13-'明细表L6-2'!Q14</f>
        <v>0</v>
      </c>
      <c r="D15" s="98">
        <f>'明细表L6-2'!R20-'明细表L6-2'!R10-'明细表L6-2'!R11-'明细表L6-2'!R12-'明细表L6-2'!R13-'明细表L6-2'!R14</f>
        <v>0</v>
      </c>
      <c r="E15" s="98">
        <f>'明细表L6-2'!S20-'明细表L6-2'!S10-'明细表L6-2'!S11-'明细表L6-2'!S12-'明细表L6-2'!S13-'明细表L6-2'!S14</f>
        <v>0</v>
      </c>
    </row>
    <row r="16" spans="1:6" ht="19.95" customHeight="1">
      <c r="A16" s="99" t="s">
        <v>115</v>
      </c>
      <c r="B16" s="100">
        <f>SUM(B10:B15)</f>
        <v>0</v>
      </c>
      <c r="C16" s="100">
        <f t="shared" ref="C16:E16" si="0">SUM(C10:C15)</f>
        <v>0</v>
      </c>
      <c r="D16" s="100">
        <f t="shared" si="0"/>
        <v>0</v>
      </c>
      <c r="E16" s="100">
        <f t="shared" si="0"/>
        <v>0</v>
      </c>
    </row>
  </sheetData>
  <mergeCells count="2">
    <mergeCell ref="A1:E1"/>
    <mergeCell ref="A2:E2"/>
  </mergeCells>
  <phoneticPr fontId="77" type="noConversion"/>
  <hyperlinks>
    <hyperlink ref="F2" location="底稿目录!A1" display="返回目录"/>
  </hyperlinks>
  <pageMargins left="0.70866141732283505" right="0.70866141732283505" top="0.74803149606299202" bottom="0.74803149606299202" header="0.31496062992126" footer="0.31496062992126"/>
  <pageSetup paperSize="9"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G40"/>
  <sheetViews>
    <sheetView view="pageBreakPreview" zoomScaleNormal="100" workbookViewId="0">
      <selection sqref="A1:L1"/>
    </sheetView>
  </sheetViews>
  <sheetFormatPr defaultColWidth="9" defaultRowHeight="19.95" customHeight="1"/>
  <cols>
    <col min="1" max="1" width="4.796875" style="61" customWidth="1"/>
    <col min="2" max="2" width="10.5" style="61" customWidth="1"/>
    <col min="3" max="3" width="13.296875" style="61" customWidth="1"/>
    <col min="4" max="5" width="12.09765625" style="61" customWidth="1"/>
    <col min="6" max="6" width="12.796875" style="61" customWidth="1"/>
    <col min="7" max="20" width="12.09765625" style="61" customWidth="1"/>
    <col min="21" max="21" width="8.5" style="61" customWidth="1"/>
    <col min="22" max="22" width="8" style="61" customWidth="1"/>
    <col min="23" max="23" width="10.59765625" style="61" customWidth="1"/>
    <col min="24" max="24" width="7.09765625" style="61" customWidth="1"/>
    <col min="25" max="25" width="9.09765625" style="61" customWidth="1"/>
    <col min="26" max="26" width="9.5" style="61" customWidth="1"/>
    <col min="27" max="27" width="11" style="61" customWidth="1"/>
    <col min="28" max="28" width="10.59765625" style="61" customWidth="1"/>
    <col min="29" max="16384" width="9" style="61"/>
  </cols>
  <sheetData>
    <row r="1" spans="1:33" s="57" customFormat="1" ht="19.95" customHeight="1">
      <c r="A1" s="218" t="s">
        <v>40</v>
      </c>
      <c r="B1" s="218"/>
      <c r="C1" s="218"/>
      <c r="D1" s="218"/>
      <c r="E1" s="218"/>
      <c r="F1" s="218"/>
      <c r="G1" s="218"/>
      <c r="H1" s="218"/>
      <c r="I1" s="218"/>
      <c r="J1" s="218"/>
      <c r="K1" s="218"/>
      <c r="L1" s="218"/>
      <c r="M1" s="218" t="s">
        <v>40</v>
      </c>
      <c r="N1" s="218"/>
      <c r="O1" s="218"/>
      <c r="P1" s="218"/>
      <c r="Q1" s="218"/>
      <c r="R1" s="218"/>
      <c r="S1" s="218"/>
      <c r="T1" s="218"/>
      <c r="U1" s="218"/>
      <c r="V1" s="218"/>
      <c r="W1" s="80"/>
      <c r="X1" s="80"/>
      <c r="Y1" s="87"/>
      <c r="Z1" s="87"/>
      <c r="AA1" s="87"/>
      <c r="AB1" s="87"/>
      <c r="AC1" s="87"/>
      <c r="AD1" s="87"/>
      <c r="AE1" s="87"/>
      <c r="AF1" s="87"/>
      <c r="AG1" s="87"/>
    </row>
    <row r="2" spans="1:33" s="57" customFormat="1" ht="19.95" customHeight="1">
      <c r="A2" s="219" t="s">
        <v>116</v>
      </c>
      <c r="B2" s="219"/>
      <c r="C2" s="219"/>
      <c r="D2" s="219"/>
      <c r="E2" s="219"/>
      <c r="F2" s="219"/>
      <c r="G2" s="219"/>
      <c r="H2" s="219"/>
      <c r="I2" s="219"/>
      <c r="J2" s="219"/>
      <c r="K2" s="219"/>
      <c r="L2" s="219"/>
      <c r="M2" s="219" t="s">
        <v>116</v>
      </c>
      <c r="N2" s="219"/>
      <c r="O2" s="219"/>
      <c r="P2" s="219"/>
      <c r="Q2" s="219"/>
      <c r="R2" s="219"/>
      <c r="S2" s="219"/>
      <c r="T2" s="219"/>
      <c r="U2" s="219"/>
      <c r="V2" s="219"/>
      <c r="W2" s="81"/>
      <c r="X2" s="81"/>
      <c r="Y2" s="87"/>
      <c r="Z2" s="87"/>
      <c r="AA2" s="87"/>
      <c r="AB2" s="87"/>
      <c r="AC2" s="87"/>
      <c r="AD2" s="87"/>
      <c r="AE2" s="87"/>
      <c r="AF2" s="87"/>
      <c r="AG2" s="87"/>
    </row>
    <row r="3" spans="1:33" s="2" customFormat="1" ht="19.95" customHeight="1">
      <c r="A3" s="2" t="str">
        <f>底稿目录!A2</f>
        <v>被审计单位：</v>
      </c>
      <c r="E3" s="2" t="str">
        <f>底稿目录!A4</f>
        <v>编制人：</v>
      </c>
      <c r="G3" s="28" t="str">
        <f>底稿目录!A5</f>
        <v>编制日期：</v>
      </c>
      <c r="K3" s="78" t="s">
        <v>22</v>
      </c>
      <c r="L3" s="79" t="str">
        <f>底稿目录!F8</f>
        <v>L6-2</v>
      </c>
      <c r="O3" s="2" t="str">
        <f>E3</f>
        <v>编制人：</v>
      </c>
      <c r="R3" s="28"/>
      <c r="S3" s="28" t="str">
        <f>G3</f>
        <v>编制日期：</v>
      </c>
      <c r="W3" s="78" t="s">
        <v>22</v>
      </c>
      <c r="X3" s="188" t="str">
        <f>底稿目录!F8</f>
        <v>L6-2</v>
      </c>
      <c r="Y3" s="36"/>
    </row>
    <row r="4" spans="1:33" s="2" customFormat="1" ht="19.95" customHeight="1">
      <c r="A4" s="2" t="str">
        <f>底稿目录!A3</f>
        <v>截止日：202X年12月31日</v>
      </c>
      <c r="E4" s="2" t="str">
        <f>底稿目录!A6</f>
        <v>复核人：</v>
      </c>
      <c r="G4" s="28" t="str">
        <f>底稿目录!A7</f>
        <v>复核日期：</v>
      </c>
      <c r="K4" s="78" t="s">
        <v>74</v>
      </c>
      <c r="O4" s="2" t="str">
        <f>E4</f>
        <v>复核人：</v>
      </c>
      <c r="R4" s="28"/>
      <c r="S4" s="28" t="str">
        <f>G4</f>
        <v>复核日期：</v>
      </c>
      <c r="W4" s="78" t="s">
        <v>74</v>
      </c>
    </row>
    <row r="5" spans="1:33" s="2" customFormat="1" ht="19.95" customHeight="1">
      <c r="A5" s="8" t="s">
        <v>117</v>
      </c>
      <c r="B5" s="8"/>
      <c r="C5" s="2" t="s">
        <v>118</v>
      </c>
      <c r="J5" s="64"/>
      <c r="K5" s="78"/>
      <c r="M5" s="2" t="s">
        <v>118</v>
      </c>
      <c r="V5" s="78"/>
      <c r="W5" s="78"/>
    </row>
    <row r="6" spans="1:33" s="2" customFormat="1" ht="19.95" customHeight="1">
      <c r="C6" s="2" t="s">
        <v>119</v>
      </c>
      <c r="D6" s="8"/>
      <c r="L6" s="64"/>
      <c r="M6" s="2" t="s">
        <v>119</v>
      </c>
      <c r="V6" s="78"/>
      <c r="W6" s="78"/>
    </row>
    <row r="7" spans="1:33" s="2" customFormat="1" ht="19.95" customHeight="1">
      <c r="A7" s="62" t="s">
        <v>120</v>
      </c>
      <c r="B7" s="62"/>
      <c r="C7" s="63"/>
      <c r="D7" s="64"/>
      <c r="E7" s="65"/>
      <c r="T7" s="82"/>
      <c r="V7" s="78"/>
      <c r="W7" s="78"/>
    </row>
    <row r="8" spans="1:33" s="2" customFormat="1" ht="19.95" customHeight="1">
      <c r="A8" s="226" t="s">
        <v>121</v>
      </c>
      <c r="B8" s="226" t="s">
        <v>122</v>
      </c>
      <c r="C8" s="229" t="s">
        <v>79</v>
      </c>
      <c r="D8" s="230"/>
      <c r="E8" s="230"/>
      <c r="F8" s="230"/>
      <c r="G8" s="231"/>
      <c r="H8" s="232" t="s">
        <v>123</v>
      </c>
      <c r="I8" s="232"/>
      <c r="J8" s="232" t="s">
        <v>124</v>
      </c>
      <c r="K8" s="232"/>
      <c r="L8" s="232"/>
      <c r="M8" s="232" t="s">
        <v>125</v>
      </c>
      <c r="N8" s="232"/>
      <c r="O8" s="232"/>
      <c r="P8" s="229" t="s">
        <v>82</v>
      </c>
      <c r="Q8" s="230"/>
      <c r="R8" s="230"/>
      <c r="S8" s="230"/>
      <c r="T8" s="231"/>
      <c r="U8" s="227" t="s">
        <v>126</v>
      </c>
      <c r="V8" s="227" t="s">
        <v>127</v>
      </c>
      <c r="W8" s="220" t="s">
        <v>128</v>
      </c>
      <c r="X8" s="222" t="s">
        <v>129</v>
      </c>
    </row>
    <row r="9" spans="1:33" s="58" customFormat="1" ht="19.95" customHeight="1">
      <c r="A9" s="226"/>
      <c r="B9" s="226"/>
      <c r="C9" s="66" t="s">
        <v>130</v>
      </c>
      <c r="D9" s="66" t="s">
        <v>131</v>
      </c>
      <c r="E9" s="66" t="s">
        <v>132</v>
      </c>
      <c r="F9" s="66" t="s">
        <v>133</v>
      </c>
      <c r="G9" s="66" t="s">
        <v>134</v>
      </c>
      <c r="H9" s="67" t="s">
        <v>124</v>
      </c>
      <c r="I9" s="67" t="s">
        <v>125</v>
      </c>
      <c r="J9" s="67" t="s">
        <v>131</v>
      </c>
      <c r="K9" s="67" t="s">
        <v>132</v>
      </c>
      <c r="L9" s="67" t="s">
        <v>133</v>
      </c>
      <c r="M9" s="67" t="s">
        <v>131</v>
      </c>
      <c r="N9" s="67" t="s">
        <v>132</v>
      </c>
      <c r="O9" s="67" t="s">
        <v>133</v>
      </c>
      <c r="P9" s="66" t="s">
        <v>130</v>
      </c>
      <c r="Q9" s="66" t="s">
        <v>131</v>
      </c>
      <c r="R9" s="66" t="s">
        <v>132</v>
      </c>
      <c r="S9" s="66" t="s">
        <v>133</v>
      </c>
      <c r="T9" s="66" t="s">
        <v>134</v>
      </c>
      <c r="U9" s="228"/>
      <c r="V9" s="228"/>
      <c r="W9" s="221"/>
      <c r="X9" s="223"/>
    </row>
    <row r="10" spans="1:33" s="58" customFormat="1" ht="19.95" customHeight="1">
      <c r="A10" s="68">
        <v>1</v>
      </c>
      <c r="B10" s="68"/>
      <c r="C10" s="69"/>
      <c r="D10" s="69"/>
      <c r="E10" s="69"/>
      <c r="F10" s="69"/>
      <c r="G10" s="70">
        <f t="shared" ref="G10:G19" si="0">C10+D10-E10-F10</f>
        <v>0</v>
      </c>
      <c r="H10" s="69"/>
      <c r="I10" s="69"/>
      <c r="J10" s="69"/>
      <c r="K10" s="69"/>
      <c r="L10" s="69"/>
      <c r="M10" s="69"/>
      <c r="N10" s="69"/>
      <c r="O10" s="69"/>
      <c r="P10" s="70">
        <f>C10+H10+I10</f>
        <v>0</v>
      </c>
      <c r="Q10" s="70">
        <f>D10+J10+M10</f>
        <v>0</v>
      </c>
      <c r="R10" s="70">
        <f>E10+K10+N10</f>
        <v>0</v>
      </c>
      <c r="S10" s="70">
        <f>F10+L10+O10</f>
        <v>0</v>
      </c>
      <c r="T10" s="70">
        <f>P10+Q10-R10-S10</f>
        <v>0</v>
      </c>
      <c r="U10" s="83"/>
      <c r="V10" s="83"/>
      <c r="W10" s="83"/>
      <c r="X10" s="84"/>
    </row>
    <row r="11" spans="1:33" s="58" customFormat="1" ht="19.95" customHeight="1">
      <c r="A11" s="68">
        <v>2</v>
      </c>
      <c r="B11" s="68"/>
      <c r="C11" s="69"/>
      <c r="D11" s="69"/>
      <c r="E11" s="69"/>
      <c r="F11" s="69"/>
      <c r="G11" s="70">
        <f t="shared" si="0"/>
        <v>0</v>
      </c>
      <c r="H11" s="69"/>
      <c r="I11" s="69"/>
      <c r="J11" s="69"/>
      <c r="K11" s="69"/>
      <c r="L11" s="69"/>
      <c r="M11" s="69"/>
      <c r="N11" s="69"/>
      <c r="O11" s="69"/>
      <c r="P11" s="70">
        <f t="shared" ref="P11:P15" si="1">C11+H11+I11</f>
        <v>0</v>
      </c>
      <c r="Q11" s="70">
        <f t="shared" ref="Q11:Q15" si="2">D11+J11+M11</f>
        <v>0</v>
      </c>
      <c r="R11" s="70">
        <f t="shared" ref="R11:R15" si="3">E11+K11+N11</f>
        <v>0</v>
      </c>
      <c r="S11" s="70">
        <f t="shared" ref="S11:S15" si="4">F11+L11+O11</f>
        <v>0</v>
      </c>
      <c r="T11" s="70">
        <f>P11+Q11-R11-S11</f>
        <v>0</v>
      </c>
      <c r="U11" s="83"/>
      <c r="V11" s="83"/>
      <c r="W11" s="83"/>
      <c r="X11" s="84"/>
    </row>
    <row r="12" spans="1:33" s="58" customFormat="1" ht="19.95" customHeight="1">
      <c r="A12" s="68">
        <v>3</v>
      </c>
      <c r="B12" s="71"/>
      <c r="C12" s="69"/>
      <c r="D12" s="69"/>
      <c r="E12" s="69"/>
      <c r="F12" s="69"/>
      <c r="G12" s="70">
        <f t="shared" si="0"/>
        <v>0</v>
      </c>
      <c r="H12" s="69"/>
      <c r="I12" s="69"/>
      <c r="J12" s="69"/>
      <c r="K12" s="69"/>
      <c r="L12" s="69"/>
      <c r="M12" s="69"/>
      <c r="N12" s="69"/>
      <c r="O12" s="69"/>
      <c r="P12" s="70">
        <f t="shared" si="1"/>
        <v>0</v>
      </c>
      <c r="Q12" s="70">
        <f t="shared" si="2"/>
        <v>0</v>
      </c>
      <c r="R12" s="70">
        <f t="shared" si="3"/>
        <v>0</v>
      </c>
      <c r="S12" s="70">
        <f t="shared" si="4"/>
        <v>0</v>
      </c>
      <c r="T12" s="70">
        <f t="shared" ref="T12:T19" si="5">P12+Q12-R12-S12</f>
        <v>0</v>
      </c>
      <c r="U12" s="85"/>
      <c r="V12" s="85"/>
      <c r="W12" s="85"/>
      <c r="X12" s="86"/>
    </row>
    <row r="13" spans="1:33" s="58" customFormat="1" ht="19.95" customHeight="1">
      <c r="A13" s="68">
        <v>4</v>
      </c>
      <c r="B13" s="68"/>
      <c r="C13" s="69"/>
      <c r="D13" s="69"/>
      <c r="E13" s="69"/>
      <c r="F13" s="69"/>
      <c r="G13" s="70">
        <f t="shared" si="0"/>
        <v>0</v>
      </c>
      <c r="H13" s="69"/>
      <c r="I13" s="69"/>
      <c r="J13" s="69"/>
      <c r="K13" s="69"/>
      <c r="L13" s="69"/>
      <c r="M13" s="69"/>
      <c r="N13" s="69"/>
      <c r="O13" s="69"/>
      <c r="P13" s="70">
        <f t="shared" si="1"/>
        <v>0</v>
      </c>
      <c r="Q13" s="70">
        <f t="shared" si="2"/>
        <v>0</v>
      </c>
      <c r="R13" s="70">
        <f t="shared" si="3"/>
        <v>0</v>
      </c>
      <c r="S13" s="70">
        <f t="shared" si="4"/>
        <v>0</v>
      </c>
      <c r="T13" s="70">
        <f t="shared" si="5"/>
        <v>0</v>
      </c>
      <c r="U13" s="83"/>
      <c r="V13" s="83"/>
      <c r="W13" s="83"/>
      <c r="X13" s="84"/>
    </row>
    <row r="14" spans="1:33" s="58" customFormat="1" ht="19.95" customHeight="1">
      <c r="A14" s="68">
        <v>5</v>
      </c>
      <c r="B14" s="68"/>
      <c r="C14" s="69"/>
      <c r="D14" s="69"/>
      <c r="E14" s="69"/>
      <c r="F14" s="69"/>
      <c r="G14" s="70">
        <f t="shared" si="0"/>
        <v>0</v>
      </c>
      <c r="H14" s="69"/>
      <c r="I14" s="69"/>
      <c r="J14" s="69"/>
      <c r="K14" s="69"/>
      <c r="L14" s="69"/>
      <c r="M14" s="69"/>
      <c r="N14" s="69"/>
      <c r="O14" s="69"/>
      <c r="P14" s="70">
        <f t="shared" si="1"/>
        <v>0</v>
      </c>
      <c r="Q14" s="70">
        <f t="shared" si="2"/>
        <v>0</v>
      </c>
      <c r="R14" s="70">
        <f t="shared" si="3"/>
        <v>0</v>
      </c>
      <c r="S14" s="70">
        <f t="shared" si="4"/>
        <v>0</v>
      </c>
      <c r="T14" s="70">
        <f t="shared" si="5"/>
        <v>0</v>
      </c>
      <c r="U14" s="83"/>
      <c r="V14" s="83"/>
      <c r="W14" s="83"/>
      <c r="X14" s="84"/>
    </row>
    <row r="15" spans="1:33" s="58" customFormat="1" ht="19.95" customHeight="1">
      <c r="A15" s="68">
        <v>6</v>
      </c>
      <c r="B15" s="68"/>
      <c r="C15" s="69"/>
      <c r="D15" s="69"/>
      <c r="E15" s="69"/>
      <c r="F15" s="69"/>
      <c r="G15" s="70">
        <f t="shared" si="0"/>
        <v>0</v>
      </c>
      <c r="H15" s="69"/>
      <c r="I15" s="69"/>
      <c r="J15" s="69"/>
      <c r="K15" s="69"/>
      <c r="L15" s="69"/>
      <c r="M15" s="69"/>
      <c r="N15" s="69"/>
      <c r="O15" s="69"/>
      <c r="P15" s="70">
        <f t="shared" si="1"/>
        <v>0</v>
      </c>
      <c r="Q15" s="70">
        <f t="shared" si="2"/>
        <v>0</v>
      </c>
      <c r="R15" s="70">
        <f t="shared" si="3"/>
        <v>0</v>
      </c>
      <c r="S15" s="70">
        <f t="shared" si="4"/>
        <v>0</v>
      </c>
      <c r="T15" s="70">
        <f t="shared" si="5"/>
        <v>0</v>
      </c>
      <c r="U15" s="83"/>
      <c r="V15" s="83"/>
      <c r="W15" s="83"/>
      <c r="X15" s="84"/>
    </row>
    <row r="16" spans="1:33" s="58" customFormat="1" ht="19.95" customHeight="1">
      <c r="A16" s="68">
        <v>7</v>
      </c>
      <c r="B16" s="68"/>
      <c r="C16" s="69"/>
      <c r="D16" s="69"/>
      <c r="E16" s="69"/>
      <c r="F16" s="69"/>
      <c r="G16" s="70">
        <f t="shared" si="0"/>
        <v>0</v>
      </c>
      <c r="H16" s="69"/>
      <c r="I16" s="69"/>
      <c r="J16" s="69"/>
      <c r="K16" s="69"/>
      <c r="L16" s="69"/>
      <c r="M16" s="69"/>
      <c r="N16" s="69"/>
      <c r="O16" s="69"/>
      <c r="P16" s="70">
        <f t="shared" ref="P16:P19" si="6">C16+H16+I16</f>
        <v>0</v>
      </c>
      <c r="Q16" s="70">
        <f t="shared" ref="Q16:Q19" si="7">D16+J16+M16</f>
        <v>0</v>
      </c>
      <c r="R16" s="70">
        <f t="shared" ref="R16:R19" si="8">E16+K16+N16</f>
        <v>0</v>
      </c>
      <c r="S16" s="70">
        <f t="shared" ref="S16:S19" si="9">F16+L16+O16</f>
        <v>0</v>
      </c>
      <c r="T16" s="70">
        <f t="shared" si="5"/>
        <v>0</v>
      </c>
      <c r="U16" s="83"/>
      <c r="V16" s="83"/>
      <c r="W16" s="83"/>
      <c r="X16" s="84"/>
    </row>
    <row r="17" spans="1:24" s="58" customFormat="1" ht="19.95" customHeight="1">
      <c r="A17" s="68">
        <v>8</v>
      </c>
      <c r="B17" s="68"/>
      <c r="C17" s="69"/>
      <c r="D17" s="69"/>
      <c r="E17" s="69"/>
      <c r="F17" s="69"/>
      <c r="G17" s="70">
        <f t="shared" si="0"/>
        <v>0</v>
      </c>
      <c r="H17" s="69"/>
      <c r="I17" s="69"/>
      <c r="J17" s="69"/>
      <c r="K17" s="69"/>
      <c r="L17" s="69"/>
      <c r="M17" s="69"/>
      <c r="N17" s="69"/>
      <c r="O17" s="69"/>
      <c r="P17" s="70">
        <f t="shared" si="6"/>
        <v>0</v>
      </c>
      <c r="Q17" s="70">
        <f t="shared" si="7"/>
        <v>0</v>
      </c>
      <c r="R17" s="70">
        <f t="shared" si="8"/>
        <v>0</v>
      </c>
      <c r="S17" s="70">
        <f t="shared" si="9"/>
        <v>0</v>
      </c>
      <c r="T17" s="70">
        <f t="shared" si="5"/>
        <v>0</v>
      </c>
      <c r="U17" s="83"/>
      <c r="V17" s="83"/>
      <c r="W17" s="83"/>
      <c r="X17" s="84"/>
    </row>
    <row r="18" spans="1:24" s="58" customFormat="1" ht="19.95" customHeight="1">
      <c r="A18" s="68">
        <v>9</v>
      </c>
      <c r="B18" s="68"/>
      <c r="C18" s="69"/>
      <c r="D18" s="69"/>
      <c r="E18" s="69"/>
      <c r="F18" s="69"/>
      <c r="G18" s="70">
        <f t="shared" si="0"/>
        <v>0</v>
      </c>
      <c r="H18" s="69"/>
      <c r="I18" s="69"/>
      <c r="J18" s="69"/>
      <c r="K18" s="69"/>
      <c r="L18" s="69"/>
      <c r="M18" s="69"/>
      <c r="N18" s="69"/>
      <c r="O18" s="69"/>
      <c r="P18" s="70">
        <f t="shared" si="6"/>
        <v>0</v>
      </c>
      <c r="Q18" s="70">
        <f t="shared" si="7"/>
        <v>0</v>
      </c>
      <c r="R18" s="70">
        <f t="shared" si="8"/>
        <v>0</v>
      </c>
      <c r="S18" s="70">
        <f t="shared" si="9"/>
        <v>0</v>
      </c>
      <c r="T18" s="70">
        <f t="shared" si="5"/>
        <v>0</v>
      </c>
      <c r="U18" s="83"/>
      <c r="V18" s="83"/>
      <c r="W18" s="83"/>
      <c r="X18" s="84"/>
    </row>
    <row r="19" spans="1:24" s="58" customFormat="1" ht="19.95" customHeight="1">
      <c r="A19" s="68">
        <v>10</v>
      </c>
      <c r="B19" s="68"/>
      <c r="C19" s="69"/>
      <c r="D19" s="69"/>
      <c r="E19" s="69"/>
      <c r="F19" s="69"/>
      <c r="G19" s="70">
        <f t="shared" si="0"/>
        <v>0</v>
      </c>
      <c r="H19" s="69"/>
      <c r="I19" s="69"/>
      <c r="J19" s="69"/>
      <c r="K19" s="69"/>
      <c r="L19" s="69"/>
      <c r="M19" s="69"/>
      <c r="N19" s="69"/>
      <c r="O19" s="69"/>
      <c r="P19" s="70">
        <f t="shared" si="6"/>
        <v>0</v>
      </c>
      <c r="Q19" s="70">
        <f t="shared" si="7"/>
        <v>0</v>
      </c>
      <c r="R19" s="70">
        <f t="shared" si="8"/>
        <v>0</v>
      </c>
      <c r="S19" s="70">
        <f t="shared" si="9"/>
        <v>0</v>
      </c>
      <c r="T19" s="70">
        <f t="shared" si="5"/>
        <v>0</v>
      </c>
      <c r="U19" s="83"/>
      <c r="V19" s="83"/>
      <c r="W19" s="83"/>
      <c r="X19" s="84"/>
    </row>
    <row r="20" spans="1:24" s="172" customFormat="1" ht="19.95" customHeight="1">
      <c r="A20" s="224" t="s">
        <v>85</v>
      </c>
      <c r="B20" s="225"/>
      <c r="C20" s="169">
        <f>SUM(C10:C19)</f>
        <v>0</v>
      </c>
      <c r="D20" s="169">
        <f t="shared" ref="D20:T20" si="10">SUM(D10:D19)</f>
        <v>0</v>
      </c>
      <c r="E20" s="169">
        <f t="shared" si="10"/>
        <v>0</v>
      </c>
      <c r="F20" s="169">
        <f t="shared" si="10"/>
        <v>0</v>
      </c>
      <c r="G20" s="169">
        <f t="shared" si="10"/>
        <v>0</v>
      </c>
      <c r="H20" s="169">
        <f t="shared" si="10"/>
        <v>0</v>
      </c>
      <c r="I20" s="169">
        <f t="shared" si="10"/>
        <v>0</v>
      </c>
      <c r="J20" s="169">
        <f t="shared" si="10"/>
        <v>0</v>
      </c>
      <c r="K20" s="169">
        <f t="shared" si="10"/>
        <v>0</v>
      </c>
      <c r="L20" s="169">
        <f t="shared" si="10"/>
        <v>0</v>
      </c>
      <c r="M20" s="169">
        <f t="shared" si="10"/>
        <v>0</v>
      </c>
      <c r="N20" s="169">
        <f t="shared" si="10"/>
        <v>0</v>
      </c>
      <c r="O20" s="169">
        <f t="shared" si="10"/>
        <v>0</v>
      </c>
      <c r="P20" s="169">
        <f t="shared" si="10"/>
        <v>0</v>
      </c>
      <c r="Q20" s="169">
        <f t="shared" si="10"/>
        <v>0</v>
      </c>
      <c r="R20" s="169">
        <f t="shared" si="10"/>
        <v>0</v>
      </c>
      <c r="S20" s="169">
        <f t="shared" si="10"/>
        <v>0</v>
      </c>
      <c r="T20" s="169">
        <f t="shared" si="10"/>
        <v>0</v>
      </c>
      <c r="U20" s="170"/>
      <c r="V20" s="170"/>
      <c r="W20" s="170"/>
      <c r="X20" s="171"/>
    </row>
    <row r="21" spans="1:24" s="58" customFormat="1" ht="19.95" customHeight="1">
      <c r="A21" s="72" t="s">
        <v>135</v>
      </c>
      <c r="B21" s="72"/>
      <c r="C21" s="73"/>
      <c r="D21" s="73"/>
      <c r="E21" s="73"/>
      <c r="F21" s="73"/>
      <c r="G21" s="73"/>
      <c r="H21" s="73"/>
      <c r="I21" s="73"/>
      <c r="J21" s="73"/>
      <c r="K21" s="73"/>
      <c r="L21" s="73"/>
      <c r="M21" s="73"/>
      <c r="N21" s="73"/>
      <c r="O21" s="73"/>
      <c r="P21" s="73"/>
      <c r="Q21" s="73"/>
      <c r="R21" s="73"/>
      <c r="S21" s="73"/>
      <c r="T21" s="73"/>
      <c r="U21" s="73"/>
      <c r="V21" s="73"/>
      <c r="W21" s="73"/>
      <c r="X21" s="73"/>
    </row>
    <row r="22" spans="1:24" s="58" customFormat="1" ht="19.95" customHeight="1">
      <c r="A22" s="2"/>
      <c r="B22" s="2"/>
      <c r="C22" s="2"/>
      <c r="D22" s="2"/>
      <c r="E22" s="2"/>
      <c r="F22" s="2"/>
      <c r="G22" s="2"/>
      <c r="H22" s="2"/>
      <c r="I22" s="2"/>
      <c r="J22" s="2"/>
      <c r="K22" s="2"/>
      <c r="L22" s="2"/>
      <c r="M22" s="2"/>
      <c r="N22" s="2"/>
      <c r="O22" s="2"/>
      <c r="P22" s="2"/>
      <c r="Q22" s="2"/>
      <c r="R22" s="2"/>
      <c r="S22" s="2"/>
      <c r="T22" s="2"/>
      <c r="U22" s="2"/>
      <c r="V22" s="2"/>
      <c r="W22" s="2"/>
      <c r="X22" s="2"/>
    </row>
    <row r="23" spans="1:24" s="58" customFormat="1" ht="19.95" customHeight="1">
      <c r="A23" s="2"/>
      <c r="B23" s="2"/>
      <c r="C23" s="2"/>
      <c r="D23" s="2"/>
      <c r="E23" s="2"/>
      <c r="F23" s="2"/>
      <c r="G23" s="2"/>
      <c r="H23" s="2"/>
      <c r="I23" s="2"/>
      <c r="J23" s="2"/>
      <c r="K23" s="2"/>
      <c r="L23" s="2"/>
      <c r="M23" s="2"/>
      <c r="N23" s="2"/>
      <c r="O23" s="2"/>
      <c r="P23" s="2"/>
      <c r="Q23" s="2"/>
      <c r="R23" s="2"/>
      <c r="S23" s="2"/>
      <c r="T23" s="2"/>
      <c r="U23" s="2"/>
      <c r="V23" s="2"/>
      <c r="W23" s="2"/>
      <c r="X23" s="2"/>
    </row>
    <row r="24" spans="1:24" s="58" customFormat="1" ht="19.95" customHeight="1">
      <c r="A24" s="74"/>
      <c r="B24" s="74"/>
      <c r="C24" s="2"/>
      <c r="D24" s="2"/>
      <c r="E24" s="2"/>
      <c r="F24" s="2"/>
      <c r="G24" s="2"/>
      <c r="H24" s="2"/>
      <c r="I24" s="2"/>
      <c r="J24" s="2"/>
      <c r="K24" s="2"/>
      <c r="L24" s="2"/>
      <c r="M24" s="2"/>
      <c r="N24" s="2"/>
      <c r="O24" s="2"/>
      <c r="P24" s="2"/>
      <c r="Q24" s="2"/>
      <c r="R24" s="2"/>
      <c r="S24" s="2"/>
      <c r="T24" s="2"/>
      <c r="U24" s="2"/>
      <c r="V24" s="2"/>
      <c r="W24" s="2"/>
      <c r="X24" s="2"/>
    </row>
    <row r="25" spans="1:24" s="58" customFormat="1" ht="19.95" customHeight="1">
      <c r="A25" s="74" t="s">
        <v>136</v>
      </c>
      <c r="B25" s="74"/>
      <c r="C25" s="2"/>
      <c r="D25" s="2"/>
      <c r="E25" s="2"/>
      <c r="F25" s="2"/>
      <c r="G25" s="2"/>
      <c r="H25" s="2"/>
      <c r="I25" s="2"/>
      <c r="J25" s="2"/>
      <c r="K25" s="2"/>
      <c r="L25" s="2"/>
      <c r="M25" s="2"/>
      <c r="N25" s="2"/>
      <c r="O25" s="2"/>
      <c r="P25" s="2"/>
      <c r="Q25" s="2"/>
      <c r="R25" s="2"/>
      <c r="S25" s="2"/>
      <c r="T25" s="2"/>
      <c r="U25" s="2"/>
      <c r="V25" s="2"/>
      <c r="W25" s="2"/>
      <c r="X25" s="2"/>
    </row>
    <row r="26" spans="1:24" s="58" customFormat="1" ht="19.95" customHeight="1"/>
    <row r="27" spans="1:24" s="58" customFormat="1" ht="19.95" customHeight="1"/>
    <row r="28" spans="1:24" s="59" customFormat="1" ht="18" customHeight="1">
      <c r="A28" s="75" t="s">
        <v>137</v>
      </c>
    </row>
    <row r="29" spans="1:24" s="2" customFormat="1" ht="19.95" customHeight="1">
      <c r="A29" s="76" t="s">
        <v>138</v>
      </c>
      <c r="B29" s="76"/>
    </row>
    <row r="30" spans="1:24" s="2" customFormat="1" ht="19.95" customHeight="1">
      <c r="A30" s="77" t="s">
        <v>139</v>
      </c>
    </row>
    <row r="31" spans="1:24" s="2" customFormat="1" ht="19.95" customHeight="1">
      <c r="A31" s="76" t="s">
        <v>140</v>
      </c>
      <c r="B31" s="76"/>
    </row>
    <row r="32" spans="1:24" s="2" customFormat="1" ht="19.95" customHeight="1">
      <c r="A32" s="76" t="s">
        <v>141</v>
      </c>
      <c r="B32" s="76"/>
    </row>
    <row r="33" spans="1:27" s="2" customFormat="1" ht="19.95" customHeight="1">
      <c r="A33" s="76" t="s">
        <v>142</v>
      </c>
      <c r="B33" s="76"/>
      <c r="C33" s="76"/>
      <c r="D33" s="76"/>
      <c r="E33" s="76"/>
      <c r="F33" s="76"/>
    </row>
    <row r="34" spans="1:27" s="2" customFormat="1" ht="19.95" customHeight="1">
      <c r="A34" s="76" t="s">
        <v>143</v>
      </c>
      <c r="B34" s="76"/>
      <c r="C34" s="76"/>
      <c r="D34" s="76"/>
      <c r="E34" s="76"/>
      <c r="F34" s="76"/>
    </row>
    <row r="35" spans="1:27" s="2" customFormat="1" ht="19.95" customHeight="1">
      <c r="A35" s="76" t="s">
        <v>144</v>
      </c>
      <c r="B35" s="76"/>
      <c r="C35" s="76"/>
      <c r="D35" s="76"/>
      <c r="E35" s="76"/>
      <c r="F35" s="76"/>
    </row>
    <row r="36" spans="1:27" s="60" customFormat="1" ht="18" customHeight="1">
      <c r="A36" s="76" t="s">
        <v>145</v>
      </c>
      <c r="B36" s="76"/>
      <c r="C36" s="76"/>
      <c r="D36" s="2"/>
      <c r="E36" s="2"/>
      <c r="F36" s="2"/>
      <c r="G36" s="2"/>
      <c r="H36" s="2"/>
      <c r="I36" s="2"/>
      <c r="J36" s="2"/>
      <c r="K36" s="2"/>
      <c r="L36" s="2"/>
      <c r="M36" s="2"/>
      <c r="N36" s="2"/>
      <c r="O36" s="2"/>
      <c r="P36" s="2"/>
      <c r="Q36" s="2"/>
      <c r="R36" s="2"/>
      <c r="S36" s="2"/>
      <c r="T36" s="2"/>
      <c r="U36" s="2"/>
      <c r="AA36" s="2"/>
    </row>
    <row r="37" spans="1:27" s="60" customFormat="1" ht="18" customHeight="1">
      <c r="A37" s="76" t="s">
        <v>146</v>
      </c>
      <c r="B37" s="76"/>
      <c r="C37" s="76"/>
      <c r="E37" s="2"/>
      <c r="F37" s="2"/>
      <c r="G37" s="2"/>
      <c r="H37" s="2"/>
      <c r="I37" s="2"/>
      <c r="J37" s="2"/>
      <c r="K37" s="2"/>
      <c r="L37" s="2"/>
      <c r="M37" s="2"/>
      <c r="N37" s="2"/>
      <c r="O37" s="2"/>
      <c r="P37" s="2"/>
      <c r="Q37" s="2"/>
      <c r="R37" s="2"/>
      <c r="S37" s="2"/>
      <c r="T37" s="2"/>
      <c r="U37" s="2"/>
      <c r="AA37" s="2"/>
    </row>
    <row r="38" spans="1:27" s="58" customFormat="1" ht="19.95" customHeight="1"/>
    <row r="39" spans="1:27" s="58" customFormat="1" ht="19.95" customHeight="1"/>
    <row r="40" spans="1:27" s="58" customFormat="1" ht="19.95" customHeight="1"/>
  </sheetData>
  <mergeCells count="16">
    <mergeCell ref="A1:L1"/>
    <mergeCell ref="M1:V1"/>
    <mergeCell ref="A2:L2"/>
    <mergeCell ref="M2:V2"/>
    <mergeCell ref="C8:G8"/>
    <mergeCell ref="H8:I8"/>
    <mergeCell ref="J8:L8"/>
    <mergeCell ref="M8:O8"/>
    <mergeCell ref="P8:T8"/>
    <mergeCell ref="W8:W9"/>
    <mergeCell ref="X8:X9"/>
    <mergeCell ref="A20:B20"/>
    <mergeCell ref="A8:A9"/>
    <mergeCell ref="B8:B9"/>
    <mergeCell ref="U8:U9"/>
    <mergeCell ref="V8:V9"/>
  </mergeCells>
  <phoneticPr fontId="77" type="noConversion"/>
  <hyperlinks>
    <hyperlink ref="L3" location="底稿目录!A1" display="=底稿目录!F8"/>
  </hyperlinks>
  <printOptions horizontalCentered="1"/>
  <pageMargins left="0.70866141732283505" right="0.70866141732283505" top="0.74803149606299202" bottom="0.74803149606299202" header="0.31496062992126" footer="0.31496062992126"/>
  <pageSetup paperSize="9" scale="80" fitToHeight="0" orientation="landscape" blackAndWhite="1" r:id="rId1"/>
  <headerFooter alignWithMargins="0">
    <oddFooter>&amp;C&amp;P/&amp;N</oddFooter>
  </headerFooter>
  <colBreaks count="1" manualBreakCount="1">
    <brk id="12" max="26"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23"/>
  <sheetViews>
    <sheetView view="pageBreakPreview" zoomScaleNormal="100" workbookViewId="0">
      <selection sqref="A1:J1"/>
    </sheetView>
  </sheetViews>
  <sheetFormatPr defaultColWidth="9" defaultRowHeight="19.95" customHeight="1"/>
  <cols>
    <col min="1" max="1" width="17.796875" style="39" customWidth="1"/>
    <col min="2" max="3" width="14.3984375" style="39" customWidth="1"/>
    <col min="4" max="5" width="9" style="39"/>
    <col min="6" max="6" width="7.69921875" style="39" customWidth="1"/>
    <col min="7" max="16384" width="9" style="39"/>
  </cols>
  <sheetData>
    <row r="1" spans="1:11" ht="19.95" customHeight="1">
      <c r="A1" s="233" t="s">
        <v>206</v>
      </c>
      <c r="B1" s="233"/>
      <c r="C1" s="233"/>
      <c r="D1" s="233"/>
      <c r="E1" s="233"/>
      <c r="F1" s="233"/>
      <c r="G1" s="233"/>
      <c r="H1" s="233"/>
      <c r="I1" s="233"/>
      <c r="J1" s="233"/>
    </row>
    <row r="2" spans="1:11" ht="19.95" customHeight="1">
      <c r="A2" s="234" t="s">
        <v>18</v>
      </c>
      <c r="B2" s="234"/>
      <c r="C2" s="234"/>
      <c r="D2" s="234"/>
      <c r="E2" s="234"/>
      <c r="F2" s="234"/>
      <c r="G2" s="234"/>
      <c r="H2" s="234"/>
      <c r="I2" s="234"/>
      <c r="J2" s="234"/>
      <c r="K2" s="36"/>
    </row>
    <row r="3" spans="1:11" s="38" customFormat="1" ht="19.95" customHeight="1">
      <c r="A3" s="2" t="str">
        <f>底稿目录!A2</f>
        <v>被审计单位：</v>
      </c>
      <c r="B3" s="40"/>
      <c r="C3" s="40"/>
      <c r="D3" s="40" t="str">
        <f>底稿目录!A4</f>
        <v>编制人：</v>
      </c>
      <c r="E3" s="40"/>
      <c r="F3" s="41"/>
      <c r="G3" s="40" t="str">
        <f>底稿目录!A5</f>
        <v>编制日期：</v>
      </c>
      <c r="H3" s="40"/>
      <c r="I3" s="41" t="s">
        <v>147</v>
      </c>
      <c r="J3" s="188" t="str">
        <f>底稿目录!F9</f>
        <v>L6-3</v>
      </c>
    </row>
    <row r="4" spans="1:11" s="38" customFormat="1" ht="19.95" customHeight="1">
      <c r="A4" s="2" t="str">
        <f>底稿目录!A3</f>
        <v>截止日：202X年12月31日</v>
      </c>
      <c r="B4" s="40"/>
      <c r="C4" s="40"/>
      <c r="D4" s="40" t="str">
        <f>底稿目录!A6</f>
        <v>复核人：</v>
      </c>
      <c r="E4" s="40"/>
      <c r="F4" s="41"/>
      <c r="G4" s="40" t="str">
        <f>底稿目录!A7</f>
        <v>复核日期：</v>
      </c>
      <c r="H4" s="40"/>
      <c r="I4" s="41" t="s">
        <v>74</v>
      </c>
    </row>
    <row r="5" spans="1:11" s="38" customFormat="1" ht="34.950000000000003" customHeight="1">
      <c r="A5" s="42" t="s">
        <v>148</v>
      </c>
      <c r="B5" s="43" t="s">
        <v>149</v>
      </c>
      <c r="C5" s="44" t="s">
        <v>150</v>
      </c>
      <c r="D5" s="45" t="s">
        <v>151</v>
      </c>
      <c r="E5" s="45" t="s">
        <v>152</v>
      </c>
      <c r="F5" s="46" t="s">
        <v>153</v>
      </c>
      <c r="G5" s="45" t="s">
        <v>154</v>
      </c>
      <c r="H5" s="45" t="s">
        <v>155</v>
      </c>
      <c r="I5" s="45" t="s">
        <v>156</v>
      </c>
      <c r="J5" s="45" t="s">
        <v>129</v>
      </c>
    </row>
    <row r="6" spans="1:11" s="38" customFormat="1" ht="19.95" customHeight="1">
      <c r="A6" s="47"/>
      <c r="B6" s="48"/>
      <c r="C6" s="48"/>
      <c r="D6" s="48"/>
      <c r="E6" s="48"/>
      <c r="F6" s="48"/>
      <c r="G6" s="49"/>
      <c r="H6" s="49"/>
      <c r="I6" s="48"/>
      <c r="J6" s="48"/>
    </row>
    <row r="7" spans="1:11" s="38" customFormat="1" ht="19.95" customHeight="1">
      <c r="A7" s="47"/>
      <c r="B7" s="48"/>
      <c r="C7" s="48"/>
      <c r="D7" s="48"/>
      <c r="E7" s="48"/>
      <c r="F7" s="48"/>
      <c r="G7" s="49"/>
      <c r="H7" s="49"/>
      <c r="I7" s="48"/>
      <c r="J7" s="48"/>
    </row>
    <row r="8" spans="1:11" s="38" customFormat="1" ht="19.95" customHeight="1">
      <c r="A8" s="50"/>
      <c r="B8" s="48"/>
      <c r="C8" s="51"/>
      <c r="D8" s="51"/>
      <c r="E8" s="51"/>
      <c r="F8" s="48"/>
      <c r="G8" s="49"/>
      <c r="H8" s="49"/>
      <c r="I8" s="48"/>
      <c r="J8" s="51"/>
    </row>
    <row r="9" spans="1:11" s="38" customFormat="1" ht="19.95" customHeight="1">
      <c r="A9" s="50"/>
      <c r="B9" s="48"/>
      <c r="C9" s="48"/>
      <c r="D9" s="48"/>
      <c r="E9" s="48"/>
      <c r="F9" s="48"/>
      <c r="G9" s="49"/>
      <c r="H9" s="49"/>
      <c r="I9" s="48"/>
      <c r="J9" s="48"/>
    </row>
    <row r="10" spans="1:11" s="38" customFormat="1" ht="19.95" customHeight="1">
      <c r="A10" s="50"/>
      <c r="B10" s="48"/>
      <c r="C10" s="48"/>
      <c r="D10" s="48"/>
      <c r="E10" s="48"/>
      <c r="F10" s="48"/>
      <c r="G10" s="49"/>
      <c r="H10" s="49"/>
      <c r="I10" s="48"/>
      <c r="J10" s="48"/>
    </row>
    <row r="11" spans="1:11" s="38" customFormat="1" ht="19.95" customHeight="1">
      <c r="A11" s="52"/>
      <c r="B11" s="48"/>
      <c r="C11" s="48"/>
      <c r="D11" s="48"/>
      <c r="E11" s="48"/>
      <c r="F11" s="48"/>
      <c r="G11" s="49"/>
      <c r="H11" s="49"/>
      <c r="I11" s="48"/>
      <c r="J11" s="48"/>
    </row>
    <row r="12" spans="1:11" s="38" customFormat="1" ht="19.95" customHeight="1">
      <c r="A12" s="50"/>
      <c r="B12" s="48"/>
      <c r="C12" s="48"/>
      <c r="D12" s="48"/>
      <c r="E12" s="48"/>
      <c r="F12" s="48"/>
      <c r="G12" s="49"/>
      <c r="H12" s="49"/>
      <c r="I12" s="48"/>
      <c r="J12" s="48"/>
    </row>
    <row r="13" spans="1:11" s="38" customFormat="1" ht="19.95" customHeight="1">
      <c r="A13" s="50"/>
      <c r="B13" s="48"/>
      <c r="C13" s="48"/>
      <c r="D13" s="48"/>
      <c r="E13" s="48"/>
      <c r="F13" s="48"/>
      <c r="G13" s="49"/>
      <c r="H13" s="49"/>
      <c r="I13" s="48"/>
      <c r="J13" s="48"/>
    </row>
    <row r="14" spans="1:11" s="38" customFormat="1" ht="19.95" customHeight="1">
      <c r="A14" s="50"/>
      <c r="B14" s="48"/>
      <c r="C14" s="48"/>
      <c r="D14" s="48"/>
      <c r="E14" s="48"/>
      <c r="F14" s="48"/>
      <c r="G14" s="49"/>
      <c r="H14" s="49"/>
      <c r="I14" s="48"/>
      <c r="J14" s="48"/>
    </row>
    <row r="15" spans="1:11" s="38" customFormat="1" ht="19.95" customHeight="1">
      <c r="A15" s="50"/>
      <c r="B15" s="48"/>
      <c r="C15" s="48"/>
      <c r="D15" s="48"/>
      <c r="E15" s="48"/>
      <c r="F15" s="48"/>
      <c r="G15" s="49"/>
      <c r="H15" s="49"/>
      <c r="I15" s="48"/>
      <c r="J15" s="48"/>
    </row>
    <row r="16" spans="1:11" s="38" customFormat="1" ht="19.95" customHeight="1">
      <c r="A16" s="50"/>
      <c r="B16" s="48"/>
      <c r="C16" s="48"/>
      <c r="D16" s="48"/>
      <c r="E16" s="48"/>
      <c r="F16" s="48"/>
      <c r="G16" s="49"/>
      <c r="H16" s="49"/>
      <c r="I16" s="48"/>
      <c r="J16" s="48"/>
    </row>
    <row r="17" spans="1:10" s="38" customFormat="1" ht="19.95" customHeight="1">
      <c r="A17" s="50"/>
      <c r="B17" s="48"/>
      <c r="C17" s="48"/>
      <c r="D17" s="48"/>
      <c r="E17" s="48"/>
      <c r="F17" s="48"/>
      <c r="G17" s="49"/>
      <c r="H17" s="49"/>
      <c r="I17" s="48"/>
      <c r="J17" s="48"/>
    </row>
    <row r="18" spans="1:10" s="38" customFormat="1" ht="19.95" customHeight="1">
      <c r="A18" s="50"/>
      <c r="B18" s="48"/>
      <c r="C18" s="48"/>
      <c r="D18" s="48"/>
      <c r="E18" s="48"/>
      <c r="F18" s="48"/>
      <c r="G18" s="49"/>
      <c r="H18" s="49"/>
      <c r="I18" s="48"/>
      <c r="J18" s="48"/>
    </row>
    <row r="19" spans="1:10" s="38" customFormat="1" ht="19.95" customHeight="1">
      <c r="A19" s="50"/>
      <c r="B19" s="48"/>
      <c r="C19" s="48"/>
      <c r="D19" s="48"/>
      <c r="E19" s="48"/>
      <c r="F19" s="48"/>
      <c r="G19" s="49"/>
      <c r="H19" s="49"/>
      <c r="I19" s="48"/>
      <c r="J19" s="48"/>
    </row>
    <row r="20" spans="1:10" s="38" customFormat="1" ht="19.95" customHeight="1">
      <c r="A20" s="50"/>
      <c r="B20" s="48"/>
      <c r="C20" s="48"/>
      <c r="D20" s="48"/>
      <c r="E20" s="48"/>
      <c r="F20" s="48"/>
      <c r="G20" s="49"/>
      <c r="H20" s="49"/>
      <c r="I20" s="48"/>
      <c r="J20" s="48"/>
    </row>
    <row r="21" spans="1:10" s="38" customFormat="1" ht="19.95" customHeight="1">
      <c r="A21" s="53"/>
      <c r="B21" s="53"/>
      <c r="C21" s="53"/>
      <c r="D21" s="54"/>
      <c r="E21" s="54"/>
      <c r="F21" s="54"/>
      <c r="G21" s="55"/>
      <c r="H21" s="55"/>
      <c r="I21" s="54"/>
      <c r="J21" s="56"/>
    </row>
    <row r="22" spans="1:10" s="38" customFormat="1" ht="28.2" customHeight="1">
      <c r="A22" s="235" t="s">
        <v>157</v>
      </c>
      <c r="B22" s="236"/>
      <c r="C22" s="236"/>
      <c r="D22" s="236"/>
      <c r="E22" s="236"/>
      <c r="F22" s="236"/>
      <c r="G22" s="236"/>
      <c r="H22" s="236"/>
      <c r="I22" s="236"/>
      <c r="J22" s="236"/>
    </row>
    <row r="23" spans="1:10" ht="30.6" customHeight="1">
      <c r="A23" s="235"/>
      <c r="B23" s="236"/>
      <c r="C23" s="236"/>
      <c r="D23" s="236"/>
      <c r="E23" s="236"/>
      <c r="F23" s="236"/>
      <c r="G23" s="236"/>
      <c r="H23" s="236"/>
      <c r="I23" s="236"/>
      <c r="J23" s="236"/>
    </row>
  </sheetData>
  <mergeCells count="4">
    <mergeCell ref="A1:J1"/>
    <mergeCell ref="A2:J2"/>
    <mergeCell ref="A23:J23"/>
    <mergeCell ref="A22:J22"/>
  </mergeCells>
  <phoneticPr fontId="77" type="noConversion"/>
  <dataValidations count="1">
    <dataValidation type="list" allowBlank="1" showInputMessage="1" showErrorMessage="1" sqref="B6:B20">
      <formula1>"账项调整,报表调整,其他"</formula1>
    </dataValidation>
  </dataValidations>
  <hyperlinks>
    <hyperlink ref="J3" location="底稿目录!A1" display="=底稿目录!F9"/>
  </hyperlinks>
  <pageMargins left="0.70866141732283505" right="0.70866141732283505" top="0.74803149606299202" bottom="0.74803149606299202" header="0.31496062992126" footer="0.31496062992126"/>
  <pageSetup paperSize="9" scale="75" orientation="portrait"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T29"/>
  <sheetViews>
    <sheetView view="pageBreakPreview" zoomScaleNormal="100" workbookViewId="0">
      <selection activeCell="Q3" sqref="Q3"/>
    </sheetView>
  </sheetViews>
  <sheetFormatPr defaultColWidth="9" defaultRowHeight="15.6"/>
  <cols>
    <col min="1" max="1" width="9" style="4"/>
    <col min="2" max="2" width="11" style="5" customWidth="1"/>
    <col min="3" max="3" width="10.796875" style="4" customWidth="1"/>
    <col min="4" max="4" width="17" style="4" customWidth="1"/>
    <col min="5" max="5" width="13.69921875" style="4" customWidth="1"/>
    <col min="6" max="6" width="12.69921875" style="4" customWidth="1"/>
    <col min="7" max="7" width="11.59765625" style="4" customWidth="1"/>
    <col min="8" max="8" width="11" style="4" customWidth="1"/>
    <col min="9" max="9" width="23.3984375" style="4" customWidth="1"/>
    <col min="10" max="14" width="4.09765625" style="4" customWidth="1"/>
    <col min="15" max="15" width="11.8984375" style="4" customWidth="1"/>
    <col min="16" max="16" width="7.3984375" style="4" customWidth="1"/>
    <col min="17" max="16384" width="9" style="4"/>
  </cols>
  <sheetData>
    <row r="1" spans="1:20" s="1" customFormat="1" ht="19.95" customHeight="1">
      <c r="A1" s="239" t="s">
        <v>40</v>
      </c>
      <c r="B1" s="239"/>
      <c r="C1" s="239"/>
      <c r="D1" s="239"/>
      <c r="E1" s="239"/>
      <c r="F1" s="239"/>
      <c r="G1" s="239"/>
      <c r="H1" s="239"/>
      <c r="I1" s="239"/>
      <c r="J1" s="239"/>
      <c r="K1" s="239"/>
      <c r="L1" s="239"/>
      <c r="M1" s="239"/>
      <c r="N1" s="239"/>
      <c r="O1" s="239"/>
      <c r="P1" s="239"/>
      <c r="Q1" s="239"/>
    </row>
    <row r="2" spans="1:20" s="1" customFormat="1" ht="19.95" customHeight="1">
      <c r="A2" s="240" t="s">
        <v>158</v>
      </c>
      <c r="B2" s="240"/>
      <c r="C2" s="240"/>
      <c r="D2" s="240"/>
      <c r="E2" s="240"/>
      <c r="F2" s="240"/>
      <c r="G2" s="240"/>
      <c r="H2" s="240"/>
      <c r="I2" s="240"/>
      <c r="J2" s="240"/>
      <c r="K2" s="240"/>
      <c r="L2" s="240"/>
      <c r="M2" s="240"/>
      <c r="N2" s="240"/>
      <c r="O2" s="240"/>
      <c r="P2" s="240"/>
      <c r="Q2" s="240"/>
      <c r="R2" s="36"/>
    </row>
    <row r="3" spans="1:20" s="2" customFormat="1" ht="19.95" customHeight="1">
      <c r="A3" s="2" t="str">
        <f>底稿目录!A2</f>
        <v>被审计单位：</v>
      </c>
      <c r="B3" s="6"/>
      <c r="C3" s="7"/>
      <c r="F3" s="7" t="str">
        <f>底稿目录!A4</f>
        <v>编制人：</v>
      </c>
      <c r="K3" s="6" t="str">
        <f>底稿目录!A5</f>
        <v>编制日期：</v>
      </c>
      <c r="L3" s="28"/>
      <c r="M3" s="28"/>
      <c r="P3" s="2" t="s">
        <v>22</v>
      </c>
      <c r="Q3" s="188" t="str">
        <f>底稿目录!F10</f>
        <v>L6-4</v>
      </c>
    </row>
    <row r="4" spans="1:20" s="2" customFormat="1" ht="19.95" customHeight="1">
      <c r="A4" s="2" t="str">
        <f>底稿目录!A3</f>
        <v>截止日：202X年12月31日</v>
      </c>
      <c r="B4" s="6"/>
      <c r="C4" s="7"/>
      <c r="F4" s="7" t="str">
        <f>底稿目录!A6</f>
        <v>复核人：</v>
      </c>
      <c r="K4" s="6" t="str">
        <f>底稿目录!A7</f>
        <v>复核日期：</v>
      </c>
      <c r="L4" s="28"/>
      <c r="M4" s="28"/>
      <c r="P4" s="2" t="s">
        <v>74</v>
      </c>
    </row>
    <row r="5" spans="1:20" s="3" customFormat="1" ht="19.95" customHeight="1">
      <c r="A5" s="8" t="s">
        <v>117</v>
      </c>
      <c r="B5" s="9"/>
      <c r="C5" s="241"/>
      <c r="D5" s="241"/>
      <c r="E5" s="241"/>
      <c r="F5" s="241"/>
      <c r="G5" s="241"/>
      <c r="H5" s="241"/>
      <c r="I5" s="241"/>
      <c r="J5" s="241"/>
      <c r="K5" s="241"/>
      <c r="L5" s="241"/>
      <c r="M5" s="241"/>
      <c r="N5" s="241"/>
      <c r="O5" s="241"/>
      <c r="P5" s="241"/>
      <c r="Q5" s="241"/>
    </row>
    <row r="6" spans="1:20" s="3" customFormat="1" ht="19.95" customHeight="1">
      <c r="A6" s="11" t="s">
        <v>159</v>
      </c>
      <c r="B6" s="12"/>
      <c r="C6" s="10"/>
      <c r="D6" s="13"/>
      <c r="E6" s="13"/>
      <c r="F6" s="13"/>
      <c r="G6" s="13"/>
      <c r="H6" s="13"/>
      <c r="I6" s="13"/>
      <c r="J6" s="13"/>
      <c r="K6" s="13"/>
      <c r="L6" s="13"/>
      <c r="M6" s="13"/>
      <c r="N6" s="13"/>
      <c r="O6" s="29"/>
      <c r="P6" s="29"/>
      <c r="Q6" s="29"/>
      <c r="R6" s="29"/>
      <c r="S6" s="29"/>
      <c r="T6" s="29"/>
    </row>
    <row r="7" spans="1:20" s="3" customFormat="1" ht="19.95" customHeight="1">
      <c r="A7" s="11" t="s">
        <v>160</v>
      </c>
      <c r="B7" s="12"/>
      <c r="C7" s="10"/>
      <c r="D7" s="13"/>
      <c r="E7" s="13"/>
      <c r="F7" s="13"/>
      <c r="G7" s="13"/>
      <c r="H7" s="13"/>
      <c r="I7" s="13"/>
      <c r="J7" s="13"/>
      <c r="K7" s="13"/>
      <c r="L7" s="13"/>
      <c r="M7" s="13"/>
      <c r="N7" s="13"/>
      <c r="O7" s="29"/>
      <c r="P7" s="29"/>
      <c r="Q7" s="29"/>
      <c r="R7" s="29"/>
      <c r="S7" s="29"/>
      <c r="T7" s="29"/>
    </row>
    <row r="8" spans="1:20" s="3" customFormat="1" ht="19.95" customHeight="1">
      <c r="A8" s="14" t="s">
        <v>161</v>
      </c>
      <c r="B8" s="15"/>
      <c r="C8" s="16" t="s">
        <v>162</v>
      </c>
      <c r="D8" s="17"/>
      <c r="E8" s="17"/>
      <c r="F8" s="17"/>
      <c r="G8" s="17"/>
      <c r="H8" s="17"/>
      <c r="I8" s="17"/>
      <c r="J8" s="17"/>
      <c r="K8" s="17"/>
      <c r="L8" s="17"/>
      <c r="M8" s="17"/>
    </row>
    <row r="9" spans="1:20" s="3" customFormat="1" ht="19.95" customHeight="1">
      <c r="A9" s="18" t="s">
        <v>163</v>
      </c>
      <c r="B9" s="15"/>
      <c r="C9" s="17"/>
      <c r="D9" s="17"/>
      <c r="E9" s="17"/>
      <c r="F9" s="17"/>
      <c r="G9" s="17"/>
      <c r="H9" s="17"/>
      <c r="I9" s="17"/>
      <c r="J9" s="17"/>
      <c r="K9" s="17"/>
      <c r="L9" s="17"/>
      <c r="M9" s="17"/>
    </row>
    <row r="10" spans="1:20" s="3" customFormat="1" ht="19.95" customHeight="1">
      <c r="A10" s="245" t="s">
        <v>164</v>
      </c>
      <c r="B10" s="242" t="s">
        <v>165</v>
      </c>
      <c r="C10" s="242"/>
      <c r="D10" s="242"/>
      <c r="E10" s="242"/>
      <c r="F10" s="242"/>
      <c r="G10" s="242"/>
      <c r="H10" s="242"/>
      <c r="I10" s="247" t="s">
        <v>166</v>
      </c>
      <c r="J10" s="243" t="s">
        <v>167</v>
      </c>
      <c r="K10" s="244"/>
      <c r="L10" s="244"/>
      <c r="M10" s="244"/>
      <c r="N10" s="244"/>
      <c r="O10" s="248" t="s">
        <v>168</v>
      </c>
      <c r="P10" s="249" t="s">
        <v>169</v>
      </c>
      <c r="Q10" s="251" t="s">
        <v>170</v>
      </c>
    </row>
    <row r="11" spans="1:20" s="3" customFormat="1" ht="19.95" customHeight="1">
      <c r="A11" s="246"/>
      <c r="B11" s="19" t="s">
        <v>171</v>
      </c>
      <c r="C11" s="19" t="s">
        <v>172</v>
      </c>
      <c r="D11" s="19" t="s">
        <v>173</v>
      </c>
      <c r="E11" s="19" t="s">
        <v>174</v>
      </c>
      <c r="F11" s="19" t="s">
        <v>175</v>
      </c>
      <c r="G11" s="20" t="s">
        <v>176</v>
      </c>
      <c r="H11" s="20" t="s">
        <v>177</v>
      </c>
      <c r="I11" s="247"/>
      <c r="J11" s="177">
        <v>1</v>
      </c>
      <c r="K11" s="177">
        <v>2</v>
      </c>
      <c r="L11" s="177">
        <v>3</v>
      </c>
      <c r="M11" s="177">
        <v>4</v>
      </c>
      <c r="N11" s="177">
        <v>5</v>
      </c>
      <c r="O11" s="248"/>
      <c r="P11" s="250"/>
      <c r="Q11" s="251"/>
    </row>
    <row r="12" spans="1:20" s="3" customFormat="1" ht="19.95" customHeight="1">
      <c r="A12" s="21"/>
      <c r="B12" s="22"/>
      <c r="C12" s="21"/>
      <c r="D12" s="21"/>
      <c r="E12" s="21"/>
      <c r="F12" s="21"/>
      <c r="G12" s="178"/>
      <c r="H12" s="179"/>
      <c r="I12" s="30"/>
      <c r="J12" s="31"/>
      <c r="K12" s="31"/>
      <c r="L12" s="31"/>
      <c r="M12" s="31"/>
      <c r="N12" s="31"/>
      <c r="O12" s="21"/>
      <c r="P12" s="21"/>
      <c r="Q12" s="37"/>
    </row>
    <row r="13" spans="1:20" s="3" customFormat="1" ht="19.95" customHeight="1">
      <c r="A13" s="21"/>
      <c r="B13" s="22"/>
      <c r="C13" s="21"/>
      <c r="D13" s="21"/>
      <c r="E13" s="21"/>
      <c r="F13" s="21"/>
      <c r="G13" s="178"/>
      <c r="H13" s="179"/>
      <c r="I13" s="30"/>
      <c r="J13" s="31"/>
      <c r="K13" s="31"/>
      <c r="L13" s="31"/>
      <c r="M13" s="31"/>
      <c r="N13" s="31"/>
      <c r="O13" s="21"/>
      <c r="P13" s="21"/>
      <c r="Q13" s="37"/>
    </row>
    <row r="14" spans="1:20" s="3" customFormat="1" ht="19.95" customHeight="1">
      <c r="A14" s="21"/>
      <c r="B14" s="22"/>
      <c r="C14" s="21"/>
      <c r="D14" s="21"/>
      <c r="E14" s="21"/>
      <c r="F14" s="21"/>
      <c r="G14" s="178"/>
      <c r="H14" s="179"/>
      <c r="I14" s="30"/>
      <c r="J14" s="31"/>
      <c r="K14" s="31"/>
      <c r="L14" s="31"/>
      <c r="M14" s="31"/>
      <c r="N14" s="31"/>
      <c r="O14" s="21"/>
      <c r="P14" s="21"/>
      <c r="Q14" s="37"/>
    </row>
    <row r="15" spans="1:20" s="3" customFormat="1" ht="19.95" customHeight="1">
      <c r="A15" s="21"/>
      <c r="B15" s="22"/>
      <c r="C15" s="21"/>
      <c r="D15" s="21"/>
      <c r="E15" s="21"/>
      <c r="F15" s="21"/>
      <c r="G15" s="178"/>
      <c r="H15" s="179"/>
      <c r="I15" s="30"/>
      <c r="J15" s="31"/>
      <c r="K15" s="31"/>
      <c r="L15" s="31"/>
      <c r="M15" s="31"/>
      <c r="N15" s="31"/>
      <c r="O15" s="21"/>
      <c r="P15" s="21"/>
      <c r="Q15" s="37"/>
    </row>
    <row r="16" spans="1:20" s="3" customFormat="1" ht="19.95" customHeight="1">
      <c r="A16" s="21"/>
      <c r="B16" s="22"/>
      <c r="C16" s="21"/>
      <c r="D16" s="21"/>
      <c r="E16" s="21"/>
      <c r="F16" s="21"/>
      <c r="G16" s="178"/>
      <c r="H16" s="179"/>
      <c r="I16" s="30"/>
      <c r="J16" s="31"/>
      <c r="K16" s="31"/>
      <c r="L16" s="31"/>
      <c r="M16" s="31"/>
      <c r="N16" s="31"/>
      <c r="O16" s="21"/>
      <c r="P16" s="21"/>
      <c r="Q16" s="37"/>
    </row>
    <row r="17" spans="1:17" s="3" customFormat="1" ht="19.95" customHeight="1">
      <c r="A17" s="21"/>
      <c r="B17" s="22"/>
      <c r="C17" s="21"/>
      <c r="D17" s="21"/>
      <c r="G17" s="178"/>
      <c r="H17" s="179"/>
      <c r="I17" s="30"/>
      <c r="J17" s="31"/>
      <c r="K17" s="31"/>
      <c r="L17" s="31"/>
      <c r="M17" s="31"/>
      <c r="N17" s="31"/>
      <c r="O17" s="21"/>
      <c r="P17" s="21"/>
      <c r="Q17" s="37"/>
    </row>
    <row r="18" spans="1:17" s="3" customFormat="1" ht="19.95" customHeight="1">
      <c r="A18" s="21"/>
      <c r="B18" s="22"/>
      <c r="C18" s="21"/>
      <c r="D18" s="21"/>
      <c r="E18" s="21"/>
      <c r="F18" s="21"/>
      <c r="G18" s="178"/>
      <c r="H18" s="179"/>
      <c r="I18" s="30"/>
      <c r="J18" s="31"/>
      <c r="K18" s="31"/>
      <c r="L18" s="31"/>
      <c r="M18" s="31"/>
      <c r="N18" s="31"/>
      <c r="O18" s="21"/>
      <c r="P18" s="21"/>
      <c r="Q18" s="37"/>
    </row>
    <row r="19" spans="1:17" s="185" customFormat="1" ht="19.95" customHeight="1">
      <c r="A19" s="237" t="s">
        <v>207</v>
      </c>
      <c r="B19" s="238"/>
      <c r="C19" s="238"/>
      <c r="D19" s="238"/>
      <c r="E19" s="180"/>
      <c r="F19" s="180"/>
      <c r="G19" s="181">
        <f>SUM(G12:G18)</f>
        <v>0</v>
      </c>
      <c r="H19" s="181">
        <f>SUM(H12:H18)</f>
        <v>0</v>
      </c>
      <c r="I19" s="182"/>
      <c r="J19" s="183"/>
      <c r="K19" s="183"/>
      <c r="L19" s="183"/>
      <c r="M19" s="183"/>
      <c r="N19" s="183"/>
      <c r="O19" s="180"/>
      <c r="P19" s="180"/>
      <c r="Q19" s="184"/>
    </row>
    <row r="20" spans="1:17" s="185" customFormat="1" ht="19.95" customHeight="1">
      <c r="A20" s="237" t="s">
        <v>208</v>
      </c>
      <c r="B20" s="238"/>
      <c r="C20" s="238"/>
      <c r="D20" s="238"/>
      <c r="E20" s="180"/>
      <c r="F20" s="180"/>
      <c r="G20" s="181">
        <f>'明细表L6-2'!R20+'明细表L6-2'!S20</f>
        <v>0</v>
      </c>
      <c r="H20" s="186">
        <f>'明细表L6-2'!Q20</f>
        <v>0</v>
      </c>
      <c r="I20" s="182"/>
      <c r="J20" s="183"/>
      <c r="K20" s="183"/>
      <c r="L20" s="183"/>
      <c r="M20" s="183"/>
      <c r="N20" s="183"/>
      <c r="O20" s="180"/>
      <c r="P20" s="180"/>
      <c r="Q20" s="184"/>
    </row>
    <row r="21" spans="1:17" s="185" customFormat="1" ht="19.95" customHeight="1">
      <c r="A21" s="237" t="s">
        <v>209</v>
      </c>
      <c r="B21" s="238"/>
      <c r="C21" s="238"/>
      <c r="D21" s="238"/>
      <c r="E21" s="180"/>
      <c r="F21" s="180"/>
      <c r="G21" s="187" t="e">
        <f>G19/G20</f>
        <v>#DIV/0!</v>
      </c>
      <c r="H21" s="187" t="e">
        <f>H19/H20</f>
        <v>#DIV/0!</v>
      </c>
      <c r="I21" s="182"/>
      <c r="J21" s="183"/>
      <c r="K21" s="183"/>
      <c r="L21" s="183"/>
      <c r="M21" s="183"/>
      <c r="N21" s="183"/>
      <c r="O21" s="180"/>
      <c r="P21" s="180"/>
      <c r="Q21" s="184"/>
    </row>
    <row r="22" spans="1:17" s="3" customFormat="1" ht="19.95" customHeight="1">
      <c r="A22" s="23" t="s">
        <v>178</v>
      </c>
      <c r="B22" s="24" t="s">
        <v>179</v>
      </c>
      <c r="C22" s="25"/>
      <c r="D22" s="25"/>
      <c r="E22" s="25"/>
      <c r="F22" s="24" t="s">
        <v>180</v>
      </c>
      <c r="G22" s="25"/>
      <c r="H22" s="25"/>
      <c r="I22" s="32"/>
      <c r="J22" s="32"/>
      <c r="K22" s="25"/>
      <c r="L22" s="33"/>
      <c r="M22" s="33"/>
      <c r="N22" s="33"/>
      <c r="O22" s="34"/>
      <c r="P22" s="35"/>
    </row>
    <row r="23" spans="1:17" s="3" customFormat="1" ht="19.95" customHeight="1">
      <c r="A23" s="26" t="s">
        <v>181</v>
      </c>
      <c r="B23" s="27"/>
      <c r="C23" s="25"/>
      <c r="D23" s="25"/>
      <c r="E23" s="25"/>
      <c r="F23" s="25"/>
      <c r="G23" s="25"/>
      <c r="H23" s="25"/>
      <c r="I23" s="32"/>
      <c r="J23" s="32"/>
      <c r="K23" s="25"/>
      <c r="L23" s="33"/>
      <c r="M23" s="33"/>
      <c r="N23" s="33"/>
      <c r="O23" s="25"/>
    </row>
    <row r="24" spans="1:17" s="3" customFormat="1" ht="19.95" customHeight="1">
      <c r="A24" s="23"/>
      <c r="B24" s="27"/>
      <c r="C24" s="25"/>
      <c r="D24" s="25"/>
      <c r="E24" s="25"/>
      <c r="F24" s="25"/>
      <c r="G24" s="25"/>
      <c r="H24" s="25"/>
      <c r="I24" s="32"/>
      <c r="J24" s="32"/>
      <c r="K24" s="25"/>
      <c r="L24" s="33"/>
      <c r="M24" s="33"/>
      <c r="N24" s="33"/>
      <c r="O24" s="25"/>
    </row>
    <row r="25" spans="1:17" s="3" customFormat="1" ht="19.95" customHeight="1">
      <c r="A25" s="26" t="s">
        <v>182</v>
      </c>
      <c r="B25" s="27"/>
      <c r="C25" s="25"/>
      <c r="D25" s="25"/>
      <c r="E25" s="25"/>
      <c r="F25" s="25"/>
      <c r="G25" s="25"/>
      <c r="H25" s="25"/>
      <c r="I25" s="32"/>
      <c r="J25" s="32"/>
      <c r="K25" s="25"/>
      <c r="L25" s="33"/>
      <c r="M25" s="33"/>
      <c r="N25" s="33"/>
      <c r="O25" s="25"/>
    </row>
    <row r="26" spans="1:17" s="3" customFormat="1" ht="20.100000000000001" customHeight="1">
      <c r="B26" s="27"/>
      <c r="C26" s="25"/>
      <c r="D26" s="25"/>
      <c r="E26" s="25"/>
      <c r="F26" s="25"/>
      <c r="G26" s="25"/>
      <c r="H26" s="25"/>
      <c r="I26" s="32"/>
      <c r="J26" s="32"/>
      <c r="K26" s="25"/>
      <c r="L26" s="33"/>
      <c r="M26" s="33"/>
      <c r="N26" s="33"/>
      <c r="O26" s="25"/>
    </row>
    <row r="27" spans="1:17" s="3" customFormat="1" ht="20.100000000000001" customHeight="1">
      <c r="A27" s="23"/>
      <c r="B27" s="27"/>
      <c r="C27" s="25"/>
      <c r="D27" s="25"/>
      <c r="E27" s="25"/>
      <c r="F27" s="25"/>
      <c r="G27" s="25"/>
      <c r="H27" s="25"/>
      <c r="I27" s="32"/>
      <c r="J27" s="32"/>
      <c r="K27" s="25"/>
      <c r="L27" s="33"/>
      <c r="M27" s="33"/>
      <c r="N27" s="33"/>
      <c r="O27" s="25"/>
    </row>
    <row r="28" spans="1:17" s="3" customFormat="1" ht="20.100000000000001" customHeight="1">
      <c r="A28" s="23"/>
      <c r="B28" s="27"/>
      <c r="C28" s="25"/>
      <c r="D28" s="25"/>
      <c r="E28" s="25"/>
      <c r="F28" s="25"/>
      <c r="G28" s="25"/>
      <c r="H28" s="25"/>
      <c r="I28" s="32"/>
      <c r="J28" s="32"/>
      <c r="K28" s="25"/>
      <c r="L28" s="33"/>
      <c r="M28" s="33"/>
      <c r="N28" s="33"/>
      <c r="O28" s="25"/>
    </row>
    <row r="29" spans="1:17" s="3" customFormat="1" ht="20.100000000000001" customHeight="1">
      <c r="A29" s="23"/>
      <c r="B29" s="27"/>
      <c r="C29" s="25"/>
      <c r="D29" s="25"/>
      <c r="E29" s="25"/>
      <c r="F29" s="25"/>
      <c r="G29" s="25"/>
      <c r="H29" s="25"/>
      <c r="I29" s="32"/>
      <c r="J29" s="32"/>
      <c r="K29" s="25"/>
      <c r="L29" s="33"/>
      <c r="M29" s="33"/>
      <c r="N29" s="33"/>
      <c r="O29" s="25"/>
    </row>
  </sheetData>
  <mergeCells count="13">
    <mergeCell ref="A19:D19"/>
    <mergeCell ref="A20:D20"/>
    <mergeCell ref="A21:D21"/>
    <mergeCell ref="A1:Q1"/>
    <mergeCell ref="A2:Q2"/>
    <mergeCell ref="C5:Q5"/>
    <mergeCell ref="B10:H10"/>
    <mergeCell ref="J10:N10"/>
    <mergeCell ref="A10:A11"/>
    <mergeCell ref="I10:I11"/>
    <mergeCell ref="O10:O11"/>
    <mergeCell ref="P10:P11"/>
    <mergeCell ref="Q10:Q11"/>
  </mergeCells>
  <phoneticPr fontId="77" type="noConversion"/>
  <dataValidations count="1">
    <dataValidation type="list" allowBlank="1" showInputMessage="1" showErrorMessage="1" sqref="J12:N21">
      <formula1>"√,X"</formula1>
    </dataValidation>
  </dataValidations>
  <hyperlinks>
    <hyperlink ref="Q3" location="底稿目录!A1" display="=底稿目录!F10"/>
  </hyperlinks>
  <printOptions horizontalCentered="1"/>
  <pageMargins left="0.70866141732283505" right="0.70866141732283505" top="0.74803149606299202" bottom="0.74803149606299202" header="0.31496062992126" footer="0.31496062992126"/>
  <pageSetup paperSize="9" scale="72" fitToHeight="0" orientation="landscape" blackAndWhite="1"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B8"/>
  <sheetViews>
    <sheetView workbookViewId="0"/>
  </sheetViews>
  <sheetFormatPr defaultColWidth="8.796875" defaultRowHeight="15.6"/>
  <sheetData>
    <row r="1" spans="1:2">
      <c r="A1" t="s">
        <v>183</v>
      </c>
      <c r="B1" t="s">
        <v>184</v>
      </c>
    </row>
    <row r="2" spans="1:2">
      <c r="A2" t="s">
        <v>185</v>
      </c>
      <c r="B2" t="s">
        <v>186</v>
      </c>
    </row>
    <row r="3" spans="1:2">
      <c r="A3" t="s">
        <v>187</v>
      </c>
      <c r="B3" t="s">
        <v>188</v>
      </c>
    </row>
    <row r="4" spans="1:2">
      <c r="A4" t="s">
        <v>189</v>
      </c>
      <c r="B4" t="s">
        <v>190</v>
      </c>
    </row>
    <row r="5" spans="1:2">
      <c r="A5" t="s">
        <v>191</v>
      </c>
      <c r="B5" t="s">
        <v>192</v>
      </c>
    </row>
    <row r="6" spans="1:2">
      <c r="A6" t="s">
        <v>193</v>
      </c>
      <c r="B6" t="s">
        <v>194</v>
      </c>
    </row>
    <row r="7" spans="1:2">
      <c r="A7" t="s">
        <v>195</v>
      </c>
      <c r="B7" t="s">
        <v>196</v>
      </c>
    </row>
    <row r="8" spans="1:2">
      <c r="A8" t="s">
        <v>197</v>
      </c>
      <c r="B8" t="s">
        <v>198</v>
      </c>
    </row>
  </sheetData>
  <phoneticPr fontId="7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9</vt:i4>
      </vt:variant>
    </vt:vector>
  </HeadingPairs>
  <TitlesOfParts>
    <vt:vector size="18" baseType="lpstr">
      <vt:lpstr>底稿目录</vt:lpstr>
      <vt:lpstr>专项应付款实质性程序表L6A</vt:lpstr>
      <vt:lpstr>审定表L6-1</vt:lpstr>
      <vt:lpstr>附注披露（上市公司）信息</vt:lpstr>
      <vt:lpstr>附注披露（国企）信息</vt:lpstr>
      <vt:lpstr>明细表L6-2</vt:lpstr>
      <vt:lpstr>调整分录汇总L6-3</vt:lpstr>
      <vt:lpstr>检查表L6-4</vt:lpstr>
      <vt:lpstr>GT_Custom</vt:lpstr>
      <vt:lpstr>'调整分录汇总L6-3'!Print_Area</vt:lpstr>
      <vt:lpstr>'附注披露（国企）信息'!Print_Area</vt:lpstr>
      <vt:lpstr>'附注披露（上市公司）信息'!Print_Area</vt:lpstr>
      <vt:lpstr>'检查表L6-4'!Print_Area</vt:lpstr>
      <vt:lpstr>'明细表L6-2'!Print_Area</vt:lpstr>
      <vt:lpstr>'审定表L6-1'!Print_Area</vt:lpstr>
      <vt:lpstr>专项应付款实质性程序表L6A!Print_Area</vt:lpstr>
      <vt:lpstr>'明细表L6-2'!Print_Titles</vt:lpstr>
      <vt:lpstr>专项应付款实质性程序表L6A!Print_Titles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2025-10-24T03:27:38Z</cp:lastPrinted>
  <dcterms:created xsi:type="dcterms:W3CDTF">2007-05-20T08:51:00Z</dcterms:created>
  <dcterms:modified xsi:type="dcterms:W3CDTF">2025-11-05T08:09:08Z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519E29B99ECF46178DFC7BC6F884AC57_12</vt:lpwstr>
  </property>
  <property fmtid="{D5CDD505-2E9C-101B-9397-08002B2CF9AE}" pid="3" name="KSOProductBuildVer">
    <vt:lpwstr>2052-12.1.0.22529</vt:lpwstr>
  </property>
</Properties>
</file>