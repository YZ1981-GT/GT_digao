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drawings/drawing1.xml" ContentType="application/vnd.openxmlformats-officedocument.drawing+xml"/>
  <Override PartName="/xl/comments2.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codeName="ThisWorkbook" defaultThemeVersion="124226"/>
  <mc:AlternateContent xmlns:mc="http://schemas.openxmlformats.org/markup-compatibility/2006">
    <mc:Choice Requires="x15">
      <x15ac:absPath xmlns:x15ac="http://schemas.microsoft.com/office/spreadsheetml/2010/11/ac" url="D:\5.底稿模板\2025年底稿修订\1.已修订底稿\2025年底稿模板-10.31\L 债务循环\"/>
    </mc:Choice>
  </mc:AlternateContent>
  <bookViews>
    <workbookView xWindow="0" yWindow="0" windowWidth="20748" windowHeight="9696" tabRatio="811"/>
  </bookViews>
  <sheets>
    <sheet name="底稿目录" sheetId="1" r:id="rId1"/>
    <sheet name="应付债券实质性程序表L4A " sheetId="37" r:id="rId2"/>
    <sheet name="审定表L4-1" sheetId="19" r:id="rId3"/>
    <sheet name="附注披露信息核对（上市公司）" sheetId="23" r:id="rId4"/>
    <sheet name="附注披露信息核对（国企）" sheetId="26" r:id="rId5"/>
    <sheet name="应付债券明细表L4-2" sheetId="30" r:id="rId6"/>
    <sheet name="划分为金融负债的其他金融工具明细表L4-3" sheetId="27" r:id="rId7"/>
    <sheet name="调整分录汇总L4-4" sheetId="36" r:id="rId8"/>
    <sheet name="权益与负债划分检查表L4-5" sheetId="32" r:id="rId9"/>
    <sheet name="应付债券初始计量L4-6" sheetId="49" r:id="rId10"/>
    <sheet name="应付债券后续计量(到期一次还本付息)L4-7" sheetId="52" r:id="rId11"/>
    <sheet name="应付债券后续计量(分期付息到期一次还本)L4-7" sheetId="50" r:id="rId12"/>
    <sheet name="应付债券账面核对(到期一次还本付息)L4-8" sheetId="54" r:id="rId13"/>
    <sheet name="应付债券账面核对(分期付息到期一次还本) L4-8" sheetId="53" r:id="rId14"/>
    <sheet name="应付债券检查表L4-9" sheetId="21" r:id="rId15"/>
    <sheet name="GT_Custom" sheetId="24" state="hidden" r:id="rId16"/>
  </sheets>
  <definedNames>
    <definedName name="_xlnm._FilterDatabase" localSheetId="1">'应付债券实质性程序表L4A '!$A$16:$I$27</definedName>
    <definedName name="bs" localSheetId="7">{#N/A,#N/A,FALSE,"BBPREP"}</definedName>
    <definedName name="bs" localSheetId="9">{#N/A,#N/A,FALSE,"BBPREP"}</definedName>
    <definedName name="bs_1" localSheetId="7">{#N/A,#N/A,FALSE,"BBPREP"}</definedName>
    <definedName name="bs_1" localSheetId="9">{#N/A,#N/A,FALSE,"BBPREP"}</definedName>
    <definedName name="OLE_LINK1" localSheetId="3">'附注披露信息核对（上市公司）'!$A$44</definedName>
    <definedName name="_xlnm.Print_Area" localSheetId="0">底稿目录!$A$1:$G$27</definedName>
    <definedName name="_xlnm.Print_Area" localSheetId="7">'调整分录汇总L4-4'!$A$1:$J$20</definedName>
    <definedName name="_xlnm.Print_Area" localSheetId="4">'附注披露信息核对（国企）'!$A$1:$J$61</definedName>
    <definedName name="_xlnm.Print_Area" localSheetId="3">'附注披露信息核对（上市公司）'!$A$1:$J$72</definedName>
    <definedName name="_xlnm.Print_Area" localSheetId="6">'划分为金融负债的其他金融工具明细表L4-3'!$A$1:$AM$23</definedName>
    <definedName name="_xlnm.Print_Area" localSheetId="8">'权益与负债划分检查表L4-5'!$A$1:$N$26</definedName>
    <definedName name="_xlnm.Print_Area" localSheetId="2">'审定表L4-1'!$A$1:$R$24</definedName>
    <definedName name="_xlnm.Print_Area" localSheetId="9">'应付债券初始计量L4-6'!$A$1:$G$48</definedName>
    <definedName name="_xlnm.Print_Area" localSheetId="10">'应付债券后续计量(到期一次还本付息)L4-7'!$A$1:$L$25</definedName>
    <definedName name="_xlnm.Print_Area" localSheetId="11">'应付债券后续计量(分期付息到期一次还本)L4-7'!$A$1:$L$24</definedName>
    <definedName name="_xlnm.Print_Area" localSheetId="14">'应付债券检查表L4-9'!$A$1:$P$30</definedName>
    <definedName name="_xlnm.Print_Area" localSheetId="5">'应付债券明细表L4-2'!$A$1:$CJ$29</definedName>
    <definedName name="_xlnm.Print_Area" localSheetId="1">'应付债券实质性程序表L4A '!$A$1:$I$27</definedName>
    <definedName name="_xlnm.Print_Area" localSheetId="12">'应付债券账面核对(到期一次还本付息)L4-8'!$A$1:$L$36</definedName>
    <definedName name="_xlnm.Print_Area" localSheetId="13">'应付债券账面核对(分期付息到期一次还本) L4-8'!$A$1:$L$36</definedName>
    <definedName name="_xlnm.Print_Titles" localSheetId="6">'划分为金融负债的其他金融工具明细表L4-3'!$A:$B,'划分为金融负债的其他金融工具明细表L4-3'!$10:$12</definedName>
    <definedName name="_xlnm.Print_Titles" localSheetId="5">'应付债券明细表L4-2'!$A:$B,'应付债券明细表L4-2'!$11:$13</definedName>
    <definedName name="_xlnm.Print_Titles" localSheetId="1">'应付债券实质性程序表L4A '!$15:$16</definedName>
  </definedNames>
  <calcPr calcId="162913"/>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23" i="21" l="1"/>
  <c r="F23" i="21"/>
  <c r="BF3" i="30"/>
  <c r="G22" i="21" l="1"/>
  <c r="G24" i="21" s="1"/>
  <c r="F22" i="21"/>
  <c r="F24" i="21" s="1"/>
  <c r="H4" i="21"/>
  <c r="E4" i="21"/>
  <c r="A4" i="21"/>
  <c r="P3" i="21"/>
  <c r="H3" i="21"/>
  <c r="E3" i="21"/>
  <c r="A3" i="21"/>
  <c r="I33" i="53"/>
  <c r="J33" i="53" s="1"/>
  <c r="I32" i="53"/>
  <c r="J32" i="53" s="1"/>
  <c r="I31" i="53"/>
  <c r="J31" i="53" s="1"/>
  <c r="I27" i="53"/>
  <c r="I26" i="53"/>
  <c r="I25" i="53"/>
  <c r="B21" i="53"/>
  <c r="B20" i="53"/>
  <c r="J19" i="53"/>
  <c r="D19" i="53"/>
  <c r="B19" i="53"/>
  <c r="H13" i="53"/>
  <c r="D13" i="53"/>
  <c r="C13" i="53"/>
  <c r="G4" i="53"/>
  <c r="D4" i="53"/>
  <c r="A4" i="53"/>
  <c r="L3" i="53"/>
  <c r="G3" i="53"/>
  <c r="D3" i="53"/>
  <c r="A3" i="53"/>
  <c r="I33" i="54"/>
  <c r="J33" i="54" s="1"/>
  <c r="I32" i="54"/>
  <c r="J32" i="54" s="1"/>
  <c r="I31" i="54"/>
  <c r="J31" i="54" s="1"/>
  <c r="I27" i="54"/>
  <c r="I26" i="54"/>
  <c r="I25" i="54"/>
  <c r="B21" i="54"/>
  <c r="B20" i="54"/>
  <c r="J19" i="54"/>
  <c r="D19" i="54"/>
  <c r="B19" i="54"/>
  <c r="H13" i="54"/>
  <c r="D13" i="54"/>
  <c r="C13" i="54"/>
  <c r="H4" i="54"/>
  <c r="D4" i="54"/>
  <c r="A4" i="54"/>
  <c r="L3" i="54"/>
  <c r="H3" i="54"/>
  <c r="D3" i="54"/>
  <c r="A3" i="54"/>
  <c r="L13" i="50"/>
  <c r="K13" i="50"/>
  <c r="H13" i="50"/>
  <c r="G13" i="50"/>
  <c r="F13" i="50"/>
  <c r="I20" i="50" s="1"/>
  <c r="K20" i="50" s="1"/>
  <c r="E13" i="50"/>
  <c r="D13" i="50"/>
  <c r="C13" i="50"/>
  <c r="B13" i="50"/>
  <c r="D11" i="50"/>
  <c r="B11" i="50"/>
  <c r="H19" i="53" s="1"/>
  <c r="AC9" i="50"/>
  <c r="AD9" i="50" s="1"/>
  <c r="AF9" i="50" s="1"/>
  <c r="AC5" i="50"/>
  <c r="AD5" i="50" s="1"/>
  <c r="AF5" i="50" s="1"/>
  <c r="AC4" i="50"/>
  <c r="AD4" i="50" s="1"/>
  <c r="AF4" i="50" s="1"/>
  <c r="H4" i="50"/>
  <c r="F4" i="50"/>
  <c r="A4" i="50"/>
  <c r="L3" i="50"/>
  <c r="H3" i="50"/>
  <c r="F3" i="50"/>
  <c r="A3" i="50"/>
  <c r="C18" i="52"/>
  <c r="D18" i="52" s="1"/>
  <c r="L13" i="52"/>
  <c r="K13" i="52"/>
  <c r="H13" i="52"/>
  <c r="J13" i="52" s="1"/>
  <c r="G13" i="52"/>
  <c r="F13" i="52"/>
  <c r="E20" i="52" s="1"/>
  <c r="E13" i="52"/>
  <c r="D13" i="52"/>
  <c r="C13" i="52"/>
  <c r="B13" i="52"/>
  <c r="D11" i="52"/>
  <c r="B11" i="52"/>
  <c r="H4" i="52"/>
  <c r="D4" i="52"/>
  <c r="A4" i="52"/>
  <c r="L3" i="52"/>
  <c r="H3" i="52"/>
  <c r="D3" i="52"/>
  <c r="A3" i="52"/>
  <c r="F44" i="49"/>
  <c r="F43" i="49"/>
  <c r="F42" i="49"/>
  <c r="F41" i="49"/>
  <c r="F40" i="49"/>
  <c r="F39" i="49"/>
  <c r="E39" i="49"/>
  <c r="D39" i="49"/>
  <c r="C39" i="49"/>
  <c r="B39" i="49"/>
  <c r="F38" i="49"/>
  <c r="E38" i="49"/>
  <c r="D38" i="49"/>
  <c r="C38" i="49"/>
  <c r="B38" i="49"/>
  <c r="F37" i="49"/>
  <c r="E37" i="49"/>
  <c r="D37" i="49"/>
  <c r="C37" i="49"/>
  <c r="B37" i="49"/>
  <c r="F35" i="49"/>
  <c r="E35" i="49"/>
  <c r="D35" i="49"/>
  <c r="C35" i="49"/>
  <c r="B35" i="49"/>
  <c r="F34" i="49"/>
  <c r="E34" i="49"/>
  <c r="D34" i="49"/>
  <c r="C34" i="49"/>
  <c r="B34" i="49"/>
  <c r="E32" i="49"/>
  <c r="D32" i="49"/>
  <c r="C32" i="49"/>
  <c r="B32" i="49"/>
  <c r="D30" i="49"/>
  <c r="C30" i="49"/>
  <c r="B30" i="49"/>
  <c r="D29" i="49"/>
  <c r="C29" i="49"/>
  <c r="B29" i="49"/>
  <c r="F28" i="49"/>
  <c r="B28" i="49"/>
  <c r="D27" i="49"/>
  <c r="C27" i="49"/>
  <c r="B27" i="49"/>
  <c r="F26" i="49"/>
  <c r="E26" i="49"/>
  <c r="D26" i="49"/>
  <c r="C26" i="49"/>
  <c r="B26" i="49"/>
  <c r="D25" i="49"/>
  <c r="C25" i="49"/>
  <c r="B25" i="49"/>
  <c r="E24" i="49"/>
  <c r="D24" i="49"/>
  <c r="C24" i="49"/>
  <c r="B24" i="49"/>
  <c r="E23" i="49"/>
  <c r="E25" i="49" s="1"/>
  <c r="D23" i="49"/>
  <c r="C23" i="49"/>
  <c r="B23" i="49"/>
  <c r="F20" i="49"/>
  <c r="E20" i="49"/>
  <c r="D20" i="49"/>
  <c r="C20" i="49"/>
  <c r="B20" i="49"/>
  <c r="F19" i="49"/>
  <c r="F18" i="49"/>
  <c r="F16" i="49"/>
  <c r="E4" i="49"/>
  <c r="C4" i="49"/>
  <c r="A4" i="49"/>
  <c r="G3" i="49"/>
  <c r="E3" i="49"/>
  <c r="C3" i="49"/>
  <c r="A3" i="49"/>
  <c r="C20" i="32"/>
  <c r="I4" i="32"/>
  <c r="F4" i="32"/>
  <c r="A4" i="32"/>
  <c r="N3" i="32"/>
  <c r="I3" i="32"/>
  <c r="F3" i="32"/>
  <c r="A3" i="32"/>
  <c r="G4" i="36"/>
  <c r="C4" i="36"/>
  <c r="A4" i="36"/>
  <c r="J3" i="36"/>
  <c r="G3" i="36"/>
  <c r="C3" i="36"/>
  <c r="A3" i="36"/>
  <c r="AM18" i="27"/>
  <c r="AL18" i="27"/>
  <c r="AK18" i="27"/>
  <c r="AJ18" i="27"/>
  <c r="AI18" i="27"/>
  <c r="AH18" i="27"/>
  <c r="AG18" i="27"/>
  <c r="AF18" i="27"/>
  <c r="AE18" i="27"/>
  <c r="AD18" i="27"/>
  <c r="AC18" i="27"/>
  <c r="AB18" i="27"/>
  <c r="AA18" i="27"/>
  <c r="Z18" i="27"/>
  <c r="Y18" i="27"/>
  <c r="X18" i="27"/>
  <c r="W18" i="27"/>
  <c r="V18" i="27"/>
  <c r="U18" i="27"/>
  <c r="T18" i="27"/>
  <c r="S18" i="27"/>
  <c r="R18" i="27"/>
  <c r="Q18" i="27"/>
  <c r="P18" i="27"/>
  <c r="O18" i="27"/>
  <c r="N18" i="27"/>
  <c r="M18" i="27"/>
  <c r="L18" i="27"/>
  <c r="AM17" i="27"/>
  <c r="AL17" i="27"/>
  <c r="AK17" i="27"/>
  <c r="AJ17" i="27"/>
  <c r="AI17" i="27"/>
  <c r="AH17" i="27"/>
  <c r="AG17" i="27"/>
  <c r="AF17" i="27"/>
  <c r="S17" i="27"/>
  <c r="R17" i="27"/>
  <c r="AM16" i="27"/>
  <c r="AL16" i="27"/>
  <c r="AK16" i="27"/>
  <c r="AJ16" i="27"/>
  <c r="AI16" i="27"/>
  <c r="AH16" i="27"/>
  <c r="AG16" i="27"/>
  <c r="AF16" i="27"/>
  <c r="S16" i="27"/>
  <c r="R16" i="27"/>
  <c r="AM15" i="27"/>
  <c r="AL15" i="27"/>
  <c r="AK15" i="27"/>
  <c r="AJ15" i="27"/>
  <c r="AI15" i="27"/>
  <c r="AH15" i="27"/>
  <c r="AG15" i="27"/>
  <c r="AF15" i="27"/>
  <c r="S15" i="27"/>
  <c r="R15" i="27"/>
  <c r="AM14" i="27"/>
  <c r="AL14" i="27"/>
  <c r="AK14" i="27"/>
  <c r="AJ14" i="27"/>
  <c r="AI14" i="27"/>
  <c r="AH14" i="27"/>
  <c r="AG14" i="27"/>
  <c r="AF14" i="27"/>
  <c r="S14" i="27"/>
  <c r="R14" i="27"/>
  <c r="AM13" i="27"/>
  <c r="AL13" i="27"/>
  <c r="AK13" i="27"/>
  <c r="AJ13" i="27"/>
  <c r="AI13" i="27"/>
  <c r="AH13" i="27"/>
  <c r="AG13" i="27"/>
  <c r="AF13" i="27"/>
  <c r="S13" i="27"/>
  <c r="R13" i="27"/>
  <c r="AF4" i="27"/>
  <c r="L4" i="27"/>
  <c r="H4" i="27"/>
  <c r="A4" i="27"/>
  <c r="AF3" i="27"/>
  <c r="Z3" i="27"/>
  <c r="S3" i="27"/>
  <c r="L3" i="27"/>
  <c r="H3" i="27"/>
  <c r="A3" i="27"/>
  <c r="CH22" i="30"/>
  <c r="CG22" i="30"/>
  <c r="CF22" i="30"/>
  <c r="CE22" i="30"/>
  <c r="CD22" i="30"/>
  <c r="CC22" i="30"/>
  <c r="CB22" i="30"/>
  <c r="CA22" i="30"/>
  <c r="BZ22" i="30"/>
  <c r="BY22" i="30"/>
  <c r="BX22" i="30"/>
  <c r="BW22" i="30"/>
  <c r="BV22" i="30"/>
  <c r="BT22" i="30"/>
  <c r="BS22" i="30"/>
  <c r="BR22" i="30"/>
  <c r="BQ22" i="30"/>
  <c r="BP22" i="30"/>
  <c r="BN22" i="30"/>
  <c r="BM22" i="30"/>
  <c r="BL22" i="30"/>
  <c r="BK22" i="30"/>
  <c r="BJ22" i="30"/>
  <c r="BI22" i="30"/>
  <c r="BH22" i="30"/>
  <c r="BF22" i="30"/>
  <c r="BE22" i="30"/>
  <c r="BD22" i="30"/>
  <c r="BC22" i="30"/>
  <c r="BB22" i="30"/>
  <c r="BA22" i="30"/>
  <c r="AZ22" i="30"/>
  <c r="AY22" i="30"/>
  <c r="AX22" i="30"/>
  <c r="AW22" i="30"/>
  <c r="AV22" i="30"/>
  <c r="AU22" i="30"/>
  <c r="AT22" i="30"/>
  <c r="AS22" i="30"/>
  <c r="AR22" i="30"/>
  <c r="AQ22" i="30"/>
  <c r="AP22" i="30"/>
  <c r="AO22" i="30"/>
  <c r="AN22" i="30"/>
  <c r="AM22" i="30"/>
  <c r="AL22" i="30"/>
  <c r="AK22" i="30"/>
  <c r="AJ22" i="30"/>
  <c r="AI22" i="30"/>
  <c r="AH22" i="30"/>
  <c r="AG22" i="30"/>
  <c r="AF22" i="30"/>
  <c r="AE22" i="30"/>
  <c r="AD22" i="30"/>
  <c r="AB22" i="30"/>
  <c r="AA22" i="30"/>
  <c r="Z22" i="30"/>
  <c r="Y22" i="30"/>
  <c r="X22" i="30"/>
  <c r="V22" i="30"/>
  <c r="U22" i="30"/>
  <c r="T22" i="30"/>
  <c r="S22" i="30"/>
  <c r="R22" i="30"/>
  <c r="P22" i="30"/>
  <c r="O22" i="30"/>
  <c r="N22" i="30"/>
  <c r="M22" i="30"/>
  <c r="L22" i="30"/>
  <c r="CH21" i="30"/>
  <c r="CG21" i="30"/>
  <c r="CF21" i="30"/>
  <c r="CE21" i="30"/>
  <c r="CD21" i="30"/>
  <c r="CC21" i="30"/>
  <c r="CB21" i="30"/>
  <c r="CA21" i="30"/>
  <c r="BZ21" i="30"/>
  <c r="BY21" i="30"/>
  <c r="BX21" i="30"/>
  <c r="BW21" i="30"/>
  <c r="BV21" i="30"/>
  <c r="BT21" i="30"/>
  <c r="BS21" i="30"/>
  <c r="BR21" i="30"/>
  <c r="BQ21" i="30"/>
  <c r="BP21" i="30"/>
  <c r="BN21" i="30"/>
  <c r="BM21" i="30"/>
  <c r="BL21" i="30"/>
  <c r="BK21" i="30"/>
  <c r="BJ21" i="30"/>
  <c r="BI21" i="30"/>
  <c r="BH21" i="30"/>
  <c r="BF21" i="30"/>
  <c r="BE21" i="30"/>
  <c r="BD21" i="30"/>
  <c r="BC21" i="30"/>
  <c r="BB21" i="30"/>
  <c r="BA21" i="30"/>
  <c r="AZ21" i="30"/>
  <c r="AY21" i="30"/>
  <c r="AX21" i="30"/>
  <c r="AW21" i="30"/>
  <c r="AV21" i="30"/>
  <c r="AU21" i="30"/>
  <c r="AT21" i="30"/>
  <c r="AS21" i="30"/>
  <c r="AR21" i="30"/>
  <c r="AQ21" i="30"/>
  <c r="AP21" i="30"/>
  <c r="AO21" i="30"/>
  <c r="AN21" i="30"/>
  <c r="AM21" i="30"/>
  <c r="AL21" i="30"/>
  <c r="AK21" i="30"/>
  <c r="AJ21" i="30"/>
  <c r="AI21" i="30"/>
  <c r="AH21" i="30"/>
  <c r="AG21" i="30"/>
  <c r="AF21" i="30"/>
  <c r="AE21" i="30"/>
  <c r="AD21" i="30"/>
  <c r="AB21" i="30"/>
  <c r="AA21" i="30"/>
  <c r="Z21" i="30"/>
  <c r="Y21" i="30"/>
  <c r="X21" i="30"/>
  <c r="V21" i="30"/>
  <c r="U21" i="30"/>
  <c r="T21" i="30"/>
  <c r="S21" i="30"/>
  <c r="R21" i="30"/>
  <c r="P21" i="30"/>
  <c r="O21" i="30"/>
  <c r="N21" i="30"/>
  <c r="M21" i="30"/>
  <c r="L21" i="30"/>
  <c r="CH20" i="30"/>
  <c r="CF20" i="30"/>
  <c r="CE20" i="30"/>
  <c r="CD20" i="30"/>
  <c r="CC20" i="30"/>
  <c r="CB20" i="30"/>
  <c r="CA20" i="30"/>
  <c r="BZ20" i="30"/>
  <c r="BY20" i="30"/>
  <c r="BX20" i="30"/>
  <c r="BW20" i="30"/>
  <c r="BV20" i="30"/>
  <c r="BU20" i="30"/>
  <c r="BT20" i="30"/>
  <c r="BS20" i="30"/>
  <c r="BR20" i="30"/>
  <c r="BQ20" i="30"/>
  <c r="BP20" i="30"/>
  <c r="BO20" i="30"/>
  <c r="BN20" i="30"/>
  <c r="BL20" i="30"/>
  <c r="BK20" i="30"/>
  <c r="BJ20" i="30"/>
  <c r="BI20" i="30"/>
  <c r="BH20" i="30"/>
  <c r="BG20" i="30"/>
  <c r="AH20" i="30"/>
  <c r="AG20" i="30"/>
  <c r="AF20" i="30"/>
  <c r="AE20" i="30"/>
  <c r="AD20" i="30"/>
  <c r="AC20" i="30"/>
  <c r="AB20" i="30"/>
  <c r="W20" i="30"/>
  <c r="V20" i="30"/>
  <c r="Q20" i="30"/>
  <c r="P20" i="30"/>
  <c r="K20" i="30"/>
  <c r="CH19" i="30"/>
  <c r="CF19" i="30"/>
  <c r="CE19" i="30"/>
  <c r="CD19" i="30"/>
  <c r="CC19" i="30"/>
  <c r="CB19" i="30"/>
  <c r="CA19" i="30"/>
  <c r="BZ19" i="30"/>
  <c r="BY19" i="30"/>
  <c r="BX19" i="30"/>
  <c r="BW19" i="30"/>
  <c r="BV19" i="30"/>
  <c r="BU19" i="30"/>
  <c r="BT19" i="30"/>
  <c r="BS19" i="30"/>
  <c r="BR19" i="30"/>
  <c r="BQ19" i="30"/>
  <c r="BP19" i="30"/>
  <c r="BO19" i="30"/>
  <c r="BN19" i="30"/>
  <c r="BL19" i="30"/>
  <c r="BK19" i="30"/>
  <c r="BJ19" i="30"/>
  <c r="BI19" i="30"/>
  <c r="BH19" i="30"/>
  <c r="BG19" i="30"/>
  <c r="AH19" i="30"/>
  <c r="AG19" i="30"/>
  <c r="AF19" i="30"/>
  <c r="AE19" i="30"/>
  <c r="AD19" i="30"/>
  <c r="AC19" i="30"/>
  <c r="AB19" i="30"/>
  <c r="W19" i="30"/>
  <c r="V19" i="30"/>
  <c r="Q19" i="30"/>
  <c r="P19" i="30"/>
  <c r="K19" i="30"/>
  <c r="CH17" i="30"/>
  <c r="CG17" i="30"/>
  <c r="CF17" i="30"/>
  <c r="CE17" i="30"/>
  <c r="CD17" i="30"/>
  <c r="CC17" i="30"/>
  <c r="CB17" i="30"/>
  <c r="CA17" i="30"/>
  <c r="BZ17" i="30"/>
  <c r="BY17" i="30"/>
  <c r="BX17" i="30"/>
  <c r="BW17" i="30"/>
  <c r="BV17" i="30"/>
  <c r="BT17" i="30"/>
  <c r="BS17" i="30"/>
  <c r="BR17" i="30"/>
  <c r="BQ17" i="30"/>
  <c r="BP17" i="30"/>
  <c r="BN17" i="30"/>
  <c r="BM17" i="30"/>
  <c r="BL17" i="30"/>
  <c r="BK17" i="30"/>
  <c r="BJ17" i="30"/>
  <c r="BI17" i="30"/>
  <c r="BH17" i="30"/>
  <c r="BF17" i="30"/>
  <c r="BE17" i="30"/>
  <c r="BD17" i="30"/>
  <c r="BC17" i="30"/>
  <c r="BB17" i="30"/>
  <c r="BA17" i="30"/>
  <c r="AZ17" i="30"/>
  <c r="AY17" i="30"/>
  <c r="AX17" i="30"/>
  <c r="AW17" i="30"/>
  <c r="AV17" i="30"/>
  <c r="AU17" i="30"/>
  <c r="AT17" i="30"/>
  <c r="AS17" i="30"/>
  <c r="AR17" i="30"/>
  <c r="AQ17" i="30"/>
  <c r="AP17" i="30"/>
  <c r="AO17" i="30"/>
  <c r="AN17" i="30"/>
  <c r="AM17" i="30"/>
  <c r="AL17" i="30"/>
  <c r="AK17" i="30"/>
  <c r="AJ17" i="30"/>
  <c r="AI17" i="30"/>
  <c r="AH17" i="30"/>
  <c r="AG17" i="30"/>
  <c r="AF17" i="30"/>
  <c r="AE17" i="30"/>
  <c r="AD17" i="30"/>
  <c r="AB17" i="30"/>
  <c r="AA17" i="30"/>
  <c r="Z17" i="30"/>
  <c r="Y17" i="30"/>
  <c r="X17" i="30"/>
  <c r="V17" i="30"/>
  <c r="U17" i="30"/>
  <c r="T17" i="30"/>
  <c r="S17" i="30"/>
  <c r="R17" i="30"/>
  <c r="P17" i="30"/>
  <c r="O17" i="30"/>
  <c r="N17" i="30"/>
  <c r="M17" i="30"/>
  <c r="L17" i="30"/>
  <c r="CH16" i="30"/>
  <c r="CF16" i="30"/>
  <c r="CE16" i="30"/>
  <c r="CD16" i="30"/>
  <c r="CC16" i="30"/>
  <c r="CB16" i="30"/>
  <c r="CA16" i="30"/>
  <c r="BZ16" i="30"/>
  <c r="BY16" i="30"/>
  <c r="BX16" i="30"/>
  <c r="BW16" i="30"/>
  <c r="BV16" i="30"/>
  <c r="BU16" i="30"/>
  <c r="BT16" i="30"/>
  <c r="BS16" i="30"/>
  <c r="BR16" i="30"/>
  <c r="BQ16" i="30"/>
  <c r="BP16" i="30"/>
  <c r="BO16" i="30"/>
  <c r="BN16" i="30"/>
  <c r="BL16" i="30"/>
  <c r="BK16" i="30"/>
  <c r="BJ16" i="30"/>
  <c r="BI16" i="30"/>
  <c r="BH16" i="30"/>
  <c r="BG16" i="30"/>
  <c r="AH16" i="30"/>
  <c r="AG16" i="30"/>
  <c r="AF16" i="30"/>
  <c r="AE16" i="30"/>
  <c r="AD16" i="30"/>
  <c r="AC16" i="30"/>
  <c r="AB16" i="30"/>
  <c r="W16" i="30"/>
  <c r="V16" i="30"/>
  <c r="Q16" i="30"/>
  <c r="P16" i="30"/>
  <c r="K16" i="30"/>
  <c r="CH15" i="30"/>
  <c r="CF15" i="30"/>
  <c r="CE15" i="30"/>
  <c r="CD15" i="30"/>
  <c r="CC15" i="30"/>
  <c r="CB15" i="30"/>
  <c r="CA15" i="30"/>
  <c r="BZ15" i="30"/>
  <c r="BY15" i="30"/>
  <c r="BX15" i="30"/>
  <c r="BW15" i="30"/>
  <c r="BV15" i="30"/>
  <c r="BU15" i="30"/>
  <c r="BT15" i="30"/>
  <c r="BS15" i="30"/>
  <c r="BR15" i="30"/>
  <c r="BQ15" i="30"/>
  <c r="BP15" i="30"/>
  <c r="BO15" i="30"/>
  <c r="BN15" i="30"/>
  <c r="BL15" i="30"/>
  <c r="BK15" i="30"/>
  <c r="BJ15" i="30"/>
  <c r="BI15" i="30"/>
  <c r="BH15" i="30"/>
  <c r="BG15" i="30"/>
  <c r="AH15" i="30"/>
  <c r="AG15" i="30"/>
  <c r="AF15" i="30"/>
  <c r="AE15" i="30"/>
  <c r="AD15" i="30"/>
  <c r="AC15" i="30"/>
  <c r="AB15" i="30"/>
  <c r="W15" i="30"/>
  <c r="V15" i="30"/>
  <c r="Q15" i="30"/>
  <c r="P15" i="30"/>
  <c r="K15" i="30"/>
  <c r="BZ4" i="30"/>
  <c r="AZ4" i="30"/>
  <c r="W4" i="30"/>
  <c r="K4" i="30"/>
  <c r="A4" i="30"/>
  <c r="CJ3" i="30"/>
  <c r="BZ3" i="30"/>
  <c r="BR3" i="30"/>
  <c r="AZ3" i="30"/>
  <c r="AR3" i="30"/>
  <c r="AH3" i="30"/>
  <c r="W3" i="30"/>
  <c r="K3" i="30"/>
  <c r="A3" i="30"/>
  <c r="Q18" i="19"/>
  <c r="P18" i="19"/>
  <c r="O18" i="19"/>
  <c r="N18" i="19"/>
  <c r="M18" i="19"/>
  <c r="L18" i="19"/>
  <c r="K18" i="19"/>
  <c r="J18" i="19"/>
  <c r="I18" i="19"/>
  <c r="H18" i="19"/>
  <c r="G18" i="19"/>
  <c r="F18" i="19"/>
  <c r="E18" i="19"/>
  <c r="D18" i="19"/>
  <c r="C18" i="19"/>
  <c r="B18" i="19"/>
  <c r="Q17" i="19"/>
  <c r="P17" i="19"/>
  <c r="O17" i="19"/>
  <c r="N17" i="19"/>
  <c r="M17" i="19"/>
  <c r="K17" i="19"/>
  <c r="J17" i="19"/>
  <c r="I17" i="19"/>
  <c r="H17" i="19"/>
  <c r="E17" i="19"/>
  <c r="D17" i="19"/>
  <c r="C17" i="19"/>
  <c r="B17" i="19"/>
  <c r="Q16" i="19"/>
  <c r="P16" i="19"/>
  <c r="O16" i="19"/>
  <c r="N16" i="19"/>
  <c r="M16" i="19"/>
  <c r="L16" i="19"/>
  <c r="K16" i="19"/>
  <c r="J16" i="19"/>
  <c r="I16" i="19"/>
  <c r="H16" i="19"/>
  <c r="G16" i="19"/>
  <c r="F16" i="19"/>
  <c r="E16" i="19"/>
  <c r="D16" i="19"/>
  <c r="C16" i="19"/>
  <c r="B16" i="19"/>
  <c r="Q15" i="19"/>
  <c r="P15" i="19"/>
  <c r="O15" i="19"/>
  <c r="N15" i="19"/>
  <c r="K15" i="19"/>
  <c r="J15" i="19"/>
  <c r="I15" i="19"/>
  <c r="H15" i="19"/>
  <c r="E15" i="19"/>
  <c r="D15" i="19"/>
  <c r="C15" i="19"/>
  <c r="B15" i="19"/>
  <c r="Q14" i="19"/>
  <c r="P14" i="19"/>
  <c r="O14" i="19"/>
  <c r="N14" i="19"/>
  <c r="K14" i="19"/>
  <c r="J14" i="19"/>
  <c r="I14" i="19"/>
  <c r="H14" i="19"/>
  <c r="E14" i="19"/>
  <c r="D14" i="19"/>
  <c r="C14" i="19"/>
  <c r="B14" i="19"/>
  <c r="Q13" i="19"/>
  <c r="P13" i="19"/>
  <c r="O13" i="19"/>
  <c r="N13" i="19"/>
  <c r="K13" i="19"/>
  <c r="J13" i="19"/>
  <c r="I13" i="19"/>
  <c r="H13" i="19"/>
  <c r="E13" i="19"/>
  <c r="D13" i="19"/>
  <c r="C13" i="19"/>
  <c r="B13" i="19"/>
  <c r="Q11" i="19"/>
  <c r="P11" i="19"/>
  <c r="O11" i="19"/>
  <c r="N11" i="19"/>
  <c r="M11" i="19"/>
  <c r="L11" i="19"/>
  <c r="K11" i="19"/>
  <c r="J11" i="19"/>
  <c r="I11" i="19"/>
  <c r="H11" i="19"/>
  <c r="G11" i="19"/>
  <c r="F11" i="19"/>
  <c r="E11" i="19"/>
  <c r="D11" i="19"/>
  <c r="C11" i="19"/>
  <c r="B11" i="19"/>
  <c r="Q10" i="19"/>
  <c r="P10" i="19"/>
  <c r="O10" i="19"/>
  <c r="N10" i="19"/>
  <c r="K10" i="19"/>
  <c r="J10" i="19"/>
  <c r="I10" i="19"/>
  <c r="H10" i="19"/>
  <c r="E10" i="19"/>
  <c r="D10" i="19"/>
  <c r="C10" i="19"/>
  <c r="B10" i="19"/>
  <c r="Q9" i="19"/>
  <c r="P9" i="19"/>
  <c r="O9" i="19"/>
  <c r="N9" i="19"/>
  <c r="K9" i="19"/>
  <c r="J9" i="19"/>
  <c r="I9" i="19"/>
  <c r="H9" i="19"/>
  <c r="E9" i="19"/>
  <c r="D9" i="19"/>
  <c r="C9" i="19"/>
  <c r="B9" i="19"/>
  <c r="Q8" i="19"/>
  <c r="P8" i="19"/>
  <c r="O8" i="19"/>
  <c r="N8" i="19"/>
  <c r="K8" i="19"/>
  <c r="J8" i="19"/>
  <c r="I8" i="19"/>
  <c r="H8" i="19"/>
  <c r="E8" i="19"/>
  <c r="D8" i="19"/>
  <c r="C8" i="19"/>
  <c r="B8" i="19"/>
  <c r="L4" i="19"/>
  <c r="F4" i="19"/>
  <c r="A4" i="19"/>
  <c r="R3" i="19"/>
  <c r="L3" i="19"/>
  <c r="F3" i="19"/>
  <c r="A3" i="19"/>
  <c r="I60" i="26"/>
  <c r="I58" i="26"/>
  <c r="H58" i="26"/>
  <c r="G58" i="26"/>
  <c r="F58" i="26"/>
  <c r="E58" i="26"/>
  <c r="D58" i="26"/>
  <c r="C58" i="26"/>
  <c r="B58" i="26"/>
  <c r="A58" i="26"/>
  <c r="I57" i="26"/>
  <c r="H57" i="26"/>
  <c r="G57" i="26"/>
  <c r="F57" i="26"/>
  <c r="E57" i="26"/>
  <c r="D57" i="26"/>
  <c r="C57" i="26"/>
  <c r="B57" i="26"/>
  <c r="A57" i="26"/>
  <c r="I56" i="26"/>
  <c r="H56" i="26"/>
  <c r="G56" i="26"/>
  <c r="F56" i="26"/>
  <c r="E56" i="26"/>
  <c r="D56" i="26"/>
  <c r="C56" i="26"/>
  <c r="B56" i="26"/>
  <c r="A56" i="26"/>
  <c r="I55" i="26"/>
  <c r="H55" i="26"/>
  <c r="G55" i="26"/>
  <c r="F55" i="26"/>
  <c r="E55" i="26"/>
  <c r="D55" i="26"/>
  <c r="C55" i="26"/>
  <c r="B55" i="26"/>
  <c r="A55" i="26"/>
  <c r="I54" i="26"/>
  <c r="H54" i="26"/>
  <c r="G54" i="26"/>
  <c r="F54" i="26"/>
  <c r="E54" i="26"/>
  <c r="D54" i="26"/>
  <c r="C54" i="26"/>
  <c r="B54" i="26"/>
  <c r="A54" i="26"/>
  <c r="G40" i="26"/>
  <c r="J38" i="26"/>
  <c r="I38" i="26"/>
  <c r="H38" i="26"/>
  <c r="G38" i="26"/>
  <c r="F38" i="26"/>
  <c r="E38" i="26"/>
  <c r="D38" i="26"/>
  <c r="C38" i="26"/>
  <c r="B38" i="26"/>
  <c r="A38" i="26"/>
  <c r="J37" i="26"/>
  <c r="I37" i="26"/>
  <c r="H37" i="26"/>
  <c r="G37" i="26"/>
  <c r="F37" i="26"/>
  <c r="E37" i="26"/>
  <c r="D37" i="26"/>
  <c r="C37" i="26"/>
  <c r="B37" i="26"/>
  <c r="A37" i="26"/>
  <c r="J36" i="26"/>
  <c r="I36" i="26"/>
  <c r="H36" i="26"/>
  <c r="G36" i="26"/>
  <c r="F36" i="26"/>
  <c r="E36" i="26"/>
  <c r="D36" i="26"/>
  <c r="C36" i="26"/>
  <c r="B36" i="26"/>
  <c r="A36" i="26"/>
  <c r="J35" i="26"/>
  <c r="I35" i="26"/>
  <c r="H35" i="26"/>
  <c r="G35" i="26"/>
  <c r="F35" i="26"/>
  <c r="E35" i="26"/>
  <c r="D35" i="26"/>
  <c r="C35" i="26"/>
  <c r="B35" i="26"/>
  <c r="A35" i="26"/>
  <c r="J34" i="26"/>
  <c r="I34" i="26"/>
  <c r="H34" i="26"/>
  <c r="G34" i="26"/>
  <c r="F34" i="26"/>
  <c r="E34" i="26"/>
  <c r="D34" i="26"/>
  <c r="C34" i="26"/>
  <c r="B34" i="26"/>
  <c r="A34" i="26"/>
  <c r="J24" i="26"/>
  <c r="J23" i="26"/>
  <c r="J22" i="26"/>
  <c r="J21" i="26"/>
  <c r="I21" i="26"/>
  <c r="H21" i="26"/>
  <c r="G21" i="26"/>
  <c r="F21" i="26"/>
  <c r="E21" i="26"/>
  <c r="D21" i="26"/>
  <c r="C21" i="26"/>
  <c r="B21" i="26"/>
  <c r="A21" i="26"/>
  <c r="J20" i="26"/>
  <c r="I20" i="26"/>
  <c r="H20" i="26"/>
  <c r="G20" i="26"/>
  <c r="F20" i="26"/>
  <c r="E20" i="26"/>
  <c r="D20" i="26"/>
  <c r="C20" i="26"/>
  <c r="B20" i="26"/>
  <c r="A20" i="26"/>
  <c r="J19" i="26"/>
  <c r="I19" i="26"/>
  <c r="H19" i="26"/>
  <c r="G19" i="26"/>
  <c r="F19" i="26"/>
  <c r="E19" i="26"/>
  <c r="D19" i="26"/>
  <c r="C19" i="26"/>
  <c r="B19" i="26"/>
  <c r="A19" i="26"/>
  <c r="J18" i="26"/>
  <c r="I18" i="26"/>
  <c r="H18" i="26"/>
  <c r="G18" i="26"/>
  <c r="F18" i="26"/>
  <c r="E18" i="26"/>
  <c r="D18" i="26"/>
  <c r="C18" i="26"/>
  <c r="B18" i="26"/>
  <c r="A18" i="26"/>
  <c r="C16" i="26"/>
  <c r="B16" i="26"/>
  <c r="C15" i="26"/>
  <c r="B15" i="26"/>
  <c r="A15" i="26"/>
  <c r="C14" i="26"/>
  <c r="B14" i="26"/>
  <c r="A14" i="26"/>
  <c r="C13" i="26"/>
  <c r="B13" i="26"/>
  <c r="A13" i="26"/>
  <c r="C12" i="26"/>
  <c r="B12" i="26"/>
  <c r="A12" i="26"/>
  <c r="C11" i="26"/>
  <c r="B11" i="26"/>
  <c r="A11" i="26"/>
  <c r="C10" i="26"/>
  <c r="B10" i="26"/>
  <c r="A10" i="26"/>
  <c r="C9" i="26"/>
  <c r="B9" i="26"/>
  <c r="A9" i="26"/>
  <c r="C8" i="26"/>
  <c r="B8" i="26"/>
  <c r="A8" i="26"/>
  <c r="C7" i="26"/>
  <c r="B7" i="26"/>
  <c r="A7" i="26"/>
  <c r="G4" i="26"/>
  <c r="D4" i="26"/>
  <c r="A4" i="26"/>
  <c r="G3" i="26"/>
  <c r="D3" i="26"/>
  <c r="A3" i="26"/>
  <c r="I71" i="23"/>
  <c r="H71" i="23"/>
  <c r="G71" i="23"/>
  <c r="F71" i="23"/>
  <c r="E71" i="23"/>
  <c r="D71" i="23"/>
  <c r="C71" i="23"/>
  <c r="B71" i="23"/>
  <c r="I69" i="23"/>
  <c r="H69" i="23"/>
  <c r="G69" i="23"/>
  <c r="F69" i="23"/>
  <c r="E69" i="23"/>
  <c r="D69" i="23"/>
  <c r="C69" i="23"/>
  <c r="B69" i="23"/>
  <c r="A69" i="23"/>
  <c r="I68" i="23"/>
  <c r="H68" i="23"/>
  <c r="G68" i="23"/>
  <c r="F68" i="23"/>
  <c r="E68" i="23"/>
  <c r="D68" i="23"/>
  <c r="C68" i="23"/>
  <c r="B68" i="23"/>
  <c r="A68" i="23"/>
  <c r="I67" i="23"/>
  <c r="H67" i="23"/>
  <c r="G67" i="23"/>
  <c r="F67" i="23"/>
  <c r="E67" i="23"/>
  <c r="D67" i="23"/>
  <c r="C67" i="23"/>
  <c r="B67" i="23"/>
  <c r="A67" i="23"/>
  <c r="I66" i="23"/>
  <c r="H66" i="23"/>
  <c r="G66" i="23"/>
  <c r="F66" i="23"/>
  <c r="E66" i="23"/>
  <c r="D66" i="23"/>
  <c r="C66" i="23"/>
  <c r="B66" i="23"/>
  <c r="A66" i="23"/>
  <c r="I65" i="23"/>
  <c r="H65" i="23"/>
  <c r="G65" i="23"/>
  <c r="F65" i="23"/>
  <c r="E65" i="23"/>
  <c r="D65" i="23"/>
  <c r="C65" i="23"/>
  <c r="B65" i="23"/>
  <c r="A65" i="23"/>
  <c r="G51" i="23"/>
  <c r="J49" i="23"/>
  <c r="I49" i="23"/>
  <c r="H49" i="23"/>
  <c r="G49" i="23"/>
  <c r="F49" i="23"/>
  <c r="E49" i="23"/>
  <c r="D49" i="23"/>
  <c r="C49" i="23"/>
  <c r="B49" i="23"/>
  <c r="A49" i="23"/>
  <c r="J48" i="23"/>
  <c r="I48" i="23"/>
  <c r="H48" i="23"/>
  <c r="G48" i="23"/>
  <c r="F48" i="23"/>
  <c r="E48" i="23"/>
  <c r="D48" i="23"/>
  <c r="C48" i="23"/>
  <c r="B48" i="23"/>
  <c r="A48" i="23"/>
  <c r="J47" i="23"/>
  <c r="I47" i="23"/>
  <c r="H47" i="23"/>
  <c r="G47" i="23"/>
  <c r="F47" i="23"/>
  <c r="E47" i="23"/>
  <c r="D47" i="23"/>
  <c r="C47" i="23"/>
  <c r="B47" i="23"/>
  <c r="A47" i="23"/>
  <c r="J46" i="23"/>
  <c r="I46" i="23"/>
  <c r="H46" i="23"/>
  <c r="G46" i="23"/>
  <c r="F46" i="23"/>
  <c r="E46" i="23"/>
  <c r="D46" i="23"/>
  <c r="C46" i="23"/>
  <c r="B46" i="23"/>
  <c r="A46" i="23"/>
  <c r="J45" i="23"/>
  <c r="I45" i="23"/>
  <c r="H45" i="23"/>
  <c r="G45" i="23"/>
  <c r="F45" i="23"/>
  <c r="E45" i="23"/>
  <c r="D45" i="23"/>
  <c r="C45" i="23"/>
  <c r="B45" i="23"/>
  <c r="A45" i="23"/>
  <c r="G34" i="23"/>
  <c r="B34" i="23"/>
  <c r="G33" i="23"/>
  <c r="B33" i="23"/>
  <c r="G32" i="23"/>
  <c r="F32" i="23"/>
  <c r="E32" i="23"/>
  <c r="D32" i="23"/>
  <c r="C32" i="23"/>
  <c r="B32" i="23"/>
  <c r="H31" i="23"/>
  <c r="G31" i="23"/>
  <c r="F31" i="23"/>
  <c r="E31" i="23"/>
  <c r="D31" i="23"/>
  <c r="C31" i="23"/>
  <c r="B31" i="23"/>
  <c r="A31" i="23"/>
  <c r="H30" i="23"/>
  <c r="G30" i="23"/>
  <c r="F30" i="23"/>
  <c r="E30" i="23"/>
  <c r="D30" i="23"/>
  <c r="C30" i="23"/>
  <c r="B30" i="23"/>
  <c r="A30" i="23"/>
  <c r="H29" i="23"/>
  <c r="G29" i="23"/>
  <c r="F29" i="23"/>
  <c r="E29" i="23"/>
  <c r="D29" i="23"/>
  <c r="C29" i="23"/>
  <c r="B29" i="23"/>
  <c r="A29" i="23"/>
  <c r="H28" i="23"/>
  <c r="G28" i="23"/>
  <c r="F28" i="23"/>
  <c r="E28" i="23"/>
  <c r="D28" i="23"/>
  <c r="C28" i="23"/>
  <c r="B28" i="23"/>
  <c r="A28" i="23"/>
  <c r="F25" i="23"/>
  <c r="B25" i="23"/>
  <c r="F24" i="23"/>
  <c r="E24" i="23"/>
  <c r="D24" i="23"/>
  <c r="C24" i="23"/>
  <c r="B24" i="23"/>
  <c r="A24" i="23"/>
  <c r="F23" i="23"/>
  <c r="E23" i="23"/>
  <c r="D23" i="23"/>
  <c r="C23" i="23"/>
  <c r="B23" i="23"/>
  <c r="A23" i="23"/>
  <c r="F22" i="23"/>
  <c r="E22" i="23"/>
  <c r="D22" i="23"/>
  <c r="C22" i="23"/>
  <c r="B22" i="23"/>
  <c r="A22" i="23"/>
  <c r="F21" i="23"/>
  <c r="E21" i="23"/>
  <c r="D21" i="23"/>
  <c r="C21" i="23"/>
  <c r="B21" i="23"/>
  <c r="A21" i="23"/>
  <c r="F20" i="23"/>
  <c r="E20" i="23"/>
  <c r="D20" i="23"/>
  <c r="C20" i="23"/>
  <c r="B20" i="23"/>
  <c r="A20" i="23"/>
  <c r="F19" i="23"/>
  <c r="E19" i="23"/>
  <c r="D19" i="23"/>
  <c r="C19" i="23"/>
  <c r="B19" i="23"/>
  <c r="A19" i="23"/>
  <c r="C16" i="23"/>
  <c r="B16" i="23"/>
  <c r="C15" i="23"/>
  <c r="B15" i="23"/>
  <c r="A15" i="23"/>
  <c r="C14" i="23"/>
  <c r="B14" i="23"/>
  <c r="A14" i="23"/>
  <c r="C13" i="23"/>
  <c r="B13" i="23"/>
  <c r="A13" i="23"/>
  <c r="C12" i="23"/>
  <c r="B12" i="23"/>
  <c r="A12" i="23"/>
  <c r="C11" i="23"/>
  <c r="B11" i="23"/>
  <c r="A11" i="23"/>
  <c r="C10" i="23"/>
  <c r="B10" i="23"/>
  <c r="A10" i="23"/>
  <c r="C9" i="23"/>
  <c r="B9" i="23"/>
  <c r="A9" i="23"/>
  <c r="C8" i="23"/>
  <c r="B8" i="23"/>
  <c r="A8" i="23"/>
  <c r="C7" i="23"/>
  <c r="B7" i="23"/>
  <c r="A7" i="23"/>
  <c r="G4" i="23"/>
  <c r="D4" i="23"/>
  <c r="A4" i="23"/>
  <c r="G3" i="23"/>
  <c r="D3" i="23"/>
  <c r="A3" i="23"/>
  <c r="E4" i="37"/>
  <c r="C4" i="37"/>
  <c r="A4" i="37"/>
  <c r="E3" i="37"/>
  <c r="C3" i="37"/>
  <c r="A3" i="37"/>
  <c r="E16" i="1"/>
  <c r="J13" i="50" l="1"/>
  <c r="C18" i="50"/>
  <c r="E18" i="50"/>
  <c r="H18" i="50" s="1"/>
  <c r="E19" i="50"/>
  <c r="H19" i="50" s="1"/>
  <c r="E20" i="50"/>
  <c r="I19" i="53"/>
  <c r="E19" i="52"/>
  <c r="I20" i="52" s="1"/>
  <c r="H19" i="54"/>
  <c r="I19" i="54" s="1"/>
  <c r="F13" i="54" s="1"/>
  <c r="K19" i="54" s="1"/>
  <c r="E18" i="52"/>
  <c r="G18" i="52" s="1"/>
  <c r="D25" i="54" s="1"/>
  <c r="J25" i="54" s="1"/>
  <c r="F18" i="52"/>
  <c r="C19" i="54" s="1"/>
  <c r="E19" i="54" s="1"/>
  <c r="E29" i="49"/>
  <c r="F25" i="49"/>
  <c r="F29" i="49" s="1"/>
  <c r="K19" i="53" l="1"/>
  <c r="F13" i="53"/>
  <c r="H20" i="50"/>
  <c r="D18" i="50"/>
  <c r="F18" i="50" s="1"/>
  <c r="D25" i="53" s="1"/>
  <c r="J25" i="53" s="1"/>
  <c r="G17" i="50"/>
  <c r="C19" i="53" s="1"/>
  <c r="E19" i="53" s="1"/>
  <c r="K20" i="52"/>
  <c r="I18" i="52"/>
  <c r="F27" i="49"/>
  <c r="F30" i="49"/>
  <c r="E27" i="49"/>
  <c r="E30" i="49"/>
  <c r="I18" i="50" l="1"/>
  <c r="C19" i="52"/>
  <c r="K18" i="52"/>
  <c r="E13" i="54" s="1"/>
  <c r="C19" i="50" l="1"/>
  <c r="K18" i="50"/>
  <c r="E13" i="53" s="1"/>
  <c r="G13" i="53" s="1"/>
  <c r="I13" i="53" s="1"/>
  <c r="I13" i="54"/>
  <c r="G13" i="54"/>
  <c r="F19" i="52"/>
  <c r="D19" i="52"/>
  <c r="G19" i="52" s="1"/>
  <c r="D26" i="54" s="1"/>
  <c r="J26" i="54" s="1"/>
  <c r="G18" i="50" l="1"/>
  <c r="D19" i="50"/>
  <c r="F19" i="50" s="1"/>
  <c r="D26" i="53" s="1"/>
  <c r="J26" i="53" s="1"/>
  <c r="I19" i="52"/>
  <c r="I19" i="50" l="1"/>
  <c r="C20" i="52"/>
  <c r="K19" i="52"/>
  <c r="C20" i="50" l="1"/>
  <c r="G19" i="50" s="1"/>
  <c r="F20" i="50" s="1"/>
  <c r="K19" i="50"/>
  <c r="F20" i="52"/>
  <c r="D20" i="52"/>
  <c r="G20" i="52" s="1"/>
  <c r="D27" i="54" s="1"/>
  <c r="J27" i="54" s="1"/>
  <c r="D27" i="53" l="1"/>
  <c r="J27" i="53" s="1"/>
  <c r="D20" i="50"/>
</calcChain>
</file>

<file path=xl/comments1.xml><?xml version="1.0" encoding="utf-8"?>
<comments xmlns="http://schemas.openxmlformats.org/spreadsheetml/2006/main">
  <authors>
    <author>何先琴</author>
  </authors>
  <commentList>
    <comment ref="B15" authorId="0" shapeId="0">
      <text>
        <r>
          <rPr>
            <b/>
            <sz val="9"/>
            <color indexed="81"/>
            <rFont val="宋体"/>
            <family val="3"/>
            <charset val="134"/>
          </rPr>
          <t>专业技术部:</t>
        </r>
        <r>
          <rPr>
            <sz val="9"/>
            <color indexed="81"/>
            <rFont val="宋体"/>
            <family val="3"/>
            <charset val="134"/>
          </rPr>
          <t xml:space="preserve">
根据被审计单位实际情况和风险评估情况裁剪、修改或增加审计程序</t>
        </r>
      </text>
    </comment>
  </commentList>
</comments>
</file>

<file path=xl/comments2.xml><?xml version="1.0" encoding="utf-8"?>
<comments xmlns="http://schemas.openxmlformats.org/spreadsheetml/2006/main">
  <authors>
    <author>Liufs</author>
  </authors>
  <commentList>
    <comment ref="A16" authorId="0" shapeId="0">
      <text>
        <r>
          <rPr>
            <b/>
            <sz val="9"/>
            <rFont val="宋体"/>
            <family val="3"/>
            <charset val="134"/>
          </rPr>
          <t>Liufs:</t>
        </r>
        <r>
          <rPr>
            <sz val="9"/>
            <rFont val="宋体"/>
            <family val="3"/>
            <charset val="134"/>
          </rPr>
          <t xml:space="preserve">
本金</t>
        </r>
      </text>
    </comment>
    <comment ref="A30" authorId="0" shapeId="0">
      <text>
        <r>
          <rPr>
            <b/>
            <sz val="9"/>
            <rFont val="宋体"/>
            <family val="3"/>
            <charset val="134"/>
          </rPr>
          <t>Liufs:</t>
        </r>
        <r>
          <rPr>
            <sz val="9"/>
            <rFont val="宋体"/>
            <family val="3"/>
            <charset val="134"/>
          </rPr>
          <t xml:space="preserve">
“长期借款/吸收存款—利息调整”</t>
        </r>
      </text>
    </comment>
    <comment ref="B33" authorId="0" shapeId="0">
      <text>
        <r>
          <rPr>
            <b/>
            <sz val="9"/>
            <rFont val="宋体"/>
            <family val="3"/>
            <charset val="134"/>
          </rPr>
          <t>Liufs:</t>
        </r>
        <r>
          <rPr>
            <sz val="9"/>
            <rFont val="宋体"/>
            <family val="3"/>
            <charset val="134"/>
          </rPr>
          <t xml:space="preserve">
由小到大，逐步增大，以使“现值差异（测试1）”趋于零。</t>
        </r>
      </text>
    </comment>
    <comment ref="A35" authorId="0" shapeId="0">
      <text>
        <r>
          <rPr>
            <b/>
            <sz val="9"/>
            <rFont val="宋体"/>
            <family val="3"/>
            <charset val="134"/>
          </rPr>
          <t>Liufs:</t>
        </r>
        <r>
          <rPr>
            <sz val="9"/>
            <rFont val="宋体"/>
            <family val="3"/>
            <charset val="134"/>
          </rPr>
          <t xml:space="preserve">
越小越好。</t>
        </r>
      </text>
    </comment>
    <comment ref="B35" authorId="0" shapeId="0">
      <text>
        <r>
          <rPr>
            <b/>
            <sz val="9"/>
            <rFont val="宋体"/>
            <family val="3"/>
            <charset val="134"/>
          </rPr>
          <t>Liufs:</t>
        </r>
        <r>
          <rPr>
            <sz val="9"/>
            <rFont val="宋体"/>
            <family val="3"/>
            <charset val="134"/>
          </rPr>
          <t xml:space="preserve">
越小越好。</t>
        </r>
      </text>
    </comment>
    <comment ref="B36" authorId="0" shapeId="0">
      <text>
        <r>
          <rPr>
            <b/>
            <sz val="9"/>
            <rFont val="宋体"/>
            <family val="3"/>
            <charset val="134"/>
          </rPr>
          <t>Liufs:</t>
        </r>
        <r>
          <rPr>
            <sz val="9"/>
            <rFont val="宋体"/>
            <family val="3"/>
            <charset val="134"/>
          </rPr>
          <t xml:space="preserve">
由大到小，逐步减小，以使“现值差异（测试2）”趋于零。</t>
        </r>
      </text>
    </comment>
    <comment ref="A38" authorId="0" shapeId="0">
      <text>
        <r>
          <rPr>
            <b/>
            <sz val="9"/>
            <rFont val="宋体"/>
            <family val="3"/>
            <charset val="134"/>
          </rPr>
          <t>Liufs:</t>
        </r>
        <r>
          <rPr>
            <sz val="9"/>
            <rFont val="宋体"/>
            <family val="3"/>
            <charset val="134"/>
          </rPr>
          <t xml:space="preserve">
越小越好。</t>
        </r>
      </text>
    </comment>
    <comment ref="B38" authorId="0" shapeId="0">
      <text>
        <r>
          <rPr>
            <b/>
            <sz val="9"/>
            <rFont val="宋体"/>
            <family val="3"/>
            <charset val="134"/>
          </rPr>
          <t>Liufs:</t>
        </r>
        <r>
          <rPr>
            <sz val="9"/>
            <rFont val="宋体"/>
            <family val="3"/>
            <charset val="134"/>
          </rPr>
          <t xml:space="preserve">
越小越好。</t>
        </r>
      </text>
    </comment>
  </commentList>
</comments>
</file>

<file path=xl/sharedStrings.xml><?xml version="1.0" encoding="utf-8"?>
<sst xmlns="http://schemas.openxmlformats.org/spreadsheetml/2006/main" count="1018" uniqueCount="492">
  <si>
    <r>
      <rPr>
        <b/>
        <sz val="12"/>
        <rFont val="宋体"/>
        <family val="3"/>
        <charset val="134"/>
      </rPr>
      <t>底稿开列时，可先在以下单元格填写有关内容，以便其他底稿引用有关数据：</t>
    </r>
  </si>
  <si>
    <r>
      <rPr>
        <sz val="10"/>
        <rFont val="宋体"/>
        <family val="3"/>
        <charset val="134"/>
      </rPr>
      <t>被审计单位：</t>
    </r>
  </si>
  <si>
    <t>应付债券实质性程序表</t>
  </si>
  <si>
    <t xml:space="preserve">L4A </t>
  </si>
  <si>
    <t>编制人：</t>
  </si>
  <si>
    <t>应付债券审定表</t>
  </si>
  <si>
    <t>L4-1</t>
  </si>
  <si>
    <t>编制日期：</t>
  </si>
  <si>
    <t>附注披露信息(上市公司)</t>
  </si>
  <si>
    <t>无需打印</t>
  </si>
  <si>
    <t>复核人：</t>
  </si>
  <si>
    <t>附注披露信息(国企)</t>
  </si>
  <si>
    <t>复核日期：</t>
  </si>
  <si>
    <t>应付债券明细表</t>
  </si>
  <si>
    <t>L4-2</t>
  </si>
  <si>
    <t>划分为金融负债的其他金融工具明细表</t>
  </si>
  <si>
    <t>L4-3</t>
  </si>
  <si>
    <t>调整分录汇总</t>
  </si>
  <si>
    <t>L4-4</t>
  </si>
  <si>
    <t>权益与负债划分检查表</t>
  </si>
  <si>
    <t>L4-5</t>
  </si>
  <si>
    <t>应付债券初始计量</t>
  </si>
  <si>
    <t>L4-6</t>
  </si>
  <si>
    <t>应付债券后续计量(到期一次还本付息)</t>
  </si>
  <si>
    <t>L4-7</t>
  </si>
  <si>
    <t>应付债券后续计量(分期付息到期一次还本)</t>
  </si>
  <si>
    <t>应付债券账面核对(到期一次还本付息)</t>
  </si>
  <si>
    <t>L4-8</t>
  </si>
  <si>
    <t>应付债券账面核对(分期付息到期一次还本)</t>
  </si>
  <si>
    <t>L4-9</t>
  </si>
  <si>
    <r>
      <rPr>
        <b/>
        <sz val="12"/>
        <rFont val="宋体"/>
        <family val="3"/>
        <charset val="134"/>
      </rPr>
      <t>致同会计师事务所</t>
    </r>
  </si>
  <si>
    <t>应付债券实质性程序</t>
  </si>
  <si>
    <r>
      <rPr>
        <sz val="10"/>
        <rFont val="宋体"/>
        <family val="3"/>
        <charset val="134"/>
      </rPr>
      <t>索引号：</t>
    </r>
  </si>
  <si>
    <r>
      <rPr>
        <sz val="10"/>
        <rFont val="宋体"/>
        <family val="3"/>
        <charset val="134"/>
      </rPr>
      <t>页</t>
    </r>
    <r>
      <rPr>
        <sz val="10"/>
        <rFont val="Arial Narrow"/>
        <family val="2"/>
      </rPr>
      <t xml:space="preserve">  </t>
    </r>
    <r>
      <rPr>
        <sz val="10"/>
        <rFont val="宋体"/>
        <family val="3"/>
        <charset val="134"/>
      </rPr>
      <t>次：</t>
    </r>
  </si>
  <si>
    <r>
      <rPr>
        <b/>
        <sz val="10"/>
        <rFont val="宋体"/>
        <family val="3"/>
        <charset val="134"/>
      </rPr>
      <t>一、本账户涉及的科目</t>
    </r>
  </si>
  <si>
    <r>
      <rPr>
        <sz val="10"/>
        <color theme="1" tint="0.14993743705557422"/>
        <rFont val="宋体"/>
        <family val="3"/>
        <charset val="134"/>
      </rPr>
      <t>应付债券</t>
    </r>
  </si>
  <si>
    <t>二、审计目标与认定的对应关系</t>
  </si>
  <si>
    <t>审计目标</t>
  </si>
  <si>
    <r>
      <rPr>
        <b/>
        <sz val="10"/>
        <rFont val="宋体"/>
        <family val="3"/>
        <charset val="134"/>
      </rPr>
      <t>财务报表的认定　</t>
    </r>
  </si>
  <si>
    <r>
      <rPr>
        <sz val="10"/>
        <rFont val="Arial Narrow"/>
        <family val="2"/>
      </rPr>
      <t xml:space="preserve">A. </t>
    </r>
    <r>
      <rPr>
        <sz val="10"/>
        <rFont val="宋体"/>
        <family val="3"/>
        <charset val="134"/>
      </rPr>
      <t>资产负债表中记录的应付债券是存在的，且已记录于恰当的账户</t>
    </r>
  </si>
  <si>
    <r>
      <rPr>
        <sz val="10"/>
        <rFont val="宋体"/>
        <family val="3"/>
        <charset val="134"/>
      </rPr>
      <t>存在</t>
    </r>
  </si>
  <si>
    <r>
      <rPr>
        <sz val="10"/>
        <rFont val="Arial Narrow"/>
        <family val="2"/>
      </rPr>
      <t xml:space="preserve">B. </t>
    </r>
    <r>
      <rPr>
        <sz val="10"/>
        <rFont val="宋体"/>
        <family val="3"/>
        <charset val="134"/>
      </rPr>
      <t>所有应记录的应付债券均已记录，所有应当包括在财务报表中的相关披露均已包括</t>
    </r>
  </si>
  <si>
    <r>
      <rPr>
        <sz val="10"/>
        <rFont val="宋体"/>
        <family val="3"/>
        <charset val="134"/>
      </rPr>
      <t>完整性</t>
    </r>
  </si>
  <si>
    <r>
      <rPr>
        <sz val="10"/>
        <rFont val="Arial Narrow"/>
        <family val="2"/>
      </rPr>
      <t xml:space="preserve">C. </t>
    </r>
    <r>
      <rPr>
        <sz val="10"/>
        <rFont val="宋体"/>
        <family val="3"/>
        <charset val="134"/>
      </rPr>
      <t>记录的应付债券是被审计单位应当履行的偿还义务</t>
    </r>
  </si>
  <si>
    <r>
      <rPr>
        <sz val="10"/>
        <rFont val="宋体"/>
        <family val="3"/>
        <charset val="134"/>
      </rPr>
      <t>权利和义务</t>
    </r>
  </si>
  <si>
    <r>
      <rPr>
        <sz val="10"/>
        <rFont val="Arial Narrow"/>
        <family val="2"/>
      </rPr>
      <t xml:space="preserve">D. </t>
    </r>
    <r>
      <rPr>
        <sz val="10"/>
        <rFont val="宋体"/>
        <family val="3"/>
        <charset val="134"/>
      </rPr>
      <t>应付债券以恰当的金额包括在财务报表中，与之相关的计价或分摊调整已恰当记录，相关披露已得到恰当计量和描述</t>
    </r>
    <r>
      <rPr>
        <sz val="10"/>
        <rFont val="Arial Narrow"/>
        <family val="2"/>
      </rPr>
      <t xml:space="preserve"> </t>
    </r>
  </si>
  <si>
    <r>
      <rPr>
        <sz val="10"/>
        <rFont val="宋体"/>
        <family val="3"/>
        <charset val="134"/>
      </rPr>
      <t>准确性、计价和分摊</t>
    </r>
  </si>
  <si>
    <r>
      <rPr>
        <sz val="10"/>
        <rFont val="Arial Narrow"/>
        <family val="2"/>
      </rPr>
      <t xml:space="preserve">E. </t>
    </r>
    <r>
      <rPr>
        <sz val="10"/>
        <rFont val="宋体"/>
        <family val="3"/>
        <charset val="134"/>
      </rPr>
      <t>应付债券已被恰当地汇总或分解且表述清楚，相关披露在按照企业会计准则的编制基础下是相关的、可理解的</t>
    </r>
  </si>
  <si>
    <r>
      <rPr>
        <sz val="10"/>
        <rFont val="宋体"/>
        <family val="3"/>
        <charset val="134"/>
      </rPr>
      <t>列报</t>
    </r>
  </si>
  <si>
    <r>
      <rPr>
        <b/>
        <sz val="10"/>
        <rFont val="宋体"/>
        <family val="3"/>
        <charset val="134"/>
      </rPr>
      <t>三、计划实施的实质性程序</t>
    </r>
  </si>
  <si>
    <r>
      <rPr>
        <b/>
        <sz val="10"/>
        <rFont val="宋体"/>
        <family val="3"/>
        <charset val="134"/>
      </rPr>
      <t>序号</t>
    </r>
  </si>
  <si>
    <r>
      <rPr>
        <b/>
        <sz val="10"/>
        <rFont val="宋体"/>
        <family val="3"/>
        <charset val="134"/>
      </rPr>
      <t>程序分类</t>
    </r>
  </si>
  <si>
    <t>财务报表的认定</t>
  </si>
  <si>
    <r>
      <rPr>
        <b/>
        <sz val="10"/>
        <rFont val="宋体"/>
        <family val="3"/>
        <charset val="134"/>
      </rPr>
      <t>底稿索引号</t>
    </r>
  </si>
  <si>
    <r>
      <rPr>
        <b/>
        <sz val="10"/>
        <rFont val="宋体"/>
        <family val="3"/>
        <charset val="134"/>
      </rPr>
      <t>存在</t>
    </r>
  </si>
  <si>
    <r>
      <rPr>
        <b/>
        <sz val="10"/>
        <rFont val="宋体"/>
        <family val="3"/>
        <charset val="134"/>
      </rPr>
      <t>完整性</t>
    </r>
  </si>
  <si>
    <r>
      <rPr>
        <b/>
        <sz val="10"/>
        <rFont val="宋体"/>
        <family val="3"/>
        <charset val="134"/>
      </rPr>
      <t>权利和
义务</t>
    </r>
  </si>
  <si>
    <r>
      <rPr>
        <b/>
        <sz val="10"/>
        <rFont val="宋体"/>
        <family val="3"/>
        <charset val="134"/>
      </rPr>
      <t>准确性、计价和分摊</t>
    </r>
  </si>
  <si>
    <r>
      <rPr>
        <b/>
        <sz val="10"/>
        <rFont val="宋体"/>
        <family val="3"/>
        <charset val="134"/>
      </rPr>
      <t>列报</t>
    </r>
  </si>
  <si>
    <t>1</t>
  </si>
  <si>
    <r>
      <rPr>
        <sz val="10"/>
        <color theme="1"/>
        <rFont val="宋体"/>
        <family val="3"/>
        <charset val="134"/>
      </rPr>
      <t>获取或编制应付债券的明细表，完成以下工作，并编制审定表
（</t>
    </r>
    <r>
      <rPr>
        <sz val="10"/>
        <color theme="1"/>
        <rFont val="Arial Narrow"/>
        <family val="2"/>
      </rPr>
      <t>1</t>
    </r>
    <r>
      <rPr>
        <sz val="10"/>
        <color theme="1"/>
        <rFont val="宋体"/>
        <family val="3"/>
        <charset val="134"/>
      </rPr>
      <t>）复核加计是否正确，与总账、明细账合计数核对是否相符；
（</t>
    </r>
    <r>
      <rPr>
        <sz val="10"/>
        <color theme="1"/>
        <rFont val="Arial Narrow"/>
        <family val="2"/>
      </rPr>
      <t>2</t>
    </r>
    <r>
      <rPr>
        <sz val="10"/>
        <color theme="1"/>
        <rFont val="宋体"/>
        <family val="3"/>
        <charset val="134"/>
      </rPr>
      <t>）检查非记账本位币债务的折算汇率及折算金额是否正确，折算方法是否前后期一致；
（</t>
    </r>
    <r>
      <rPr>
        <sz val="10"/>
        <color theme="1"/>
        <rFont val="Arial Narrow"/>
        <family val="2"/>
      </rPr>
      <t>3</t>
    </r>
    <r>
      <rPr>
        <sz val="10"/>
        <color theme="1"/>
        <rFont val="宋体"/>
        <family val="3"/>
        <charset val="134"/>
      </rPr>
      <t>）确定流动负债和非流动负债的划分是否正确。</t>
    </r>
  </si>
  <si>
    <r>
      <rPr>
        <sz val="10"/>
        <color theme="1"/>
        <rFont val="宋体"/>
        <family val="3"/>
        <charset val="134"/>
      </rPr>
      <t>常规★</t>
    </r>
  </si>
  <si>
    <r>
      <rPr>
        <sz val="10"/>
        <color theme="1"/>
        <rFont val="宋体"/>
        <family val="3"/>
        <charset val="134"/>
      </rPr>
      <t>√</t>
    </r>
  </si>
  <si>
    <r>
      <rPr>
        <b/>
        <sz val="10"/>
        <color theme="1"/>
        <rFont val="宋体"/>
        <family val="3"/>
        <charset val="134"/>
      </rPr>
      <t>√</t>
    </r>
  </si>
  <si>
    <t>L4-1
/L4-2
/L4-3</t>
  </si>
  <si>
    <t>2</t>
  </si>
  <si>
    <r>
      <rPr>
        <sz val="10"/>
        <color theme="1"/>
        <rFont val="宋体"/>
        <family val="3"/>
        <charset val="134"/>
      </rPr>
      <t>在使用手工编制、自定义信息报告、系统生成的非固定格式报告等由被审计单位生成的信息时，测试有关信息准确性和完整性，并针对编制和维护由被审计单位生成的信息的相关控制实施控制测试，以评价该信息是否能够为实现审计目的提供基础。</t>
    </r>
  </si>
  <si>
    <t>√</t>
  </si>
  <si>
    <r>
      <rPr>
        <sz val="10"/>
        <color rgb="FF0000FF"/>
        <rFont val="宋体"/>
        <family val="3"/>
        <charset val="134"/>
      </rPr>
      <t>可参见《审计手册》</t>
    </r>
    <r>
      <rPr>
        <sz val="10"/>
        <color rgb="FF0000FF"/>
        <rFont val="Arial Narrow"/>
        <family val="2"/>
      </rPr>
      <t>4.2.6</t>
    </r>
    <r>
      <rPr>
        <sz val="10"/>
        <color rgb="FF0000FF"/>
        <rFont val="宋体"/>
        <family val="3"/>
        <charset val="134"/>
      </rPr>
      <t xml:space="preserve">，由被审计单位生成的信息可能是由系统生成的、或手工编制的、或二者兼而有之的方式生成的。例如，由被审计单位生成的信息可能包括：
</t>
    </r>
    <r>
      <rPr>
        <sz val="10"/>
        <color rgb="FF0000FF"/>
        <rFont val="Arial Narrow"/>
        <family val="2"/>
      </rPr>
      <t xml:space="preserve">• </t>
    </r>
    <r>
      <rPr>
        <sz val="10"/>
        <color rgb="FF0000FF"/>
        <rFont val="宋体"/>
        <family val="3"/>
        <charset val="134"/>
      </rPr>
      <t xml:space="preserve">不涉及自定义的、由系统生成的报告（如，固定格式报告）；
</t>
    </r>
    <r>
      <rPr>
        <sz val="10"/>
        <color rgb="FF0000FF"/>
        <rFont val="Arial Narrow"/>
        <family val="2"/>
      </rPr>
      <t xml:space="preserve">• </t>
    </r>
    <r>
      <rPr>
        <sz val="10"/>
        <color rgb="FF0000FF"/>
        <rFont val="宋体"/>
        <family val="3"/>
        <charset val="134"/>
      </rPr>
      <t xml:space="preserve">可能通过人工自定义的、由系统生成的报告，例如，（计算机）查询信息或特别定制的报告；
</t>
    </r>
    <r>
      <rPr>
        <sz val="10"/>
        <color rgb="FF0000FF"/>
        <rFont val="Arial Narrow"/>
        <family val="2"/>
      </rPr>
      <t xml:space="preserve">• </t>
    </r>
    <r>
      <rPr>
        <sz val="10"/>
        <color rgb="FF0000FF"/>
        <rFont val="宋体"/>
        <family val="3"/>
        <charset val="134"/>
      </rPr>
      <t xml:space="preserve">手工编制的信息，例如，汇总信息的电子表格或用以支持分配、计算以及调节的电子表格；
</t>
    </r>
    <r>
      <rPr>
        <sz val="10"/>
        <color rgb="FF0000FF"/>
        <rFont val="Arial Narrow"/>
        <family val="2"/>
      </rPr>
      <t xml:space="preserve">• </t>
    </r>
    <r>
      <rPr>
        <sz val="10"/>
        <color rgb="FF0000FF"/>
        <rFont val="宋体"/>
        <family val="3"/>
        <charset val="134"/>
      </rPr>
      <t xml:space="preserve">其他系统生成或手工编制的信息，例如，由被审计单位编制的客户发票；
</t>
    </r>
    <r>
      <rPr>
        <sz val="10"/>
        <color rgb="FF0000FF"/>
        <rFont val="Arial Narrow"/>
        <family val="2"/>
      </rPr>
      <t xml:space="preserve">• </t>
    </r>
    <r>
      <rPr>
        <sz val="10"/>
        <color rgb="FF0000FF"/>
        <rFont val="宋体"/>
        <family val="3"/>
        <charset val="134"/>
      </rPr>
      <t>通过影印、拍摄、扫描或其他方式转换成电子形式的文件记录。</t>
    </r>
  </si>
  <si>
    <t>3</t>
  </si>
  <si>
    <r>
      <rPr>
        <sz val="10"/>
        <color theme="1"/>
        <rFont val="宋体"/>
        <family val="3"/>
        <charset val="134"/>
      </rPr>
      <t>对期初余额的审计，取得应付债券期初余额明细表复核加计是否正确，与总账、明细账合计数是否相符，检查上期应付债券在本期转销情况，函证期初余额以及其他必要追加的审计程序。</t>
    </r>
    <r>
      <rPr>
        <sz val="10"/>
        <color rgb="FFFF0000"/>
        <rFont val="宋体"/>
        <family val="3"/>
        <charset val="134"/>
      </rPr>
      <t>（适用于首次承接）</t>
    </r>
  </si>
  <si>
    <t>备选</t>
  </si>
  <si>
    <r>
      <rPr>
        <sz val="10"/>
        <color rgb="FF0000FF"/>
        <rFont val="宋体"/>
        <family val="3"/>
        <charset val="134"/>
      </rPr>
      <t xml:space="preserve">由被审计单位生成的信息不包括：
</t>
    </r>
    <r>
      <rPr>
        <sz val="10"/>
        <color rgb="FF0000FF"/>
        <rFont val="Arial Narrow"/>
        <family val="2"/>
      </rPr>
      <t xml:space="preserve">• </t>
    </r>
    <r>
      <rPr>
        <sz val="10"/>
        <color rgb="FF0000FF"/>
        <rFont val="宋体"/>
        <family val="3"/>
        <charset val="134"/>
      </rPr>
      <t xml:space="preserve">总分类账或明细分类账、试算平衡表、或经审计的财务报表；
</t>
    </r>
    <r>
      <rPr>
        <sz val="10"/>
        <color rgb="FF0000FF"/>
        <rFont val="Arial Narrow"/>
        <family val="2"/>
      </rPr>
      <t xml:space="preserve">• </t>
    </r>
    <r>
      <rPr>
        <sz val="10"/>
        <color rgb="FF0000FF"/>
        <rFont val="宋体"/>
        <family val="3"/>
        <charset val="134"/>
      </rPr>
      <t xml:space="preserve">第三方（除了服务机构）的报表或报告，例如，原始银行对账单，或函证的回函；
</t>
    </r>
    <r>
      <rPr>
        <sz val="10"/>
        <color rgb="FF0000FF"/>
        <rFont val="Arial Narrow"/>
        <family val="2"/>
      </rPr>
      <t xml:space="preserve">• </t>
    </r>
    <r>
      <rPr>
        <sz val="10"/>
        <color rgb="FF0000FF"/>
        <rFont val="宋体"/>
        <family val="3"/>
        <charset val="134"/>
      </rPr>
      <t>外部数据（例如，第三方发布的数据，如，定价来源）。</t>
    </r>
  </si>
  <si>
    <t>4</t>
  </si>
  <si>
    <t>检查本期发行的债券：
（1）对于本期发行的应付债券，检查债券发行申请和审批文件、银行单证、协议、募集说明书等支持性文件，确认发行的合法性、合规性及审批流程是否完整；
（2）复核面值、利息、到期日、抵押、规定的付息日及债务契约等关键或重要信息，确定债券的初始确认金额是否正确、会计处理是否正确。</t>
  </si>
  <si>
    <t>5</t>
  </si>
  <si>
    <t>后续计量：
（1）重新计算应付债券溢折价摊销、利息费用计提和债权余额，与账面金额进行核对，检查会计处理是否正确；
（2）结合存货、固定资产等循环审计，关注借款费用资本化是否恰当，资本化的处理是否符合规定，确认全部利息费用已正确区分为资本性支出和收益性支出，并已正确入账。</t>
  </si>
  <si>
    <t>L4-7
/L4-8</t>
  </si>
  <si>
    <t>6</t>
  </si>
  <si>
    <t>检查应付债券记账凭证与相关的支持性文件，确定原始凭证是否齐全、记账凭证与原始凭证是否相符以及账务处理是否正确。</t>
  </si>
  <si>
    <t>7</t>
  </si>
  <si>
    <r>
      <rPr>
        <sz val="10"/>
        <color theme="1"/>
        <rFont val="宋体"/>
        <family val="3"/>
        <charset val="134"/>
      </rPr>
      <t>考虑通过执行下列程序，关注是否存在违反债务协议条款或条件的情况：</t>
    </r>
    <r>
      <rPr>
        <sz val="10"/>
        <color theme="1"/>
        <rFont val="Arial Narrow"/>
        <family val="2"/>
      </rPr>
      <t xml:space="preserve"> 
</t>
    </r>
    <r>
      <rPr>
        <sz val="10"/>
        <color theme="1"/>
        <rFont val="宋体"/>
        <family val="3"/>
        <charset val="134"/>
      </rPr>
      <t>（</t>
    </r>
    <r>
      <rPr>
        <sz val="10"/>
        <color theme="1"/>
        <rFont val="Arial Narrow"/>
        <family val="2"/>
      </rPr>
      <t>1</t>
    </r>
    <r>
      <rPr>
        <sz val="10"/>
        <color theme="1"/>
        <rFont val="宋体"/>
        <family val="3"/>
        <charset val="134"/>
      </rPr>
      <t>）检查债务协议是否存在限定性或者违约条款；
（</t>
    </r>
    <r>
      <rPr>
        <sz val="10"/>
        <color theme="1"/>
        <rFont val="Arial Narrow"/>
        <family val="2"/>
      </rPr>
      <t>2</t>
    </r>
    <r>
      <rPr>
        <sz val="10"/>
        <color theme="1"/>
        <rFont val="宋体"/>
        <family val="3"/>
        <charset val="134"/>
      </rPr>
      <t>）检查函证的回函是否有存在不履约的证据，复核贷款信息的信函，诸如更改、免除及重要事件的通知；
（</t>
    </r>
    <r>
      <rPr>
        <sz val="10"/>
        <color theme="1"/>
        <rFont val="Arial Narrow"/>
        <family val="2"/>
      </rPr>
      <t>3</t>
    </r>
    <r>
      <rPr>
        <sz val="10"/>
        <color theme="1"/>
        <rFont val="宋体"/>
        <family val="3"/>
        <charset val="134"/>
      </rPr>
      <t>）如果存在有违反债务协议约定或者条款的情况：确定和记录任何额外执行的程序、违反相关协议的影响、违约行为是否影响我们对持续经营评价。</t>
    </r>
  </si>
  <si>
    <t>9</t>
  </si>
  <si>
    <t>对于可转换公司债券：
（1）获取发行文件，梳理对发行人的全部合同义务的约定条款；
（2）检查可转换公司债券的负债和权益成份分拆的会计处理是否正确，可转换公司债券持有人行使转换权利，将其持有的债券转为股票时其会计处理是否正确。
（3）根据或有结算条款和结算选择权、可回售工具或清算产生的义务等因素，判断被审计单位选取的会计分类是否符合企业会计准则的要求。</t>
  </si>
  <si>
    <r>
      <rPr>
        <sz val="10"/>
        <color theme="1"/>
        <rFont val="宋体"/>
        <family val="3"/>
        <charset val="134"/>
      </rPr>
      <t>备选</t>
    </r>
  </si>
  <si>
    <t>L5
/</t>
  </si>
  <si>
    <t>10</t>
  </si>
  <si>
    <t>必要时对应付债券向证券承销商、包销商或债券登记机构实施函证程序：
（1）以积极方式对应付债券进行函证，设计询证函、发函前核实被函证单位信息；
（2）注册会计师独立收发询证函；
（3）编制函证结果汇总表，检查发函、回函物流信息和轨迹、比对回函印章和签字等以核实回函的真实性，检查回函是否相符，对不符事项查明原因确定是否存在错报；
（4）如果未收到回函，应当考虑与被询证者联系，要求对方作出回应或再次寄发询证函，无法收到的回函实施替代程序；
（5）如果管理层不允许寄发询证函的，询问管理层不允许寄发的原因，并就其原因的正当、合理性收集证据；考虑实施替代审计程序以获取相关、可靠的审计证据；
（6）如果管理层不允许寄发询证函的原因不合理、或者认为回函不可靠，评价对评估的重大错报风险以及其他审计程序的性质、时间安排和范围的影响，并确定其对审计工作和审计意见的影响。</t>
  </si>
  <si>
    <t>L0</t>
  </si>
  <si>
    <t>11</t>
  </si>
  <si>
    <t>根据评估的舞弊风险等因素增加的审计程序。</t>
  </si>
  <si>
    <t>IPO/上市/新三板/重组/舞弊应对</t>
  </si>
  <si>
    <t>12</t>
  </si>
  <si>
    <t>检查应付债券是否已按企业会计准则或其他适用的规定在财务报表中做出恰当列报和披露。</t>
  </si>
  <si>
    <r>
      <rPr>
        <sz val="10"/>
        <rFont val="Arial Narrow"/>
        <family val="2"/>
      </rPr>
      <t>A1-1/</t>
    </r>
    <r>
      <rPr>
        <sz val="10"/>
        <color rgb="FFFF0000"/>
        <rFont val="Arial Narrow"/>
        <family val="2"/>
      </rPr>
      <t>A1-15 /A1-16</t>
    </r>
  </si>
  <si>
    <r>
      <rPr>
        <b/>
        <sz val="14"/>
        <rFont val="宋体"/>
        <family val="3"/>
        <charset val="134"/>
      </rPr>
      <t>应付债券附注披露信息</t>
    </r>
  </si>
  <si>
    <r>
      <rPr>
        <u/>
        <sz val="12"/>
        <color indexed="12"/>
        <rFont val="宋体"/>
        <family val="3"/>
        <charset val="134"/>
      </rPr>
      <t>返回目录</t>
    </r>
  </si>
  <si>
    <r>
      <rPr>
        <sz val="10"/>
        <rFont val="宋体"/>
        <family val="3"/>
        <charset val="134"/>
      </rPr>
      <t>页次：</t>
    </r>
  </si>
  <si>
    <r>
      <rPr>
        <b/>
        <sz val="12"/>
        <rFont val="宋体"/>
        <family val="3"/>
        <charset val="134"/>
      </rPr>
      <t>附注披露信息（上市公司）</t>
    </r>
  </si>
  <si>
    <r>
      <rPr>
        <b/>
        <sz val="12"/>
        <rFont val="宋体"/>
        <family val="3"/>
        <charset val="134"/>
      </rPr>
      <t>项</t>
    </r>
    <r>
      <rPr>
        <b/>
        <sz val="12"/>
        <rFont val="Arial Narrow"/>
        <family val="2"/>
      </rPr>
      <t xml:space="preserve">  </t>
    </r>
    <r>
      <rPr>
        <b/>
        <sz val="12"/>
        <rFont val="宋体"/>
        <family val="3"/>
        <charset val="134"/>
      </rPr>
      <t>目</t>
    </r>
  </si>
  <si>
    <r>
      <rPr>
        <b/>
        <sz val="12"/>
        <color rgb="FF000000"/>
        <rFont val="宋体"/>
        <family val="3"/>
        <charset val="134"/>
      </rPr>
      <t>期末余额</t>
    </r>
  </si>
  <si>
    <r>
      <rPr>
        <b/>
        <sz val="12"/>
        <color rgb="FF000000"/>
        <rFont val="宋体"/>
        <family val="3"/>
        <charset val="134"/>
      </rPr>
      <t>上年年末余额</t>
    </r>
  </si>
  <si>
    <r>
      <rPr>
        <b/>
        <sz val="12"/>
        <rFont val="宋体"/>
        <family val="3"/>
        <charset val="134"/>
      </rPr>
      <t>合</t>
    </r>
    <r>
      <rPr>
        <b/>
        <sz val="12"/>
        <rFont val="Arial Narrow"/>
        <family val="2"/>
      </rPr>
      <t xml:space="preserve">  </t>
    </r>
    <r>
      <rPr>
        <b/>
        <sz val="12"/>
        <rFont val="宋体"/>
        <family val="3"/>
        <charset val="134"/>
      </rPr>
      <t>计</t>
    </r>
  </si>
  <si>
    <r>
      <rPr>
        <sz val="12"/>
        <rFont val="宋体"/>
        <family val="3"/>
        <charset val="134"/>
      </rPr>
      <t>（</t>
    </r>
    <r>
      <rPr>
        <sz val="12"/>
        <rFont val="Arial Narrow"/>
        <family val="2"/>
      </rPr>
      <t>1</t>
    </r>
    <r>
      <rPr>
        <sz val="12"/>
        <rFont val="宋体"/>
        <family val="3"/>
        <charset val="134"/>
      </rPr>
      <t>）应付债券的增减变动</t>
    </r>
    <r>
      <rPr>
        <sz val="12"/>
        <color rgb="FF0000FF"/>
        <rFont val="宋体"/>
        <family val="3"/>
        <charset val="134"/>
      </rPr>
      <t>（不包括划分为金融负债的优先股、永续债等其他金融工具）</t>
    </r>
  </si>
  <si>
    <r>
      <rPr>
        <b/>
        <sz val="12"/>
        <rFont val="宋体"/>
        <family val="3"/>
        <charset val="134"/>
      </rPr>
      <t>债券名称</t>
    </r>
  </si>
  <si>
    <r>
      <rPr>
        <b/>
        <sz val="12"/>
        <rFont val="宋体"/>
        <family val="3"/>
        <charset val="134"/>
      </rPr>
      <t>面值</t>
    </r>
  </si>
  <si>
    <r>
      <rPr>
        <b/>
        <sz val="12"/>
        <rFont val="宋体"/>
        <family val="3"/>
        <charset val="134"/>
      </rPr>
      <t>票面利率</t>
    </r>
  </si>
  <si>
    <r>
      <rPr>
        <b/>
        <sz val="12"/>
        <rFont val="宋体"/>
        <family val="3"/>
        <charset val="134"/>
      </rPr>
      <t>发行日期</t>
    </r>
  </si>
  <si>
    <r>
      <rPr>
        <b/>
        <sz val="12"/>
        <rFont val="宋体"/>
        <family val="3"/>
        <charset val="134"/>
      </rPr>
      <t>债券期限</t>
    </r>
  </si>
  <si>
    <r>
      <rPr>
        <b/>
        <sz val="12"/>
        <rFont val="宋体"/>
        <family val="3"/>
        <charset val="134"/>
      </rPr>
      <t>发行金额</t>
    </r>
  </si>
  <si>
    <r>
      <rPr>
        <b/>
        <sz val="12"/>
        <rFont val="宋体"/>
        <family val="3"/>
        <charset val="134"/>
      </rPr>
      <t>小</t>
    </r>
    <r>
      <rPr>
        <b/>
        <sz val="12"/>
        <rFont val="Arial Narrow"/>
        <family val="2"/>
      </rPr>
      <t xml:space="preserve">  </t>
    </r>
    <r>
      <rPr>
        <b/>
        <sz val="12"/>
        <rFont val="宋体"/>
        <family val="3"/>
        <charset val="134"/>
      </rPr>
      <t>计</t>
    </r>
  </si>
  <si>
    <r>
      <rPr>
        <sz val="12"/>
        <rFont val="宋体"/>
        <family val="3"/>
        <charset val="134"/>
      </rPr>
      <t>应付债券（续）</t>
    </r>
  </si>
  <si>
    <r>
      <rPr>
        <b/>
        <sz val="12"/>
        <rFont val="宋体"/>
        <family val="3"/>
        <charset val="134"/>
      </rPr>
      <t>期初余额</t>
    </r>
  </si>
  <si>
    <r>
      <rPr>
        <b/>
        <sz val="12"/>
        <rFont val="宋体"/>
        <family val="3"/>
        <charset val="134"/>
      </rPr>
      <t>本期发行</t>
    </r>
  </si>
  <si>
    <r>
      <rPr>
        <b/>
        <sz val="12"/>
        <rFont val="宋体"/>
        <family val="3"/>
        <charset val="134"/>
      </rPr>
      <t>按面值计提利息</t>
    </r>
  </si>
  <si>
    <r>
      <rPr>
        <b/>
        <sz val="12"/>
        <rFont val="宋体"/>
        <family val="3"/>
        <charset val="134"/>
      </rPr>
      <t>溢折价摊销</t>
    </r>
  </si>
  <si>
    <r>
      <rPr>
        <b/>
        <sz val="12"/>
        <rFont val="宋体"/>
        <family val="3"/>
        <charset val="134"/>
      </rPr>
      <t>本期偿还</t>
    </r>
  </si>
  <si>
    <r>
      <rPr>
        <b/>
        <sz val="12"/>
        <rFont val="宋体"/>
        <family val="3"/>
        <charset val="134"/>
      </rPr>
      <t>期末余额</t>
    </r>
  </si>
  <si>
    <r>
      <rPr>
        <b/>
        <sz val="12"/>
        <rFont val="宋体"/>
        <family val="3"/>
        <charset val="134"/>
      </rPr>
      <t>是否违约</t>
    </r>
  </si>
  <si>
    <r>
      <rPr>
        <sz val="12"/>
        <color rgb="FF000000"/>
        <rFont val="宋体"/>
        <family val="3"/>
        <charset val="134"/>
      </rPr>
      <t>减：一年内到期的应付债券</t>
    </r>
  </si>
  <si>
    <r>
      <rPr>
        <b/>
        <sz val="12"/>
        <color rgb="FF000000"/>
        <rFont val="宋体"/>
        <family val="3"/>
        <charset val="134"/>
      </rPr>
      <t>合</t>
    </r>
    <r>
      <rPr>
        <b/>
        <sz val="12"/>
        <color rgb="FF000000"/>
        <rFont val="Arial Narrow"/>
        <family val="2"/>
      </rPr>
      <t xml:space="preserve">  </t>
    </r>
    <r>
      <rPr>
        <b/>
        <sz val="12"/>
        <color rgb="FF000000"/>
        <rFont val="宋体"/>
        <family val="3"/>
        <charset val="134"/>
      </rPr>
      <t>计</t>
    </r>
  </si>
  <si>
    <r>
      <rPr>
        <sz val="12"/>
        <rFont val="宋体"/>
        <family val="3"/>
        <charset val="134"/>
      </rPr>
      <t>（</t>
    </r>
    <r>
      <rPr>
        <sz val="12"/>
        <rFont val="Arial Narrow"/>
        <family val="2"/>
      </rPr>
      <t>2</t>
    </r>
    <r>
      <rPr>
        <sz val="12"/>
        <rFont val="宋体"/>
        <family val="3"/>
        <charset val="134"/>
      </rPr>
      <t>）可转换公司债券</t>
    </r>
  </si>
  <si>
    <r>
      <rPr>
        <sz val="12"/>
        <rFont val="宋体"/>
        <family val="3"/>
        <charset val="134"/>
      </rPr>
      <t>说明：</t>
    </r>
    <r>
      <rPr>
        <sz val="12"/>
        <color rgb="FF0000FF"/>
        <rFont val="宋体"/>
        <family val="3"/>
        <charset val="134"/>
      </rPr>
      <t>（披露可转换公司债券的转股条件、转股时间、转股权会计处理及相关判断依据等。（</t>
    </r>
    <r>
      <rPr>
        <sz val="12"/>
        <color rgb="FF0000FF"/>
        <rFont val="Arial Narrow"/>
        <family val="2"/>
      </rPr>
      <t>15</t>
    </r>
    <r>
      <rPr>
        <sz val="12"/>
        <color rgb="FF0000FF"/>
        <rFont val="宋体"/>
        <family val="3"/>
        <charset val="134"/>
      </rPr>
      <t>号文第二十条（十））</t>
    </r>
  </si>
  <si>
    <r>
      <rPr>
        <sz val="12"/>
        <color rgb="FFFF0000"/>
        <rFont val="宋体"/>
        <family val="3"/>
        <charset val="134"/>
      </rPr>
      <t>根据中国证券监督管理委员会证监发行字</t>
    </r>
    <r>
      <rPr>
        <sz val="12"/>
        <color rgb="FFFF0000"/>
        <rFont val="Arial Narrow"/>
        <family val="2"/>
      </rPr>
      <t>[201x]XX</t>
    </r>
    <r>
      <rPr>
        <sz val="12"/>
        <color rgb="FFFF0000"/>
        <rFont val="宋体"/>
        <family val="3"/>
        <charset val="134"/>
      </rPr>
      <t>号核准，本公司于</t>
    </r>
    <r>
      <rPr>
        <sz val="12"/>
        <color rgb="FFFF0000"/>
        <rFont val="Arial Narrow"/>
        <family val="2"/>
      </rPr>
      <t>202X</t>
    </r>
    <r>
      <rPr>
        <sz val="12"/>
        <color rgb="FFFF0000"/>
        <rFont val="宋体"/>
        <family val="3"/>
        <charset val="134"/>
      </rPr>
      <t>年</t>
    </r>
    <r>
      <rPr>
        <sz val="12"/>
        <color rgb="FFFF0000"/>
        <rFont val="Arial Narrow"/>
        <family val="2"/>
      </rPr>
      <t>X</t>
    </r>
    <r>
      <rPr>
        <sz val="12"/>
        <color rgb="FFFF0000"/>
        <rFont val="宋体"/>
        <family val="3"/>
        <charset val="134"/>
      </rPr>
      <t>月</t>
    </r>
    <r>
      <rPr>
        <sz val="12"/>
        <color rgb="FFFF0000"/>
        <rFont val="Arial Narrow"/>
        <family val="2"/>
      </rPr>
      <t>X</t>
    </r>
    <r>
      <rPr>
        <sz val="12"/>
        <color rgb="FFFF0000"/>
        <rFont val="宋体"/>
        <family val="3"/>
        <charset val="134"/>
      </rPr>
      <t>日至</t>
    </r>
    <r>
      <rPr>
        <sz val="12"/>
        <color rgb="FFFF0000"/>
        <rFont val="Arial Narrow"/>
        <family val="2"/>
      </rPr>
      <t>202X</t>
    </r>
    <r>
      <rPr>
        <sz val="12"/>
        <color rgb="FFFF0000"/>
        <rFont val="宋体"/>
        <family val="3"/>
        <charset val="134"/>
      </rPr>
      <t>年</t>
    </r>
    <r>
      <rPr>
        <sz val="12"/>
        <color rgb="FFFF0000"/>
        <rFont val="Arial Narrow"/>
        <family val="2"/>
      </rPr>
      <t>X</t>
    </r>
    <r>
      <rPr>
        <sz val="12"/>
        <color rgb="FFFF0000"/>
        <rFont val="宋体"/>
        <family val="3"/>
        <charset val="134"/>
      </rPr>
      <t>月</t>
    </r>
    <r>
      <rPr>
        <sz val="12"/>
        <color rgb="FFFF0000"/>
        <rFont val="Arial Narrow"/>
        <family val="2"/>
      </rPr>
      <t>X</t>
    </r>
    <r>
      <rPr>
        <sz val="12"/>
        <color rgb="FFFF0000"/>
        <rFont val="宋体"/>
        <family val="3"/>
        <charset val="134"/>
      </rPr>
      <t>日公开发行</t>
    </r>
    <r>
      <rPr>
        <sz val="12"/>
        <color rgb="FFFF0000"/>
        <rFont val="Arial Narrow"/>
        <family val="2"/>
      </rPr>
      <t>XX</t>
    </r>
    <r>
      <rPr>
        <sz val="12"/>
        <color rgb="FFFF0000"/>
        <rFont val="宋体"/>
        <family val="3"/>
        <charset val="134"/>
      </rPr>
      <t>份可转换公司债券，每份面值</t>
    </r>
    <r>
      <rPr>
        <sz val="12"/>
        <color rgb="FFFF0000"/>
        <rFont val="Arial Narrow"/>
        <family val="2"/>
      </rPr>
      <t>100</t>
    </r>
    <r>
      <rPr>
        <sz val="12"/>
        <color rgb="FFFF0000"/>
        <rFont val="宋体"/>
        <family val="3"/>
        <charset val="134"/>
      </rPr>
      <t>元，发行总额</t>
    </r>
    <r>
      <rPr>
        <sz val="12"/>
        <color rgb="FFFF0000"/>
        <rFont val="Arial Narrow"/>
        <family val="2"/>
      </rPr>
      <t>XXX</t>
    </r>
    <r>
      <rPr>
        <sz val="12"/>
        <color rgb="FFFF0000"/>
        <rFont val="宋体"/>
        <family val="3"/>
        <charset val="134"/>
      </rPr>
      <t>元，债券期限为</t>
    </r>
    <r>
      <rPr>
        <sz val="12"/>
        <color rgb="FFFF0000"/>
        <rFont val="Arial Narrow"/>
        <family val="2"/>
      </rPr>
      <t>X</t>
    </r>
    <r>
      <rPr>
        <sz val="12"/>
        <color rgb="FFFF0000"/>
        <rFont val="宋体"/>
        <family val="3"/>
        <charset val="134"/>
      </rPr>
      <t>年。</t>
    </r>
  </si>
  <si>
    <r>
      <rPr>
        <sz val="12"/>
        <color rgb="FFFF0000"/>
        <rFont val="宋体"/>
        <family val="3"/>
        <charset val="134"/>
      </rPr>
      <t>本公司发行的可转换公司债券的票面利率为</t>
    </r>
    <r>
      <rPr>
        <sz val="12"/>
        <color rgb="FFFF0000"/>
        <rFont val="Arial Narrow"/>
        <family val="2"/>
      </rPr>
      <t>X%</t>
    </r>
    <r>
      <rPr>
        <sz val="12"/>
        <color rgb="FFFF0000"/>
        <rFont val="宋体"/>
        <family val="3"/>
        <charset val="134"/>
      </rPr>
      <t>，利息按季支付，</t>
    </r>
    <r>
      <rPr>
        <sz val="12"/>
        <color rgb="FFFF0000"/>
        <rFont val="Arial Narrow"/>
        <family val="2"/>
      </rPr>
      <t>202X</t>
    </r>
    <r>
      <rPr>
        <sz val="12"/>
        <color rgb="FFFF0000"/>
        <rFont val="宋体"/>
        <family val="3"/>
        <charset val="134"/>
      </rPr>
      <t>年</t>
    </r>
    <r>
      <rPr>
        <sz val="12"/>
        <color rgb="FFFF0000"/>
        <rFont val="Arial Narrow"/>
        <family val="2"/>
      </rPr>
      <t>X</t>
    </r>
    <r>
      <rPr>
        <sz val="12"/>
        <color rgb="FFFF0000"/>
        <rFont val="宋体"/>
        <family val="3"/>
        <charset val="134"/>
      </rPr>
      <t>月</t>
    </r>
    <r>
      <rPr>
        <sz val="12"/>
        <color rgb="FFFF0000"/>
        <rFont val="Arial Narrow"/>
        <family val="2"/>
      </rPr>
      <t>X</t>
    </r>
    <r>
      <rPr>
        <sz val="12"/>
        <color rgb="FFFF0000"/>
        <rFont val="宋体"/>
        <family val="3"/>
        <charset val="134"/>
      </rPr>
      <t>日为第一次派息日。转股期自发行之日起</t>
    </r>
    <r>
      <rPr>
        <sz val="12"/>
        <color rgb="FFFF0000"/>
        <rFont val="Arial Narrow"/>
        <family val="2"/>
      </rPr>
      <t>(202X</t>
    </r>
    <r>
      <rPr>
        <sz val="12"/>
        <color rgb="FFFF0000"/>
        <rFont val="宋体"/>
        <family val="3"/>
        <charset val="134"/>
      </rPr>
      <t>年</t>
    </r>
    <r>
      <rPr>
        <sz val="12"/>
        <color rgb="FFFF0000"/>
        <rFont val="Arial Narrow"/>
        <family val="2"/>
      </rPr>
      <t>X</t>
    </r>
    <r>
      <rPr>
        <sz val="12"/>
        <color rgb="FFFF0000"/>
        <rFont val="宋体"/>
        <family val="3"/>
        <charset val="134"/>
      </rPr>
      <t>月</t>
    </r>
    <r>
      <rPr>
        <sz val="12"/>
        <color rgb="FFFF0000"/>
        <rFont val="Arial Narrow"/>
        <family val="2"/>
      </rPr>
      <t>X</t>
    </r>
    <r>
      <rPr>
        <sz val="12"/>
        <color rgb="FFFF0000"/>
        <rFont val="宋体"/>
        <family val="3"/>
        <charset val="134"/>
      </rPr>
      <t>日</t>
    </r>
    <r>
      <rPr>
        <sz val="12"/>
        <color rgb="FFFF0000"/>
        <rFont val="Arial Narrow"/>
        <family val="2"/>
      </rPr>
      <t>)X</t>
    </r>
    <r>
      <rPr>
        <sz val="12"/>
        <color rgb="FFFF0000"/>
        <rFont val="宋体"/>
        <family val="3"/>
        <charset val="134"/>
      </rPr>
      <t>个月后的第一个交易日</t>
    </r>
    <r>
      <rPr>
        <sz val="12"/>
        <color rgb="FFFF0000"/>
        <rFont val="Arial Narrow"/>
        <family val="2"/>
      </rPr>
      <t>(202X</t>
    </r>
    <r>
      <rPr>
        <sz val="12"/>
        <color rgb="FFFF0000"/>
        <rFont val="宋体"/>
        <family val="3"/>
        <charset val="134"/>
      </rPr>
      <t>年</t>
    </r>
    <r>
      <rPr>
        <sz val="12"/>
        <color rgb="FFFF0000"/>
        <rFont val="Arial Narrow"/>
        <family val="2"/>
      </rPr>
      <t>X</t>
    </r>
    <r>
      <rPr>
        <sz val="12"/>
        <color rgb="FFFF0000"/>
        <rFont val="宋体"/>
        <family val="3"/>
        <charset val="134"/>
      </rPr>
      <t>月</t>
    </r>
    <r>
      <rPr>
        <sz val="12"/>
        <color rgb="FFFF0000"/>
        <rFont val="Arial Narrow"/>
        <family val="2"/>
      </rPr>
      <t>X</t>
    </r>
    <r>
      <rPr>
        <sz val="12"/>
        <color rgb="FFFF0000"/>
        <rFont val="宋体"/>
        <family val="3"/>
        <charset val="134"/>
      </rPr>
      <t>日</t>
    </r>
    <r>
      <rPr>
        <sz val="12"/>
        <color rgb="FFFF0000"/>
        <rFont val="Arial Narrow"/>
        <family val="2"/>
      </rPr>
      <t>)</t>
    </r>
    <r>
      <rPr>
        <sz val="12"/>
        <color rgb="FFFF0000"/>
        <rFont val="宋体"/>
        <family val="3"/>
        <charset val="134"/>
      </rPr>
      <t>起</t>
    </r>
    <r>
      <rPr>
        <sz val="12"/>
        <color rgb="FFFF0000"/>
        <rFont val="Arial Narrow"/>
        <family val="2"/>
      </rPr>
      <t>(</t>
    </r>
    <r>
      <rPr>
        <sz val="12"/>
        <color rgb="FFFF0000"/>
        <rFont val="宋体"/>
        <family val="3"/>
        <charset val="134"/>
      </rPr>
      <t>含当日</t>
    </r>
    <r>
      <rPr>
        <sz val="12"/>
        <color rgb="FFFF0000"/>
        <rFont val="Arial Narrow"/>
        <family val="2"/>
      </rPr>
      <t>)</t>
    </r>
    <r>
      <rPr>
        <sz val="12"/>
        <color rgb="FFFF0000"/>
        <rFont val="宋体"/>
        <family val="3"/>
        <charset val="134"/>
      </rPr>
      <t>，至可转换公司债券到期日</t>
    </r>
    <r>
      <rPr>
        <sz val="12"/>
        <color rgb="FFFF0000"/>
        <rFont val="Arial Narrow"/>
        <family val="2"/>
      </rPr>
      <t>(202X</t>
    </r>
    <r>
      <rPr>
        <sz val="12"/>
        <color rgb="FFFF0000"/>
        <rFont val="宋体"/>
        <family val="3"/>
        <charset val="134"/>
      </rPr>
      <t>年</t>
    </r>
    <r>
      <rPr>
        <sz val="12"/>
        <color rgb="FFFF0000"/>
        <rFont val="Arial Narrow"/>
        <family val="2"/>
      </rPr>
      <t>X</t>
    </r>
    <r>
      <rPr>
        <sz val="12"/>
        <color rgb="FFFF0000"/>
        <rFont val="宋体"/>
        <family val="3"/>
        <charset val="134"/>
      </rPr>
      <t>月</t>
    </r>
    <r>
      <rPr>
        <sz val="12"/>
        <color rgb="FFFF0000"/>
        <rFont val="Arial Narrow"/>
        <family val="2"/>
      </rPr>
      <t>X</t>
    </r>
    <r>
      <rPr>
        <sz val="12"/>
        <color rgb="FFFF0000"/>
        <rFont val="宋体"/>
        <family val="3"/>
        <charset val="134"/>
      </rPr>
      <t>日</t>
    </r>
    <r>
      <rPr>
        <sz val="12"/>
        <color rgb="FFFF0000"/>
        <rFont val="Arial Narrow"/>
        <family val="2"/>
      </rPr>
      <t>)</t>
    </r>
    <r>
      <rPr>
        <sz val="12"/>
        <color rgb="FFFF0000"/>
        <rFont val="宋体"/>
        <family val="3"/>
        <charset val="134"/>
      </rPr>
      <t>前一个交易日止</t>
    </r>
    <r>
      <rPr>
        <sz val="12"/>
        <color rgb="FFFF0000"/>
        <rFont val="Arial Narrow"/>
        <family val="2"/>
      </rPr>
      <t>(</t>
    </r>
    <r>
      <rPr>
        <sz val="12"/>
        <color rgb="FFFF0000"/>
        <rFont val="宋体"/>
        <family val="3"/>
        <charset val="134"/>
      </rPr>
      <t>含当日</t>
    </r>
    <r>
      <rPr>
        <sz val="12"/>
        <color rgb="FFFF0000"/>
        <rFont val="Arial Narrow"/>
        <family val="2"/>
      </rPr>
      <t>)</t>
    </r>
    <r>
      <rPr>
        <sz val="12"/>
        <color rgb="FFFF0000"/>
        <rFont val="宋体"/>
        <family val="3"/>
        <charset val="134"/>
      </rPr>
      <t>。持有人可在转股期内申请转股。该转股权符合《企业会计准则第</t>
    </r>
    <r>
      <rPr>
        <sz val="12"/>
        <color rgb="FFFF0000"/>
        <rFont val="Arial Narrow"/>
        <family val="2"/>
      </rPr>
      <t>37</t>
    </r>
    <r>
      <rPr>
        <sz val="12"/>
        <color rgb="FFFF0000"/>
        <rFont val="宋体"/>
        <family val="3"/>
        <charset val="134"/>
      </rPr>
      <t>号</t>
    </r>
    <r>
      <rPr>
        <sz val="12"/>
        <color rgb="FFFF0000"/>
        <rFont val="Arial Narrow"/>
        <family val="2"/>
      </rPr>
      <t>——</t>
    </r>
    <r>
      <rPr>
        <sz val="12"/>
        <color rgb="FFFF0000"/>
        <rFont val="宋体"/>
        <family val="3"/>
        <charset val="134"/>
      </rPr>
      <t>金融工具列报》有关权益工具的定义，即满足</t>
    </r>
    <r>
      <rPr>
        <sz val="12"/>
        <color rgb="FFFF0000"/>
        <rFont val="Arial Narrow"/>
        <family val="2"/>
      </rPr>
      <t>“</t>
    </r>
    <r>
      <rPr>
        <sz val="12"/>
        <color rgb="FFFF0000"/>
        <rFont val="宋体"/>
        <family val="3"/>
        <charset val="134"/>
      </rPr>
      <t>固定换固定</t>
    </r>
    <r>
      <rPr>
        <sz val="12"/>
        <color rgb="FFFF0000"/>
        <rFont val="Arial Narrow"/>
        <family val="2"/>
      </rPr>
      <t>”</t>
    </r>
    <r>
      <rPr>
        <sz val="12"/>
        <color rgb="FFFF0000"/>
        <rFont val="宋体"/>
        <family val="3"/>
        <charset val="134"/>
      </rPr>
      <t>原则，本公司将其确认为一项权益工具（其他权益工具），并以发行价格减去不附认股权且其他条件相同的公司债券公允价值后的净额进行计量。</t>
    </r>
  </si>
  <si>
    <r>
      <rPr>
        <sz val="12"/>
        <color rgb="FFFF0000"/>
        <rFont val="宋体"/>
        <family val="3"/>
        <charset val="134"/>
      </rPr>
      <t>可转换公司债券发行时的初始转股价格为每股</t>
    </r>
    <r>
      <rPr>
        <sz val="12"/>
        <color rgb="FFFF0000"/>
        <rFont val="Arial Narrow"/>
        <family val="2"/>
      </rPr>
      <t>X</t>
    </r>
    <r>
      <rPr>
        <sz val="12"/>
        <color rgb="FFFF0000"/>
        <rFont val="宋体"/>
        <family val="3"/>
        <charset val="134"/>
      </rPr>
      <t>元，本公司在</t>
    </r>
    <r>
      <rPr>
        <sz val="12"/>
        <color rgb="FFFF0000"/>
        <rFont val="Arial Narrow"/>
        <family val="2"/>
      </rPr>
      <t>202X</t>
    </r>
    <r>
      <rPr>
        <sz val="12"/>
        <color rgb="FFFF0000"/>
        <rFont val="宋体"/>
        <family val="3"/>
        <charset val="134"/>
      </rPr>
      <t>年</t>
    </r>
    <r>
      <rPr>
        <sz val="12"/>
        <color rgb="FFFF0000"/>
        <rFont val="Arial Narrow"/>
        <family val="2"/>
      </rPr>
      <t>X</t>
    </r>
    <r>
      <rPr>
        <sz val="12"/>
        <color rgb="FFFF0000"/>
        <rFont val="宋体"/>
        <family val="3"/>
        <charset val="134"/>
      </rPr>
      <t>月</t>
    </r>
    <r>
      <rPr>
        <sz val="12"/>
        <color rgb="FFFF0000"/>
        <rFont val="Arial Narrow"/>
        <family val="2"/>
      </rPr>
      <t>X</t>
    </r>
    <r>
      <rPr>
        <sz val="12"/>
        <color rgb="FFFF0000"/>
        <rFont val="宋体"/>
        <family val="3"/>
        <charset val="134"/>
      </rPr>
      <t>日实施</t>
    </r>
    <r>
      <rPr>
        <sz val="12"/>
        <color rgb="FFFF0000"/>
        <rFont val="Arial Narrow"/>
        <family val="2"/>
      </rPr>
      <t>202X</t>
    </r>
    <r>
      <rPr>
        <sz val="12"/>
        <color rgb="FFFF0000"/>
        <rFont val="宋体"/>
        <family val="3"/>
        <charset val="134"/>
      </rPr>
      <t>年度每股派发现金股息</t>
    </r>
    <r>
      <rPr>
        <sz val="12"/>
        <color rgb="FFFF0000"/>
        <rFont val="Arial Narrow"/>
        <family val="2"/>
      </rPr>
      <t>X</t>
    </r>
    <r>
      <rPr>
        <sz val="12"/>
        <color rgb="FFFF0000"/>
        <rFont val="宋体"/>
        <family val="3"/>
        <charset val="134"/>
      </rPr>
      <t>元及用资本公积每十股转增</t>
    </r>
    <r>
      <rPr>
        <sz val="12"/>
        <color rgb="FFFF0000"/>
        <rFont val="Arial Narrow"/>
        <family val="2"/>
      </rPr>
      <t>X</t>
    </r>
    <r>
      <rPr>
        <sz val="12"/>
        <color rgb="FFFF0000"/>
        <rFont val="宋体"/>
        <family val="3"/>
        <charset val="134"/>
      </rPr>
      <t>股的方案后，可转债初始转股价格相应调整为每股</t>
    </r>
    <r>
      <rPr>
        <sz val="12"/>
        <color rgb="FFFF0000"/>
        <rFont val="Arial Narrow"/>
        <family val="2"/>
      </rPr>
      <t>X</t>
    </r>
    <r>
      <rPr>
        <sz val="12"/>
        <color rgb="FFFF0000"/>
        <rFont val="宋体"/>
        <family val="3"/>
        <charset val="134"/>
      </rPr>
      <t>元。</t>
    </r>
  </si>
  <si>
    <r>
      <rPr>
        <sz val="12"/>
        <rFont val="宋体"/>
        <family val="3"/>
        <charset val="134"/>
      </rPr>
      <t>（</t>
    </r>
    <r>
      <rPr>
        <sz val="12"/>
        <rFont val="Arial Narrow"/>
        <family val="2"/>
      </rPr>
      <t>3</t>
    </r>
    <r>
      <rPr>
        <sz val="12"/>
        <rFont val="宋体"/>
        <family val="3"/>
        <charset val="134"/>
      </rPr>
      <t>）划分为金融负债的其他金融工具</t>
    </r>
  </si>
  <si>
    <r>
      <rPr>
        <sz val="12"/>
        <color rgb="FF0000FF"/>
        <rFont val="宋体"/>
        <family val="3"/>
        <charset val="134"/>
      </rPr>
      <t>【公司发行其他金融工具并划分为金融负债的，应分项披露其基本情况、期初余额、期末余额和本期增减变动情况，以及划分至金融负债的依据。】</t>
    </r>
  </si>
  <si>
    <r>
      <rPr>
        <sz val="12"/>
        <color rgb="FF0000FF"/>
        <rFont val="宋体"/>
        <family val="3"/>
        <charset val="134"/>
      </rPr>
      <t>期末发行在外的优先股、永续债等其他金融工具的基本情况：</t>
    </r>
  </si>
  <si>
    <r>
      <rPr>
        <sz val="12"/>
        <color rgb="FF0000FF"/>
        <rFont val="宋体"/>
        <family val="3"/>
        <charset val="134"/>
      </rPr>
      <t>参考披露格式：</t>
    </r>
  </si>
  <si>
    <r>
      <rPr>
        <b/>
        <sz val="12"/>
        <color rgb="FF0000FF"/>
        <rFont val="宋体"/>
        <family val="3"/>
        <charset val="134"/>
      </rPr>
      <t>发行在外的金融工具</t>
    </r>
  </si>
  <si>
    <r>
      <rPr>
        <b/>
        <sz val="12"/>
        <color rgb="FF0000FF"/>
        <rFont val="宋体"/>
        <family val="3"/>
        <charset val="134"/>
      </rPr>
      <t>发行时间</t>
    </r>
  </si>
  <si>
    <r>
      <rPr>
        <b/>
        <sz val="12"/>
        <color rgb="FF0000FF"/>
        <rFont val="宋体"/>
        <family val="3"/>
        <charset val="134"/>
      </rPr>
      <t>会计分类</t>
    </r>
  </si>
  <si>
    <r>
      <rPr>
        <b/>
        <sz val="12"/>
        <color rgb="FF0000FF"/>
        <rFont val="宋体"/>
        <family val="3"/>
        <charset val="134"/>
      </rPr>
      <t>股利率或利息率</t>
    </r>
  </si>
  <si>
    <r>
      <rPr>
        <b/>
        <sz val="12"/>
        <color rgb="FF0000FF"/>
        <rFont val="宋体"/>
        <family val="3"/>
        <charset val="134"/>
      </rPr>
      <t>发行价格</t>
    </r>
  </si>
  <si>
    <r>
      <rPr>
        <b/>
        <sz val="12"/>
        <color rgb="FF0000FF"/>
        <rFont val="宋体"/>
        <family val="3"/>
        <charset val="134"/>
      </rPr>
      <t>数量</t>
    </r>
  </si>
  <si>
    <r>
      <rPr>
        <b/>
        <sz val="12"/>
        <color rgb="FF0000FF"/>
        <rFont val="宋体"/>
        <family val="3"/>
        <charset val="134"/>
      </rPr>
      <t>金额</t>
    </r>
  </si>
  <si>
    <r>
      <rPr>
        <b/>
        <sz val="12"/>
        <color rgb="FF0000FF"/>
        <rFont val="宋体"/>
        <family val="3"/>
        <charset val="134"/>
      </rPr>
      <t>到期日或续期情况</t>
    </r>
  </si>
  <si>
    <r>
      <rPr>
        <b/>
        <sz val="12"/>
        <color rgb="FF0000FF"/>
        <rFont val="宋体"/>
        <family val="3"/>
        <charset val="134"/>
      </rPr>
      <t>转股条件</t>
    </r>
  </si>
  <si>
    <r>
      <rPr>
        <b/>
        <sz val="12"/>
        <color rgb="FF0000FF"/>
        <rFont val="宋体"/>
        <family val="3"/>
        <charset val="134"/>
      </rPr>
      <t>转换情况</t>
    </r>
  </si>
  <si>
    <r>
      <rPr>
        <sz val="12"/>
        <color rgb="FF0000FF"/>
        <rFont val="宋体"/>
        <family val="3"/>
        <charset val="134"/>
      </rPr>
      <t>可无限加行</t>
    </r>
  </si>
  <si>
    <r>
      <rPr>
        <b/>
        <sz val="12"/>
        <color rgb="FF0000FF"/>
        <rFont val="宋体"/>
        <family val="3"/>
        <charset val="134"/>
      </rPr>
      <t>合计</t>
    </r>
  </si>
  <si>
    <r>
      <rPr>
        <sz val="12"/>
        <color rgb="FF0000FF"/>
        <rFont val="宋体"/>
        <family val="3"/>
        <charset val="134"/>
      </rPr>
      <t>【提示：</t>
    </r>
  </si>
  <si>
    <r>
      <rPr>
        <sz val="12"/>
        <color rgb="FF0000FF"/>
        <rFont val="Arial Narrow"/>
        <family val="2"/>
      </rPr>
      <t>1</t>
    </r>
    <r>
      <rPr>
        <sz val="12"/>
        <color rgb="FF0000FF"/>
        <rFont val="宋体"/>
        <family val="3"/>
        <charset val="134"/>
      </rPr>
      <t>、</t>
    </r>
    <r>
      <rPr>
        <sz val="12"/>
        <color rgb="FF0000FF"/>
        <rFont val="Arial Narrow"/>
        <family val="2"/>
      </rPr>
      <t>“</t>
    </r>
    <r>
      <rPr>
        <sz val="12"/>
        <color rgb="FF0000FF"/>
        <rFont val="宋体"/>
        <family val="3"/>
        <charset val="134"/>
      </rPr>
      <t>会计分类</t>
    </r>
    <r>
      <rPr>
        <sz val="12"/>
        <color rgb="FF0000FF"/>
        <rFont val="Arial Narrow"/>
        <family val="2"/>
      </rPr>
      <t>”</t>
    </r>
    <r>
      <rPr>
        <sz val="12"/>
        <color rgb="FF0000FF"/>
        <rFont val="宋体"/>
        <family val="3"/>
        <charset val="134"/>
      </rPr>
      <t>栏应填写</t>
    </r>
    <r>
      <rPr>
        <sz val="12"/>
        <color rgb="FF0000FF"/>
        <rFont val="Arial Narrow"/>
        <family val="2"/>
      </rPr>
      <t>“</t>
    </r>
    <r>
      <rPr>
        <sz val="12"/>
        <color rgb="FF0000FF"/>
        <rFont val="宋体"/>
        <family val="3"/>
        <charset val="134"/>
      </rPr>
      <t>金融负债</t>
    </r>
    <r>
      <rPr>
        <sz val="12"/>
        <color rgb="FF0000FF"/>
        <rFont val="Arial Narrow"/>
        <family val="2"/>
      </rPr>
      <t>”</t>
    </r>
    <r>
      <rPr>
        <sz val="12"/>
        <color rgb="FF0000FF"/>
        <rFont val="宋体"/>
        <family val="3"/>
        <charset val="134"/>
      </rPr>
      <t>、</t>
    </r>
    <r>
      <rPr>
        <sz val="12"/>
        <color rgb="FF0000FF"/>
        <rFont val="Arial Narrow"/>
        <family val="2"/>
      </rPr>
      <t>“</t>
    </r>
    <r>
      <rPr>
        <sz val="12"/>
        <color rgb="FF0000FF"/>
        <rFont val="宋体"/>
        <family val="3"/>
        <charset val="134"/>
      </rPr>
      <t>权益工具</t>
    </r>
    <r>
      <rPr>
        <sz val="12"/>
        <color rgb="FF0000FF"/>
        <rFont val="Arial Narrow"/>
        <family val="2"/>
      </rPr>
      <t>”</t>
    </r>
    <r>
      <rPr>
        <sz val="12"/>
        <color rgb="FF0000FF"/>
        <rFont val="宋体"/>
        <family val="3"/>
        <charset val="134"/>
      </rPr>
      <t>或</t>
    </r>
    <r>
      <rPr>
        <sz val="12"/>
        <color rgb="FF0000FF"/>
        <rFont val="Arial Narrow"/>
        <family val="2"/>
      </rPr>
      <t>“</t>
    </r>
    <r>
      <rPr>
        <sz val="12"/>
        <color rgb="FF0000FF"/>
        <rFont val="宋体"/>
        <family val="3"/>
        <charset val="134"/>
      </rPr>
      <t>复合金融工具</t>
    </r>
    <r>
      <rPr>
        <sz val="12"/>
        <color rgb="FF0000FF"/>
        <rFont val="Arial Narrow"/>
        <family val="2"/>
      </rPr>
      <t>”</t>
    </r>
    <r>
      <rPr>
        <sz val="12"/>
        <color rgb="FF0000FF"/>
        <rFont val="宋体"/>
        <family val="3"/>
        <charset val="134"/>
      </rPr>
      <t>等，对于整体指定以公允价值计量且其变动计入当期损益的金融负债，在</t>
    </r>
    <r>
      <rPr>
        <sz val="12"/>
        <color rgb="FF0000FF"/>
        <rFont val="Arial Narrow"/>
        <family val="2"/>
      </rPr>
      <t>“</t>
    </r>
    <r>
      <rPr>
        <sz val="12"/>
        <color rgb="FF0000FF"/>
        <rFont val="宋体"/>
        <family val="3"/>
        <charset val="134"/>
      </rPr>
      <t>会计分类</t>
    </r>
    <r>
      <rPr>
        <sz val="12"/>
        <color rgb="FF0000FF"/>
        <rFont val="Arial Narrow"/>
        <family val="2"/>
      </rPr>
      <t>”</t>
    </r>
    <r>
      <rPr>
        <sz val="12"/>
        <color rgb="FF0000FF"/>
        <rFont val="宋体"/>
        <family val="3"/>
        <charset val="134"/>
      </rPr>
      <t>栏中只需注明</t>
    </r>
    <r>
      <rPr>
        <sz val="12"/>
        <color rgb="FF0000FF"/>
        <rFont val="Arial Narrow"/>
        <family val="2"/>
      </rPr>
      <t>“</t>
    </r>
    <r>
      <rPr>
        <sz val="12"/>
        <color rgb="FF0000FF"/>
        <rFont val="宋体"/>
        <family val="3"/>
        <charset val="134"/>
      </rPr>
      <t>整体指定</t>
    </r>
    <r>
      <rPr>
        <sz val="12"/>
        <color rgb="FF0000FF"/>
        <rFont val="Arial Narrow"/>
        <family val="2"/>
      </rPr>
      <t>”</t>
    </r>
    <r>
      <rPr>
        <sz val="12"/>
        <color rgb="FF0000FF"/>
        <rFont val="宋体"/>
        <family val="3"/>
        <charset val="134"/>
      </rPr>
      <t>即可。</t>
    </r>
  </si>
  <si>
    <r>
      <rPr>
        <sz val="12"/>
        <color rgb="FF0000FF"/>
        <rFont val="Arial Narrow"/>
        <family val="2"/>
      </rPr>
      <t>2</t>
    </r>
    <r>
      <rPr>
        <sz val="12"/>
        <color rgb="FF0000FF"/>
        <rFont val="宋体"/>
        <family val="3"/>
        <charset val="134"/>
      </rPr>
      <t>、</t>
    </r>
    <r>
      <rPr>
        <sz val="12"/>
        <color rgb="FF0000FF"/>
        <rFont val="Arial Narrow"/>
        <family val="2"/>
      </rPr>
      <t>“</t>
    </r>
    <r>
      <rPr>
        <sz val="12"/>
        <color rgb="FF0000FF"/>
        <rFont val="宋体"/>
        <family val="3"/>
        <charset val="134"/>
      </rPr>
      <t>转股条件</t>
    </r>
    <r>
      <rPr>
        <sz val="12"/>
        <color rgb="FF0000FF"/>
        <rFont val="Arial Narrow"/>
        <family val="2"/>
      </rPr>
      <t>”</t>
    </r>
    <r>
      <rPr>
        <sz val="12"/>
        <color rgb="FF0000FF"/>
        <rFont val="宋体"/>
        <family val="3"/>
        <charset val="134"/>
      </rPr>
      <t>栏应当披露合同中是否包含强制转股、自愿转股等条款。</t>
    </r>
    <r>
      <rPr>
        <sz val="12"/>
        <color rgb="FF0000FF"/>
        <rFont val="Arial Narrow"/>
        <family val="2"/>
      </rPr>
      <t xml:space="preserve"> </t>
    </r>
  </si>
  <si>
    <r>
      <rPr>
        <sz val="12"/>
        <color rgb="FF0000FF"/>
        <rFont val="Arial Narrow"/>
        <family val="2"/>
      </rPr>
      <t>3</t>
    </r>
    <r>
      <rPr>
        <sz val="12"/>
        <color rgb="FF0000FF"/>
        <rFont val="宋体"/>
        <family val="3"/>
        <charset val="134"/>
      </rPr>
      <t>、</t>
    </r>
    <r>
      <rPr>
        <sz val="12"/>
        <color rgb="FF0000FF"/>
        <rFont val="Arial Narrow"/>
        <family val="2"/>
      </rPr>
      <t>“</t>
    </r>
    <r>
      <rPr>
        <sz val="12"/>
        <color rgb="FF0000FF"/>
        <rFont val="宋体"/>
        <family val="3"/>
        <charset val="134"/>
      </rPr>
      <t>金额</t>
    </r>
    <r>
      <rPr>
        <sz val="12"/>
        <color rgb="FF0000FF"/>
        <rFont val="Arial Narrow"/>
        <family val="2"/>
      </rPr>
      <t>”</t>
    </r>
    <r>
      <rPr>
        <sz val="12"/>
        <color rgb="FF0000FF"/>
        <rFont val="宋体"/>
        <family val="3"/>
        <charset val="134"/>
      </rPr>
      <t>栏以发行价格乘以发行数量填列。】</t>
    </r>
  </si>
  <si>
    <r>
      <rPr>
        <sz val="12"/>
        <rFont val="宋体"/>
        <family val="3"/>
        <charset val="134"/>
      </rPr>
      <t>说明：</t>
    </r>
  </si>
  <si>
    <r>
      <rPr>
        <sz val="12"/>
        <color rgb="FF0000FF"/>
        <rFont val="宋体"/>
        <family val="3"/>
        <charset val="134"/>
      </rPr>
      <t>①工具</t>
    </r>
    <r>
      <rPr>
        <sz val="12"/>
        <color rgb="FF0000FF"/>
        <rFont val="Arial Narrow"/>
        <family val="2"/>
      </rPr>
      <t>1</t>
    </r>
    <r>
      <rPr>
        <sz val="12"/>
        <color rgb="FF0000FF"/>
        <rFont val="宋体"/>
        <family val="3"/>
        <charset val="134"/>
      </rPr>
      <t>的主要条款说明以及利息的设定机制：</t>
    </r>
    <r>
      <rPr>
        <sz val="12"/>
        <color rgb="FF0000FF"/>
        <rFont val="Arial Narrow"/>
        <family val="2"/>
      </rPr>
      <t xml:space="preserve"> </t>
    </r>
  </si>
  <si>
    <r>
      <rPr>
        <sz val="12"/>
        <color rgb="FF0000FF"/>
        <rFont val="宋体"/>
        <family val="3"/>
        <charset val="134"/>
      </rPr>
      <t>【包括本金是否可赎回，企业是否有权自主决定股利或利息支付政策，是否可转换为普通股以及发行合同关于转股价格或数量的约定等其他影响该类工具会计分类的重要特征。】</t>
    </r>
    <r>
      <rPr>
        <sz val="12"/>
        <color rgb="FF0000FF"/>
        <rFont val="Arial Narrow"/>
        <family val="2"/>
      </rPr>
      <t xml:space="preserve"> </t>
    </r>
  </si>
  <si>
    <r>
      <rPr>
        <sz val="12"/>
        <color rgb="FF0000FF"/>
        <rFont val="宋体"/>
        <family val="3"/>
        <charset val="134"/>
      </rPr>
      <t>②工具</t>
    </r>
    <r>
      <rPr>
        <sz val="12"/>
        <color rgb="FF0000FF"/>
        <rFont val="Arial Narrow"/>
        <family val="2"/>
      </rPr>
      <t>2</t>
    </r>
    <r>
      <rPr>
        <sz val="12"/>
        <color rgb="FF0000FF"/>
        <rFont val="宋体"/>
        <family val="3"/>
        <charset val="134"/>
      </rPr>
      <t>的主要条款说明以及利息的设定机制：</t>
    </r>
    <r>
      <rPr>
        <sz val="12"/>
        <color rgb="FF0000FF"/>
        <rFont val="Arial Narrow"/>
        <family val="2"/>
      </rPr>
      <t xml:space="preserve"> </t>
    </r>
  </si>
  <si>
    <t>……</t>
  </si>
  <si>
    <r>
      <rPr>
        <sz val="12"/>
        <color rgb="FF0000FF"/>
        <rFont val="宋体"/>
        <family val="3"/>
        <charset val="134"/>
      </rPr>
      <t>【如果企业受特定监管规则约束，还需披露该金融工具是否被相关监管部门认定为合格的监管资本以及对本企业监管资本水平的影响。】</t>
    </r>
  </si>
  <si>
    <r>
      <rPr>
        <sz val="12"/>
        <rFont val="宋体"/>
        <family val="3"/>
        <charset val="134"/>
      </rPr>
      <t>期末发行在外的优先股、永续债等其他金融工具变动情况表：</t>
    </r>
  </si>
  <si>
    <r>
      <rPr>
        <b/>
        <sz val="12"/>
        <color rgb="FF000000"/>
        <rFont val="宋体"/>
        <family val="3"/>
        <charset val="134"/>
      </rPr>
      <t>发行在外的金融工具</t>
    </r>
  </si>
  <si>
    <r>
      <rPr>
        <b/>
        <sz val="12"/>
        <color rgb="FF000000"/>
        <rFont val="宋体"/>
        <family val="3"/>
        <charset val="134"/>
      </rPr>
      <t>期初余额</t>
    </r>
  </si>
  <si>
    <r>
      <rPr>
        <b/>
        <sz val="12"/>
        <color rgb="FF000000"/>
        <rFont val="宋体"/>
        <family val="3"/>
        <charset val="134"/>
      </rPr>
      <t>本期增加</t>
    </r>
  </si>
  <si>
    <r>
      <rPr>
        <b/>
        <sz val="12"/>
        <color rgb="FF000000"/>
        <rFont val="宋体"/>
        <family val="3"/>
        <charset val="134"/>
      </rPr>
      <t>本期减少</t>
    </r>
  </si>
  <si>
    <r>
      <rPr>
        <b/>
        <sz val="12"/>
        <color rgb="FF000000"/>
        <rFont val="宋体"/>
        <family val="3"/>
        <charset val="134"/>
      </rPr>
      <t>数量</t>
    </r>
  </si>
  <si>
    <r>
      <rPr>
        <b/>
        <sz val="12"/>
        <color rgb="FF000000"/>
        <rFont val="宋体"/>
        <family val="3"/>
        <charset val="134"/>
      </rPr>
      <t>账面价值</t>
    </r>
  </si>
  <si>
    <r>
      <rPr>
        <sz val="12"/>
        <rFont val="宋体"/>
        <family val="3"/>
        <charset val="134"/>
      </rPr>
      <t>说明</t>
    </r>
    <r>
      <rPr>
        <sz val="12"/>
        <color rgb="FF0000FF"/>
        <rFont val="宋体"/>
        <family val="3"/>
        <charset val="134"/>
      </rPr>
      <t>：划分至金融负债的依据。</t>
    </r>
  </si>
  <si>
    <r>
      <rPr>
        <b/>
        <sz val="12"/>
        <rFont val="宋体"/>
        <family val="3"/>
        <charset val="134"/>
      </rPr>
      <t>附注披露信息（国企）</t>
    </r>
  </si>
  <si>
    <r>
      <rPr>
        <b/>
        <sz val="12"/>
        <rFont val="宋体"/>
        <family val="3"/>
        <charset val="134"/>
      </rPr>
      <t>年初应付利息</t>
    </r>
  </si>
  <si>
    <r>
      <rPr>
        <b/>
        <sz val="12"/>
        <rFont val="宋体"/>
        <family val="3"/>
        <charset val="134"/>
      </rPr>
      <t>本期应计利息</t>
    </r>
  </si>
  <si>
    <r>
      <rPr>
        <b/>
        <sz val="12"/>
        <rFont val="宋体"/>
        <family val="3"/>
        <charset val="134"/>
      </rPr>
      <t>本期已付利息</t>
    </r>
  </si>
  <si>
    <r>
      <rPr>
        <b/>
        <sz val="12"/>
        <rFont val="宋体"/>
        <family val="3"/>
        <charset val="134"/>
      </rPr>
      <t>期末应付利息</t>
    </r>
  </si>
  <si>
    <r>
      <rPr>
        <b/>
        <sz val="12"/>
        <rFont val="宋体"/>
        <family val="3"/>
        <charset val="134"/>
      </rPr>
      <t>小计</t>
    </r>
  </si>
  <si>
    <t>—</t>
  </si>
  <si>
    <r>
      <rPr>
        <b/>
        <sz val="12"/>
        <rFont val="宋体"/>
        <family val="3"/>
        <charset val="134"/>
      </rPr>
      <t>合计</t>
    </r>
  </si>
  <si>
    <r>
      <rPr>
        <sz val="12"/>
        <color rgb="FF0000FF"/>
        <rFont val="宋体"/>
        <family val="3"/>
        <charset val="134"/>
      </rPr>
      <t>注：企业需说明可转换公司债券的转股条件、转股时间等情况。</t>
    </r>
  </si>
  <si>
    <r>
      <rPr>
        <sz val="12"/>
        <color rgb="FFFF0000"/>
        <rFont val="宋体"/>
        <family val="3"/>
        <charset val="134"/>
      </rPr>
      <t>【根据中国证券监督管理委员会证监发行字</t>
    </r>
    <r>
      <rPr>
        <sz val="12"/>
        <color rgb="FFFF0000"/>
        <rFont val="Arial Narrow"/>
        <family val="2"/>
      </rPr>
      <t>[200x]XX</t>
    </r>
    <r>
      <rPr>
        <sz val="12"/>
        <color rgb="FFFF0000"/>
        <rFont val="宋体"/>
        <family val="3"/>
        <charset val="134"/>
      </rPr>
      <t>号核准，本公司于</t>
    </r>
    <r>
      <rPr>
        <sz val="12"/>
        <color rgb="FFFF0000"/>
        <rFont val="Arial Narrow"/>
        <family val="2"/>
      </rPr>
      <t>200X</t>
    </r>
    <r>
      <rPr>
        <sz val="12"/>
        <color rgb="FFFF0000"/>
        <rFont val="宋体"/>
        <family val="3"/>
        <charset val="134"/>
      </rPr>
      <t>年</t>
    </r>
    <r>
      <rPr>
        <sz val="12"/>
        <color rgb="FFFF0000"/>
        <rFont val="Arial Narrow"/>
        <family val="2"/>
      </rPr>
      <t>X</t>
    </r>
    <r>
      <rPr>
        <sz val="12"/>
        <color rgb="FFFF0000"/>
        <rFont val="宋体"/>
        <family val="3"/>
        <charset val="134"/>
      </rPr>
      <t>月</t>
    </r>
    <r>
      <rPr>
        <sz val="12"/>
        <color rgb="FFFF0000"/>
        <rFont val="Arial Narrow"/>
        <family val="2"/>
      </rPr>
      <t>X</t>
    </r>
    <r>
      <rPr>
        <sz val="12"/>
        <color rgb="FFFF0000"/>
        <rFont val="宋体"/>
        <family val="3"/>
        <charset val="134"/>
      </rPr>
      <t>日至</t>
    </r>
    <r>
      <rPr>
        <sz val="12"/>
        <color rgb="FFFF0000"/>
        <rFont val="Arial Narrow"/>
        <family val="2"/>
      </rPr>
      <t>200X</t>
    </r>
    <r>
      <rPr>
        <sz val="12"/>
        <color rgb="FFFF0000"/>
        <rFont val="宋体"/>
        <family val="3"/>
        <charset val="134"/>
      </rPr>
      <t>年</t>
    </r>
    <r>
      <rPr>
        <sz val="12"/>
        <color rgb="FFFF0000"/>
        <rFont val="Arial Narrow"/>
        <family val="2"/>
      </rPr>
      <t>X</t>
    </r>
    <r>
      <rPr>
        <sz val="12"/>
        <color rgb="FFFF0000"/>
        <rFont val="宋体"/>
        <family val="3"/>
        <charset val="134"/>
      </rPr>
      <t>月</t>
    </r>
    <r>
      <rPr>
        <sz val="12"/>
        <color rgb="FFFF0000"/>
        <rFont val="Arial Narrow"/>
        <family val="2"/>
      </rPr>
      <t>X</t>
    </r>
    <r>
      <rPr>
        <sz val="12"/>
        <color rgb="FFFF0000"/>
        <rFont val="宋体"/>
        <family val="3"/>
        <charset val="134"/>
      </rPr>
      <t>日公开发行</t>
    </r>
    <r>
      <rPr>
        <sz val="12"/>
        <color rgb="FFFF0000"/>
        <rFont val="Arial Narrow"/>
        <family val="2"/>
      </rPr>
      <t>XX</t>
    </r>
    <r>
      <rPr>
        <sz val="12"/>
        <color rgb="FFFF0000"/>
        <rFont val="宋体"/>
        <family val="3"/>
        <charset val="134"/>
      </rPr>
      <t>份可转换公司债券，每份面值</t>
    </r>
    <r>
      <rPr>
        <sz val="12"/>
        <color rgb="FFFF0000"/>
        <rFont val="Arial Narrow"/>
        <family val="2"/>
      </rPr>
      <t>100</t>
    </r>
    <r>
      <rPr>
        <sz val="12"/>
        <color rgb="FFFF0000"/>
        <rFont val="宋体"/>
        <family val="3"/>
        <charset val="134"/>
      </rPr>
      <t>元，发行总额</t>
    </r>
    <r>
      <rPr>
        <sz val="12"/>
        <color rgb="FFFF0000"/>
        <rFont val="Arial Narrow"/>
        <family val="2"/>
      </rPr>
      <t>XXX</t>
    </r>
    <r>
      <rPr>
        <sz val="12"/>
        <color rgb="FFFF0000"/>
        <rFont val="宋体"/>
        <family val="3"/>
        <charset val="134"/>
      </rPr>
      <t>元，债券期限为</t>
    </r>
    <r>
      <rPr>
        <sz val="12"/>
        <color rgb="FFFF0000"/>
        <rFont val="Arial Narrow"/>
        <family val="2"/>
      </rPr>
      <t>X</t>
    </r>
    <r>
      <rPr>
        <sz val="12"/>
        <color rgb="FFFF0000"/>
        <rFont val="宋体"/>
        <family val="3"/>
        <charset val="134"/>
      </rPr>
      <t>年。</t>
    </r>
  </si>
  <si>
    <r>
      <rPr>
        <sz val="12"/>
        <color rgb="FFFF0000"/>
        <rFont val="宋体"/>
        <family val="3"/>
        <charset val="134"/>
      </rPr>
      <t>本公司发行的可转换公司债券的票面利率为</t>
    </r>
    <r>
      <rPr>
        <sz val="12"/>
        <color rgb="FFFF0000"/>
        <rFont val="Arial Narrow"/>
        <family val="2"/>
      </rPr>
      <t>X%</t>
    </r>
    <r>
      <rPr>
        <sz val="12"/>
        <color rgb="FFFF0000"/>
        <rFont val="宋体"/>
        <family val="3"/>
        <charset val="134"/>
      </rPr>
      <t>，利息按季支付，</t>
    </r>
    <r>
      <rPr>
        <sz val="12"/>
        <color rgb="FFFF0000"/>
        <rFont val="Arial Narrow"/>
        <family val="2"/>
      </rPr>
      <t>200X</t>
    </r>
    <r>
      <rPr>
        <sz val="12"/>
        <color rgb="FFFF0000"/>
        <rFont val="宋体"/>
        <family val="3"/>
        <charset val="134"/>
      </rPr>
      <t>年</t>
    </r>
    <r>
      <rPr>
        <sz val="12"/>
        <color rgb="FFFF0000"/>
        <rFont val="Arial Narrow"/>
        <family val="2"/>
      </rPr>
      <t>X</t>
    </r>
    <r>
      <rPr>
        <sz val="12"/>
        <color rgb="FFFF0000"/>
        <rFont val="宋体"/>
        <family val="3"/>
        <charset val="134"/>
      </rPr>
      <t>月</t>
    </r>
    <r>
      <rPr>
        <sz val="12"/>
        <color rgb="FFFF0000"/>
        <rFont val="Arial Narrow"/>
        <family val="2"/>
      </rPr>
      <t>X</t>
    </r>
    <r>
      <rPr>
        <sz val="12"/>
        <color rgb="FFFF0000"/>
        <rFont val="宋体"/>
        <family val="3"/>
        <charset val="134"/>
      </rPr>
      <t>日为第一次派息日。转股期自发行之日起</t>
    </r>
    <r>
      <rPr>
        <sz val="12"/>
        <color rgb="FFFF0000"/>
        <rFont val="Arial Narrow"/>
        <family val="2"/>
      </rPr>
      <t>(200X</t>
    </r>
    <r>
      <rPr>
        <sz val="12"/>
        <color rgb="FFFF0000"/>
        <rFont val="宋体"/>
        <family val="3"/>
        <charset val="134"/>
      </rPr>
      <t>年</t>
    </r>
    <r>
      <rPr>
        <sz val="12"/>
        <color rgb="FFFF0000"/>
        <rFont val="Arial Narrow"/>
        <family val="2"/>
      </rPr>
      <t>X</t>
    </r>
    <r>
      <rPr>
        <sz val="12"/>
        <color rgb="FFFF0000"/>
        <rFont val="宋体"/>
        <family val="3"/>
        <charset val="134"/>
      </rPr>
      <t>月</t>
    </r>
    <r>
      <rPr>
        <sz val="12"/>
        <color rgb="FFFF0000"/>
        <rFont val="Arial Narrow"/>
        <family val="2"/>
      </rPr>
      <t>X</t>
    </r>
    <r>
      <rPr>
        <sz val="12"/>
        <color rgb="FFFF0000"/>
        <rFont val="宋体"/>
        <family val="3"/>
        <charset val="134"/>
      </rPr>
      <t>日</t>
    </r>
    <r>
      <rPr>
        <sz val="12"/>
        <color rgb="FFFF0000"/>
        <rFont val="Arial Narrow"/>
        <family val="2"/>
      </rPr>
      <t>)X</t>
    </r>
    <r>
      <rPr>
        <sz val="12"/>
        <color rgb="FFFF0000"/>
        <rFont val="宋体"/>
        <family val="3"/>
        <charset val="134"/>
      </rPr>
      <t>个月后的第一个交易日</t>
    </r>
    <r>
      <rPr>
        <sz val="12"/>
        <color rgb="FFFF0000"/>
        <rFont val="Arial Narrow"/>
        <family val="2"/>
      </rPr>
      <t>(200X</t>
    </r>
    <r>
      <rPr>
        <sz val="12"/>
        <color rgb="FFFF0000"/>
        <rFont val="宋体"/>
        <family val="3"/>
        <charset val="134"/>
      </rPr>
      <t>年</t>
    </r>
    <r>
      <rPr>
        <sz val="12"/>
        <color rgb="FFFF0000"/>
        <rFont val="Arial Narrow"/>
        <family val="2"/>
      </rPr>
      <t>X</t>
    </r>
    <r>
      <rPr>
        <sz val="12"/>
        <color rgb="FFFF0000"/>
        <rFont val="宋体"/>
        <family val="3"/>
        <charset val="134"/>
      </rPr>
      <t>月</t>
    </r>
    <r>
      <rPr>
        <sz val="12"/>
        <color rgb="FFFF0000"/>
        <rFont val="Arial Narrow"/>
        <family val="2"/>
      </rPr>
      <t>X</t>
    </r>
    <r>
      <rPr>
        <sz val="12"/>
        <color rgb="FFFF0000"/>
        <rFont val="宋体"/>
        <family val="3"/>
        <charset val="134"/>
      </rPr>
      <t>日</t>
    </r>
    <r>
      <rPr>
        <sz val="12"/>
        <color rgb="FFFF0000"/>
        <rFont val="Arial Narrow"/>
        <family val="2"/>
      </rPr>
      <t>)</t>
    </r>
    <r>
      <rPr>
        <sz val="12"/>
        <color rgb="FFFF0000"/>
        <rFont val="宋体"/>
        <family val="3"/>
        <charset val="134"/>
      </rPr>
      <t>起</t>
    </r>
    <r>
      <rPr>
        <sz val="12"/>
        <color rgb="FFFF0000"/>
        <rFont val="Arial Narrow"/>
        <family val="2"/>
      </rPr>
      <t>(</t>
    </r>
    <r>
      <rPr>
        <sz val="12"/>
        <color rgb="FFFF0000"/>
        <rFont val="宋体"/>
        <family val="3"/>
        <charset val="134"/>
      </rPr>
      <t>含当日</t>
    </r>
    <r>
      <rPr>
        <sz val="12"/>
        <color rgb="FFFF0000"/>
        <rFont val="Arial Narrow"/>
        <family val="2"/>
      </rPr>
      <t>)</t>
    </r>
    <r>
      <rPr>
        <sz val="12"/>
        <color rgb="FFFF0000"/>
        <rFont val="宋体"/>
        <family val="3"/>
        <charset val="134"/>
      </rPr>
      <t>，至可转换公司债券到期日</t>
    </r>
    <r>
      <rPr>
        <sz val="12"/>
        <color rgb="FFFF0000"/>
        <rFont val="Arial Narrow"/>
        <family val="2"/>
      </rPr>
      <t>(200X</t>
    </r>
    <r>
      <rPr>
        <sz val="12"/>
        <color rgb="FFFF0000"/>
        <rFont val="宋体"/>
        <family val="3"/>
        <charset val="134"/>
      </rPr>
      <t>年</t>
    </r>
    <r>
      <rPr>
        <sz val="12"/>
        <color rgb="FFFF0000"/>
        <rFont val="Arial Narrow"/>
        <family val="2"/>
      </rPr>
      <t>X</t>
    </r>
    <r>
      <rPr>
        <sz val="12"/>
        <color rgb="FFFF0000"/>
        <rFont val="宋体"/>
        <family val="3"/>
        <charset val="134"/>
      </rPr>
      <t>月</t>
    </r>
    <r>
      <rPr>
        <sz val="12"/>
        <color rgb="FFFF0000"/>
        <rFont val="Arial Narrow"/>
        <family val="2"/>
      </rPr>
      <t>X</t>
    </r>
    <r>
      <rPr>
        <sz val="12"/>
        <color rgb="FFFF0000"/>
        <rFont val="宋体"/>
        <family val="3"/>
        <charset val="134"/>
      </rPr>
      <t>日</t>
    </r>
    <r>
      <rPr>
        <sz val="12"/>
        <color rgb="FFFF0000"/>
        <rFont val="Arial Narrow"/>
        <family val="2"/>
      </rPr>
      <t>)</t>
    </r>
    <r>
      <rPr>
        <sz val="12"/>
        <color rgb="FFFF0000"/>
        <rFont val="宋体"/>
        <family val="3"/>
        <charset val="134"/>
      </rPr>
      <t>前一个交易日止</t>
    </r>
    <r>
      <rPr>
        <sz val="12"/>
        <color rgb="FFFF0000"/>
        <rFont val="Arial Narrow"/>
        <family val="2"/>
      </rPr>
      <t>(</t>
    </r>
    <r>
      <rPr>
        <sz val="12"/>
        <color rgb="FFFF0000"/>
        <rFont val="宋体"/>
        <family val="3"/>
        <charset val="134"/>
      </rPr>
      <t>含当日</t>
    </r>
    <r>
      <rPr>
        <sz val="12"/>
        <color rgb="FFFF0000"/>
        <rFont val="Arial Narrow"/>
        <family val="2"/>
      </rPr>
      <t>)</t>
    </r>
    <r>
      <rPr>
        <sz val="12"/>
        <color rgb="FFFF0000"/>
        <rFont val="宋体"/>
        <family val="3"/>
        <charset val="134"/>
      </rPr>
      <t>。持有人可在转股期内申请转股。</t>
    </r>
  </si>
  <si>
    <r>
      <rPr>
        <sz val="12"/>
        <color rgb="FFFF0000"/>
        <rFont val="宋体"/>
        <family val="3"/>
        <charset val="134"/>
      </rPr>
      <t>可转换公司债券发行时的初始转股价格为每股人民币</t>
    </r>
    <r>
      <rPr>
        <sz val="12"/>
        <color rgb="FFFF0000"/>
        <rFont val="Arial Narrow"/>
        <family val="2"/>
      </rPr>
      <t>X</t>
    </r>
    <r>
      <rPr>
        <sz val="12"/>
        <color rgb="FFFF0000"/>
        <rFont val="宋体"/>
        <family val="3"/>
        <charset val="134"/>
      </rPr>
      <t>元，本公司在</t>
    </r>
    <r>
      <rPr>
        <sz val="12"/>
        <color rgb="FFFF0000"/>
        <rFont val="Arial Narrow"/>
        <family val="2"/>
      </rPr>
      <t>200X</t>
    </r>
    <r>
      <rPr>
        <sz val="12"/>
        <color rgb="FFFF0000"/>
        <rFont val="宋体"/>
        <family val="3"/>
        <charset val="134"/>
      </rPr>
      <t>年</t>
    </r>
    <r>
      <rPr>
        <sz val="12"/>
        <color rgb="FFFF0000"/>
        <rFont val="Arial Narrow"/>
        <family val="2"/>
      </rPr>
      <t>X</t>
    </r>
    <r>
      <rPr>
        <sz val="12"/>
        <color rgb="FFFF0000"/>
        <rFont val="宋体"/>
        <family val="3"/>
        <charset val="134"/>
      </rPr>
      <t>月</t>
    </r>
    <r>
      <rPr>
        <sz val="12"/>
        <color rgb="FFFF0000"/>
        <rFont val="Arial Narrow"/>
        <family val="2"/>
      </rPr>
      <t>X</t>
    </r>
    <r>
      <rPr>
        <sz val="12"/>
        <color rgb="FFFF0000"/>
        <rFont val="宋体"/>
        <family val="3"/>
        <charset val="134"/>
      </rPr>
      <t>日实施</t>
    </r>
    <r>
      <rPr>
        <sz val="12"/>
        <color rgb="FFFF0000"/>
        <rFont val="Arial Narrow"/>
        <family val="2"/>
      </rPr>
      <t>200X</t>
    </r>
    <r>
      <rPr>
        <sz val="12"/>
        <color rgb="FFFF0000"/>
        <rFont val="宋体"/>
        <family val="3"/>
        <charset val="134"/>
      </rPr>
      <t>年度每股派发现金股息人民币</t>
    </r>
    <r>
      <rPr>
        <sz val="12"/>
        <color rgb="FFFF0000"/>
        <rFont val="Arial Narrow"/>
        <family val="2"/>
      </rPr>
      <t>X</t>
    </r>
    <r>
      <rPr>
        <sz val="12"/>
        <color rgb="FFFF0000"/>
        <rFont val="宋体"/>
        <family val="3"/>
        <charset val="134"/>
      </rPr>
      <t>元及用资本公积每十股转增</t>
    </r>
    <r>
      <rPr>
        <sz val="12"/>
        <color rgb="FFFF0000"/>
        <rFont val="Arial Narrow"/>
        <family val="2"/>
      </rPr>
      <t>X</t>
    </r>
    <r>
      <rPr>
        <sz val="12"/>
        <color rgb="FFFF0000"/>
        <rFont val="宋体"/>
        <family val="3"/>
        <charset val="134"/>
      </rPr>
      <t>股的方案后，可转债初始转股价格相应调整为每股人民币</t>
    </r>
    <r>
      <rPr>
        <sz val="12"/>
        <color rgb="FFFF0000"/>
        <rFont val="Arial Narrow"/>
        <family val="2"/>
      </rPr>
      <t>X</t>
    </r>
    <r>
      <rPr>
        <sz val="12"/>
        <color rgb="FFFF0000"/>
        <rFont val="宋体"/>
        <family val="3"/>
        <charset val="134"/>
      </rPr>
      <t>元。</t>
    </r>
    <r>
      <rPr>
        <b/>
        <sz val="12"/>
        <color rgb="FFFF0000"/>
        <rFont val="宋体"/>
        <family val="3"/>
        <charset val="134"/>
      </rPr>
      <t>】</t>
    </r>
  </si>
  <si>
    <r>
      <rPr>
        <b/>
        <sz val="12"/>
        <color rgb="FF000000"/>
        <rFont val="宋体"/>
        <family val="3"/>
        <charset val="134"/>
      </rPr>
      <t>期初数</t>
    </r>
  </si>
  <si>
    <r>
      <rPr>
        <b/>
        <sz val="12"/>
        <color rgb="FF000000"/>
        <rFont val="宋体"/>
        <family val="3"/>
        <charset val="134"/>
      </rPr>
      <t>期末数</t>
    </r>
  </si>
  <si>
    <t>索引：</t>
  </si>
  <si>
    <t>页次：</t>
  </si>
  <si>
    <r>
      <rPr>
        <b/>
        <sz val="10"/>
        <rFont val="宋体"/>
        <family val="3"/>
        <charset val="134"/>
      </rPr>
      <t>项目</t>
    </r>
  </si>
  <si>
    <r>
      <rPr>
        <b/>
        <sz val="10"/>
        <rFont val="宋体"/>
        <family val="3"/>
        <charset val="134"/>
      </rPr>
      <t>合计</t>
    </r>
  </si>
  <si>
    <t>致同会计师事务所</t>
  </si>
  <si>
    <t>应付债券明细表(未审数)</t>
  </si>
  <si>
    <t>应付债券明细表(审计调整)</t>
  </si>
  <si>
    <t>应付债券明细表(审定数)</t>
  </si>
  <si>
    <t>返回目录</t>
  </si>
  <si>
    <t>索引号：</t>
  </si>
  <si>
    <r>
      <rPr>
        <b/>
        <sz val="10"/>
        <rFont val="宋体"/>
        <family val="3"/>
        <charset val="134"/>
      </rPr>
      <t>一、审计目标</t>
    </r>
    <r>
      <rPr>
        <b/>
        <sz val="10"/>
        <rFont val="Arial Narrow"/>
        <family val="2"/>
      </rPr>
      <t>:</t>
    </r>
  </si>
  <si>
    <r>
      <rPr>
        <sz val="10"/>
        <rFont val="Arial Narrow"/>
        <family val="2"/>
      </rPr>
      <t>1.</t>
    </r>
    <r>
      <rPr>
        <sz val="10"/>
        <rFont val="宋体"/>
        <family val="3"/>
        <charset val="134"/>
      </rPr>
      <t>资产负债表中记录的应付债券是存在的，且已经记录在恰当的账户中；</t>
    </r>
  </si>
  <si>
    <r>
      <rPr>
        <sz val="10"/>
        <rFont val="Arial Narrow"/>
        <family val="2"/>
      </rPr>
      <t xml:space="preserve">2. </t>
    </r>
    <r>
      <rPr>
        <sz val="10"/>
        <rFont val="宋体"/>
        <family val="3"/>
        <charset val="134"/>
      </rPr>
      <t>所有应记录的短期借款均已记录，所有应当包括在财务报表中的相关披露均已包括；</t>
    </r>
  </si>
  <si>
    <r>
      <rPr>
        <sz val="10"/>
        <rFont val="Arial Narrow"/>
        <family val="2"/>
      </rPr>
      <t>3.</t>
    </r>
    <r>
      <rPr>
        <sz val="10"/>
        <rFont val="宋体"/>
        <family val="3"/>
        <charset val="134"/>
      </rPr>
      <t>应付债券以恰当的金额包括在财务报表中，与之相关的计价或分摊调整已恰当记录，相关披露已得到恰当计量和描述</t>
    </r>
  </si>
  <si>
    <t>二、审计过程：</t>
  </si>
  <si>
    <t>获取发行文件，梳理对发行人的全部合同义务的约定条款；根据或有结算条款和结算选择权、可回售工具或清算产生的义务等因素，判断被审计单位选取的会计分类是否符合企业会计准则的要求；考虑是否需要对复合型金融产品各成分的拆分；如果发现会计分类方面的重大差异，应与管理层沟通，并执行其他补充审计程序。</t>
  </si>
  <si>
    <t>债券名称</t>
  </si>
  <si>
    <t>债券期限</t>
  </si>
  <si>
    <t>票面利率</t>
  </si>
  <si>
    <t>面值</t>
  </si>
  <si>
    <t>发行金额</t>
  </si>
  <si>
    <t>是否违约</t>
  </si>
  <si>
    <t>初始溢(折)价额</t>
  </si>
  <si>
    <t>可转换公司债券</t>
  </si>
  <si>
    <t>起息日</t>
  </si>
  <si>
    <t>到期日</t>
  </si>
  <si>
    <t>期限</t>
  </si>
  <si>
    <t>转股条件</t>
  </si>
  <si>
    <t>转股时间</t>
  </si>
  <si>
    <t>减：一年内到期的应付债券</t>
  </si>
  <si>
    <t>最终审定数</t>
  </si>
  <si>
    <t>（一）普通应付债券</t>
  </si>
  <si>
    <r>
      <rPr>
        <b/>
        <sz val="10"/>
        <rFont val="宋体"/>
        <family val="3"/>
        <charset val="134"/>
      </rPr>
      <t>小计</t>
    </r>
  </si>
  <si>
    <t>--</t>
  </si>
  <si>
    <t>（二）可转换/可交换公司债券</t>
  </si>
  <si>
    <t>小计</t>
  </si>
  <si>
    <t>合计</t>
  </si>
  <si>
    <t>三、审计说明：</t>
  </si>
  <si>
    <t>四、审计结论：</t>
  </si>
  <si>
    <t>提示：</t>
  </si>
  <si>
    <t>1、本科目核算企业为筹集（长期）资金而发行债券的本金和利息。企业发行的可转换公司债券，应将负债和权益成份进行分拆。分拆后形成的负债成份在本科目核算。</t>
  </si>
  <si>
    <t>2、含一年内到期的应付债券。</t>
  </si>
  <si>
    <r>
      <rPr>
        <sz val="10"/>
        <color indexed="12"/>
        <rFont val="宋体"/>
        <family val="3"/>
        <charset val="134"/>
      </rPr>
      <t>3、如新发行债券，应在</t>
    </r>
    <r>
      <rPr>
        <sz val="10"/>
        <color indexed="12"/>
        <rFont val="Arial Narrow"/>
        <family val="2"/>
      </rPr>
      <t>“</t>
    </r>
    <r>
      <rPr>
        <sz val="10"/>
        <color indexed="12"/>
        <rFont val="宋体"/>
        <family val="3"/>
        <charset val="134"/>
      </rPr>
      <t>备注</t>
    </r>
    <r>
      <rPr>
        <sz val="10"/>
        <color indexed="12"/>
        <rFont val="Arial Narrow"/>
        <family val="2"/>
      </rPr>
      <t>”</t>
    </r>
    <r>
      <rPr>
        <sz val="10"/>
        <color indexed="12"/>
        <rFont val="宋体"/>
        <family val="3"/>
        <charset val="134"/>
      </rPr>
      <t>栏中说明证券主管部门批准文号，发行日期、付息日期等内容。</t>
    </r>
  </si>
  <si>
    <r>
      <rPr>
        <sz val="10"/>
        <color indexed="12"/>
        <rFont val="Arial Narrow"/>
        <family val="2"/>
      </rPr>
      <t>4.</t>
    </r>
    <r>
      <rPr>
        <sz val="10"/>
        <color indexed="12"/>
        <rFont val="宋体"/>
        <family val="3"/>
        <charset val="134"/>
      </rPr>
      <t>审计说明可以概述：（</t>
    </r>
    <r>
      <rPr>
        <sz val="10"/>
        <color indexed="12"/>
        <rFont val="Arial Narrow"/>
        <family val="2"/>
      </rPr>
      <t>1</t>
    </r>
    <r>
      <rPr>
        <sz val="10"/>
        <color indexed="12"/>
        <rFont val="宋体"/>
        <family val="3"/>
        <charset val="134"/>
      </rPr>
      <t>）程序的测试情况、结果；（</t>
    </r>
    <r>
      <rPr>
        <sz val="10"/>
        <color indexed="12"/>
        <rFont val="Arial Narrow"/>
        <family val="2"/>
      </rPr>
      <t>2</t>
    </r>
    <r>
      <rPr>
        <sz val="10"/>
        <color indexed="12"/>
        <rFont val="宋体"/>
        <family val="3"/>
        <charset val="134"/>
      </rPr>
      <t>）拟调整事项及其调整分录、未调整事项及其影响，审计范围受到限制情况及其影响。</t>
    </r>
  </si>
  <si>
    <r>
      <rPr>
        <sz val="10"/>
        <color indexed="12"/>
        <rFont val="Arial Narrow"/>
        <family val="2"/>
      </rPr>
      <t>5.</t>
    </r>
    <r>
      <rPr>
        <sz val="10"/>
        <color indexed="12"/>
        <rFont val="宋体"/>
        <family val="3"/>
        <charset val="134"/>
      </rPr>
      <t>审计结论可参考：</t>
    </r>
    <r>
      <rPr>
        <sz val="10"/>
        <color indexed="12"/>
        <rFont val="Arial Narrow"/>
        <family val="2"/>
      </rPr>
      <t>A</t>
    </r>
    <r>
      <rPr>
        <sz val="10"/>
        <color indexed="12"/>
        <rFont val="宋体"/>
        <family val="3"/>
        <charset val="134"/>
      </rPr>
      <t>、未见异常。</t>
    </r>
    <r>
      <rPr>
        <sz val="10"/>
        <color indexed="12"/>
        <rFont val="Arial Narrow"/>
        <family val="2"/>
      </rPr>
      <t xml:space="preserve"> B</t>
    </r>
    <r>
      <rPr>
        <sz val="10"/>
        <color indexed="12"/>
        <rFont val="宋体"/>
        <family val="3"/>
        <charset val="134"/>
      </rPr>
      <t>、除上述重大不符事项应当作为调整事项予以调整外，其余未见异常。</t>
    </r>
    <r>
      <rPr>
        <sz val="10"/>
        <color indexed="12"/>
        <rFont val="Arial Narrow"/>
        <family val="2"/>
      </rPr>
      <t xml:space="preserve">  C</t>
    </r>
    <r>
      <rPr>
        <sz val="10"/>
        <color indexed="12"/>
        <rFont val="宋体"/>
        <family val="3"/>
        <charset val="134"/>
      </rPr>
      <t>、由于存在以下重大未调整事项（或审计范围受到限制无法获取充分、适当证据），不可确认。</t>
    </r>
  </si>
  <si>
    <t>应付债券明细表-划分为金融负债的其他金融工具（未审数）</t>
  </si>
  <si>
    <t>应付债券明细表（审计调整+审定数）</t>
  </si>
  <si>
    <t>一、审计目标:</t>
  </si>
  <si>
    <t>3.应付债券以恰当的金额包括在财务报表中，与之相关的计价或分摊调整已恰当记录，相关披露已得到恰当计量和描述</t>
  </si>
  <si>
    <t>发行在外的金融工具</t>
  </si>
  <si>
    <t>期初调整</t>
  </si>
  <si>
    <t>账项调整</t>
  </si>
  <si>
    <t>重分类调整</t>
  </si>
  <si>
    <t>审定数</t>
  </si>
  <si>
    <r>
      <rPr>
        <sz val="10"/>
        <color indexed="12"/>
        <rFont val="宋体"/>
        <family val="3"/>
        <charset val="134"/>
      </rPr>
      <t>1、本科目核算企业为筹集（长期）资金而发行债券的本金和利息。企业发行的可转换公司债券，应将负债和权益</t>
    </r>
    <r>
      <rPr>
        <sz val="10"/>
        <color rgb="FF0000FF"/>
        <rFont val="宋体"/>
        <family val="3"/>
        <charset val="134"/>
      </rPr>
      <t>成份进行分拆，分拆后形成的负债成份在本科目核算。</t>
    </r>
  </si>
  <si>
    <r>
      <rPr>
        <sz val="10"/>
        <color indexed="12"/>
        <rFont val="宋体"/>
        <family val="3"/>
        <charset val="134"/>
      </rPr>
      <t>2.</t>
    </r>
    <r>
      <rPr>
        <sz val="10"/>
        <color indexed="12"/>
        <rFont val="宋体"/>
        <family val="3"/>
        <charset val="134"/>
      </rPr>
      <t>审计说明可以概述：（</t>
    </r>
    <r>
      <rPr>
        <sz val="10"/>
        <color indexed="12"/>
        <rFont val="Arial Narrow"/>
        <family val="2"/>
      </rPr>
      <t>1</t>
    </r>
    <r>
      <rPr>
        <sz val="10"/>
        <color indexed="12"/>
        <rFont val="宋体"/>
        <family val="3"/>
        <charset val="134"/>
      </rPr>
      <t>）程序的测试情况、结果；（</t>
    </r>
    <r>
      <rPr>
        <sz val="10"/>
        <color indexed="12"/>
        <rFont val="Arial Narrow"/>
        <family val="2"/>
      </rPr>
      <t>2</t>
    </r>
    <r>
      <rPr>
        <sz val="10"/>
        <color indexed="12"/>
        <rFont val="宋体"/>
        <family val="3"/>
        <charset val="134"/>
      </rPr>
      <t>）拟调整事项及其调整分录、未调整事项及其影响，审计范围受到限制情况及其影响。</t>
    </r>
  </si>
  <si>
    <r>
      <rPr>
        <sz val="10"/>
        <color indexed="12"/>
        <rFont val="宋体"/>
        <family val="3"/>
        <charset val="134"/>
      </rPr>
      <t>3.</t>
    </r>
    <r>
      <rPr>
        <sz val="10"/>
        <color indexed="12"/>
        <rFont val="宋体"/>
        <family val="3"/>
        <charset val="134"/>
      </rPr>
      <t>审计结论可参考：</t>
    </r>
    <r>
      <rPr>
        <sz val="10"/>
        <color indexed="12"/>
        <rFont val="Arial Narrow"/>
        <family val="2"/>
      </rPr>
      <t>A</t>
    </r>
    <r>
      <rPr>
        <sz val="10"/>
        <color indexed="12"/>
        <rFont val="宋体"/>
        <family val="3"/>
        <charset val="134"/>
      </rPr>
      <t>、未见异常。</t>
    </r>
    <r>
      <rPr>
        <sz val="10"/>
        <color indexed="12"/>
        <rFont val="Arial Narrow"/>
        <family val="2"/>
      </rPr>
      <t xml:space="preserve"> B</t>
    </r>
    <r>
      <rPr>
        <sz val="10"/>
        <color indexed="12"/>
        <rFont val="宋体"/>
        <family val="3"/>
        <charset val="134"/>
      </rPr>
      <t>、除上述重大不符事项应当作为调整事项予以调整外，其余未见异常。</t>
    </r>
    <r>
      <rPr>
        <sz val="10"/>
        <color indexed="12"/>
        <rFont val="Arial Narrow"/>
        <family val="2"/>
      </rPr>
      <t xml:space="preserve">  C</t>
    </r>
    <r>
      <rPr>
        <sz val="10"/>
        <color indexed="12"/>
        <rFont val="宋体"/>
        <family val="3"/>
        <charset val="134"/>
      </rPr>
      <t>、由于存在以下重大未调整事项（或审计范围受到限制无法获取充分、适当证据），不可确认。</t>
    </r>
  </si>
  <si>
    <t>应付债券调整分录汇总表</t>
  </si>
  <si>
    <t>调整事项说明</t>
  </si>
  <si>
    <t>类别（报表调整/账项调整/其他）</t>
  </si>
  <si>
    <t>报表项目</t>
  </si>
  <si>
    <t>科目名称</t>
  </si>
  <si>
    <t>附注项目</t>
  </si>
  <si>
    <t>借方调整金额</t>
  </si>
  <si>
    <t>贷方调整金额</t>
  </si>
  <si>
    <t>索引</t>
  </si>
  <si>
    <t>备注</t>
  </si>
  <si>
    <t>注：本底稿适用于调整分录较多、较复杂的项目，且仅列示与本报表项目相关的审计调整。项目组可根据项目实际情况选择是否使用该底稿。</t>
  </si>
  <si>
    <r>
      <rPr>
        <b/>
        <sz val="10"/>
        <color theme="1"/>
        <rFont val="宋体"/>
        <family val="3"/>
        <charset val="134"/>
      </rPr>
      <t>一、审计目标</t>
    </r>
  </si>
  <si>
    <r>
      <rPr>
        <sz val="10"/>
        <color theme="1"/>
        <rFont val="Arial Narrow"/>
        <family val="2"/>
      </rPr>
      <t>1.</t>
    </r>
    <r>
      <rPr>
        <sz val="10"/>
        <color theme="1"/>
        <rFont val="宋体"/>
        <family val="3"/>
        <charset val="134"/>
      </rPr>
      <t>资产负债表中记录的应付债券是存在的，且已经记录在恰当的账户中；</t>
    </r>
    <r>
      <rPr>
        <sz val="10"/>
        <color theme="1"/>
        <rFont val="Arial Narrow"/>
        <family val="2"/>
      </rPr>
      <t>2.</t>
    </r>
    <r>
      <rPr>
        <sz val="10"/>
        <color theme="1"/>
        <rFont val="宋体"/>
        <family val="3"/>
        <charset val="134"/>
      </rPr>
      <t>应付债券以恰当的金额包括在财务报表中，与之相关的计价或分摊调整已恰当记录，相关披露已得到恰当计量和描述</t>
    </r>
  </si>
  <si>
    <r>
      <rPr>
        <b/>
        <sz val="10"/>
        <color theme="1"/>
        <rFont val="宋体"/>
        <family val="3"/>
        <charset val="134"/>
      </rPr>
      <t>二、审计过程</t>
    </r>
  </si>
  <si>
    <t>发行时间</t>
  </si>
  <si>
    <t>期末账面价值</t>
  </si>
  <si>
    <t>发行方的合同义务</t>
  </si>
  <si>
    <t>其他相关因素</t>
  </si>
  <si>
    <t>关于会计分类的结论</t>
  </si>
  <si>
    <t>是否存在差异</t>
  </si>
  <si>
    <t>发行文件索引号</t>
  </si>
  <si>
    <t>关于本金的赎回约定</t>
  </si>
  <si>
    <t>或有支付义务、或有结算条款、结算选择权</t>
  </si>
  <si>
    <t>股息支付条款（强制付息条件）</t>
  </si>
  <si>
    <t>赎回选择权</t>
  </si>
  <si>
    <t>剩余利润分配的条款</t>
  </si>
  <si>
    <r>
      <rPr>
        <b/>
        <sz val="10"/>
        <rFont val="宋体"/>
        <family val="3"/>
        <charset val="134"/>
      </rPr>
      <t>三、审计说明：</t>
    </r>
  </si>
  <si>
    <r>
      <rPr>
        <b/>
        <sz val="10"/>
        <rFont val="宋体"/>
        <family val="3"/>
        <charset val="134"/>
      </rPr>
      <t>四、审计结论</t>
    </r>
  </si>
  <si>
    <t>项目</t>
  </si>
  <si>
    <t>优先股条款</t>
  </si>
  <si>
    <t>倾向性分类</t>
  </si>
  <si>
    <t>本金的赎回</t>
  </si>
  <si>
    <t>本金无需赎回，或发行方可自主决定是否赎回</t>
  </si>
  <si>
    <t>可能表明具有权益特征，但须分析股息的支付机制。若必须支付股息，则负债部分等于支付的永续股利的现值；若自主决定是否支付股息，则属于权益。</t>
  </si>
  <si>
    <t>若发行方可自行选择在某一未来日期赎回，则发行方以现金赎回股票的看涨期权是一项嵌入衍生工具（资产）。</t>
  </si>
  <si>
    <t>需在某固定或未来日期按照固定或可确定的金额强制赎回</t>
  </si>
  <si>
    <t>负债，还需分析股息的支付机制。若必须支付股息，则整体为负债；若自主决定是否支付股息，则负债部分等于赎回金额的现值，权益部分等于发行收入减去负债部分。</t>
  </si>
  <si>
    <t>股息支付</t>
  </si>
  <si>
    <t>发行方可自主决定是否支付或无限期地递延股息而无任何支付义务（即使股息可累积）</t>
  </si>
  <si>
    <t>可能表明具有权益特征，还需分析本金的赎回机制。若本金无需赎回或发行方可自主决定是否赎回，则属于权益；若本金需强制赎回，则负债部分等于赎回金额的现值，权益部分等于发行收入减去负债部分。</t>
  </si>
  <si>
    <t>强制付息——固定股息，发行方不能递延支付</t>
  </si>
  <si>
    <t>负债。若本金无需赎回或发行方可自主决定是否赎回，则负债部分等于支付的永续股利的现值；若本金需强制赎回，则整体为负债。</t>
  </si>
  <si>
    <t>强制付息——浮动股息</t>
  </si>
  <si>
    <t>应分析浮动机制是否构成一项嵌入衍生工具并评估其是否与主合同紧密相关。</t>
  </si>
  <si>
    <t>股息支付与另一项强制付息的金融工具相关联</t>
  </si>
  <si>
    <t>若优先股的股息支付与另一项强制付息的金融工具相关联，即支付另一关联工具的利息时，就必须支付该优先股股息，则仍然形成了支付该优先股股息的合同义务。</t>
  </si>
  <si>
    <t>若必须支付股息，则整体为负债；若自主决定是否支付股息，则负债部分等于赎回金额的现值，权益部分等于发行收入减去负债部分，但若赎回时需支付的金额还包括未支付的股利，则整体上为负债。</t>
  </si>
  <si>
    <t>仅发行方有权选择赎回</t>
  </si>
  <si>
    <t>可能不影响其分类。</t>
  </si>
  <si>
    <t>若必须支付股息，则负债部分等于支付的永续股利的现值, 且发行方以现金赎回股票的看涨期权是一项嵌入衍生工具（资产）；若自主决定是否支付股息，则属于权益。</t>
  </si>
  <si>
    <t>投资方有权选择赎回</t>
  </si>
  <si>
    <t>负债，还需分析股息的支付机制。若必须支付股息，则整体上为负债，且以现金赎回股票的嵌入看跌期权是一项嵌入衍生工具；若自主决定是否支付股息，则负债部分等于赎回金额的现值，权益部分等于发行收入减去负债部分，但若赎回时需支付的金额还包括未支付的股利，则整体上为负债。</t>
  </si>
  <si>
    <t>剩余利润分配</t>
  </si>
  <si>
    <t>无权同普通股股东一起参加剩余利润分配</t>
  </si>
  <si>
    <t>通常不影响根据其他条款划分的类别</t>
  </si>
  <si>
    <t>有权同普通股股东一起参加剩余利润分配</t>
  </si>
  <si>
    <t>通常表明存在权益成分（享有剩余收益），若其他条款表明该优先股需要拆分为负债、权益，则此条款可能影响其负债和权益成分的拆分比例</t>
  </si>
  <si>
    <t>转股权条款</t>
  </si>
  <si>
    <t>固定金额转换固定数量的股份</t>
  </si>
  <si>
    <t>该转股权具有权益特征，通常需要拆分（满足“固定换固定”的要求）</t>
  </si>
  <si>
    <t>固定金额转换可变数量的股份</t>
  </si>
  <si>
    <t>该转股权具有负债特征，需要判断是否需要拆分（不满足“固定换固定”的要求）</t>
  </si>
  <si>
    <t xml:space="preserve">2.优先股划分为权益工具需满足的条件（须同时满足）：
（1）不构成支付义务，即发行方能够无条件避免支付。为满足这一条件，发行方需（不限于）：无需或自主决定分红付息、不存在或有支付义务、不存在或有结算条款、不存在结算选择权。
（2）转股条件（如有）符合“固定换固定”的标准。
（3）仅发行方持有回购权（如有）。
</t>
  </si>
  <si>
    <t xml:space="preserve">3.将一项优先股划分为权益还是金融负债，还需要考虑的其他因素：
（1）以前期间股利发放情况，例如历史上每年均支付自主决定的股利；
（2）未来发放股利的意向，例如持有方合理预期发行方将发放股利；
（3）没有发放优先股股利对发行方普通股的价格可能产生的负面影响，比如因为未向优先股支付股利限制了向普通股支付股利，从而导致普通股价值下跌；
（4）发行方发放股利的或赎回的能力，如亏损或留存收益的金额不足；
（5）发行方对某一期间损益的预期；
（6）发行方影响当期损益的能力。
</t>
  </si>
  <si>
    <t>4.会计提示第78号—优先股永续债可转换公司债券</t>
  </si>
  <si>
    <t>https://www.gt-china.com.cn/article_view.php?id=5951</t>
  </si>
  <si>
    <t>1. 所有应记录的应付债券均已记录，所有应当包括在财务报表中的相关披露均已包括；</t>
  </si>
  <si>
    <t xml:space="preserve">2.应付债券以恰当的金额包括在财务报表中，与之相关的计价或分摊调整已恰当记录，相关披露已得到恰当计量和描述 </t>
  </si>
  <si>
    <r>
      <rPr>
        <sz val="10"/>
        <rFont val="宋体"/>
        <family val="3"/>
        <charset val="134"/>
      </rPr>
      <t>计息期初：</t>
    </r>
  </si>
  <si>
    <r>
      <rPr>
        <sz val="10"/>
        <rFont val="宋体"/>
        <family val="3"/>
        <charset val="134"/>
      </rPr>
      <t>计息期末：</t>
    </r>
  </si>
  <si>
    <r>
      <rPr>
        <b/>
        <sz val="10"/>
        <rFont val="宋体"/>
        <family val="3"/>
        <charset val="134"/>
      </rPr>
      <t>利息费用测算：</t>
    </r>
  </si>
  <si>
    <t>应付债券1</t>
  </si>
  <si>
    <t>应付债券2</t>
  </si>
  <si>
    <t>应付债券3</t>
  </si>
  <si>
    <t>应付债券4</t>
  </si>
  <si>
    <r>
      <rPr>
        <b/>
        <sz val="10"/>
        <rFont val="宋体"/>
        <family val="3"/>
        <charset val="134"/>
      </rPr>
      <t>备注</t>
    </r>
  </si>
  <si>
    <t>后续计量方式</t>
  </si>
  <si>
    <t>——</t>
  </si>
  <si>
    <t>债券种类</t>
  </si>
  <si>
    <t>债权期限</t>
  </si>
  <si>
    <r>
      <rPr>
        <sz val="10"/>
        <rFont val="宋体"/>
        <family val="3"/>
        <charset val="134"/>
      </rPr>
      <t>计息基数</t>
    </r>
    <r>
      <rPr>
        <sz val="10"/>
        <rFont val="Arial Narrow"/>
        <family val="2"/>
      </rPr>
      <t>-</t>
    </r>
    <r>
      <rPr>
        <sz val="10"/>
        <rFont val="宋体"/>
        <family val="3"/>
        <charset val="134"/>
      </rPr>
      <t>面值/本金</t>
    </r>
  </si>
  <si>
    <r>
      <rPr>
        <sz val="10"/>
        <rFont val="宋体"/>
        <family val="3"/>
        <charset val="134"/>
      </rPr>
      <t>合同利率</t>
    </r>
  </si>
  <si>
    <t>发行价格</t>
  </si>
  <si>
    <t>发行费用</t>
  </si>
  <si>
    <t>利息调整初始确认金额</t>
  </si>
  <si>
    <r>
      <rPr>
        <sz val="10"/>
        <rFont val="宋体"/>
        <family val="3"/>
        <charset val="134"/>
      </rPr>
      <t>起息日</t>
    </r>
  </si>
  <si>
    <r>
      <rPr>
        <sz val="10"/>
        <rFont val="宋体"/>
        <family val="3"/>
        <charset val="134"/>
      </rPr>
      <t>到期日</t>
    </r>
  </si>
  <si>
    <r>
      <rPr>
        <sz val="10"/>
        <rFont val="宋体"/>
        <family val="3"/>
        <charset val="134"/>
      </rPr>
      <t>本期计息天数</t>
    </r>
  </si>
  <si>
    <r>
      <rPr>
        <sz val="10"/>
        <rFont val="宋体"/>
        <family val="3"/>
        <charset val="134"/>
      </rPr>
      <t>实际利率</t>
    </r>
  </si>
  <si>
    <t>按合同利率计算的应付利息</t>
  </si>
  <si>
    <r>
      <rPr>
        <sz val="10"/>
        <rFont val="Arial Narrow"/>
        <family val="2"/>
      </rPr>
      <t>“</t>
    </r>
    <r>
      <rPr>
        <sz val="10"/>
        <rFont val="宋体"/>
        <family val="3"/>
        <charset val="134"/>
      </rPr>
      <t>应付利息</t>
    </r>
    <r>
      <rPr>
        <sz val="10"/>
        <rFont val="Arial Narrow"/>
        <family val="2"/>
      </rPr>
      <t>”</t>
    </r>
  </si>
  <si>
    <r>
      <rPr>
        <sz val="10"/>
        <rFont val="宋体"/>
        <family val="3"/>
        <charset val="134"/>
      </rPr>
      <t>期初应付本金余额</t>
    </r>
  </si>
  <si>
    <r>
      <rPr>
        <sz val="10"/>
        <rFont val="宋体"/>
        <family val="3"/>
        <charset val="134"/>
      </rPr>
      <t>期末应付本金余额</t>
    </r>
  </si>
  <si>
    <r>
      <rPr>
        <b/>
        <sz val="10"/>
        <rFont val="宋体"/>
        <family val="3"/>
        <charset val="134"/>
      </rPr>
      <t>确认的利息费用</t>
    </r>
  </si>
  <si>
    <r>
      <rPr>
        <b/>
        <sz val="10"/>
        <rFont val="宋体"/>
        <family val="3"/>
        <charset val="134"/>
      </rPr>
      <t>利息费用</t>
    </r>
  </si>
  <si>
    <r>
      <rPr>
        <sz val="10"/>
        <rFont val="宋体"/>
        <family val="3"/>
        <charset val="134"/>
      </rPr>
      <t>应付本金减少</t>
    </r>
  </si>
  <si>
    <r>
      <rPr>
        <sz val="10"/>
        <rFont val="Arial Narrow"/>
        <family val="2"/>
      </rPr>
      <t>—</t>
    </r>
    <r>
      <rPr>
        <sz val="10"/>
        <rFont val="宋体"/>
        <family val="3"/>
        <charset val="134"/>
      </rPr>
      <t>利息调整</t>
    </r>
  </si>
  <si>
    <r>
      <rPr>
        <b/>
        <sz val="10"/>
        <rFont val="宋体"/>
        <family val="3"/>
        <charset val="134"/>
      </rPr>
      <t>实际利率测算：</t>
    </r>
  </si>
  <si>
    <r>
      <rPr>
        <sz val="10"/>
        <rFont val="宋体"/>
        <family val="3"/>
        <charset val="134"/>
      </rPr>
      <t>实际利率（插值）</t>
    </r>
  </si>
  <si>
    <r>
      <rPr>
        <sz val="10"/>
        <rFont val="宋体"/>
        <family val="3"/>
        <charset val="134"/>
      </rPr>
      <t>实际利率（测试</t>
    </r>
    <r>
      <rPr>
        <sz val="10"/>
        <rFont val="Arial Narrow"/>
        <family val="2"/>
      </rPr>
      <t>1</t>
    </r>
    <r>
      <rPr>
        <sz val="10"/>
        <rFont val="宋体"/>
        <family val="3"/>
        <charset val="134"/>
      </rPr>
      <t>）</t>
    </r>
    <r>
      <rPr>
        <sz val="10"/>
        <rFont val="Arial Narrow"/>
        <family val="2"/>
      </rPr>
      <t>-</t>
    </r>
    <r>
      <rPr>
        <sz val="10"/>
        <rFont val="宋体"/>
        <family val="3"/>
        <charset val="134"/>
      </rPr>
      <t>较小</t>
    </r>
  </si>
  <si>
    <r>
      <rPr>
        <sz val="10"/>
        <rFont val="宋体"/>
        <family val="3"/>
        <charset val="134"/>
      </rPr>
      <t>利息现值（测试</t>
    </r>
    <r>
      <rPr>
        <sz val="10"/>
        <rFont val="Arial Narrow"/>
        <family val="2"/>
      </rPr>
      <t>1</t>
    </r>
    <r>
      <rPr>
        <sz val="10"/>
        <rFont val="宋体"/>
        <family val="3"/>
        <charset val="134"/>
      </rPr>
      <t>）</t>
    </r>
  </si>
  <si>
    <r>
      <rPr>
        <sz val="10"/>
        <rFont val="宋体"/>
        <family val="3"/>
        <charset val="134"/>
      </rPr>
      <t>现值差异（测试</t>
    </r>
    <r>
      <rPr>
        <sz val="10"/>
        <rFont val="Arial Narrow"/>
        <family val="2"/>
      </rPr>
      <t>1</t>
    </r>
    <r>
      <rPr>
        <sz val="10"/>
        <rFont val="宋体"/>
        <family val="3"/>
        <charset val="134"/>
      </rPr>
      <t>）</t>
    </r>
  </si>
  <si>
    <r>
      <rPr>
        <sz val="10"/>
        <rFont val="宋体"/>
        <family val="3"/>
        <charset val="134"/>
      </rPr>
      <t>实际利率（测试</t>
    </r>
    <r>
      <rPr>
        <sz val="10"/>
        <rFont val="Arial Narrow"/>
        <family val="2"/>
      </rPr>
      <t>2</t>
    </r>
    <r>
      <rPr>
        <sz val="10"/>
        <rFont val="宋体"/>
        <family val="3"/>
        <charset val="134"/>
      </rPr>
      <t>）</t>
    </r>
    <r>
      <rPr>
        <sz val="10"/>
        <rFont val="Arial Narrow"/>
        <family val="2"/>
      </rPr>
      <t>-</t>
    </r>
    <r>
      <rPr>
        <sz val="10"/>
        <rFont val="宋体"/>
        <family val="3"/>
        <charset val="134"/>
      </rPr>
      <t>较大</t>
    </r>
  </si>
  <si>
    <r>
      <rPr>
        <sz val="10"/>
        <rFont val="宋体"/>
        <family val="3"/>
        <charset val="134"/>
      </rPr>
      <t>利息现值（测试</t>
    </r>
    <r>
      <rPr>
        <sz val="10"/>
        <rFont val="Arial Narrow"/>
        <family val="2"/>
      </rPr>
      <t>2</t>
    </r>
    <r>
      <rPr>
        <sz val="10"/>
        <rFont val="宋体"/>
        <family val="3"/>
        <charset val="134"/>
      </rPr>
      <t>）</t>
    </r>
  </si>
  <si>
    <r>
      <rPr>
        <sz val="10"/>
        <rFont val="宋体"/>
        <family val="3"/>
        <charset val="134"/>
      </rPr>
      <t>现值差异（测试</t>
    </r>
    <r>
      <rPr>
        <sz val="10"/>
        <rFont val="Arial Narrow"/>
        <family val="2"/>
      </rPr>
      <t>2</t>
    </r>
    <r>
      <rPr>
        <sz val="10"/>
        <rFont val="宋体"/>
        <family val="3"/>
        <charset val="134"/>
      </rPr>
      <t>）</t>
    </r>
  </si>
  <si>
    <r>
      <rPr>
        <sz val="10"/>
        <rFont val="宋体"/>
        <family val="3"/>
        <charset val="134"/>
      </rPr>
      <t>债务现值</t>
    </r>
  </si>
  <si>
    <r>
      <rPr>
        <sz val="10"/>
        <rFont val="宋体"/>
        <family val="3"/>
        <charset val="134"/>
      </rPr>
      <t>按合同利率计算的应付利息</t>
    </r>
    <r>
      <rPr>
        <sz val="10"/>
        <rFont val="Arial Narrow"/>
        <family val="2"/>
      </rPr>
      <t>(1)</t>
    </r>
  </si>
  <si>
    <r>
      <rPr>
        <sz val="10"/>
        <rFont val="宋体"/>
        <family val="3"/>
        <charset val="134"/>
      </rPr>
      <t>按合同利率计算的应付利息</t>
    </r>
    <r>
      <rPr>
        <sz val="10"/>
        <rFont val="Arial Narrow"/>
        <family val="2"/>
      </rPr>
      <t>(2)</t>
    </r>
  </si>
  <si>
    <r>
      <rPr>
        <sz val="10"/>
        <rFont val="宋体"/>
        <family val="3"/>
        <charset val="134"/>
      </rPr>
      <t>按合同利率计算的应付利息</t>
    </r>
    <r>
      <rPr>
        <sz val="10"/>
        <rFont val="Arial Narrow"/>
        <family val="2"/>
      </rPr>
      <t>(3)</t>
    </r>
  </si>
  <si>
    <r>
      <rPr>
        <sz val="10"/>
        <rFont val="宋体"/>
        <family val="3"/>
        <charset val="134"/>
      </rPr>
      <t>按合同利率计算的应付利息</t>
    </r>
    <r>
      <rPr>
        <sz val="10"/>
        <rFont val="Arial Narrow"/>
        <family val="2"/>
      </rPr>
      <t>(4)</t>
    </r>
  </si>
  <si>
    <r>
      <rPr>
        <sz val="10"/>
        <rFont val="宋体"/>
        <family val="3"/>
        <charset val="134"/>
      </rPr>
      <t>按合同利率计算的应付利息</t>
    </r>
    <r>
      <rPr>
        <sz val="10"/>
        <rFont val="Arial Narrow"/>
        <family val="2"/>
      </rPr>
      <t>(5)</t>
    </r>
  </si>
  <si>
    <r>
      <rPr>
        <sz val="10"/>
        <rFont val="宋体"/>
        <family val="3"/>
        <charset val="134"/>
      </rPr>
      <t>本金支付期（第？年末）</t>
    </r>
  </si>
  <si>
    <t>四、审计结论:</t>
  </si>
  <si>
    <t>1.本科目核算企业按照合同约定应支付的利息，包括吸收存款.分期付息到期还本的长期借款.企业债券等应支付的利息。</t>
  </si>
  <si>
    <t>2.资产负债表日，应按摊余成本和实际利率计算确定的利息费用，借记“利息支出”.“在建工程”.“财务费用”.“研发支出”等科目，</t>
  </si>
  <si>
    <t>按合同利率计算确定的应付未付利息，贷记本科目，按其差额，借记或贷记“长期借款——利息调整”.“吸收存款——利息调整”等科目。</t>
  </si>
  <si>
    <t>3.合同利率与实际利率差异较小的，也可以采用合同利率计算确定利息费用。实际支付利息时，借记本科目，贷记“银行存款”等科目。</t>
  </si>
  <si>
    <t>1.资产负债表中记录的应付债券是存在的，且已经记录在恰当的账户中；</t>
  </si>
  <si>
    <t>2.所有应记录的应付债券均已记录，所有应当包括在财务报表中的相关披露均已包括；</t>
  </si>
  <si>
    <t xml:space="preserve">3.应付债券以恰当的金额包括在财务报表中，与之相关的计价或分摊调整已恰当记录，相关披露已得到恰当计量和描述 </t>
  </si>
  <si>
    <t>到期一次还本付息后续计量测算</t>
  </si>
  <si>
    <t>1、债券信息</t>
  </si>
  <si>
    <r>
      <rPr>
        <b/>
        <sz val="10"/>
        <rFont val="宋体"/>
        <family val="3"/>
        <charset val="134"/>
      </rPr>
      <t>计息期初：</t>
    </r>
  </si>
  <si>
    <r>
      <rPr>
        <b/>
        <sz val="10"/>
        <rFont val="宋体"/>
        <family val="3"/>
        <charset val="134"/>
      </rPr>
      <t>计息期末：</t>
    </r>
  </si>
  <si>
    <t>序号：</t>
  </si>
  <si>
    <t>债券种类：</t>
  </si>
  <si>
    <t>债券名称：</t>
  </si>
  <si>
    <t>债券期限：</t>
  </si>
  <si>
    <t>实际利率：</t>
  </si>
  <si>
    <r>
      <rPr>
        <b/>
        <sz val="10"/>
        <rFont val="宋体"/>
        <family val="3"/>
        <charset val="134"/>
      </rPr>
      <t>起息日</t>
    </r>
  </si>
  <si>
    <r>
      <rPr>
        <b/>
        <sz val="10"/>
        <rFont val="宋体"/>
        <family val="3"/>
        <charset val="134"/>
      </rPr>
      <t>到期日</t>
    </r>
  </si>
  <si>
    <t>2、后续计量过程</t>
  </si>
  <si>
    <t>期间</t>
  </si>
  <si>
    <t>截止日</t>
  </si>
  <si>
    <t>适用到期一次还本付息：</t>
  </si>
  <si>
    <t>审计结论</t>
  </si>
  <si>
    <t>期初账面价值</t>
  </si>
  <si>
    <t>利息费用</t>
  </si>
  <si>
    <t>应计利息</t>
  </si>
  <si>
    <t>期末“利息调整”</t>
  </si>
  <si>
    <t>“利息调整”摊销</t>
  </si>
  <si>
    <t>本期已付利息</t>
  </si>
  <si>
    <t>面值归还</t>
  </si>
  <si>
    <t>期末余额</t>
  </si>
  <si>
    <t>第一期</t>
  </si>
  <si>
    <t>第二期</t>
  </si>
  <si>
    <t>最后一期</t>
  </si>
  <si>
    <t>2、本期利息计提情况</t>
  </si>
  <si>
    <t>票面金额</t>
  </si>
  <si>
    <t>票面年利率</t>
  </si>
  <si>
    <t>开始日期</t>
  </si>
  <si>
    <t>结束日期</t>
  </si>
  <si>
    <t>计息天数</t>
  </si>
  <si>
    <t>已计利息</t>
  </si>
  <si>
    <t>差异</t>
  </si>
  <si>
    <t>差异原因</t>
  </si>
  <si>
    <t>分期付息，到期一次还本  后续计量测算</t>
  </si>
  <si>
    <t>适用分期付息，到期一次还本</t>
  </si>
  <si>
    <t>应付利息</t>
  </si>
  <si>
    <t>“利息调整”余额</t>
  </si>
  <si>
    <t>初始计量</t>
  </si>
  <si>
    <r>
      <rPr>
        <b/>
        <sz val="10"/>
        <rFont val="Arial Narrow"/>
        <family val="2"/>
      </rPr>
      <t>1</t>
    </r>
    <r>
      <rPr>
        <b/>
        <sz val="10"/>
        <rFont val="宋体"/>
        <family val="3"/>
        <charset val="134"/>
      </rPr>
      <t>、期末余额测算</t>
    </r>
  </si>
  <si>
    <t>序号</t>
  </si>
  <si>
    <t>本期截止日</t>
  </si>
  <si>
    <t>期数</t>
  </si>
  <si>
    <t>测算数</t>
  </si>
  <si>
    <t>测算期末数</t>
  </si>
  <si>
    <t>账面数</t>
  </si>
  <si>
    <t>是否调整</t>
  </si>
  <si>
    <t>是</t>
  </si>
  <si>
    <r>
      <rPr>
        <b/>
        <sz val="10"/>
        <rFont val="Arial Narrow"/>
        <family val="2"/>
      </rPr>
      <t>2</t>
    </r>
    <r>
      <rPr>
        <b/>
        <sz val="10"/>
        <rFont val="宋体"/>
        <family val="3"/>
        <charset val="134"/>
      </rPr>
      <t>、利息测算</t>
    </r>
  </si>
  <si>
    <t>利息调整</t>
  </si>
  <si>
    <t>最近一次付息日</t>
  </si>
  <si>
    <t>3、“利息调整”摊销分配测算</t>
  </si>
  <si>
    <t>债权期数</t>
  </si>
  <si>
    <t>利息分配数测算</t>
  </si>
  <si>
    <t>财务费用</t>
  </si>
  <si>
    <t>存货</t>
  </si>
  <si>
    <t>长期资产</t>
  </si>
  <si>
    <t>…</t>
  </si>
  <si>
    <t>后续计量测算期末余额</t>
  </si>
  <si>
    <t>应付债券检查底稿</t>
  </si>
  <si>
    <t>1.资产负债表中记录的应付债券是存在的，且已经记录在恰当的账户中；     2.记录的应付债券由被审计单位拥有或控制；</t>
  </si>
  <si>
    <t>二、测试：</t>
  </si>
  <si>
    <r>
      <rPr>
        <b/>
        <sz val="10"/>
        <color rgb="FFFF0000"/>
        <rFont val="宋体"/>
        <family val="3"/>
        <charset val="134"/>
      </rPr>
      <t>测试内容说明：</t>
    </r>
    <r>
      <rPr>
        <sz val="10"/>
        <color rgb="FFFF0000"/>
        <rFont val="Arial Narrow"/>
        <family val="2"/>
      </rPr>
      <t>1.</t>
    </r>
    <r>
      <rPr>
        <sz val="10"/>
        <color rgb="FFFF0000"/>
        <rFont val="宋体"/>
        <family val="3"/>
        <charset val="134"/>
      </rPr>
      <t>原始凭证是否齐全；</t>
    </r>
    <r>
      <rPr>
        <sz val="10"/>
        <color rgb="FFFF0000"/>
        <rFont val="Arial Narrow"/>
        <family val="2"/>
      </rPr>
      <t xml:space="preserve"> 2.</t>
    </r>
    <r>
      <rPr>
        <sz val="10"/>
        <color rgb="FFFF0000"/>
        <rFont val="宋体"/>
        <family val="3"/>
        <charset val="134"/>
      </rPr>
      <t>记账凭证与原始凭证是否相符；</t>
    </r>
    <r>
      <rPr>
        <sz val="10"/>
        <color rgb="FFFF0000"/>
        <rFont val="Arial Narrow"/>
        <family val="2"/>
      </rPr>
      <t>3.</t>
    </r>
    <r>
      <rPr>
        <sz val="10"/>
        <color rgb="FFFF0000"/>
        <rFont val="宋体"/>
        <family val="3"/>
        <charset val="134"/>
      </rPr>
      <t>账务处理是否正确；</t>
    </r>
    <r>
      <rPr>
        <sz val="10"/>
        <color rgb="FFFF0000"/>
        <rFont val="Arial Narrow"/>
        <family val="2"/>
      </rPr>
      <t>4.</t>
    </r>
    <r>
      <rPr>
        <sz val="10"/>
        <color rgb="FFFF0000"/>
        <rFont val="宋体"/>
        <family val="3"/>
        <charset val="134"/>
      </rPr>
      <t>是否记录于恰当的会计期间；</t>
    </r>
    <r>
      <rPr>
        <sz val="10"/>
        <color rgb="FFFF0000"/>
        <rFont val="Arial Narrow"/>
        <family val="2"/>
      </rPr>
      <t>5.……</t>
    </r>
  </si>
  <si>
    <t>记账凭证</t>
  </si>
  <si>
    <t>支持性文件</t>
  </si>
  <si>
    <r>
      <rPr>
        <b/>
        <sz val="10"/>
        <rFont val="宋体"/>
        <family val="3"/>
        <charset val="134"/>
      </rPr>
      <t>核对内容</t>
    </r>
  </si>
  <si>
    <t>索引号</t>
  </si>
  <si>
    <t>是否异常</t>
  </si>
  <si>
    <t>备注说明</t>
  </si>
  <si>
    <t>日期</t>
  </si>
  <si>
    <t>凭证编号</t>
  </si>
  <si>
    <t>业务内容</t>
  </si>
  <si>
    <t>对方科目</t>
  </si>
  <si>
    <t>对方明细科目</t>
  </si>
  <si>
    <t>借方金额</t>
  </si>
  <si>
    <t>贷方金额</t>
  </si>
  <si>
    <t>C1</t>
  </si>
  <si>
    <t>Custom 1</t>
  </si>
  <si>
    <t>C2</t>
  </si>
  <si>
    <t>Custom 2</t>
  </si>
  <si>
    <t>C3</t>
  </si>
  <si>
    <t>Custom 3</t>
  </si>
  <si>
    <t>C4</t>
  </si>
  <si>
    <t>Custom 4</t>
  </si>
  <si>
    <t>C5</t>
  </si>
  <si>
    <t>Custom 5</t>
  </si>
  <si>
    <t>C6</t>
  </si>
  <si>
    <t>Custom 6</t>
  </si>
  <si>
    <t>C7</t>
  </si>
  <si>
    <t>Custom 7</t>
  </si>
  <si>
    <t>C8</t>
  </si>
  <si>
    <t>Custom 8</t>
  </si>
  <si>
    <t>测试原因：大额（）关联方（）大额交易频繁（）异常（）其他（）</t>
  </si>
  <si>
    <r>
      <rPr>
        <sz val="10"/>
        <rFont val="宋体"/>
        <family val="3"/>
        <charset val="134"/>
      </rPr>
      <t>截止日：</t>
    </r>
    <r>
      <rPr>
        <sz val="10"/>
        <rFont val="Arial Narrow"/>
        <family val="2"/>
      </rPr>
      <t>202X</t>
    </r>
    <r>
      <rPr>
        <sz val="10"/>
        <rFont val="宋体"/>
        <family val="3"/>
        <charset val="134"/>
      </rPr>
      <t>年</t>
    </r>
    <r>
      <rPr>
        <sz val="10"/>
        <rFont val="Arial Narrow"/>
        <family val="2"/>
      </rPr>
      <t>12</t>
    </r>
    <r>
      <rPr>
        <sz val="10"/>
        <rFont val="宋体"/>
        <family val="3"/>
        <charset val="134"/>
      </rPr>
      <t>月</t>
    </r>
    <r>
      <rPr>
        <sz val="10"/>
        <rFont val="Arial Narrow"/>
        <family val="2"/>
      </rPr>
      <t>31</t>
    </r>
    <r>
      <rPr>
        <sz val="10"/>
        <rFont val="宋体"/>
        <family val="3"/>
        <charset val="134"/>
      </rPr>
      <t>日</t>
    </r>
    <phoneticPr fontId="86" type="noConversion"/>
  </si>
  <si>
    <t>关于工作底稿与审计程序索引号对应的说明</t>
    <phoneticPr fontId="86" type="noConversion"/>
  </si>
  <si>
    <r>
      <t>1.</t>
    </r>
    <r>
      <rPr>
        <b/>
        <sz val="12"/>
        <rFont val="宋体"/>
        <family val="3"/>
        <charset val="134"/>
      </rPr>
      <t>编制的审计工作底稿应与审计程序对应。</t>
    </r>
    <r>
      <rPr>
        <sz val="12"/>
        <rFont val="宋体"/>
        <family val="3"/>
        <charset val="134"/>
      </rPr>
      <t>审计项目组应根据被审计单位实际情况和风险评估情况在实质性程序表中裁剪、修改或增加审计程序，根据实际执行的审计程序完成相应审计工作底稿，编制的工作底稿中应按自然顺序依次编制索引号，并通过唯一的索引号将与实质性程序表中的程序对应关联（即将工作底稿的索引号填入实质性程序表中的底稿索引号列）。</t>
    </r>
    <phoneticPr fontId="86" type="noConversion"/>
  </si>
  <si>
    <r>
      <t>2.</t>
    </r>
    <r>
      <rPr>
        <b/>
        <sz val="12"/>
        <rFont val="宋体"/>
        <family val="3"/>
        <charset val="134"/>
      </rPr>
      <t>获取的支持性证据应与审计底稿或程序对应。</t>
    </r>
    <r>
      <rPr>
        <sz val="12"/>
        <rFont val="宋体"/>
        <family val="3"/>
        <charset val="134"/>
      </rPr>
      <t>审计项目组在完成底稿时获取的支持性证据应根据底稿索引号编制下一级按自然顺序排序的索引号（如</t>
    </r>
    <r>
      <rPr>
        <sz val="12"/>
        <rFont val="Arial Narrow"/>
        <family val="2"/>
      </rPr>
      <t>D1-2-1</t>
    </r>
    <r>
      <rPr>
        <sz val="12"/>
        <rFont val="宋体"/>
        <family val="3"/>
        <charset val="134"/>
      </rPr>
      <t>、</t>
    </r>
    <r>
      <rPr>
        <sz val="12"/>
        <rFont val="Arial Narrow"/>
        <family val="2"/>
      </rPr>
      <t>D1-2-2</t>
    </r>
    <r>
      <rPr>
        <sz val="12"/>
        <rFont val="宋体"/>
        <family val="3"/>
        <charset val="134"/>
      </rPr>
      <t>、</t>
    </r>
    <r>
      <rPr>
        <sz val="12"/>
        <rFont val="Arial Narrow"/>
        <family val="2"/>
      </rPr>
      <t>……</t>
    </r>
    <r>
      <rPr>
        <sz val="12"/>
        <rFont val="宋体"/>
        <family val="3"/>
        <charset val="134"/>
      </rPr>
      <t>），并在底稿中说明引用的支持性证据、关联索引号。</t>
    </r>
    <phoneticPr fontId="86" type="noConversion"/>
  </si>
  <si>
    <r>
      <rPr>
        <b/>
        <sz val="12"/>
        <rFont val="Arial Narrow"/>
        <family val="2"/>
      </rPr>
      <t>3.</t>
    </r>
    <r>
      <rPr>
        <b/>
        <sz val="12"/>
        <rFont val="宋体"/>
        <family val="3"/>
        <charset val="134"/>
      </rPr>
      <t>工作底稿索引号的编码规则：</t>
    </r>
    <r>
      <rPr>
        <sz val="12"/>
        <rFont val="宋体"/>
        <family val="3"/>
        <charset val="134"/>
      </rPr>
      <t>实质性程序索引号按循环从</t>
    </r>
    <r>
      <rPr>
        <sz val="12"/>
        <rFont val="Arial Narrow"/>
        <family val="2"/>
      </rPr>
      <t>“D”</t>
    </r>
    <r>
      <rPr>
        <sz val="12"/>
        <rFont val="宋体"/>
        <family val="3"/>
        <charset val="134"/>
      </rPr>
      <t>到</t>
    </r>
    <r>
      <rPr>
        <sz val="12"/>
        <rFont val="Arial Narrow"/>
        <family val="2"/>
      </rPr>
      <t>“N”,</t>
    </r>
    <r>
      <rPr>
        <sz val="12"/>
        <rFont val="宋体"/>
        <family val="3"/>
        <charset val="134"/>
      </rPr>
      <t>循环内账户以顺序号排列，模板中底稿索引号按账户顺序</t>
    </r>
    <r>
      <rPr>
        <sz val="12"/>
        <rFont val="Arial Narrow"/>
        <family val="2"/>
      </rPr>
      <t>+</t>
    </r>
    <r>
      <rPr>
        <sz val="12"/>
        <rFont val="宋体"/>
        <family val="3"/>
        <charset val="134"/>
      </rPr>
      <t>自然数顺序（即模板中索引号按二级自然顺序排列，如</t>
    </r>
    <r>
      <rPr>
        <sz val="12"/>
        <rFont val="Arial Narrow"/>
        <family val="2"/>
      </rPr>
      <t>D1-1</t>
    </r>
    <r>
      <rPr>
        <sz val="12"/>
        <rFont val="宋体"/>
        <family val="3"/>
        <charset val="134"/>
      </rPr>
      <t>、</t>
    </r>
    <r>
      <rPr>
        <sz val="12"/>
        <rFont val="Arial Narrow"/>
        <family val="2"/>
      </rPr>
      <t>D1-2</t>
    </r>
    <r>
      <rPr>
        <sz val="12"/>
        <rFont val="宋体"/>
        <family val="3"/>
        <charset val="134"/>
      </rPr>
      <t>、</t>
    </r>
    <r>
      <rPr>
        <sz val="12"/>
        <rFont val="Arial Narrow"/>
        <family val="2"/>
      </rPr>
      <t>D1-3</t>
    </r>
    <r>
      <rPr>
        <sz val="12"/>
        <rFont val="宋体"/>
        <family val="3"/>
        <charset val="134"/>
      </rPr>
      <t>、</t>
    </r>
    <r>
      <rPr>
        <sz val="12"/>
        <rFont val="Arial Narrow"/>
        <family val="2"/>
      </rPr>
      <t>……D1-N</t>
    </r>
    <r>
      <rPr>
        <sz val="12"/>
        <rFont val="宋体"/>
        <family val="3"/>
        <charset val="134"/>
      </rPr>
      <t>）。</t>
    </r>
    <phoneticPr fontId="86" type="noConversion"/>
  </si>
  <si>
    <t>内容</t>
  </si>
  <si>
    <t>根据被审计单位实际情况和风险评估情况裁剪、修改或增加审计程序</t>
    <phoneticPr fontId="86" type="noConversion"/>
  </si>
  <si>
    <t>审计程序</t>
    <phoneticPr fontId="88" type="noConversion"/>
  </si>
  <si>
    <t>T1
/</t>
    <phoneticPr fontId="86" type="noConversion"/>
  </si>
  <si>
    <t>项目</t>
    <phoneticPr fontId="86" type="noConversion"/>
  </si>
  <si>
    <t>期初数</t>
    <phoneticPr fontId="86" type="noConversion"/>
  </si>
  <si>
    <t>未审数</t>
  </si>
  <si>
    <t>未审数</t>
    <phoneticPr fontId="86" type="noConversion"/>
  </si>
  <si>
    <t>账项调整</t>
    <phoneticPr fontId="86" type="noConversion"/>
  </si>
  <si>
    <t>重分类调整</t>
    <phoneticPr fontId="86" type="noConversion"/>
  </si>
  <si>
    <t>原因分析</t>
  </si>
  <si>
    <t>期末数</t>
  </si>
  <si>
    <t>本期未审数与上期
审定数的比较</t>
  </si>
  <si>
    <t>本期审定数与上期
审定数的比较</t>
  </si>
  <si>
    <t>变动额</t>
  </si>
  <si>
    <t>变动率</t>
  </si>
  <si>
    <t>（1）成本</t>
  </si>
  <si>
    <t>(一)普通应付债券</t>
  </si>
  <si>
    <t>（2）利息调整</t>
  </si>
  <si>
    <t>（3）应计利息</t>
  </si>
  <si>
    <t>（二）可转换公司债券</t>
  </si>
  <si>
    <t>划分为金融负债的其他金融工具</t>
  </si>
  <si>
    <t>1、审计说明：</t>
  </si>
  <si>
    <t>2、审计结论：</t>
  </si>
  <si>
    <t>本期增加</t>
  </si>
  <si>
    <t>数量</t>
  </si>
  <si>
    <t>本期增加调整</t>
  </si>
  <si>
    <t>本期减少调整</t>
  </si>
  <si>
    <t>期初余额</t>
  </si>
  <si>
    <t>本期减少</t>
  </si>
  <si>
    <t>单位面值(净值)</t>
  </si>
  <si>
    <t>会计分类</t>
  </si>
  <si>
    <t>股利率或利息率</t>
  </si>
  <si>
    <t>金额</t>
  </si>
  <si>
    <t>到期日或续期情况</t>
  </si>
  <si>
    <t>转换情况</t>
  </si>
  <si>
    <t>2. 所有应记录的短期借款均已记录，所有应当包括在财务报表中的相关披露均已包括；</t>
  </si>
  <si>
    <t>1.利息费用计入财务费用XX元、计入在建工程XX元，计入存货XX元，……</t>
    <phoneticPr fontId="86" type="noConversion"/>
  </si>
  <si>
    <t>合计</t>
    <phoneticPr fontId="86" type="noConversion"/>
  </si>
  <si>
    <t>本期发生额</t>
    <phoneticPr fontId="86" type="noConversion"/>
  </si>
  <si>
    <t>检查比例</t>
    <phoneticPr fontId="86"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</si>
</sst>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9">
    <numFmt numFmtId="41" formatCode="_ * #,##0_ ;_ * \-#,##0_ ;_ * &quot;-&quot;_ ;_ @_ "/>
    <numFmt numFmtId="43" formatCode="_ * #,##0.00_ ;_ * \-#,##0.00_ ;_ * &quot;-&quot;??_ ;_ @_ "/>
    <numFmt numFmtId="176" formatCode="_-#,##0_-;\(#,##0\);_-\ \ &quot;-&quot;_-;_-@_-"/>
    <numFmt numFmtId="177" formatCode="_-#,##0.00_-;\(#,##0.00\);_-\ \ &quot;-&quot;_-;_-@_-"/>
    <numFmt numFmtId="178" formatCode="mmm/dd/yyyy;_-\ &quot;N/A&quot;_-;_-\ &quot;-&quot;_-"/>
    <numFmt numFmtId="179" formatCode="mmm/yyyy;_-\ &quot;N/A&quot;_-;_-\ &quot;-&quot;_-"/>
    <numFmt numFmtId="180" formatCode="_-#,##0%_-;\(#,##0%\);_-\ &quot;-&quot;_-"/>
    <numFmt numFmtId="181" formatCode="_-#,###,_-;\(#,###,\);_-\ \ &quot;-&quot;_-;_-@_-"/>
    <numFmt numFmtId="182" formatCode="_-#,###.00,_-;\(#,###.00,\);_-\ \ &quot;-&quot;_-;_-@_-"/>
    <numFmt numFmtId="183" formatCode="_-#0&quot;.&quot;0,_-;\(#0&quot;.&quot;0,\);_-\ \ &quot;-&quot;_-;_-@_-"/>
    <numFmt numFmtId="184" formatCode="_-#0&quot;.&quot;0000_-;\(#0&quot;.&quot;0000\);_-\ \ &quot;-&quot;_-;_-@_-"/>
    <numFmt numFmtId="185" formatCode="&quot;$&quot;#,##0_);\(&quot;$&quot;#,##0\)"/>
    <numFmt numFmtId="186" formatCode="_-* #,##0_-;\-* #,##0_-;_-* &quot;-&quot;_-;_-@_-"/>
    <numFmt numFmtId="187" formatCode="_-* #,##0.00_-;\-* #,##0.00_-;_-* &quot;-&quot;??_-;_-@_-"/>
    <numFmt numFmtId="188" formatCode="_-&quot;$&quot;* #,##0_-;\-&quot;$&quot;* #,##0_-;_-&quot;$&quot;* &quot;-&quot;_-;_-@_-"/>
    <numFmt numFmtId="189" formatCode="_-&quot;$&quot;* #,##0.00_-;\-&quot;$&quot;* #,##0.00_-;_-&quot;$&quot;* &quot;-&quot;??_-;_-@_-"/>
    <numFmt numFmtId="190" formatCode="_([$€-2]* #,##0.00_);_([$€-2]* \(#,##0.00\);_([$€-2]* &quot;-&quot;??_)"/>
    <numFmt numFmtId="191" formatCode="&quot;\&quot;#,##0;[Red]&quot;\&quot;&quot;\&quot;\-#,##0"/>
    <numFmt numFmtId="192" formatCode="&quot;\&quot;#,##0.00;[Red]&quot;\&quot;&quot;\&quot;\-#,##0.00"/>
    <numFmt numFmtId="193" formatCode="&quot;\&quot;#,##0;&quot;\&quot;&quot;\&quot;\-#,##0"/>
    <numFmt numFmtId="194" formatCode="&quot;\&quot;#,##0.00;[Red]&quot;\&quot;&quot;\&quot;&quot;\&quot;&quot;\&quot;&quot;\&quot;&quot;\&quot;\-#,##0.00"/>
    <numFmt numFmtId="195" formatCode="&quot;\&quot;#,##0.00;[Red]&quot;\&quot;\-#,##0.00"/>
    <numFmt numFmtId="196" formatCode="&quot;\&quot;#,##0;[Red]&quot;\&quot;\-#,##0"/>
    <numFmt numFmtId="197" formatCode="0.00_ "/>
    <numFmt numFmtId="198" formatCode="0.00_);[Red]\(0.00\)"/>
    <numFmt numFmtId="199" formatCode="0.000%"/>
    <numFmt numFmtId="200" formatCode="0.0000%"/>
    <numFmt numFmtId="201" formatCode="#,##0_ "/>
    <numFmt numFmtId="202" formatCode="_ * #,##0_ ;_ * \-#,##0_ ;_ * &quot;-&quot;??_ ;_ @_ "/>
  </numFmts>
  <fonts count="91">
    <font>
      <sz val="12"/>
      <name val="宋体"/>
      <charset val="134"/>
    </font>
    <font>
      <sz val="11"/>
      <color theme="1"/>
      <name val="宋体"/>
      <family val="2"/>
      <charset val="134"/>
      <scheme val="minor"/>
    </font>
    <font>
      <b/>
      <sz val="12"/>
      <name val="Arial Narrow"/>
      <family val="2"/>
    </font>
    <font>
      <sz val="10"/>
      <name val="Arial Narrow"/>
      <family val="2"/>
    </font>
    <font>
      <b/>
      <sz val="10"/>
      <name val="Arial Narrow"/>
      <family val="2"/>
    </font>
    <font>
      <sz val="12"/>
      <name val="Arial Narrow"/>
      <family val="2"/>
    </font>
    <font>
      <b/>
      <sz val="14"/>
      <name val="宋体"/>
      <family val="3"/>
      <charset val="134"/>
    </font>
    <font>
      <b/>
      <sz val="14"/>
      <name val="Arial Narrow"/>
      <family val="2"/>
    </font>
    <font>
      <sz val="10"/>
      <name val="宋体"/>
      <family val="3"/>
      <charset val="134"/>
    </font>
    <font>
      <b/>
      <u/>
      <sz val="10"/>
      <color indexed="10"/>
      <name val="Arial Narrow"/>
      <family val="2"/>
    </font>
    <font>
      <b/>
      <sz val="10"/>
      <name val="宋体"/>
      <family val="3"/>
      <charset val="134"/>
    </font>
    <font>
      <sz val="10"/>
      <color rgb="FFFF0000"/>
      <name val="Arial Narrow"/>
      <family val="2"/>
    </font>
    <font>
      <sz val="10"/>
      <color indexed="12"/>
      <name val="Arial Narrow"/>
      <family val="2"/>
    </font>
    <font>
      <b/>
      <sz val="10"/>
      <name val="宋体"/>
      <family val="3"/>
      <charset val="134"/>
    </font>
    <font>
      <sz val="10"/>
      <color rgb="FFFF0000"/>
      <name val="宋体"/>
      <family val="3"/>
      <charset val="134"/>
    </font>
    <font>
      <u/>
      <sz val="12"/>
      <color indexed="12"/>
      <name val="宋体"/>
      <family val="3"/>
      <charset val="134"/>
    </font>
    <font>
      <sz val="12"/>
      <name val="宋体"/>
      <family val="3"/>
      <charset val="134"/>
      <scheme val="minor"/>
    </font>
    <font>
      <b/>
      <sz val="12"/>
      <name val="宋体"/>
      <family val="3"/>
      <charset val="134"/>
    </font>
    <font>
      <b/>
      <sz val="10"/>
      <name val="宋体"/>
      <family val="3"/>
      <charset val="134"/>
      <scheme val="minor"/>
    </font>
    <font>
      <sz val="10"/>
      <name val="宋体"/>
      <family val="3"/>
      <charset val="134"/>
      <scheme val="minor"/>
    </font>
    <font>
      <sz val="10"/>
      <color theme="1"/>
      <name val="宋体"/>
      <family val="3"/>
      <charset val="134"/>
      <scheme val="minor"/>
    </font>
    <font>
      <u/>
      <sz val="12"/>
      <color indexed="12"/>
      <name val="Arial Narrow"/>
      <family val="2"/>
    </font>
    <font>
      <sz val="10"/>
      <color rgb="FFFF0000"/>
      <name val="宋体"/>
      <family val="3"/>
      <charset val="134"/>
      <scheme val="minor"/>
    </font>
    <font>
      <b/>
      <sz val="10"/>
      <name val="微软雅黑"/>
      <family val="2"/>
      <charset val="134"/>
    </font>
    <font>
      <u/>
      <sz val="10"/>
      <color indexed="12"/>
      <name val="宋体"/>
      <family val="3"/>
      <charset val="134"/>
    </font>
    <font>
      <sz val="10"/>
      <color indexed="12"/>
      <name val="宋体"/>
      <family val="3"/>
      <charset val="134"/>
    </font>
    <font>
      <sz val="10"/>
      <name val="微软雅黑"/>
      <family val="2"/>
      <charset val="134"/>
    </font>
    <font>
      <sz val="10"/>
      <color theme="1"/>
      <name val="Arial Narrow"/>
      <family val="2"/>
    </font>
    <font>
      <sz val="10"/>
      <color rgb="FF0000FF"/>
      <name val="宋体"/>
      <family val="3"/>
      <charset val="134"/>
    </font>
    <font>
      <b/>
      <sz val="10"/>
      <color theme="1"/>
      <name val="Arial Narrow"/>
      <family val="2"/>
    </font>
    <font>
      <sz val="10"/>
      <color theme="1"/>
      <name val="宋体"/>
      <family val="3"/>
      <charset val="134"/>
    </font>
    <font>
      <b/>
      <sz val="10"/>
      <color theme="1"/>
      <name val="宋体"/>
      <family val="3"/>
      <charset val="134"/>
    </font>
    <font>
      <sz val="10"/>
      <color indexed="8"/>
      <name val="Arial Narrow"/>
      <family val="2"/>
    </font>
    <font>
      <b/>
      <sz val="10"/>
      <color indexed="12"/>
      <name val="宋体"/>
      <family val="3"/>
      <charset val="134"/>
    </font>
    <font>
      <b/>
      <sz val="10"/>
      <color rgb="FF0000FF"/>
      <name val="宋体"/>
      <family val="3"/>
      <charset val="134"/>
    </font>
    <font>
      <sz val="12"/>
      <name val="宋体"/>
      <family val="3"/>
      <charset val="134"/>
    </font>
    <font>
      <b/>
      <sz val="10"/>
      <color indexed="8"/>
      <name val="宋体"/>
      <family val="3"/>
      <charset val="134"/>
    </font>
    <font>
      <b/>
      <sz val="10"/>
      <color rgb="FFE92841"/>
      <name val="Arial Narrow"/>
      <family val="2"/>
    </font>
    <font>
      <i/>
      <u/>
      <sz val="10"/>
      <name val="Arial Narrow"/>
      <family val="2"/>
    </font>
    <font>
      <u/>
      <sz val="10"/>
      <name val="Arial Narrow"/>
      <family val="2"/>
    </font>
    <font>
      <sz val="10"/>
      <color indexed="12"/>
      <name val="仿宋_GB2312"/>
      <charset val="134"/>
    </font>
    <font>
      <sz val="14"/>
      <name val="Arial Narrow"/>
      <family val="2"/>
    </font>
    <font>
      <u/>
      <sz val="14"/>
      <color indexed="12"/>
      <name val="宋体"/>
      <family val="3"/>
      <charset val="134"/>
    </font>
    <font>
      <sz val="10"/>
      <name val="仿宋_GB2312"/>
      <charset val="134"/>
    </font>
    <font>
      <sz val="11"/>
      <color theme="1"/>
      <name val="Arial Narrow"/>
      <family val="2"/>
    </font>
    <font>
      <b/>
      <sz val="10"/>
      <color indexed="8"/>
      <name val="Arial Narrow"/>
      <family val="2"/>
    </font>
    <font>
      <i/>
      <u/>
      <sz val="10"/>
      <color indexed="12"/>
      <name val="Arial Narrow"/>
      <family val="2"/>
    </font>
    <font>
      <b/>
      <sz val="12"/>
      <color rgb="FF000000"/>
      <name val="Arial Narrow"/>
      <family val="2"/>
    </font>
    <font>
      <sz val="12"/>
      <color rgb="FF0000FF"/>
      <name val="Arial Narrow"/>
      <family val="2"/>
    </font>
    <font>
      <sz val="12"/>
      <color rgb="FF000000"/>
      <name val="Arial Narrow"/>
      <family val="2"/>
    </font>
    <font>
      <sz val="12"/>
      <color rgb="FFFF0000"/>
      <name val="Arial Narrow"/>
      <family val="2"/>
    </font>
    <font>
      <b/>
      <sz val="12"/>
      <color rgb="FF0000FF"/>
      <name val="Arial Narrow"/>
      <family val="2"/>
    </font>
    <font>
      <sz val="10"/>
      <color theme="1" tint="0.14993743705557422"/>
      <name val="宋体"/>
      <family val="3"/>
      <charset val="134"/>
    </font>
    <font>
      <sz val="10"/>
      <name val="Arial"/>
      <family val="2"/>
    </font>
    <font>
      <sz val="10"/>
      <color theme="1" tint="0.14993743705557422"/>
      <name val="Arial Narrow"/>
      <family val="2"/>
    </font>
    <font>
      <sz val="10"/>
      <color indexed="8"/>
      <name val="宋体"/>
      <family val="3"/>
      <charset val="134"/>
    </font>
    <font>
      <sz val="10"/>
      <color rgb="FF0000FF"/>
      <name val="Arial Narrow"/>
      <family val="2"/>
    </font>
    <font>
      <b/>
      <sz val="10"/>
      <color indexed="10"/>
      <name val="宋体"/>
      <family val="3"/>
      <charset val="134"/>
    </font>
    <font>
      <sz val="10.5"/>
      <name val="Arial Narrow"/>
      <family val="2"/>
    </font>
    <font>
      <u/>
      <sz val="12"/>
      <color rgb="FF800080"/>
      <name val="宋体"/>
      <family val="3"/>
      <charset val="134"/>
    </font>
    <font>
      <sz val="10"/>
      <name val="Times New Roman"/>
      <family val="1"/>
    </font>
    <font>
      <u val="singleAccounting"/>
      <vertAlign val="subscript"/>
      <sz val="10"/>
      <name val="Times New Roman"/>
      <family val="1"/>
    </font>
    <font>
      <i/>
      <sz val="9"/>
      <name val="Times New Roman"/>
      <family val="1"/>
    </font>
    <font>
      <sz val="7"/>
      <name val="Helv"/>
      <family val="2"/>
    </font>
    <font>
      <b/>
      <sz val="10"/>
      <name val="MS Sans Serif"/>
      <family val="1"/>
    </font>
    <font>
      <u/>
      <sz val="7.5"/>
      <color indexed="36"/>
      <name val="Arial"/>
      <family val="2"/>
    </font>
    <font>
      <sz val="8"/>
      <name val="Arial"/>
      <family val="2"/>
    </font>
    <font>
      <b/>
      <sz val="12"/>
      <name val="Arial"/>
      <family val="2"/>
    </font>
    <font>
      <u/>
      <sz val="7.5"/>
      <color indexed="12"/>
      <name val="Arial"/>
      <family val="2"/>
    </font>
    <font>
      <sz val="10"/>
      <name val="Courier"/>
      <family val="3"/>
    </font>
    <font>
      <sz val="7"/>
      <color indexed="10"/>
      <name val="Helv"/>
      <family val="2"/>
    </font>
    <font>
      <sz val="12"/>
      <name val="Times New Roman"/>
      <family val="1"/>
    </font>
    <font>
      <sz val="14"/>
      <name val="柧挬"/>
      <family val="2"/>
    </font>
    <font>
      <sz val="11"/>
      <color theme="1"/>
      <name val="宋体"/>
      <family val="3"/>
      <charset val="134"/>
      <scheme val="minor"/>
    </font>
    <font>
      <sz val="12"/>
      <name val="官帕眉"/>
      <family val="2"/>
    </font>
    <font>
      <sz val="12"/>
      <name val="楷体_GB2312"/>
      <charset val="134"/>
    </font>
    <font>
      <sz val="10"/>
      <name val="奔覆眉"/>
      <family val="2"/>
    </font>
    <font>
      <sz val="12"/>
      <name val="柧挬"/>
      <family val="2"/>
    </font>
    <font>
      <b/>
      <sz val="12"/>
      <color rgb="FF000000"/>
      <name val="宋体"/>
      <family val="3"/>
      <charset val="134"/>
    </font>
    <font>
      <sz val="12"/>
      <color rgb="FF0000FF"/>
      <name val="宋体"/>
      <family val="3"/>
      <charset val="134"/>
    </font>
    <font>
      <b/>
      <sz val="12"/>
      <color rgb="FF0000FF"/>
      <name val="宋体"/>
      <family val="3"/>
      <charset val="134"/>
    </font>
    <font>
      <sz val="12"/>
      <color rgb="FFFF0000"/>
      <name val="宋体"/>
      <family val="3"/>
      <charset val="134"/>
    </font>
    <font>
      <sz val="12"/>
      <color rgb="FF000000"/>
      <name val="宋体"/>
      <family val="3"/>
      <charset val="134"/>
    </font>
    <font>
      <b/>
      <sz val="10"/>
      <color rgb="FFFF0000"/>
      <name val="宋体"/>
      <family val="3"/>
      <charset val="134"/>
    </font>
    <font>
      <b/>
      <sz val="12"/>
      <color rgb="FFFF0000"/>
      <name val="宋体"/>
      <family val="3"/>
      <charset val="134"/>
    </font>
    <font>
      <b/>
      <sz val="9"/>
      <name val="宋体"/>
      <family val="3"/>
      <charset val="134"/>
    </font>
    <font>
      <sz val="9"/>
      <name val="宋体"/>
      <family val="3"/>
      <charset val="134"/>
    </font>
    <font>
      <sz val="10"/>
      <name val="宋体"/>
      <family val="3"/>
      <charset val="134"/>
    </font>
    <font>
      <sz val="9"/>
      <name val="宋体"/>
      <family val="2"/>
      <charset val="134"/>
      <scheme val="minor"/>
    </font>
    <font>
      <b/>
      <sz val="9"/>
      <color indexed="81"/>
      <name val="宋体"/>
      <family val="3"/>
      <charset val="134"/>
    </font>
    <font>
      <sz val="9"/>
      <color indexed="81"/>
      <name val="宋体"/>
      <family val="3"/>
      <charset val="134"/>
    </font>
  </fonts>
  <fills count="13">
    <fill>
      <patternFill patternType="none"/>
    </fill>
    <fill>
      <patternFill patternType="gray125"/>
    </fill>
    <fill>
      <patternFill patternType="solid">
        <fgColor theme="7" tint="0.79995117038483843"/>
        <bgColor indexed="64"/>
      </patternFill>
    </fill>
    <fill>
      <patternFill patternType="solid">
        <fgColor theme="7" tint="0.79995117038483843"/>
        <bgColor rgb="FFB7DEE8"/>
      </patternFill>
    </fill>
    <fill>
      <patternFill patternType="solid">
        <fgColor theme="7" tint="0.79992065187536243"/>
        <bgColor indexed="64"/>
      </patternFill>
    </fill>
    <fill>
      <patternFill patternType="solid">
        <fgColor rgb="FFE4DFEC"/>
        <bgColor indexed="64"/>
      </patternFill>
    </fill>
    <fill>
      <patternFill patternType="solid">
        <fgColor rgb="FFE5DFEC"/>
        <bgColor indexed="64"/>
      </patternFill>
    </fill>
    <fill>
      <patternFill patternType="solid">
        <fgColor theme="0" tint="-0.14993743705557422"/>
        <bgColor indexed="64"/>
      </patternFill>
    </fill>
    <fill>
      <patternFill patternType="solid">
        <fgColor rgb="FFD9D9D9"/>
        <bgColor indexed="64"/>
      </patternFill>
    </fill>
    <fill>
      <patternFill patternType="solid">
        <fgColor indexed="14"/>
        <bgColor indexed="64"/>
      </patternFill>
    </fill>
    <fill>
      <patternFill patternType="solid">
        <fgColor indexed="22"/>
        <bgColor indexed="64"/>
      </patternFill>
    </fill>
    <fill>
      <patternFill patternType="solid">
        <fgColor indexed="26"/>
        <bgColor indexed="64"/>
      </patternFill>
    </fill>
    <fill>
      <patternFill patternType="solid">
        <fgColor theme="7" tint="0.79998168889431442"/>
        <bgColor indexed="64"/>
      </patternFill>
    </fill>
  </fills>
  <borders count="38">
    <border>
      <left/>
      <right/>
      <top/>
      <bottom/>
      <diagonal/>
    </border>
    <border>
      <left/>
      <right/>
      <top/>
      <bottom style="hair">
        <color auto="1"/>
      </bottom>
      <diagonal/>
    </border>
    <border>
      <left style="hair">
        <color auto="1"/>
      </left>
      <right style="hair">
        <color auto="1"/>
      </right>
      <top style="hair">
        <color auto="1"/>
      </top>
      <bottom style="hair">
        <color auto="1"/>
      </bottom>
      <diagonal/>
    </border>
    <border>
      <left style="hair">
        <color auto="1"/>
      </left>
      <right/>
      <top style="hair">
        <color auto="1"/>
      </top>
      <bottom style="hair">
        <color auto="1"/>
      </bottom>
      <diagonal/>
    </border>
    <border>
      <left/>
      <right/>
      <top style="hair">
        <color auto="1"/>
      </top>
      <bottom style="hair">
        <color auto="1"/>
      </bottom>
      <diagonal/>
    </border>
    <border>
      <left style="hair">
        <color auto="1"/>
      </left>
      <right style="hair">
        <color auto="1"/>
      </right>
      <top style="hair">
        <color auto="1"/>
      </top>
      <bottom/>
      <diagonal/>
    </border>
    <border>
      <left style="hair">
        <color auto="1"/>
      </left>
      <right style="hair">
        <color auto="1"/>
      </right>
      <top/>
      <bottom style="hair">
        <color auto="1"/>
      </bottom>
      <diagonal/>
    </border>
    <border>
      <left/>
      <right/>
      <top style="hair">
        <color auto="1"/>
      </top>
      <bottom/>
      <diagonal/>
    </border>
    <border>
      <left/>
      <right style="hair">
        <color auto="1"/>
      </right>
      <top style="hair">
        <color auto="1"/>
      </top>
      <bottom/>
      <diagonal/>
    </border>
    <border>
      <left style="hair">
        <color auto="1"/>
      </left>
      <right/>
      <top/>
      <bottom style="hair">
        <color auto="1"/>
      </bottom>
      <diagonal/>
    </border>
    <border>
      <left/>
      <right style="hair">
        <color auto="1"/>
      </right>
      <top/>
      <bottom style="hair">
        <color auto="1"/>
      </bottom>
      <diagonal/>
    </border>
    <border>
      <left/>
      <right style="hair">
        <color auto="1"/>
      </right>
      <top style="hair">
        <color auto="1"/>
      </top>
      <bottom style="hair">
        <color auto="1"/>
      </bottom>
      <diagonal/>
    </border>
    <border>
      <left style="hair">
        <color auto="1"/>
      </left>
      <right style="hair">
        <color auto="1"/>
      </right>
      <top/>
      <bottom/>
      <diagonal/>
    </border>
    <border>
      <left style="medium">
        <color auto="1"/>
      </left>
      <right style="medium">
        <color auto="1"/>
      </right>
      <top style="medium">
        <color auto="1"/>
      </top>
      <bottom style="medium">
        <color auto="1"/>
      </bottom>
      <diagonal/>
    </border>
    <border>
      <left/>
      <right style="medium">
        <color auto="1"/>
      </right>
      <top style="medium">
        <color auto="1"/>
      </top>
      <bottom style="medium">
        <color auto="1"/>
      </bottom>
      <diagonal/>
    </border>
    <border>
      <left style="medium">
        <color auto="1"/>
      </left>
      <right/>
      <top style="medium">
        <color auto="1"/>
      </top>
      <bottom style="medium">
        <color auto="1"/>
      </bottom>
      <diagonal/>
    </border>
    <border>
      <left/>
      <right/>
      <top style="medium">
        <color auto="1"/>
      </top>
      <bottom style="medium">
        <color auto="1"/>
      </bottom>
      <diagonal/>
    </border>
    <border>
      <left style="medium">
        <color auto="1"/>
      </left>
      <right style="medium">
        <color auto="1"/>
      </right>
      <top style="medium">
        <color auto="1"/>
      </top>
      <bottom/>
      <diagonal/>
    </border>
    <border>
      <left style="medium">
        <color auto="1"/>
      </left>
      <right/>
      <top style="medium">
        <color auto="1"/>
      </top>
      <bottom/>
      <diagonal/>
    </border>
    <border>
      <left/>
      <right/>
      <top style="medium">
        <color auto="1"/>
      </top>
      <bottom/>
      <diagonal/>
    </border>
    <border>
      <left/>
      <right style="medium">
        <color auto="1"/>
      </right>
      <top style="medium">
        <color auto="1"/>
      </top>
      <bottom/>
      <diagonal/>
    </border>
    <border>
      <left style="medium">
        <color auto="1"/>
      </left>
      <right style="medium">
        <color auto="1"/>
      </right>
      <top/>
      <bottom/>
      <diagonal/>
    </border>
    <border>
      <left style="medium">
        <color auto="1"/>
      </left>
      <right style="medium">
        <color auto="1"/>
      </right>
      <top/>
      <bottom style="medium">
        <color auto="1"/>
      </bottom>
      <diagonal/>
    </border>
    <border>
      <left style="medium">
        <color auto="1"/>
      </left>
      <right/>
      <top/>
      <bottom style="medium">
        <color auto="1"/>
      </bottom>
      <diagonal/>
    </border>
    <border>
      <left/>
      <right/>
      <top/>
      <bottom style="medium">
        <color auto="1"/>
      </bottom>
      <diagonal/>
    </border>
    <border>
      <left/>
      <right style="medium">
        <color auto="1"/>
      </right>
      <top/>
      <bottom style="medium">
        <color auto="1"/>
      </bottom>
      <diagonal/>
    </border>
    <border>
      <left style="hair">
        <color auto="1"/>
      </left>
      <right/>
      <top style="hair">
        <color auto="1"/>
      </top>
      <bottom/>
      <diagonal/>
    </border>
    <border>
      <left style="hair">
        <color auto="1"/>
      </left>
      <right/>
      <top/>
      <bottom/>
      <diagonal/>
    </border>
    <border>
      <left/>
      <right style="hair">
        <color auto="1"/>
      </right>
      <top/>
      <bottom/>
      <diagonal/>
    </border>
    <border>
      <left style="hair">
        <color indexed="8"/>
      </left>
      <right style="hair">
        <color indexed="8"/>
      </right>
      <top style="hair">
        <color indexed="8"/>
      </top>
      <bottom/>
      <diagonal/>
    </border>
    <border>
      <left style="hair">
        <color indexed="8"/>
      </left>
      <right/>
      <top style="hair">
        <color indexed="8"/>
      </top>
      <bottom style="hair">
        <color indexed="8"/>
      </bottom>
      <diagonal/>
    </border>
    <border>
      <left/>
      <right/>
      <top style="hair">
        <color indexed="8"/>
      </top>
      <bottom style="hair">
        <color indexed="8"/>
      </bottom>
      <diagonal/>
    </border>
    <border>
      <left/>
      <right style="hair">
        <color indexed="8"/>
      </right>
      <top style="hair">
        <color indexed="8"/>
      </top>
      <bottom style="hair">
        <color indexed="8"/>
      </bottom>
      <diagonal/>
    </border>
    <border>
      <left style="hair">
        <color indexed="8"/>
      </left>
      <right style="hair">
        <color indexed="8"/>
      </right>
      <top/>
      <bottom style="hair">
        <color indexed="8"/>
      </bottom>
      <diagonal/>
    </border>
    <border>
      <left style="hair">
        <color indexed="8"/>
      </left>
      <right style="hair">
        <color indexed="8"/>
      </right>
      <top style="hair">
        <color indexed="8"/>
      </top>
      <bottom style="hair">
        <color indexed="8"/>
      </bottom>
      <diagonal/>
    </border>
    <border>
      <left style="thin">
        <color auto="1"/>
      </left>
      <right style="thin">
        <color auto="1"/>
      </right>
      <top style="thin">
        <color auto="1"/>
      </top>
      <bottom style="thin">
        <color auto="1"/>
      </bottom>
      <diagonal/>
    </border>
    <border>
      <left/>
      <right/>
      <top style="thin">
        <color auto="1"/>
      </top>
      <bottom/>
      <diagonal/>
    </border>
    <border>
      <left/>
      <right/>
      <top style="thin">
        <color auto="1"/>
      </top>
      <bottom style="thin">
        <color auto="1"/>
      </bottom>
      <diagonal/>
    </border>
  </borders>
  <cellStyleXfs count="79">
    <xf numFmtId="0" fontId="0" fillId="0" borderId="0">
      <protection locked="0"/>
    </xf>
    <xf numFmtId="43" fontId="35" fillId="0" borderId="0" applyFont="0" applyFill="0" applyBorder="0" applyAlignment="0" applyProtection="0"/>
    <xf numFmtId="9" fontId="35" fillId="0" borderId="0" applyFont="0" applyFill="0" applyBorder="0" applyAlignment="0" applyProtection="0"/>
    <xf numFmtId="0" fontId="15" fillId="0" borderId="0" applyNumberFormat="0" applyFill="0" applyBorder="0" applyAlignment="0" applyProtection="0">
      <alignment vertical="top"/>
      <protection locked="0"/>
    </xf>
    <xf numFmtId="49" fontId="60" fillId="0" borderId="0" applyProtection="0">
      <alignment horizontal="left"/>
    </xf>
    <xf numFmtId="176" fontId="60" fillId="0" borderId="0" applyFill="0" applyBorder="0" applyProtection="0">
      <alignment horizontal="right"/>
    </xf>
    <xf numFmtId="177" fontId="60" fillId="0" borderId="0" applyFill="0" applyBorder="0" applyProtection="0">
      <alignment horizontal="right"/>
    </xf>
    <xf numFmtId="178" fontId="61" fillId="0" borderId="0" applyFill="0" applyBorder="0" applyProtection="0">
      <alignment horizontal="center"/>
    </xf>
    <xf numFmtId="179" fontId="61" fillId="0" borderId="0" applyFill="0" applyBorder="0" applyProtection="0">
      <alignment horizontal="center"/>
    </xf>
    <xf numFmtId="180" fontId="62" fillId="0" borderId="0" applyFill="0" applyBorder="0" applyProtection="0">
      <alignment horizontal="right"/>
    </xf>
    <xf numFmtId="181" fontId="60" fillId="0" borderId="0" applyFill="0" applyBorder="0" applyProtection="0">
      <alignment horizontal="right"/>
    </xf>
    <xf numFmtId="182" fontId="60" fillId="0" borderId="0" applyFill="0" applyBorder="0" applyProtection="0">
      <alignment horizontal="right"/>
    </xf>
    <xf numFmtId="183" fontId="60" fillId="0" borderId="0" applyFill="0" applyBorder="0" applyProtection="0">
      <alignment horizontal="right"/>
    </xf>
    <xf numFmtId="184" fontId="60" fillId="0" borderId="0" applyFill="0" applyBorder="0" applyProtection="0">
      <alignment horizontal="right"/>
    </xf>
    <xf numFmtId="3" fontId="63" fillId="0" borderId="0"/>
    <xf numFmtId="185" fontId="64" fillId="0" borderId="36" applyAlignment="0" applyProtection="0"/>
    <xf numFmtId="186" fontId="53" fillId="0" borderId="0" applyFont="0" applyFill="0" applyBorder="0" applyAlignment="0" applyProtection="0"/>
    <xf numFmtId="187" fontId="53" fillId="0" borderId="0" applyFont="0" applyFill="0" applyBorder="0" applyAlignment="0" applyProtection="0"/>
    <xf numFmtId="188" fontId="53" fillId="0" borderId="0" applyFont="0" applyFill="0" applyBorder="0" applyAlignment="0" applyProtection="0"/>
    <xf numFmtId="189" fontId="53" fillId="0" borderId="0" applyFont="0" applyFill="0" applyBorder="0" applyAlignment="0" applyProtection="0"/>
    <xf numFmtId="41" fontId="53" fillId="0" borderId="0" applyFont="0" applyFill="0" applyBorder="0" applyAlignment="0" applyProtection="0"/>
    <xf numFmtId="43" fontId="53" fillId="0" borderId="0" applyFont="0" applyFill="0" applyBorder="0" applyAlignment="0" applyProtection="0"/>
    <xf numFmtId="190" fontId="60" fillId="0" borderId="0" applyFont="0" applyFill="0" applyBorder="0" applyAlignment="0" applyProtection="0"/>
    <xf numFmtId="0" fontId="65" fillId="0" borderId="0" applyNumberFormat="0" applyFill="0" applyBorder="0" applyAlignment="0" applyProtection="0">
      <alignment vertical="top"/>
      <protection locked="0"/>
    </xf>
    <xf numFmtId="38" fontId="66" fillId="10" borderId="0" applyNumberFormat="0" applyBorder="0" applyAlignment="0" applyProtection="0"/>
    <xf numFmtId="0" fontId="67" fillId="0" borderId="16" applyNumberFormat="0" applyAlignment="0" applyProtection="0">
      <alignment horizontal="left" vertical="center"/>
    </xf>
    <xf numFmtId="0" fontId="67" fillId="0" borderId="37">
      <alignment horizontal="left" vertical="center"/>
    </xf>
    <xf numFmtId="0" fontId="68" fillId="0" borderId="0" applyNumberFormat="0" applyFill="0" applyBorder="0" applyAlignment="0" applyProtection="0">
      <alignment vertical="top"/>
      <protection locked="0"/>
    </xf>
    <xf numFmtId="10" fontId="66" fillId="11" borderId="35" applyNumberFormat="0" applyBorder="0" applyAlignment="0" applyProtection="0"/>
    <xf numFmtId="191" fontId="35" fillId="0" borderId="0" applyFont="0" applyFill="0" applyBorder="0" applyAlignment="0" applyProtection="0"/>
    <xf numFmtId="192" fontId="35" fillId="0" borderId="0" applyFont="0" applyFill="0" applyBorder="0" applyAlignment="0" applyProtection="0"/>
    <xf numFmtId="0" fontId="69" fillId="0" borderId="0"/>
    <xf numFmtId="193" fontId="35" fillId="0" borderId="0"/>
    <xf numFmtId="0" fontId="53" fillId="0" borderId="0"/>
    <xf numFmtId="10" fontId="53" fillId="0" borderId="0" applyFont="0" applyFill="0" applyBorder="0" applyAlignment="0" applyProtection="0"/>
    <xf numFmtId="3" fontId="70" fillId="0" borderId="0"/>
    <xf numFmtId="41" fontId="60" fillId="0" borderId="0" applyFont="0" applyFill="0" applyBorder="0" applyAlignment="0" applyProtection="0"/>
    <xf numFmtId="0" fontId="3" fillId="0" borderId="0"/>
    <xf numFmtId="9" fontId="71" fillId="0" borderId="0" applyFont="0" applyFill="0" applyBorder="0" applyAlignment="0" applyProtection="0"/>
    <xf numFmtId="9" fontId="35" fillId="0" borderId="0" applyFont="0" applyFill="0" applyBorder="0" applyAlignment="0" applyProtection="0">
      <alignment vertical="center"/>
    </xf>
    <xf numFmtId="0" fontId="72" fillId="0" borderId="0" applyFont="0" applyFill="0" applyBorder="0" applyAlignment="0" applyProtection="0"/>
    <xf numFmtId="190" fontId="73" fillId="0" borderId="0">
      <alignment vertical="center"/>
    </xf>
    <xf numFmtId="0" fontId="35" fillId="0" borderId="0">
      <alignment vertical="center"/>
    </xf>
    <xf numFmtId="0" fontId="35" fillId="0" borderId="0"/>
    <xf numFmtId="0" fontId="73" fillId="0" borderId="0"/>
    <xf numFmtId="0" fontId="35" fillId="0" borderId="0">
      <protection locked="0"/>
    </xf>
    <xf numFmtId="190" fontId="35" fillId="0" borderId="0">
      <protection locked="0"/>
    </xf>
    <xf numFmtId="190" fontId="73" fillId="0" borderId="0">
      <alignment vertical="center"/>
    </xf>
    <xf numFmtId="0" fontId="35" fillId="0" borderId="0">
      <protection locked="0"/>
    </xf>
    <xf numFmtId="0" fontId="8" fillId="0" borderId="0"/>
    <xf numFmtId="0" fontId="35" fillId="0" borderId="0">
      <protection locked="0"/>
    </xf>
    <xf numFmtId="190" fontId="35" fillId="0" borderId="0"/>
    <xf numFmtId="0" fontId="73" fillId="0" borderId="0">
      <alignment vertical="center"/>
    </xf>
    <xf numFmtId="190" fontId="73" fillId="0" borderId="0">
      <alignment vertical="center"/>
    </xf>
    <xf numFmtId="0" fontId="35" fillId="0" borderId="0">
      <protection locked="0"/>
    </xf>
    <xf numFmtId="190" fontId="73" fillId="0" borderId="0">
      <alignment vertical="center"/>
    </xf>
    <xf numFmtId="0" fontId="35" fillId="0" borderId="0">
      <alignment vertical="center"/>
    </xf>
    <xf numFmtId="0" fontId="35" fillId="0" borderId="0">
      <alignment vertical="center"/>
    </xf>
    <xf numFmtId="190" fontId="35" fillId="0" borderId="0">
      <alignment vertical="center"/>
    </xf>
    <xf numFmtId="0" fontId="71" fillId="0" borderId="0"/>
    <xf numFmtId="0" fontId="60" fillId="0" borderId="0">
      <protection locked="0"/>
    </xf>
    <xf numFmtId="0" fontId="35" fillId="0" borderId="0"/>
    <xf numFmtId="0" fontId="35" fillId="0" borderId="0" applyFill="0" applyBorder="0"/>
    <xf numFmtId="0" fontId="35" fillId="0" borderId="0" applyFill="0" applyBorder="0"/>
    <xf numFmtId="0" fontId="15" fillId="0" borderId="0" applyNumberFormat="0" applyFill="0" applyBorder="0" applyAlignment="0" applyProtection="0">
      <alignment vertical="top"/>
      <protection locked="0"/>
    </xf>
    <xf numFmtId="191" fontId="53" fillId="0" borderId="0" applyFont="0" applyFill="0" applyBorder="0" applyAlignment="0" applyProtection="0"/>
    <xf numFmtId="194" fontId="53" fillId="0" borderId="0" applyFont="0" applyFill="0" applyBorder="0" applyAlignment="0" applyProtection="0"/>
    <xf numFmtId="195" fontId="74" fillId="0" borderId="0" applyFont="0" applyFill="0" applyBorder="0" applyAlignment="0" applyProtection="0"/>
    <xf numFmtId="196" fontId="74" fillId="0" borderId="0" applyFont="0" applyFill="0" applyBorder="0" applyAlignment="0" applyProtection="0"/>
    <xf numFmtId="41" fontId="75" fillId="0" borderId="0" applyFont="0" applyFill="0" applyBorder="0" applyAlignment="0" applyProtection="0"/>
    <xf numFmtId="43" fontId="75" fillId="0" borderId="0" applyFont="0" applyFill="0" applyBorder="0" applyAlignment="0" applyProtection="0"/>
    <xf numFmtId="43" fontId="35" fillId="0" borderId="0" applyFont="0" applyFill="0" applyBorder="0" applyAlignment="0" applyProtection="0">
      <alignment vertical="center"/>
    </xf>
    <xf numFmtId="43" fontId="35" fillId="0" borderId="0" applyFont="0" applyFill="0" applyBorder="0" applyAlignment="0" applyProtection="0"/>
    <xf numFmtId="43" fontId="35" fillId="0" borderId="0" applyFont="0" applyFill="0" applyBorder="0" applyAlignment="0" applyProtection="0">
      <alignment vertical="center"/>
    </xf>
    <xf numFmtId="0" fontId="76" fillId="0" borderId="0"/>
    <xf numFmtId="0" fontId="77" fillId="0" borderId="0"/>
    <xf numFmtId="40" fontId="72" fillId="0" borderId="0" applyFont="0" applyFill="0" applyBorder="0" applyAlignment="0" applyProtection="0"/>
    <xf numFmtId="38" fontId="72" fillId="0" borderId="0" applyFont="0" applyFill="0" applyBorder="0" applyAlignment="0" applyProtection="0"/>
    <xf numFmtId="190" fontId="1" fillId="0" borderId="0">
      <alignment vertical="center"/>
    </xf>
  </cellStyleXfs>
  <cellXfs count="557">
    <xf numFmtId="0" fontId="0" fillId="0" borderId="0" xfId="0">
      <protection locked="0"/>
    </xf>
    <xf numFmtId="0" fontId="2" fillId="0" borderId="0" xfId="0" applyFont="1" applyAlignment="1">
      <alignment vertical="center"/>
      <protection locked="0"/>
    </xf>
    <xf numFmtId="0" fontId="3" fillId="0" borderId="0" xfId="0" applyFont="1" applyAlignment="1">
      <alignment vertical="center"/>
      <protection locked="0"/>
    </xf>
    <xf numFmtId="0" fontId="3" fillId="0" borderId="0" xfId="61" applyFont="1" applyAlignment="1" applyProtection="1">
      <alignment vertical="center"/>
      <protection locked="0"/>
    </xf>
    <xf numFmtId="0" fontId="4" fillId="0" borderId="0" xfId="0" applyFont="1" applyAlignment="1">
      <alignment vertical="center"/>
      <protection locked="0"/>
    </xf>
    <xf numFmtId="0" fontId="5" fillId="0" borderId="0" xfId="0" applyFont="1" applyAlignment="1">
      <alignment vertical="center"/>
      <protection locked="0"/>
    </xf>
    <xf numFmtId="0" fontId="3" fillId="0" borderId="0" xfId="0" applyFont="1" applyAlignment="1">
      <alignment horizontal="left" vertical="center"/>
      <protection locked="0"/>
    </xf>
    <xf numFmtId="14" fontId="3" fillId="0" borderId="0" xfId="0" applyNumberFormat="1" applyFont="1" applyAlignment="1">
      <alignment horizontal="left" vertical="center"/>
      <protection locked="0"/>
    </xf>
    <xf numFmtId="43" fontId="3" fillId="0" borderId="0" xfId="0" applyNumberFormat="1" applyFont="1" applyAlignment="1">
      <alignment horizontal="left" vertical="center"/>
      <protection locked="0"/>
    </xf>
    <xf numFmtId="0" fontId="4" fillId="0" borderId="0" xfId="61" applyFont="1" applyAlignment="1">
      <alignment horizontal="left" vertical="center"/>
    </xf>
    <xf numFmtId="0" fontId="8" fillId="0" borderId="0" xfId="61" applyFont="1" applyAlignment="1">
      <alignment horizontal="left" vertical="center" wrapText="1"/>
    </xf>
    <xf numFmtId="0" fontId="8" fillId="0" borderId="0" xfId="61" applyFont="1" applyAlignment="1">
      <alignment vertical="center"/>
    </xf>
    <xf numFmtId="0" fontId="9" fillId="0" borderId="0" xfId="43" applyFont="1" applyAlignment="1">
      <alignment horizontal="center"/>
    </xf>
    <xf numFmtId="0" fontId="3" fillId="0" borderId="0" xfId="61" applyFont="1" applyAlignment="1">
      <alignment horizontal="left" vertical="center" wrapText="1"/>
    </xf>
    <xf numFmtId="0" fontId="4" fillId="0" borderId="0" xfId="61" applyFont="1" applyAlignment="1">
      <alignment horizontal="left" vertical="center" wrapText="1"/>
    </xf>
    <xf numFmtId="14" fontId="10" fillId="0" borderId="0" xfId="0" applyNumberFormat="1" applyFont="1" applyBorder="1" applyAlignment="1">
      <alignment horizontal="left" vertical="center"/>
      <protection locked="0"/>
    </xf>
    <xf numFmtId="0" fontId="3" fillId="0" borderId="0" xfId="0" applyFont="1" applyBorder="1" applyAlignment="1">
      <alignment horizontal="left" vertical="center"/>
      <protection locked="0"/>
    </xf>
    <xf numFmtId="0" fontId="3" fillId="0" borderId="0" xfId="0" applyFont="1" applyBorder="1" applyAlignment="1">
      <alignment vertical="center" wrapText="1"/>
      <protection locked="0"/>
    </xf>
    <xf numFmtId="43" fontId="3" fillId="0" borderId="0" xfId="1" applyFont="1" applyBorder="1" applyAlignment="1" applyProtection="1">
      <alignment horizontal="left" vertical="center"/>
      <protection locked="0"/>
    </xf>
    <xf numFmtId="0" fontId="3" fillId="0" borderId="0" xfId="0" applyFont="1" applyBorder="1" applyAlignment="1">
      <alignment horizontal="center" vertical="center"/>
      <protection locked="0"/>
    </xf>
    <xf numFmtId="0" fontId="11" fillId="0" borderId="0" xfId="0" applyFont="1" applyFill="1" applyBorder="1" applyAlignment="1">
      <alignment horizontal="left" vertical="center"/>
      <protection locked="0"/>
    </xf>
    <xf numFmtId="0" fontId="3" fillId="0" borderId="1" xfId="61" applyFont="1" applyBorder="1" applyAlignment="1" applyProtection="1">
      <alignment vertical="center"/>
      <protection locked="0"/>
    </xf>
    <xf numFmtId="0" fontId="12" fillId="0" borderId="1" xfId="61" applyFont="1" applyBorder="1" applyAlignment="1" applyProtection="1">
      <alignment horizontal="center" vertical="center"/>
      <protection hidden="1"/>
    </xf>
    <xf numFmtId="0" fontId="8" fillId="0" borderId="0" xfId="0" applyFont="1" applyAlignment="1">
      <alignment vertical="center"/>
      <protection locked="0"/>
    </xf>
    <xf numFmtId="0" fontId="13" fillId="2" borderId="2" xfId="44" applyFont="1" applyFill="1" applyBorder="1" applyAlignment="1" applyProtection="1">
      <alignment horizontal="center" vertical="center"/>
      <protection locked="0"/>
    </xf>
    <xf numFmtId="0" fontId="13" fillId="2" borderId="2" xfId="44" applyFont="1" applyFill="1" applyBorder="1" applyAlignment="1" applyProtection="1">
      <alignment horizontal="center" vertical="center" wrapText="1"/>
      <protection locked="0"/>
    </xf>
    <xf numFmtId="14" fontId="3" fillId="0" borderId="2" xfId="46" applyNumberFormat="1" applyFont="1" applyBorder="1" applyAlignment="1">
      <alignment horizontal="center" vertical="center"/>
      <protection locked="0"/>
    </xf>
    <xf numFmtId="49" fontId="3" fillId="0" borderId="2" xfId="46" applyNumberFormat="1" applyFont="1" applyBorder="1" applyAlignment="1">
      <alignment horizontal="center" vertical="center"/>
      <protection locked="0"/>
    </xf>
    <xf numFmtId="190" fontId="8" fillId="0" borderId="2" xfId="46" applyFont="1" applyBorder="1" applyAlignment="1">
      <alignment vertical="center"/>
      <protection locked="0"/>
    </xf>
    <xf numFmtId="43" fontId="3" fillId="0" borderId="2" xfId="73" applyFont="1" applyBorder="1" applyAlignment="1" applyProtection="1">
      <alignment vertical="center"/>
      <protection locked="0"/>
    </xf>
    <xf numFmtId="49" fontId="14" fillId="0" borderId="2" xfId="46" applyNumberFormat="1" applyFont="1" applyBorder="1" applyAlignment="1">
      <alignment horizontal="left" vertical="center"/>
      <protection locked="0"/>
    </xf>
    <xf numFmtId="49" fontId="8" fillId="0" borderId="2" xfId="46" applyNumberFormat="1" applyFont="1" applyBorder="1" applyAlignment="1">
      <alignment horizontal="center" vertical="center"/>
      <protection locked="0"/>
    </xf>
    <xf numFmtId="0" fontId="10" fillId="0" borderId="0" xfId="61" applyFont="1" applyBorder="1" applyAlignment="1">
      <alignment vertical="center"/>
    </xf>
    <xf numFmtId="0" fontId="3" fillId="0" borderId="0" xfId="0" applyFont="1" applyBorder="1" applyAlignment="1">
      <alignment vertical="center"/>
      <protection locked="0"/>
    </xf>
    <xf numFmtId="0" fontId="10" fillId="0" borderId="0" xfId="0" applyFont="1" applyAlignment="1">
      <alignment vertical="center"/>
      <protection locked="0"/>
    </xf>
    <xf numFmtId="0" fontId="3" fillId="0" borderId="0" xfId="0" applyFont="1" applyAlignment="1">
      <alignment horizontal="center" vertical="center"/>
      <protection locked="0"/>
    </xf>
    <xf numFmtId="190" fontId="15" fillId="0" borderId="0" xfId="3" applyNumberFormat="1" applyFill="1" applyAlignment="1" applyProtection="1">
      <alignment vertical="center"/>
    </xf>
    <xf numFmtId="14" fontId="8" fillId="0" borderId="0" xfId="0" applyNumberFormat="1" applyFont="1" applyAlignment="1">
      <alignment horizontal="left" vertical="center"/>
      <protection locked="0"/>
    </xf>
    <xf numFmtId="0" fontId="4" fillId="0" borderId="0" xfId="61" applyFont="1" applyAlignment="1">
      <alignment vertical="center" wrapText="1"/>
    </xf>
    <xf numFmtId="0" fontId="4" fillId="2" borderId="2" xfId="0" applyFont="1" applyFill="1" applyBorder="1" applyAlignment="1" applyProtection="1">
      <alignment horizontal="center" vertical="center"/>
      <protection locked="0"/>
    </xf>
    <xf numFmtId="0" fontId="3" fillId="0" borderId="2" xfId="0" applyFont="1" applyBorder="1" applyAlignment="1" applyProtection="1">
      <alignment horizontal="center" vertical="center"/>
      <protection locked="0"/>
    </xf>
    <xf numFmtId="0" fontId="3" fillId="0" borderId="2" xfId="73" applyNumberFormat="1" applyFont="1" applyBorder="1" applyAlignment="1" applyProtection="1">
      <alignment horizontal="center" vertical="center"/>
      <protection locked="0"/>
    </xf>
    <xf numFmtId="49" fontId="3" fillId="0" borderId="2" xfId="46" applyNumberFormat="1" applyFont="1" applyBorder="1" applyAlignment="1">
      <alignment vertical="center"/>
      <protection locked="0"/>
    </xf>
    <xf numFmtId="0" fontId="4" fillId="0" borderId="0" xfId="0" applyFont="1" applyAlignment="1">
      <alignment horizontal="left" vertical="center"/>
      <protection locked="0"/>
    </xf>
    <xf numFmtId="0" fontId="5" fillId="0" borderId="0" xfId="57" applyFont="1">
      <alignment vertical="center"/>
    </xf>
    <xf numFmtId="0" fontId="5" fillId="0" borderId="0" xfId="0" applyFont="1">
      <protection locked="0"/>
    </xf>
    <xf numFmtId="0" fontId="16" fillId="0" borderId="0" xfId="42" applyFont="1" applyAlignment="1">
      <alignment vertical="center"/>
    </xf>
    <xf numFmtId="0" fontId="16" fillId="0" borderId="0" xfId="42" applyFont="1">
      <alignment vertical="center"/>
    </xf>
    <xf numFmtId="0" fontId="17" fillId="0" borderId="0" xfId="57" applyFont="1" applyAlignment="1">
      <alignment horizontal="center" vertical="center"/>
    </xf>
    <xf numFmtId="43" fontId="8" fillId="0" borderId="0" xfId="0" applyNumberFormat="1" applyFont="1" applyAlignment="1">
      <alignment horizontal="left" vertical="center"/>
      <protection locked="0"/>
    </xf>
    <xf numFmtId="43" fontId="4" fillId="0" borderId="0" xfId="1" applyFont="1" applyBorder="1" applyAlignment="1" applyProtection="1">
      <alignment vertical="center"/>
      <protection locked="0"/>
    </xf>
    <xf numFmtId="0" fontId="8" fillId="0" borderId="0" xfId="61" applyFont="1" applyAlignment="1">
      <alignment horizontal="left" vertical="center"/>
    </xf>
    <xf numFmtId="43" fontId="8" fillId="0" borderId="0" xfId="1" applyFont="1" applyAlignment="1" applyProtection="1">
      <alignment vertical="center" wrapText="1"/>
      <protection locked="0"/>
    </xf>
    <xf numFmtId="0" fontId="18" fillId="4" borderId="1" xfId="42" applyFont="1" applyFill="1" applyBorder="1" applyAlignment="1">
      <alignment horizontal="center" vertical="center" wrapText="1"/>
    </xf>
    <xf numFmtId="0" fontId="18" fillId="4" borderId="2" xfId="42" applyFont="1" applyFill="1" applyBorder="1" applyAlignment="1">
      <alignment horizontal="center" vertical="center" wrapText="1"/>
    </xf>
    <xf numFmtId="0" fontId="16" fillId="0" borderId="2" xfId="42" applyFont="1" applyBorder="1" applyAlignment="1">
      <alignment vertical="center"/>
    </xf>
    <xf numFmtId="14" fontId="3" fillId="4" borderId="2" xfId="42" applyNumberFormat="1" applyFont="1" applyFill="1" applyBorder="1">
      <alignment vertical="center"/>
    </xf>
    <xf numFmtId="0" fontId="19" fillId="4" borderId="2" xfId="42" applyFont="1" applyFill="1" applyBorder="1">
      <alignment vertical="center"/>
    </xf>
    <xf numFmtId="43" fontId="3" fillId="5" borderId="2" xfId="1" applyFont="1" applyFill="1" applyBorder="1" applyAlignment="1" applyProtection="1">
      <alignment vertical="center"/>
      <protection locked="0"/>
    </xf>
    <xf numFmtId="0" fontId="16" fillId="0" borderId="2" xfId="42" applyFont="1" applyBorder="1">
      <alignment vertical="center"/>
    </xf>
    <xf numFmtId="0" fontId="19" fillId="0" borderId="0" xfId="42" applyFont="1" applyAlignment="1">
      <alignment horizontal="left" vertical="center"/>
    </xf>
    <xf numFmtId="0" fontId="19" fillId="0" borderId="0" xfId="42" applyFont="1">
      <alignment vertical="center"/>
    </xf>
    <xf numFmtId="197" fontId="19" fillId="0" borderId="0" xfId="42" applyNumberFormat="1" applyFont="1" applyAlignment="1">
      <alignment horizontal="center" vertical="center"/>
    </xf>
    <xf numFmtId="43" fontId="19" fillId="4" borderId="2" xfId="1" applyFont="1" applyFill="1" applyBorder="1" applyAlignment="1">
      <alignment vertical="center"/>
    </xf>
    <xf numFmtId="0" fontId="20" fillId="0" borderId="2" xfId="44" applyFont="1" applyBorder="1" applyAlignment="1">
      <alignment horizontal="center" vertical="center"/>
    </xf>
    <xf numFmtId="14" fontId="3" fillId="0" borderId="2" xfId="42" applyNumberFormat="1" applyFont="1" applyFill="1" applyBorder="1">
      <alignment vertical="center"/>
    </xf>
    <xf numFmtId="0" fontId="18" fillId="0" borderId="0" xfId="42" applyFont="1" applyAlignment="1">
      <alignment horizontal="left" vertical="center"/>
    </xf>
    <xf numFmtId="0" fontId="13" fillId="4" borderId="6" xfId="0" applyFont="1" applyFill="1" applyBorder="1" applyAlignment="1">
      <alignment horizontal="center" vertical="center" wrapText="1"/>
      <protection locked="0"/>
    </xf>
    <xf numFmtId="0" fontId="13" fillId="4" borderId="2" xfId="0" applyFont="1" applyFill="1" applyBorder="1" applyAlignment="1">
      <alignment horizontal="center" vertical="center" wrapText="1"/>
      <protection locked="0"/>
    </xf>
    <xf numFmtId="0" fontId="19" fillId="0" borderId="2" xfId="42" applyFont="1" applyFill="1" applyBorder="1">
      <alignment vertical="center"/>
    </xf>
    <xf numFmtId="43" fontId="3" fillId="4" borderId="2" xfId="42" applyNumberFormat="1" applyFont="1" applyFill="1" applyBorder="1">
      <alignment vertical="center"/>
    </xf>
    <xf numFmtId="43" fontId="3" fillId="0" borderId="2" xfId="1" applyFont="1" applyFill="1" applyBorder="1" applyAlignment="1">
      <alignment horizontal="right" vertical="center" wrapText="1"/>
    </xf>
    <xf numFmtId="43" fontId="13" fillId="0" borderId="0" xfId="1" applyFont="1" applyFill="1" applyAlignment="1">
      <alignment vertical="center"/>
    </xf>
    <xf numFmtId="198" fontId="19" fillId="0" borderId="0" xfId="42" applyNumberFormat="1" applyFont="1" applyAlignment="1">
      <alignment horizontal="center" vertical="center"/>
    </xf>
    <xf numFmtId="0" fontId="8" fillId="0" borderId="0" xfId="0" applyFont="1" applyAlignment="1">
      <alignment horizontal="right" vertical="center"/>
      <protection locked="0"/>
    </xf>
    <xf numFmtId="190" fontId="21" fillId="0" borderId="0" xfId="3" applyNumberFormat="1" applyFont="1" applyAlignment="1" applyProtection="1">
      <alignment vertical="center" wrapText="1"/>
      <protection locked="0"/>
    </xf>
    <xf numFmtId="190" fontId="15" fillId="0" borderId="0" xfId="3" applyNumberFormat="1" applyFont="1" applyFill="1" applyAlignment="1" applyProtection="1">
      <alignment vertical="center"/>
    </xf>
    <xf numFmtId="43" fontId="16" fillId="0" borderId="0" xfId="42" applyNumberFormat="1" applyFont="1">
      <alignment vertical="center"/>
    </xf>
    <xf numFmtId="43" fontId="3" fillId="5" borderId="2" xfId="1" applyFont="1" applyFill="1" applyBorder="1" applyAlignment="1">
      <alignment horizontal="center" vertical="center"/>
    </xf>
    <xf numFmtId="14" fontId="3" fillId="0" borderId="0" xfId="0" applyNumberFormat="1" applyFont="1" applyFill="1" applyBorder="1" applyAlignment="1">
      <alignment horizontal="left" vertical="center"/>
      <protection locked="0"/>
    </xf>
    <xf numFmtId="43" fontId="3" fillId="0" borderId="0" xfId="1" applyFont="1" applyFill="1" applyBorder="1" applyAlignment="1" applyProtection="1">
      <alignment horizontal="left" vertical="center"/>
      <protection locked="0"/>
    </xf>
    <xf numFmtId="0" fontId="3" fillId="0" borderId="0" xfId="0" applyFont="1" applyFill="1" applyBorder="1" applyAlignment="1">
      <alignment horizontal="center" vertical="center"/>
      <protection locked="0"/>
    </xf>
    <xf numFmtId="0" fontId="3" fillId="0" borderId="0" xfId="0" applyFont="1" applyFill="1" applyBorder="1" applyAlignment="1">
      <alignment horizontal="left" vertical="center"/>
      <protection locked="0"/>
    </xf>
    <xf numFmtId="43" fontId="16" fillId="0" borderId="0" xfId="1" applyFont="1" applyAlignment="1">
      <alignment vertical="center"/>
    </xf>
    <xf numFmtId="0" fontId="3" fillId="0" borderId="0" xfId="0" applyFont="1" applyFill="1" applyBorder="1" applyAlignment="1">
      <alignment vertical="center" wrapText="1"/>
      <protection locked="0"/>
    </xf>
    <xf numFmtId="43" fontId="8" fillId="0" borderId="0" xfId="0" applyNumberFormat="1" applyFont="1" applyAlignment="1">
      <alignment vertical="center"/>
      <protection locked="0"/>
    </xf>
    <xf numFmtId="14" fontId="19" fillId="4" borderId="2" xfId="42" applyNumberFormat="1" applyFont="1" applyFill="1" applyBorder="1">
      <alignment vertical="center"/>
    </xf>
    <xf numFmtId="0" fontId="18" fillId="0" borderId="11" xfId="42" applyFont="1" applyFill="1" applyBorder="1" applyAlignment="1">
      <alignment horizontal="right" vertical="center" wrapText="1"/>
    </xf>
    <xf numFmtId="43" fontId="3" fillId="0" borderId="2" xfId="1" applyFont="1" applyBorder="1" applyAlignment="1">
      <alignment horizontal="right" vertical="center" wrapText="1"/>
    </xf>
    <xf numFmtId="0" fontId="13" fillId="0" borderId="0" xfId="57" applyFont="1" applyAlignment="1">
      <alignment horizontal="center" vertical="center"/>
    </xf>
    <xf numFmtId="43" fontId="8" fillId="0" borderId="0" xfId="1" applyFont="1" applyAlignment="1" applyProtection="1">
      <alignment horizontal="left" vertical="center" wrapText="1"/>
      <protection locked="0"/>
    </xf>
    <xf numFmtId="0" fontId="16" fillId="0" borderId="0" xfId="42" applyFont="1" applyAlignment="1">
      <alignment horizontal="center" vertical="center"/>
    </xf>
    <xf numFmtId="0" fontId="4" fillId="5" borderId="2" xfId="1" applyNumberFormat="1" applyFont="1" applyFill="1" applyBorder="1" applyAlignment="1">
      <alignment horizontal="center" vertical="center" wrapText="1"/>
    </xf>
    <xf numFmtId="14" fontId="3" fillId="5" borderId="2" xfId="1" applyNumberFormat="1" applyFont="1" applyFill="1" applyBorder="1" applyAlignment="1" applyProtection="1">
      <alignment vertical="center"/>
      <protection locked="0"/>
    </xf>
    <xf numFmtId="0" fontId="18" fillId="4" borderId="2" xfId="42" applyFont="1" applyFill="1" applyBorder="1" applyAlignment="1">
      <alignment horizontal="center" vertical="center"/>
    </xf>
    <xf numFmtId="0" fontId="19" fillId="0" borderId="2" xfId="42" applyFont="1" applyFill="1" applyBorder="1" applyAlignment="1">
      <alignment horizontal="left" vertical="center"/>
    </xf>
    <xf numFmtId="0" fontId="19" fillId="4" borderId="2" xfId="42" applyFont="1" applyFill="1" applyBorder="1" applyAlignment="1">
      <alignment horizontal="center" vertical="center"/>
    </xf>
    <xf numFmtId="10" fontId="3" fillId="5" borderId="11" xfId="2" applyNumberFormat="1" applyFont="1" applyFill="1" applyBorder="1" applyAlignment="1">
      <alignment horizontal="center" vertical="center"/>
    </xf>
    <xf numFmtId="14" fontId="18" fillId="0" borderId="10" xfId="42" applyNumberFormat="1" applyFont="1" applyFill="1" applyBorder="1" applyAlignment="1">
      <alignment horizontal="left" vertical="center" wrapText="1"/>
    </xf>
    <xf numFmtId="14" fontId="19" fillId="0" borderId="2" xfId="42" applyNumberFormat="1" applyFont="1" applyFill="1" applyBorder="1" applyAlignment="1">
      <alignment horizontal="left" vertical="center"/>
    </xf>
    <xf numFmtId="0" fontId="19" fillId="5" borderId="2" xfId="42" applyFont="1" applyFill="1" applyBorder="1">
      <alignment vertical="center"/>
    </xf>
    <xf numFmtId="0" fontId="22" fillId="0" borderId="0" xfId="42" applyFont="1" applyAlignment="1">
      <alignment horizontal="left" vertical="center"/>
    </xf>
    <xf numFmtId="0" fontId="4" fillId="4" borderId="2" xfId="0" applyFont="1" applyFill="1" applyBorder="1" applyAlignment="1">
      <alignment horizontal="center" vertical="center" wrapText="1"/>
      <protection locked="0"/>
    </xf>
    <xf numFmtId="14" fontId="3" fillId="5" borderId="2" xfId="1" applyNumberFormat="1" applyFont="1" applyFill="1" applyBorder="1" applyAlignment="1" applyProtection="1">
      <alignment horizontal="center" vertical="center"/>
      <protection locked="0"/>
    </xf>
    <xf numFmtId="0" fontId="23" fillId="0" borderId="0" xfId="0" applyFont="1" applyFill="1" applyBorder="1" applyAlignment="1">
      <alignment horizontal="left" vertical="center"/>
      <protection locked="0"/>
    </xf>
    <xf numFmtId="0" fontId="4" fillId="0" borderId="2" xfId="0" applyFont="1" applyFill="1" applyBorder="1" applyAlignment="1">
      <alignment horizontal="center" vertical="center"/>
      <protection locked="0"/>
    </xf>
    <xf numFmtId="0" fontId="3" fillId="0" borderId="2" xfId="0" applyFont="1" applyFill="1" applyBorder="1" applyAlignment="1">
      <alignment horizontal="left" vertical="center"/>
      <protection locked="0"/>
    </xf>
    <xf numFmtId="0" fontId="19" fillId="0" borderId="0" xfId="42" applyFont="1" applyAlignment="1">
      <alignment horizontal="center" vertical="center"/>
    </xf>
    <xf numFmtId="14" fontId="3" fillId="0" borderId="0" xfId="0" applyNumberFormat="1" applyFont="1" applyFill="1" applyBorder="1" applyAlignment="1">
      <alignment horizontal="center" vertical="center"/>
      <protection locked="0"/>
    </xf>
    <xf numFmtId="43" fontId="8" fillId="0" borderId="2" xfId="45" applyNumberFormat="1" applyFont="1" applyFill="1" applyBorder="1" applyAlignment="1">
      <alignment horizontal="left" vertical="center" wrapText="1"/>
      <protection locked="0"/>
    </xf>
    <xf numFmtId="0" fontId="3" fillId="0" borderId="0" xfId="0" applyFont="1" applyFill="1" applyBorder="1" applyAlignment="1">
      <alignment horizontal="center" vertical="center" wrapText="1"/>
      <protection locked="0"/>
    </xf>
    <xf numFmtId="43" fontId="3" fillId="0" borderId="0" xfId="1" applyFont="1" applyFill="1" applyBorder="1" applyAlignment="1" applyProtection="1">
      <alignment horizontal="center" vertical="center"/>
      <protection locked="0"/>
    </xf>
    <xf numFmtId="0" fontId="13" fillId="0" borderId="2" xfId="0" applyFont="1" applyFill="1" applyBorder="1" applyAlignment="1">
      <alignment horizontal="center" vertical="center"/>
      <protection locked="0"/>
    </xf>
    <xf numFmtId="0" fontId="3" fillId="0" borderId="0" xfId="0" applyFont="1">
      <protection locked="0"/>
    </xf>
    <xf numFmtId="10" fontId="3" fillId="5" borderId="11" xfId="2" applyNumberFormat="1" applyFont="1" applyFill="1" applyBorder="1" applyAlignment="1">
      <alignment horizontal="right" vertical="center"/>
    </xf>
    <xf numFmtId="0" fontId="18" fillId="0" borderId="11" xfId="42" applyFont="1" applyFill="1" applyBorder="1" applyAlignment="1">
      <alignment horizontal="left" vertical="center" wrapText="1"/>
    </xf>
    <xf numFmtId="190" fontId="24" fillId="0" borderId="0" xfId="3" applyNumberFormat="1" applyFont="1" applyFill="1" applyAlignment="1" applyProtection="1">
      <alignment vertical="center"/>
    </xf>
    <xf numFmtId="43" fontId="19" fillId="0" borderId="0" xfId="42" applyNumberFormat="1" applyFont="1">
      <alignment vertical="center"/>
    </xf>
    <xf numFmtId="0" fontId="3" fillId="0" borderId="0" xfId="57" applyFont="1">
      <alignment vertical="center"/>
    </xf>
    <xf numFmtId="0" fontId="19" fillId="0" borderId="0" xfId="42" applyFont="1" applyAlignment="1">
      <alignment vertical="center"/>
    </xf>
    <xf numFmtId="0" fontId="3" fillId="0" borderId="0" xfId="45" applyFont="1" applyAlignment="1">
      <alignment vertical="center"/>
      <protection locked="0"/>
    </xf>
    <xf numFmtId="0" fontId="3" fillId="0" borderId="0" xfId="45" applyFont="1">
      <protection locked="0"/>
    </xf>
    <xf numFmtId="0" fontId="3" fillId="0" borderId="0" xfId="45" applyFont="1" applyFill="1">
      <protection locked="0"/>
    </xf>
    <xf numFmtId="0" fontId="8" fillId="0" borderId="0" xfId="60" applyFont="1">
      <protection locked="0"/>
    </xf>
    <xf numFmtId="0" fontId="25" fillId="0" borderId="0" xfId="45" applyFont="1">
      <protection locked="0"/>
    </xf>
    <xf numFmtId="0" fontId="12" fillId="0" borderId="0" xfId="45" applyFont="1">
      <protection locked="0"/>
    </xf>
    <xf numFmtId="0" fontId="5" fillId="0" borderId="0" xfId="45" applyFont="1">
      <protection locked="0"/>
    </xf>
    <xf numFmtId="0" fontId="4" fillId="0" borderId="0" xfId="57" applyFont="1">
      <alignment vertical="center"/>
    </xf>
    <xf numFmtId="43" fontId="3" fillId="0" borderId="0" xfId="62" applyNumberFormat="1" applyFont="1" applyBorder="1" applyAlignment="1">
      <alignment horizontal="left" vertical="center"/>
    </xf>
    <xf numFmtId="14" fontId="3" fillId="0" borderId="0" xfId="45" applyNumberFormat="1" applyFont="1" applyAlignment="1">
      <alignment vertical="center"/>
      <protection locked="0"/>
    </xf>
    <xf numFmtId="0" fontId="3" fillId="0" borderId="0" xfId="45" applyFont="1" applyAlignment="1">
      <alignment horizontal="left" vertical="center"/>
      <protection locked="0"/>
    </xf>
    <xf numFmtId="0" fontId="13" fillId="0" borderId="0" xfId="45" applyFont="1" applyAlignment="1">
      <alignment vertical="center"/>
      <protection locked="0"/>
    </xf>
    <xf numFmtId="0" fontId="8" fillId="0" borderId="0" xfId="45" applyFont="1" applyAlignment="1">
      <alignment horizontal="left" vertical="center" wrapText="1"/>
      <protection locked="0"/>
    </xf>
    <xf numFmtId="0" fontId="8" fillId="0" borderId="0" xfId="45" applyFont="1" applyAlignment="1">
      <alignment horizontal="left" vertical="center"/>
      <protection locked="0"/>
    </xf>
    <xf numFmtId="0" fontId="3" fillId="5" borderId="2" xfId="1" applyNumberFormat="1" applyFont="1" applyFill="1" applyBorder="1" applyAlignment="1">
      <alignment horizontal="center" vertical="center"/>
    </xf>
    <xf numFmtId="14" fontId="3" fillId="0" borderId="2" xfId="1" applyNumberFormat="1" applyFont="1" applyFill="1" applyBorder="1" applyAlignment="1">
      <alignment vertical="center" shrinkToFit="1"/>
    </xf>
    <xf numFmtId="0" fontId="4" fillId="0" borderId="1" xfId="1" applyNumberFormat="1" applyFont="1" applyFill="1" applyBorder="1" applyAlignment="1">
      <alignment horizontal="left" vertical="center"/>
    </xf>
    <xf numFmtId="14" fontId="3" fillId="0" borderId="1" xfId="1" applyNumberFormat="1" applyFont="1" applyFill="1" applyBorder="1" applyAlignment="1">
      <alignment vertical="center" shrinkToFit="1"/>
    </xf>
    <xf numFmtId="0" fontId="3" fillId="0" borderId="1" xfId="1" applyNumberFormat="1" applyFont="1" applyFill="1" applyBorder="1" applyAlignment="1">
      <alignment horizontal="center" vertical="center"/>
    </xf>
    <xf numFmtId="0" fontId="3" fillId="0" borderId="1" xfId="45" applyFont="1" applyBorder="1" applyAlignment="1">
      <alignment vertical="center"/>
      <protection locked="0"/>
    </xf>
    <xf numFmtId="0" fontId="4" fillId="4" borderId="3" xfId="45" applyFont="1" applyFill="1" applyBorder="1" applyAlignment="1">
      <alignment horizontal="center" vertical="center" wrapText="1"/>
      <protection locked="0"/>
    </xf>
    <xf numFmtId="0" fontId="13" fillId="4" borderId="2" xfId="45" applyFont="1" applyFill="1" applyBorder="1" applyAlignment="1">
      <alignment horizontal="center" vertical="center" wrapText="1"/>
      <protection locked="0"/>
    </xf>
    <xf numFmtId="0" fontId="4" fillId="4" borderId="2" xfId="45" applyFont="1" applyFill="1" applyBorder="1" applyAlignment="1">
      <alignment horizontal="center" vertical="center" wrapText="1"/>
      <protection locked="0"/>
    </xf>
    <xf numFmtId="0" fontId="26" fillId="0" borderId="3" xfId="45" applyFont="1" applyBorder="1" applyAlignment="1">
      <alignment vertical="center"/>
      <protection locked="0"/>
    </xf>
    <xf numFmtId="0" fontId="3" fillId="0" borderId="11" xfId="45" applyFont="1" applyFill="1" applyBorder="1" applyAlignment="1">
      <alignment horizontal="center" vertical="center" wrapText="1"/>
      <protection locked="0"/>
    </xf>
    <xf numFmtId="0" fontId="3" fillId="0" borderId="2" xfId="45" applyFont="1" applyFill="1" applyBorder="1" applyAlignment="1">
      <alignment horizontal="center" vertical="center" wrapText="1"/>
      <protection locked="0"/>
    </xf>
    <xf numFmtId="0" fontId="3" fillId="0" borderId="3" xfId="45" applyFont="1" applyBorder="1" applyAlignment="1">
      <alignment vertical="center"/>
      <protection locked="0"/>
    </xf>
    <xf numFmtId="0" fontId="8" fillId="0" borderId="3" xfId="45" applyFont="1" applyBorder="1" applyAlignment="1">
      <alignment vertical="center"/>
      <protection locked="0"/>
    </xf>
    <xf numFmtId="43" fontId="3" fillId="0" borderId="11" xfId="1" applyFont="1" applyBorder="1" applyAlignment="1">
      <alignment horizontal="right" vertical="center"/>
    </xf>
    <xf numFmtId="14" fontId="3" fillId="0" borderId="2" xfId="45" applyNumberFormat="1" applyFont="1" applyBorder="1" applyAlignment="1">
      <alignment horizontal="center" vertical="center"/>
      <protection locked="0"/>
    </xf>
    <xf numFmtId="43" fontId="4" fillId="5" borderId="2" xfId="1" applyFont="1" applyFill="1" applyBorder="1" applyAlignment="1">
      <alignment horizontal="center" vertical="center" wrapText="1"/>
    </xf>
    <xf numFmtId="0" fontId="3" fillId="0" borderId="2" xfId="45" applyFont="1" applyBorder="1" applyAlignment="1">
      <alignment horizontal="center" vertical="center" wrapText="1"/>
      <protection locked="0"/>
    </xf>
    <xf numFmtId="199" fontId="3" fillId="0" borderId="11" xfId="1" applyNumberFormat="1" applyFont="1" applyBorder="1" applyAlignment="1">
      <alignment horizontal="center" vertical="center"/>
    </xf>
    <xf numFmtId="43" fontId="3" fillId="0" borderId="11" xfId="1" applyFont="1" applyBorder="1" applyAlignment="1">
      <alignment horizontal="center" vertical="center"/>
    </xf>
    <xf numFmtId="43" fontId="3" fillId="5" borderId="11" xfId="1" applyFont="1" applyFill="1" applyBorder="1" applyAlignment="1">
      <alignment horizontal="right" vertical="center"/>
    </xf>
    <xf numFmtId="14" fontId="3" fillId="0" borderId="11" xfId="1" applyNumberFormat="1" applyFont="1" applyBorder="1" applyAlignment="1">
      <alignment horizontal="center" vertical="center"/>
    </xf>
    <xf numFmtId="200" fontId="3" fillId="5" borderId="11" xfId="2" applyNumberFormat="1" applyFont="1" applyFill="1" applyBorder="1" applyAlignment="1">
      <alignment horizontal="center" vertical="center"/>
    </xf>
    <xf numFmtId="43" fontId="3" fillId="5" borderId="2" xfId="1" applyFont="1" applyFill="1" applyBorder="1" applyAlignment="1">
      <alignment horizontal="right" vertical="center"/>
    </xf>
    <xf numFmtId="0" fontId="4" fillId="0" borderId="3" xfId="45" applyFont="1" applyBorder="1" applyAlignment="1">
      <alignment vertical="center"/>
      <protection locked="0"/>
    </xf>
    <xf numFmtId="43" fontId="4" fillId="5" borderId="11" xfId="1" applyFont="1" applyFill="1" applyBorder="1" applyAlignment="1">
      <alignment horizontal="right" vertical="center"/>
    </xf>
    <xf numFmtId="14" fontId="4" fillId="5" borderId="2" xfId="45" applyNumberFormat="1" applyFont="1" applyFill="1" applyBorder="1" applyAlignment="1">
      <alignment horizontal="center" vertical="center"/>
      <protection locked="0"/>
    </xf>
    <xf numFmtId="43" fontId="4" fillId="5" borderId="2" xfId="45" applyNumberFormat="1" applyFont="1" applyFill="1" applyBorder="1" applyAlignment="1">
      <alignment horizontal="center" vertical="center"/>
      <protection locked="0"/>
    </xf>
    <xf numFmtId="0" fontId="4" fillId="0" borderId="2" xfId="45" applyFont="1" applyBorder="1" applyAlignment="1">
      <alignment horizontal="center" vertical="center" wrapText="1"/>
      <protection locked="0"/>
    </xf>
    <xf numFmtId="43" fontId="3" fillId="0" borderId="1" xfId="1" applyFont="1" applyFill="1" applyBorder="1" applyAlignment="1">
      <alignment horizontal="right" vertical="center"/>
    </xf>
    <xf numFmtId="14" fontId="3" fillId="0" borderId="1" xfId="45" applyNumberFormat="1" applyFont="1" applyBorder="1" applyAlignment="1">
      <alignment horizontal="center" vertical="center"/>
      <protection locked="0"/>
    </xf>
    <xf numFmtId="43" fontId="4" fillId="0" borderId="1" xfId="1" applyFont="1" applyFill="1" applyBorder="1" applyAlignment="1">
      <alignment horizontal="center" vertical="center" wrapText="1"/>
    </xf>
    <xf numFmtId="0" fontId="3" fillId="0" borderId="10" xfId="45" applyFont="1" applyBorder="1" applyAlignment="1">
      <alignment horizontal="center" vertical="center" wrapText="1"/>
      <protection locked="0"/>
    </xf>
    <xf numFmtId="199" fontId="3" fillId="0" borderId="11" xfId="1" applyNumberFormat="1" applyFont="1" applyFill="1" applyBorder="1" applyAlignment="1">
      <alignment horizontal="center" vertical="center"/>
    </xf>
    <xf numFmtId="43" fontId="3" fillId="0" borderId="11" xfId="1" applyFont="1" applyFill="1" applyBorder="1" applyAlignment="1">
      <alignment horizontal="right" vertical="center"/>
    </xf>
    <xf numFmtId="0" fontId="3" fillId="0" borderId="11" xfId="1" applyNumberFormat="1" applyFont="1" applyBorder="1" applyAlignment="1">
      <alignment horizontal="center" vertical="center"/>
    </xf>
    <xf numFmtId="0" fontId="4" fillId="0" borderId="0" xfId="45" applyFont="1" applyAlignment="1">
      <alignment vertical="center"/>
      <protection locked="0"/>
    </xf>
    <xf numFmtId="0" fontId="25" fillId="0" borderId="0" xfId="0" applyFont="1" applyAlignment="1">
      <alignment vertical="center"/>
      <protection locked="0"/>
    </xf>
    <xf numFmtId="0" fontId="2" fillId="0" borderId="0" xfId="57" applyFont="1">
      <alignment vertical="center"/>
    </xf>
    <xf numFmtId="0" fontId="3" fillId="0" borderId="0" xfId="45" applyFont="1" applyAlignment="1">
      <alignment horizontal="justify" vertical="center" wrapText="1"/>
      <protection locked="0"/>
    </xf>
    <xf numFmtId="0" fontId="27" fillId="0" borderId="0" xfId="0" applyFont="1" applyAlignment="1" applyProtection="1">
      <alignment vertical="center"/>
    </xf>
    <xf numFmtId="0" fontId="27" fillId="0" borderId="0" xfId="0" applyFont="1" applyAlignment="1" applyProtection="1">
      <alignment horizontal="center" vertical="center"/>
    </xf>
    <xf numFmtId="0" fontId="28" fillId="0" borderId="0" xfId="0" applyFont="1" applyAlignment="1">
      <alignment vertical="center"/>
      <protection locked="0"/>
    </xf>
    <xf numFmtId="0" fontId="0" fillId="0" borderId="0" xfId="0" applyAlignment="1">
      <alignment vertical="center"/>
      <protection locked="0"/>
    </xf>
    <xf numFmtId="0" fontId="29" fillId="0" borderId="0" xfId="0" applyFont="1" applyAlignment="1" applyProtection="1">
      <alignment vertical="center"/>
    </xf>
    <xf numFmtId="0" fontId="30" fillId="0" borderId="0" xfId="0" applyFont="1" applyAlignment="1" applyProtection="1">
      <alignment vertical="center"/>
    </xf>
    <xf numFmtId="0" fontId="31" fillId="4" borderId="2" xfId="0" applyFont="1" applyFill="1" applyBorder="1" applyAlignment="1" applyProtection="1">
      <alignment horizontal="center" vertical="center" wrapText="1"/>
    </xf>
    <xf numFmtId="201" fontId="3" fillId="0" borderId="2" xfId="56" applyNumberFormat="1" applyFont="1" applyBorder="1" applyAlignment="1">
      <alignment horizontal="left" vertical="center"/>
    </xf>
    <xf numFmtId="14" fontId="3" fillId="0" borderId="2" xfId="56" applyNumberFormat="1" applyFont="1" applyBorder="1" applyAlignment="1">
      <alignment horizontal="left" vertical="center"/>
    </xf>
    <xf numFmtId="43" fontId="32" fillId="0" borderId="2" xfId="72" applyFont="1" applyFill="1" applyBorder="1" applyAlignment="1">
      <alignment horizontal="right" vertical="center"/>
    </xf>
    <xf numFmtId="43" fontId="30" fillId="0" borderId="2" xfId="0" applyNumberFormat="1" applyFont="1" applyBorder="1" applyAlignment="1" applyProtection="1">
      <alignment horizontal="center" vertical="center"/>
    </xf>
    <xf numFmtId="201" fontId="8" fillId="0" borderId="2" xfId="56" applyNumberFormat="1" applyFont="1" applyBorder="1" applyAlignment="1">
      <alignment horizontal="left" vertical="center"/>
    </xf>
    <xf numFmtId="43" fontId="27" fillId="0" borderId="2" xfId="0" applyNumberFormat="1" applyFont="1" applyBorder="1" applyAlignment="1" applyProtection="1">
      <alignment horizontal="center" vertical="center"/>
    </xf>
    <xf numFmtId="0" fontId="4" fillId="5" borderId="2" xfId="1" applyNumberFormat="1" applyFont="1" applyFill="1" applyBorder="1" applyAlignment="1">
      <alignment horizontal="center" vertical="center"/>
    </xf>
    <xf numFmtId="0" fontId="8" fillId="0" borderId="0" xfId="50" applyFont="1" applyAlignment="1">
      <alignment vertical="center"/>
      <protection locked="0"/>
    </xf>
    <xf numFmtId="0" fontId="4" fillId="0" borderId="0" xfId="50" applyFont="1" applyAlignment="1">
      <alignment vertical="center"/>
      <protection locked="0"/>
    </xf>
    <xf numFmtId="0" fontId="3" fillId="0" borderId="0" xfId="50" applyFont="1" applyAlignment="1">
      <alignment vertical="center"/>
      <protection locked="0"/>
    </xf>
    <xf numFmtId="0" fontId="33" fillId="0" borderId="0" xfId="0" applyFont="1" applyAlignment="1">
      <alignment vertical="center"/>
      <protection locked="0"/>
    </xf>
    <xf numFmtId="0" fontId="28" fillId="0" borderId="0" xfId="0" applyFont="1" applyAlignment="1">
      <alignment horizontal="left" vertical="center"/>
      <protection locked="0"/>
    </xf>
    <xf numFmtId="0" fontId="34" fillId="6" borderId="13" xfId="0" applyFont="1" applyFill="1" applyBorder="1" applyAlignment="1">
      <alignment horizontal="center" vertical="center" wrapText="1"/>
      <protection locked="0"/>
    </xf>
    <xf numFmtId="0" fontId="34" fillId="6" borderId="14" xfId="0" applyFont="1" applyFill="1" applyBorder="1" applyAlignment="1">
      <alignment horizontal="center" vertical="center" wrapText="1"/>
      <protection locked="0"/>
    </xf>
    <xf numFmtId="0" fontId="28" fillId="0" borderId="25" xfId="0" applyFont="1" applyBorder="1" applyAlignment="1">
      <alignment horizontal="justify" vertical="center" wrapText="1"/>
      <protection locked="0"/>
    </xf>
    <xf numFmtId="0" fontId="24" fillId="0" borderId="0" xfId="3" applyFont="1" applyAlignment="1">
      <alignment vertical="center"/>
      <protection locked="0"/>
    </xf>
    <xf numFmtId="14" fontId="3" fillId="0" borderId="0" xfId="0" applyNumberFormat="1" applyFont="1" applyAlignment="1">
      <alignment vertical="center"/>
      <protection locked="0"/>
    </xf>
    <xf numFmtId="0" fontId="3" fillId="0" borderId="0" xfId="0" applyFont="1" applyAlignment="1">
      <alignment horizontal="right" vertical="center"/>
      <protection locked="0"/>
    </xf>
    <xf numFmtId="14" fontId="8" fillId="0" borderId="0" xfId="0" applyNumberFormat="1" applyFont="1" applyAlignment="1">
      <alignment vertical="center"/>
      <protection locked="0"/>
    </xf>
    <xf numFmtId="43" fontId="3" fillId="0" borderId="0" xfId="62" applyNumberFormat="1" applyFont="1" applyFill="1" applyBorder="1" applyAlignment="1">
      <alignment vertical="center"/>
    </xf>
    <xf numFmtId="43" fontId="27" fillId="0" borderId="2" xfId="0" applyNumberFormat="1" applyFont="1" applyBorder="1" applyAlignment="1">
      <alignment horizontal="center" vertical="center"/>
      <protection locked="0"/>
    </xf>
    <xf numFmtId="0" fontId="27" fillId="0" borderId="2" xfId="0" applyFont="1" applyBorder="1" applyAlignment="1" applyProtection="1">
      <alignment vertical="center"/>
    </xf>
    <xf numFmtId="0" fontId="35" fillId="0" borderId="0" xfId="54">
      <protection locked="0"/>
    </xf>
    <xf numFmtId="43" fontId="3" fillId="0" borderId="0" xfId="63" applyNumberFormat="1" applyFont="1" applyBorder="1" applyAlignment="1">
      <alignment vertical="center"/>
    </xf>
    <xf numFmtId="43" fontId="3" fillId="0" borderId="0" xfId="63" applyNumberFormat="1" applyFont="1" applyBorder="1" applyAlignment="1">
      <alignment horizontal="left" vertical="center"/>
    </xf>
    <xf numFmtId="0" fontId="36" fillId="4" borderId="2" xfId="54" applyFont="1" applyFill="1" applyBorder="1" applyAlignment="1" applyProtection="1">
      <alignment horizontal="center" vertical="center"/>
    </xf>
    <xf numFmtId="0" fontId="36" fillId="4" borderId="2" xfId="54" applyFont="1" applyFill="1" applyBorder="1" applyAlignment="1" applyProtection="1">
      <alignment horizontal="center" vertical="center" wrapText="1"/>
    </xf>
    <xf numFmtId="190" fontId="13" fillId="4" borderId="2" xfId="51" applyFont="1" applyFill="1" applyBorder="1" applyAlignment="1" applyProtection="1">
      <alignment horizontal="center" vertical="center" wrapText="1"/>
      <protection locked="0"/>
    </xf>
    <xf numFmtId="190" fontId="37" fillId="4" borderId="2" xfId="51" applyFont="1" applyFill="1" applyBorder="1" applyAlignment="1" applyProtection="1">
      <alignment horizontal="center" vertical="center" wrapText="1"/>
      <protection locked="0"/>
    </xf>
    <xf numFmtId="0" fontId="8" fillId="0" borderId="2" xfId="54" applyFont="1" applyBorder="1" applyAlignment="1" applyProtection="1">
      <alignment vertical="center"/>
    </xf>
    <xf numFmtId="43" fontId="3" fillId="0" borderId="2" xfId="1" applyFont="1" applyBorder="1" applyAlignment="1" applyProtection="1">
      <alignment vertical="center"/>
    </xf>
    <xf numFmtId="0" fontId="8" fillId="0" borderId="2" xfId="54" applyFont="1" applyBorder="1" applyAlignment="1" applyProtection="1">
      <alignment horizontal="left" vertical="center" indent="1"/>
    </xf>
    <xf numFmtId="0" fontId="4" fillId="0" borderId="2" xfId="54" applyFont="1" applyBorder="1" applyAlignment="1" applyProtection="1">
      <alignment horizontal="center" vertical="center"/>
    </xf>
    <xf numFmtId="43" fontId="4" fillId="0" borderId="7" xfId="63" applyNumberFormat="1" applyFont="1" applyBorder="1" applyAlignment="1">
      <alignment horizontal="left" vertical="center"/>
    </xf>
    <xf numFmtId="43" fontId="3" fillId="0" borderId="7" xfId="63" applyNumberFormat="1" applyFont="1" applyBorder="1" applyAlignment="1">
      <alignment horizontal="left" vertical="center"/>
    </xf>
    <xf numFmtId="43" fontId="38" fillId="0" borderId="7" xfId="64" applyNumberFormat="1" applyFont="1" applyBorder="1" applyAlignment="1" applyProtection="1">
      <alignment horizontal="center" vertical="center"/>
    </xf>
    <xf numFmtId="0" fontId="3" fillId="0" borderId="0" xfId="59" applyFont="1" applyAlignment="1">
      <alignment vertical="center"/>
    </xf>
    <xf numFmtId="9" fontId="39" fillId="0" borderId="0" xfId="2" applyFont="1" applyBorder="1" applyAlignment="1">
      <alignment horizontal="left" vertical="center"/>
    </xf>
    <xf numFmtId="0" fontId="3" fillId="0" borderId="0" xfId="59" applyFont="1" applyAlignment="1">
      <alignment horizontal="left" vertical="center"/>
    </xf>
    <xf numFmtId="10" fontId="39" fillId="0" borderId="0" xfId="2" applyNumberFormat="1" applyFont="1" applyBorder="1" applyAlignment="1">
      <alignment horizontal="left" vertical="center"/>
    </xf>
    <xf numFmtId="43" fontId="8" fillId="0" borderId="0" xfId="63" applyNumberFormat="1" applyFont="1" applyBorder="1" applyAlignment="1">
      <alignment horizontal="right" vertical="center"/>
    </xf>
    <xf numFmtId="0" fontId="4" fillId="0" borderId="0" xfId="59" applyFont="1" applyAlignment="1">
      <alignment vertical="center"/>
    </xf>
    <xf numFmtId="0" fontId="41" fillId="0" borderId="0" xfId="57" applyFont="1">
      <alignment vertical="center"/>
    </xf>
    <xf numFmtId="43" fontId="3" fillId="0" borderId="0" xfId="1" applyFont="1" applyAlignment="1" applyProtection="1">
      <alignment vertical="center"/>
      <protection locked="0"/>
    </xf>
    <xf numFmtId="0" fontId="35" fillId="0" borderId="0" xfId="0" applyFont="1" applyAlignment="1">
      <alignment vertical="center"/>
      <protection locked="0"/>
    </xf>
    <xf numFmtId="0" fontId="8" fillId="0" borderId="0" xfId="0" applyFont="1" applyAlignment="1">
      <alignment vertical="center" wrapText="1"/>
      <protection locked="0"/>
    </xf>
    <xf numFmtId="202" fontId="3" fillId="0" borderId="3" xfId="1" applyNumberFormat="1" applyFont="1" applyBorder="1" applyAlignment="1" applyProtection="1">
      <alignment vertical="center" wrapText="1"/>
      <protection locked="0"/>
    </xf>
    <xf numFmtId="202" fontId="8" fillId="0" borderId="11" xfId="1" applyNumberFormat="1" applyFont="1" applyBorder="1" applyAlignment="1" applyProtection="1">
      <alignment vertical="center" wrapText="1"/>
      <protection locked="0"/>
    </xf>
    <xf numFmtId="14" fontId="3" fillId="0" borderId="2" xfId="1" applyNumberFormat="1" applyFont="1" applyBorder="1" applyAlignment="1" applyProtection="1">
      <alignment vertical="center"/>
      <protection locked="0"/>
    </xf>
    <xf numFmtId="43" fontId="3" fillId="0" borderId="2" xfId="1" applyFont="1" applyBorder="1" applyAlignment="1" applyProtection="1">
      <alignment vertical="center"/>
      <protection locked="0"/>
    </xf>
    <xf numFmtId="9" fontId="3" fillId="0" borderId="2" xfId="1" applyNumberFormat="1" applyFont="1" applyBorder="1" applyAlignment="1" applyProtection="1">
      <alignment horizontal="center" vertical="center"/>
      <protection locked="0"/>
    </xf>
    <xf numFmtId="9" fontId="3" fillId="0" borderId="2" xfId="2" applyFont="1" applyBorder="1" applyAlignment="1" applyProtection="1">
      <alignment horizontal="center" vertical="center"/>
      <protection locked="0"/>
    </xf>
    <xf numFmtId="202" fontId="3" fillId="0" borderId="11" xfId="1" applyNumberFormat="1" applyFont="1" applyBorder="1" applyAlignment="1" applyProtection="1">
      <alignment vertical="center" wrapText="1"/>
      <protection locked="0"/>
    </xf>
    <xf numFmtId="43" fontId="3" fillId="0" borderId="2" xfId="1" applyFont="1" applyBorder="1" applyAlignment="1" applyProtection="1">
      <alignment horizontal="center" vertical="center"/>
      <protection locked="0"/>
    </xf>
    <xf numFmtId="43" fontId="25" fillId="0" borderId="0" xfId="62" applyNumberFormat="1" applyFont="1" applyBorder="1" applyAlignment="1">
      <alignment vertical="center"/>
    </xf>
    <xf numFmtId="43" fontId="3" fillId="0" borderId="2" xfId="1" applyFont="1" applyBorder="1" applyAlignment="1" applyProtection="1">
      <alignment horizontal="left" vertical="center"/>
      <protection locked="0"/>
    </xf>
    <xf numFmtId="43" fontId="3" fillId="0" borderId="2" xfId="1" applyFont="1" applyFill="1" applyBorder="1" applyAlignment="1" applyProtection="1">
      <alignment vertical="center"/>
      <protection locked="0"/>
    </xf>
    <xf numFmtId="190" fontId="42" fillId="0" borderId="0" xfId="3" applyNumberFormat="1" applyFont="1" applyFill="1" applyAlignment="1" applyProtection="1">
      <alignment vertical="center"/>
    </xf>
    <xf numFmtId="0" fontId="43" fillId="0" borderId="0" xfId="0" applyFont="1" applyAlignment="1">
      <alignment vertical="center"/>
      <protection locked="0"/>
    </xf>
    <xf numFmtId="0" fontId="27" fillId="0" borderId="0" xfId="0" applyFont="1" applyAlignment="1" applyProtection="1">
      <alignment horizontal="center" vertical="center" wrapText="1"/>
    </xf>
    <xf numFmtId="0" fontId="44" fillId="0" borderId="0" xfId="0" applyFont="1" applyAlignment="1" applyProtection="1">
      <alignment vertical="center"/>
    </xf>
    <xf numFmtId="0" fontId="3" fillId="0" borderId="0" xfId="60" applyFont="1">
      <protection locked="0"/>
    </xf>
    <xf numFmtId="43" fontId="3" fillId="0" borderId="0" xfId="1" applyFont="1" applyBorder="1" applyAlignment="1" applyProtection="1">
      <alignment vertical="center"/>
      <protection locked="0"/>
    </xf>
    <xf numFmtId="43" fontId="43" fillId="0" borderId="0" xfId="1" applyFont="1" applyBorder="1" applyAlignment="1" applyProtection="1">
      <alignment vertical="center"/>
      <protection locked="0"/>
    </xf>
    <xf numFmtId="202" fontId="4" fillId="0" borderId="0" xfId="1" applyNumberFormat="1" applyFont="1" applyBorder="1" applyAlignment="1" applyProtection="1">
      <alignment vertical="center"/>
      <protection locked="0"/>
    </xf>
    <xf numFmtId="0" fontId="4" fillId="4" borderId="2" xfId="0" applyFont="1" applyFill="1" applyBorder="1" applyAlignment="1" applyProtection="1">
      <alignment horizontal="center" vertical="center"/>
    </xf>
    <xf numFmtId="0" fontId="13" fillId="4" borderId="2" xfId="0" applyFont="1" applyFill="1" applyBorder="1" applyAlignment="1" applyProtection="1">
      <alignment horizontal="center" vertical="center"/>
    </xf>
    <xf numFmtId="0" fontId="36" fillId="4" borderId="2" xfId="0" applyFont="1" applyFill="1" applyBorder="1" applyAlignment="1">
      <alignment horizontal="center" vertical="center" wrapText="1"/>
      <protection locked="0"/>
    </xf>
    <xf numFmtId="0" fontId="45" fillId="4" borderId="2" xfId="0" applyFont="1" applyFill="1" applyBorder="1" applyAlignment="1">
      <alignment horizontal="center" vertical="center" wrapText="1"/>
      <protection locked="0"/>
    </xf>
    <xf numFmtId="0" fontId="13" fillId="4" borderId="2" xfId="0" applyFont="1" applyFill="1" applyBorder="1" applyAlignment="1" applyProtection="1">
      <alignment horizontal="left" vertical="center"/>
    </xf>
    <xf numFmtId="0" fontId="3" fillId="0" borderId="2" xfId="0" applyFont="1" applyBorder="1" applyAlignment="1" applyProtection="1">
      <alignment horizontal="center" vertical="center" wrapText="1"/>
    </xf>
    <xf numFmtId="0" fontId="8" fillId="0" borderId="2" xfId="0" applyFont="1" applyBorder="1" applyAlignment="1" applyProtection="1">
      <alignment horizontal="left" vertical="center"/>
    </xf>
    <xf numFmtId="14" fontId="3" fillId="0" borderId="2" xfId="0" applyNumberFormat="1" applyFont="1" applyBorder="1" applyAlignment="1" applyProtection="1">
      <alignment horizontal="left" vertical="center"/>
    </xf>
    <xf numFmtId="0" fontId="3" fillId="0" borderId="2" xfId="0" applyFont="1" applyBorder="1" applyAlignment="1" applyProtection="1">
      <alignment horizontal="left" vertical="center"/>
    </xf>
    <xf numFmtId="9" fontId="3" fillId="0" borderId="2" xfId="0" applyNumberFormat="1" applyFont="1" applyBorder="1" applyAlignment="1" applyProtection="1">
      <alignment horizontal="left" vertical="center"/>
    </xf>
    <xf numFmtId="43" fontId="3" fillId="0" borderId="2" xfId="1" applyFont="1" applyBorder="1" applyAlignment="1" applyProtection="1">
      <alignment horizontal="left" vertical="center"/>
    </xf>
    <xf numFmtId="0" fontId="4" fillId="0" borderId="2" xfId="0" applyFont="1" applyBorder="1" applyAlignment="1" applyProtection="1">
      <alignment horizontal="center" vertical="center"/>
    </xf>
    <xf numFmtId="43" fontId="4" fillId="0" borderId="2" xfId="1" applyFont="1" applyBorder="1" applyAlignment="1" applyProtection="1">
      <alignment horizontal="center" vertical="center"/>
    </xf>
    <xf numFmtId="43" fontId="4" fillId="4" borderId="2" xfId="1" applyFont="1" applyFill="1" applyBorder="1" applyAlignment="1" applyProtection="1">
      <alignment horizontal="center" vertical="center"/>
    </xf>
    <xf numFmtId="43" fontId="13" fillId="0" borderId="0" xfId="1" applyFont="1" applyAlignment="1" applyProtection="1">
      <alignment vertical="center"/>
      <protection locked="0"/>
    </xf>
    <xf numFmtId="0" fontId="12" fillId="0" borderId="0" xfId="0" applyFont="1" applyAlignment="1">
      <alignment vertical="center"/>
      <protection locked="0"/>
    </xf>
    <xf numFmtId="0" fontId="43" fillId="0" borderId="0" xfId="0" applyFont="1" applyAlignment="1">
      <alignment horizontal="right" vertical="center"/>
      <protection locked="0"/>
    </xf>
    <xf numFmtId="43" fontId="8" fillId="0" borderId="0" xfId="1" applyFont="1" applyAlignment="1" applyProtection="1">
      <alignment vertical="center"/>
      <protection locked="0"/>
    </xf>
    <xf numFmtId="0" fontId="4" fillId="4" borderId="2" xfId="0" applyFont="1" applyFill="1" applyBorder="1" applyAlignment="1" applyProtection="1">
      <alignment horizontal="center" vertical="center" wrapText="1"/>
    </xf>
    <xf numFmtId="43" fontId="4" fillId="4" borderId="2" xfId="1" applyFont="1" applyFill="1" applyBorder="1" applyAlignment="1">
      <alignment horizontal="center" vertical="center" wrapText="1"/>
    </xf>
    <xf numFmtId="0" fontId="13" fillId="4" borderId="2" xfId="0" applyFont="1" applyFill="1" applyBorder="1" applyAlignment="1" applyProtection="1">
      <alignment horizontal="center" vertical="center" wrapText="1"/>
    </xf>
    <xf numFmtId="43" fontId="3" fillId="0" borderId="2" xfId="1" applyFont="1" applyFill="1" applyBorder="1" applyAlignment="1">
      <alignment horizontal="right" vertical="center"/>
    </xf>
    <xf numFmtId="0" fontId="3" fillId="4" borderId="2" xfId="0" applyFont="1" applyFill="1" applyBorder="1" applyAlignment="1" applyProtection="1">
      <alignment horizontal="right" vertical="center"/>
    </xf>
    <xf numFmtId="43" fontId="3" fillId="4" borderId="2" xfId="1" applyFont="1" applyFill="1" applyBorder="1" applyAlignment="1">
      <alignment horizontal="right" vertical="center"/>
    </xf>
    <xf numFmtId="43" fontId="0" fillId="0" borderId="0" xfId="1" applyFont="1" applyAlignment="1" applyProtection="1">
      <alignment vertical="center"/>
      <protection locked="0"/>
    </xf>
    <xf numFmtId="43" fontId="43" fillId="0" borderId="0" xfId="62" applyNumberFormat="1" applyFont="1" applyFill="1" applyBorder="1" applyAlignment="1">
      <alignment vertical="center"/>
    </xf>
    <xf numFmtId="202" fontId="4" fillId="0" borderId="0" xfId="0" applyNumberFormat="1" applyFont="1" applyAlignment="1">
      <alignment vertical="center"/>
      <protection locked="0"/>
    </xf>
    <xf numFmtId="43" fontId="3" fillId="0" borderId="0" xfId="1" applyFont="1" applyBorder="1" applyAlignment="1" applyProtection="1">
      <alignment vertical="center" wrapText="1"/>
      <protection locked="0"/>
    </xf>
    <xf numFmtId="43" fontId="3" fillId="0" borderId="2" xfId="1" applyFont="1" applyFill="1" applyBorder="1" applyAlignment="1">
      <alignment vertical="center"/>
    </xf>
    <xf numFmtId="43" fontId="3" fillId="0" borderId="0" xfId="0" applyNumberFormat="1" applyFont="1" applyAlignment="1">
      <alignment vertical="center"/>
      <protection locked="0"/>
    </xf>
    <xf numFmtId="43" fontId="3" fillId="5" borderId="2" xfId="1" applyFont="1" applyFill="1" applyBorder="1" applyAlignment="1">
      <alignment vertical="center"/>
    </xf>
    <xf numFmtId="43" fontId="3" fillId="4" borderId="2" xfId="1" applyFont="1" applyFill="1" applyBorder="1" applyAlignment="1">
      <alignment horizontal="center" vertical="center"/>
    </xf>
    <xf numFmtId="0" fontId="13" fillId="4" borderId="2" xfId="0" applyFont="1" applyFill="1" applyBorder="1" applyAlignment="1">
      <alignment horizontal="center" vertical="center"/>
      <protection locked="0"/>
    </xf>
    <xf numFmtId="0" fontId="30" fillId="0" borderId="2" xfId="0" applyFont="1" applyBorder="1" applyAlignment="1" applyProtection="1">
      <alignment vertical="center"/>
    </xf>
    <xf numFmtId="0" fontId="44" fillId="0" borderId="2" xfId="0" applyFont="1" applyBorder="1" applyAlignment="1" applyProtection="1">
      <alignment vertical="center"/>
    </xf>
    <xf numFmtId="43" fontId="5" fillId="0" borderId="0" xfId="62" applyNumberFormat="1" applyFont="1" applyBorder="1" applyAlignment="1">
      <alignment vertical="center"/>
    </xf>
    <xf numFmtId="43" fontId="4" fillId="0" borderId="0" xfId="62" applyNumberFormat="1" applyFont="1" applyBorder="1" applyAlignment="1">
      <alignment vertical="center"/>
    </xf>
    <xf numFmtId="43" fontId="12" fillId="0" borderId="0" xfId="62" applyNumberFormat="1" applyFont="1" applyBorder="1" applyAlignment="1">
      <alignment vertical="center"/>
    </xf>
    <xf numFmtId="43" fontId="3" fillId="0" borderId="0" xfId="62" applyNumberFormat="1" applyFont="1" applyBorder="1" applyAlignment="1">
      <alignment vertical="center"/>
    </xf>
    <xf numFmtId="49" fontId="3" fillId="0" borderId="0" xfId="62" applyNumberFormat="1" applyFont="1" applyBorder="1" applyAlignment="1">
      <alignment vertical="center"/>
    </xf>
    <xf numFmtId="43" fontId="3" fillId="4" borderId="2" xfId="1" applyFont="1" applyFill="1" applyBorder="1" applyAlignment="1">
      <alignment horizontal="right" vertical="center" wrapText="1"/>
    </xf>
    <xf numFmtId="43" fontId="3" fillId="5" borderId="2" xfId="1" applyFont="1" applyFill="1" applyBorder="1" applyAlignment="1">
      <alignment horizontal="right" vertical="center" wrapText="1"/>
    </xf>
    <xf numFmtId="43" fontId="4" fillId="5" borderId="34" xfId="1" applyFont="1" applyFill="1" applyBorder="1" applyAlignment="1">
      <alignment horizontal="center" vertical="center"/>
    </xf>
    <xf numFmtId="43" fontId="46" fillId="0" borderId="0" xfId="3" applyNumberFormat="1" applyFont="1" applyBorder="1" applyAlignment="1" applyProtection="1">
      <alignment horizontal="center" vertical="center"/>
    </xf>
    <xf numFmtId="14" fontId="3" fillId="0" borderId="0" xfId="62" applyNumberFormat="1" applyFont="1" applyBorder="1" applyAlignment="1">
      <alignment vertical="center"/>
    </xf>
    <xf numFmtId="190" fontId="21" fillId="0" borderId="0" xfId="3" applyNumberFormat="1" applyFont="1" applyFill="1" applyAlignment="1" applyProtection="1">
      <alignment vertical="center"/>
    </xf>
    <xf numFmtId="43" fontId="8" fillId="0" borderId="0" xfId="62" applyNumberFormat="1" applyFont="1" applyBorder="1" applyAlignment="1">
      <alignment horizontal="center" vertical="center"/>
    </xf>
    <xf numFmtId="43" fontId="8" fillId="0" borderId="0" xfId="62" applyNumberFormat="1" applyFont="1" applyBorder="1" applyAlignment="1">
      <alignment vertical="center"/>
    </xf>
    <xf numFmtId="43" fontId="3" fillId="4" borderId="34" xfId="1" applyFont="1" applyFill="1" applyBorder="1" applyAlignment="1">
      <alignment vertical="center"/>
    </xf>
    <xf numFmtId="43" fontId="3" fillId="0" borderId="34" xfId="1" applyFont="1" applyBorder="1" applyAlignment="1">
      <alignment vertical="center"/>
    </xf>
    <xf numFmtId="43" fontId="4" fillId="0" borderId="34" xfId="1" applyFont="1" applyBorder="1" applyAlignment="1">
      <alignment vertical="center"/>
    </xf>
    <xf numFmtId="0" fontId="2" fillId="0" borderId="16" xfId="0" applyFont="1" applyBorder="1" applyAlignment="1">
      <alignment horizontal="justify" vertical="center" wrapText="1"/>
      <protection locked="0"/>
    </xf>
    <xf numFmtId="0" fontId="47" fillId="0" borderId="16" xfId="0" applyFont="1" applyBorder="1" applyAlignment="1">
      <alignment horizontal="right" vertical="center" wrapText="1"/>
      <protection locked="0"/>
    </xf>
    <xf numFmtId="0" fontId="5" fillId="0" borderId="0" xfId="0" applyFont="1" applyAlignment="1">
      <alignment horizontal="justify" vertical="center" wrapText="1"/>
      <protection locked="0"/>
    </xf>
    <xf numFmtId="43" fontId="5" fillId="0" borderId="0" xfId="0" applyNumberFormat="1" applyFont="1" applyAlignment="1">
      <alignment horizontal="right" vertical="center" wrapText="1"/>
      <protection locked="0"/>
    </xf>
    <xf numFmtId="43" fontId="48" fillId="0" borderId="0" xfId="0" applyNumberFormat="1" applyFont="1" applyAlignment="1">
      <alignment horizontal="justify" vertical="center" wrapText="1"/>
      <protection locked="0"/>
    </xf>
    <xf numFmtId="43" fontId="2" fillId="0" borderId="16" xfId="0" applyNumberFormat="1" applyFont="1" applyBorder="1" applyAlignment="1">
      <alignment horizontal="right" vertical="center" wrapText="1"/>
      <protection locked="0"/>
    </xf>
    <xf numFmtId="0" fontId="2" fillId="0" borderId="16" xfId="0" applyFont="1" applyBorder="1" applyAlignment="1">
      <alignment horizontal="center" vertical="center" wrapText="1"/>
      <protection locked="0"/>
    </xf>
    <xf numFmtId="0" fontId="2" fillId="0" borderId="16" xfId="0" applyFont="1" applyBorder="1" applyAlignment="1">
      <alignment vertical="center" wrapText="1"/>
      <protection locked="0"/>
    </xf>
    <xf numFmtId="43" fontId="5" fillId="0" borderId="0" xfId="1" applyFont="1" applyAlignment="1" applyProtection="1">
      <alignment horizontal="right" vertical="center" wrapText="1"/>
      <protection locked="0"/>
    </xf>
    <xf numFmtId="0" fontId="2" fillId="0" borderId="24" xfId="0" applyFont="1" applyBorder="1" applyAlignment="1">
      <alignment horizontal="justify" vertical="center" wrapText="1"/>
      <protection locked="0"/>
    </xf>
    <xf numFmtId="0" fontId="2" fillId="0" borderId="24" xfId="0" applyFont="1" applyBorder="1" applyAlignment="1">
      <alignment horizontal="right" vertical="center" wrapText="1"/>
      <protection locked="0"/>
    </xf>
    <xf numFmtId="0" fontId="49" fillId="0" borderId="24" xfId="0" applyFont="1" applyBorder="1" applyAlignment="1">
      <alignment horizontal="justify" vertical="center" wrapText="1"/>
      <protection locked="0"/>
    </xf>
    <xf numFmtId="0" fontId="5" fillId="0" borderId="24" xfId="0" applyFont="1" applyBorder="1" applyAlignment="1">
      <alignment horizontal="right" vertical="center" wrapText="1"/>
      <protection locked="0"/>
    </xf>
    <xf numFmtId="0" fontId="48" fillId="0" borderId="0" xfId="0" applyFont="1" applyAlignment="1">
      <alignment horizontal="left" vertical="center" wrapText="1"/>
      <protection locked="0"/>
    </xf>
    <xf numFmtId="0" fontId="48" fillId="0" borderId="0" xfId="0" applyFont="1" applyAlignment="1">
      <alignment horizontal="justify" vertical="center"/>
      <protection locked="0"/>
    </xf>
    <xf numFmtId="0" fontId="51" fillId="0" borderId="16" xfId="0" applyFont="1" applyBorder="1" applyAlignment="1">
      <alignment horizontal="left" vertical="center" wrapText="1"/>
      <protection locked="0"/>
    </xf>
    <xf numFmtId="0" fontId="51" fillId="0" borderId="16" xfId="0" applyFont="1" applyBorder="1" applyAlignment="1">
      <alignment horizontal="right" vertical="center" wrapText="1"/>
      <protection locked="0"/>
    </xf>
    <xf numFmtId="0" fontId="51" fillId="0" borderId="16" xfId="0" applyFont="1" applyBorder="1" applyAlignment="1">
      <alignment vertical="center" wrapText="1"/>
      <protection locked="0"/>
    </xf>
    <xf numFmtId="43" fontId="48" fillId="0" borderId="0" xfId="0" applyNumberFormat="1" applyFont="1" applyAlignment="1">
      <alignment horizontal="left" vertical="center" wrapText="1"/>
      <protection locked="0"/>
    </xf>
    <xf numFmtId="0" fontId="48" fillId="0" borderId="0" xfId="0" applyFont="1" applyAlignment="1">
      <alignment horizontal="right" vertical="center" wrapText="1"/>
      <protection locked="0"/>
    </xf>
    <xf numFmtId="43" fontId="51" fillId="0" borderId="16" xfId="0" applyNumberFormat="1" applyFont="1" applyBorder="1" applyAlignment="1">
      <alignment horizontal="right" vertical="center" wrapText="1"/>
      <protection locked="0"/>
    </xf>
    <xf numFmtId="0" fontId="5" fillId="0" borderId="0" xfId="0" applyFont="1" applyAlignment="1">
      <alignment horizontal="justify" vertical="center"/>
      <protection locked="0"/>
    </xf>
    <xf numFmtId="0" fontId="47" fillId="0" borderId="24" xfId="0" applyFont="1" applyBorder="1" applyAlignment="1">
      <alignment horizontal="justify" vertical="center" wrapText="1"/>
      <protection locked="0"/>
    </xf>
    <xf numFmtId="0" fontId="47" fillId="0" borderId="24" xfId="0" applyFont="1" applyBorder="1" applyAlignment="1">
      <alignment horizontal="right" vertical="center" wrapText="1"/>
      <protection locked="0"/>
    </xf>
    <xf numFmtId="0" fontId="49" fillId="0" borderId="0" xfId="0" applyFont="1" applyAlignment="1">
      <alignment horizontal="justify" vertical="center" wrapText="1"/>
      <protection locked="0"/>
    </xf>
    <xf numFmtId="43" fontId="49" fillId="0" borderId="0" xfId="0" applyNumberFormat="1" applyFont="1" applyAlignment="1">
      <alignment horizontal="right" vertical="center" wrapText="1"/>
      <protection locked="0"/>
    </xf>
    <xf numFmtId="0" fontId="49" fillId="0" borderId="24" xfId="0" applyFont="1" applyBorder="1" applyAlignment="1">
      <alignment horizontal="right" vertical="center" wrapText="1"/>
      <protection locked="0"/>
    </xf>
    <xf numFmtId="43" fontId="2" fillId="0" borderId="24" xfId="0" applyNumberFormat="1" applyFont="1" applyBorder="1" applyAlignment="1">
      <alignment horizontal="right" vertical="center" wrapText="1"/>
      <protection locked="0"/>
    </xf>
    <xf numFmtId="43" fontId="5" fillId="0" borderId="24" xfId="0" applyNumberFormat="1" applyFont="1" applyBorder="1" applyAlignment="1">
      <alignment horizontal="right" vertical="center" wrapText="1"/>
      <protection locked="0"/>
    </xf>
    <xf numFmtId="43" fontId="49" fillId="0" borderId="24" xfId="0" applyNumberFormat="1" applyFont="1" applyBorder="1" applyAlignment="1">
      <alignment horizontal="right" vertical="center" wrapText="1"/>
      <protection locked="0"/>
    </xf>
    <xf numFmtId="0" fontId="2" fillId="0" borderId="16" xfId="0" applyFont="1" applyBorder="1" applyAlignment="1">
      <alignment horizontal="right" vertical="center" wrapText="1"/>
      <protection locked="0"/>
    </xf>
    <xf numFmtId="43" fontId="47" fillId="0" borderId="16" xfId="1" applyFont="1" applyBorder="1" applyAlignment="1" applyProtection="1">
      <alignment horizontal="right" vertical="center" wrapText="1"/>
      <protection locked="0"/>
    </xf>
    <xf numFmtId="43" fontId="2" fillId="0" borderId="16" xfId="1" applyFont="1" applyBorder="1" applyAlignment="1" applyProtection="1">
      <alignment horizontal="right" vertical="center" wrapText="1"/>
      <protection locked="0"/>
    </xf>
    <xf numFmtId="43" fontId="47" fillId="0" borderId="16" xfId="0" applyNumberFormat="1" applyFont="1" applyBorder="1" applyAlignment="1">
      <alignment horizontal="right" vertical="center" wrapText="1"/>
      <protection locked="0"/>
    </xf>
    <xf numFmtId="43" fontId="47" fillId="0" borderId="24" xfId="0" applyNumberFormat="1" applyFont="1" applyBorder="1" applyAlignment="1">
      <alignment horizontal="right" vertical="center" wrapText="1"/>
      <protection locked="0"/>
    </xf>
    <xf numFmtId="190" fontId="44" fillId="0" borderId="0" xfId="47" applyFont="1">
      <alignment vertical="center"/>
    </xf>
    <xf numFmtId="190" fontId="3" fillId="0" borderId="0" xfId="47" applyFont="1" applyProtection="1">
      <alignment vertical="center"/>
      <protection locked="0"/>
    </xf>
    <xf numFmtId="0" fontId="3" fillId="0" borderId="0" xfId="48" applyFont="1" applyAlignment="1">
      <alignment horizontal="left" vertical="center"/>
      <protection locked="0"/>
    </xf>
    <xf numFmtId="14" fontId="3" fillId="0" borderId="0" xfId="47" applyNumberFormat="1" applyFont="1" applyProtection="1">
      <alignment vertical="center"/>
      <protection locked="0"/>
    </xf>
    <xf numFmtId="190" fontId="4" fillId="0" borderId="0" xfId="47" applyFont="1" applyAlignment="1" applyProtection="1">
      <alignment horizontal="justify" vertical="center"/>
      <protection locked="0"/>
    </xf>
    <xf numFmtId="0" fontId="27" fillId="0" borderId="2" xfId="47" applyNumberFormat="1" applyFont="1" applyBorder="1" applyAlignment="1">
      <alignment horizontal="center" vertical="center" wrapText="1"/>
    </xf>
    <xf numFmtId="190" fontId="27" fillId="0" borderId="2" xfId="47" applyFont="1" applyBorder="1" applyAlignment="1">
      <alignment horizontal="center" vertical="center" wrapText="1" shrinkToFit="1"/>
    </xf>
    <xf numFmtId="190" fontId="44" fillId="0" borderId="0" xfId="47" applyFont="1" applyAlignment="1">
      <alignment vertical="center"/>
    </xf>
    <xf numFmtId="190" fontId="3" fillId="0" borderId="0" xfId="47" applyFont="1" applyAlignment="1" applyProtection="1">
      <alignment vertical="center"/>
      <protection locked="0"/>
    </xf>
    <xf numFmtId="190" fontId="4" fillId="0" borderId="0" xfId="53" applyFont="1" applyAlignment="1" applyProtection="1">
      <alignment vertical="center"/>
      <protection locked="0"/>
    </xf>
    <xf numFmtId="190" fontId="54" fillId="0" borderId="0" xfId="47" applyFont="1" applyAlignment="1" applyProtection="1">
      <alignment vertical="center"/>
      <protection locked="0"/>
    </xf>
    <xf numFmtId="49" fontId="13" fillId="0" borderId="0" xfId="53" applyNumberFormat="1" applyFont="1" applyFill="1" applyAlignment="1" applyProtection="1">
      <alignment horizontal="left" vertical="center"/>
      <protection locked="0"/>
    </xf>
    <xf numFmtId="49" fontId="4" fillId="0" borderId="0" xfId="47" applyNumberFormat="1" applyFont="1" applyAlignment="1" applyProtection="1">
      <alignment vertical="center"/>
      <protection locked="0"/>
    </xf>
    <xf numFmtId="190" fontId="4" fillId="4" borderId="2" xfId="53" applyFont="1" applyFill="1" applyBorder="1" applyAlignment="1" applyProtection="1">
      <alignment horizontal="center" vertical="center"/>
      <protection locked="0"/>
    </xf>
    <xf numFmtId="190" fontId="4" fillId="4" borderId="2" xfId="53" applyFont="1" applyFill="1" applyBorder="1" applyAlignment="1" applyProtection="1">
      <alignment horizontal="center" vertical="center" wrapText="1"/>
      <protection locked="0"/>
    </xf>
    <xf numFmtId="49" fontId="3" fillId="0" borderId="2" xfId="42" applyNumberFormat="1" applyFont="1" applyBorder="1" applyAlignment="1" applyProtection="1">
      <alignment horizontal="center" vertical="center"/>
      <protection locked="0"/>
    </xf>
    <xf numFmtId="190" fontId="27" fillId="0" borderId="3" xfId="53" applyFont="1" applyBorder="1" applyAlignment="1">
      <alignment vertical="center" wrapText="1"/>
    </xf>
    <xf numFmtId="0" fontId="27" fillId="0" borderId="2" xfId="42" applyFont="1" applyBorder="1" applyAlignment="1">
      <alignment horizontal="center" vertical="center" wrapText="1"/>
    </xf>
    <xf numFmtId="0" fontId="29" fillId="0" borderId="2" xfId="47" applyNumberFormat="1" applyFont="1" applyBorder="1" applyAlignment="1">
      <alignment horizontal="center" vertical="center" wrapText="1"/>
    </xf>
    <xf numFmtId="190" fontId="27" fillId="0" borderId="2" xfId="53" applyFont="1" applyBorder="1" applyAlignment="1">
      <alignment horizontal="center" vertical="center" wrapText="1"/>
    </xf>
    <xf numFmtId="0" fontId="32" fillId="0" borderId="2" xfId="0" applyNumberFormat="1" applyFont="1" applyFill="1" applyBorder="1" applyAlignment="1" applyProtection="1">
      <alignment horizontal="center" vertical="center" wrapText="1"/>
    </xf>
    <xf numFmtId="0" fontId="36" fillId="0" borderId="2" xfId="0" applyNumberFormat="1" applyFont="1" applyFill="1" applyBorder="1" applyAlignment="1" applyProtection="1">
      <alignment horizontal="center" vertical="center" wrapText="1"/>
    </xf>
    <xf numFmtId="0" fontId="55" fillId="0" borderId="2" xfId="0" applyNumberFormat="1" applyFont="1" applyFill="1" applyBorder="1" applyAlignment="1" applyProtection="1">
      <alignment horizontal="center" vertical="center" wrapText="1"/>
    </xf>
    <xf numFmtId="190" fontId="30" fillId="0" borderId="2" xfId="53" applyFont="1" applyBorder="1" applyAlignment="1">
      <alignment vertical="center" wrapText="1"/>
    </xf>
    <xf numFmtId="190" fontId="30" fillId="0" borderId="2" xfId="53" applyFont="1" applyBorder="1" applyAlignment="1">
      <alignment horizontal="center" vertical="center" wrapText="1"/>
    </xf>
    <xf numFmtId="190" fontId="8" fillId="0" borderId="3" xfId="53" applyFont="1" applyBorder="1" applyAlignment="1">
      <alignment vertical="center" wrapText="1"/>
    </xf>
    <xf numFmtId="0" fontId="36" fillId="0" borderId="0" xfId="0" applyNumberFormat="1" applyFont="1" applyFill="1" applyBorder="1" applyAlignment="1" applyProtection="1">
      <alignment horizontal="center" vertical="center" wrapText="1"/>
    </xf>
    <xf numFmtId="0" fontId="55" fillId="0" borderId="0" xfId="0" applyNumberFormat="1" applyFont="1" applyFill="1" applyBorder="1" applyAlignment="1" applyProtection="1">
      <alignment horizontal="center" vertical="center" wrapText="1"/>
    </xf>
    <xf numFmtId="0" fontId="32" fillId="0" borderId="0" xfId="0" applyNumberFormat="1" applyFont="1" applyFill="1" applyBorder="1" applyAlignment="1" applyProtection="1">
      <alignment horizontal="center" vertical="center" wrapText="1"/>
    </xf>
    <xf numFmtId="190" fontId="30" fillId="0" borderId="3" xfId="53" applyFont="1" applyBorder="1" applyAlignment="1">
      <alignment vertical="center" wrapText="1"/>
    </xf>
    <xf numFmtId="0" fontId="30" fillId="0" borderId="2" xfId="47" applyNumberFormat="1" applyFont="1" applyBorder="1" applyAlignment="1">
      <alignment vertical="center" wrapText="1"/>
    </xf>
    <xf numFmtId="190" fontId="55" fillId="0" borderId="2" xfId="0" applyNumberFormat="1" applyFont="1" applyFill="1" applyBorder="1" applyAlignment="1" applyProtection="1">
      <alignment vertical="center" wrapText="1"/>
    </xf>
    <xf numFmtId="0" fontId="27" fillId="0" borderId="2" xfId="47" applyNumberFormat="1" applyFont="1" applyFill="1" applyBorder="1" applyAlignment="1">
      <alignment horizontal="center" vertical="center" wrapText="1"/>
    </xf>
    <xf numFmtId="190" fontId="27" fillId="0" borderId="2" xfId="53" applyFont="1" applyFill="1" applyBorder="1" applyAlignment="1">
      <alignment horizontal="center" vertical="center" wrapText="1"/>
    </xf>
    <xf numFmtId="0" fontId="11" fillId="0" borderId="2" xfId="47" applyNumberFormat="1" applyFont="1" applyBorder="1" applyAlignment="1">
      <alignment horizontal="center" vertical="center" wrapText="1"/>
    </xf>
    <xf numFmtId="190" fontId="57" fillId="8" borderId="0" xfId="0" applyNumberFormat="1" applyFont="1" applyFill="1" applyBorder="1" applyAlignment="1" applyProtection="1">
      <alignment horizontal="left" vertical="center"/>
      <protection locked="0"/>
    </xf>
    <xf numFmtId="190" fontId="3" fillId="0" borderId="2" xfId="53" applyFont="1" applyBorder="1" applyAlignment="1">
      <alignment horizontal="center" vertical="center" wrapText="1"/>
    </xf>
    <xf numFmtId="0" fontId="3" fillId="9" borderId="0" xfId="0" applyFont="1" applyFill="1" applyAlignment="1">
      <alignment horizontal="justify" vertical="center" wrapText="1"/>
      <protection locked="0"/>
    </xf>
    <xf numFmtId="0" fontId="58" fillId="0" borderId="0" xfId="0" applyFont="1" applyAlignment="1">
      <alignment horizontal="justify" wrapText="1"/>
      <protection locked="0"/>
    </xf>
    <xf numFmtId="0" fontId="45" fillId="0" borderId="35" xfId="0" applyFont="1" applyBorder="1" applyAlignment="1" applyProtection="1">
      <alignment horizontal="center" vertical="center"/>
    </xf>
    <xf numFmtId="0" fontId="15" fillId="0" borderId="35" xfId="3" applyFont="1" applyBorder="1" applyAlignment="1">
      <alignment vertical="center"/>
      <protection locked="0"/>
    </xf>
    <xf numFmtId="0" fontId="58" fillId="0" borderId="0" xfId="0" applyFont="1" applyAlignment="1">
      <alignment horizontal="justify" vertical="top" wrapText="1"/>
      <protection locked="0"/>
    </xf>
    <xf numFmtId="0" fontId="8" fillId="9" borderId="0" xfId="0" applyFont="1" applyFill="1" applyAlignment="1">
      <alignment horizontal="justify" vertical="center" wrapText="1"/>
      <protection locked="0"/>
    </xf>
    <xf numFmtId="0" fontId="2" fillId="0" borderId="0" xfId="0" applyFont="1" applyAlignment="1">
      <alignment horizontal="justify"/>
      <protection locked="0"/>
    </xf>
    <xf numFmtId="0" fontId="59" fillId="0" borderId="35" xfId="3" applyFont="1" applyBorder="1" applyAlignment="1">
      <alignment vertical="center"/>
      <protection locked="0"/>
    </xf>
    <xf numFmtId="0" fontId="3" fillId="5" borderId="2" xfId="0" quotePrefix="1" applyFont="1" applyFill="1" applyBorder="1" applyAlignment="1" applyProtection="1">
      <alignment horizontal="right" vertical="center"/>
    </xf>
    <xf numFmtId="43" fontId="3" fillId="5" borderId="2" xfId="1" quotePrefix="1" applyFont="1" applyFill="1" applyBorder="1" applyAlignment="1">
      <alignment horizontal="center" vertical="center"/>
    </xf>
    <xf numFmtId="43" fontId="3" fillId="0" borderId="2" xfId="1" quotePrefix="1" applyFont="1" applyFill="1" applyBorder="1" applyAlignment="1">
      <alignment horizontal="center" vertical="center"/>
    </xf>
    <xf numFmtId="0" fontId="3" fillId="5" borderId="2" xfId="0" quotePrefix="1" applyFont="1" applyFill="1" applyBorder="1" applyAlignment="1" applyProtection="1">
      <alignment horizontal="centerContinuous" vertical="center"/>
    </xf>
    <xf numFmtId="0" fontId="3" fillId="0" borderId="3" xfId="45" quotePrefix="1" applyFont="1" applyBorder="1" applyAlignment="1">
      <alignment vertical="center"/>
      <protection locked="0"/>
    </xf>
    <xf numFmtId="0" fontId="4" fillId="0" borderId="3" xfId="45" quotePrefix="1" applyFont="1" applyBorder="1" applyAlignment="1">
      <alignment vertical="center"/>
      <protection locked="0"/>
    </xf>
    <xf numFmtId="0" fontId="87" fillId="0" borderId="0" xfId="61" applyFont="1" applyBorder="1" applyAlignment="1">
      <alignment vertical="center"/>
    </xf>
    <xf numFmtId="0" fontId="6" fillId="0" borderId="0" xfId="0" applyFont="1" applyAlignment="1">
      <alignment horizontal="center" vertical="center"/>
      <protection locked="0"/>
    </xf>
    <xf numFmtId="0" fontId="3" fillId="9" borderId="0" xfId="0" applyFont="1" applyFill="1" applyBorder="1" applyAlignment="1">
      <alignment horizontal="justify" vertical="center" wrapText="1"/>
      <protection locked="0"/>
    </xf>
    <xf numFmtId="190" fontId="45" fillId="0" borderId="35" xfId="0" applyNumberFormat="1" applyFont="1" applyBorder="1" applyAlignment="1" applyProtection="1">
      <alignment horizontal="center" vertical="center"/>
    </xf>
    <xf numFmtId="0" fontId="32" fillId="0" borderId="35" xfId="0" applyFont="1" applyBorder="1" applyAlignment="1" applyProtection="1">
      <alignment horizontal="center" vertical="center"/>
    </xf>
    <xf numFmtId="190" fontId="28" fillId="0" borderId="0" xfId="78" applyFont="1" applyFill="1" applyAlignment="1">
      <alignment horizontal="left" vertical="center"/>
    </xf>
    <xf numFmtId="190" fontId="11" fillId="0" borderId="2" xfId="0" applyNumberFormat="1" applyFont="1" applyFill="1" applyBorder="1" applyAlignment="1" applyProtection="1">
      <alignment horizontal="center" vertical="center" wrapText="1"/>
    </xf>
    <xf numFmtId="190" fontId="12" fillId="0" borderId="0" xfId="3" applyNumberFormat="1" applyFont="1" applyAlignment="1" applyProtection="1">
      <alignment vertical="center" wrapText="1"/>
      <protection locked="0"/>
    </xf>
    <xf numFmtId="43" fontId="10" fillId="4" borderId="34" xfId="1" applyFont="1" applyFill="1" applyBorder="1" applyAlignment="1" applyProtection="1">
      <alignment horizontal="center" vertical="center" wrapText="1"/>
      <protection locked="0"/>
    </xf>
    <xf numFmtId="43" fontId="10" fillId="4" borderId="34" xfId="1" applyFont="1" applyFill="1" applyBorder="1" applyAlignment="1" applyProtection="1">
      <alignment horizontal="center" vertical="center"/>
      <protection locked="0"/>
    </xf>
    <xf numFmtId="43" fontId="10" fillId="0" borderId="0" xfId="62" applyNumberFormat="1" applyFont="1" applyBorder="1" applyAlignment="1">
      <alignment vertical="center"/>
    </xf>
    <xf numFmtId="43" fontId="10" fillId="4" borderId="34" xfId="1" applyFont="1" applyFill="1" applyBorder="1" applyAlignment="1">
      <alignment horizontal="left" vertical="center"/>
    </xf>
    <xf numFmtId="43" fontId="8" fillId="0" borderId="34" xfId="1" applyFont="1" applyFill="1" applyBorder="1" applyAlignment="1">
      <alignment horizontal="left" vertical="center"/>
    </xf>
    <xf numFmtId="43" fontId="10" fillId="4" borderId="34" xfId="1" applyFont="1" applyFill="1" applyBorder="1" applyAlignment="1">
      <alignment horizontal="left" vertical="center" wrapText="1"/>
    </xf>
    <xf numFmtId="43" fontId="10" fillId="0" borderId="34" xfId="1" applyFont="1" applyFill="1" applyBorder="1" applyAlignment="1">
      <alignment vertical="center"/>
    </xf>
    <xf numFmtId="43" fontId="10" fillId="0" borderId="0" xfId="62" applyNumberFormat="1" applyFont="1" applyBorder="1" applyAlignment="1">
      <alignment horizontal="left" vertical="center"/>
    </xf>
    <xf numFmtId="43" fontId="10" fillId="4" borderId="2" xfId="1" applyFont="1" applyFill="1" applyBorder="1" applyAlignment="1">
      <alignment horizontal="center" vertical="center" wrapText="1"/>
    </xf>
    <xf numFmtId="0" fontId="10" fillId="4" borderId="2" xfId="0" applyFont="1" applyFill="1" applyBorder="1" applyAlignment="1" applyProtection="1">
      <alignment horizontal="center" vertical="center" wrapText="1"/>
    </xf>
    <xf numFmtId="0" fontId="30" fillId="0" borderId="0" xfId="0" applyFont="1" applyAlignment="1" applyProtection="1">
      <alignment horizontal="center" vertical="center" wrapText="1"/>
    </xf>
    <xf numFmtId="0" fontId="12" fillId="0" borderId="0" xfId="3" applyFont="1" applyAlignment="1">
      <alignment vertical="center"/>
      <protection locked="0"/>
    </xf>
    <xf numFmtId="0" fontId="18" fillId="0" borderId="0" xfId="0" applyFont="1" applyAlignment="1">
      <alignment vertical="center"/>
      <protection locked="0"/>
    </xf>
    <xf numFmtId="43" fontId="18" fillId="4" borderId="2" xfId="1" applyFont="1" applyFill="1" applyBorder="1" applyAlignment="1" applyProtection="1">
      <alignment horizontal="center" vertical="center" wrapText="1"/>
      <protection locked="0"/>
    </xf>
    <xf numFmtId="43" fontId="3" fillId="5" borderId="2" xfId="1" applyFont="1" applyFill="1" applyBorder="1" applyAlignment="1" applyProtection="1">
      <alignment horizontal="center" vertical="center"/>
      <protection locked="0"/>
    </xf>
    <xf numFmtId="43" fontId="3" fillId="5" borderId="0" xfId="1" applyFont="1" applyFill="1" applyAlignment="1" applyProtection="1">
      <alignment vertical="center"/>
      <protection locked="0"/>
    </xf>
    <xf numFmtId="14" fontId="8" fillId="0" borderId="0" xfId="45" applyNumberFormat="1" applyFont="1" applyAlignment="1">
      <alignment horizontal="right" vertical="center"/>
      <protection locked="0"/>
    </xf>
    <xf numFmtId="0" fontId="3" fillId="0" borderId="0" xfId="45" applyFont="1" applyAlignment="1">
      <alignment horizontal="right" vertical="center"/>
      <protection locked="0"/>
    </xf>
    <xf numFmtId="43" fontId="14" fillId="0" borderId="0" xfId="1" applyFont="1" applyFill="1" applyAlignment="1">
      <alignment vertical="center"/>
    </xf>
    <xf numFmtId="0" fontId="5" fillId="0" borderId="2" xfId="42" applyFont="1" applyBorder="1" applyAlignment="1">
      <alignment horizontal="center" vertical="center"/>
    </xf>
    <xf numFmtId="0" fontId="18" fillId="4" borderId="2" xfId="42" applyFont="1" applyFill="1" applyBorder="1" applyAlignment="1">
      <alignment vertical="center" wrapText="1"/>
    </xf>
    <xf numFmtId="190" fontId="10" fillId="12" borderId="2" xfId="46" applyFont="1" applyFill="1" applyBorder="1" applyAlignment="1">
      <alignment vertical="center"/>
      <protection locked="0"/>
    </xf>
    <xf numFmtId="43" fontId="4" fillId="12" borderId="2" xfId="73" applyFont="1" applyFill="1" applyBorder="1" applyAlignment="1" applyProtection="1">
      <alignment vertical="center"/>
      <protection locked="0"/>
    </xf>
    <xf numFmtId="49" fontId="10" fillId="12" borderId="2" xfId="46" applyNumberFormat="1" applyFont="1" applyFill="1" applyBorder="1" applyAlignment="1">
      <alignment horizontal="center" vertical="center"/>
      <protection locked="0"/>
    </xf>
    <xf numFmtId="0" fontId="4" fillId="12" borderId="2" xfId="0" applyFont="1" applyFill="1" applyBorder="1" applyAlignment="1" applyProtection="1">
      <alignment horizontal="center" vertical="center"/>
      <protection locked="0"/>
    </xf>
    <xf numFmtId="0" fontId="4" fillId="12" borderId="2" xfId="73" applyNumberFormat="1" applyFont="1" applyFill="1" applyBorder="1" applyAlignment="1" applyProtection="1">
      <alignment horizontal="center" vertical="center"/>
      <protection locked="0"/>
    </xf>
    <xf numFmtId="49" fontId="4" fillId="12" borderId="2" xfId="46" applyNumberFormat="1" applyFont="1" applyFill="1" applyBorder="1" applyAlignment="1">
      <alignment vertical="center"/>
      <protection locked="0"/>
    </xf>
    <xf numFmtId="0" fontId="4" fillId="12" borderId="0" xfId="61" applyFont="1" applyFill="1" applyAlignment="1" applyProtection="1">
      <alignment vertical="center"/>
      <protection locked="0"/>
    </xf>
    <xf numFmtId="0" fontId="4" fillId="12" borderId="0" xfId="0" applyFont="1" applyFill="1" applyAlignment="1">
      <alignment vertical="center"/>
      <protection locked="0"/>
    </xf>
    <xf numFmtId="0" fontId="4" fillId="12" borderId="2" xfId="0" applyFont="1" applyFill="1" applyBorder="1" applyAlignment="1">
      <alignment horizontal="left" vertical="center"/>
      <protection locked="0"/>
    </xf>
    <xf numFmtId="10" fontId="4" fillId="12" borderId="2" xfId="2" applyNumberFormat="1" applyFont="1" applyFill="1" applyBorder="1" applyAlignment="1" applyProtection="1">
      <alignment horizontal="right" vertical="center"/>
      <protection locked="0"/>
    </xf>
    <xf numFmtId="0" fontId="4" fillId="12" borderId="2" xfId="0" applyFont="1" applyFill="1" applyBorder="1" applyAlignment="1">
      <alignment horizontal="center" vertical="center"/>
      <protection locked="0"/>
    </xf>
    <xf numFmtId="0" fontId="4" fillId="12" borderId="2" xfId="61" applyFont="1" applyFill="1" applyBorder="1" applyAlignment="1" applyProtection="1">
      <alignment vertical="center"/>
      <protection locked="0"/>
    </xf>
    <xf numFmtId="0" fontId="2" fillId="0" borderId="0" xfId="0" applyFont="1" applyAlignment="1">
      <alignment horizontal="left" vertical="center" wrapText="1"/>
      <protection locked="0"/>
    </xf>
    <xf numFmtId="0" fontId="5" fillId="0" borderId="0" xfId="0" applyFont="1" applyAlignment="1">
      <alignment horizontal="left" vertical="center" wrapText="1"/>
      <protection locked="0"/>
    </xf>
    <xf numFmtId="0" fontId="13" fillId="5" borderId="3" xfId="0" applyNumberFormat="1" applyFont="1" applyFill="1" applyBorder="1" applyAlignment="1" applyProtection="1">
      <alignment horizontal="center" vertical="center"/>
      <protection locked="0"/>
    </xf>
    <xf numFmtId="0" fontId="13" fillId="5" borderId="4" xfId="0" applyNumberFormat="1" applyFont="1" applyFill="1" applyBorder="1" applyAlignment="1" applyProtection="1">
      <alignment horizontal="center" vertical="center"/>
      <protection locked="0"/>
    </xf>
    <xf numFmtId="0" fontId="13" fillId="5" borderId="11" xfId="0" applyNumberFormat="1" applyFont="1" applyFill="1" applyBorder="1" applyAlignment="1" applyProtection="1">
      <alignment horizontal="center" vertical="center"/>
      <protection locked="0"/>
    </xf>
    <xf numFmtId="190" fontId="56" fillId="7" borderId="27" xfId="53" applyFont="1" applyFill="1" applyBorder="1" applyAlignment="1" applyProtection="1">
      <alignment horizontal="left" vertical="center" wrapText="1"/>
      <protection locked="0"/>
    </xf>
    <xf numFmtId="190" fontId="56" fillId="7" borderId="0" xfId="53" applyFont="1" applyFill="1" applyAlignment="1" applyProtection="1">
      <alignment horizontal="left" vertical="center" wrapText="1"/>
      <protection locked="0"/>
    </xf>
    <xf numFmtId="190" fontId="56" fillId="7" borderId="0" xfId="53" applyFont="1" applyFill="1" applyBorder="1" applyAlignment="1" applyProtection="1">
      <alignment horizontal="left" vertical="center" wrapText="1"/>
      <protection locked="0"/>
    </xf>
    <xf numFmtId="49" fontId="4" fillId="4" borderId="5" xfId="47" applyNumberFormat="1" applyFont="1" applyFill="1" applyBorder="1" applyAlignment="1" applyProtection="1">
      <alignment vertical="center"/>
      <protection locked="0"/>
    </xf>
    <xf numFmtId="49" fontId="4" fillId="4" borderId="6" xfId="47" applyNumberFormat="1" applyFont="1" applyFill="1" applyBorder="1" applyAlignment="1" applyProtection="1">
      <alignment vertical="center"/>
      <protection locked="0"/>
    </xf>
    <xf numFmtId="190" fontId="10" fillId="12" borderId="2" xfId="53" applyFont="1" applyFill="1" applyBorder="1" applyAlignment="1" applyProtection="1">
      <alignment horizontal="center" vertical="center" wrapText="1"/>
      <protection locked="0"/>
    </xf>
    <xf numFmtId="190" fontId="4" fillId="4" borderId="5" xfId="47" applyFont="1" applyFill="1" applyBorder="1" applyAlignment="1" applyProtection="1">
      <alignment horizontal="center" vertical="center" wrapText="1"/>
      <protection locked="0"/>
    </xf>
    <xf numFmtId="190" fontId="4" fillId="4" borderId="6" xfId="47" applyFont="1" applyFill="1" applyBorder="1" applyAlignment="1" applyProtection="1">
      <alignment horizontal="center" vertical="center" wrapText="1"/>
      <protection locked="0"/>
    </xf>
    <xf numFmtId="190" fontId="4" fillId="4" borderId="5" xfId="53" applyFont="1" applyFill="1" applyBorder="1" applyAlignment="1" applyProtection="1">
      <alignment horizontal="center" vertical="center" wrapText="1"/>
      <protection locked="0"/>
    </xf>
    <xf numFmtId="190" fontId="4" fillId="4" borderId="6" xfId="53" applyFont="1" applyFill="1" applyBorder="1" applyAlignment="1" applyProtection="1">
      <alignment horizontal="center" vertical="center" wrapText="1"/>
      <protection locked="0"/>
    </xf>
    <xf numFmtId="190" fontId="3" fillId="0" borderId="2" xfId="53" applyFont="1" applyBorder="1" applyAlignment="1" applyProtection="1">
      <alignment horizontal="center" vertical="center" wrapText="1"/>
      <protection locked="0"/>
    </xf>
    <xf numFmtId="190" fontId="2" fillId="0" borderId="0" xfId="58" applyFont="1" applyAlignment="1">
      <alignment horizontal="center" vertical="center"/>
    </xf>
    <xf numFmtId="190" fontId="6" fillId="0" borderId="0" xfId="58" applyFont="1" applyAlignment="1">
      <alignment horizontal="center" vertical="center"/>
    </xf>
    <xf numFmtId="190" fontId="7" fillId="0" borderId="0" xfId="58" applyFont="1" applyAlignment="1">
      <alignment horizontal="center" vertical="center"/>
    </xf>
    <xf numFmtId="0" fontId="13" fillId="2" borderId="2" xfId="53" applyNumberFormat="1" applyFont="1" applyFill="1" applyBorder="1" applyAlignment="1" applyProtection="1">
      <alignment horizontal="center" vertical="center" wrapText="1"/>
      <protection locked="0"/>
    </xf>
    <xf numFmtId="190" fontId="3" fillId="0" borderId="2" xfId="47" applyFont="1" applyBorder="1" applyAlignment="1" applyProtection="1">
      <alignment horizontal="left" vertical="center" wrapText="1"/>
      <protection locked="0"/>
    </xf>
    <xf numFmtId="190" fontId="4" fillId="2" borderId="2" xfId="53" applyFont="1" applyFill="1" applyBorder="1" applyAlignment="1" applyProtection="1">
      <alignment horizontal="center" vertical="center"/>
      <protection locked="0"/>
    </xf>
    <xf numFmtId="43" fontId="17" fillId="0" borderId="0" xfId="62" applyNumberFormat="1" applyFont="1" applyBorder="1" applyAlignment="1">
      <alignment horizontal="center" vertical="center"/>
    </xf>
    <xf numFmtId="43" fontId="6" fillId="0" borderId="0" xfId="62" applyNumberFormat="1" applyFont="1" applyBorder="1" applyAlignment="1">
      <alignment horizontal="center" vertical="center"/>
    </xf>
    <xf numFmtId="43" fontId="10" fillId="4" borderId="30" xfId="1" applyFont="1" applyFill="1" applyBorder="1" applyAlignment="1" applyProtection="1">
      <alignment horizontal="center" vertical="center" wrapText="1"/>
      <protection locked="0"/>
    </xf>
    <xf numFmtId="43" fontId="10" fillId="4" borderId="31" xfId="1" applyFont="1" applyFill="1" applyBorder="1" applyAlignment="1" applyProtection="1">
      <alignment horizontal="center" vertical="center" wrapText="1"/>
      <protection locked="0"/>
    </xf>
    <xf numFmtId="43" fontId="10" fillId="4" borderId="32" xfId="1" applyFont="1" applyFill="1" applyBorder="1" applyAlignment="1" applyProtection="1">
      <alignment horizontal="center" vertical="center" wrapText="1"/>
      <protection locked="0"/>
    </xf>
    <xf numFmtId="43" fontId="10" fillId="4" borderId="34" xfId="1" applyFont="1" applyFill="1" applyBorder="1" applyAlignment="1" applyProtection="1">
      <alignment horizontal="center" vertical="center" wrapText="1"/>
      <protection locked="0"/>
    </xf>
    <xf numFmtId="43" fontId="10" fillId="4" borderId="29" xfId="1" applyFont="1" applyFill="1" applyBorder="1" applyAlignment="1">
      <alignment horizontal="center" vertical="center"/>
    </xf>
    <xf numFmtId="43" fontId="10" fillId="4" borderId="33" xfId="1" applyFont="1" applyFill="1" applyBorder="1" applyAlignment="1">
      <alignment horizontal="center" vertical="center"/>
    </xf>
    <xf numFmtId="0" fontId="48" fillId="0" borderId="0" xfId="0" applyFont="1" applyAlignment="1">
      <alignment horizontal="left" vertical="center" wrapText="1"/>
      <protection locked="0"/>
    </xf>
    <xf numFmtId="0" fontId="47" fillId="0" borderId="19" xfId="0" applyFont="1" applyBorder="1" applyAlignment="1">
      <alignment horizontal="justify" vertical="center" wrapText="1"/>
      <protection locked="0"/>
    </xf>
    <xf numFmtId="0" fontId="47" fillId="0" borderId="24" xfId="0" applyFont="1" applyBorder="1" applyAlignment="1">
      <alignment horizontal="justify" vertical="center" wrapText="1"/>
      <protection locked="0"/>
    </xf>
    <xf numFmtId="0" fontId="5" fillId="0" borderId="24" xfId="0" applyFont="1" applyBorder="1" applyAlignment="1">
      <alignment horizontal="center" vertical="center"/>
      <protection locked="0"/>
    </xf>
    <xf numFmtId="0" fontId="47" fillId="0" borderId="19" xfId="0" applyFont="1" applyBorder="1" applyAlignment="1">
      <alignment horizontal="center" vertical="center" wrapText="1"/>
      <protection locked="0"/>
    </xf>
    <xf numFmtId="0" fontId="50" fillId="0" borderId="0" xfId="0" applyFont="1" applyAlignment="1">
      <alignment horizontal="left" vertical="center" wrapText="1"/>
      <protection locked="0"/>
    </xf>
    <xf numFmtId="0" fontId="5" fillId="0" borderId="0" xfId="0" applyFont="1" applyAlignment="1">
      <alignment horizontal="left" vertical="center"/>
      <protection locked="0"/>
    </xf>
    <xf numFmtId="0" fontId="48" fillId="0" borderId="0" xfId="0" applyFont="1" applyAlignment="1">
      <alignment vertical="center" wrapText="1"/>
      <protection locked="0"/>
    </xf>
    <xf numFmtId="0" fontId="2" fillId="0" borderId="0" xfId="57" applyFont="1" applyAlignment="1">
      <alignment horizontal="center" vertical="center"/>
    </xf>
    <xf numFmtId="0" fontId="7" fillId="0" borderId="0" xfId="57" applyFont="1" applyAlignment="1">
      <alignment horizontal="center" vertical="center"/>
    </xf>
    <xf numFmtId="0" fontId="5" fillId="0" borderId="24" xfId="0" applyFont="1" applyBorder="1" applyAlignment="1">
      <alignment horizontal="left" vertical="center"/>
      <protection locked="0"/>
    </xf>
    <xf numFmtId="0" fontId="48" fillId="0" borderId="19" xfId="0" applyFont="1" applyBorder="1" applyAlignment="1">
      <alignment horizontal="left" vertical="center"/>
      <protection locked="0"/>
    </xf>
    <xf numFmtId="0" fontId="10" fillId="4" borderId="2" xfId="0" applyFont="1" applyFill="1" applyBorder="1" applyAlignment="1">
      <alignment horizontal="center" vertical="center"/>
      <protection locked="0"/>
    </xf>
    <xf numFmtId="0" fontId="8" fillId="0" borderId="2" xfId="0" applyFont="1" applyBorder="1" applyAlignment="1">
      <alignment vertical="center"/>
      <protection locked="0"/>
    </xf>
    <xf numFmtId="0" fontId="36" fillId="4" borderId="2" xfId="0" applyFont="1" applyFill="1" applyBorder="1" applyAlignment="1">
      <alignment horizontal="center" vertical="center" wrapText="1"/>
      <protection locked="0"/>
    </xf>
    <xf numFmtId="0" fontId="10" fillId="4" borderId="2" xfId="0" applyFont="1" applyFill="1" applyBorder="1" applyAlignment="1" applyProtection="1">
      <alignment horizontal="center" vertical="center"/>
    </xf>
    <xf numFmtId="0" fontId="10" fillId="4" borderId="2" xfId="0" applyFont="1" applyFill="1" applyBorder="1" applyAlignment="1" applyProtection="1">
      <alignment horizontal="center" vertical="center" wrapText="1"/>
    </xf>
    <xf numFmtId="0" fontId="4" fillId="0" borderId="2" xfId="0" applyFont="1" applyBorder="1" applyAlignment="1" applyProtection="1">
      <alignment horizontal="center" vertical="center"/>
    </xf>
    <xf numFmtId="0" fontId="13" fillId="0" borderId="2" xfId="0" applyFont="1" applyBorder="1" applyAlignment="1" applyProtection="1">
      <alignment horizontal="center" vertical="center"/>
    </xf>
    <xf numFmtId="43" fontId="10" fillId="4" borderId="2" xfId="1" applyFont="1" applyFill="1" applyBorder="1" applyAlignment="1">
      <alignment horizontal="center" vertical="center" wrapText="1"/>
    </xf>
    <xf numFmtId="0" fontId="17" fillId="0" borderId="0" xfId="57" applyFont="1" applyAlignment="1">
      <alignment horizontal="center" vertical="center"/>
    </xf>
    <xf numFmtId="0" fontId="6" fillId="0" borderId="0" xfId="57" applyFont="1" applyAlignment="1">
      <alignment horizontal="center" vertical="center"/>
    </xf>
    <xf numFmtId="43" fontId="18" fillId="4" borderId="2" xfId="1" applyFont="1" applyFill="1" applyBorder="1" applyAlignment="1" applyProtection="1">
      <alignment horizontal="center" vertical="center" wrapText="1"/>
      <protection locked="0"/>
    </xf>
    <xf numFmtId="43" fontId="10" fillId="5" borderId="3" xfId="1" applyFont="1" applyFill="1" applyBorder="1" applyAlignment="1" applyProtection="1">
      <alignment horizontal="center" vertical="center"/>
      <protection locked="0"/>
    </xf>
    <xf numFmtId="43" fontId="10" fillId="5" borderId="11" xfId="1" applyFont="1" applyFill="1" applyBorder="1" applyAlignment="1" applyProtection="1">
      <alignment horizontal="center" vertical="center"/>
      <protection locked="0"/>
    </xf>
    <xf numFmtId="43" fontId="18" fillId="4" borderId="26" xfId="1" applyFont="1" applyFill="1" applyBorder="1" applyAlignment="1" applyProtection="1">
      <alignment horizontal="center" vertical="center"/>
      <protection locked="0"/>
    </xf>
    <xf numFmtId="43" fontId="18" fillId="4" borderId="8" xfId="1" applyFont="1" applyFill="1" applyBorder="1" applyAlignment="1" applyProtection="1">
      <alignment horizontal="center" vertical="center"/>
      <protection locked="0"/>
    </xf>
    <xf numFmtId="43" fontId="18" fillId="4" borderId="27" xfId="1" applyFont="1" applyFill="1" applyBorder="1" applyAlignment="1" applyProtection="1">
      <alignment horizontal="center" vertical="center"/>
      <protection locked="0"/>
    </xf>
    <xf numFmtId="43" fontId="18" fillId="4" borderId="28" xfId="1" applyFont="1" applyFill="1" applyBorder="1" applyAlignment="1" applyProtection="1">
      <alignment horizontal="center" vertical="center"/>
      <protection locked="0"/>
    </xf>
    <xf numFmtId="43" fontId="18" fillId="4" borderId="9" xfId="1" applyFont="1" applyFill="1" applyBorder="1" applyAlignment="1" applyProtection="1">
      <alignment horizontal="center" vertical="center"/>
      <protection locked="0"/>
    </xf>
    <xf numFmtId="43" fontId="18" fillId="4" borderId="10" xfId="1" applyFont="1" applyFill="1" applyBorder="1" applyAlignment="1" applyProtection="1">
      <alignment horizontal="center" vertical="center"/>
      <protection locked="0"/>
    </xf>
    <xf numFmtId="43" fontId="18" fillId="4" borderId="2" xfId="1" applyFont="1" applyFill="1" applyBorder="1" applyAlignment="1" applyProtection="1">
      <alignment horizontal="center" vertical="center"/>
      <protection locked="0"/>
    </xf>
    <xf numFmtId="43" fontId="17" fillId="0" borderId="0" xfId="63" applyNumberFormat="1" applyFont="1" applyBorder="1" applyAlignment="1">
      <alignment horizontal="center" vertical="center"/>
    </xf>
    <xf numFmtId="43" fontId="6" fillId="0" borderId="0" xfId="63" applyNumberFormat="1" applyFont="1" applyBorder="1" applyAlignment="1">
      <alignment horizontal="center" vertical="center"/>
    </xf>
    <xf numFmtId="0" fontId="40" fillId="0" borderId="0" xfId="43" applyFont="1" applyAlignment="1" applyProtection="1">
      <alignment horizontal="left" vertical="center" wrapText="1"/>
      <protection locked="0"/>
    </xf>
    <xf numFmtId="0" fontId="3" fillId="0" borderId="0" xfId="43" applyFont="1" applyAlignment="1" applyProtection="1">
      <alignment horizontal="left" vertical="center" wrapText="1"/>
      <protection locked="0"/>
    </xf>
    <xf numFmtId="0" fontId="28" fillId="0" borderId="0" xfId="0" applyFont="1" applyAlignment="1">
      <alignment vertical="center" wrapText="1"/>
      <protection locked="0"/>
    </xf>
    <xf numFmtId="0" fontId="28" fillId="0" borderId="0" xfId="0" applyFont="1" applyAlignment="1">
      <alignment vertical="center"/>
      <protection locked="0"/>
    </xf>
    <xf numFmtId="0" fontId="28" fillId="0" borderId="17" xfId="0" applyFont="1" applyBorder="1" applyAlignment="1">
      <alignment horizontal="justify" vertical="center" wrapText="1"/>
      <protection locked="0"/>
    </xf>
    <xf numFmtId="0" fontId="28" fillId="0" borderId="21" xfId="0" applyFont="1" applyBorder="1" applyAlignment="1">
      <alignment horizontal="justify" vertical="center" wrapText="1"/>
      <protection locked="0"/>
    </xf>
    <xf numFmtId="0" fontId="28" fillId="0" borderId="22" xfId="0" applyFont="1" applyBorder="1" applyAlignment="1">
      <alignment horizontal="justify" vertical="center" wrapText="1"/>
      <protection locked="0"/>
    </xf>
    <xf numFmtId="0" fontId="28" fillId="0" borderId="15" xfId="0" applyFont="1" applyBorder="1" applyAlignment="1">
      <alignment vertical="center" wrapText="1"/>
      <protection locked="0"/>
    </xf>
    <xf numFmtId="0" fontId="28" fillId="0" borderId="16" xfId="0" applyFont="1" applyBorder="1" applyAlignment="1">
      <alignment vertical="center" wrapText="1"/>
      <protection locked="0"/>
    </xf>
    <xf numFmtId="0" fontId="28" fillId="0" borderId="14" xfId="0" applyFont="1" applyBorder="1" applyAlignment="1">
      <alignment vertical="center" wrapText="1"/>
      <protection locked="0"/>
    </xf>
    <xf numFmtId="0" fontId="28" fillId="0" borderId="18" xfId="0" applyFont="1" applyBorder="1" applyAlignment="1">
      <alignment vertical="center" wrapText="1"/>
      <protection locked="0"/>
    </xf>
    <xf numFmtId="0" fontId="28" fillId="0" borderId="19" xfId="0" applyFont="1" applyBorder="1" applyAlignment="1">
      <alignment vertical="center" wrapText="1"/>
      <protection locked="0"/>
    </xf>
    <xf numFmtId="0" fontId="28" fillId="0" borderId="20" xfId="0" applyFont="1" applyBorder="1" applyAlignment="1">
      <alignment vertical="center" wrapText="1"/>
      <protection locked="0"/>
    </xf>
    <xf numFmtId="0" fontId="28" fillId="0" borderId="23" xfId="0" applyFont="1" applyBorder="1" applyAlignment="1">
      <alignment vertical="center" wrapText="1"/>
      <protection locked="0"/>
    </xf>
    <xf numFmtId="0" fontId="28" fillId="0" borderId="24" xfId="0" applyFont="1" applyBorder="1" applyAlignment="1">
      <alignment vertical="center" wrapText="1"/>
      <protection locked="0"/>
    </xf>
    <xf numFmtId="0" fontId="28" fillId="0" borderId="25" xfId="0" applyFont="1" applyBorder="1" applyAlignment="1">
      <alignment vertical="center" wrapText="1"/>
      <protection locked="0"/>
    </xf>
    <xf numFmtId="0" fontId="31" fillId="4" borderId="3" xfId="0" applyFont="1" applyFill="1" applyBorder="1" applyAlignment="1" applyProtection="1">
      <alignment horizontal="center" vertical="center" wrapText="1"/>
    </xf>
    <xf numFmtId="0" fontId="29" fillId="4" borderId="4" xfId="0" applyFont="1" applyFill="1" applyBorder="1" applyAlignment="1" applyProtection="1">
      <alignment horizontal="center" vertical="center" wrapText="1"/>
    </xf>
    <xf numFmtId="0" fontId="0" fillId="0" borderId="4" xfId="0" applyBorder="1" applyAlignment="1" applyProtection="1">
      <alignment horizontal="center" vertical="center" wrapText="1"/>
    </xf>
    <xf numFmtId="0" fontId="0" fillId="0" borderId="11" xfId="0" applyBorder="1" applyAlignment="1" applyProtection="1">
      <alignment horizontal="center" vertical="center" wrapText="1"/>
    </xf>
    <xf numFmtId="0" fontId="34" fillId="6" borderId="15" xfId="0" applyFont="1" applyFill="1" applyBorder="1" applyAlignment="1">
      <alignment horizontal="center" vertical="center" wrapText="1"/>
      <protection locked="0"/>
    </xf>
    <xf numFmtId="0" fontId="34" fillId="6" borderId="16" xfId="0" applyFont="1" applyFill="1" applyBorder="1" applyAlignment="1">
      <alignment horizontal="center" vertical="center" wrapText="1"/>
      <protection locked="0"/>
    </xf>
    <xf numFmtId="0" fontId="34" fillId="6" borderId="14" xfId="0" applyFont="1" applyFill="1" applyBorder="1" applyAlignment="1">
      <alignment horizontal="center" vertical="center" wrapText="1"/>
      <protection locked="0"/>
    </xf>
    <xf numFmtId="0" fontId="13" fillId="4" borderId="2" xfId="50" applyFont="1" applyFill="1" applyBorder="1" applyAlignment="1">
      <alignment horizontal="center" vertical="center" wrapText="1"/>
      <protection locked="0"/>
    </xf>
    <xf numFmtId="0" fontId="4" fillId="4" borderId="2" xfId="50" applyFont="1" applyFill="1" applyBorder="1" applyAlignment="1">
      <alignment horizontal="center" vertical="center" wrapText="1"/>
      <protection locked="0"/>
    </xf>
    <xf numFmtId="0" fontId="13" fillId="4" borderId="5" xfId="50" applyFont="1" applyFill="1" applyBorder="1" applyAlignment="1">
      <alignment horizontal="center" vertical="center" wrapText="1"/>
      <protection locked="0"/>
    </xf>
    <xf numFmtId="0" fontId="4" fillId="4" borderId="6" xfId="50" applyFont="1" applyFill="1" applyBorder="1" applyAlignment="1">
      <alignment horizontal="center" vertical="center" wrapText="1"/>
      <protection locked="0"/>
    </xf>
    <xf numFmtId="0" fontId="31" fillId="4" borderId="5" xfId="0" applyFont="1" applyFill="1" applyBorder="1" applyAlignment="1" applyProtection="1">
      <alignment horizontal="center" vertical="center" wrapText="1"/>
    </xf>
    <xf numFmtId="0" fontId="31" fillId="4" borderId="6" xfId="0" applyFont="1" applyFill="1" applyBorder="1" applyAlignment="1" applyProtection="1">
      <alignment horizontal="center" vertical="center" wrapText="1"/>
    </xf>
    <xf numFmtId="0" fontId="29" fillId="4" borderId="6" xfId="0" applyFont="1" applyFill="1" applyBorder="1" applyAlignment="1" applyProtection="1">
      <alignment horizontal="center" vertical="center" wrapText="1"/>
    </xf>
    <xf numFmtId="0" fontId="31" fillId="4" borderId="2" xfId="0" applyFont="1" applyFill="1" applyBorder="1" applyAlignment="1" applyProtection="1">
      <alignment horizontal="center" vertical="center" wrapText="1"/>
    </xf>
    <xf numFmtId="0" fontId="29" fillId="4" borderId="2" xfId="0" applyFont="1" applyFill="1" applyBorder="1" applyAlignment="1" applyProtection="1">
      <alignment horizontal="center" vertical="center" wrapText="1"/>
    </xf>
    <xf numFmtId="0" fontId="8" fillId="0" borderId="0" xfId="45" applyFont="1" applyAlignment="1">
      <alignment horizontal="left" vertical="center" wrapText="1"/>
      <protection locked="0"/>
    </xf>
    <xf numFmtId="0" fontId="8" fillId="0" borderId="0" xfId="61" applyFont="1" applyAlignment="1">
      <alignment horizontal="left" vertical="center" wrapText="1"/>
    </xf>
    <xf numFmtId="0" fontId="18" fillId="4" borderId="3" xfId="42" applyFont="1" applyFill="1" applyBorder="1" applyAlignment="1">
      <alignment horizontal="center" vertical="center" wrapText="1"/>
    </xf>
    <xf numFmtId="0" fontId="18" fillId="4" borderId="4" xfId="42" applyFont="1" applyFill="1" applyBorder="1" applyAlignment="1">
      <alignment horizontal="center" vertical="center" wrapText="1"/>
    </xf>
    <xf numFmtId="0" fontId="18" fillId="4" borderId="11" xfId="42" applyFont="1" applyFill="1" applyBorder="1" applyAlignment="1">
      <alignment horizontal="center" vertical="center" wrapText="1"/>
    </xf>
    <xf numFmtId="0" fontId="18" fillId="4" borderId="7" xfId="42" applyFont="1" applyFill="1" applyBorder="1" applyAlignment="1">
      <alignment horizontal="center" vertical="center" wrapText="1"/>
    </xf>
    <xf numFmtId="0" fontId="18" fillId="4" borderId="1" xfId="42" applyFont="1" applyFill="1" applyBorder="1" applyAlignment="1">
      <alignment horizontal="center" vertical="center" wrapText="1"/>
    </xf>
    <xf numFmtId="0" fontId="18" fillId="4" borderId="8" xfId="42" applyFont="1" applyFill="1" applyBorder="1" applyAlignment="1">
      <alignment horizontal="center" vertical="center" wrapText="1"/>
    </xf>
    <xf numFmtId="0" fontId="18" fillId="4" borderId="10" xfId="42" applyFont="1" applyFill="1" applyBorder="1" applyAlignment="1">
      <alignment horizontal="center" vertical="center" wrapText="1"/>
    </xf>
    <xf numFmtId="0" fontId="13" fillId="4" borderId="5" xfId="0" applyFont="1" applyFill="1" applyBorder="1" applyAlignment="1">
      <alignment horizontal="center" vertical="center" wrapText="1"/>
      <protection locked="0"/>
    </xf>
    <xf numFmtId="0" fontId="13" fillId="4" borderId="6" xfId="0" applyFont="1" applyFill="1" applyBorder="1" applyAlignment="1">
      <alignment horizontal="center" vertical="center" wrapText="1"/>
      <protection locked="0"/>
    </xf>
    <xf numFmtId="0" fontId="18" fillId="4" borderId="2" xfId="42" applyFont="1" applyFill="1" applyBorder="1" applyAlignment="1">
      <alignment horizontal="center" vertical="center" wrapText="1"/>
    </xf>
    <xf numFmtId="0" fontId="16" fillId="0" borderId="5" xfId="42" applyFont="1" applyBorder="1" applyAlignment="1">
      <alignment horizontal="center" vertical="center"/>
    </xf>
    <xf numFmtId="0" fontId="16" fillId="0" borderId="12" xfId="42" applyFont="1" applyBorder="1" applyAlignment="1">
      <alignment horizontal="center" vertical="center"/>
    </xf>
    <xf numFmtId="0" fontId="16" fillId="0" borderId="6" xfId="42" applyFont="1" applyBorder="1" applyAlignment="1">
      <alignment horizontal="center" vertical="center"/>
    </xf>
    <xf numFmtId="0" fontId="13" fillId="4" borderId="3" xfId="0" applyFont="1" applyFill="1" applyBorder="1" applyAlignment="1">
      <alignment horizontal="center" vertical="center"/>
      <protection locked="0"/>
    </xf>
    <xf numFmtId="0" fontId="13" fillId="4" borderId="4" xfId="0" applyFont="1" applyFill="1" applyBorder="1" applyAlignment="1">
      <alignment horizontal="center" vertical="center"/>
      <protection locked="0"/>
    </xf>
    <xf numFmtId="0" fontId="13" fillId="4" borderId="11" xfId="0" applyFont="1" applyFill="1" applyBorder="1" applyAlignment="1">
      <alignment horizontal="center" vertical="center"/>
      <protection locked="0"/>
    </xf>
    <xf numFmtId="0" fontId="18" fillId="4" borderId="5" xfId="42" applyFont="1" applyFill="1" applyBorder="1" applyAlignment="1">
      <alignment horizontal="center" vertical="center" wrapText="1"/>
    </xf>
    <xf numFmtId="0" fontId="18" fillId="4" borderId="6" xfId="42" applyFont="1" applyFill="1" applyBorder="1" applyAlignment="1">
      <alignment horizontal="center" vertical="center" wrapText="1"/>
    </xf>
    <xf numFmtId="0" fontId="18" fillId="4" borderId="9" xfId="42" applyFont="1" applyFill="1" applyBorder="1" applyAlignment="1">
      <alignment horizontal="center" vertical="center" wrapText="1"/>
    </xf>
    <xf numFmtId="0" fontId="13" fillId="4" borderId="2" xfId="0" applyFont="1" applyFill="1" applyBorder="1" applyAlignment="1">
      <alignment horizontal="center" vertical="center" wrapText="1"/>
      <protection locked="0"/>
    </xf>
    <xf numFmtId="0" fontId="16" fillId="0" borderId="2" xfId="42" applyFont="1" applyBorder="1" applyAlignment="1">
      <alignment horizontal="center" vertical="center"/>
    </xf>
    <xf numFmtId="0" fontId="13" fillId="4" borderId="2" xfId="0" applyFont="1" applyFill="1" applyBorder="1" applyAlignment="1">
      <alignment horizontal="center" vertical="center"/>
      <protection locked="0"/>
    </xf>
    <xf numFmtId="14" fontId="10" fillId="12" borderId="2" xfId="46" applyNumberFormat="1" applyFont="1" applyFill="1" applyBorder="1" applyAlignment="1">
      <alignment horizontal="center" vertical="center"/>
      <protection locked="0"/>
    </xf>
    <xf numFmtId="0" fontId="17" fillId="0" borderId="0" xfId="0" applyFont="1" applyAlignment="1">
      <alignment horizontal="center" vertical="center"/>
      <protection locked="0"/>
    </xf>
    <xf numFmtId="0" fontId="6" fillId="0" borderId="0" xfId="0" applyFont="1" applyAlignment="1">
      <alignment horizontal="center" vertical="center"/>
      <protection locked="0"/>
    </xf>
    <xf numFmtId="0" fontId="13" fillId="3" borderId="2" xfId="44" applyFont="1" applyFill="1" applyBorder="1" applyAlignment="1" applyProtection="1">
      <alignment horizontal="center" vertical="center" wrapText="1"/>
    </xf>
    <xf numFmtId="0" fontId="13" fillId="3" borderId="5" xfId="44" applyFont="1" applyFill="1" applyBorder="1" applyAlignment="1" applyProtection="1">
      <alignment horizontal="center" vertical="center" wrapText="1"/>
    </xf>
    <xf numFmtId="0" fontId="13" fillId="3" borderId="6" xfId="44" applyFont="1" applyFill="1" applyBorder="1" applyAlignment="1" applyProtection="1">
      <alignment horizontal="center" vertical="center" wrapText="1"/>
    </xf>
    <xf numFmtId="0" fontId="13" fillId="2" borderId="2" xfId="43" applyFont="1" applyFill="1" applyBorder="1" applyAlignment="1" applyProtection="1">
      <alignment horizontal="center" vertical="center"/>
      <protection locked="0"/>
    </xf>
    <xf numFmtId="0" fontId="4" fillId="2" borderId="2" xfId="43" applyFont="1" applyFill="1" applyBorder="1" applyAlignment="1" applyProtection="1">
      <alignment horizontal="center" vertical="center"/>
      <protection locked="0"/>
    </xf>
    <xf numFmtId="0" fontId="13" fillId="2" borderId="2" xfId="44" applyFont="1" applyFill="1" applyBorder="1" applyAlignment="1" applyProtection="1">
      <alignment horizontal="center" vertical="center"/>
      <protection locked="0"/>
    </xf>
    <xf numFmtId="0" fontId="4" fillId="2" borderId="3" xfId="0" applyFont="1" applyFill="1" applyBorder="1" applyAlignment="1" applyProtection="1">
      <alignment horizontal="center" vertical="center"/>
      <protection locked="0"/>
    </xf>
    <xf numFmtId="0" fontId="4" fillId="2" borderId="4" xfId="0" applyFont="1" applyFill="1" applyBorder="1" applyAlignment="1" applyProtection="1">
      <alignment horizontal="center" vertical="center"/>
      <protection locked="0"/>
    </xf>
    <xf numFmtId="0" fontId="13" fillId="2" borderId="2" xfId="43" applyFont="1" applyFill="1" applyBorder="1" applyAlignment="1" applyProtection="1">
      <alignment horizontal="center" vertical="center" wrapText="1"/>
      <protection locked="0"/>
    </xf>
    <xf numFmtId="0" fontId="4" fillId="2" borderId="2" xfId="43" applyFont="1" applyFill="1" applyBorder="1" applyAlignment="1" applyProtection="1">
      <alignment horizontal="center" vertical="center" wrapText="1"/>
      <protection locked="0"/>
    </xf>
  </cellXfs>
  <cellStyles count="79">
    <cellStyle name="@_text" xfId="4"/>
    <cellStyle name="{Comma [0]}" xfId="5"/>
    <cellStyle name="{Comma}" xfId="6"/>
    <cellStyle name="{Date}" xfId="7"/>
    <cellStyle name="{Month}" xfId="8"/>
    <cellStyle name="{Percent}" xfId="9"/>
    <cellStyle name="{Thousand [0]}" xfId="10"/>
    <cellStyle name="{Thousand}" xfId="11"/>
    <cellStyle name="{Z'0000(1 dec)}" xfId="12"/>
    <cellStyle name="{Z'0000(4 dec)}" xfId="13"/>
    <cellStyle name="Black" xfId="14"/>
    <cellStyle name="Border" xfId="15"/>
    <cellStyle name="Comma [0]_1995" xfId="16"/>
    <cellStyle name="Comma_1995" xfId="17"/>
    <cellStyle name="Currency [0]_1995" xfId="18"/>
    <cellStyle name="Currency_1995" xfId="19"/>
    <cellStyle name="Dezimal [0]_laroux" xfId="20"/>
    <cellStyle name="Dezimal_laroux" xfId="21"/>
    <cellStyle name="Euro" xfId="22"/>
    <cellStyle name="Followed Hyperlink_AheadBehind.xls Chart 23" xfId="23"/>
    <cellStyle name="Grey" xfId="24"/>
    <cellStyle name="Header1" xfId="25"/>
    <cellStyle name="Header2" xfId="26"/>
    <cellStyle name="Hyperlink_AheadBehind.xls Chart 23" xfId="27"/>
    <cellStyle name="Input [yellow]" xfId="28"/>
    <cellStyle name="Milliers [0]_laroux" xfId="29"/>
    <cellStyle name="Milliers_laroux" xfId="30"/>
    <cellStyle name="Non défini" xfId="31"/>
    <cellStyle name="Normal - Style1" xfId="32"/>
    <cellStyle name="Normal_ SG&amp;A Bridge " xfId="33"/>
    <cellStyle name="Percent [2]" xfId="34"/>
    <cellStyle name="Red" xfId="35"/>
    <cellStyle name="row_def_array" xfId="36"/>
    <cellStyle name="_laroux" xfId="37"/>
    <cellStyle name="だ_laroux" xfId="38"/>
    <cellStyle name="百分比" xfId="2" builtinId="5"/>
    <cellStyle name="百分比 2" xfId="39"/>
    <cellStyle name="捠壿 [0.00]_PRODUCT DETAIL Q1" xfId="40"/>
    <cellStyle name="常规" xfId="0" builtinId="0"/>
    <cellStyle name="常规 11 5" xfId="78"/>
    <cellStyle name="常规 13" xfId="41"/>
    <cellStyle name="常规 2" xfId="42"/>
    <cellStyle name="常规 2 2" xfId="43"/>
    <cellStyle name="常规 2 2 4" xfId="44"/>
    <cellStyle name="常规 2 8" xfId="45"/>
    <cellStyle name="常规 2 8 2" xfId="46"/>
    <cellStyle name="常规 3" xfId="47"/>
    <cellStyle name="常规 3 2" xfId="48"/>
    <cellStyle name="常规 3 2 2" xfId="49"/>
    <cellStyle name="常规 4" xfId="50"/>
    <cellStyle name="常规 4 2" xfId="51"/>
    <cellStyle name="常规 6 2" xfId="52"/>
    <cellStyle name="常规 7" xfId="53"/>
    <cellStyle name="常规 7 2" xfId="54"/>
    <cellStyle name="常规 9" xfId="55"/>
    <cellStyle name="常规_2-1项目审定表－模板" xfId="56"/>
    <cellStyle name="常规_Book1" xfId="57"/>
    <cellStyle name="常规_Book1 2" xfId="58"/>
    <cellStyle name="常规_c-资产类 2" xfId="59"/>
    <cellStyle name="常规_sheet" xfId="60"/>
    <cellStyle name="常规_进一步审计程序--销售与收款循环" xfId="61"/>
    <cellStyle name="常规_新审定表" xfId="62"/>
    <cellStyle name="常规_新审定表 2" xfId="63"/>
    <cellStyle name="超链接" xfId="3" builtinId="8"/>
    <cellStyle name="超链接 2" xfId="64"/>
    <cellStyle name="霓付 [0]_1202" xfId="65"/>
    <cellStyle name="霓付_1202" xfId="66"/>
    <cellStyle name="烹拳 [0]_1202" xfId="67"/>
    <cellStyle name="烹拳_1202" xfId="68"/>
    <cellStyle name="千位[0]_laroux" xfId="69"/>
    <cellStyle name="千位_laroux" xfId="70"/>
    <cellStyle name="千位分隔" xfId="1" builtinId="3"/>
    <cellStyle name="千位分隔 2 3" xfId="71"/>
    <cellStyle name="千位分隔 3" xfId="72"/>
    <cellStyle name="千位分隔 6" xfId="73"/>
    <cellStyle name="钎霖_(沥焊何巩)岿喊牢盔拌裙" xfId="74"/>
    <cellStyle name="昗弨_BOOKSHIP" xfId="75"/>
    <cellStyle name="寘嬫愗傝 [0.00]_PRODUCT DETAIL Q1" xfId="76"/>
    <cellStyle name="寘嬫愗傝_PRODUCT DETAIL Q1" xfId="77"/>
  </cellStyles>
  <dxfs count="0"/>
  <tableStyles count="0" defaultTableStyle="TableStyleMedium9" defaultPivotStyle="PivotStyleLight16"/>
  <colors>
    <mruColors>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drawings/drawing1.xml><?xml version="1.0" encoding="utf-8"?>
<xdr:wsDr xmlns:xdr="http://schemas.openxmlformats.org/drawingml/2006/spreadsheetDrawing" xmlns:a="http://schemas.openxmlformats.org/drawingml/2006/main">
  <xdr:oneCellAnchor>
    <xdr:from>
      <xdr:col>33</xdr:col>
      <xdr:colOff>0</xdr:colOff>
      <xdr:row>16</xdr:row>
      <xdr:rowOff>0</xdr:rowOff>
    </xdr:from>
    <xdr:ext cx="18531" cy="418704"/>
    <xdr:sp macro="" textlink="">
      <xdr:nvSpPr>
        <xdr:cNvPr id="112" name="Text Box 745"/>
        <xdr:cNvSpPr txBox="1">
          <a:spLocks noChangeArrowheads="1"/>
        </xdr:cNvSpPr>
      </xdr:nvSpPr>
      <xdr:spPr>
        <a:xfrm>
          <a:off x="22631400" y="4318000"/>
          <a:ext cx="18415" cy="418465"/>
        </a:xfrm>
        <a:prstGeom prst="rect">
          <a:avLst/>
        </a:prstGeom>
        <a:noFill/>
        <a:ln w="9525">
          <a:noFill/>
          <a:miter lim="800000"/>
        </a:ln>
      </xdr:spPr>
      <xdr:txBody>
        <a:bodyPr wrap="none" lIns="18288" tIns="18288" rIns="0" bIns="0" anchor="t" upright="1">
          <a:spAutoFit/>
        </a:bodyPr>
        <a:lstStyle/>
        <a:p>
          <a:pPr algn="l" rtl="0">
            <a:defRPr sz="1000"/>
          </a:pPr>
          <a:endParaRPr lang="zh-CN" altLang="en-US" sz="1200" b="0" i="0" strike="noStrike">
            <a:solidFill>
              <a:srgbClr val="000000"/>
            </a:solidFill>
            <a:latin typeface="宋体" panose="02010600030101010101" pitchFamily="7" charset="-122"/>
            <a:ea typeface="宋体" panose="02010600030101010101" pitchFamily="7" charset="-122"/>
          </a:endParaRPr>
        </a:p>
        <a:p>
          <a:pPr algn="l" rtl="0">
            <a:defRPr sz="1000"/>
          </a:pPr>
          <a:endParaRPr lang="zh-CN" altLang="en-US" sz="1200" b="0" i="0" strike="noStrike">
            <a:solidFill>
              <a:srgbClr val="000000"/>
            </a:solidFill>
            <a:latin typeface="宋体" panose="02010600030101010101" pitchFamily="7" charset="-122"/>
            <a:ea typeface="宋体" panose="02010600030101010101" pitchFamily="7" charset="-122"/>
          </a:endParaRPr>
        </a:p>
      </xdr:txBody>
    </xdr:sp>
    <xdr:clientData/>
  </xdr:oneCellAnchor>
  <xdr:oneCellAnchor>
    <xdr:from>
      <xdr:col>33</xdr:col>
      <xdr:colOff>0</xdr:colOff>
      <xdr:row>20</xdr:row>
      <xdr:rowOff>0</xdr:rowOff>
    </xdr:from>
    <xdr:ext cx="18531" cy="418704"/>
    <xdr:sp macro="" textlink="">
      <xdr:nvSpPr>
        <xdr:cNvPr id="921" name="Text Box 745"/>
        <xdr:cNvSpPr txBox="1">
          <a:spLocks noChangeArrowheads="1"/>
        </xdr:cNvSpPr>
      </xdr:nvSpPr>
      <xdr:spPr>
        <a:xfrm>
          <a:off x="22631400" y="5334000"/>
          <a:ext cx="18415" cy="418465"/>
        </a:xfrm>
        <a:prstGeom prst="rect">
          <a:avLst/>
        </a:prstGeom>
        <a:noFill/>
        <a:ln w="9525">
          <a:noFill/>
          <a:miter lim="800000"/>
        </a:ln>
      </xdr:spPr>
      <xdr:txBody>
        <a:bodyPr wrap="none" lIns="18288" tIns="18288" rIns="0" bIns="0" anchor="t" upright="1">
          <a:spAutoFit/>
        </a:bodyPr>
        <a:lstStyle/>
        <a:p>
          <a:pPr algn="l" rtl="0">
            <a:defRPr sz="1000"/>
          </a:pPr>
          <a:endParaRPr lang="zh-CN" altLang="en-US" sz="1200" b="0" i="0" strike="noStrike">
            <a:solidFill>
              <a:srgbClr val="000000"/>
            </a:solidFill>
            <a:latin typeface="宋体" panose="02010600030101010101" pitchFamily="7" charset="-122"/>
            <a:ea typeface="宋体" panose="02010600030101010101" pitchFamily="7" charset="-122"/>
          </a:endParaRPr>
        </a:p>
        <a:p>
          <a:pPr algn="l" rtl="0">
            <a:defRPr sz="1000"/>
          </a:pPr>
          <a:endParaRPr lang="zh-CN" altLang="en-US" sz="1200" b="0" i="0" strike="noStrike">
            <a:solidFill>
              <a:srgbClr val="000000"/>
            </a:solidFill>
            <a:latin typeface="宋体" panose="02010600030101010101" pitchFamily="7" charset="-122"/>
            <a:ea typeface="宋体" panose="02010600030101010101" pitchFamily="7" charset="-122"/>
          </a:endParaRPr>
        </a:p>
      </xdr:txBody>
    </xdr:sp>
    <xdr:clientData/>
  </xdr:oneCellAnchor>
  <xdr:oneCellAnchor>
    <xdr:from>
      <xdr:col>33</xdr:col>
      <xdr:colOff>0</xdr:colOff>
      <xdr:row>20</xdr:row>
      <xdr:rowOff>114300</xdr:rowOff>
    </xdr:from>
    <xdr:ext cx="18531" cy="418704"/>
    <xdr:sp macro="" textlink="">
      <xdr:nvSpPr>
        <xdr:cNvPr id="1184" name="Text Box 745"/>
        <xdr:cNvSpPr txBox="1">
          <a:spLocks noChangeArrowheads="1"/>
        </xdr:cNvSpPr>
      </xdr:nvSpPr>
      <xdr:spPr>
        <a:xfrm>
          <a:off x="22631400" y="5448300"/>
          <a:ext cx="18415" cy="418465"/>
        </a:xfrm>
        <a:prstGeom prst="rect">
          <a:avLst/>
        </a:prstGeom>
        <a:noFill/>
        <a:ln w="9525">
          <a:noFill/>
          <a:miter lim="800000"/>
        </a:ln>
      </xdr:spPr>
      <xdr:txBody>
        <a:bodyPr wrap="none" lIns="18288" tIns="18288" rIns="0" bIns="0" anchor="t" upright="1">
          <a:spAutoFit/>
        </a:bodyPr>
        <a:lstStyle/>
        <a:p>
          <a:pPr algn="l" rtl="0">
            <a:defRPr sz="1000"/>
          </a:pPr>
          <a:endParaRPr lang="zh-CN" altLang="en-US" sz="1200" b="0" i="0" strike="noStrike">
            <a:solidFill>
              <a:srgbClr val="000000"/>
            </a:solidFill>
            <a:latin typeface="宋体" panose="02010600030101010101" pitchFamily="7" charset="-122"/>
            <a:ea typeface="宋体" panose="02010600030101010101" pitchFamily="7" charset="-122"/>
          </a:endParaRPr>
        </a:p>
        <a:p>
          <a:pPr algn="l" rtl="0">
            <a:defRPr sz="1000"/>
          </a:pPr>
          <a:endParaRPr lang="zh-CN" altLang="en-US" sz="1200" b="0" i="0" strike="noStrike">
            <a:solidFill>
              <a:srgbClr val="000000"/>
            </a:solidFill>
            <a:latin typeface="宋体" panose="02010600030101010101" pitchFamily="7" charset="-122"/>
            <a:ea typeface="宋体" panose="02010600030101010101" pitchFamily="7" charset="-122"/>
          </a:endParaRPr>
        </a:p>
      </xdr:txBody>
    </xdr:sp>
    <xdr:clientData/>
  </xdr:oneCellAnchor>
  <xdr:oneCellAnchor>
    <xdr:from>
      <xdr:col>33</xdr:col>
      <xdr:colOff>0</xdr:colOff>
      <xdr:row>21</xdr:row>
      <xdr:rowOff>0</xdr:rowOff>
    </xdr:from>
    <xdr:ext cx="18531" cy="418704"/>
    <xdr:sp macro="" textlink="">
      <xdr:nvSpPr>
        <xdr:cNvPr id="1334" name="Text Box 745"/>
        <xdr:cNvSpPr txBox="1">
          <a:spLocks noChangeArrowheads="1"/>
        </xdr:cNvSpPr>
      </xdr:nvSpPr>
      <xdr:spPr>
        <a:xfrm>
          <a:off x="22631400" y="5588000"/>
          <a:ext cx="18415" cy="418465"/>
        </a:xfrm>
        <a:prstGeom prst="rect">
          <a:avLst/>
        </a:prstGeom>
        <a:noFill/>
        <a:ln w="9525">
          <a:noFill/>
          <a:miter lim="800000"/>
        </a:ln>
      </xdr:spPr>
      <xdr:txBody>
        <a:bodyPr wrap="none" lIns="18288" tIns="18288" rIns="0" bIns="0" anchor="t" upright="1">
          <a:spAutoFit/>
        </a:bodyPr>
        <a:lstStyle/>
        <a:p>
          <a:pPr algn="l" rtl="0">
            <a:defRPr sz="1000"/>
          </a:pPr>
          <a:endParaRPr lang="zh-CN" altLang="en-US" sz="1200" b="0" i="0" strike="noStrike">
            <a:solidFill>
              <a:srgbClr val="000000"/>
            </a:solidFill>
            <a:latin typeface="宋体" panose="02010600030101010101" pitchFamily="7" charset="-122"/>
            <a:ea typeface="宋体" panose="02010600030101010101" pitchFamily="7" charset="-122"/>
          </a:endParaRPr>
        </a:p>
        <a:p>
          <a:pPr algn="l" rtl="0">
            <a:defRPr sz="1000"/>
          </a:pPr>
          <a:endParaRPr lang="zh-CN" altLang="en-US" sz="1200" b="0" i="0" strike="noStrike">
            <a:solidFill>
              <a:srgbClr val="000000"/>
            </a:solidFill>
            <a:latin typeface="宋体" panose="02010600030101010101" pitchFamily="7" charset="-122"/>
            <a:ea typeface="宋体" panose="02010600030101010101" pitchFamily="7" charset="-122"/>
          </a:endParaRPr>
        </a:p>
      </xdr:txBody>
    </xdr:sp>
    <xdr:clientData/>
  </xdr:oneCellAnchor>
  <xdr:oneCellAnchor>
    <xdr:from>
      <xdr:col>33</xdr:col>
      <xdr:colOff>0</xdr:colOff>
      <xdr:row>21</xdr:row>
      <xdr:rowOff>0</xdr:rowOff>
    </xdr:from>
    <xdr:ext cx="18531" cy="418704"/>
    <xdr:sp macro="" textlink="">
      <xdr:nvSpPr>
        <xdr:cNvPr id="1663" name="Text Box 745"/>
        <xdr:cNvSpPr txBox="1">
          <a:spLocks noChangeArrowheads="1"/>
        </xdr:cNvSpPr>
      </xdr:nvSpPr>
      <xdr:spPr>
        <a:xfrm>
          <a:off x="22631400" y="5588000"/>
          <a:ext cx="18415" cy="418465"/>
        </a:xfrm>
        <a:prstGeom prst="rect">
          <a:avLst/>
        </a:prstGeom>
        <a:noFill/>
        <a:ln w="9525">
          <a:noFill/>
          <a:miter lim="800000"/>
        </a:ln>
      </xdr:spPr>
      <xdr:txBody>
        <a:bodyPr wrap="none" lIns="18288" tIns="18288" rIns="0" bIns="0" anchor="t" upright="1">
          <a:spAutoFit/>
        </a:bodyPr>
        <a:lstStyle/>
        <a:p>
          <a:pPr algn="l" rtl="0">
            <a:defRPr sz="1000"/>
          </a:pPr>
          <a:endParaRPr lang="zh-CN" altLang="en-US" sz="1200" b="0" i="0" strike="noStrike">
            <a:solidFill>
              <a:srgbClr val="000000"/>
            </a:solidFill>
            <a:latin typeface="宋体" panose="02010600030101010101" pitchFamily="7" charset="-122"/>
            <a:ea typeface="宋体" panose="02010600030101010101" pitchFamily="7" charset="-122"/>
          </a:endParaRPr>
        </a:p>
        <a:p>
          <a:pPr algn="l" rtl="0">
            <a:defRPr sz="1000"/>
          </a:pPr>
          <a:endParaRPr lang="zh-CN" altLang="en-US" sz="1200" b="0" i="0" strike="noStrike">
            <a:solidFill>
              <a:srgbClr val="000000"/>
            </a:solidFill>
            <a:latin typeface="宋体" panose="02010600030101010101" pitchFamily="7" charset="-122"/>
            <a:ea typeface="宋体" panose="02010600030101010101" pitchFamily="7" charset="-122"/>
          </a:endParaRPr>
        </a:p>
      </xdr:txBody>
    </xdr:sp>
    <xdr:clientData/>
  </xdr:oneCellAnchor>
</xdr:wsDr>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printerSettings" Target="../printerSettings/printerSettings9.bin"/><Relationship Id="rId1" Type="http://schemas.openxmlformats.org/officeDocument/2006/relationships/hyperlink" Target="https://www.gt-china.com.cn/article_view.php?id=5951" TargetMode="External"/></Relationships>
</file>

<file path=xl/worksheets/_rels/sheet10.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G23"/>
  <sheetViews>
    <sheetView tabSelected="1" view="pageBreakPreview" zoomScaleNormal="100" workbookViewId="0"/>
  </sheetViews>
  <sheetFormatPr defaultColWidth="8.796875" defaultRowHeight="19.95" customHeight="1"/>
  <cols>
    <col min="1" max="1" width="77.59765625" style="45" customWidth="1"/>
    <col min="2" max="2" width="2" style="45" customWidth="1"/>
    <col min="3" max="3" width="2.09765625" style="45" customWidth="1"/>
    <col min="4" max="4" width="6.09765625" style="45" customWidth="1"/>
    <col min="5" max="5" width="44" style="5" customWidth="1"/>
    <col min="6" max="6" width="6.69921875" style="45" customWidth="1"/>
    <col min="7" max="16384" width="8.796875" style="45"/>
  </cols>
  <sheetData>
    <row r="1" spans="1:7" s="5" customFormat="1" ht="19.95" customHeight="1">
      <c r="A1" s="1" t="s">
        <v>0</v>
      </c>
    </row>
    <row r="2" spans="1:7" ht="19.95" customHeight="1">
      <c r="A2" s="369" t="s">
        <v>1</v>
      </c>
      <c r="B2" s="370"/>
      <c r="C2" s="370"/>
      <c r="D2" s="386" t="s">
        <v>393</v>
      </c>
      <c r="E2" s="386" t="s">
        <v>451</v>
      </c>
      <c r="F2" s="386" t="s">
        <v>419</v>
      </c>
      <c r="G2" s="370"/>
    </row>
    <row r="3" spans="1:7" ht="19.95" customHeight="1">
      <c r="A3" s="385" t="s">
        <v>446</v>
      </c>
      <c r="B3" s="370"/>
      <c r="C3" s="370"/>
      <c r="D3" s="371">
        <v>1</v>
      </c>
      <c r="E3" s="372" t="s">
        <v>2</v>
      </c>
      <c r="F3" s="387" t="s">
        <v>3</v>
      </c>
      <c r="G3" s="373"/>
    </row>
    <row r="4" spans="1:7" ht="19.95" customHeight="1">
      <c r="A4" s="374" t="s">
        <v>4</v>
      </c>
      <c r="B4" s="370"/>
      <c r="D4" s="371">
        <v>2</v>
      </c>
      <c r="E4" s="372" t="s">
        <v>5</v>
      </c>
      <c r="F4" s="387" t="s">
        <v>6</v>
      </c>
      <c r="G4" s="373"/>
    </row>
    <row r="5" spans="1:7" ht="19.95" customHeight="1">
      <c r="A5" s="374" t="s">
        <v>7</v>
      </c>
      <c r="C5" s="370"/>
      <c r="D5" s="371">
        <v>3</v>
      </c>
      <c r="E5" s="372" t="s">
        <v>8</v>
      </c>
      <c r="F5" s="387"/>
      <c r="G5" s="177" t="s">
        <v>9</v>
      </c>
    </row>
    <row r="6" spans="1:7" ht="19.95" customHeight="1">
      <c r="A6" s="374" t="s">
        <v>10</v>
      </c>
      <c r="D6" s="371">
        <v>4</v>
      </c>
      <c r="E6" s="372" t="s">
        <v>11</v>
      </c>
      <c r="F6" s="387"/>
      <c r="G6" s="177" t="s">
        <v>9</v>
      </c>
    </row>
    <row r="7" spans="1:7" ht="19.95" customHeight="1">
      <c r="A7" s="374" t="s">
        <v>12</v>
      </c>
      <c r="D7" s="371">
        <v>5</v>
      </c>
      <c r="E7" s="372" t="s">
        <v>13</v>
      </c>
      <c r="F7" s="387" t="s">
        <v>14</v>
      </c>
    </row>
    <row r="8" spans="1:7" ht="19.95" customHeight="1">
      <c r="A8" s="375"/>
      <c r="D8" s="371">
        <v>6</v>
      </c>
      <c r="E8" s="372" t="s">
        <v>15</v>
      </c>
      <c r="F8" s="387" t="s">
        <v>16</v>
      </c>
    </row>
    <row r="9" spans="1:7" ht="19.95" customHeight="1">
      <c r="A9" s="384" t="s">
        <v>447</v>
      </c>
      <c r="D9" s="371">
        <v>7</v>
      </c>
      <c r="E9" s="372" t="s">
        <v>17</v>
      </c>
      <c r="F9" s="387" t="s">
        <v>18</v>
      </c>
    </row>
    <row r="10" spans="1:7" ht="19.95" customHeight="1">
      <c r="A10" s="424" t="s">
        <v>448</v>
      </c>
      <c r="D10" s="371">
        <v>8</v>
      </c>
      <c r="E10" s="372" t="s">
        <v>19</v>
      </c>
      <c r="F10" s="387" t="s">
        <v>20</v>
      </c>
    </row>
    <row r="11" spans="1:7" ht="19.95" customHeight="1">
      <c r="A11" s="424"/>
      <c r="D11" s="371">
        <v>9</v>
      </c>
      <c r="E11" s="372" t="s">
        <v>21</v>
      </c>
      <c r="F11" s="387" t="s">
        <v>22</v>
      </c>
    </row>
    <row r="12" spans="1:7" ht="19.95" customHeight="1">
      <c r="A12" s="424"/>
      <c r="D12" s="371">
        <v>10</v>
      </c>
      <c r="E12" s="372" t="s">
        <v>23</v>
      </c>
      <c r="F12" s="387" t="s">
        <v>24</v>
      </c>
    </row>
    <row r="13" spans="1:7" ht="19.95" customHeight="1">
      <c r="A13" s="424"/>
      <c r="D13" s="371">
        <v>11</v>
      </c>
      <c r="E13" s="372" t="s">
        <v>25</v>
      </c>
      <c r="F13" s="387" t="s">
        <v>24</v>
      </c>
    </row>
    <row r="14" spans="1:7" ht="19.95" customHeight="1">
      <c r="A14" s="424" t="s">
        <v>449</v>
      </c>
      <c r="D14" s="371">
        <v>12</v>
      </c>
      <c r="E14" s="372" t="s">
        <v>26</v>
      </c>
      <c r="F14" s="387" t="s">
        <v>27</v>
      </c>
    </row>
    <row r="15" spans="1:7" ht="19.95" customHeight="1">
      <c r="A15" s="424"/>
      <c r="D15" s="371">
        <v>13</v>
      </c>
      <c r="E15" s="372" t="s">
        <v>28</v>
      </c>
      <c r="F15" s="387" t="s">
        <v>27</v>
      </c>
    </row>
    <row r="16" spans="1:7" ht="19.95" customHeight="1">
      <c r="A16" s="424"/>
      <c r="D16" s="371">
        <v>14</v>
      </c>
      <c r="E16" s="376" t="str">
        <f>'应付债券检查表L4-9'!A2</f>
        <v>应付债券检查底稿</v>
      </c>
      <c r="F16" s="387" t="s">
        <v>29</v>
      </c>
    </row>
    <row r="17" spans="1:3" ht="19.95" customHeight="1">
      <c r="A17" s="425" t="s">
        <v>450</v>
      </c>
    </row>
    <row r="18" spans="1:3" s="5" customFormat="1" ht="19.95" customHeight="1">
      <c r="A18" s="425"/>
      <c r="C18" s="45"/>
    </row>
    <row r="19" spans="1:3" s="5" customFormat="1" ht="19.95" customHeight="1">
      <c r="A19" s="425"/>
    </row>
    <row r="20" spans="1:3" s="5" customFormat="1" ht="15.6">
      <c r="A20" s="299"/>
    </row>
    <row r="21" spans="1:3" s="5" customFormat="1" ht="19.95" customHeight="1"/>
    <row r="22" spans="1:3" s="5" customFormat="1" ht="19.95" customHeight="1"/>
    <row r="23" spans="1:3" ht="19.95" customHeight="1">
      <c r="C23" s="5"/>
    </row>
  </sheetData>
  <mergeCells count="3">
    <mergeCell ref="A10:A13"/>
    <mergeCell ref="A14:A16"/>
    <mergeCell ref="A17:A19"/>
  </mergeCells>
  <phoneticPr fontId="86" type="noConversion"/>
  <hyperlinks>
    <hyperlink ref="E9" location="'调整分录汇总L4-4'!A1" display="调整分录汇总"/>
    <hyperlink ref="E3" location="'应付债券实质性程序表P4A '!A1" display="应付债券实质性程序表"/>
    <hyperlink ref="E10" location="'权益与负债划分检查表L4-5'!A1" display="权益与负债划分检查表"/>
    <hyperlink ref="E6" location="'附注披露信息核对（国企）'!A1" display="附注披露信息(国企)"/>
    <hyperlink ref="E5" location="'附注披露信息核对（上市公司）'!A1" display="附注披露信息(上市公司)"/>
    <hyperlink ref="E16" location="'应付债券检查表L4-9'!A1" display="='应付债券检查表L4-9'!A2"/>
    <hyperlink ref="E8" location="'划分为金融负债的其他金融工具明细表L4-3'!A1" display="划分为金融负债的其他金融工具明细表"/>
    <hyperlink ref="E7" location="'应付债券明细表L4-2'!A1" display="应付债券明细表"/>
    <hyperlink ref="E4" location="'审定表L4-1'!A1" display="应付债券审定表"/>
    <hyperlink ref="E11" location="'应付债券初始计量L4-6'!A1" display="应付债券初始计量"/>
    <hyperlink ref="E12" location="'应付债券后续计量(到期一次还本付息)L4-7'!A1" display="应付债券后续计量(到期一次还本付息)"/>
    <hyperlink ref="E13" location="'应付债券后续计量(分期付息到期一次还本)L4-7'!A1" display="应付债券后续计量(分期付息到期一次还本)"/>
    <hyperlink ref="E14" location="'应付债券账面核对(到期一次还本付息)L4-8'!A1" display="应付债券账面核对(到期一次还本付息)"/>
    <hyperlink ref="E15" location="'应付债券账面核对(分期付息到期一次还本) L4-8'!A1" display="应付债券账面核对(分期付息到期一次还本)"/>
  </hyperlinks>
  <pageMargins left="0.75" right="0.75" top="1" bottom="1" header="0.5" footer="0.5"/>
  <pageSetup paperSize="9" scale="52" orientation="portrait" horizontalDpi="1200" verticalDpi="1200" r:id="rId1"/>
  <headerFooter alignWithMargins="0"/>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4"/>
  <dimension ref="A1:S27"/>
  <sheetViews>
    <sheetView view="pageBreakPreview" zoomScaleNormal="100" workbookViewId="0">
      <selection sqref="A1:I1"/>
    </sheetView>
  </sheetViews>
  <sheetFormatPr defaultColWidth="9" defaultRowHeight="19.95" customHeight="1"/>
  <cols>
    <col min="1" max="1" width="4" style="339" customWidth="1"/>
    <col min="2" max="2" width="64" style="332" customWidth="1"/>
    <col min="3" max="3" width="10.3984375" style="332" customWidth="1"/>
    <col min="4" max="4" width="5.5" style="332" customWidth="1"/>
    <col min="5" max="5" width="5.8984375" style="332" customWidth="1"/>
    <col min="6" max="6" width="6.69921875" style="332" customWidth="1"/>
    <col min="7" max="7" width="7.19921875" style="332" customWidth="1"/>
    <col min="8" max="8" width="5.5" style="332" customWidth="1"/>
    <col min="9" max="9" width="6.8984375" style="332" customWidth="1"/>
    <col min="10" max="16384" width="9" style="332"/>
  </cols>
  <sheetData>
    <row r="1" spans="1:10" ht="19.95" customHeight="1">
      <c r="A1" s="440" t="s">
        <v>30</v>
      </c>
      <c r="B1" s="440"/>
      <c r="C1" s="440"/>
      <c r="D1" s="440"/>
      <c r="E1" s="440"/>
      <c r="F1" s="440"/>
      <c r="G1" s="440"/>
      <c r="H1" s="440"/>
      <c r="I1" s="440"/>
    </row>
    <row r="2" spans="1:10" ht="19.95" customHeight="1">
      <c r="A2" s="441" t="s">
        <v>31</v>
      </c>
      <c r="B2" s="442"/>
      <c r="C2" s="442"/>
      <c r="D2" s="442"/>
      <c r="E2" s="442"/>
      <c r="F2" s="442"/>
      <c r="G2" s="442"/>
      <c r="H2" s="442"/>
      <c r="I2" s="442"/>
      <c r="J2" s="291"/>
    </row>
    <row r="3" spans="1:10" ht="19.95" customHeight="1">
      <c r="A3" s="340" t="str">
        <f>底稿目录!A2</f>
        <v>被审计单位：</v>
      </c>
      <c r="B3" s="333"/>
      <c r="C3" s="334" t="str">
        <f>底稿目录!A4</f>
        <v>编制人：</v>
      </c>
      <c r="D3" s="333"/>
      <c r="E3" s="333" t="str">
        <f>底稿目录!A5</f>
        <v>编制日期：</v>
      </c>
      <c r="F3" s="335"/>
      <c r="H3" s="333" t="s">
        <v>32</v>
      </c>
      <c r="I3" s="390" t="s">
        <v>3</v>
      </c>
    </row>
    <row r="4" spans="1:10" ht="19.95" customHeight="1">
      <c r="A4" s="340" t="str">
        <f>底稿目录!A3</f>
        <v>截止日：202X年12月31日</v>
      </c>
      <c r="B4" s="333"/>
      <c r="C4" s="334" t="str">
        <f>底稿目录!A6</f>
        <v>复核人：</v>
      </c>
      <c r="D4" s="333"/>
      <c r="E4" s="333" t="str">
        <f>底稿目录!A7</f>
        <v>复核日期：</v>
      </c>
      <c r="F4" s="335"/>
      <c r="H4" s="333" t="s">
        <v>33</v>
      </c>
      <c r="I4" s="333"/>
    </row>
    <row r="5" spans="1:10" ht="19.95" customHeight="1">
      <c r="A5" s="341" t="s">
        <v>34</v>
      </c>
      <c r="B5" s="333"/>
      <c r="C5" s="333"/>
      <c r="D5" s="333"/>
      <c r="E5" s="333"/>
      <c r="F5" s="333"/>
      <c r="G5" s="333"/>
      <c r="H5" s="333"/>
      <c r="I5" s="333"/>
    </row>
    <row r="6" spans="1:10" ht="19.95" customHeight="1">
      <c r="A6" s="342" t="s">
        <v>35</v>
      </c>
      <c r="C6" s="333"/>
      <c r="D6" s="333"/>
      <c r="E6" s="333"/>
      <c r="F6" s="333"/>
      <c r="G6" s="333"/>
      <c r="H6" s="333"/>
      <c r="I6" s="333"/>
    </row>
    <row r="7" spans="1:10" ht="19.95" customHeight="1">
      <c r="A7" s="343" t="s">
        <v>36</v>
      </c>
      <c r="B7" s="336"/>
      <c r="C7" s="336"/>
      <c r="D7" s="333"/>
      <c r="E7" s="333"/>
      <c r="F7" s="333"/>
      <c r="G7" s="333"/>
      <c r="H7" s="333"/>
      <c r="I7" s="333"/>
    </row>
    <row r="8" spans="1:10" ht="19.95" customHeight="1">
      <c r="A8" s="443" t="s">
        <v>37</v>
      </c>
      <c r="B8" s="443"/>
      <c r="C8" s="443"/>
      <c r="D8" s="443"/>
      <c r="E8" s="443"/>
      <c r="F8" s="443"/>
      <c r="G8" s="445" t="s">
        <v>38</v>
      </c>
      <c r="H8" s="445"/>
      <c r="I8" s="445"/>
    </row>
    <row r="9" spans="1:10" ht="19.95" customHeight="1">
      <c r="A9" s="444" t="s">
        <v>39</v>
      </c>
      <c r="B9" s="444"/>
      <c r="C9" s="444"/>
      <c r="D9" s="444"/>
      <c r="E9" s="444"/>
      <c r="F9" s="444"/>
      <c r="G9" s="439" t="s">
        <v>40</v>
      </c>
      <c r="H9" s="439"/>
      <c r="I9" s="439"/>
    </row>
    <row r="10" spans="1:10" ht="19.95" customHeight="1">
      <c r="A10" s="444" t="s">
        <v>41</v>
      </c>
      <c r="B10" s="444"/>
      <c r="C10" s="444"/>
      <c r="D10" s="444"/>
      <c r="E10" s="444"/>
      <c r="F10" s="444"/>
      <c r="G10" s="439" t="s">
        <v>42</v>
      </c>
      <c r="H10" s="439"/>
      <c r="I10" s="439"/>
    </row>
    <row r="11" spans="1:10" ht="19.95" customHeight="1">
      <c r="A11" s="444" t="s">
        <v>43</v>
      </c>
      <c r="B11" s="444"/>
      <c r="C11" s="444"/>
      <c r="D11" s="444"/>
      <c r="E11" s="444"/>
      <c r="F11" s="444"/>
      <c r="G11" s="439" t="s">
        <v>44</v>
      </c>
      <c r="H11" s="439"/>
      <c r="I11" s="439"/>
    </row>
    <row r="12" spans="1:10" ht="19.95" customHeight="1">
      <c r="A12" s="444" t="s">
        <v>45</v>
      </c>
      <c r="B12" s="444"/>
      <c r="C12" s="444"/>
      <c r="D12" s="444"/>
      <c r="E12" s="444"/>
      <c r="F12" s="444"/>
      <c r="G12" s="439" t="s">
        <v>46</v>
      </c>
      <c r="H12" s="439"/>
      <c r="I12" s="439"/>
    </row>
    <row r="13" spans="1:10" ht="19.95" customHeight="1">
      <c r="A13" s="444" t="s">
        <v>47</v>
      </c>
      <c r="B13" s="444"/>
      <c r="C13" s="444"/>
      <c r="D13" s="444"/>
      <c r="E13" s="444"/>
      <c r="F13" s="444"/>
      <c r="G13" s="439" t="s">
        <v>48</v>
      </c>
      <c r="H13" s="439"/>
      <c r="I13" s="439"/>
    </row>
    <row r="14" spans="1:10" ht="19.95" customHeight="1">
      <c r="A14" s="344" t="s">
        <v>49</v>
      </c>
    </row>
    <row r="15" spans="1:10" ht="19.95" customHeight="1">
      <c r="A15" s="432" t="s">
        <v>50</v>
      </c>
      <c r="B15" s="434" t="s">
        <v>453</v>
      </c>
      <c r="C15" s="435" t="s">
        <v>51</v>
      </c>
      <c r="D15" s="426" t="s">
        <v>52</v>
      </c>
      <c r="E15" s="427"/>
      <c r="F15" s="427"/>
      <c r="G15" s="427"/>
      <c r="H15" s="428"/>
      <c r="I15" s="437" t="s">
        <v>53</v>
      </c>
    </row>
    <row r="16" spans="1:10" ht="44.4" customHeight="1">
      <c r="A16" s="433"/>
      <c r="B16" s="434"/>
      <c r="C16" s="436"/>
      <c r="D16" s="345" t="s">
        <v>54</v>
      </c>
      <c r="E16" s="345" t="s">
        <v>55</v>
      </c>
      <c r="F16" s="346" t="s">
        <v>56</v>
      </c>
      <c r="G16" s="346" t="s">
        <v>57</v>
      </c>
      <c r="H16" s="346" t="s">
        <v>58</v>
      </c>
      <c r="I16" s="438"/>
      <c r="J16" s="388" t="s">
        <v>452</v>
      </c>
    </row>
    <row r="17" spans="1:19" ht="69" customHeight="1">
      <c r="A17" s="347" t="s">
        <v>59</v>
      </c>
      <c r="B17" s="348" t="s">
        <v>60</v>
      </c>
      <c r="C17" s="349" t="s">
        <v>61</v>
      </c>
      <c r="D17" s="337" t="s">
        <v>62</v>
      </c>
      <c r="E17" s="337" t="s">
        <v>62</v>
      </c>
      <c r="F17" s="337"/>
      <c r="G17" s="350" t="s">
        <v>63</v>
      </c>
      <c r="H17" s="337"/>
      <c r="I17" s="337" t="s">
        <v>64</v>
      </c>
    </row>
    <row r="18" spans="1:19" ht="43.8" customHeight="1">
      <c r="A18" s="347" t="s">
        <v>65</v>
      </c>
      <c r="B18" s="348" t="s">
        <v>66</v>
      </c>
      <c r="C18" s="351" t="s">
        <v>61</v>
      </c>
      <c r="D18" s="352"/>
      <c r="E18" s="353" t="s">
        <v>67</v>
      </c>
      <c r="F18" s="352"/>
      <c r="G18" s="354" t="s">
        <v>67</v>
      </c>
      <c r="H18" s="337"/>
      <c r="I18" s="389" t="s">
        <v>454</v>
      </c>
      <c r="J18" s="429" t="s">
        <v>68</v>
      </c>
      <c r="K18" s="430"/>
      <c r="L18" s="430"/>
      <c r="M18" s="430"/>
      <c r="N18" s="430"/>
      <c r="O18" s="430"/>
      <c r="P18" s="430"/>
      <c r="Q18" s="430"/>
      <c r="R18" s="430"/>
      <c r="S18" s="430"/>
    </row>
    <row r="19" spans="1:19" ht="43.2" customHeight="1">
      <c r="A19" s="347" t="s">
        <v>69</v>
      </c>
      <c r="B19" s="355" t="s">
        <v>70</v>
      </c>
      <c r="C19" s="356" t="s">
        <v>71</v>
      </c>
      <c r="D19" s="354" t="s">
        <v>67</v>
      </c>
      <c r="E19" s="353" t="s">
        <v>67</v>
      </c>
      <c r="F19" s="354" t="s">
        <v>67</v>
      </c>
      <c r="G19" s="354" t="s">
        <v>67</v>
      </c>
      <c r="H19" s="337"/>
      <c r="I19" s="337"/>
      <c r="J19" s="429" t="s">
        <v>72</v>
      </c>
      <c r="K19" s="431"/>
      <c r="L19" s="431"/>
      <c r="M19" s="431"/>
      <c r="N19" s="431"/>
      <c r="O19" s="431"/>
      <c r="P19" s="431"/>
      <c r="Q19" s="431"/>
      <c r="R19" s="431"/>
      <c r="S19" s="431"/>
    </row>
    <row r="20" spans="1:19" ht="68.400000000000006" customHeight="1">
      <c r="A20" s="347" t="s">
        <v>73</v>
      </c>
      <c r="B20" s="357" t="s">
        <v>74</v>
      </c>
      <c r="C20" s="351" t="s">
        <v>61</v>
      </c>
      <c r="D20" s="354" t="s">
        <v>67</v>
      </c>
      <c r="E20" s="353" t="s">
        <v>67</v>
      </c>
      <c r="F20" s="354" t="s">
        <v>67</v>
      </c>
      <c r="G20" s="353" t="s">
        <v>67</v>
      </c>
      <c r="H20" s="354"/>
      <c r="I20" s="337" t="s">
        <v>22</v>
      </c>
    </row>
    <row r="21" spans="1:19" ht="79.2" customHeight="1">
      <c r="A21" s="347" t="s">
        <v>75</v>
      </c>
      <c r="B21" s="357" t="s">
        <v>76</v>
      </c>
      <c r="C21" s="351" t="s">
        <v>61</v>
      </c>
      <c r="D21" s="358"/>
      <c r="E21" s="359"/>
      <c r="F21" s="360"/>
      <c r="G21" s="353" t="s">
        <v>67</v>
      </c>
      <c r="H21" s="337"/>
      <c r="I21" s="337" t="s">
        <v>77</v>
      </c>
    </row>
    <row r="22" spans="1:19" ht="32.4" customHeight="1">
      <c r="A22" s="347" t="s">
        <v>78</v>
      </c>
      <c r="B22" s="361" t="s">
        <v>79</v>
      </c>
      <c r="C22" s="351" t="s">
        <v>61</v>
      </c>
      <c r="D22" s="354" t="s">
        <v>67</v>
      </c>
      <c r="E22" s="353" t="s">
        <v>67</v>
      </c>
      <c r="F22" s="354" t="s">
        <v>67</v>
      </c>
      <c r="G22" s="354" t="s">
        <v>67</v>
      </c>
      <c r="H22" s="354"/>
      <c r="I22" s="337" t="s">
        <v>29</v>
      </c>
    </row>
    <row r="23" spans="1:19" ht="83.4" customHeight="1">
      <c r="A23" s="347" t="s">
        <v>80</v>
      </c>
      <c r="B23" s="348" t="s">
        <v>81</v>
      </c>
      <c r="C23" s="351" t="s">
        <v>61</v>
      </c>
      <c r="D23" s="337"/>
      <c r="E23" s="337"/>
      <c r="F23" s="350" t="s">
        <v>63</v>
      </c>
      <c r="G23" s="337" t="s">
        <v>62</v>
      </c>
      <c r="H23" s="337"/>
      <c r="I23" s="337"/>
    </row>
    <row r="24" spans="1:19" ht="79.2" customHeight="1">
      <c r="A24" s="347" t="s">
        <v>82</v>
      </c>
      <c r="B24" s="362" t="s">
        <v>83</v>
      </c>
      <c r="C24" s="338" t="s">
        <v>84</v>
      </c>
      <c r="D24" s="353" t="s">
        <v>67</v>
      </c>
      <c r="E24" s="354"/>
      <c r="F24" s="353" t="s">
        <v>67</v>
      </c>
      <c r="G24" s="353" t="s">
        <v>67</v>
      </c>
      <c r="H24" s="337"/>
      <c r="I24" s="366" t="s">
        <v>85</v>
      </c>
    </row>
    <row r="25" spans="1:19" ht="159.6" customHeight="1">
      <c r="A25" s="347" t="s">
        <v>86</v>
      </c>
      <c r="B25" s="362" t="s">
        <v>87</v>
      </c>
      <c r="C25" s="338" t="s">
        <v>84</v>
      </c>
      <c r="D25" s="353" t="s">
        <v>67</v>
      </c>
      <c r="E25" s="354" t="s">
        <v>67</v>
      </c>
      <c r="F25" s="353" t="s">
        <v>67</v>
      </c>
      <c r="G25" s="354" t="s">
        <v>67</v>
      </c>
      <c r="H25" s="337"/>
      <c r="I25" s="337" t="s">
        <v>88</v>
      </c>
    </row>
    <row r="26" spans="1:19" ht="36">
      <c r="A26" s="347" t="s">
        <v>89</v>
      </c>
      <c r="B26" s="363" t="s">
        <v>90</v>
      </c>
      <c r="C26" s="354" t="s">
        <v>91</v>
      </c>
      <c r="D26" s="364"/>
      <c r="E26" s="364"/>
      <c r="F26" s="364"/>
      <c r="G26" s="364"/>
      <c r="H26" s="365"/>
      <c r="I26" s="365"/>
      <c r="J26" s="367"/>
    </row>
    <row r="27" spans="1:19" ht="27.6">
      <c r="A27" s="347" t="s">
        <v>92</v>
      </c>
      <c r="B27" s="362" t="s">
        <v>93</v>
      </c>
      <c r="C27" s="351" t="s">
        <v>61</v>
      </c>
      <c r="D27" s="337"/>
      <c r="E27" s="337"/>
      <c r="F27" s="337"/>
      <c r="G27" s="337"/>
      <c r="H27" s="337" t="s">
        <v>62</v>
      </c>
      <c r="I27" s="368" t="s">
        <v>94</v>
      </c>
    </row>
  </sheetData>
  <mergeCells count="21">
    <mergeCell ref="G13:I13"/>
    <mergeCell ref="A1:I1"/>
    <mergeCell ref="A2:I2"/>
    <mergeCell ref="A8:F8"/>
    <mergeCell ref="A9:F9"/>
    <mergeCell ref="A10:F10"/>
    <mergeCell ref="A11:F11"/>
    <mergeCell ref="A12:F12"/>
    <mergeCell ref="A13:F13"/>
    <mergeCell ref="G8:I8"/>
    <mergeCell ref="G9:I9"/>
    <mergeCell ref="G10:I10"/>
    <mergeCell ref="G11:I11"/>
    <mergeCell ref="G12:I12"/>
    <mergeCell ref="D15:H15"/>
    <mergeCell ref="J18:S18"/>
    <mergeCell ref="J19:S19"/>
    <mergeCell ref="A15:A16"/>
    <mergeCell ref="B15:B16"/>
    <mergeCell ref="C15:C16"/>
    <mergeCell ref="I15:I16"/>
  </mergeCells>
  <phoneticPr fontId="86" type="noConversion"/>
  <hyperlinks>
    <hyperlink ref="I3" location="底稿目录!A1" display="L4A "/>
  </hyperlinks>
  <printOptions horizontalCentered="1"/>
  <pageMargins left="0.70866141732283505" right="0.70866141732283505" top="0.74803149606299202" bottom="0.74803149606299202" header="0.31496062992126" footer="0.31496062992126"/>
  <pageSetup paperSize="9" scale="70" fitToWidth="0" fitToHeight="0" orientation="portrait" blackAndWhite="1" cellComments="atEnd" r:id="rId1"/>
  <headerFooter alignWithMargins="0">
    <oddFooter>&amp;C&amp;P/&amp;N&amp;R&amp;10&amp;P/&amp;N</oddFooter>
  </headerFooter>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
    <pageSetUpPr fitToPage="1"/>
  </sheetPr>
  <dimension ref="A1:S29"/>
  <sheetViews>
    <sheetView view="pageBreakPreview" zoomScaleNormal="100" workbookViewId="0">
      <selection sqref="A1:R1"/>
    </sheetView>
  </sheetViews>
  <sheetFormatPr defaultColWidth="9" defaultRowHeight="19.95" customHeight="1"/>
  <cols>
    <col min="1" max="1" width="16.59765625" style="284" customWidth="1"/>
    <col min="2" max="2" width="10.09765625" style="284" customWidth="1"/>
    <col min="3" max="3" width="13.09765625" style="284" customWidth="1"/>
    <col min="4" max="4" width="11" style="284" customWidth="1"/>
    <col min="5" max="5" width="11.09765625" style="284" customWidth="1"/>
    <col min="6" max="6" width="12.5" style="284" customWidth="1"/>
    <col min="7" max="7" width="11.09765625" style="284" customWidth="1"/>
    <col min="8" max="8" width="12.09765625" style="284" customWidth="1"/>
    <col min="9" max="10" width="9.59765625" style="284" customWidth="1"/>
    <col min="11" max="11" width="9" style="284"/>
    <col min="12" max="12" width="11.5" style="284" customWidth="1"/>
    <col min="13" max="13" width="10.296875" style="284" customWidth="1"/>
    <col min="14" max="17" width="9" style="284"/>
    <col min="18" max="18" width="10.796875" style="284" customWidth="1"/>
    <col min="19" max="16384" width="9" style="284"/>
  </cols>
  <sheetData>
    <row r="1" spans="1:19" s="281" customFormat="1" ht="19.95" customHeight="1">
      <c r="A1" s="446" t="s">
        <v>178</v>
      </c>
      <c r="B1" s="446"/>
      <c r="C1" s="446"/>
      <c r="D1" s="446"/>
      <c r="E1" s="446"/>
      <c r="F1" s="446"/>
      <c r="G1" s="446"/>
      <c r="H1" s="446"/>
      <c r="I1" s="446"/>
      <c r="J1" s="446"/>
      <c r="K1" s="446"/>
      <c r="L1" s="446"/>
      <c r="M1" s="446"/>
      <c r="N1" s="446"/>
      <c r="O1" s="446"/>
      <c r="P1" s="446"/>
      <c r="Q1" s="446"/>
      <c r="R1" s="446"/>
    </row>
    <row r="2" spans="1:19" s="281" customFormat="1" ht="19.95" customHeight="1">
      <c r="A2" s="447" t="s">
        <v>5</v>
      </c>
      <c r="B2" s="447"/>
      <c r="C2" s="447"/>
      <c r="D2" s="447"/>
      <c r="E2" s="447"/>
      <c r="F2" s="447"/>
      <c r="G2" s="447"/>
      <c r="H2" s="447"/>
      <c r="I2" s="447"/>
      <c r="J2" s="447"/>
      <c r="K2" s="447"/>
      <c r="L2" s="447"/>
      <c r="M2" s="447"/>
      <c r="N2" s="447"/>
      <c r="O2" s="447"/>
      <c r="P2" s="447"/>
      <c r="Q2" s="447"/>
      <c r="R2" s="447"/>
      <c r="S2" s="291"/>
    </row>
    <row r="3" spans="1:19" ht="19.95" customHeight="1">
      <c r="A3" s="284" t="str">
        <f>底稿目录!A2</f>
        <v>被审计单位：</v>
      </c>
      <c r="F3" s="128" t="str">
        <f>底稿目录!A4</f>
        <v>编制人：</v>
      </c>
      <c r="L3" s="290" t="str">
        <f>底稿目录!A5</f>
        <v>编制日期：</v>
      </c>
      <c r="M3" s="290"/>
      <c r="Q3" s="292" t="s">
        <v>174</v>
      </c>
      <c r="R3" s="390" t="str">
        <f>底稿目录!F4</f>
        <v>L4-1</v>
      </c>
    </row>
    <row r="4" spans="1:19" ht="19.95" customHeight="1">
      <c r="A4" s="284" t="str">
        <f>底稿目录!A3</f>
        <v>截止日：202X年12月31日</v>
      </c>
      <c r="B4" s="285"/>
      <c r="F4" s="128" t="str">
        <f>底稿目录!A6</f>
        <v>复核人：</v>
      </c>
      <c r="L4" s="290" t="str">
        <f>底稿目录!A7</f>
        <v>复核日期：</v>
      </c>
      <c r="M4" s="290"/>
      <c r="Q4" s="293" t="s">
        <v>175</v>
      </c>
    </row>
    <row r="5" spans="1:19" s="393" customFormat="1" ht="29.55" customHeight="1">
      <c r="A5" s="452" t="s">
        <v>455</v>
      </c>
      <c r="B5" s="448" t="s">
        <v>456</v>
      </c>
      <c r="C5" s="449"/>
      <c r="D5" s="449"/>
      <c r="E5" s="449"/>
      <c r="F5" s="449"/>
      <c r="G5" s="450"/>
      <c r="H5" s="448" t="s">
        <v>462</v>
      </c>
      <c r="I5" s="449"/>
      <c r="J5" s="449"/>
      <c r="K5" s="449"/>
      <c r="L5" s="449"/>
      <c r="M5" s="450"/>
      <c r="N5" s="451" t="s">
        <v>463</v>
      </c>
      <c r="O5" s="451"/>
      <c r="P5" s="451" t="s">
        <v>464</v>
      </c>
      <c r="Q5" s="451"/>
      <c r="R5" s="451" t="s">
        <v>461</v>
      </c>
    </row>
    <row r="6" spans="1:19" s="393" customFormat="1" ht="31.5" customHeight="1">
      <c r="A6" s="453"/>
      <c r="B6" s="391" t="s">
        <v>458</v>
      </c>
      <c r="C6" s="391" t="s">
        <v>459</v>
      </c>
      <c r="D6" s="391" t="s">
        <v>460</v>
      </c>
      <c r="E6" s="391" t="s">
        <v>227</v>
      </c>
      <c r="F6" s="391" t="s">
        <v>203</v>
      </c>
      <c r="G6" s="391" t="s">
        <v>204</v>
      </c>
      <c r="H6" s="391" t="s">
        <v>457</v>
      </c>
      <c r="I6" s="391" t="s">
        <v>225</v>
      </c>
      <c r="J6" s="391" t="s">
        <v>226</v>
      </c>
      <c r="K6" s="391" t="s">
        <v>227</v>
      </c>
      <c r="L6" s="391" t="s">
        <v>203</v>
      </c>
      <c r="M6" s="391" t="s">
        <v>204</v>
      </c>
      <c r="N6" s="392" t="s">
        <v>465</v>
      </c>
      <c r="O6" s="392" t="s">
        <v>466</v>
      </c>
      <c r="P6" s="392" t="s">
        <v>465</v>
      </c>
      <c r="Q6" s="391" t="s">
        <v>466</v>
      </c>
      <c r="R6" s="451"/>
    </row>
    <row r="7" spans="1:19" ht="19.95" customHeight="1">
      <c r="A7" s="394" t="s">
        <v>468</v>
      </c>
      <c r="B7" s="286"/>
      <c r="C7" s="286"/>
      <c r="D7" s="286"/>
      <c r="E7" s="286"/>
      <c r="F7" s="286"/>
      <c r="G7" s="286"/>
      <c r="H7" s="286"/>
      <c r="I7" s="286"/>
      <c r="J7" s="286"/>
      <c r="K7" s="286"/>
      <c r="L7" s="286"/>
      <c r="M7" s="286"/>
      <c r="N7" s="286"/>
      <c r="O7" s="286"/>
      <c r="P7" s="286"/>
      <c r="Q7" s="286"/>
      <c r="R7" s="294"/>
    </row>
    <row r="8" spans="1:19" ht="19.95" customHeight="1">
      <c r="A8" s="395" t="s">
        <v>467</v>
      </c>
      <c r="B8" s="287">
        <f>'应付债券明细表L4-2'!M17</f>
        <v>0</v>
      </c>
      <c r="C8" s="287">
        <f>'应付债券明细表L4-2'!AJ17</f>
        <v>0</v>
      </c>
      <c r="D8" s="287">
        <f>'应付债券明细表L4-2'!AN17</f>
        <v>0</v>
      </c>
      <c r="E8" s="287">
        <f>SUM(B8:D8)</f>
        <v>0</v>
      </c>
      <c r="F8" s="71"/>
      <c r="G8" s="71"/>
      <c r="H8" s="287">
        <f>'应付债券明细表L4-2'!AE17</f>
        <v>0</v>
      </c>
      <c r="I8" s="287">
        <f>'应付债券明细表L4-2'!AJ17+'应付债券明细表L4-2'!AR17-'应付债券明细表L4-2'!AZ17</f>
        <v>0</v>
      </c>
      <c r="J8" s="287">
        <f>'应付债券明细表L4-2'!AN17+'应付债券明细表L4-2'!AV17-'应付债券明细表L4-2'!BD17</f>
        <v>0</v>
      </c>
      <c r="K8" s="287">
        <f>SUM(H8:J8)</f>
        <v>0</v>
      </c>
      <c r="L8" s="71"/>
      <c r="M8" s="71"/>
      <c r="N8" s="287">
        <f>H8-B8</f>
        <v>0</v>
      </c>
      <c r="O8" s="287">
        <f>IF(AND(B8=0,N8=0),0,IF(AND(B8=0,N8&gt;0),1,N8/B8))</f>
        <v>0</v>
      </c>
      <c r="P8" s="287">
        <f>K8-E8</f>
        <v>0</v>
      </c>
      <c r="Q8" s="287">
        <f>IF(AND(E8=0,P8=0),0,IF(AND(E8=0,P8&gt;0),1,P8/E8))</f>
        <v>0</v>
      </c>
      <c r="R8" s="295"/>
    </row>
    <row r="9" spans="1:19" ht="19.95" customHeight="1">
      <c r="A9" s="395" t="s">
        <v>469</v>
      </c>
      <c r="B9" s="287">
        <f>'应付债券明细表L4-2'!N17</f>
        <v>0</v>
      </c>
      <c r="C9" s="287">
        <f>'应付债券明细表L4-2'!AK17</f>
        <v>0</v>
      </c>
      <c r="D9" s="287">
        <f>'应付债券明细表L4-2'!AO17</f>
        <v>0</v>
      </c>
      <c r="E9" s="287">
        <f>SUM(B9:D9)</f>
        <v>0</v>
      </c>
      <c r="F9" s="71"/>
      <c r="G9" s="71"/>
      <c r="H9" s="287">
        <f>'应付债券明细表L4-2'!AF17</f>
        <v>0</v>
      </c>
      <c r="I9" s="287">
        <f>'应付债券明细表L4-2'!AK17+'应付债券明细表L4-2'!AS17-'应付债券明细表L4-2'!BA17</f>
        <v>0</v>
      </c>
      <c r="J9" s="287">
        <f>'应付债券明细表L4-2'!AO17+'应付债券明细表L4-2'!AW17-'应付债券明细表L4-2'!BE17</f>
        <v>0</v>
      </c>
      <c r="K9" s="287">
        <f>SUM(H9:J9)</f>
        <v>0</v>
      </c>
      <c r="L9" s="71"/>
      <c r="M9" s="71"/>
      <c r="N9" s="287">
        <f t="shared" ref="N9:N17" si="0">H9-B9</f>
        <v>0</v>
      </c>
      <c r="O9" s="287">
        <f t="shared" ref="O9:O18" si="1">IF(AND(B9=0,N9=0),0,IF(AND(B9=0,N9&gt;0),1,N9/B9))</f>
        <v>0</v>
      </c>
      <c r="P9" s="287">
        <f t="shared" ref="P9:P17" si="2">K9-E9</f>
        <v>0</v>
      </c>
      <c r="Q9" s="287">
        <f t="shared" ref="Q9:Q18" si="3">IF(AND(E9=0,P9=0),0,IF(AND(E9=0,P9&gt;0),1,P9/E9))</f>
        <v>0</v>
      </c>
      <c r="R9" s="295"/>
    </row>
    <row r="10" spans="1:19" ht="19.95" customHeight="1">
      <c r="A10" s="395" t="s">
        <v>470</v>
      </c>
      <c r="B10" s="287">
        <f>'应付债券明细表L4-2'!O17</f>
        <v>0</v>
      </c>
      <c r="C10" s="287">
        <f>'应付债券明细表L4-2'!AL17</f>
        <v>0</v>
      </c>
      <c r="D10" s="287">
        <f>'应付债券明细表L4-2'!AP17</f>
        <v>0</v>
      </c>
      <c r="E10" s="287">
        <f>SUM(B10:D10)</f>
        <v>0</v>
      </c>
      <c r="F10" s="71"/>
      <c r="G10" s="71"/>
      <c r="H10" s="287">
        <f>'应付债券明细表L4-2'!AG17</f>
        <v>0</v>
      </c>
      <c r="I10" s="287">
        <f>'应付债券明细表L4-2'!AL17+'应付债券明细表L4-2'!AT17-'应付债券明细表L4-2'!BB17</f>
        <v>0</v>
      </c>
      <c r="J10" s="287">
        <f>'应付债券明细表L4-2'!AP17+'应付债券明细表L4-2'!AX17-'应付债券明细表L4-2'!BF17</f>
        <v>0</v>
      </c>
      <c r="K10" s="287">
        <f>SUM(H10:J10)</f>
        <v>0</v>
      </c>
      <c r="L10" s="71"/>
      <c r="M10" s="71"/>
      <c r="N10" s="287">
        <f t="shared" si="0"/>
        <v>0</v>
      </c>
      <c r="O10" s="287">
        <f t="shared" si="1"/>
        <v>0</v>
      </c>
      <c r="P10" s="287">
        <f t="shared" si="2"/>
        <v>0</v>
      </c>
      <c r="Q10" s="287">
        <f t="shared" si="3"/>
        <v>0</v>
      </c>
      <c r="R10" s="295"/>
    </row>
    <row r="11" spans="1:19" ht="19.95" customHeight="1">
      <c r="A11" s="395" t="s">
        <v>209</v>
      </c>
      <c r="B11" s="287">
        <f>SUM(B8:B10)</f>
        <v>0</v>
      </c>
      <c r="C11" s="287">
        <f>SUM(C8:C10)</f>
        <v>0</v>
      </c>
      <c r="D11" s="287">
        <f t="shared" ref="D11:K11" si="4">SUM(D8:D10)</f>
        <v>0</v>
      </c>
      <c r="E11" s="287">
        <f t="shared" si="4"/>
        <v>0</v>
      </c>
      <c r="F11" s="287">
        <f>'应付债券明细表L4-2'!BM17</f>
        <v>0</v>
      </c>
      <c r="G11" s="287">
        <f>E11-F11</f>
        <v>0</v>
      </c>
      <c r="H11" s="287">
        <f t="shared" si="4"/>
        <v>0</v>
      </c>
      <c r="I11" s="287">
        <f t="shared" si="4"/>
        <v>0</v>
      </c>
      <c r="J11" s="287">
        <f t="shared" si="4"/>
        <v>0</v>
      </c>
      <c r="K11" s="287">
        <f t="shared" si="4"/>
        <v>0</v>
      </c>
      <c r="L11" s="287">
        <f>'应付债券明细表L4-2'!CG17</f>
        <v>0</v>
      </c>
      <c r="M11" s="287">
        <f>K11-L11</f>
        <v>0</v>
      </c>
      <c r="N11" s="287">
        <f t="shared" si="0"/>
        <v>0</v>
      </c>
      <c r="O11" s="287">
        <f t="shared" si="1"/>
        <v>0</v>
      </c>
      <c r="P11" s="287">
        <f t="shared" si="2"/>
        <v>0</v>
      </c>
      <c r="Q11" s="287">
        <f t="shared" si="3"/>
        <v>0</v>
      </c>
      <c r="R11" s="295"/>
    </row>
    <row r="12" spans="1:19" ht="19.95" customHeight="1">
      <c r="A12" s="394" t="s">
        <v>471</v>
      </c>
      <c r="B12" s="286"/>
      <c r="C12" s="286"/>
      <c r="D12" s="286"/>
      <c r="E12" s="286"/>
      <c r="F12" s="286"/>
      <c r="G12" s="286"/>
      <c r="H12" s="286"/>
      <c r="I12" s="286"/>
      <c r="J12" s="286"/>
      <c r="K12" s="286"/>
      <c r="L12" s="286"/>
      <c r="M12" s="286"/>
      <c r="N12" s="286"/>
      <c r="O12" s="286"/>
      <c r="P12" s="286"/>
      <c r="Q12" s="286"/>
      <c r="R12" s="295"/>
    </row>
    <row r="13" spans="1:19" ht="19.95" customHeight="1">
      <c r="A13" s="395" t="s">
        <v>467</v>
      </c>
      <c r="B13" s="287">
        <f>'应付债券明细表L4-2'!M21</f>
        <v>0</v>
      </c>
      <c r="C13" s="287">
        <f>'应付债券明细表L4-2'!AJ21</f>
        <v>0</v>
      </c>
      <c r="D13" s="287">
        <f>'应付债券明细表L4-2'!AN21</f>
        <v>0</v>
      </c>
      <c r="E13" s="287">
        <f>SUM(B13:D13)</f>
        <v>0</v>
      </c>
      <c r="F13" s="71"/>
      <c r="G13" s="71"/>
      <c r="H13" s="287">
        <f>'应付债券明细表L4-2'!AE21</f>
        <v>0</v>
      </c>
      <c r="I13" s="287">
        <f>'应付债券明细表L4-2'!AJ21+'应付债券明细表L4-2'!AR21-'应付债券明细表L4-2'!AZ21</f>
        <v>0</v>
      </c>
      <c r="J13" s="287">
        <f>'应付债券明细表L4-2'!AN21+'应付债券明细表L4-2'!AV21-'应付债券明细表L4-2'!BD21</f>
        <v>0</v>
      </c>
      <c r="K13" s="287">
        <f>SUM(H13:J13)</f>
        <v>0</v>
      </c>
      <c r="L13" s="71"/>
      <c r="M13" s="71"/>
      <c r="N13" s="287">
        <f t="shared" si="0"/>
        <v>0</v>
      </c>
      <c r="O13" s="287">
        <f t="shared" si="1"/>
        <v>0</v>
      </c>
      <c r="P13" s="287">
        <f t="shared" si="2"/>
        <v>0</v>
      </c>
      <c r="Q13" s="287">
        <f t="shared" si="3"/>
        <v>0</v>
      </c>
      <c r="R13" s="295"/>
    </row>
    <row r="14" spans="1:19" ht="19.95" customHeight="1">
      <c r="A14" s="395" t="s">
        <v>469</v>
      </c>
      <c r="B14" s="287">
        <f>'应付债券明细表L4-2'!N21</f>
        <v>0</v>
      </c>
      <c r="C14" s="287">
        <f>'应付债券明细表L4-2'!AK21</f>
        <v>0</v>
      </c>
      <c r="D14" s="287">
        <f>'应付债券明细表L4-2'!AO21</f>
        <v>0</v>
      </c>
      <c r="E14" s="287">
        <f>SUM(B14:D14)</f>
        <v>0</v>
      </c>
      <c r="F14" s="71"/>
      <c r="G14" s="71"/>
      <c r="H14" s="287">
        <f>'应付债券明细表L4-2'!AF21</f>
        <v>0</v>
      </c>
      <c r="I14" s="287">
        <f>'应付债券明细表L4-2'!AK21+'应付债券明细表L4-2'!AS21-'应付债券明细表L4-2'!BA21</f>
        <v>0</v>
      </c>
      <c r="J14" s="287">
        <f>'应付债券明细表L4-2'!AO21+'应付债券明细表L4-2'!AW21-'应付债券明细表L4-2'!BE21</f>
        <v>0</v>
      </c>
      <c r="K14" s="287">
        <f>SUM(H14:J14)</f>
        <v>0</v>
      </c>
      <c r="L14" s="71"/>
      <c r="M14" s="71"/>
      <c r="N14" s="287">
        <f t="shared" si="0"/>
        <v>0</v>
      </c>
      <c r="O14" s="287">
        <f t="shared" si="1"/>
        <v>0</v>
      </c>
      <c r="P14" s="287">
        <f t="shared" si="2"/>
        <v>0</v>
      </c>
      <c r="Q14" s="287">
        <f t="shared" si="3"/>
        <v>0</v>
      </c>
      <c r="R14" s="295"/>
    </row>
    <row r="15" spans="1:19" ht="19.95" customHeight="1">
      <c r="A15" s="395" t="s">
        <v>470</v>
      </c>
      <c r="B15" s="287">
        <f>'应付债券明细表L4-2'!O21</f>
        <v>0</v>
      </c>
      <c r="C15" s="287">
        <f>'应付债券明细表L4-2'!AL21</f>
        <v>0</v>
      </c>
      <c r="D15" s="287">
        <f>'应付债券明细表L4-2'!AP21</f>
        <v>0</v>
      </c>
      <c r="E15" s="287">
        <f>SUM(B15:D15)</f>
        <v>0</v>
      </c>
      <c r="F15" s="71"/>
      <c r="G15" s="71"/>
      <c r="H15" s="287">
        <f>'应付债券明细表L4-2'!AG21</f>
        <v>0</v>
      </c>
      <c r="I15" s="287">
        <f>'应付债券明细表L4-2'!AL21+'应付债券明细表L4-2'!AT21-'应付债券明细表L4-2'!BB21</f>
        <v>0</v>
      </c>
      <c r="J15" s="287">
        <f>'应付债券明细表L4-2'!AP21+'应付债券明细表L4-2'!AX21-'应付债券明细表L4-2'!BF21</f>
        <v>0</v>
      </c>
      <c r="K15" s="287">
        <f>SUM(H15:J15)</f>
        <v>0</v>
      </c>
      <c r="L15" s="71"/>
      <c r="M15" s="71"/>
      <c r="N15" s="287">
        <f t="shared" si="0"/>
        <v>0</v>
      </c>
      <c r="O15" s="287">
        <f t="shared" si="1"/>
        <v>0</v>
      </c>
      <c r="P15" s="287">
        <f t="shared" si="2"/>
        <v>0</v>
      </c>
      <c r="Q15" s="287">
        <f t="shared" si="3"/>
        <v>0</v>
      </c>
      <c r="R15" s="295"/>
    </row>
    <row r="16" spans="1:19" ht="19.95" customHeight="1">
      <c r="A16" s="395" t="s">
        <v>209</v>
      </c>
      <c r="B16" s="287">
        <f>SUM(B13:B15)</f>
        <v>0</v>
      </c>
      <c r="C16" s="287">
        <f>SUM(C13:C15)</f>
        <v>0</v>
      </c>
      <c r="D16" s="287">
        <f>SUM(D13:D15)</f>
        <v>0</v>
      </c>
      <c r="E16" s="287">
        <f>SUM(E13:E15)</f>
        <v>0</v>
      </c>
      <c r="F16" s="287">
        <f>'应付债券明细表L4-2'!BM21</f>
        <v>0</v>
      </c>
      <c r="G16" s="287">
        <f>E16-F16</f>
        <v>0</v>
      </c>
      <c r="H16" s="287">
        <f>SUM(H13:H15)</f>
        <v>0</v>
      </c>
      <c r="I16" s="287">
        <f>SUM(I13:I15)</f>
        <v>0</v>
      </c>
      <c r="J16" s="287">
        <f>SUM(J13:J15)</f>
        <v>0</v>
      </c>
      <c r="K16" s="287">
        <f>SUM(K13:K15)</f>
        <v>0</v>
      </c>
      <c r="L16" s="287">
        <f>'应付债券明细表L4-2'!CG21</f>
        <v>0</v>
      </c>
      <c r="M16" s="287">
        <f>K16-L16</f>
        <v>0</v>
      </c>
      <c r="N16" s="287">
        <f t="shared" si="0"/>
        <v>0</v>
      </c>
      <c r="O16" s="287">
        <f t="shared" si="1"/>
        <v>0</v>
      </c>
      <c r="P16" s="287">
        <f t="shared" si="2"/>
        <v>0</v>
      </c>
      <c r="Q16" s="287">
        <f t="shared" si="3"/>
        <v>0</v>
      </c>
      <c r="R16" s="295"/>
    </row>
    <row r="17" spans="1:18" ht="30" customHeight="1">
      <c r="A17" s="396" t="s">
        <v>472</v>
      </c>
      <c r="B17" s="287">
        <f>'划分为金融负债的其他金融工具明细表L4-3'!M18</f>
        <v>0</v>
      </c>
      <c r="C17" s="287">
        <f>'划分为金融负债的其他金融工具明细表L4-3'!U18</f>
        <v>0</v>
      </c>
      <c r="D17" s="287">
        <f>'划分为金融负债的其他金融工具明细表L4-3'!W18</f>
        <v>0</v>
      </c>
      <c r="E17" s="287">
        <f>B17+C17+D17</f>
        <v>0</v>
      </c>
      <c r="F17" s="71"/>
      <c r="G17" s="71"/>
      <c r="H17" s="287">
        <f>'划分为金融负债的其他金融工具明细表L4-3'!S18</f>
        <v>0</v>
      </c>
      <c r="I17" s="287">
        <f>'划分为金融负债的其他金融工具明细表L4-3'!U18+'划分为金融负债的其他金融工具明细表L4-3'!Y18-'划分为金融负债的其他金融工具明细表L4-3'!AA18</f>
        <v>0</v>
      </c>
      <c r="J17" s="287">
        <f>'划分为金融负债的其他金融工具明细表L4-3'!W18+'划分为金融负债的其他金融工具明细表L4-3'!AC18-'划分为金融负债的其他金融工具明细表L4-3'!AE18</f>
        <v>0</v>
      </c>
      <c r="K17" s="287">
        <f>H17+I17+J17</f>
        <v>0</v>
      </c>
      <c r="L17" s="71"/>
      <c r="M17" s="287">
        <f>K17-L17</f>
        <v>0</v>
      </c>
      <c r="N17" s="287">
        <f t="shared" si="0"/>
        <v>0</v>
      </c>
      <c r="O17" s="287">
        <f t="shared" si="1"/>
        <v>0</v>
      </c>
      <c r="P17" s="287">
        <f t="shared" si="2"/>
        <v>0</v>
      </c>
      <c r="Q17" s="287">
        <f t="shared" si="3"/>
        <v>0</v>
      </c>
      <c r="R17" s="295"/>
    </row>
    <row r="18" spans="1:18" s="282" customFormat="1" ht="19.95" customHeight="1">
      <c r="A18" s="397" t="s">
        <v>210</v>
      </c>
      <c r="B18" s="288">
        <f t="shared" ref="B18:N18" si="5">B11+B16+B17</f>
        <v>0</v>
      </c>
      <c r="C18" s="288">
        <f t="shared" si="5"/>
        <v>0</v>
      </c>
      <c r="D18" s="288">
        <f t="shared" si="5"/>
        <v>0</v>
      </c>
      <c r="E18" s="288">
        <f t="shared" si="5"/>
        <v>0</v>
      </c>
      <c r="F18" s="288">
        <f t="shared" si="5"/>
        <v>0</v>
      </c>
      <c r="G18" s="288">
        <f t="shared" si="5"/>
        <v>0</v>
      </c>
      <c r="H18" s="288">
        <f t="shared" si="5"/>
        <v>0</v>
      </c>
      <c r="I18" s="288">
        <f t="shared" si="5"/>
        <v>0</v>
      </c>
      <c r="J18" s="288">
        <f t="shared" si="5"/>
        <v>0</v>
      </c>
      <c r="K18" s="288">
        <f t="shared" si="5"/>
        <v>0</v>
      </c>
      <c r="L18" s="288">
        <f t="shared" si="5"/>
        <v>0</v>
      </c>
      <c r="M18" s="288">
        <f t="shared" si="5"/>
        <v>0</v>
      </c>
      <c r="N18" s="288">
        <f t="shared" si="5"/>
        <v>0</v>
      </c>
      <c r="O18" s="287">
        <f t="shared" si="1"/>
        <v>0</v>
      </c>
      <c r="P18" s="288">
        <f>P11+P16+P17</f>
        <v>0</v>
      </c>
      <c r="Q18" s="287">
        <f t="shared" si="3"/>
        <v>0</v>
      </c>
      <c r="R18" s="296"/>
    </row>
    <row r="19" spans="1:18" ht="19.95" customHeight="1">
      <c r="A19" s="398" t="s">
        <v>473</v>
      </c>
      <c r="B19" s="128"/>
      <c r="C19" s="128"/>
      <c r="D19" s="128"/>
      <c r="E19" s="128"/>
      <c r="F19" s="128"/>
      <c r="G19" s="128"/>
      <c r="H19" s="289"/>
      <c r="I19" s="128"/>
      <c r="J19" s="128"/>
    </row>
    <row r="20" spans="1:18" ht="19.95" customHeight="1">
      <c r="A20" s="293"/>
    </row>
    <row r="21" spans="1:18" ht="19.95" customHeight="1">
      <c r="A21" s="293"/>
    </row>
    <row r="22" spans="1:18" ht="19.95" customHeight="1">
      <c r="A22" s="393" t="s">
        <v>474</v>
      </c>
    </row>
    <row r="27" spans="1:18" s="283" customFormat="1" ht="19.95" customHeight="1"/>
    <row r="28" spans="1:18" s="283" customFormat="1" ht="19.95" customHeight="1"/>
    <row r="29" spans="1:18" s="283" customFormat="1" ht="19.95" customHeight="1"/>
  </sheetData>
  <mergeCells count="8">
    <mergeCell ref="A1:R1"/>
    <mergeCell ref="A2:R2"/>
    <mergeCell ref="B5:G5"/>
    <mergeCell ref="H5:M5"/>
    <mergeCell ref="N5:O5"/>
    <mergeCell ref="P5:Q5"/>
    <mergeCell ref="A5:A6"/>
    <mergeCell ref="R5:R6"/>
  </mergeCells>
  <phoneticPr fontId="86" type="noConversion"/>
  <hyperlinks>
    <hyperlink ref="R3" location="底稿目录!A1" display="=底稿目录!F4"/>
  </hyperlinks>
  <printOptions horizontalCentered="1"/>
  <pageMargins left="0.70866141732283505" right="0.70866141732283505" top="0.74803149606299202" bottom="0.74803149606299202" header="0.31496062992126" footer="0.31496062992126"/>
  <pageSetup paperSize="9" scale="63" fitToHeight="0" orientation="landscape" blackAndWhite="1" r:id="rId1"/>
  <headerFooter alignWithMargins="0">
    <oddFooter>&amp;C&amp;P/&amp;N</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
    <pageSetUpPr fitToPage="1"/>
  </sheetPr>
  <dimension ref="A1:S72"/>
  <sheetViews>
    <sheetView view="pageBreakPreview" topLeftCell="A19" zoomScaleNormal="100" workbookViewId="0">
      <selection activeCell="G16" sqref="G16"/>
    </sheetView>
  </sheetViews>
  <sheetFormatPr defaultColWidth="9" defaultRowHeight="19.95" customHeight="1"/>
  <cols>
    <col min="1" max="1" width="26.09765625" style="5" customWidth="1"/>
    <col min="2" max="5" width="15.796875" style="5" customWidth="1"/>
    <col min="6" max="6" width="15" style="5" customWidth="1"/>
    <col min="7" max="7" width="14.5" style="5" customWidth="1"/>
    <col min="8" max="9" width="10.59765625" style="5" customWidth="1"/>
    <col min="10" max="10" width="13.09765625" style="5" customWidth="1"/>
    <col min="11" max="16384" width="9" style="5"/>
  </cols>
  <sheetData>
    <row r="1" spans="1:19" s="44" customFormat="1" ht="19.95" customHeight="1">
      <c r="A1" s="462" t="s">
        <v>30</v>
      </c>
      <c r="B1" s="462"/>
      <c r="C1" s="462"/>
      <c r="D1" s="462"/>
      <c r="E1" s="462"/>
      <c r="F1" s="462"/>
      <c r="G1" s="462"/>
      <c r="H1" s="462"/>
      <c r="I1" s="462"/>
      <c r="J1" s="462"/>
      <c r="K1" s="172"/>
      <c r="L1" s="172"/>
      <c r="M1" s="172"/>
      <c r="N1" s="172"/>
      <c r="O1" s="172"/>
      <c r="P1" s="172"/>
      <c r="Q1" s="172"/>
      <c r="R1" s="172"/>
      <c r="S1" s="172"/>
    </row>
    <row r="2" spans="1:19" s="44" customFormat="1" ht="19.95" customHeight="1">
      <c r="A2" s="463" t="s">
        <v>95</v>
      </c>
      <c r="B2" s="463"/>
      <c r="C2" s="463"/>
      <c r="D2" s="463"/>
      <c r="E2" s="463"/>
      <c r="F2" s="463"/>
      <c r="G2" s="463"/>
      <c r="H2" s="463"/>
      <c r="I2" s="463"/>
      <c r="J2" s="463"/>
      <c r="K2" s="291" t="s">
        <v>96</v>
      </c>
      <c r="L2" s="172"/>
      <c r="M2" s="172"/>
      <c r="N2" s="172"/>
      <c r="O2" s="172"/>
      <c r="P2" s="172"/>
      <c r="Q2" s="172"/>
      <c r="R2" s="172"/>
      <c r="S2" s="172"/>
    </row>
    <row r="3" spans="1:19" s="2" customFormat="1" ht="19.95" customHeight="1">
      <c r="A3" s="2" t="str">
        <f>底稿目录!A2</f>
        <v>被审计单位：</v>
      </c>
      <c r="D3" s="2" t="str">
        <f>底稿目录!A4</f>
        <v>编制人：</v>
      </c>
      <c r="G3" s="197" t="str">
        <f>底稿目录!A5</f>
        <v>编制日期：</v>
      </c>
      <c r="H3" s="197"/>
      <c r="I3" s="2" t="s">
        <v>32</v>
      </c>
    </row>
    <row r="4" spans="1:19" s="2" customFormat="1" ht="19.95" customHeight="1">
      <c r="A4" s="2" t="str">
        <f>底稿目录!A3</f>
        <v>截止日：202X年12月31日</v>
      </c>
      <c r="D4" s="275" t="str">
        <f>底稿目录!A6</f>
        <v>复核人：</v>
      </c>
      <c r="G4" s="197" t="str">
        <f>底稿目录!A7</f>
        <v>复核日期：</v>
      </c>
      <c r="H4" s="197"/>
      <c r="I4" s="2" t="s">
        <v>97</v>
      </c>
    </row>
    <row r="5" spans="1:19" ht="19.95" customHeight="1">
      <c r="A5" s="1" t="s">
        <v>98</v>
      </c>
    </row>
    <row r="6" spans="1:19" ht="19.95" customHeight="1">
      <c r="A6" s="297" t="s">
        <v>99</v>
      </c>
      <c r="B6" s="298" t="s">
        <v>100</v>
      </c>
      <c r="C6" s="298" t="s">
        <v>101</v>
      </c>
    </row>
    <row r="7" spans="1:19" ht="19.95" customHeight="1">
      <c r="A7" s="299">
        <f>'应付债券明细表L4-2'!B15</f>
        <v>0</v>
      </c>
      <c r="B7" s="300">
        <f>'应付债券明细表L4-2'!CH15</f>
        <v>0</v>
      </c>
      <c r="C7" s="300">
        <f>'应付债券明细表L4-2'!BN15</f>
        <v>0</v>
      </c>
    </row>
    <row r="8" spans="1:19" ht="19.95" customHeight="1">
      <c r="A8" s="299">
        <f>'应付债券明细表L4-2'!B16</f>
        <v>0</v>
      </c>
      <c r="B8" s="300">
        <f>'应付债券明细表L4-2'!CH16</f>
        <v>0</v>
      </c>
      <c r="C8" s="300">
        <f>'应付债券明细表L4-2'!BN16</f>
        <v>0</v>
      </c>
    </row>
    <row r="9" spans="1:19" ht="19.95" customHeight="1">
      <c r="A9" s="299">
        <f>'应付债券明细表L4-2'!B19</f>
        <v>0</v>
      </c>
      <c r="B9" s="300">
        <f>'应付债券明细表L4-2'!CH19</f>
        <v>0</v>
      </c>
      <c r="C9" s="300">
        <f>'应付债券明细表L4-2'!BN19</f>
        <v>0</v>
      </c>
    </row>
    <row r="10" spans="1:19" ht="19.95" customHeight="1">
      <c r="A10" s="299">
        <f>'应付债券明细表L4-2'!B20</f>
        <v>0</v>
      </c>
      <c r="B10" s="300">
        <f>'应付债券明细表L4-2'!CH20</f>
        <v>0</v>
      </c>
      <c r="C10" s="300">
        <f>'应付债券明细表L4-2'!BN20</f>
        <v>0</v>
      </c>
    </row>
    <row r="11" spans="1:19" ht="19.95" customHeight="1">
      <c r="A11" s="299">
        <f>'划分为金融负债的其他金融工具明细表L4-3'!A13</f>
        <v>0</v>
      </c>
      <c r="B11" s="301">
        <f>'划分为金融负债的其他金融工具明细表L4-3'!AM13</f>
        <v>0</v>
      </c>
      <c r="C11" s="300">
        <f>'划分为金融负债的其他金融工具明细表L4-3'!AG13</f>
        <v>0</v>
      </c>
    </row>
    <row r="12" spans="1:19" ht="19.95" customHeight="1">
      <c r="A12" s="299">
        <f>'划分为金融负债的其他金融工具明细表L4-3'!A14</f>
        <v>0</v>
      </c>
      <c r="B12" s="301">
        <f>'划分为金融负债的其他金融工具明细表L4-3'!AM14</f>
        <v>0</v>
      </c>
      <c r="C12" s="300">
        <f>'划分为金融负债的其他金融工具明细表L4-3'!AG14</f>
        <v>0</v>
      </c>
    </row>
    <row r="13" spans="1:19" ht="19.95" customHeight="1">
      <c r="A13" s="299">
        <f>'划分为金融负债的其他金融工具明细表L4-3'!A15</f>
        <v>0</v>
      </c>
      <c r="B13" s="301">
        <f>'划分为金融负债的其他金融工具明细表L4-3'!AM15</f>
        <v>0</v>
      </c>
      <c r="C13" s="300">
        <f>'划分为金融负债的其他金融工具明细表L4-3'!AG15</f>
        <v>0</v>
      </c>
    </row>
    <row r="14" spans="1:19" ht="19.95" customHeight="1">
      <c r="A14" s="299">
        <f>'划分为金融负债的其他金融工具明细表L4-3'!A16</f>
        <v>0</v>
      </c>
      <c r="B14" s="301">
        <f>'划分为金融负债的其他金融工具明细表L4-3'!AM16</f>
        <v>0</v>
      </c>
      <c r="C14" s="300">
        <f>'划分为金融负债的其他金融工具明细表L4-3'!AG16</f>
        <v>0</v>
      </c>
    </row>
    <row r="15" spans="1:19" ht="19.95" customHeight="1">
      <c r="A15" s="299">
        <f>'划分为金融负债的其他金融工具明细表L4-3'!A17</f>
        <v>0</v>
      </c>
      <c r="B15" s="301">
        <f>'划分为金融负债的其他金融工具明细表L4-3'!AM17</f>
        <v>0</v>
      </c>
      <c r="C15" s="300">
        <f>'划分为金融负债的其他金融工具明细表L4-3'!AG17</f>
        <v>0</v>
      </c>
    </row>
    <row r="16" spans="1:19" ht="19.95" customHeight="1">
      <c r="A16" s="297" t="s">
        <v>102</v>
      </c>
      <c r="B16" s="302">
        <f>SUM(B7:B15)</f>
        <v>0</v>
      </c>
      <c r="C16" s="302">
        <f>SUM(C7:C15)</f>
        <v>0</v>
      </c>
    </row>
    <row r="17" spans="1:8" ht="19.95" customHeight="1">
      <c r="A17" s="464" t="s">
        <v>103</v>
      </c>
      <c r="B17" s="464"/>
      <c r="C17" s="464"/>
      <c r="D17" s="464"/>
      <c r="E17" s="464"/>
    </row>
    <row r="18" spans="1:8" ht="19.95" customHeight="1">
      <c r="A18" s="297" t="s">
        <v>104</v>
      </c>
      <c r="B18" s="327" t="s">
        <v>105</v>
      </c>
      <c r="C18" s="303" t="s">
        <v>106</v>
      </c>
      <c r="D18" s="327" t="s">
        <v>107</v>
      </c>
      <c r="E18" s="327" t="s">
        <v>108</v>
      </c>
      <c r="F18" s="327" t="s">
        <v>109</v>
      </c>
    </row>
    <row r="19" spans="1:8" ht="19.95" customHeight="1">
      <c r="A19" s="299">
        <f>'应付债券明细表L4-2'!B15</f>
        <v>0</v>
      </c>
      <c r="B19" s="305">
        <f>'应付债券明细表L4-2'!G15</f>
        <v>0</v>
      </c>
      <c r="C19" s="305">
        <f>'应付债券明细表L4-2'!F15</f>
        <v>0</v>
      </c>
      <c r="D19" s="305">
        <f>'应付债券明细表L4-2'!C15</f>
        <v>0</v>
      </c>
      <c r="E19" s="305">
        <f>'应付债券明细表L4-2'!E15</f>
        <v>0</v>
      </c>
      <c r="F19" s="305">
        <f>'应付债券明细表L4-2'!H15</f>
        <v>0</v>
      </c>
    </row>
    <row r="20" spans="1:8" ht="19.95" customHeight="1">
      <c r="A20" s="299">
        <f>'应付债券明细表L4-2'!B16</f>
        <v>0</v>
      </c>
      <c r="B20" s="305">
        <f>'应付债券明细表L4-2'!G16</f>
        <v>0</v>
      </c>
      <c r="C20" s="305">
        <f>'应付债券明细表L4-2'!F16</f>
        <v>0</v>
      </c>
      <c r="D20" s="305">
        <f>'应付债券明细表L4-2'!C16</f>
        <v>0</v>
      </c>
      <c r="E20" s="305">
        <f>'应付债券明细表L4-2'!E16</f>
        <v>0</v>
      </c>
      <c r="F20" s="305">
        <f>'应付债券明细表L4-2'!H16</f>
        <v>0</v>
      </c>
    </row>
    <row r="21" spans="1:8" ht="19.95" customHeight="1">
      <c r="A21" s="299">
        <f>'应付债券明细表L4-2'!B17</f>
        <v>0</v>
      </c>
      <c r="B21" s="305">
        <f>'应付债券明细表L4-2'!G17</f>
        <v>0</v>
      </c>
      <c r="C21" s="305">
        <f>'应付债券明细表L4-2'!F17</f>
        <v>0</v>
      </c>
      <c r="D21" s="305">
        <f>'应付债券明细表L4-2'!C17</f>
        <v>0</v>
      </c>
      <c r="E21" s="305">
        <f>'应付债券明细表L4-2'!E17</f>
        <v>0</v>
      </c>
      <c r="F21" s="305">
        <f>'应付债券明细表L4-2'!H17</f>
        <v>0</v>
      </c>
    </row>
    <row r="22" spans="1:8" ht="19.95" customHeight="1">
      <c r="A22" s="299">
        <f>'应付债券明细表L4-2'!B18</f>
        <v>0</v>
      </c>
      <c r="B22" s="305">
        <f>'应付债券明细表L4-2'!G18</f>
        <v>0</v>
      </c>
      <c r="C22" s="305">
        <f>'应付债券明细表L4-2'!F18</f>
        <v>0</v>
      </c>
      <c r="D22" s="305">
        <f>'应付债券明细表L4-2'!C18</f>
        <v>0</v>
      </c>
      <c r="E22" s="305">
        <f>'应付债券明细表L4-2'!E18</f>
        <v>0</v>
      </c>
      <c r="F22" s="305">
        <f>'应付债券明细表L4-2'!H18</f>
        <v>0</v>
      </c>
    </row>
    <row r="23" spans="1:8" ht="19.95" customHeight="1">
      <c r="A23" s="299">
        <f>'应付债券明细表L4-2'!B19</f>
        <v>0</v>
      </c>
      <c r="B23" s="305">
        <f>'应付债券明细表L4-2'!G19</f>
        <v>0</v>
      </c>
      <c r="C23" s="305">
        <f>'应付债券明细表L4-2'!F19</f>
        <v>0</v>
      </c>
      <c r="D23" s="305">
        <f>'应付债券明细表L4-2'!C19</f>
        <v>0</v>
      </c>
      <c r="E23" s="305">
        <f>'应付债券明细表L4-2'!E19</f>
        <v>0</v>
      </c>
      <c r="F23" s="305">
        <f>'应付债券明细表L4-2'!H19</f>
        <v>0</v>
      </c>
    </row>
    <row r="24" spans="1:8" ht="19.95" customHeight="1">
      <c r="A24" s="299">
        <f>'应付债券明细表L4-2'!B20</f>
        <v>0</v>
      </c>
      <c r="B24" s="305">
        <f>'应付债券明细表L4-2'!G20</f>
        <v>0</v>
      </c>
      <c r="C24" s="305">
        <f>'应付债券明细表L4-2'!F20</f>
        <v>0</v>
      </c>
      <c r="D24" s="305">
        <f>'应付债券明细表L4-2'!C20</f>
        <v>0</v>
      </c>
      <c r="E24" s="305">
        <f>'应付债券明细表L4-2'!E20</f>
        <v>0</v>
      </c>
      <c r="F24" s="305">
        <f>'应付债券明细表L4-2'!H20</f>
        <v>0</v>
      </c>
    </row>
    <row r="25" spans="1:8" ht="19.95" customHeight="1">
      <c r="A25" s="297" t="s">
        <v>110</v>
      </c>
      <c r="B25" s="328">
        <f>SUM(B19:B24)</f>
        <v>0</v>
      </c>
      <c r="C25" s="329"/>
      <c r="D25" s="329"/>
      <c r="E25" s="329"/>
      <c r="F25" s="328">
        <f>SUM(F19:F24)</f>
        <v>0</v>
      </c>
    </row>
    <row r="26" spans="1:8" ht="19.95" customHeight="1">
      <c r="A26" s="318" t="s">
        <v>111</v>
      </c>
    </row>
    <row r="27" spans="1:8" ht="19.95" customHeight="1">
      <c r="A27" s="297" t="s">
        <v>104</v>
      </c>
      <c r="B27" s="327" t="s">
        <v>112</v>
      </c>
      <c r="C27" s="327" t="s">
        <v>113</v>
      </c>
      <c r="D27" s="327" t="s">
        <v>114</v>
      </c>
      <c r="E27" s="327" t="s">
        <v>115</v>
      </c>
      <c r="F27" s="327" t="s">
        <v>116</v>
      </c>
      <c r="G27" s="327" t="s">
        <v>117</v>
      </c>
      <c r="H27" s="327" t="s">
        <v>118</v>
      </c>
    </row>
    <row r="28" spans="1:8" ht="19.95" customHeight="1">
      <c r="A28" s="299">
        <f>'应付债券明细表L4-2'!B15</f>
        <v>0</v>
      </c>
      <c r="B28" s="300">
        <f>'应付债券明细表L4-2'!BN15</f>
        <v>0</v>
      </c>
      <c r="C28" s="300">
        <f>'应付债券明细表L4-2'!BQ15</f>
        <v>0</v>
      </c>
      <c r="D28" s="300">
        <f>'应付债券明细表L4-2'!BS15</f>
        <v>0</v>
      </c>
      <c r="E28" s="300">
        <f>'应付债券明细表L4-2'!BR15-'应付债券明细表L4-2'!BX15</f>
        <v>0</v>
      </c>
      <c r="F28" s="300">
        <f>'应付债券明细表L4-2'!BW15+'应付债券明细表L4-2'!BY15</f>
        <v>0</v>
      </c>
      <c r="G28" s="300">
        <f>B28+C28+D28+E28-F28</f>
        <v>0</v>
      </c>
      <c r="H28" s="300">
        <f>'应付债券明细表L4-2'!I15</f>
        <v>0</v>
      </c>
    </row>
    <row r="29" spans="1:8" ht="19.95" customHeight="1">
      <c r="A29" s="299">
        <f>'应付债券明细表L4-2'!B16</f>
        <v>0</v>
      </c>
      <c r="B29" s="300">
        <f>'应付债券明细表L4-2'!BN16</f>
        <v>0</v>
      </c>
      <c r="C29" s="300">
        <f>'应付债券明细表L4-2'!BQ16</f>
        <v>0</v>
      </c>
      <c r="D29" s="300">
        <f>'应付债券明细表L4-2'!BS16</f>
        <v>0</v>
      </c>
      <c r="E29" s="300">
        <f>'应付债券明细表L4-2'!BR16-'应付债券明细表L4-2'!BX16</f>
        <v>0</v>
      </c>
      <c r="F29" s="300">
        <f>'应付债券明细表L4-2'!BW16+'应付债券明细表L4-2'!BY16</f>
        <v>0</v>
      </c>
      <c r="G29" s="300">
        <f t="shared" ref="G29:G31" si="0">B29+C29+D29+E29-F29</f>
        <v>0</v>
      </c>
      <c r="H29" s="300">
        <f>'应付债券明细表L4-2'!I16</f>
        <v>0</v>
      </c>
    </row>
    <row r="30" spans="1:8" ht="19.95" customHeight="1">
      <c r="A30" s="299">
        <f>'应付债券明细表L4-2'!B19</f>
        <v>0</v>
      </c>
      <c r="B30" s="300">
        <f>'应付债券明细表L4-2'!BN19</f>
        <v>0</v>
      </c>
      <c r="C30" s="300">
        <f>'应付债券明细表L4-2'!BQ19</f>
        <v>0</v>
      </c>
      <c r="D30" s="300">
        <f>'应付债券明细表L4-2'!BS19</f>
        <v>0</v>
      </c>
      <c r="E30" s="300">
        <f>'应付债券明细表L4-2'!BR19-'应付债券明细表L4-2'!BX19</f>
        <v>0</v>
      </c>
      <c r="F30" s="300">
        <f>'应付债券明细表L4-2'!BW19+'应付债券明细表L4-2'!BY19</f>
        <v>0</v>
      </c>
      <c r="G30" s="300">
        <f t="shared" si="0"/>
        <v>0</v>
      </c>
      <c r="H30" s="300">
        <f>'应付债券明细表L4-2'!I17</f>
        <v>0</v>
      </c>
    </row>
    <row r="31" spans="1:8" ht="19.95" customHeight="1">
      <c r="A31" s="299">
        <f>'应付债券明细表L4-2'!B20</f>
        <v>0</v>
      </c>
      <c r="B31" s="300">
        <f>'应付债券明细表L4-2'!BN20</f>
        <v>0</v>
      </c>
      <c r="C31" s="300">
        <f>'应付债券明细表L4-2'!BQ20</f>
        <v>0</v>
      </c>
      <c r="D31" s="300">
        <f>'应付债券明细表L4-2'!BS20</f>
        <v>0</v>
      </c>
      <c r="E31" s="300">
        <f>'应付债券明细表L4-2'!BR20-'应付债券明细表L4-2'!BX20</f>
        <v>0</v>
      </c>
      <c r="F31" s="300">
        <f>'应付债券明细表L4-2'!BW20+'应付债券明细表L4-2'!BY20</f>
        <v>0</v>
      </c>
      <c r="G31" s="300">
        <f t="shared" si="0"/>
        <v>0</v>
      </c>
      <c r="H31" s="300">
        <f>'应付债券明细表L4-2'!I18</f>
        <v>0</v>
      </c>
    </row>
    <row r="32" spans="1:8" ht="19.95" customHeight="1">
      <c r="A32" s="297" t="s">
        <v>110</v>
      </c>
      <c r="B32" s="330">
        <f t="shared" ref="B32:G32" si="1">SUM(B28:B31)</f>
        <v>0</v>
      </c>
      <c r="C32" s="330">
        <f t="shared" si="1"/>
        <v>0</v>
      </c>
      <c r="D32" s="330">
        <f t="shared" si="1"/>
        <v>0</v>
      </c>
      <c r="E32" s="330">
        <f t="shared" si="1"/>
        <v>0</v>
      </c>
      <c r="F32" s="330">
        <f t="shared" si="1"/>
        <v>0</v>
      </c>
      <c r="G32" s="330">
        <f t="shared" si="1"/>
        <v>0</v>
      </c>
      <c r="H32" s="330"/>
    </row>
    <row r="33" spans="1:10" ht="19.95" customHeight="1">
      <c r="A33" s="308" t="s">
        <v>119</v>
      </c>
      <c r="B33" s="331">
        <f>'应付债券明细表L4-2'!BM22</f>
        <v>0</v>
      </c>
      <c r="C33" s="323"/>
      <c r="D33" s="320"/>
      <c r="E33" s="320"/>
      <c r="F33" s="320"/>
      <c r="G33" s="326">
        <f>'应付债券明细表L4-2'!CG22</f>
        <v>0</v>
      </c>
      <c r="H33" s="326"/>
    </row>
    <row r="34" spans="1:10" ht="19.95" customHeight="1">
      <c r="A34" s="319" t="s">
        <v>120</v>
      </c>
      <c r="B34" s="331">
        <f>B32-B33</f>
        <v>0</v>
      </c>
      <c r="C34" s="323"/>
      <c r="D34" s="320"/>
      <c r="E34" s="320"/>
      <c r="F34" s="320"/>
      <c r="G34" s="331">
        <f>G32-G33</f>
        <v>0</v>
      </c>
      <c r="H34" s="331"/>
    </row>
    <row r="35" spans="1:10" ht="19.95" customHeight="1">
      <c r="A35" s="318" t="s">
        <v>121</v>
      </c>
    </row>
    <row r="36" spans="1:10" ht="19.95" customHeight="1">
      <c r="A36" s="460" t="s">
        <v>122</v>
      </c>
      <c r="B36" s="460"/>
      <c r="C36" s="460"/>
      <c r="D36" s="460"/>
      <c r="E36" s="460"/>
      <c r="F36" s="460"/>
      <c r="G36" s="460"/>
    </row>
    <row r="37" spans="1:10" ht="28.95" customHeight="1">
      <c r="A37" s="459" t="s">
        <v>123</v>
      </c>
      <c r="B37" s="459"/>
      <c r="C37" s="459"/>
      <c r="D37" s="459"/>
      <c r="E37" s="459"/>
      <c r="F37" s="459"/>
      <c r="G37" s="459"/>
    </row>
    <row r="38" spans="1:10" ht="74.55" customHeight="1">
      <c r="A38" s="459" t="s">
        <v>124</v>
      </c>
      <c r="B38" s="459"/>
      <c r="C38" s="459"/>
      <c r="D38" s="459"/>
      <c r="E38" s="459"/>
      <c r="F38" s="459"/>
      <c r="G38" s="459"/>
    </row>
    <row r="39" spans="1:10" ht="28.95" customHeight="1">
      <c r="A39" s="459" t="s">
        <v>125</v>
      </c>
      <c r="B39" s="459"/>
      <c r="C39" s="459"/>
      <c r="D39" s="459"/>
      <c r="E39" s="459"/>
      <c r="F39" s="459"/>
      <c r="G39" s="459"/>
    </row>
    <row r="40" spans="1:10" ht="19.95" customHeight="1">
      <c r="A40" s="460" t="s">
        <v>126</v>
      </c>
      <c r="B40" s="460"/>
    </row>
    <row r="41" spans="1:10" ht="39" customHeight="1">
      <c r="A41" s="454" t="s">
        <v>127</v>
      </c>
      <c r="B41" s="454"/>
      <c r="C41" s="454"/>
      <c r="D41" s="454"/>
      <c r="E41" s="454"/>
      <c r="F41" s="454"/>
      <c r="G41" s="454"/>
    </row>
    <row r="42" spans="1:10" ht="19.95" customHeight="1">
      <c r="A42" s="461" t="s">
        <v>128</v>
      </c>
      <c r="B42" s="461"/>
      <c r="C42" s="461"/>
      <c r="D42" s="461"/>
      <c r="E42" s="461"/>
      <c r="F42" s="461"/>
      <c r="G42" s="461"/>
    </row>
    <row r="43" spans="1:10" ht="19.95" customHeight="1">
      <c r="A43" s="311" t="s">
        <v>129</v>
      </c>
    </row>
    <row r="44" spans="1:10" ht="39" customHeight="1">
      <c r="A44" s="312" t="s">
        <v>130</v>
      </c>
      <c r="B44" s="313" t="s">
        <v>131</v>
      </c>
      <c r="C44" s="313" t="s">
        <v>132</v>
      </c>
      <c r="D44" s="313" t="s">
        <v>133</v>
      </c>
      <c r="E44" s="313" t="s">
        <v>134</v>
      </c>
      <c r="F44" s="314" t="s">
        <v>135</v>
      </c>
      <c r="G44" s="314" t="s">
        <v>136</v>
      </c>
      <c r="H44" s="313" t="s">
        <v>137</v>
      </c>
      <c r="I44" s="314" t="s">
        <v>138</v>
      </c>
      <c r="J44" s="313" t="s">
        <v>139</v>
      </c>
    </row>
    <row r="45" spans="1:10" ht="19.95" customHeight="1">
      <c r="A45" s="310">
        <f>'划分为金融负债的其他金融工具明细表L4-3'!A13</f>
        <v>0</v>
      </c>
      <c r="B45" s="315">
        <f>'划分为金融负债的其他金融工具明细表L4-3'!C13</f>
        <v>0</v>
      </c>
      <c r="C45" s="315">
        <f>'划分为金融负债的其他金融工具明细表L4-3'!D13</f>
        <v>0</v>
      </c>
      <c r="D45" s="315">
        <f>'划分为金融负债的其他金融工具明细表L4-3'!E13</f>
        <v>0</v>
      </c>
      <c r="E45" s="315">
        <f>'划分为金融负债的其他金融工具明细表L4-3'!F13</f>
        <v>0</v>
      </c>
      <c r="F45" s="315">
        <f>'划分为金融负债的其他金融工具明细表L4-3'!G13</f>
        <v>0</v>
      </c>
      <c r="G45" s="315">
        <f>'划分为金融负债的其他金融工具明细表L4-3'!H13</f>
        <v>0</v>
      </c>
      <c r="H45" s="315">
        <f>'划分为金融负债的其他金融工具明细表L4-3'!I13</f>
        <v>0</v>
      </c>
      <c r="I45" s="315">
        <f>'划分为金融负债的其他金融工具明细表L4-3'!J13</f>
        <v>0</v>
      </c>
      <c r="J45" s="315">
        <f>'划分为金融负债的其他金融工具明细表L4-3'!K13</f>
        <v>0</v>
      </c>
    </row>
    <row r="46" spans="1:10" ht="19.95" customHeight="1">
      <c r="A46" s="310">
        <f>'划分为金融负债的其他金融工具明细表L4-3'!A14</f>
        <v>0</v>
      </c>
      <c r="B46" s="315">
        <f>'划分为金融负债的其他金融工具明细表L4-3'!C14</f>
        <v>0</v>
      </c>
      <c r="C46" s="315">
        <f>'划分为金融负债的其他金融工具明细表L4-3'!D14</f>
        <v>0</v>
      </c>
      <c r="D46" s="315">
        <f>'划分为金融负债的其他金融工具明细表L4-3'!E14</f>
        <v>0</v>
      </c>
      <c r="E46" s="315">
        <f>'划分为金融负债的其他金融工具明细表L4-3'!F14</f>
        <v>0</v>
      </c>
      <c r="F46" s="315">
        <f>'划分为金融负债的其他金融工具明细表L4-3'!G14</f>
        <v>0</v>
      </c>
      <c r="G46" s="315">
        <f>'划分为金融负债的其他金融工具明细表L4-3'!H14</f>
        <v>0</v>
      </c>
      <c r="H46" s="315">
        <f>'划分为金融负债的其他金融工具明细表L4-3'!I14</f>
        <v>0</v>
      </c>
      <c r="I46" s="315">
        <f>'划分为金融负债的其他金融工具明细表L4-3'!J14</f>
        <v>0</v>
      </c>
      <c r="J46" s="315">
        <f>'划分为金融负债的其他金融工具明细表L4-3'!K14</f>
        <v>0</v>
      </c>
    </row>
    <row r="47" spans="1:10" ht="19.95" customHeight="1">
      <c r="A47" s="310">
        <f>'划分为金融负债的其他金融工具明细表L4-3'!A15</f>
        <v>0</v>
      </c>
      <c r="B47" s="315">
        <f>'划分为金融负债的其他金融工具明细表L4-3'!C15</f>
        <v>0</v>
      </c>
      <c r="C47" s="315">
        <f>'划分为金融负债的其他金融工具明细表L4-3'!D15</f>
        <v>0</v>
      </c>
      <c r="D47" s="315">
        <f>'划分为金融负债的其他金融工具明细表L4-3'!E15</f>
        <v>0</v>
      </c>
      <c r="E47" s="315">
        <f>'划分为金融负债的其他金融工具明细表L4-3'!F15</f>
        <v>0</v>
      </c>
      <c r="F47" s="315">
        <f>'划分为金融负债的其他金融工具明细表L4-3'!G15</f>
        <v>0</v>
      </c>
      <c r="G47" s="315">
        <f>'划分为金融负债的其他金融工具明细表L4-3'!H15</f>
        <v>0</v>
      </c>
      <c r="H47" s="315">
        <f>'划分为金融负债的其他金融工具明细表L4-3'!I15</f>
        <v>0</v>
      </c>
      <c r="I47" s="315">
        <f>'划分为金融负债的其他金融工具明细表L4-3'!J15</f>
        <v>0</v>
      </c>
      <c r="J47" s="315">
        <f>'划分为金融负债的其他金融工具明细表L4-3'!K15</f>
        <v>0</v>
      </c>
    </row>
    <row r="48" spans="1:10" ht="19.95" customHeight="1">
      <c r="A48" s="310">
        <f>'划分为金融负债的其他金融工具明细表L4-3'!A16</f>
        <v>0</v>
      </c>
      <c r="B48" s="315">
        <f>'划分为金融负债的其他金融工具明细表L4-3'!C16</f>
        <v>0</v>
      </c>
      <c r="C48" s="315">
        <f>'划分为金融负债的其他金融工具明细表L4-3'!D16</f>
        <v>0</v>
      </c>
      <c r="D48" s="315">
        <f>'划分为金融负债的其他金融工具明细表L4-3'!E16</f>
        <v>0</v>
      </c>
      <c r="E48" s="315">
        <f>'划分为金融负债的其他金融工具明细表L4-3'!F16</f>
        <v>0</v>
      </c>
      <c r="F48" s="315">
        <f>'划分为金融负债的其他金融工具明细表L4-3'!G16</f>
        <v>0</v>
      </c>
      <c r="G48" s="315">
        <f>'划分为金融负债的其他金融工具明细表L4-3'!H16</f>
        <v>0</v>
      </c>
      <c r="H48" s="315">
        <f>'划分为金融负债的其他金融工具明细表L4-3'!I16</f>
        <v>0</v>
      </c>
      <c r="I48" s="315">
        <f>'划分为金融负债的其他金融工具明细表L4-3'!J16</f>
        <v>0</v>
      </c>
      <c r="J48" s="315">
        <f>'划分为金融负债的其他金融工具明细表L4-3'!K16</f>
        <v>0</v>
      </c>
    </row>
    <row r="49" spans="1:10" ht="19.95" customHeight="1">
      <c r="A49" s="310">
        <f>'划分为金融负债的其他金融工具明细表L4-3'!A17</f>
        <v>0</v>
      </c>
      <c r="B49" s="315">
        <f>'划分为金融负债的其他金融工具明细表L4-3'!C17</f>
        <v>0</v>
      </c>
      <c r="C49" s="315">
        <f>'划分为金融负债的其他金融工具明细表L4-3'!D17</f>
        <v>0</v>
      </c>
      <c r="D49" s="315">
        <f>'划分为金融负债的其他金融工具明细表L4-3'!E17</f>
        <v>0</v>
      </c>
      <c r="E49" s="315">
        <f>'划分为金融负债的其他金融工具明细表L4-3'!F17</f>
        <v>0</v>
      </c>
      <c r="F49" s="315">
        <f>'划分为金融负债的其他金融工具明细表L4-3'!G17</f>
        <v>0</v>
      </c>
      <c r="G49" s="315">
        <f>'划分为金融负债的其他金融工具明细表L4-3'!H17</f>
        <v>0</v>
      </c>
      <c r="H49" s="315">
        <f>'划分为金融负债的其他金融工具明细表L4-3'!I17</f>
        <v>0</v>
      </c>
      <c r="I49" s="315">
        <f>'划分为金融负债的其他金融工具明细表L4-3'!J17</f>
        <v>0</v>
      </c>
      <c r="J49" s="315">
        <f>'划分为金融负债的其他金融工具明细表L4-3'!K17</f>
        <v>0</v>
      </c>
    </row>
    <row r="50" spans="1:10" ht="19.95" customHeight="1">
      <c r="A50" s="310" t="s">
        <v>140</v>
      </c>
      <c r="B50" s="315"/>
      <c r="C50" s="310"/>
      <c r="D50" s="310"/>
      <c r="E50" s="310"/>
      <c r="F50" s="316"/>
      <c r="G50" s="316"/>
      <c r="H50" s="310"/>
      <c r="I50" s="310"/>
      <c r="J50" s="310"/>
    </row>
    <row r="51" spans="1:10" ht="19.95" customHeight="1">
      <c r="A51" s="312" t="s">
        <v>141</v>
      </c>
      <c r="B51" s="312"/>
      <c r="C51" s="312"/>
      <c r="D51" s="312"/>
      <c r="E51" s="312"/>
      <c r="F51" s="313"/>
      <c r="G51" s="317">
        <f>SUM(G45:G50)</f>
        <v>0</v>
      </c>
      <c r="H51" s="312"/>
      <c r="I51" s="312"/>
      <c r="J51" s="312"/>
    </row>
    <row r="52" spans="1:10" ht="19.95" customHeight="1">
      <c r="A52" s="311" t="s">
        <v>142</v>
      </c>
    </row>
    <row r="53" spans="1:10" ht="41.55" customHeight="1">
      <c r="A53" s="454" t="s">
        <v>143</v>
      </c>
      <c r="B53" s="454"/>
      <c r="C53" s="454"/>
      <c r="D53" s="454"/>
      <c r="E53" s="454"/>
      <c r="F53" s="454"/>
      <c r="G53" s="454"/>
      <c r="H53" s="454"/>
      <c r="I53" s="454"/>
      <c r="J53" s="454"/>
    </row>
    <row r="54" spans="1:10" ht="19.95" customHeight="1">
      <c r="A54" s="454" t="s">
        <v>144</v>
      </c>
      <c r="B54" s="454"/>
      <c r="C54" s="454"/>
      <c r="D54" s="454"/>
      <c r="E54" s="454"/>
      <c r="F54" s="454"/>
      <c r="G54" s="454"/>
      <c r="H54" s="454"/>
      <c r="I54" s="454"/>
      <c r="J54" s="454"/>
    </row>
    <row r="55" spans="1:10" ht="19.95" customHeight="1">
      <c r="A55" s="454" t="s">
        <v>145</v>
      </c>
      <c r="B55" s="454"/>
      <c r="C55" s="454"/>
      <c r="D55" s="454"/>
      <c r="E55" s="454"/>
      <c r="F55" s="454"/>
      <c r="G55" s="454"/>
      <c r="H55" s="454"/>
      <c r="I55" s="454"/>
      <c r="J55" s="454"/>
    </row>
    <row r="56" spans="1:10" ht="19.95" customHeight="1">
      <c r="A56" s="318" t="s">
        <v>146</v>
      </c>
    </row>
    <row r="57" spans="1:10" ht="19.95" customHeight="1">
      <c r="A57" s="454" t="s">
        <v>147</v>
      </c>
      <c r="B57" s="454"/>
      <c r="C57" s="454"/>
      <c r="D57" s="454"/>
      <c r="E57" s="454"/>
      <c r="F57" s="454"/>
      <c r="G57" s="454"/>
      <c r="H57" s="454"/>
      <c r="I57" s="454"/>
      <c r="J57" s="454"/>
    </row>
    <row r="58" spans="1:10" ht="34.950000000000003" customHeight="1">
      <c r="A58" s="454" t="s">
        <v>148</v>
      </c>
      <c r="B58" s="454"/>
      <c r="C58" s="454"/>
      <c r="D58" s="454"/>
      <c r="E58" s="454"/>
      <c r="F58" s="454"/>
      <c r="G58" s="454"/>
      <c r="H58" s="454"/>
      <c r="I58" s="454"/>
      <c r="J58" s="454"/>
    </row>
    <row r="59" spans="1:10" ht="19.95" customHeight="1">
      <c r="A59" s="454" t="s">
        <v>149</v>
      </c>
      <c r="B59" s="454"/>
      <c r="C59" s="454"/>
      <c r="D59" s="454"/>
      <c r="E59" s="454"/>
      <c r="F59" s="454"/>
      <c r="G59" s="454"/>
      <c r="H59" s="454"/>
      <c r="I59" s="454"/>
      <c r="J59" s="454"/>
    </row>
    <row r="60" spans="1:10" ht="19.95" customHeight="1">
      <c r="A60" s="311" t="s">
        <v>150</v>
      </c>
    </row>
    <row r="61" spans="1:10" ht="19.95" customHeight="1">
      <c r="A61" s="454" t="s">
        <v>151</v>
      </c>
      <c r="B61" s="454"/>
      <c r="C61" s="454"/>
      <c r="D61" s="454"/>
      <c r="E61" s="454"/>
      <c r="F61" s="454"/>
      <c r="G61" s="454"/>
      <c r="H61" s="454"/>
      <c r="I61" s="454"/>
      <c r="J61" s="454"/>
    </row>
    <row r="62" spans="1:10" ht="19.95" customHeight="1">
      <c r="A62" s="457" t="s">
        <v>152</v>
      </c>
      <c r="B62" s="457"/>
      <c r="C62" s="457"/>
    </row>
    <row r="63" spans="1:10" ht="19.95" customHeight="1">
      <c r="A63" s="455" t="s">
        <v>153</v>
      </c>
      <c r="B63" s="458" t="s">
        <v>154</v>
      </c>
      <c r="C63" s="458"/>
      <c r="D63" s="458" t="s">
        <v>155</v>
      </c>
      <c r="E63" s="458"/>
      <c r="F63" s="458" t="s">
        <v>156</v>
      </c>
      <c r="G63" s="458"/>
      <c r="H63" s="458" t="s">
        <v>100</v>
      </c>
      <c r="I63" s="458"/>
    </row>
    <row r="64" spans="1:10" ht="19.95" customHeight="1">
      <c r="A64" s="456"/>
      <c r="B64" s="320" t="s">
        <v>157</v>
      </c>
      <c r="C64" s="320" t="s">
        <v>158</v>
      </c>
      <c r="D64" s="320" t="s">
        <v>157</v>
      </c>
      <c r="E64" s="320" t="s">
        <v>158</v>
      </c>
      <c r="F64" s="320" t="s">
        <v>157</v>
      </c>
      <c r="G64" s="320" t="s">
        <v>158</v>
      </c>
      <c r="H64" s="320" t="s">
        <v>157</v>
      </c>
      <c r="I64" s="320" t="s">
        <v>158</v>
      </c>
    </row>
    <row r="65" spans="1:10" ht="19.95" customHeight="1">
      <c r="A65" s="321">
        <f>'划分为金融负债的其他金融工具明细表L4-3'!A13</f>
        <v>0</v>
      </c>
      <c r="B65" s="322">
        <f>'划分为金融负债的其他金融工具明细表L4-3'!AF13</f>
        <v>0</v>
      </c>
      <c r="C65" s="322">
        <f>'划分为金融负债的其他金融工具明细表L4-3'!AG13</f>
        <v>0</v>
      </c>
      <c r="D65" s="322">
        <f>'划分为金融负债的其他金融工具明细表L4-3'!AH13</f>
        <v>0</v>
      </c>
      <c r="E65" s="322">
        <f>'划分为金融负债的其他金融工具明细表L4-3'!AI13</f>
        <v>0</v>
      </c>
      <c r="F65" s="322">
        <f>'划分为金融负债的其他金融工具明细表L4-3'!AJ13</f>
        <v>0</v>
      </c>
      <c r="G65" s="322">
        <f>'划分为金融负债的其他金融工具明细表L4-3'!AK13</f>
        <v>0</v>
      </c>
      <c r="H65" s="322">
        <f>'划分为金融负债的其他金融工具明细表L4-3'!AL13</f>
        <v>0</v>
      </c>
      <c r="I65" s="322">
        <f>'划分为金融负债的其他金融工具明细表L4-3'!AM13</f>
        <v>0</v>
      </c>
    </row>
    <row r="66" spans="1:10" ht="19.95" customHeight="1">
      <c r="A66" s="321">
        <f>'划分为金融负债的其他金融工具明细表L4-3'!A14</f>
        <v>0</v>
      </c>
      <c r="B66" s="322">
        <f>'划分为金融负债的其他金融工具明细表L4-3'!AF14</f>
        <v>0</v>
      </c>
      <c r="C66" s="322">
        <f>'划分为金融负债的其他金融工具明细表L4-3'!AG14</f>
        <v>0</v>
      </c>
      <c r="D66" s="322">
        <f>'划分为金融负债的其他金融工具明细表L4-3'!AH14</f>
        <v>0</v>
      </c>
      <c r="E66" s="322">
        <f>'划分为金融负债的其他金融工具明细表L4-3'!AI14</f>
        <v>0</v>
      </c>
      <c r="F66" s="322">
        <f>'划分为金融负债的其他金融工具明细表L4-3'!AJ14</f>
        <v>0</v>
      </c>
      <c r="G66" s="322">
        <f>'划分为金融负债的其他金融工具明细表L4-3'!AK14</f>
        <v>0</v>
      </c>
      <c r="H66" s="322">
        <f>'划分为金融负债的其他金融工具明细表L4-3'!AL14</f>
        <v>0</v>
      </c>
      <c r="I66" s="322">
        <f>'划分为金融负债的其他金融工具明细表L4-3'!AM14</f>
        <v>0</v>
      </c>
    </row>
    <row r="67" spans="1:10" ht="19.95" customHeight="1">
      <c r="A67" s="321">
        <f>'划分为金融负债的其他金融工具明细表L4-3'!A15</f>
        <v>0</v>
      </c>
      <c r="B67" s="322">
        <f>'划分为金融负债的其他金融工具明细表L4-3'!AF15</f>
        <v>0</v>
      </c>
      <c r="C67" s="322">
        <f>'划分为金融负债的其他金融工具明细表L4-3'!AG15</f>
        <v>0</v>
      </c>
      <c r="D67" s="322">
        <f>'划分为金融负债的其他金融工具明细表L4-3'!AH15</f>
        <v>0</v>
      </c>
      <c r="E67" s="322">
        <f>'划分为金融负债的其他金融工具明细表L4-3'!AI15</f>
        <v>0</v>
      </c>
      <c r="F67" s="322">
        <f>'划分为金融负债的其他金融工具明细表L4-3'!AJ15</f>
        <v>0</v>
      </c>
      <c r="G67" s="322">
        <f>'划分为金融负债的其他金融工具明细表L4-3'!AK15</f>
        <v>0</v>
      </c>
      <c r="H67" s="322">
        <f>'划分为金融负债的其他金融工具明细表L4-3'!AL15</f>
        <v>0</v>
      </c>
      <c r="I67" s="322">
        <f>'划分为金融负债的其他金融工具明细表L4-3'!AM15</f>
        <v>0</v>
      </c>
    </row>
    <row r="68" spans="1:10" ht="19.95" customHeight="1">
      <c r="A68" s="321">
        <f>'划分为金融负债的其他金融工具明细表L4-3'!A16</f>
        <v>0</v>
      </c>
      <c r="B68" s="322">
        <f>'划分为金融负债的其他金融工具明细表L4-3'!AF16</f>
        <v>0</v>
      </c>
      <c r="C68" s="322">
        <f>'划分为金融负债的其他金融工具明细表L4-3'!AG16</f>
        <v>0</v>
      </c>
      <c r="D68" s="322">
        <f>'划分为金融负债的其他金融工具明细表L4-3'!AH16</f>
        <v>0</v>
      </c>
      <c r="E68" s="322">
        <f>'划分为金融负债的其他金融工具明细表L4-3'!AI16</f>
        <v>0</v>
      </c>
      <c r="F68" s="322">
        <f>'划分为金融负债的其他金融工具明细表L4-3'!AJ16</f>
        <v>0</v>
      </c>
      <c r="G68" s="322">
        <f>'划分为金融负债的其他金融工具明细表L4-3'!AK16</f>
        <v>0</v>
      </c>
      <c r="H68" s="322">
        <f>'划分为金融负债的其他金融工具明细表L4-3'!AL16</f>
        <v>0</v>
      </c>
      <c r="I68" s="322">
        <f>'划分为金融负债的其他金融工具明细表L4-3'!AM16</f>
        <v>0</v>
      </c>
    </row>
    <row r="69" spans="1:10" ht="19.95" customHeight="1">
      <c r="A69" s="321">
        <f>'划分为金融负债的其他金融工具明细表L4-3'!A17</f>
        <v>0</v>
      </c>
      <c r="B69" s="322">
        <f>'划分为金融负债的其他金融工具明细表L4-3'!AF17</f>
        <v>0</v>
      </c>
      <c r="C69" s="322">
        <f>'划分为金融负债的其他金融工具明细表L4-3'!AG17</f>
        <v>0</v>
      </c>
      <c r="D69" s="322">
        <f>'划分为金融负债的其他金融工具明细表L4-3'!AH17</f>
        <v>0</v>
      </c>
      <c r="E69" s="322">
        <f>'划分为金融负债的其他金融工具明细表L4-3'!AI17</f>
        <v>0</v>
      </c>
      <c r="F69" s="322">
        <f>'划分为金融负债的其他金融工具明细表L4-3'!AJ17</f>
        <v>0</v>
      </c>
      <c r="G69" s="322">
        <f>'划分为金融负债的其他金融工具明细表L4-3'!AK17</f>
        <v>0</v>
      </c>
      <c r="H69" s="322">
        <f>'划分为金融负债的其他金融工具明细表L4-3'!AL17</f>
        <v>0</v>
      </c>
      <c r="I69" s="322">
        <f>'划分为金融负债的其他金融工具明细表L4-3'!AM17</f>
        <v>0</v>
      </c>
    </row>
    <row r="70" spans="1:10" ht="19.95" customHeight="1">
      <c r="A70" s="310"/>
      <c r="B70" s="322"/>
      <c r="C70" s="322"/>
      <c r="D70" s="322"/>
      <c r="E70" s="322"/>
      <c r="F70" s="322"/>
      <c r="G70" s="322"/>
      <c r="H70" s="322"/>
      <c r="I70" s="322"/>
    </row>
    <row r="71" spans="1:10" ht="19.95" customHeight="1">
      <c r="A71" s="319" t="s">
        <v>120</v>
      </c>
      <c r="B71" s="331">
        <f>SUM(B65:B70)</f>
        <v>0</v>
      </c>
      <c r="C71" s="331">
        <f t="shared" ref="C71:I71" si="2">SUM(C65:C70)</f>
        <v>0</v>
      </c>
      <c r="D71" s="331">
        <f t="shared" si="2"/>
        <v>0</v>
      </c>
      <c r="E71" s="331">
        <f t="shared" si="2"/>
        <v>0</v>
      </c>
      <c r="F71" s="331">
        <f t="shared" si="2"/>
        <v>0</v>
      </c>
      <c r="G71" s="331">
        <f t="shared" si="2"/>
        <v>0</v>
      </c>
      <c r="H71" s="331">
        <f t="shared" si="2"/>
        <v>0</v>
      </c>
      <c r="I71" s="331">
        <f t="shared" si="2"/>
        <v>0</v>
      </c>
    </row>
    <row r="72" spans="1:10" ht="19.95" customHeight="1">
      <c r="A72" s="454" t="s">
        <v>159</v>
      </c>
      <c r="B72" s="454"/>
      <c r="C72" s="454"/>
      <c r="D72" s="454"/>
      <c r="E72" s="454"/>
      <c r="F72" s="454"/>
      <c r="G72" s="454"/>
      <c r="H72" s="454"/>
      <c r="I72" s="454"/>
      <c r="J72" s="454"/>
    </row>
  </sheetData>
  <mergeCells count="24">
    <mergeCell ref="A1:J1"/>
    <mergeCell ref="A2:J2"/>
    <mergeCell ref="A17:E17"/>
    <mergeCell ref="A36:G36"/>
    <mergeCell ref="A37:G37"/>
    <mergeCell ref="A38:G38"/>
    <mergeCell ref="A39:G39"/>
    <mergeCell ref="A40:B40"/>
    <mergeCell ref="A41:G41"/>
    <mergeCell ref="A42:G42"/>
    <mergeCell ref="A53:J53"/>
    <mergeCell ref="A54:J54"/>
    <mergeCell ref="A55:J55"/>
    <mergeCell ref="A57:J57"/>
    <mergeCell ref="A58:J58"/>
    <mergeCell ref="A72:J72"/>
    <mergeCell ref="A63:A64"/>
    <mergeCell ref="A59:J59"/>
    <mergeCell ref="A61:J61"/>
    <mergeCell ref="A62:C62"/>
    <mergeCell ref="B63:C63"/>
    <mergeCell ref="D63:E63"/>
    <mergeCell ref="F63:G63"/>
    <mergeCell ref="H63:I63"/>
  </mergeCells>
  <phoneticPr fontId="86" type="noConversion"/>
  <hyperlinks>
    <hyperlink ref="K2" location="底稿目录!A1" display="返回目录"/>
  </hyperlinks>
  <pageMargins left="0.70866141732283505" right="0.70866141732283505" top="0.74803149606299202" bottom="0.74803149606299202" header="0.31496062992126" footer="0.31496062992126"/>
  <pageSetup paperSize="9" scale="80" fitToHeight="0" orientation="landscape" blackAndWhite="1" r:id="rId1"/>
  <rowBreaks count="1" manualBreakCount="1">
    <brk id="61" max="16383" man="1"/>
  </rowBreak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6">
    <pageSetUpPr fitToPage="1"/>
  </sheetPr>
  <dimension ref="A1:S61"/>
  <sheetViews>
    <sheetView view="pageBreakPreview" zoomScaleNormal="100" workbookViewId="0">
      <selection activeCell="G16" sqref="G16"/>
    </sheetView>
  </sheetViews>
  <sheetFormatPr defaultColWidth="9" defaultRowHeight="19.95" customHeight="1"/>
  <cols>
    <col min="1" max="1" width="27.09765625" style="5" customWidth="1"/>
    <col min="2" max="5" width="15.796875" style="5" customWidth="1"/>
    <col min="6" max="6" width="15" style="5" customWidth="1"/>
    <col min="7" max="7" width="14.5" style="5" customWidth="1"/>
    <col min="8" max="9" width="14" style="5" customWidth="1"/>
    <col min="10" max="10" width="12.796875" style="5" customWidth="1"/>
    <col min="11" max="16384" width="9" style="5"/>
  </cols>
  <sheetData>
    <row r="1" spans="1:19" s="44" customFormat="1" ht="19.95" customHeight="1">
      <c r="A1" s="462" t="s">
        <v>30</v>
      </c>
      <c r="B1" s="462"/>
      <c r="C1" s="462"/>
      <c r="D1" s="462"/>
      <c r="E1" s="462"/>
      <c r="F1" s="462"/>
      <c r="G1" s="462"/>
      <c r="H1" s="462"/>
      <c r="I1" s="462"/>
      <c r="J1" s="462"/>
      <c r="K1" s="172"/>
      <c r="L1" s="172"/>
      <c r="M1" s="172"/>
      <c r="N1" s="172"/>
      <c r="O1" s="172"/>
      <c r="P1" s="172"/>
      <c r="Q1" s="172"/>
      <c r="R1" s="172"/>
      <c r="S1" s="172"/>
    </row>
    <row r="2" spans="1:19" s="44" customFormat="1" ht="19.95" customHeight="1">
      <c r="A2" s="463" t="s">
        <v>95</v>
      </c>
      <c r="B2" s="463"/>
      <c r="C2" s="463"/>
      <c r="D2" s="463"/>
      <c r="E2" s="463"/>
      <c r="F2" s="463"/>
      <c r="G2" s="463"/>
      <c r="H2" s="463"/>
      <c r="I2" s="463"/>
      <c r="J2" s="463"/>
      <c r="K2" s="291" t="s">
        <v>96</v>
      </c>
      <c r="L2" s="172"/>
      <c r="M2" s="172"/>
      <c r="N2" s="172"/>
      <c r="O2" s="172"/>
      <c r="P2" s="172"/>
      <c r="Q2" s="172"/>
      <c r="R2" s="172"/>
      <c r="S2" s="172"/>
    </row>
    <row r="3" spans="1:19" s="2" customFormat="1" ht="19.95" customHeight="1">
      <c r="A3" s="2" t="str">
        <f>底稿目录!A2</f>
        <v>被审计单位：</v>
      </c>
      <c r="D3" s="2" t="str">
        <f>底稿目录!A4</f>
        <v>编制人：</v>
      </c>
      <c r="G3" s="197" t="str">
        <f>底稿目录!A5</f>
        <v>编制日期：</v>
      </c>
      <c r="H3" s="197"/>
      <c r="J3" s="2" t="s">
        <v>32</v>
      </c>
    </row>
    <row r="4" spans="1:19" s="2" customFormat="1" ht="19.95" customHeight="1">
      <c r="A4" s="2" t="str">
        <f>底稿目录!A3</f>
        <v>截止日：202X年12月31日</v>
      </c>
      <c r="D4" s="275" t="str">
        <f>底稿目录!A6</f>
        <v>复核人：</v>
      </c>
      <c r="G4" s="197" t="str">
        <f>底稿目录!A7</f>
        <v>复核日期：</v>
      </c>
      <c r="H4" s="197"/>
      <c r="J4" s="2" t="s">
        <v>97</v>
      </c>
    </row>
    <row r="5" spans="1:19" ht="19.95" customHeight="1">
      <c r="A5" s="1" t="s">
        <v>160</v>
      </c>
    </row>
    <row r="6" spans="1:19" ht="19.95" customHeight="1">
      <c r="A6" s="297" t="s">
        <v>99</v>
      </c>
      <c r="B6" s="298" t="s">
        <v>100</v>
      </c>
      <c r="C6" s="298" t="s">
        <v>154</v>
      </c>
    </row>
    <row r="7" spans="1:19" ht="19.95" customHeight="1">
      <c r="A7" s="299">
        <f>'应付债券明细表L4-2'!B15</f>
        <v>0</v>
      </c>
      <c r="B7" s="300">
        <f>'应付债券明细表L4-2'!CH15</f>
        <v>0</v>
      </c>
      <c r="C7" s="300">
        <f>'应付债券明细表L4-2'!BN15</f>
        <v>0</v>
      </c>
    </row>
    <row r="8" spans="1:19" ht="19.95" customHeight="1">
      <c r="A8" s="299">
        <f>'应付债券明细表L4-2'!B16</f>
        <v>0</v>
      </c>
      <c r="B8" s="300">
        <f>'应付债券明细表L4-2'!CH16</f>
        <v>0</v>
      </c>
      <c r="C8" s="300">
        <f>'应付债券明细表L4-2'!BN16</f>
        <v>0</v>
      </c>
    </row>
    <row r="9" spans="1:19" ht="19.95" customHeight="1">
      <c r="A9" s="299">
        <f>'应付债券明细表L4-2'!B19</f>
        <v>0</v>
      </c>
      <c r="B9" s="300">
        <f>'应付债券明细表L4-2'!CH19</f>
        <v>0</v>
      </c>
      <c r="C9" s="300">
        <f>'应付债券明细表L4-2'!BN19</f>
        <v>0</v>
      </c>
    </row>
    <row r="10" spans="1:19" ht="19.95" customHeight="1">
      <c r="A10" s="299">
        <f>'应付债券明细表L4-2'!B20</f>
        <v>0</v>
      </c>
      <c r="B10" s="300">
        <f>'应付债券明细表L4-2'!CH20</f>
        <v>0</v>
      </c>
      <c r="C10" s="300">
        <f>'应付债券明细表L4-2'!BN20</f>
        <v>0</v>
      </c>
    </row>
    <row r="11" spans="1:19" ht="19.95" customHeight="1">
      <c r="A11" s="299">
        <f>'划分为金融负债的其他金融工具明细表L4-3'!A13</f>
        <v>0</v>
      </c>
      <c r="B11" s="301">
        <f>'划分为金融负债的其他金融工具明细表L4-3'!AM13</f>
        <v>0</v>
      </c>
      <c r="C11" s="300">
        <f>'划分为金融负债的其他金融工具明细表L4-3'!AG13</f>
        <v>0</v>
      </c>
    </row>
    <row r="12" spans="1:19" ht="19.95" customHeight="1">
      <c r="A12" s="299">
        <f>'划分为金融负债的其他金融工具明细表L4-3'!A14</f>
        <v>0</v>
      </c>
      <c r="B12" s="301">
        <f>'划分为金融负债的其他金融工具明细表L4-3'!AM14</f>
        <v>0</v>
      </c>
      <c r="C12" s="300">
        <f>'划分为金融负债的其他金融工具明细表L4-3'!AG14</f>
        <v>0</v>
      </c>
    </row>
    <row r="13" spans="1:19" ht="19.95" customHeight="1">
      <c r="A13" s="299">
        <f>'划分为金融负债的其他金融工具明细表L4-3'!A15</f>
        <v>0</v>
      </c>
      <c r="B13" s="301">
        <f>'划分为金融负债的其他金融工具明细表L4-3'!AM15</f>
        <v>0</v>
      </c>
      <c r="C13" s="300">
        <f>'划分为金融负债的其他金融工具明细表L4-3'!AG15</f>
        <v>0</v>
      </c>
    </row>
    <row r="14" spans="1:19" ht="19.95" customHeight="1">
      <c r="A14" s="299">
        <f>'划分为金融负债的其他金融工具明细表L4-3'!A16</f>
        <v>0</v>
      </c>
      <c r="B14" s="301">
        <f>'划分为金融负债的其他金融工具明细表L4-3'!AM16</f>
        <v>0</v>
      </c>
      <c r="C14" s="300">
        <f>'划分为金融负债的其他金融工具明细表L4-3'!AG16</f>
        <v>0</v>
      </c>
    </row>
    <row r="15" spans="1:19" ht="19.95" customHeight="1">
      <c r="A15" s="299">
        <f>'划分为金融负债的其他金融工具明细表L4-3'!A17</f>
        <v>0</v>
      </c>
      <c r="B15" s="301">
        <f>'划分为金融负债的其他金融工具明细表L4-3'!AM17</f>
        <v>0</v>
      </c>
      <c r="C15" s="300">
        <f>'划分为金融负债的其他金融工具明细表L4-3'!AG17</f>
        <v>0</v>
      </c>
    </row>
    <row r="16" spans="1:19" ht="19.95" customHeight="1">
      <c r="A16" s="297" t="s">
        <v>102</v>
      </c>
      <c r="B16" s="302">
        <f>SUM(B7:B15)</f>
        <v>0</v>
      </c>
      <c r="C16" s="302">
        <f>SUM(C7:C15)</f>
        <v>0</v>
      </c>
    </row>
    <row r="17" spans="1:10" ht="19.95" customHeight="1">
      <c r="A17" s="303" t="s">
        <v>104</v>
      </c>
      <c r="B17" s="304" t="s">
        <v>105</v>
      </c>
      <c r="C17" s="303" t="s">
        <v>107</v>
      </c>
      <c r="D17" s="303" t="s">
        <v>108</v>
      </c>
      <c r="E17" s="303" t="s">
        <v>109</v>
      </c>
      <c r="F17" s="303" t="s">
        <v>161</v>
      </c>
      <c r="G17" s="303" t="s">
        <v>162</v>
      </c>
      <c r="H17" s="303" t="s">
        <v>163</v>
      </c>
      <c r="I17" s="303" t="s">
        <v>164</v>
      </c>
      <c r="J17" s="303" t="s">
        <v>117</v>
      </c>
    </row>
    <row r="18" spans="1:10" ht="19.95" customHeight="1">
      <c r="A18" s="299">
        <f>'应付债券明细表L4-2'!B15</f>
        <v>0</v>
      </c>
      <c r="B18" s="305">
        <f>'应付债券明细表L4-2'!G15</f>
        <v>0</v>
      </c>
      <c r="C18" s="305">
        <f>'应付债券明细表L4-2'!C15</f>
        <v>0</v>
      </c>
      <c r="D18" s="305">
        <f>'应付债券明细表L4-2'!E15</f>
        <v>0</v>
      </c>
      <c r="E18" s="305">
        <f>'应付债券明细表L4-2'!H15</f>
        <v>0</v>
      </c>
      <c r="F18" s="300">
        <f>'应付债券明细表L4-2'!BK15</f>
        <v>0</v>
      </c>
      <c r="G18" s="300">
        <f>'应付债券明细表L4-2'!BS15</f>
        <v>0</v>
      </c>
      <c r="H18" s="300">
        <f>'应付债券明细表L4-2'!BY15</f>
        <v>0</v>
      </c>
      <c r="I18" s="300">
        <f>'应付债券明细表L4-2'!CE15</f>
        <v>0</v>
      </c>
      <c r="J18" s="300">
        <f>'应付债券明细表L4-2'!CF15</f>
        <v>0</v>
      </c>
    </row>
    <row r="19" spans="1:10" ht="19.95" customHeight="1">
      <c r="A19" s="299">
        <f>'应付债券明细表L4-2'!B16</f>
        <v>0</v>
      </c>
      <c r="B19" s="305">
        <f>'应付债券明细表L4-2'!G16</f>
        <v>0</v>
      </c>
      <c r="C19" s="305">
        <f>'应付债券明细表L4-2'!C16</f>
        <v>0</v>
      </c>
      <c r="D19" s="305">
        <f>'应付债券明细表L4-2'!E16</f>
        <v>0</v>
      </c>
      <c r="E19" s="305">
        <f>'应付债券明细表L4-2'!H16</f>
        <v>0</v>
      </c>
      <c r="F19" s="300">
        <f>'应付债券明细表L4-2'!BK16</f>
        <v>0</v>
      </c>
      <c r="G19" s="300">
        <f>'应付债券明细表L4-2'!BS16</f>
        <v>0</v>
      </c>
      <c r="H19" s="300">
        <f>'应付债券明细表L4-2'!BY16</f>
        <v>0</v>
      </c>
      <c r="I19" s="300">
        <f>'应付债券明细表L4-2'!CE16</f>
        <v>0</v>
      </c>
      <c r="J19" s="300">
        <f>'应付债券明细表L4-2'!CF16</f>
        <v>0</v>
      </c>
    </row>
    <row r="20" spans="1:10" ht="19.95" customHeight="1">
      <c r="A20" s="299">
        <f>'应付债券明细表L4-2'!B19</f>
        <v>0</v>
      </c>
      <c r="B20" s="305">
        <f>'应付债券明细表L4-2'!G19</f>
        <v>0</v>
      </c>
      <c r="C20" s="305">
        <f>'应付债券明细表L4-2'!C19</f>
        <v>0</v>
      </c>
      <c r="D20" s="305">
        <f>'应付债券明细表L4-2'!E19</f>
        <v>0</v>
      </c>
      <c r="E20" s="305">
        <f>'应付债券明细表L4-2'!H19</f>
        <v>0</v>
      </c>
      <c r="F20" s="300">
        <f>'应付债券明细表L4-2'!BK19</f>
        <v>0</v>
      </c>
      <c r="G20" s="300">
        <f>'应付债券明细表L4-2'!BS19</f>
        <v>0</v>
      </c>
      <c r="H20" s="300">
        <f>'应付债券明细表L4-2'!BY19</f>
        <v>0</v>
      </c>
      <c r="I20" s="300">
        <f>'应付债券明细表L4-2'!CE19</f>
        <v>0</v>
      </c>
      <c r="J20" s="300">
        <f>'应付债券明细表L4-2'!CF19</f>
        <v>0</v>
      </c>
    </row>
    <row r="21" spans="1:10" ht="19.95" customHeight="1">
      <c r="A21" s="299">
        <f>'应付债券明细表L4-2'!B20</f>
        <v>0</v>
      </c>
      <c r="B21" s="305">
        <f>'应付债券明细表L4-2'!G20</f>
        <v>0</v>
      </c>
      <c r="C21" s="305">
        <f>'应付债券明细表L4-2'!C20</f>
        <v>0</v>
      </c>
      <c r="D21" s="305">
        <f>'应付债券明细表L4-2'!E20</f>
        <v>0</v>
      </c>
      <c r="E21" s="305">
        <f>'应付债券明细表L4-2'!H20</f>
        <v>0</v>
      </c>
      <c r="F21" s="300">
        <f>'应付债券明细表L4-2'!BK20</f>
        <v>0</v>
      </c>
      <c r="G21" s="300">
        <f>'应付债券明细表L4-2'!BS20</f>
        <v>0</v>
      </c>
      <c r="H21" s="300">
        <f>'应付债券明细表L4-2'!BY20</f>
        <v>0</v>
      </c>
      <c r="I21" s="300">
        <f>'应付债券明细表L4-2'!CE20</f>
        <v>0</v>
      </c>
      <c r="J21" s="300">
        <f>'应付债券明细表L4-2'!CF20</f>
        <v>0</v>
      </c>
    </row>
    <row r="22" spans="1:10" ht="19.95" customHeight="1">
      <c r="A22" s="306" t="s">
        <v>165</v>
      </c>
      <c r="B22" s="307" t="s">
        <v>166</v>
      </c>
      <c r="C22" s="307" t="s">
        <v>166</v>
      </c>
      <c r="D22" s="307" t="s">
        <v>166</v>
      </c>
      <c r="E22" s="307" t="s">
        <v>166</v>
      </c>
      <c r="F22" s="307"/>
      <c r="G22" s="307"/>
      <c r="H22" s="307"/>
      <c r="I22" s="307"/>
      <c r="J22" s="324">
        <f>SUM(J18:J21)</f>
        <v>0</v>
      </c>
    </row>
    <row r="23" spans="1:10" ht="19.95" customHeight="1">
      <c r="A23" s="308" t="s">
        <v>119</v>
      </c>
      <c r="B23" s="309"/>
      <c r="C23" s="309"/>
      <c r="D23" s="309"/>
      <c r="E23" s="309"/>
      <c r="F23" s="309"/>
      <c r="G23" s="309"/>
      <c r="H23" s="309"/>
      <c r="I23" s="309"/>
      <c r="J23" s="325">
        <f>'应付债券明细表L4-2'!CG22</f>
        <v>0</v>
      </c>
    </row>
    <row r="24" spans="1:10" ht="19.95" customHeight="1">
      <c r="A24" s="306" t="s">
        <v>167</v>
      </c>
      <c r="B24" s="307" t="s">
        <v>166</v>
      </c>
      <c r="C24" s="307" t="s">
        <v>166</v>
      </c>
      <c r="D24" s="307" t="s">
        <v>166</v>
      </c>
      <c r="E24" s="307" t="s">
        <v>166</v>
      </c>
      <c r="F24" s="309"/>
      <c r="G24" s="309"/>
      <c r="H24" s="309"/>
      <c r="I24" s="309"/>
      <c r="J24" s="325">
        <f>J22-J23</f>
        <v>0</v>
      </c>
    </row>
    <row r="25" spans="1:10" ht="19.95" customHeight="1">
      <c r="A25" s="465" t="s">
        <v>168</v>
      </c>
      <c r="B25" s="465"/>
      <c r="C25" s="465"/>
      <c r="D25" s="465"/>
    </row>
    <row r="26" spans="1:10" ht="19.95" customHeight="1">
      <c r="A26" s="459" t="s">
        <v>169</v>
      </c>
      <c r="B26" s="459"/>
      <c r="C26" s="459"/>
      <c r="D26" s="459"/>
      <c r="E26" s="459"/>
      <c r="F26" s="459"/>
      <c r="G26" s="459"/>
      <c r="H26" s="459"/>
      <c r="I26" s="459"/>
      <c r="J26" s="459"/>
    </row>
    <row r="27" spans="1:10" ht="31.5" customHeight="1">
      <c r="A27" s="459" t="s">
        <v>170</v>
      </c>
      <c r="B27" s="459"/>
      <c r="C27" s="459"/>
      <c r="D27" s="459"/>
      <c r="E27" s="459"/>
      <c r="F27" s="459"/>
      <c r="G27" s="459"/>
      <c r="H27" s="459"/>
      <c r="I27" s="459"/>
      <c r="J27" s="459"/>
    </row>
    <row r="28" spans="1:10" ht="36.450000000000003" customHeight="1">
      <c r="A28" s="459" t="s">
        <v>171</v>
      </c>
      <c r="B28" s="459"/>
      <c r="C28" s="459"/>
      <c r="D28" s="459"/>
      <c r="E28" s="459"/>
      <c r="F28" s="459"/>
      <c r="G28" s="459"/>
      <c r="H28" s="459"/>
      <c r="I28" s="459"/>
      <c r="J28" s="459"/>
    </row>
    <row r="29" spans="1:10" ht="19.95" customHeight="1">
      <c r="A29" s="460" t="s">
        <v>126</v>
      </c>
      <c r="B29" s="460"/>
    </row>
    <row r="30" spans="1:10" ht="19.95" customHeight="1">
      <c r="A30" s="454" t="s">
        <v>127</v>
      </c>
      <c r="B30" s="454"/>
      <c r="C30" s="454"/>
      <c r="D30" s="454"/>
      <c r="E30" s="454"/>
      <c r="F30" s="454"/>
      <c r="G30" s="454"/>
    </row>
    <row r="31" spans="1:10" ht="19.95" customHeight="1">
      <c r="A31" s="461" t="s">
        <v>128</v>
      </c>
      <c r="B31" s="461"/>
      <c r="C31" s="461"/>
      <c r="D31" s="461"/>
      <c r="E31" s="461"/>
      <c r="F31" s="461"/>
      <c r="G31" s="461"/>
    </row>
    <row r="32" spans="1:10" ht="19.95" customHeight="1">
      <c r="A32" s="311" t="s">
        <v>129</v>
      </c>
    </row>
    <row r="33" spans="1:10" ht="19.95" customHeight="1">
      <c r="A33" s="312" t="s">
        <v>130</v>
      </c>
      <c r="B33" s="313" t="s">
        <v>131</v>
      </c>
      <c r="C33" s="313" t="s">
        <v>132</v>
      </c>
      <c r="D33" s="313" t="s">
        <v>133</v>
      </c>
      <c r="E33" s="313" t="s">
        <v>134</v>
      </c>
      <c r="F33" s="314" t="s">
        <v>135</v>
      </c>
      <c r="G33" s="314" t="s">
        <v>136</v>
      </c>
      <c r="H33" s="313" t="s">
        <v>137</v>
      </c>
      <c r="I33" s="314" t="s">
        <v>138</v>
      </c>
      <c r="J33" s="313" t="s">
        <v>139</v>
      </c>
    </row>
    <row r="34" spans="1:10" ht="19.95" customHeight="1">
      <c r="A34" s="310">
        <f>'划分为金融负债的其他金融工具明细表L4-3'!A13</f>
        <v>0</v>
      </c>
      <c r="B34" s="315">
        <f>'划分为金融负债的其他金融工具明细表L4-3'!C13</f>
        <v>0</v>
      </c>
      <c r="C34" s="315">
        <f>'划分为金融负债的其他金融工具明细表L4-3'!D13</f>
        <v>0</v>
      </c>
      <c r="D34" s="315">
        <f>'划分为金融负债的其他金融工具明细表L4-3'!E13</f>
        <v>0</v>
      </c>
      <c r="E34" s="315">
        <f>'划分为金融负债的其他金融工具明细表L4-3'!F13</f>
        <v>0</v>
      </c>
      <c r="F34" s="315">
        <f>'划分为金融负债的其他金融工具明细表L4-3'!G13</f>
        <v>0</v>
      </c>
      <c r="G34" s="315">
        <f>'划分为金融负债的其他金融工具明细表L4-3'!H13</f>
        <v>0</v>
      </c>
      <c r="H34" s="315">
        <f>'划分为金融负债的其他金融工具明细表L4-3'!I13</f>
        <v>0</v>
      </c>
      <c r="I34" s="315">
        <f>'划分为金融负债的其他金融工具明细表L4-3'!J13</f>
        <v>0</v>
      </c>
      <c r="J34" s="315">
        <f>'划分为金融负债的其他金融工具明细表L4-3'!K13</f>
        <v>0</v>
      </c>
    </row>
    <row r="35" spans="1:10" ht="19.95" customHeight="1">
      <c r="A35" s="310">
        <f>'划分为金融负债的其他金融工具明细表L4-3'!A14</f>
        <v>0</v>
      </c>
      <c r="B35" s="315">
        <f>'划分为金融负债的其他金融工具明细表L4-3'!C14</f>
        <v>0</v>
      </c>
      <c r="C35" s="315">
        <f>'划分为金融负债的其他金融工具明细表L4-3'!D14</f>
        <v>0</v>
      </c>
      <c r="D35" s="315">
        <f>'划分为金融负债的其他金融工具明细表L4-3'!E14</f>
        <v>0</v>
      </c>
      <c r="E35" s="315">
        <f>'划分为金融负债的其他金融工具明细表L4-3'!F14</f>
        <v>0</v>
      </c>
      <c r="F35" s="315">
        <f>'划分为金融负债的其他金融工具明细表L4-3'!G14</f>
        <v>0</v>
      </c>
      <c r="G35" s="315">
        <f>'划分为金融负债的其他金融工具明细表L4-3'!H14</f>
        <v>0</v>
      </c>
      <c r="H35" s="315">
        <f>'划分为金融负债的其他金融工具明细表L4-3'!I14</f>
        <v>0</v>
      </c>
      <c r="I35" s="315">
        <f>'划分为金融负债的其他金融工具明细表L4-3'!J14</f>
        <v>0</v>
      </c>
      <c r="J35" s="315">
        <f>'划分为金融负债的其他金融工具明细表L4-3'!K14</f>
        <v>0</v>
      </c>
    </row>
    <row r="36" spans="1:10" ht="19.95" customHeight="1">
      <c r="A36" s="310">
        <f>'划分为金融负债的其他金融工具明细表L4-3'!A15</f>
        <v>0</v>
      </c>
      <c r="B36" s="315">
        <f>'划分为金融负债的其他金融工具明细表L4-3'!C15</f>
        <v>0</v>
      </c>
      <c r="C36" s="315">
        <f>'划分为金融负债的其他金融工具明细表L4-3'!D15</f>
        <v>0</v>
      </c>
      <c r="D36" s="315">
        <f>'划分为金融负债的其他金融工具明细表L4-3'!E15</f>
        <v>0</v>
      </c>
      <c r="E36" s="315">
        <f>'划分为金融负债的其他金融工具明细表L4-3'!F15</f>
        <v>0</v>
      </c>
      <c r="F36" s="315">
        <f>'划分为金融负债的其他金融工具明细表L4-3'!G15</f>
        <v>0</v>
      </c>
      <c r="G36" s="315">
        <f>'划分为金融负债的其他金融工具明细表L4-3'!H15</f>
        <v>0</v>
      </c>
      <c r="H36" s="315">
        <f>'划分为金融负债的其他金融工具明细表L4-3'!I15</f>
        <v>0</v>
      </c>
      <c r="I36" s="315">
        <f>'划分为金融负债的其他金融工具明细表L4-3'!J15</f>
        <v>0</v>
      </c>
      <c r="J36" s="315">
        <f>'划分为金融负债的其他金融工具明细表L4-3'!K15</f>
        <v>0</v>
      </c>
    </row>
    <row r="37" spans="1:10" ht="19.95" customHeight="1">
      <c r="A37" s="310">
        <f>'划分为金融负债的其他金融工具明细表L4-3'!A16</f>
        <v>0</v>
      </c>
      <c r="B37" s="315">
        <f>'划分为金融负债的其他金融工具明细表L4-3'!C16</f>
        <v>0</v>
      </c>
      <c r="C37" s="315">
        <f>'划分为金融负债的其他金融工具明细表L4-3'!D16</f>
        <v>0</v>
      </c>
      <c r="D37" s="315">
        <f>'划分为金融负债的其他金融工具明细表L4-3'!E16</f>
        <v>0</v>
      </c>
      <c r="E37" s="315">
        <f>'划分为金融负债的其他金融工具明细表L4-3'!F16</f>
        <v>0</v>
      </c>
      <c r="F37" s="315">
        <f>'划分为金融负债的其他金融工具明细表L4-3'!G16</f>
        <v>0</v>
      </c>
      <c r="G37" s="315">
        <f>'划分为金融负债的其他金融工具明细表L4-3'!H16</f>
        <v>0</v>
      </c>
      <c r="H37" s="315">
        <f>'划分为金融负债的其他金融工具明细表L4-3'!I16</f>
        <v>0</v>
      </c>
      <c r="I37" s="315">
        <f>'划分为金融负债的其他金融工具明细表L4-3'!J16</f>
        <v>0</v>
      </c>
      <c r="J37" s="315">
        <f>'划分为金融负债的其他金融工具明细表L4-3'!K16</f>
        <v>0</v>
      </c>
    </row>
    <row r="38" spans="1:10" ht="19.95" customHeight="1">
      <c r="A38" s="310">
        <f>'划分为金融负债的其他金融工具明细表L4-3'!A17</f>
        <v>0</v>
      </c>
      <c r="B38" s="315">
        <f>'划分为金融负债的其他金融工具明细表L4-3'!C17</f>
        <v>0</v>
      </c>
      <c r="C38" s="315">
        <f>'划分为金融负债的其他金融工具明细表L4-3'!D17</f>
        <v>0</v>
      </c>
      <c r="D38" s="315">
        <f>'划分为金融负债的其他金融工具明细表L4-3'!E17</f>
        <v>0</v>
      </c>
      <c r="E38" s="315">
        <f>'划分为金融负债的其他金融工具明细表L4-3'!F17</f>
        <v>0</v>
      </c>
      <c r="F38" s="315">
        <f>'划分为金融负债的其他金融工具明细表L4-3'!G17</f>
        <v>0</v>
      </c>
      <c r="G38" s="315">
        <f>'划分为金融负债的其他金融工具明细表L4-3'!H17</f>
        <v>0</v>
      </c>
      <c r="H38" s="315">
        <f>'划分为金融负债的其他金融工具明细表L4-3'!I17</f>
        <v>0</v>
      </c>
      <c r="I38" s="315">
        <f>'划分为金融负债的其他金融工具明细表L4-3'!J17</f>
        <v>0</v>
      </c>
      <c r="J38" s="315">
        <f>'划分为金融负债的其他金融工具明细表L4-3'!K17</f>
        <v>0</v>
      </c>
    </row>
    <row r="39" spans="1:10" ht="19.95" customHeight="1">
      <c r="A39" s="310" t="s">
        <v>140</v>
      </c>
      <c r="B39" s="315"/>
      <c r="C39" s="310"/>
      <c r="D39" s="310"/>
      <c r="E39" s="310"/>
      <c r="F39" s="316"/>
      <c r="G39" s="316"/>
      <c r="H39" s="310"/>
      <c r="I39" s="310"/>
      <c r="J39" s="310"/>
    </row>
    <row r="40" spans="1:10" ht="19.95" customHeight="1">
      <c r="A40" s="312" t="s">
        <v>141</v>
      </c>
      <c r="B40" s="312"/>
      <c r="C40" s="312"/>
      <c r="D40" s="312"/>
      <c r="E40" s="312"/>
      <c r="F40" s="313"/>
      <c r="G40" s="317">
        <f>SUM(G34:G39)</f>
        <v>0</v>
      </c>
      <c r="H40" s="312"/>
      <c r="I40" s="312"/>
      <c r="J40" s="312"/>
    </row>
    <row r="41" spans="1:10" ht="19.95" customHeight="1">
      <c r="A41" s="311" t="s">
        <v>142</v>
      </c>
    </row>
    <row r="42" spans="1:10" ht="19.95" customHeight="1">
      <c r="A42" s="454" t="s">
        <v>143</v>
      </c>
      <c r="B42" s="454"/>
      <c r="C42" s="454"/>
      <c r="D42" s="454"/>
      <c r="E42" s="454"/>
      <c r="F42" s="454"/>
      <c r="G42" s="454"/>
      <c r="H42" s="454"/>
      <c r="I42" s="454"/>
      <c r="J42" s="454"/>
    </row>
    <row r="43" spans="1:10" ht="19.95" customHeight="1">
      <c r="A43" s="454" t="s">
        <v>144</v>
      </c>
      <c r="B43" s="454"/>
      <c r="C43" s="454"/>
      <c r="D43" s="454"/>
      <c r="E43" s="454"/>
      <c r="F43" s="454"/>
      <c r="G43" s="454"/>
      <c r="H43" s="454"/>
      <c r="I43" s="454"/>
      <c r="J43" s="454"/>
    </row>
    <row r="44" spans="1:10" ht="19.95" customHeight="1">
      <c r="A44" s="454" t="s">
        <v>145</v>
      </c>
      <c r="B44" s="454"/>
      <c r="C44" s="454"/>
      <c r="D44" s="454"/>
      <c r="E44" s="454"/>
      <c r="F44" s="454"/>
      <c r="G44" s="454"/>
      <c r="H44" s="454"/>
      <c r="I44" s="454"/>
      <c r="J44" s="454"/>
    </row>
    <row r="45" spans="1:10" ht="19.95" customHeight="1">
      <c r="A45" s="318" t="s">
        <v>146</v>
      </c>
    </row>
    <row r="46" spans="1:10" ht="19.95" customHeight="1">
      <c r="A46" s="454" t="s">
        <v>147</v>
      </c>
      <c r="B46" s="454"/>
      <c r="C46" s="454"/>
      <c r="D46" s="454"/>
      <c r="E46" s="454"/>
      <c r="F46" s="454"/>
      <c r="G46" s="454"/>
      <c r="H46" s="454"/>
      <c r="I46" s="454"/>
      <c r="J46" s="454"/>
    </row>
    <row r="47" spans="1:10" ht="19.95" customHeight="1">
      <c r="A47" s="454" t="s">
        <v>148</v>
      </c>
      <c r="B47" s="454"/>
      <c r="C47" s="454"/>
      <c r="D47" s="454"/>
      <c r="E47" s="454"/>
      <c r="F47" s="454"/>
      <c r="G47" s="454"/>
      <c r="H47" s="454"/>
      <c r="I47" s="454"/>
      <c r="J47" s="454"/>
    </row>
    <row r="48" spans="1:10" ht="19.95" customHeight="1">
      <c r="A48" s="454" t="s">
        <v>149</v>
      </c>
      <c r="B48" s="454"/>
      <c r="C48" s="454"/>
      <c r="D48" s="454"/>
      <c r="E48" s="454"/>
      <c r="F48" s="454"/>
      <c r="G48" s="454"/>
      <c r="H48" s="454"/>
      <c r="I48" s="454"/>
      <c r="J48" s="454"/>
    </row>
    <row r="49" spans="1:10" ht="19.95" customHeight="1">
      <c r="A49" s="311" t="s">
        <v>150</v>
      </c>
    </row>
    <row r="50" spans="1:10" ht="19.95" customHeight="1">
      <c r="A50" s="454" t="s">
        <v>151</v>
      </c>
      <c r="B50" s="454"/>
      <c r="C50" s="454"/>
      <c r="D50" s="454"/>
      <c r="E50" s="454"/>
      <c r="F50" s="454"/>
      <c r="G50" s="454"/>
      <c r="H50" s="454"/>
      <c r="I50" s="454"/>
      <c r="J50" s="454"/>
    </row>
    <row r="51" spans="1:10" ht="19.95" customHeight="1">
      <c r="A51" s="457" t="s">
        <v>152</v>
      </c>
      <c r="B51" s="457"/>
      <c r="C51" s="457"/>
    </row>
    <row r="52" spans="1:10" ht="19.95" customHeight="1">
      <c r="A52" s="455" t="s">
        <v>153</v>
      </c>
      <c r="B52" s="458" t="s">
        <v>172</v>
      </c>
      <c r="C52" s="458"/>
      <c r="D52" s="458" t="s">
        <v>155</v>
      </c>
      <c r="E52" s="458"/>
      <c r="F52" s="458" t="s">
        <v>156</v>
      </c>
      <c r="G52" s="458"/>
      <c r="H52" s="458" t="s">
        <v>173</v>
      </c>
      <c r="I52" s="458"/>
    </row>
    <row r="53" spans="1:10" ht="19.95" customHeight="1">
      <c r="A53" s="456"/>
      <c r="B53" s="320" t="s">
        <v>157</v>
      </c>
      <c r="C53" s="320" t="s">
        <v>158</v>
      </c>
      <c r="D53" s="320" t="s">
        <v>157</v>
      </c>
      <c r="E53" s="320" t="s">
        <v>158</v>
      </c>
      <c r="F53" s="320" t="s">
        <v>157</v>
      </c>
      <c r="G53" s="320" t="s">
        <v>158</v>
      </c>
      <c r="H53" s="320" t="s">
        <v>157</v>
      </c>
      <c r="I53" s="320" t="s">
        <v>158</v>
      </c>
    </row>
    <row r="54" spans="1:10" ht="19.95" customHeight="1">
      <c r="A54" s="321">
        <f>'划分为金融负债的其他金融工具明细表L4-3'!A13</f>
        <v>0</v>
      </c>
      <c r="B54" s="322">
        <f>'划分为金融负债的其他金融工具明细表L4-3'!AF13</f>
        <v>0</v>
      </c>
      <c r="C54" s="322">
        <f>'划分为金融负债的其他金融工具明细表L4-3'!AG13</f>
        <v>0</v>
      </c>
      <c r="D54" s="322">
        <f>'划分为金融负债的其他金融工具明细表L4-3'!AH13</f>
        <v>0</v>
      </c>
      <c r="E54" s="322">
        <f>'划分为金融负债的其他金融工具明细表L4-3'!AI13</f>
        <v>0</v>
      </c>
      <c r="F54" s="322">
        <f>'划分为金融负债的其他金融工具明细表L4-3'!AJ13</f>
        <v>0</v>
      </c>
      <c r="G54" s="322">
        <f>'划分为金融负债的其他金融工具明细表L4-3'!AK13</f>
        <v>0</v>
      </c>
      <c r="H54" s="322">
        <f>'划分为金融负债的其他金融工具明细表L4-3'!AL13</f>
        <v>0</v>
      </c>
      <c r="I54" s="322">
        <f>'划分为金融负债的其他金融工具明细表L4-3'!AM13</f>
        <v>0</v>
      </c>
    </row>
    <row r="55" spans="1:10" ht="19.95" customHeight="1">
      <c r="A55" s="321">
        <f>'划分为金融负债的其他金融工具明细表L4-3'!A14</f>
        <v>0</v>
      </c>
      <c r="B55" s="322">
        <f>'划分为金融负债的其他金融工具明细表L4-3'!AF14</f>
        <v>0</v>
      </c>
      <c r="C55" s="322">
        <f>'划分为金融负债的其他金融工具明细表L4-3'!AG14</f>
        <v>0</v>
      </c>
      <c r="D55" s="322">
        <f>'划分为金融负债的其他金融工具明细表L4-3'!AH14</f>
        <v>0</v>
      </c>
      <c r="E55" s="322">
        <f>'划分为金融负债的其他金融工具明细表L4-3'!AI14</f>
        <v>0</v>
      </c>
      <c r="F55" s="322">
        <f>'划分为金融负债的其他金融工具明细表L4-3'!AJ14</f>
        <v>0</v>
      </c>
      <c r="G55" s="322">
        <f>'划分为金融负债的其他金融工具明细表L4-3'!AK14</f>
        <v>0</v>
      </c>
      <c r="H55" s="322">
        <f>'划分为金融负债的其他金融工具明细表L4-3'!AL14</f>
        <v>0</v>
      </c>
      <c r="I55" s="322">
        <f>'划分为金融负债的其他金融工具明细表L4-3'!AM14</f>
        <v>0</v>
      </c>
    </row>
    <row r="56" spans="1:10" ht="19.95" customHeight="1">
      <c r="A56" s="321">
        <f>'划分为金融负债的其他金融工具明细表L4-3'!A15</f>
        <v>0</v>
      </c>
      <c r="B56" s="322">
        <f>'划分为金融负债的其他金融工具明细表L4-3'!AF15</f>
        <v>0</v>
      </c>
      <c r="C56" s="322">
        <f>'划分为金融负债的其他金融工具明细表L4-3'!AG15</f>
        <v>0</v>
      </c>
      <c r="D56" s="322">
        <f>'划分为金融负债的其他金融工具明细表L4-3'!AH15</f>
        <v>0</v>
      </c>
      <c r="E56" s="322">
        <f>'划分为金融负债的其他金融工具明细表L4-3'!AI15</f>
        <v>0</v>
      </c>
      <c r="F56" s="322">
        <f>'划分为金融负债的其他金融工具明细表L4-3'!AJ15</f>
        <v>0</v>
      </c>
      <c r="G56" s="322">
        <f>'划分为金融负债的其他金融工具明细表L4-3'!AK15</f>
        <v>0</v>
      </c>
      <c r="H56" s="322">
        <f>'划分为金融负债的其他金融工具明细表L4-3'!AL15</f>
        <v>0</v>
      </c>
      <c r="I56" s="322">
        <f>'划分为金融负债的其他金融工具明细表L4-3'!AM15</f>
        <v>0</v>
      </c>
    </row>
    <row r="57" spans="1:10" ht="19.95" customHeight="1">
      <c r="A57" s="321">
        <f>'划分为金融负债的其他金融工具明细表L4-3'!A16</f>
        <v>0</v>
      </c>
      <c r="B57" s="322">
        <f>'划分为金融负债的其他金融工具明细表L4-3'!AF16</f>
        <v>0</v>
      </c>
      <c r="C57" s="322">
        <f>'划分为金融负债的其他金融工具明细表L4-3'!AG16</f>
        <v>0</v>
      </c>
      <c r="D57" s="322">
        <f>'划分为金融负债的其他金融工具明细表L4-3'!AH16</f>
        <v>0</v>
      </c>
      <c r="E57" s="322">
        <f>'划分为金融负债的其他金融工具明细表L4-3'!AI16</f>
        <v>0</v>
      </c>
      <c r="F57" s="322">
        <f>'划分为金融负债的其他金融工具明细表L4-3'!AJ16</f>
        <v>0</v>
      </c>
      <c r="G57" s="322">
        <f>'划分为金融负债的其他金融工具明细表L4-3'!AK16</f>
        <v>0</v>
      </c>
      <c r="H57" s="322">
        <f>'划分为金融负债的其他金融工具明细表L4-3'!AL16</f>
        <v>0</v>
      </c>
      <c r="I57" s="322">
        <f>'划分为金融负债的其他金融工具明细表L4-3'!AM16</f>
        <v>0</v>
      </c>
    </row>
    <row r="58" spans="1:10" ht="19.95" customHeight="1">
      <c r="A58" s="321">
        <f>'划分为金融负债的其他金融工具明细表L4-3'!A17</f>
        <v>0</v>
      </c>
      <c r="B58" s="322">
        <f>'划分为金融负债的其他金融工具明细表L4-3'!AF17</f>
        <v>0</v>
      </c>
      <c r="C58" s="322">
        <f>'划分为金融负债的其他金融工具明细表L4-3'!AG17</f>
        <v>0</v>
      </c>
      <c r="D58" s="322">
        <f>'划分为金融负债的其他金融工具明细表L4-3'!AH17</f>
        <v>0</v>
      </c>
      <c r="E58" s="322">
        <f>'划分为金融负债的其他金融工具明细表L4-3'!AI17</f>
        <v>0</v>
      </c>
      <c r="F58" s="322">
        <f>'划分为金融负债的其他金融工具明细表L4-3'!AJ17</f>
        <v>0</v>
      </c>
      <c r="G58" s="322">
        <f>'划分为金融负债的其他金融工具明细表L4-3'!AK17</f>
        <v>0</v>
      </c>
      <c r="H58" s="322">
        <f>'划分为金融负债的其他金融工具明细表L4-3'!AL17</f>
        <v>0</v>
      </c>
      <c r="I58" s="322">
        <f>'划分为金融负债的其他金融工具明细表L4-3'!AM17</f>
        <v>0</v>
      </c>
    </row>
    <row r="59" spans="1:10" ht="19.95" customHeight="1">
      <c r="A59" s="310" t="s">
        <v>140</v>
      </c>
      <c r="B59" s="322"/>
      <c r="C59" s="322"/>
      <c r="D59" s="322"/>
      <c r="E59" s="322"/>
      <c r="F59" s="322"/>
      <c r="G59" s="322"/>
      <c r="H59" s="322"/>
      <c r="I59" s="322"/>
    </row>
    <row r="60" spans="1:10" ht="19.95" customHeight="1">
      <c r="A60" s="319" t="s">
        <v>120</v>
      </c>
      <c r="B60" s="320"/>
      <c r="C60" s="320"/>
      <c r="D60" s="323"/>
      <c r="E60" s="320"/>
      <c r="F60" s="320"/>
      <c r="G60" s="320"/>
      <c r="H60" s="323"/>
      <c r="I60" s="326">
        <f>SUM(I54:I59)</f>
        <v>0</v>
      </c>
    </row>
    <row r="61" spans="1:10" ht="19.95" customHeight="1">
      <c r="A61" s="454" t="s">
        <v>159</v>
      </c>
      <c r="B61" s="454"/>
      <c r="C61" s="454"/>
      <c r="D61" s="454"/>
      <c r="E61" s="454"/>
      <c r="F61" s="454"/>
      <c r="G61" s="454"/>
      <c r="H61" s="454"/>
      <c r="I61" s="454"/>
      <c r="J61" s="454"/>
    </row>
  </sheetData>
  <mergeCells count="23">
    <mergeCell ref="A1:J1"/>
    <mergeCell ref="A2:J2"/>
    <mergeCell ref="A25:D25"/>
    <mergeCell ref="A26:J26"/>
    <mergeCell ref="A27:J27"/>
    <mergeCell ref="A28:J28"/>
    <mergeCell ref="A29:B29"/>
    <mergeCell ref="A30:G30"/>
    <mergeCell ref="A31:G31"/>
    <mergeCell ref="A42:J42"/>
    <mergeCell ref="A43:J43"/>
    <mergeCell ref="A44:J44"/>
    <mergeCell ref="A46:J46"/>
    <mergeCell ref="A47:J47"/>
    <mergeCell ref="A48:J48"/>
    <mergeCell ref="A61:J61"/>
    <mergeCell ref="A52:A53"/>
    <mergeCell ref="A50:J50"/>
    <mergeCell ref="A51:C51"/>
    <mergeCell ref="B52:C52"/>
    <mergeCell ref="D52:E52"/>
    <mergeCell ref="F52:G52"/>
    <mergeCell ref="H52:I52"/>
  </mergeCells>
  <phoneticPr fontId="86" type="noConversion"/>
  <hyperlinks>
    <hyperlink ref="K2" location="底稿目录!A1" display="返回目录"/>
  </hyperlinks>
  <pageMargins left="0.70866141732283505" right="0.70866141732283505" top="0.74803149606299202" bottom="0.74803149606299202" header="0.31496062992126" footer="0.31496062992126"/>
  <pageSetup paperSize="9" scale="76" fitToHeight="0" orientation="landscape" blackAndWhite="1"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7"/>
  <dimension ref="A1:CK35"/>
  <sheetViews>
    <sheetView view="pageBreakPreview" zoomScaleNormal="100" workbookViewId="0">
      <selection sqref="A1:AH1"/>
    </sheetView>
  </sheetViews>
  <sheetFormatPr defaultColWidth="9" defaultRowHeight="19.95" customHeight="1"/>
  <cols>
    <col min="1" max="39" width="9" style="177"/>
    <col min="40" max="40" width="11.5" style="177" customWidth="1"/>
    <col min="41" max="43" width="9" style="177"/>
    <col min="44" max="44" width="8.59765625" style="177" customWidth="1"/>
    <col min="45" max="16384" width="9" style="177"/>
  </cols>
  <sheetData>
    <row r="1" spans="1:89" s="44" customFormat="1" ht="19.95" customHeight="1">
      <c r="A1" s="474" t="s">
        <v>178</v>
      </c>
      <c r="B1" s="474"/>
      <c r="C1" s="474"/>
      <c r="D1" s="474"/>
      <c r="E1" s="474"/>
      <c r="F1" s="474"/>
      <c r="G1" s="474"/>
      <c r="H1" s="474"/>
      <c r="I1" s="474"/>
      <c r="J1" s="474"/>
      <c r="K1" s="474"/>
      <c r="L1" s="474"/>
      <c r="M1" s="474"/>
      <c r="N1" s="474"/>
      <c r="O1" s="474"/>
      <c r="P1" s="474"/>
      <c r="Q1" s="474"/>
      <c r="R1" s="474"/>
      <c r="S1" s="474"/>
      <c r="T1" s="474"/>
      <c r="U1" s="474"/>
      <c r="V1" s="474"/>
      <c r="W1" s="474"/>
      <c r="X1" s="474"/>
      <c r="Y1" s="474"/>
      <c r="Z1" s="474"/>
      <c r="AA1" s="474"/>
      <c r="AB1" s="474"/>
      <c r="AC1" s="474"/>
      <c r="AD1" s="474"/>
      <c r="AE1" s="474"/>
      <c r="AF1" s="474"/>
      <c r="AG1" s="474"/>
      <c r="AH1" s="474"/>
      <c r="AI1" s="474" t="s">
        <v>178</v>
      </c>
      <c r="AJ1" s="474"/>
      <c r="AK1" s="474"/>
      <c r="AL1" s="474"/>
      <c r="AM1" s="474"/>
      <c r="AN1" s="474"/>
      <c r="AO1" s="474"/>
      <c r="AP1" s="474"/>
      <c r="AQ1" s="474"/>
      <c r="AR1" s="474"/>
      <c r="AS1" s="474"/>
      <c r="AT1" s="474"/>
      <c r="AU1" s="474"/>
      <c r="AV1" s="474"/>
      <c r="AW1" s="474"/>
      <c r="AX1" s="474"/>
      <c r="AY1" s="474"/>
      <c r="AZ1" s="474"/>
      <c r="BA1" s="474"/>
      <c r="BB1" s="474"/>
      <c r="BC1" s="474"/>
      <c r="BD1" s="474"/>
      <c r="BE1" s="474"/>
      <c r="BF1" s="474"/>
      <c r="BG1" s="474" t="s">
        <v>178</v>
      </c>
      <c r="BH1" s="474"/>
      <c r="BI1" s="474"/>
      <c r="BJ1" s="474"/>
      <c r="BK1" s="474"/>
      <c r="BL1" s="474"/>
      <c r="BM1" s="474"/>
      <c r="BN1" s="474"/>
      <c r="BO1" s="474"/>
      <c r="BP1" s="474"/>
      <c r="BQ1" s="474"/>
      <c r="BR1" s="474"/>
      <c r="BS1" s="474"/>
      <c r="BT1" s="474"/>
      <c r="BU1" s="474"/>
      <c r="BV1" s="474"/>
      <c r="BW1" s="474"/>
      <c r="BX1" s="474"/>
      <c r="BY1" s="474"/>
      <c r="BZ1" s="474"/>
      <c r="CA1" s="474"/>
      <c r="CB1" s="474"/>
      <c r="CC1" s="474"/>
      <c r="CD1" s="474"/>
      <c r="CE1" s="474"/>
      <c r="CF1" s="474"/>
      <c r="CG1" s="474"/>
      <c r="CH1" s="474"/>
      <c r="CI1" s="474"/>
      <c r="CJ1" s="474"/>
    </row>
    <row r="2" spans="1:89" s="223" customFormat="1" ht="19.95" customHeight="1">
      <c r="A2" s="475" t="s">
        <v>179</v>
      </c>
      <c r="B2" s="475"/>
      <c r="C2" s="475"/>
      <c r="D2" s="475"/>
      <c r="E2" s="475"/>
      <c r="F2" s="475"/>
      <c r="G2" s="475"/>
      <c r="H2" s="475"/>
      <c r="I2" s="475"/>
      <c r="J2" s="475"/>
      <c r="K2" s="475"/>
      <c r="L2" s="475"/>
      <c r="M2" s="475"/>
      <c r="N2" s="475"/>
      <c r="O2" s="475"/>
      <c r="P2" s="475"/>
      <c r="Q2" s="475"/>
      <c r="R2" s="475"/>
      <c r="S2" s="475"/>
      <c r="T2" s="475"/>
      <c r="U2" s="475"/>
      <c r="V2" s="475"/>
      <c r="W2" s="475"/>
      <c r="X2" s="475"/>
      <c r="Y2" s="475"/>
      <c r="Z2" s="475"/>
      <c r="AA2" s="475"/>
      <c r="AB2" s="475"/>
      <c r="AC2" s="475"/>
      <c r="AD2" s="475"/>
      <c r="AE2" s="475"/>
      <c r="AF2" s="475"/>
      <c r="AG2" s="475"/>
      <c r="AH2" s="475"/>
      <c r="AI2" s="475" t="s">
        <v>180</v>
      </c>
      <c r="AJ2" s="475"/>
      <c r="AK2" s="475"/>
      <c r="AL2" s="475"/>
      <c r="AM2" s="475"/>
      <c r="AN2" s="475"/>
      <c r="AO2" s="475"/>
      <c r="AP2" s="475"/>
      <c r="AQ2" s="475"/>
      <c r="AR2" s="475"/>
      <c r="AS2" s="475"/>
      <c r="AT2" s="475"/>
      <c r="AU2" s="475"/>
      <c r="AV2" s="475"/>
      <c r="AW2" s="475"/>
      <c r="AX2" s="475"/>
      <c r="AY2" s="475"/>
      <c r="AZ2" s="475"/>
      <c r="BA2" s="475"/>
      <c r="BB2" s="475"/>
      <c r="BC2" s="475"/>
      <c r="BD2" s="475"/>
      <c r="BE2" s="475"/>
      <c r="BF2" s="475"/>
      <c r="BG2" s="475" t="s">
        <v>181</v>
      </c>
      <c r="BH2" s="475"/>
      <c r="BI2" s="475"/>
      <c r="BJ2" s="475"/>
      <c r="BK2" s="475"/>
      <c r="BL2" s="475"/>
      <c r="BM2" s="475"/>
      <c r="BN2" s="475"/>
      <c r="BO2" s="475"/>
      <c r="BP2" s="475"/>
      <c r="BQ2" s="475"/>
      <c r="BR2" s="475"/>
      <c r="BS2" s="475"/>
      <c r="BT2" s="475"/>
      <c r="BU2" s="475"/>
      <c r="BV2" s="475"/>
      <c r="BW2" s="475"/>
      <c r="BX2" s="475"/>
      <c r="BY2" s="475"/>
      <c r="BZ2" s="475"/>
      <c r="CA2" s="475"/>
      <c r="CB2" s="475"/>
      <c r="CC2" s="475"/>
      <c r="CD2" s="475"/>
      <c r="CE2" s="475"/>
      <c r="CF2" s="475"/>
      <c r="CG2" s="475"/>
      <c r="CH2" s="475"/>
      <c r="CI2" s="475"/>
      <c r="CJ2" s="475"/>
      <c r="CK2" s="238"/>
    </row>
    <row r="3" spans="1:89" s="2" customFormat="1" ht="19.95" customHeight="1">
      <c r="A3" s="2" t="str">
        <f>底稿目录!A2</f>
        <v>被审计单位：</v>
      </c>
      <c r="K3" s="2" t="str">
        <f>底稿目录!A4</f>
        <v>编制人：</v>
      </c>
      <c r="W3" s="2" t="str">
        <f>底稿目录!A5</f>
        <v>编制日期：</v>
      </c>
      <c r="AG3" s="74" t="s">
        <v>183</v>
      </c>
      <c r="AH3" s="402" t="str">
        <f>底稿目录!F7</f>
        <v>L4-2</v>
      </c>
      <c r="AR3" s="2" t="str">
        <f>底稿目录!A4</f>
        <v>编制人：</v>
      </c>
      <c r="AZ3" s="2" t="str">
        <f>底稿目录!A5</f>
        <v>编制日期：</v>
      </c>
      <c r="BE3" s="74" t="s">
        <v>183</v>
      </c>
      <c r="BF3" s="402" t="str">
        <f>底稿目录!F7</f>
        <v>L4-2</v>
      </c>
      <c r="BR3" s="2" t="str">
        <f>底稿目录!A4</f>
        <v>编制人：</v>
      </c>
      <c r="BZ3" s="2" t="str">
        <f>底稿目录!A5</f>
        <v>编制日期：</v>
      </c>
      <c r="CI3" s="74" t="s">
        <v>183</v>
      </c>
      <c r="CJ3" s="390" t="str">
        <f>底稿目录!F7</f>
        <v>L4-2</v>
      </c>
    </row>
    <row r="4" spans="1:89" s="2" customFormat="1" ht="19.95" customHeight="1">
      <c r="A4" s="2" t="str">
        <f>底稿目录!A3</f>
        <v>截止日：202X年12月31日</v>
      </c>
      <c r="K4" s="2" t="str">
        <f>底稿目录!A6</f>
        <v>复核人：</v>
      </c>
      <c r="W4" s="23" t="str">
        <f>底稿目录!A7</f>
        <v>复核日期：</v>
      </c>
      <c r="AG4" s="74" t="s">
        <v>175</v>
      </c>
      <c r="AR4" s="2" t="s">
        <v>10</v>
      </c>
      <c r="AZ4" s="2" t="str">
        <f>底稿目录!A7</f>
        <v>复核日期：</v>
      </c>
      <c r="BE4" s="74" t="s">
        <v>175</v>
      </c>
      <c r="BR4" s="23" t="s">
        <v>10</v>
      </c>
      <c r="BZ4" s="2" t="str">
        <f>底稿目录!A7</f>
        <v>复核日期：</v>
      </c>
      <c r="CI4" s="74" t="s">
        <v>175</v>
      </c>
    </row>
    <row r="5" spans="1:89" s="2" customFormat="1" ht="19.95" customHeight="1">
      <c r="A5" s="50"/>
      <c r="B5" s="243"/>
      <c r="C5" s="50" t="s">
        <v>184</v>
      </c>
      <c r="K5" s="74"/>
      <c r="S5" s="200"/>
      <c r="W5" s="74"/>
      <c r="X5" s="74"/>
      <c r="AA5" s="74"/>
      <c r="AI5" s="50"/>
      <c r="AZ5" s="23"/>
      <c r="BD5" s="74"/>
      <c r="BG5" s="275"/>
      <c r="BZ5" s="23"/>
      <c r="CD5" s="74"/>
    </row>
    <row r="6" spans="1:89" s="239" customFormat="1" ht="19.95" customHeight="1">
      <c r="A6" s="2"/>
      <c r="B6" s="244"/>
      <c r="C6" s="2" t="s">
        <v>185</v>
      </c>
      <c r="K6" s="262"/>
      <c r="S6" s="271"/>
      <c r="W6" s="262"/>
      <c r="X6" s="262"/>
      <c r="AA6" s="262"/>
      <c r="AI6" s="2"/>
      <c r="BD6" s="262"/>
      <c r="CD6" s="262"/>
    </row>
    <row r="7" spans="1:89" s="239" customFormat="1" ht="19.95" customHeight="1">
      <c r="A7" s="2"/>
      <c r="B7" s="244"/>
      <c r="C7" s="2" t="s">
        <v>186</v>
      </c>
      <c r="K7" s="262"/>
      <c r="S7" s="271"/>
      <c r="W7" s="262"/>
      <c r="X7" s="262"/>
      <c r="AA7" s="262"/>
      <c r="AI7" s="2"/>
      <c r="BD7" s="262"/>
      <c r="CD7" s="262"/>
    </row>
    <row r="8" spans="1:89" s="239" customFormat="1" ht="19.95" customHeight="1">
      <c r="A8" s="2"/>
      <c r="B8" s="244"/>
      <c r="C8" s="2" t="s">
        <v>187</v>
      </c>
      <c r="K8" s="262"/>
      <c r="S8" s="271"/>
      <c r="W8" s="262"/>
      <c r="X8" s="262"/>
      <c r="AA8" s="262"/>
      <c r="AI8" s="2"/>
      <c r="BD8" s="262"/>
      <c r="CD8" s="262"/>
    </row>
    <row r="9" spans="1:89" s="2" customFormat="1" ht="19.95" customHeight="1">
      <c r="A9" s="245"/>
      <c r="B9" s="243"/>
      <c r="C9" s="245" t="s">
        <v>188</v>
      </c>
      <c r="L9" s="263"/>
      <c r="S9" s="23"/>
      <c r="AA9" s="74"/>
      <c r="AI9" s="272"/>
      <c r="AJ9" s="273"/>
      <c r="AK9" s="273"/>
      <c r="AL9" s="273"/>
      <c r="AM9" s="273"/>
      <c r="AN9" s="273"/>
      <c r="AO9" s="273"/>
      <c r="AP9" s="273"/>
      <c r="AQ9" s="273"/>
      <c r="AR9" s="273"/>
      <c r="AS9" s="273"/>
      <c r="AT9" s="273"/>
      <c r="AU9" s="273"/>
      <c r="AV9" s="273"/>
      <c r="AW9" s="273"/>
      <c r="AX9" s="273"/>
      <c r="AY9" s="273"/>
      <c r="AZ9" s="273"/>
      <c r="BA9" s="273"/>
      <c r="BB9" s="273"/>
      <c r="BC9" s="273"/>
      <c r="BD9" s="273"/>
      <c r="BE9" s="273"/>
      <c r="BF9" s="273"/>
      <c r="BP9" s="275"/>
      <c r="BR9" s="23"/>
      <c r="BZ9" s="23"/>
      <c r="CD9" s="74"/>
    </row>
    <row r="10" spans="1:89" s="2" customFormat="1" ht="19.95" customHeight="1">
      <c r="A10" s="23"/>
      <c r="B10" s="243"/>
      <c r="C10" s="23" t="s">
        <v>189</v>
      </c>
      <c r="L10" s="263"/>
      <c r="S10" s="23"/>
      <c r="AA10" s="74"/>
      <c r="AI10" s="23"/>
      <c r="AJ10" s="273"/>
      <c r="AK10" s="273"/>
      <c r="AL10" s="273"/>
      <c r="AM10" s="273"/>
      <c r="AN10" s="273"/>
      <c r="AO10" s="273"/>
      <c r="AP10" s="273"/>
      <c r="AQ10" s="273"/>
      <c r="AR10" s="273"/>
      <c r="AS10" s="273"/>
      <c r="AT10" s="273"/>
      <c r="AU10" s="273"/>
      <c r="AV10" s="273"/>
      <c r="AW10" s="273"/>
      <c r="AX10" s="273"/>
      <c r="AY10" s="273"/>
      <c r="AZ10" s="273"/>
      <c r="BA10" s="273"/>
      <c r="BB10" s="273"/>
      <c r="BC10" s="273"/>
      <c r="BD10" s="273"/>
      <c r="BE10" s="273"/>
      <c r="BF10" s="273"/>
      <c r="BG10" s="23"/>
      <c r="BP10" s="275"/>
      <c r="BR10" s="23"/>
      <c r="BZ10" s="23"/>
      <c r="CD10" s="74"/>
    </row>
    <row r="11" spans="1:89" s="179" customFormat="1" ht="19.95" customHeight="1">
      <c r="A11" s="469" t="s">
        <v>393</v>
      </c>
      <c r="B11" s="469" t="s">
        <v>190</v>
      </c>
      <c r="C11" s="468" t="s">
        <v>191</v>
      </c>
      <c r="D11" s="468"/>
      <c r="E11" s="468"/>
      <c r="F11" s="468" t="s">
        <v>192</v>
      </c>
      <c r="G11" s="468" t="s">
        <v>193</v>
      </c>
      <c r="H11" s="468" t="s">
        <v>194</v>
      </c>
      <c r="I11" s="468" t="s">
        <v>195</v>
      </c>
      <c r="J11" s="468" t="s">
        <v>196</v>
      </c>
      <c r="K11" s="469" t="s">
        <v>457</v>
      </c>
      <c r="L11" s="469"/>
      <c r="M11" s="469"/>
      <c r="N11" s="469"/>
      <c r="O11" s="469"/>
      <c r="P11" s="469"/>
      <c r="Q11" s="469"/>
      <c r="R11" s="469"/>
      <c r="S11" s="469"/>
      <c r="T11" s="469"/>
      <c r="U11" s="469"/>
      <c r="V11" s="469"/>
      <c r="W11" s="469"/>
      <c r="X11" s="469"/>
      <c r="Y11" s="469"/>
      <c r="Z11" s="469"/>
      <c r="AA11" s="469"/>
      <c r="AB11" s="469"/>
      <c r="AC11" s="469"/>
      <c r="AD11" s="469"/>
      <c r="AE11" s="469"/>
      <c r="AF11" s="469"/>
      <c r="AG11" s="469"/>
      <c r="AH11" s="469"/>
      <c r="AI11" s="469" t="s">
        <v>224</v>
      </c>
      <c r="AJ11" s="469"/>
      <c r="AK11" s="469"/>
      <c r="AL11" s="469"/>
      <c r="AM11" s="469"/>
      <c r="AN11" s="469"/>
      <c r="AO11" s="469"/>
      <c r="AP11" s="469"/>
      <c r="AQ11" s="469" t="s">
        <v>477</v>
      </c>
      <c r="AR11" s="469"/>
      <c r="AS11" s="469"/>
      <c r="AT11" s="469"/>
      <c r="AU11" s="469"/>
      <c r="AV11" s="469"/>
      <c r="AW11" s="469"/>
      <c r="AX11" s="469"/>
      <c r="AY11" s="469" t="s">
        <v>478</v>
      </c>
      <c r="AZ11" s="469"/>
      <c r="BA11" s="469"/>
      <c r="BB11" s="469"/>
      <c r="BC11" s="469"/>
      <c r="BD11" s="469"/>
      <c r="BE11" s="469"/>
      <c r="BF11" s="469"/>
      <c r="BG11" s="469" t="s">
        <v>227</v>
      </c>
      <c r="BH11" s="469"/>
      <c r="BI11" s="469"/>
      <c r="BJ11" s="469"/>
      <c r="BK11" s="469"/>
      <c r="BL11" s="469"/>
      <c r="BM11" s="469"/>
      <c r="BN11" s="469"/>
      <c r="BO11" s="469"/>
      <c r="BP11" s="469"/>
      <c r="BQ11" s="469"/>
      <c r="BR11" s="469"/>
      <c r="BS11" s="469"/>
      <c r="BT11" s="469"/>
      <c r="BU11" s="469"/>
      <c r="BV11" s="469"/>
      <c r="BW11" s="469"/>
      <c r="BX11" s="469"/>
      <c r="BY11" s="469"/>
      <c r="BZ11" s="469"/>
      <c r="CA11" s="469"/>
      <c r="CB11" s="469"/>
      <c r="CC11" s="469"/>
      <c r="CD11" s="469"/>
      <c r="CE11" s="469"/>
      <c r="CF11" s="469"/>
      <c r="CG11" s="469"/>
      <c r="CH11" s="469"/>
      <c r="CI11" s="466" t="s">
        <v>197</v>
      </c>
      <c r="CJ11" s="466"/>
    </row>
    <row r="12" spans="1:89" s="179" customFormat="1" ht="19.95" customHeight="1">
      <c r="A12" s="469"/>
      <c r="B12" s="469"/>
      <c r="C12" s="468" t="s">
        <v>198</v>
      </c>
      <c r="D12" s="468" t="s">
        <v>199</v>
      </c>
      <c r="E12" s="468" t="s">
        <v>200</v>
      </c>
      <c r="F12" s="468"/>
      <c r="G12" s="468"/>
      <c r="H12" s="468"/>
      <c r="I12" s="468"/>
      <c r="J12" s="468"/>
      <c r="K12" s="470" t="s">
        <v>479</v>
      </c>
      <c r="L12" s="470"/>
      <c r="M12" s="470"/>
      <c r="N12" s="470"/>
      <c r="O12" s="470"/>
      <c r="P12" s="470"/>
      <c r="Q12" s="470" t="s">
        <v>475</v>
      </c>
      <c r="R12" s="470"/>
      <c r="S12" s="470"/>
      <c r="T12" s="470"/>
      <c r="U12" s="470"/>
      <c r="V12" s="470"/>
      <c r="W12" s="470" t="s">
        <v>480</v>
      </c>
      <c r="X12" s="470"/>
      <c r="Y12" s="470"/>
      <c r="Z12" s="470"/>
      <c r="AA12" s="470"/>
      <c r="AB12" s="470"/>
      <c r="AC12" s="470" t="s">
        <v>374</v>
      </c>
      <c r="AD12" s="470"/>
      <c r="AE12" s="470"/>
      <c r="AF12" s="470"/>
      <c r="AG12" s="470"/>
      <c r="AH12" s="470"/>
      <c r="AI12" s="469" t="s">
        <v>225</v>
      </c>
      <c r="AJ12" s="469"/>
      <c r="AK12" s="469"/>
      <c r="AL12" s="469"/>
      <c r="AM12" s="469" t="s">
        <v>226</v>
      </c>
      <c r="AN12" s="469"/>
      <c r="AO12" s="469"/>
      <c r="AP12" s="469"/>
      <c r="AQ12" s="469" t="s">
        <v>225</v>
      </c>
      <c r="AR12" s="469"/>
      <c r="AS12" s="469"/>
      <c r="AT12" s="469"/>
      <c r="AU12" s="469" t="s">
        <v>226</v>
      </c>
      <c r="AV12" s="469"/>
      <c r="AW12" s="469"/>
      <c r="AX12" s="469"/>
      <c r="AY12" s="469" t="s">
        <v>225</v>
      </c>
      <c r="AZ12" s="469"/>
      <c r="BA12" s="469"/>
      <c r="BB12" s="469"/>
      <c r="BC12" s="469" t="s">
        <v>226</v>
      </c>
      <c r="BD12" s="469"/>
      <c r="BE12" s="469"/>
      <c r="BF12" s="469"/>
      <c r="BG12" s="473" t="s">
        <v>479</v>
      </c>
      <c r="BH12" s="473"/>
      <c r="BI12" s="473"/>
      <c r="BJ12" s="473"/>
      <c r="BK12" s="473"/>
      <c r="BL12" s="473"/>
      <c r="BM12" s="473"/>
      <c r="BN12" s="473"/>
      <c r="BO12" s="473" t="s">
        <v>475</v>
      </c>
      <c r="BP12" s="473"/>
      <c r="BQ12" s="473"/>
      <c r="BR12" s="473"/>
      <c r="BS12" s="473"/>
      <c r="BT12" s="473"/>
      <c r="BU12" s="473" t="s">
        <v>480</v>
      </c>
      <c r="BV12" s="473"/>
      <c r="BW12" s="473"/>
      <c r="BX12" s="473"/>
      <c r="BY12" s="473"/>
      <c r="BZ12" s="473"/>
      <c r="CA12" s="473" t="s">
        <v>374</v>
      </c>
      <c r="CB12" s="473"/>
      <c r="CC12" s="473"/>
      <c r="CD12" s="473"/>
      <c r="CE12" s="473"/>
      <c r="CF12" s="473"/>
      <c r="CG12" s="473"/>
      <c r="CH12" s="473"/>
      <c r="CI12" s="466" t="s">
        <v>201</v>
      </c>
      <c r="CJ12" s="466" t="s">
        <v>202</v>
      </c>
    </row>
    <row r="13" spans="1:89" s="401" customFormat="1" ht="40.049999999999997" customHeight="1">
      <c r="A13" s="469"/>
      <c r="B13" s="469"/>
      <c r="C13" s="468"/>
      <c r="D13" s="468"/>
      <c r="E13" s="468"/>
      <c r="F13" s="468"/>
      <c r="G13" s="468"/>
      <c r="H13" s="468"/>
      <c r="I13" s="468"/>
      <c r="J13" s="468"/>
      <c r="K13" s="399" t="s">
        <v>481</v>
      </c>
      <c r="L13" s="400" t="s">
        <v>476</v>
      </c>
      <c r="M13" s="400" t="s">
        <v>193</v>
      </c>
      <c r="N13" s="400" t="s">
        <v>402</v>
      </c>
      <c r="O13" s="400" t="s">
        <v>369</v>
      </c>
      <c r="P13" s="400" t="s">
        <v>210</v>
      </c>
      <c r="Q13" s="399" t="s">
        <v>481</v>
      </c>
      <c r="R13" s="400" t="s">
        <v>476</v>
      </c>
      <c r="S13" s="400" t="s">
        <v>193</v>
      </c>
      <c r="T13" s="400" t="s">
        <v>402</v>
      </c>
      <c r="U13" s="400" t="s">
        <v>369</v>
      </c>
      <c r="V13" s="400" t="s">
        <v>210</v>
      </c>
      <c r="W13" s="399" t="s">
        <v>481</v>
      </c>
      <c r="X13" s="400" t="s">
        <v>476</v>
      </c>
      <c r="Y13" s="400" t="s">
        <v>193</v>
      </c>
      <c r="Z13" s="400" t="s">
        <v>402</v>
      </c>
      <c r="AA13" s="400" t="s">
        <v>369</v>
      </c>
      <c r="AB13" s="400" t="s">
        <v>210</v>
      </c>
      <c r="AC13" s="399" t="s">
        <v>481</v>
      </c>
      <c r="AD13" s="400" t="s">
        <v>476</v>
      </c>
      <c r="AE13" s="400" t="s">
        <v>193</v>
      </c>
      <c r="AF13" s="400" t="s">
        <v>402</v>
      </c>
      <c r="AG13" s="400" t="s">
        <v>369</v>
      </c>
      <c r="AH13" s="400" t="s">
        <v>210</v>
      </c>
      <c r="AI13" s="400" t="s">
        <v>476</v>
      </c>
      <c r="AJ13" s="400" t="s">
        <v>193</v>
      </c>
      <c r="AK13" s="400" t="s">
        <v>402</v>
      </c>
      <c r="AL13" s="400" t="s">
        <v>369</v>
      </c>
      <c r="AM13" s="400" t="s">
        <v>476</v>
      </c>
      <c r="AN13" s="400" t="s">
        <v>193</v>
      </c>
      <c r="AO13" s="400" t="s">
        <v>402</v>
      </c>
      <c r="AP13" s="400" t="s">
        <v>369</v>
      </c>
      <c r="AQ13" s="400" t="s">
        <v>476</v>
      </c>
      <c r="AR13" s="400" t="s">
        <v>193</v>
      </c>
      <c r="AS13" s="400" t="s">
        <v>402</v>
      </c>
      <c r="AT13" s="400" t="s">
        <v>369</v>
      </c>
      <c r="AU13" s="400" t="s">
        <v>476</v>
      </c>
      <c r="AV13" s="400" t="s">
        <v>193</v>
      </c>
      <c r="AW13" s="400" t="s">
        <v>402</v>
      </c>
      <c r="AX13" s="400" t="s">
        <v>369</v>
      </c>
      <c r="AY13" s="400" t="s">
        <v>476</v>
      </c>
      <c r="AZ13" s="400" t="s">
        <v>193</v>
      </c>
      <c r="BA13" s="400" t="s">
        <v>402</v>
      </c>
      <c r="BB13" s="400" t="s">
        <v>369</v>
      </c>
      <c r="BC13" s="400" t="s">
        <v>476</v>
      </c>
      <c r="BD13" s="400" t="s">
        <v>193</v>
      </c>
      <c r="BE13" s="400" t="s">
        <v>402</v>
      </c>
      <c r="BF13" s="400" t="s">
        <v>369</v>
      </c>
      <c r="BG13" s="399" t="s">
        <v>481</v>
      </c>
      <c r="BH13" s="400" t="s">
        <v>476</v>
      </c>
      <c r="BI13" s="400" t="s">
        <v>193</v>
      </c>
      <c r="BJ13" s="400" t="s">
        <v>402</v>
      </c>
      <c r="BK13" s="400" t="s">
        <v>369</v>
      </c>
      <c r="BL13" s="400" t="s">
        <v>210</v>
      </c>
      <c r="BM13" s="400" t="s">
        <v>203</v>
      </c>
      <c r="BN13" s="400" t="s">
        <v>204</v>
      </c>
      <c r="BO13" s="399" t="s">
        <v>481</v>
      </c>
      <c r="BP13" s="400" t="s">
        <v>476</v>
      </c>
      <c r="BQ13" s="400" t="s">
        <v>193</v>
      </c>
      <c r="BR13" s="400" t="s">
        <v>402</v>
      </c>
      <c r="BS13" s="400" t="s">
        <v>369</v>
      </c>
      <c r="BT13" s="400" t="s">
        <v>210</v>
      </c>
      <c r="BU13" s="399" t="s">
        <v>481</v>
      </c>
      <c r="BV13" s="400" t="s">
        <v>476</v>
      </c>
      <c r="BW13" s="400" t="s">
        <v>193</v>
      </c>
      <c r="BX13" s="400" t="s">
        <v>402</v>
      </c>
      <c r="BY13" s="400" t="s">
        <v>369</v>
      </c>
      <c r="BZ13" s="400" t="s">
        <v>210</v>
      </c>
      <c r="CA13" s="399" t="s">
        <v>481</v>
      </c>
      <c r="CB13" s="400" t="s">
        <v>476</v>
      </c>
      <c r="CC13" s="400" t="s">
        <v>193</v>
      </c>
      <c r="CD13" s="400" t="s">
        <v>402</v>
      </c>
      <c r="CE13" s="400" t="s">
        <v>369</v>
      </c>
      <c r="CF13" s="400" t="s">
        <v>210</v>
      </c>
      <c r="CG13" s="400" t="s">
        <v>203</v>
      </c>
      <c r="CH13" s="400" t="s">
        <v>204</v>
      </c>
      <c r="CI13" s="467"/>
      <c r="CJ13" s="467"/>
    </row>
    <row r="14" spans="1:89" s="240" customFormat="1" ht="19.95" customHeight="1">
      <c r="A14" s="250" t="s">
        <v>205</v>
      </c>
      <c r="B14" s="247"/>
      <c r="C14" s="248"/>
      <c r="D14" s="248"/>
      <c r="E14" s="248"/>
      <c r="F14" s="248"/>
      <c r="G14" s="248"/>
      <c r="H14" s="248"/>
      <c r="I14" s="248"/>
      <c r="J14" s="249"/>
      <c r="K14" s="265"/>
      <c r="L14" s="264"/>
      <c r="M14" s="266"/>
      <c r="N14" s="264"/>
      <c r="O14" s="264"/>
      <c r="P14" s="264"/>
      <c r="Q14" s="265"/>
      <c r="R14" s="264"/>
      <c r="S14" s="264"/>
      <c r="T14" s="264"/>
      <c r="U14" s="264"/>
      <c r="V14" s="264"/>
      <c r="W14" s="265"/>
      <c r="X14" s="264"/>
      <c r="Y14" s="264"/>
      <c r="Z14" s="264"/>
      <c r="AA14" s="264"/>
      <c r="AB14" s="264"/>
      <c r="AC14" s="265"/>
      <c r="AD14" s="264"/>
      <c r="AE14" s="264"/>
      <c r="AF14" s="264"/>
      <c r="AG14" s="264"/>
      <c r="AH14" s="264"/>
      <c r="AI14" s="264"/>
      <c r="AJ14" s="264"/>
      <c r="AK14" s="264"/>
      <c r="AL14" s="264"/>
      <c r="AM14" s="264"/>
      <c r="AN14" s="264"/>
      <c r="AO14" s="264"/>
      <c r="AP14" s="264"/>
      <c r="AQ14" s="264"/>
      <c r="AR14" s="264"/>
      <c r="AS14" s="264"/>
      <c r="AT14" s="264"/>
      <c r="AU14" s="264"/>
      <c r="AV14" s="264"/>
      <c r="AW14" s="264"/>
      <c r="AX14" s="264"/>
      <c r="AY14" s="264"/>
      <c r="AZ14" s="264"/>
      <c r="BA14" s="264"/>
      <c r="BB14" s="264"/>
      <c r="BC14" s="264"/>
      <c r="BD14" s="264"/>
      <c r="BE14" s="264"/>
      <c r="BF14" s="264"/>
      <c r="BG14" s="265"/>
      <c r="BH14" s="264"/>
      <c r="BI14" s="264"/>
      <c r="BJ14" s="264"/>
      <c r="BK14" s="264"/>
      <c r="BL14" s="264"/>
      <c r="BM14" s="264"/>
      <c r="BN14" s="264"/>
      <c r="BO14" s="265"/>
      <c r="BP14" s="264"/>
      <c r="BQ14" s="264"/>
      <c r="BR14" s="264"/>
      <c r="BS14" s="264"/>
      <c r="BT14" s="264"/>
      <c r="BU14" s="265"/>
      <c r="BV14" s="264"/>
      <c r="BW14" s="264"/>
      <c r="BX14" s="264"/>
      <c r="BY14" s="264"/>
      <c r="BZ14" s="264"/>
      <c r="CA14" s="265"/>
      <c r="CB14" s="264"/>
      <c r="CC14" s="264"/>
      <c r="CD14" s="264"/>
      <c r="CE14" s="264"/>
      <c r="CF14" s="264"/>
      <c r="CG14" s="264"/>
      <c r="CH14" s="264"/>
      <c r="CI14" s="278"/>
      <c r="CJ14" s="278"/>
    </row>
    <row r="15" spans="1:89" s="174" customFormat="1" ht="19.95" customHeight="1">
      <c r="A15" s="251"/>
      <c r="B15" s="252"/>
      <c r="C15" s="253"/>
      <c r="D15" s="253"/>
      <c r="E15" s="254"/>
      <c r="F15" s="255"/>
      <c r="G15" s="256"/>
      <c r="H15" s="256"/>
      <c r="I15" s="252"/>
      <c r="J15" s="256"/>
      <c r="K15" s="157">
        <f>IF(L15=0,0,P15/L15)</f>
        <v>0</v>
      </c>
      <c r="L15" s="267"/>
      <c r="M15" s="267"/>
      <c r="N15" s="267"/>
      <c r="O15" s="267"/>
      <c r="P15" s="157">
        <f>SUM(M15:O15)</f>
        <v>0</v>
      </c>
      <c r="Q15" s="157">
        <f>IF(R15=0,0,V15/R15)</f>
        <v>0</v>
      </c>
      <c r="R15" s="267"/>
      <c r="S15" s="267"/>
      <c r="T15" s="267"/>
      <c r="U15" s="267"/>
      <c r="V15" s="157">
        <f>SUM(S15:U15)</f>
        <v>0</v>
      </c>
      <c r="W15" s="157">
        <f>IF(X15=0,0,AB15/X15)</f>
        <v>0</v>
      </c>
      <c r="X15" s="267"/>
      <c r="Y15" s="267"/>
      <c r="Z15" s="267"/>
      <c r="AA15" s="267"/>
      <c r="AB15" s="157">
        <f>SUM(Y15:AA15)</f>
        <v>0</v>
      </c>
      <c r="AC15" s="157">
        <f>IF(AD15=0,0,AH15/AD15)</f>
        <v>0</v>
      </c>
      <c r="AD15" s="157">
        <f t="shared" ref="AD15:AG16" si="0">L15+R15-X15</f>
        <v>0</v>
      </c>
      <c r="AE15" s="157">
        <f t="shared" si="0"/>
        <v>0</v>
      </c>
      <c r="AF15" s="157">
        <f>N15+T15-Z15</f>
        <v>0</v>
      </c>
      <c r="AG15" s="157">
        <f>O15+U15-AA15</f>
        <v>0</v>
      </c>
      <c r="AH15" s="157">
        <f>SUM(AE15:AG15)</f>
        <v>0</v>
      </c>
      <c r="AI15" s="267"/>
      <c r="AJ15" s="274"/>
      <c r="AK15" s="274"/>
      <c r="AL15" s="274"/>
      <c r="AM15" s="274"/>
      <c r="AN15" s="274"/>
      <c r="AO15" s="274"/>
      <c r="AP15" s="274"/>
      <c r="AQ15" s="274"/>
      <c r="AR15" s="274"/>
      <c r="AS15" s="274"/>
      <c r="AT15" s="274"/>
      <c r="AU15" s="274"/>
      <c r="AV15" s="274"/>
      <c r="AW15" s="274"/>
      <c r="AX15" s="274"/>
      <c r="AY15" s="274"/>
      <c r="AZ15" s="274"/>
      <c r="BA15" s="274"/>
      <c r="BB15" s="274"/>
      <c r="BC15" s="274"/>
      <c r="BD15" s="274"/>
      <c r="BE15" s="274"/>
      <c r="BF15" s="274"/>
      <c r="BG15" s="157">
        <f>IF(BH15=0,0,BL15/BH15)</f>
        <v>0</v>
      </c>
      <c r="BH15" s="276">
        <f t="shared" ref="BH15:BK16" si="1">L15+AM15+AI15</f>
        <v>0</v>
      </c>
      <c r="BI15" s="276">
        <f t="shared" si="1"/>
        <v>0</v>
      </c>
      <c r="BJ15" s="276">
        <f t="shared" si="1"/>
        <v>0</v>
      </c>
      <c r="BK15" s="276">
        <f t="shared" si="1"/>
        <v>0</v>
      </c>
      <c r="BL15" s="276">
        <f>SUM(BI15:BK15)</f>
        <v>0</v>
      </c>
      <c r="BM15" s="274"/>
      <c r="BN15" s="276">
        <f>BL15-BM15</f>
        <v>0</v>
      </c>
      <c r="BO15" s="157">
        <f>IF(BP15=0,0,BT15/BP15)</f>
        <v>0</v>
      </c>
      <c r="BP15" s="276">
        <f t="shared" ref="BP15:BS16" si="2">R15+AQ15+AU15</f>
        <v>0</v>
      </c>
      <c r="BQ15" s="276">
        <f t="shared" si="2"/>
        <v>0</v>
      </c>
      <c r="BR15" s="276">
        <f t="shared" si="2"/>
        <v>0</v>
      </c>
      <c r="BS15" s="276">
        <f t="shared" si="2"/>
        <v>0</v>
      </c>
      <c r="BT15" s="276">
        <f>SUM(BQ15:BS15)</f>
        <v>0</v>
      </c>
      <c r="BU15" s="157">
        <f>IF(BV15=0,0,BZ15/BV15)</f>
        <v>0</v>
      </c>
      <c r="BV15" s="276">
        <f t="shared" ref="BV15:BY16" si="3">X15+AY15+BC15</f>
        <v>0</v>
      </c>
      <c r="BW15" s="276">
        <f t="shared" si="3"/>
        <v>0</v>
      </c>
      <c r="BX15" s="276">
        <f t="shared" si="3"/>
        <v>0</v>
      </c>
      <c r="BY15" s="276">
        <f t="shared" si="3"/>
        <v>0</v>
      </c>
      <c r="BZ15" s="276">
        <f>SUM(BW15:BY15)</f>
        <v>0</v>
      </c>
      <c r="CA15" s="157">
        <f>IF(CB15=0,0,CF15/CB15)</f>
        <v>0</v>
      </c>
      <c r="CB15" s="276">
        <f t="shared" ref="CB15:CE16" si="4">BH15+BP15-BV15</f>
        <v>0</v>
      </c>
      <c r="CC15" s="276">
        <f t="shared" si="4"/>
        <v>0</v>
      </c>
      <c r="CD15" s="276">
        <f t="shared" si="4"/>
        <v>0</v>
      </c>
      <c r="CE15" s="276">
        <f t="shared" si="4"/>
        <v>0</v>
      </c>
      <c r="CF15" s="276">
        <f>SUM(CC15:CE15)</f>
        <v>0</v>
      </c>
      <c r="CG15" s="274"/>
      <c r="CH15" s="276">
        <f>CF15-CG15</f>
        <v>0</v>
      </c>
      <c r="CI15" s="279"/>
      <c r="CJ15" s="202"/>
    </row>
    <row r="16" spans="1:89" s="174" customFormat="1" ht="19.95" customHeight="1">
      <c r="A16" s="251"/>
      <c r="B16" s="252"/>
      <c r="C16" s="253"/>
      <c r="D16" s="253"/>
      <c r="E16" s="254"/>
      <c r="F16" s="254"/>
      <c r="G16" s="256"/>
      <c r="H16" s="256"/>
      <c r="I16" s="254"/>
      <c r="J16" s="256"/>
      <c r="K16" s="157">
        <f>IF(L16=0,0,P16/L16)</f>
        <v>0</v>
      </c>
      <c r="L16" s="267"/>
      <c r="M16" s="267"/>
      <c r="N16" s="267"/>
      <c r="O16" s="267"/>
      <c r="P16" s="157">
        <f>SUM(M16:O16)</f>
        <v>0</v>
      </c>
      <c r="Q16" s="157">
        <f>IF(R16=0,0,V16/R16)</f>
        <v>0</v>
      </c>
      <c r="R16" s="267"/>
      <c r="S16" s="267"/>
      <c r="T16" s="267"/>
      <c r="U16" s="267"/>
      <c r="V16" s="157">
        <f>SUM(S16:U16)</f>
        <v>0</v>
      </c>
      <c r="W16" s="157">
        <f>IF(X16=0,0,AB16/X16)</f>
        <v>0</v>
      </c>
      <c r="X16" s="267"/>
      <c r="Y16" s="267"/>
      <c r="Z16" s="267"/>
      <c r="AA16" s="267"/>
      <c r="AB16" s="157">
        <f>SUM(Y16:AA16)</f>
        <v>0</v>
      </c>
      <c r="AC16" s="157">
        <f>IF(AD16=0,0,AH16/AD16)</f>
        <v>0</v>
      </c>
      <c r="AD16" s="157">
        <f t="shared" si="0"/>
        <v>0</v>
      </c>
      <c r="AE16" s="157">
        <f t="shared" si="0"/>
        <v>0</v>
      </c>
      <c r="AF16" s="157">
        <f t="shared" si="0"/>
        <v>0</v>
      </c>
      <c r="AG16" s="157">
        <f t="shared" si="0"/>
        <v>0</v>
      </c>
      <c r="AH16" s="157">
        <f>SUM(AE16:AG16)</f>
        <v>0</v>
      </c>
      <c r="AI16" s="267"/>
      <c r="AJ16" s="274"/>
      <c r="AK16" s="274"/>
      <c r="AL16" s="274"/>
      <c r="AM16" s="274"/>
      <c r="AN16" s="274"/>
      <c r="AO16" s="274"/>
      <c r="AP16" s="274"/>
      <c r="AQ16" s="274"/>
      <c r="AR16" s="274"/>
      <c r="AS16" s="274"/>
      <c r="AT16" s="274"/>
      <c r="AU16" s="274"/>
      <c r="AV16" s="274"/>
      <c r="AW16" s="274"/>
      <c r="AX16" s="274"/>
      <c r="AY16" s="274"/>
      <c r="AZ16" s="274"/>
      <c r="BA16" s="274"/>
      <c r="BB16" s="274"/>
      <c r="BC16" s="274"/>
      <c r="BD16" s="274"/>
      <c r="BE16" s="274"/>
      <c r="BF16" s="274"/>
      <c r="BG16" s="157">
        <f>IF(BH16=0,0,BL16/BH16)</f>
        <v>0</v>
      </c>
      <c r="BH16" s="276">
        <f t="shared" si="1"/>
        <v>0</v>
      </c>
      <c r="BI16" s="276">
        <f t="shared" si="1"/>
        <v>0</v>
      </c>
      <c r="BJ16" s="276">
        <f t="shared" si="1"/>
        <v>0</v>
      </c>
      <c r="BK16" s="276">
        <f t="shared" si="1"/>
        <v>0</v>
      </c>
      <c r="BL16" s="276">
        <f>SUM(BI16:BK16)</f>
        <v>0</v>
      </c>
      <c r="BM16" s="274"/>
      <c r="BN16" s="276">
        <f>BL16-BM16</f>
        <v>0</v>
      </c>
      <c r="BO16" s="157">
        <f>IF(BP16=0,0,BT16/BP16)</f>
        <v>0</v>
      </c>
      <c r="BP16" s="276">
        <f t="shared" si="2"/>
        <v>0</v>
      </c>
      <c r="BQ16" s="276">
        <f t="shared" si="2"/>
        <v>0</v>
      </c>
      <c r="BR16" s="276">
        <f t="shared" si="2"/>
        <v>0</v>
      </c>
      <c r="BS16" s="276">
        <f t="shared" si="2"/>
        <v>0</v>
      </c>
      <c r="BT16" s="276">
        <f>SUM(BQ16:BS16)</f>
        <v>0</v>
      </c>
      <c r="BU16" s="157">
        <f>IF(BV16=0,0,BZ16/BV16)</f>
        <v>0</v>
      </c>
      <c r="BV16" s="276">
        <f t="shared" si="3"/>
        <v>0</v>
      </c>
      <c r="BW16" s="276">
        <f t="shared" si="3"/>
        <v>0</v>
      </c>
      <c r="BX16" s="276">
        <f t="shared" si="3"/>
        <v>0</v>
      </c>
      <c r="BY16" s="276">
        <f t="shared" si="3"/>
        <v>0</v>
      </c>
      <c r="BZ16" s="276">
        <f>SUM(BW16:BY16)</f>
        <v>0</v>
      </c>
      <c r="CA16" s="157">
        <f>IF(CB16=0,0,CF16/CB16)</f>
        <v>0</v>
      </c>
      <c r="CB16" s="276">
        <f t="shared" si="4"/>
        <v>0</v>
      </c>
      <c r="CC16" s="276">
        <f t="shared" si="4"/>
        <v>0</v>
      </c>
      <c r="CD16" s="276">
        <f t="shared" si="4"/>
        <v>0</v>
      </c>
      <c r="CE16" s="276">
        <f t="shared" si="4"/>
        <v>0</v>
      </c>
      <c r="CF16" s="276">
        <f>SUM(CC16:CE16)</f>
        <v>0</v>
      </c>
      <c r="CG16" s="274"/>
      <c r="CH16" s="276">
        <f>CF16-CG16</f>
        <v>0</v>
      </c>
      <c r="CI16" s="202"/>
      <c r="CJ16" s="202"/>
    </row>
    <row r="17" spans="1:88" s="174" customFormat="1" ht="19.95" customHeight="1">
      <c r="A17" s="471" t="s">
        <v>206</v>
      </c>
      <c r="B17" s="471"/>
      <c r="C17" s="257"/>
      <c r="D17" s="257"/>
      <c r="E17" s="257"/>
      <c r="F17" s="257"/>
      <c r="G17" s="258"/>
      <c r="H17" s="258"/>
      <c r="I17" s="257"/>
      <c r="J17" s="258"/>
      <c r="K17" s="377" t="s">
        <v>207</v>
      </c>
      <c r="L17" s="157">
        <f>SUM(L15:L16)</f>
        <v>0</v>
      </c>
      <c r="M17" s="157">
        <f>SUM(M15:M16)</f>
        <v>0</v>
      </c>
      <c r="N17" s="157">
        <f>SUM(N15:N16)</f>
        <v>0</v>
      </c>
      <c r="O17" s="157">
        <f>SUM(O15:O16)</f>
        <v>0</v>
      </c>
      <c r="P17" s="157">
        <f>SUM(P15:P16)</f>
        <v>0</v>
      </c>
      <c r="Q17" s="377" t="s">
        <v>207</v>
      </c>
      <c r="R17" s="157">
        <f>SUM(R15:R16)</f>
        <v>0</v>
      </c>
      <c r="S17" s="157">
        <f>SUM(S15:S16)</f>
        <v>0</v>
      </c>
      <c r="T17" s="157">
        <f>SUM(T15:T16)</f>
        <v>0</v>
      </c>
      <c r="U17" s="157">
        <f>SUM(U15:U16)</f>
        <v>0</v>
      </c>
      <c r="V17" s="157">
        <f>SUM(S17:U17)</f>
        <v>0</v>
      </c>
      <c r="W17" s="377" t="s">
        <v>207</v>
      </c>
      <c r="X17" s="157">
        <f>SUM(X15:X16)</f>
        <v>0</v>
      </c>
      <c r="Y17" s="157">
        <f>SUM(Y15:Y16)</f>
        <v>0</v>
      </c>
      <c r="Z17" s="157">
        <f>SUM(Z15:Z16)</f>
        <v>0</v>
      </c>
      <c r="AA17" s="157">
        <f>SUM(AA15:AA16)</f>
        <v>0</v>
      </c>
      <c r="AB17" s="157">
        <f>SUM(Y17:AA17)</f>
        <v>0</v>
      </c>
      <c r="AC17" s="377" t="s">
        <v>207</v>
      </c>
      <c r="AD17" s="157">
        <f>SUM(AD15:AD16)</f>
        <v>0</v>
      </c>
      <c r="AE17" s="157">
        <f>SUM(AE15:AE16)</f>
        <v>0</v>
      </c>
      <c r="AF17" s="157">
        <f>SUM(AF15:AF16)</f>
        <v>0</v>
      </c>
      <c r="AG17" s="157">
        <f>SUM(AG15:AG16)</f>
        <v>0</v>
      </c>
      <c r="AH17" s="157">
        <f>SUM(AE17:AG17)</f>
        <v>0</v>
      </c>
      <c r="AI17" s="157">
        <f t="shared" ref="AI17:BF17" si="5">SUM(AI15:AI16)</f>
        <v>0</v>
      </c>
      <c r="AJ17" s="157">
        <f t="shared" si="5"/>
        <v>0</v>
      </c>
      <c r="AK17" s="157">
        <f t="shared" si="5"/>
        <v>0</v>
      </c>
      <c r="AL17" s="157">
        <f t="shared" si="5"/>
        <v>0</v>
      </c>
      <c r="AM17" s="157">
        <f t="shared" si="5"/>
        <v>0</v>
      </c>
      <c r="AN17" s="157">
        <f t="shared" si="5"/>
        <v>0</v>
      </c>
      <c r="AO17" s="157">
        <f t="shared" si="5"/>
        <v>0</v>
      </c>
      <c r="AP17" s="157">
        <f t="shared" si="5"/>
        <v>0</v>
      </c>
      <c r="AQ17" s="157">
        <f t="shared" si="5"/>
        <v>0</v>
      </c>
      <c r="AR17" s="157">
        <f t="shared" si="5"/>
        <v>0</v>
      </c>
      <c r="AS17" s="157">
        <f t="shared" si="5"/>
        <v>0</v>
      </c>
      <c r="AT17" s="157">
        <f t="shared" si="5"/>
        <v>0</v>
      </c>
      <c r="AU17" s="157">
        <f t="shared" si="5"/>
        <v>0</v>
      </c>
      <c r="AV17" s="157">
        <f t="shared" si="5"/>
        <v>0</v>
      </c>
      <c r="AW17" s="157">
        <f t="shared" si="5"/>
        <v>0</v>
      </c>
      <c r="AX17" s="157">
        <f t="shared" si="5"/>
        <v>0</v>
      </c>
      <c r="AY17" s="157">
        <f t="shared" si="5"/>
        <v>0</v>
      </c>
      <c r="AZ17" s="157">
        <f t="shared" si="5"/>
        <v>0</v>
      </c>
      <c r="BA17" s="157">
        <f t="shared" si="5"/>
        <v>0</v>
      </c>
      <c r="BB17" s="157">
        <f t="shared" si="5"/>
        <v>0</v>
      </c>
      <c r="BC17" s="157">
        <f t="shared" si="5"/>
        <v>0</v>
      </c>
      <c r="BD17" s="157">
        <f t="shared" si="5"/>
        <v>0</v>
      </c>
      <c r="BE17" s="157">
        <f t="shared" si="5"/>
        <v>0</v>
      </c>
      <c r="BF17" s="157">
        <f t="shared" si="5"/>
        <v>0</v>
      </c>
      <c r="BG17" s="378" t="s">
        <v>207</v>
      </c>
      <c r="BH17" s="157">
        <f t="shared" ref="BH17:BN17" si="6">SUM(BH15:BH16)</f>
        <v>0</v>
      </c>
      <c r="BI17" s="157">
        <f t="shared" si="6"/>
        <v>0</v>
      </c>
      <c r="BJ17" s="157">
        <f t="shared" si="6"/>
        <v>0</v>
      </c>
      <c r="BK17" s="157">
        <f t="shared" si="6"/>
        <v>0</v>
      </c>
      <c r="BL17" s="157">
        <f t="shared" si="6"/>
        <v>0</v>
      </c>
      <c r="BM17" s="157">
        <f t="shared" si="6"/>
        <v>0</v>
      </c>
      <c r="BN17" s="157">
        <f t="shared" si="6"/>
        <v>0</v>
      </c>
      <c r="BO17" s="379" t="s">
        <v>207</v>
      </c>
      <c r="BP17" s="157">
        <f>SUM(BP15:BP16)</f>
        <v>0</v>
      </c>
      <c r="BQ17" s="157">
        <f>SUM(BQ15:BQ16)</f>
        <v>0</v>
      </c>
      <c r="BR17" s="157">
        <f>SUM(BR15:BR16)</f>
        <v>0</v>
      </c>
      <c r="BS17" s="157">
        <f>SUM(BS15:BS16)</f>
        <v>0</v>
      </c>
      <c r="BT17" s="157">
        <f>SUM(BT15:BT16)</f>
        <v>0</v>
      </c>
      <c r="BU17" s="379" t="s">
        <v>207</v>
      </c>
      <c r="BV17" s="157">
        <f t="shared" ref="BV17:CH17" si="7">SUM(BV15:BV16)</f>
        <v>0</v>
      </c>
      <c r="BW17" s="157">
        <f t="shared" si="7"/>
        <v>0</v>
      </c>
      <c r="BX17" s="157">
        <f t="shared" si="7"/>
        <v>0</v>
      </c>
      <c r="BY17" s="157">
        <f t="shared" si="7"/>
        <v>0</v>
      </c>
      <c r="BZ17" s="157">
        <f t="shared" si="7"/>
        <v>0</v>
      </c>
      <c r="CA17" s="157">
        <f t="shared" si="7"/>
        <v>0</v>
      </c>
      <c r="CB17" s="157">
        <f t="shared" si="7"/>
        <v>0</v>
      </c>
      <c r="CC17" s="157">
        <f t="shared" si="7"/>
        <v>0</v>
      </c>
      <c r="CD17" s="157">
        <f t="shared" si="7"/>
        <v>0</v>
      </c>
      <c r="CE17" s="157">
        <f t="shared" si="7"/>
        <v>0</v>
      </c>
      <c r="CF17" s="157">
        <f t="shared" si="7"/>
        <v>0</v>
      </c>
      <c r="CG17" s="157">
        <f t="shared" si="7"/>
        <v>0</v>
      </c>
      <c r="CH17" s="157">
        <f t="shared" si="7"/>
        <v>0</v>
      </c>
      <c r="CI17" s="202"/>
      <c r="CJ17" s="202"/>
    </row>
    <row r="18" spans="1:88" s="174" customFormat="1" ht="19.95" customHeight="1">
      <c r="A18" s="250" t="s">
        <v>208</v>
      </c>
      <c r="B18" s="250"/>
      <c r="C18" s="246"/>
      <c r="D18" s="246"/>
      <c r="E18" s="246"/>
      <c r="F18" s="246"/>
      <c r="G18" s="259"/>
      <c r="H18" s="259"/>
      <c r="I18" s="246"/>
      <c r="J18" s="259"/>
      <c r="K18" s="268"/>
      <c r="L18" s="269"/>
      <c r="M18" s="269"/>
      <c r="N18" s="269"/>
      <c r="O18" s="269"/>
      <c r="P18" s="269"/>
      <c r="Q18" s="268"/>
      <c r="R18" s="269"/>
      <c r="S18" s="269"/>
      <c r="T18" s="269"/>
      <c r="U18" s="269"/>
      <c r="V18" s="269"/>
      <c r="W18" s="268"/>
      <c r="X18" s="269"/>
      <c r="Y18" s="269"/>
      <c r="Z18" s="269"/>
      <c r="AA18" s="269"/>
      <c r="AB18" s="269"/>
      <c r="AC18" s="268"/>
      <c r="AD18" s="269"/>
      <c r="AE18" s="269"/>
      <c r="AF18" s="269"/>
      <c r="AG18" s="269"/>
      <c r="AH18" s="269"/>
      <c r="AI18" s="269"/>
      <c r="AJ18" s="269"/>
      <c r="AK18" s="269"/>
      <c r="AL18" s="269"/>
      <c r="AM18" s="269"/>
      <c r="AN18" s="269"/>
      <c r="AO18" s="269"/>
      <c r="AP18" s="269"/>
      <c r="AQ18" s="269"/>
      <c r="AR18" s="269"/>
      <c r="AS18" s="269"/>
      <c r="AT18" s="269"/>
      <c r="AU18" s="269"/>
      <c r="AV18" s="269"/>
      <c r="AW18" s="269"/>
      <c r="AX18" s="269"/>
      <c r="AY18" s="269"/>
      <c r="AZ18" s="269"/>
      <c r="BA18" s="269"/>
      <c r="BB18" s="269"/>
      <c r="BC18" s="269"/>
      <c r="BD18" s="269"/>
      <c r="BE18" s="269"/>
      <c r="BF18" s="269"/>
      <c r="BG18" s="277"/>
      <c r="BH18" s="269"/>
      <c r="BI18" s="269"/>
      <c r="BJ18" s="269"/>
      <c r="BK18" s="269"/>
      <c r="BL18" s="269"/>
      <c r="BM18" s="269"/>
      <c r="BN18" s="269"/>
      <c r="BO18" s="277"/>
      <c r="BP18" s="269"/>
      <c r="BQ18" s="269"/>
      <c r="BR18" s="269"/>
      <c r="BS18" s="269"/>
      <c r="BT18" s="269"/>
      <c r="BU18" s="277"/>
      <c r="BV18" s="269"/>
      <c r="BW18" s="269"/>
      <c r="BX18" s="269"/>
      <c r="BY18" s="269"/>
      <c r="BZ18" s="269"/>
      <c r="CA18" s="269"/>
      <c r="CB18" s="269"/>
      <c r="CC18" s="269"/>
      <c r="CD18" s="269"/>
      <c r="CE18" s="269"/>
      <c r="CF18" s="269"/>
      <c r="CG18" s="269"/>
      <c r="CH18" s="269"/>
      <c r="CI18" s="278"/>
      <c r="CJ18" s="278"/>
    </row>
    <row r="19" spans="1:88" s="174" customFormat="1" ht="19.95" customHeight="1">
      <c r="A19" s="251"/>
      <c r="B19" s="252"/>
      <c r="C19" s="253"/>
      <c r="D19" s="253"/>
      <c r="E19" s="254"/>
      <c r="F19" s="254"/>
      <c r="G19" s="256"/>
      <c r="H19" s="256"/>
      <c r="I19" s="254"/>
      <c r="J19" s="256"/>
      <c r="K19" s="157">
        <f>IF(L19=0,0,P19/L19)</f>
        <v>0</v>
      </c>
      <c r="L19" s="267"/>
      <c r="M19" s="267"/>
      <c r="N19" s="267"/>
      <c r="O19" s="267"/>
      <c r="P19" s="157">
        <f>SUM(M19:O19)</f>
        <v>0</v>
      </c>
      <c r="Q19" s="157">
        <f>IF(R19=0,0,V19/R19)</f>
        <v>0</v>
      </c>
      <c r="R19" s="267"/>
      <c r="S19" s="267"/>
      <c r="T19" s="267"/>
      <c r="U19" s="267"/>
      <c r="V19" s="157">
        <f>SUM(S19:U19)</f>
        <v>0</v>
      </c>
      <c r="W19" s="157">
        <f>IF(X19=0,0,AB19/X19)</f>
        <v>0</v>
      </c>
      <c r="X19" s="267"/>
      <c r="Y19" s="267"/>
      <c r="Z19" s="267"/>
      <c r="AA19" s="267"/>
      <c r="AB19" s="157">
        <f>SUM(Y19:AA19)</f>
        <v>0</v>
      </c>
      <c r="AC19" s="157">
        <f>IF(AD19=0,0,AH19/AD19)</f>
        <v>0</v>
      </c>
      <c r="AD19" s="157">
        <f t="shared" ref="AD19:AG20" si="8">L19+R19-X19</f>
        <v>0</v>
      </c>
      <c r="AE19" s="157">
        <f t="shared" si="8"/>
        <v>0</v>
      </c>
      <c r="AF19" s="157">
        <f t="shared" si="8"/>
        <v>0</v>
      </c>
      <c r="AG19" s="157">
        <f t="shared" si="8"/>
        <v>0</v>
      </c>
      <c r="AH19" s="157">
        <f>SUM(AE19:AG19)</f>
        <v>0</v>
      </c>
      <c r="AI19" s="267"/>
      <c r="AJ19" s="274"/>
      <c r="AK19" s="274"/>
      <c r="AL19" s="274"/>
      <c r="AM19" s="274"/>
      <c r="AN19" s="274"/>
      <c r="AO19" s="274"/>
      <c r="AP19" s="274"/>
      <c r="AQ19" s="274"/>
      <c r="AR19" s="274"/>
      <c r="AS19" s="274"/>
      <c r="AT19" s="274"/>
      <c r="AU19" s="274"/>
      <c r="AV19" s="274"/>
      <c r="AW19" s="274"/>
      <c r="AX19" s="274"/>
      <c r="AY19" s="274"/>
      <c r="AZ19" s="274"/>
      <c r="BA19" s="274"/>
      <c r="BB19" s="274"/>
      <c r="BC19" s="274"/>
      <c r="BD19" s="274"/>
      <c r="BE19" s="274"/>
      <c r="BF19" s="274"/>
      <c r="BG19" s="157">
        <f>IF(BH19=0,0,BL19/BH19)</f>
        <v>0</v>
      </c>
      <c r="BH19" s="276">
        <f t="shared" ref="BH19:BK20" si="9">L19+AM19+AI19</f>
        <v>0</v>
      </c>
      <c r="BI19" s="276">
        <f t="shared" si="9"/>
        <v>0</v>
      </c>
      <c r="BJ19" s="276">
        <f t="shared" si="9"/>
        <v>0</v>
      </c>
      <c r="BK19" s="276">
        <f t="shared" si="9"/>
        <v>0</v>
      </c>
      <c r="BL19" s="276">
        <f>SUM(BI19:BK19)</f>
        <v>0</v>
      </c>
      <c r="BM19" s="274"/>
      <c r="BN19" s="276">
        <f>BL19-BM19</f>
        <v>0</v>
      </c>
      <c r="BO19" s="157">
        <f>IF(BP19=0,0,BT19/BP19)</f>
        <v>0</v>
      </c>
      <c r="BP19" s="276">
        <f t="shared" ref="BP19:BS20" si="10">R19+AQ19+AU19</f>
        <v>0</v>
      </c>
      <c r="BQ19" s="276">
        <f t="shared" si="10"/>
        <v>0</v>
      </c>
      <c r="BR19" s="276">
        <f t="shared" si="10"/>
        <v>0</v>
      </c>
      <c r="BS19" s="276">
        <f t="shared" si="10"/>
        <v>0</v>
      </c>
      <c r="BT19" s="276">
        <f>SUM(BQ19:BS19)</f>
        <v>0</v>
      </c>
      <c r="BU19" s="157">
        <f>IF(BV19=0,0,BZ19/BV19)</f>
        <v>0</v>
      </c>
      <c r="BV19" s="276">
        <f t="shared" ref="BV19:BY20" si="11">X19+AY19+BC19</f>
        <v>0</v>
      </c>
      <c r="BW19" s="276">
        <f t="shared" si="11"/>
        <v>0</v>
      </c>
      <c r="BX19" s="276">
        <f t="shared" si="11"/>
        <v>0</v>
      </c>
      <c r="BY19" s="276">
        <f t="shared" si="11"/>
        <v>0</v>
      </c>
      <c r="BZ19" s="276">
        <f>SUM(BW19:BY19)</f>
        <v>0</v>
      </c>
      <c r="CA19" s="157">
        <f>IF(CB19=0,0,CF19/CB19)</f>
        <v>0</v>
      </c>
      <c r="CB19" s="276">
        <f t="shared" ref="CB19:CE20" si="12">BH19+BP19-BV19</f>
        <v>0</v>
      </c>
      <c r="CC19" s="276">
        <f t="shared" si="12"/>
        <v>0</v>
      </c>
      <c r="CD19" s="276">
        <f t="shared" si="12"/>
        <v>0</v>
      </c>
      <c r="CE19" s="276">
        <f t="shared" si="12"/>
        <v>0</v>
      </c>
      <c r="CF19" s="276">
        <f>SUM(CC19:CE19)</f>
        <v>0</v>
      </c>
      <c r="CG19" s="274"/>
      <c r="CH19" s="276">
        <f>CF19-CG19</f>
        <v>0</v>
      </c>
      <c r="CI19" s="202"/>
      <c r="CJ19" s="202"/>
    </row>
    <row r="20" spans="1:88" s="174" customFormat="1" ht="19.95" customHeight="1">
      <c r="A20" s="251"/>
      <c r="B20" s="252"/>
      <c r="C20" s="253"/>
      <c r="D20" s="253"/>
      <c r="E20" s="254"/>
      <c r="F20" s="254"/>
      <c r="G20" s="256"/>
      <c r="H20" s="256"/>
      <c r="I20" s="254"/>
      <c r="J20" s="256"/>
      <c r="K20" s="157">
        <f>IF(L20=0,0,P20/L20)</f>
        <v>0</v>
      </c>
      <c r="L20" s="267"/>
      <c r="M20" s="267"/>
      <c r="N20" s="267"/>
      <c r="O20" s="267"/>
      <c r="P20" s="157">
        <f>SUM(M20:O20)</f>
        <v>0</v>
      </c>
      <c r="Q20" s="157">
        <f>IF(R20=0,0,V20/R20)</f>
        <v>0</v>
      </c>
      <c r="R20" s="267"/>
      <c r="S20" s="267"/>
      <c r="T20" s="267"/>
      <c r="U20" s="267"/>
      <c r="V20" s="157">
        <f>SUM(S20:U20)</f>
        <v>0</v>
      </c>
      <c r="W20" s="157">
        <f>IF(X20=0,0,AB20/X20)</f>
        <v>0</v>
      </c>
      <c r="X20" s="267"/>
      <c r="Y20" s="267"/>
      <c r="Z20" s="267"/>
      <c r="AA20" s="267"/>
      <c r="AB20" s="157">
        <f>SUM(Y20:AA20)</f>
        <v>0</v>
      </c>
      <c r="AC20" s="157">
        <f>IF(AD20=0,0,AH20/AD20)</f>
        <v>0</v>
      </c>
      <c r="AD20" s="157">
        <f t="shared" si="8"/>
        <v>0</v>
      </c>
      <c r="AE20" s="157">
        <f t="shared" si="8"/>
        <v>0</v>
      </c>
      <c r="AF20" s="157">
        <f t="shared" si="8"/>
        <v>0</v>
      </c>
      <c r="AG20" s="157">
        <f t="shared" si="8"/>
        <v>0</v>
      </c>
      <c r="AH20" s="157">
        <f>SUM(AE20:AG20)</f>
        <v>0</v>
      </c>
      <c r="AI20" s="267"/>
      <c r="AJ20" s="274"/>
      <c r="AK20" s="274"/>
      <c r="AL20" s="274"/>
      <c r="AM20" s="274"/>
      <c r="AN20" s="274"/>
      <c r="AO20" s="274"/>
      <c r="AP20" s="274"/>
      <c r="AQ20" s="274"/>
      <c r="AR20" s="274"/>
      <c r="AS20" s="274"/>
      <c r="AT20" s="274"/>
      <c r="AU20" s="274"/>
      <c r="AV20" s="274"/>
      <c r="AW20" s="274"/>
      <c r="AX20" s="274"/>
      <c r="AY20" s="274"/>
      <c r="AZ20" s="274"/>
      <c r="BA20" s="274"/>
      <c r="BB20" s="274"/>
      <c r="BC20" s="274"/>
      <c r="BD20" s="274"/>
      <c r="BE20" s="274"/>
      <c r="BF20" s="274"/>
      <c r="BG20" s="157">
        <f>IF(BH20=0,0,BL20/BH20)</f>
        <v>0</v>
      </c>
      <c r="BH20" s="276">
        <f t="shared" si="9"/>
        <v>0</v>
      </c>
      <c r="BI20" s="276">
        <f t="shared" si="9"/>
        <v>0</v>
      </c>
      <c r="BJ20" s="276">
        <f t="shared" si="9"/>
        <v>0</v>
      </c>
      <c r="BK20" s="276">
        <f t="shared" si="9"/>
        <v>0</v>
      </c>
      <c r="BL20" s="276">
        <f>SUM(BI20:BK20)</f>
        <v>0</v>
      </c>
      <c r="BM20" s="274"/>
      <c r="BN20" s="276">
        <f>BL20-BM20</f>
        <v>0</v>
      </c>
      <c r="BO20" s="157">
        <f>IF(BP20=0,0,BT20/BP20)</f>
        <v>0</v>
      </c>
      <c r="BP20" s="276">
        <f t="shared" si="10"/>
        <v>0</v>
      </c>
      <c r="BQ20" s="276">
        <f t="shared" si="10"/>
        <v>0</v>
      </c>
      <c r="BR20" s="276">
        <f t="shared" si="10"/>
        <v>0</v>
      </c>
      <c r="BS20" s="276">
        <f t="shared" si="10"/>
        <v>0</v>
      </c>
      <c r="BT20" s="276">
        <f>SUM(BQ20:BS20)</f>
        <v>0</v>
      </c>
      <c r="BU20" s="157">
        <f>IF(BV20=0,0,BZ20/BV20)</f>
        <v>0</v>
      </c>
      <c r="BV20" s="276">
        <f t="shared" si="11"/>
        <v>0</v>
      </c>
      <c r="BW20" s="276">
        <f t="shared" si="11"/>
        <v>0</v>
      </c>
      <c r="BX20" s="276">
        <f t="shared" si="11"/>
        <v>0</v>
      </c>
      <c r="BY20" s="276">
        <f t="shared" si="11"/>
        <v>0</v>
      </c>
      <c r="BZ20" s="276">
        <f>SUM(BW20:BY20)</f>
        <v>0</v>
      </c>
      <c r="CA20" s="157">
        <f>IF(CB20=0,0,CF20/CB20)</f>
        <v>0</v>
      </c>
      <c r="CB20" s="276">
        <f t="shared" si="12"/>
        <v>0</v>
      </c>
      <c r="CC20" s="276">
        <f t="shared" si="12"/>
        <v>0</v>
      </c>
      <c r="CD20" s="276">
        <f t="shared" si="12"/>
        <v>0</v>
      </c>
      <c r="CE20" s="276">
        <f t="shared" si="12"/>
        <v>0</v>
      </c>
      <c r="CF20" s="276">
        <f>SUM(CC20:CE20)</f>
        <v>0</v>
      </c>
      <c r="CG20" s="274"/>
      <c r="CH20" s="276">
        <f>CF20-CG20</f>
        <v>0</v>
      </c>
      <c r="CI20" s="202"/>
      <c r="CJ20" s="202"/>
    </row>
    <row r="21" spans="1:88" s="241" customFormat="1" ht="19.95" customHeight="1">
      <c r="A21" s="472" t="s">
        <v>209</v>
      </c>
      <c r="B21" s="471"/>
      <c r="C21" s="257"/>
      <c r="D21" s="257"/>
      <c r="E21" s="257"/>
      <c r="F21" s="257"/>
      <c r="G21" s="258"/>
      <c r="H21" s="258"/>
      <c r="I21" s="257"/>
      <c r="J21" s="258"/>
      <c r="K21" s="377" t="s">
        <v>207</v>
      </c>
      <c r="L21" s="157">
        <f>SUM(L19:L20)</f>
        <v>0</v>
      </c>
      <c r="M21" s="157">
        <f>SUM(M19:M20)</f>
        <v>0</v>
      </c>
      <c r="N21" s="157">
        <f>SUM(N19:N20)</f>
        <v>0</v>
      </c>
      <c r="O21" s="157">
        <f>SUM(O19:O20)</f>
        <v>0</v>
      </c>
      <c r="P21" s="157">
        <f>SUM(P19:P20)</f>
        <v>0</v>
      </c>
      <c r="Q21" s="377" t="s">
        <v>207</v>
      </c>
      <c r="R21" s="157">
        <f>SUM(R19:R20)</f>
        <v>0</v>
      </c>
      <c r="S21" s="157">
        <f>SUM(S19:S20)</f>
        <v>0</v>
      </c>
      <c r="T21" s="157">
        <f>SUM(T19:T20)</f>
        <v>0</v>
      </c>
      <c r="U21" s="157">
        <f>SUM(U19:U20)</f>
        <v>0</v>
      </c>
      <c r="V21" s="157">
        <f>SUM(S21:U21)</f>
        <v>0</v>
      </c>
      <c r="W21" s="377" t="s">
        <v>207</v>
      </c>
      <c r="X21" s="157">
        <f>SUM(X19:X20)</f>
        <v>0</v>
      </c>
      <c r="Y21" s="157">
        <f>SUM(Y19:Y20)</f>
        <v>0</v>
      </c>
      <c r="Z21" s="157">
        <f>SUM(Z19:Z20)</f>
        <v>0</v>
      </c>
      <c r="AA21" s="157">
        <f>SUM(AA19:AA20)</f>
        <v>0</v>
      </c>
      <c r="AB21" s="157">
        <f>SUM(Y21:AA21)</f>
        <v>0</v>
      </c>
      <c r="AC21" s="377" t="s">
        <v>207</v>
      </c>
      <c r="AD21" s="157">
        <f>SUM(AD19:AD20)</f>
        <v>0</v>
      </c>
      <c r="AE21" s="157">
        <f>SUM(AE19:AE20)</f>
        <v>0</v>
      </c>
      <c r="AF21" s="157">
        <f>SUM(AF19:AF20)</f>
        <v>0</v>
      </c>
      <c r="AG21" s="157">
        <f>SUM(AG19:AG20)</f>
        <v>0</v>
      </c>
      <c r="AH21" s="157">
        <f>SUM(AE21:AG21)</f>
        <v>0</v>
      </c>
      <c r="AI21" s="157">
        <f t="shared" ref="AI21:BF21" si="13">SUM(AI19:AI20)</f>
        <v>0</v>
      </c>
      <c r="AJ21" s="157">
        <f t="shared" si="13"/>
        <v>0</v>
      </c>
      <c r="AK21" s="157">
        <f t="shared" si="13"/>
        <v>0</v>
      </c>
      <c r="AL21" s="157">
        <f t="shared" si="13"/>
        <v>0</v>
      </c>
      <c r="AM21" s="157">
        <f t="shared" si="13"/>
        <v>0</v>
      </c>
      <c r="AN21" s="157">
        <f t="shared" si="13"/>
        <v>0</v>
      </c>
      <c r="AO21" s="157">
        <f t="shared" si="13"/>
        <v>0</v>
      </c>
      <c r="AP21" s="157">
        <f t="shared" si="13"/>
        <v>0</v>
      </c>
      <c r="AQ21" s="157">
        <f t="shared" si="13"/>
        <v>0</v>
      </c>
      <c r="AR21" s="157">
        <f t="shared" si="13"/>
        <v>0</v>
      </c>
      <c r="AS21" s="157">
        <f t="shared" si="13"/>
        <v>0</v>
      </c>
      <c r="AT21" s="157">
        <f t="shared" si="13"/>
        <v>0</v>
      </c>
      <c r="AU21" s="157">
        <f t="shared" si="13"/>
        <v>0</v>
      </c>
      <c r="AV21" s="157">
        <f t="shared" si="13"/>
        <v>0</v>
      </c>
      <c r="AW21" s="157">
        <f t="shared" si="13"/>
        <v>0</v>
      </c>
      <c r="AX21" s="157">
        <f t="shared" si="13"/>
        <v>0</v>
      </c>
      <c r="AY21" s="157">
        <f t="shared" si="13"/>
        <v>0</v>
      </c>
      <c r="AZ21" s="157">
        <f t="shared" si="13"/>
        <v>0</v>
      </c>
      <c r="BA21" s="157">
        <f t="shared" si="13"/>
        <v>0</v>
      </c>
      <c r="BB21" s="157">
        <f t="shared" si="13"/>
        <v>0</v>
      </c>
      <c r="BC21" s="157">
        <f t="shared" si="13"/>
        <v>0</v>
      </c>
      <c r="BD21" s="157">
        <f t="shared" si="13"/>
        <v>0</v>
      </c>
      <c r="BE21" s="157">
        <f t="shared" si="13"/>
        <v>0</v>
      </c>
      <c r="BF21" s="157">
        <f t="shared" si="13"/>
        <v>0</v>
      </c>
      <c r="BG21" s="378" t="s">
        <v>207</v>
      </c>
      <c r="BH21" s="157">
        <f t="shared" ref="BH21:BN21" si="14">SUM(BH19:BH20)</f>
        <v>0</v>
      </c>
      <c r="BI21" s="157">
        <f t="shared" si="14"/>
        <v>0</v>
      </c>
      <c r="BJ21" s="157">
        <f t="shared" si="14"/>
        <v>0</v>
      </c>
      <c r="BK21" s="157">
        <f t="shared" si="14"/>
        <v>0</v>
      </c>
      <c r="BL21" s="157">
        <f t="shared" si="14"/>
        <v>0</v>
      </c>
      <c r="BM21" s="157">
        <f t="shared" si="14"/>
        <v>0</v>
      </c>
      <c r="BN21" s="157">
        <f t="shared" si="14"/>
        <v>0</v>
      </c>
      <c r="BO21" s="379" t="s">
        <v>207</v>
      </c>
      <c r="BP21" s="157">
        <f>SUM(BP19:BP20)</f>
        <v>0</v>
      </c>
      <c r="BQ21" s="157">
        <f>SUM(BQ19:BQ20)</f>
        <v>0</v>
      </c>
      <c r="BR21" s="157">
        <f>SUM(BR19:BR20)</f>
        <v>0</v>
      </c>
      <c r="BS21" s="157">
        <f>SUM(BS19:BS20)</f>
        <v>0</v>
      </c>
      <c r="BT21" s="157">
        <f>SUM(BT19:BT20)</f>
        <v>0</v>
      </c>
      <c r="BU21" s="379" t="s">
        <v>207</v>
      </c>
      <c r="BV21" s="157">
        <f t="shared" ref="BV21:CH21" si="15">SUM(BV19:BV20)</f>
        <v>0</v>
      </c>
      <c r="BW21" s="157">
        <f t="shared" si="15"/>
        <v>0</v>
      </c>
      <c r="BX21" s="157">
        <f t="shared" si="15"/>
        <v>0</v>
      </c>
      <c r="BY21" s="157">
        <f t="shared" si="15"/>
        <v>0</v>
      </c>
      <c r="BZ21" s="157">
        <f t="shared" si="15"/>
        <v>0</v>
      </c>
      <c r="CA21" s="157">
        <f t="shared" si="15"/>
        <v>0</v>
      </c>
      <c r="CB21" s="157">
        <f t="shared" si="15"/>
        <v>0</v>
      </c>
      <c r="CC21" s="157">
        <f t="shared" si="15"/>
        <v>0</v>
      </c>
      <c r="CD21" s="157">
        <f t="shared" si="15"/>
        <v>0</v>
      </c>
      <c r="CE21" s="157">
        <f t="shared" si="15"/>
        <v>0</v>
      </c>
      <c r="CF21" s="157">
        <f t="shared" si="15"/>
        <v>0</v>
      </c>
      <c r="CG21" s="157">
        <f t="shared" si="15"/>
        <v>0</v>
      </c>
      <c r="CH21" s="157">
        <f t="shared" si="15"/>
        <v>0</v>
      </c>
      <c r="CI21" s="280"/>
      <c r="CJ21" s="280"/>
    </row>
    <row r="22" spans="1:88" s="241" customFormat="1" ht="19.95" customHeight="1">
      <c r="A22" s="472" t="s">
        <v>210</v>
      </c>
      <c r="B22" s="471"/>
      <c r="C22" s="257"/>
      <c r="D22" s="257"/>
      <c r="E22" s="257"/>
      <c r="F22" s="257"/>
      <c r="G22" s="258"/>
      <c r="H22" s="258"/>
      <c r="I22" s="257"/>
      <c r="J22" s="258"/>
      <c r="K22" s="380" t="s">
        <v>207</v>
      </c>
      <c r="L22" s="157">
        <f>L17+L21</f>
        <v>0</v>
      </c>
      <c r="M22" s="157">
        <f>M17+M21</f>
        <v>0</v>
      </c>
      <c r="N22" s="157">
        <f>N17+N21</f>
        <v>0</v>
      </c>
      <c r="O22" s="157">
        <f>O17+O21</f>
        <v>0</v>
      </c>
      <c r="P22" s="157">
        <f>P17+P21</f>
        <v>0</v>
      </c>
      <c r="Q22" s="380" t="s">
        <v>207</v>
      </c>
      <c r="R22" s="157">
        <f>R17+R21</f>
        <v>0</v>
      </c>
      <c r="S22" s="157">
        <f>S17+S21</f>
        <v>0</v>
      </c>
      <c r="T22" s="157">
        <f>T17+T21</f>
        <v>0</v>
      </c>
      <c r="U22" s="157">
        <f>U17+U21</f>
        <v>0</v>
      </c>
      <c r="V22" s="157">
        <f>V17+V21</f>
        <v>0</v>
      </c>
      <c r="W22" s="380" t="s">
        <v>207</v>
      </c>
      <c r="X22" s="157">
        <f>X17+X21</f>
        <v>0</v>
      </c>
      <c r="Y22" s="157">
        <f>Y17+Y21</f>
        <v>0</v>
      </c>
      <c r="Z22" s="157">
        <f>Z17+Z21</f>
        <v>0</v>
      </c>
      <c r="AA22" s="157">
        <f>AA17+AA21</f>
        <v>0</v>
      </c>
      <c r="AB22" s="157">
        <f>AB17+AB21</f>
        <v>0</v>
      </c>
      <c r="AC22" s="380" t="s">
        <v>207</v>
      </c>
      <c r="AD22" s="157">
        <f t="shared" ref="AD22:BF22" si="16">AD17+AD21</f>
        <v>0</v>
      </c>
      <c r="AE22" s="157">
        <f t="shared" si="16"/>
        <v>0</v>
      </c>
      <c r="AF22" s="157">
        <f t="shared" si="16"/>
        <v>0</v>
      </c>
      <c r="AG22" s="157">
        <f t="shared" si="16"/>
        <v>0</v>
      </c>
      <c r="AH22" s="157">
        <f t="shared" si="16"/>
        <v>0</v>
      </c>
      <c r="AI22" s="157">
        <f t="shared" si="16"/>
        <v>0</v>
      </c>
      <c r="AJ22" s="157">
        <f t="shared" si="16"/>
        <v>0</v>
      </c>
      <c r="AK22" s="157">
        <f t="shared" si="16"/>
        <v>0</v>
      </c>
      <c r="AL22" s="157">
        <f t="shared" si="16"/>
        <v>0</v>
      </c>
      <c r="AM22" s="157">
        <f t="shared" si="16"/>
        <v>0</v>
      </c>
      <c r="AN22" s="157">
        <f t="shared" si="16"/>
        <v>0</v>
      </c>
      <c r="AO22" s="157">
        <f t="shared" si="16"/>
        <v>0</v>
      </c>
      <c r="AP22" s="157">
        <f t="shared" si="16"/>
        <v>0</v>
      </c>
      <c r="AQ22" s="157">
        <f t="shared" si="16"/>
        <v>0</v>
      </c>
      <c r="AR22" s="157">
        <f t="shared" si="16"/>
        <v>0</v>
      </c>
      <c r="AS22" s="157">
        <f t="shared" si="16"/>
        <v>0</v>
      </c>
      <c r="AT22" s="157">
        <f t="shared" si="16"/>
        <v>0</v>
      </c>
      <c r="AU22" s="157">
        <f t="shared" si="16"/>
        <v>0</v>
      </c>
      <c r="AV22" s="157">
        <f t="shared" si="16"/>
        <v>0</v>
      </c>
      <c r="AW22" s="157">
        <f t="shared" si="16"/>
        <v>0</v>
      </c>
      <c r="AX22" s="157">
        <f t="shared" si="16"/>
        <v>0</v>
      </c>
      <c r="AY22" s="157">
        <f t="shared" si="16"/>
        <v>0</v>
      </c>
      <c r="AZ22" s="157">
        <f t="shared" si="16"/>
        <v>0</v>
      </c>
      <c r="BA22" s="157">
        <f t="shared" si="16"/>
        <v>0</v>
      </c>
      <c r="BB22" s="157">
        <f t="shared" si="16"/>
        <v>0</v>
      </c>
      <c r="BC22" s="157">
        <f t="shared" si="16"/>
        <v>0</v>
      </c>
      <c r="BD22" s="157">
        <f t="shared" si="16"/>
        <v>0</v>
      </c>
      <c r="BE22" s="157">
        <f t="shared" si="16"/>
        <v>0</v>
      </c>
      <c r="BF22" s="157">
        <f t="shared" si="16"/>
        <v>0</v>
      </c>
      <c r="BG22" s="378" t="s">
        <v>207</v>
      </c>
      <c r="BH22" s="157">
        <f t="shared" ref="BH22:BN22" si="17">BH17+BH21</f>
        <v>0</v>
      </c>
      <c r="BI22" s="157">
        <f t="shared" si="17"/>
        <v>0</v>
      </c>
      <c r="BJ22" s="157">
        <f t="shared" si="17"/>
        <v>0</v>
      </c>
      <c r="BK22" s="157">
        <f t="shared" si="17"/>
        <v>0</v>
      </c>
      <c r="BL22" s="157">
        <f t="shared" si="17"/>
        <v>0</v>
      </c>
      <c r="BM22" s="157">
        <f t="shared" si="17"/>
        <v>0</v>
      </c>
      <c r="BN22" s="157">
        <f t="shared" si="17"/>
        <v>0</v>
      </c>
      <c r="BO22" s="379" t="s">
        <v>207</v>
      </c>
      <c r="BP22" s="157">
        <f>BP17+BP21</f>
        <v>0</v>
      </c>
      <c r="BQ22" s="157">
        <f>BQ17+BQ21</f>
        <v>0</v>
      </c>
      <c r="BR22" s="157">
        <f>BR17+BR21</f>
        <v>0</v>
      </c>
      <c r="BS22" s="157">
        <f>BS17+BS21</f>
        <v>0</v>
      </c>
      <c r="BT22" s="157">
        <f>BT17+BT21</f>
        <v>0</v>
      </c>
      <c r="BU22" s="379" t="s">
        <v>207</v>
      </c>
      <c r="BV22" s="157">
        <f t="shared" ref="BV22:CH22" si="18">BV17+BV21</f>
        <v>0</v>
      </c>
      <c r="BW22" s="157">
        <f t="shared" si="18"/>
        <v>0</v>
      </c>
      <c r="BX22" s="157">
        <f t="shared" si="18"/>
        <v>0</v>
      </c>
      <c r="BY22" s="157">
        <f t="shared" si="18"/>
        <v>0</v>
      </c>
      <c r="BZ22" s="157">
        <f t="shared" si="18"/>
        <v>0</v>
      </c>
      <c r="CA22" s="157">
        <f t="shared" si="18"/>
        <v>0</v>
      </c>
      <c r="CB22" s="157">
        <f t="shared" si="18"/>
        <v>0</v>
      </c>
      <c r="CC22" s="157">
        <f t="shared" si="18"/>
        <v>0</v>
      </c>
      <c r="CD22" s="157">
        <f t="shared" si="18"/>
        <v>0</v>
      </c>
      <c r="CE22" s="157">
        <f t="shared" si="18"/>
        <v>0</v>
      </c>
      <c r="CF22" s="157">
        <f t="shared" si="18"/>
        <v>0</v>
      </c>
      <c r="CG22" s="157">
        <f t="shared" si="18"/>
        <v>0</v>
      </c>
      <c r="CH22" s="157">
        <f t="shared" si="18"/>
        <v>0</v>
      </c>
      <c r="CI22" s="280"/>
      <c r="CJ22" s="280"/>
    </row>
    <row r="23" spans="1:88" ht="19.95" customHeight="1">
      <c r="A23" s="260"/>
      <c r="C23" s="260" t="s">
        <v>211</v>
      </c>
      <c r="J23" s="270"/>
    </row>
    <row r="25" spans="1:88" ht="19.95" customHeight="1">
      <c r="A25" s="224"/>
      <c r="C25" s="224"/>
    </row>
    <row r="26" spans="1:88" ht="19.95" customHeight="1">
      <c r="A26" s="224"/>
      <c r="C26" s="224"/>
    </row>
    <row r="27" spans="1:88" ht="19.95" customHeight="1">
      <c r="A27" s="260"/>
      <c r="C27" s="260" t="s">
        <v>212</v>
      </c>
    </row>
    <row r="28" spans="1:88" ht="19.95" customHeight="1">
      <c r="A28" s="260"/>
    </row>
    <row r="30" spans="1:88" ht="19.95" customHeight="1">
      <c r="A30" s="191" t="s">
        <v>213</v>
      </c>
    </row>
    <row r="31" spans="1:88" ht="19.95" customHeight="1">
      <c r="A31" s="171" t="s">
        <v>214</v>
      </c>
    </row>
    <row r="32" spans="1:88" ht="19.95" customHeight="1">
      <c r="A32" s="171" t="s">
        <v>215</v>
      </c>
    </row>
    <row r="33" spans="1:27" ht="19.95" customHeight="1">
      <c r="A33" s="171" t="s">
        <v>216</v>
      </c>
    </row>
    <row r="34" spans="1:27" s="242" customFormat="1" ht="18" customHeight="1">
      <c r="A34" s="261" t="s">
        <v>217</v>
      </c>
      <c r="B34" s="261"/>
      <c r="C34" s="261"/>
      <c r="D34" s="2"/>
      <c r="E34" s="2"/>
      <c r="F34" s="2"/>
      <c r="G34" s="2"/>
      <c r="H34" s="2"/>
      <c r="I34" s="2"/>
      <c r="J34" s="2"/>
      <c r="K34" s="2"/>
      <c r="L34" s="2"/>
      <c r="M34" s="2"/>
      <c r="N34" s="2"/>
      <c r="O34" s="2"/>
      <c r="P34" s="2"/>
      <c r="Q34" s="2"/>
      <c r="R34" s="2"/>
      <c r="S34" s="2"/>
      <c r="T34" s="2"/>
      <c r="U34" s="2"/>
      <c r="AA34" s="2"/>
    </row>
    <row r="35" spans="1:27" s="242" customFormat="1" ht="18" customHeight="1">
      <c r="A35" s="261" t="s">
        <v>218</v>
      </c>
      <c r="B35" s="261"/>
      <c r="C35" s="261"/>
      <c r="E35" s="2"/>
      <c r="F35" s="2"/>
      <c r="G35" s="2"/>
      <c r="H35" s="2"/>
      <c r="I35" s="2"/>
      <c r="J35" s="2"/>
      <c r="K35" s="2"/>
      <c r="L35" s="2"/>
      <c r="M35" s="2"/>
      <c r="N35" s="2"/>
      <c r="O35" s="2"/>
      <c r="P35" s="2"/>
      <c r="Q35" s="2"/>
      <c r="R35" s="2"/>
      <c r="S35" s="2"/>
      <c r="T35" s="2"/>
      <c r="U35" s="2"/>
      <c r="AA35" s="2"/>
    </row>
  </sheetData>
  <mergeCells count="42">
    <mergeCell ref="A1:AH1"/>
    <mergeCell ref="AI1:BF1"/>
    <mergeCell ref="BG1:CJ1"/>
    <mergeCell ref="A2:AH2"/>
    <mergeCell ref="AI2:BF2"/>
    <mergeCell ref="BG2:CJ2"/>
    <mergeCell ref="BU12:BZ12"/>
    <mergeCell ref="CA12:CH12"/>
    <mergeCell ref="C11:E11"/>
    <mergeCell ref="K11:AH11"/>
    <mergeCell ref="AI11:AP11"/>
    <mergeCell ref="AQ11:AX11"/>
    <mergeCell ref="AY11:BF11"/>
    <mergeCell ref="H11:H13"/>
    <mergeCell ref="I11:I13"/>
    <mergeCell ref="J11:J13"/>
    <mergeCell ref="AU12:AX12"/>
    <mergeCell ref="AY12:BB12"/>
    <mergeCell ref="BC12:BF12"/>
    <mergeCell ref="BG12:BN12"/>
    <mergeCell ref="BO12:BT12"/>
    <mergeCell ref="A17:B17"/>
    <mergeCell ref="A21:B21"/>
    <mergeCell ref="A22:B22"/>
    <mergeCell ref="A11:A13"/>
    <mergeCell ref="B11:B13"/>
    <mergeCell ref="CI12:CI13"/>
    <mergeCell ref="CJ12:CJ13"/>
    <mergeCell ref="C12:C13"/>
    <mergeCell ref="D12:D13"/>
    <mergeCell ref="E12:E13"/>
    <mergeCell ref="F11:F13"/>
    <mergeCell ref="G11:G13"/>
    <mergeCell ref="BG11:CH11"/>
    <mergeCell ref="CI11:CJ11"/>
    <mergeCell ref="K12:P12"/>
    <mergeCell ref="Q12:V12"/>
    <mergeCell ref="W12:AB12"/>
    <mergeCell ref="AC12:AH12"/>
    <mergeCell ref="AI12:AL12"/>
    <mergeCell ref="AM12:AP12"/>
    <mergeCell ref="AQ12:AT12"/>
  </mergeCells>
  <phoneticPr fontId="86" type="noConversion"/>
  <dataValidations count="1">
    <dataValidation allowBlank="1" showInputMessage="1" showErrorMessage="1" prompt="请将减少金额填列在P列" sqref="AF15:AF21"/>
  </dataValidations>
  <hyperlinks>
    <hyperlink ref="CJ3" location="底稿目录!A1" display="底稿目录!A1"/>
    <hyperlink ref="AH3" location="底稿目录!A1" display="底稿目录!A1"/>
    <hyperlink ref="BF3" location="底稿目录!A1" display="L4-2"/>
  </hyperlinks>
  <printOptions horizontalCentered="1"/>
  <pageMargins left="0.70866141732283505" right="0.70866141732283505" top="0.74803149606299202" bottom="0.74803149606299202" header="0.31496062992126" footer="0.31496062992126"/>
  <pageSetup paperSize="9" scale="37" fitToHeight="0" orientation="landscape" blackAndWhite="1" r:id="rId1"/>
  <headerFooter>
    <oddFooter>&amp;C&amp;P/&amp;N</oddFooter>
  </headerFooter>
  <colBreaks count="2" manualBreakCount="2">
    <brk id="34" max="35" man="1"/>
    <brk id="58" max="28" man="1"/>
  </colBreaks>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8"/>
  <dimension ref="A1:AN27"/>
  <sheetViews>
    <sheetView view="pageBreakPreview" zoomScaleNormal="100" workbookViewId="0">
      <selection sqref="A1:S1"/>
    </sheetView>
  </sheetViews>
  <sheetFormatPr defaultColWidth="9" defaultRowHeight="19.95" customHeight="1"/>
  <cols>
    <col min="1" max="1" width="5.19921875" style="177" customWidth="1"/>
    <col min="2" max="2" width="11.09765625" style="177" customWidth="1"/>
    <col min="3" max="4" width="9" style="177"/>
    <col min="5" max="5" width="9.59765625" style="177" customWidth="1"/>
    <col min="6" max="23" width="9" style="177"/>
    <col min="24" max="24" width="9.09765625" style="177" customWidth="1"/>
    <col min="25" max="33" width="9" style="177"/>
    <col min="34" max="34" width="9.09765625" style="177" customWidth="1"/>
    <col min="35" max="16384" width="9" style="177"/>
  </cols>
  <sheetData>
    <row r="1" spans="1:40" s="44" customFormat="1" ht="19.95" customHeight="1">
      <c r="A1" s="474" t="s">
        <v>178</v>
      </c>
      <c r="B1" s="474"/>
      <c r="C1" s="474"/>
      <c r="D1" s="474"/>
      <c r="E1" s="474"/>
      <c r="F1" s="474"/>
      <c r="G1" s="474"/>
      <c r="H1" s="474"/>
      <c r="I1" s="474"/>
      <c r="J1" s="474"/>
      <c r="K1" s="474"/>
      <c r="L1" s="474"/>
      <c r="M1" s="474"/>
      <c r="N1" s="474"/>
      <c r="O1" s="474"/>
      <c r="P1" s="474"/>
      <c r="Q1" s="474"/>
      <c r="R1" s="474"/>
      <c r="S1" s="474"/>
      <c r="T1" s="474" t="s">
        <v>178</v>
      </c>
      <c r="U1" s="474"/>
      <c r="V1" s="474"/>
      <c r="W1" s="474"/>
      <c r="X1" s="474"/>
      <c r="Y1" s="474"/>
      <c r="Z1" s="474"/>
      <c r="AA1" s="474"/>
      <c r="AB1" s="474"/>
      <c r="AC1" s="474"/>
      <c r="AD1" s="474"/>
      <c r="AE1" s="474"/>
      <c r="AF1" s="474"/>
      <c r="AG1" s="474"/>
      <c r="AH1" s="474"/>
      <c r="AI1" s="474"/>
      <c r="AJ1" s="474"/>
      <c r="AK1" s="474"/>
    </row>
    <row r="2" spans="1:40" s="223" customFormat="1" ht="19.95" customHeight="1">
      <c r="A2" s="475" t="s">
        <v>219</v>
      </c>
      <c r="B2" s="475"/>
      <c r="C2" s="475"/>
      <c r="D2" s="475"/>
      <c r="E2" s="475"/>
      <c r="F2" s="475"/>
      <c r="G2" s="475"/>
      <c r="H2" s="475"/>
      <c r="I2" s="475"/>
      <c r="J2" s="475"/>
      <c r="K2" s="475"/>
      <c r="L2" s="475"/>
      <c r="M2" s="475"/>
      <c r="N2" s="475"/>
      <c r="O2" s="475"/>
      <c r="P2" s="475"/>
      <c r="Q2" s="475"/>
      <c r="R2" s="475"/>
      <c r="S2" s="475"/>
      <c r="T2" s="475" t="s">
        <v>220</v>
      </c>
      <c r="U2" s="475"/>
      <c r="V2" s="475"/>
      <c r="W2" s="475"/>
      <c r="X2" s="475"/>
      <c r="Y2" s="475"/>
      <c r="Z2" s="475"/>
      <c r="AA2" s="475"/>
      <c r="AB2" s="475"/>
      <c r="AC2" s="475"/>
      <c r="AD2" s="475"/>
      <c r="AE2" s="475"/>
      <c r="AF2" s="475"/>
      <c r="AG2" s="475"/>
      <c r="AH2" s="475"/>
      <c r="AI2" s="475"/>
      <c r="AJ2" s="475"/>
      <c r="AK2" s="475"/>
      <c r="AN2" s="238" t="s">
        <v>182</v>
      </c>
    </row>
    <row r="3" spans="1:40" s="2" customFormat="1" ht="19.95" customHeight="1">
      <c r="A3" s="2" t="str">
        <f>底稿目录!A2</f>
        <v>被审计单位：</v>
      </c>
      <c r="H3" s="2" t="str">
        <f>底稿目录!A4</f>
        <v>编制人：</v>
      </c>
      <c r="L3" s="197" t="str">
        <f>底稿目录!A5</f>
        <v>编制日期：</v>
      </c>
      <c r="M3" s="197"/>
      <c r="R3" s="2" t="s">
        <v>183</v>
      </c>
      <c r="S3" s="75" t="str">
        <f>底稿目录!F8</f>
        <v>L4-3</v>
      </c>
      <c r="Z3" s="2" t="str">
        <f>底稿目录!A4</f>
        <v>编制人：</v>
      </c>
      <c r="AF3" s="2" t="str">
        <f>底稿目录!A5</f>
        <v>编制日期：</v>
      </c>
      <c r="AL3" s="74" t="s">
        <v>183</v>
      </c>
      <c r="AM3" s="2" t="s">
        <v>16</v>
      </c>
    </row>
    <row r="4" spans="1:40" s="2" customFormat="1" ht="19.95" customHeight="1">
      <c r="A4" s="2" t="str">
        <f>底稿目录!A3</f>
        <v>截止日：202X年12月31日</v>
      </c>
      <c r="H4" s="2" t="str">
        <f>底稿目录!A6</f>
        <v>复核人：</v>
      </c>
      <c r="L4" s="199" t="str">
        <f>底稿目录!A7</f>
        <v>复核日期：</v>
      </c>
      <c r="M4" s="197"/>
      <c r="R4" s="2" t="s">
        <v>175</v>
      </c>
      <c r="Z4" s="23" t="s">
        <v>10</v>
      </c>
      <c r="AF4" s="23" t="str">
        <f>底稿目录!A7</f>
        <v>复核日期：</v>
      </c>
      <c r="AL4" s="74" t="s">
        <v>175</v>
      </c>
    </row>
    <row r="5" spans="1:40" s="2" customFormat="1" ht="19.95" customHeight="1">
      <c r="A5" s="34"/>
      <c r="C5" s="34" t="s">
        <v>221</v>
      </c>
      <c r="T5" s="4"/>
    </row>
    <row r="6" spans="1:40" s="2" customFormat="1" ht="19.95" customHeight="1">
      <c r="A6" s="23"/>
      <c r="C6" s="23" t="s">
        <v>348</v>
      </c>
    </row>
    <row r="7" spans="1:40" s="2" customFormat="1" ht="19.95" customHeight="1">
      <c r="A7" s="23"/>
      <c r="C7" s="23" t="s">
        <v>487</v>
      </c>
    </row>
    <row r="8" spans="1:40" s="23" customFormat="1" ht="19.95" customHeight="1">
      <c r="B8" s="226"/>
      <c r="C8" s="23" t="s">
        <v>222</v>
      </c>
      <c r="D8" s="226"/>
      <c r="E8" s="226"/>
      <c r="F8" s="226"/>
      <c r="G8" s="226"/>
      <c r="H8" s="226"/>
      <c r="I8" s="226"/>
      <c r="J8" s="226"/>
      <c r="K8" s="226"/>
      <c r="L8" s="226"/>
      <c r="M8" s="226"/>
      <c r="N8" s="226"/>
      <c r="O8" s="226"/>
      <c r="P8" s="226"/>
      <c r="Q8" s="226"/>
      <c r="R8" s="226"/>
      <c r="S8" s="226"/>
      <c r="U8" s="226"/>
      <c r="V8" s="226"/>
      <c r="W8" s="226"/>
      <c r="X8" s="226"/>
      <c r="Y8" s="226"/>
      <c r="Z8" s="226"/>
      <c r="AA8" s="226"/>
      <c r="AB8" s="226"/>
      <c r="AC8" s="226"/>
      <c r="AD8" s="226"/>
      <c r="AE8" s="226"/>
      <c r="AF8" s="226"/>
      <c r="AG8" s="226"/>
      <c r="AH8" s="226"/>
      <c r="AI8" s="226"/>
      <c r="AJ8" s="226"/>
      <c r="AK8" s="226"/>
      <c r="AL8" s="226"/>
      <c r="AM8" s="226"/>
    </row>
    <row r="9" spans="1:40" s="2" customFormat="1" ht="19.95" customHeight="1">
      <c r="A9" s="34"/>
      <c r="C9" s="34" t="s">
        <v>188</v>
      </c>
      <c r="L9" s="23"/>
      <c r="P9" s="74"/>
      <c r="T9" s="4"/>
      <c r="Z9" s="23"/>
      <c r="AD9" s="23"/>
      <c r="AH9" s="74"/>
    </row>
    <row r="10" spans="1:40" s="403" customFormat="1" ht="19.95" customHeight="1">
      <c r="A10" s="479" t="s">
        <v>223</v>
      </c>
      <c r="B10" s="480"/>
      <c r="C10" s="476" t="s">
        <v>245</v>
      </c>
      <c r="D10" s="476" t="s">
        <v>482</v>
      </c>
      <c r="E10" s="476" t="s">
        <v>483</v>
      </c>
      <c r="F10" s="476" t="s">
        <v>313</v>
      </c>
      <c r="G10" s="476" t="s">
        <v>476</v>
      </c>
      <c r="H10" s="476" t="s">
        <v>484</v>
      </c>
      <c r="I10" s="476" t="s">
        <v>485</v>
      </c>
      <c r="J10" s="476" t="s">
        <v>201</v>
      </c>
      <c r="K10" s="476" t="s">
        <v>486</v>
      </c>
      <c r="L10" s="485" t="s">
        <v>457</v>
      </c>
      <c r="M10" s="485"/>
      <c r="N10" s="485"/>
      <c r="O10" s="485"/>
      <c r="P10" s="485"/>
      <c r="Q10" s="485"/>
      <c r="R10" s="485"/>
      <c r="S10" s="485"/>
      <c r="T10" s="485" t="s">
        <v>224</v>
      </c>
      <c r="U10" s="485"/>
      <c r="V10" s="485"/>
      <c r="W10" s="485"/>
      <c r="X10" s="485" t="s">
        <v>225</v>
      </c>
      <c r="Y10" s="485"/>
      <c r="Z10" s="485"/>
      <c r="AA10" s="485"/>
      <c r="AB10" s="485" t="s">
        <v>226</v>
      </c>
      <c r="AC10" s="485"/>
      <c r="AD10" s="485"/>
      <c r="AE10" s="485"/>
      <c r="AF10" s="485" t="s">
        <v>227</v>
      </c>
      <c r="AG10" s="485"/>
      <c r="AH10" s="485"/>
      <c r="AI10" s="485"/>
      <c r="AJ10" s="485"/>
      <c r="AK10" s="485"/>
      <c r="AL10" s="485"/>
      <c r="AM10" s="485"/>
    </row>
    <row r="11" spans="1:40" s="403" customFormat="1" ht="19.95" customHeight="1">
      <c r="A11" s="481"/>
      <c r="B11" s="482"/>
      <c r="C11" s="476"/>
      <c r="D11" s="476"/>
      <c r="E11" s="476"/>
      <c r="F11" s="476"/>
      <c r="G11" s="476"/>
      <c r="H11" s="476"/>
      <c r="I11" s="476"/>
      <c r="J11" s="476"/>
      <c r="K11" s="476"/>
      <c r="L11" s="476" t="s">
        <v>479</v>
      </c>
      <c r="M11" s="476"/>
      <c r="N11" s="476" t="s">
        <v>475</v>
      </c>
      <c r="O11" s="476"/>
      <c r="P11" s="476" t="s">
        <v>480</v>
      </c>
      <c r="Q11" s="476"/>
      <c r="R11" s="476" t="s">
        <v>374</v>
      </c>
      <c r="S11" s="476"/>
      <c r="T11" s="476" t="s">
        <v>225</v>
      </c>
      <c r="U11" s="476"/>
      <c r="V11" s="476" t="s">
        <v>226</v>
      </c>
      <c r="W11" s="476"/>
      <c r="X11" s="476" t="s">
        <v>475</v>
      </c>
      <c r="Y11" s="476"/>
      <c r="Z11" s="476" t="s">
        <v>480</v>
      </c>
      <c r="AA11" s="476"/>
      <c r="AB11" s="476" t="s">
        <v>475</v>
      </c>
      <c r="AC11" s="476"/>
      <c r="AD11" s="476" t="s">
        <v>480</v>
      </c>
      <c r="AE11" s="476"/>
      <c r="AF11" s="476" t="s">
        <v>479</v>
      </c>
      <c r="AG11" s="476"/>
      <c r="AH11" s="476" t="s">
        <v>475</v>
      </c>
      <c r="AI11" s="476"/>
      <c r="AJ11" s="476" t="s">
        <v>480</v>
      </c>
      <c r="AK11" s="476"/>
      <c r="AL11" s="476" t="s">
        <v>374</v>
      </c>
      <c r="AM11" s="476"/>
    </row>
    <row r="12" spans="1:40" s="403" customFormat="1" ht="19.95" customHeight="1">
      <c r="A12" s="483"/>
      <c r="B12" s="484"/>
      <c r="C12" s="476"/>
      <c r="D12" s="476"/>
      <c r="E12" s="476"/>
      <c r="F12" s="476"/>
      <c r="G12" s="476"/>
      <c r="H12" s="476"/>
      <c r="I12" s="476"/>
      <c r="J12" s="476"/>
      <c r="K12" s="476"/>
      <c r="L12" s="404" t="s">
        <v>476</v>
      </c>
      <c r="M12" s="404" t="s">
        <v>484</v>
      </c>
      <c r="N12" s="404" t="s">
        <v>476</v>
      </c>
      <c r="O12" s="404" t="s">
        <v>484</v>
      </c>
      <c r="P12" s="404" t="s">
        <v>476</v>
      </c>
      <c r="Q12" s="404" t="s">
        <v>484</v>
      </c>
      <c r="R12" s="404" t="s">
        <v>476</v>
      </c>
      <c r="S12" s="404" t="s">
        <v>484</v>
      </c>
      <c r="T12" s="404" t="s">
        <v>476</v>
      </c>
      <c r="U12" s="404" t="s">
        <v>484</v>
      </c>
      <c r="V12" s="404" t="s">
        <v>476</v>
      </c>
      <c r="W12" s="404" t="s">
        <v>484</v>
      </c>
      <c r="X12" s="404" t="s">
        <v>476</v>
      </c>
      <c r="Y12" s="404" t="s">
        <v>484</v>
      </c>
      <c r="Z12" s="404" t="s">
        <v>476</v>
      </c>
      <c r="AA12" s="404" t="s">
        <v>484</v>
      </c>
      <c r="AB12" s="404" t="s">
        <v>476</v>
      </c>
      <c r="AC12" s="404" t="s">
        <v>484</v>
      </c>
      <c r="AD12" s="404" t="s">
        <v>476</v>
      </c>
      <c r="AE12" s="404" t="s">
        <v>484</v>
      </c>
      <c r="AF12" s="404" t="s">
        <v>476</v>
      </c>
      <c r="AG12" s="404" t="s">
        <v>484</v>
      </c>
      <c r="AH12" s="404" t="s">
        <v>476</v>
      </c>
      <c r="AI12" s="404" t="s">
        <v>484</v>
      </c>
      <c r="AJ12" s="404" t="s">
        <v>476</v>
      </c>
      <c r="AK12" s="404" t="s">
        <v>484</v>
      </c>
      <c r="AL12" s="404" t="s">
        <v>476</v>
      </c>
      <c r="AM12" s="404" t="s">
        <v>484</v>
      </c>
    </row>
    <row r="13" spans="1:40" s="224" customFormat="1" ht="19.95" customHeight="1">
      <c r="A13" s="227"/>
      <c r="B13" s="228"/>
      <c r="C13" s="229"/>
      <c r="D13" s="230"/>
      <c r="E13" s="231"/>
      <c r="F13" s="230"/>
      <c r="G13" s="230"/>
      <c r="H13" s="230"/>
      <c r="I13" s="236"/>
      <c r="J13" s="236"/>
      <c r="K13" s="236"/>
      <c r="L13" s="230"/>
      <c r="M13" s="230"/>
      <c r="N13" s="230"/>
      <c r="O13" s="230"/>
      <c r="P13" s="230"/>
      <c r="Q13" s="230"/>
      <c r="R13" s="58">
        <f t="shared" ref="R13:S18" si="0">L13+N13-P13</f>
        <v>0</v>
      </c>
      <c r="S13" s="58">
        <f t="shared" si="0"/>
        <v>0</v>
      </c>
      <c r="T13" s="237"/>
      <c r="U13" s="237"/>
      <c r="V13" s="237"/>
      <c r="W13" s="237"/>
      <c r="X13" s="230"/>
      <c r="Y13" s="230"/>
      <c r="Z13" s="230"/>
      <c r="AA13" s="230"/>
      <c r="AB13" s="230"/>
      <c r="AC13" s="230"/>
      <c r="AD13" s="230"/>
      <c r="AE13" s="230"/>
      <c r="AF13" s="58">
        <f t="shared" ref="AF13:AG17" si="1">L13+T13+V13</f>
        <v>0</v>
      </c>
      <c r="AG13" s="58">
        <f t="shared" si="1"/>
        <v>0</v>
      </c>
      <c r="AH13" s="58">
        <f t="shared" ref="AH13:AK17" si="2">N13+X13+AB13</f>
        <v>0</v>
      </c>
      <c r="AI13" s="58">
        <f t="shared" si="2"/>
        <v>0</v>
      </c>
      <c r="AJ13" s="58">
        <f t="shared" si="2"/>
        <v>0</v>
      </c>
      <c r="AK13" s="58">
        <f t="shared" si="2"/>
        <v>0</v>
      </c>
      <c r="AL13" s="58">
        <f t="shared" ref="AL13:AM18" si="3">AF13+AH13-AJ13</f>
        <v>0</v>
      </c>
      <c r="AM13" s="58">
        <f t="shared" si="3"/>
        <v>0</v>
      </c>
    </row>
    <row r="14" spans="1:40" s="224" customFormat="1" ht="19.95" customHeight="1">
      <c r="A14" s="227"/>
      <c r="B14" s="228"/>
      <c r="C14" s="229"/>
      <c r="D14" s="230"/>
      <c r="E14" s="232"/>
      <c r="F14" s="230"/>
      <c r="G14" s="230"/>
      <c r="H14" s="230"/>
      <c r="I14" s="236"/>
      <c r="J14" s="236"/>
      <c r="K14" s="236"/>
      <c r="L14" s="230"/>
      <c r="M14" s="230"/>
      <c r="N14" s="230"/>
      <c r="O14" s="230"/>
      <c r="P14" s="230"/>
      <c r="Q14" s="230"/>
      <c r="R14" s="58">
        <f t="shared" si="0"/>
        <v>0</v>
      </c>
      <c r="S14" s="58">
        <f t="shared" si="0"/>
        <v>0</v>
      </c>
      <c r="T14" s="237"/>
      <c r="U14" s="237"/>
      <c r="V14" s="237"/>
      <c r="W14" s="237"/>
      <c r="X14" s="230"/>
      <c r="Y14" s="230"/>
      <c r="Z14" s="230"/>
      <c r="AA14" s="230"/>
      <c r="AB14" s="230"/>
      <c r="AC14" s="230"/>
      <c r="AD14" s="230"/>
      <c r="AE14" s="230"/>
      <c r="AF14" s="58">
        <f t="shared" si="1"/>
        <v>0</v>
      </c>
      <c r="AG14" s="58">
        <f t="shared" si="1"/>
        <v>0</v>
      </c>
      <c r="AH14" s="58">
        <f t="shared" si="2"/>
        <v>0</v>
      </c>
      <c r="AI14" s="58">
        <f t="shared" si="2"/>
        <v>0</v>
      </c>
      <c r="AJ14" s="58">
        <f t="shared" si="2"/>
        <v>0</v>
      </c>
      <c r="AK14" s="58">
        <f t="shared" si="2"/>
        <v>0</v>
      </c>
      <c r="AL14" s="58">
        <f t="shared" si="3"/>
        <v>0</v>
      </c>
      <c r="AM14" s="58">
        <f t="shared" si="3"/>
        <v>0</v>
      </c>
    </row>
    <row r="15" spans="1:40" s="224" customFormat="1" ht="19.95" customHeight="1">
      <c r="A15" s="227"/>
      <c r="B15" s="228"/>
      <c r="C15" s="229"/>
      <c r="D15" s="230"/>
      <c r="E15" s="232"/>
      <c r="F15" s="230"/>
      <c r="G15" s="230"/>
      <c r="H15" s="230"/>
      <c r="I15" s="236"/>
      <c r="J15" s="236"/>
      <c r="K15" s="236"/>
      <c r="L15" s="230"/>
      <c r="M15" s="236"/>
      <c r="N15" s="230"/>
      <c r="O15" s="230"/>
      <c r="P15" s="230"/>
      <c r="Q15" s="230"/>
      <c r="R15" s="58">
        <f t="shared" si="0"/>
        <v>0</v>
      </c>
      <c r="S15" s="58">
        <f t="shared" si="0"/>
        <v>0</v>
      </c>
      <c r="T15" s="237"/>
      <c r="U15" s="237"/>
      <c r="V15" s="237"/>
      <c r="W15" s="237"/>
      <c r="X15" s="230"/>
      <c r="Y15" s="230"/>
      <c r="Z15" s="230"/>
      <c r="AA15" s="230"/>
      <c r="AB15" s="230"/>
      <c r="AC15" s="230"/>
      <c r="AD15" s="230"/>
      <c r="AE15" s="230"/>
      <c r="AF15" s="58">
        <f t="shared" si="1"/>
        <v>0</v>
      </c>
      <c r="AG15" s="58">
        <f t="shared" si="1"/>
        <v>0</v>
      </c>
      <c r="AH15" s="58">
        <f t="shared" si="2"/>
        <v>0</v>
      </c>
      <c r="AI15" s="58">
        <f t="shared" si="2"/>
        <v>0</v>
      </c>
      <c r="AJ15" s="58">
        <f t="shared" si="2"/>
        <v>0</v>
      </c>
      <c r="AK15" s="58">
        <f t="shared" si="2"/>
        <v>0</v>
      </c>
      <c r="AL15" s="58">
        <f t="shared" si="3"/>
        <v>0</v>
      </c>
      <c r="AM15" s="58">
        <f t="shared" si="3"/>
        <v>0</v>
      </c>
    </row>
    <row r="16" spans="1:40" s="224" customFormat="1" ht="19.95" customHeight="1">
      <c r="A16" s="227"/>
      <c r="B16" s="228"/>
      <c r="C16" s="229"/>
      <c r="D16" s="230"/>
      <c r="E16" s="232"/>
      <c r="F16" s="230"/>
      <c r="G16" s="230"/>
      <c r="H16" s="230"/>
      <c r="I16" s="236"/>
      <c r="J16" s="236"/>
      <c r="K16" s="236"/>
      <c r="L16" s="230"/>
      <c r="M16" s="230"/>
      <c r="N16" s="230"/>
      <c r="O16" s="230"/>
      <c r="P16" s="230"/>
      <c r="Q16" s="230"/>
      <c r="R16" s="58">
        <f t="shared" si="0"/>
        <v>0</v>
      </c>
      <c r="S16" s="58">
        <f t="shared" si="0"/>
        <v>0</v>
      </c>
      <c r="T16" s="237"/>
      <c r="U16" s="237"/>
      <c r="V16" s="237"/>
      <c r="W16" s="237"/>
      <c r="X16" s="230"/>
      <c r="Y16" s="230"/>
      <c r="Z16" s="230"/>
      <c r="AA16" s="230"/>
      <c r="AB16" s="230"/>
      <c r="AC16" s="230"/>
      <c r="AD16" s="230"/>
      <c r="AE16" s="230"/>
      <c r="AF16" s="58">
        <f t="shared" si="1"/>
        <v>0</v>
      </c>
      <c r="AG16" s="58">
        <f t="shared" si="1"/>
        <v>0</v>
      </c>
      <c r="AH16" s="58">
        <f t="shared" si="2"/>
        <v>0</v>
      </c>
      <c r="AI16" s="58">
        <f t="shared" si="2"/>
        <v>0</v>
      </c>
      <c r="AJ16" s="58">
        <f t="shared" si="2"/>
        <v>0</v>
      </c>
      <c r="AK16" s="58">
        <f t="shared" si="2"/>
        <v>0</v>
      </c>
      <c r="AL16" s="58">
        <f t="shared" si="3"/>
        <v>0</v>
      </c>
      <c r="AM16" s="58">
        <f t="shared" si="3"/>
        <v>0</v>
      </c>
    </row>
    <row r="17" spans="1:39" s="224" customFormat="1" ht="19.95" customHeight="1">
      <c r="A17" s="227"/>
      <c r="B17" s="233"/>
      <c r="C17" s="229"/>
      <c r="D17" s="230"/>
      <c r="E17" s="234"/>
      <c r="F17" s="230"/>
      <c r="G17" s="230"/>
      <c r="H17" s="230"/>
      <c r="I17" s="236"/>
      <c r="J17" s="236"/>
      <c r="K17" s="236"/>
      <c r="L17" s="230"/>
      <c r="M17" s="230"/>
      <c r="N17" s="230"/>
      <c r="O17" s="230"/>
      <c r="P17" s="230"/>
      <c r="Q17" s="230"/>
      <c r="R17" s="58">
        <f t="shared" si="0"/>
        <v>0</v>
      </c>
      <c r="S17" s="58">
        <f t="shared" si="0"/>
        <v>0</v>
      </c>
      <c r="T17" s="237"/>
      <c r="U17" s="237"/>
      <c r="V17" s="237"/>
      <c r="W17" s="237"/>
      <c r="X17" s="230"/>
      <c r="Y17" s="230"/>
      <c r="Z17" s="230"/>
      <c r="AA17" s="230"/>
      <c r="AB17" s="230"/>
      <c r="AC17" s="230"/>
      <c r="AD17" s="230"/>
      <c r="AE17" s="230"/>
      <c r="AF17" s="58">
        <f t="shared" si="1"/>
        <v>0</v>
      </c>
      <c r="AG17" s="58">
        <f t="shared" si="1"/>
        <v>0</v>
      </c>
      <c r="AH17" s="58">
        <f t="shared" si="2"/>
        <v>0</v>
      </c>
      <c r="AI17" s="58">
        <f t="shared" si="2"/>
        <v>0</v>
      </c>
      <c r="AJ17" s="58">
        <f t="shared" si="2"/>
        <v>0</v>
      </c>
      <c r="AK17" s="58">
        <f t="shared" si="2"/>
        <v>0</v>
      </c>
      <c r="AL17" s="58">
        <f t="shared" si="3"/>
        <v>0</v>
      </c>
      <c r="AM17" s="58">
        <f t="shared" si="3"/>
        <v>0</v>
      </c>
    </row>
    <row r="18" spans="1:39" s="406" customFormat="1" ht="19.95" customHeight="1">
      <c r="A18" s="477" t="s">
        <v>210</v>
      </c>
      <c r="B18" s="478"/>
      <c r="C18" s="58"/>
      <c r="D18" s="58"/>
      <c r="E18" s="405"/>
      <c r="F18" s="58"/>
      <c r="G18" s="58"/>
      <c r="H18" s="58"/>
      <c r="I18" s="58"/>
      <c r="J18" s="58"/>
      <c r="K18" s="58"/>
      <c r="L18" s="58">
        <f t="shared" ref="L18:Q18" si="4">SUM(L13:L17)</f>
        <v>0</v>
      </c>
      <c r="M18" s="58">
        <f t="shared" si="4"/>
        <v>0</v>
      </c>
      <c r="N18" s="58">
        <f t="shared" si="4"/>
        <v>0</v>
      </c>
      <c r="O18" s="58">
        <f t="shared" si="4"/>
        <v>0</v>
      </c>
      <c r="P18" s="58">
        <f t="shared" si="4"/>
        <v>0</v>
      </c>
      <c r="Q18" s="58">
        <f t="shared" si="4"/>
        <v>0</v>
      </c>
      <c r="R18" s="58">
        <f t="shared" si="0"/>
        <v>0</v>
      </c>
      <c r="S18" s="58">
        <f t="shared" si="0"/>
        <v>0</v>
      </c>
      <c r="T18" s="58">
        <f>N18+P18-R18</f>
        <v>0</v>
      </c>
      <c r="U18" s="58">
        <f>O18+Q18-S18</f>
        <v>0</v>
      </c>
      <c r="V18" s="58">
        <f>P18+R18-T18</f>
        <v>0</v>
      </c>
      <c r="W18" s="58">
        <f>Q18+S18-U18</f>
        <v>0</v>
      </c>
      <c r="X18" s="58">
        <f t="shared" ref="X18:AK18" si="5">SUM(X13:X17)</f>
        <v>0</v>
      </c>
      <c r="Y18" s="58">
        <f t="shared" si="5"/>
        <v>0</v>
      </c>
      <c r="Z18" s="58">
        <f t="shared" si="5"/>
        <v>0</v>
      </c>
      <c r="AA18" s="58">
        <f t="shared" si="5"/>
        <v>0</v>
      </c>
      <c r="AB18" s="58">
        <f t="shared" si="5"/>
        <v>0</v>
      </c>
      <c r="AC18" s="58">
        <f t="shared" si="5"/>
        <v>0</v>
      </c>
      <c r="AD18" s="58">
        <f t="shared" si="5"/>
        <v>0</v>
      </c>
      <c r="AE18" s="58">
        <f t="shared" si="5"/>
        <v>0</v>
      </c>
      <c r="AF18" s="58">
        <f t="shared" si="5"/>
        <v>0</v>
      </c>
      <c r="AG18" s="58">
        <f t="shared" si="5"/>
        <v>0</v>
      </c>
      <c r="AH18" s="58">
        <f t="shared" si="5"/>
        <v>0</v>
      </c>
      <c r="AI18" s="58">
        <f t="shared" si="5"/>
        <v>0</v>
      </c>
      <c r="AJ18" s="58">
        <f t="shared" si="5"/>
        <v>0</v>
      </c>
      <c r="AK18" s="58">
        <f t="shared" si="5"/>
        <v>0</v>
      </c>
      <c r="AL18" s="58">
        <f t="shared" si="3"/>
        <v>0</v>
      </c>
      <c r="AM18" s="58">
        <f t="shared" si="3"/>
        <v>0</v>
      </c>
    </row>
    <row r="19" spans="1:39" s="2" customFormat="1" ht="19.95" customHeight="1">
      <c r="A19" s="34"/>
      <c r="B19" s="34"/>
      <c r="C19" s="34" t="s">
        <v>211</v>
      </c>
      <c r="E19" s="35"/>
      <c r="L19" s="23"/>
      <c r="P19" s="74"/>
      <c r="Z19" s="23"/>
      <c r="AD19" s="23"/>
      <c r="AH19" s="74"/>
    </row>
    <row r="20" spans="1:39" ht="19.95" customHeight="1">
      <c r="A20" s="23"/>
      <c r="B20" s="23"/>
      <c r="C20" s="23"/>
    </row>
    <row r="21" spans="1:39" ht="19.95" customHeight="1">
      <c r="A21" s="23"/>
      <c r="B21" s="23"/>
      <c r="C21" s="23"/>
    </row>
    <row r="22" spans="1:39" s="2" customFormat="1" ht="19.95" customHeight="1">
      <c r="A22" s="34"/>
      <c r="B22" s="34"/>
      <c r="C22" s="34" t="s">
        <v>212</v>
      </c>
      <c r="L22" s="23"/>
      <c r="P22" s="74"/>
      <c r="Z22" s="23"/>
      <c r="AD22" s="23"/>
      <c r="AH22" s="74"/>
    </row>
    <row r="24" spans="1:39" ht="19.95" customHeight="1">
      <c r="A24" s="191" t="s">
        <v>213</v>
      </c>
    </row>
    <row r="25" spans="1:39" s="225" customFormat="1" ht="19.95" customHeight="1">
      <c r="A25" s="235" t="s">
        <v>228</v>
      </c>
    </row>
    <row r="26" spans="1:39" s="225" customFormat="1" ht="19.95" customHeight="1">
      <c r="A26" s="235" t="s">
        <v>229</v>
      </c>
    </row>
    <row r="27" spans="1:39" s="225" customFormat="1" ht="19.95" customHeight="1">
      <c r="A27" s="235" t="s">
        <v>230</v>
      </c>
    </row>
  </sheetData>
  <mergeCells count="34">
    <mergeCell ref="A1:S1"/>
    <mergeCell ref="T1:AK1"/>
    <mergeCell ref="A2:S2"/>
    <mergeCell ref="T2:AK2"/>
    <mergeCell ref="L10:S10"/>
    <mergeCell ref="T10:W10"/>
    <mergeCell ref="X10:AA10"/>
    <mergeCell ref="AB10:AE10"/>
    <mergeCell ref="AF10:AM10"/>
    <mergeCell ref="X11:Y11"/>
    <mergeCell ref="Z11:AA11"/>
    <mergeCell ref="AB11:AC11"/>
    <mergeCell ref="AD11:AE11"/>
    <mergeCell ref="L11:M11"/>
    <mergeCell ref="N11:O11"/>
    <mergeCell ref="P11:Q11"/>
    <mergeCell ref="R11:S11"/>
    <mergeCell ref="T11:U11"/>
    <mergeCell ref="AF11:AG11"/>
    <mergeCell ref="AH11:AI11"/>
    <mergeCell ref="AJ11:AK11"/>
    <mergeCell ref="AL11:AM11"/>
    <mergeCell ref="A18:B18"/>
    <mergeCell ref="C10:C12"/>
    <mergeCell ref="D10:D12"/>
    <mergeCell ref="E10:E12"/>
    <mergeCell ref="F10:F12"/>
    <mergeCell ref="G10:G12"/>
    <mergeCell ref="H10:H12"/>
    <mergeCell ref="I10:I12"/>
    <mergeCell ref="J10:J12"/>
    <mergeCell ref="K10:K12"/>
    <mergeCell ref="A10:B12"/>
    <mergeCell ref="V11:W11"/>
  </mergeCells>
  <phoneticPr fontId="86" type="noConversion"/>
  <dataValidations count="1">
    <dataValidation allowBlank="1" showInputMessage="1" showErrorMessage="1" prompt="发行在外的金融工具名称请在A列输入" sqref="B13:B17"/>
  </dataValidations>
  <hyperlinks>
    <hyperlink ref="AN2" location="底稿目录!A1" display="返回目录"/>
    <hyperlink ref="S3" location="底稿目录!A1" display="=底稿目录!F8"/>
  </hyperlinks>
  <pageMargins left="0.70866141732283505" right="0.70866141732283505" top="0.74803149606299202" bottom="0.74803149606299202" header="0.31496062992126" footer="0.31496062992126"/>
  <pageSetup paperSize="9" scale="62" orientation="landscape" blackAndWhite="1" r:id="rId1"/>
  <headerFooter>
    <oddFooter>&amp;C&amp;P/&amp;N</oddFooter>
  </headerFooter>
  <colBreaks count="1" manualBreakCount="1">
    <brk id="19" max="1048575" man="1"/>
  </colBreak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0"/>
  <dimension ref="A1:K23"/>
  <sheetViews>
    <sheetView view="pageBreakPreview" zoomScaleNormal="100" workbookViewId="0">
      <selection sqref="A1:J1"/>
    </sheetView>
  </sheetViews>
  <sheetFormatPr defaultColWidth="9" defaultRowHeight="19.95" customHeight="1"/>
  <cols>
    <col min="1" max="1" width="20.59765625" style="203" customWidth="1"/>
    <col min="2" max="2" width="14.796875" style="203" customWidth="1"/>
    <col min="3" max="6" width="9" style="203"/>
    <col min="7" max="8" width="11.796875" style="203" customWidth="1"/>
    <col min="9" max="16384" width="9" style="203"/>
  </cols>
  <sheetData>
    <row r="1" spans="1:11" ht="19.95" customHeight="1">
      <c r="A1" s="486" t="s">
        <v>178</v>
      </c>
      <c r="B1" s="486"/>
      <c r="C1" s="486"/>
      <c r="D1" s="486"/>
      <c r="E1" s="486"/>
      <c r="F1" s="486"/>
      <c r="G1" s="486"/>
      <c r="H1" s="486"/>
      <c r="I1" s="486"/>
      <c r="J1" s="486"/>
    </row>
    <row r="2" spans="1:11" ht="19.95" customHeight="1">
      <c r="A2" s="487" t="s">
        <v>231</v>
      </c>
      <c r="B2" s="487"/>
      <c r="C2" s="487"/>
      <c r="D2" s="487"/>
      <c r="E2" s="487"/>
      <c r="F2" s="487"/>
      <c r="G2" s="487"/>
      <c r="H2" s="487"/>
      <c r="I2" s="487"/>
      <c r="J2" s="487"/>
      <c r="K2" s="36"/>
    </row>
    <row r="3" spans="1:11" ht="19.95" customHeight="1">
      <c r="A3" s="204" t="str">
        <f>底稿目录!A2</f>
        <v>被审计单位：</v>
      </c>
      <c r="B3" s="204"/>
      <c r="C3" s="204" t="str">
        <f>底稿目录!A4</f>
        <v>编制人：</v>
      </c>
      <c r="D3" s="204"/>
      <c r="E3" s="204"/>
      <c r="F3" s="205"/>
      <c r="G3" s="204" t="str">
        <f>底稿目录!A5</f>
        <v>编制日期：</v>
      </c>
      <c r="H3" s="204"/>
      <c r="I3" s="221" t="s">
        <v>174</v>
      </c>
      <c r="J3" s="390" t="str">
        <f>底稿目录!F9</f>
        <v>L4-4</v>
      </c>
    </row>
    <row r="4" spans="1:11" ht="19.95" customHeight="1">
      <c r="A4" s="204" t="str">
        <f>底稿目录!A3</f>
        <v>截止日：202X年12月31日</v>
      </c>
      <c r="B4" s="204"/>
      <c r="C4" s="204" t="str">
        <f>底稿目录!A6</f>
        <v>复核人：</v>
      </c>
      <c r="D4" s="204"/>
      <c r="E4" s="204"/>
      <c r="F4" s="205"/>
      <c r="G4" s="204" t="str">
        <f>底稿目录!A7</f>
        <v>复核日期：</v>
      </c>
      <c r="H4" s="204"/>
      <c r="I4" s="221" t="s">
        <v>175</v>
      </c>
    </row>
    <row r="5" spans="1:11" ht="30" customHeight="1">
      <c r="A5" s="206" t="s">
        <v>232</v>
      </c>
      <c r="B5" s="207" t="s">
        <v>233</v>
      </c>
      <c r="C5" s="208" t="s">
        <v>234</v>
      </c>
      <c r="D5" s="208" t="s">
        <v>235</v>
      </c>
      <c r="E5" s="208" t="s">
        <v>236</v>
      </c>
      <c r="F5" s="209" t="s">
        <v>150</v>
      </c>
      <c r="G5" s="208" t="s">
        <v>237</v>
      </c>
      <c r="H5" s="208" t="s">
        <v>238</v>
      </c>
      <c r="I5" s="208" t="s">
        <v>239</v>
      </c>
      <c r="J5" s="208" t="s">
        <v>240</v>
      </c>
    </row>
    <row r="6" spans="1:11" ht="19.95" customHeight="1">
      <c r="A6" s="210"/>
      <c r="B6" s="210"/>
      <c r="C6" s="210"/>
      <c r="D6" s="210"/>
      <c r="E6" s="210"/>
      <c r="F6" s="210"/>
      <c r="G6" s="211"/>
      <c r="H6" s="211"/>
      <c r="I6" s="210"/>
      <c r="J6" s="210"/>
    </row>
    <row r="7" spans="1:11" ht="19.95" customHeight="1">
      <c r="A7" s="210"/>
      <c r="B7" s="210"/>
      <c r="C7" s="210"/>
      <c r="D7" s="210"/>
      <c r="E7" s="210"/>
      <c r="F7" s="210"/>
      <c r="G7" s="211"/>
      <c r="H7" s="211"/>
      <c r="I7" s="210"/>
      <c r="J7" s="210"/>
    </row>
    <row r="8" spans="1:11" ht="19.95" customHeight="1">
      <c r="A8" s="212"/>
      <c r="B8" s="210"/>
      <c r="C8" s="210"/>
      <c r="D8" s="210"/>
      <c r="E8" s="210"/>
      <c r="F8" s="210"/>
      <c r="G8" s="211"/>
      <c r="H8" s="211"/>
      <c r="I8" s="210"/>
      <c r="J8" s="210"/>
    </row>
    <row r="9" spans="1:11" ht="19.95" customHeight="1">
      <c r="A9" s="212"/>
      <c r="B9" s="210"/>
      <c r="C9" s="210"/>
      <c r="D9" s="210"/>
      <c r="E9" s="210"/>
      <c r="F9" s="210"/>
      <c r="G9" s="211"/>
      <c r="H9" s="211"/>
      <c r="I9" s="210"/>
      <c r="J9" s="210"/>
    </row>
    <row r="10" spans="1:11" ht="19.95" customHeight="1">
      <c r="A10" s="212"/>
      <c r="B10" s="210"/>
      <c r="C10" s="210"/>
      <c r="D10" s="210"/>
      <c r="E10" s="210"/>
      <c r="F10" s="210"/>
      <c r="G10" s="211"/>
      <c r="H10" s="211"/>
      <c r="I10" s="210"/>
      <c r="J10" s="210"/>
    </row>
    <row r="11" spans="1:11" ht="19.95" customHeight="1">
      <c r="A11" s="213"/>
      <c r="B11" s="210"/>
      <c r="C11" s="210"/>
      <c r="D11" s="210"/>
      <c r="E11" s="210"/>
      <c r="F11" s="210"/>
      <c r="G11" s="211"/>
      <c r="H11" s="211"/>
      <c r="I11" s="210"/>
      <c r="J11" s="210"/>
    </row>
    <row r="12" spans="1:11" ht="19.95" customHeight="1">
      <c r="A12" s="212"/>
      <c r="B12" s="210"/>
      <c r="C12" s="210"/>
      <c r="D12" s="210"/>
      <c r="E12" s="210"/>
      <c r="F12" s="210"/>
      <c r="G12" s="211"/>
      <c r="H12" s="211"/>
      <c r="I12" s="210"/>
      <c r="J12" s="210"/>
    </row>
    <row r="13" spans="1:11" ht="19.95" customHeight="1">
      <c r="A13" s="212"/>
      <c r="B13" s="210"/>
      <c r="C13" s="210"/>
      <c r="D13" s="210"/>
      <c r="E13" s="210"/>
      <c r="F13" s="210"/>
      <c r="G13" s="211"/>
      <c r="H13" s="211"/>
      <c r="I13" s="210"/>
      <c r="J13" s="210"/>
    </row>
    <row r="14" spans="1:11" ht="19.95" customHeight="1">
      <c r="A14" s="212"/>
      <c r="B14" s="210"/>
      <c r="C14" s="210"/>
      <c r="D14" s="210"/>
      <c r="E14" s="210"/>
      <c r="F14" s="210"/>
      <c r="G14" s="211"/>
      <c r="H14" s="211"/>
      <c r="I14" s="210"/>
      <c r="J14" s="210"/>
    </row>
    <row r="15" spans="1:11" ht="19.95" customHeight="1">
      <c r="A15" s="212"/>
      <c r="B15" s="210"/>
      <c r="C15" s="210"/>
      <c r="D15" s="210"/>
      <c r="E15" s="210"/>
      <c r="F15" s="210"/>
      <c r="G15" s="211"/>
      <c r="H15" s="211"/>
      <c r="I15" s="210"/>
      <c r="J15" s="210"/>
    </row>
    <row r="16" spans="1:11" ht="19.95" customHeight="1">
      <c r="A16" s="212"/>
      <c r="B16" s="210"/>
      <c r="C16" s="210"/>
      <c r="D16" s="210"/>
      <c r="E16" s="210"/>
      <c r="F16" s="210"/>
      <c r="G16" s="211"/>
      <c r="H16" s="211"/>
      <c r="I16" s="210"/>
      <c r="J16" s="210"/>
    </row>
    <row r="17" spans="1:10" ht="19.95" customHeight="1">
      <c r="A17" s="212"/>
      <c r="B17" s="210"/>
      <c r="C17" s="210"/>
      <c r="D17" s="210"/>
      <c r="E17" s="210"/>
      <c r="F17" s="210"/>
      <c r="G17" s="211"/>
      <c r="H17" s="211"/>
      <c r="I17" s="210"/>
      <c r="J17" s="210"/>
    </row>
    <row r="18" spans="1:10" ht="19.95" customHeight="1">
      <c r="A18" s="212"/>
      <c r="B18" s="210"/>
      <c r="C18" s="210"/>
      <c r="D18" s="210"/>
      <c r="E18" s="210"/>
      <c r="F18" s="210"/>
      <c r="G18" s="211"/>
      <c r="H18" s="211"/>
      <c r="I18" s="210"/>
      <c r="J18" s="210"/>
    </row>
    <row r="19" spans="1:10" ht="19.95" customHeight="1">
      <c r="A19" s="212"/>
      <c r="B19" s="210"/>
      <c r="C19" s="210"/>
      <c r="D19" s="210"/>
      <c r="E19" s="210"/>
      <c r="F19" s="210"/>
      <c r="G19" s="211"/>
      <c r="H19" s="211"/>
      <c r="I19" s="210"/>
      <c r="J19" s="210"/>
    </row>
    <row r="20" spans="1:10" ht="19.95" customHeight="1">
      <c r="A20" s="212"/>
      <c r="B20" s="210"/>
      <c r="C20" s="210"/>
      <c r="D20" s="210"/>
      <c r="E20" s="210"/>
      <c r="F20" s="210"/>
      <c r="G20" s="211"/>
      <c r="H20" s="211"/>
      <c r="I20" s="210"/>
      <c r="J20" s="210"/>
    </row>
    <row r="21" spans="1:10" ht="19.95" customHeight="1">
      <c r="A21" s="214"/>
      <c r="B21" s="214"/>
      <c r="C21" s="215"/>
      <c r="D21" s="215"/>
      <c r="E21" s="215"/>
      <c r="F21" s="215"/>
      <c r="G21" s="216"/>
      <c r="H21" s="216"/>
      <c r="I21" s="215"/>
      <c r="J21" s="222"/>
    </row>
    <row r="22" spans="1:10" ht="19.95" customHeight="1">
      <c r="A22" s="217"/>
      <c r="B22" s="217"/>
      <c r="C22" s="217"/>
      <c r="D22" s="217"/>
      <c r="E22" s="218"/>
      <c r="F22" s="219"/>
      <c r="G22" s="220"/>
      <c r="H22" s="220"/>
      <c r="I22" s="220"/>
      <c r="J22" s="220"/>
    </row>
    <row r="23" spans="1:10" ht="19.95" customHeight="1">
      <c r="A23" s="488" t="s">
        <v>241</v>
      </c>
      <c r="B23" s="489"/>
      <c r="C23" s="489"/>
      <c r="D23" s="489"/>
      <c r="E23" s="489"/>
      <c r="F23" s="489"/>
      <c r="G23" s="489"/>
      <c r="H23" s="489"/>
      <c r="I23" s="489"/>
      <c r="J23" s="489"/>
    </row>
  </sheetData>
  <mergeCells count="3">
    <mergeCell ref="A1:J1"/>
    <mergeCell ref="A2:J2"/>
    <mergeCell ref="A23:J23"/>
  </mergeCells>
  <phoneticPr fontId="86" type="noConversion"/>
  <dataValidations count="1">
    <dataValidation type="list" allowBlank="1" showInputMessage="1" showErrorMessage="1" sqref="B6:B20">
      <formula1>"账项调整,报表调整,其他"</formula1>
    </dataValidation>
  </dataValidations>
  <hyperlinks>
    <hyperlink ref="J3" location="底稿目录!A1" display="=底稿目录!F9"/>
  </hyperlinks>
  <pageMargins left="0.70866141732283472" right="0.70866141732283472" top="0.74803149606299213" bottom="0.74803149606299213" header="0.31496062992125984" footer="0.31496062992125984"/>
  <pageSetup paperSize="9" scale="70" orientation="portrait" blackAndWhite="1" r:id="rId1"/>
  <headerFooter>
    <oddFooter>&amp;C&amp;P/&amp;N</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1"/>
  <dimension ref="A1:O61"/>
  <sheetViews>
    <sheetView view="pageBreakPreview" zoomScaleNormal="100" workbookViewId="0">
      <selection sqref="A1:N1"/>
    </sheetView>
  </sheetViews>
  <sheetFormatPr defaultColWidth="9" defaultRowHeight="15.6"/>
  <cols>
    <col min="1" max="1" width="13.69921875" style="177" customWidth="1"/>
    <col min="2" max="2" width="11.09765625" style="177" customWidth="1"/>
    <col min="3" max="3" width="12.19921875" style="177" customWidth="1"/>
    <col min="4" max="4" width="17.8984375" style="177" customWidth="1"/>
    <col min="5" max="5" width="20" style="177" customWidth="1"/>
    <col min="6" max="6" width="10.296875" style="177" customWidth="1"/>
    <col min="7" max="7" width="16" style="177" customWidth="1"/>
    <col min="8" max="8" width="10.59765625" style="177" customWidth="1"/>
    <col min="9" max="9" width="9.796875" style="177" customWidth="1"/>
    <col min="10" max="10" width="9" style="177"/>
    <col min="11" max="11" width="11.69921875" style="177" customWidth="1"/>
    <col min="12" max="13" width="9" style="177"/>
    <col min="14" max="14" width="14.3984375" style="177" customWidth="1"/>
    <col min="15" max="16384" width="9" style="177"/>
  </cols>
  <sheetData>
    <row r="1" spans="1:15" s="44" customFormat="1" ht="19.95" customHeight="1">
      <c r="A1" s="474" t="s">
        <v>178</v>
      </c>
      <c r="B1" s="474"/>
      <c r="C1" s="474"/>
      <c r="D1" s="474"/>
      <c r="E1" s="474"/>
      <c r="F1" s="474"/>
      <c r="G1" s="474"/>
      <c r="H1" s="474"/>
      <c r="I1" s="474"/>
      <c r="J1" s="474"/>
      <c r="K1" s="474"/>
      <c r="L1" s="474"/>
      <c r="M1" s="474"/>
      <c r="N1" s="474"/>
    </row>
    <row r="2" spans="1:15" s="44" customFormat="1" ht="19.95" customHeight="1">
      <c r="A2" s="475" t="s">
        <v>19</v>
      </c>
      <c r="B2" s="475"/>
      <c r="C2" s="475"/>
      <c r="D2" s="475"/>
      <c r="E2" s="475"/>
      <c r="F2" s="475"/>
      <c r="G2" s="475"/>
      <c r="H2" s="475"/>
      <c r="I2" s="475"/>
      <c r="J2" s="475"/>
      <c r="K2" s="475"/>
      <c r="L2" s="475"/>
      <c r="M2" s="475"/>
      <c r="N2" s="475"/>
      <c r="O2" s="36"/>
    </row>
    <row r="3" spans="1:15" s="2" customFormat="1" ht="19.95" customHeight="1">
      <c r="A3" s="2" t="str">
        <f>底稿目录!A2</f>
        <v>被审计单位：</v>
      </c>
      <c r="F3" s="2" t="str">
        <f>底稿目录!A4</f>
        <v>编制人：</v>
      </c>
      <c r="I3" s="197" t="str">
        <f>底稿目录!A5</f>
        <v>编制日期：</v>
      </c>
      <c r="J3" s="197"/>
      <c r="M3" s="198" t="s">
        <v>183</v>
      </c>
      <c r="N3" s="390" t="str">
        <f>底稿目录!F10</f>
        <v>L4-5</v>
      </c>
    </row>
    <row r="4" spans="1:15" s="2" customFormat="1" ht="19.95" customHeight="1">
      <c r="A4" s="2" t="str">
        <f>底稿目录!A3</f>
        <v>截止日：202X年12月31日</v>
      </c>
      <c r="F4" s="2" t="str">
        <f>底稿目录!A6</f>
        <v>复核人：</v>
      </c>
      <c r="I4" s="199" t="str">
        <f>底稿目录!A7</f>
        <v>复核日期：</v>
      </c>
      <c r="J4" s="197"/>
      <c r="M4" s="198" t="s">
        <v>175</v>
      </c>
    </row>
    <row r="5" spans="1:15" s="174" customFormat="1" ht="19.95" customHeight="1">
      <c r="A5" s="178" t="s">
        <v>242</v>
      </c>
      <c r="B5" s="2"/>
      <c r="C5" s="2"/>
      <c r="D5" s="2"/>
      <c r="E5" s="2"/>
      <c r="F5" s="2"/>
      <c r="G5" s="2"/>
      <c r="H5" s="2"/>
      <c r="I5" s="2"/>
      <c r="J5" s="74"/>
      <c r="K5" s="2"/>
      <c r="L5" s="2"/>
      <c r="M5" s="2"/>
      <c r="N5" s="2"/>
      <c r="O5" s="200"/>
    </row>
    <row r="6" spans="1:15" s="174" customFormat="1" ht="19.95" customHeight="1">
      <c r="A6" s="174" t="s">
        <v>243</v>
      </c>
      <c r="B6" s="2"/>
      <c r="C6" s="2"/>
      <c r="D6" s="2"/>
      <c r="E6" s="2"/>
      <c r="F6" s="2"/>
      <c r="G6" s="2"/>
      <c r="H6" s="2"/>
      <c r="I6" s="2"/>
      <c r="J6" s="74"/>
      <c r="K6" s="2"/>
      <c r="L6" s="2"/>
      <c r="M6" s="2"/>
      <c r="N6" s="2"/>
      <c r="O6" s="200"/>
    </row>
    <row r="7" spans="1:15" s="174" customFormat="1" ht="19.95" customHeight="1">
      <c r="A7" s="178" t="s">
        <v>244</v>
      </c>
      <c r="F7" s="179"/>
    </row>
    <row r="8" spans="1:15" s="174" customFormat="1" ht="19.95" customHeight="1">
      <c r="A8" s="511" t="s">
        <v>223</v>
      </c>
      <c r="B8" s="511" t="s">
        <v>245</v>
      </c>
      <c r="C8" s="513" t="s">
        <v>246</v>
      </c>
      <c r="D8" s="504" t="s">
        <v>247</v>
      </c>
      <c r="E8" s="505"/>
      <c r="F8" s="505"/>
      <c r="G8" s="505"/>
      <c r="H8" s="506"/>
      <c r="I8" s="507"/>
      <c r="J8" s="515" t="s">
        <v>248</v>
      </c>
      <c r="K8" s="515" t="s">
        <v>249</v>
      </c>
      <c r="L8" s="515" t="s">
        <v>250</v>
      </c>
      <c r="M8" s="513" t="s">
        <v>240</v>
      </c>
      <c r="N8" s="518" t="s">
        <v>251</v>
      </c>
    </row>
    <row r="9" spans="1:15" s="175" customFormat="1" ht="34.5" customHeight="1">
      <c r="A9" s="512"/>
      <c r="B9" s="512"/>
      <c r="C9" s="514"/>
      <c r="D9" s="180" t="s">
        <v>252</v>
      </c>
      <c r="E9" s="180" t="s">
        <v>253</v>
      </c>
      <c r="F9" s="180" t="s">
        <v>201</v>
      </c>
      <c r="G9" s="180" t="s">
        <v>254</v>
      </c>
      <c r="H9" s="180" t="s">
        <v>255</v>
      </c>
      <c r="I9" s="180" t="s">
        <v>256</v>
      </c>
      <c r="J9" s="516"/>
      <c r="K9" s="516"/>
      <c r="L9" s="517"/>
      <c r="M9" s="514"/>
      <c r="N9" s="519"/>
    </row>
    <row r="10" spans="1:15" s="174" customFormat="1" ht="19.95" customHeight="1">
      <c r="A10" s="181"/>
      <c r="B10" s="182"/>
      <c r="C10" s="183"/>
      <c r="D10" s="184"/>
      <c r="E10" s="184"/>
      <c r="F10" s="184"/>
      <c r="G10" s="184"/>
      <c r="H10" s="184"/>
      <c r="I10" s="184"/>
      <c r="J10" s="184"/>
      <c r="K10" s="201"/>
      <c r="L10" s="186"/>
      <c r="M10" s="184"/>
      <c r="N10" s="202"/>
    </row>
    <row r="11" spans="1:15" s="174" customFormat="1" ht="19.95" customHeight="1">
      <c r="A11" s="185"/>
      <c r="B11" s="182"/>
      <c r="C11" s="183"/>
      <c r="D11" s="184"/>
      <c r="E11" s="186"/>
      <c r="F11" s="186"/>
      <c r="G11" s="186"/>
      <c r="H11" s="186"/>
      <c r="I11" s="186"/>
      <c r="J11" s="186"/>
      <c r="K11" s="201"/>
      <c r="L11" s="186"/>
      <c r="M11" s="186"/>
      <c r="N11" s="202"/>
    </row>
    <row r="12" spans="1:15" s="174" customFormat="1" ht="19.95" customHeight="1">
      <c r="A12" s="181"/>
      <c r="B12" s="182"/>
      <c r="C12" s="183"/>
      <c r="D12" s="186"/>
      <c r="E12" s="186"/>
      <c r="F12" s="186"/>
      <c r="G12" s="186"/>
      <c r="H12" s="186"/>
      <c r="I12" s="186"/>
      <c r="J12" s="186"/>
      <c r="K12" s="201"/>
      <c r="L12" s="186"/>
      <c r="M12" s="186"/>
      <c r="N12" s="202"/>
    </row>
    <row r="13" spans="1:15" s="174" customFormat="1" ht="19.95" customHeight="1">
      <c r="A13" s="181"/>
      <c r="B13" s="182"/>
      <c r="C13" s="183"/>
      <c r="D13" s="186"/>
      <c r="E13" s="186"/>
      <c r="F13" s="186"/>
      <c r="G13" s="186"/>
      <c r="H13" s="186"/>
      <c r="I13" s="186"/>
      <c r="J13" s="186"/>
      <c r="K13" s="201"/>
      <c r="L13" s="186"/>
      <c r="M13" s="186"/>
      <c r="N13" s="202"/>
    </row>
    <row r="14" spans="1:15" s="174" customFormat="1" ht="19.95" customHeight="1">
      <c r="A14" s="181"/>
      <c r="B14" s="182"/>
      <c r="C14" s="183"/>
      <c r="D14" s="186"/>
      <c r="E14" s="186"/>
      <c r="F14" s="186"/>
      <c r="G14" s="186"/>
      <c r="H14" s="186"/>
      <c r="I14" s="186"/>
      <c r="J14" s="186"/>
      <c r="K14" s="201"/>
      <c r="L14" s="186"/>
      <c r="M14" s="186"/>
      <c r="N14" s="202"/>
    </row>
    <row r="15" spans="1:15" s="174" customFormat="1" ht="19.95" customHeight="1">
      <c r="A15" s="181"/>
      <c r="B15" s="182"/>
      <c r="C15" s="183"/>
      <c r="D15" s="186"/>
      <c r="E15" s="186"/>
      <c r="F15" s="186"/>
      <c r="G15" s="186"/>
      <c r="H15" s="186"/>
      <c r="I15" s="186"/>
      <c r="J15" s="186"/>
      <c r="K15" s="201"/>
      <c r="L15" s="186"/>
      <c r="M15" s="186"/>
      <c r="N15" s="202"/>
    </row>
    <row r="16" spans="1:15" s="174" customFormat="1" ht="19.95" customHeight="1">
      <c r="A16" s="181"/>
      <c r="B16" s="182"/>
      <c r="C16" s="183"/>
      <c r="D16" s="186"/>
      <c r="E16" s="186"/>
      <c r="F16" s="186"/>
      <c r="G16" s="186"/>
      <c r="H16" s="186"/>
      <c r="I16" s="186"/>
      <c r="J16" s="186"/>
      <c r="K16" s="201"/>
      <c r="L16" s="186"/>
      <c r="M16" s="186"/>
      <c r="N16" s="202"/>
    </row>
    <row r="17" spans="1:14" s="174" customFormat="1" ht="19.95" customHeight="1">
      <c r="A17" s="181"/>
      <c r="B17" s="182"/>
      <c r="C17" s="183"/>
      <c r="D17" s="186"/>
      <c r="E17" s="186"/>
      <c r="F17" s="186"/>
      <c r="G17" s="186"/>
      <c r="H17" s="186"/>
      <c r="I17" s="186"/>
      <c r="J17" s="186"/>
      <c r="K17" s="201"/>
      <c r="L17" s="186"/>
      <c r="M17" s="186"/>
      <c r="N17" s="202"/>
    </row>
    <row r="18" spans="1:14" s="174" customFormat="1" ht="19.95" customHeight="1">
      <c r="A18" s="181"/>
      <c r="B18" s="182"/>
      <c r="C18" s="183"/>
      <c r="D18" s="186"/>
      <c r="E18" s="186"/>
      <c r="F18" s="186"/>
      <c r="G18" s="186"/>
      <c r="H18" s="186"/>
      <c r="I18" s="186"/>
      <c r="J18" s="186"/>
      <c r="K18" s="201"/>
      <c r="L18" s="186"/>
      <c r="M18" s="186"/>
      <c r="N18" s="202"/>
    </row>
    <row r="19" spans="1:14" s="174" customFormat="1" ht="19.95" customHeight="1">
      <c r="A19" s="181"/>
      <c r="B19" s="182"/>
      <c r="C19" s="183"/>
      <c r="D19" s="186"/>
      <c r="E19" s="186"/>
      <c r="F19" s="186"/>
      <c r="G19" s="186"/>
      <c r="H19" s="186"/>
      <c r="I19" s="186"/>
      <c r="J19" s="186"/>
      <c r="K19" s="201"/>
      <c r="L19" s="186"/>
      <c r="M19" s="186"/>
      <c r="N19" s="202"/>
    </row>
    <row r="20" spans="1:14" s="174" customFormat="1" ht="19.95" customHeight="1">
      <c r="A20" s="187" t="s">
        <v>210</v>
      </c>
      <c r="B20" s="78"/>
      <c r="C20" s="78">
        <f>SUM(C10:C19)</f>
        <v>0</v>
      </c>
      <c r="D20" s="78"/>
      <c r="E20" s="78"/>
      <c r="F20" s="78"/>
      <c r="G20" s="78"/>
      <c r="H20" s="78"/>
      <c r="I20" s="78"/>
      <c r="J20" s="78"/>
      <c r="K20" s="78"/>
      <c r="L20" s="78"/>
      <c r="M20" s="78"/>
      <c r="N20" s="78"/>
    </row>
    <row r="21" spans="1:14" s="174" customFormat="1" ht="19.95" customHeight="1">
      <c r="A21" s="188"/>
    </row>
    <row r="22" spans="1:14" s="174" customFormat="1" ht="19.95" customHeight="1">
      <c r="A22" s="189" t="s">
        <v>257</v>
      </c>
    </row>
    <row r="23" spans="1:14" s="174" customFormat="1" ht="19.95" customHeight="1">
      <c r="A23" s="190"/>
    </row>
    <row r="24" spans="1:14" s="174" customFormat="1" ht="19.95" customHeight="1">
      <c r="A24" s="190"/>
    </row>
    <row r="25" spans="1:14" s="174" customFormat="1" ht="19.95" customHeight="1">
      <c r="A25" s="189" t="s">
        <v>258</v>
      </c>
    </row>
    <row r="26" spans="1:14" ht="19.95" customHeight="1"/>
    <row r="28" spans="1:14" s="176" customFormat="1" ht="12">
      <c r="A28" s="191" t="s">
        <v>213</v>
      </c>
    </row>
    <row r="29" spans="1:14" s="176" customFormat="1" ht="12">
      <c r="A29" s="192">
        <v>1</v>
      </c>
    </row>
    <row r="30" spans="1:14" s="176" customFormat="1" ht="12">
      <c r="A30" s="193" t="s">
        <v>259</v>
      </c>
      <c r="B30" s="194" t="s">
        <v>260</v>
      </c>
      <c r="C30" s="508" t="s">
        <v>261</v>
      </c>
      <c r="D30" s="509"/>
      <c r="E30" s="510"/>
    </row>
    <row r="31" spans="1:14" s="176" customFormat="1" ht="42" customHeight="1">
      <c r="A31" s="492" t="s">
        <v>262</v>
      </c>
      <c r="B31" s="492" t="s">
        <v>263</v>
      </c>
      <c r="C31" s="498" t="s">
        <v>264</v>
      </c>
      <c r="D31" s="499"/>
      <c r="E31" s="500"/>
    </row>
    <row r="32" spans="1:14" s="176" customFormat="1" ht="33.75" customHeight="1">
      <c r="A32" s="493"/>
      <c r="B32" s="494"/>
      <c r="C32" s="501" t="s">
        <v>265</v>
      </c>
      <c r="D32" s="502"/>
      <c r="E32" s="503"/>
    </row>
    <row r="33" spans="1:7" s="176" customFormat="1" ht="60">
      <c r="A33" s="494"/>
      <c r="B33" s="195" t="s">
        <v>266</v>
      </c>
      <c r="C33" s="495" t="s">
        <v>267</v>
      </c>
      <c r="D33" s="496"/>
      <c r="E33" s="497"/>
    </row>
    <row r="34" spans="1:7" s="176" customFormat="1" ht="84">
      <c r="A34" s="492" t="s">
        <v>268</v>
      </c>
      <c r="B34" s="195" t="s">
        <v>269</v>
      </c>
      <c r="C34" s="495" t="s">
        <v>270</v>
      </c>
      <c r="D34" s="496"/>
      <c r="E34" s="497"/>
    </row>
    <row r="35" spans="1:7" s="176" customFormat="1" ht="48">
      <c r="A35" s="493"/>
      <c r="B35" s="195" t="s">
        <v>271</v>
      </c>
      <c r="C35" s="495" t="s">
        <v>272</v>
      </c>
      <c r="D35" s="496"/>
      <c r="E35" s="497"/>
    </row>
    <row r="36" spans="1:7" s="176" customFormat="1" ht="37.5" customHeight="1">
      <c r="A36" s="493"/>
      <c r="B36" s="492" t="s">
        <v>273</v>
      </c>
      <c r="C36" s="498" t="s">
        <v>272</v>
      </c>
      <c r="D36" s="499"/>
      <c r="E36" s="500"/>
    </row>
    <row r="37" spans="1:7" s="176" customFormat="1" ht="28.5" customHeight="1">
      <c r="A37" s="493"/>
      <c r="B37" s="494"/>
      <c r="C37" s="501" t="s">
        <v>274</v>
      </c>
      <c r="D37" s="502"/>
      <c r="E37" s="503"/>
    </row>
    <row r="38" spans="1:7" s="176" customFormat="1" ht="48">
      <c r="A38" s="494"/>
      <c r="B38" s="195" t="s">
        <v>275</v>
      </c>
      <c r="C38" s="495" t="s">
        <v>276</v>
      </c>
      <c r="D38" s="496"/>
      <c r="E38" s="497"/>
    </row>
    <row r="39" spans="1:7" s="176" customFormat="1" ht="60">
      <c r="A39" s="492" t="s">
        <v>255</v>
      </c>
      <c r="B39" s="195" t="s">
        <v>266</v>
      </c>
      <c r="C39" s="495" t="s">
        <v>277</v>
      </c>
      <c r="D39" s="496"/>
      <c r="E39" s="497"/>
    </row>
    <row r="40" spans="1:7" s="176" customFormat="1" ht="12">
      <c r="A40" s="493"/>
      <c r="B40" s="492" t="s">
        <v>278</v>
      </c>
      <c r="C40" s="498" t="s">
        <v>279</v>
      </c>
      <c r="D40" s="499"/>
      <c r="E40" s="500"/>
    </row>
    <row r="41" spans="1:7" s="176" customFormat="1" ht="42" customHeight="1">
      <c r="A41" s="493"/>
      <c r="B41" s="494"/>
      <c r="C41" s="501" t="s">
        <v>280</v>
      </c>
      <c r="D41" s="502"/>
      <c r="E41" s="503"/>
    </row>
    <row r="42" spans="1:7" s="176" customFormat="1" ht="24">
      <c r="A42" s="494"/>
      <c r="B42" s="195" t="s">
        <v>281</v>
      </c>
      <c r="C42" s="495" t="s">
        <v>282</v>
      </c>
      <c r="D42" s="496"/>
      <c r="E42" s="497"/>
    </row>
    <row r="43" spans="1:7" s="176" customFormat="1" ht="36">
      <c r="A43" s="492" t="s">
        <v>283</v>
      </c>
      <c r="B43" s="195" t="s">
        <v>284</v>
      </c>
      <c r="C43" s="495" t="s">
        <v>285</v>
      </c>
      <c r="D43" s="496"/>
      <c r="E43" s="497"/>
    </row>
    <row r="44" spans="1:7" s="176" customFormat="1" ht="36">
      <c r="A44" s="494"/>
      <c r="B44" s="195" t="s">
        <v>286</v>
      </c>
      <c r="C44" s="495" t="s">
        <v>287</v>
      </c>
      <c r="D44" s="496"/>
      <c r="E44" s="497"/>
    </row>
    <row r="45" spans="1:7" s="176" customFormat="1" ht="36">
      <c r="A45" s="492" t="s">
        <v>288</v>
      </c>
      <c r="B45" s="195" t="s">
        <v>289</v>
      </c>
      <c r="C45" s="495" t="s">
        <v>290</v>
      </c>
      <c r="D45" s="496"/>
      <c r="E45" s="497"/>
    </row>
    <row r="46" spans="1:7" s="176" customFormat="1" ht="36">
      <c r="A46" s="494"/>
      <c r="B46" s="195" t="s">
        <v>291</v>
      </c>
      <c r="C46" s="495" t="s">
        <v>292</v>
      </c>
      <c r="D46" s="496"/>
      <c r="E46" s="497"/>
    </row>
    <row r="48" spans="1:7">
      <c r="A48" s="490" t="s">
        <v>293</v>
      </c>
      <c r="B48" s="491"/>
      <c r="C48" s="491"/>
      <c r="D48" s="491"/>
      <c r="E48" s="491"/>
      <c r="F48" s="491"/>
      <c r="G48" s="491"/>
    </row>
    <row r="49" spans="1:7">
      <c r="A49" s="491"/>
      <c r="B49" s="491"/>
      <c r="C49" s="491"/>
      <c r="D49" s="491"/>
      <c r="E49" s="491"/>
      <c r="F49" s="491"/>
      <c r="G49" s="491"/>
    </row>
    <row r="50" spans="1:7">
      <c r="A50" s="491"/>
      <c r="B50" s="491"/>
      <c r="C50" s="491"/>
      <c r="D50" s="491"/>
      <c r="E50" s="491"/>
      <c r="F50" s="491"/>
      <c r="G50" s="491"/>
    </row>
    <row r="51" spans="1:7">
      <c r="A51" s="491"/>
      <c r="B51" s="491"/>
      <c r="C51" s="491"/>
      <c r="D51" s="491"/>
      <c r="E51" s="491"/>
      <c r="F51" s="491"/>
      <c r="G51" s="491"/>
    </row>
    <row r="52" spans="1:7">
      <c r="A52" s="491"/>
      <c r="B52" s="491"/>
      <c r="C52" s="491"/>
      <c r="D52" s="491"/>
      <c r="E52" s="491"/>
      <c r="F52" s="491"/>
      <c r="G52" s="491"/>
    </row>
    <row r="53" spans="1:7">
      <c r="A53" s="490" t="s">
        <v>294</v>
      </c>
      <c r="B53" s="491"/>
      <c r="C53" s="491"/>
      <c r="D53" s="491"/>
      <c r="E53" s="491"/>
      <c r="F53" s="491"/>
      <c r="G53" s="491"/>
    </row>
    <row r="54" spans="1:7">
      <c r="A54" s="491"/>
      <c r="B54" s="491"/>
      <c r="C54" s="491"/>
      <c r="D54" s="491"/>
      <c r="E54" s="491"/>
      <c r="F54" s="491"/>
      <c r="G54" s="491"/>
    </row>
    <row r="55" spans="1:7">
      <c r="A55" s="491"/>
      <c r="B55" s="491"/>
      <c r="C55" s="491"/>
      <c r="D55" s="491"/>
      <c r="E55" s="491"/>
      <c r="F55" s="491"/>
      <c r="G55" s="491"/>
    </row>
    <row r="56" spans="1:7">
      <c r="A56" s="491"/>
      <c r="B56" s="491"/>
      <c r="C56" s="491"/>
      <c r="D56" s="491"/>
      <c r="E56" s="491"/>
      <c r="F56" s="491"/>
      <c r="G56" s="491"/>
    </row>
    <row r="57" spans="1:7">
      <c r="A57" s="491"/>
      <c r="B57" s="491"/>
      <c r="C57" s="491"/>
      <c r="D57" s="491"/>
      <c r="E57" s="491"/>
      <c r="F57" s="491"/>
      <c r="G57" s="491"/>
    </row>
    <row r="58" spans="1:7">
      <c r="A58" s="491"/>
      <c r="B58" s="491"/>
      <c r="C58" s="491"/>
      <c r="D58" s="491"/>
      <c r="E58" s="491"/>
      <c r="F58" s="491"/>
      <c r="G58" s="491"/>
    </row>
    <row r="59" spans="1:7">
      <c r="A59" s="491"/>
      <c r="B59" s="491"/>
      <c r="C59" s="491"/>
      <c r="D59" s="491"/>
      <c r="E59" s="491"/>
      <c r="F59" s="491"/>
      <c r="G59" s="491"/>
    </row>
    <row r="60" spans="1:7">
      <c r="A60" s="491"/>
      <c r="B60" s="491"/>
      <c r="C60" s="491"/>
      <c r="D60" s="491"/>
      <c r="E60" s="491"/>
      <c r="F60" s="491"/>
      <c r="G60" s="491"/>
    </row>
    <row r="61" spans="1:7">
      <c r="A61" s="176" t="s">
        <v>295</v>
      </c>
      <c r="D61" s="196" t="s">
        <v>296</v>
      </c>
    </row>
  </sheetData>
  <mergeCells count="38">
    <mergeCell ref="A1:N1"/>
    <mergeCell ref="A2:N2"/>
    <mergeCell ref="D8:I8"/>
    <mergeCell ref="C30:E30"/>
    <mergeCell ref="C31:E31"/>
    <mergeCell ref="A8:A9"/>
    <mergeCell ref="A31:A33"/>
    <mergeCell ref="C8:C9"/>
    <mergeCell ref="J8:J9"/>
    <mergeCell ref="K8:K9"/>
    <mergeCell ref="L8:L9"/>
    <mergeCell ref="M8:M9"/>
    <mergeCell ref="N8:N9"/>
    <mergeCell ref="B8:B9"/>
    <mergeCell ref="B31:B32"/>
    <mergeCell ref="C32:E32"/>
    <mergeCell ref="C33:E33"/>
    <mergeCell ref="C34:E34"/>
    <mergeCell ref="C35:E35"/>
    <mergeCell ref="C36:E36"/>
    <mergeCell ref="A48:G52"/>
    <mergeCell ref="B36:B37"/>
    <mergeCell ref="B40:B41"/>
    <mergeCell ref="C42:E42"/>
    <mergeCell ref="C37:E37"/>
    <mergeCell ref="C38:E38"/>
    <mergeCell ref="C39:E39"/>
    <mergeCell ref="C40:E40"/>
    <mergeCell ref="C41:E41"/>
    <mergeCell ref="A53:G60"/>
    <mergeCell ref="A34:A38"/>
    <mergeCell ref="A39:A42"/>
    <mergeCell ref="A43:A44"/>
    <mergeCell ref="A45:A46"/>
    <mergeCell ref="C43:E43"/>
    <mergeCell ref="C44:E44"/>
    <mergeCell ref="C45:E45"/>
    <mergeCell ref="C46:E46"/>
  </mergeCells>
  <phoneticPr fontId="86" type="noConversion"/>
  <dataValidations count="3">
    <dataValidation allowBlank="1" showInputMessage="1" showErrorMessage="1" prompt="发行在外的金融工具名称请在A列输入" sqref="C16:C20"/>
    <dataValidation type="list" allowBlank="1" showInputMessage="1" showErrorMessage="1" sqref="K10:K19">
      <formula1>"债务工具,权益工具,复合工具,整体指定"</formula1>
    </dataValidation>
    <dataValidation type="list" allowBlank="1" showInputMessage="1" showErrorMessage="1" sqref="L10:L19">
      <formula1>"是,否"</formula1>
    </dataValidation>
  </dataValidations>
  <hyperlinks>
    <hyperlink ref="D61" r:id="rId1"/>
    <hyperlink ref="N3" location="底稿目录!A1" display="=底稿目录!F10"/>
  </hyperlinks>
  <pageMargins left="0.70866141732283505" right="0.70866141732283505" top="0.74803149606299202" bottom="0.74803149606299202" header="0.31496062992126" footer="0.31496062992126"/>
  <pageSetup paperSize="9" scale="70" orientation="landscape" blackAndWhite="1" r:id="rId2"/>
  <headerFooter>
    <oddFooter>&amp;C&amp;P/&amp;N</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12"/>
  <dimension ref="A1:AA57"/>
  <sheetViews>
    <sheetView showZeros="0" view="pageBreakPreview" zoomScaleNormal="100" workbookViewId="0">
      <selection sqref="A1:G1"/>
    </sheetView>
  </sheetViews>
  <sheetFormatPr defaultColWidth="9" defaultRowHeight="19.95" customHeight="1"/>
  <cols>
    <col min="1" max="1" width="26.796875" style="126" customWidth="1"/>
    <col min="2" max="2" width="10.59765625" style="126" customWidth="1"/>
    <col min="3" max="3" width="11.59765625" style="126" customWidth="1"/>
    <col min="4" max="4" width="9.3984375" style="126" customWidth="1"/>
    <col min="5" max="5" width="15.796875" style="126" customWidth="1"/>
    <col min="6" max="6" width="16.796875" style="126" customWidth="1"/>
    <col min="7" max="7" width="19.796875" style="126" customWidth="1"/>
    <col min="8" max="8" width="9" style="126"/>
    <col min="9" max="9" width="9.59765625" style="126" customWidth="1"/>
    <col min="10" max="10" width="9" style="126"/>
    <col min="11" max="11" width="10.59765625" style="126" customWidth="1"/>
    <col min="12" max="12" width="10.296875" style="126" customWidth="1"/>
    <col min="13" max="13" width="10.59765625" style="126" customWidth="1"/>
    <col min="14" max="16384" width="9" style="126"/>
  </cols>
  <sheetData>
    <row r="1" spans="1:13" s="118" customFormat="1" ht="19.95" customHeight="1">
      <c r="A1" s="462" t="s">
        <v>30</v>
      </c>
      <c r="B1" s="462"/>
      <c r="C1" s="462"/>
      <c r="D1" s="462"/>
      <c r="E1" s="462"/>
      <c r="F1" s="462"/>
      <c r="G1" s="462"/>
      <c r="H1" s="127"/>
      <c r="I1" s="127"/>
      <c r="J1" s="127"/>
      <c r="K1" s="127"/>
      <c r="L1" s="127"/>
      <c r="M1" s="127"/>
    </row>
    <row r="2" spans="1:13" s="44" customFormat="1" ht="19.95" customHeight="1">
      <c r="A2" s="475" t="s">
        <v>21</v>
      </c>
      <c r="B2" s="463"/>
      <c r="C2" s="463"/>
      <c r="D2" s="463"/>
      <c r="E2" s="463"/>
      <c r="F2" s="463"/>
      <c r="G2" s="463"/>
      <c r="H2" s="36"/>
      <c r="I2" s="172"/>
      <c r="J2" s="172"/>
      <c r="K2" s="172"/>
      <c r="L2" s="172"/>
      <c r="M2" s="172"/>
    </row>
    <row r="3" spans="1:13" s="120" customFormat="1" ht="19.95" customHeight="1">
      <c r="A3" s="120" t="str">
        <f>底稿目录!A2</f>
        <v>被审计单位：</v>
      </c>
      <c r="C3" s="128" t="str">
        <f>底稿目录!A4</f>
        <v>编制人：</v>
      </c>
      <c r="E3" s="129" t="str">
        <f>底稿目录!A5</f>
        <v>编制日期：</v>
      </c>
      <c r="F3" s="407" t="s">
        <v>183</v>
      </c>
      <c r="G3" s="390" t="str">
        <f>底稿目录!F11</f>
        <v>L4-6</v>
      </c>
      <c r="J3" s="173"/>
    </row>
    <row r="4" spans="1:13" s="120" customFormat="1" ht="19.95" customHeight="1">
      <c r="A4" s="120" t="str">
        <f>底稿目录!A3</f>
        <v>截止日：202X年12月31日</v>
      </c>
      <c r="C4" s="128" t="str">
        <f>底稿目录!A6</f>
        <v>复核人：</v>
      </c>
      <c r="E4" s="129" t="str">
        <f>底稿目录!A7</f>
        <v>复核日期：</v>
      </c>
      <c r="F4" s="408" t="s">
        <v>97</v>
      </c>
      <c r="G4" s="130"/>
      <c r="J4" s="173"/>
    </row>
    <row r="5" spans="1:13" s="120" customFormat="1" ht="19.95" customHeight="1">
      <c r="A5" s="131" t="s">
        <v>221</v>
      </c>
      <c r="J5" s="130"/>
      <c r="M5" s="173"/>
    </row>
    <row r="6" spans="1:13" s="120" customFormat="1" ht="19.95" customHeight="1">
      <c r="A6" s="520" t="s">
        <v>297</v>
      </c>
      <c r="B6" s="520"/>
      <c r="C6" s="520"/>
      <c r="D6" s="520"/>
      <c r="E6" s="520"/>
      <c r="F6" s="520"/>
      <c r="G6" s="520"/>
      <c r="J6" s="130"/>
      <c r="M6" s="173"/>
    </row>
    <row r="7" spans="1:13" s="120" customFormat="1" ht="19.95" customHeight="1">
      <c r="A7" s="133" t="s">
        <v>298</v>
      </c>
      <c r="B7" s="132"/>
      <c r="C7" s="132"/>
      <c r="D7" s="132"/>
      <c r="E7" s="132"/>
      <c r="F7" s="132"/>
      <c r="G7" s="132"/>
      <c r="J7" s="130"/>
      <c r="M7" s="173"/>
    </row>
    <row r="8" spans="1:13" s="120" customFormat="1" ht="19.95" customHeight="1">
      <c r="A8" s="131" t="s">
        <v>188</v>
      </c>
      <c r="B8" s="520"/>
      <c r="C8" s="520"/>
      <c r="D8" s="520"/>
      <c r="E8" s="520"/>
      <c r="F8" s="520"/>
      <c r="G8" s="520"/>
      <c r="J8" s="130"/>
      <c r="M8" s="173"/>
    </row>
    <row r="9" spans="1:13" s="120" customFormat="1" ht="19.95" customHeight="1">
      <c r="A9" s="134" t="s">
        <v>299</v>
      </c>
      <c r="B9" s="135"/>
      <c r="C9" s="134" t="s">
        <v>300</v>
      </c>
      <c r="D9" s="135"/>
      <c r="J9" s="173"/>
    </row>
    <row r="10" spans="1:13" s="120" customFormat="1" ht="19.95" customHeight="1">
      <c r="A10" s="136" t="s">
        <v>301</v>
      </c>
      <c r="B10" s="137"/>
      <c r="C10" s="138"/>
      <c r="D10" s="137"/>
      <c r="E10" s="139"/>
      <c r="F10" s="139"/>
      <c r="G10" s="139"/>
      <c r="J10" s="173"/>
    </row>
    <row r="11" spans="1:13" s="121" customFormat="1" ht="19.95" customHeight="1">
      <c r="A11" s="140" t="s">
        <v>176</v>
      </c>
      <c r="B11" s="141" t="s">
        <v>302</v>
      </c>
      <c r="C11" s="141" t="s">
        <v>303</v>
      </c>
      <c r="D11" s="141" t="s">
        <v>304</v>
      </c>
      <c r="E11" s="141" t="s">
        <v>305</v>
      </c>
      <c r="F11" s="142" t="s">
        <v>177</v>
      </c>
      <c r="G11" s="142" t="s">
        <v>306</v>
      </c>
    </row>
    <row r="12" spans="1:13" s="122" customFormat="1" ht="19.95" customHeight="1">
      <c r="A12" s="143" t="s">
        <v>307</v>
      </c>
      <c r="B12" s="144"/>
      <c r="C12" s="144"/>
      <c r="D12" s="144"/>
      <c r="E12" s="144"/>
      <c r="F12" s="145" t="s">
        <v>308</v>
      </c>
      <c r="G12" s="145"/>
    </row>
    <row r="13" spans="1:13" s="122" customFormat="1" ht="19.95" customHeight="1">
      <c r="A13" s="146" t="s">
        <v>309</v>
      </c>
      <c r="B13" s="144"/>
      <c r="C13" s="145"/>
      <c r="D13" s="145"/>
      <c r="E13" s="145"/>
      <c r="F13" s="145"/>
      <c r="G13" s="145"/>
    </row>
    <row r="14" spans="1:13" s="122" customFormat="1" ht="19.95" customHeight="1">
      <c r="A14" s="143" t="s">
        <v>190</v>
      </c>
      <c r="B14" s="144"/>
      <c r="C14" s="145"/>
      <c r="D14" s="145"/>
      <c r="E14" s="145"/>
      <c r="F14" s="145" t="s">
        <v>308</v>
      </c>
      <c r="G14" s="145"/>
    </row>
    <row r="15" spans="1:13" s="122" customFormat="1" ht="19.95" customHeight="1">
      <c r="A15" s="147" t="s">
        <v>310</v>
      </c>
      <c r="B15" s="144"/>
      <c r="C15" s="145"/>
      <c r="D15" s="145"/>
      <c r="E15" s="145"/>
      <c r="F15" s="145" t="s">
        <v>308</v>
      </c>
      <c r="G15" s="145"/>
    </row>
    <row r="16" spans="1:13" s="121" customFormat="1" ht="19.95" customHeight="1">
      <c r="A16" s="146" t="s">
        <v>311</v>
      </c>
      <c r="B16" s="148"/>
      <c r="C16" s="149"/>
      <c r="D16" s="149"/>
      <c r="E16" s="149"/>
      <c r="F16" s="150">
        <f>SUM(B16:E16)</f>
        <v>0</v>
      </c>
      <c r="G16" s="151"/>
    </row>
    <row r="17" spans="1:7" s="121" customFormat="1" ht="19.95" customHeight="1">
      <c r="A17" s="146" t="s">
        <v>312</v>
      </c>
      <c r="B17" s="152"/>
      <c r="C17" s="149"/>
      <c r="D17" s="149"/>
      <c r="E17" s="149"/>
      <c r="F17" s="145" t="s">
        <v>308</v>
      </c>
      <c r="G17" s="151"/>
    </row>
    <row r="18" spans="1:7" s="121" customFormat="1" ht="19.95" customHeight="1">
      <c r="A18" s="147" t="s">
        <v>313</v>
      </c>
      <c r="B18" s="153"/>
      <c r="C18" s="149"/>
      <c r="D18" s="149"/>
      <c r="E18" s="149"/>
      <c r="F18" s="150">
        <f>SUM(B18:E18)</f>
        <v>0</v>
      </c>
      <c r="G18" s="151"/>
    </row>
    <row r="19" spans="1:7" s="121" customFormat="1" ht="19.95" customHeight="1">
      <c r="A19" s="147" t="s">
        <v>314</v>
      </c>
      <c r="B19" s="152"/>
      <c r="C19" s="149"/>
      <c r="D19" s="149"/>
      <c r="E19" s="149"/>
      <c r="F19" s="150">
        <f t="shared" ref="F19:F20" si="0">SUM(B19:E19)</f>
        <v>0</v>
      </c>
      <c r="G19" s="151"/>
    </row>
    <row r="20" spans="1:7" s="121" customFormat="1" ht="19.95" customHeight="1">
      <c r="A20" s="147" t="s">
        <v>315</v>
      </c>
      <c r="B20" s="154">
        <f>B18-B16-B19</f>
        <v>0</v>
      </c>
      <c r="C20" s="154">
        <f t="shared" ref="C20:E20" si="1">C18-C16-C19</f>
        <v>0</v>
      </c>
      <c r="D20" s="154">
        <f t="shared" si="1"/>
        <v>0</v>
      </c>
      <c r="E20" s="154">
        <f t="shared" si="1"/>
        <v>0</v>
      </c>
      <c r="F20" s="150">
        <f t="shared" si="0"/>
        <v>0</v>
      </c>
      <c r="G20" s="151"/>
    </row>
    <row r="21" spans="1:7" s="121" customFormat="1" ht="19.95" customHeight="1">
      <c r="A21" s="146" t="s">
        <v>316</v>
      </c>
      <c r="B21" s="155"/>
      <c r="C21" s="149"/>
      <c r="D21" s="149"/>
      <c r="E21" s="149"/>
      <c r="F21" s="145" t="s">
        <v>308</v>
      </c>
      <c r="G21" s="151"/>
    </row>
    <row r="22" spans="1:7" s="121" customFormat="1" ht="19.95" customHeight="1">
      <c r="A22" s="146" t="s">
        <v>317</v>
      </c>
      <c r="B22" s="155"/>
      <c r="C22" s="149"/>
      <c r="D22" s="149"/>
      <c r="E22" s="149"/>
      <c r="F22" s="145" t="s">
        <v>308</v>
      </c>
      <c r="G22" s="151"/>
    </row>
    <row r="23" spans="1:7" s="121" customFormat="1" ht="19.95" customHeight="1">
      <c r="A23" s="146" t="s">
        <v>318</v>
      </c>
      <c r="B23" s="134">
        <f>IFERROR(IF(B21=0,0,IF(AND(B21&lt;$B$9,B22&gt;$D$9),VALUE(DATEDIF($B$9,$D$9,"d")+1),IF(AND(B21&lt;$B$9,B22&lt;=$D$9),VALUE(DATEDIF($B$9,B22,"d")+1),IF(AND(B21&gt;=$B$9,B22&gt;$D$9),VALUE(DATEDIF(B21,$D$9,"d")+1),IF(AND(B21&gt;=$B$9,B22&lt;=$D$9),VALUE(DATEDIF(B21,B22,"d")+1),))))),0)</f>
        <v>0</v>
      </c>
      <c r="C23" s="134">
        <f>IF(C21=0,0,IF(AND(C21&lt;$B$9,C22&gt;$D$9),VALUE(DATEDIF($B$9,$D$9,"d")),IF(AND(C21&lt;$B$9,C22&lt;=$D$9),VALUE(DATEDIF($B$9,C22,"d")+1),IF(AND(C21&gt;=$B$9,C22&gt;$D$9),VALUE(DATEDIF(C21,$D$9,"d")),IF(AND(C21&gt;=$B$9,C22&lt;=$D$9),VALUE(DATEDIF(C21,C22,"d")+1),)))))</f>
        <v>0</v>
      </c>
      <c r="D23" s="134">
        <f>IF(D21=0,0,IF(AND(D21&lt;$B$9,D22&gt;$D$9),VALUE(DATEDIF($B$9,$D$9,"d")),IF(AND(D21&lt;$B$9,D22&lt;=$D$9),VALUE(DATEDIF($B$9,D22,"d")+1),IF(AND(D21&gt;=$B$9,D22&gt;$D$9),VALUE(DATEDIF(D21,$D$9,"d")),IF(AND(D21&gt;=$B$9,D22&lt;=$D$9),VALUE(DATEDIF(D21,D22,"d")+1),)))))</f>
        <v>0</v>
      </c>
      <c r="E23" s="134">
        <f>IF(I2=0,0,IF(AND(I2&lt;$B$9,E22&gt;$D$9),VALUE(DATEDIF($B$9,$D$9,"d")),IF(AND(I2&lt;$B$9,E22&lt;=$D$9),VALUE(DATEDIF($B$9,E22,"d")+1),IF(AND(I2&gt;=$B$9,E22&gt;$D$9),VALUE(DATEDIF(I2,$D$9,"d")),IF(AND(I2&gt;=$B$9,E22&lt;=$D$9),VALUE(DATEDIF(I2,E22,"d")+1),)))))</f>
        <v>0</v>
      </c>
      <c r="F23" s="145" t="s">
        <v>308</v>
      </c>
      <c r="G23" s="151"/>
    </row>
    <row r="24" spans="1:7" s="121" customFormat="1" ht="19.95" customHeight="1">
      <c r="A24" s="146" t="s">
        <v>319</v>
      </c>
      <c r="B24" s="156">
        <f>B32</f>
        <v>0</v>
      </c>
      <c r="C24" s="134">
        <f>C32</f>
        <v>0</v>
      </c>
      <c r="D24" s="134">
        <f>D32</f>
        <v>0</v>
      </c>
      <c r="E24" s="134">
        <f>E32</f>
        <v>0</v>
      </c>
      <c r="F24" s="145" t="s">
        <v>308</v>
      </c>
      <c r="G24" s="151"/>
    </row>
    <row r="25" spans="1:7" s="121" customFormat="1" ht="19.95" customHeight="1">
      <c r="A25" s="146" t="s">
        <v>320</v>
      </c>
      <c r="B25" s="154">
        <f>B16*B17/365*B23</f>
        <v>0</v>
      </c>
      <c r="C25" s="157">
        <f>C16*C17/365*C23</f>
        <v>0</v>
      </c>
      <c r="D25" s="157">
        <f>D16*D17/365*D23</f>
        <v>0</v>
      </c>
      <c r="E25" s="157">
        <f>E16*E17/365*E23</f>
        <v>0</v>
      </c>
      <c r="F25" s="150">
        <f>SUM(B25:E25)</f>
        <v>0</v>
      </c>
      <c r="G25" s="151" t="s">
        <v>321</v>
      </c>
    </row>
    <row r="26" spans="1:7" s="121" customFormat="1" ht="19.95" customHeight="1">
      <c r="A26" s="146" t="s">
        <v>322</v>
      </c>
      <c r="B26" s="154">
        <f>B18-B19</f>
        <v>0</v>
      </c>
      <c r="C26" s="154">
        <f t="shared" ref="C26:E26" si="2">C18-C19</f>
        <v>0</v>
      </c>
      <c r="D26" s="154">
        <f t="shared" si="2"/>
        <v>0</v>
      </c>
      <c r="E26" s="154">
        <f t="shared" si="2"/>
        <v>0</v>
      </c>
      <c r="F26" s="150">
        <f>SUM(B26:E26)</f>
        <v>0</v>
      </c>
      <c r="G26" s="151"/>
    </row>
    <row r="27" spans="1:7" s="121" customFormat="1" ht="19.95" customHeight="1">
      <c r="A27" s="146" t="s">
        <v>323</v>
      </c>
      <c r="B27" s="154">
        <f>B26-B29</f>
        <v>0</v>
      </c>
      <c r="C27" s="157">
        <f t="shared" ref="C27:F27" si="3">C26-C29</f>
        <v>0</v>
      </c>
      <c r="D27" s="157">
        <f t="shared" si="3"/>
        <v>0</v>
      </c>
      <c r="E27" s="157">
        <f t="shared" si="3"/>
        <v>0</v>
      </c>
      <c r="F27" s="157">
        <f t="shared" si="3"/>
        <v>0</v>
      </c>
      <c r="G27" s="151"/>
    </row>
    <row r="28" spans="1:7" s="121" customFormat="1" ht="19.95" customHeight="1">
      <c r="A28" s="158" t="s">
        <v>324</v>
      </c>
      <c r="B28" s="159">
        <f>B26*B24/365*B23</f>
        <v>0</v>
      </c>
      <c r="C28" s="160"/>
      <c r="D28" s="160"/>
      <c r="E28" s="160"/>
      <c r="F28" s="161">
        <f>SUM(B28:E28)</f>
        <v>0</v>
      </c>
      <c r="G28" s="162" t="s">
        <v>325</v>
      </c>
    </row>
    <row r="29" spans="1:7" s="121" customFormat="1" ht="19.95" customHeight="1">
      <c r="A29" s="146" t="s">
        <v>326</v>
      </c>
      <c r="B29" s="154">
        <f>B25-B28</f>
        <v>0</v>
      </c>
      <c r="C29" s="157">
        <f>C25-C28</f>
        <v>0</v>
      </c>
      <c r="D29" s="157">
        <f>D25-D28</f>
        <v>0</v>
      </c>
      <c r="E29" s="157">
        <f>E25-E28</f>
        <v>0</v>
      </c>
      <c r="F29" s="157">
        <f>F25-F28</f>
        <v>0</v>
      </c>
      <c r="G29" s="151"/>
    </row>
    <row r="30" spans="1:7" s="121" customFormat="1" ht="19.95" customHeight="1">
      <c r="A30" s="381" t="s">
        <v>327</v>
      </c>
      <c r="B30" s="154">
        <f>B29</f>
        <v>0</v>
      </c>
      <c r="C30" s="157">
        <f t="shared" ref="C30:F30" si="4">C29</f>
        <v>0</v>
      </c>
      <c r="D30" s="157">
        <f t="shared" si="4"/>
        <v>0</v>
      </c>
      <c r="E30" s="157">
        <f t="shared" si="4"/>
        <v>0</v>
      </c>
      <c r="F30" s="157">
        <f t="shared" si="4"/>
        <v>0</v>
      </c>
      <c r="G30" s="151"/>
    </row>
    <row r="31" spans="1:7" s="121" customFormat="1" ht="19.95" customHeight="1">
      <c r="A31" s="382" t="s">
        <v>328</v>
      </c>
      <c r="B31" s="163"/>
      <c r="C31" s="164"/>
      <c r="D31" s="164"/>
      <c r="E31" s="164"/>
      <c r="F31" s="165"/>
      <c r="G31" s="166"/>
    </row>
    <row r="32" spans="1:7" s="121" customFormat="1" ht="19.95" customHeight="1">
      <c r="A32" s="146" t="s">
        <v>329</v>
      </c>
      <c r="B32" s="114">
        <f>IF(B39=0,0,B33+(B36-B33)*(B39-B34)/(B37-B34))</f>
        <v>0</v>
      </c>
      <c r="C32" s="157">
        <f>IF(C39=0,0,C33+(C36-C33)*(C39-C34)/(C37-C34))</f>
        <v>0</v>
      </c>
      <c r="D32" s="157">
        <f>IF(D39=0,0,D33+(D36-D33)*(D39-D34)/(D37-D34))</f>
        <v>0</v>
      </c>
      <c r="E32" s="157">
        <f>IF(E39=0,0,E33+(E36-E33)*(E39-E34)/(E37-E34))</f>
        <v>0</v>
      </c>
      <c r="F32" s="145" t="s">
        <v>308</v>
      </c>
      <c r="G32" s="151"/>
    </row>
    <row r="33" spans="1:7" s="121" customFormat="1" ht="19.95" customHeight="1">
      <c r="A33" s="146" t="s">
        <v>330</v>
      </c>
      <c r="B33" s="167"/>
      <c r="C33" s="149"/>
      <c r="D33" s="149"/>
      <c r="E33" s="149"/>
      <c r="F33" s="145" t="s">
        <v>308</v>
      </c>
      <c r="G33" s="151"/>
    </row>
    <row r="34" spans="1:7" s="121" customFormat="1" ht="19.95" customHeight="1">
      <c r="A34" s="146" t="s">
        <v>331</v>
      </c>
      <c r="B34" s="154">
        <f>B40/(1+$B$33)^1+B41/(1+$B$33)^2+B42/(1+$B$33)^3+B43/(1+$B$33)^4+B44/(1+$B$33)^5+B16/(1+$B$33)^B45</f>
        <v>0</v>
      </c>
      <c r="C34" s="154">
        <f>C40/(1+$B$33)^1+C41/(1+$B$33)^2+C42/(1+$B$33)^3+C43/(1+$B$33)^4+C44/(1+$B$33)^5+C45/(1+$B$33)^6+C16/(1+$B$33)^C45</f>
        <v>0</v>
      </c>
      <c r="D34" s="154">
        <f>D40/(1+$B$33)^1+D41/(1+$B$33)^2+D42/(1+$B$33)^3+D43/(1+$B$33)^4+D44/(1+$B$33)^5+D45/(1+$B$33)^6+D16/(1+$B$33)^D45</f>
        <v>0</v>
      </c>
      <c r="E34" s="154">
        <f>E40/(1+$B$33)^1+E41/(1+$B$33)^2+E42/(1+$B$33)^3+E43/(1+$B$33)^4+E44/(1+$B$33)^5+E45/(1+$B$33)^6+E16/(1+$B$33)^E45</f>
        <v>0</v>
      </c>
      <c r="F34" s="161">
        <f>SUM(B34:E34)</f>
        <v>0</v>
      </c>
      <c r="G34" s="151"/>
    </row>
    <row r="35" spans="1:7" s="121" customFormat="1" ht="19.95" customHeight="1">
      <c r="A35" s="146" t="s">
        <v>332</v>
      </c>
      <c r="B35" s="154">
        <f>IF((B34-B39)&gt;=0,(B34-B39),"利率太大")</f>
        <v>0</v>
      </c>
      <c r="C35" s="157">
        <f>IF((C34-C39)&gt;=0,(C34-C39),"利率太大")</f>
        <v>0</v>
      </c>
      <c r="D35" s="157">
        <f>IF((D34-D39)&gt;=0,(D34-D39),"利率太大")</f>
        <v>0</v>
      </c>
      <c r="E35" s="157">
        <f>IF((E34-E39)&gt;=0,(E34-E39),"利率太大")</f>
        <v>0</v>
      </c>
      <c r="F35" s="161">
        <f>SUM(B35:E35)</f>
        <v>0</v>
      </c>
      <c r="G35" s="151"/>
    </row>
    <row r="36" spans="1:7" s="121" customFormat="1" ht="19.95" customHeight="1">
      <c r="A36" s="146" t="s">
        <v>333</v>
      </c>
      <c r="B36" s="167"/>
      <c r="C36" s="149"/>
      <c r="D36" s="149"/>
      <c r="E36" s="149"/>
      <c r="F36" s="145" t="s">
        <v>308</v>
      </c>
      <c r="G36" s="151"/>
    </row>
    <row r="37" spans="1:7" s="121" customFormat="1" ht="19.95" customHeight="1">
      <c r="A37" s="146" t="s">
        <v>334</v>
      </c>
      <c r="B37" s="154">
        <f>B40/(1+$B$36)^1+B41/(1+$B$36)^2+B42/(1+$B$36)^3+B43/(1+$B$36)^4+B44/(1+$B$36)^5+B16/(1+$B$36)^B45</f>
        <v>0</v>
      </c>
      <c r="C37" s="154">
        <f>C40/(1+$B$36)^1+C41/(1+$B$36)^2+C42/(1+$B$36)^3+C43/(1+$B$36)^4+C44/(1+$B$36)^5+C45/(1+$B$36)^6+C16/(1+$B$36)^C45</f>
        <v>0</v>
      </c>
      <c r="D37" s="154">
        <f>D40/(1+$B$36)^1+D41/(1+$B$36)^2+D42/(1+$B$36)^3+D43/(1+$B$36)^4+D44/(1+$B$36)^5+D45/(1+$B$36)^6+D16/(1+$B$36)^D45</f>
        <v>0</v>
      </c>
      <c r="E37" s="154">
        <f>E40/(1+$B$36)^1+E41/(1+$B$36)^2+E42/(1+$B$36)^3+E43/(1+$B$36)^4+E44/(1+$B$36)^5+E45/(1+$B$36)^6+E16/(1+$B$36)^E45</f>
        <v>0</v>
      </c>
      <c r="F37" s="161">
        <f t="shared" ref="F37:F39" si="5">SUM(B37:E37)</f>
        <v>0</v>
      </c>
      <c r="G37" s="151"/>
    </row>
    <row r="38" spans="1:7" s="121" customFormat="1" ht="19.95" customHeight="1">
      <c r="A38" s="146" t="s">
        <v>335</v>
      </c>
      <c r="B38" s="154">
        <f>IF((B39-B37)&gt;=0,(B39-B37),"利率太小")</f>
        <v>0</v>
      </c>
      <c r="C38" s="157">
        <f>IF((C39-C37)&gt;=0,(C39-C37),"利率太小")</f>
        <v>0</v>
      </c>
      <c r="D38" s="157">
        <f>IF((D39-D37)&gt;=0,(D39-D37),"利率太小")</f>
        <v>0</v>
      </c>
      <c r="E38" s="157">
        <f>IF((E39-E37)&gt;=0,(E39-E37),"利率太小")</f>
        <v>0</v>
      </c>
      <c r="F38" s="161">
        <f t="shared" si="5"/>
        <v>0</v>
      </c>
      <c r="G38" s="151"/>
    </row>
    <row r="39" spans="1:7" s="121" customFormat="1" ht="19.95" customHeight="1">
      <c r="A39" s="146" t="s">
        <v>336</v>
      </c>
      <c r="B39" s="154">
        <f>B18-B19</f>
        <v>0</v>
      </c>
      <c r="C39" s="154">
        <f t="shared" ref="C39:E39" si="6">C18-C19</f>
        <v>0</v>
      </c>
      <c r="D39" s="154">
        <f t="shared" si="6"/>
        <v>0</v>
      </c>
      <c r="E39" s="154">
        <f t="shared" si="6"/>
        <v>0</v>
      </c>
      <c r="F39" s="161">
        <f t="shared" si="5"/>
        <v>0</v>
      </c>
      <c r="G39" s="151"/>
    </row>
    <row r="40" spans="1:7" s="121" customFormat="1" ht="19.95" customHeight="1">
      <c r="A40" s="381" t="s">
        <v>337</v>
      </c>
      <c r="B40" s="168"/>
      <c r="C40" s="149"/>
      <c r="D40" s="149"/>
      <c r="E40" s="149"/>
      <c r="F40" s="161">
        <f t="shared" ref="F40:F44" si="7">SUM(B40:E40)</f>
        <v>0</v>
      </c>
      <c r="G40" s="151"/>
    </row>
    <row r="41" spans="1:7" s="121" customFormat="1" ht="19.95" customHeight="1">
      <c r="A41" s="381" t="s">
        <v>338</v>
      </c>
      <c r="B41" s="168"/>
      <c r="C41" s="149"/>
      <c r="D41" s="149"/>
      <c r="E41" s="149"/>
      <c r="F41" s="161">
        <f t="shared" si="7"/>
        <v>0</v>
      </c>
      <c r="G41" s="151"/>
    </row>
    <row r="42" spans="1:7" s="121" customFormat="1" ht="19.95" customHeight="1">
      <c r="A42" s="381" t="s">
        <v>339</v>
      </c>
      <c r="B42" s="168"/>
      <c r="C42" s="149"/>
      <c r="D42" s="149"/>
      <c r="E42" s="149"/>
      <c r="F42" s="161">
        <f t="shared" si="7"/>
        <v>0</v>
      </c>
      <c r="G42" s="151"/>
    </row>
    <row r="43" spans="1:7" s="121" customFormat="1" ht="19.95" customHeight="1">
      <c r="A43" s="381" t="s">
        <v>340</v>
      </c>
      <c r="B43" s="168"/>
      <c r="C43" s="149"/>
      <c r="D43" s="149"/>
      <c r="E43" s="149"/>
      <c r="F43" s="161">
        <f t="shared" si="7"/>
        <v>0</v>
      </c>
      <c r="G43" s="151"/>
    </row>
    <row r="44" spans="1:7" s="121" customFormat="1" ht="19.95" customHeight="1">
      <c r="A44" s="381" t="s">
        <v>341</v>
      </c>
      <c r="B44" s="168"/>
      <c r="C44" s="149"/>
      <c r="D44" s="149"/>
      <c r="E44" s="149"/>
      <c r="F44" s="161">
        <f t="shared" si="7"/>
        <v>0</v>
      </c>
      <c r="G44" s="151"/>
    </row>
    <row r="45" spans="1:7" s="121" customFormat="1" ht="19.95" customHeight="1">
      <c r="A45" s="146" t="s">
        <v>342</v>
      </c>
      <c r="B45" s="169">
        <v>3</v>
      </c>
      <c r="C45" s="149"/>
      <c r="D45" s="149"/>
      <c r="E45" s="149"/>
      <c r="F45" s="145" t="s">
        <v>308</v>
      </c>
      <c r="G45" s="151"/>
    </row>
    <row r="46" spans="1:7" s="121" customFormat="1" ht="19.95" customHeight="1">
      <c r="A46" s="170" t="s">
        <v>257</v>
      </c>
      <c r="B46" s="120"/>
      <c r="C46" s="120"/>
      <c r="D46" s="120"/>
      <c r="E46" s="120"/>
      <c r="F46" s="120"/>
      <c r="G46" s="120"/>
    </row>
    <row r="47" spans="1:7" s="121" customFormat="1" ht="19.95" customHeight="1">
      <c r="A47" s="120"/>
      <c r="B47" s="120"/>
      <c r="C47" s="120"/>
      <c r="D47" s="120"/>
      <c r="E47" s="120"/>
      <c r="F47" s="120"/>
      <c r="G47" s="120"/>
    </row>
    <row r="48" spans="1:7" s="121" customFormat="1" ht="19.95" customHeight="1">
      <c r="A48" s="131" t="s">
        <v>343</v>
      </c>
      <c r="B48" s="120"/>
      <c r="C48" s="120"/>
      <c r="D48" s="120"/>
      <c r="E48" s="120"/>
      <c r="F48" s="120"/>
      <c r="G48" s="120"/>
    </row>
    <row r="49" spans="1:27" s="123" customFormat="1" ht="18" customHeight="1">
      <c r="A49" s="171" t="s">
        <v>213</v>
      </c>
      <c r="B49" s="171"/>
      <c r="C49" s="171"/>
      <c r="D49" s="23"/>
      <c r="E49" s="23"/>
      <c r="F49" s="23"/>
      <c r="G49" s="23"/>
      <c r="H49" s="23"/>
      <c r="I49" s="23"/>
      <c r="J49" s="23"/>
      <c r="K49" s="23"/>
      <c r="L49" s="23"/>
      <c r="M49" s="23"/>
      <c r="N49" s="23"/>
      <c r="O49" s="23"/>
      <c r="P49" s="23"/>
      <c r="Q49" s="23"/>
      <c r="R49" s="23"/>
      <c r="S49" s="23"/>
      <c r="T49" s="23"/>
      <c r="U49" s="23"/>
      <c r="AA49" s="23"/>
    </row>
    <row r="50" spans="1:27" s="124" customFormat="1" ht="19.95" customHeight="1">
      <c r="A50" s="124" t="s">
        <v>344</v>
      </c>
    </row>
    <row r="51" spans="1:27" s="124" customFormat="1" ht="19.95" customHeight="1">
      <c r="A51" s="124" t="s">
        <v>345</v>
      </c>
    </row>
    <row r="52" spans="1:27" s="124" customFormat="1" ht="19.95" customHeight="1">
      <c r="A52" s="124" t="s">
        <v>346</v>
      </c>
    </row>
    <row r="53" spans="1:27" s="124" customFormat="1" ht="19.95" customHeight="1">
      <c r="A53" s="124" t="s">
        <v>347</v>
      </c>
    </row>
    <row r="54" spans="1:27" s="124" customFormat="1" ht="19.95" customHeight="1"/>
    <row r="55" spans="1:27" s="125" customFormat="1" ht="19.95" customHeight="1"/>
    <row r="56" spans="1:27" s="125" customFormat="1" ht="19.95" customHeight="1"/>
    <row r="57" spans="1:27" s="125" customFormat="1" ht="19.95" customHeight="1"/>
  </sheetData>
  <mergeCells count="4">
    <mergeCell ref="A1:G1"/>
    <mergeCell ref="A2:G2"/>
    <mergeCell ref="A6:G6"/>
    <mergeCell ref="B8:G8"/>
  </mergeCells>
  <phoneticPr fontId="86" type="noConversion"/>
  <dataValidations count="1">
    <dataValidation type="list" allowBlank="1" showInputMessage="1" showErrorMessage="1" sqref="B12:E12">
      <formula1>"到期一次还本付息,分期付息到期一次还本"</formula1>
    </dataValidation>
  </dataValidations>
  <hyperlinks>
    <hyperlink ref="G3" location="底稿目录!A1" display="=底稿目录!F11"/>
  </hyperlinks>
  <printOptions horizontalCentered="1"/>
  <pageMargins left="0.70866141732283505" right="0.70866141732283505" top="0.74803149606299202" bottom="0.74803149606299202" header="0.31496062992126" footer="0.31496062992126"/>
  <pageSetup paperSize="9" scale="74" fitToWidth="0" fitToHeight="0" orientation="portrait" blackAndWhite="1" r:id="rId1"/>
  <headerFooter alignWithMargins="0">
    <oddFooter>&amp;C&amp;P/&amp;N</oddFooter>
  </headerFooter>
  <legacy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3"/>
  <dimension ref="A1:AI27"/>
  <sheetViews>
    <sheetView view="pageBreakPreview" zoomScaleNormal="100" workbookViewId="0">
      <selection sqref="A1:L1"/>
    </sheetView>
  </sheetViews>
  <sheetFormatPr defaultColWidth="8.796875" defaultRowHeight="19.95" customHeight="1"/>
  <cols>
    <col min="1" max="1" width="14.09765625" style="47" customWidth="1"/>
    <col min="2" max="2" width="13.296875" style="47" customWidth="1"/>
    <col min="3" max="3" width="16.69921875" style="47" customWidth="1"/>
    <col min="4" max="4" width="18.3984375" style="47" customWidth="1"/>
    <col min="5" max="5" width="17.8984375" style="47" customWidth="1"/>
    <col min="6" max="6" width="16.3984375" style="47" customWidth="1"/>
    <col min="7" max="7" width="15.69921875" style="47" customWidth="1"/>
    <col min="8" max="10" width="12.69921875" style="47" customWidth="1"/>
    <col min="11" max="11" width="10.796875" style="47" customWidth="1"/>
    <col min="12" max="12" width="13.8984375" style="47" customWidth="1"/>
    <col min="13" max="13" width="15.19921875" style="47" customWidth="1"/>
    <col min="14" max="14" width="12.09765625" style="47" customWidth="1"/>
    <col min="15" max="15" width="14.796875" style="47" customWidth="1"/>
    <col min="16" max="21" width="12.09765625" style="47" customWidth="1"/>
    <col min="22" max="16384" width="8.796875" style="47"/>
  </cols>
  <sheetData>
    <row r="1" spans="1:35" s="44" customFormat="1" ht="19.95" customHeight="1">
      <c r="A1" s="474" t="s">
        <v>178</v>
      </c>
      <c r="B1" s="474"/>
      <c r="C1" s="474"/>
      <c r="D1" s="474"/>
      <c r="E1" s="474"/>
      <c r="F1" s="474"/>
      <c r="G1" s="474"/>
      <c r="H1" s="474"/>
      <c r="I1" s="474"/>
      <c r="J1" s="474"/>
      <c r="K1" s="474"/>
      <c r="L1" s="474"/>
      <c r="P1" s="47"/>
      <c r="R1" s="89"/>
      <c r="T1" s="89"/>
      <c r="U1" s="89"/>
    </row>
    <row r="2" spans="1:35" s="44" customFormat="1" ht="19.95" customHeight="1">
      <c r="A2" s="475" t="s">
        <v>23</v>
      </c>
      <c r="B2" s="475"/>
      <c r="C2" s="475"/>
      <c r="D2" s="475"/>
      <c r="E2" s="475"/>
      <c r="F2" s="475"/>
      <c r="G2" s="475"/>
      <c r="H2" s="475"/>
      <c r="I2" s="475"/>
      <c r="J2" s="475"/>
      <c r="K2" s="475"/>
      <c r="L2" s="475"/>
      <c r="P2" s="47"/>
      <c r="R2" s="48"/>
      <c r="T2" s="48"/>
      <c r="U2" s="48"/>
    </row>
    <row r="3" spans="1:35" s="2" customFormat="1" ht="19.95" customHeight="1">
      <c r="A3" s="2" t="str">
        <f>底稿目录!A2</f>
        <v>被审计单位：</v>
      </c>
      <c r="D3" s="2" t="str">
        <f>底稿目录!A4</f>
        <v>编制人：</v>
      </c>
      <c r="H3" s="2" t="str">
        <f>底稿目录!A5</f>
        <v>编制日期：</v>
      </c>
      <c r="K3" s="74" t="s">
        <v>183</v>
      </c>
      <c r="L3" s="390" t="str">
        <f>底稿目录!F12</f>
        <v>L4-7</v>
      </c>
      <c r="M3" s="116"/>
      <c r="P3" s="61"/>
      <c r="W3" s="118"/>
      <c r="X3" s="118"/>
      <c r="Y3" s="118"/>
      <c r="Z3" s="118"/>
      <c r="AA3" s="118"/>
      <c r="AB3" s="118"/>
      <c r="AC3" s="118"/>
      <c r="AD3" s="118"/>
      <c r="AE3" s="118"/>
      <c r="AF3" s="118"/>
      <c r="AG3" s="118"/>
      <c r="AH3" s="118"/>
      <c r="AI3" s="118"/>
    </row>
    <row r="4" spans="1:35" s="2" customFormat="1" ht="19.95" customHeight="1">
      <c r="A4" s="2" t="str">
        <f>底稿目录!A3</f>
        <v>截止日：202X年12月31日</v>
      </c>
      <c r="D4" s="85" t="str">
        <f>底稿目录!A6</f>
        <v>复核人：</v>
      </c>
      <c r="H4" s="23" t="str">
        <f>底稿目录!A7</f>
        <v>复核日期：</v>
      </c>
      <c r="K4" s="74" t="s">
        <v>175</v>
      </c>
      <c r="P4" s="61"/>
      <c r="W4" s="118"/>
      <c r="X4" s="118"/>
      <c r="Y4" s="118"/>
      <c r="Z4" s="118"/>
      <c r="AA4" s="118"/>
      <c r="AB4" s="118"/>
      <c r="AC4" s="118"/>
      <c r="AD4" s="118"/>
      <c r="AE4" s="118"/>
      <c r="AF4" s="118"/>
      <c r="AG4" s="118"/>
      <c r="AH4" s="118"/>
      <c r="AI4" s="118"/>
    </row>
    <row r="5" spans="1:35" s="113" customFormat="1" ht="19.95" customHeight="1">
      <c r="A5" s="50" t="s">
        <v>221</v>
      </c>
      <c r="P5" s="61"/>
      <c r="R5" s="74"/>
      <c r="W5" s="118"/>
      <c r="X5" s="118"/>
      <c r="Y5" s="118"/>
      <c r="Z5" s="118"/>
      <c r="AA5" s="118"/>
      <c r="AB5" s="118"/>
      <c r="AC5" s="118"/>
      <c r="AD5" s="118"/>
      <c r="AE5" s="118"/>
      <c r="AF5" s="118"/>
      <c r="AG5" s="118"/>
      <c r="AH5" s="118"/>
      <c r="AI5" s="118"/>
    </row>
    <row r="6" spans="1:35" s="113" customFormat="1" ht="19.95" customHeight="1">
      <c r="A6" s="521" t="s">
        <v>348</v>
      </c>
      <c r="B6" s="521"/>
      <c r="C6" s="521"/>
      <c r="D6" s="521"/>
      <c r="E6" s="521"/>
      <c r="F6" s="521"/>
      <c r="G6" s="521"/>
      <c r="H6" s="521"/>
      <c r="I6" s="521"/>
      <c r="J6" s="521"/>
      <c r="K6" s="521"/>
      <c r="L6" s="521"/>
      <c r="P6" s="61"/>
      <c r="R6" s="74"/>
      <c r="W6" s="118"/>
      <c r="X6" s="118"/>
      <c r="Y6" s="118"/>
      <c r="Z6" s="118"/>
      <c r="AA6" s="118"/>
      <c r="AB6" s="118"/>
      <c r="AC6" s="118"/>
      <c r="AD6" s="118"/>
      <c r="AE6" s="118"/>
      <c r="AF6" s="118"/>
      <c r="AG6" s="118"/>
      <c r="AH6" s="118"/>
      <c r="AI6" s="118"/>
    </row>
    <row r="7" spans="1:35" s="113" customFormat="1" ht="19.95" customHeight="1">
      <c r="A7" s="51" t="s">
        <v>349</v>
      </c>
      <c r="B7" s="10"/>
      <c r="C7" s="10"/>
      <c r="D7" s="10"/>
      <c r="E7" s="10"/>
      <c r="F7" s="10"/>
      <c r="G7" s="10"/>
      <c r="H7" s="10"/>
      <c r="I7" s="10"/>
      <c r="J7" s="10"/>
      <c r="K7" s="10"/>
      <c r="L7" s="10"/>
      <c r="P7" s="61"/>
      <c r="R7" s="74"/>
      <c r="W7" s="118"/>
      <c r="X7" s="118"/>
      <c r="Y7" s="118"/>
      <c r="Z7" s="118"/>
      <c r="AA7" s="118"/>
      <c r="AB7" s="118"/>
      <c r="AC7" s="118"/>
      <c r="AD7" s="118"/>
      <c r="AE7" s="118"/>
      <c r="AF7" s="118"/>
      <c r="AG7" s="118"/>
      <c r="AH7" s="118"/>
      <c r="AI7" s="118"/>
    </row>
    <row r="8" spans="1:35" s="113" customFormat="1" ht="19.95" customHeight="1">
      <c r="A8" s="51" t="s">
        <v>350</v>
      </c>
      <c r="B8" s="10"/>
      <c r="C8" s="10"/>
      <c r="D8" s="10"/>
      <c r="E8" s="10"/>
      <c r="F8" s="10"/>
      <c r="G8" s="10"/>
      <c r="H8" s="10"/>
      <c r="I8" s="10"/>
      <c r="J8" s="10"/>
      <c r="K8" s="10"/>
      <c r="L8" s="10"/>
      <c r="P8" s="61"/>
      <c r="R8" s="74"/>
      <c r="W8" s="118"/>
      <c r="X8" s="118"/>
      <c r="Y8" s="118"/>
      <c r="Z8" s="118"/>
      <c r="AA8" s="118"/>
      <c r="AB8" s="118"/>
      <c r="AC8" s="118"/>
      <c r="AD8" s="118"/>
      <c r="AE8" s="118"/>
      <c r="AF8" s="118"/>
      <c r="AG8" s="118"/>
      <c r="AH8" s="118"/>
      <c r="AI8" s="118"/>
    </row>
    <row r="9" spans="1:35" s="113" customFormat="1" ht="19.95" customHeight="1">
      <c r="A9" s="50" t="s">
        <v>188</v>
      </c>
      <c r="B9" s="60" t="s">
        <v>351</v>
      </c>
      <c r="C9" s="52"/>
      <c r="D9" s="52"/>
      <c r="G9" s="52"/>
      <c r="H9" s="52"/>
      <c r="I9" s="52"/>
      <c r="J9" s="52"/>
      <c r="K9" s="90"/>
      <c r="L9" s="90"/>
      <c r="M9" s="90"/>
      <c r="N9" s="90"/>
      <c r="P9" s="61"/>
      <c r="R9" s="90"/>
      <c r="W9" s="118"/>
      <c r="X9" s="118"/>
      <c r="Y9" s="118"/>
      <c r="Z9" s="118"/>
      <c r="AA9" s="118"/>
      <c r="AB9" s="118"/>
      <c r="AC9" s="118"/>
      <c r="AD9" s="118"/>
      <c r="AE9" s="118"/>
      <c r="AF9" s="118"/>
      <c r="AG9" s="118"/>
      <c r="AH9" s="118"/>
      <c r="AI9" s="118"/>
    </row>
    <row r="10" spans="1:35" s="61" customFormat="1" ht="19.95" customHeight="1">
      <c r="A10" s="66" t="s">
        <v>352</v>
      </c>
      <c r="B10" s="60"/>
      <c r="C10" s="60"/>
      <c r="E10" s="62"/>
      <c r="F10" s="62"/>
      <c r="K10" s="117"/>
      <c r="V10" s="79"/>
      <c r="W10" s="118"/>
      <c r="X10" s="118"/>
      <c r="Y10" s="118"/>
      <c r="Z10" s="118"/>
      <c r="AA10" s="118"/>
      <c r="AB10" s="118"/>
      <c r="AC10" s="118"/>
      <c r="AD10" s="118"/>
      <c r="AE10" s="118"/>
      <c r="AF10" s="118"/>
      <c r="AG10" s="118"/>
      <c r="AH10" s="118"/>
      <c r="AI10" s="118"/>
    </row>
    <row r="11" spans="1:35" s="61" customFormat="1" ht="19.95" customHeight="1">
      <c r="A11" s="92" t="s">
        <v>353</v>
      </c>
      <c r="B11" s="93">
        <f>'应付债券初始计量L4-6'!B9</f>
        <v>0</v>
      </c>
      <c r="C11" s="92" t="s">
        <v>354</v>
      </c>
      <c r="D11" s="93">
        <f>'应付债券初始计量L4-6'!D9</f>
        <v>0</v>
      </c>
      <c r="F11" s="62"/>
      <c r="K11" s="117"/>
      <c r="V11" s="79"/>
      <c r="W11" s="118"/>
      <c r="X11" s="118"/>
      <c r="Y11" s="118"/>
      <c r="Z11" s="118"/>
      <c r="AA11" s="118"/>
      <c r="AB11" s="118"/>
      <c r="AC11" s="118"/>
      <c r="AD11" s="118"/>
      <c r="AE11" s="118"/>
      <c r="AF11" s="118"/>
      <c r="AG11" s="118"/>
      <c r="AH11" s="118"/>
      <c r="AI11" s="118"/>
    </row>
    <row r="12" spans="1:35" s="107" customFormat="1" ht="28.05" customHeight="1">
      <c r="A12" s="94" t="s">
        <v>355</v>
      </c>
      <c r="B12" s="94" t="s">
        <v>356</v>
      </c>
      <c r="C12" s="94" t="s">
        <v>357</v>
      </c>
      <c r="D12" s="94" t="s">
        <v>358</v>
      </c>
      <c r="E12" s="94" t="s">
        <v>359</v>
      </c>
      <c r="F12" s="94" t="s">
        <v>193</v>
      </c>
      <c r="G12" s="94" t="s">
        <v>192</v>
      </c>
      <c r="H12" s="94" t="s">
        <v>313</v>
      </c>
      <c r="I12" s="94" t="s">
        <v>314</v>
      </c>
      <c r="J12" s="54" t="s">
        <v>315</v>
      </c>
      <c r="K12" s="102" t="s">
        <v>360</v>
      </c>
      <c r="L12" s="102" t="s">
        <v>361</v>
      </c>
      <c r="N12" s="90"/>
      <c r="P12" s="61"/>
      <c r="W12" s="118"/>
      <c r="X12" s="118"/>
      <c r="Y12" s="118"/>
      <c r="Z12" s="118"/>
      <c r="AA12" s="118"/>
      <c r="AB12" s="118"/>
      <c r="AC12" s="118"/>
      <c r="AD12" s="118"/>
      <c r="AE12" s="118"/>
      <c r="AF12" s="118"/>
      <c r="AG12" s="118"/>
      <c r="AH12" s="118"/>
      <c r="AI12" s="118"/>
    </row>
    <row r="13" spans="1:35" s="61" customFormat="1" ht="19.95" customHeight="1">
      <c r="A13" s="95"/>
      <c r="B13" s="96">
        <f>'应付债券初始计量L4-6'!B12</f>
        <v>0</v>
      </c>
      <c r="C13" s="96">
        <f>'应付债券初始计量L4-6'!B14</f>
        <v>0</v>
      </c>
      <c r="D13" s="96">
        <f>'应付债券初始计量L4-6'!B15</f>
        <v>0</v>
      </c>
      <c r="E13" s="97">
        <f>'应付债券初始计量L4-6'!B24</f>
        <v>0</v>
      </c>
      <c r="F13" s="58">
        <f>'应付债券初始计量L4-6'!B16</f>
        <v>0</v>
      </c>
      <c r="G13" s="114">
        <f>'应付债券初始计量L4-6'!B17</f>
        <v>0</v>
      </c>
      <c r="H13" s="58">
        <f>'应付债券初始计量L4-6'!B18</f>
        <v>0</v>
      </c>
      <c r="I13" s="58"/>
      <c r="J13" s="58">
        <f>H13-F13-I13</f>
        <v>0</v>
      </c>
      <c r="K13" s="103">
        <f>'应付债券初始计量L4-6'!B21</f>
        <v>0</v>
      </c>
      <c r="L13" s="103">
        <f>'应付债券初始计量L4-6'!B22</f>
        <v>0</v>
      </c>
      <c r="N13" s="90"/>
      <c r="X13" s="79"/>
      <c r="Y13" s="82"/>
      <c r="Z13" s="84"/>
      <c r="AA13" s="82"/>
      <c r="AB13" s="82"/>
      <c r="AC13" s="80"/>
      <c r="AD13" s="80"/>
      <c r="AE13" s="81"/>
      <c r="AF13" s="81"/>
      <c r="AG13" s="81"/>
      <c r="AH13" s="81"/>
    </row>
    <row r="14" spans="1:35" s="61" customFormat="1" ht="19.95" customHeight="1">
      <c r="A14" s="60"/>
      <c r="B14" s="60"/>
      <c r="C14" s="60"/>
      <c r="E14" s="62"/>
      <c r="F14" s="62"/>
      <c r="K14" s="117"/>
      <c r="V14" s="79"/>
      <c r="W14" s="82"/>
      <c r="X14" s="84"/>
      <c r="Y14" s="82"/>
      <c r="Z14" s="82"/>
      <c r="AA14" s="80"/>
      <c r="AB14" s="80"/>
      <c r="AC14" s="81"/>
      <c r="AD14" s="81"/>
      <c r="AE14" s="81"/>
      <c r="AF14" s="81"/>
    </row>
    <row r="15" spans="1:35" s="61" customFormat="1" ht="19.95" customHeight="1">
      <c r="A15" s="66" t="s">
        <v>362</v>
      </c>
      <c r="B15" s="66"/>
      <c r="C15" s="66"/>
      <c r="E15" s="62"/>
      <c r="F15" s="62"/>
      <c r="S15" s="119"/>
      <c r="V15" s="79"/>
      <c r="W15" s="82"/>
      <c r="X15" s="84"/>
      <c r="Y15" s="82"/>
      <c r="Z15" s="82"/>
      <c r="AA15" s="80"/>
      <c r="AB15" s="80"/>
      <c r="AC15" s="81"/>
      <c r="AD15" s="81"/>
      <c r="AE15" s="81"/>
      <c r="AF15" s="81"/>
    </row>
    <row r="16" spans="1:35" s="61" customFormat="1" ht="19.95" customHeight="1">
      <c r="A16" s="525" t="s">
        <v>363</v>
      </c>
      <c r="B16" s="527" t="s">
        <v>364</v>
      </c>
      <c r="C16" s="522" t="s">
        <v>365</v>
      </c>
      <c r="D16" s="523"/>
      <c r="E16" s="523"/>
      <c r="F16" s="523"/>
      <c r="G16" s="523"/>
      <c r="H16" s="523"/>
      <c r="I16" s="523"/>
      <c r="J16" s="523"/>
      <c r="K16" s="524"/>
      <c r="L16" s="529" t="s">
        <v>366</v>
      </c>
      <c r="S16" s="119"/>
      <c r="V16" s="79"/>
      <c r="W16" s="82"/>
      <c r="X16" s="84"/>
      <c r="Y16" s="82"/>
      <c r="Z16" s="82"/>
      <c r="AA16" s="80"/>
      <c r="AB16" s="80"/>
      <c r="AC16" s="81"/>
      <c r="AD16" s="81"/>
      <c r="AE16" s="81"/>
      <c r="AF16" s="81"/>
    </row>
    <row r="17" spans="1:32" s="61" customFormat="1" ht="19.95" customHeight="1">
      <c r="A17" s="526"/>
      <c r="B17" s="528"/>
      <c r="C17" s="54" t="s">
        <v>367</v>
      </c>
      <c r="D17" s="54" t="s">
        <v>368</v>
      </c>
      <c r="E17" s="54" t="s">
        <v>369</v>
      </c>
      <c r="F17" s="54" t="s">
        <v>370</v>
      </c>
      <c r="G17" s="54" t="s">
        <v>371</v>
      </c>
      <c r="H17" s="54" t="s">
        <v>372</v>
      </c>
      <c r="I17" s="54" t="s">
        <v>246</v>
      </c>
      <c r="J17" s="54" t="s">
        <v>373</v>
      </c>
      <c r="K17" s="54" t="s">
        <v>374</v>
      </c>
      <c r="L17" s="530"/>
      <c r="S17" s="119"/>
      <c r="V17" s="79"/>
      <c r="W17" s="82"/>
      <c r="X17" s="84"/>
      <c r="Y17" s="82"/>
      <c r="Z17" s="82"/>
      <c r="AA17" s="80"/>
      <c r="AB17" s="80"/>
      <c r="AC17" s="81"/>
      <c r="AD17" s="81"/>
      <c r="AE17" s="81"/>
      <c r="AF17" s="81"/>
    </row>
    <row r="18" spans="1:32" s="61" customFormat="1" ht="19.95" customHeight="1">
      <c r="A18" s="57" t="s">
        <v>375</v>
      </c>
      <c r="B18" s="99"/>
      <c r="C18" s="78">
        <f>H13-I13</f>
        <v>0</v>
      </c>
      <c r="D18" s="58">
        <f>C18*$E$13</f>
        <v>0</v>
      </c>
      <c r="E18" s="58">
        <f>$F$13*$G$13</f>
        <v>0</v>
      </c>
      <c r="F18" s="58">
        <f>C18-$F$13</f>
        <v>0</v>
      </c>
      <c r="G18" s="58">
        <f>D18-E18</f>
        <v>0</v>
      </c>
      <c r="H18" s="115" t="s">
        <v>308</v>
      </c>
      <c r="I18" s="58">
        <f>C18+D18</f>
        <v>0</v>
      </c>
      <c r="J18" s="88"/>
      <c r="K18" s="58">
        <f>I18-J18</f>
        <v>0</v>
      </c>
      <c r="L18" s="88"/>
      <c r="S18" s="119"/>
      <c r="V18" s="79"/>
      <c r="W18" s="82"/>
      <c r="X18" s="84"/>
      <c r="Y18" s="82"/>
      <c r="Z18" s="82"/>
      <c r="AA18" s="80"/>
      <c r="AB18" s="80"/>
      <c r="AC18" s="81"/>
      <c r="AD18" s="81"/>
      <c r="AE18" s="81"/>
      <c r="AF18" s="81"/>
    </row>
    <row r="19" spans="1:32" s="61" customFormat="1" ht="19.95" customHeight="1">
      <c r="A19" s="57" t="s">
        <v>376</v>
      </c>
      <c r="B19" s="99"/>
      <c r="C19" s="58">
        <f>I18</f>
        <v>0</v>
      </c>
      <c r="D19" s="58">
        <f>C19*$E$13</f>
        <v>0</v>
      </c>
      <c r="E19" s="58">
        <f>$F$13*$G$13</f>
        <v>0</v>
      </c>
      <c r="F19" s="58">
        <f>C19-$F$13</f>
        <v>0</v>
      </c>
      <c r="G19" s="58">
        <f>D19-E19</f>
        <v>0</v>
      </c>
      <c r="H19" s="115" t="s">
        <v>308</v>
      </c>
      <c r="I19" s="58">
        <f>C19+D19</f>
        <v>0</v>
      </c>
      <c r="J19" s="88"/>
      <c r="K19" s="58">
        <f t="shared" ref="K19:K20" si="0">I19-J19</f>
        <v>0</v>
      </c>
      <c r="L19" s="88"/>
      <c r="S19" s="119"/>
      <c r="V19" s="79"/>
      <c r="W19" s="82"/>
      <c r="X19" s="84"/>
      <c r="Y19" s="82"/>
      <c r="Z19" s="82"/>
      <c r="AA19" s="80"/>
      <c r="AB19" s="80"/>
      <c r="AC19" s="81"/>
      <c r="AD19" s="81"/>
      <c r="AE19" s="81"/>
      <c r="AF19" s="81"/>
    </row>
    <row r="20" spans="1:32" s="61" customFormat="1" ht="19.95" customHeight="1">
      <c r="A20" s="100" t="s">
        <v>377</v>
      </c>
      <c r="B20" s="99"/>
      <c r="C20" s="58">
        <f>I19</f>
        <v>0</v>
      </c>
      <c r="D20" s="58">
        <f>I20-C20</f>
        <v>0</v>
      </c>
      <c r="E20" s="58">
        <f>$F$13*$G$13</f>
        <v>0</v>
      </c>
      <c r="F20" s="58">
        <f>C20-$F$13</f>
        <v>0</v>
      </c>
      <c r="G20" s="58">
        <f>D20-E20</f>
        <v>0</v>
      </c>
      <c r="H20" s="115" t="s">
        <v>308</v>
      </c>
      <c r="I20" s="58">
        <f>F13+E18+E19+E20</f>
        <v>0</v>
      </c>
      <c r="J20" s="88"/>
      <c r="K20" s="58">
        <f t="shared" si="0"/>
        <v>0</v>
      </c>
      <c r="L20" s="88"/>
      <c r="S20" s="119"/>
      <c r="V20" s="79"/>
      <c r="W20" s="82"/>
      <c r="X20" s="84"/>
      <c r="Y20" s="82"/>
      <c r="Z20" s="82"/>
      <c r="AA20" s="80"/>
      <c r="AB20" s="80"/>
      <c r="AC20" s="81"/>
      <c r="AD20" s="81"/>
      <c r="AE20" s="81"/>
      <c r="AF20" s="81"/>
    </row>
    <row r="21" spans="1:32" s="61" customFormat="1" ht="19.95" customHeight="1">
      <c r="A21" s="72" t="s">
        <v>211</v>
      </c>
      <c r="B21" s="73"/>
    </row>
    <row r="22" spans="1:32" s="61" customFormat="1" ht="19.95" customHeight="1">
      <c r="A22" s="409" t="s">
        <v>488</v>
      </c>
      <c r="B22" s="73"/>
    </row>
    <row r="23" spans="1:32" s="61" customFormat="1" ht="19.95" customHeight="1">
      <c r="A23" s="72"/>
      <c r="B23" s="73"/>
    </row>
    <row r="24" spans="1:32" s="61" customFormat="1" ht="19.95" customHeight="1">
      <c r="A24" s="66"/>
      <c r="B24" s="101"/>
    </row>
    <row r="25" spans="1:32" s="61" customFormat="1" ht="19.95" customHeight="1">
      <c r="A25" s="72" t="s">
        <v>212</v>
      </c>
    </row>
    <row r="26" spans="1:32" s="61" customFormat="1" ht="19.95" customHeight="1">
      <c r="A26" s="72"/>
    </row>
    <row r="27" spans="1:32" s="61" customFormat="1" ht="19.95" customHeight="1">
      <c r="A27" s="72"/>
    </row>
  </sheetData>
  <mergeCells count="7">
    <mergeCell ref="A1:L1"/>
    <mergeCell ref="A2:L2"/>
    <mergeCell ref="A6:L6"/>
    <mergeCell ref="C16:K16"/>
    <mergeCell ref="A16:A17"/>
    <mergeCell ref="B16:B17"/>
    <mergeCell ref="L16:L17"/>
  </mergeCells>
  <phoneticPr fontId="86" type="noConversion"/>
  <hyperlinks>
    <hyperlink ref="L3" location="底稿目录!A1" display="=底稿目录!F12"/>
  </hyperlinks>
  <pageMargins left="0.70866141732283472" right="0.70866141732283472" top="0.74803149606299213" bottom="0.74803149606299213" header="0.31496062992125984" footer="0.31496062992125984"/>
  <pageSetup paperSize="9" scale="70" orientation="landscape" blackAndWhite="1" horizontalDpi="300" verticalDpi="300" r:id="rId1"/>
  <headerFooter alignWithMargins="0">
    <oddFooter>&amp;C&amp;P/&amp;N</oddFooter>
  </headerFooter>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4"/>
  <dimension ref="A1:AH26"/>
  <sheetViews>
    <sheetView view="pageBreakPreview" zoomScaleNormal="100" workbookViewId="0">
      <selection sqref="A1:L1"/>
    </sheetView>
  </sheetViews>
  <sheetFormatPr defaultColWidth="8.796875" defaultRowHeight="19.95" customHeight="1"/>
  <cols>
    <col min="1" max="1" width="14.09765625" style="47" customWidth="1"/>
    <col min="2" max="2" width="13.296875" style="47" customWidth="1"/>
    <col min="3" max="3" width="16.69921875" style="47" customWidth="1"/>
    <col min="4" max="4" width="18.3984375" style="47" customWidth="1"/>
    <col min="5" max="5" width="17.8984375" style="47" customWidth="1"/>
    <col min="6" max="6" width="16.3984375" style="47" customWidth="1"/>
    <col min="7" max="7" width="15.69921875" style="47" customWidth="1"/>
    <col min="8" max="10" width="12.69921875" style="47" customWidth="1"/>
    <col min="11" max="11" width="11.296875" style="47" customWidth="1"/>
    <col min="12" max="12" width="11.8984375" style="47" customWidth="1"/>
    <col min="13" max="13" width="15.19921875" style="47" customWidth="1"/>
    <col min="14" max="14" width="12.09765625" style="47" customWidth="1"/>
    <col min="15" max="15" width="14.796875" style="47" customWidth="1"/>
    <col min="16" max="21" width="12.09765625" style="47" customWidth="1"/>
    <col min="22" max="25" width="8.796875" style="47"/>
    <col min="26" max="26" width="10.296875" style="47" customWidth="1"/>
    <col min="27" max="16384" width="8.796875" style="47"/>
  </cols>
  <sheetData>
    <row r="1" spans="1:34" s="44" customFormat="1" ht="19.95" customHeight="1">
      <c r="A1" s="474" t="s">
        <v>178</v>
      </c>
      <c r="B1" s="474"/>
      <c r="C1" s="474"/>
      <c r="D1" s="474"/>
      <c r="E1" s="474"/>
      <c r="F1" s="474"/>
      <c r="G1" s="474"/>
      <c r="H1" s="474"/>
      <c r="I1" s="474"/>
      <c r="J1" s="474"/>
      <c r="K1" s="474"/>
      <c r="L1" s="474"/>
      <c r="P1" s="47"/>
      <c r="R1" s="89"/>
      <c r="T1" s="89"/>
      <c r="U1" s="89"/>
    </row>
    <row r="2" spans="1:34" s="44" customFormat="1" ht="19.95" customHeight="1">
      <c r="A2" s="475" t="s">
        <v>25</v>
      </c>
      <c r="B2" s="475"/>
      <c r="C2" s="475"/>
      <c r="D2" s="475"/>
      <c r="E2" s="475"/>
      <c r="F2" s="475"/>
      <c r="G2" s="475"/>
      <c r="H2" s="475"/>
      <c r="I2" s="475"/>
      <c r="J2" s="475"/>
      <c r="K2" s="475"/>
      <c r="L2" s="475"/>
      <c r="P2" s="47"/>
      <c r="R2" s="48"/>
      <c r="T2" s="48"/>
      <c r="U2" s="48"/>
      <c r="X2" s="104" t="s">
        <v>378</v>
      </c>
      <c r="Y2" s="82"/>
      <c r="Z2" s="84"/>
      <c r="AA2" s="82"/>
      <c r="AB2" s="82"/>
      <c r="AC2" s="80"/>
      <c r="AD2" s="80"/>
      <c r="AE2" s="81"/>
      <c r="AF2" s="81"/>
      <c r="AG2" s="81"/>
      <c r="AH2" s="81"/>
    </row>
    <row r="3" spans="1:34" s="2" customFormat="1" ht="19.95" customHeight="1">
      <c r="A3" s="2" t="str">
        <f>底稿目录!A2</f>
        <v>被审计单位：</v>
      </c>
      <c r="F3" s="2" t="str">
        <f>底稿目录!A4</f>
        <v>编制人：</v>
      </c>
      <c r="H3" s="2" t="str">
        <f>底稿目录!A5</f>
        <v>编制日期：</v>
      </c>
      <c r="K3" s="74" t="s">
        <v>183</v>
      </c>
      <c r="L3" s="390" t="str">
        <f>底稿目录!F13</f>
        <v>L4-7</v>
      </c>
      <c r="M3" s="36"/>
      <c r="P3" s="47"/>
      <c r="X3" s="105" t="s">
        <v>190</v>
      </c>
      <c r="Y3" s="105" t="s">
        <v>379</v>
      </c>
      <c r="Z3" s="105" t="s">
        <v>380</v>
      </c>
      <c r="AA3" s="105" t="s">
        <v>381</v>
      </c>
      <c r="AB3" s="105" t="s">
        <v>382</v>
      </c>
      <c r="AC3" s="105" t="s">
        <v>383</v>
      </c>
      <c r="AD3" s="105" t="s">
        <v>369</v>
      </c>
      <c r="AE3" s="105" t="s">
        <v>384</v>
      </c>
      <c r="AF3" s="105" t="s">
        <v>385</v>
      </c>
      <c r="AG3" s="105" t="s">
        <v>386</v>
      </c>
      <c r="AH3" s="112" t="s">
        <v>240</v>
      </c>
    </row>
    <row r="4" spans="1:34" s="2" customFormat="1" ht="19.95" customHeight="1">
      <c r="A4" s="2" t="str">
        <f>底稿目录!A3</f>
        <v>截止日：202X年12月31日</v>
      </c>
      <c r="F4" s="85" t="str">
        <f>底稿目录!A6</f>
        <v>复核人：</v>
      </c>
      <c r="H4" s="23" t="str">
        <f>底稿目录!A7</f>
        <v>复核日期：</v>
      </c>
      <c r="K4" s="74" t="s">
        <v>175</v>
      </c>
      <c r="P4" s="47"/>
      <c r="Y4" s="106"/>
      <c r="Z4" s="106"/>
      <c r="AA4" s="106"/>
      <c r="AB4" s="106"/>
      <c r="AC4" s="109">
        <f>IF(DATEDIF(AA4,AB4,"d"),DATEDIF(AA4,AB4,"d")+1,0)</f>
        <v>0</v>
      </c>
      <c r="AD4" s="109">
        <f>ROUND(Y4*Z4/365*AC4,2)</f>
        <v>0</v>
      </c>
      <c r="AE4" s="106"/>
      <c r="AF4" s="109">
        <f>AD4-AE4</f>
        <v>0</v>
      </c>
      <c r="AG4" s="106"/>
      <c r="AH4" s="106"/>
    </row>
    <row r="5" spans="1:34" s="45" customFormat="1" ht="19.95" customHeight="1">
      <c r="A5" s="50" t="s">
        <v>221</v>
      </c>
      <c r="M5" s="11"/>
      <c r="P5" s="47"/>
      <c r="R5" s="74"/>
      <c r="X5" s="106"/>
      <c r="Y5" s="106"/>
      <c r="Z5" s="106"/>
      <c r="AA5" s="106"/>
      <c r="AB5" s="106"/>
      <c r="AC5" s="109">
        <f>IF(DATEDIF(AA5,AB5,"d"),DATEDIF(AA5,AB5,"d")+1,0)</f>
        <v>0</v>
      </c>
      <c r="AD5" s="109">
        <f>ROUND(Y5*Z5/360*AC5,2)</f>
        <v>0</v>
      </c>
      <c r="AE5" s="106"/>
      <c r="AF5" s="109">
        <f>AD5-AE5</f>
        <v>0</v>
      </c>
      <c r="AG5" s="106"/>
      <c r="AH5" s="106"/>
    </row>
    <row r="6" spans="1:34" s="45" customFormat="1" ht="19.95" customHeight="1">
      <c r="A6" s="521" t="s">
        <v>348</v>
      </c>
      <c r="B6" s="521"/>
      <c r="C6" s="521"/>
      <c r="D6" s="521"/>
      <c r="E6" s="521"/>
      <c r="F6" s="521"/>
      <c r="G6" s="521"/>
      <c r="H6" s="521"/>
      <c r="I6" s="521"/>
      <c r="J6" s="521"/>
      <c r="K6" s="521"/>
      <c r="L6" s="521"/>
      <c r="M6" s="11"/>
      <c r="P6" s="47"/>
      <c r="R6" s="74"/>
      <c r="X6" s="106"/>
      <c r="Y6" s="106"/>
      <c r="Z6" s="106"/>
      <c r="AA6" s="106"/>
      <c r="AB6" s="106"/>
      <c r="AC6" s="109"/>
      <c r="AD6" s="109"/>
      <c r="AE6" s="106"/>
      <c r="AF6" s="109"/>
      <c r="AG6" s="106"/>
      <c r="AH6" s="106"/>
    </row>
    <row r="7" spans="1:34" s="45" customFormat="1" ht="19.95" customHeight="1">
      <c r="A7" s="51" t="s">
        <v>349</v>
      </c>
      <c r="B7" s="10"/>
      <c r="C7" s="10"/>
      <c r="D7" s="10"/>
      <c r="E7" s="10"/>
      <c r="F7" s="10"/>
      <c r="G7" s="10"/>
      <c r="H7" s="10"/>
      <c r="I7" s="10"/>
      <c r="J7" s="10"/>
      <c r="K7" s="10"/>
      <c r="L7" s="10"/>
      <c r="M7" s="11"/>
      <c r="P7" s="47"/>
      <c r="R7" s="74"/>
      <c r="X7" s="106"/>
      <c r="Y7" s="106"/>
      <c r="Z7" s="106"/>
      <c r="AA7" s="106"/>
      <c r="AB7" s="106"/>
      <c r="AC7" s="109"/>
      <c r="AD7" s="109"/>
      <c r="AE7" s="106"/>
      <c r="AF7" s="109"/>
      <c r="AG7" s="106"/>
      <c r="AH7" s="106"/>
    </row>
    <row r="8" spans="1:34" s="45" customFormat="1" ht="19.95" customHeight="1">
      <c r="A8" s="51" t="s">
        <v>350</v>
      </c>
      <c r="B8" s="10"/>
      <c r="C8" s="10"/>
      <c r="D8" s="10"/>
      <c r="E8" s="10"/>
      <c r="F8" s="10"/>
      <c r="G8" s="10"/>
      <c r="H8" s="10"/>
      <c r="I8" s="10"/>
      <c r="J8" s="10"/>
      <c r="K8" s="10"/>
      <c r="L8" s="10"/>
      <c r="M8" s="11"/>
      <c r="P8" s="47"/>
      <c r="R8" s="74"/>
      <c r="X8" s="106"/>
      <c r="Y8" s="106"/>
      <c r="Z8" s="106"/>
      <c r="AA8" s="106"/>
      <c r="AB8" s="106"/>
      <c r="AC8" s="109"/>
      <c r="AD8" s="109"/>
      <c r="AE8" s="106"/>
      <c r="AF8" s="109"/>
      <c r="AG8" s="106"/>
      <c r="AH8" s="106"/>
    </row>
    <row r="9" spans="1:34" s="45" customFormat="1" ht="19.95" customHeight="1">
      <c r="A9" s="50" t="s">
        <v>188</v>
      </c>
      <c r="B9" s="60" t="s">
        <v>387</v>
      </c>
      <c r="C9" s="52"/>
      <c r="D9" s="52"/>
      <c r="G9" s="52"/>
      <c r="H9" s="52"/>
      <c r="I9" s="52"/>
      <c r="J9" s="52"/>
      <c r="K9" s="90"/>
      <c r="L9" s="90"/>
      <c r="M9" s="90"/>
      <c r="N9" s="90"/>
      <c r="P9" s="47"/>
      <c r="R9" s="90"/>
      <c r="X9" s="106"/>
      <c r="Y9" s="106"/>
      <c r="Z9" s="106"/>
      <c r="AA9" s="106"/>
      <c r="AB9" s="106"/>
      <c r="AC9" s="109">
        <f>IF(DATEDIF(AA9,AB9,"d"),DATEDIF(AA9,AB9,"d")+1,0)</f>
        <v>0</v>
      </c>
      <c r="AD9" s="109">
        <f>ROUND(Y9*Z9/360*AC9,2)</f>
        <v>0</v>
      </c>
      <c r="AE9" s="106"/>
      <c r="AF9" s="109">
        <f>AD9-AE9</f>
        <v>0</v>
      </c>
      <c r="AG9" s="106"/>
      <c r="AH9" s="106"/>
    </row>
    <row r="10" spans="1:34" ht="19.95" customHeight="1">
      <c r="A10" s="66" t="s">
        <v>352</v>
      </c>
      <c r="B10" s="60"/>
      <c r="C10" s="60"/>
      <c r="D10" s="61"/>
      <c r="E10" s="62"/>
      <c r="F10" s="62"/>
      <c r="K10" s="77"/>
      <c r="N10" s="61"/>
      <c r="O10" s="61"/>
      <c r="P10" s="61"/>
      <c r="Q10" s="61"/>
      <c r="R10" s="61"/>
      <c r="S10" s="61"/>
      <c r="V10" s="79"/>
      <c r="W10" s="82"/>
      <c r="X10" s="84"/>
      <c r="Y10" s="82"/>
      <c r="Z10" s="82"/>
      <c r="AA10" s="80"/>
      <c r="AB10" s="80"/>
      <c r="AC10" s="81"/>
      <c r="AD10" s="81"/>
      <c r="AE10" s="81"/>
      <c r="AF10" s="81"/>
    </row>
    <row r="11" spans="1:34" ht="19.95" customHeight="1">
      <c r="A11" s="92" t="s">
        <v>353</v>
      </c>
      <c r="B11" s="93">
        <f>'应付债券初始计量L4-6'!B9</f>
        <v>0</v>
      </c>
      <c r="C11" s="92" t="s">
        <v>354</v>
      </c>
      <c r="D11" s="93">
        <f>'应付债券初始计量L4-6'!D9</f>
        <v>0</v>
      </c>
      <c r="F11" s="62"/>
      <c r="K11" s="77"/>
      <c r="N11" s="61"/>
      <c r="O11" s="61"/>
      <c r="P11" s="61"/>
      <c r="Q11" s="61"/>
      <c r="R11" s="61"/>
      <c r="S11" s="61"/>
      <c r="V11" s="79"/>
      <c r="W11" s="82"/>
      <c r="X11" s="84"/>
      <c r="Y11" s="82"/>
      <c r="Z11" s="82"/>
      <c r="AA11" s="80"/>
      <c r="AB11" s="80"/>
      <c r="AC11" s="81"/>
      <c r="AD11" s="81"/>
      <c r="AE11" s="81"/>
      <c r="AF11" s="81"/>
    </row>
    <row r="12" spans="1:34" s="91" customFormat="1" ht="28.05" customHeight="1">
      <c r="A12" s="94" t="s">
        <v>355</v>
      </c>
      <c r="B12" s="94" t="s">
        <v>356</v>
      </c>
      <c r="C12" s="94" t="s">
        <v>357</v>
      </c>
      <c r="D12" s="94" t="s">
        <v>358</v>
      </c>
      <c r="E12" s="94" t="s">
        <v>359</v>
      </c>
      <c r="F12" s="94" t="s">
        <v>193</v>
      </c>
      <c r="G12" s="94" t="s">
        <v>192</v>
      </c>
      <c r="H12" s="94" t="s">
        <v>313</v>
      </c>
      <c r="I12" s="94" t="s">
        <v>314</v>
      </c>
      <c r="J12" s="54" t="s">
        <v>315</v>
      </c>
      <c r="K12" s="102" t="s">
        <v>360</v>
      </c>
      <c r="L12" s="102" t="s">
        <v>361</v>
      </c>
      <c r="N12" s="90"/>
      <c r="P12" s="47"/>
      <c r="R12" s="107"/>
      <c r="X12" s="108"/>
      <c r="Y12" s="81"/>
      <c r="Z12" s="110"/>
      <c r="AA12" s="81"/>
      <c r="AB12" s="81"/>
      <c r="AC12" s="111"/>
      <c r="AD12" s="111"/>
      <c r="AE12" s="81"/>
      <c r="AF12" s="81"/>
      <c r="AG12" s="81"/>
      <c r="AH12" s="81"/>
    </row>
    <row r="13" spans="1:34" ht="19.95" customHeight="1">
      <c r="A13" s="95"/>
      <c r="B13" s="96">
        <f>'应付债券初始计量L4-6'!B12</f>
        <v>0</v>
      </c>
      <c r="C13" s="96">
        <f>'应付债券初始计量L4-6'!B14</f>
        <v>0</v>
      </c>
      <c r="D13" s="96">
        <f>'应付债券初始计量L4-6'!B15</f>
        <v>0</v>
      </c>
      <c r="E13" s="97">
        <f>'应付债券初始计量L4-6'!B24</f>
        <v>0</v>
      </c>
      <c r="F13" s="58">
        <f>'应付债券初始计量L4-6'!B16</f>
        <v>0</v>
      </c>
      <c r="G13" s="97">
        <f>'应付债券初始计量L4-6'!B17</f>
        <v>0</v>
      </c>
      <c r="H13" s="58">
        <f>'应付债券初始计量L4-6'!B18</f>
        <v>0</v>
      </c>
      <c r="I13" s="58"/>
      <c r="J13" s="58">
        <f>H13-F13-I13</f>
        <v>0</v>
      </c>
      <c r="K13" s="103">
        <f>'应付债券初始计量L4-6'!B21</f>
        <v>0</v>
      </c>
      <c r="L13" s="103">
        <f>'应付债券初始计量L4-6'!B22</f>
        <v>0</v>
      </c>
      <c r="N13" s="90"/>
      <c r="R13" s="61"/>
      <c r="X13" s="79"/>
      <c r="Y13" s="82"/>
      <c r="Z13" s="84"/>
      <c r="AA13" s="82"/>
      <c r="AB13" s="82"/>
      <c r="AC13" s="80"/>
      <c r="AD13" s="80"/>
      <c r="AE13" s="81"/>
      <c r="AF13" s="81"/>
      <c r="AG13" s="81"/>
      <c r="AH13" s="81"/>
    </row>
    <row r="14" spans="1:34" ht="19.95" customHeight="1">
      <c r="A14" s="66" t="s">
        <v>362</v>
      </c>
      <c r="B14" s="60"/>
      <c r="C14" s="60"/>
      <c r="D14" s="61"/>
      <c r="E14" s="62"/>
      <c r="F14" s="62"/>
      <c r="K14" s="77"/>
      <c r="N14" s="61"/>
      <c r="O14" s="61"/>
      <c r="P14" s="61"/>
      <c r="Q14" s="61"/>
      <c r="R14" s="61"/>
      <c r="S14" s="61"/>
      <c r="V14" s="79"/>
      <c r="W14" s="82"/>
      <c r="X14" s="84"/>
      <c r="Y14" s="82"/>
      <c r="Z14" s="82"/>
      <c r="AA14" s="80"/>
      <c r="AB14" s="80"/>
      <c r="AC14" s="81"/>
      <c r="AD14" s="81"/>
      <c r="AE14" s="81"/>
      <c r="AF14" s="81"/>
    </row>
    <row r="15" spans="1:34" ht="19.95" customHeight="1">
      <c r="A15" s="531" t="s">
        <v>363</v>
      </c>
      <c r="B15" s="531" t="s">
        <v>364</v>
      </c>
      <c r="C15" s="531" t="s">
        <v>388</v>
      </c>
      <c r="D15" s="531"/>
      <c r="E15" s="531"/>
      <c r="F15" s="531"/>
      <c r="G15" s="531"/>
      <c r="H15" s="531"/>
      <c r="I15" s="531"/>
      <c r="J15" s="531"/>
      <c r="K15" s="531"/>
      <c r="L15" s="529" t="s">
        <v>366</v>
      </c>
    </row>
    <row r="16" spans="1:34" s="46" customFormat="1" ht="19.95" customHeight="1">
      <c r="A16" s="531"/>
      <c r="B16" s="531"/>
      <c r="C16" s="54" t="s">
        <v>367</v>
      </c>
      <c r="D16" s="54" t="s">
        <v>368</v>
      </c>
      <c r="E16" s="54" t="s">
        <v>389</v>
      </c>
      <c r="F16" s="54" t="s">
        <v>371</v>
      </c>
      <c r="G16" s="54" t="s">
        <v>390</v>
      </c>
      <c r="H16" s="54" t="s">
        <v>372</v>
      </c>
      <c r="I16" s="54" t="s">
        <v>246</v>
      </c>
      <c r="J16" s="54" t="s">
        <v>373</v>
      </c>
      <c r="K16" s="54" t="s">
        <v>374</v>
      </c>
      <c r="L16" s="530"/>
    </row>
    <row r="17" spans="1:12" s="46" customFormat="1" ht="19.95" customHeight="1">
      <c r="A17" s="53" t="s">
        <v>391</v>
      </c>
      <c r="B17" s="98"/>
      <c r="C17" s="54"/>
      <c r="D17" s="54"/>
      <c r="E17" s="54"/>
      <c r="F17" s="54"/>
      <c r="G17" s="58">
        <f>C18-$F$13</f>
        <v>0</v>
      </c>
      <c r="H17" s="54"/>
      <c r="I17" s="54"/>
      <c r="J17" s="54"/>
      <c r="K17" s="54"/>
      <c r="L17" s="67"/>
    </row>
    <row r="18" spans="1:12" ht="19.95" customHeight="1">
      <c r="A18" s="57" t="s">
        <v>375</v>
      </c>
      <c r="B18" s="99"/>
      <c r="C18" s="58">
        <f>H13-I13</f>
        <v>0</v>
      </c>
      <c r="D18" s="58">
        <f>ROUND(C18*$E$13,2)</f>
        <v>0</v>
      </c>
      <c r="E18" s="58">
        <f>ROUND($F$13*$G$13,2)</f>
        <v>0</v>
      </c>
      <c r="F18" s="58">
        <f>D18-E18</f>
        <v>0</v>
      </c>
      <c r="G18" s="58">
        <f>C19-$F$13</f>
        <v>0</v>
      </c>
      <c r="H18" s="58">
        <f>E18</f>
        <v>0</v>
      </c>
      <c r="I18" s="58">
        <f>C18+D18-H18</f>
        <v>0</v>
      </c>
      <c r="J18" s="88"/>
      <c r="K18" s="58">
        <f>I18-J18</f>
        <v>0</v>
      </c>
      <c r="L18" s="88"/>
    </row>
    <row r="19" spans="1:12" ht="19.95" customHeight="1">
      <c r="A19" s="57" t="s">
        <v>376</v>
      </c>
      <c r="B19" s="95"/>
      <c r="C19" s="58">
        <f>I18</f>
        <v>0</v>
      </c>
      <c r="D19" s="58">
        <f>ROUND(C19*$E$13,2)</f>
        <v>0</v>
      </c>
      <c r="E19" s="58">
        <f>ROUND($F$13*$G$13,2)</f>
        <v>0</v>
      </c>
      <c r="F19" s="58">
        <f>D19-E19</f>
        <v>0</v>
      </c>
      <c r="G19" s="58">
        <f>C20-$F$13</f>
        <v>0</v>
      </c>
      <c r="H19" s="58">
        <f>E19</f>
        <v>0</v>
      </c>
      <c r="I19" s="58">
        <f>C19+D19-H19</f>
        <v>0</v>
      </c>
      <c r="J19" s="88"/>
      <c r="K19" s="58">
        <f t="shared" ref="K19:K20" si="0">I19-J19</f>
        <v>0</v>
      </c>
      <c r="L19" s="88"/>
    </row>
    <row r="20" spans="1:12" ht="19.95" customHeight="1">
      <c r="A20" s="100" t="s">
        <v>377</v>
      </c>
      <c r="B20" s="95"/>
      <c r="C20" s="58">
        <f>I19</f>
        <v>0</v>
      </c>
      <c r="D20" s="58">
        <f>E20+F20</f>
        <v>0</v>
      </c>
      <c r="E20" s="58">
        <f>ROUND($F$13*$G$13,2)</f>
        <v>0</v>
      </c>
      <c r="F20" s="58">
        <f>-G19</f>
        <v>0</v>
      </c>
      <c r="G20" s="58"/>
      <c r="H20" s="58">
        <f>E20</f>
        <v>0</v>
      </c>
      <c r="I20" s="58">
        <f>$F$13</f>
        <v>0</v>
      </c>
      <c r="J20" s="88"/>
      <c r="K20" s="58">
        <f t="shared" si="0"/>
        <v>0</v>
      </c>
      <c r="L20" s="88"/>
    </row>
    <row r="21" spans="1:12" ht="19.95" customHeight="1">
      <c r="A21" s="72" t="s">
        <v>211</v>
      </c>
      <c r="B21" s="73"/>
      <c r="K21" s="61"/>
      <c r="L21" s="61"/>
    </row>
    <row r="22" spans="1:12" ht="19.95" customHeight="1">
      <c r="A22" s="409" t="s">
        <v>488</v>
      </c>
      <c r="B22" s="73"/>
      <c r="K22" s="61"/>
      <c r="L22" s="61"/>
    </row>
    <row r="23" spans="1:12" ht="19.95" customHeight="1">
      <c r="A23" s="66"/>
      <c r="B23" s="101"/>
    </row>
    <row r="24" spans="1:12" ht="19.95" customHeight="1">
      <c r="A24" s="72" t="s">
        <v>212</v>
      </c>
    </row>
    <row r="25" spans="1:12" ht="19.95" customHeight="1">
      <c r="A25" s="72"/>
    </row>
    <row r="26" spans="1:12" ht="19.95" customHeight="1">
      <c r="A26" s="72"/>
    </row>
  </sheetData>
  <mergeCells count="7">
    <mergeCell ref="A1:L1"/>
    <mergeCell ref="A2:L2"/>
    <mergeCell ref="A6:L6"/>
    <mergeCell ref="C15:K15"/>
    <mergeCell ref="A15:A16"/>
    <mergeCell ref="B15:B16"/>
    <mergeCell ref="L15:L16"/>
  </mergeCells>
  <phoneticPr fontId="86" type="noConversion"/>
  <hyperlinks>
    <hyperlink ref="L3" location="底稿目录!A1" display="=底稿目录!F13"/>
  </hyperlinks>
  <pageMargins left="0.70866141732283472" right="0.70866141732283472" top="0.74803149606299213" bottom="0.74803149606299213" header="0.31496062992125984" footer="0.31496062992125984"/>
  <pageSetup paperSize="9" scale="70" orientation="landscape" blackAndWhite="1" horizontalDpi="300" verticalDpi="300" r:id="rId1"/>
  <headerFooter alignWithMargins="0">
    <oddFooter>&amp;C&amp;P/&amp;N</oddFooter>
  </headerFooter>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5"/>
  <dimension ref="A1:AB38"/>
  <sheetViews>
    <sheetView view="pageBreakPreview" zoomScaleNormal="100" workbookViewId="0">
      <selection sqref="A1:L1"/>
    </sheetView>
  </sheetViews>
  <sheetFormatPr defaultColWidth="8.796875" defaultRowHeight="19.95" customHeight="1"/>
  <cols>
    <col min="1" max="1" width="9.296875" style="47" customWidth="1"/>
    <col min="2" max="2" width="13.296875" style="47" customWidth="1"/>
    <col min="3" max="3" width="16.69921875" style="47" customWidth="1"/>
    <col min="4" max="4" width="18.3984375" style="47" customWidth="1"/>
    <col min="5" max="5" width="17.8984375" style="47" customWidth="1"/>
    <col min="6" max="6" width="16.3984375" style="47" customWidth="1"/>
    <col min="7" max="7" width="15.69921875" style="47" customWidth="1"/>
    <col min="8" max="10" width="12.69921875" style="47" customWidth="1"/>
    <col min="11" max="11" width="16.19921875" style="47" customWidth="1"/>
    <col min="12" max="12" width="8.69921875" style="47" customWidth="1"/>
    <col min="13" max="14" width="12.09765625" style="47" customWidth="1"/>
    <col min="15" max="18" width="8.796875" style="47"/>
    <col min="19" max="19" width="11.69921875" style="47" customWidth="1"/>
    <col min="20" max="16384" width="8.796875" style="47"/>
  </cols>
  <sheetData>
    <row r="1" spans="1:28" s="44" customFormat="1" ht="19.95" customHeight="1">
      <c r="A1" s="474" t="s">
        <v>178</v>
      </c>
      <c r="B1" s="474"/>
      <c r="C1" s="474"/>
      <c r="D1" s="474"/>
      <c r="E1" s="474"/>
      <c r="F1" s="474"/>
      <c r="G1" s="474"/>
      <c r="H1" s="474"/>
      <c r="I1" s="474"/>
      <c r="J1" s="474"/>
      <c r="K1" s="474"/>
      <c r="L1" s="474"/>
      <c r="M1" s="89"/>
      <c r="N1" s="89"/>
    </row>
    <row r="2" spans="1:28" s="44" customFormat="1" ht="19.95" customHeight="1">
      <c r="A2" s="475" t="s">
        <v>26</v>
      </c>
      <c r="B2" s="475"/>
      <c r="C2" s="475"/>
      <c r="D2" s="475"/>
      <c r="E2" s="475"/>
      <c r="F2" s="475"/>
      <c r="G2" s="475"/>
      <c r="H2" s="475"/>
      <c r="I2" s="475"/>
      <c r="J2" s="475"/>
      <c r="K2" s="475"/>
      <c r="L2" s="475"/>
      <c r="M2" s="48"/>
      <c r="N2" s="48"/>
    </row>
    <row r="3" spans="1:28" s="2" customFormat="1" ht="19.95" customHeight="1">
      <c r="A3" s="2" t="str">
        <f>底稿目录!A2</f>
        <v>被审计单位：</v>
      </c>
      <c r="D3" s="2" t="str">
        <f>底稿目录!A4</f>
        <v>编制人：</v>
      </c>
      <c r="H3" s="2" t="str">
        <f>底稿目录!A5</f>
        <v>编制日期：</v>
      </c>
      <c r="K3" s="74" t="s">
        <v>183</v>
      </c>
      <c r="L3" s="390" t="str">
        <f>底稿目录!F14</f>
        <v>L4-8</v>
      </c>
      <c r="M3" s="76"/>
      <c r="P3" s="44"/>
      <c r="Q3" s="44"/>
      <c r="R3" s="44"/>
      <c r="S3" s="44"/>
      <c r="T3" s="44"/>
      <c r="U3" s="44"/>
      <c r="V3" s="44"/>
      <c r="W3" s="44"/>
      <c r="X3" s="44"/>
      <c r="Y3" s="44"/>
      <c r="Z3" s="44"/>
      <c r="AA3" s="44"/>
      <c r="AB3" s="44"/>
    </row>
    <row r="4" spans="1:28" s="2" customFormat="1" ht="19.95" customHeight="1">
      <c r="A4" s="2" t="str">
        <f>底稿目录!A3</f>
        <v>截止日：202X年12月31日</v>
      </c>
      <c r="D4" s="85" t="str">
        <f>底稿目录!A6</f>
        <v>复核人：</v>
      </c>
      <c r="H4" s="23" t="str">
        <f>底稿目录!A7</f>
        <v>复核日期：</v>
      </c>
      <c r="K4" s="74" t="s">
        <v>175</v>
      </c>
      <c r="P4" s="44"/>
      <c r="Q4" s="44"/>
      <c r="R4" s="44"/>
      <c r="S4" s="44"/>
      <c r="T4" s="44"/>
      <c r="U4" s="44"/>
      <c r="V4" s="44"/>
      <c r="W4" s="44"/>
      <c r="X4" s="44"/>
      <c r="Y4" s="44"/>
      <c r="Z4" s="44"/>
      <c r="AA4" s="44"/>
      <c r="AB4" s="44"/>
    </row>
    <row r="5" spans="1:28" s="45" customFormat="1" ht="19.95" customHeight="1">
      <c r="A5" s="50" t="s">
        <v>221</v>
      </c>
      <c r="P5" s="44"/>
      <c r="Q5" s="44"/>
      <c r="R5" s="44"/>
      <c r="S5" s="44"/>
      <c r="T5" s="44"/>
      <c r="U5" s="44"/>
      <c r="V5" s="44"/>
      <c r="W5" s="44"/>
      <c r="X5" s="44"/>
      <c r="Y5" s="44"/>
      <c r="Z5" s="44"/>
      <c r="AA5" s="44"/>
      <c r="AB5" s="44"/>
    </row>
    <row r="6" spans="1:28" s="45" customFormat="1" ht="19.95" customHeight="1">
      <c r="A6" s="521" t="s">
        <v>348</v>
      </c>
      <c r="B6" s="521"/>
      <c r="C6" s="521"/>
      <c r="D6" s="521"/>
      <c r="E6" s="521"/>
      <c r="F6" s="521"/>
      <c r="G6" s="521"/>
      <c r="H6" s="521"/>
      <c r="I6" s="521"/>
      <c r="J6" s="521"/>
      <c r="K6" s="521"/>
      <c r="L6" s="521"/>
      <c r="P6" s="44"/>
      <c r="Q6" s="44"/>
      <c r="R6" s="44"/>
      <c r="S6" s="44"/>
      <c r="T6" s="44"/>
      <c r="U6" s="44"/>
      <c r="V6" s="44"/>
      <c r="W6" s="44"/>
      <c r="X6" s="44"/>
      <c r="Y6" s="44"/>
      <c r="Z6" s="44"/>
      <c r="AA6" s="44"/>
      <c r="AB6" s="44"/>
    </row>
    <row r="7" spans="1:28" s="45" customFormat="1" ht="19.95" customHeight="1">
      <c r="A7" s="51" t="s">
        <v>349</v>
      </c>
      <c r="B7" s="10"/>
      <c r="C7" s="10"/>
      <c r="D7" s="10"/>
      <c r="E7" s="10"/>
      <c r="F7" s="10"/>
      <c r="G7" s="10"/>
      <c r="H7" s="10"/>
      <c r="I7" s="10"/>
      <c r="J7" s="10"/>
      <c r="K7" s="10"/>
      <c r="L7" s="10"/>
      <c r="P7" s="44"/>
      <c r="Q7" s="44"/>
      <c r="R7" s="44"/>
      <c r="S7" s="44"/>
      <c r="T7" s="44"/>
      <c r="U7" s="44"/>
      <c r="V7" s="44"/>
      <c r="W7" s="44"/>
      <c r="X7" s="44"/>
      <c r="Y7" s="44"/>
      <c r="Z7" s="44"/>
      <c r="AA7" s="44"/>
      <c r="AB7" s="44"/>
    </row>
    <row r="8" spans="1:28" s="45" customFormat="1" ht="19.95" customHeight="1">
      <c r="A8" s="51" t="s">
        <v>350</v>
      </c>
      <c r="B8" s="10"/>
      <c r="C8" s="10"/>
      <c r="D8" s="10"/>
      <c r="E8" s="10"/>
      <c r="F8" s="10"/>
      <c r="G8" s="10"/>
      <c r="H8" s="10"/>
      <c r="I8" s="10"/>
      <c r="J8" s="10"/>
      <c r="K8" s="10"/>
      <c r="L8" s="10"/>
      <c r="P8" s="44"/>
      <c r="Q8" s="44"/>
      <c r="R8" s="44"/>
      <c r="S8" s="44"/>
      <c r="T8" s="44"/>
      <c r="U8" s="44"/>
      <c r="V8" s="44"/>
      <c r="W8" s="44"/>
      <c r="X8" s="44"/>
      <c r="Y8" s="44"/>
      <c r="Z8" s="44"/>
      <c r="AA8" s="44"/>
      <c r="AB8" s="44"/>
    </row>
    <row r="9" spans="1:28" s="45" customFormat="1" ht="19.95" customHeight="1">
      <c r="A9" s="50" t="s">
        <v>188</v>
      </c>
      <c r="B9" s="52"/>
      <c r="C9" s="52"/>
      <c r="D9" s="52"/>
      <c r="G9" s="52"/>
      <c r="H9" s="52"/>
      <c r="I9" s="52"/>
      <c r="J9" s="52"/>
      <c r="K9" s="90"/>
      <c r="L9" s="90"/>
      <c r="P9" s="44"/>
      <c r="Q9" s="44"/>
      <c r="R9" s="44"/>
      <c r="S9" s="44"/>
      <c r="T9" s="44"/>
      <c r="U9" s="44"/>
      <c r="V9" s="44"/>
      <c r="W9" s="44"/>
      <c r="X9" s="44"/>
      <c r="Y9" s="44"/>
      <c r="Z9" s="44"/>
      <c r="AA9" s="44"/>
      <c r="AB9" s="44"/>
    </row>
    <row r="10" spans="1:28" s="45" customFormat="1" ht="19.95" customHeight="1">
      <c r="A10" s="50" t="s">
        <v>392</v>
      </c>
      <c r="B10" s="52"/>
      <c r="C10" s="52"/>
      <c r="D10" s="52"/>
      <c r="F10" s="52"/>
      <c r="G10" s="52"/>
      <c r="H10" s="52"/>
      <c r="I10" s="52"/>
      <c r="J10" s="90"/>
      <c r="K10" s="90"/>
      <c r="L10" s="90"/>
      <c r="O10" s="44"/>
      <c r="P10" s="44"/>
      <c r="Q10" s="44"/>
      <c r="R10" s="44"/>
      <c r="S10" s="44"/>
      <c r="T10" s="44"/>
      <c r="U10" s="44"/>
      <c r="V10" s="44"/>
      <c r="W10" s="44"/>
      <c r="X10" s="44"/>
      <c r="Y10" s="44"/>
      <c r="Z10" s="44"/>
      <c r="AA10" s="44"/>
    </row>
    <row r="11" spans="1:28" s="45" customFormat="1" ht="19.95" customHeight="1">
      <c r="A11" s="525" t="s">
        <v>393</v>
      </c>
      <c r="B11" s="525" t="s">
        <v>190</v>
      </c>
      <c r="C11" s="525" t="s">
        <v>394</v>
      </c>
      <c r="D11" s="527" t="s">
        <v>395</v>
      </c>
      <c r="E11" s="540" t="s">
        <v>246</v>
      </c>
      <c r="F11" s="526"/>
      <c r="G11" s="526"/>
      <c r="H11" s="526"/>
      <c r="I11" s="526"/>
      <c r="J11" s="526"/>
      <c r="K11" s="90"/>
      <c r="O11" s="44"/>
      <c r="P11" s="44"/>
      <c r="Q11" s="44"/>
      <c r="R11" s="44"/>
      <c r="S11" s="44"/>
      <c r="T11" s="44"/>
      <c r="U11" s="44"/>
      <c r="V11" s="44"/>
      <c r="W11" s="44"/>
      <c r="X11" s="44"/>
      <c r="Y11" s="44"/>
      <c r="Z11" s="44"/>
      <c r="AA11" s="44"/>
    </row>
    <row r="12" spans="1:28" s="45" customFormat="1" ht="19.95" customHeight="1">
      <c r="A12" s="526"/>
      <c r="B12" s="526"/>
      <c r="C12" s="526"/>
      <c r="D12" s="528"/>
      <c r="E12" s="54" t="s">
        <v>396</v>
      </c>
      <c r="F12" s="54" t="s">
        <v>369</v>
      </c>
      <c r="G12" s="54" t="s">
        <v>397</v>
      </c>
      <c r="H12" s="54" t="s">
        <v>398</v>
      </c>
      <c r="I12" s="54" t="s">
        <v>385</v>
      </c>
      <c r="J12" s="54" t="s">
        <v>399</v>
      </c>
      <c r="K12" s="90"/>
      <c r="O12" s="44"/>
      <c r="P12" s="44"/>
      <c r="Q12" s="44"/>
      <c r="R12" s="44"/>
      <c r="S12" s="44"/>
      <c r="T12" s="44"/>
      <c r="U12" s="44"/>
      <c r="V12" s="44"/>
      <c r="W12" s="44"/>
      <c r="X12" s="44"/>
      <c r="Y12" s="44"/>
      <c r="Z12" s="44"/>
      <c r="AA12" s="44"/>
    </row>
    <row r="13" spans="1:28" s="45" customFormat="1" ht="19.95" customHeight="1">
      <c r="A13" s="410">
        <v>1</v>
      </c>
      <c r="B13" s="55"/>
      <c r="C13" s="86">
        <f>'应付债券后续计量(到期一次还本付息)L4-7'!B18</f>
        <v>0</v>
      </c>
      <c r="D13" s="57" t="str">
        <f>'应付债券后续计量(到期一次还本付息)L4-7'!A18</f>
        <v>第一期</v>
      </c>
      <c r="E13" s="58">
        <f>'应付债券后续计量(到期一次还本付息)L4-7'!K18</f>
        <v>0</v>
      </c>
      <c r="F13" s="58">
        <f>I19</f>
        <v>0</v>
      </c>
      <c r="G13" s="58">
        <f>E13+I19</f>
        <v>0</v>
      </c>
      <c r="H13" s="58">
        <f>'应付债券明细表L4-2'!AH15</f>
        <v>0</v>
      </c>
      <c r="I13" s="58">
        <f>E13-H13</f>
        <v>0</v>
      </c>
      <c r="J13" s="64" t="s">
        <v>400</v>
      </c>
      <c r="K13" s="90"/>
      <c r="O13" s="44"/>
      <c r="P13" s="44"/>
      <c r="Q13" s="44"/>
      <c r="R13" s="44"/>
      <c r="S13" s="44"/>
      <c r="T13" s="44"/>
      <c r="U13" s="44"/>
      <c r="V13" s="44"/>
      <c r="W13" s="44"/>
      <c r="X13" s="44"/>
      <c r="Y13" s="44"/>
      <c r="Z13" s="44"/>
      <c r="AA13" s="44"/>
    </row>
    <row r="14" spans="1:28" s="45" customFormat="1" ht="19.95" customHeight="1">
      <c r="A14" s="410">
        <v>2</v>
      </c>
      <c r="B14" s="55"/>
      <c r="C14" s="86"/>
      <c r="D14" s="57"/>
      <c r="E14" s="58"/>
      <c r="F14" s="58"/>
      <c r="G14" s="58"/>
      <c r="H14" s="58"/>
      <c r="I14" s="58"/>
      <c r="J14" s="64"/>
      <c r="K14" s="90"/>
      <c r="L14" s="90"/>
      <c r="O14" s="44"/>
      <c r="P14" s="44"/>
      <c r="Q14" s="44"/>
      <c r="R14" s="44"/>
      <c r="S14" s="44"/>
      <c r="T14" s="44"/>
      <c r="U14" s="44"/>
      <c r="V14" s="44"/>
      <c r="W14" s="44"/>
      <c r="X14" s="44"/>
      <c r="Y14" s="44"/>
      <c r="Z14" s="44"/>
      <c r="AA14" s="44"/>
    </row>
    <row r="15" spans="1:28" s="45" customFormat="1" ht="19.95" customHeight="1">
      <c r="A15" s="410">
        <v>3</v>
      </c>
      <c r="B15" s="59"/>
      <c r="C15" s="86"/>
      <c r="D15" s="57"/>
      <c r="E15" s="58"/>
      <c r="F15" s="58"/>
      <c r="G15" s="58"/>
      <c r="H15" s="58"/>
      <c r="I15" s="58"/>
      <c r="J15" s="64"/>
      <c r="K15" s="90"/>
      <c r="L15" s="90"/>
      <c r="O15" s="44"/>
      <c r="P15" s="44"/>
      <c r="Q15" s="44"/>
      <c r="R15" s="44"/>
      <c r="S15" s="44"/>
      <c r="T15" s="44"/>
      <c r="U15" s="44"/>
      <c r="V15" s="44"/>
      <c r="W15" s="44"/>
      <c r="X15" s="44"/>
      <c r="Y15" s="44"/>
      <c r="Z15" s="44"/>
      <c r="AA15" s="44"/>
    </row>
    <row r="16" spans="1:28" s="45" customFormat="1" ht="19.95" customHeight="1">
      <c r="A16" s="50" t="s">
        <v>401</v>
      </c>
      <c r="B16" s="52"/>
      <c r="C16" s="52"/>
      <c r="D16" s="52"/>
      <c r="F16" s="52"/>
      <c r="G16" s="52"/>
      <c r="H16" s="52"/>
      <c r="I16" s="52"/>
      <c r="J16" s="90"/>
      <c r="K16" s="90"/>
      <c r="L16" s="90"/>
      <c r="O16" s="44"/>
      <c r="P16" s="44"/>
      <c r="Q16" s="44"/>
      <c r="R16" s="44"/>
      <c r="S16" s="44"/>
      <c r="T16" s="44"/>
      <c r="U16" s="44"/>
      <c r="V16" s="44"/>
      <c r="W16" s="44"/>
      <c r="X16" s="44"/>
      <c r="Y16" s="44"/>
      <c r="Z16" s="44"/>
      <c r="AA16" s="44"/>
    </row>
    <row r="17" spans="1:27" s="45" customFormat="1" ht="19.95" customHeight="1">
      <c r="A17" s="525" t="s">
        <v>393</v>
      </c>
      <c r="B17" s="525" t="s">
        <v>190</v>
      </c>
      <c r="C17" s="522" t="s">
        <v>402</v>
      </c>
      <c r="D17" s="523"/>
      <c r="E17" s="523"/>
      <c r="F17" s="524"/>
      <c r="G17" s="540" t="s">
        <v>369</v>
      </c>
      <c r="H17" s="526"/>
      <c r="I17" s="526"/>
      <c r="J17" s="526"/>
      <c r="K17" s="526"/>
      <c r="L17" s="528"/>
      <c r="O17" s="44"/>
      <c r="P17" s="44"/>
      <c r="Q17" s="44"/>
      <c r="R17" s="44"/>
      <c r="S17" s="44"/>
      <c r="T17" s="44"/>
      <c r="U17" s="44"/>
      <c r="V17" s="44"/>
      <c r="W17" s="44"/>
      <c r="X17" s="44"/>
      <c r="Y17" s="44"/>
      <c r="Z17" s="44"/>
      <c r="AA17" s="44"/>
    </row>
    <row r="18" spans="1:27" s="45" customFormat="1" ht="19.95" customHeight="1">
      <c r="A18" s="526"/>
      <c r="B18" s="526"/>
      <c r="C18" s="54" t="s">
        <v>396</v>
      </c>
      <c r="D18" s="54" t="s">
        <v>398</v>
      </c>
      <c r="E18" s="54" t="s">
        <v>385</v>
      </c>
      <c r="F18" s="54" t="s">
        <v>399</v>
      </c>
      <c r="G18" s="54" t="s">
        <v>403</v>
      </c>
      <c r="H18" s="54" t="s">
        <v>383</v>
      </c>
      <c r="I18" s="54" t="s">
        <v>369</v>
      </c>
      <c r="J18" s="54" t="s">
        <v>398</v>
      </c>
      <c r="K18" s="54" t="s">
        <v>385</v>
      </c>
      <c r="L18" s="54" t="s">
        <v>399</v>
      </c>
      <c r="O18" s="44"/>
      <c r="P18" s="44"/>
      <c r="Q18" s="44"/>
      <c r="R18" s="44"/>
      <c r="S18" s="44"/>
      <c r="T18" s="44"/>
      <c r="U18" s="44"/>
      <c r="V18" s="44"/>
      <c r="W18" s="44"/>
      <c r="X18" s="44"/>
      <c r="Y18" s="44"/>
      <c r="Z18" s="44"/>
      <c r="AA18" s="44"/>
    </row>
    <row r="19" spans="1:27" s="45" customFormat="1" ht="19.95" customHeight="1">
      <c r="A19" s="410">
        <v>1</v>
      </c>
      <c r="B19" s="63">
        <f>B13</f>
        <v>0</v>
      </c>
      <c r="C19" s="58">
        <f>'应付债券后续计量(到期一次还本付息)L4-7'!F18</f>
        <v>0</v>
      </c>
      <c r="D19" s="58">
        <f>'应付债券明细表L4-2'!AF15</f>
        <v>0</v>
      </c>
      <c r="E19" s="58">
        <f>C19-D19</f>
        <v>0</v>
      </c>
      <c r="F19" s="64"/>
      <c r="G19" s="87" t="s">
        <v>308</v>
      </c>
      <c r="H19" s="58">
        <f>IFERROR(IF(DATEDIF('应付债券后续计量(到期一次还本付息)L4-7'!K13,MIN('应付债券后续计量(到期一次还本付息)L4-7'!L13,'应付债券后续计量(到期一次还本付息)L4-7'!D11),"d"),DATEDIF('应付债券后续计量(到期一次还本付息)L4-7'!K13,MIN('应付债券后续计量(到期一次还本付息)L4-7'!L13,'应付债券后续计量(到期一次还本付息)L4-7'!D11),"d")+1,0),0)</f>
        <v>0</v>
      </c>
      <c r="I19" s="58">
        <f>ROUND('应付债券后续计量(到期一次还本付息)L4-7'!$F$13*'应付债券后续计量(到期一次还本付息)L4-7'!$G$13/365*H19,2)</f>
        <v>0</v>
      </c>
      <c r="J19" s="58">
        <f>'应付债券明细表L4-2'!AG15</f>
        <v>0</v>
      </c>
      <c r="K19" s="58">
        <f>F13-J19</f>
        <v>0</v>
      </c>
      <c r="L19" s="64" t="s">
        <v>400</v>
      </c>
      <c r="O19" s="44"/>
      <c r="P19" s="44"/>
      <c r="Q19" s="44"/>
      <c r="R19" s="44"/>
      <c r="S19" s="44"/>
      <c r="T19" s="44"/>
      <c r="U19" s="44"/>
      <c r="V19" s="44"/>
      <c r="W19" s="44"/>
      <c r="X19" s="44"/>
      <c r="Y19" s="44"/>
      <c r="Z19" s="44"/>
      <c r="AA19" s="44"/>
    </row>
    <row r="20" spans="1:27" s="45" customFormat="1" ht="19.95" customHeight="1">
      <c r="A20" s="410">
        <v>2</v>
      </c>
      <c r="B20" s="63">
        <f>B14</f>
        <v>0</v>
      </c>
      <c r="C20" s="58"/>
      <c r="D20" s="58"/>
      <c r="E20" s="58"/>
      <c r="F20" s="64"/>
      <c r="G20" s="87"/>
      <c r="H20" s="58"/>
      <c r="I20" s="58"/>
      <c r="J20" s="58"/>
      <c r="K20" s="58"/>
      <c r="L20" s="64"/>
      <c r="O20" s="44"/>
      <c r="P20" s="44"/>
      <c r="Q20" s="44"/>
      <c r="R20" s="44"/>
      <c r="S20" s="44"/>
      <c r="T20" s="44"/>
      <c r="U20" s="44"/>
      <c r="V20" s="44"/>
      <c r="W20" s="44"/>
      <c r="X20" s="44"/>
      <c r="Y20" s="44"/>
      <c r="Z20" s="44"/>
      <c r="AA20" s="44"/>
    </row>
    <row r="21" spans="1:27" s="45" customFormat="1" ht="19.95" customHeight="1">
      <c r="A21" s="410">
        <v>3</v>
      </c>
      <c r="B21" s="63">
        <f>B15</f>
        <v>0</v>
      </c>
      <c r="C21" s="58"/>
      <c r="D21" s="58"/>
      <c r="E21" s="58"/>
      <c r="F21" s="64"/>
      <c r="G21" s="87"/>
      <c r="H21" s="58"/>
      <c r="I21" s="58"/>
      <c r="J21" s="58"/>
      <c r="K21" s="58"/>
      <c r="L21" s="64"/>
      <c r="O21" s="44"/>
      <c r="P21" s="44"/>
      <c r="Q21" s="44"/>
      <c r="R21" s="44"/>
      <c r="S21" s="44"/>
      <c r="T21" s="44"/>
      <c r="U21" s="44"/>
      <c r="V21" s="44"/>
      <c r="W21" s="44"/>
      <c r="X21" s="44"/>
      <c r="Y21" s="44"/>
      <c r="Z21" s="44"/>
      <c r="AA21" s="44"/>
    </row>
    <row r="22" spans="1:27" s="45" customFormat="1" ht="19.95" customHeight="1">
      <c r="A22" s="66" t="s">
        <v>404</v>
      </c>
      <c r="B22" s="52"/>
      <c r="C22" s="52"/>
      <c r="D22" s="52"/>
      <c r="F22" s="52"/>
      <c r="G22" s="52"/>
      <c r="H22" s="52"/>
      <c r="I22" s="52"/>
      <c r="J22" s="90"/>
      <c r="K22" s="90"/>
      <c r="L22" s="90"/>
      <c r="O22" s="44"/>
      <c r="P22" s="44"/>
      <c r="Q22" s="44"/>
      <c r="R22" s="44"/>
      <c r="S22" s="44"/>
      <c r="T22" s="44"/>
      <c r="U22" s="44"/>
      <c r="V22" s="44"/>
      <c r="W22" s="44"/>
      <c r="X22" s="44"/>
      <c r="Y22" s="44"/>
      <c r="Z22" s="44"/>
      <c r="AA22" s="44"/>
    </row>
    <row r="23" spans="1:27" s="45" customFormat="1" ht="19.95" customHeight="1">
      <c r="A23" s="525" t="s">
        <v>393</v>
      </c>
      <c r="B23" s="525" t="s">
        <v>190</v>
      </c>
      <c r="C23" s="529" t="s">
        <v>405</v>
      </c>
      <c r="D23" s="538" t="s">
        <v>371</v>
      </c>
      <c r="E23" s="535" t="s">
        <v>406</v>
      </c>
      <c r="F23" s="536"/>
      <c r="G23" s="536"/>
      <c r="H23" s="536"/>
      <c r="I23" s="537"/>
      <c r="J23" s="529" t="s">
        <v>385</v>
      </c>
      <c r="K23" s="90"/>
      <c r="L23" s="90"/>
      <c r="O23" s="44"/>
      <c r="P23" s="44"/>
      <c r="Q23" s="44"/>
      <c r="R23" s="44"/>
      <c r="S23" s="44"/>
      <c r="T23" s="44"/>
      <c r="U23" s="44"/>
      <c r="V23" s="44"/>
      <c r="W23" s="44"/>
      <c r="X23" s="44"/>
      <c r="Y23" s="44"/>
      <c r="Z23" s="44"/>
      <c r="AA23" s="44"/>
    </row>
    <row r="24" spans="1:27" s="45" customFormat="1" ht="19.95" customHeight="1">
      <c r="A24" s="526"/>
      <c r="B24" s="526"/>
      <c r="C24" s="530"/>
      <c r="D24" s="539"/>
      <c r="E24" s="68" t="s">
        <v>407</v>
      </c>
      <c r="F24" s="68" t="s">
        <v>408</v>
      </c>
      <c r="G24" s="68" t="s">
        <v>409</v>
      </c>
      <c r="H24" s="68" t="s">
        <v>410</v>
      </c>
      <c r="I24" s="68" t="s">
        <v>210</v>
      </c>
      <c r="J24" s="530"/>
      <c r="K24" s="90"/>
      <c r="L24" s="90"/>
      <c r="O24" s="44"/>
      <c r="P24" s="44"/>
      <c r="Q24" s="44"/>
      <c r="R24" s="44"/>
      <c r="S24" s="44"/>
      <c r="T24" s="44"/>
      <c r="U24" s="44"/>
      <c r="V24" s="44"/>
      <c r="W24" s="44"/>
      <c r="X24" s="44"/>
      <c r="Y24" s="44"/>
      <c r="Z24" s="44"/>
      <c r="AA24" s="44"/>
    </row>
    <row r="25" spans="1:27" s="45" customFormat="1" ht="19.95" customHeight="1">
      <c r="A25" s="532"/>
      <c r="B25" s="532"/>
      <c r="C25" s="69" t="s">
        <v>375</v>
      </c>
      <c r="D25" s="78">
        <f>'应付债券后续计量(到期一次还本付息)L4-7'!G18</f>
        <v>0</v>
      </c>
      <c r="E25" s="88"/>
      <c r="F25" s="88"/>
      <c r="G25" s="88"/>
      <c r="H25" s="88"/>
      <c r="I25" s="78">
        <f>SUM(E25:H25)</f>
        <v>0</v>
      </c>
      <c r="J25" s="78">
        <f>D25-I25</f>
        <v>0</v>
      </c>
      <c r="K25" s="90"/>
      <c r="L25" s="90"/>
      <c r="O25" s="44"/>
      <c r="P25" s="44"/>
      <c r="Q25" s="44"/>
      <c r="R25" s="44"/>
      <c r="S25" s="44"/>
      <c r="T25" s="44"/>
      <c r="U25" s="44"/>
      <c r="V25" s="44"/>
      <c r="W25" s="44"/>
      <c r="X25" s="44"/>
      <c r="Y25" s="44"/>
      <c r="Z25" s="44"/>
      <c r="AA25" s="44"/>
    </row>
    <row r="26" spans="1:27" s="45" customFormat="1" ht="19.95" customHeight="1">
      <c r="A26" s="533"/>
      <c r="B26" s="533"/>
      <c r="C26" s="69" t="s">
        <v>376</v>
      </c>
      <c r="D26" s="78">
        <f>'应付债券后续计量(到期一次还本付息)L4-7'!G19</f>
        <v>0</v>
      </c>
      <c r="E26" s="88"/>
      <c r="F26" s="88"/>
      <c r="G26" s="88"/>
      <c r="H26" s="88"/>
      <c r="I26" s="78">
        <f>SUM(E26:H26)</f>
        <v>0</v>
      </c>
      <c r="J26" s="78">
        <f t="shared" ref="J26:J27" si="0">D26-I26</f>
        <v>0</v>
      </c>
      <c r="K26" s="90"/>
      <c r="L26" s="90"/>
      <c r="O26" s="44"/>
      <c r="P26" s="44"/>
      <c r="Q26" s="44"/>
      <c r="R26" s="44"/>
      <c r="S26" s="44"/>
      <c r="T26" s="44"/>
      <c r="U26" s="44"/>
      <c r="V26" s="44"/>
      <c r="W26" s="44"/>
      <c r="X26" s="44"/>
      <c r="Y26" s="44"/>
      <c r="Z26" s="44"/>
      <c r="AA26" s="44"/>
    </row>
    <row r="27" spans="1:27" s="45" customFormat="1" ht="19.95" customHeight="1">
      <c r="A27" s="534"/>
      <c r="B27" s="534"/>
      <c r="C27" s="69" t="s">
        <v>377</v>
      </c>
      <c r="D27" s="78">
        <f>'应付债券后续计量(到期一次还本付息)L4-7'!G20</f>
        <v>0</v>
      </c>
      <c r="E27" s="88"/>
      <c r="F27" s="88"/>
      <c r="G27" s="88"/>
      <c r="H27" s="88"/>
      <c r="I27" s="78">
        <f>SUM(E27:H27)</f>
        <v>0</v>
      </c>
      <c r="J27" s="78">
        <f t="shared" si="0"/>
        <v>0</v>
      </c>
      <c r="K27" s="90"/>
      <c r="L27" s="90"/>
      <c r="O27" s="44"/>
      <c r="P27" s="44"/>
      <c r="Q27" s="44"/>
      <c r="R27" s="44"/>
      <c r="S27" s="44"/>
      <c r="T27" s="44"/>
      <c r="U27" s="44"/>
      <c r="V27" s="44"/>
      <c r="W27" s="44"/>
      <c r="X27" s="44"/>
      <c r="Y27" s="44"/>
      <c r="Z27" s="44"/>
      <c r="AA27" s="44"/>
    </row>
    <row r="28" spans="1:27" s="45" customFormat="1" ht="19.95" customHeight="1">
      <c r="A28" s="50"/>
      <c r="B28" s="52"/>
      <c r="C28" s="52"/>
      <c r="D28" s="52"/>
      <c r="F28" s="52"/>
      <c r="G28" s="52"/>
      <c r="H28" s="52"/>
      <c r="I28" s="52"/>
      <c r="J28" s="90"/>
      <c r="K28" s="90"/>
      <c r="L28" s="90"/>
      <c r="O28" s="44"/>
      <c r="P28" s="44"/>
      <c r="Q28" s="44"/>
      <c r="R28" s="44"/>
      <c r="S28" s="44"/>
      <c r="T28" s="44"/>
      <c r="U28" s="44"/>
      <c r="V28" s="44"/>
      <c r="W28" s="44"/>
      <c r="X28" s="44"/>
      <c r="Y28" s="44"/>
      <c r="Z28" s="44"/>
      <c r="AA28" s="44"/>
    </row>
    <row r="29" spans="1:27" s="45" customFormat="1" ht="19.95" customHeight="1">
      <c r="A29" s="525" t="s">
        <v>393</v>
      </c>
      <c r="B29" s="525" t="s">
        <v>190</v>
      </c>
      <c r="C29" s="529" t="s">
        <v>405</v>
      </c>
      <c r="D29" s="538" t="s">
        <v>371</v>
      </c>
      <c r="E29" s="535" t="s">
        <v>406</v>
      </c>
      <c r="F29" s="536"/>
      <c r="G29" s="536"/>
      <c r="H29" s="536"/>
      <c r="I29" s="537"/>
      <c r="J29" s="529" t="s">
        <v>385</v>
      </c>
      <c r="K29" s="90"/>
      <c r="L29" s="90"/>
      <c r="O29" s="44"/>
      <c r="P29" s="44"/>
      <c r="Q29" s="44"/>
      <c r="R29" s="44"/>
      <c r="S29" s="44"/>
      <c r="T29" s="44"/>
      <c r="U29" s="44"/>
      <c r="V29" s="44"/>
      <c r="W29" s="44"/>
      <c r="X29" s="44"/>
      <c r="Y29" s="44"/>
      <c r="Z29" s="44"/>
      <c r="AA29" s="44"/>
    </row>
    <row r="30" spans="1:27" s="45" customFormat="1" ht="19.95" customHeight="1">
      <c r="A30" s="526"/>
      <c r="B30" s="526"/>
      <c r="C30" s="530"/>
      <c r="D30" s="539"/>
      <c r="E30" s="68" t="s">
        <v>407</v>
      </c>
      <c r="F30" s="68" t="s">
        <v>408</v>
      </c>
      <c r="G30" s="68" t="s">
        <v>409</v>
      </c>
      <c r="H30" s="68" t="s">
        <v>410</v>
      </c>
      <c r="I30" s="68" t="s">
        <v>210</v>
      </c>
      <c r="J30" s="530"/>
      <c r="K30" s="90"/>
      <c r="L30" s="90"/>
      <c r="O30" s="44"/>
      <c r="P30" s="44"/>
      <c r="Q30" s="44"/>
      <c r="R30" s="44"/>
      <c r="S30" s="44"/>
      <c r="T30" s="44"/>
      <c r="U30" s="44"/>
      <c r="V30" s="44"/>
      <c r="W30" s="44"/>
      <c r="X30" s="44"/>
      <c r="Y30" s="44"/>
      <c r="Z30" s="44"/>
      <c r="AA30" s="44"/>
    </row>
    <row r="31" spans="1:27" s="45" customFormat="1" ht="19.95" customHeight="1">
      <c r="A31" s="532"/>
      <c r="B31" s="532"/>
      <c r="C31" s="69" t="s">
        <v>375</v>
      </c>
      <c r="D31" s="78"/>
      <c r="E31" s="88"/>
      <c r="F31" s="88"/>
      <c r="G31" s="88"/>
      <c r="H31" s="88"/>
      <c r="I31" s="78">
        <f>SUM(E31:H31)</f>
        <v>0</v>
      </c>
      <c r="J31" s="78">
        <f t="shared" ref="J31:J33" si="1">D31-I31</f>
        <v>0</v>
      </c>
      <c r="K31" s="90"/>
      <c r="L31" s="90"/>
      <c r="O31" s="44"/>
      <c r="P31" s="44"/>
      <c r="Q31" s="44"/>
      <c r="R31" s="44"/>
      <c r="S31" s="44"/>
      <c r="T31" s="44"/>
      <c r="U31" s="44"/>
      <c r="V31" s="44"/>
      <c r="W31" s="44"/>
      <c r="X31" s="44"/>
      <c r="Y31" s="44"/>
      <c r="Z31" s="44"/>
      <c r="AA31" s="44"/>
    </row>
    <row r="32" spans="1:27" s="45" customFormat="1" ht="19.95" customHeight="1">
      <c r="A32" s="533"/>
      <c r="B32" s="533"/>
      <c r="C32" s="69" t="s">
        <v>376</v>
      </c>
      <c r="D32" s="78"/>
      <c r="E32" s="88"/>
      <c r="F32" s="88"/>
      <c r="G32" s="88"/>
      <c r="H32" s="88"/>
      <c r="I32" s="78">
        <f>SUM(E32:H32)</f>
        <v>0</v>
      </c>
      <c r="J32" s="78">
        <f t="shared" si="1"/>
        <v>0</v>
      </c>
      <c r="K32" s="90"/>
      <c r="L32" s="90"/>
      <c r="O32" s="44"/>
      <c r="P32" s="44"/>
      <c r="Q32" s="44"/>
      <c r="R32" s="44"/>
      <c r="S32" s="44"/>
      <c r="T32" s="44"/>
      <c r="U32" s="44"/>
      <c r="V32" s="44"/>
      <c r="W32" s="44"/>
      <c r="X32" s="44"/>
      <c r="Y32" s="44"/>
      <c r="Z32" s="44"/>
      <c r="AA32" s="44"/>
    </row>
    <row r="33" spans="1:27" s="45" customFormat="1" ht="19.95" customHeight="1">
      <c r="A33" s="534"/>
      <c r="B33" s="534"/>
      <c r="C33" s="69" t="s">
        <v>377</v>
      </c>
      <c r="D33" s="78"/>
      <c r="E33" s="88"/>
      <c r="F33" s="88"/>
      <c r="G33" s="88"/>
      <c r="H33" s="88"/>
      <c r="I33" s="78">
        <f>SUM(E33:H33)</f>
        <v>0</v>
      </c>
      <c r="J33" s="78">
        <f t="shared" si="1"/>
        <v>0</v>
      </c>
      <c r="K33" s="90"/>
      <c r="L33" s="90"/>
      <c r="O33" s="44"/>
      <c r="P33" s="44"/>
      <c r="Q33" s="44"/>
      <c r="R33" s="44"/>
      <c r="S33" s="44"/>
      <c r="T33" s="44"/>
      <c r="U33" s="44"/>
      <c r="V33" s="44"/>
      <c r="W33" s="44"/>
      <c r="X33" s="44"/>
      <c r="Y33" s="44"/>
      <c r="Z33" s="44"/>
      <c r="AA33" s="44"/>
    </row>
    <row r="34" spans="1:27" ht="19.95" customHeight="1">
      <c r="A34" s="72" t="s">
        <v>211</v>
      </c>
      <c r="B34" s="73"/>
      <c r="K34" s="61"/>
      <c r="L34" s="61"/>
    </row>
    <row r="35" spans="1:27" ht="19.95" customHeight="1">
      <c r="A35" s="66"/>
      <c r="B35" s="60"/>
    </row>
    <row r="36" spans="1:27" ht="19.95" customHeight="1">
      <c r="A36" s="72" t="s">
        <v>212</v>
      </c>
    </row>
    <row r="37" spans="1:27" ht="19.95" customHeight="1">
      <c r="A37" s="72"/>
    </row>
    <row r="38" spans="1:27" ht="19.95" customHeight="1">
      <c r="A38" s="72"/>
    </row>
  </sheetData>
  <mergeCells count="28">
    <mergeCell ref="A1:L1"/>
    <mergeCell ref="A2:L2"/>
    <mergeCell ref="A6:L6"/>
    <mergeCell ref="E11:J11"/>
    <mergeCell ref="C17:F17"/>
    <mergeCell ref="G17:L17"/>
    <mergeCell ref="C11:C12"/>
    <mergeCell ref="C23:C24"/>
    <mergeCell ref="C29:C30"/>
    <mergeCell ref="D11:D12"/>
    <mergeCell ref="D23:D24"/>
    <mergeCell ref="D29:D30"/>
    <mergeCell ref="J23:J24"/>
    <mergeCell ref="J29:J30"/>
    <mergeCell ref="A31:A33"/>
    <mergeCell ref="B11:B12"/>
    <mergeCell ref="B17:B18"/>
    <mergeCell ref="B23:B24"/>
    <mergeCell ref="B25:B27"/>
    <mergeCell ref="B29:B30"/>
    <mergeCell ref="B31:B33"/>
    <mergeCell ref="E23:I23"/>
    <mergeCell ref="E29:I29"/>
    <mergeCell ref="A11:A12"/>
    <mergeCell ref="A17:A18"/>
    <mergeCell ref="A23:A24"/>
    <mergeCell ref="A25:A27"/>
    <mergeCell ref="A29:A30"/>
  </mergeCells>
  <phoneticPr fontId="86" type="noConversion"/>
  <dataValidations count="1">
    <dataValidation type="list" allowBlank="1" showInputMessage="1" showErrorMessage="1" sqref="J13 F19 L19">
      <formula1>"是,否"</formula1>
    </dataValidation>
  </dataValidations>
  <hyperlinks>
    <hyperlink ref="L3" location="底稿目录!A1" display="=底稿目录!F14"/>
  </hyperlinks>
  <pageMargins left="0.70866141732283505" right="0.70866141732283505" top="0.74803149606299202" bottom="0.74803149606299202" header="0.31496062992126" footer="0.31496062992126"/>
  <pageSetup paperSize="9" scale="70" orientation="landscape" blackAndWhite="1" horizontalDpi="300" verticalDpi="300" r:id="rId1"/>
  <headerFooter alignWithMargins="0">
    <oddFooter>&amp;C&amp;P/&amp;N</oddFooter>
  </headerFooter>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6"/>
  <dimension ref="A1:AK38"/>
  <sheetViews>
    <sheetView view="pageBreakPreview" zoomScaleNormal="100" workbookViewId="0">
      <selection sqref="A1:L1"/>
    </sheetView>
  </sheetViews>
  <sheetFormatPr defaultColWidth="8.796875" defaultRowHeight="19.95" customHeight="1"/>
  <cols>
    <col min="1" max="1" width="14.09765625" style="47" customWidth="1"/>
    <col min="2" max="2" width="13.296875" style="47" customWidth="1"/>
    <col min="3" max="3" width="11.69921875" style="47" customWidth="1"/>
    <col min="4" max="4" width="11.8984375" style="47" customWidth="1"/>
    <col min="5" max="5" width="12.69921875" style="47" customWidth="1"/>
    <col min="6" max="6" width="16.3984375" style="47" customWidth="1"/>
    <col min="7" max="7" width="14.296875" style="47" customWidth="1"/>
    <col min="8" max="11" width="12.69921875" style="47" customWidth="1"/>
    <col min="12" max="12" width="8.5" style="47" customWidth="1"/>
    <col min="13" max="13" width="16.19921875" style="47" customWidth="1"/>
    <col min="14" max="14" width="13.8984375" style="47" customWidth="1"/>
    <col min="15" max="15" width="15.19921875" style="47" customWidth="1"/>
    <col min="16" max="16" width="12.09765625" style="47" customWidth="1"/>
    <col min="17" max="17" width="14.796875" style="47" customWidth="1"/>
    <col min="18" max="23" width="12.09765625" style="47" customWidth="1"/>
    <col min="24" max="16384" width="8.796875" style="47"/>
  </cols>
  <sheetData>
    <row r="1" spans="1:37" s="44" customFormat="1" ht="19.95" customHeight="1">
      <c r="A1" s="474" t="s">
        <v>178</v>
      </c>
      <c r="B1" s="474"/>
      <c r="C1" s="474"/>
      <c r="D1" s="474"/>
      <c r="E1" s="474"/>
      <c r="F1" s="474"/>
      <c r="G1" s="474"/>
      <c r="H1" s="474"/>
      <c r="I1" s="474"/>
      <c r="J1" s="474"/>
      <c r="K1" s="474"/>
      <c r="L1" s="474"/>
      <c r="R1" s="47"/>
      <c r="T1" s="48"/>
      <c r="V1" s="48"/>
      <c r="W1" s="48"/>
    </row>
    <row r="2" spans="1:37" s="44" customFormat="1" ht="19.95" customHeight="1">
      <c r="A2" s="474" t="s">
        <v>28</v>
      </c>
      <c r="B2" s="474"/>
      <c r="C2" s="474"/>
      <c r="D2" s="474"/>
      <c r="E2" s="474"/>
      <c r="F2" s="474"/>
      <c r="G2" s="474"/>
      <c r="H2" s="474"/>
      <c r="I2" s="474"/>
      <c r="J2" s="474"/>
      <c r="K2" s="474"/>
      <c r="L2" s="474"/>
      <c r="R2" s="47"/>
      <c r="T2" s="48"/>
      <c r="V2" s="48"/>
      <c r="W2" s="48"/>
    </row>
    <row r="3" spans="1:37" s="2" customFormat="1" ht="19.95" customHeight="1">
      <c r="A3" s="2" t="str">
        <f>底稿目录!A2</f>
        <v>被审计单位：</v>
      </c>
      <c r="D3" s="6" t="str">
        <f>底稿目录!A4</f>
        <v>编制人：</v>
      </c>
      <c r="G3" s="2" t="str">
        <f>底稿目录!A5</f>
        <v>编制日期：</v>
      </c>
      <c r="K3" s="74" t="s">
        <v>183</v>
      </c>
      <c r="L3" s="390" t="str">
        <f>底稿目录!F15</f>
        <v>L4-8</v>
      </c>
      <c r="M3" s="76"/>
      <c r="R3" s="47"/>
      <c r="Y3" s="44"/>
      <c r="Z3" s="44"/>
      <c r="AA3" s="44"/>
      <c r="AB3" s="44"/>
      <c r="AC3" s="44"/>
      <c r="AD3" s="44"/>
      <c r="AE3" s="44"/>
      <c r="AF3" s="44"/>
      <c r="AG3" s="44"/>
      <c r="AH3" s="44"/>
      <c r="AI3" s="44"/>
      <c r="AJ3" s="44"/>
      <c r="AK3" s="44"/>
    </row>
    <row r="4" spans="1:37" s="2" customFormat="1" ht="19.95" customHeight="1">
      <c r="A4" s="2" t="str">
        <f>底稿目录!A3</f>
        <v>截止日：202X年12月31日</v>
      </c>
      <c r="D4" s="49" t="str">
        <f>底稿目录!A6</f>
        <v>复核人：</v>
      </c>
      <c r="G4" s="23" t="str">
        <f>底稿目录!A7</f>
        <v>复核日期：</v>
      </c>
      <c r="K4" s="74" t="s">
        <v>175</v>
      </c>
      <c r="R4" s="47"/>
      <c r="Y4" s="44"/>
      <c r="Z4" s="44"/>
      <c r="AA4" s="44"/>
      <c r="AB4" s="44"/>
      <c r="AC4" s="44"/>
      <c r="AD4" s="44"/>
      <c r="AE4" s="44"/>
      <c r="AF4" s="44"/>
      <c r="AG4" s="44"/>
      <c r="AH4" s="44"/>
      <c r="AI4" s="44"/>
      <c r="AJ4" s="44"/>
      <c r="AK4" s="44"/>
    </row>
    <row r="5" spans="1:37" s="45" customFormat="1" ht="19.95" customHeight="1">
      <c r="A5" s="50" t="s">
        <v>221</v>
      </c>
      <c r="M5" s="11"/>
      <c r="R5" s="47"/>
      <c r="T5" s="74"/>
      <c r="Y5" s="44"/>
      <c r="Z5" s="44"/>
      <c r="AA5" s="44"/>
      <c r="AB5" s="44"/>
      <c r="AC5" s="44"/>
      <c r="AD5" s="44"/>
      <c r="AE5" s="44"/>
      <c r="AF5" s="44"/>
      <c r="AG5" s="44"/>
      <c r="AH5" s="44"/>
      <c r="AI5" s="44"/>
      <c r="AJ5" s="44"/>
      <c r="AK5" s="44"/>
    </row>
    <row r="6" spans="1:37" s="45" customFormat="1" ht="19.95" customHeight="1">
      <c r="A6" s="521" t="s">
        <v>348</v>
      </c>
      <c r="B6" s="521"/>
      <c r="C6" s="521"/>
      <c r="D6" s="521"/>
      <c r="E6" s="521"/>
      <c r="F6" s="521"/>
      <c r="G6" s="521"/>
      <c r="H6" s="521"/>
      <c r="I6" s="521"/>
      <c r="J6" s="521"/>
      <c r="K6" s="521"/>
      <c r="L6" s="521"/>
      <c r="M6" s="11"/>
      <c r="R6" s="47"/>
      <c r="T6" s="74"/>
      <c r="Y6" s="44"/>
      <c r="Z6" s="44"/>
      <c r="AA6" s="44"/>
      <c r="AB6" s="44"/>
      <c r="AC6" s="44"/>
      <c r="AD6" s="44"/>
      <c r="AE6" s="44"/>
      <c r="AF6" s="44"/>
      <c r="AG6" s="44"/>
      <c r="AH6" s="44"/>
      <c r="AI6" s="44"/>
      <c r="AJ6" s="44"/>
      <c r="AK6" s="44"/>
    </row>
    <row r="7" spans="1:37" s="45" customFormat="1" ht="19.95" customHeight="1">
      <c r="A7" s="51" t="s">
        <v>349</v>
      </c>
      <c r="B7" s="10"/>
      <c r="C7" s="10"/>
      <c r="D7" s="10"/>
      <c r="E7" s="10"/>
      <c r="F7" s="10"/>
      <c r="G7" s="10"/>
      <c r="H7" s="10"/>
      <c r="I7" s="10"/>
      <c r="J7" s="10"/>
      <c r="K7" s="10"/>
      <c r="L7" s="10"/>
      <c r="M7" s="11"/>
      <c r="R7" s="47"/>
      <c r="T7" s="74"/>
      <c r="Y7" s="44"/>
      <c r="Z7" s="44"/>
      <c r="AA7" s="44"/>
      <c r="AB7" s="44"/>
      <c r="AC7" s="44"/>
      <c r="AD7" s="44"/>
      <c r="AE7" s="44"/>
      <c r="AF7" s="44"/>
      <c r="AG7" s="44"/>
      <c r="AH7" s="44"/>
      <c r="AI7" s="44"/>
      <c r="AJ7" s="44"/>
      <c r="AK7" s="44"/>
    </row>
    <row r="8" spans="1:37" s="45" customFormat="1" ht="19.95" customHeight="1">
      <c r="A8" s="51" t="s">
        <v>350</v>
      </c>
      <c r="B8" s="10"/>
      <c r="C8" s="10"/>
      <c r="D8" s="10"/>
      <c r="E8" s="10"/>
      <c r="F8" s="10"/>
      <c r="G8" s="10"/>
      <c r="H8" s="10"/>
      <c r="I8" s="10"/>
      <c r="J8" s="10"/>
      <c r="K8" s="10"/>
      <c r="L8" s="10"/>
      <c r="M8" s="11"/>
      <c r="R8" s="47"/>
      <c r="T8" s="74"/>
      <c r="Y8" s="44"/>
      <c r="Z8" s="44"/>
      <c r="AA8" s="44"/>
      <c r="AB8" s="44"/>
      <c r="AC8" s="44"/>
      <c r="AD8" s="44"/>
      <c r="AE8" s="44"/>
      <c r="AF8" s="44"/>
      <c r="AG8" s="44"/>
      <c r="AH8" s="44"/>
      <c r="AI8" s="44"/>
      <c r="AJ8" s="44"/>
      <c r="AK8" s="44"/>
    </row>
    <row r="9" spans="1:37" s="45" customFormat="1" ht="19.95" customHeight="1">
      <c r="A9" s="50" t="s">
        <v>188</v>
      </c>
      <c r="B9" s="52"/>
      <c r="C9" s="52"/>
      <c r="D9" s="52"/>
      <c r="G9" s="52"/>
      <c r="H9" s="52"/>
      <c r="I9" s="52"/>
      <c r="J9" s="52"/>
      <c r="K9" s="52"/>
      <c r="L9" s="52"/>
      <c r="Y9" s="44"/>
      <c r="Z9" s="44"/>
      <c r="AA9" s="44"/>
      <c r="AB9" s="44"/>
      <c r="AC9" s="44"/>
      <c r="AD9" s="44"/>
      <c r="AE9" s="44"/>
      <c r="AF9" s="44"/>
      <c r="AG9" s="44"/>
      <c r="AH9" s="44"/>
      <c r="AI9" s="44"/>
      <c r="AJ9" s="44"/>
      <c r="AK9" s="44"/>
    </row>
    <row r="10" spans="1:37" s="45" customFormat="1" ht="19.95" customHeight="1">
      <c r="A10" s="50" t="s">
        <v>392</v>
      </c>
      <c r="B10" s="52"/>
      <c r="C10" s="52"/>
      <c r="D10" s="52"/>
      <c r="G10" s="52"/>
      <c r="H10" s="52"/>
      <c r="I10" s="52"/>
      <c r="J10" s="52"/>
      <c r="K10" s="52"/>
      <c r="L10" s="52"/>
      <c r="Y10" s="44"/>
      <c r="Z10" s="44"/>
      <c r="AA10" s="44"/>
      <c r="AB10" s="44"/>
      <c r="AC10" s="44"/>
      <c r="AD10" s="44"/>
      <c r="AE10" s="44"/>
      <c r="AF10" s="44"/>
      <c r="AG10" s="44"/>
      <c r="AH10" s="44"/>
      <c r="AI10" s="44"/>
      <c r="AJ10" s="44"/>
      <c r="AK10" s="44"/>
    </row>
    <row r="11" spans="1:37" ht="19.95" customHeight="1">
      <c r="A11" s="531" t="s">
        <v>393</v>
      </c>
      <c r="B11" s="531" t="s">
        <v>190</v>
      </c>
      <c r="C11" s="531" t="s">
        <v>394</v>
      </c>
      <c r="D11" s="531" t="s">
        <v>395</v>
      </c>
      <c r="E11" s="531" t="s">
        <v>246</v>
      </c>
      <c r="F11" s="531"/>
      <c r="G11" s="531"/>
      <c r="H11" s="531"/>
      <c r="I11" s="531"/>
      <c r="J11" s="411"/>
      <c r="K11" s="52"/>
      <c r="L11" s="52"/>
      <c r="U11" s="61"/>
      <c r="X11" s="79"/>
      <c r="Y11" s="82"/>
      <c r="Z11" s="84"/>
      <c r="AA11" s="82"/>
      <c r="AB11" s="82"/>
      <c r="AC11" s="80"/>
      <c r="AD11" s="80"/>
      <c r="AE11" s="81"/>
      <c r="AF11" s="81"/>
      <c r="AG11" s="81"/>
      <c r="AH11" s="81"/>
    </row>
    <row r="12" spans="1:37" ht="31.5" customHeight="1">
      <c r="A12" s="531"/>
      <c r="B12" s="531"/>
      <c r="C12" s="531"/>
      <c r="D12" s="531"/>
      <c r="E12" s="54" t="s">
        <v>411</v>
      </c>
      <c r="F12" s="54" t="s">
        <v>369</v>
      </c>
      <c r="G12" s="54" t="s">
        <v>397</v>
      </c>
      <c r="H12" s="54" t="s">
        <v>398</v>
      </c>
      <c r="I12" s="54" t="s">
        <v>385</v>
      </c>
      <c r="J12" s="54" t="s">
        <v>399</v>
      </c>
      <c r="K12" s="52"/>
      <c r="L12" s="52"/>
      <c r="X12" s="79"/>
      <c r="Y12" s="82"/>
      <c r="Z12" s="84"/>
      <c r="AA12" s="82"/>
      <c r="AB12" s="82"/>
      <c r="AC12" s="80"/>
    </row>
    <row r="13" spans="1:37" s="46" customFormat="1" ht="19.95" customHeight="1">
      <c r="A13" s="410">
        <v>1</v>
      </c>
      <c r="B13" s="55"/>
      <c r="C13" s="56">
        <f>'应付债券后续计量(分期付息到期一次还本)L4-7'!B18</f>
        <v>0</v>
      </c>
      <c r="D13" s="57" t="str">
        <f>'应付债券后续计量(分期付息到期一次还本)L4-7'!A18</f>
        <v>第一期</v>
      </c>
      <c r="E13" s="58">
        <f>'应付债券后续计量(分期付息到期一次还本)L4-7'!K18</f>
        <v>0</v>
      </c>
      <c r="F13" s="58">
        <f>I19</f>
        <v>0</v>
      </c>
      <c r="G13" s="58">
        <f>E13+F13</f>
        <v>0</v>
      </c>
      <c r="H13" s="58">
        <f>'应付债券明细表L4-2'!AH15</f>
        <v>0</v>
      </c>
      <c r="I13" s="58">
        <f>G13-H13</f>
        <v>0</v>
      </c>
      <c r="J13" s="64"/>
      <c r="K13" s="52"/>
      <c r="L13" s="52"/>
      <c r="M13" s="77"/>
      <c r="N13" s="47"/>
      <c r="O13" s="47"/>
      <c r="P13" s="61"/>
      <c r="Q13" s="61"/>
      <c r="W13" s="47"/>
      <c r="X13" s="79"/>
      <c r="Y13" s="82"/>
      <c r="Z13" s="84"/>
      <c r="AA13" s="82"/>
      <c r="AB13" s="82"/>
      <c r="AC13" s="80"/>
    </row>
    <row r="14" spans="1:37" s="46" customFormat="1" ht="19.95" customHeight="1">
      <c r="A14" s="410">
        <v>2</v>
      </c>
      <c r="B14" s="55"/>
      <c r="C14" s="56"/>
      <c r="D14" s="57"/>
      <c r="E14" s="58"/>
      <c r="F14" s="58"/>
      <c r="G14" s="58"/>
      <c r="H14" s="58"/>
      <c r="I14" s="58"/>
      <c r="J14" s="59"/>
      <c r="K14" s="52"/>
      <c r="L14" s="52"/>
      <c r="M14" s="77"/>
      <c r="N14" s="47"/>
      <c r="O14" s="47"/>
      <c r="P14" s="61"/>
      <c r="Q14" s="61"/>
      <c r="W14" s="47"/>
      <c r="X14" s="79"/>
      <c r="Y14" s="82"/>
      <c r="Z14" s="84"/>
      <c r="AA14" s="82"/>
      <c r="AB14" s="82"/>
      <c r="AC14" s="80"/>
    </row>
    <row r="15" spans="1:37" ht="19.95" customHeight="1">
      <c r="A15" s="410">
        <v>3</v>
      </c>
      <c r="B15" s="59"/>
      <c r="C15" s="56"/>
      <c r="D15" s="57"/>
      <c r="E15" s="58"/>
      <c r="F15" s="58"/>
      <c r="G15" s="58"/>
      <c r="H15" s="58"/>
      <c r="I15" s="58"/>
      <c r="J15" s="59"/>
      <c r="K15" s="52"/>
      <c r="L15" s="52"/>
      <c r="M15" s="77"/>
      <c r="P15" s="61"/>
      <c r="Q15" s="61"/>
      <c r="X15" s="79"/>
      <c r="Y15" s="82"/>
      <c r="Z15" s="84"/>
      <c r="AA15" s="82"/>
      <c r="AB15" s="82"/>
      <c r="AC15" s="80"/>
    </row>
    <row r="16" spans="1:37" ht="19.95" customHeight="1">
      <c r="A16" s="50" t="s">
        <v>401</v>
      </c>
      <c r="B16" s="60"/>
      <c r="C16" s="60"/>
      <c r="D16" s="61"/>
      <c r="E16" s="62"/>
      <c r="F16" s="62"/>
      <c r="M16" s="77"/>
      <c r="P16" s="61"/>
      <c r="Q16" s="61"/>
      <c r="X16" s="79"/>
      <c r="Y16" s="82"/>
      <c r="Z16" s="84"/>
      <c r="AA16" s="82"/>
      <c r="AB16" s="82"/>
      <c r="AC16" s="80"/>
    </row>
    <row r="17" spans="1:37" ht="19.95" customHeight="1">
      <c r="A17" s="531" t="s">
        <v>393</v>
      </c>
      <c r="B17" s="531" t="s">
        <v>190</v>
      </c>
      <c r="C17" s="531" t="s">
        <v>402</v>
      </c>
      <c r="D17" s="531"/>
      <c r="E17" s="531"/>
      <c r="F17" s="531"/>
      <c r="G17" s="531" t="s">
        <v>369</v>
      </c>
      <c r="H17" s="531"/>
      <c r="I17" s="531"/>
      <c r="J17" s="531"/>
      <c r="K17" s="531"/>
      <c r="L17" s="531"/>
      <c r="M17" s="77"/>
      <c r="P17" s="61"/>
      <c r="Q17" s="61"/>
      <c r="X17" s="79"/>
      <c r="Y17" s="82"/>
      <c r="Z17" s="84"/>
      <c r="AA17" s="82"/>
      <c r="AB17" s="82"/>
      <c r="AC17" s="80"/>
    </row>
    <row r="18" spans="1:37" ht="19.95" customHeight="1">
      <c r="A18" s="531"/>
      <c r="B18" s="531"/>
      <c r="C18" s="54" t="s">
        <v>396</v>
      </c>
      <c r="D18" s="54" t="s">
        <v>398</v>
      </c>
      <c r="E18" s="54" t="s">
        <v>385</v>
      </c>
      <c r="F18" s="54" t="s">
        <v>399</v>
      </c>
      <c r="G18" s="54" t="s">
        <v>403</v>
      </c>
      <c r="H18" s="54" t="s">
        <v>383</v>
      </c>
      <c r="I18" s="54" t="s">
        <v>396</v>
      </c>
      <c r="J18" s="54" t="s">
        <v>398</v>
      </c>
      <c r="K18" s="54" t="s">
        <v>385</v>
      </c>
      <c r="L18" s="54" t="s">
        <v>399</v>
      </c>
    </row>
    <row r="19" spans="1:37" ht="19.95" customHeight="1">
      <c r="A19" s="410">
        <v>1</v>
      </c>
      <c r="B19" s="63">
        <f>B13</f>
        <v>0</v>
      </c>
      <c r="C19" s="58">
        <f>'应付债券后续计量(分期付息到期一次还本)L4-7'!G17</f>
        <v>0</v>
      </c>
      <c r="D19" s="58">
        <f>'应付债券明细表L4-2'!AF15</f>
        <v>0</v>
      </c>
      <c r="E19" s="58">
        <f>C19-D19</f>
        <v>0</v>
      </c>
      <c r="F19" s="64"/>
      <c r="G19" s="65"/>
      <c r="H19" s="58">
        <f>IFERROR(IF(DATEDIF(MAX(G19+1,'应付债券后续计量(分期付息到期一次还本)L4-7'!B11),MIN('应付债券后续计量(分期付息到期一次还本)L4-7'!L13,'应付债券后续计量(分期付息到期一次还本)L4-7'!D11),"d"),DATEDIF(MAX(G19+1,'应付债券后续计量(分期付息到期一次还本)L4-7'!B11),MIN('应付债券后续计量(分期付息到期一次还本)L4-7'!L13,'应付债券后续计量(分期付息到期一次还本)L4-7'!D11),"d")+1,0),0)</f>
        <v>0</v>
      </c>
      <c r="I19" s="58">
        <f>ROUND('应付债券后续计量(分期付息到期一次还本)L4-7'!$F$13*'应付债券后续计量(分期付息到期一次还本)L4-7'!$G$13/365*H19,2)</f>
        <v>0</v>
      </c>
      <c r="J19" s="58">
        <f>'应付债券明细表L4-2'!AG15</f>
        <v>0</v>
      </c>
      <c r="K19" s="58">
        <f>I19-J19</f>
        <v>0</v>
      </c>
      <c r="L19" s="64"/>
      <c r="W19" s="80"/>
      <c r="X19" s="81"/>
      <c r="Y19" s="81"/>
      <c r="Z19" s="81"/>
      <c r="AA19" s="81"/>
    </row>
    <row r="20" spans="1:37" ht="19.95" customHeight="1">
      <c r="A20" s="410">
        <v>2</v>
      </c>
      <c r="B20" s="63">
        <f>B14</f>
        <v>0</v>
      </c>
      <c r="C20" s="58"/>
      <c r="D20" s="58"/>
      <c r="E20" s="58"/>
      <c r="F20" s="64"/>
      <c r="G20" s="65"/>
      <c r="H20" s="58"/>
      <c r="I20" s="58"/>
      <c r="J20" s="58"/>
      <c r="K20" s="58"/>
      <c r="L20" s="64"/>
      <c r="W20" s="82"/>
      <c r="X20" s="80"/>
      <c r="Y20" s="80"/>
      <c r="Z20" s="81"/>
      <c r="AA20" s="81"/>
      <c r="AB20" s="81"/>
      <c r="AC20" s="81"/>
    </row>
    <row r="21" spans="1:37" ht="19.95" customHeight="1">
      <c r="A21" s="410">
        <v>3</v>
      </c>
      <c r="B21" s="63">
        <f>B15</f>
        <v>0</v>
      </c>
      <c r="C21" s="58"/>
      <c r="D21" s="58"/>
      <c r="E21" s="58"/>
      <c r="F21" s="64"/>
      <c r="G21" s="65"/>
      <c r="H21" s="58"/>
      <c r="I21" s="58"/>
      <c r="J21" s="58"/>
      <c r="K21" s="58"/>
      <c r="L21" s="64"/>
      <c r="Q21" s="83"/>
      <c r="R21" s="61"/>
      <c r="S21" s="61"/>
      <c r="T21" s="61"/>
      <c r="U21" s="61"/>
      <c r="V21" s="61"/>
      <c r="W21" s="61"/>
      <c r="Z21" s="79"/>
      <c r="AA21" s="82"/>
      <c r="AB21" s="84"/>
      <c r="AC21" s="82"/>
      <c r="AD21" s="82"/>
      <c r="AE21" s="80"/>
      <c r="AF21" s="80"/>
      <c r="AG21" s="81"/>
      <c r="AH21" s="81"/>
      <c r="AI21" s="81"/>
      <c r="AJ21" s="81"/>
    </row>
    <row r="22" spans="1:37" s="45" customFormat="1" ht="19.95" customHeight="1">
      <c r="A22" s="66" t="s">
        <v>404</v>
      </c>
      <c r="B22" s="66"/>
      <c r="C22" s="66"/>
      <c r="D22" s="47"/>
      <c r="E22" s="47"/>
      <c r="F22" s="62"/>
      <c r="G22" s="47"/>
      <c r="H22" s="61"/>
      <c r="I22" s="47"/>
      <c r="J22" s="47"/>
      <c r="K22" s="52"/>
      <c r="L22" s="52"/>
      <c r="Y22" s="44"/>
      <c r="Z22" s="44"/>
      <c r="AA22" s="44"/>
      <c r="AB22" s="44"/>
      <c r="AC22" s="44"/>
      <c r="AD22" s="44"/>
      <c r="AE22" s="44"/>
      <c r="AF22" s="44"/>
      <c r="AG22" s="44"/>
      <c r="AH22" s="44"/>
      <c r="AI22" s="44"/>
      <c r="AJ22" s="44"/>
      <c r="AK22" s="44"/>
    </row>
    <row r="23" spans="1:37" s="45" customFormat="1" ht="19.95" customHeight="1">
      <c r="A23" s="531" t="s">
        <v>393</v>
      </c>
      <c r="B23" s="531" t="s">
        <v>190</v>
      </c>
      <c r="C23" s="541" t="s">
        <v>405</v>
      </c>
      <c r="D23" s="531" t="s">
        <v>371</v>
      </c>
      <c r="E23" s="543" t="s">
        <v>406</v>
      </c>
      <c r="F23" s="543"/>
      <c r="G23" s="543"/>
      <c r="H23" s="543"/>
      <c r="I23" s="543"/>
      <c r="J23" s="541" t="s">
        <v>385</v>
      </c>
      <c r="K23" s="52"/>
      <c r="L23" s="52"/>
      <c r="Y23" s="44"/>
      <c r="Z23" s="44"/>
      <c r="AA23" s="44"/>
      <c r="AB23" s="44"/>
      <c r="AC23" s="44"/>
      <c r="AD23" s="44"/>
      <c r="AE23" s="44"/>
      <c r="AF23" s="44"/>
      <c r="AG23" s="44"/>
      <c r="AH23" s="44"/>
      <c r="AI23" s="44"/>
      <c r="AJ23" s="44"/>
      <c r="AK23" s="44"/>
    </row>
    <row r="24" spans="1:37" s="45" customFormat="1" ht="19.95" customHeight="1">
      <c r="A24" s="531"/>
      <c r="B24" s="531"/>
      <c r="C24" s="541"/>
      <c r="D24" s="531"/>
      <c r="E24" s="68" t="s">
        <v>407</v>
      </c>
      <c r="F24" s="68" t="s">
        <v>408</v>
      </c>
      <c r="G24" s="68" t="s">
        <v>409</v>
      </c>
      <c r="H24" s="68" t="s">
        <v>410</v>
      </c>
      <c r="I24" s="68" t="s">
        <v>210</v>
      </c>
      <c r="J24" s="541"/>
      <c r="K24" s="52"/>
      <c r="L24" s="52"/>
      <c r="Y24" s="44"/>
      <c r="Z24" s="44"/>
      <c r="AA24" s="44"/>
      <c r="AB24" s="44"/>
      <c r="AC24" s="44"/>
      <c r="AD24" s="44"/>
      <c r="AE24" s="44"/>
      <c r="AF24" s="44"/>
      <c r="AG24" s="44"/>
      <c r="AH24" s="44"/>
      <c r="AI24" s="44"/>
      <c r="AJ24" s="44"/>
      <c r="AK24" s="44"/>
    </row>
    <row r="25" spans="1:37" s="45" customFormat="1" ht="19.95" customHeight="1">
      <c r="A25" s="542"/>
      <c r="B25" s="542"/>
      <c r="C25" s="69"/>
      <c r="D25" s="70">
        <f>'应付债券后续计量(分期付息到期一次还本)L4-7'!F18</f>
        <v>0</v>
      </c>
      <c r="E25" s="71"/>
      <c r="F25" s="71"/>
      <c r="G25" s="71"/>
      <c r="H25" s="71"/>
      <c r="I25" s="78">
        <f>SUM(E25:H25)</f>
        <v>0</v>
      </c>
      <c r="J25" s="78">
        <f>D25-I25</f>
        <v>0</v>
      </c>
      <c r="K25" s="52"/>
      <c r="L25" s="52"/>
      <c r="Y25" s="44"/>
      <c r="Z25" s="44"/>
      <c r="AA25" s="44"/>
      <c r="AB25" s="44"/>
      <c r="AC25" s="44"/>
      <c r="AD25" s="44"/>
      <c r="AE25" s="44"/>
      <c r="AF25" s="44"/>
      <c r="AG25" s="44"/>
      <c r="AH25" s="44"/>
      <c r="AI25" s="44"/>
      <c r="AJ25" s="44"/>
      <c r="AK25" s="44"/>
    </row>
    <row r="26" spans="1:37" s="45" customFormat="1" ht="19.95" customHeight="1">
      <c r="A26" s="542"/>
      <c r="B26" s="542"/>
      <c r="C26" s="69"/>
      <c r="D26" s="70">
        <f>'应付债券后续计量(分期付息到期一次还本)L4-7'!F19</f>
        <v>0</v>
      </c>
      <c r="E26" s="71"/>
      <c r="F26" s="71"/>
      <c r="G26" s="71"/>
      <c r="H26" s="71"/>
      <c r="I26" s="78">
        <f>SUM(E26:H26)</f>
        <v>0</v>
      </c>
      <c r="J26" s="78">
        <f t="shared" ref="J26:J27" si="0">D26-I26</f>
        <v>0</v>
      </c>
      <c r="K26" s="52"/>
      <c r="L26" s="52"/>
      <c r="Y26" s="44"/>
      <c r="Z26" s="44"/>
      <c r="AA26" s="44"/>
      <c r="AB26" s="44"/>
      <c r="AC26" s="44"/>
      <c r="AD26" s="44"/>
      <c r="AE26" s="44"/>
      <c r="AF26" s="44"/>
      <c r="AG26" s="44"/>
      <c r="AH26" s="44"/>
      <c r="AI26" s="44"/>
      <c r="AJ26" s="44"/>
      <c r="AK26" s="44"/>
    </row>
    <row r="27" spans="1:37" s="45" customFormat="1" ht="19.95" customHeight="1">
      <c r="A27" s="542"/>
      <c r="B27" s="542"/>
      <c r="C27" s="69"/>
      <c r="D27" s="70">
        <f>'应付债券后续计量(分期付息到期一次还本)L4-7'!F20</f>
        <v>0</v>
      </c>
      <c r="E27" s="71"/>
      <c r="F27" s="71"/>
      <c r="G27" s="71"/>
      <c r="H27" s="71"/>
      <c r="I27" s="78">
        <f>SUM(E27:H27)</f>
        <v>0</v>
      </c>
      <c r="J27" s="78">
        <f t="shared" si="0"/>
        <v>0</v>
      </c>
      <c r="K27" s="52"/>
      <c r="L27" s="52"/>
      <c r="Y27" s="44"/>
      <c r="Z27" s="44"/>
      <c r="AA27" s="44"/>
      <c r="AB27" s="44"/>
      <c r="AC27" s="44"/>
      <c r="AD27" s="44"/>
      <c r="AE27" s="44"/>
      <c r="AF27" s="44"/>
      <c r="AG27" s="44"/>
      <c r="AH27" s="44"/>
      <c r="AI27" s="44"/>
      <c r="AJ27" s="44"/>
      <c r="AK27" s="44"/>
    </row>
    <row r="28" spans="1:37" s="45" customFormat="1" ht="19.95" customHeight="1">
      <c r="A28" s="50"/>
      <c r="B28" s="52"/>
      <c r="C28" s="52"/>
      <c r="D28" s="52"/>
      <c r="G28" s="52"/>
      <c r="H28" s="52"/>
      <c r="I28" s="52"/>
      <c r="J28" s="52"/>
      <c r="K28" s="52"/>
      <c r="L28" s="52"/>
      <c r="Y28" s="44"/>
      <c r="Z28" s="44"/>
      <c r="AA28" s="44"/>
      <c r="AB28" s="44"/>
      <c r="AC28" s="44"/>
      <c r="AD28" s="44"/>
      <c r="AE28" s="44"/>
      <c r="AF28" s="44"/>
      <c r="AG28" s="44"/>
      <c r="AH28" s="44"/>
      <c r="AI28" s="44"/>
      <c r="AJ28" s="44"/>
      <c r="AK28" s="44"/>
    </row>
    <row r="29" spans="1:37" s="45" customFormat="1" ht="19.95" customHeight="1">
      <c r="A29" s="531" t="s">
        <v>393</v>
      </c>
      <c r="B29" s="531" t="s">
        <v>190</v>
      </c>
      <c r="C29" s="541" t="s">
        <v>405</v>
      </c>
      <c r="D29" s="531" t="s">
        <v>371</v>
      </c>
      <c r="E29" s="543" t="s">
        <v>406</v>
      </c>
      <c r="F29" s="543"/>
      <c r="G29" s="543"/>
      <c r="H29" s="543"/>
      <c r="I29" s="543"/>
      <c r="J29" s="541" t="s">
        <v>385</v>
      </c>
      <c r="K29" s="52"/>
      <c r="L29" s="52"/>
      <c r="Y29" s="44"/>
      <c r="Z29" s="44"/>
      <c r="AA29" s="44"/>
      <c r="AB29" s="44"/>
      <c r="AC29" s="44"/>
      <c r="AD29" s="44"/>
      <c r="AE29" s="44"/>
      <c r="AF29" s="44"/>
      <c r="AG29" s="44"/>
      <c r="AH29" s="44"/>
      <c r="AI29" s="44"/>
      <c r="AJ29" s="44"/>
      <c r="AK29" s="44"/>
    </row>
    <row r="30" spans="1:37" s="45" customFormat="1" ht="19.95" customHeight="1">
      <c r="A30" s="531"/>
      <c r="B30" s="531"/>
      <c r="C30" s="541"/>
      <c r="D30" s="531"/>
      <c r="E30" s="68" t="s">
        <v>407</v>
      </c>
      <c r="F30" s="68" t="s">
        <v>408</v>
      </c>
      <c r="G30" s="68" t="s">
        <v>409</v>
      </c>
      <c r="H30" s="68" t="s">
        <v>410</v>
      </c>
      <c r="I30" s="68" t="s">
        <v>210</v>
      </c>
      <c r="J30" s="541"/>
      <c r="K30" s="52"/>
      <c r="L30" s="52"/>
      <c r="Y30" s="44"/>
      <c r="Z30" s="44"/>
      <c r="AA30" s="44"/>
      <c r="AB30" s="44"/>
      <c r="AC30" s="44"/>
      <c r="AD30" s="44"/>
      <c r="AE30" s="44"/>
      <c r="AF30" s="44"/>
      <c r="AG30" s="44"/>
      <c r="AH30" s="44"/>
      <c r="AI30" s="44"/>
      <c r="AJ30" s="44"/>
      <c r="AK30" s="44"/>
    </row>
    <row r="31" spans="1:37" s="45" customFormat="1" ht="19.95" customHeight="1">
      <c r="A31" s="542"/>
      <c r="B31" s="542"/>
      <c r="C31" s="69"/>
      <c r="D31" s="70"/>
      <c r="E31" s="71"/>
      <c r="F31" s="71"/>
      <c r="G31" s="71"/>
      <c r="H31" s="71"/>
      <c r="I31" s="78">
        <f>SUM(E31:H31)</f>
        <v>0</v>
      </c>
      <c r="J31" s="78">
        <f>D31-I31</f>
        <v>0</v>
      </c>
      <c r="K31" s="52"/>
      <c r="L31" s="52"/>
      <c r="Y31" s="44"/>
      <c r="Z31" s="44"/>
      <c r="AA31" s="44"/>
      <c r="AB31" s="44"/>
      <c r="AC31" s="44"/>
      <c r="AD31" s="44"/>
      <c r="AE31" s="44"/>
      <c r="AF31" s="44"/>
      <c r="AG31" s="44"/>
      <c r="AH31" s="44"/>
      <c r="AI31" s="44"/>
      <c r="AJ31" s="44"/>
      <c r="AK31" s="44"/>
    </row>
    <row r="32" spans="1:37" s="45" customFormat="1" ht="19.95" customHeight="1">
      <c r="A32" s="542"/>
      <c r="B32" s="542"/>
      <c r="C32" s="69"/>
      <c r="D32" s="70"/>
      <c r="E32" s="71"/>
      <c r="F32" s="71"/>
      <c r="G32" s="71"/>
      <c r="H32" s="71"/>
      <c r="I32" s="78">
        <f>SUM(E32:H32)</f>
        <v>0</v>
      </c>
      <c r="J32" s="78">
        <f t="shared" ref="J32:J33" si="1">D32-I32</f>
        <v>0</v>
      </c>
      <c r="K32" s="52"/>
      <c r="L32" s="52"/>
      <c r="Y32" s="44"/>
      <c r="Z32" s="44"/>
      <c r="AA32" s="44"/>
      <c r="AB32" s="44"/>
      <c r="AC32" s="44"/>
      <c r="AD32" s="44"/>
      <c r="AE32" s="44"/>
      <c r="AF32" s="44"/>
      <c r="AG32" s="44"/>
      <c r="AH32" s="44"/>
      <c r="AI32" s="44"/>
      <c r="AJ32" s="44"/>
      <c r="AK32" s="44"/>
    </row>
    <row r="33" spans="1:37" s="45" customFormat="1" ht="19.95" customHeight="1">
      <c r="A33" s="542"/>
      <c r="B33" s="542"/>
      <c r="C33" s="69"/>
      <c r="D33" s="70"/>
      <c r="E33" s="71"/>
      <c r="F33" s="71"/>
      <c r="G33" s="71"/>
      <c r="H33" s="71"/>
      <c r="I33" s="78">
        <f>SUM(E33:H33)</f>
        <v>0</v>
      </c>
      <c r="J33" s="78">
        <f t="shared" si="1"/>
        <v>0</v>
      </c>
      <c r="K33" s="52"/>
      <c r="L33" s="52"/>
      <c r="Y33" s="44"/>
      <c r="Z33" s="44"/>
      <c r="AA33" s="44"/>
      <c r="AB33" s="44"/>
      <c r="AC33" s="44"/>
      <c r="AD33" s="44"/>
      <c r="AE33" s="44"/>
      <c r="AF33" s="44"/>
      <c r="AG33" s="44"/>
      <c r="AH33" s="44"/>
      <c r="AI33" s="44"/>
      <c r="AJ33" s="44"/>
      <c r="AK33" s="44"/>
    </row>
    <row r="34" spans="1:37" ht="19.95" customHeight="1">
      <c r="A34" s="72" t="s">
        <v>211</v>
      </c>
      <c r="B34" s="73"/>
      <c r="M34" s="61"/>
      <c r="N34" s="61"/>
      <c r="O34" s="61"/>
      <c r="P34" s="61"/>
      <c r="Q34" s="61"/>
      <c r="R34" s="61"/>
      <c r="S34" s="61"/>
    </row>
    <row r="35" spans="1:37" ht="19.95" customHeight="1">
      <c r="A35" s="66"/>
      <c r="B35" s="60"/>
    </row>
    <row r="36" spans="1:37" ht="19.95" customHeight="1">
      <c r="A36" s="72" t="s">
        <v>212</v>
      </c>
    </row>
    <row r="37" spans="1:37" ht="19.95" customHeight="1">
      <c r="A37" s="72"/>
    </row>
    <row r="38" spans="1:37" ht="19.95" customHeight="1">
      <c r="A38" s="72"/>
    </row>
  </sheetData>
  <mergeCells count="28">
    <mergeCell ref="A1:L1"/>
    <mergeCell ref="A2:L2"/>
    <mergeCell ref="A6:L6"/>
    <mergeCell ref="E11:I11"/>
    <mergeCell ref="C17:F17"/>
    <mergeCell ref="G17:L17"/>
    <mergeCell ref="C11:C12"/>
    <mergeCell ref="C23:C24"/>
    <mergeCell ref="C29:C30"/>
    <mergeCell ref="D11:D12"/>
    <mergeCell ref="D23:D24"/>
    <mergeCell ref="D29:D30"/>
    <mergeCell ref="J23:J24"/>
    <mergeCell ref="J29:J30"/>
    <mergeCell ref="A31:A33"/>
    <mergeCell ref="B11:B12"/>
    <mergeCell ref="B17:B18"/>
    <mergeCell ref="B23:B24"/>
    <mergeCell ref="B25:B27"/>
    <mergeCell ref="B29:B30"/>
    <mergeCell ref="B31:B33"/>
    <mergeCell ref="E23:I23"/>
    <mergeCell ref="E29:I29"/>
    <mergeCell ref="A11:A12"/>
    <mergeCell ref="A17:A18"/>
    <mergeCell ref="A23:A24"/>
    <mergeCell ref="A25:A27"/>
    <mergeCell ref="A29:A30"/>
  </mergeCells>
  <phoneticPr fontId="86" type="noConversion"/>
  <dataValidations count="1">
    <dataValidation type="list" allowBlank="1" showInputMessage="1" showErrorMessage="1" sqref="J13 F19 L19 K20:L20">
      <formula1>"是,否"</formula1>
    </dataValidation>
  </dataValidations>
  <hyperlinks>
    <hyperlink ref="L3" location="底稿目录!A1" display="=底稿目录!F15"/>
  </hyperlinks>
  <pageMargins left="0.70866141732283505" right="0.70866141732283505" top="0.74803149606299202" bottom="0.74803149606299202" header="0.31496062992126" footer="0.31496062992126"/>
  <pageSetup paperSize="9" scale="70" orientation="landscape" blackAndWhite="1" horizontalDpi="300" verticalDpi="300" r:id="rId1"/>
  <headerFooter alignWithMargins="0">
    <oddFooter>&amp;C&amp;P/&amp;N</oddFooter>
  </headerFooter>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9"/>
  <dimension ref="A1:AB31"/>
  <sheetViews>
    <sheetView view="pageBreakPreview" zoomScaleNormal="100" workbookViewId="0">
      <selection activeCell="P3" sqref="P3"/>
    </sheetView>
  </sheetViews>
  <sheetFormatPr defaultColWidth="9" defaultRowHeight="19.95" customHeight="1"/>
  <cols>
    <col min="1" max="1" width="9.3984375" style="5" customWidth="1"/>
    <col min="2" max="2" width="9" style="5"/>
    <col min="3" max="3" width="16.59765625" style="5" customWidth="1"/>
    <col min="4" max="4" width="11.796875" style="5" customWidth="1"/>
    <col min="5" max="5" width="13.796875" style="5" customWidth="1"/>
    <col min="6" max="7" width="13.69921875" style="5" customWidth="1"/>
    <col min="8" max="8" width="19.19921875" style="5" customWidth="1"/>
    <col min="9" max="13" width="3.59765625" style="5" customWidth="1"/>
    <col min="14" max="14" width="11" style="5" customWidth="1"/>
    <col min="15" max="15" width="9" style="5"/>
    <col min="16" max="16" width="12.69921875" style="5" customWidth="1"/>
    <col min="17" max="16384" width="9" style="5"/>
  </cols>
  <sheetData>
    <row r="1" spans="1:19" s="1" customFormat="1" ht="19.95" customHeight="1">
      <c r="A1" s="545" t="s">
        <v>178</v>
      </c>
      <c r="B1" s="545"/>
      <c r="C1" s="545"/>
      <c r="D1" s="545"/>
      <c r="E1" s="545"/>
      <c r="F1" s="545"/>
      <c r="G1" s="545"/>
      <c r="H1" s="545"/>
      <c r="I1" s="545"/>
      <c r="J1" s="545"/>
      <c r="K1" s="545"/>
      <c r="L1" s="545"/>
      <c r="M1" s="545"/>
      <c r="N1" s="545"/>
      <c r="O1" s="545"/>
      <c r="P1" s="545"/>
    </row>
    <row r="2" spans="1:19" s="1" customFormat="1" ht="19.95" customHeight="1">
      <c r="A2" s="546" t="s">
        <v>412</v>
      </c>
      <c r="B2" s="546"/>
      <c r="C2" s="546"/>
      <c r="D2" s="546"/>
      <c r="E2" s="546"/>
      <c r="F2" s="546"/>
      <c r="G2" s="546"/>
      <c r="H2" s="546"/>
      <c r="I2" s="546"/>
      <c r="J2" s="546"/>
      <c r="K2" s="546"/>
      <c r="L2" s="546"/>
      <c r="M2" s="546"/>
      <c r="N2" s="546"/>
      <c r="O2" s="546"/>
      <c r="P2" s="546"/>
    </row>
    <row r="3" spans="1:19" s="2" customFormat="1" ht="19.95" customHeight="1">
      <c r="A3" s="2" t="str">
        <f>底稿目录!A2</f>
        <v>被审计单位：</v>
      </c>
      <c r="B3" s="6"/>
      <c r="C3" s="6"/>
      <c r="E3" s="6" t="str">
        <f>底稿目录!A4</f>
        <v>编制人：</v>
      </c>
      <c r="F3" s="6"/>
      <c r="H3" s="7" t="str">
        <f>底稿目录!A5</f>
        <v>编制日期：</v>
      </c>
      <c r="O3" s="37" t="s">
        <v>183</v>
      </c>
      <c r="P3" s="390" t="str">
        <f>底稿目录!F16</f>
        <v>L4-9</v>
      </c>
    </row>
    <row r="4" spans="1:19" s="2" customFormat="1" ht="19.95" customHeight="1">
      <c r="A4" s="2" t="str">
        <f>底稿目录!A3</f>
        <v>截止日：202X年12月31日</v>
      </c>
      <c r="B4" s="6"/>
      <c r="C4" s="6"/>
      <c r="E4" s="8" t="str">
        <f>底稿目录!A6</f>
        <v>复核人：</v>
      </c>
      <c r="F4" s="8"/>
      <c r="H4" s="7" t="str">
        <f>底稿目录!A7</f>
        <v>复核日期：</v>
      </c>
      <c r="O4" s="7" t="s">
        <v>97</v>
      </c>
      <c r="P4" s="7"/>
    </row>
    <row r="5" spans="1:19" s="3" customFormat="1" ht="19.95" customHeight="1">
      <c r="A5" s="9" t="s">
        <v>184</v>
      </c>
      <c r="B5" s="9"/>
      <c r="C5" s="521"/>
      <c r="D5" s="521"/>
      <c r="E5" s="521"/>
      <c r="F5" s="521"/>
      <c r="G5" s="521"/>
      <c r="H5" s="521"/>
      <c r="I5" s="521"/>
      <c r="J5" s="521"/>
      <c r="K5" s="521"/>
      <c r="L5" s="521"/>
    </row>
    <row r="6" spans="1:19" s="3" customFormat="1" ht="19.95" customHeight="1">
      <c r="A6" s="11" t="s">
        <v>413</v>
      </c>
      <c r="B6" s="12"/>
      <c r="C6" s="13"/>
      <c r="D6" s="14"/>
      <c r="E6" s="14"/>
      <c r="F6" s="14"/>
      <c r="G6" s="14"/>
      <c r="H6" s="14"/>
      <c r="I6" s="14"/>
      <c r="J6" s="14"/>
      <c r="K6" s="14"/>
      <c r="L6" s="14"/>
      <c r="M6" s="14"/>
      <c r="N6" s="38"/>
      <c r="O6" s="38"/>
      <c r="P6" s="38"/>
      <c r="Q6" s="38"/>
      <c r="R6" s="38"/>
      <c r="S6" s="38"/>
    </row>
    <row r="7" spans="1:19" s="3" customFormat="1" ht="19.95" customHeight="1">
      <c r="A7" s="11" t="s">
        <v>350</v>
      </c>
      <c r="B7" s="12"/>
      <c r="C7" s="13"/>
      <c r="D7" s="14"/>
      <c r="E7" s="14"/>
      <c r="F7" s="14"/>
      <c r="G7" s="14"/>
      <c r="H7" s="14"/>
      <c r="I7" s="14"/>
      <c r="J7" s="14"/>
      <c r="K7" s="14"/>
      <c r="L7" s="14"/>
      <c r="M7" s="14"/>
      <c r="N7" s="38"/>
      <c r="O7" s="38"/>
      <c r="P7" s="38"/>
      <c r="Q7" s="38"/>
      <c r="R7" s="38"/>
      <c r="S7" s="38"/>
    </row>
    <row r="8" spans="1:19" s="3" customFormat="1" ht="19.95" customHeight="1">
      <c r="A8" s="15" t="s">
        <v>414</v>
      </c>
      <c r="B8" s="16"/>
      <c r="C8" s="383" t="s">
        <v>445</v>
      </c>
      <c r="D8" s="16"/>
      <c r="E8" s="16"/>
      <c r="F8" s="18"/>
      <c r="G8" s="18"/>
      <c r="H8" s="19"/>
      <c r="I8" s="19"/>
      <c r="J8" s="19"/>
      <c r="K8" s="19"/>
      <c r="L8" s="19"/>
    </row>
    <row r="9" spans="1:19" s="3" customFormat="1" ht="19.95" customHeight="1">
      <c r="A9" s="20" t="s">
        <v>415</v>
      </c>
      <c r="B9" s="21"/>
      <c r="C9" s="22"/>
      <c r="D9" s="23"/>
      <c r="E9" s="23"/>
      <c r="F9" s="23"/>
      <c r="G9" s="23"/>
      <c r="H9" s="23"/>
      <c r="I9" s="23"/>
      <c r="J9" s="23"/>
      <c r="K9" s="23"/>
      <c r="L9" s="23"/>
      <c r="M9" s="23"/>
      <c r="N9" s="23"/>
      <c r="O9" s="23"/>
      <c r="P9" s="23"/>
    </row>
    <row r="10" spans="1:19" s="3" customFormat="1" ht="19.95" customHeight="1">
      <c r="A10" s="552" t="s">
        <v>416</v>
      </c>
      <c r="B10" s="552"/>
      <c r="C10" s="552"/>
      <c r="D10" s="552"/>
      <c r="E10" s="552"/>
      <c r="F10" s="552"/>
      <c r="G10" s="552"/>
      <c r="H10" s="555" t="s">
        <v>417</v>
      </c>
      <c r="I10" s="553" t="s">
        <v>418</v>
      </c>
      <c r="J10" s="554"/>
      <c r="K10" s="554"/>
      <c r="L10" s="554"/>
      <c r="M10" s="554"/>
      <c r="N10" s="547" t="s">
        <v>419</v>
      </c>
      <c r="O10" s="548" t="s">
        <v>420</v>
      </c>
      <c r="P10" s="550" t="s">
        <v>421</v>
      </c>
    </row>
    <row r="11" spans="1:19" s="3" customFormat="1" ht="19.95" customHeight="1">
      <c r="A11" s="24" t="s">
        <v>422</v>
      </c>
      <c r="B11" s="24" t="s">
        <v>423</v>
      </c>
      <c r="C11" s="24" t="s">
        <v>424</v>
      </c>
      <c r="D11" s="24" t="s">
        <v>425</v>
      </c>
      <c r="E11" s="24" t="s">
        <v>426</v>
      </c>
      <c r="F11" s="25" t="s">
        <v>427</v>
      </c>
      <c r="G11" s="25" t="s">
        <v>428</v>
      </c>
      <c r="H11" s="556"/>
      <c r="I11" s="39">
        <v>1</v>
      </c>
      <c r="J11" s="39">
        <v>2</v>
      </c>
      <c r="K11" s="39">
        <v>3</v>
      </c>
      <c r="L11" s="39">
        <v>4</v>
      </c>
      <c r="M11" s="39">
        <v>5</v>
      </c>
      <c r="N11" s="547"/>
      <c r="O11" s="549"/>
      <c r="P11" s="551"/>
    </row>
    <row r="12" spans="1:19" s="3" customFormat="1" ht="19.95" customHeight="1">
      <c r="A12" s="26"/>
      <c r="B12" s="27"/>
      <c r="C12" s="28"/>
      <c r="D12" s="28"/>
      <c r="E12" s="28"/>
      <c r="F12" s="29"/>
      <c r="G12" s="29"/>
      <c r="H12" s="30"/>
      <c r="I12" s="40"/>
      <c r="J12" s="40"/>
      <c r="K12" s="40"/>
      <c r="L12" s="40"/>
      <c r="M12" s="40"/>
      <c r="N12" s="41"/>
      <c r="O12" s="42"/>
      <c r="P12" s="42"/>
    </row>
    <row r="13" spans="1:19" s="3" customFormat="1" ht="19.95" customHeight="1">
      <c r="A13" s="26"/>
      <c r="B13" s="27"/>
      <c r="C13" s="28"/>
      <c r="D13" s="28"/>
      <c r="E13" s="28"/>
      <c r="F13" s="29"/>
      <c r="G13" s="29"/>
      <c r="H13" s="31"/>
      <c r="I13" s="40"/>
      <c r="J13" s="40"/>
      <c r="K13" s="40"/>
      <c r="L13" s="40"/>
      <c r="M13" s="40"/>
      <c r="N13" s="41"/>
      <c r="O13" s="42"/>
      <c r="P13" s="42"/>
    </row>
    <row r="14" spans="1:19" s="3" customFormat="1" ht="19.95" customHeight="1">
      <c r="A14" s="26"/>
      <c r="B14" s="27"/>
      <c r="C14" s="28"/>
      <c r="D14" s="28"/>
      <c r="E14" s="28"/>
      <c r="F14" s="29"/>
      <c r="G14" s="29"/>
      <c r="H14" s="31"/>
      <c r="I14" s="40"/>
      <c r="J14" s="40"/>
      <c r="K14" s="40"/>
      <c r="L14" s="40"/>
      <c r="M14" s="40"/>
      <c r="N14" s="41"/>
      <c r="O14" s="42"/>
      <c r="P14" s="42"/>
    </row>
    <row r="15" spans="1:19" s="3" customFormat="1" ht="19.95" customHeight="1">
      <c r="A15" s="26"/>
      <c r="B15" s="27"/>
      <c r="C15" s="28"/>
      <c r="D15" s="28"/>
      <c r="E15" s="28"/>
      <c r="F15" s="29"/>
      <c r="G15" s="29"/>
      <c r="H15" s="31"/>
      <c r="I15" s="40"/>
      <c r="J15" s="40"/>
      <c r="K15" s="40"/>
      <c r="L15" s="40"/>
      <c r="M15" s="40"/>
      <c r="N15" s="41"/>
      <c r="O15" s="42"/>
      <c r="P15" s="42"/>
    </row>
    <row r="16" spans="1:19" s="3" customFormat="1" ht="19.95" customHeight="1">
      <c r="A16" s="26"/>
      <c r="B16" s="27"/>
      <c r="C16" s="28"/>
      <c r="D16" s="28"/>
      <c r="E16" s="28"/>
      <c r="F16" s="29"/>
      <c r="G16" s="29"/>
      <c r="H16" s="31"/>
      <c r="I16" s="40"/>
      <c r="J16" s="40"/>
      <c r="K16" s="40"/>
      <c r="L16" s="40"/>
      <c r="M16" s="40"/>
      <c r="N16" s="41"/>
      <c r="O16" s="42"/>
      <c r="P16" s="42"/>
    </row>
    <row r="17" spans="1:28" s="3" customFormat="1" ht="19.95" customHeight="1">
      <c r="A17" s="26"/>
      <c r="B17" s="27"/>
      <c r="C17" s="28"/>
      <c r="D17" s="28"/>
      <c r="E17" s="28"/>
      <c r="F17" s="29"/>
      <c r="G17" s="29"/>
      <c r="H17" s="31"/>
      <c r="I17" s="40"/>
      <c r="J17" s="40"/>
      <c r="K17" s="40"/>
      <c r="L17" s="40"/>
      <c r="M17" s="40"/>
      <c r="N17" s="41"/>
      <c r="O17" s="42"/>
      <c r="P17" s="42"/>
    </row>
    <row r="18" spans="1:28" s="3" customFormat="1" ht="19.95" customHeight="1">
      <c r="A18" s="26"/>
      <c r="B18" s="27"/>
      <c r="C18" s="28"/>
      <c r="D18" s="28"/>
      <c r="E18" s="28"/>
      <c r="F18" s="29"/>
      <c r="G18" s="29"/>
      <c r="H18" s="31"/>
      <c r="I18" s="40"/>
      <c r="J18" s="40"/>
      <c r="K18" s="40"/>
      <c r="L18" s="40"/>
      <c r="M18" s="40"/>
      <c r="N18" s="41"/>
      <c r="O18" s="42"/>
      <c r="P18" s="42"/>
    </row>
    <row r="19" spans="1:28" s="3" customFormat="1" ht="19.95" customHeight="1">
      <c r="A19" s="26"/>
      <c r="B19" s="27"/>
      <c r="C19" s="28"/>
      <c r="D19" s="28"/>
      <c r="E19" s="28"/>
      <c r="F19" s="29"/>
      <c r="G19" s="29"/>
      <c r="H19" s="31"/>
      <c r="I19" s="40"/>
      <c r="J19" s="40"/>
      <c r="K19" s="40"/>
      <c r="L19" s="40"/>
      <c r="M19" s="40"/>
      <c r="N19" s="41"/>
      <c r="O19" s="42"/>
      <c r="P19" s="42"/>
    </row>
    <row r="20" spans="1:28" s="3" customFormat="1" ht="19.95" customHeight="1">
      <c r="A20" s="26"/>
      <c r="B20" s="27"/>
      <c r="C20" s="28"/>
      <c r="D20" s="28"/>
      <c r="E20" s="28"/>
      <c r="F20" s="29"/>
      <c r="G20" s="29"/>
      <c r="H20" s="31"/>
      <c r="I20" s="40"/>
      <c r="J20" s="40"/>
      <c r="K20" s="40"/>
      <c r="L20" s="40"/>
      <c r="M20" s="40"/>
      <c r="N20" s="41"/>
      <c r="O20" s="42"/>
      <c r="P20" s="42"/>
    </row>
    <row r="21" spans="1:28" s="3" customFormat="1" ht="19.95" customHeight="1">
      <c r="A21" s="26"/>
      <c r="B21" s="27"/>
      <c r="C21" s="28"/>
      <c r="D21" s="28"/>
      <c r="E21" s="28"/>
      <c r="F21" s="29"/>
      <c r="G21" s="29"/>
      <c r="H21" s="31"/>
      <c r="I21" s="40"/>
      <c r="J21" s="40"/>
      <c r="K21" s="40"/>
      <c r="L21" s="40"/>
      <c r="M21" s="40"/>
      <c r="N21" s="41"/>
      <c r="O21" s="42"/>
      <c r="P21" s="42"/>
    </row>
    <row r="22" spans="1:28" s="418" customFormat="1" ht="19.95" customHeight="1">
      <c r="A22" s="544" t="s">
        <v>489</v>
      </c>
      <c r="B22" s="544"/>
      <c r="C22" s="544"/>
      <c r="D22" s="412"/>
      <c r="E22" s="412"/>
      <c r="F22" s="413">
        <f>SUM(F12:F21)</f>
        <v>0</v>
      </c>
      <c r="G22" s="413">
        <f>SUM(G12:G21)</f>
        <v>0</v>
      </c>
      <c r="H22" s="414"/>
      <c r="I22" s="415"/>
      <c r="J22" s="415"/>
      <c r="K22" s="415"/>
      <c r="L22" s="415"/>
      <c r="M22" s="415"/>
      <c r="N22" s="416"/>
      <c r="O22" s="417"/>
      <c r="P22" s="417"/>
    </row>
    <row r="23" spans="1:28" s="418" customFormat="1" ht="19.95" customHeight="1">
      <c r="A23" s="544" t="s">
        <v>490</v>
      </c>
      <c r="B23" s="544"/>
      <c r="C23" s="544"/>
      <c r="D23" s="412"/>
      <c r="E23" s="412"/>
      <c r="F23" s="413">
        <f>'应付债券明细表L4-2'!BZ22</f>
        <v>0</v>
      </c>
      <c r="G23" s="413">
        <f>'应付债券明细表L4-2'!BT22</f>
        <v>0</v>
      </c>
      <c r="H23" s="414"/>
      <c r="I23" s="415"/>
      <c r="J23" s="415"/>
      <c r="K23" s="415"/>
      <c r="L23" s="415"/>
      <c r="M23" s="415"/>
      <c r="N23" s="416"/>
      <c r="O23" s="417"/>
      <c r="P23" s="417"/>
    </row>
    <row r="24" spans="1:28" s="419" customFormat="1" ht="19.95" customHeight="1">
      <c r="A24" s="544" t="s">
        <v>491</v>
      </c>
      <c r="B24" s="544"/>
      <c r="C24" s="544"/>
      <c r="D24" s="420"/>
      <c r="E24" s="420"/>
      <c r="F24" s="421" t="e">
        <f>F22/F23</f>
        <v>#DIV/0!</v>
      </c>
      <c r="G24" s="421" t="e">
        <f>G22/G23</f>
        <v>#DIV/0!</v>
      </c>
      <c r="H24" s="422"/>
      <c r="I24" s="422"/>
      <c r="J24" s="422"/>
      <c r="K24" s="422"/>
      <c r="L24" s="422"/>
      <c r="M24" s="422"/>
      <c r="N24" s="423"/>
      <c r="O24" s="423"/>
      <c r="P24" s="423"/>
      <c r="Q24" s="418"/>
      <c r="R24" s="418"/>
      <c r="S24" s="418"/>
      <c r="T24" s="418"/>
      <c r="U24" s="418"/>
      <c r="V24" s="418"/>
      <c r="W24" s="418"/>
      <c r="X24" s="418"/>
      <c r="Y24" s="418"/>
      <c r="Z24" s="418"/>
      <c r="AA24" s="418"/>
      <c r="AB24" s="418"/>
    </row>
    <row r="25" spans="1:28" s="2" customFormat="1" ht="19.95" customHeight="1">
      <c r="A25" s="32" t="s">
        <v>211</v>
      </c>
      <c r="B25" s="33"/>
      <c r="C25" s="17"/>
      <c r="D25" s="33"/>
      <c r="E25" s="33"/>
      <c r="F25" s="33"/>
      <c r="G25" s="33"/>
      <c r="I25" s="19"/>
      <c r="J25" s="19"/>
      <c r="K25" s="19"/>
      <c r="L25" s="19"/>
    </row>
    <row r="26" spans="1:28" s="2" customFormat="1" ht="19.95" customHeight="1">
      <c r="C26" s="17"/>
      <c r="I26" s="35"/>
      <c r="J26" s="35"/>
      <c r="K26" s="35"/>
      <c r="L26" s="35"/>
    </row>
    <row r="27" spans="1:28" s="4" customFormat="1" ht="19.95" customHeight="1">
      <c r="C27" s="17"/>
      <c r="J27" s="43"/>
      <c r="K27" s="43"/>
      <c r="L27" s="43"/>
    </row>
    <row r="28" spans="1:28" s="2" customFormat="1" ht="19.95" customHeight="1">
      <c r="C28" s="17"/>
      <c r="I28" s="6"/>
      <c r="J28" s="6"/>
      <c r="K28" s="6"/>
      <c r="L28" s="6"/>
    </row>
    <row r="29" spans="1:28" s="2" customFormat="1" ht="19.95" customHeight="1">
      <c r="C29" s="17"/>
      <c r="I29" s="6"/>
      <c r="J29" s="6"/>
      <c r="K29" s="6"/>
      <c r="L29" s="6"/>
    </row>
    <row r="30" spans="1:28" s="2" customFormat="1" ht="19.95" customHeight="1">
      <c r="A30" s="34" t="s">
        <v>212</v>
      </c>
      <c r="C30" s="17"/>
      <c r="H30" s="6"/>
      <c r="I30" s="6"/>
      <c r="J30" s="6"/>
      <c r="K30" s="6"/>
      <c r="L30" s="6"/>
    </row>
    <row r="31" spans="1:28" s="2" customFormat="1" ht="19.95" customHeight="1">
      <c r="A31" s="35"/>
      <c r="C31" s="6"/>
      <c r="D31" s="6"/>
      <c r="E31" s="6"/>
      <c r="F31" s="6"/>
      <c r="G31" s="6"/>
      <c r="H31" s="6"/>
      <c r="I31" s="6"/>
      <c r="J31" s="6"/>
      <c r="K31" s="6"/>
      <c r="L31" s="6"/>
    </row>
  </sheetData>
  <mergeCells count="12">
    <mergeCell ref="A22:C22"/>
    <mergeCell ref="A23:C23"/>
    <mergeCell ref="A24:C24"/>
    <mergeCell ref="A1:P1"/>
    <mergeCell ref="A2:P2"/>
    <mergeCell ref="N10:N11"/>
    <mergeCell ref="O10:O11"/>
    <mergeCell ref="P10:P11"/>
    <mergeCell ref="C5:L5"/>
    <mergeCell ref="A10:G10"/>
    <mergeCell ref="I10:M10"/>
    <mergeCell ref="H10:H11"/>
  </mergeCells>
  <phoneticPr fontId="86" type="noConversion"/>
  <dataValidations count="1">
    <dataValidation type="list" allowBlank="1" showInputMessage="1" showErrorMessage="1" sqref="I12:M23">
      <formula1>"√,X"</formula1>
    </dataValidation>
  </dataValidations>
  <hyperlinks>
    <hyperlink ref="P3" location="底稿目录!A1" display="=底稿目录!F16"/>
  </hyperlinks>
  <printOptions horizontalCentered="1"/>
  <pageMargins left="0.70866141732283472" right="0.70866141732283472" top="0.74803149606299213" bottom="0.74803149606299213" header="0.31496062992125984" footer="0.31496062992125984"/>
  <pageSetup paperSize="9" scale="75" fitToWidth="0" fitToHeight="0" orientation="landscape" blackAndWhite="1" r:id="rId1"/>
  <headerFooter alignWithMargins="0">
    <oddFooter>&amp;C&amp;P/&amp;N</oddFooter>
  </headerFooter>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7"/>
  <dimension ref="A1:B8"/>
  <sheetViews>
    <sheetView workbookViewId="0"/>
  </sheetViews>
  <sheetFormatPr defaultColWidth="8.796875" defaultRowHeight="15.6"/>
  <sheetData>
    <row r="1" spans="1:2">
      <c r="A1" t="s">
        <v>429</v>
      </c>
      <c r="B1" t="s">
        <v>430</v>
      </c>
    </row>
    <row r="2" spans="1:2">
      <c r="A2" t="s">
        <v>431</v>
      </c>
      <c r="B2" t="s">
        <v>432</v>
      </c>
    </row>
    <row r="3" spans="1:2">
      <c r="A3" t="s">
        <v>433</v>
      </c>
      <c r="B3" t="s">
        <v>434</v>
      </c>
    </row>
    <row r="4" spans="1:2">
      <c r="A4" t="s">
        <v>435</v>
      </c>
      <c r="B4" t="s">
        <v>436</v>
      </c>
    </row>
    <row r="5" spans="1:2">
      <c r="A5" t="s">
        <v>437</v>
      </c>
      <c r="B5" t="s">
        <v>438</v>
      </c>
    </row>
    <row r="6" spans="1:2">
      <c r="A6" t="s">
        <v>439</v>
      </c>
      <c r="B6" t="s">
        <v>440</v>
      </c>
    </row>
    <row r="7" spans="1:2">
      <c r="A7" t="s">
        <v>441</v>
      </c>
      <c r="B7" t="s">
        <v>442</v>
      </c>
    </row>
    <row r="8" spans="1:2">
      <c r="A8" t="s">
        <v>443</v>
      </c>
      <c r="B8" t="s">
        <v>444</v>
      </c>
    </row>
  </sheetData>
  <phoneticPr fontId="86" type="noConversion"/>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16</vt:i4>
      </vt:variant>
      <vt:variant>
        <vt:lpstr>命名范围</vt:lpstr>
      </vt:variant>
      <vt:variant>
        <vt:i4>20</vt:i4>
      </vt:variant>
    </vt:vector>
  </HeadingPairs>
  <TitlesOfParts>
    <vt:vector size="36" baseType="lpstr">
      <vt:lpstr>底稿目录</vt:lpstr>
      <vt:lpstr>应付债券实质性程序表L4A </vt:lpstr>
      <vt:lpstr>审定表L4-1</vt:lpstr>
      <vt:lpstr>附注披露信息核对（上市公司）</vt:lpstr>
      <vt:lpstr>附注披露信息核对（国企）</vt:lpstr>
      <vt:lpstr>应付债券明细表L4-2</vt:lpstr>
      <vt:lpstr>划分为金融负债的其他金融工具明细表L4-3</vt:lpstr>
      <vt:lpstr>调整分录汇总L4-4</vt:lpstr>
      <vt:lpstr>权益与负债划分检查表L4-5</vt:lpstr>
      <vt:lpstr>应付债券初始计量L4-6</vt:lpstr>
      <vt:lpstr>应付债券后续计量(到期一次还本付息)L4-7</vt:lpstr>
      <vt:lpstr>应付债券后续计量(分期付息到期一次还本)L4-7</vt:lpstr>
      <vt:lpstr>应付债券账面核对(到期一次还本付息)L4-8</vt:lpstr>
      <vt:lpstr>应付债券账面核对(分期付息到期一次还本) L4-8</vt:lpstr>
      <vt:lpstr>应付债券检查表L4-9</vt:lpstr>
      <vt:lpstr>GT_Custom</vt:lpstr>
      <vt:lpstr>'应付债券实质性程序表L4A '!_FilterDatabase</vt:lpstr>
      <vt:lpstr>'附注披露信息核对（上市公司）'!OLE_LINK1</vt:lpstr>
      <vt:lpstr>底稿目录!Print_Area</vt:lpstr>
      <vt:lpstr>'调整分录汇总L4-4'!Print_Area</vt:lpstr>
      <vt:lpstr>'附注披露信息核对（国企）'!Print_Area</vt:lpstr>
      <vt:lpstr>'附注披露信息核对（上市公司）'!Print_Area</vt:lpstr>
      <vt:lpstr>'划分为金融负债的其他金融工具明细表L4-3'!Print_Area</vt:lpstr>
      <vt:lpstr>'权益与负债划分检查表L4-5'!Print_Area</vt:lpstr>
      <vt:lpstr>'审定表L4-1'!Print_Area</vt:lpstr>
      <vt:lpstr>'应付债券初始计量L4-6'!Print_Area</vt:lpstr>
      <vt:lpstr>'应付债券后续计量(到期一次还本付息)L4-7'!Print_Area</vt:lpstr>
      <vt:lpstr>'应付债券后续计量(分期付息到期一次还本)L4-7'!Print_Area</vt:lpstr>
      <vt:lpstr>'应付债券检查表L4-9'!Print_Area</vt:lpstr>
      <vt:lpstr>'应付债券明细表L4-2'!Print_Area</vt:lpstr>
      <vt:lpstr>'应付债券实质性程序表L4A '!Print_Area</vt:lpstr>
      <vt:lpstr>'应付债券账面核对(到期一次还本付息)L4-8'!Print_Area</vt:lpstr>
      <vt:lpstr>'应付债券账面核对(分期付息到期一次还本) L4-8'!Print_Area</vt:lpstr>
      <vt:lpstr>'划分为金融负债的其他金融工具明细表L4-3'!Print_Titles</vt:lpstr>
      <vt:lpstr>'应付债券明细表L4-2'!Print_Titles</vt:lpstr>
      <vt:lpstr>'应付债券实质性程序表L4A '!Print_Titles</vt:lpstr>
    </vt:vector>
  </TitlesOfParts>
  <Company>北京京都会计师事务所</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Liufs</dc:creator>
  <cp:lastModifiedBy>何先琴</cp:lastModifiedBy>
  <cp:lastPrinted>2025-10-23T09:51:13Z</cp:lastPrinted>
  <dcterms:created xsi:type="dcterms:W3CDTF">2007-05-20T08:51:00Z</dcterms:created>
  <dcterms:modified xsi:type="dcterms:W3CDTF">2025-11-05T08:05:48Z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2173090A22DE475C97693D2D56CCE927_12</vt:lpwstr>
  </property>
  <property fmtid="{D5CDD505-2E9C-101B-9397-08002B2CF9AE}" pid="3" name="KSOProductBuildVer">
    <vt:lpwstr>2052-12.1.0.22529</vt:lpwstr>
  </property>
</Properties>
</file>