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891"/>
  </bookViews>
  <sheets>
    <sheet name="底稿目录" sheetId="9" r:id="rId1"/>
    <sheet name="实质性程序表L8A" sheetId="12" r:id="rId2"/>
    <sheet name="审定表L8-1" sheetId="1" r:id="rId3"/>
    <sheet name="附注披露信息（上市公司）" sheetId="15" r:id="rId4"/>
    <sheet name="附注披露信息（国企）" sheetId="14" r:id="rId5"/>
    <sheet name="明细表L8-2" sheetId="4" r:id="rId6"/>
    <sheet name="调整分录汇总L8-3" sheetId="13" r:id="rId7"/>
    <sheet name="非金融机构利息支出测算表L8-4" sheetId="11" r:id="rId8"/>
    <sheet name="截止性测试L8-5" sheetId="19" r:id="rId9"/>
    <sheet name="财务费用检查表L8-6" sheetId="20" r:id="rId10"/>
  </sheets>
  <definedNames>
    <definedName name="_xlnm.Print_Area" localSheetId="9">'财务费用检查表L8-6'!$A$1:$Q$29</definedName>
    <definedName name="_xlnm.Print_Area" localSheetId="6">'调整分录汇总L8-3'!$A$1:$J$20</definedName>
    <definedName name="_xlnm.Print_Area" localSheetId="7">'非金融机构利息支出测算表L8-4'!$A$1:$J$28</definedName>
    <definedName name="_xlnm.Print_Area" localSheetId="4">'附注披露信息（国企）'!$A$1:$E$18</definedName>
    <definedName name="_xlnm.Print_Area" localSheetId="3">'附注披露信息（上市公司）'!$A$1:$E$20</definedName>
    <definedName name="_xlnm.Print_Area" localSheetId="8">'截止性测试L8-5'!$A$1:$K$33</definedName>
    <definedName name="_xlnm.Print_Area" localSheetId="5">'明细表L8-2'!$A$1:$W$35</definedName>
    <definedName name="_xlnm.Print_Area" localSheetId="2">'审定表L8-1'!$A$1:$L$28</definedName>
    <definedName name="_xlnm.Print_Area" localSheetId="1">实质性程序表L8A!$A$1:$I$30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4" l="1"/>
  <c r="O20" i="4"/>
  <c r="P11" i="4"/>
  <c r="P13" i="4" s="1"/>
  <c r="O11" i="4"/>
  <c r="O13" i="4" s="1"/>
  <c r="O22" i="4" s="1"/>
  <c r="M11" i="4"/>
  <c r="M13" i="4" s="1"/>
  <c r="G22" i="20"/>
  <c r="G11" i="11" l="1"/>
  <c r="F16" i="11"/>
  <c r="M31" i="4"/>
  <c r="I4" i="20" l="1"/>
  <c r="F4" i="20"/>
  <c r="A4" i="20"/>
  <c r="Q3" i="20"/>
  <c r="I3" i="20"/>
  <c r="F3" i="20"/>
  <c r="A3" i="20"/>
  <c r="G4" i="19"/>
  <c r="E4" i="19"/>
  <c r="A4" i="19"/>
  <c r="K3" i="19"/>
  <c r="G3" i="19"/>
  <c r="E3" i="19"/>
  <c r="A3" i="19"/>
  <c r="D21" i="11"/>
  <c r="G16" i="11"/>
  <c r="H15" i="11"/>
  <c r="G15" i="11"/>
  <c r="H14" i="11"/>
  <c r="G14" i="11"/>
  <c r="H13" i="11"/>
  <c r="G13" i="11"/>
  <c r="H12" i="11"/>
  <c r="G12" i="11"/>
  <c r="H11" i="11"/>
  <c r="H16" i="11" s="1"/>
  <c r="D22" i="11" s="1"/>
  <c r="F4" i="11"/>
  <c r="D4" i="11"/>
  <c r="A4" i="11"/>
  <c r="J3" i="11"/>
  <c r="F3" i="11"/>
  <c r="D3" i="11"/>
  <c r="A3" i="11"/>
  <c r="F4" i="13"/>
  <c r="C4" i="13"/>
  <c r="A4" i="13"/>
  <c r="J3" i="13"/>
  <c r="F3" i="13"/>
  <c r="C3" i="13"/>
  <c r="A3" i="13"/>
  <c r="R23" i="4"/>
  <c r="M22" i="4"/>
  <c r="W21" i="4"/>
  <c r="C17" i="14" s="1"/>
  <c r="N21" i="4"/>
  <c r="Q21" i="4" s="1"/>
  <c r="V20" i="4"/>
  <c r="V22" i="4" s="1"/>
  <c r="U20" i="4"/>
  <c r="U22" i="4" s="1"/>
  <c r="T20" i="4"/>
  <c r="T22" i="4" s="1"/>
  <c r="P20" i="4"/>
  <c r="P22" i="4" s="1"/>
  <c r="L20" i="4"/>
  <c r="K20" i="4"/>
  <c r="J20" i="4"/>
  <c r="I20" i="4"/>
  <c r="H20" i="4"/>
  <c r="G20" i="4"/>
  <c r="F20" i="4"/>
  <c r="E20" i="4"/>
  <c r="D20" i="4"/>
  <c r="C20" i="4"/>
  <c r="B20" i="4"/>
  <c r="W19" i="4"/>
  <c r="C15" i="14" s="1"/>
  <c r="N19" i="4"/>
  <c r="Q19" i="4" s="1"/>
  <c r="W18" i="4"/>
  <c r="N18" i="4"/>
  <c r="Q18" i="4" s="1"/>
  <c r="W17" i="4"/>
  <c r="C13" i="14" s="1"/>
  <c r="N17" i="4"/>
  <c r="Q17" i="4" s="1"/>
  <c r="W16" i="4"/>
  <c r="N16" i="4"/>
  <c r="Q16" i="4" s="1"/>
  <c r="W15" i="4"/>
  <c r="N15" i="4"/>
  <c r="Q15" i="4" s="1"/>
  <c r="R15" i="4" s="1"/>
  <c r="W14" i="4"/>
  <c r="N14" i="4"/>
  <c r="Q14" i="4" s="1"/>
  <c r="R14" i="4" s="1"/>
  <c r="W13" i="4"/>
  <c r="C11" i="14" s="1"/>
  <c r="W12" i="4"/>
  <c r="C10" i="15" s="1"/>
  <c r="Q12" i="4"/>
  <c r="B10" i="14" s="1"/>
  <c r="N12" i="4"/>
  <c r="W11" i="4"/>
  <c r="C9" i="15" s="1"/>
  <c r="L11" i="4"/>
  <c r="L13" i="4" s="1"/>
  <c r="L22" i="4" s="1"/>
  <c r="K11" i="4"/>
  <c r="K13" i="4" s="1"/>
  <c r="K22" i="4" s="1"/>
  <c r="J11" i="4"/>
  <c r="J13" i="4" s="1"/>
  <c r="J22" i="4" s="1"/>
  <c r="I11" i="4"/>
  <c r="I13" i="4" s="1"/>
  <c r="I22" i="4" s="1"/>
  <c r="H11" i="4"/>
  <c r="H13" i="4" s="1"/>
  <c r="H22" i="4" s="1"/>
  <c r="G11" i="4"/>
  <c r="G13" i="4" s="1"/>
  <c r="G22" i="4" s="1"/>
  <c r="F11" i="4"/>
  <c r="F13" i="4" s="1"/>
  <c r="E11" i="4"/>
  <c r="E13" i="4" s="1"/>
  <c r="E22" i="4" s="1"/>
  <c r="D11" i="4"/>
  <c r="D13" i="4" s="1"/>
  <c r="D22" i="4" s="1"/>
  <c r="C11" i="4"/>
  <c r="C13" i="4" s="1"/>
  <c r="C22" i="4" s="1"/>
  <c r="B11" i="4"/>
  <c r="W10" i="4"/>
  <c r="C8" i="14" s="1"/>
  <c r="N10" i="4"/>
  <c r="Q10" i="4" s="1"/>
  <c r="W9" i="4"/>
  <c r="N9" i="4"/>
  <c r="Q9" i="4" s="1"/>
  <c r="M25" i="4" s="1"/>
  <c r="M32" i="4" s="1"/>
  <c r="R4" i="4"/>
  <c r="I4" i="4"/>
  <c r="A4" i="4"/>
  <c r="W3" i="4"/>
  <c r="R3" i="4"/>
  <c r="I3" i="4"/>
  <c r="A3" i="4"/>
  <c r="A17" i="14"/>
  <c r="A16" i="14"/>
  <c r="A15" i="14"/>
  <c r="C14" i="14"/>
  <c r="A14" i="14"/>
  <c r="A13" i="14"/>
  <c r="C12" i="14"/>
  <c r="A12" i="14"/>
  <c r="A11" i="14"/>
  <c r="C10" i="14"/>
  <c r="A10" i="14"/>
  <c r="A9" i="14"/>
  <c r="A8" i="14"/>
  <c r="C7" i="14"/>
  <c r="A7" i="14"/>
  <c r="C4" i="14"/>
  <c r="B4" i="14"/>
  <c r="A4" i="14"/>
  <c r="E3" i="14"/>
  <c r="C3" i="14"/>
  <c r="B3" i="14"/>
  <c r="A3" i="14"/>
  <c r="C17" i="15"/>
  <c r="A17" i="15"/>
  <c r="A16" i="15"/>
  <c r="A15" i="15"/>
  <c r="C14" i="15"/>
  <c r="A14" i="15"/>
  <c r="A13" i="15"/>
  <c r="C12" i="15"/>
  <c r="A12" i="15"/>
  <c r="A11" i="15"/>
  <c r="A10" i="15"/>
  <c r="A9" i="15"/>
  <c r="A8" i="15"/>
  <c r="C7" i="15"/>
  <c r="A7" i="15"/>
  <c r="C4" i="15"/>
  <c r="B4" i="15"/>
  <c r="A4" i="15"/>
  <c r="E3" i="15"/>
  <c r="C3" i="15"/>
  <c r="B3" i="15"/>
  <c r="A3" i="15"/>
  <c r="H17" i="1"/>
  <c r="G17" i="1"/>
  <c r="F17" i="1"/>
  <c r="D17" i="1"/>
  <c r="C17" i="1"/>
  <c r="B17" i="1"/>
  <c r="H16" i="1"/>
  <c r="G16" i="1"/>
  <c r="F16" i="1"/>
  <c r="D16" i="1"/>
  <c r="C16" i="1"/>
  <c r="B16" i="1"/>
  <c r="H15" i="1"/>
  <c r="G15" i="1"/>
  <c r="F15" i="1"/>
  <c r="D15" i="1"/>
  <c r="C15" i="1"/>
  <c r="B15" i="1"/>
  <c r="H14" i="1"/>
  <c r="G14" i="1"/>
  <c r="D14" i="1"/>
  <c r="C14" i="1"/>
  <c r="B14" i="1"/>
  <c r="H13" i="1"/>
  <c r="G13" i="1"/>
  <c r="F13" i="1"/>
  <c r="D13" i="1"/>
  <c r="C13" i="1"/>
  <c r="B13" i="1"/>
  <c r="H12" i="1"/>
  <c r="G12" i="1"/>
  <c r="F12" i="1"/>
  <c r="D12" i="1"/>
  <c r="C12" i="1"/>
  <c r="B12" i="1"/>
  <c r="H11" i="1"/>
  <c r="G11" i="1"/>
  <c r="F11" i="1"/>
  <c r="D11" i="1"/>
  <c r="C11" i="1"/>
  <c r="B11" i="1"/>
  <c r="H10" i="1"/>
  <c r="G10" i="1"/>
  <c r="F10" i="1"/>
  <c r="D10" i="1"/>
  <c r="C10" i="1"/>
  <c r="B10" i="1"/>
  <c r="H9" i="1"/>
  <c r="G9" i="1"/>
  <c r="F9" i="1"/>
  <c r="D9" i="1"/>
  <c r="C9" i="1"/>
  <c r="B9" i="1"/>
  <c r="H8" i="1"/>
  <c r="G8" i="1"/>
  <c r="F8" i="1"/>
  <c r="D8" i="1"/>
  <c r="C8" i="1"/>
  <c r="B8" i="1"/>
  <c r="H7" i="1"/>
  <c r="G7" i="1"/>
  <c r="D7" i="1"/>
  <c r="C7" i="1"/>
  <c r="B7" i="1"/>
  <c r="H4" i="1"/>
  <c r="E4" i="1"/>
  <c r="A4" i="1"/>
  <c r="L3" i="1"/>
  <c r="H3" i="1"/>
  <c r="E3" i="1"/>
  <c r="A3" i="1"/>
  <c r="E4" i="12"/>
  <c r="C4" i="12"/>
  <c r="A4" i="12"/>
  <c r="I3" i="12"/>
  <c r="E3" i="12"/>
  <c r="C3" i="12"/>
  <c r="A3" i="12"/>
  <c r="F22" i="4" l="1"/>
  <c r="W22" i="4"/>
  <c r="F7" i="1"/>
  <c r="I7" i="1" s="1"/>
  <c r="N20" i="4"/>
  <c r="Q20" i="4" s="1"/>
  <c r="C9" i="14"/>
  <c r="F14" i="1"/>
  <c r="I14" i="1" s="1"/>
  <c r="R19" i="4"/>
  <c r="B15" i="15"/>
  <c r="B15" i="14"/>
  <c r="C18" i="14"/>
  <c r="C18" i="15"/>
  <c r="R21" i="4"/>
  <c r="B17" i="15"/>
  <c r="B17" i="14"/>
  <c r="B12" i="15"/>
  <c r="R16" i="4"/>
  <c r="B12" i="14"/>
  <c r="B13" i="14"/>
  <c r="R17" i="4"/>
  <c r="B13" i="15"/>
  <c r="B14" i="14"/>
  <c r="B14" i="15"/>
  <c r="R18" i="4"/>
  <c r="B8" i="14"/>
  <c r="B8" i="15"/>
  <c r="R10" i="4"/>
  <c r="B16" i="14"/>
  <c r="B16" i="15"/>
  <c r="R20" i="4"/>
  <c r="B10" i="15"/>
  <c r="C15" i="15"/>
  <c r="N11" i="4"/>
  <c r="Q11" i="4" s="1"/>
  <c r="R12" i="4"/>
  <c r="B13" i="4"/>
  <c r="C13" i="15"/>
  <c r="W20" i="4"/>
  <c r="C8" i="15"/>
  <c r="C11" i="15"/>
  <c r="E12" i="1"/>
  <c r="E16" i="1"/>
  <c r="E15" i="1"/>
  <c r="D18" i="1"/>
  <c r="D20" i="1" s="1"/>
  <c r="E9" i="1"/>
  <c r="E13" i="1"/>
  <c r="E17" i="1"/>
  <c r="E8" i="1"/>
  <c r="E10" i="1"/>
  <c r="E14" i="1"/>
  <c r="B18" i="1"/>
  <c r="C18" i="1"/>
  <c r="C20" i="1" s="1"/>
  <c r="E11" i="1"/>
  <c r="B20" i="1"/>
  <c r="I15" i="1"/>
  <c r="K15" i="1" s="1"/>
  <c r="E7" i="1"/>
  <c r="I10" i="1"/>
  <c r="H18" i="1"/>
  <c r="H20" i="1" s="1"/>
  <c r="G18" i="1"/>
  <c r="I12" i="1"/>
  <c r="I13" i="1"/>
  <c r="J13" i="1" s="1"/>
  <c r="I11" i="1"/>
  <c r="I9" i="1"/>
  <c r="I17" i="1"/>
  <c r="I8" i="1"/>
  <c r="I16" i="1"/>
  <c r="R9" i="4"/>
  <c r="B7" i="15"/>
  <c r="B7" i="14"/>
  <c r="F18" i="1" l="1"/>
  <c r="F20" i="1" s="1"/>
  <c r="J12" i="1"/>
  <c r="K16" i="1"/>
  <c r="C16" i="14"/>
  <c r="C16" i="15"/>
  <c r="N13" i="4"/>
  <c r="B22" i="4"/>
  <c r="B9" i="15"/>
  <c r="R11" i="4"/>
  <c r="B9" i="14"/>
  <c r="K8" i="1"/>
  <c r="J9" i="1"/>
  <c r="K13" i="1"/>
  <c r="J15" i="1"/>
  <c r="K11" i="1"/>
  <c r="K10" i="1"/>
  <c r="K14" i="1"/>
  <c r="K17" i="1"/>
  <c r="E18" i="1"/>
  <c r="E20" i="1" s="1"/>
  <c r="J14" i="1"/>
  <c r="J10" i="1"/>
  <c r="J17" i="1"/>
  <c r="I18" i="1"/>
  <c r="I20" i="1" s="1"/>
  <c r="G20" i="1"/>
  <c r="K12" i="1"/>
  <c r="J11" i="1"/>
  <c r="J8" i="1"/>
  <c r="J16" i="1"/>
  <c r="K9" i="1"/>
  <c r="K7" i="1"/>
  <c r="J7" i="1"/>
  <c r="Q13" i="4" l="1"/>
  <c r="N22" i="4"/>
  <c r="J18" i="1"/>
  <c r="K18" i="1"/>
  <c r="N23" i="4" l="1"/>
  <c r="F23" i="4"/>
  <c r="M23" i="4"/>
  <c r="E23" i="4"/>
  <c r="L23" i="4"/>
  <c r="D23" i="4"/>
  <c r="K23" i="4"/>
  <c r="C23" i="4"/>
  <c r="G23" i="4"/>
  <c r="J23" i="4"/>
  <c r="B23" i="4"/>
  <c r="H23" i="4"/>
  <c r="I23" i="4"/>
  <c r="Q22" i="4"/>
  <c r="B11" i="14"/>
  <c r="B11" i="15"/>
  <c r="R13" i="4"/>
  <c r="G23" i="20" l="1"/>
  <c r="G24" i="20" s="1"/>
  <c r="B18" i="15"/>
  <c r="B18" i="14"/>
  <c r="R22" i="4"/>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<sst xmlns="http://schemas.openxmlformats.org/spreadsheetml/2006/main" count="393" uniqueCount="289">
  <si>
    <r>
      <rPr>
        <b/>
        <sz val="12"/>
        <rFont val="宋体"/>
        <family val="3"/>
        <charset val="134"/>
      </rPr>
      <t>底稿开列时，可先在以下单元格填写有关内容，以便其他底稿引用有关数据：</t>
    </r>
  </si>
  <si>
    <r>
      <rPr>
        <sz val="10"/>
        <rFont val="宋体"/>
        <family val="3"/>
        <charset val="134"/>
      </rPr>
      <t>被审计单位：</t>
    </r>
  </si>
  <si>
    <r>
      <rPr>
        <b/>
        <sz val="12"/>
        <color indexed="8"/>
        <rFont val="宋体"/>
        <family val="3"/>
        <charset val="134"/>
      </rPr>
      <t>目录</t>
    </r>
  </si>
  <si>
    <t>编制人：</t>
  </si>
  <si>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</si>
  <si>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</si>
  <si>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</si>
  <si>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</si>
  <si>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编制日期：</t>
  </si>
  <si>
    <t>实质性程序表</t>
  </si>
  <si>
    <t>L8A</t>
  </si>
  <si>
    <t>复核人：</t>
  </si>
  <si>
    <t>审定表</t>
  </si>
  <si>
    <t>L8-1</t>
  </si>
  <si>
    <t>复核日期：</t>
  </si>
  <si>
    <r>
      <rPr>
        <u/>
        <sz val="10"/>
        <color indexed="12"/>
        <rFont val="宋体"/>
        <family val="3"/>
        <charset val="134"/>
      </rPr>
      <t>附注披露信息（上市公司）</t>
    </r>
  </si>
  <si>
    <t>无需打印</t>
  </si>
  <si>
    <r>
      <rPr>
        <u/>
        <sz val="10"/>
        <color indexed="12"/>
        <rFont val="宋体"/>
        <family val="3"/>
        <charset val="134"/>
      </rPr>
      <t>附注披露信息（国企）</t>
    </r>
  </si>
  <si>
    <t>明细表</t>
  </si>
  <si>
    <t>L8-2</t>
  </si>
  <si>
    <t>调整分录汇总</t>
  </si>
  <si>
    <t>L8-3</t>
  </si>
  <si>
    <t>非金融机构利息支出测算表</t>
  </si>
  <si>
    <t>L8-4</t>
  </si>
  <si>
    <t>截止性测试</t>
  </si>
  <si>
    <t>L8-5</t>
  </si>
  <si>
    <t>财务费用检查表</t>
  </si>
  <si>
    <t>L8-6</t>
  </si>
  <si>
    <t>致同会计师事务所</t>
  </si>
  <si>
    <t>财务费用实质性程序</t>
  </si>
  <si>
    <r>
      <rPr>
        <sz val="10"/>
        <rFont val="宋体"/>
        <family val="3"/>
        <charset val="134"/>
      </rPr>
      <t>索引号：</t>
    </r>
  </si>
  <si>
    <r>
      <rPr>
        <sz val="10"/>
        <rFont val="宋体"/>
        <family val="3"/>
        <charset val="134"/>
      </rPr>
      <t>页次：</t>
    </r>
  </si>
  <si>
    <t>一、本账户涉及的科目</t>
  </si>
  <si>
    <t>财务费用</t>
  </si>
  <si>
    <t>二、审计目标与认定的对应关系</t>
  </si>
  <si>
    <t>审计目标</t>
  </si>
  <si>
    <r>
      <rPr>
        <b/>
        <sz val="10"/>
        <rFont val="宋体"/>
        <family val="3"/>
        <charset val="134"/>
      </rPr>
      <t>财务报表的认定　</t>
    </r>
  </si>
  <si>
    <r>
      <rPr>
        <sz val="10"/>
        <rFont val="Arial Narrow"/>
        <family val="2"/>
      </rPr>
      <t xml:space="preserve">A. </t>
    </r>
    <r>
      <rPr>
        <sz val="10"/>
        <rFont val="宋体"/>
        <family val="3"/>
        <charset val="134"/>
      </rPr>
      <t>利润表中记录的财务费用已发生，且与被审计单位有关，已记录于恰当的账户</t>
    </r>
  </si>
  <si>
    <t>发生</t>
  </si>
  <si>
    <r>
      <rPr>
        <sz val="10"/>
        <rFont val="Arial Narrow"/>
        <family val="2"/>
      </rPr>
      <t xml:space="preserve">B. </t>
    </r>
    <r>
      <rPr>
        <sz val="10"/>
        <rFont val="宋体"/>
        <family val="3"/>
        <charset val="134"/>
      </rPr>
      <t>所有应当记录的财务费用均已记录，所有应当包括在财务报表中的相关披露均已包括</t>
    </r>
  </si>
  <si>
    <r>
      <rPr>
        <sz val="10"/>
        <rFont val="宋体"/>
        <family val="3"/>
        <charset val="134"/>
      </rPr>
      <t>完整性</t>
    </r>
  </si>
  <si>
    <r>
      <rPr>
        <sz val="10"/>
        <rFont val="Arial Narrow"/>
        <family val="2"/>
      </rPr>
      <t xml:space="preserve">C. </t>
    </r>
    <r>
      <rPr>
        <sz val="10"/>
        <rFont val="宋体"/>
        <family val="3"/>
        <charset val="134"/>
      </rPr>
      <t>与财务费用有关的金额及其他数据已恰当记录，相关披露已得到恰当计量和描述</t>
    </r>
  </si>
  <si>
    <t>准确性</t>
  </si>
  <si>
    <r>
      <rPr>
        <sz val="10"/>
        <rFont val="Arial Narrow"/>
        <family val="2"/>
      </rPr>
      <t xml:space="preserve">D. </t>
    </r>
    <r>
      <rPr>
        <sz val="10"/>
        <rFont val="宋体"/>
        <family val="3"/>
        <charset val="134"/>
      </rPr>
      <t>财务费用已记录于正确的会计期间</t>
    </r>
  </si>
  <si>
    <t>截止</t>
  </si>
  <si>
    <r>
      <rPr>
        <sz val="10"/>
        <rFont val="Arial Narrow"/>
        <family val="2"/>
      </rPr>
      <t xml:space="preserve">E. </t>
    </r>
    <r>
      <rPr>
        <sz val="10"/>
        <rFont val="宋体"/>
        <family val="3"/>
        <charset val="134"/>
      </rPr>
      <t>已被恰当地汇总或分解且表述清楚，相关披露在按照企业会计准则的编制基础下是相关的、可理解的</t>
    </r>
  </si>
  <si>
    <t>列报</t>
  </si>
  <si>
    <t>三、计划实施的实质性程序</t>
  </si>
  <si>
    <t>序号</t>
  </si>
  <si>
    <t>审计程序</t>
  </si>
  <si>
    <t>程序分类</t>
  </si>
  <si>
    <t>底稿索引号</t>
  </si>
  <si>
    <t>完整性</t>
  </si>
  <si>
    <t>1</t>
  </si>
  <si>
    <r>
      <rPr>
        <sz val="10"/>
        <rFont val="宋体"/>
        <family val="3"/>
        <charset val="134"/>
      </rPr>
      <t>获取或编制明细表、执行下列程序，并编制审定表：复核加计正确；将总金额与总账、明细账合计数核对相符；将本期财务费用明细表与上期审定数据进行比较，分析两期波动的原因及合理性</t>
    </r>
    <r>
      <rPr>
        <sz val="10"/>
        <rFont val="宋体"/>
        <family val="3"/>
        <charset val="134"/>
      </rPr>
      <t>。</t>
    </r>
  </si>
  <si>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</si>
  <si>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</si>
  <si>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</si>
  <si>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</si>
  <si>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sz val="10"/>
        <color theme="1"/>
        <rFont val="宋体"/>
        <family val="3"/>
        <charset val="134"/>
      </rPr>
      <t>常规★</t>
    </r>
  </si>
  <si>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</si>
  <si>
    <t>3</t>
  </si>
  <si>
    <r>
      <rPr>
        <sz val="10"/>
        <rFont val="宋体"/>
        <family val="3"/>
        <charset val="134"/>
      </rPr>
      <t>对上期发生额的审计：结合本期审计确定财务费用的上期金额的截止是否恰当。（</t>
    </r>
    <r>
      <rPr>
        <sz val="10"/>
        <color rgb="FFFF0000"/>
        <rFont val="宋体"/>
        <family val="3"/>
        <charset val="134"/>
      </rPr>
      <t>适用于首次承接</t>
    </r>
    <r>
      <rPr>
        <sz val="10"/>
        <rFont val="宋体"/>
        <family val="3"/>
        <charset val="134"/>
      </rPr>
      <t>）</t>
    </r>
  </si>
  <si>
    <t>备选</t>
  </si>
  <si>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</si>
  <si>
    <t>4</t>
  </si>
  <si>
    <t>关注会计政策、会计估计合理性、一贯性。关注其是否利用会计政策和会计估计及其变更操纵利润。</t>
  </si>
  <si>
    <t>5</t>
  </si>
  <si>
    <t>结合货币资金审计，根据银行存款平均余额和存款平均利率复核利息收入；</t>
  </si>
  <si>
    <t>6</t>
  </si>
  <si>
    <t>根据借款平均余额、平均借款利率测算当期利息费用，与账面记录进行比较，检查其准确性和完整性。</t>
  </si>
  <si>
    <t>7</t>
  </si>
  <si>
    <t>对金融机构借款、应付债券等利息费用，结合相关科目审计，复核金额是否一致、是否合理。</t>
  </si>
  <si>
    <t>8</t>
  </si>
  <si>
    <t>对非金融机构利息，根据借款金额、期限和利率测算利息费用金额计算是否正确，将利率同以前年度及同期市场平均利率进行比较分析是否合理。</t>
  </si>
  <si>
    <t>9</t>
  </si>
  <si>
    <t>检查关联方交易：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考虑是否存在未识别的关联方，关联交易和余额披露是否正确。</t>
  </si>
  <si>
    <t>10</t>
  </si>
  <si>
    <r>
      <rPr>
        <sz val="10"/>
        <rFont val="宋体"/>
        <family val="3"/>
        <charset val="134"/>
      </rPr>
      <t>检查是否存在关联方或其他利益相关方代被审计单位承担资金成本、采用无偿或不公允的交易价格向被审计单位提供资金：
（</t>
    </r>
    <r>
      <rPr>
        <sz val="10"/>
        <rFont val="Arial Narrow"/>
        <family val="2"/>
      </rPr>
      <t>1</t>
    </r>
    <r>
      <rPr>
        <sz val="10"/>
        <rFont val="宋体"/>
        <family val="3"/>
        <charset val="134"/>
      </rPr>
      <t>）取得控股股东、实际控制人及其控制企业的财务报表，对于财务报表相关费用项目变动较大的，以及该等关联方与被审计单位存在资金往来的，询问其原因，关注费用发生真实性以及资金真实意图和流向；
（</t>
    </r>
    <r>
      <rPr>
        <sz val="10"/>
        <rFont val="Arial Narrow"/>
        <family val="2"/>
      </rPr>
      <t>3</t>
    </r>
    <r>
      <rPr>
        <sz val="10"/>
        <rFont val="宋体"/>
        <family val="3"/>
        <charset val="134"/>
      </rPr>
      <t>）调查并访谈实际控制人关于其投资领域、投资回报以及民间借贷、借贷用途、接受各类监管检查等方面的情况；
（</t>
    </r>
    <r>
      <rPr>
        <sz val="10"/>
        <rFont val="Arial Narrow"/>
        <family val="2"/>
      </rPr>
      <t>4</t>
    </r>
    <r>
      <rPr>
        <sz val="10"/>
        <rFont val="宋体"/>
        <family val="3"/>
        <charset val="134"/>
      </rPr>
      <t>）取得被审计单位及其实际控制人、控股股东、董事、监事、高管等关联方对</t>
    </r>
    <r>
      <rPr>
        <sz val="10"/>
        <rFont val="Arial Narrow"/>
        <family val="2"/>
      </rPr>
      <t>“</t>
    </r>
    <r>
      <rPr>
        <sz val="10"/>
        <rFont val="宋体"/>
        <family val="3"/>
        <charset val="134"/>
      </rPr>
      <t>关联方代为支付成本费用进行利益输送的情形</t>
    </r>
    <r>
      <rPr>
        <sz val="10"/>
        <rFont val="Arial Narrow"/>
        <family val="2"/>
      </rPr>
      <t>”</t>
    </r>
    <r>
      <rPr>
        <sz val="10"/>
        <rFont val="宋体"/>
        <family val="3"/>
        <charset val="134"/>
      </rPr>
      <t>出具的承诺书；如报告期内实际控制人转让拟</t>
    </r>
    <r>
      <rPr>
        <sz val="10"/>
        <rFont val="Arial Narrow"/>
        <family val="2"/>
      </rPr>
      <t>IPO</t>
    </r>
    <r>
      <rPr>
        <sz val="10"/>
        <rFont val="宋体"/>
        <family val="3"/>
        <charset val="134"/>
      </rPr>
      <t>企业股份或转让其他企业股权且金额较大的，需了解股权转让资金的用途；</t>
    </r>
  </si>
  <si>
    <t>IPO/上市/新三板/重组/舞弊应对</t>
  </si>
  <si>
    <t>11</t>
  </si>
  <si>
    <r>
      <rPr>
        <sz val="10"/>
        <rFont val="宋体"/>
        <family val="3"/>
        <charset val="134"/>
      </rPr>
      <t>截止测试：</t>
    </r>
    <r>
      <rPr>
        <sz val="10"/>
        <rFont val="宋体"/>
        <family val="3"/>
        <charset val="134"/>
      </rPr>
      <t>抽取资产负债表日前后若干张记账凭证，实施截止测试，存在异常迹象，应考虑是否有必要追加审计程序，对于重大跨期项目应作必要调整。</t>
    </r>
  </si>
  <si>
    <t>L8-4
/L8-5</t>
  </si>
  <si>
    <t>12</t>
  </si>
  <si>
    <t>检查与财务费用有关的的记账凭证和相应的支持性证据以确定交易的真实性，是否按规定进行相应的会计处理和披露。</t>
  </si>
  <si>
    <t>L8-7</t>
  </si>
  <si>
    <t>13</t>
  </si>
  <si>
    <t>考虑是否存在超出被审计单位正常经营活动的重大、异常交易等，根据评估的舞弊风险等因素增加的审计程序。</t>
  </si>
  <si>
    <t>14</t>
  </si>
  <si>
    <t>检查财务费用是否已按企业会计准则或其他适用的规定在财务报表中做出恰当列报和披露。</t>
  </si>
  <si>
    <r>
      <rPr>
        <sz val="10"/>
        <rFont val="Arial Narrow"/>
        <family val="2"/>
      </rPr>
      <t>A1-1/</t>
    </r>
    <r>
      <rPr>
        <sz val="10"/>
        <color rgb="FFFF0000"/>
        <rFont val="Arial Narrow"/>
        <family val="2"/>
      </rPr>
      <t>A1-15 /A1-16</t>
    </r>
  </si>
  <si>
    <t>提示：</t>
  </si>
  <si>
    <t>财务费用审定表</t>
  </si>
  <si>
    <t>索引：</t>
  </si>
  <si>
    <t>页次：</t>
  </si>
  <si>
    <t>项目</t>
  </si>
  <si>
    <t>上期数</t>
  </si>
  <si>
    <t>本期数</t>
  </si>
  <si>
    <t>本期审定数与上期
审定数的比较</t>
  </si>
  <si>
    <t>原因分析</t>
  </si>
  <si>
    <t>未审数</t>
  </si>
  <si>
    <t>账项调整</t>
  </si>
  <si>
    <t>重分类调整</t>
  </si>
  <si>
    <t>审定数</t>
  </si>
  <si>
    <t>变动额</t>
  </si>
  <si>
    <t>变动率</t>
  </si>
  <si>
    <t>利息费用总额</t>
  </si>
  <si>
    <t>减：利息资本化</t>
  </si>
  <si>
    <t>减：利息收入</t>
  </si>
  <si>
    <t>未确认融资费用</t>
  </si>
  <si>
    <t>减：未实现融资收益</t>
  </si>
  <si>
    <t>承兑汇票贴息</t>
  </si>
  <si>
    <t>汇兑损失</t>
  </si>
  <si>
    <t>减：汇兑收益</t>
  </si>
  <si>
    <t>减：汇兑损益资本化</t>
  </si>
  <si>
    <t>手续费及其他</t>
  </si>
  <si>
    <t>合计</t>
  </si>
  <si>
    <r>
      <rPr>
        <b/>
        <sz val="10"/>
        <color indexed="8"/>
        <rFont val="Arial Narrow"/>
        <family val="2"/>
      </rPr>
      <t>TB</t>
    </r>
    <r>
      <rPr>
        <b/>
        <sz val="10"/>
        <color indexed="8"/>
        <rFont val="宋体"/>
        <family val="3"/>
        <charset val="134"/>
      </rPr>
      <t>数据：</t>
    </r>
  </si>
  <si>
    <t>差异：</t>
  </si>
  <si>
    <r>
      <rPr>
        <b/>
        <sz val="10"/>
        <rFont val="Arial Narrow"/>
        <family val="2"/>
      </rPr>
      <t>1.</t>
    </r>
    <r>
      <rPr>
        <b/>
        <sz val="10"/>
        <rFont val="宋体"/>
        <family val="3"/>
        <charset val="134"/>
      </rPr>
      <t>审计说明</t>
    </r>
  </si>
  <si>
    <t>.</t>
  </si>
  <si>
    <r>
      <rPr>
        <sz val="10"/>
        <rFont val="宋体"/>
        <family val="3"/>
        <charset val="134"/>
      </rPr>
      <t>（</t>
    </r>
    <r>
      <rPr>
        <sz val="10"/>
        <rFont val="Arial Narrow"/>
        <family val="2"/>
      </rPr>
      <t>1</t>
    </r>
    <r>
      <rPr>
        <sz val="10"/>
        <rFont val="宋体"/>
        <family val="3"/>
        <charset val="134"/>
      </rPr>
      <t>）财务费用本期较上期增加（负数为减少）：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</si>
  <si>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</si>
  <si>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</si>
  <si>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</si>
  <si>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附注披露信息（上市公司）</t>
  </si>
  <si>
    <r>
      <rPr>
        <sz val="10"/>
        <rFont val="宋体"/>
        <family val="3"/>
        <charset val="134"/>
        <scheme val="minor"/>
      </rPr>
      <t>财务费用</t>
    </r>
    <r>
      <rPr>
        <sz val="10"/>
        <color indexed="12"/>
        <rFont val="宋体"/>
        <family val="3"/>
        <charset val="134"/>
        <scheme val="minor"/>
      </rPr>
      <t>（（按费用性质列示）（注：以下不存在的项目可以删除）</t>
    </r>
  </si>
  <si>
    <t>项  目</t>
  </si>
  <si>
    <r>
      <rPr>
        <b/>
        <sz val="10"/>
        <rFont val="宋体"/>
        <family val="3"/>
        <charset val="134"/>
        <scheme val="minor"/>
      </rPr>
      <t xml:space="preserve"> </t>
    </r>
    <r>
      <rPr>
        <b/>
        <sz val="10"/>
        <color indexed="8"/>
        <rFont val="宋体"/>
        <family val="3"/>
        <charset val="134"/>
        <scheme val="minor"/>
      </rPr>
      <t>本期发生额</t>
    </r>
  </si>
  <si>
    <t>上期发生额</t>
  </si>
  <si>
    <t>合  计</t>
  </si>
  <si>
    <t>说明：</t>
  </si>
  <si>
    <r>
      <rPr>
        <sz val="10"/>
        <color rgb="FFFF0000"/>
        <rFont val="宋体"/>
        <family val="3"/>
        <charset val="134"/>
        <scheme val="minor"/>
      </rPr>
      <t>利息资本化金额已计入存货和在建工程。本期用于计算确定借款费用资本化金额的资本化率为</t>
    </r>
    <r>
      <rPr>
        <sz val="10"/>
        <color indexed="10"/>
        <rFont val="宋体"/>
        <family val="3"/>
        <charset val="134"/>
        <scheme val="minor"/>
      </rPr>
      <t>XX%（上期：XX%）</t>
    </r>
  </si>
  <si>
    <t>附注披露信息(国有企业)</t>
  </si>
  <si>
    <t>本期发生额</t>
  </si>
  <si>
    <t>财务费用明细表</t>
  </si>
  <si>
    <t>索引号：</t>
  </si>
  <si>
    <r>
      <rPr>
        <b/>
        <sz val="10"/>
        <color indexed="8"/>
        <rFont val="宋体"/>
        <family val="3"/>
        <charset val="134"/>
      </rPr>
      <t>一、审计目标</t>
    </r>
    <r>
      <rPr>
        <b/>
        <sz val="10"/>
        <color indexed="8"/>
        <rFont val="Arial Narrow"/>
        <family val="2"/>
      </rPr>
      <t>:</t>
    </r>
  </si>
  <si>
    <r>
      <rPr>
        <sz val="10"/>
        <rFont val="Arial Narrow"/>
        <family val="2"/>
      </rPr>
      <t>1.</t>
    </r>
    <r>
      <rPr>
        <sz val="10"/>
        <rFont val="宋体"/>
        <family val="3"/>
        <charset val="134"/>
      </rPr>
      <t>所有应当记录的财务费用均已记录，所有应当包括在财务报表中的相关披露均已包括</t>
    </r>
    <r>
      <rPr>
        <sz val="10"/>
        <rFont val="Arial Narrow"/>
        <family val="2"/>
      </rPr>
      <t>;</t>
    </r>
  </si>
  <si>
    <r>
      <rPr>
        <sz val="10"/>
        <rFont val="Arial Narrow"/>
        <family val="2"/>
      </rPr>
      <t>2.</t>
    </r>
    <r>
      <rPr>
        <sz val="10"/>
        <rFont val="宋体"/>
        <family val="3"/>
        <charset val="134"/>
      </rPr>
      <t>与财务费用有关的金额及其他数据已恰当记录，相关披露已得到恰当计量和描述</t>
    </r>
    <r>
      <rPr>
        <sz val="10"/>
        <rFont val="Arial Narrow"/>
        <family val="2"/>
      </rPr>
      <t>;</t>
    </r>
  </si>
  <si>
    <r>
      <rPr>
        <sz val="10"/>
        <rFont val="Arial Narrow"/>
        <family val="2"/>
      </rPr>
      <t xml:space="preserve">3. </t>
    </r>
    <r>
      <rPr>
        <sz val="10"/>
        <rFont val="宋体"/>
        <family val="3"/>
        <charset val="134"/>
      </rPr>
      <t>与财务费用有关的金额及其他数据已恰当记录，相关披露已得到恰当计量和描述</t>
    </r>
  </si>
  <si>
    <t>二、审计过程：</t>
  </si>
  <si>
    <r>
      <rPr>
        <b/>
        <sz val="10"/>
        <rFont val="宋体"/>
        <family val="3"/>
        <charset val="134"/>
      </rPr>
      <t>项目</t>
    </r>
  </si>
  <si>
    <r>
      <rPr>
        <b/>
        <sz val="10"/>
        <rFont val="Arial Narrow"/>
        <family val="2"/>
      </rPr>
      <t>1</t>
    </r>
    <r>
      <rPr>
        <b/>
        <sz val="10"/>
        <rFont val="宋体"/>
        <family val="3"/>
        <charset val="134"/>
      </rPr>
      <t>月</t>
    </r>
  </si>
  <si>
    <r>
      <rPr>
        <b/>
        <sz val="10"/>
        <rFont val="Arial Narrow"/>
        <family val="2"/>
      </rPr>
      <t>2</t>
    </r>
    <r>
      <rPr>
        <b/>
        <sz val="10"/>
        <rFont val="宋体"/>
        <family val="3"/>
        <charset val="134"/>
      </rPr>
      <t>月</t>
    </r>
  </si>
  <si>
    <r>
      <rPr>
        <b/>
        <sz val="10"/>
        <rFont val="Arial Narrow"/>
        <family val="2"/>
      </rPr>
      <t>3</t>
    </r>
    <r>
      <rPr>
        <b/>
        <sz val="10"/>
        <rFont val="宋体"/>
        <family val="3"/>
        <charset val="134"/>
      </rPr>
      <t>月</t>
    </r>
  </si>
  <si>
    <r>
      <rPr>
        <b/>
        <sz val="10"/>
        <rFont val="Arial Narrow"/>
        <family val="2"/>
      </rPr>
      <t>4</t>
    </r>
    <r>
      <rPr>
        <b/>
        <sz val="10"/>
        <rFont val="宋体"/>
        <family val="3"/>
        <charset val="134"/>
      </rPr>
      <t>月</t>
    </r>
  </si>
  <si>
    <r>
      <rPr>
        <b/>
        <sz val="10"/>
        <rFont val="Arial Narrow"/>
        <family val="2"/>
      </rPr>
      <t>5</t>
    </r>
    <r>
      <rPr>
        <b/>
        <sz val="10"/>
        <rFont val="宋体"/>
        <family val="3"/>
        <charset val="134"/>
      </rPr>
      <t>月</t>
    </r>
  </si>
  <si>
    <r>
      <rPr>
        <b/>
        <sz val="10"/>
        <rFont val="Arial Narrow"/>
        <family val="2"/>
      </rPr>
      <t>6</t>
    </r>
    <r>
      <rPr>
        <b/>
        <sz val="10"/>
        <rFont val="宋体"/>
        <family val="3"/>
        <charset val="134"/>
      </rPr>
      <t>月</t>
    </r>
  </si>
  <si>
    <r>
      <rPr>
        <b/>
        <sz val="10"/>
        <rFont val="Arial Narrow"/>
        <family val="2"/>
      </rPr>
      <t>7</t>
    </r>
    <r>
      <rPr>
        <b/>
        <sz val="10"/>
        <rFont val="宋体"/>
        <family val="3"/>
        <charset val="134"/>
      </rPr>
      <t>月</t>
    </r>
  </si>
  <si>
    <r>
      <rPr>
        <b/>
        <sz val="10"/>
        <rFont val="Arial Narrow"/>
        <family val="2"/>
      </rPr>
      <t>8</t>
    </r>
    <r>
      <rPr>
        <b/>
        <sz val="10"/>
        <rFont val="宋体"/>
        <family val="3"/>
        <charset val="134"/>
      </rPr>
      <t>月</t>
    </r>
  </si>
  <si>
    <r>
      <rPr>
        <b/>
        <sz val="10"/>
        <rFont val="Arial Narrow"/>
        <family val="2"/>
      </rPr>
      <t>9</t>
    </r>
    <r>
      <rPr>
        <b/>
        <sz val="10"/>
        <rFont val="宋体"/>
        <family val="3"/>
        <charset val="134"/>
      </rPr>
      <t>月</t>
    </r>
  </si>
  <si>
    <r>
      <rPr>
        <b/>
        <sz val="10"/>
        <rFont val="Arial Narrow"/>
        <family val="2"/>
      </rPr>
      <t>10</t>
    </r>
    <r>
      <rPr>
        <b/>
        <sz val="10"/>
        <rFont val="宋体"/>
        <family val="3"/>
        <charset val="134"/>
      </rPr>
      <t>月</t>
    </r>
  </si>
  <si>
    <r>
      <rPr>
        <b/>
        <sz val="10"/>
        <rFont val="Arial Narrow"/>
        <family val="2"/>
      </rPr>
      <t>11</t>
    </r>
    <r>
      <rPr>
        <b/>
        <sz val="10"/>
        <rFont val="宋体"/>
        <family val="3"/>
        <charset val="134"/>
      </rPr>
      <t>月</t>
    </r>
  </si>
  <si>
    <r>
      <rPr>
        <b/>
        <sz val="10"/>
        <rFont val="Arial Narrow"/>
        <family val="2"/>
      </rPr>
      <t>12</t>
    </r>
    <r>
      <rPr>
        <b/>
        <sz val="10"/>
        <rFont val="宋体"/>
        <family val="3"/>
        <charset val="134"/>
      </rPr>
      <t>月</t>
    </r>
  </si>
  <si>
    <r>
      <rPr>
        <b/>
        <sz val="10"/>
        <rFont val="宋体"/>
        <family val="3"/>
        <charset val="134"/>
      </rPr>
      <t>本期未审合计</t>
    </r>
  </si>
  <si>
    <r>
      <rPr>
        <b/>
        <sz val="10"/>
        <rFont val="宋体"/>
        <family val="3"/>
        <charset val="134"/>
      </rPr>
      <t>账项调整</t>
    </r>
  </si>
  <si>
    <r>
      <rPr>
        <b/>
        <sz val="10"/>
        <rFont val="宋体"/>
        <family val="3"/>
        <charset val="134"/>
      </rPr>
      <t>重分类调整</t>
    </r>
  </si>
  <si>
    <r>
      <rPr>
        <b/>
        <sz val="10"/>
        <rFont val="宋体"/>
        <family val="3"/>
        <charset val="134"/>
      </rPr>
      <t>本期审定金额</t>
    </r>
  </si>
  <si>
    <r>
      <rPr>
        <b/>
        <sz val="10"/>
        <rFont val="宋体"/>
        <family val="3"/>
        <charset val="134"/>
      </rPr>
      <t>各项目占比</t>
    </r>
  </si>
  <si>
    <r>
      <rPr>
        <b/>
        <sz val="10"/>
        <rFont val="宋体"/>
        <family val="3"/>
        <charset val="134"/>
      </rPr>
      <t>与相关科目勾稽</t>
    </r>
  </si>
  <si>
    <r>
      <rPr>
        <b/>
        <sz val="10"/>
        <rFont val="宋体"/>
        <family val="3"/>
        <charset val="134"/>
      </rPr>
      <t>上期未审金额</t>
    </r>
  </si>
  <si>
    <r>
      <rPr>
        <b/>
        <sz val="10"/>
        <rFont val="宋体"/>
        <family val="3"/>
        <charset val="134"/>
      </rPr>
      <t>上期审定金额</t>
    </r>
  </si>
  <si>
    <r>
      <rPr>
        <sz val="10"/>
        <rFont val="宋体"/>
        <family val="3"/>
        <charset val="134"/>
      </rPr>
      <t>减：利息资本化</t>
    </r>
  </si>
  <si>
    <t>利息费用</t>
  </si>
  <si>
    <r>
      <rPr>
        <sz val="10"/>
        <rFont val="宋体"/>
        <family val="3"/>
        <charset val="134"/>
      </rPr>
      <t>利息净支出</t>
    </r>
  </si>
  <si>
    <r>
      <rPr>
        <sz val="10"/>
        <rFont val="宋体"/>
        <family val="3"/>
        <charset val="134"/>
      </rPr>
      <t>承兑汇票贴息</t>
    </r>
  </si>
  <si>
    <r>
      <rPr>
        <sz val="10"/>
        <rFont val="宋体"/>
        <family val="3"/>
        <charset val="134"/>
      </rPr>
      <t>汇兑损失</t>
    </r>
  </si>
  <si>
    <r>
      <rPr>
        <sz val="10"/>
        <rFont val="宋体"/>
        <family val="3"/>
        <charset val="134"/>
      </rPr>
      <t>减：汇兑收益</t>
    </r>
  </si>
  <si>
    <r>
      <rPr>
        <sz val="10"/>
        <rFont val="宋体"/>
        <family val="3"/>
        <charset val="134"/>
      </rPr>
      <t>减：汇兑损益资本化</t>
    </r>
  </si>
  <si>
    <r>
      <rPr>
        <sz val="10"/>
        <rFont val="宋体"/>
        <family val="3"/>
        <charset val="134"/>
      </rPr>
      <t>汇兑净损失</t>
    </r>
  </si>
  <si>
    <r>
      <rPr>
        <sz val="10"/>
        <rFont val="宋体"/>
        <family val="3"/>
        <charset val="134"/>
      </rPr>
      <t>手续费及其他</t>
    </r>
  </si>
  <si>
    <r>
      <rPr>
        <b/>
        <sz val="10"/>
        <rFont val="宋体"/>
        <family val="3"/>
        <charset val="134"/>
      </rPr>
      <t>合计</t>
    </r>
  </si>
  <si>
    <r>
      <rPr>
        <b/>
        <sz val="10"/>
        <rFont val="宋体"/>
        <family val="3"/>
        <charset val="134"/>
      </rPr>
      <t>各月比例</t>
    </r>
  </si>
  <si>
    <r>
      <rPr>
        <b/>
        <sz val="10"/>
        <rFont val="宋体"/>
        <family val="3"/>
        <charset val="134"/>
      </rPr>
      <t>三、审计说明：</t>
    </r>
  </si>
  <si>
    <r>
      <rPr>
        <sz val="10"/>
        <color rgb="FFFF0000"/>
        <rFont val="Arial Narrow"/>
        <family val="2"/>
      </rPr>
      <t>1.</t>
    </r>
    <r>
      <rPr>
        <sz val="10"/>
        <color rgb="FFFF0000"/>
        <rFont val="宋体"/>
        <family val="3"/>
        <charset val="134"/>
      </rPr>
      <t>明细账、总账、报表数核对一致；与试算平衡表核对一致；</t>
    </r>
  </si>
  <si>
    <r>
      <rPr>
        <sz val="10"/>
        <color rgb="FFFF0000"/>
        <rFont val="Arial Narrow"/>
        <family val="2"/>
      </rPr>
      <t>2.</t>
    </r>
    <r>
      <rPr>
        <sz val="10"/>
        <color rgb="FFFF0000"/>
        <rFont val="宋体"/>
        <family val="3"/>
        <charset val="134"/>
      </rPr>
      <t>根据借款平均余额</t>
    </r>
    <r>
      <rPr>
        <sz val="10"/>
        <color rgb="FFFF0000"/>
        <rFont val="Arial Narrow"/>
        <family val="2"/>
      </rPr>
      <t>XX</t>
    </r>
    <r>
      <rPr>
        <sz val="10"/>
        <color rgb="FFFF0000"/>
        <rFont val="宋体"/>
        <family val="3"/>
        <charset val="134"/>
      </rPr>
      <t>与同期市场平均利率为</t>
    </r>
    <r>
      <rPr>
        <sz val="10"/>
        <color rgb="FFFF0000"/>
        <rFont val="Arial Narrow"/>
        <family val="2"/>
      </rPr>
      <t>XX</t>
    </r>
    <r>
      <rPr>
        <sz val="10"/>
        <color rgb="FFFF0000"/>
        <rFont val="宋体"/>
        <family val="3"/>
        <charset val="134"/>
      </rPr>
      <t>测算利息费用，与账面记录进行比较，结果：</t>
    </r>
  </si>
  <si>
    <t>短期借款-利息费用</t>
  </si>
  <si>
    <r>
      <rPr>
        <sz val="10"/>
        <color rgb="FFFF0000"/>
        <rFont val="Arial Narrow"/>
        <family val="2"/>
      </rPr>
      <t>3.</t>
    </r>
    <r>
      <rPr>
        <sz val="10"/>
        <color rgb="FFFF0000"/>
        <rFont val="宋体"/>
        <family val="3"/>
        <charset val="134"/>
      </rPr>
      <t>根据银行存款平均余额</t>
    </r>
    <r>
      <rPr>
        <sz val="10"/>
        <color rgb="FFFF0000"/>
        <rFont val="Arial Narrow"/>
        <family val="2"/>
      </rPr>
      <t>XX</t>
    </r>
    <r>
      <rPr>
        <sz val="10"/>
        <color rgb="FFFF0000"/>
        <rFont val="宋体"/>
        <family val="3"/>
        <charset val="134"/>
      </rPr>
      <t>和同期市场平均存款利率测算利息收入，与账面利息收入进行核对，详见银行存款底稿</t>
    </r>
    <r>
      <rPr>
        <sz val="10"/>
        <color rgb="FFFF0000"/>
        <rFont val="Arial Narrow"/>
        <family val="2"/>
      </rPr>
      <t>XXX</t>
    </r>
    <r>
      <rPr>
        <sz val="10"/>
        <color rgb="FFFF0000"/>
        <rFont val="宋体"/>
        <family val="3"/>
        <charset val="134"/>
      </rPr>
      <t>；</t>
    </r>
  </si>
  <si>
    <t>长期借款-利息费用</t>
  </si>
  <si>
    <r>
      <rPr>
        <sz val="10"/>
        <color rgb="FFFF0000"/>
        <rFont val="Arial Narrow"/>
        <family val="2"/>
      </rPr>
      <t>4.</t>
    </r>
    <r>
      <rPr>
        <sz val="10"/>
        <color rgb="FFFF0000"/>
        <rFont val="宋体"/>
        <family val="3"/>
        <charset val="134"/>
      </rPr>
      <t>对于涉及借款费用资本化的，详见在建工程底稿</t>
    </r>
    <r>
      <rPr>
        <sz val="10"/>
        <color rgb="FFFF0000"/>
        <rFont val="Arial Narrow"/>
        <family val="2"/>
      </rPr>
      <t>XXX</t>
    </r>
    <r>
      <rPr>
        <sz val="10"/>
        <color rgb="FFFF0000"/>
        <rFont val="宋体"/>
        <family val="3"/>
        <charset val="134"/>
      </rPr>
      <t>；</t>
    </r>
  </si>
  <si>
    <t>应付债券-利息费用</t>
  </si>
  <si>
    <t>其他应付款-利息费用</t>
  </si>
  <si>
    <t>……</t>
  </si>
  <si>
    <t>校验</t>
  </si>
  <si>
    <r>
      <rPr>
        <b/>
        <sz val="10"/>
        <rFont val="宋体"/>
        <family val="3"/>
        <charset val="134"/>
      </rPr>
      <t>四、审计结论：</t>
    </r>
  </si>
  <si>
    <t>财务费用调整分录汇总表</t>
  </si>
  <si>
    <r>
      <rPr>
        <sz val="10"/>
        <color indexed="8"/>
        <rFont val="宋体"/>
        <family val="3"/>
        <charset val="134"/>
      </rPr>
      <t>索引号：</t>
    </r>
  </si>
  <si>
    <t>调整事项说明</t>
  </si>
  <si>
    <t>类别（报表调整/账项调整/其他）</t>
  </si>
  <si>
    <t>报表项目</t>
  </si>
  <si>
    <t>科目名称</t>
  </si>
  <si>
    <t>附注项目</t>
  </si>
  <si>
    <t>借方调整金额</t>
  </si>
  <si>
    <t>贷方调整金额</t>
  </si>
  <si>
    <t>索引</t>
  </si>
  <si>
    <t>备注</t>
  </si>
  <si>
    <t>提示：本底稿适用于调整分录较多、较复杂的项目，且仅列示与本报表项目相关的审计调整。项目组可根据项目实际情况选择是否使用该底稿。</t>
  </si>
  <si>
    <t>非金融机构借款利息支出测算表</t>
  </si>
  <si>
    <r>
      <rPr>
        <sz val="10"/>
        <rFont val="Arial Narrow"/>
        <family val="2"/>
      </rPr>
      <t>1.</t>
    </r>
    <r>
      <rPr>
        <sz val="10"/>
        <rFont val="宋体"/>
        <family val="3"/>
        <charset val="134"/>
      </rPr>
      <t>利润表中记录的财务费用已发生，且与被审计单位有关，已记录于恰当的账户；</t>
    </r>
  </si>
  <si>
    <r>
      <rPr>
        <sz val="10"/>
        <rFont val="Arial Narrow"/>
        <family val="2"/>
      </rPr>
      <t>2.</t>
    </r>
    <r>
      <rPr>
        <sz val="10"/>
        <rFont val="宋体"/>
        <family val="3"/>
        <charset val="134"/>
      </rPr>
      <t>所有应当记录的财务费用均已记录，所有应当包括在财务报表中的相关披露均已包括；</t>
    </r>
  </si>
  <si>
    <r>
      <rPr>
        <sz val="10"/>
        <rFont val="Arial Narrow"/>
        <family val="2"/>
      </rPr>
      <t>3.</t>
    </r>
    <r>
      <rPr>
        <sz val="10"/>
        <rFont val="宋体"/>
        <family val="3"/>
        <charset val="134"/>
      </rPr>
      <t>与财务费用有关的金额及其他数据已恰当记录，相关披露已得到恰当计量和描述。</t>
    </r>
  </si>
  <si>
    <t>核算科目</t>
  </si>
  <si>
    <t>贷款单位</t>
  </si>
  <si>
    <r>
      <rPr>
        <b/>
        <sz val="10"/>
        <rFont val="宋体"/>
        <family val="3"/>
        <charset val="134"/>
      </rPr>
      <t>实际借款日期</t>
    </r>
  </si>
  <si>
    <r>
      <rPr>
        <b/>
        <sz val="10"/>
        <rFont val="宋体"/>
        <family val="3"/>
        <charset val="134"/>
      </rPr>
      <t>实际还款日期</t>
    </r>
  </si>
  <si>
    <r>
      <rPr>
        <b/>
        <sz val="10"/>
        <rFont val="宋体"/>
        <family val="3"/>
        <charset val="134"/>
      </rPr>
      <t>年利率</t>
    </r>
  </si>
  <si>
    <r>
      <rPr>
        <b/>
        <sz val="10"/>
        <rFont val="宋体"/>
        <family val="3"/>
        <charset val="134"/>
      </rPr>
      <t>借款本金</t>
    </r>
  </si>
  <si>
    <r>
      <rPr>
        <b/>
        <sz val="10"/>
        <rFont val="宋体"/>
        <family val="3"/>
        <charset val="134"/>
      </rPr>
      <t>计息天数</t>
    </r>
  </si>
  <si>
    <r>
      <rPr>
        <b/>
        <sz val="10"/>
        <rFont val="宋体"/>
        <family val="3"/>
        <charset val="134"/>
      </rPr>
      <t>应计利息</t>
    </r>
  </si>
  <si>
    <t>借款合同索引</t>
  </si>
  <si>
    <r>
      <rPr>
        <b/>
        <sz val="10"/>
        <rFont val="宋体"/>
        <family val="3"/>
        <charset val="134"/>
      </rPr>
      <t>备</t>
    </r>
    <r>
      <rPr>
        <b/>
        <sz val="10"/>
        <rFont val="Arial Narrow"/>
        <family val="2"/>
      </rPr>
      <t xml:space="preserve">  </t>
    </r>
    <r>
      <rPr>
        <b/>
        <sz val="10"/>
        <rFont val="宋体"/>
        <family val="3"/>
        <charset val="134"/>
      </rPr>
      <t>注</t>
    </r>
  </si>
  <si>
    <r>
      <rPr>
        <b/>
        <sz val="10"/>
        <rFont val="宋体"/>
        <family val="3"/>
        <charset val="134"/>
      </rPr>
      <t>全年
账面利息支出金额</t>
    </r>
  </si>
  <si>
    <r>
      <rPr>
        <b/>
        <sz val="10"/>
        <rFont val="宋体"/>
        <family val="3"/>
        <charset val="134"/>
      </rPr>
      <t>利息计入财务费用</t>
    </r>
  </si>
  <si>
    <r>
      <rPr>
        <b/>
        <sz val="10"/>
        <rFont val="宋体"/>
        <family val="3"/>
        <charset val="134"/>
      </rPr>
      <t>利息计入在建工程</t>
    </r>
  </si>
  <si>
    <r>
      <rPr>
        <b/>
        <sz val="10"/>
        <rFont val="宋体"/>
        <family val="3"/>
        <charset val="134"/>
      </rPr>
      <t>利息计入开发成本</t>
    </r>
    <r>
      <rPr>
        <b/>
        <sz val="10"/>
        <rFont val="Arial Narrow"/>
        <family val="2"/>
      </rPr>
      <t xml:space="preserve">    </t>
    </r>
  </si>
  <si>
    <r>
      <rPr>
        <b/>
        <sz val="10"/>
        <rFont val="宋体"/>
        <family val="3"/>
        <charset val="134"/>
      </rPr>
      <t>利息计入</t>
    </r>
    <r>
      <rPr>
        <b/>
        <sz val="10"/>
        <rFont val="Arial Narrow"/>
        <family val="2"/>
      </rPr>
      <t xml:space="preserve">___________   </t>
    </r>
  </si>
  <si>
    <r>
      <rPr>
        <b/>
        <sz val="10"/>
        <rFont val="宋体"/>
        <family val="3"/>
        <charset val="134"/>
      </rPr>
      <t>差异</t>
    </r>
  </si>
  <si>
    <r>
      <rPr>
        <sz val="10"/>
        <color indexed="10"/>
        <rFont val="Arial Narrow"/>
        <family val="2"/>
      </rPr>
      <t>1.</t>
    </r>
    <r>
      <rPr>
        <sz val="10"/>
        <color indexed="10"/>
        <rFont val="宋体"/>
        <family val="3"/>
        <charset val="134"/>
      </rPr>
      <t>将利率同以前年度及市场平均利率相比较</t>
    </r>
    <r>
      <rPr>
        <sz val="10"/>
        <color indexed="10"/>
        <rFont val="Arial Narrow"/>
        <family val="2"/>
      </rPr>
      <t>……</t>
    </r>
  </si>
  <si>
    <t>2…….</t>
  </si>
  <si>
    <t>财务费用截止性测试(从记账凭证至原始凭证）</t>
  </si>
  <si>
    <t>页  次：</t>
  </si>
  <si>
    <t>一、审计目标：</t>
  </si>
  <si>
    <t>确认财务费用已记录于正确的会计期间。</t>
  </si>
  <si>
    <t>二、样本选取标准与规模：</t>
  </si>
  <si>
    <r>
      <rPr>
        <sz val="10"/>
        <rFont val="Arial Narrow"/>
        <family val="2"/>
      </rPr>
      <t>1.</t>
    </r>
    <r>
      <rPr>
        <sz val="10"/>
        <rFont val="宋体"/>
        <family val="3"/>
        <charset val="134"/>
      </rPr>
      <t>抽取资产负债表日前后（</t>
    </r>
    <r>
      <rPr>
        <sz val="10"/>
        <rFont val="Arial Narrow"/>
        <family val="2"/>
      </rPr>
      <t>____</t>
    </r>
    <r>
      <rPr>
        <sz val="10"/>
        <rFont val="宋体"/>
        <family val="3"/>
        <charset val="134"/>
      </rPr>
      <t>）天的（</t>
    </r>
    <r>
      <rPr>
        <sz val="10"/>
        <rFont val="Arial Narrow"/>
        <family val="2"/>
      </rPr>
      <t>____</t>
    </r>
    <r>
      <rPr>
        <sz val="10"/>
        <rFont val="宋体"/>
        <family val="3"/>
        <charset val="134"/>
      </rPr>
      <t>）张记账凭证，实施截止性测试，评价费用是否被记录于正确的会计期间；</t>
    </r>
  </si>
  <si>
    <r>
      <rPr>
        <sz val="10"/>
        <rFont val="Arial Narrow"/>
        <family val="2"/>
      </rPr>
      <t>2.</t>
    </r>
    <r>
      <rPr>
        <sz val="10"/>
        <rFont val="宋体"/>
        <family val="3"/>
        <charset val="134"/>
      </rPr>
      <t>对于首次承接的客户，执行前期期末的截止性测试。（适用于首次承接）</t>
    </r>
  </si>
  <si>
    <t>提示：如果存在跨期舞弊风险或者所检查样本中发现有跨期的，应扩大测试期间和样本，甚至可以考虑将截止测试期间延长至审计报告日。同时考虑是否存在内控缺陷。</t>
  </si>
  <si>
    <t>三、测试：</t>
  </si>
  <si>
    <t>记账凭证</t>
  </si>
  <si>
    <t>支出凭单</t>
  </si>
  <si>
    <t>是否跨期</t>
  </si>
  <si>
    <t>跨期金额</t>
  </si>
  <si>
    <t>日期</t>
  </si>
  <si>
    <t>凭证编号</t>
  </si>
  <si>
    <t>业务内容</t>
  </si>
  <si>
    <t>对方科目</t>
  </si>
  <si>
    <t>金额</t>
  </si>
  <si>
    <t>凭单编号</t>
  </si>
  <si>
    <t>凭单日期</t>
  </si>
  <si>
    <r>
      <rPr>
        <b/>
        <sz val="10"/>
        <rFont val="Arial Narrow"/>
        <family val="2"/>
      </rP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</si>
  <si>
    <t>四、审计说明：</t>
  </si>
  <si>
    <t>五、审计结论</t>
  </si>
  <si>
    <t>一、测试目标：</t>
  </si>
  <si>
    <r>
      <rPr>
        <sz val="10"/>
        <rFont val="Arial Narrow"/>
        <family val="2"/>
      </rPr>
      <t>1.</t>
    </r>
    <r>
      <rPr>
        <sz val="10"/>
        <rFont val="宋体"/>
        <family val="3"/>
        <charset val="134"/>
      </rPr>
      <t>所有应当记录的财务费用均已记录，所有应当包括在财务报表中的相关披露均已包括</t>
    </r>
    <r>
      <rPr>
        <sz val="10"/>
        <rFont val="Arial Narrow"/>
        <family val="2"/>
      </rPr>
      <t xml:space="preserve">;     </t>
    </r>
  </si>
  <si>
    <r>
      <rPr>
        <sz val="10"/>
        <rFont val="Arial Narrow"/>
        <family val="2"/>
      </rPr>
      <t>2.</t>
    </r>
    <r>
      <rPr>
        <sz val="10"/>
        <rFont val="宋体"/>
        <family val="3"/>
        <charset val="134"/>
      </rPr>
      <t>与财务费用有关的金额及其他数据已恰当记录，相关披露已得到恰当计量和描述；</t>
    </r>
    <r>
      <rPr>
        <sz val="10"/>
        <rFont val="Arial Narrow"/>
        <family val="2"/>
      </rPr>
      <t xml:space="preserve">    4. </t>
    </r>
    <r>
      <rPr>
        <sz val="10"/>
        <rFont val="宋体"/>
        <family val="3"/>
        <charset val="134"/>
      </rPr>
      <t>财务费用已记录于正确的会计期间</t>
    </r>
    <r>
      <rPr>
        <sz val="10"/>
        <rFont val="Arial Narrow"/>
        <family val="2"/>
      </rPr>
      <t xml:space="preserve"> </t>
    </r>
  </si>
  <si>
    <t>二、测试：</t>
  </si>
  <si>
    <t>测试原因：大额（）关联方（）大额交易频繁（）异常（）其他（）</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</si>
  <si>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</si>
  <si>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费用明细项目</t>
  </si>
  <si>
    <t>支持性文件</t>
  </si>
  <si>
    <r>
      <rPr>
        <b/>
        <sz val="10"/>
        <rFont val="宋体"/>
        <family val="3"/>
        <charset val="134"/>
      </rPr>
      <t>核对内容</t>
    </r>
  </si>
  <si>
    <t>索引号</t>
  </si>
  <si>
    <t>是否异常</t>
  </si>
  <si>
    <t>备注说明</t>
  </si>
  <si>
    <t>对方明细科目</t>
  </si>
  <si>
    <t>借方金额</t>
  </si>
  <si>
    <t>三、审计说明：</t>
  </si>
  <si>
    <t>四、审计结论：</t>
  </si>
  <si>
    <r>
      <rPr>
        <sz val="10"/>
        <rFont val="宋体"/>
        <family val="3"/>
        <charset val="134"/>
      </rPr>
      <t>会计期间：</t>
    </r>
    <r>
      <rPr>
        <sz val="10"/>
        <rFont val="Arial Narrow"/>
        <family val="2"/>
      </rPr>
      <t>202X</t>
    </r>
    <r>
      <rPr>
        <sz val="10"/>
        <rFont val="宋体"/>
        <family val="3"/>
        <charset val="134"/>
      </rPr>
      <t>年度</t>
    </r>
    <phoneticPr fontId="82" type="noConversion"/>
  </si>
  <si>
    <t>关于工作底稿与审计程序索引号对应的说明</t>
    <phoneticPr fontId="83"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</si>
  <si>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3"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</si>
  <si>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83"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</si>
  <si>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83" type="noConversion"/>
  </si>
  <si>
    <t>根据被审计单位实际情况和风险评估情况裁剪、修改或增加审计程序</t>
    <phoneticPr fontId="83" type="noConversion"/>
  </si>
  <si>
    <t>审计程序</t>
    <phoneticPr fontId="84" type="noConversion"/>
  </si>
  <si>
    <t>L8-1
/L8-2</t>
    <phoneticPr fontId="82" type="noConversion"/>
  </si>
  <si>
    <t>T1
/</t>
    <phoneticPr fontId="82" type="noConversion"/>
  </si>
  <si>
    <t>合计</t>
    <phoneticPr fontId="82" type="noConversion"/>
  </si>
  <si>
    <t>本期发生额</t>
    <phoneticPr fontId="83" type="noConversion"/>
  </si>
  <si>
    <t>检查比例</t>
    <phoneticPr fontId="83" type="noConversion"/>
  </si>
  <si>
    <r>
      <t>5.</t>
    </r>
    <r>
      <rPr>
        <sz val="10"/>
        <color rgb="FFFF0000"/>
        <rFont val="宋体"/>
        <family val="3"/>
        <charset val="134"/>
      </rPr>
      <t>对于涉及贴现费用的，详见应收票据底稿</t>
    </r>
    <r>
      <rPr>
        <sz val="10"/>
        <color rgb="FFFF0000"/>
        <rFont val="Arial Narrow"/>
        <family val="2"/>
      </rPr>
      <t>XXX</t>
    </r>
    <r>
      <rPr>
        <sz val="10"/>
        <color rgb="FFFF0000"/>
        <rFont val="宋体"/>
        <family val="3"/>
        <charset val="134"/>
      </rPr>
      <t>；</t>
    </r>
    <phoneticPr fontId="82" type="noConversion"/>
  </si>
  <si>
    <r>
      <t>6.</t>
    </r>
    <r>
      <rPr>
        <sz val="10"/>
        <color rgb="FFFF0000"/>
        <rFont val="宋体"/>
        <family val="3"/>
        <charset val="134"/>
      </rPr>
      <t>对于金融机构的利息费用的测算，详见短期借款、长期借款、应付债券底稿</t>
    </r>
    <r>
      <rPr>
        <sz val="10"/>
        <color rgb="FFFF0000"/>
        <rFont val="Arial Narrow"/>
        <family val="2"/>
      </rPr>
      <t>XXX</t>
    </r>
    <r>
      <rPr>
        <sz val="10"/>
        <color rgb="FFFF0000"/>
        <rFont val="宋体"/>
        <family val="3"/>
        <charset val="134"/>
      </rPr>
      <t>；</t>
    </r>
    <phoneticPr fontId="82" type="noConversion"/>
  </si>
  <si>
    <r>
      <t>7.</t>
    </r>
    <r>
      <rPr>
        <sz val="10"/>
        <color rgb="FFFF0000"/>
        <rFont val="宋体"/>
        <family val="3"/>
        <charset val="134"/>
      </rPr>
      <t>对于涉及汇兑损益的，结合各涉及外币核算科目的审计，确定汇兑损益</t>
    </r>
    <r>
      <rPr>
        <sz val="10"/>
        <color rgb="FFFF0000"/>
        <rFont val="Arial Narrow"/>
        <family val="2"/>
      </rPr>
      <t>/</t>
    </r>
    <r>
      <rPr>
        <sz val="10"/>
        <color rgb="FFFF0000"/>
        <rFont val="宋体"/>
        <family val="3"/>
        <charset val="134"/>
      </rPr>
      <t>收益的总体合理性。</t>
    </r>
    <phoneticPr fontId="82" type="noConversion"/>
  </si>
  <si>
    <r>
      <t>8.</t>
    </r>
    <r>
      <rPr>
        <sz val="10"/>
        <color rgb="FFFF0000"/>
        <rFont val="宋体"/>
        <family val="3"/>
        <charset val="134"/>
      </rPr>
      <t>将利息费用合计与各债务科目计提利息费用的金额进行勾稽核对</t>
    </r>
    <phoneticPr fontId="82" type="noConversion"/>
  </si>
  <si>
    <t>3、外币预收账款和预付账款均不满足货币性项目的定义，属于以历史成本计量的外币非货币性项目，企业在资产负债表日应当采用交易发生日的即期汇率折算，不产生汇兑损益。</t>
    <phoneticPr fontId="82" type="noConversion"/>
  </si>
  <si>
    <t>1、本科目核算企业为筹集生产经营所需资金等而发生的筹资费用，包括利息费用(减利息收入)、汇兑损益以及相关的手续费等。</t>
    <phoneticPr fontId="82" type="noConversion"/>
  </si>
  <si>
    <t>购入即可使用的资产，或者购入后需要安装但所需安装时间较短的资产，或者需要建造或生产但建造或生产时间较短的资产，均不属于符合资本化条件的资产，例如企业取得的采矿权等。</t>
    <phoneticPr fontId="82" type="noConversion"/>
  </si>
  <si>
    <t>在该情形下，土地使用权在取得时通常已达到预定使用状态，土地使用权不满足借款费用准则规定的“符合资本化条件的资产”定义。因此，根据借款费用准则，企业应当以建造支出</t>
    <phoneticPr fontId="82" type="noConversion"/>
  </si>
  <si>
    <t>（包括土地使用权在房屋建造期间计入在建工程的摊销金额）为基础，而不是以土地使用权支出为基础，确定应予资本化的借款费用金额。</t>
    <phoneticPr fontId="82" type="noConversion"/>
  </si>
  <si>
    <t>使用权资产于租赁期开始日便达到预定可使用状态，租赁负债相关利息费用不应资本化计入使用权资产。租赁期开始日后，租赁负债可视同企业的一般借款。</t>
    <phoneticPr fontId="82" type="noConversion"/>
  </si>
  <si>
    <t>2、利息费用不包括企业在销售商品时给予客户的现金折扣（按可变对价的相关规定冲减当期收入）；</t>
    <phoneticPr fontId="82" type="noConversion"/>
  </si>
  <si>
    <t>4、为购建或生产满足资本化条件的资产发生的应予资本化的借款费用，在“在建工程”、“制造费用”等科目核算。</t>
    <phoneticPr fontId="82" type="noConversion"/>
  </si>
  <si>
    <t>5、符合资本化条件的资产，是指需要经过相当长时间的购建或者生产活动才能达到预定可使用或者可销售状态的固定资产、投资性房地产和存货等资产。</t>
    <phoneticPr fontId="82" type="noConversion"/>
  </si>
  <si>
    <t>6、非房地产开发企业自行开发建造厂房等建筑物，土地使用权与建筑物应当分别进行会计处理，土地使用权的账面价值不与地上建筑物合并计算其成本，而仍作为无形资产进行会计处理。</t>
    <phoneticPr fontId="82" type="noConversion"/>
  </si>
  <si>
    <t>7、企业应当将租赁负债视同为获取使用权资产而发生的专门借款。使用权资产作为一项权利资产，租赁期开始日即可供承租人使用，因而无论租赁资产本身是否达到企业计划用途，</t>
    <phoneticPr fontId="82" type="noConversion"/>
  </si>
  <si>
    <t>8、报表项目列报</t>
    <phoneticPr fontId="82" type="noConversion"/>
  </si>
  <si>
    <t>“利息费用”和“利息收入”项目的填列：“利息费用”行项目，反映企业为筹集生产经营所需资金等而发生的应予费用化的利息支出；“利息收入”行项目，反映企业按照相关会计</t>
    <phoneticPr fontId="82" type="noConversion"/>
  </si>
  <si>
    <r>
      <rPr>
        <sz val="12"/>
        <rFont val="宋体"/>
        <family val="3"/>
        <charset val="134"/>
      </rPr>
      <t>准则确认的应冲减财务费用的利息收入。利息收入主要为银行存款产生的利息收入，以及根据《企业会计准则第</t>
    </r>
    <r>
      <rPr>
        <sz val="12"/>
        <rFont val="Arial Narrow"/>
        <family val="2"/>
      </rPr>
      <t>14</t>
    </r>
    <r>
      <rPr>
        <sz val="12"/>
        <rFont val="宋体"/>
        <family val="3"/>
        <charset val="134"/>
      </rPr>
      <t>号</t>
    </r>
    <r>
      <rPr>
        <sz val="12"/>
        <rFont val="Arial Narrow"/>
        <family val="2"/>
      </rPr>
      <t>——</t>
    </r>
    <r>
      <rPr>
        <sz val="12"/>
        <rFont val="宋体"/>
        <family val="3"/>
        <charset val="134"/>
      </rPr>
      <t>收入》的相关规定确认的利息收入。这两个行项目为</t>
    </r>
    <r>
      <rPr>
        <sz val="12"/>
        <rFont val="Arial Narrow"/>
        <family val="2"/>
      </rPr>
      <t>“</t>
    </r>
    <r>
      <rPr>
        <sz val="12"/>
        <rFont val="宋体"/>
        <family val="3"/>
        <charset val="134"/>
      </rPr>
      <t>财务费用</t>
    </r>
    <r>
      <rPr>
        <sz val="12"/>
        <rFont val="Arial Narrow"/>
        <family val="2"/>
      </rPr>
      <t>”</t>
    </r>
    <r>
      <rPr>
        <sz val="12"/>
        <rFont val="宋体"/>
        <family val="3"/>
        <charset val="134"/>
      </rPr>
      <t>行项目的其中项，均以正数填列。</t>
    </r>
    <phoneticPr fontId="8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</si>
</sst>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quot;$&quot;#,##0_);\(&quot;$&quot;#,##0\)"/>
    <numFmt numFmtId="187" formatCode="_(&quot;$&quot;* #,##0_);_(&quot;$&quot;* \(#,##0\);_(&quot;$&quot;* &quot;-&quot;_);_(@_)"/>
    <numFmt numFmtId="188" formatCode="&quot;\&quot;#,##0;[Red]&quot;\&quot;&quot;\&quot;&quot;\&quot;\-#,##0"/>
    <numFmt numFmtId="189" formatCode="&quot;\&quot;#,##0.00;[Red]&quot;\&quot;&quot;\&quot;&quot;\&quot;\-#,##0.00"/>
    <numFmt numFmtId="190" formatCode="_([$€-2]* #,##0.00_);_([$€-2]* \(#,##0.00\);_([$€-2]* &quot;-&quot;??_)"/>
    <numFmt numFmtId="191" formatCode="&quot;\&quot;#,##0;[Red]&quot;\&quot;&quot;\&quot;\-#,##0"/>
    <numFmt numFmtId="192" formatCode="&quot;\&quot;#,##0.00;[Red]&quot;\&quot;&quot;\&quot;\-#,##0.00"/>
    <numFmt numFmtId="193" formatCode="&quot;\&quot;#,##0;&quot;\&quot;&quot;\&quot;\-#,##0"/>
    <numFmt numFmtId="194" formatCode="&quot;\&quot;#,##0.00;[Red]&quot;\&quot;&quot;\&quot;&quot;\&quot;&quot;\&quot;&quot;\&quot;&quot;\&quot;\-#,##0.00"/>
    <numFmt numFmtId="195" formatCode="&quot;\&quot;#,##0.00;[Red]&quot;\&quot;\-#,##0.00"/>
    <numFmt numFmtId="196" formatCode="&quot;\&quot;#,##0;[Red]&quot;\&quot;\-#,##0"/>
    <numFmt numFmtId="197" formatCode="0.00_);[Red]\(0.00\)"/>
    <numFmt numFmtId="198" formatCode="#,##0.00_ "/>
    <numFmt numFmtId="199" formatCode="#,##0_ "/>
    <numFmt numFmtId="200" formatCode="0.0%"/>
  </numFmts>
  <fonts count="87">
    <font>
      <sz val="10"/>
      <color theme="1"/>
      <name val="宋体"/>
      <charset val="134"/>
      <scheme val="minor"/>
    </font>
    <font>
      <sz val="11"/>
      <color theme="1"/>
      <name val="宋体"/>
      <family val="2"/>
      <charset val="134"/>
      <scheme val="minor"/>
    </font>
    <font>
      <b/>
      <sz val="12"/>
      <name val="Arial Narrow"/>
      <family val="2"/>
    </font>
    <font>
      <sz val="10"/>
      <name val="Arial Narrow"/>
      <family val="2"/>
    </font>
    <font>
      <b/>
      <sz val="10"/>
      <name val="Arial Narrow"/>
      <family val="2"/>
    </font>
    <font>
      <sz val="12"/>
      <name val="Arial Narrow"/>
      <family val="2"/>
    </font>
    <font>
      <b/>
      <sz val="12"/>
      <name val="宋体"/>
      <family val="3"/>
      <charset val="134"/>
    </font>
    <font>
      <b/>
      <sz val="14"/>
      <name val="宋体"/>
      <family val="3"/>
      <charset val="134"/>
    </font>
    <font>
      <b/>
      <sz val="10"/>
      <name val="宋体"/>
      <family val="3"/>
      <charset val="134"/>
    </font>
    <font>
      <sz val="10"/>
      <name val="宋体"/>
      <family val="3"/>
      <charset val="134"/>
    </font>
    <font>
      <sz val="10"/>
      <color indexed="12"/>
      <name val="Arial Narrow"/>
      <family val="2"/>
    </font>
    <font>
      <sz val="10"/>
      <color rgb="FFFF0000"/>
      <name val="Arial Narrow"/>
      <family val="2"/>
    </font>
    <font>
      <sz val="10"/>
      <color rgb="FFFF0000"/>
      <name val="宋体"/>
      <family val="3"/>
      <charset val="134"/>
    </font>
    <font>
      <sz val="10"/>
      <color indexed="8"/>
      <name val="宋体"/>
      <family val="3"/>
      <charset val="134"/>
    </font>
    <font>
      <sz val="10"/>
      <color indexed="8"/>
      <name val="Arial Narrow"/>
      <family val="2"/>
    </font>
    <font>
      <sz val="10"/>
      <color theme="1"/>
      <name val="宋体"/>
      <family val="3"/>
      <charset val="134"/>
    </font>
    <font>
      <sz val="10"/>
      <color rgb="FF0000FF"/>
      <name val="宋体"/>
      <family val="3"/>
      <charset val="134"/>
    </font>
    <font>
      <b/>
      <sz val="10"/>
      <color theme="1"/>
      <name val="Arial Narrow"/>
      <family val="2"/>
    </font>
    <font>
      <sz val="10"/>
      <color theme="1"/>
      <name val="Arial Narrow"/>
      <family val="2"/>
    </font>
    <font>
      <b/>
      <sz val="12"/>
      <name val="宋体"/>
      <family val="3"/>
      <charset val="134"/>
      <scheme val="minor"/>
    </font>
    <font>
      <b/>
      <sz val="14"/>
      <name val="Arial Narrow"/>
      <family val="2"/>
    </font>
    <font>
      <b/>
      <sz val="10"/>
      <color indexed="8"/>
      <name val="Arial Narrow"/>
      <family val="2"/>
    </font>
    <font>
      <b/>
      <sz val="10"/>
      <name val="宋体"/>
      <family val="3"/>
      <charset val="134"/>
      <scheme val="minor"/>
    </font>
    <font>
      <sz val="10"/>
      <color indexed="10"/>
      <name val="Arial Narrow"/>
      <family val="2"/>
    </font>
    <font>
      <sz val="12"/>
      <name val="宋体"/>
      <family val="3"/>
      <charset val="134"/>
    </font>
    <font>
      <b/>
      <sz val="14"/>
      <name val="宋体"/>
      <family val="3"/>
      <charset val="134"/>
      <scheme val="minor"/>
    </font>
    <font>
      <sz val="12"/>
      <name val="仿宋_GB2312"/>
      <charset val="134"/>
    </font>
    <font>
      <b/>
      <sz val="10"/>
      <color indexed="8"/>
      <name val="宋体"/>
      <family val="3"/>
      <charset val="134"/>
    </font>
    <font>
      <b/>
      <sz val="10"/>
      <color rgb="FFE92841"/>
      <name val="Arial Narrow"/>
      <family val="2"/>
    </font>
    <font>
      <sz val="12"/>
      <color indexed="12"/>
      <name val="仿宋_GB2312"/>
      <charset val="134"/>
    </font>
    <font>
      <b/>
      <sz val="10"/>
      <color indexed="10"/>
      <name val="Arial Narrow"/>
      <family val="2"/>
    </font>
    <font>
      <b/>
      <u/>
      <sz val="10"/>
      <color indexed="10"/>
      <name val="Arial Narrow"/>
      <family val="2"/>
    </font>
    <font>
      <b/>
      <sz val="10"/>
      <color indexed="12"/>
      <name val="宋体"/>
      <family val="3"/>
      <charset val="134"/>
    </font>
    <font>
      <b/>
      <sz val="10"/>
      <color rgb="FFFF0000"/>
      <name val="宋体"/>
      <family val="3"/>
      <charset val="134"/>
    </font>
    <font>
      <b/>
      <sz val="10"/>
      <color rgb="FFFF0000"/>
      <name val="Arial Narrow"/>
      <family val="2"/>
    </font>
    <font>
      <i/>
      <sz val="10"/>
      <color rgb="FFFF0000"/>
      <name val="Arial Narrow"/>
      <family val="2"/>
    </font>
    <font>
      <sz val="10"/>
      <name val="宋体"/>
      <family val="3"/>
      <charset val="134"/>
      <scheme val="minor"/>
    </font>
    <font>
      <sz val="12"/>
      <color theme="1"/>
      <name val="宋体"/>
      <family val="3"/>
      <charset val="134"/>
      <scheme val="minor"/>
    </font>
    <font>
      <b/>
      <sz val="10"/>
      <color indexed="8"/>
      <name val="仿宋_GB2312"/>
      <charset val="134"/>
    </font>
    <font>
      <sz val="12"/>
      <name val="Times New Roman"/>
      <family val="1"/>
    </font>
    <font>
      <sz val="12"/>
      <name val="宋体"/>
      <family val="3"/>
      <charset val="134"/>
      <scheme val="minor"/>
    </font>
    <font>
      <b/>
      <sz val="10"/>
      <color indexed="8"/>
      <name val="宋体"/>
      <family val="3"/>
      <charset val="134"/>
      <scheme val="minor"/>
    </font>
    <font>
      <sz val="10"/>
      <color rgb="FFFF0000"/>
      <name val="宋体"/>
      <family val="3"/>
      <charset val="134"/>
      <scheme val="minor"/>
    </font>
    <font>
      <i/>
      <u/>
      <sz val="10"/>
      <color indexed="12"/>
      <name val="Arial Narrow"/>
      <family val="2"/>
    </font>
    <font>
      <u/>
      <sz val="10"/>
      <name val="Arial Narrow"/>
      <family val="2"/>
    </font>
    <font>
      <sz val="10"/>
      <color indexed="8"/>
      <name val="宋体"/>
      <family val="3"/>
      <charset val="134"/>
      <scheme val="minor"/>
    </font>
    <font>
      <b/>
      <sz val="10"/>
      <name val="Arial"/>
      <family val="2"/>
    </font>
    <font>
      <sz val="10"/>
      <name val="Arial"/>
      <family val="2"/>
    </font>
    <font>
      <b/>
      <sz val="10"/>
      <color theme="1"/>
      <name val="宋体"/>
      <family val="3"/>
      <charset val="134"/>
    </font>
    <font>
      <b/>
      <sz val="10"/>
      <color theme="0" tint="-0.499984740745262"/>
      <name val="Arial Narrow"/>
      <family val="2"/>
    </font>
    <font>
      <sz val="11"/>
      <color theme="1"/>
      <name val="Arial Narrow"/>
      <family val="2"/>
    </font>
    <font>
      <sz val="9"/>
      <color rgb="FF0000FF"/>
      <name val="Arial Narrow"/>
      <family val="2"/>
    </font>
    <font>
      <b/>
      <sz val="12"/>
      <color indexed="8"/>
      <name val="Arial Narrow"/>
      <family val="2"/>
    </font>
    <font>
      <u/>
      <sz val="12"/>
      <color indexed="12"/>
      <name val="宋体"/>
      <family val="3"/>
      <charset val="134"/>
    </font>
    <font>
      <u/>
      <sz val="10"/>
      <color indexed="12"/>
      <name val="Arial Narrow"/>
      <family val="2"/>
    </font>
    <font>
      <sz val="10"/>
      <color rgb="FF000000"/>
      <name val="宋体"/>
      <family val="3"/>
      <charset val="134"/>
    </font>
    <font>
      <u/>
      <sz val="12"/>
      <color rgb="FF80008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b/>
      <sz val="12"/>
      <name val="Arial"/>
      <family val="2"/>
    </font>
    <font>
      <u/>
      <sz val="7.5"/>
      <color indexed="12"/>
      <name val="Arial"/>
      <family val="2"/>
    </font>
    <font>
      <sz val="10"/>
      <name val="Courier"/>
      <family val="3"/>
    </font>
    <font>
      <sz val="7"/>
      <color indexed="10"/>
      <name val="Helv"/>
      <family val="2"/>
    </font>
    <font>
      <sz val="14"/>
      <name val="柧挬"/>
      <family val="2"/>
    </font>
    <font>
      <sz val="11"/>
      <name val="明朝"/>
      <family val="2"/>
    </font>
    <font>
      <sz val="11"/>
      <color theme="1"/>
      <name val="宋体"/>
      <family val="3"/>
      <charset val="134"/>
      <scheme val="minor"/>
    </font>
    <font>
      <sz val="11"/>
      <color theme="1"/>
      <name val="宋体"/>
      <family val="3"/>
      <charset val="134"/>
      <scheme val="minor"/>
    </font>
    <font>
      <sz val="10"/>
      <color theme="1"/>
      <name val="宋体"/>
      <family val="3"/>
      <charset val="134"/>
      <scheme val="minor"/>
    </font>
    <font>
      <sz val="12"/>
      <name val="官帕眉"/>
      <family val="2"/>
    </font>
    <font>
      <sz val="10"/>
      <name val="奔覆眉"/>
      <family val="2"/>
    </font>
    <font>
      <sz val="12"/>
      <name val="柧挬"/>
      <family val="2"/>
    </font>
    <font>
      <u/>
      <sz val="10"/>
      <color indexed="12"/>
      <name val="宋体"/>
      <family val="3"/>
      <charset val="134"/>
    </font>
    <font>
      <b/>
      <sz val="12"/>
      <color indexed="8"/>
      <name val="宋体"/>
      <family val="3"/>
      <charset val="134"/>
    </font>
    <font>
      <sz val="9"/>
      <color rgb="FF0000FF"/>
      <name val="宋体"/>
      <family val="3"/>
      <charset val="134"/>
    </font>
    <font>
      <sz val="10"/>
      <color indexed="10"/>
      <name val="宋体"/>
      <family val="3"/>
      <charset val="134"/>
    </font>
    <font>
      <sz val="10"/>
      <color indexed="10"/>
      <name val="宋体"/>
      <family val="3"/>
      <charset val="134"/>
      <scheme val="minor"/>
    </font>
    <font>
      <sz val="10"/>
      <color indexed="12"/>
      <name val="宋体"/>
      <family val="3"/>
      <charset val="134"/>
      <scheme val="minor"/>
    </font>
    <font>
      <sz val="9"/>
      <name val="宋体"/>
      <family val="3"/>
      <charset val="134"/>
      <scheme val="minor"/>
    </font>
    <font>
      <sz val="9"/>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12">
    <fill>
      <patternFill patternType="none"/>
    </fill>
    <fill>
      <patternFill patternType="gray125"/>
    </fill>
    <fill>
      <patternFill patternType="solid">
        <fgColor rgb="FFE4DFEC"/>
        <bgColor indexed="64"/>
      </patternFill>
    </fill>
    <fill>
      <patternFill patternType="solid">
        <fgColor rgb="FFE4DFEC"/>
        <bgColor rgb="FFB7DEE8"/>
      </patternFill>
    </fill>
    <fill>
      <patternFill patternType="solid">
        <fgColor theme="7" tint="0.79995117038483843"/>
        <bgColor indexed="64"/>
      </patternFill>
    </fill>
    <fill>
      <patternFill patternType="solid">
        <fgColor theme="7" tint="0.79992065187536243"/>
        <bgColor indexed="64"/>
      </patternFill>
    </fill>
    <fill>
      <patternFill patternType="solid">
        <fgColor theme="0" tint="-0.14993743705557422"/>
        <bgColor indexed="64"/>
      </patternFill>
    </fill>
    <fill>
      <patternFill patternType="solid">
        <fgColor theme="0" tint="-0.14996795556505021"/>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13">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88">
    <xf numFmtId="0" fontId="0" fillId="0" borderId="0">
      <alignment vertical="center"/>
    </xf>
    <xf numFmtId="43" fontId="24" fillId="0" borderId="0" applyFont="0" applyFill="0" applyBorder="0" applyAlignment="0" applyProtection="0"/>
    <xf numFmtId="9" fontId="24" fillId="0" borderId="0" applyFont="0" applyFill="0" applyBorder="0" applyAlignment="0" applyProtection="0"/>
    <xf numFmtId="0" fontId="53" fillId="0" borderId="0" applyNumberFormat="0" applyFill="0" applyBorder="0" applyAlignment="0" applyProtection="0">
      <alignment vertical="top"/>
      <protection locked="0"/>
    </xf>
    <xf numFmtId="49" fontId="57" fillId="0" borderId="0" applyProtection="0">
      <alignment horizontal="left"/>
    </xf>
    <xf numFmtId="176" fontId="57" fillId="0" borderId="0" applyFill="0" applyBorder="0" applyProtection="0">
      <alignment horizontal="right"/>
    </xf>
    <xf numFmtId="177" fontId="57" fillId="0" borderId="0" applyFill="0" applyBorder="0" applyProtection="0">
      <alignment horizontal="right"/>
    </xf>
    <xf numFmtId="178" fontId="58" fillId="0" borderId="0" applyFill="0" applyBorder="0" applyProtection="0">
      <alignment horizontal="center"/>
    </xf>
    <xf numFmtId="179" fontId="58" fillId="0" borderId="0" applyFill="0" applyBorder="0" applyProtection="0">
      <alignment horizontal="center"/>
    </xf>
    <xf numFmtId="180" fontId="59" fillId="0" borderId="0" applyFill="0" applyBorder="0" applyProtection="0">
      <alignment horizontal="right"/>
    </xf>
    <xf numFmtId="181" fontId="57" fillId="0" borderId="0" applyFill="0" applyBorder="0" applyProtection="0">
      <alignment horizontal="right"/>
    </xf>
    <xf numFmtId="182" fontId="57" fillId="0" borderId="0" applyFill="0" applyBorder="0" applyProtection="0">
      <alignment horizontal="right"/>
    </xf>
    <xf numFmtId="183" fontId="57" fillId="0" borderId="0" applyFill="0" applyBorder="0" applyProtection="0">
      <alignment horizontal="right"/>
    </xf>
    <xf numFmtId="184" fontId="57" fillId="0" borderId="0" applyFill="0" applyBorder="0" applyProtection="0">
      <alignment horizontal="right"/>
    </xf>
    <xf numFmtId="185" fontId="24" fillId="0" borderId="0" applyFont="0" applyFill="0" applyBorder="0" applyAlignment="0" applyProtection="0"/>
    <xf numFmtId="3" fontId="60" fillId="0" borderId="0"/>
    <xf numFmtId="186" fontId="61" fillId="0" borderId="12" applyAlignment="0" applyProtection="0"/>
    <xf numFmtId="187" fontId="24" fillId="0" borderId="0" applyFill="0" applyBorder="0" applyAlignment="0"/>
    <xf numFmtId="0" fontId="47" fillId="0" borderId="0" applyFont="0" applyFill="0" applyBorder="0" applyAlignment="0" applyProtection="0"/>
    <xf numFmtId="0" fontId="47" fillId="0" borderId="0" applyFont="0" applyFill="0" applyBorder="0" applyAlignment="0" applyProtection="0"/>
    <xf numFmtId="188" fontId="39" fillId="0" borderId="0" applyFont="0" applyFill="0" applyBorder="0" applyAlignment="0" applyProtection="0"/>
    <xf numFmtId="189" fontId="39" fillId="0" borderId="0" applyFont="0" applyFill="0" applyBorder="0" applyAlignment="0" applyProtection="0"/>
    <xf numFmtId="41" fontId="47" fillId="0" borderId="0" applyFont="0" applyFill="0" applyBorder="0" applyAlignment="0" applyProtection="0"/>
    <xf numFmtId="43" fontId="47" fillId="0" borderId="0" applyFont="0" applyFill="0" applyBorder="0" applyAlignment="0" applyProtection="0"/>
    <xf numFmtId="190" fontId="57" fillId="0" borderId="0" applyFont="0" applyFill="0" applyBorder="0" applyAlignment="0" applyProtection="0"/>
    <xf numFmtId="0" fontId="62" fillId="0" borderId="0" applyNumberFormat="0" applyFill="0" applyBorder="0" applyAlignment="0" applyProtection="0">
      <alignment vertical="top"/>
      <protection locked="0"/>
    </xf>
    <xf numFmtId="38" fontId="63" fillId="9" borderId="0" applyNumberFormat="0" applyBorder="0" applyAlignment="0" applyProtection="0"/>
    <xf numFmtId="0" fontId="64" fillId="0" borderId="8" applyNumberFormat="0" applyAlignment="0" applyProtection="0">
      <alignment horizontal="left" vertical="center"/>
    </xf>
    <xf numFmtId="0" fontId="64" fillId="0" borderId="9">
      <alignment horizontal="left" vertical="center"/>
    </xf>
    <xf numFmtId="0" fontId="65" fillId="0" borderId="0" applyNumberFormat="0" applyFill="0" applyBorder="0" applyAlignment="0" applyProtection="0">
      <alignment vertical="top"/>
      <protection locked="0"/>
    </xf>
    <xf numFmtId="10" fontId="63" fillId="10" borderId="11" applyNumberFormat="0" applyBorder="0" applyAlignment="0" applyProtection="0"/>
    <xf numFmtId="191" fontId="24" fillId="0" borderId="0" applyFont="0" applyFill="0" applyBorder="0" applyAlignment="0" applyProtection="0"/>
    <xf numFmtId="192" fontId="24" fillId="0" borderId="0" applyFont="0" applyFill="0" applyBorder="0" applyAlignment="0" applyProtection="0"/>
    <xf numFmtId="0" fontId="66" fillId="0" borderId="0"/>
    <xf numFmtId="193" fontId="24" fillId="0" borderId="0"/>
    <xf numFmtId="0" fontId="47" fillId="0" borderId="0"/>
    <xf numFmtId="10" fontId="47" fillId="0" borderId="0" applyFont="0" applyFill="0" applyBorder="0" applyAlignment="0" applyProtection="0"/>
    <xf numFmtId="3" fontId="67" fillId="0" borderId="0"/>
    <xf numFmtId="41" fontId="57" fillId="0" borderId="0" applyFont="0" applyFill="0" applyBorder="0" applyAlignment="0" applyProtection="0"/>
    <xf numFmtId="0" fontId="3" fillId="0" borderId="0"/>
    <xf numFmtId="9" fontId="39" fillId="0" borderId="0" applyFont="0" applyFill="0" applyBorder="0" applyAlignment="0" applyProtection="0"/>
    <xf numFmtId="9" fontId="24"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69" fillId="0" borderId="0"/>
    <xf numFmtId="0" fontId="24" fillId="0" borderId="0">
      <protection locked="0"/>
    </xf>
    <xf numFmtId="190" fontId="24" fillId="0" borderId="0">
      <alignment vertical="center"/>
      <protection locked="0"/>
    </xf>
    <xf numFmtId="0" fontId="24" fillId="0" borderId="0">
      <protection locked="0"/>
    </xf>
    <xf numFmtId="0" fontId="70" fillId="0" borderId="0"/>
    <xf numFmtId="190" fontId="71" fillId="0" borderId="0"/>
    <xf numFmtId="0" fontId="24" fillId="0" borderId="0">
      <protection locked="0"/>
    </xf>
    <xf numFmtId="190" fontId="24" fillId="0" borderId="0">
      <protection locked="0"/>
    </xf>
    <xf numFmtId="190" fontId="24" fillId="0" borderId="0">
      <protection locked="0"/>
    </xf>
    <xf numFmtId="0" fontId="9" fillId="0" borderId="0"/>
    <xf numFmtId="190" fontId="24" fillId="0" borderId="0"/>
    <xf numFmtId="190" fontId="70" fillId="0" borderId="0">
      <alignment vertical="center"/>
    </xf>
    <xf numFmtId="190" fontId="24" fillId="0" borderId="0"/>
    <xf numFmtId="190" fontId="72" fillId="0" borderId="0">
      <alignment vertical="center"/>
    </xf>
    <xf numFmtId="190" fontId="72" fillId="0" borderId="0">
      <alignment vertical="center"/>
    </xf>
    <xf numFmtId="0" fontId="70" fillId="0" borderId="0">
      <alignment vertical="center"/>
    </xf>
    <xf numFmtId="190" fontId="70" fillId="0" borderId="0">
      <alignment vertical="center"/>
    </xf>
    <xf numFmtId="0" fontId="24" fillId="0" borderId="0">
      <alignment vertical="center"/>
    </xf>
    <xf numFmtId="0" fontId="24" fillId="0" borderId="0">
      <alignment vertical="center"/>
    </xf>
    <xf numFmtId="190" fontId="24" fillId="0" borderId="0">
      <alignment vertical="center"/>
    </xf>
    <xf numFmtId="0" fontId="39" fillId="0" borderId="0"/>
    <xf numFmtId="0" fontId="39" fillId="0" borderId="0"/>
    <xf numFmtId="0" fontId="24" fillId="0" borderId="0"/>
    <xf numFmtId="190" fontId="24" fillId="0" borderId="0"/>
    <xf numFmtId="0" fontId="24" fillId="0" borderId="0" applyFill="0" applyBorder="0"/>
    <xf numFmtId="190" fontId="24" fillId="0" borderId="0" applyFill="0" applyBorder="0"/>
    <xf numFmtId="0" fontId="24" fillId="0" borderId="0">
      <alignment vertical="center"/>
    </xf>
    <xf numFmtId="19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191" fontId="47" fillId="0" borderId="0" applyFont="0" applyFill="0" applyBorder="0" applyAlignment="0" applyProtection="0"/>
    <xf numFmtId="194" fontId="47" fillId="0" borderId="0" applyFont="0" applyFill="0" applyBorder="0" applyAlignment="0" applyProtection="0"/>
    <xf numFmtId="195" fontId="73" fillId="0" borderId="0" applyFont="0" applyFill="0" applyBorder="0" applyAlignment="0" applyProtection="0"/>
    <xf numFmtId="196" fontId="73" fillId="0" borderId="0" applyFont="0" applyFill="0" applyBorder="0" applyAlignment="0" applyProtection="0"/>
    <xf numFmtId="0" fontId="39" fillId="0" borderId="0" applyBorder="0"/>
    <xf numFmtId="41" fontId="39" fillId="0" borderId="0" applyFont="0" applyFill="0" applyBorder="0" applyAlignment="0" applyProtection="0"/>
    <xf numFmtId="43" fontId="39" fillId="0" borderId="0" applyFont="0" applyFill="0" applyBorder="0" applyAlignment="0" applyProtection="0"/>
    <xf numFmtId="41" fontId="24" fillId="0" borderId="0" applyFont="0" applyFill="0" applyBorder="0" applyAlignment="0" applyProtection="0"/>
    <xf numFmtId="43" fontId="24" fillId="0" borderId="0" applyFont="0" applyFill="0" applyBorder="0" applyAlignment="0" applyProtection="0"/>
    <xf numFmtId="0" fontId="74" fillId="0" borderId="0"/>
    <xf numFmtId="0" fontId="39" fillId="0" borderId="0"/>
    <xf numFmtId="0" fontId="75" fillId="0" borderId="0"/>
    <xf numFmtId="40" fontId="68" fillId="0" borderId="0" applyFont="0" applyFill="0" applyBorder="0" applyAlignment="0" applyProtection="0"/>
    <xf numFmtId="38" fontId="68" fillId="0" borderId="0" applyFont="0" applyFill="0" applyBorder="0" applyAlignment="0" applyProtection="0"/>
    <xf numFmtId="190" fontId="1" fillId="0" borderId="0">
      <alignment vertical="center"/>
    </xf>
  </cellStyleXfs>
  <cellXfs count="390">
    <xf numFmtId="0" fontId="0" fillId="0" borderId="0" xfId="0">
      <alignment vertical="center"/>
    </xf>
    <xf numFmtId="190" fontId="2" fillId="0" borderId="0" xfId="51" applyFont="1" applyAlignment="1">
      <alignment vertical="center"/>
      <protection locked="0"/>
    </xf>
    <xf numFmtId="190" fontId="3" fillId="0" borderId="0" xfId="51" applyFont="1" applyAlignment="1">
      <alignment vertical="center"/>
      <protection locked="0"/>
    </xf>
    <xf numFmtId="190" fontId="3" fillId="0" borderId="0" xfId="67" applyFont="1" applyAlignment="1" applyProtection="1">
      <alignment vertical="center"/>
      <protection locked="0"/>
    </xf>
    <xf numFmtId="190" fontId="4" fillId="2" borderId="0" xfId="51" applyFont="1" applyFill="1" applyAlignment="1">
      <alignment vertical="center"/>
      <protection locked="0"/>
    </xf>
    <xf numFmtId="190" fontId="4" fillId="0" borderId="0" xfId="51" applyFont="1" applyAlignment="1">
      <alignment vertical="center"/>
      <protection locked="0"/>
    </xf>
    <xf numFmtId="190" fontId="5" fillId="0" borderId="0" xfId="51" applyFont="1" applyAlignment="1">
      <alignment vertical="center"/>
      <protection locked="0"/>
    </xf>
    <xf numFmtId="43" fontId="3" fillId="0" borderId="0" xfId="69" applyNumberFormat="1" applyFont="1" applyBorder="1" applyAlignment="1">
      <alignment vertical="center"/>
    </xf>
    <xf numFmtId="43" fontId="3" fillId="0" borderId="0" xfId="69" applyNumberFormat="1" applyFont="1" applyBorder="1" applyAlignment="1">
      <alignment horizontal="left" vertical="center"/>
    </xf>
    <xf numFmtId="49" fontId="3" fillId="0" borderId="0" xfId="69" applyNumberFormat="1" applyFont="1" applyBorder="1" applyAlignment="1">
      <alignment vertical="center"/>
    </xf>
    <xf numFmtId="190" fontId="8" fillId="0" borderId="0" xfId="67" applyFont="1" applyAlignment="1">
      <alignment horizontal="left" vertical="center"/>
    </xf>
    <xf numFmtId="190" fontId="4" fillId="0" borderId="0" xfId="67" applyFont="1" applyAlignment="1">
      <alignment horizontal="left" vertical="center"/>
    </xf>
    <xf numFmtId="190" fontId="3" fillId="0" borderId="0" xfId="51" applyFont="1" applyAlignment="1" applyProtection="1">
      <alignment vertical="center"/>
    </xf>
    <xf numFmtId="190" fontId="8" fillId="0" borderId="0" xfId="67" applyFont="1" applyBorder="1" applyAlignment="1">
      <alignment vertical="center"/>
    </xf>
    <xf numFmtId="0" fontId="9" fillId="0" borderId="0" xfId="66" applyFont="1" applyBorder="1" applyAlignment="1">
      <alignment vertical="center"/>
    </xf>
    <xf numFmtId="190" fontId="10" fillId="0" borderId="0" xfId="67" applyFont="1" applyBorder="1" applyAlignment="1" applyProtection="1">
      <alignment horizontal="center" vertical="center"/>
      <protection hidden="1"/>
    </xf>
    <xf numFmtId="190" fontId="3" fillId="0" borderId="0" xfId="67" applyFont="1" applyBorder="1" applyAlignment="1" applyProtection="1">
      <alignment horizontal="left" vertical="center"/>
      <protection hidden="1"/>
    </xf>
    <xf numFmtId="190" fontId="10" fillId="0" borderId="0" xfId="67" applyFont="1" applyBorder="1" applyAlignment="1" applyProtection="1">
      <alignment horizontal="left" vertical="center"/>
      <protection locked="0"/>
    </xf>
    <xf numFmtId="190" fontId="3" fillId="0" borderId="0" xfId="67" applyFont="1" applyBorder="1" applyAlignment="1" applyProtection="1">
      <alignment vertical="center"/>
      <protection locked="0"/>
    </xf>
    <xf numFmtId="190" fontId="11" fillId="0" borderId="0" xfId="58" applyFont="1" applyFill="1" applyBorder="1" applyAlignment="1" applyProtection="1">
      <alignment horizontal="left" vertical="center"/>
      <protection locked="0"/>
    </xf>
    <xf numFmtId="190" fontId="8" fillId="0" borderId="1" xfId="67" applyFont="1" applyBorder="1" applyAlignment="1">
      <alignment vertical="center"/>
    </xf>
    <xf numFmtId="190" fontId="8" fillId="2" borderId="6" xfId="51" applyFont="1" applyFill="1" applyBorder="1" applyAlignment="1">
      <alignment horizontal="center" vertical="center"/>
      <protection locked="0"/>
    </xf>
    <xf numFmtId="190" fontId="8" fillId="2" borderId="6" xfId="51" applyFont="1" applyFill="1" applyBorder="1" applyAlignment="1">
      <alignment horizontal="center" vertical="center" wrapText="1"/>
      <protection locked="0"/>
    </xf>
    <xf numFmtId="14" fontId="3" fillId="0" borderId="6" xfId="51" applyNumberFormat="1" applyFont="1" applyBorder="1" applyAlignment="1">
      <alignment horizontal="left" vertical="center"/>
      <protection locked="0"/>
    </xf>
    <xf numFmtId="14" fontId="3" fillId="0" borderId="6" xfId="51" applyNumberFormat="1" applyFont="1" applyBorder="1" applyAlignment="1">
      <alignment horizontal="center" vertical="center"/>
      <protection locked="0"/>
    </xf>
    <xf numFmtId="49" fontId="3" fillId="0" borderId="6" xfId="51" applyNumberFormat="1" applyFont="1" applyBorder="1" applyAlignment="1">
      <alignment horizontal="center" vertical="center"/>
      <protection locked="0"/>
    </xf>
    <xf numFmtId="190" fontId="3" fillId="0" borderId="6" xfId="51" applyFont="1" applyBorder="1" applyAlignment="1">
      <alignment vertical="center" wrapText="1"/>
      <protection locked="0"/>
    </xf>
    <xf numFmtId="190" fontId="3" fillId="0" borderId="6" xfId="51" applyFont="1" applyBorder="1" applyAlignment="1">
      <alignment horizontal="left" vertical="center"/>
      <protection locked="0"/>
    </xf>
    <xf numFmtId="43" fontId="3" fillId="0" borderId="6" xfId="1" applyFont="1" applyBorder="1" applyAlignment="1" applyProtection="1">
      <alignment horizontal="left" vertical="center"/>
      <protection locked="0"/>
    </xf>
    <xf numFmtId="49" fontId="4" fillId="2" borderId="6" xfId="51" applyNumberFormat="1" applyFont="1" applyFill="1" applyBorder="1" applyAlignment="1">
      <alignment horizontal="center" vertical="center"/>
      <protection locked="0"/>
    </xf>
    <xf numFmtId="190" fontId="4" fillId="2" borderId="6" xfId="51" applyFont="1" applyFill="1" applyBorder="1" applyAlignment="1">
      <alignment horizontal="left" vertical="center"/>
      <protection locked="0"/>
    </xf>
    <xf numFmtId="43" fontId="4" fillId="2" borderId="6" xfId="1" applyFont="1" applyFill="1" applyBorder="1" applyAlignment="1" applyProtection="1">
      <alignment horizontal="left" vertical="center"/>
      <protection locked="0"/>
    </xf>
    <xf numFmtId="190" fontId="3" fillId="0" borderId="7" xfId="51" applyFont="1" applyBorder="1" applyAlignment="1">
      <alignment vertical="center"/>
      <protection locked="0"/>
    </xf>
    <xf numFmtId="190" fontId="8" fillId="0" borderId="7" xfId="51" applyFont="1" applyBorder="1" applyAlignment="1">
      <alignment vertical="center"/>
      <protection locked="0"/>
    </xf>
    <xf numFmtId="190" fontId="8" fillId="0" borderId="0" xfId="51" applyFont="1" applyAlignment="1">
      <alignment vertical="center"/>
      <protection locked="0"/>
    </xf>
    <xf numFmtId="190" fontId="3" fillId="0" borderId="0" xfId="51" applyFont="1" applyAlignment="1">
      <alignment horizontal="center" vertical="center"/>
      <protection locked="0"/>
    </xf>
    <xf numFmtId="190" fontId="3" fillId="0" borderId="0" xfId="51" applyFont="1" applyAlignment="1">
      <alignment horizontal="left" vertical="center"/>
      <protection locked="0"/>
    </xf>
    <xf numFmtId="14" fontId="3" fillId="0" borderId="0" xfId="69" applyNumberFormat="1" applyFont="1" applyBorder="1" applyAlignment="1">
      <alignment horizontal="left" vertical="center"/>
    </xf>
    <xf numFmtId="14" fontId="3" fillId="0" borderId="0" xfId="51" applyNumberFormat="1" applyFont="1" applyAlignment="1">
      <alignment vertical="center"/>
      <protection locked="0"/>
    </xf>
    <xf numFmtId="190" fontId="9" fillId="0" borderId="0" xfId="51" applyFont="1" applyAlignment="1">
      <alignment horizontal="right" vertical="center"/>
      <protection locked="0"/>
    </xf>
    <xf numFmtId="190" fontId="3" fillId="0" borderId="0" xfId="51" applyFont="1" applyAlignment="1">
      <alignment vertical="center" wrapText="1"/>
      <protection locked="0"/>
    </xf>
    <xf numFmtId="190" fontId="3" fillId="0" borderId="1" xfId="67" applyFont="1" applyBorder="1" applyAlignment="1" applyProtection="1">
      <alignment vertical="center"/>
      <protection locked="0"/>
    </xf>
    <xf numFmtId="0" fontId="4" fillId="2" borderId="6" xfId="58" applyNumberFormat="1" applyFont="1" applyFill="1" applyBorder="1" applyAlignment="1" applyProtection="1">
      <alignment horizontal="center" vertical="center"/>
      <protection locked="0"/>
    </xf>
    <xf numFmtId="190" fontId="3" fillId="0" borderId="6" xfId="58" applyFont="1" applyBorder="1" applyAlignment="1" applyProtection="1">
      <alignment horizontal="center" vertical="center"/>
      <protection locked="0"/>
    </xf>
    <xf numFmtId="49" fontId="3" fillId="0" borderId="6" xfId="51" applyNumberFormat="1" applyFont="1" applyBorder="1" applyAlignment="1">
      <alignment vertical="center"/>
      <protection locked="0"/>
    </xf>
    <xf numFmtId="190" fontId="4" fillId="2" borderId="6" xfId="58" applyFont="1" applyFill="1" applyBorder="1" applyAlignment="1" applyProtection="1">
      <alignment horizontal="center" vertical="center"/>
      <protection locked="0"/>
    </xf>
    <xf numFmtId="49" fontId="4" fillId="2" borderId="6" xfId="51" applyNumberFormat="1" applyFont="1" applyFill="1" applyBorder="1" applyAlignment="1">
      <alignment vertical="center"/>
      <protection locked="0"/>
    </xf>
    <xf numFmtId="190" fontId="11" fillId="0" borderId="0" xfId="51" applyFont="1" applyAlignment="1">
      <alignment horizontal="left" vertical="center"/>
      <protection locked="0"/>
    </xf>
    <xf numFmtId="190" fontId="4" fillId="0" borderId="0" xfId="51" applyFont="1" applyAlignment="1">
      <alignment horizontal="left" vertical="center"/>
      <protection locked="0"/>
    </xf>
    <xf numFmtId="0" fontId="10" fillId="0" borderId="0" xfId="3" applyFont="1" applyAlignment="1">
      <alignment vertical="center"/>
      <protection locked="0"/>
    </xf>
    <xf numFmtId="190" fontId="9" fillId="0" borderId="0" xfId="51" applyFont="1" applyAlignment="1">
      <alignment horizontal="left" vertical="center"/>
      <protection locked="0"/>
    </xf>
    <xf numFmtId="190" fontId="5" fillId="0" borderId="0" xfId="63" applyFont="1">
      <alignment vertical="center"/>
    </xf>
    <xf numFmtId="190" fontId="8" fillId="0" borderId="0" xfId="67" applyFont="1" applyAlignment="1">
      <alignment vertical="center"/>
    </xf>
    <xf numFmtId="190" fontId="4" fillId="0" borderId="0" xfId="67" applyFont="1" applyAlignment="1">
      <alignment vertical="center"/>
    </xf>
    <xf numFmtId="190" fontId="13" fillId="0" borderId="0" xfId="57" applyFont="1" applyAlignment="1">
      <alignment horizontal="left" vertical="center"/>
    </xf>
    <xf numFmtId="190" fontId="14" fillId="0" borderId="0" xfId="57" applyFont="1" applyAlignment="1">
      <alignment horizontal="left" vertical="center"/>
    </xf>
    <xf numFmtId="190" fontId="3" fillId="0" borderId="0" xfId="51" applyFont="1" applyAlignment="1" applyProtection="1">
      <alignment horizontal="right" vertical="center"/>
    </xf>
    <xf numFmtId="190" fontId="9" fillId="0" borderId="0" xfId="51" applyFont="1" applyAlignment="1" applyProtection="1">
      <alignment vertical="center"/>
    </xf>
    <xf numFmtId="190" fontId="3" fillId="0" borderId="0" xfId="67" applyFont="1" applyFill="1" applyAlignment="1">
      <alignment vertical="center"/>
    </xf>
    <xf numFmtId="190" fontId="15" fillId="0" borderId="0" xfId="67" applyFont="1" applyFill="1" applyAlignment="1">
      <alignment vertical="center"/>
    </xf>
    <xf numFmtId="190" fontId="9" fillId="0" borderId="0" xfId="67" applyFont="1" applyFill="1" applyAlignment="1">
      <alignment vertical="center"/>
    </xf>
    <xf numFmtId="190" fontId="10" fillId="0" borderId="0" xfId="67" applyFont="1" applyAlignment="1" applyProtection="1">
      <alignment horizontal="center" vertical="center"/>
      <protection hidden="1"/>
    </xf>
    <xf numFmtId="190" fontId="3" fillId="0" borderId="0" xfId="67" applyFont="1" applyAlignment="1" applyProtection="1">
      <alignment horizontal="left" vertical="center"/>
      <protection hidden="1"/>
    </xf>
    <xf numFmtId="190" fontId="10" fillId="0" borderId="0" xfId="67" applyFont="1" applyAlignment="1" applyProtection="1">
      <alignment horizontal="left" vertical="center"/>
      <protection locked="0"/>
    </xf>
    <xf numFmtId="190" fontId="8" fillId="4" borderId="6" xfId="51" applyFont="1" applyFill="1" applyBorder="1" applyAlignment="1">
      <alignment horizontal="center" vertical="center"/>
      <protection locked="0"/>
    </xf>
    <xf numFmtId="0" fontId="3" fillId="0" borderId="6" xfId="51" applyNumberFormat="1" applyFont="1" applyBorder="1" applyAlignment="1">
      <alignment horizontal="center" vertical="center"/>
      <protection locked="0"/>
    </xf>
    <xf numFmtId="43" fontId="3" fillId="0" borderId="6" xfId="51" applyNumberFormat="1" applyFont="1" applyBorder="1" applyAlignment="1">
      <alignment horizontal="left" vertical="center"/>
      <protection locked="0"/>
    </xf>
    <xf numFmtId="43" fontId="3" fillId="0" borderId="6" xfId="51" applyNumberFormat="1" applyFont="1" applyBorder="1" applyAlignment="1">
      <alignment horizontal="center" vertical="center"/>
      <protection locked="0"/>
    </xf>
    <xf numFmtId="190" fontId="4" fillId="4" borderId="2" xfId="51" applyFont="1" applyFill="1" applyBorder="1" applyAlignment="1">
      <alignment horizontal="centerContinuous" vertical="center"/>
      <protection locked="0"/>
    </xf>
    <xf numFmtId="190" fontId="4" fillId="4" borderId="3" xfId="51" applyFont="1" applyFill="1" applyBorder="1" applyAlignment="1">
      <alignment horizontal="centerContinuous" vertical="center"/>
      <protection locked="0"/>
    </xf>
    <xf numFmtId="0" fontId="4" fillId="4" borderId="3" xfId="51" applyNumberFormat="1" applyFont="1" applyFill="1" applyBorder="1" applyAlignment="1">
      <alignment horizontal="centerContinuous" vertical="center"/>
      <protection locked="0"/>
    </xf>
    <xf numFmtId="190" fontId="16" fillId="0" borderId="0" xfId="67" applyFont="1" applyAlignment="1">
      <alignment vertical="center"/>
    </xf>
    <xf numFmtId="190" fontId="3" fillId="0" borderId="0" xfId="67" applyFont="1" applyFill="1" applyAlignment="1" applyProtection="1">
      <alignment vertical="center"/>
      <protection locked="0"/>
    </xf>
    <xf numFmtId="190" fontId="3" fillId="0" borderId="6" xfId="51" applyFont="1" applyBorder="1" applyAlignment="1">
      <alignment horizontal="center" vertical="center" wrapText="1"/>
      <protection locked="0"/>
    </xf>
    <xf numFmtId="190" fontId="4" fillId="4" borderId="4" xfId="51" applyFont="1" applyFill="1" applyBorder="1" applyAlignment="1">
      <alignment horizontal="centerContinuous" vertical="center"/>
      <protection locked="0"/>
    </xf>
    <xf numFmtId="0" fontId="5" fillId="0" borderId="0" xfId="65" applyFont="1" applyAlignment="1">
      <alignment vertical="center"/>
    </xf>
    <xf numFmtId="0" fontId="3" fillId="0" borderId="0" xfId="66" applyFont="1" applyAlignment="1" applyProtection="1">
      <alignment vertical="center"/>
      <protection locked="0"/>
    </xf>
    <xf numFmtId="0" fontId="18" fillId="0" borderId="0" xfId="0" applyFont="1">
      <alignment vertical="center"/>
    </xf>
    <xf numFmtId="43" fontId="3" fillId="0" borderId="0" xfId="68" applyNumberFormat="1" applyFont="1" applyFill="1" applyBorder="1" applyAlignment="1">
      <alignment horizontal="left" vertical="center"/>
    </xf>
    <xf numFmtId="0" fontId="5" fillId="0" borderId="0" xfId="65" applyFont="1" applyFill="1" applyAlignment="1">
      <alignment vertical="center"/>
    </xf>
    <xf numFmtId="43" fontId="3" fillId="0" borderId="0" xfId="68" applyNumberFormat="1" applyFont="1" applyFill="1" applyBorder="1" applyAlignment="1">
      <alignment vertical="center"/>
    </xf>
    <xf numFmtId="14" fontId="3" fillId="0" borderId="0" xfId="68" applyNumberFormat="1" applyFont="1" applyFill="1" applyBorder="1" applyAlignment="1">
      <alignment vertical="center"/>
    </xf>
    <xf numFmtId="14" fontId="5" fillId="0" borderId="0" xfId="65" applyNumberFormat="1" applyFont="1" applyFill="1" applyAlignment="1">
      <alignment vertical="center"/>
    </xf>
    <xf numFmtId="0" fontId="9" fillId="0" borderId="0" xfId="65" applyFont="1" applyFill="1" applyAlignment="1">
      <alignment horizontal="right" vertical="center"/>
    </xf>
    <xf numFmtId="0" fontId="21" fillId="0" borderId="0" xfId="45" applyFont="1" applyFill="1" applyAlignment="1" applyProtection="1">
      <alignment horizontal="left" vertical="center"/>
    </xf>
    <xf numFmtId="0" fontId="4" fillId="0" borderId="0" xfId="66" applyFont="1" applyFill="1" applyAlignment="1">
      <alignment horizontal="left" vertical="center"/>
    </xf>
    <xf numFmtId="0" fontId="3" fillId="0" borderId="0" xfId="66" applyFont="1" applyFill="1" applyAlignment="1" applyProtection="1">
      <alignment vertical="center"/>
      <protection locked="0"/>
    </xf>
    <xf numFmtId="0" fontId="3" fillId="0" borderId="0" xfId="45" applyFont="1" applyFill="1" applyAlignment="1" applyProtection="1">
      <alignment horizontal="left" vertical="center"/>
    </xf>
    <xf numFmtId="0" fontId="3" fillId="0" borderId="0" xfId="0" applyFont="1" applyFill="1" applyAlignment="1" applyProtection="1">
      <alignment horizontal="left" vertical="center"/>
      <protection locked="0"/>
    </xf>
    <xf numFmtId="0" fontId="3" fillId="0" borderId="0" xfId="66" applyFont="1" applyFill="1" applyAlignment="1">
      <alignment vertical="center"/>
    </xf>
    <xf numFmtId="0" fontId="22" fillId="0" borderId="0" xfId="45" applyFont="1" applyFill="1" applyAlignment="1" applyProtection="1">
      <alignment horizontal="left" vertical="center"/>
    </xf>
    <xf numFmtId="0" fontId="3" fillId="0" borderId="0" xfId="70" applyFont="1" applyFill="1">
      <alignment vertical="center"/>
    </xf>
    <xf numFmtId="0" fontId="8" fillId="2" borderId="6" xfId="45" applyFont="1" applyFill="1" applyBorder="1" applyAlignment="1">
      <alignment horizontal="center" vertical="center"/>
      <protection locked="0"/>
    </xf>
    <xf numFmtId="0" fontId="8" fillId="5" borderId="6" xfId="45" applyFont="1" applyFill="1" applyBorder="1" applyAlignment="1">
      <alignment horizontal="center" vertical="center"/>
      <protection locked="0"/>
    </xf>
    <xf numFmtId="0" fontId="3" fillId="0" borderId="6" xfId="0" applyFont="1" applyFill="1" applyBorder="1" applyAlignment="1">
      <alignment horizontal="left" vertical="center"/>
    </xf>
    <xf numFmtId="0" fontId="3" fillId="0" borderId="6" xfId="0" applyFont="1" applyFill="1" applyBorder="1" applyAlignment="1">
      <alignment horizontal="centerContinuous" vertical="center"/>
    </xf>
    <xf numFmtId="14" fontId="3" fillId="0" borderId="6" xfId="0" applyNumberFormat="1" applyFont="1" applyFill="1" applyBorder="1" applyAlignment="1">
      <alignment horizontal="center" vertical="center"/>
    </xf>
    <xf numFmtId="9" fontId="3" fillId="0" borderId="6" xfId="2" applyFont="1" applyFill="1" applyBorder="1" applyAlignment="1">
      <alignment horizontal="center" vertical="center"/>
    </xf>
    <xf numFmtId="43" fontId="3" fillId="0" borderId="6" xfId="1" applyFont="1" applyFill="1" applyBorder="1" applyAlignment="1">
      <alignment horizontal="center" vertical="center"/>
    </xf>
    <xf numFmtId="43" fontId="4" fillId="5" borderId="6" xfId="1" applyFont="1" applyFill="1" applyBorder="1" applyAlignment="1" applyProtection="1">
      <alignment horizontal="center" vertical="center"/>
      <protection locked="0"/>
    </xf>
    <xf numFmtId="0" fontId="4" fillId="0" borderId="5" xfId="0" applyFont="1" applyFill="1" applyBorder="1">
      <alignment vertical="center"/>
    </xf>
    <xf numFmtId="198" fontId="4" fillId="0" borderId="5" xfId="0" applyNumberFormat="1" applyFont="1" applyFill="1" applyBorder="1" applyAlignment="1">
      <alignment horizontal="right" vertical="center"/>
    </xf>
    <xf numFmtId="198" fontId="3" fillId="0" borderId="5" xfId="0" applyNumberFormat="1" applyFont="1" applyFill="1" applyBorder="1" applyAlignment="1">
      <alignment vertical="center"/>
    </xf>
    <xf numFmtId="198" fontId="3" fillId="0" borderId="0" xfId="0" applyNumberFormat="1" applyFont="1" applyFill="1" applyBorder="1" applyAlignment="1">
      <alignment vertical="center"/>
    </xf>
    <xf numFmtId="0" fontId="4" fillId="0" borderId="6" xfId="0" applyFont="1" applyFill="1" applyBorder="1">
      <alignment vertical="center"/>
    </xf>
    <xf numFmtId="198" fontId="4" fillId="0" borderId="6" xfId="0" applyNumberFormat="1" applyFont="1" applyFill="1" applyBorder="1" applyAlignment="1">
      <alignment horizontal="right" vertical="center"/>
    </xf>
    <xf numFmtId="198" fontId="3" fillId="0" borderId="6" xfId="0" applyNumberFormat="1" applyFont="1" applyFill="1" applyBorder="1" applyAlignment="1">
      <alignment vertical="center"/>
    </xf>
    <xf numFmtId="43" fontId="11" fillId="0" borderId="0" xfId="1" applyFont="1" applyFill="1" applyBorder="1" applyAlignment="1">
      <alignment vertical="center" shrinkToFit="1"/>
    </xf>
    <xf numFmtId="0" fontId="4" fillId="0" borderId="7" xfId="45" applyFont="1" applyFill="1" applyBorder="1" applyAlignment="1">
      <alignment horizontal="left" vertical="center"/>
      <protection locked="0"/>
    </xf>
    <xf numFmtId="0" fontId="18" fillId="0" borderId="7" xfId="0" applyFont="1" applyFill="1" applyBorder="1">
      <alignment vertical="center"/>
    </xf>
    <xf numFmtId="0" fontId="18" fillId="0" borderId="0" xfId="0" applyFont="1" applyFill="1" applyBorder="1">
      <alignment vertical="center"/>
    </xf>
    <xf numFmtId="0" fontId="23" fillId="0" borderId="0" xfId="45" applyFont="1" applyFill="1" applyAlignment="1">
      <alignment horizontal="left" vertical="center"/>
      <protection locked="0"/>
    </xf>
    <xf numFmtId="0" fontId="11" fillId="0" borderId="0" xfId="0" applyFont="1" applyFill="1">
      <alignment vertical="center"/>
    </xf>
    <xf numFmtId="0" fontId="18" fillId="0" borderId="0" xfId="0" applyFont="1" applyFill="1">
      <alignment vertical="center"/>
    </xf>
    <xf numFmtId="0" fontId="4" fillId="0" borderId="0" xfId="45" applyFont="1" applyFill="1" applyAlignment="1">
      <alignment vertical="center"/>
      <protection locked="0"/>
    </xf>
    <xf numFmtId="0" fontId="3" fillId="0" borderId="0" xfId="45" applyFont="1" applyFill="1" applyAlignment="1">
      <alignment vertical="center"/>
      <protection locked="0"/>
    </xf>
    <xf numFmtId="0" fontId="3" fillId="0" borderId="0" xfId="65" applyFont="1" applyFill="1" applyAlignment="1">
      <alignment horizontal="left" vertical="center"/>
    </xf>
    <xf numFmtId="0" fontId="3" fillId="0" borderId="6" xfId="0" applyFont="1" applyFill="1" applyBorder="1" applyAlignment="1">
      <alignment horizontal="center" vertical="center"/>
    </xf>
    <xf numFmtId="0" fontId="3" fillId="0" borderId="6" xfId="0" applyFont="1" applyFill="1" applyBorder="1">
      <alignment vertical="center"/>
    </xf>
    <xf numFmtId="0" fontId="24" fillId="0" borderId="0" xfId="50">
      <protection locked="0"/>
    </xf>
    <xf numFmtId="43" fontId="26" fillId="0" borderId="0" xfId="68" applyNumberFormat="1" applyFont="1" applyFill="1" applyBorder="1" applyAlignment="1">
      <alignment vertical="center"/>
    </xf>
    <xf numFmtId="0" fontId="27" fillId="5" borderId="6" xfId="50" applyFont="1" applyFill="1" applyBorder="1" applyAlignment="1" applyProtection="1">
      <alignment vertical="center"/>
    </xf>
    <xf numFmtId="0" fontId="27" fillId="5" borderId="6" xfId="50" applyFont="1" applyFill="1" applyBorder="1" applyAlignment="1" applyProtection="1">
      <alignment vertical="center" wrapText="1"/>
    </xf>
    <xf numFmtId="190" fontId="8" fillId="2" borderId="6" xfId="56" applyFont="1" applyFill="1" applyBorder="1" applyAlignment="1" applyProtection="1">
      <alignment horizontal="center" vertical="center" wrapText="1"/>
      <protection locked="0"/>
    </xf>
    <xf numFmtId="190" fontId="8" fillId="5" borderId="6" xfId="56" applyFont="1" applyFill="1" applyBorder="1" applyAlignment="1" applyProtection="1">
      <alignment horizontal="center" vertical="center" wrapText="1"/>
      <protection locked="0"/>
    </xf>
    <xf numFmtId="190" fontId="28" fillId="5" borderId="6" xfId="56" applyFont="1" applyFill="1" applyBorder="1" applyAlignment="1" applyProtection="1">
      <alignment horizontal="center" vertical="center" wrapText="1"/>
      <protection locked="0"/>
    </xf>
    <xf numFmtId="190" fontId="14" fillId="0" borderId="6" xfId="46" applyFont="1" applyFill="1" applyBorder="1" applyAlignment="1" applyProtection="1">
      <alignment vertical="center"/>
    </xf>
    <xf numFmtId="0" fontId="14" fillId="0" borderId="6" xfId="50" applyFont="1" applyBorder="1" applyAlignment="1" applyProtection="1">
      <alignment vertical="center"/>
    </xf>
    <xf numFmtId="43" fontId="14" fillId="0" borderId="6" xfId="1" applyFont="1" applyFill="1" applyBorder="1" applyAlignment="1" applyProtection="1">
      <alignment vertical="center"/>
    </xf>
    <xf numFmtId="14" fontId="14" fillId="0" borderId="0" xfId="59" applyNumberFormat="1" applyFont="1">
      <alignment vertical="center"/>
    </xf>
    <xf numFmtId="190" fontId="30" fillId="0" borderId="0" xfId="55" applyFont="1">
      <alignment vertical="center"/>
    </xf>
    <xf numFmtId="190" fontId="14" fillId="0" borderId="6" xfId="46" applyFont="1" applyFill="1" applyBorder="1" applyAlignment="1" applyProtection="1">
      <alignment horizontal="center" vertical="center"/>
    </xf>
    <xf numFmtId="0" fontId="5" fillId="0" borderId="0" xfId="62" applyFont="1">
      <alignment vertical="center"/>
    </xf>
    <xf numFmtId="0" fontId="3" fillId="0" borderId="0" xfId="45" applyFont="1" applyAlignment="1">
      <alignment vertical="center"/>
      <protection locked="0"/>
    </xf>
    <xf numFmtId="0" fontId="4" fillId="0" borderId="0" xfId="45" applyFont="1" applyAlignment="1">
      <alignment horizontal="center" vertical="center" wrapText="1"/>
      <protection locked="0"/>
    </xf>
    <xf numFmtId="0" fontId="5" fillId="0" borderId="0" xfId="45" applyFont="1" applyAlignment="1">
      <alignment vertical="center"/>
      <protection locked="0"/>
    </xf>
    <xf numFmtId="43" fontId="3" fillId="0" borderId="0" xfId="68" applyNumberFormat="1" applyFont="1" applyBorder="1" applyAlignment="1">
      <alignment vertical="center"/>
    </xf>
    <xf numFmtId="49" fontId="3" fillId="0" borderId="0" xfId="68" applyNumberFormat="1" applyFont="1" applyBorder="1" applyAlignment="1">
      <alignment vertical="center"/>
    </xf>
    <xf numFmtId="0" fontId="21" fillId="0" borderId="0" xfId="45" applyFont="1" applyAlignment="1" applyProtection="1">
      <alignment vertical="center"/>
    </xf>
    <xf numFmtId="0" fontId="31" fillId="0" borderId="0" xfId="45" applyFont="1" applyAlignment="1" applyProtection="1">
      <alignment horizontal="center"/>
    </xf>
    <xf numFmtId="0" fontId="3" fillId="0" borderId="0" xfId="45" applyFont="1" applyAlignment="1">
      <alignment vertical="center" wrapText="1"/>
      <protection locked="0"/>
    </xf>
    <xf numFmtId="190" fontId="3" fillId="0" borderId="0" xfId="51" applyFont="1" applyAlignment="1" applyProtection="1">
      <alignment horizontal="left" vertical="center"/>
    </xf>
    <xf numFmtId="0" fontId="22" fillId="0" borderId="0" xfId="45" applyFont="1" applyAlignment="1" applyProtection="1">
      <alignment horizontal="left" vertical="center"/>
    </xf>
    <xf numFmtId="0" fontId="3" fillId="0" borderId="0" xfId="70" applyFont="1">
      <alignment vertical="center"/>
    </xf>
    <xf numFmtId="0" fontId="4" fillId="5" borderId="6" xfId="45" applyFont="1" applyFill="1" applyBorder="1" applyAlignment="1">
      <alignment horizontal="center" vertical="center" wrapText="1"/>
      <protection locked="0"/>
    </xf>
    <xf numFmtId="199" fontId="9" fillId="0" borderId="6" xfId="61" applyNumberFormat="1" applyFont="1" applyBorder="1" applyAlignment="1">
      <alignment horizontal="left" vertical="center" shrinkToFit="1"/>
    </xf>
    <xf numFmtId="43" fontId="3" fillId="0" borderId="6" xfId="1" applyFont="1" applyBorder="1" applyAlignment="1">
      <alignment vertical="center"/>
    </xf>
    <xf numFmtId="43" fontId="14" fillId="2" borderId="6" xfId="1" applyFont="1" applyFill="1" applyBorder="1" applyAlignment="1">
      <alignment horizontal="right" vertical="center"/>
    </xf>
    <xf numFmtId="199" fontId="9" fillId="0" borderId="6" xfId="61" applyNumberFormat="1" applyFont="1" applyFill="1" applyBorder="1" applyAlignment="1">
      <alignment horizontal="left" vertical="center" shrinkToFit="1"/>
    </xf>
    <xf numFmtId="43" fontId="3" fillId="0" borderId="6" xfId="1" applyFont="1" applyFill="1" applyBorder="1" applyAlignment="1">
      <alignment vertical="center"/>
    </xf>
    <xf numFmtId="199" fontId="3" fillId="0" borderId="6" xfId="61" applyNumberFormat="1" applyFont="1" applyBorder="1" applyAlignment="1">
      <alignment horizontal="left" vertical="center" shrinkToFit="1"/>
    </xf>
    <xf numFmtId="10" fontId="14" fillId="2" borderId="6" xfId="2" applyNumberFormat="1" applyFont="1" applyFill="1" applyBorder="1" applyAlignment="1">
      <alignment horizontal="right" vertical="center"/>
    </xf>
    <xf numFmtId="0" fontId="4" fillId="0" borderId="7" xfId="45" applyFont="1" applyBorder="1" applyAlignment="1">
      <alignment vertical="center"/>
      <protection locked="0"/>
    </xf>
    <xf numFmtId="0" fontId="3" fillId="0" borderId="7" xfId="45" applyFont="1" applyBorder="1" applyAlignment="1">
      <alignment vertical="center"/>
      <protection locked="0"/>
    </xf>
    <xf numFmtId="0" fontId="11" fillId="0" borderId="0" xfId="45" applyFont="1" applyAlignment="1">
      <alignment vertical="center"/>
      <protection locked="0"/>
    </xf>
    <xf numFmtId="0" fontId="12" fillId="0" borderId="0" xfId="45" applyFont="1" applyAlignment="1">
      <alignment vertical="center"/>
      <protection locked="0"/>
    </xf>
    <xf numFmtId="0" fontId="11" fillId="0" borderId="0" xfId="45" applyFont="1" applyFill="1" applyAlignment="1">
      <alignment vertical="center"/>
      <protection locked="0"/>
    </xf>
    <xf numFmtId="0" fontId="4" fillId="0" borderId="0" xfId="45" applyFont="1" applyAlignment="1">
      <alignment vertical="center"/>
      <protection locked="0"/>
    </xf>
    <xf numFmtId="43" fontId="32" fillId="0" borderId="0" xfId="68" applyNumberFormat="1" applyFont="1" applyBorder="1" applyAlignment="1">
      <alignment vertical="center"/>
    </xf>
    <xf numFmtId="43" fontId="3" fillId="0" borderId="0" xfId="68" applyNumberFormat="1" applyFont="1" applyBorder="1" applyAlignment="1">
      <alignment horizontal="left" vertical="center"/>
    </xf>
    <xf numFmtId="0" fontId="3" fillId="0" borderId="0" xfId="45" applyFont="1" applyAlignment="1">
      <alignment horizontal="right" vertical="center"/>
      <protection locked="0"/>
    </xf>
    <xf numFmtId="0" fontId="3" fillId="0" borderId="0" xfId="45" applyFont="1" applyAlignment="1">
      <alignment horizontal="justify" vertical="center" wrapText="1"/>
      <protection locked="0"/>
    </xf>
    <xf numFmtId="190" fontId="3" fillId="0" borderId="0" xfId="51" applyFont="1" applyAlignment="1">
      <alignment horizontal="right" vertical="center"/>
      <protection locked="0"/>
    </xf>
    <xf numFmtId="190" fontId="3" fillId="0" borderId="0" xfId="51" applyFont="1" applyAlignment="1">
      <alignment horizontal="justify" vertical="center" wrapText="1"/>
      <protection locked="0"/>
    </xf>
    <xf numFmtId="43" fontId="14" fillId="0" borderId="6" xfId="1" applyFont="1" applyFill="1" applyBorder="1" applyAlignment="1">
      <alignment horizontal="right" vertical="center"/>
    </xf>
    <xf numFmtId="10" fontId="3" fillId="2" borderId="6" xfId="2" applyNumberFormat="1" applyFont="1" applyFill="1" applyBorder="1" applyAlignment="1">
      <alignment horizontal="right" vertical="center"/>
    </xf>
    <xf numFmtId="43" fontId="11" fillId="0" borderId="6" xfId="1" applyFont="1" applyFill="1" applyBorder="1" applyAlignment="1">
      <alignment horizontal="right" vertical="center"/>
    </xf>
    <xf numFmtId="0" fontId="12" fillId="0" borderId="6" xfId="45" applyFont="1" applyBorder="1" applyAlignment="1">
      <alignment vertical="center"/>
      <protection locked="0"/>
    </xf>
    <xf numFmtId="14" fontId="3" fillId="0" borderId="0" xfId="68" applyNumberFormat="1" applyFont="1" applyBorder="1" applyAlignment="1">
      <alignment horizontal="left" vertical="center"/>
    </xf>
    <xf numFmtId="14" fontId="3" fillId="0" borderId="0" xfId="45" applyNumberFormat="1" applyFont="1" applyAlignment="1">
      <alignment vertical="center"/>
      <protection locked="0"/>
    </xf>
    <xf numFmtId="0" fontId="9" fillId="0" borderId="0" xfId="45" applyFont="1" applyAlignment="1">
      <alignment horizontal="right" vertical="center"/>
      <protection locked="0"/>
    </xf>
    <xf numFmtId="43" fontId="34" fillId="0" borderId="6" xfId="1" applyFont="1" applyFill="1" applyBorder="1" applyAlignment="1">
      <alignment vertical="center"/>
    </xf>
    <xf numFmtId="199" fontId="11" fillId="0" borderId="6" xfId="61" applyNumberFormat="1" applyFont="1" applyFill="1" applyBorder="1" applyAlignment="1">
      <alignment horizontal="left" vertical="center" shrinkToFit="1"/>
    </xf>
    <xf numFmtId="199" fontId="35" fillId="0" borderId="6" xfId="61" applyNumberFormat="1" applyFont="1" applyFill="1" applyBorder="1" applyAlignment="1">
      <alignment horizontal="left" vertical="center" shrinkToFit="1"/>
    </xf>
    <xf numFmtId="43" fontId="34" fillId="0" borderId="6" xfId="1" applyFont="1" applyBorder="1" applyAlignment="1">
      <alignment vertical="center"/>
    </xf>
    <xf numFmtId="43" fontId="8" fillId="0" borderId="0" xfId="0" applyNumberFormat="1" applyFont="1">
      <alignment vertical="center"/>
    </xf>
    <xf numFmtId="43" fontId="9" fillId="0" borderId="0" xfId="0" applyNumberFormat="1" applyFont="1">
      <alignment vertical="center"/>
    </xf>
    <xf numFmtId="43" fontId="6" fillId="0" borderId="0" xfId="0" applyNumberFormat="1" applyFont="1">
      <alignment vertical="center"/>
    </xf>
    <xf numFmtId="49" fontId="3" fillId="0" borderId="0" xfId="68" applyNumberFormat="1" applyFont="1" applyFill="1" applyBorder="1" applyAlignment="1">
      <alignment vertical="center"/>
    </xf>
    <xf numFmtId="0" fontId="36" fillId="0" borderId="0" xfId="0" applyFont="1" applyAlignment="1" applyProtection="1">
      <alignment horizontal="justify" vertical="center"/>
      <protection locked="0"/>
    </xf>
    <xf numFmtId="0" fontId="3" fillId="0" borderId="0" xfId="0" applyFont="1" applyProtection="1">
      <alignment vertical="center"/>
      <protection locked="0"/>
    </xf>
    <xf numFmtId="0" fontId="37" fillId="0" borderId="0" xfId="0" applyFont="1" applyProtection="1">
      <alignment vertical="center"/>
      <protection locked="0"/>
    </xf>
    <xf numFmtId="0" fontId="22" fillId="0" borderId="8" xfId="0" applyFont="1" applyBorder="1" applyAlignment="1" applyProtection="1">
      <alignment horizontal="left" vertical="center" wrapText="1"/>
      <protection locked="0"/>
    </xf>
    <xf numFmtId="0" fontId="38" fillId="0" borderId="8" xfId="0" applyFont="1" applyBorder="1" applyAlignment="1" applyProtection="1">
      <alignment horizontal="justify" vertical="center" wrapText="1"/>
      <protection locked="0"/>
    </xf>
    <xf numFmtId="0" fontId="38" fillId="0" borderId="0" xfId="0" applyFont="1" applyBorder="1" applyAlignment="1" applyProtection="1">
      <alignment horizontal="justify" vertical="center" wrapText="1"/>
      <protection locked="0"/>
    </xf>
    <xf numFmtId="0" fontId="36" fillId="0" borderId="0" xfId="0" applyFont="1" applyAlignment="1" applyProtection="1">
      <alignment horizontal="justify" vertical="center" wrapText="1"/>
      <protection locked="0"/>
    </xf>
    <xf numFmtId="43" fontId="3" fillId="0" borderId="0" xfId="0" applyNumberFormat="1" applyFont="1" applyAlignment="1" applyProtection="1">
      <alignment horizontal="right" vertical="center" wrapText="1"/>
      <protection locked="0"/>
    </xf>
    <xf numFmtId="0" fontId="22" fillId="0" borderId="9" xfId="0" applyFont="1" applyBorder="1" applyAlignment="1" applyProtection="1">
      <alignment horizontal="justify" vertical="center" wrapText="1"/>
      <protection locked="0"/>
    </xf>
    <xf numFmtId="43" fontId="3" fillId="0" borderId="9" xfId="0" applyNumberFormat="1" applyFont="1" applyBorder="1" applyAlignment="1" applyProtection="1">
      <alignment horizontal="right" vertical="center" wrapText="1"/>
      <protection locked="0"/>
    </xf>
    <xf numFmtId="43" fontId="3" fillId="0" borderId="0" xfId="0" applyNumberFormat="1" applyFont="1" applyBorder="1" applyAlignment="1" applyProtection="1">
      <alignment horizontal="right" vertical="center" wrapText="1"/>
      <protection locked="0"/>
    </xf>
    <xf numFmtId="43" fontId="6" fillId="0" borderId="0" xfId="0" applyNumberFormat="1" applyFont="1" applyAlignment="1">
      <alignment horizontal="left" vertical="center"/>
    </xf>
    <xf numFmtId="43" fontId="19" fillId="0" borderId="0" xfId="1" applyFont="1" applyFill="1" applyBorder="1" applyAlignment="1" applyProtection="1">
      <alignment horizontal="center" vertical="center"/>
    </xf>
    <xf numFmtId="43" fontId="39" fillId="0" borderId="0" xfId="1" applyFont="1" applyFill="1" applyBorder="1" applyAlignment="1" applyProtection="1">
      <alignment vertical="center"/>
    </xf>
    <xf numFmtId="0" fontId="40" fillId="0" borderId="0" xfId="0" applyFont="1">
      <alignment vertical="center"/>
    </xf>
    <xf numFmtId="0" fontId="24" fillId="0" borderId="0" xfId="0" applyFont="1">
      <alignment vertical="center"/>
    </xf>
    <xf numFmtId="0" fontId="6" fillId="0" borderId="0" xfId="0" applyFont="1" applyAlignment="1">
      <alignment horizontal="left" vertical="center"/>
    </xf>
    <xf numFmtId="0" fontId="36" fillId="0" borderId="0" xfId="0" applyFont="1" applyAlignment="1" applyProtection="1">
      <alignment horizontal="left" vertical="center"/>
      <protection locked="0"/>
    </xf>
    <xf numFmtId="0" fontId="40" fillId="0" borderId="0" xfId="0" applyFont="1" applyProtection="1">
      <alignment vertical="center"/>
      <protection locked="0"/>
    </xf>
    <xf numFmtId="0" fontId="22" fillId="0" borderId="8" xfId="0" applyFont="1" applyBorder="1" applyAlignment="1" applyProtection="1">
      <alignment horizontal="center" vertical="center" wrapText="1"/>
      <protection locked="0"/>
    </xf>
    <xf numFmtId="0" fontId="41" fillId="0" borderId="8" xfId="0" applyFont="1" applyBorder="1" applyAlignment="1" applyProtection="1">
      <alignment horizontal="center" vertical="center" wrapText="1"/>
      <protection locked="0"/>
    </xf>
    <xf numFmtId="0" fontId="41" fillId="0" borderId="0" xfId="0" applyFont="1" applyBorder="1" applyAlignment="1" applyProtection="1">
      <alignment horizontal="center" vertical="center" wrapText="1"/>
      <protection locked="0"/>
    </xf>
    <xf numFmtId="43" fontId="5" fillId="0" borderId="0" xfId="0" applyNumberFormat="1" applyFont="1" applyAlignment="1" applyProtection="1">
      <alignment horizontal="right" vertical="center" wrapText="1"/>
      <protection locked="0"/>
    </xf>
    <xf numFmtId="43" fontId="5" fillId="0" borderId="9" xfId="0" applyNumberFormat="1" applyFont="1" applyBorder="1" applyAlignment="1" applyProtection="1">
      <alignment horizontal="right" vertical="center" wrapText="1"/>
      <protection locked="0"/>
    </xf>
    <xf numFmtId="43" fontId="5" fillId="0" borderId="0" xfId="0" applyNumberFormat="1" applyFont="1" applyBorder="1" applyAlignment="1" applyProtection="1">
      <alignment horizontal="right" vertical="center" wrapText="1"/>
      <protection locked="0"/>
    </xf>
    <xf numFmtId="0" fontId="24" fillId="0" borderId="0" xfId="0" applyFont="1" applyProtection="1">
      <alignment vertical="center"/>
      <protection locked="0"/>
    </xf>
    <xf numFmtId="0" fontId="42" fillId="0" borderId="0" xfId="0" applyFont="1" applyAlignment="1" applyProtection="1">
      <alignment horizontal="left" vertical="center" wrapText="1"/>
      <protection locked="0"/>
    </xf>
    <xf numFmtId="43" fontId="5" fillId="0" borderId="0" xfId="68" applyNumberFormat="1" applyFont="1" applyBorder="1" applyAlignment="1">
      <alignment vertical="center"/>
    </xf>
    <xf numFmtId="43" fontId="4" fillId="0" borderId="0" xfId="68" applyNumberFormat="1" applyFont="1" applyBorder="1" applyAlignment="1">
      <alignment vertical="center"/>
    </xf>
    <xf numFmtId="43" fontId="4" fillId="0" borderId="0" xfId="68" applyNumberFormat="1" applyFont="1" applyFill="1" applyBorder="1" applyAlignment="1">
      <alignment vertical="center"/>
    </xf>
    <xf numFmtId="190" fontId="22" fillId="5" borderId="6" xfId="54" applyFont="1" applyFill="1" applyBorder="1" applyAlignment="1" applyProtection="1">
      <alignment horizontal="center" vertical="center" wrapText="1"/>
      <protection locked="0"/>
    </xf>
    <xf numFmtId="43" fontId="3" fillId="2" borderId="6" xfId="1" applyFont="1" applyFill="1" applyBorder="1" applyAlignment="1">
      <alignment horizontal="right" vertical="center" wrapText="1"/>
    </xf>
    <xf numFmtId="0" fontId="21" fillId="5" borderId="6" xfId="0" applyFont="1" applyFill="1" applyBorder="1" applyAlignment="1">
      <alignment horizontal="center" vertical="center"/>
    </xf>
    <xf numFmtId="0" fontId="4" fillId="0" borderId="0" xfId="64" applyFont="1" applyAlignment="1">
      <alignment vertical="center"/>
    </xf>
    <xf numFmtId="43" fontId="3" fillId="0" borderId="7" xfId="68" applyNumberFormat="1" applyFont="1" applyBorder="1" applyAlignment="1">
      <alignment horizontal="left" vertical="center"/>
    </xf>
    <xf numFmtId="43" fontId="43" fillId="0" borderId="7" xfId="3" applyNumberFormat="1" applyFont="1" applyBorder="1" applyAlignment="1" applyProtection="1">
      <alignment horizontal="center" vertical="center"/>
    </xf>
    <xf numFmtId="0" fontId="3" fillId="0" borderId="0" xfId="64" applyFont="1" applyAlignment="1">
      <alignment vertical="center"/>
    </xf>
    <xf numFmtId="9" fontId="44" fillId="0" borderId="0" xfId="2" applyFont="1" applyBorder="1" applyAlignment="1">
      <alignment horizontal="left" vertical="center"/>
    </xf>
    <xf numFmtId="0" fontId="3" fillId="0" borderId="0" xfId="64" applyFont="1" applyAlignment="1">
      <alignment horizontal="left" vertical="center"/>
    </xf>
    <xf numFmtId="14" fontId="3" fillId="0" borderId="0" xfId="68" applyNumberFormat="1" applyFont="1" applyBorder="1" applyAlignment="1">
      <alignment horizontal="right" vertical="center"/>
    </xf>
    <xf numFmtId="49" fontId="3" fillId="0" borderId="0" xfId="68" applyNumberFormat="1" applyFont="1" applyBorder="1" applyAlignment="1">
      <alignment horizontal="left" vertical="center"/>
    </xf>
    <xf numFmtId="190" fontId="41" fillId="5" borderId="6" xfId="52" applyFont="1" applyFill="1" applyBorder="1" applyAlignment="1">
      <alignment horizontal="center" vertical="center" wrapText="1"/>
      <protection locked="0"/>
    </xf>
    <xf numFmtId="190" fontId="22" fillId="5" borderId="6" xfId="52" applyFont="1" applyFill="1" applyBorder="1" applyAlignment="1">
      <alignment horizontal="center" vertical="center"/>
      <protection locked="0"/>
    </xf>
    <xf numFmtId="10" fontId="3" fillId="2" borderId="6" xfId="2" applyNumberFormat="1" applyFont="1" applyFill="1" applyBorder="1" applyAlignment="1">
      <alignment horizontal="right" vertical="center" wrapText="1"/>
    </xf>
    <xf numFmtId="43" fontId="3" fillId="0" borderId="6" xfId="1" applyFont="1" applyFill="1" applyBorder="1" applyAlignment="1">
      <alignment horizontal="right" vertical="center" wrapText="1"/>
    </xf>
    <xf numFmtId="43" fontId="3" fillId="0" borderId="7" xfId="68" applyNumberFormat="1" applyFont="1" applyBorder="1" applyAlignment="1">
      <alignment vertical="center"/>
    </xf>
    <xf numFmtId="0" fontId="46" fillId="0" borderId="0" xfId="70" applyFont="1">
      <alignment vertical="center"/>
    </xf>
    <xf numFmtId="49" fontId="3" fillId="0" borderId="0" xfId="70" applyNumberFormat="1" applyFont="1" applyAlignment="1">
      <alignment horizontal="left" vertical="center"/>
    </xf>
    <xf numFmtId="0" fontId="4" fillId="0" borderId="0" xfId="45" applyFont="1" applyAlignment="1">
      <alignment horizontal="left" vertical="center"/>
      <protection locked="0"/>
    </xf>
    <xf numFmtId="0" fontId="4" fillId="0" borderId="0" xfId="45" applyFont="1" applyAlignment="1">
      <alignment horizontal="justify" vertical="center"/>
      <protection locked="0"/>
    </xf>
    <xf numFmtId="0" fontId="9" fillId="0" borderId="6" xfId="45" applyFont="1" applyBorder="1" applyAlignment="1">
      <alignment horizontal="center" vertical="center" wrapText="1"/>
      <protection locked="0"/>
    </xf>
    <xf numFmtId="0" fontId="3" fillId="0" borderId="6" xfId="45" applyFont="1" applyBorder="1" applyAlignment="1">
      <alignment horizontal="center" vertical="center" wrapText="1"/>
      <protection locked="0"/>
    </xf>
    <xf numFmtId="0" fontId="9" fillId="0" borderId="6" xfId="45" applyFont="1" applyBorder="1" applyAlignment="1">
      <alignment horizontal="left" vertical="center" wrapText="1"/>
      <protection locked="0"/>
    </xf>
    <xf numFmtId="0" fontId="3" fillId="0" borderId="0" xfId="45" applyFont="1" applyAlignment="1">
      <alignment horizontal="left" vertical="center"/>
      <protection locked="0"/>
    </xf>
    <xf numFmtId="49" fontId="4" fillId="0" borderId="0" xfId="70" applyNumberFormat="1" applyFont="1" applyAlignment="1">
      <alignment horizontal="left" vertical="center"/>
    </xf>
    <xf numFmtId="0" fontId="4" fillId="0" borderId="0" xfId="45" applyFont="1" applyAlignment="1">
      <alignment horizontal="left" vertical="center" wrapText="1"/>
      <protection locked="0"/>
    </xf>
    <xf numFmtId="0" fontId="15" fillId="0" borderId="0" xfId="45" applyFont="1" applyAlignment="1" applyProtection="1">
      <alignment horizontal="center" vertical="center" wrapText="1"/>
    </xf>
    <xf numFmtId="0" fontId="3" fillId="0" borderId="0" xfId="45" applyFont="1" applyAlignment="1">
      <alignment horizontal="center" vertical="center" wrapText="1"/>
      <protection locked="0"/>
    </xf>
    <xf numFmtId="0" fontId="3" fillId="0" borderId="0" xfId="45" applyFont="1" applyBorder="1" applyAlignment="1">
      <alignment vertical="center" wrapText="1"/>
      <protection locked="0"/>
    </xf>
    <xf numFmtId="49" fontId="8" fillId="0" borderId="0" xfId="50" applyNumberFormat="1" applyFont="1" applyAlignment="1">
      <alignment horizontal="left" vertical="center"/>
      <protection locked="0"/>
    </xf>
    <xf numFmtId="0" fontId="8" fillId="2" borderId="6" xfId="45" applyFont="1" applyFill="1" applyBorder="1" applyAlignment="1">
      <alignment horizontal="center" vertical="center" wrapText="1"/>
      <protection locked="0"/>
    </xf>
    <xf numFmtId="49" fontId="3" fillId="0" borderId="6" xfId="70" applyNumberFormat="1" applyFont="1" applyBorder="1" applyAlignment="1">
      <alignment horizontal="center" vertical="center"/>
    </xf>
    <xf numFmtId="0" fontId="9" fillId="0" borderId="6" xfId="47" applyFont="1" applyBorder="1" applyAlignment="1">
      <alignment horizontal="center" vertical="center" wrapText="1"/>
      <protection locked="0"/>
    </xf>
    <xf numFmtId="0" fontId="8" fillId="0" borderId="6" xfId="47" applyFont="1" applyBorder="1" applyAlignment="1">
      <alignment horizontal="center" vertical="center" wrapText="1"/>
      <protection locked="0"/>
    </xf>
    <xf numFmtId="0" fontId="9" fillId="0" borderId="6" xfId="50" applyFont="1" applyFill="1" applyBorder="1" applyAlignment="1">
      <alignment horizontal="left" vertical="center" wrapText="1"/>
      <protection locked="0"/>
    </xf>
    <xf numFmtId="190" fontId="47" fillId="0" borderId="6" xfId="46" applyFont="1" applyFill="1" applyBorder="1" applyAlignment="1">
      <alignment vertical="center" wrapText="1"/>
      <protection locked="0"/>
    </xf>
    <xf numFmtId="0" fontId="9" fillId="0" borderId="6" xfId="47" applyFont="1" applyBorder="1" applyAlignment="1">
      <alignment horizontal="left" vertical="center" wrapText="1"/>
      <protection locked="0"/>
    </xf>
    <xf numFmtId="0" fontId="9" fillId="0" borderId="2" xfId="45" applyFont="1" applyFill="1" applyBorder="1" applyAlignment="1">
      <alignment horizontal="center" vertical="center" wrapText="1"/>
      <protection locked="0"/>
    </xf>
    <xf numFmtId="0" fontId="9" fillId="0" borderId="6" xfId="45" applyFont="1" applyFill="1" applyBorder="1" applyAlignment="1">
      <alignment horizontal="center" vertical="center" wrapText="1"/>
      <protection locked="0"/>
    </xf>
    <xf numFmtId="0" fontId="8" fillId="0" borderId="6" xfId="45" applyFont="1" applyFill="1" applyBorder="1" applyAlignment="1">
      <alignment horizontal="center" vertical="center" wrapText="1"/>
      <protection locked="0"/>
    </xf>
    <xf numFmtId="0" fontId="9" fillId="0" borderId="2" xfId="50" applyFont="1" applyFill="1" applyBorder="1" applyAlignment="1">
      <alignment horizontal="center" vertical="center" wrapText="1" shrinkToFit="1"/>
      <protection locked="0"/>
    </xf>
    <xf numFmtId="190" fontId="15" fillId="0" borderId="6" xfId="60" applyFont="1" applyFill="1" applyBorder="1" applyAlignment="1">
      <alignment horizontal="center" vertical="center" wrapText="1"/>
    </xf>
    <xf numFmtId="0" fontId="15" fillId="0" borderId="6" xfId="59" applyFont="1" applyFill="1" applyBorder="1" applyAlignment="1">
      <alignment horizontal="center" vertical="center" wrapText="1"/>
    </xf>
    <xf numFmtId="0" fontId="18" fillId="0" borderId="6" xfId="59" applyFont="1" applyFill="1" applyBorder="1" applyAlignment="1">
      <alignment horizontal="center" vertical="center" wrapText="1"/>
    </xf>
    <xf numFmtId="190" fontId="48" fillId="0" borderId="6" xfId="60" applyFont="1" applyFill="1" applyBorder="1" applyAlignment="1">
      <alignment horizontal="center" vertical="center" wrapText="1"/>
    </xf>
    <xf numFmtId="0" fontId="9" fillId="0" borderId="2" xfId="45" applyFont="1" applyBorder="1" applyAlignment="1">
      <alignment horizontal="center" vertical="center" wrapText="1"/>
      <protection locked="0"/>
    </xf>
    <xf numFmtId="0" fontId="9" fillId="0" borderId="6" xfId="45" applyFont="1" applyFill="1" applyBorder="1" applyAlignment="1">
      <alignment horizontal="left" vertical="center" wrapText="1"/>
      <protection locked="0"/>
    </xf>
    <xf numFmtId="0" fontId="8" fillId="0" borderId="6" xfId="45" applyFont="1" applyBorder="1" applyAlignment="1">
      <alignment horizontal="center" vertical="center" wrapText="1"/>
      <protection locked="0"/>
    </xf>
    <xf numFmtId="190" fontId="9" fillId="0" borderId="6" xfId="51" applyFont="1" applyBorder="1" applyAlignment="1">
      <alignment horizontal="left" vertical="center" wrapText="1"/>
      <protection locked="0"/>
    </xf>
    <xf numFmtId="0" fontId="3" fillId="0" borderId="6" xfId="45" applyFont="1" applyFill="1" applyBorder="1" applyAlignment="1">
      <alignment horizontal="center" vertical="center" wrapText="1"/>
      <protection locked="0"/>
    </xf>
    <xf numFmtId="0" fontId="9" fillId="0" borderId="6" xfId="50" applyFont="1" applyBorder="1" applyAlignment="1">
      <alignment horizontal="center" vertical="center" wrapText="1" shrinkToFit="1"/>
      <protection locked="0"/>
    </xf>
    <xf numFmtId="0" fontId="49" fillId="0" borderId="0" xfId="45" applyFont="1" applyBorder="1" applyAlignment="1">
      <alignment horizontal="centerContinuous" vertical="center"/>
      <protection locked="0"/>
    </xf>
    <xf numFmtId="0" fontId="50" fillId="0" borderId="10" xfId="45" applyFont="1" applyBorder="1" applyAlignment="1" applyProtection="1">
      <alignment horizontal="centerContinuous" vertical="center"/>
    </xf>
    <xf numFmtId="0" fontId="49" fillId="6" borderId="0" xfId="45" applyFont="1" applyFill="1" applyAlignment="1">
      <alignment horizontal="center" vertical="center"/>
      <protection locked="0"/>
    </xf>
    <xf numFmtId="0" fontId="51" fillId="7" borderId="0" xfId="59" applyFont="1" applyFill="1" applyAlignment="1" applyProtection="1">
      <alignment horizontal="left" vertical="top" wrapText="1"/>
      <protection locked="0"/>
    </xf>
    <xf numFmtId="0" fontId="3" fillId="0" borderId="6" xfId="50" applyFont="1" applyBorder="1" applyAlignment="1">
      <alignment horizontal="center" vertical="center" wrapText="1"/>
      <protection locked="0"/>
    </xf>
    <xf numFmtId="0" fontId="52"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center" vertical="center"/>
    </xf>
    <xf numFmtId="0" fontId="14" fillId="0" borderId="0" xfId="0" applyFont="1">
      <alignment vertical="center"/>
    </xf>
    <xf numFmtId="0" fontId="14" fillId="0" borderId="0" xfId="0" applyFont="1" applyAlignment="1">
      <alignment horizontal="center" vertical="center"/>
    </xf>
    <xf numFmtId="0" fontId="2" fillId="0" borderId="0" xfId="0" applyFont="1" applyProtection="1">
      <alignment vertical="center"/>
      <protection locked="0"/>
    </xf>
    <xf numFmtId="0" fontId="52" fillId="0" borderId="0" xfId="0" applyFont="1" applyAlignment="1">
      <alignment horizontal="center" vertical="center"/>
    </xf>
    <xf numFmtId="0" fontId="3" fillId="8" borderId="0" xfId="0" applyFont="1" applyFill="1" applyBorder="1" applyAlignment="1" applyProtection="1">
      <alignment horizontal="justify" vertical="center" wrapText="1"/>
      <protection locked="0"/>
    </xf>
    <xf numFmtId="0" fontId="3" fillId="8" borderId="0" xfId="0" applyFont="1" applyFill="1" applyAlignment="1" applyProtection="1">
      <alignment horizontal="justify" vertical="center" wrapText="1"/>
      <protection locked="0"/>
    </xf>
    <xf numFmtId="0" fontId="9" fillId="8" borderId="0" xfId="0" applyFont="1" applyFill="1" applyBorder="1" applyAlignment="1" applyProtection="1">
      <alignment horizontal="justify" vertical="center" wrapText="1"/>
      <protection locked="0"/>
    </xf>
    <xf numFmtId="0" fontId="21" fillId="0" borderId="11" xfId="0" applyFont="1" applyBorder="1" applyAlignment="1">
      <alignment horizontal="center" vertical="center"/>
    </xf>
    <xf numFmtId="0" fontId="14" fillId="0" borderId="11" xfId="0" applyFont="1" applyBorder="1" applyAlignment="1">
      <alignment horizontal="center" vertical="center"/>
    </xf>
    <xf numFmtId="0" fontId="53" fillId="0" borderId="11" xfId="3" applyBorder="1" applyAlignment="1" applyProtection="1">
      <alignment vertical="center"/>
    </xf>
    <xf numFmtId="0" fontId="14" fillId="0" borderId="11" xfId="0" applyFont="1" applyBorder="1">
      <alignment vertical="center"/>
    </xf>
    <xf numFmtId="0" fontId="21" fillId="0" borderId="11" xfId="0" applyFont="1" applyBorder="1">
      <alignment vertical="center"/>
    </xf>
    <xf numFmtId="0" fontId="9" fillId="0" borderId="0" xfId="0" applyFont="1" applyAlignment="1" applyProtection="1">
      <alignment vertical="center"/>
      <protection locked="0"/>
    </xf>
    <xf numFmtId="0" fontId="55" fillId="0" borderId="11" xfId="0" applyFont="1" applyBorder="1">
      <alignment vertical="center"/>
    </xf>
    <xf numFmtId="0" fontId="54" fillId="0" borderId="11" xfId="3" quotePrefix="1" applyFont="1" applyBorder="1" applyAlignment="1" applyProtection="1">
      <alignment vertical="center"/>
    </xf>
    <xf numFmtId="0" fontId="53" fillId="0" borderId="11" xfId="3" quotePrefix="1" applyBorder="1" applyAlignment="1" applyProtection="1">
      <alignment vertical="center"/>
    </xf>
    <xf numFmtId="0" fontId="56" fillId="0" borderId="11" xfId="3" quotePrefix="1" applyFont="1" applyBorder="1" applyAlignment="1" applyProtection="1">
      <alignment vertical="center"/>
    </xf>
    <xf numFmtId="0" fontId="9" fillId="0" borderId="6" xfId="45" applyFont="1" applyBorder="1" applyAlignment="1">
      <alignment horizontal="center" vertical="center" wrapText="1"/>
      <protection locked="0"/>
    </xf>
    <xf numFmtId="0" fontId="9" fillId="0" borderId="0" xfId="45" applyFont="1" applyBorder="1" applyAlignment="1">
      <alignment vertical="center"/>
      <protection locked="0"/>
    </xf>
    <xf numFmtId="0" fontId="7" fillId="0" borderId="0" xfId="0" applyFont="1" applyAlignment="1" applyProtection="1">
      <alignment horizontal="center" vertical="center"/>
      <protection locked="0"/>
    </xf>
    <xf numFmtId="190" fontId="16" fillId="0" borderId="0" xfId="87" applyFont="1" applyFill="1" applyAlignment="1">
      <alignment horizontal="left" vertical="center"/>
    </xf>
    <xf numFmtId="0" fontId="11" fillId="0" borderId="6" xfId="45" applyFont="1" applyBorder="1" applyAlignment="1">
      <alignment horizontal="center" vertical="center" wrapText="1"/>
      <protection locked="0"/>
    </xf>
    <xf numFmtId="0" fontId="13" fillId="0" borderId="6" xfId="0" applyFont="1" applyFill="1" applyBorder="1">
      <alignment vertical="center"/>
    </xf>
    <xf numFmtId="0" fontId="27" fillId="0" borderId="6" xfId="0" applyFont="1" applyFill="1" applyBorder="1">
      <alignment vertical="center"/>
    </xf>
    <xf numFmtId="0" fontId="27" fillId="0" borderId="6" xfId="0" applyFont="1" applyFill="1" applyBorder="1" applyAlignment="1">
      <alignment horizontal="center" vertical="center"/>
    </xf>
    <xf numFmtId="43" fontId="3" fillId="5" borderId="6" xfId="1" applyFont="1" applyFill="1" applyBorder="1" applyAlignment="1" applyProtection="1">
      <alignment horizontal="center" vertical="center"/>
      <protection locked="0"/>
    </xf>
    <xf numFmtId="43" fontId="4" fillId="2" borderId="6" xfId="1" applyFont="1" applyFill="1" applyBorder="1" applyAlignment="1" applyProtection="1">
      <alignment horizontal="center" vertical="center"/>
      <protection locked="0"/>
    </xf>
    <xf numFmtId="197" fontId="4" fillId="2" borderId="6" xfId="1" applyNumberFormat="1" applyFont="1" applyFill="1" applyBorder="1" applyAlignment="1">
      <alignment horizontal="center" vertical="center" shrinkToFit="1"/>
    </xf>
    <xf numFmtId="197" fontId="4" fillId="2" borderId="6" xfId="1" applyNumberFormat="1" applyFont="1" applyFill="1" applyBorder="1" applyAlignment="1">
      <alignment vertical="center" shrinkToFit="1"/>
    </xf>
    <xf numFmtId="197" fontId="17" fillId="2" borderId="0" xfId="1" applyNumberFormat="1" applyFont="1" applyFill="1" applyAlignment="1">
      <alignment vertical="center" shrinkToFit="1"/>
    </xf>
    <xf numFmtId="0" fontId="4" fillId="2" borderId="6" xfId="45" applyFont="1" applyFill="1" applyBorder="1" applyAlignment="1">
      <alignment horizontal="center" vertical="center"/>
      <protection locked="0"/>
    </xf>
    <xf numFmtId="43" fontId="34" fillId="2" borderId="6" xfId="1" applyFont="1" applyFill="1" applyBorder="1" applyAlignment="1">
      <alignment vertical="center"/>
    </xf>
    <xf numFmtId="0" fontId="3" fillId="2" borderId="0" xfId="45" applyFont="1" applyFill="1" applyAlignment="1">
      <alignment vertical="center"/>
      <protection locked="0"/>
    </xf>
    <xf numFmtId="43" fontId="4" fillId="2" borderId="6" xfId="1" applyFont="1" applyFill="1" applyBorder="1" applyAlignment="1">
      <alignment vertical="center"/>
    </xf>
    <xf numFmtId="200" fontId="3" fillId="2" borderId="6" xfId="2" applyNumberFormat="1" applyFont="1" applyFill="1" applyBorder="1" applyAlignment="1">
      <alignment horizontal="center" vertical="center"/>
    </xf>
    <xf numFmtId="0" fontId="5" fillId="2" borderId="0" xfId="45" applyFont="1" applyFill="1" applyAlignment="1">
      <alignment vertical="center"/>
      <protection locked="0"/>
    </xf>
    <xf numFmtId="190" fontId="3" fillId="0" borderId="0" xfId="51" applyFont="1" applyBorder="1" applyAlignment="1">
      <alignment vertical="center"/>
      <protection locked="0"/>
    </xf>
    <xf numFmtId="190" fontId="8" fillId="0" borderId="0" xfId="51" applyFont="1" applyBorder="1" applyAlignment="1">
      <alignment vertical="center"/>
      <protection locked="0"/>
    </xf>
    <xf numFmtId="190" fontId="3" fillId="0" borderId="0" xfId="51" applyFont="1" applyBorder="1" applyAlignment="1">
      <alignment horizontal="center" vertical="center"/>
      <protection locked="0"/>
    </xf>
    <xf numFmtId="190" fontId="3" fillId="0" borderId="0" xfId="51" applyFont="1" applyBorder="1" applyAlignment="1">
      <alignment horizontal="left" vertical="center"/>
      <protection locked="0"/>
    </xf>
    <xf numFmtId="199" fontId="9" fillId="2" borderId="6" xfId="61" applyNumberFormat="1" applyFont="1" applyFill="1" applyBorder="1" applyAlignment="1">
      <alignment horizontal="left" vertical="center" shrinkToFit="1"/>
    </xf>
    <xf numFmtId="199" fontId="11" fillId="2" borderId="6" xfId="61" applyNumberFormat="1" applyFont="1" applyFill="1" applyBorder="1" applyAlignment="1">
      <alignment horizontal="left" vertical="center" shrinkToFit="1"/>
    </xf>
    <xf numFmtId="199" fontId="35" fillId="2" borderId="6" xfId="61" applyNumberFormat="1" applyFont="1" applyFill="1" applyBorder="1" applyAlignment="1">
      <alignment horizontal="left" vertical="center" shrinkToFit="1"/>
    </xf>
    <xf numFmtId="199" fontId="3" fillId="2" borderId="6" xfId="61" applyNumberFormat="1" applyFont="1" applyFill="1" applyBorder="1" applyAlignment="1">
      <alignment horizontal="left" vertical="center" shrinkToFit="1"/>
    </xf>
    <xf numFmtId="10" fontId="4" fillId="2" borderId="6" xfId="2" applyNumberFormat="1" applyFont="1" applyFill="1" applyBorder="1" applyAlignment="1" applyProtection="1">
      <alignment horizontal="right" vertical="center"/>
      <protection locked="0"/>
    </xf>
    <xf numFmtId="43" fontId="16" fillId="0" borderId="0" xfId="68" applyNumberFormat="1" applyFont="1" applyBorder="1" applyAlignment="1">
      <alignment vertical="center"/>
    </xf>
    <xf numFmtId="43" fontId="16" fillId="0" borderId="0" xfId="68" applyNumberFormat="1" applyFont="1" applyBorder="1" applyAlignment="1">
      <alignment horizontal="left" vertical="center"/>
    </xf>
    <xf numFmtId="0" fontId="16" fillId="0" borderId="0" xfId="45" applyFont="1" applyAlignment="1">
      <alignment horizontal="left" vertical="center"/>
      <protection locked="0"/>
    </xf>
    <xf numFmtId="43" fontId="16" fillId="0" borderId="0" xfId="68" applyNumberFormat="1" applyFont="1" applyBorder="1" applyAlignment="1">
      <alignment vertical="center" wrapText="1"/>
    </xf>
    <xf numFmtId="0" fontId="27" fillId="11" borderId="6" xfId="0" applyFont="1" applyFill="1" applyBorder="1" applyAlignment="1">
      <alignment horizontal="center" vertical="center"/>
    </xf>
    <xf numFmtId="43" fontId="14" fillId="11" borderId="6" xfId="1" applyFont="1" applyFill="1" applyBorder="1" applyAlignment="1">
      <alignment horizontal="right" vertical="center"/>
    </xf>
    <xf numFmtId="43" fontId="4" fillId="11" borderId="0" xfId="68" applyNumberFormat="1" applyFont="1" applyFill="1" applyBorder="1" applyAlignment="1">
      <alignment vertical="center"/>
    </xf>
    <xf numFmtId="0" fontId="52" fillId="0" borderId="0" xfId="0" applyFont="1" applyAlignment="1">
      <alignment horizontal="center" vertical="center"/>
    </xf>
    <xf numFmtId="0" fontId="2" fillId="0" borderId="0" xfId="0"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0" borderId="0" xfId="62" applyFont="1" applyAlignment="1">
      <alignment horizontal="center" vertical="center"/>
    </xf>
    <xf numFmtId="0" fontId="7" fillId="0" borderId="0" xfId="62" applyFont="1" applyAlignment="1">
      <alignment horizontal="center" vertical="center"/>
    </xf>
    <xf numFmtId="0" fontId="8" fillId="0" borderId="0" xfId="50" applyFont="1" applyAlignment="1">
      <alignment horizontal="left" vertical="center"/>
      <protection locked="0"/>
    </xf>
    <xf numFmtId="0" fontId="4" fillId="4" borderId="6" xfId="45" applyFont="1" applyFill="1" applyBorder="1" applyAlignment="1">
      <alignment horizontal="center" vertical="center"/>
      <protection locked="0"/>
    </xf>
    <xf numFmtId="0" fontId="8" fillId="4" borderId="6" xfId="50" applyFont="1" applyFill="1" applyBorder="1" applyAlignment="1">
      <alignment horizontal="center" vertical="center" wrapText="1"/>
      <protection locked="0"/>
    </xf>
    <xf numFmtId="0" fontId="8" fillId="0" borderId="0" xfId="45" applyFont="1" applyAlignment="1">
      <alignment horizontal="left" vertical="center"/>
      <protection locked="0"/>
    </xf>
    <xf numFmtId="0" fontId="4" fillId="0" borderId="0" xfId="45" applyFont="1" applyAlignment="1">
      <alignment horizontal="left" vertical="center"/>
      <protection locked="0"/>
    </xf>
    <xf numFmtId="0" fontId="3" fillId="0" borderId="6" xfId="45" applyFont="1" applyBorder="1" applyAlignment="1">
      <alignment horizontal="left" vertical="center" wrapText="1"/>
      <protection locked="0"/>
    </xf>
    <xf numFmtId="0" fontId="48" fillId="4" borderId="6" xfId="45" applyFont="1" applyFill="1" applyBorder="1" applyAlignment="1">
      <alignment horizontal="center" vertical="center"/>
      <protection locked="0"/>
    </xf>
    <xf numFmtId="49" fontId="8" fillId="4" borderId="6" xfId="45" applyNumberFormat="1" applyFont="1" applyFill="1" applyBorder="1" applyAlignment="1">
      <alignment horizontal="center" vertical="center"/>
      <protection locked="0"/>
    </xf>
    <xf numFmtId="190" fontId="8" fillId="11" borderId="6" xfId="60" applyFont="1" applyFill="1" applyBorder="1" applyAlignment="1" applyProtection="1">
      <alignment horizontal="center" vertical="center" wrapText="1"/>
      <protection locked="0"/>
    </xf>
    <xf numFmtId="0" fontId="8" fillId="4" borderId="6" xfId="45" applyFont="1" applyFill="1" applyBorder="1" applyAlignment="1">
      <alignment horizontal="center" vertical="center" wrapText="1"/>
      <protection locked="0"/>
    </xf>
    <xf numFmtId="0" fontId="9" fillId="0" borderId="6" xfId="45" applyFont="1" applyBorder="1" applyAlignment="1">
      <alignment horizontal="center" vertical="center" wrapText="1"/>
      <protection locked="0"/>
    </xf>
    <xf numFmtId="10" fontId="44" fillId="0" borderId="0" xfId="2" applyNumberFormat="1" applyFont="1" applyBorder="1" applyAlignment="1">
      <alignment horizontal="left" vertical="center"/>
    </xf>
    <xf numFmtId="0" fontId="41" fillId="5" borderId="6" xfId="0" applyFont="1" applyFill="1" applyBorder="1" applyAlignment="1">
      <alignment horizontal="center" vertical="center"/>
    </xf>
    <xf numFmtId="0" fontId="41" fillId="5" borderId="6" xfId="0" applyFont="1" applyFill="1" applyBorder="1">
      <alignment vertical="center"/>
    </xf>
    <xf numFmtId="0" fontId="45" fillId="5" borderId="6" xfId="0" applyFont="1" applyFill="1" applyBorder="1">
      <alignment vertical="center"/>
    </xf>
    <xf numFmtId="43" fontId="19" fillId="0" borderId="0" xfId="68" applyNumberFormat="1" applyFont="1" applyBorder="1" applyAlignment="1">
      <alignment horizontal="center" vertical="center"/>
    </xf>
    <xf numFmtId="43" fontId="25" fillId="0" borderId="0" xfId="68" applyNumberFormat="1" applyFont="1" applyBorder="1" applyAlignment="1">
      <alignment horizontal="center" vertical="center"/>
    </xf>
    <xf numFmtId="190" fontId="22" fillId="5" borderId="2" xfId="54" applyFont="1" applyFill="1" applyBorder="1" applyAlignment="1" applyProtection="1">
      <alignment horizontal="center" vertical="center" wrapText="1"/>
      <protection locked="0"/>
    </xf>
    <xf numFmtId="190" fontId="22" fillId="5" borderId="3" xfId="54" applyFont="1" applyFill="1" applyBorder="1" applyAlignment="1" applyProtection="1">
      <alignment horizontal="center" vertical="center" wrapText="1"/>
      <protection locked="0"/>
    </xf>
    <xf numFmtId="190" fontId="22" fillId="5" borderId="4" xfId="54" applyFont="1" applyFill="1" applyBorder="1" applyAlignment="1" applyProtection="1">
      <alignment horizontal="center" vertical="center" wrapText="1"/>
      <protection locked="0"/>
    </xf>
    <xf numFmtId="190" fontId="41" fillId="5" borderId="6" xfId="52" applyFont="1" applyFill="1" applyBorder="1" applyAlignment="1">
      <alignment horizontal="center" vertical="center" wrapText="1"/>
      <protection locked="0"/>
    </xf>
    <xf numFmtId="190" fontId="22" fillId="5" borderId="6" xfId="52" applyFont="1" applyFill="1" applyBorder="1" applyAlignment="1">
      <alignment horizontal="center" vertical="center" wrapText="1"/>
      <protection locked="0"/>
    </xf>
    <xf numFmtId="0" fontId="6" fillId="0" borderId="0" xfId="64" applyFont="1" applyAlignment="1">
      <alignment horizontal="center" vertical="center"/>
    </xf>
    <xf numFmtId="43" fontId="7" fillId="0" borderId="0" xfId="68" applyNumberFormat="1" applyFont="1" applyFill="1" applyBorder="1" applyAlignment="1">
      <alignment horizontal="center" vertical="center"/>
    </xf>
    <xf numFmtId="0" fontId="42" fillId="0" borderId="0" xfId="0" applyFont="1" applyAlignment="1" applyProtection="1">
      <alignment horizontal="left" vertical="center" wrapText="1"/>
      <protection locked="0"/>
    </xf>
    <xf numFmtId="0" fontId="19" fillId="0" borderId="0" xfId="62" applyFont="1" applyAlignment="1">
      <alignment horizontal="center" vertical="center"/>
    </xf>
    <xf numFmtId="0" fontId="25" fillId="0" borderId="0" xfId="62" applyFont="1" applyAlignment="1">
      <alignment horizontal="center" vertical="center"/>
    </xf>
    <xf numFmtId="43" fontId="33" fillId="0" borderId="2" xfId="1" applyFont="1" applyFill="1" applyBorder="1" applyAlignment="1">
      <alignment horizontal="center" vertical="center"/>
    </xf>
    <xf numFmtId="43" fontId="33" fillId="0" borderId="4" xfId="1" applyFont="1" applyFill="1" applyBorder="1" applyAlignment="1">
      <alignment horizontal="center" vertical="center"/>
    </xf>
    <xf numFmtId="0" fontId="12" fillId="0" borderId="2" xfId="45" applyFont="1" applyBorder="1" applyAlignment="1">
      <alignment horizontal="left" vertical="center"/>
      <protection locked="0"/>
    </xf>
    <xf numFmtId="0" fontId="12" fillId="0" borderId="4" xfId="45" applyFont="1" applyBorder="1" applyAlignment="1">
      <alignment horizontal="left" vertical="center"/>
      <protection locked="0"/>
    </xf>
    <xf numFmtId="0" fontId="29" fillId="0" borderId="0" xfId="50" applyFont="1" applyAlignment="1">
      <alignment horizontal="left" vertical="center" wrapText="1"/>
      <protection locked="0"/>
    </xf>
    <xf numFmtId="0" fontId="5" fillId="0" borderId="0" xfId="50" applyFont="1" applyAlignment="1">
      <alignment horizontal="left" vertical="center" wrapText="1"/>
      <protection locked="0"/>
    </xf>
    <xf numFmtId="0" fontId="19" fillId="0" borderId="0" xfId="64" applyFont="1" applyFill="1" applyAlignment="1">
      <alignment horizontal="center" vertical="center"/>
    </xf>
    <xf numFmtId="0" fontId="7" fillId="0" borderId="0" xfId="65" applyFont="1" applyFill="1" applyAlignment="1">
      <alignment horizontal="center" vertical="center"/>
    </xf>
    <xf numFmtId="0" fontId="20" fillId="0" borderId="0" xfId="65" applyFont="1" applyFill="1" applyAlignment="1">
      <alignment horizontal="center" vertical="center"/>
    </xf>
    <xf numFmtId="197" fontId="8" fillId="2" borderId="6" xfId="1" applyNumberFormat="1" applyFont="1" applyFill="1" applyBorder="1" applyAlignment="1">
      <alignment horizontal="center" vertical="center" shrinkToFit="1"/>
    </xf>
    <xf numFmtId="197" fontId="4" fillId="2" borderId="6" xfId="1" applyNumberFormat="1" applyFont="1" applyFill="1" applyBorder="1" applyAlignment="1">
      <alignment horizontal="center" vertical="center" shrinkToFit="1"/>
    </xf>
    <xf numFmtId="0" fontId="4" fillId="4" borderId="6" xfId="0" applyFont="1" applyFill="1" applyBorder="1" applyAlignment="1">
      <alignment horizontal="center" vertical="center"/>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190" fontId="6" fillId="0" borderId="0" xfId="63" applyFont="1" applyAlignment="1">
      <alignment horizontal="center" vertical="center"/>
    </xf>
    <xf numFmtId="190" fontId="7" fillId="0" borderId="0" xfId="63" applyFont="1" applyAlignment="1">
      <alignment horizontal="center" vertical="center"/>
    </xf>
    <xf numFmtId="190" fontId="16" fillId="0" borderId="0" xfId="67" applyFont="1" applyFill="1" applyAlignment="1">
      <alignment horizontal="left" vertical="center" wrapText="1"/>
    </xf>
    <xf numFmtId="190" fontId="8" fillId="2" borderId="2" xfId="51" applyFont="1" applyFill="1" applyBorder="1" applyAlignment="1">
      <alignment horizontal="center" vertical="center"/>
      <protection locked="0"/>
    </xf>
    <xf numFmtId="190" fontId="8" fillId="2" borderId="3" xfId="51" applyFont="1" applyFill="1" applyBorder="1" applyAlignment="1">
      <alignment horizontal="center" vertical="center"/>
      <protection locked="0"/>
    </xf>
    <xf numFmtId="190" fontId="8" fillId="2" borderId="4" xfId="51" applyFont="1" applyFill="1" applyBorder="1" applyAlignment="1">
      <alignment horizontal="center" vertical="center"/>
      <protection locked="0"/>
    </xf>
    <xf numFmtId="190" fontId="8" fillId="4" borderId="6" xfId="51" applyFont="1" applyFill="1" applyBorder="1" applyAlignment="1">
      <alignment horizontal="center" vertical="center"/>
      <protection locked="0"/>
    </xf>
    <xf numFmtId="190" fontId="4" fillId="4" borderId="6" xfId="51" applyFont="1" applyFill="1" applyBorder="1" applyAlignment="1">
      <alignment horizontal="center" vertical="center"/>
      <protection locked="0"/>
    </xf>
    <xf numFmtId="190" fontId="8" fillId="4" borderId="6" xfId="51" applyFont="1" applyFill="1" applyBorder="1" applyAlignment="1">
      <alignment horizontal="center" vertical="center" wrapText="1"/>
      <protection locked="0"/>
    </xf>
    <xf numFmtId="190" fontId="4" fillId="4" borderId="6" xfId="51" applyFont="1" applyFill="1" applyBorder="1" applyAlignment="1">
      <alignment horizontal="center" vertical="center" wrapText="1"/>
      <protection locked="0"/>
    </xf>
    <xf numFmtId="43" fontId="4" fillId="2" borderId="6" xfId="1" applyFont="1" applyFill="1" applyBorder="1" applyAlignment="1" applyProtection="1">
      <alignment horizontal="left" vertical="center"/>
      <protection locked="0"/>
    </xf>
    <xf numFmtId="190" fontId="8" fillId="2" borderId="6" xfId="51" applyFont="1" applyFill="1" applyBorder="1" applyAlignment="1">
      <alignment horizontal="center" vertical="center"/>
      <protection locked="0"/>
    </xf>
    <xf numFmtId="14" fontId="8" fillId="2" borderId="6" xfId="51" applyNumberFormat="1" applyFont="1" applyFill="1" applyBorder="1" applyAlignment="1">
      <alignment horizontal="center" vertical="center"/>
      <protection locked="0"/>
    </xf>
    <xf numFmtId="43" fontId="4" fillId="2" borderId="2" xfId="1" applyFont="1" applyFill="1" applyBorder="1" applyAlignment="1" applyProtection="1">
      <alignment horizontal="center" vertical="center"/>
      <protection locked="0"/>
    </xf>
    <xf numFmtId="43" fontId="4" fillId="2" borderId="4" xfId="1" applyFont="1" applyFill="1" applyBorder="1" applyAlignment="1" applyProtection="1">
      <alignment horizontal="center" vertical="center"/>
      <protection locked="0"/>
    </xf>
    <xf numFmtId="43" fontId="3" fillId="0" borderId="6" xfId="1" applyFont="1" applyBorder="1" applyAlignment="1" applyProtection="1">
      <alignment horizontal="left" vertical="center"/>
      <protection locked="0"/>
    </xf>
    <xf numFmtId="190" fontId="6" fillId="0" borderId="0" xfId="51" applyFont="1" applyAlignment="1">
      <alignment horizontal="center" vertical="center"/>
      <protection locked="0"/>
    </xf>
    <xf numFmtId="190" fontId="7" fillId="0" borderId="0" xfId="51" applyFont="1" applyAlignment="1">
      <alignment horizontal="center" vertical="center"/>
      <protection locked="0"/>
    </xf>
    <xf numFmtId="190" fontId="4" fillId="2" borderId="6" xfId="58" applyFont="1" applyFill="1" applyBorder="1" applyAlignment="1" applyProtection="1">
      <alignment horizontal="center" vertical="center"/>
      <protection locked="0"/>
    </xf>
    <xf numFmtId="190" fontId="8" fillId="2" borderId="6" xfId="51" applyFont="1" applyFill="1" applyBorder="1" applyAlignment="1">
      <alignment horizontal="center" vertical="center" wrapText="1"/>
      <protection locked="0"/>
    </xf>
    <xf numFmtId="190" fontId="8" fillId="3" borderId="6" xfId="49" applyFont="1" applyFill="1" applyBorder="1" applyAlignment="1" applyProtection="1">
      <alignment horizontal="center" vertical="center" wrapText="1"/>
    </xf>
    <xf numFmtId="190" fontId="8" fillId="4" borderId="6" xfId="46" applyFont="1" applyFill="1" applyBorder="1" applyAlignment="1">
      <alignment horizontal="center" vertical="center"/>
      <protection locked="0"/>
    </xf>
    <xf numFmtId="190" fontId="4" fillId="4" borderId="6" xfId="46" applyFont="1" applyFill="1" applyBorder="1" applyAlignment="1">
      <alignment horizontal="center" vertical="center"/>
      <protection locked="0"/>
    </xf>
    <xf numFmtId="190" fontId="8" fillId="2" borderId="6" xfId="46" applyFont="1" applyFill="1" applyBorder="1" applyAlignment="1">
      <alignment horizontal="center" vertical="center" wrapText="1"/>
      <protection locked="0"/>
    </xf>
  </cellXfs>
  <cellStyles count="88">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00" xfId="14"/>
    <cellStyle name="Black" xfId="15"/>
    <cellStyle name="Border" xfId="16"/>
    <cellStyle name="Calc Currency (0)" xfId="17"/>
    <cellStyle name="Comma [0]_ SG&amp;A Bridge " xfId="18"/>
    <cellStyle name="Comma_ SG&amp;A Bridge " xfId="19"/>
    <cellStyle name="Currency [0]_ SG&amp;A Bridge " xfId="20"/>
    <cellStyle name="Currency_ SG&amp;A Bridge " xfId="21"/>
    <cellStyle name="Dezimal [0]_laroux" xfId="22"/>
    <cellStyle name="Dezimal_laroux" xfId="23"/>
    <cellStyle name="Euro" xfId="24"/>
    <cellStyle name="Followed Hyperlink_AheadBehind.xls Chart 23" xfId="25"/>
    <cellStyle name="Grey" xfId="26"/>
    <cellStyle name="Header1" xfId="27"/>
    <cellStyle name="Header2" xfId="28"/>
    <cellStyle name="Hyperlink_AheadBehind.xls Chart 23" xfId="29"/>
    <cellStyle name="Input [yellow]" xfId="30"/>
    <cellStyle name="Milliers [0]_laroux" xfId="31"/>
    <cellStyle name="Milliers_laroux" xfId="32"/>
    <cellStyle name="Non défini" xfId="33"/>
    <cellStyle name="Normal - Style1" xfId="34"/>
    <cellStyle name="Normal_ SG&amp;A Bridge " xfId="35"/>
    <cellStyle name="Percent [2]" xfId="36"/>
    <cellStyle name="Red" xfId="37"/>
    <cellStyle name="row_def_array" xfId="38"/>
    <cellStyle name="_laroux" xfId="39"/>
    <cellStyle name="だ_laroux" xfId="40"/>
    <cellStyle name="百分比" xfId="2" builtinId="5"/>
    <cellStyle name="百分比 2" xfId="41"/>
    <cellStyle name="捠壿 [0.00]_PRODUCT DETAIL Q1" xfId="42"/>
    <cellStyle name="捠壿_PRODUCT DETAIL Q1" xfId="43"/>
    <cellStyle name="標準_96.9累計" xfId="44"/>
    <cellStyle name="常规" xfId="0" builtinId="0"/>
    <cellStyle name="常规 11 5" xfId="87"/>
    <cellStyle name="常规 2" xfId="45"/>
    <cellStyle name="常规 2 2" xfId="46"/>
    <cellStyle name="常规 2 2 4" xfId="47"/>
    <cellStyle name="常规 2 3" xfId="48"/>
    <cellStyle name="常规 2 3 2" xfId="49"/>
    <cellStyle name="常规 2 8" xfId="50"/>
    <cellStyle name="常规 2 8 2" xfId="51"/>
    <cellStyle name="常规 3" xfId="52"/>
    <cellStyle name="常规 3 2" xfId="53"/>
    <cellStyle name="常规 4" xfId="54"/>
    <cellStyle name="常规 4 2" xfId="55"/>
    <cellStyle name="常规 4 2 2" xfId="56"/>
    <cellStyle name="常规 5" xfId="57"/>
    <cellStyle name="常规 6" xfId="58"/>
    <cellStyle name="常规 7" xfId="59"/>
    <cellStyle name="常规 7 2" xfId="60"/>
    <cellStyle name="常规_2-1项目审定表－模板" xfId="61"/>
    <cellStyle name="常规_Book1" xfId="62"/>
    <cellStyle name="常规_Book1 2" xfId="63"/>
    <cellStyle name="常规_c-资产类" xfId="64"/>
    <cellStyle name="常规_F22财务费用" xfId="65"/>
    <cellStyle name="常规_进一步审计程序--销售与收款循环" xfId="66"/>
    <cellStyle name="常规_进一步审计程序--销售与收款循环 2" xfId="67"/>
    <cellStyle name="常规_新审定表" xfId="68"/>
    <cellStyle name="常规_新审定表 2" xfId="69"/>
    <cellStyle name="常规_制造费用" xfId="70"/>
    <cellStyle name="超链接" xfId="3" builtinId="8"/>
    <cellStyle name="超链接 2" xfId="71"/>
    <cellStyle name="超链接 3 2" xfId="72"/>
    <cellStyle name="霓付 [0]_1202" xfId="73"/>
    <cellStyle name="霓付_1202" xfId="74"/>
    <cellStyle name="烹拳 [0]_1202" xfId="75"/>
    <cellStyle name="烹拳_1202" xfId="76"/>
    <cellStyle name="普通_ 备 品 备 件" xfId="77"/>
    <cellStyle name="千分位[0]_ 备 品 备 件" xfId="78"/>
    <cellStyle name="千分位_ 备 品 备 件" xfId="79"/>
    <cellStyle name="千位[0]_ 预 付 帐 款" xfId="80"/>
    <cellStyle name="千位_ 预 付 帐 款" xfId="81"/>
    <cellStyle name="千位分隔" xfId="1" builtinId="3"/>
    <cellStyle name="钎霖_(沥焊何巩)岿喊牢盔拌裙" xfId="82"/>
    <cellStyle name="样式 1" xfId="83"/>
    <cellStyle name="昗弨_BOOKSHIP" xfId="84"/>
    <cellStyle name="寘嬫愗傝 [0.00]_PRODUCT DETAIL Q1" xfId="85"/>
    <cellStyle name="寘嬫愗傝_PRODUCT DETAIL Q1" xfId="86"/>
  </cellStyles>
  <dxfs count="1">
    <dxf>
      <font>
        <color indexed="12"/>
      </font>
    </dxf>
  </dxfs>
  <tableStyles count="0" defaultTableStyle="TableStyleMedium9"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heetViews>
  <sheetFormatPr defaultColWidth="9.109375" defaultRowHeight="13.8"/>
  <cols>
    <col min="1" max="1" width="93.88671875" style="268" customWidth="1"/>
    <col min="2" max="2" width="5.6640625" style="269" customWidth="1"/>
    <col min="3" max="3" width="31.33203125" style="268" customWidth="1"/>
    <col min="4" max="4" width="10" style="269" customWidth="1"/>
    <col min="5" max="5" width="8.33203125" style="268" customWidth="1"/>
    <col min="6" max="16384" width="9.109375" style="268"/>
  </cols>
  <sheetData>
    <row r="1" spans="1:6" s="265" customFormat="1" ht="22.5" customHeight="1">
      <c r="A1" s="270" t="s">
        <v>0</v>
      </c>
      <c r="D1" s="271"/>
    </row>
    <row r="2" spans="1:6" s="266" customFormat="1" ht="22.5" customHeight="1">
      <c r="A2" s="272" t="s">
        <v>1</v>
      </c>
      <c r="B2" s="320" t="s">
        <v>2</v>
      </c>
      <c r="C2" s="320"/>
      <c r="D2" s="320"/>
      <c r="E2" s="320"/>
    </row>
    <row r="3" spans="1:6" s="267" customFormat="1" ht="22.5" customHeight="1">
      <c r="A3" s="273" t="s">
        <v>259</v>
      </c>
    </row>
    <row r="4" spans="1:6" ht="19.2" customHeight="1">
      <c r="A4" s="274" t="s">
        <v>3</v>
      </c>
      <c r="B4" s="275" t="s">
        <v>4</v>
      </c>
      <c r="C4" s="275" t="s">
        <v>5</v>
      </c>
      <c r="D4" s="275" t="s">
        <v>6</v>
      </c>
      <c r="E4" s="275" t="s">
        <v>7</v>
      </c>
    </row>
    <row r="5" spans="1:6" ht="19.2" customHeight="1">
      <c r="A5" s="274" t="s">
        <v>8</v>
      </c>
      <c r="B5" s="276">
        <v>1</v>
      </c>
      <c r="C5" s="277" t="s">
        <v>9</v>
      </c>
      <c r="D5" s="276" t="s">
        <v>10</v>
      </c>
      <c r="E5" s="278"/>
    </row>
    <row r="6" spans="1:6" ht="19.2" customHeight="1">
      <c r="A6" s="274" t="s">
        <v>11</v>
      </c>
      <c r="B6" s="276">
        <v>2</v>
      </c>
      <c r="C6" s="277" t="s">
        <v>12</v>
      </c>
      <c r="D6" s="276" t="s">
        <v>13</v>
      </c>
      <c r="E6" s="279"/>
    </row>
    <row r="7" spans="1:6" ht="19.2" customHeight="1">
      <c r="A7" s="274" t="s">
        <v>14</v>
      </c>
      <c r="B7" s="276">
        <v>4</v>
      </c>
      <c r="C7" s="282" t="s">
        <v>15</v>
      </c>
      <c r="D7" s="276"/>
      <c r="E7" s="278"/>
      <c r="F7" s="280" t="s">
        <v>16</v>
      </c>
    </row>
    <row r="8" spans="1:6" ht="19.2" customHeight="1">
      <c r="B8" s="276">
        <v>3</v>
      </c>
      <c r="C8" s="282" t="s">
        <v>17</v>
      </c>
      <c r="D8" s="276"/>
      <c r="E8" s="278"/>
      <c r="F8" s="280" t="s">
        <v>16</v>
      </c>
    </row>
    <row r="9" spans="1:6" ht="19.95" customHeight="1">
      <c r="A9" s="287" t="s">
        <v>260</v>
      </c>
      <c r="B9" s="276">
        <v>5</v>
      </c>
      <c r="C9" s="283" t="s">
        <v>18</v>
      </c>
      <c r="D9" s="276" t="s">
        <v>19</v>
      </c>
      <c r="E9" s="278"/>
    </row>
    <row r="10" spans="1:6" ht="19.95" customHeight="1">
      <c r="A10" s="321" t="s">
        <v>261</v>
      </c>
      <c r="B10" s="276">
        <v>6</v>
      </c>
      <c r="C10" s="283" t="s">
        <v>20</v>
      </c>
      <c r="D10" s="276" t="s">
        <v>21</v>
      </c>
      <c r="E10" s="281"/>
    </row>
    <row r="11" spans="1:6" ht="19.95" customHeight="1">
      <c r="A11" s="321"/>
      <c r="B11" s="276">
        <v>8</v>
      </c>
      <c r="C11" s="283" t="s">
        <v>22</v>
      </c>
      <c r="D11" s="276" t="s">
        <v>23</v>
      </c>
      <c r="E11" s="278"/>
    </row>
    <row r="12" spans="1:6" ht="19.95" customHeight="1">
      <c r="A12" s="321"/>
      <c r="B12" s="276">
        <v>7</v>
      </c>
      <c r="C12" s="283" t="s">
        <v>24</v>
      </c>
      <c r="D12" s="276" t="s">
        <v>25</v>
      </c>
      <c r="E12" s="278"/>
    </row>
    <row r="13" spans="1:6" ht="19.95" customHeight="1">
      <c r="A13" s="321"/>
      <c r="B13" s="276">
        <v>9</v>
      </c>
      <c r="C13" s="284" t="s">
        <v>26</v>
      </c>
      <c r="D13" s="276" t="s">
        <v>27</v>
      </c>
      <c r="E13" s="278"/>
    </row>
    <row r="14" spans="1:6" ht="19.95" customHeight="1">
      <c r="A14" s="321" t="s">
        <v>262</v>
      </c>
    </row>
    <row r="15" spans="1:6" ht="19.95" customHeight="1">
      <c r="A15" s="321"/>
    </row>
    <row r="16" spans="1:6" ht="19.95" customHeight="1">
      <c r="A16" s="321"/>
    </row>
    <row r="17" spans="1:1" ht="19.95" customHeight="1">
      <c r="A17" s="322" t="s">
        <v>263</v>
      </c>
    </row>
    <row r="18" spans="1:1" ht="19.95" customHeight="1">
      <c r="A18" s="322"/>
    </row>
    <row r="19" spans="1:1" ht="19.95" customHeight="1">
      <c r="A19" s="322"/>
    </row>
  </sheetData>
  <mergeCells count="4">
    <mergeCell ref="B2:E2"/>
    <mergeCell ref="A10:A13"/>
    <mergeCell ref="A14:A16"/>
    <mergeCell ref="A17:A19"/>
  </mergeCells>
  <phoneticPr fontId="82" type="noConversion"/>
  <hyperlinks>
    <hyperlink ref="C6" location="'审定表L8-1'!A1" display="审定表"/>
    <hyperlink ref="C9" location="'明细表L8-2'!A1" display="明细表"/>
    <hyperlink ref="C12" location="'截止性测试L8-5'!A1" display="截止性测试"/>
    <hyperlink ref="C13" location="'财务费用检查表L8-6'!A1" display="财务费用检查表"/>
    <hyperlink ref="C11" location="'非金融机构利息支出测算表L8-4'!A1" display="非金融机构利息支出测算表"/>
    <hyperlink ref="C5" location="实质性程序表L8A!A1" display="实质性程序表"/>
    <hyperlink ref="C10" location="'调整分录汇总L8-3'!A1" display="调整分录汇总"/>
    <hyperlink ref="C8" location="'附注披露信息（国企）'!Print_Area" display="附注披露信息（国企）"/>
    <hyperlink ref="C7" location="'附注披露信息（上市公司）'!Print_Area" display="附注披露信息（上市公司）"/>
  </hyperlinks>
  <pageMargins left="0.70866141732283505" right="0.70866141732283505" top="0.74803149606299202" bottom="0.74803149606299202" header="0.31496062992126" footer="0.31496062992126"/>
  <pageSetup paperSize="9" orientation="portrait" blackAndWhite="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WVI35"/>
  <sheetViews>
    <sheetView view="pageBreakPreview" zoomScaleNormal="100" workbookViewId="0">
      <selection sqref="A1:I1"/>
    </sheetView>
  </sheetViews>
  <sheetFormatPr defaultColWidth="9" defaultRowHeight="13.8"/>
  <cols>
    <col min="1" max="1" width="5.77734375" style="226" customWidth="1"/>
    <col min="2" max="2" width="73.77734375" style="143" customWidth="1"/>
    <col min="3" max="3" width="13" style="143" customWidth="1"/>
    <col min="4" max="4" width="7.44140625" style="143" customWidth="1"/>
    <col min="5" max="6" width="7.6640625" style="143" customWidth="1"/>
    <col min="7" max="7" width="6.33203125" style="143" customWidth="1"/>
    <col min="8" max="8" width="7.5546875" style="143" customWidth="1"/>
    <col min="9" max="9" width="7.88671875" style="143" customWidth="1"/>
    <col min="10" max="10" width="67.44140625" style="143" customWidth="1"/>
    <col min="11" max="254" width="9.109375" style="143"/>
    <col min="255" max="255" width="9.44140625" style="143" customWidth="1"/>
    <col min="256" max="256" width="102" style="143" customWidth="1"/>
    <col min="257" max="257" width="9" style="143" hidden="1" customWidth="1"/>
    <col min="258" max="258" width="6.109375" style="143" customWidth="1"/>
    <col min="259" max="259" width="15.5546875" style="143" customWidth="1"/>
    <col min="260" max="260" width="7.44140625" style="143" customWidth="1"/>
    <col min="261" max="261" width="7.6640625" style="143" customWidth="1"/>
    <col min="262" max="262" width="6.33203125" style="143" customWidth="1"/>
    <col min="263" max="263" width="7.5546875" style="143" customWidth="1"/>
    <col min="264" max="264" width="11" style="143" customWidth="1"/>
    <col min="265" max="265" width="11.5546875" style="143" customWidth="1"/>
    <col min="266" max="266" width="26" style="143" customWidth="1"/>
    <col min="267" max="510" width="9.109375" style="143"/>
    <col min="511" max="511" width="9.44140625" style="143" customWidth="1"/>
    <col min="512" max="512" width="102" style="143" customWidth="1"/>
    <col min="513" max="513" width="9" style="143" hidden="1" customWidth="1"/>
    <col min="514" max="514" width="6.109375" style="143" customWidth="1"/>
    <col min="515" max="515" width="15.5546875" style="143" customWidth="1"/>
    <col min="516" max="516" width="7.44140625" style="143" customWidth="1"/>
    <col min="517" max="517" width="7.6640625" style="143" customWidth="1"/>
    <col min="518" max="518" width="6.33203125" style="143" customWidth="1"/>
    <col min="519" max="519" width="7.5546875" style="143" customWidth="1"/>
    <col min="520" max="520" width="11" style="143" customWidth="1"/>
    <col min="521" max="521" width="11.5546875" style="143" customWidth="1"/>
    <col min="522" max="522" width="26" style="143" customWidth="1"/>
    <col min="523" max="766" width="9.109375" style="143"/>
    <col min="767" max="767" width="9.44140625" style="143" customWidth="1"/>
    <col min="768" max="768" width="102" style="143" customWidth="1"/>
    <col min="769" max="769" width="9" style="143" hidden="1" customWidth="1"/>
    <col min="770" max="770" width="6.109375" style="143" customWidth="1"/>
    <col min="771" max="771" width="15.5546875" style="143" customWidth="1"/>
    <col min="772" max="772" width="7.44140625" style="143" customWidth="1"/>
    <col min="773" max="773" width="7.6640625" style="143" customWidth="1"/>
    <col min="774" max="774" width="6.33203125" style="143" customWidth="1"/>
    <col min="775" max="775" width="7.5546875" style="143" customWidth="1"/>
    <col min="776" max="776" width="11" style="143" customWidth="1"/>
    <col min="777" max="777" width="11.5546875" style="143" customWidth="1"/>
    <col min="778" max="778" width="26" style="143" customWidth="1"/>
    <col min="779" max="1022" width="9.109375" style="143"/>
    <col min="1023" max="1023" width="9.44140625" style="143" customWidth="1"/>
    <col min="1024" max="1024" width="102" style="143" customWidth="1"/>
    <col min="1025" max="1025" width="9" style="143" hidden="1" customWidth="1"/>
    <col min="1026" max="1026" width="6.109375" style="143" customWidth="1"/>
    <col min="1027" max="1027" width="15.5546875" style="143" customWidth="1"/>
    <col min="1028" max="1028" width="7.44140625" style="143" customWidth="1"/>
    <col min="1029" max="1029" width="7.6640625" style="143" customWidth="1"/>
    <col min="1030" max="1030" width="6.33203125" style="143" customWidth="1"/>
    <col min="1031" max="1031" width="7.5546875" style="143" customWidth="1"/>
    <col min="1032" max="1032" width="11" style="143" customWidth="1"/>
    <col min="1033" max="1033" width="11.5546875" style="143" customWidth="1"/>
    <col min="1034" max="1034" width="26" style="143" customWidth="1"/>
    <col min="1035" max="1278" width="9.109375" style="143"/>
    <col min="1279" max="1279" width="9.44140625" style="143" customWidth="1"/>
    <col min="1280" max="1280" width="102" style="143" customWidth="1"/>
    <col min="1281" max="1281" width="9" style="143" hidden="1" customWidth="1"/>
    <col min="1282" max="1282" width="6.109375" style="143" customWidth="1"/>
    <col min="1283" max="1283" width="15.5546875" style="143" customWidth="1"/>
    <col min="1284" max="1284" width="7.44140625" style="143" customWidth="1"/>
    <col min="1285" max="1285" width="7.6640625" style="143" customWidth="1"/>
    <col min="1286" max="1286" width="6.33203125" style="143" customWidth="1"/>
    <col min="1287" max="1287" width="7.5546875" style="143" customWidth="1"/>
    <col min="1288" max="1288" width="11" style="143" customWidth="1"/>
    <col min="1289" max="1289" width="11.5546875" style="143" customWidth="1"/>
    <col min="1290" max="1290" width="26" style="143" customWidth="1"/>
    <col min="1291" max="1534" width="9.109375" style="143"/>
    <col min="1535" max="1535" width="9.44140625" style="143" customWidth="1"/>
    <col min="1536" max="1536" width="102" style="143" customWidth="1"/>
    <col min="1537" max="1537" width="9" style="143" hidden="1" customWidth="1"/>
    <col min="1538" max="1538" width="6.109375" style="143" customWidth="1"/>
    <col min="1539" max="1539" width="15.5546875" style="143" customWidth="1"/>
    <col min="1540" max="1540" width="7.44140625" style="143" customWidth="1"/>
    <col min="1541" max="1541" width="7.6640625" style="143" customWidth="1"/>
    <col min="1542" max="1542" width="6.33203125" style="143" customWidth="1"/>
    <col min="1543" max="1543" width="7.5546875" style="143" customWidth="1"/>
    <col min="1544" max="1544" width="11" style="143" customWidth="1"/>
    <col min="1545" max="1545" width="11.5546875" style="143" customWidth="1"/>
    <col min="1546" max="1546" width="26" style="143" customWidth="1"/>
    <col min="1547" max="1790" width="9.109375" style="143"/>
    <col min="1791" max="1791" width="9.44140625" style="143" customWidth="1"/>
    <col min="1792" max="1792" width="102" style="143" customWidth="1"/>
    <col min="1793" max="1793" width="9" style="143" hidden="1" customWidth="1"/>
    <col min="1794" max="1794" width="6.109375" style="143" customWidth="1"/>
    <col min="1795" max="1795" width="15.5546875" style="143" customWidth="1"/>
    <col min="1796" max="1796" width="7.44140625" style="143" customWidth="1"/>
    <col min="1797" max="1797" width="7.6640625" style="143" customWidth="1"/>
    <col min="1798" max="1798" width="6.33203125" style="143" customWidth="1"/>
    <col min="1799" max="1799" width="7.5546875" style="143" customWidth="1"/>
    <col min="1800" max="1800" width="11" style="143" customWidth="1"/>
    <col min="1801" max="1801" width="11.5546875" style="143" customWidth="1"/>
    <col min="1802" max="1802" width="26" style="143" customWidth="1"/>
    <col min="1803" max="2046" width="9.109375" style="143"/>
    <col min="2047" max="2047" width="9.44140625" style="143" customWidth="1"/>
    <col min="2048" max="2048" width="102" style="143" customWidth="1"/>
    <col min="2049" max="2049" width="9" style="143" hidden="1" customWidth="1"/>
    <col min="2050" max="2050" width="6.109375" style="143" customWidth="1"/>
    <col min="2051" max="2051" width="15.5546875" style="143" customWidth="1"/>
    <col min="2052" max="2052" width="7.44140625" style="143" customWidth="1"/>
    <col min="2053" max="2053" width="7.6640625" style="143" customWidth="1"/>
    <col min="2054" max="2054" width="6.33203125" style="143" customWidth="1"/>
    <col min="2055" max="2055" width="7.5546875" style="143" customWidth="1"/>
    <col min="2056" max="2056" width="11" style="143" customWidth="1"/>
    <col min="2057" max="2057" width="11.5546875" style="143" customWidth="1"/>
    <col min="2058" max="2058" width="26" style="143" customWidth="1"/>
    <col min="2059" max="2302" width="9.109375" style="143"/>
    <col min="2303" max="2303" width="9.44140625" style="143" customWidth="1"/>
    <col min="2304" max="2304" width="102" style="143" customWidth="1"/>
    <col min="2305" max="2305" width="9" style="143" hidden="1" customWidth="1"/>
    <col min="2306" max="2306" width="6.109375" style="143" customWidth="1"/>
    <col min="2307" max="2307" width="15.5546875" style="143" customWidth="1"/>
    <col min="2308" max="2308" width="7.44140625" style="143" customWidth="1"/>
    <col min="2309" max="2309" width="7.6640625" style="143" customWidth="1"/>
    <col min="2310" max="2310" width="6.33203125" style="143" customWidth="1"/>
    <col min="2311" max="2311" width="7.5546875" style="143" customWidth="1"/>
    <col min="2312" max="2312" width="11" style="143" customWidth="1"/>
    <col min="2313" max="2313" width="11.5546875" style="143" customWidth="1"/>
    <col min="2314" max="2314" width="26" style="143" customWidth="1"/>
    <col min="2315" max="2558" width="9.109375" style="143"/>
    <col min="2559" max="2559" width="9.44140625" style="143" customWidth="1"/>
    <col min="2560" max="2560" width="102" style="143" customWidth="1"/>
    <col min="2561" max="2561" width="9" style="143" hidden="1" customWidth="1"/>
    <col min="2562" max="2562" width="6.109375" style="143" customWidth="1"/>
    <col min="2563" max="2563" width="15.5546875" style="143" customWidth="1"/>
    <col min="2564" max="2564" width="7.44140625" style="143" customWidth="1"/>
    <col min="2565" max="2565" width="7.6640625" style="143" customWidth="1"/>
    <col min="2566" max="2566" width="6.33203125" style="143" customWidth="1"/>
    <col min="2567" max="2567" width="7.5546875" style="143" customWidth="1"/>
    <col min="2568" max="2568" width="11" style="143" customWidth="1"/>
    <col min="2569" max="2569" width="11.5546875" style="143" customWidth="1"/>
    <col min="2570" max="2570" width="26" style="143" customWidth="1"/>
    <col min="2571" max="2814" width="9.109375" style="143"/>
    <col min="2815" max="2815" width="9.44140625" style="143" customWidth="1"/>
    <col min="2816" max="2816" width="102" style="143" customWidth="1"/>
    <col min="2817" max="2817" width="9" style="143" hidden="1" customWidth="1"/>
    <col min="2818" max="2818" width="6.109375" style="143" customWidth="1"/>
    <col min="2819" max="2819" width="15.5546875" style="143" customWidth="1"/>
    <col min="2820" max="2820" width="7.44140625" style="143" customWidth="1"/>
    <col min="2821" max="2821" width="7.6640625" style="143" customWidth="1"/>
    <col min="2822" max="2822" width="6.33203125" style="143" customWidth="1"/>
    <col min="2823" max="2823" width="7.5546875" style="143" customWidth="1"/>
    <col min="2824" max="2824" width="11" style="143" customWidth="1"/>
    <col min="2825" max="2825" width="11.5546875" style="143" customWidth="1"/>
    <col min="2826" max="2826" width="26" style="143" customWidth="1"/>
    <col min="2827" max="3070" width="9.109375" style="143"/>
    <col min="3071" max="3071" width="9.44140625" style="143" customWidth="1"/>
    <col min="3072" max="3072" width="102" style="143" customWidth="1"/>
    <col min="3073" max="3073" width="9" style="143" hidden="1" customWidth="1"/>
    <col min="3074" max="3074" width="6.109375" style="143" customWidth="1"/>
    <col min="3075" max="3075" width="15.5546875" style="143" customWidth="1"/>
    <col min="3076" max="3076" width="7.44140625" style="143" customWidth="1"/>
    <col min="3077" max="3077" width="7.6640625" style="143" customWidth="1"/>
    <col min="3078" max="3078" width="6.33203125" style="143" customWidth="1"/>
    <col min="3079" max="3079" width="7.5546875" style="143" customWidth="1"/>
    <col min="3080" max="3080" width="11" style="143" customWidth="1"/>
    <col min="3081" max="3081" width="11.5546875" style="143" customWidth="1"/>
    <col min="3082" max="3082" width="26" style="143" customWidth="1"/>
    <col min="3083" max="3326" width="9.109375" style="143"/>
    <col min="3327" max="3327" width="9.44140625" style="143" customWidth="1"/>
    <col min="3328" max="3328" width="102" style="143" customWidth="1"/>
    <col min="3329" max="3329" width="9" style="143" hidden="1" customWidth="1"/>
    <col min="3330" max="3330" width="6.109375" style="143" customWidth="1"/>
    <col min="3331" max="3331" width="15.5546875" style="143" customWidth="1"/>
    <col min="3332" max="3332" width="7.44140625" style="143" customWidth="1"/>
    <col min="3333" max="3333" width="7.6640625" style="143" customWidth="1"/>
    <col min="3334" max="3334" width="6.33203125" style="143" customWidth="1"/>
    <col min="3335" max="3335" width="7.5546875" style="143" customWidth="1"/>
    <col min="3336" max="3336" width="11" style="143" customWidth="1"/>
    <col min="3337" max="3337" width="11.5546875" style="143" customWidth="1"/>
    <col min="3338" max="3338" width="26" style="143" customWidth="1"/>
    <col min="3339" max="3582" width="9.109375" style="143"/>
    <col min="3583" max="3583" width="9.44140625" style="143" customWidth="1"/>
    <col min="3584" max="3584" width="102" style="143" customWidth="1"/>
    <col min="3585" max="3585" width="9" style="143" hidden="1" customWidth="1"/>
    <col min="3586" max="3586" width="6.109375" style="143" customWidth="1"/>
    <col min="3587" max="3587" width="15.5546875" style="143" customWidth="1"/>
    <col min="3588" max="3588" width="7.44140625" style="143" customWidth="1"/>
    <col min="3589" max="3589" width="7.6640625" style="143" customWidth="1"/>
    <col min="3590" max="3590" width="6.33203125" style="143" customWidth="1"/>
    <col min="3591" max="3591" width="7.5546875" style="143" customWidth="1"/>
    <col min="3592" max="3592" width="11" style="143" customWidth="1"/>
    <col min="3593" max="3593" width="11.5546875" style="143" customWidth="1"/>
    <col min="3594" max="3594" width="26" style="143" customWidth="1"/>
    <col min="3595" max="3838" width="9.109375" style="143"/>
    <col min="3839" max="3839" width="9.44140625" style="143" customWidth="1"/>
    <col min="3840" max="3840" width="102" style="143" customWidth="1"/>
    <col min="3841" max="3841" width="9" style="143" hidden="1" customWidth="1"/>
    <col min="3842" max="3842" width="6.109375" style="143" customWidth="1"/>
    <col min="3843" max="3843" width="15.5546875" style="143" customWidth="1"/>
    <col min="3844" max="3844" width="7.44140625" style="143" customWidth="1"/>
    <col min="3845" max="3845" width="7.6640625" style="143" customWidth="1"/>
    <col min="3846" max="3846" width="6.33203125" style="143" customWidth="1"/>
    <col min="3847" max="3847" width="7.5546875" style="143" customWidth="1"/>
    <col min="3848" max="3848" width="11" style="143" customWidth="1"/>
    <col min="3849" max="3849" width="11.5546875" style="143" customWidth="1"/>
    <col min="3850" max="3850" width="26" style="143" customWidth="1"/>
    <col min="3851" max="4094" width="9.109375" style="143"/>
    <col min="4095" max="4095" width="9.44140625" style="143" customWidth="1"/>
    <col min="4096" max="4096" width="102" style="143" customWidth="1"/>
    <col min="4097" max="4097" width="9" style="143" hidden="1" customWidth="1"/>
    <col min="4098" max="4098" width="6.109375" style="143" customWidth="1"/>
    <col min="4099" max="4099" width="15.5546875" style="143" customWidth="1"/>
    <col min="4100" max="4100" width="7.44140625" style="143" customWidth="1"/>
    <col min="4101" max="4101" width="7.6640625" style="143" customWidth="1"/>
    <col min="4102" max="4102" width="6.33203125" style="143" customWidth="1"/>
    <col min="4103" max="4103" width="7.5546875" style="143" customWidth="1"/>
    <col min="4104" max="4104" width="11" style="143" customWidth="1"/>
    <col min="4105" max="4105" width="11.5546875" style="143" customWidth="1"/>
    <col min="4106" max="4106" width="26" style="143" customWidth="1"/>
    <col min="4107" max="4350" width="9.109375" style="143"/>
    <col min="4351" max="4351" width="9.44140625" style="143" customWidth="1"/>
    <col min="4352" max="4352" width="102" style="143" customWidth="1"/>
    <col min="4353" max="4353" width="9" style="143" hidden="1" customWidth="1"/>
    <col min="4354" max="4354" width="6.109375" style="143" customWidth="1"/>
    <col min="4355" max="4355" width="15.5546875" style="143" customWidth="1"/>
    <col min="4356" max="4356" width="7.44140625" style="143" customWidth="1"/>
    <col min="4357" max="4357" width="7.6640625" style="143" customWidth="1"/>
    <col min="4358" max="4358" width="6.33203125" style="143" customWidth="1"/>
    <col min="4359" max="4359" width="7.5546875" style="143" customWidth="1"/>
    <col min="4360" max="4360" width="11" style="143" customWidth="1"/>
    <col min="4361" max="4361" width="11.5546875" style="143" customWidth="1"/>
    <col min="4362" max="4362" width="26" style="143" customWidth="1"/>
    <col min="4363" max="4606" width="9.109375" style="143"/>
    <col min="4607" max="4607" width="9.44140625" style="143" customWidth="1"/>
    <col min="4608" max="4608" width="102" style="143" customWidth="1"/>
    <col min="4609" max="4609" width="9" style="143" hidden="1" customWidth="1"/>
    <col min="4610" max="4610" width="6.109375" style="143" customWidth="1"/>
    <col min="4611" max="4611" width="15.5546875" style="143" customWidth="1"/>
    <col min="4612" max="4612" width="7.44140625" style="143" customWidth="1"/>
    <col min="4613" max="4613" width="7.6640625" style="143" customWidth="1"/>
    <col min="4614" max="4614" width="6.33203125" style="143" customWidth="1"/>
    <col min="4615" max="4615" width="7.5546875" style="143" customWidth="1"/>
    <col min="4616" max="4616" width="11" style="143" customWidth="1"/>
    <col min="4617" max="4617" width="11.5546875" style="143" customWidth="1"/>
    <col min="4618" max="4618" width="26" style="143" customWidth="1"/>
    <col min="4619" max="4862" width="9.109375" style="143"/>
    <col min="4863" max="4863" width="9.44140625" style="143" customWidth="1"/>
    <col min="4864" max="4864" width="102" style="143" customWidth="1"/>
    <col min="4865" max="4865" width="9" style="143" hidden="1" customWidth="1"/>
    <col min="4866" max="4866" width="6.109375" style="143" customWidth="1"/>
    <col min="4867" max="4867" width="15.5546875" style="143" customWidth="1"/>
    <col min="4868" max="4868" width="7.44140625" style="143" customWidth="1"/>
    <col min="4869" max="4869" width="7.6640625" style="143" customWidth="1"/>
    <col min="4870" max="4870" width="6.33203125" style="143" customWidth="1"/>
    <col min="4871" max="4871" width="7.5546875" style="143" customWidth="1"/>
    <col min="4872" max="4872" width="11" style="143" customWidth="1"/>
    <col min="4873" max="4873" width="11.5546875" style="143" customWidth="1"/>
    <col min="4874" max="4874" width="26" style="143" customWidth="1"/>
    <col min="4875" max="5118" width="9.109375" style="143"/>
    <col min="5119" max="5119" width="9.44140625" style="143" customWidth="1"/>
    <col min="5120" max="5120" width="102" style="143" customWidth="1"/>
    <col min="5121" max="5121" width="9" style="143" hidden="1" customWidth="1"/>
    <col min="5122" max="5122" width="6.109375" style="143" customWidth="1"/>
    <col min="5123" max="5123" width="15.5546875" style="143" customWidth="1"/>
    <col min="5124" max="5124" width="7.44140625" style="143" customWidth="1"/>
    <col min="5125" max="5125" width="7.6640625" style="143" customWidth="1"/>
    <col min="5126" max="5126" width="6.33203125" style="143" customWidth="1"/>
    <col min="5127" max="5127" width="7.5546875" style="143" customWidth="1"/>
    <col min="5128" max="5128" width="11" style="143" customWidth="1"/>
    <col min="5129" max="5129" width="11.5546875" style="143" customWidth="1"/>
    <col min="5130" max="5130" width="26" style="143" customWidth="1"/>
    <col min="5131" max="5374" width="9.109375" style="143"/>
    <col min="5375" max="5375" width="9.44140625" style="143" customWidth="1"/>
    <col min="5376" max="5376" width="102" style="143" customWidth="1"/>
    <col min="5377" max="5377" width="9" style="143" hidden="1" customWidth="1"/>
    <col min="5378" max="5378" width="6.109375" style="143" customWidth="1"/>
    <col min="5379" max="5379" width="15.5546875" style="143" customWidth="1"/>
    <col min="5380" max="5380" width="7.44140625" style="143" customWidth="1"/>
    <col min="5381" max="5381" width="7.6640625" style="143" customWidth="1"/>
    <col min="5382" max="5382" width="6.33203125" style="143" customWidth="1"/>
    <col min="5383" max="5383" width="7.5546875" style="143" customWidth="1"/>
    <col min="5384" max="5384" width="11" style="143" customWidth="1"/>
    <col min="5385" max="5385" width="11.5546875" style="143" customWidth="1"/>
    <col min="5386" max="5386" width="26" style="143" customWidth="1"/>
    <col min="5387" max="5630" width="9.109375" style="143"/>
    <col min="5631" max="5631" width="9.44140625" style="143" customWidth="1"/>
    <col min="5632" max="5632" width="102" style="143" customWidth="1"/>
    <col min="5633" max="5633" width="9" style="143" hidden="1" customWidth="1"/>
    <col min="5634" max="5634" width="6.109375" style="143" customWidth="1"/>
    <col min="5635" max="5635" width="15.5546875" style="143" customWidth="1"/>
    <col min="5636" max="5636" width="7.44140625" style="143" customWidth="1"/>
    <col min="5637" max="5637" width="7.6640625" style="143" customWidth="1"/>
    <col min="5638" max="5638" width="6.33203125" style="143" customWidth="1"/>
    <col min="5639" max="5639" width="7.5546875" style="143" customWidth="1"/>
    <col min="5640" max="5640" width="11" style="143" customWidth="1"/>
    <col min="5641" max="5641" width="11.5546875" style="143" customWidth="1"/>
    <col min="5642" max="5642" width="26" style="143" customWidth="1"/>
    <col min="5643" max="5886" width="9.109375" style="143"/>
    <col min="5887" max="5887" width="9.44140625" style="143" customWidth="1"/>
    <col min="5888" max="5888" width="102" style="143" customWidth="1"/>
    <col min="5889" max="5889" width="9" style="143" hidden="1" customWidth="1"/>
    <col min="5890" max="5890" width="6.109375" style="143" customWidth="1"/>
    <col min="5891" max="5891" width="15.5546875" style="143" customWidth="1"/>
    <col min="5892" max="5892" width="7.44140625" style="143" customWidth="1"/>
    <col min="5893" max="5893" width="7.6640625" style="143" customWidth="1"/>
    <col min="5894" max="5894" width="6.33203125" style="143" customWidth="1"/>
    <col min="5895" max="5895" width="7.5546875" style="143" customWidth="1"/>
    <col min="5896" max="5896" width="11" style="143" customWidth="1"/>
    <col min="5897" max="5897" width="11.5546875" style="143" customWidth="1"/>
    <col min="5898" max="5898" width="26" style="143" customWidth="1"/>
    <col min="5899" max="6142" width="9.109375" style="143"/>
    <col min="6143" max="6143" width="9.44140625" style="143" customWidth="1"/>
    <col min="6144" max="6144" width="102" style="143" customWidth="1"/>
    <col min="6145" max="6145" width="9" style="143" hidden="1" customWidth="1"/>
    <col min="6146" max="6146" width="6.109375" style="143" customWidth="1"/>
    <col min="6147" max="6147" width="15.5546875" style="143" customWidth="1"/>
    <col min="6148" max="6148" width="7.44140625" style="143" customWidth="1"/>
    <col min="6149" max="6149" width="7.6640625" style="143" customWidth="1"/>
    <col min="6150" max="6150" width="6.33203125" style="143" customWidth="1"/>
    <col min="6151" max="6151" width="7.5546875" style="143" customWidth="1"/>
    <col min="6152" max="6152" width="11" style="143" customWidth="1"/>
    <col min="6153" max="6153" width="11.5546875" style="143" customWidth="1"/>
    <col min="6154" max="6154" width="26" style="143" customWidth="1"/>
    <col min="6155" max="6398" width="9.109375" style="143"/>
    <col min="6399" max="6399" width="9.44140625" style="143" customWidth="1"/>
    <col min="6400" max="6400" width="102" style="143" customWidth="1"/>
    <col min="6401" max="6401" width="9" style="143" hidden="1" customWidth="1"/>
    <col min="6402" max="6402" width="6.109375" style="143" customWidth="1"/>
    <col min="6403" max="6403" width="15.5546875" style="143" customWidth="1"/>
    <col min="6404" max="6404" width="7.44140625" style="143" customWidth="1"/>
    <col min="6405" max="6405" width="7.6640625" style="143" customWidth="1"/>
    <col min="6406" max="6406" width="6.33203125" style="143" customWidth="1"/>
    <col min="6407" max="6407" width="7.5546875" style="143" customWidth="1"/>
    <col min="6408" max="6408" width="11" style="143" customWidth="1"/>
    <col min="6409" max="6409" width="11.5546875" style="143" customWidth="1"/>
    <col min="6410" max="6410" width="26" style="143" customWidth="1"/>
    <col min="6411" max="6654" width="9.109375" style="143"/>
    <col min="6655" max="6655" width="9.44140625" style="143" customWidth="1"/>
    <col min="6656" max="6656" width="102" style="143" customWidth="1"/>
    <col min="6657" max="6657" width="9" style="143" hidden="1" customWidth="1"/>
    <col min="6658" max="6658" width="6.109375" style="143" customWidth="1"/>
    <col min="6659" max="6659" width="15.5546875" style="143" customWidth="1"/>
    <col min="6660" max="6660" width="7.44140625" style="143" customWidth="1"/>
    <col min="6661" max="6661" width="7.6640625" style="143" customWidth="1"/>
    <col min="6662" max="6662" width="6.33203125" style="143" customWidth="1"/>
    <col min="6663" max="6663" width="7.5546875" style="143" customWidth="1"/>
    <col min="6664" max="6664" width="11" style="143" customWidth="1"/>
    <col min="6665" max="6665" width="11.5546875" style="143" customWidth="1"/>
    <col min="6666" max="6666" width="26" style="143" customWidth="1"/>
    <col min="6667" max="6910" width="9.109375" style="143"/>
    <col min="6911" max="6911" width="9.44140625" style="143" customWidth="1"/>
    <col min="6912" max="6912" width="102" style="143" customWidth="1"/>
    <col min="6913" max="6913" width="9" style="143" hidden="1" customWidth="1"/>
    <col min="6914" max="6914" width="6.109375" style="143" customWidth="1"/>
    <col min="6915" max="6915" width="15.5546875" style="143" customWidth="1"/>
    <col min="6916" max="6916" width="7.44140625" style="143" customWidth="1"/>
    <col min="6917" max="6917" width="7.6640625" style="143" customWidth="1"/>
    <col min="6918" max="6918" width="6.33203125" style="143" customWidth="1"/>
    <col min="6919" max="6919" width="7.5546875" style="143" customWidth="1"/>
    <col min="6920" max="6920" width="11" style="143" customWidth="1"/>
    <col min="6921" max="6921" width="11.5546875" style="143" customWidth="1"/>
    <col min="6922" max="6922" width="26" style="143" customWidth="1"/>
    <col min="6923" max="7166" width="9.109375" style="143"/>
    <col min="7167" max="7167" width="9.44140625" style="143" customWidth="1"/>
    <col min="7168" max="7168" width="102" style="143" customWidth="1"/>
    <col min="7169" max="7169" width="9" style="143" hidden="1" customWidth="1"/>
    <col min="7170" max="7170" width="6.109375" style="143" customWidth="1"/>
    <col min="7171" max="7171" width="15.5546875" style="143" customWidth="1"/>
    <col min="7172" max="7172" width="7.44140625" style="143" customWidth="1"/>
    <col min="7173" max="7173" width="7.6640625" style="143" customWidth="1"/>
    <col min="7174" max="7174" width="6.33203125" style="143" customWidth="1"/>
    <col min="7175" max="7175" width="7.5546875" style="143" customWidth="1"/>
    <col min="7176" max="7176" width="11" style="143" customWidth="1"/>
    <col min="7177" max="7177" width="11.5546875" style="143" customWidth="1"/>
    <col min="7178" max="7178" width="26" style="143" customWidth="1"/>
    <col min="7179" max="7422" width="9.109375" style="143"/>
    <col min="7423" max="7423" width="9.44140625" style="143" customWidth="1"/>
    <col min="7424" max="7424" width="102" style="143" customWidth="1"/>
    <col min="7425" max="7425" width="9" style="143" hidden="1" customWidth="1"/>
    <col min="7426" max="7426" width="6.109375" style="143" customWidth="1"/>
    <col min="7427" max="7427" width="15.5546875" style="143" customWidth="1"/>
    <col min="7428" max="7428" width="7.44140625" style="143" customWidth="1"/>
    <col min="7429" max="7429" width="7.6640625" style="143" customWidth="1"/>
    <col min="7430" max="7430" width="6.33203125" style="143" customWidth="1"/>
    <col min="7431" max="7431" width="7.5546875" style="143" customWidth="1"/>
    <col min="7432" max="7432" width="11" style="143" customWidth="1"/>
    <col min="7433" max="7433" width="11.5546875" style="143" customWidth="1"/>
    <col min="7434" max="7434" width="26" style="143" customWidth="1"/>
    <col min="7435" max="7678" width="9.109375" style="143"/>
    <col min="7679" max="7679" width="9.44140625" style="143" customWidth="1"/>
    <col min="7680" max="7680" width="102" style="143" customWidth="1"/>
    <col min="7681" max="7681" width="9" style="143" hidden="1" customWidth="1"/>
    <col min="7682" max="7682" width="6.109375" style="143" customWidth="1"/>
    <col min="7683" max="7683" width="15.5546875" style="143" customWidth="1"/>
    <col min="7684" max="7684" width="7.44140625" style="143" customWidth="1"/>
    <col min="7685" max="7685" width="7.6640625" style="143" customWidth="1"/>
    <col min="7686" max="7686" width="6.33203125" style="143" customWidth="1"/>
    <col min="7687" max="7687" width="7.5546875" style="143" customWidth="1"/>
    <col min="7688" max="7688" width="11" style="143" customWidth="1"/>
    <col min="7689" max="7689" width="11.5546875" style="143" customWidth="1"/>
    <col min="7690" max="7690" width="26" style="143" customWidth="1"/>
    <col min="7691" max="7934" width="9.109375" style="143"/>
    <col min="7935" max="7935" width="9.44140625" style="143" customWidth="1"/>
    <col min="7936" max="7936" width="102" style="143" customWidth="1"/>
    <col min="7937" max="7937" width="9" style="143" hidden="1" customWidth="1"/>
    <col min="7938" max="7938" width="6.109375" style="143" customWidth="1"/>
    <col min="7939" max="7939" width="15.5546875" style="143" customWidth="1"/>
    <col min="7940" max="7940" width="7.44140625" style="143" customWidth="1"/>
    <col min="7941" max="7941" width="7.6640625" style="143" customWidth="1"/>
    <col min="7942" max="7942" width="6.33203125" style="143" customWidth="1"/>
    <col min="7943" max="7943" width="7.5546875" style="143" customWidth="1"/>
    <col min="7944" max="7944" width="11" style="143" customWidth="1"/>
    <col min="7945" max="7945" width="11.5546875" style="143" customWidth="1"/>
    <col min="7946" max="7946" width="26" style="143" customWidth="1"/>
    <col min="7947" max="8190" width="9.109375" style="143"/>
    <col min="8191" max="8191" width="9.44140625" style="143" customWidth="1"/>
    <col min="8192" max="8192" width="102" style="143" customWidth="1"/>
    <col min="8193" max="8193" width="9" style="143" hidden="1" customWidth="1"/>
    <col min="8194" max="8194" width="6.109375" style="143" customWidth="1"/>
    <col min="8195" max="8195" width="15.5546875" style="143" customWidth="1"/>
    <col min="8196" max="8196" width="7.44140625" style="143" customWidth="1"/>
    <col min="8197" max="8197" width="7.6640625" style="143" customWidth="1"/>
    <col min="8198" max="8198" width="6.33203125" style="143" customWidth="1"/>
    <col min="8199" max="8199" width="7.5546875" style="143" customWidth="1"/>
    <col min="8200" max="8200" width="11" style="143" customWidth="1"/>
    <col min="8201" max="8201" width="11.5546875" style="143" customWidth="1"/>
    <col min="8202" max="8202" width="26" style="143" customWidth="1"/>
    <col min="8203" max="8446" width="9.109375" style="143"/>
    <col min="8447" max="8447" width="9.44140625" style="143" customWidth="1"/>
    <col min="8448" max="8448" width="102" style="143" customWidth="1"/>
    <col min="8449" max="8449" width="9" style="143" hidden="1" customWidth="1"/>
    <col min="8450" max="8450" width="6.109375" style="143" customWidth="1"/>
    <col min="8451" max="8451" width="15.5546875" style="143" customWidth="1"/>
    <col min="8452" max="8452" width="7.44140625" style="143" customWidth="1"/>
    <col min="8453" max="8453" width="7.6640625" style="143" customWidth="1"/>
    <col min="8454" max="8454" width="6.33203125" style="143" customWidth="1"/>
    <col min="8455" max="8455" width="7.5546875" style="143" customWidth="1"/>
    <col min="8456" max="8456" width="11" style="143" customWidth="1"/>
    <col min="8457" max="8457" width="11.5546875" style="143" customWidth="1"/>
    <col min="8458" max="8458" width="26" style="143" customWidth="1"/>
    <col min="8459" max="8702" width="9.109375" style="143"/>
    <col min="8703" max="8703" width="9.44140625" style="143" customWidth="1"/>
    <col min="8704" max="8704" width="102" style="143" customWidth="1"/>
    <col min="8705" max="8705" width="9" style="143" hidden="1" customWidth="1"/>
    <col min="8706" max="8706" width="6.109375" style="143" customWidth="1"/>
    <col min="8707" max="8707" width="15.5546875" style="143" customWidth="1"/>
    <col min="8708" max="8708" width="7.44140625" style="143" customWidth="1"/>
    <col min="8709" max="8709" width="7.6640625" style="143" customWidth="1"/>
    <col min="8710" max="8710" width="6.33203125" style="143" customWidth="1"/>
    <col min="8711" max="8711" width="7.5546875" style="143" customWidth="1"/>
    <col min="8712" max="8712" width="11" style="143" customWidth="1"/>
    <col min="8713" max="8713" width="11.5546875" style="143" customWidth="1"/>
    <col min="8714" max="8714" width="26" style="143" customWidth="1"/>
    <col min="8715" max="8958" width="9.109375" style="143"/>
    <col min="8959" max="8959" width="9.44140625" style="143" customWidth="1"/>
    <col min="8960" max="8960" width="102" style="143" customWidth="1"/>
    <col min="8961" max="8961" width="9" style="143" hidden="1" customWidth="1"/>
    <col min="8962" max="8962" width="6.109375" style="143" customWidth="1"/>
    <col min="8963" max="8963" width="15.5546875" style="143" customWidth="1"/>
    <col min="8964" max="8964" width="7.44140625" style="143" customWidth="1"/>
    <col min="8965" max="8965" width="7.6640625" style="143" customWidth="1"/>
    <col min="8966" max="8966" width="6.33203125" style="143" customWidth="1"/>
    <col min="8967" max="8967" width="7.5546875" style="143" customWidth="1"/>
    <col min="8968" max="8968" width="11" style="143" customWidth="1"/>
    <col min="8969" max="8969" width="11.5546875" style="143" customWidth="1"/>
    <col min="8970" max="8970" width="26" style="143" customWidth="1"/>
    <col min="8971" max="9214" width="9.109375" style="143"/>
    <col min="9215" max="9215" width="9.44140625" style="143" customWidth="1"/>
    <col min="9216" max="9216" width="102" style="143" customWidth="1"/>
    <col min="9217" max="9217" width="9" style="143" hidden="1" customWidth="1"/>
    <col min="9218" max="9218" width="6.109375" style="143" customWidth="1"/>
    <col min="9219" max="9219" width="15.5546875" style="143" customWidth="1"/>
    <col min="9220" max="9220" width="7.44140625" style="143" customWidth="1"/>
    <col min="9221" max="9221" width="7.6640625" style="143" customWidth="1"/>
    <col min="9222" max="9222" width="6.33203125" style="143" customWidth="1"/>
    <col min="9223" max="9223" width="7.5546875" style="143" customWidth="1"/>
    <col min="9224" max="9224" width="11" style="143" customWidth="1"/>
    <col min="9225" max="9225" width="11.5546875" style="143" customWidth="1"/>
    <col min="9226" max="9226" width="26" style="143" customWidth="1"/>
    <col min="9227" max="9470" width="9.109375" style="143"/>
    <col min="9471" max="9471" width="9.44140625" style="143" customWidth="1"/>
    <col min="9472" max="9472" width="102" style="143" customWidth="1"/>
    <col min="9473" max="9473" width="9" style="143" hidden="1" customWidth="1"/>
    <col min="9474" max="9474" width="6.109375" style="143" customWidth="1"/>
    <col min="9475" max="9475" width="15.5546875" style="143" customWidth="1"/>
    <col min="9476" max="9476" width="7.44140625" style="143" customWidth="1"/>
    <col min="9477" max="9477" width="7.6640625" style="143" customWidth="1"/>
    <col min="9478" max="9478" width="6.33203125" style="143" customWidth="1"/>
    <col min="9479" max="9479" width="7.5546875" style="143" customWidth="1"/>
    <col min="9480" max="9480" width="11" style="143" customWidth="1"/>
    <col min="9481" max="9481" width="11.5546875" style="143" customWidth="1"/>
    <col min="9482" max="9482" width="26" style="143" customWidth="1"/>
    <col min="9483" max="9726" width="9.109375" style="143"/>
    <col min="9727" max="9727" width="9.44140625" style="143" customWidth="1"/>
    <col min="9728" max="9728" width="102" style="143" customWidth="1"/>
    <col min="9729" max="9729" width="9" style="143" hidden="1" customWidth="1"/>
    <col min="9730" max="9730" width="6.109375" style="143" customWidth="1"/>
    <col min="9731" max="9731" width="15.5546875" style="143" customWidth="1"/>
    <col min="9732" max="9732" width="7.44140625" style="143" customWidth="1"/>
    <col min="9733" max="9733" width="7.6640625" style="143" customWidth="1"/>
    <col min="9734" max="9734" width="6.33203125" style="143" customWidth="1"/>
    <col min="9735" max="9735" width="7.5546875" style="143" customWidth="1"/>
    <col min="9736" max="9736" width="11" style="143" customWidth="1"/>
    <col min="9737" max="9737" width="11.5546875" style="143" customWidth="1"/>
    <col min="9738" max="9738" width="26" style="143" customWidth="1"/>
    <col min="9739" max="9982" width="9.109375" style="143"/>
    <col min="9983" max="9983" width="9.44140625" style="143" customWidth="1"/>
    <col min="9984" max="9984" width="102" style="143" customWidth="1"/>
    <col min="9985" max="9985" width="9" style="143" hidden="1" customWidth="1"/>
    <col min="9986" max="9986" width="6.109375" style="143" customWidth="1"/>
    <col min="9987" max="9987" width="15.5546875" style="143" customWidth="1"/>
    <col min="9988" max="9988" width="7.44140625" style="143" customWidth="1"/>
    <col min="9989" max="9989" width="7.6640625" style="143" customWidth="1"/>
    <col min="9990" max="9990" width="6.33203125" style="143" customWidth="1"/>
    <col min="9991" max="9991" width="7.5546875" style="143" customWidth="1"/>
    <col min="9992" max="9992" width="11" style="143" customWidth="1"/>
    <col min="9993" max="9993" width="11.5546875" style="143" customWidth="1"/>
    <col min="9994" max="9994" width="26" style="143" customWidth="1"/>
    <col min="9995" max="10238" width="9.109375" style="143"/>
    <col min="10239" max="10239" width="9.44140625" style="143" customWidth="1"/>
    <col min="10240" max="10240" width="102" style="143" customWidth="1"/>
    <col min="10241" max="10241" width="9" style="143" hidden="1" customWidth="1"/>
    <col min="10242" max="10242" width="6.109375" style="143" customWidth="1"/>
    <col min="10243" max="10243" width="15.5546875" style="143" customWidth="1"/>
    <col min="10244" max="10244" width="7.44140625" style="143" customWidth="1"/>
    <col min="10245" max="10245" width="7.6640625" style="143" customWidth="1"/>
    <col min="10246" max="10246" width="6.33203125" style="143" customWidth="1"/>
    <col min="10247" max="10247" width="7.5546875" style="143" customWidth="1"/>
    <col min="10248" max="10248" width="11" style="143" customWidth="1"/>
    <col min="10249" max="10249" width="11.5546875" style="143" customWidth="1"/>
    <col min="10250" max="10250" width="26" style="143" customWidth="1"/>
    <col min="10251" max="10494" width="9.109375" style="143"/>
    <col min="10495" max="10495" width="9.44140625" style="143" customWidth="1"/>
    <col min="10496" max="10496" width="102" style="143" customWidth="1"/>
    <col min="10497" max="10497" width="9" style="143" hidden="1" customWidth="1"/>
    <col min="10498" max="10498" width="6.109375" style="143" customWidth="1"/>
    <col min="10499" max="10499" width="15.5546875" style="143" customWidth="1"/>
    <col min="10500" max="10500" width="7.44140625" style="143" customWidth="1"/>
    <col min="10501" max="10501" width="7.6640625" style="143" customWidth="1"/>
    <col min="10502" max="10502" width="6.33203125" style="143" customWidth="1"/>
    <col min="10503" max="10503" width="7.5546875" style="143" customWidth="1"/>
    <col min="10504" max="10504" width="11" style="143" customWidth="1"/>
    <col min="10505" max="10505" width="11.5546875" style="143" customWidth="1"/>
    <col min="10506" max="10506" width="26" style="143" customWidth="1"/>
    <col min="10507" max="10750" width="9.109375" style="143"/>
    <col min="10751" max="10751" width="9.44140625" style="143" customWidth="1"/>
    <col min="10752" max="10752" width="102" style="143" customWidth="1"/>
    <col min="10753" max="10753" width="9" style="143" hidden="1" customWidth="1"/>
    <col min="10754" max="10754" width="6.109375" style="143" customWidth="1"/>
    <col min="10755" max="10755" width="15.5546875" style="143" customWidth="1"/>
    <col min="10756" max="10756" width="7.44140625" style="143" customWidth="1"/>
    <col min="10757" max="10757" width="7.6640625" style="143" customWidth="1"/>
    <col min="10758" max="10758" width="6.33203125" style="143" customWidth="1"/>
    <col min="10759" max="10759" width="7.5546875" style="143" customWidth="1"/>
    <col min="10760" max="10760" width="11" style="143" customWidth="1"/>
    <col min="10761" max="10761" width="11.5546875" style="143" customWidth="1"/>
    <col min="10762" max="10762" width="26" style="143" customWidth="1"/>
    <col min="10763" max="11006" width="9.109375" style="143"/>
    <col min="11007" max="11007" width="9.44140625" style="143" customWidth="1"/>
    <col min="11008" max="11008" width="102" style="143" customWidth="1"/>
    <col min="11009" max="11009" width="9" style="143" hidden="1" customWidth="1"/>
    <col min="11010" max="11010" width="6.109375" style="143" customWidth="1"/>
    <col min="11011" max="11011" width="15.5546875" style="143" customWidth="1"/>
    <col min="11012" max="11012" width="7.44140625" style="143" customWidth="1"/>
    <col min="11013" max="11013" width="7.6640625" style="143" customWidth="1"/>
    <col min="11014" max="11014" width="6.33203125" style="143" customWidth="1"/>
    <col min="11015" max="11015" width="7.5546875" style="143" customWidth="1"/>
    <col min="11016" max="11016" width="11" style="143" customWidth="1"/>
    <col min="11017" max="11017" width="11.5546875" style="143" customWidth="1"/>
    <col min="11018" max="11018" width="26" style="143" customWidth="1"/>
    <col min="11019" max="11262" width="9.109375" style="143"/>
    <col min="11263" max="11263" width="9.44140625" style="143" customWidth="1"/>
    <col min="11264" max="11264" width="102" style="143" customWidth="1"/>
    <col min="11265" max="11265" width="9" style="143" hidden="1" customWidth="1"/>
    <col min="11266" max="11266" width="6.109375" style="143" customWidth="1"/>
    <col min="11267" max="11267" width="15.5546875" style="143" customWidth="1"/>
    <col min="11268" max="11268" width="7.44140625" style="143" customWidth="1"/>
    <col min="11269" max="11269" width="7.6640625" style="143" customWidth="1"/>
    <col min="11270" max="11270" width="6.33203125" style="143" customWidth="1"/>
    <col min="11271" max="11271" width="7.5546875" style="143" customWidth="1"/>
    <col min="11272" max="11272" width="11" style="143" customWidth="1"/>
    <col min="11273" max="11273" width="11.5546875" style="143" customWidth="1"/>
    <col min="11274" max="11274" width="26" style="143" customWidth="1"/>
    <col min="11275" max="11518" width="9.109375" style="143"/>
    <col min="11519" max="11519" width="9.44140625" style="143" customWidth="1"/>
    <col min="11520" max="11520" width="102" style="143" customWidth="1"/>
    <col min="11521" max="11521" width="9" style="143" hidden="1" customWidth="1"/>
    <col min="11522" max="11522" width="6.109375" style="143" customWidth="1"/>
    <col min="11523" max="11523" width="15.5546875" style="143" customWidth="1"/>
    <col min="11524" max="11524" width="7.44140625" style="143" customWidth="1"/>
    <col min="11525" max="11525" width="7.6640625" style="143" customWidth="1"/>
    <col min="11526" max="11526" width="6.33203125" style="143" customWidth="1"/>
    <col min="11527" max="11527" width="7.5546875" style="143" customWidth="1"/>
    <col min="11528" max="11528" width="11" style="143" customWidth="1"/>
    <col min="11529" max="11529" width="11.5546875" style="143" customWidth="1"/>
    <col min="11530" max="11530" width="26" style="143" customWidth="1"/>
    <col min="11531" max="11774" width="9.109375" style="143"/>
    <col min="11775" max="11775" width="9.44140625" style="143" customWidth="1"/>
    <col min="11776" max="11776" width="102" style="143" customWidth="1"/>
    <col min="11777" max="11777" width="9" style="143" hidden="1" customWidth="1"/>
    <col min="11778" max="11778" width="6.109375" style="143" customWidth="1"/>
    <col min="11779" max="11779" width="15.5546875" style="143" customWidth="1"/>
    <col min="11780" max="11780" width="7.44140625" style="143" customWidth="1"/>
    <col min="11781" max="11781" width="7.6640625" style="143" customWidth="1"/>
    <col min="11782" max="11782" width="6.33203125" style="143" customWidth="1"/>
    <col min="11783" max="11783" width="7.5546875" style="143" customWidth="1"/>
    <col min="11784" max="11784" width="11" style="143" customWidth="1"/>
    <col min="11785" max="11785" width="11.5546875" style="143" customWidth="1"/>
    <col min="11786" max="11786" width="26" style="143" customWidth="1"/>
    <col min="11787" max="12030" width="9.109375" style="143"/>
    <col min="12031" max="12031" width="9.44140625" style="143" customWidth="1"/>
    <col min="12032" max="12032" width="102" style="143" customWidth="1"/>
    <col min="12033" max="12033" width="9" style="143" hidden="1" customWidth="1"/>
    <col min="12034" max="12034" width="6.109375" style="143" customWidth="1"/>
    <col min="12035" max="12035" width="15.5546875" style="143" customWidth="1"/>
    <col min="12036" max="12036" width="7.44140625" style="143" customWidth="1"/>
    <col min="12037" max="12037" width="7.6640625" style="143" customWidth="1"/>
    <col min="12038" max="12038" width="6.33203125" style="143" customWidth="1"/>
    <col min="12039" max="12039" width="7.5546875" style="143" customWidth="1"/>
    <col min="12040" max="12040" width="11" style="143" customWidth="1"/>
    <col min="12041" max="12041" width="11.5546875" style="143" customWidth="1"/>
    <col min="12042" max="12042" width="26" style="143" customWidth="1"/>
    <col min="12043" max="12286" width="9.109375" style="143"/>
    <col min="12287" max="12287" width="9.44140625" style="143" customWidth="1"/>
    <col min="12288" max="12288" width="102" style="143" customWidth="1"/>
    <col min="12289" max="12289" width="9" style="143" hidden="1" customWidth="1"/>
    <col min="12290" max="12290" width="6.109375" style="143" customWidth="1"/>
    <col min="12291" max="12291" width="15.5546875" style="143" customWidth="1"/>
    <col min="12292" max="12292" width="7.44140625" style="143" customWidth="1"/>
    <col min="12293" max="12293" width="7.6640625" style="143" customWidth="1"/>
    <col min="12294" max="12294" width="6.33203125" style="143" customWidth="1"/>
    <col min="12295" max="12295" width="7.5546875" style="143" customWidth="1"/>
    <col min="12296" max="12296" width="11" style="143" customWidth="1"/>
    <col min="12297" max="12297" width="11.5546875" style="143" customWidth="1"/>
    <col min="12298" max="12298" width="26" style="143" customWidth="1"/>
    <col min="12299" max="12542" width="9.109375" style="143"/>
    <col min="12543" max="12543" width="9.44140625" style="143" customWidth="1"/>
    <col min="12544" max="12544" width="102" style="143" customWidth="1"/>
    <col min="12545" max="12545" width="9" style="143" hidden="1" customWidth="1"/>
    <col min="12546" max="12546" width="6.109375" style="143" customWidth="1"/>
    <col min="12547" max="12547" width="15.5546875" style="143" customWidth="1"/>
    <col min="12548" max="12548" width="7.44140625" style="143" customWidth="1"/>
    <col min="12549" max="12549" width="7.6640625" style="143" customWidth="1"/>
    <col min="12550" max="12550" width="6.33203125" style="143" customWidth="1"/>
    <col min="12551" max="12551" width="7.5546875" style="143" customWidth="1"/>
    <col min="12552" max="12552" width="11" style="143" customWidth="1"/>
    <col min="12553" max="12553" width="11.5546875" style="143" customWidth="1"/>
    <col min="12554" max="12554" width="26" style="143" customWidth="1"/>
    <col min="12555" max="12798" width="9.109375" style="143"/>
    <col min="12799" max="12799" width="9.44140625" style="143" customWidth="1"/>
    <col min="12800" max="12800" width="102" style="143" customWidth="1"/>
    <col min="12801" max="12801" width="9" style="143" hidden="1" customWidth="1"/>
    <col min="12802" max="12802" width="6.109375" style="143" customWidth="1"/>
    <col min="12803" max="12803" width="15.5546875" style="143" customWidth="1"/>
    <col min="12804" max="12804" width="7.44140625" style="143" customWidth="1"/>
    <col min="12805" max="12805" width="7.6640625" style="143" customWidth="1"/>
    <col min="12806" max="12806" width="6.33203125" style="143" customWidth="1"/>
    <col min="12807" max="12807" width="7.5546875" style="143" customWidth="1"/>
    <col min="12808" max="12808" width="11" style="143" customWidth="1"/>
    <col min="12809" max="12809" width="11.5546875" style="143" customWidth="1"/>
    <col min="12810" max="12810" width="26" style="143" customWidth="1"/>
    <col min="12811" max="13054" width="9.109375" style="143"/>
    <col min="13055" max="13055" width="9.44140625" style="143" customWidth="1"/>
    <col min="13056" max="13056" width="102" style="143" customWidth="1"/>
    <col min="13057" max="13057" width="9" style="143" hidden="1" customWidth="1"/>
    <col min="13058" max="13058" width="6.109375" style="143" customWidth="1"/>
    <col min="13059" max="13059" width="15.5546875" style="143" customWidth="1"/>
    <col min="13060" max="13060" width="7.44140625" style="143" customWidth="1"/>
    <col min="13061" max="13061" width="7.6640625" style="143" customWidth="1"/>
    <col min="13062" max="13062" width="6.33203125" style="143" customWidth="1"/>
    <col min="13063" max="13063" width="7.5546875" style="143" customWidth="1"/>
    <col min="13064" max="13064" width="11" style="143" customWidth="1"/>
    <col min="13065" max="13065" width="11.5546875" style="143" customWidth="1"/>
    <col min="13066" max="13066" width="26" style="143" customWidth="1"/>
    <col min="13067" max="13310" width="9.109375" style="143"/>
    <col min="13311" max="13311" width="9.44140625" style="143" customWidth="1"/>
    <col min="13312" max="13312" width="102" style="143" customWidth="1"/>
    <col min="13313" max="13313" width="9" style="143" hidden="1" customWidth="1"/>
    <col min="13314" max="13314" width="6.109375" style="143" customWidth="1"/>
    <col min="13315" max="13315" width="15.5546875" style="143" customWidth="1"/>
    <col min="13316" max="13316" width="7.44140625" style="143" customWidth="1"/>
    <col min="13317" max="13317" width="7.6640625" style="143" customWidth="1"/>
    <col min="13318" max="13318" width="6.33203125" style="143" customWidth="1"/>
    <col min="13319" max="13319" width="7.5546875" style="143" customWidth="1"/>
    <col min="13320" max="13320" width="11" style="143" customWidth="1"/>
    <col min="13321" max="13321" width="11.5546875" style="143" customWidth="1"/>
    <col min="13322" max="13322" width="26" style="143" customWidth="1"/>
    <col min="13323" max="13566" width="9.109375" style="143"/>
    <col min="13567" max="13567" width="9.44140625" style="143" customWidth="1"/>
    <col min="13568" max="13568" width="102" style="143" customWidth="1"/>
    <col min="13569" max="13569" width="9" style="143" hidden="1" customWidth="1"/>
    <col min="13570" max="13570" width="6.109375" style="143" customWidth="1"/>
    <col min="13571" max="13571" width="15.5546875" style="143" customWidth="1"/>
    <col min="13572" max="13572" width="7.44140625" style="143" customWidth="1"/>
    <col min="13573" max="13573" width="7.6640625" style="143" customWidth="1"/>
    <col min="13574" max="13574" width="6.33203125" style="143" customWidth="1"/>
    <col min="13575" max="13575" width="7.5546875" style="143" customWidth="1"/>
    <col min="13576" max="13576" width="11" style="143" customWidth="1"/>
    <col min="13577" max="13577" width="11.5546875" style="143" customWidth="1"/>
    <col min="13578" max="13578" width="26" style="143" customWidth="1"/>
    <col min="13579" max="13822" width="9.109375" style="143"/>
    <col min="13823" max="13823" width="9.44140625" style="143" customWidth="1"/>
    <col min="13824" max="13824" width="102" style="143" customWidth="1"/>
    <col min="13825" max="13825" width="9" style="143" hidden="1" customWidth="1"/>
    <col min="13826" max="13826" width="6.109375" style="143" customWidth="1"/>
    <col min="13827" max="13827" width="15.5546875" style="143" customWidth="1"/>
    <col min="13828" max="13828" width="7.44140625" style="143" customWidth="1"/>
    <col min="13829" max="13829" width="7.6640625" style="143" customWidth="1"/>
    <col min="13830" max="13830" width="6.33203125" style="143" customWidth="1"/>
    <col min="13831" max="13831" width="7.5546875" style="143" customWidth="1"/>
    <col min="13832" max="13832" width="11" style="143" customWidth="1"/>
    <col min="13833" max="13833" width="11.5546875" style="143" customWidth="1"/>
    <col min="13834" max="13834" width="26" style="143" customWidth="1"/>
    <col min="13835" max="14078" width="9.109375" style="143"/>
    <col min="14079" max="14079" width="9.44140625" style="143" customWidth="1"/>
    <col min="14080" max="14080" width="102" style="143" customWidth="1"/>
    <col min="14081" max="14081" width="9" style="143" hidden="1" customWidth="1"/>
    <col min="14082" max="14082" width="6.109375" style="143" customWidth="1"/>
    <col min="14083" max="14083" width="15.5546875" style="143" customWidth="1"/>
    <col min="14084" max="14084" width="7.44140625" style="143" customWidth="1"/>
    <col min="14085" max="14085" width="7.6640625" style="143" customWidth="1"/>
    <col min="14086" max="14086" width="6.33203125" style="143" customWidth="1"/>
    <col min="14087" max="14087" width="7.5546875" style="143" customWidth="1"/>
    <col min="14088" max="14088" width="11" style="143" customWidth="1"/>
    <col min="14089" max="14089" width="11.5546875" style="143" customWidth="1"/>
    <col min="14090" max="14090" width="26" style="143" customWidth="1"/>
    <col min="14091" max="14334" width="9.109375" style="143"/>
    <col min="14335" max="14335" width="9.44140625" style="143" customWidth="1"/>
    <col min="14336" max="14336" width="102" style="143" customWidth="1"/>
    <col min="14337" max="14337" width="9" style="143" hidden="1" customWidth="1"/>
    <col min="14338" max="14338" width="6.109375" style="143" customWidth="1"/>
    <col min="14339" max="14339" width="15.5546875" style="143" customWidth="1"/>
    <col min="14340" max="14340" width="7.44140625" style="143" customWidth="1"/>
    <col min="14341" max="14341" width="7.6640625" style="143" customWidth="1"/>
    <col min="14342" max="14342" width="6.33203125" style="143" customWidth="1"/>
    <col min="14343" max="14343" width="7.5546875" style="143" customWidth="1"/>
    <col min="14344" max="14344" width="11" style="143" customWidth="1"/>
    <col min="14345" max="14345" width="11.5546875" style="143" customWidth="1"/>
    <col min="14346" max="14346" width="26" style="143" customWidth="1"/>
    <col min="14347" max="14590" width="9.109375" style="143"/>
    <col min="14591" max="14591" width="9.44140625" style="143" customWidth="1"/>
    <col min="14592" max="14592" width="102" style="143" customWidth="1"/>
    <col min="14593" max="14593" width="9" style="143" hidden="1" customWidth="1"/>
    <col min="14594" max="14594" width="6.109375" style="143" customWidth="1"/>
    <col min="14595" max="14595" width="15.5546875" style="143" customWidth="1"/>
    <col min="14596" max="14596" width="7.44140625" style="143" customWidth="1"/>
    <col min="14597" max="14597" width="7.6640625" style="143" customWidth="1"/>
    <col min="14598" max="14598" width="6.33203125" style="143" customWidth="1"/>
    <col min="14599" max="14599" width="7.5546875" style="143" customWidth="1"/>
    <col min="14600" max="14600" width="11" style="143" customWidth="1"/>
    <col min="14601" max="14601" width="11.5546875" style="143" customWidth="1"/>
    <col min="14602" max="14602" width="26" style="143" customWidth="1"/>
    <col min="14603" max="14846" width="9.109375" style="143"/>
    <col min="14847" max="14847" width="9.44140625" style="143" customWidth="1"/>
    <col min="14848" max="14848" width="102" style="143" customWidth="1"/>
    <col min="14849" max="14849" width="9" style="143" hidden="1" customWidth="1"/>
    <col min="14850" max="14850" width="6.109375" style="143" customWidth="1"/>
    <col min="14851" max="14851" width="15.5546875" style="143" customWidth="1"/>
    <col min="14852" max="14852" width="7.44140625" style="143" customWidth="1"/>
    <col min="14853" max="14853" width="7.6640625" style="143" customWidth="1"/>
    <col min="14854" max="14854" width="6.33203125" style="143" customWidth="1"/>
    <col min="14855" max="14855" width="7.5546875" style="143" customWidth="1"/>
    <col min="14856" max="14856" width="11" style="143" customWidth="1"/>
    <col min="14857" max="14857" width="11.5546875" style="143" customWidth="1"/>
    <col min="14858" max="14858" width="26" style="143" customWidth="1"/>
    <col min="14859" max="15102" width="9.109375" style="143"/>
    <col min="15103" max="15103" width="9.44140625" style="143" customWidth="1"/>
    <col min="15104" max="15104" width="102" style="143" customWidth="1"/>
    <col min="15105" max="15105" width="9" style="143" hidden="1" customWidth="1"/>
    <col min="15106" max="15106" width="6.109375" style="143" customWidth="1"/>
    <col min="15107" max="15107" width="15.5546875" style="143" customWidth="1"/>
    <col min="15108" max="15108" width="7.44140625" style="143" customWidth="1"/>
    <col min="15109" max="15109" width="7.6640625" style="143" customWidth="1"/>
    <col min="15110" max="15110" width="6.33203125" style="143" customWidth="1"/>
    <col min="15111" max="15111" width="7.5546875" style="143" customWidth="1"/>
    <col min="15112" max="15112" width="11" style="143" customWidth="1"/>
    <col min="15113" max="15113" width="11.5546875" style="143" customWidth="1"/>
    <col min="15114" max="15114" width="26" style="143" customWidth="1"/>
    <col min="15115" max="15358" width="9.109375" style="143"/>
    <col min="15359" max="15359" width="9.44140625" style="143" customWidth="1"/>
    <col min="15360" max="15360" width="102" style="143" customWidth="1"/>
    <col min="15361" max="15361" width="9" style="143" hidden="1" customWidth="1"/>
    <col min="15362" max="15362" width="6.109375" style="143" customWidth="1"/>
    <col min="15363" max="15363" width="15.5546875" style="143" customWidth="1"/>
    <col min="15364" max="15364" width="7.44140625" style="143" customWidth="1"/>
    <col min="15365" max="15365" width="7.6640625" style="143" customWidth="1"/>
    <col min="15366" max="15366" width="6.33203125" style="143" customWidth="1"/>
    <col min="15367" max="15367" width="7.5546875" style="143" customWidth="1"/>
    <col min="15368" max="15368" width="11" style="143" customWidth="1"/>
    <col min="15369" max="15369" width="11.5546875" style="143" customWidth="1"/>
    <col min="15370" max="15370" width="26" style="143" customWidth="1"/>
    <col min="15371" max="15614" width="9.109375" style="143"/>
    <col min="15615" max="15615" width="9.44140625" style="143" customWidth="1"/>
    <col min="15616" max="15616" width="102" style="143" customWidth="1"/>
    <col min="15617" max="15617" width="9" style="143" hidden="1" customWidth="1"/>
    <col min="15618" max="15618" width="6.109375" style="143" customWidth="1"/>
    <col min="15619" max="15619" width="15.5546875" style="143" customWidth="1"/>
    <col min="15620" max="15620" width="7.44140625" style="143" customWidth="1"/>
    <col min="15621" max="15621" width="7.6640625" style="143" customWidth="1"/>
    <col min="15622" max="15622" width="6.33203125" style="143" customWidth="1"/>
    <col min="15623" max="15623" width="7.5546875" style="143" customWidth="1"/>
    <col min="15624" max="15624" width="11" style="143" customWidth="1"/>
    <col min="15625" max="15625" width="11.5546875" style="143" customWidth="1"/>
    <col min="15626" max="15626" width="26" style="143" customWidth="1"/>
    <col min="15627" max="15870" width="9.109375" style="143"/>
    <col min="15871" max="15871" width="9.44140625" style="143" customWidth="1"/>
    <col min="15872" max="15872" width="102" style="143" customWidth="1"/>
    <col min="15873" max="15873" width="9" style="143" hidden="1" customWidth="1"/>
    <col min="15874" max="15874" width="6.109375" style="143" customWidth="1"/>
    <col min="15875" max="15875" width="15.5546875" style="143" customWidth="1"/>
    <col min="15876" max="15876" width="7.44140625" style="143" customWidth="1"/>
    <col min="15877" max="15877" width="7.6640625" style="143" customWidth="1"/>
    <col min="15878" max="15878" width="6.33203125" style="143" customWidth="1"/>
    <col min="15879" max="15879" width="7.5546875" style="143" customWidth="1"/>
    <col min="15880" max="15880" width="11" style="143" customWidth="1"/>
    <col min="15881" max="15881" width="11.5546875" style="143" customWidth="1"/>
    <col min="15882" max="15882" width="26" style="143" customWidth="1"/>
    <col min="15883" max="16126" width="9.109375" style="143"/>
    <col min="16127" max="16127" width="9.44140625" style="143" customWidth="1"/>
    <col min="16128" max="16128" width="102" style="143" customWidth="1"/>
    <col min="16129" max="16129" width="9" style="143" hidden="1" customWidth="1"/>
    <col min="16130" max="16130" width="6.109375" style="143" customWidth="1"/>
    <col min="16131" max="16131" width="15.5546875" style="143" customWidth="1"/>
    <col min="16132" max="16132" width="7.44140625" style="143" customWidth="1"/>
    <col min="16133" max="16133" width="7.6640625" style="143" customWidth="1"/>
    <col min="16134" max="16134" width="6.33203125" style="143" customWidth="1"/>
    <col min="16135" max="16135" width="7.5546875" style="143" customWidth="1"/>
    <col min="16136" max="16136" width="11" style="143" customWidth="1"/>
    <col min="16137" max="16137" width="11.5546875" style="143" customWidth="1"/>
    <col min="16138" max="16138" width="26" style="143" customWidth="1"/>
    <col min="16139" max="16382" width="9.109375" style="143"/>
    <col min="16383" max="16384" width="9.109375" style="143" customWidth="1"/>
  </cols>
  <sheetData>
    <row r="1" spans="1:12" s="132" customFormat="1" ht="19.95" customHeight="1">
      <c r="A1" s="323" t="s">
        <v>28</v>
      </c>
      <c r="B1" s="323"/>
      <c r="C1" s="323"/>
      <c r="D1" s="323"/>
      <c r="E1" s="323"/>
      <c r="F1" s="323"/>
      <c r="G1" s="323"/>
      <c r="H1" s="323"/>
      <c r="I1" s="323"/>
    </row>
    <row r="2" spans="1:12" s="132" customFormat="1" ht="19.95" customHeight="1">
      <c r="A2" s="324" t="s">
        <v>29</v>
      </c>
      <c r="B2" s="324"/>
      <c r="C2" s="324"/>
      <c r="D2" s="324"/>
      <c r="E2" s="324"/>
      <c r="F2" s="324"/>
      <c r="G2" s="324"/>
      <c r="H2" s="324"/>
      <c r="I2" s="324"/>
    </row>
    <row r="3" spans="1:12" s="133" customFormat="1" ht="19.95" customHeight="1">
      <c r="A3" s="133" t="str">
        <f>底稿目录!A2</f>
        <v>被审计单位：</v>
      </c>
      <c r="C3" s="133" t="str">
        <f>底稿目录!A4</f>
        <v>编制人：</v>
      </c>
      <c r="E3" s="133" t="str">
        <f>底稿目录!A5</f>
        <v>编制日期：</v>
      </c>
      <c r="H3" s="160" t="s">
        <v>30</v>
      </c>
      <c r="I3" s="49" t="str">
        <f>底稿目录!D5</f>
        <v>L8A</v>
      </c>
    </row>
    <row r="4" spans="1:12" s="133" customFormat="1" ht="19.95" customHeight="1">
      <c r="A4" s="133" t="str">
        <f>底稿目录!A3</f>
        <v>会计期间：202X年度</v>
      </c>
      <c r="C4" s="133" t="str">
        <f>底稿目录!A6</f>
        <v>复核人：</v>
      </c>
      <c r="E4" s="133" t="str">
        <f>底稿目录!A7</f>
        <v>复核日期：</v>
      </c>
      <c r="H4" s="160" t="s">
        <v>31</v>
      </c>
      <c r="I4" s="232"/>
    </row>
    <row r="5" spans="1:12" ht="19.95" customHeight="1">
      <c r="A5" s="325" t="s">
        <v>32</v>
      </c>
      <c r="B5" s="325"/>
    </row>
    <row r="6" spans="1:12" ht="19.95" customHeight="1">
      <c r="A6" s="286" t="s">
        <v>33</v>
      </c>
      <c r="B6" s="237"/>
      <c r="C6" s="237"/>
      <c r="D6" s="237"/>
      <c r="E6" s="237"/>
      <c r="F6" s="237"/>
      <c r="G6" s="237"/>
      <c r="H6" s="237"/>
      <c r="I6" s="237"/>
    </row>
    <row r="7" spans="1:12" s="133" customFormat="1" ht="19.95" customHeight="1">
      <c r="A7" s="238" t="s">
        <v>34</v>
      </c>
      <c r="B7" s="227"/>
      <c r="C7" s="228"/>
    </row>
    <row r="8" spans="1:12" s="133" customFormat="1" ht="19.95" customHeight="1">
      <c r="A8" s="327" t="s">
        <v>35</v>
      </c>
      <c r="B8" s="327"/>
      <c r="C8" s="327"/>
      <c r="D8" s="327"/>
      <c r="E8" s="327"/>
      <c r="F8" s="327"/>
      <c r="G8" s="326" t="s">
        <v>36</v>
      </c>
      <c r="H8" s="326"/>
      <c r="I8" s="326"/>
    </row>
    <row r="9" spans="1:12" s="133" customFormat="1" ht="19.95" customHeight="1">
      <c r="A9" s="330" t="s">
        <v>37</v>
      </c>
      <c r="B9" s="330"/>
      <c r="C9" s="330"/>
      <c r="D9" s="330"/>
      <c r="E9" s="330"/>
      <c r="F9" s="330"/>
      <c r="G9" s="335" t="s">
        <v>38</v>
      </c>
      <c r="H9" s="335"/>
      <c r="I9" s="335"/>
    </row>
    <row r="10" spans="1:12" s="133" customFormat="1" ht="19.95" customHeight="1">
      <c r="A10" s="330" t="s">
        <v>39</v>
      </c>
      <c r="B10" s="330"/>
      <c r="C10" s="330"/>
      <c r="D10" s="330"/>
      <c r="E10" s="330"/>
      <c r="F10" s="330"/>
      <c r="G10" s="335" t="s">
        <v>40</v>
      </c>
      <c r="H10" s="335"/>
      <c r="I10" s="335"/>
    </row>
    <row r="11" spans="1:12" s="133" customFormat="1" ht="19.95" customHeight="1">
      <c r="A11" s="330" t="s">
        <v>41</v>
      </c>
      <c r="B11" s="330"/>
      <c r="C11" s="330"/>
      <c r="D11" s="330"/>
      <c r="E11" s="330"/>
      <c r="F11" s="330"/>
      <c r="G11" s="335" t="s">
        <v>42</v>
      </c>
      <c r="H11" s="335"/>
      <c r="I11" s="335"/>
    </row>
    <row r="12" spans="1:12" s="133" customFormat="1" ht="19.95" customHeight="1">
      <c r="A12" s="330" t="s">
        <v>43</v>
      </c>
      <c r="B12" s="330"/>
      <c r="C12" s="330"/>
      <c r="D12" s="330"/>
      <c r="E12" s="330"/>
      <c r="F12" s="330"/>
      <c r="G12" s="335" t="s">
        <v>44</v>
      </c>
      <c r="H12" s="335"/>
      <c r="I12" s="335"/>
    </row>
    <row r="13" spans="1:12" s="133" customFormat="1" ht="19.95" customHeight="1">
      <c r="A13" s="330" t="s">
        <v>45</v>
      </c>
      <c r="B13" s="330"/>
      <c r="C13" s="330"/>
      <c r="D13" s="330"/>
      <c r="E13" s="330"/>
      <c r="F13" s="330"/>
      <c r="G13" s="335" t="s">
        <v>46</v>
      </c>
      <c r="H13" s="335"/>
      <c r="I13" s="335"/>
    </row>
    <row r="14" spans="1:12" s="133" customFormat="1" ht="19.95" customHeight="1">
      <c r="A14" s="328" t="s">
        <v>47</v>
      </c>
      <c r="B14" s="329"/>
      <c r="C14" s="228"/>
      <c r="J14" s="260"/>
      <c r="K14" s="261"/>
      <c r="L14" s="261"/>
    </row>
    <row r="15" spans="1:12" s="133" customFormat="1" ht="19.95" customHeight="1">
      <c r="A15" s="332" t="s">
        <v>48</v>
      </c>
      <c r="B15" s="333" t="s">
        <v>265</v>
      </c>
      <c r="C15" s="334" t="s">
        <v>50</v>
      </c>
      <c r="D15" s="331" t="s">
        <v>49</v>
      </c>
      <c r="E15" s="331"/>
      <c r="F15" s="331"/>
      <c r="G15" s="331"/>
      <c r="H15" s="331"/>
      <c r="I15" s="327" t="s">
        <v>51</v>
      </c>
      <c r="J15" s="262"/>
      <c r="K15" s="262"/>
      <c r="L15" s="262"/>
    </row>
    <row r="16" spans="1:12" s="157" customFormat="1" ht="19.95" customHeight="1">
      <c r="A16" s="332"/>
      <c r="B16" s="333"/>
      <c r="C16" s="334"/>
      <c r="D16" s="239" t="s">
        <v>38</v>
      </c>
      <c r="E16" s="239" t="s">
        <v>52</v>
      </c>
      <c r="F16" s="239" t="s">
        <v>42</v>
      </c>
      <c r="G16" s="239" t="s">
        <v>44</v>
      </c>
      <c r="H16" s="239" t="s">
        <v>46</v>
      </c>
      <c r="I16" s="327"/>
      <c r="J16" s="288" t="s">
        <v>264</v>
      </c>
      <c r="K16" s="232"/>
      <c r="L16" s="227"/>
    </row>
    <row r="17" spans="1:12" s="157" customFormat="1" ht="45.6" customHeight="1">
      <c r="A17" s="240" t="s">
        <v>53</v>
      </c>
      <c r="B17" s="231" t="s">
        <v>54</v>
      </c>
      <c r="C17" s="229" t="s">
        <v>55</v>
      </c>
      <c r="D17" s="241" t="s">
        <v>56</v>
      </c>
      <c r="E17" s="241" t="s">
        <v>56</v>
      </c>
      <c r="F17" s="242" t="s">
        <v>56</v>
      </c>
      <c r="G17" s="229"/>
      <c r="H17" s="230"/>
      <c r="I17" s="230" t="s">
        <v>266</v>
      </c>
      <c r="J17" s="232"/>
      <c r="K17" s="232"/>
      <c r="L17" s="227"/>
    </row>
    <row r="18" spans="1:12" s="225" customFormat="1" ht="61.05" customHeight="1">
      <c r="A18" s="240" t="s">
        <v>57</v>
      </c>
      <c r="B18" s="243" t="s">
        <v>58</v>
      </c>
      <c r="C18" s="229" t="s">
        <v>59</v>
      </c>
      <c r="D18" s="244"/>
      <c r="E18" s="242" t="s">
        <v>56</v>
      </c>
      <c r="F18" s="241" t="s">
        <v>56</v>
      </c>
      <c r="G18" s="229"/>
      <c r="H18" s="230"/>
      <c r="I18" s="289" t="s">
        <v>267</v>
      </c>
      <c r="J18" s="263" t="s">
        <v>60</v>
      </c>
    </row>
    <row r="19" spans="1:12" s="225" customFormat="1" ht="33.6" customHeight="1">
      <c r="A19" s="240" t="s">
        <v>61</v>
      </c>
      <c r="B19" s="245" t="s">
        <v>62</v>
      </c>
      <c r="C19" s="246" t="s">
        <v>63</v>
      </c>
      <c r="D19" s="247"/>
      <c r="E19" s="247"/>
      <c r="F19" s="247"/>
      <c r="G19" s="248" t="s">
        <v>56</v>
      </c>
      <c r="H19" s="230"/>
      <c r="I19" s="230"/>
      <c r="J19" s="263" t="s">
        <v>64</v>
      </c>
    </row>
    <row r="20" spans="1:12" s="157" customFormat="1" ht="33.6" customHeight="1">
      <c r="A20" s="240" t="s">
        <v>65</v>
      </c>
      <c r="B20" s="243" t="s">
        <v>66</v>
      </c>
      <c r="C20" s="249" t="s">
        <v>55</v>
      </c>
      <c r="D20" s="250" t="s">
        <v>56</v>
      </c>
      <c r="E20" s="250" t="s">
        <v>56</v>
      </c>
      <c r="F20" s="250" t="s">
        <v>56</v>
      </c>
      <c r="G20" s="251"/>
      <c r="H20" s="252"/>
      <c r="I20" s="230" t="s">
        <v>266</v>
      </c>
      <c r="J20" s="263"/>
      <c r="K20" s="232"/>
      <c r="L20" s="227"/>
    </row>
    <row r="21" spans="1:12" s="157" customFormat="1" ht="22.8" customHeight="1">
      <c r="A21" s="240" t="s">
        <v>67</v>
      </c>
      <c r="B21" s="243" t="s">
        <v>68</v>
      </c>
      <c r="C21" s="249" t="s">
        <v>55</v>
      </c>
      <c r="D21" s="253" t="s">
        <v>56</v>
      </c>
      <c r="E21" s="250" t="s">
        <v>56</v>
      </c>
      <c r="F21" s="229" t="s">
        <v>56</v>
      </c>
      <c r="G21" s="251"/>
      <c r="H21" s="252"/>
      <c r="I21" s="230"/>
      <c r="J21" s="263"/>
      <c r="K21" s="232"/>
      <c r="L21" s="227"/>
    </row>
    <row r="22" spans="1:12" s="157" customFormat="1" ht="30.6" customHeight="1">
      <c r="A22" s="240" t="s">
        <v>69</v>
      </c>
      <c r="B22" s="243" t="s">
        <v>70</v>
      </c>
      <c r="C22" s="249" t="s">
        <v>55</v>
      </c>
      <c r="D22" s="250" t="s">
        <v>56</v>
      </c>
      <c r="E22" s="253" t="s">
        <v>56</v>
      </c>
      <c r="F22" s="229" t="s">
        <v>56</v>
      </c>
      <c r="G22" s="251"/>
      <c r="H22" s="252"/>
      <c r="I22" s="230"/>
      <c r="J22" s="263"/>
      <c r="K22" s="232"/>
      <c r="L22" s="227"/>
    </row>
    <row r="23" spans="1:12" s="157" customFormat="1" ht="31.2" customHeight="1">
      <c r="A23" s="240" t="s">
        <v>71</v>
      </c>
      <c r="B23" s="243" t="s">
        <v>72</v>
      </c>
      <c r="C23" s="249" t="s">
        <v>55</v>
      </c>
      <c r="D23" s="250" t="s">
        <v>56</v>
      </c>
      <c r="E23" s="253" t="s">
        <v>56</v>
      </c>
      <c r="F23" s="229" t="s">
        <v>56</v>
      </c>
      <c r="G23" s="251"/>
      <c r="H23" s="252"/>
      <c r="I23" s="230"/>
      <c r="J23" s="263"/>
      <c r="K23" s="232"/>
      <c r="L23" s="227"/>
    </row>
    <row r="24" spans="1:12" s="157" customFormat="1" ht="33.6" customHeight="1">
      <c r="A24" s="240" t="s">
        <v>73</v>
      </c>
      <c r="B24" s="243" t="s">
        <v>74</v>
      </c>
      <c r="C24" s="249" t="s">
        <v>63</v>
      </c>
      <c r="D24" s="250" t="s">
        <v>56</v>
      </c>
      <c r="E24" s="253" t="s">
        <v>56</v>
      </c>
      <c r="F24" s="229" t="s">
        <v>56</v>
      </c>
      <c r="G24" s="251"/>
      <c r="H24" s="252"/>
      <c r="I24" s="230"/>
      <c r="J24" s="263"/>
      <c r="K24" s="232"/>
      <c r="L24" s="227"/>
    </row>
    <row r="25" spans="1:12" s="157" customFormat="1" ht="70.05" customHeight="1">
      <c r="A25" s="240" t="s">
        <v>75</v>
      </c>
      <c r="B25" s="243" t="s">
        <v>76</v>
      </c>
      <c r="C25" s="254" t="s">
        <v>59</v>
      </c>
      <c r="D25" s="250" t="s">
        <v>56</v>
      </c>
      <c r="E25" s="253" t="s">
        <v>56</v>
      </c>
      <c r="F25" s="250" t="s">
        <v>56</v>
      </c>
      <c r="G25" s="253" t="s">
        <v>56</v>
      </c>
      <c r="H25" s="250" t="s">
        <v>56</v>
      </c>
      <c r="I25" s="230"/>
      <c r="J25" s="232"/>
      <c r="K25" s="232"/>
      <c r="L25" s="227"/>
    </row>
    <row r="26" spans="1:12" s="157" customFormat="1" ht="139.80000000000001" customHeight="1">
      <c r="A26" s="240" t="s">
        <v>77</v>
      </c>
      <c r="B26" s="243" t="s">
        <v>78</v>
      </c>
      <c r="C26" s="250" t="s">
        <v>79</v>
      </c>
      <c r="D26" s="250" t="s">
        <v>56</v>
      </c>
      <c r="E26" s="253" t="s">
        <v>56</v>
      </c>
      <c r="F26" s="250" t="s">
        <v>56</v>
      </c>
      <c r="G26" s="253" t="s">
        <v>56</v>
      </c>
      <c r="H26" s="250" t="s">
        <v>56</v>
      </c>
      <c r="I26" s="230"/>
      <c r="J26" s="232"/>
      <c r="K26" s="232"/>
      <c r="L26" s="227"/>
    </row>
    <row r="27" spans="1:12" s="157" customFormat="1" ht="34.200000000000003" customHeight="1">
      <c r="A27" s="240" t="s">
        <v>80</v>
      </c>
      <c r="B27" s="255" t="s">
        <v>81</v>
      </c>
      <c r="C27" s="229" t="s">
        <v>55</v>
      </c>
      <c r="D27" s="230"/>
      <c r="E27" s="230"/>
      <c r="F27" s="230"/>
      <c r="G27" s="250" t="s">
        <v>56</v>
      </c>
      <c r="H27" s="230"/>
      <c r="I27" s="230" t="s">
        <v>82</v>
      </c>
      <c r="J27" s="232"/>
      <c r="K27" s="232"/>
      <c r="L27" s="227"/>
    </row>
    <row r="28" spans="1:12" s="157" customFormat="1" ht="27.6" customHeight="1">
      <c r="A28" s="240" t="s">
        <v>83</v>
      </c>
      <c r="B28" s="243" t="s">
        <v>84</v>
      </c>
      <c r="C28" s="254" t="s">
        <v>59</v>
      </c>
      <c r="D28" s="229" t="s">
        <v>56</v>
      </c>
      <c r="E28" s="229"/>
      <c r="F28" s="256" t="s">
        <v>56</v>
      </c>
      <c r="G28" s="229"/>
      <c r="H28" s="229"/>
      <c r="I28" s="230" t="s">
        <v>85</v>
      </c>
      <c r="J28" s="232"/>
      <c r="K28" s="232"/>
      <c r="L28" s="227"/>
    </row>
    <row r="29" spans="1:12" s="133" customFormat="1" ht="37.200000000000003" customHeight="1">
      <c r="A29" s="240" t="s">
        <v>86</v>
      </c>
      <c r="B29" s="257" t="s">
        <v>87</v>
      </c>
      <c r="C29" s="250" t="s">
        <v>79</v>
      </c>
      <c r="D29" s="250"/>
      <c r="E29" s="250"/>
      <c r="F29" s="250"/>
      <c r="G29" s="250"/>
      <c r="H29" s="258"/>
      <c r="I29" s="230"/>
      <c r="J29" s="232"/>
      <c r="K29" s="232"/>
      <c r="L29" s="232"/>
    </row>
    <row r="30" spans="1:12" s="133" customFormat="1" ht="27" customHeight="1">
      <c r="A30" s="240" t="s">
        <v>88</v>
      </c>
      <c r="B30" s="257" t="s">
        <v>89</v>
      </c>
      <c r="C30" s="259" t="s">
        <v>55</v>
      </c>
      <c r="D30" s="230"/>
      <c r="E30" s="230"/>
      <c r="F30" s="230"/>
      <c r="G30" s="230"/>
      <c r="H30" s="285" t="s">
        <v>56</v>
      </c>
      <c r="I30" s="264" t="s">
        <v>90</v>
      </c>
      <c r="J30" s="232"/>
      <c r="K30" s="232"/>
      <c r="L30" s="232"/>
    </row>
    <row r="31" spans="1:12" s="133" customFormat="1">
      <c r="A31" s="233"/>
      <c r="B31" s="234"/>
      <c r="C31" s="235"/>
      <c r="D31" s="236"/>
      <c r="E31" s="236"/>
      <c r="F31" s="236"/>
      <c r="G31" s="236"/>
      <c r="H31" s="236"/>
      <c r="I31" s="236"/>
      <c r="J31" s="232"/>
      <c r="K31" s="232"/>
      <c r="L31" s="232"/>
    </row>
    <row r="32" spans="1:12" ht="24" customHeight="1"/>
    <row r="33" spans="1:1">
      <c r="A33" s="143"/>
    </row>
    <row r="34" spans="1:1">
      <c r="A34" s="143"/>
    </row>
    <row r="35" spans="1:1">
      <c r="A35" s="143"/>
    </row>
  </sheetData>
  <mergeCells count="21">
    <mergeCell ref="G9:I9"/>
    <mergeCell ref="G10:I10"/>
    <mergeCell ref="G11:I11"/>
    <mergeCell ref="G12:I12"/>
    <mergeCell ref="G13:I13"/>
    <mergeCell ref="D15:H15"/>
    <mergeCell ref="A15:A16"/>
    <mergeCell ref="B15:B16"/>
    <mergeCell ref="C15:C16"/>
    <mergeCell ref="I15:I16"/>
    <mergeCell ref="A14:B14"/>
    <mergeCell ref="A12:F12"/>
    <mergeCell ref="A13:F13"/>
    <mergeCell ref="A9:F9"/>
    <mergeCell ref="A10:F10"/>
    <mergeCell ref="A11:F11"/>
    <mergeCell ref="A1:I1"/>
    <mergeCell ref="A2:I2"/>
    <mergeCell ref="A5:B5"/>
    <mergeCell ref="G8:I8"/>
    <mergeCell ref="A8:F8"/>
  </mergeCells>
  <phoneticPr fontId="82" type="noConversion"/>
  <hyperlinks>
    <hyperlink ref="I3" location="底稿目录!A1" display="=底稿目录!D5"/>
  </hyperlinks>
  <printOptions horizontalCentered="1"/>
  <pageMargins left="0.43307086614173229" right="0.19685039370078741" top="0.51181102362204722" bottom="0.39370078740157483" header="0.51181102362204722" footer="0.19685039370078741"/>
  <pageSetup paperSize="9" scale="70"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9"/>
  <sheetViews>
    <sheetView view="pageBreakPreview" zoomScaleNormal="100" workbookViewId="0">
      <selection sqref="A1:L1"/>
    </sheetView>
  </sheetViews>
  <sheetFormatPr defaultColWidth="9.109375" defaultRowHeight="23.25" customHeight="1"/>
  <cols>
    <col min="1" max="1" width="19.77734375" style="136" customWidth="1"/>
    <col min="2" max="5" width="11.88671875" style="136" customWidth="1"/>
    <col min="6" max="6" width="15.77734375" style="136" customWidth="1"/>
    <col min="7" max="8" width="11.88671875" style="136" customWidth="1"/>
    <col min="9" max="9" width="14.21875" style="136" customWidth="1"/>
    <col min="10" max="11" width="13.109375" style="136" customWidth="1"/>
    <col min="12" max="12" width="11.33203125" style="136" customWidth="1"/>
    <col min="13" max="16384" width="9.109375" style="136"/>
  </cols>
  <sheetData>
    <row r="1" spans="1:12" s="206" customFormat="1" ht="19.95" customHeight="1">
      <c r="A1" s="340" t="s">
        <v>28</v>
      </c>
      <c r="B1" s="340"/>
      <c r="C1" s="340"/>
      <c r="D1" s="340"/>
      <c r="E1" s="340"/>
      <c r="F1" s="340"/>
      <c r="G1" s="340"/>
      <c r="H1" s="340"/>
      <c r="I1" s="340"/>
      <c r="J1" s="340"/>
      <c r="K1" s="340"/>
      <c r="L1" s="340"/>
    </row>
    <row r="2" spans="1:12" s="206" customFormat="1" ht="19.95" customHeight="1">
      <c r="A2" s="341" t="s">
        <v>92</v>
      </c>
      <c r="B2" s="341"/>
      <c r="C2" s="341"/>
      <c r="D2" s="341"/>
      <c r="E2" s="341"/>
      <c r="F2" s="341"/>
      <c r="G2" s="341"/>
      <c r="H2" s="341"/>
      <c r="I2" s="341"/>
      <c r="J2" s="341"/>
      <c r="K2" s="341"/>
      <c r="L2" s="341"/>
    </row>
    <row r="3" spans="1:12" ht="19.95" customHeight="1">
      <c r="A3" s="136" t="str">
        <f>底稿目录!A2</f>
        <v>被审计单位：</v>
      </c>
      <c r="E3" s="159" t="str">
        <f>底稿目录!A4</f>
        <v>编制人：</v>
      </c>
      <c r="H3" s="168" t="str">
        <f>底稿目录!A5</f>
        <v>编制日期：</v>
      </c>
      <c r="K3" s="218" t="s">
        <v>93</v>
      </c>
      <c r="L3" s="49" t="str">
        <f>底稿目录!D6</f>
        <v>L8-1</v>
      </c>
    </row>
    <row r="4" spans="1:12" ht="19.95" customHeight="1">
      <c r="A4" s="136" t="str">
        <f>底稿目录!A3</f>
        <v>会计期间：202X年度</v>
      </c>
      <c r="B4" s="137"/>
      <c r="E4" s="159" t="str">
        <f>底稿目录!A6</f>
        <v>复核人：</v>
      </c>
      <c r="H4" s="168" t="str">
        <f>底稿目录!A7</f>
        <v>复核日期：</v>
      </c>
      <c r="K4" s="218" t="s">
        <v>94</v>
      </c>
      <c r="L4" s="219"/>
    </row>
    <row r="5" spans="1:12" ht="33" customHeight="1">
      <c r="A5" s="337" t="s">
        <v>95</v>
      </c>
      <c r="B5" s="342" t="s">
        <v>96</v>
      </c>
      <c r="C5" s="343"/>
      <c r="D5" s="343"/>
      <c r="E5" s="344"/>
      <c r="F5" s="342" t="s">
        <v>97</v>
      </c>
      <c r="G5" s="343"/>
      <c r="H5" s="343"/>
      <c r="I5" s="344"/>
      <c r="J5" s="345" t="s">
        <v>98</v>
      </c>
      <c r="K5" s="346"/>
      <c r="L5" s="337" t="s">
        <v>99</v>
      </c>
    </row>
    <row r="6" spans="1:12" ht="19.95" customHeight="1">
      <c r="A6" s="338"/>
      <c r="B6" s="209" t="s">
        <v>100</v>
      </c>
      <c r="C6" s="209" t="s">
        <v>101</v>
      </c>
      <c r="D6" s="209" t="s">
        <v>102</v>
      </c>
      <c r="E6" s="209" t="s">
        <v>103</v>
      </c>
      <c r="F6" s="209" t="s">
        <v>100</v>
      </c>
      <c r="G6" s="209" t="s">
        <v>101</v>
      </c>
      <c r="H6" s="209" t="s">
        <v>102</v>
      </c>
      <c r="I6" s="209" t="s">
        <v>103</v>
      </c>
      <c r="J6" s="221" t="s">
        <v>104</v>
      </c>
      <c r="K6" s="220" t="s">
        <v>105</v>
      </c>
      <c r="L6" s="339"/>
    </row>
    <row r="7" spans="1:12" s="207" customFormat="1" ht="19.95" customHeight="1">
      <c r="A7" s="290" t="s">
        <v>106</v>
      </c>
      <c r="B7" s="210">
        <f>SUMIF('明细表L8-2'!$A$9:$A$21,'审定表L8-1'!$A7,'明细表L8-2'!T$9:T$21)</f>
        <v>0</v>
      </c>
      <c r="C7" s="210">
        <f>SUMIF('明细表L8-2'!$A$9:$A$21,'审定表L8-1'!$A7,'明细表L8-2'!U$9:U$21)</f>
        <v>0</v>
      </c>
      <c r="D7" s="210">
        <f>SUMIF('明细表L8-2'!$A$9:$A$21,'审定表L8-1'!$A7,'明细表L8-2'!V$9:V$21)</f>
        <v>0</v>
      </c>
      <c r="E7" s="210">
        <f>SUM(B7:D7)</f>
        <v>0</v>
      </c>
      <c r="F7" s="210">
        <f>SUMIF('明细表L8-2'!$A$9:$A$21,'审定表L8-1'!$A7,'明细表L8-2'!N$9:N$21)</f>
        <v>0</v>
      </c>
      <c r="G7" s="210">
        <f>SUMIF('明细表L8-2'!$A$9:$A$21,'审定表L8-1'!$A7,'明细表L8-2'!O$9:O$21)</f>
        <v>0</v>
      </c>
      <c r="H7" s="210">
        <f>SUMIF('明细表L8-2'!$A$9:$A$21,'审定表L8-1'!$A7,'明细表L8-2'!P$9:P$21)</f>
        <v>0</v>
      </c>
      <c r="I7" s="210">
        <f>SUM(F7:H7)</f>
        <v>0</v>
      </c>
      <c r="J7" s="210">
        <f>I7-E7</f>
        <v>0</v>
      </c>
      <c r="K7" s="222">
        <f>IF(AND(E7=0,I7=0),0,IF(AND(E7=0,I7&gt;0),1,J7/E7))</f>
        <v>0</v>
      </c>
      <c r="L7" s="223"/>
    </row>
    <row r="8" spans="1:12" s="207" customFormat="1" ht="19.95" customHeight="1">
      <c r="A8" s="290" t="s">
        <v>107</v>
      </c>
      <c r="B8" s="210">
        <f>SUMIF('明细表L8-2'!$A$9:$A$21,'审定表L8-1'!$A8,'明细表L8-2'!T$9:T$21)</f>
        <v>0</v>
      </c>
      <c r="C8" s="210">
        <f>SUMIF('明细表L8-2'!$A$9:$A$21,'审定表L8-1'!$A8,'明细表L8-2'!U$9:U$21)</f>
        <v>0</v>
      </c>
      <c r="D8" s="210">
        <f>SUMIF('明细表L8-2'!$A$9:$A$21,'审定表L8-1'!$A8,'明细表L8-2'!V$9:V$21)</f>
        <v>0</v>
      </c>
      <c r="E8" s="210">
        <f t="shared" ref="E8:E18" si="0">SUM(B8:D8)</f>
        <v>0</v>
      </c>
      <c r="F8" s="210">
        <f>SUMIF('明细表L8-2'!$A$9:$A$21,'审定表L8-1'!$A8,'明细表L8-2'!N$9:N$21)</f>
        <v>0</v>
      </c>
      <c r="G8" s="210">
        <f>SUMIF('明细表L8-2'!$A$9:$A$21,'审定表L8-1'!$A8,'明细表L8-2'!O$9:O$21)</f>
        <v>0</v>
      </c>
      <c r="H8" s="210">
        <f>SUMIF('明细表L8-2'!$A$9:$A$21,'审定表L8-1'!$A8,'明细表L8-2'!P$9:P$21)</f>
        <v>0</v>
      </c>
      <c r="I8" s="210">
        <f t="shared" ref="I8:I18" si="1">SUM(F8:H8)</f>
        <v>0</v>
      </c>
      <c r="J8" s="210">
        <f t="shared" ref="J8:J18" si="2">I8-E8</f>
        <v>0</v>
      </c>
      <c r="K8" s="222">
        <f t="shared" ref="K8:K18" si="3">IF(AND(E8=0,I8=0),0,IF(AND(E8=0,I8&gt;0),1,J8/E8))</f>
        <v>0</v>
      </c>
      <c r="L8" s="223"/>
    </row>
    <row r="9" spans="1:12" s="207" customFormat="1" ht="19.95" customHeight="1">
      <c r="A9" s="290" t="s">
        <v>108</v>
      </c>
      <c r="B9" s="210">
        <f>SUMIF('明细表L8-2'!$A$9:$A$21,'审定表L8-1'!$A9,'明细表L8-2'!T$9:T$21)</f>
        <v>0</v>
      </c>
      <c r="C9" s="210">
        <f>SUMIF('明细表L8-2'!$A$9:$A$21,'审定表L8-1'!$A9,'明细表L8-2'!U$9:U$21)</f>
        <v>0</v>
      </c>
      <c r="D9" s="210">
        <f>SUMIF('明细表L8-2'!$A$9:$A$21,'审定表L8-1'!$A9,'明细表L8-2'!V$9:V$21)</f>
        <v>0</v>
      </c>
      <c r="E9" s="210">
        <f t="shared" si="0"/>
        <v>0</v>
      </c>
      <c r="F9" s="210">
        <f>SUMIF('明细表L8-2'!$A$9:$A$21,'审定表L8-1'!$A9,'明细表L8-2'!N$9:N$21)</f>
        <v>0</v>
      </c>
      <c r="G9" s="210">
        <f>SUMIF('明细表L8-2'!$A$9:$A$21,'审定表L8-1'!$A9,'明细表L8-2'!O$9:O$21)</f>
        <v>0</v>
      </c>
      <c r="H9" s="210">
        <f>SUMIF('明细表L8-2'!$A$9:$A$21,'审定表L8-1'!$A9,'明细表L8-2'!P$9:P$21)</f>
        <v>0</v>
      </c>
      <c r="I9" s="210">
        <f t="shared" si="1"/>
        <v>0</v>
      </c>
      <c r="J9" s="210">
        <f t="shared" si="2"/>
        <v>0</v>
      </c>
      <c r="K9" s="222">
        <f t="shared" si="3"/>
        <v>0</v>
      </c>
      <c r="L9" s="223"/>
    </row>
    <row r="10" spans="1:12" s="207" customFormat="1" ht="19.95" customHeight="1">
      <c r="A10" s="290" t="s">
        <v>109</v>
      </c>
      <c r="B10" s="210">
        <f>SUMIF('明细表L8-2'!$A$9:$A$21,'审定表L8-1'!$A10,'明细表L8-2'!T$9:T$21)</f>
        <v>0</v>
      </c>
      <c r="C10" s="210">
        <f>SUMIF('明细表L8-2'!$A$9:$A$21,'审定表L8-1'!$A10,'明细表L8-2'!U$9:U$21)</f>
        <v>0</v>
      </c>
      <c r="D10" s="210">
        <f>SUMIF('明细表L8-2'!$A$9:$A$21,'审定表L8-1'!$A10,'明细表L8-2'!V$9:V$21)</f>
        <v>0</v>
      </c>
      <c r="E10" s="210">
        <f t="shared" si="0"/>
        <v>0</v>
      </c>
      <c r="F10" s="210">
        <f>SUMIF('明细表L8-2'!$A$9:$A$21,'审定表L8-1'!$A10,'明细表L8-2'!N$9:N$21)</f>
        <v>0</v>
      </c>
      <c r="G10" s="210">
        <f>SUMIF('明细表L8-2'!$A$9:$A$21,'审定表L8-1'!$A10,'明细表L8-2'!O$9:O$21)</f>
        <v>0</v>
      </c>
      <c r="H10" s="210">
        <f>SUMIF('明细表L8-2'!$A$9:$A$21,'审定表L8-1'!$A10,'明细表L8-2'!P$9:P$21)</f>
        <v>0</v>
      </c>
      <c r="I10" s="210">
        <f t="shared" si="1"/>
        <v>0</v>
      </c>
      <c r="J10" s="210">
        <f t="shared" si="2"/>
        <v>0</v>
      </c>
      <c r="K10" s="222">
        <f t="shared" si="3"/>
        <v>0</v>
      </c>
      <c r="L10" s="223"/>
    </row>
    <row r="11" spans="1:12" s="207" customFormat="1" ht="19.95" customHeight="1">
      <c r="A11" s="290" t="s">
        <v>110</v>
      </c>
      <c r="B11" s="210">
        <f>SUMIF('明细表L8-2'!$A$9:$A$21,'审定表L8-1'!$A11,'明细表L8-2'!T$9:T$21)</f>
        <v>0</v>
      </c>
      <c r="C11" s="210">
        <f>SUMIF('明细表L8-2'!$A$9:$A$21,'审定表L8-1'!$A11,'明细表L8-2'!U$9:U$21)</f>
        <v>0</v>
      </c>
      <c r="D11" s="210">
        <f>SUMIF('明细表L8-2'!$A$9:$A$21,'审定表L8-1'!$A11,'明细表L8-2'!V$9:V$21)</f>
        <v>0</v>
      </c>
      <c r="E11" s="210">
        <f t="shared" si="0"/>
        <v>0</v>
      </c>
      <c r="F11" s="210">
        <f>SUMIF('明细表L8-2'!$A$9:$A$21,'审定表L8-1'!$A11,'明细表L8-2'!N$9:N$21)</f>
        <v>0</v>
      </c>
      <c r="G11" s="210">
        <f>SUMIF('明细表L8-2'!$A$9:$A$21,'审定表L8-1'!$A11,'明细表L8-2'!O$9:O$21)</f>
        <v>0</v>
      </c>
      <c r="H11" s="210">
        <f>SUMIF('明细表L8-2'!$A$9:$A$21,'审定表L8-1'!$A11,'明细表L8-2'!P$9:P$21)</f>
        <v>0</v>
      </c>
      <c r="I11" s="210">
        <f t="shared" si="1"/>
        <v>0</v>
      </c>
      <c r="J11" s="210">
        <f t="shared" si="2"/>
        <v>0</v>
      </c>
      <c r="K11" s="222">
        <f t="shared" si="3"/>
        <v>0</v>
      </c>
      <c r="L11" s="223"/>
    </row>
    <row r="12" spans="1:12" s="207" customFormat="1" ht="19.95" customHeight="1">
      <c r="A12" s="290" t="s">
        <v>111</v>
      </c>
      <c r="B12" s="210">
        <f>SUMIF('明细表L8-2'!$A$9:$A$21,'审定表L8-1'!$A12,'明细表L8-2'!T$9:T$21)</f>
        <v>0</v>
      </c>
      <c r="C12" s="210">
        <f>SUMIF('明细表L8-2'!$A$9:$A$21,'审定表L8-1'!$A12,'明细表L8-2'!U$9:U$21)</f>
        <v>0</v>
      </c>
      <c r="D12" s="210">
        <f>SUMIF('明细表L8-2'!$A$9:$A$21,'审定表L8-1'!$A12,'明细表L8-2'!V$9:V$21)</f>
        <v>0</v>
      </c>
      <c r="E12" s="210">
        <f t="shared" si="0"/>
        <v>0</v>
      </c>
      <c r="F12" s="210">
        <f>SUMIF('明细表L8-2'!$A$9:$A$21,'审定表L8-1'!$A12,'明细表L8-2'!N$9:N$21)</f>
        <v>0</v>
      </c>
      <c r="G12" s="210">
        <f>SUMIF('明细表L8-2'!$A$9:$A$21,'审定表L8-1'!$A12,'明细表L8-2'!O$9:O$21)</f>
        <v>0</v>
      </c>
      <c r="H12" s="210">
        <f>SUMIF('明细表L8-2'!$A$9:$A$21,'审定表L8-1'!$A12,'明细表L8-2'!P$9:P$21)</f>
        <v>0</v>
      </c>
      <c r="I12" s="210">
        <f t="shared" si="1"/>
        <v>0</v>
      </c>
      <c r="J12" s="210">
        <f t="shared" si="2"/>
        <v>0</v>
      </c>
      <c r="K12" s="222">
        <f t="shared" si="3"/>
        <v>0</v>
      </c>
      <c r="L12" s="223"/>
    </row>
    <row r="13" spans="1:12" s="207" customFormat="1" ht="19.95" customHeight="1">
      <c r="A13" s="290" t="s">
        <v>112</v>
      </c>
      <c r="B13" s="210">
        <f>SUMIF('明细表L8-2'!$A$9:$A$21,'审定表L8-1'!$A13,'明细表L8-2'!T$9:T$21)</f>
        <v>0</v>
      </c>
      <c r="C13" s="210">
        <f>SUMIF('明细表L8-2'!$A$9:$A$21,'审定表L8-1'!$A13,'明细表L8-2'!U$9:U$21)</f>
        <v>0</v>
      </c>
      <c r="D13" s="210">
        <f>SUMIF('明细表L8-2'!$A$9:$A$21,'审定表L8-1'!$A13,'明细表L8-2'!V$9:V$21)</f>
        <v>0</v>
      </c>
      <c r="E13" s="210">
        <f t="shared" si="0"/>
        <v>0</v>
      </c>
      <c r="F13" s="210">
        <f>SUMIF('明细表L8-2'!$A$9:$A$21,'审定表L8-1'!$A13,'明细表L8-2'!N$9:N$21)</f>
        <v>0</v>
      </c>
      <c r="G13" s="210">
        <f>SUMIF('明细表L8-2'!$A$9:$A$21,'审定表L8-1'!$A13,'明细表L8-2'!O$9:O$21)</f>
        <v>0</v>
      </c>
      <c r="H13" s="210">
        <f>SUMIF('明细表L8-2'!$A$9:$A$21,'审定表L8-1'!$A13,'明细表L8-2'!P$9:P$21)</f>
        <v>0</v>
      </c>
      <c r="I13" s="210">
        <f t="shared" si="1"/>
        <v>0</v>
      </c>
      <c r="J13" s="210">
        <f t="shared" si="2"/>
        <v>0</v>
      </c>
      <c r="K13" s="222">
        <f t="shared" si="3"/>
        <v>0</v>
      </c>
      <c r="L13" s="223"/>
    </row>
    <row r="14" spans="1:12" s="207" customFormat="1" ht="19.95" customHeight="1">
      <c r="A14" s="290" t="s">
        <v>113</v>
      </c>
      <c r="B14" s="210">
        <f>SUMIF('明细表L8-2'!$A$9:$A$21,'审定表L8-1'!$A14,'明细表L8-2'!T$9:T$21)</f>
        <v>0</v>
      </c>
      <c r="C14" s="210">
        <f>SUMIF('明细表L8-2'!$A$9:$A$21,'审定表L8-1'!$A14,'明细表L8-2'!U$9:U$21)</f>
        <v>0</v>
      </c>
      <c r="D14" s="210">
        <f>SUMIF('明细表L8-2'!$A$9:$A$21,'审定表L8-1'!$A14,'明细表L8-2'!V$9:V$21)</f>
        <v>0</v>
      </c>
      <c r="E14" s="210">
        <f t="shared" si="0"/>
        <v>0</v>
      </c>
      <c r="F14" s="210">
        <f>SUMIF('明细表L8-2'!$A$9:$A$21,'审定表L8-1'!$A14,'明细表L8-2'!N$9:N$21)</f>
        <v>0</v>
      </c>
      <c r="G14" s="210">
        <f>SUMIF('明细表L8-2'!$A$9:$A$21,'审定表L8-1'!$A14,'明细表L8-2'!O$9:O$21)</f>
        <v>0</v>
      </c>
      <c r="H14" s="210">
        <f>SUMIF('明细表L8-2'!$A$9:$A$21,'审定表L8-1'!$A14,'明细表L8-2'!P$9:P$21)</f>
        <v>0</v>
      </c>
      <c r="I14" s="210">
        <f t="shared" si="1"/>
        <v>0</v>
      </c>
      <c r="J14" s="210">
        <f t="shared" si="2"/>
        <v>0</v>
      </c>
      <c r="K14" s="222">
        <f t="shared" si="3"/>
        <v>0</v>
      </c>
      <c r="L14" s="223"/>
    </row>
    <row r="15" spans="1:12" s="207" customFormat="1" ht="19.95" customHeight="1">
      <c r="A15" s="290" t="s">
        <v>114</v>
      </c>
      <c r="B15" s="210">
        <f>SUMIF('明细表L8-2'!$A$9:$A$21,'审定表L8-1'!$A15,'明细表L8-2'!T$9:T$21)</f>
        <v>0</v>
      </c>
      <c r="C15" s="210">
        <f>SUMIF('明细表L8-2'!$A$9:$A$21,'审定表L8-1'!$A15,'明细表L8-2'!U$9:U$21)</f>
        <v>0</v>
      </c>
      <c r="D15" s="210">
        <f>SUMIF('明细表L8-2'!$A$9:$A$21,'审定表L8-1'!$A15,'明细表L8-2'!V$9:V$21)</f>
        <v>0</v>
      </c>
      <c r="E15" s="210">
        <f t="shared" si="0"/>
        <v>0</v>
      </c>
      <c r="F15" s="210">
        <f>SUMIF('明细表L8-2'!$A$9:$A$21,'审定表L8-1'!$A15,'明细表L8-2'!N$9:N$21)</f>
        <v>0</v>
      </c>
      <c r="G15" s="210">
        <f>SUMIF('明细表L8-2'!$A$9:$A$21,'审定表L8-1'!$A15,'明细表L8-2'!O$9:O$21)</f>
        <v>0</v>
      </c>
      <c r="H15" s="210">
        <f>SUMIF('明细表L8-2'!$A$9:$A$21,'审定表L8-1'!$A15,'明细表L8-2'!P$9:P$21)</f>
        <v>0</v>
      </c>
      <c r="I15" s="210">
        <f t="shared" si="1"/>
        <v>0</v>
      </c>
      <c r="J15" s="210">
        <f t="shared" si="2"/>
        <v>0</v>
      </c>
      <c r="K15" s="222">
        <f t="shared" si="3"/>
        <v>0</v>
      </c>
      <c r="L15" s="223"/>
    </row>
    <row r="16" spans="1:12" s="207" customFormat="1" ht="19.95" customHeight="1">
      <c r="A16" s="290" t="s">
        <v>115</v>
      </c>
      <c r="B16" s="210">
        <f>SUMIF('明细表L8-2'!$A$9:$A$21,'审定表L8-1'!$A16,'明细表L8-2'!T$9:T$21)</f>
        <v>0</v>
      </c>
      <c r="C16" s="210">
        <f>SUMIF('明细表L8-2'!$A$9:$A$21,'审定表L8-1'!$A16,'明细表L8-2'!U$9:U$21)</f>
        <v>0</v>
      </c>
      <c r="D16" s="210">
        <f>SUMIF('明细表L8-2'!$A$9:$A$21,'审定表L8-1'!$A16,'明细表L8-2'!V$9:V$21)</f>
        <v>0</v>
      </c>
      <c r="E16" s="210">
        <f t="shared" si="0"/>
        <v>0</v>
      </c>
      <c r="F16" s="210">
        <f>SUMIF('明细表L8-2'!$A$9:$A$21,'审定表L8-1'!$A16,'明细表L8-2'!N$9:N$21)</f>
        <v>0</v>
      </c>
      <c r="G16" s="210">
        <f>SUMIF('明细表L8-2'!$A$9:$A$21,'审定表L8-1'!$A16,'明细表L8-2'!O$9:O$21)</f>
        <v>0</v>
      </c>
      <c r="H16" s="210">
        <f>SUMIF('明细表L8-2'!$A$9:$A$21,'审定表L8-1'!$A16,'明细表L8-2'!P$9:P$21)</f>
        <v>0</v>
      </c>
      <c r="I16" s="210">
        <f t="shared" si="1"/>
        <v>0</v>
      </c>
      <c r="J16" s="210">
        <f t="shared" si="2"/>
        <v>0</v>
      </c>
      <c r="K16" s="222">
        <f t="shared" si="3"/>
        <v>0</v>
      </c>
      <c r="L16" s="223"/>
    </row>
    <row r="17" spans="1:12" s="207" customFormat="1" ht="19.95" customHeight="1">
      <c r="A17" s="291"/>
      <c r="B17" s="210">
        <f>SUMIF('明细表L8-2'!$A$9:$A$21,'审定表L8-1'!$A17,'明细表L8-2'!T$9:T$21)</f>
        <v>0</v>
      </c>
      <c r="C17" s="210">
        <f>SUMIF('明细表L8-2'!$A$9:$A$21,'审定表L8-1'!$A17,'明细表L8-2'!U$9:U$21)</f>
        <v>0</v>
      </c>
      <c r="D17" s="210">
        <f>SUMIF('明细表L8-2'!$A$9:$A$21,'审定表L8-1'!$A17,'明细表L8-2'!V$9:V$21)</f>
        <v>0</v>
      </c>
      <c r="E17" s="210">
        <f t="shared" si="0"/>
        <v>0</v>
      </c>
      <c r="F17" s="210">
        <f>SUMIF('明细表L8-2'!$A$9:$A$21,'审定表L8-1'!$A17,'明细表L8-2'!N$9:N$21)</f>
        <v>0</v>
      </c>
      <c r="G17" s="210">
        <f>SUMIF('明细表L8-2'!$A$9:$A$21,'审定表L8-1'!$A17,'明细表L8-2'!O$9:O$21)</f>
        <v>0</v>
      </c>
      <c r="H17" s="210">
        <f>SUMIF('明细表L8-2'!$A$9:$A$21,'审定表L8-1'!$A17,'明细表L8-2'!P$9:P$21)</f>
        <v>0</v>
      </c>
      <c r="I17" s="210">
        <f t="shared" si="1"/>
        <v>0</v>
      </c>
      <c r="J17" s="210">
        <f t="shared" si="2"/>
        <v>0</v>
      </c>
      <c r="K17" s="222">
        <f t="shared" si="3"/>
        <v>0</v>
      </c>
      <c r="L17" s="223"/>
    </row>
    <row r="18" spans="1:12" s="207" customFormat="1" ht="19.95" customHeight="1">
      <c r="A18" s="292" t="s">
        <v>116</v>
      </c>
      <c r="B18" s="210">
        <f>B7-B8-B9+B10-B11+B12+B13-B14-B15+B16</f>
        <v>0</v>
      </c>
      <c r="C18" s="210">
        <f t="shared" ref="C18:H18" si="4">C7-C8-C9+C10-C11+C12+C13-C14-C15+C16</f>
        <v>0</v>
      </c>
      <c r="D18" s="210">
        <f t="shared" si="4"/>
        <v>0</v>
      </c>
      <c r="E18" s="210">
        <f t="shared" si="0"/>
        <v>0</v>
      </c>
      <c r="F18" s="210">
        <f t="shared" si="4"/>
        <v>0</v>
      </c>
      <c r="G18" s="210">
        <f t="shared" si="4"/>
        <v>0</v>
      </c>
      <c r="H18" s="210">
        <f t="shared" si="4"/>
        <v>0</v>
      </c>
      <c r="I18" s="210">
        <f t="shared" si="1"/>
        <v>0</v>
      </c>
      <c r="J18" s="210">
        <f t="shared" si="2"/>
        <v>0</v>
      </c>
      <c r="K18" s="222">
        <f t="shared" si="3"/>
        <v>0</v>
      </c>
      <c r="L18" s="223"/>
    </row>
    <row r="19" spans="1:12" s="207" customFormat="1" ht="19.95" customHeight="1">
      <c r="A19" s="211" t="s">
        <v>117</v>
      </c>
      <c r="B19" s="164"/>
      <c r="C19" s="164"/>
      <c r="D19" s="164"/>
      <c r="E19" s="164"/>
      <c r="F19" s="164"/>
      <c r="G19" s="164"/>
      <c r="H19" s="164"/>
      <c r="I19" s="164"/>
      <c r="J19" s="164"/>
      <c r="K19" s="164"/>
      <c r="L19" s="223"/>
    </row>
    <row r="20" spans="1:12" s="319" customFormat="1" ht="19.95" customHeight="1">
      <c r="A20" s="317" t="s">
        <v>118</v>
      </c>
      <c r="B20" s="318">
        <f>B18-B19</f>
        <v>0</v>
      </c>
      <c r="C20" s="318">
        <f t="shared" ref="C20:I20" si="5">C18-C19</f>
        <v>0</v>
      </c>
      <c r="D20" s="318">
        <f t="shared" si="5"/>
        <v>0</v>
      </c>
      <c r="E20" s="318">
        <f t="shared" si="5"/>
        <v>0</v>
      </c>
      <c r="F20" s="318">
        <f t="shared" si="5"/>
        <v>0</v>
      </c>
      <c r="G20" s="318">
        <f t="shared" si="5"/>
        <v>0</v>
      </c>
      <c r="H20" s="318">
        <f t="shared" si="5"/>
        <v>0</v>
      </c>
      <c r="I20" s="318">
        <f t="shared" si="5"/>
        <v>0</v>
      </c>
      <c r="J20" s="318"/>
      <c r="K20" s="318"/>
      <c r="L20" s="318"/>
    </row>
    <row r="21" spans="1:12" s="208" customFormat="1" ht="19.95" customHeight="1">
      <c r="A21" s="212" t="s">
        <v>119</v>
      </c>
      <c r="B21" s="213"/>
      <c r="C21" s="213"/>
      <c r="D21" s="213"/>
      <c r="E21" s="213" t="s">
        <v>120</v>
      </c>
      <c r="F21" s="214"/>
      <c r="G21" s="214"/>
      <c r="H21" s="213"/>
      <c r="I21" s="224"/>
      <c r="J21" s="224"/>
      <c r="K21" s="136"/>
      <c r="L21" s="136"/>
    </row>
    <row r="22" spans="1:12" s="80" customFormat="1" ht="19.95" customHeight="1">
      <c r="A22" s="215" t="s">
        <v>121</v>
      </c>
      <c r="B22" s="215"/>
      <c r="C22" s="215"/>
      <c r="D22" s="216"/>
      <c r="E22" s="216"/>
      <c r="F22" s="336"/>
      <c r="G22" s="336"/>
      <c r="H22" s="336"/>
      <c r="I22" s="136"/>
      <c r="J22" s="136"/>
      <c r="K22" s="136"/>
      <c r="L22" s="136"/>
    </row>
    <row r="23" spans="1:12" s="208" customFormat="1" ht="19.95" customHeight="1">
      <c r="A23" s="215" t="s">
        <v>122</v>
      </c>
      <c r="B23" s="215"/>
      <c r="C23" s="215"/>
      <c r="D23" s="215"/>
      <c r="E23" s="215"/>
      <c r="F23" s="215"/>
      <c r="G23" s="215"/>
      <c r="H23" s="215"/>
      <c r="I23" s="136"/>
      <c r="J23" s="136"/>
      <c r="K23" s="136"/>
      <c r="L23" s="136"/>
    </row>
    <row r="24" spans="1:12" s="80" customFormat="1" ht="19.95" customHeight="1">
      <c r="A24" s="215"/>
      <c r="B24" s="215"/>
      <c r="C24" s="215"/>
      <c r="D24" s="215"/>
      <c r="E24" s="215"/>
      <c r="F24" s="215"/>
      <c r="G24" s="215"/>
      <c r="H24" s="215"/>
      <c r="I24" s="136"/>
      <c r="J24" s="136"/>
      <c r="K24" s="136"/>
      <c r="L24" s="136"/>
    </row>
    <row r="25" spans="1:12" s="80" customFormat="1" ht="19.95" customHeight="1">
      <c r="A25" s="217" t="s">
        <v>123</v>
      </c>
      <c r="B25" s="215"/>
      <c r="C25" s="215"/>
      <c r="D25" s="215"/>
      <c r="E25" s="215"/>
      <c r="F25" s="215"/>
      <c r="G25" s="215"/>
      <c r="H25" s="215"/>
      <c r="I25" s="136"/>
      <c r="J25" s="136"/>
      <c r="K25" s="136"/>
      <c r="L25" s="136"/>
    </row>
    <row r="26" spans="1:12" s="80" customFormat="1" ht="19.95" customHeight="1">
      <c r="B26" s="217"/>
      <c r="C26" s="217"/>
      <c r="D26" s="217"/>
      <c r="E26" s="217"/>
      <c r="F26" s="217"/>
      <c r="G26" s="217"/>
      <c r="H26" s="217"/>
      <c r="I26" s="136"/>
      <c r="J26" s="136"/>
      <c r="K26" s="136"/>
      <c r="L26" s="136"/>
    </row>
    <row r="27" spans="1:12" ht="19.95" customHeight="1">
      <c r="A27" s="212" t="s">
        <v>124</v>
      </c>
      <c r="B27" s="217"/>
      <c r="C27" s="217"/>
      <c r="D27" s="217"/>
      <c r="E27" s="217"/>
      <c r="F27" s="217"/>
      <c r="G27" s="217"/>
      <c r="H27" s="217"/>
    </row>
    <row r="28" spans="1:12" ht="19.95" customHeight="1">
      <c r="A28" s="215"/>
      <c r="B28" s="215"/>
      <c r="C28" s="215"/>
      <c r="D28" s="215"/>
      <c r="E28" s="215"/>
      <c r="F28" s="215"/>
      <c r="G28" s="215"/>
      <c r="H28" s="215"/>
    </row>
    <row r="29" spans="1:12" ht="23.25" customHeight="1">
      <c r="A29" s="212"/>
      <c r="B29" s="215"/>
      <c r="C29" s="215"/>
      <c r="D29" s="215"/>
      <c r="E29" s="215"/>
      <c r="F29" s="215"/>
      <c r="G29" s="215"/>
      <c r="H29" s="215"/>
    </row>
  </sheetData>
  <mergeCells count="8">
    <mergeCell ref="F22:H22"/>
    <mergeCell ref="A5:A6"/>
    <mergeCell ref="L5:L6"/>
    <mergeCell ref="A1:L1"/>
    <mergeCell ref="A2:L2"/>
    <mergeCell ref="B5:E5"/>
    <mergeCell ref="F5:I5"/>
    <mergeCell ref="J5:K5"/>
  </mergeCells>
  <phoneticPr fontId="82" type="noConversion"/>
  <hyperlinks>
    <hyperlink ref="L3" location="底稿目录!A1" display="=底稿目录!D6"/>
  </hyperlinks>
  <printOptions horizontalCentered="1"/>
  <pageMargins left="0.74803149606299202" right="0.35433070866141703" top="0.59055118110236204" bottom="0.27559055118110198" header="0.511811023622047" footer="0.196850393700787"/>
  <pageSetup paperSize="9" scale="83" orientation="landscape"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31"/>
  <sheetViews>
    <sheetView showGridLines="0" view="pageBreakPreview" zoomScaleNormal="100" workbookViewId="0">
      <pane xSplit="1" ySplit="2" topLeftCell="B12" activePane="bottomRight" state="frozen"/>
      <selection pane="topRight"/>
      <selection pane="bottomLeft"/>
      <selection pane="bottomRight" activeCell="G10" sqref="G10"/>
    </sheetView>
  </sheetViews>
  <sheetFormatPr defaultColWidth="9.109375" defaultRowHeight="20.100000000000001" customHeight="1"/>
  <cols>
    <col min="1" max="1" width="27.77734375" style="194" customWidth="1"/>
    <col min="2" max="2" width="18.5546875" style="194" customWidth="1"/>
    <col min="3" max="3" width="24.33203125" style="194" customWidth="1"/>
    <col min="4" max="4" width="5.6640625" style="194" customWidth="1"/>
    <col min="5" max="5" width="5.21875" style="194" customWidth="1"/>
    <col min="6" max="9" width="18.5546875" style="194" customWidth="1"/>
    <col min="10" max="10" width="15.5546875" style="194" customWidth="1"/>
    <col min="11" max="11" width="9.109375" style="194" customWidth="1"/>
    <col min="12" max="16384" width="9.109375" style="194"/>
  </cols>
  <sheetData>
    <row r="1" spans="1:9" ht="19.95" customHeight="1">
      <c r="A1" s="347" t="s">
        <v>28</v>
      </c>
      <c r="B1" s="347"/>
      <c r="C1" s="347"/>
      <c r="D1" s="347"/>
      <c r="E1" s="347"/>
      <c r="F1" s="195"/>
      <c r="G1" s="195"/>
      <c r="H1" s="195"/>
      <c r="I1" s="195"/>
    </row>
    <row r="2" spans="1:9" s="191" customFormat="1" ht="19.95" customHeight="1">
      <c r="A2" s="348" t="s">
        <v>125</v>
      </c>
      <c r="B2" s="348"/>
      <c r="C2" s="348"/>
      <c r="D2" s="348"/>
      <c r="E2" s="348"/>
    </row>
    <row r="3" spans="1:9" ht="19.95" customHeight="1">
      <c r="A3" s="80" t="str">
        <f>底稿目录!A2</f>
        <v>被审计单位：</v>
      </c>
      <c r="B3" s="80" t="str">
        <f>底稿目录!A4</f>
        <v>编制人：</v>
      </c>
      <c r="C3" s="80" t="str">
        <f>底稿目录!A5</f>
        <v>编制日期：</v>
      </c>
      <c r="D3" s="80" t="s">
        <v>93</v>
      </c>
      <c r="E3" s="80">
        <f>底稿目录!D7</f>
        <v>0</v>
      </c>
    </row>
    <row r="4" spans="1:9" ht="19.95" customHeight="1">
      <c r="A4" s="80" t="str">
        <f>底稿目录!A3</f>
        <v>会计期间：202X年度</v>
      </c>
      <c r="B4" s="80" t="str">
        <f>底稿目录!A6</f>
        <v>复核人：</v>
      </c>
      <c r="C4" s="80" t="str">
        <f>底稿目录!A7</f>
        <v>复核日期：</v>
      </c>
      <c r="D4" s="80" t="s">
        <v>94</v>
      </c>
      <c r="E4" s="178">
        <v>1</v>
      </c>
    </row>
    <row r="5" spans="1:9" ht="19.95" customHeight="1">
      <c r="A5" s="196" t="s">
        <v>126</v>
      </c>
      <c r="B5" s="197"/>
      <c r="C5" s="197"/>
      <c r="D5" s="197"/>
      <c r="E5" s="181"/>
    </row>
    <row r="6" spans="1:9" ht="19.95" customHeight="1">
      <c r="A6" s="182" t="s">
        <v>127</v>
      </c>
      <c r="B6" s="198" t="s">
        <v>128</v>
      </c>
      <c r="C6" s="199" t="s">
        <v>129</v>
      </c>
      <c r="D6" s="200"/>
      <c r="E6" s="181"/>
    </row>
    <row r="7" spans="1:9" ht="19.95" customHeight="1">
      <c r="A7" s="185" t="str">
        <f>'明细表L8-2'!A9</f>
        <v>利息费用总额</v>
      </c>
      <c r="B7" s="201">
        <f>'明细表L8-2'!Q9</f>
        <v>0</v>
      </c>
      <c r="C7" s="201">
        <f>'明细表L8-2'!W9</f>
        <v>0</v>
      </c>
      <c r="D7" s="201"/>
      <c r="E7" s="181"/>
    </row>
    <row r="8" spans="1:9" ht="19.95" customHeight="1">
      <c r="A8" s="185" t="str">
        <f>'明细表L8-2'!A10</f>
        <v>减：利息资本化</v>
      </c>
      <c r="B8" s="201">
        <f>'明细表L8-2'!Q10</f>
        <v>0</v>
      </c>
      <c r="C8" s="201">
        <f>'明细表L8-2'!W10</f>
        <v>0</v>
      </c>
      <c r="D8" s="201"/>
      <c r="E8" s="181"/>
    </row>
    <row r="9" spans="1:9" ht="19.95" customHeight="1">
      <c r="A9" s="185" t="str">
        <f>'明细表L8-2'!A11</f>
        <v>利息费用</v>
      </c>
      <c r="B9" s="201">
        <f>'明细表L8-2'!Q11</f>
        <v>0</v>
      </c>
      <c r="C9" s="201">
        <f>'明细表L8-2'!W11</f>
        <v>0</v>
      </c>
      <c r="D9" s="201"/>
      <c r="E9" s="181"/>
    </row>
    <row r="10" spans="1:9" ht="19.95" customHeight="1">
      <c r="A10" s="185" t="str">
        <f>'明细表L8-2'!A12</f>
        <v>减：利息收入</v>
      </c>
      <c r="B10" s="201">
        <f>'明细表L8-2'!Q12</f>
        <v>0</v>
      </c>
      <c r="C10" s="201">
        <f>'明细表L8-2'!W12</f>
        <v>0</v>
      </c>
      <c r="D10" s="201"/>
      <c r="E10" s="181"/>
    </row>
    <row r="11" spans="1:9" ht="19.95" customHeight="1">
      <c r="A11" s="185" t="str">
        <f>'明细表L8-2'!A13</f>
        <v>利息净支出</v>
      </c>
      <c r="B11" s="201">
        <f>'明细表L8-2'!Q13</f>
        <v>0</v>
      </c>
      <c r="C11" s="201">
        <f>'明细表L8-2'!W13</f>
        <v>0</v>
      </c>
      <c r="D11" s="201"/>
      <c r="E11" s="181"/>
    </row>
    <row r="12" spans="1:9" s="192" customFormat="1" ht="19.95" customHeight="1">
      <c r="A12" s="185" t="str">
        <f>'明细表L8-2'!A16</f>
        <v>承兑汇票贴息</v>
      </c>
      <c r="B12" s="201">
        <f>'明细表L8-2'!Q16</f>
        <v>0</v>
      </c>
      <c r="C12" s="201">
        <f>'明细表L8-2'!W16</f>
        <v>0</v>
      </c>
      <c r="D12" s="201"/>
      <c r="E12" s="181"/>
    </row>
    <row r="13" spans="1:9" s="193" customFormat="1" ht="19.95" customHeight="1">
      <c r="A13" s="185" t="str">
        <f>'明细表L8-2'!A17</f>
        <v>汇兑损失</v>
      </c>
      <c r="B13" s="201">
        <f>'明细表L8-2'!Q17</f>
        <v>0</v>
      </c>
      <c r="C13" s="201">
        <f>'明细表L8-2'!W17</f>
        <v>0</v>
      </c>
      <c r="D13" s="201"/>
      <c r="E13" s="181"/>
    </row>
    <row r="14" spans="1:9" ht="19.95" customHeight="1">
      <c r="A14" s="185" t="str">
        <f>'明细表L8-2'!A18</f>
        <v>减：汇兑收益</v>
      </c>
      <c r="B14" s="201">
        <f>'明细表L8-2'!Q18</f>
        <v>0</v>
      </c>
      <c r="C14" s="201">
        <f>'明细表L8-2'!W18</f>
        <v>0</v>
      </c>
      <c r="D14" s="201"/>
      <c r="E14" s="181"/>
    </row>
    <row r="15" spans="1:9" ht="19.95" customHeight="1">
      <c r="A15" s="185" t="str">
        <f>'明细表L8-2'!A19</f>
        <v>减：汇兑损益资本化</v>
      </c>
      <c r="B15" s="201">
        <f>'明细表L8-2'!Q19</f>
        <v>0</v>
      </c>
      <c r="C15" s="201">
        <f>'明细表L8-2'!W19</f>
        <v>0</v>
      </c>
      <c r="D15" s="201"/>
      <c r="E15" s="181"/>
    </row>
    <row r="16" spans="1:9" ht="19.95" customHeight="1">
      <c r="A16" s="185" t="str">
        <f>'明细表L8-2'!A20</f>
        <v>汇兑净损失</v>
      </c>
      <c r="B16" s="201">
        <f>'明细表L8-2'!Q20</f>
        <v>0</v>
      </c>
      <c r="C16" s="201">
        <f>'明细表L8-2'!W20</f>
        <v>0</v>
      </c>
      <c r="D16" s="201"/>
      <c r="E16" s="181"/>
    </row>
    <row r="17" spans="1:5" ht="19.95" customHeight="1">
      <c r="A17" s="185" t="str">
        <f>'明细表L8-2'!A21</f>
        <v>手续费及其他</v>
      </c>
      <c r="B17" s="201">
        <f>'明细表L8-2'!Q21</f>
        <v>0</v>
      </c>
      <c r="C17" s="201">
        <f>'明细表L8-2'!W21</f>
        <v>0</v>
      </c>
      <c r="D17" s="201"/>
      <c r="E17" s="181"/>
    </row>
    <row r="18" spans="1:5" ht="19.95" customHeight="1">
      <c r="A18" s="187" t="s">
        <v>130</v>
      </c>
      <c r="B18" s="202">
        <f>'明细表L8-2'!Q22</f>
        <v>0</v>
      </c>
      <c r="C18" s="202">
        <f>'明细表L8-2'!W22</f>
        <v>0</v>
      </c>
      <c r="D18" s="203"/>
      <c r="E18" s="181"/>
    </row>
    <row r="19" spans="1:5" ht="19.95" customHeight="1">
      <c r="A19" s="179" t="s">
        <v>131</v>
      </c>
      <c r="B19" s="204"/>
      <c r="C19" s="204"/>
      <c r="D19" s="204"/>
    </row>
    <row r="20" spans="1:5" ht="34.200000000000003" customHeight="1">
      <c r="A20" s="349" t="s">
        <v>132</v>
      </c>
      <c r="B20" s="349"/>
      <c r="C20" s="349"/>
      <c r="D20" s="205"/>
    </row>
    <row r="21" spans="1:5" ht="15.6"/>
    <row r="22" spans="1:5" ht="15.6"/>
    <row r="23" spans="1:5" ht="15.6"/>
    <row r="24" spans="1:5" ht="15.6"/>
    <row r="25" spans="1:5" ht="15.6"/>
    <row r="26" spans="1:5" ht="15.6"/>
    <row r="27" spans="1:5" ht="15.6"/>
    <row r="28" spans="1:5" ht="15.6"/>
    <row r="29" spans="1:5" ht="15.6"/>
    <row r="30" spans="1:5" ht="15.6"/>
    <row r="31" spans="1:5" ht="15.6"/>
  </sheetData>
  <mergeCells count="3">
    <mergeCell ref="A1:E1"/>
    <mergeCell ref="A2:E2"/>
    <mergeCell ref="A20:C20"/>
  </mergeCells>
  <phoneticPr fontId="82"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31"/>
  <sheetViews>
    <sheetView showGridLines="0" view="pageBreakPreview" zoomScale="115" zoomScaleNormal="100" workbookViewId="0">
      <pane xSplit="1" ySplit="1" topLeftCell="B2" activePane="bottomRight" state="frozen"/>
      <selection pane="topRight"/>
      <selection pane="bottomLeft"/>
      <selection pane="bottomRight" activeCell="G14" sqref="G14"/>
    </sheetView>
  </sheetViews>
  <sheetFormatPr defaultColWidth="11.21875" defaultRowHeight="20.25" customHeight="1"/>
  <cols>
    <col min="1" max="1" width="37" style="176" customWidth="1"/>
    <col min="2" max="2" width="18.5546875" style="176" customWidth="1"/>
    <col min="3" max="3" width="24.44140625" style="176" customWidth="1"/>
    <col min="4" max="4" width="5.5546875" style="176" customWidth="1"/>
    <col min="5" max="5" width="6.5546875" style="176" customWidth="1"/>
    <col min="6" max="6" width="18.5546875" style="176" customWidth="1"/>
    <col min="7" max="7" width="20" style="176" customWidth="1"/>
    <col min="8" max="8" width="19.21875" style="176" customWidth="1"/>
    <col min="9" max="21" width="18.5546875" style="176" customWidth="1"/>
    <col min="22" max="22" width="15.5546875" style="176" customWidth="1"/>
    <col min="23" max="23" width="11.21875" style="176" customWidth="1"/>
    <col min="24" max="16384" width="11.21875" style="176"/>
  </cols>
  <sheetData>
    <row r="1" spans="1:21" s="175" customFormat="1" ht="19.95" customHeight="1">
      <c r="A1" s="347" t="s">
        <v>28</v>
      </c>
      <c r="B1" s="347"/>
      <c r="C1" s="347"/>
      <c r="D1" s="347"/>
      <c r="E1" s="347"/>
      <c r="F1" s="177"/>
      <c r="G1" s="177"/>
      <c r="H1" s="177"/>
      <c r="I1" s="177"/>
      <c r="J1" s="177"/>
      <c r="K1" s="177"/>
      <c r="L1" s="190"/>
      <c r="M1" s="190"/>
      <c r="N1" s="190"/>
      <c r="O1" s="190"/>
      <c r="P1" s="190"/>
      <c r="Q1" s="190"/>
      <c r="R1" s="190"/>
      <c r="S1" s="190"/>
      <c r="T1" s="190"/>
      <c r="U1" s="190"/>
    </row>
    <row r="2" spans="1:21" ht="19.95" customHeight="1">
      <c r="A2" s="348" t="s">
        <v>133</v>
      </c>
      <c r="B2" s="348"/>
      <c r="C2" s="348"/>
      <c r="D2" s="348"/>
      <c r="E2" s="348"/>
    </row>
    <row r="3" spans="1:21" ht="19.95" customHeight="1">
      <c r="A3" s="80" t="str">
        <f>底稿目录!A2</f>
        <v>被审计单位：</v>
      </c>
      <c r="B3" s="80" t="str">
        <f>底稿目录!A4</f>
        <v>编制人：</v>
      </c>
      <c r="C3" s="80" t="str">
        <f>底稿目录!A5</f>
        <v>编制日期：</v>
      </c>
      <c r="D3" s="80" t="s">
        <v>93</v>
      </c>
      <c r="E3" s="80">
        <f>底稿目录!D8</f>
        <v>0</v>
      </c>
    </row>
    <row r="4" spans="1:21" ht="19.95" customHeight="1">
      <c r="A4" s="80" t="str">
        <f>底稿目录!A3</f>
        <v>会计期间：202X年度</v>
      </c>
      <c r="B4" s="80" t="str">
        <f>底稿目录!A6</f>
        <v>复核人：</v>
      </c>
      <c r="C4" s="80" t="str">
        <f>底稿目录!A7</f>
        <v>复核日期：</v>
      </c>
      <c r="D4" s="80" t="s">
        <v>94</v>
      </c>
      <c r="E4" s="178">
        <v>1</v>
      </c>
    </row>
    <row r="5" spans="1:21" ht="19.95" customHeight="1">
      <c r="A5" s="179" t="s">
        <v>33</v>
      </c>
      <c r="B5" s="180"/>
      <c r="C5" s="180"/>
      <c r="D5" s="180"/>
      <c r="E5" s="181"/>
    </row>
    <row r="6" spans="1:21" ht="19.95" customHeight="1">
      <c r="A6" s="182" t="s">
        <v>127</v>
      </c>
      <c r="B6" s="183" t="s">
        <v>134</v>
      </c>
      <c r="C6" s="183" t="s">
        <v>129</v>
      </c>
      <c r="D6" s="184"/>
      <c r="E6" s="181"/>
    </row>
    <row r="7" spans="1:21" ht="19.95" customHeight="1">
      <c r="A7" s="185" t="str">
        <f>'明细表L8-2'!A9</f>
        <v>利息费用总额</v>
      </c>
      <c r="B7" s="186">
        <f>'明细表L8-2'!Q9</f>
        <v>0</v>
      </c>
      <c r="C7" s="186">
        <f>'明细表L8-2'!W9</f>
        <v>0</v>
      </c>
      <c r="D7" s="186"/>
      <c r="E7" s="181"/>
    </row>
    <row r="8" spans="1:21" ht="19.95" customHeight="1">
      <c r="A8" s="185" t="str">
        <f>'明细表L8-2'!A10</f>
        <v>减：利息资本化</v>
      </c>
      <c r="B8" s="186">
        <f>'明细表L8-2'!Q10</f>
        <v>0</v>
      </c>
      <c r="C8" s="186">
        <f>'明细表L8-2'!W10</f>
        <v>0</v>
      </c>
      <c r="D8" s="186"/>
      <c r="E8" s="181"/>
    </row>
    <row r="9" spans="1:21" ht="19.95" customHeight="1">
      <c r="A9" s="185" t="str">
        <f>'明细表L8-2'!A11</f>
        <v>利息费用</v>
      </c>
      <c r="B9" s="186">
        <f>'明细表L8-2'!Q11</f>
        <v>0</v>
      </c>
      <c r="C9" s="186">
        <f>'明细表L8-2'!W11</f>
        <v>0</v>
      </c>
      <c r="D9" s="186"/>
      <c r="E9" s="181"/>
    </row>
    <row r="10" spans="1:21" ht="19.95" customHeight="1">
      <c r="A10" s="185" t="str">
        <f>'明细表L8-2'!A12</f>
        <v>减：利息收入</v>
      </c>
      <c r="B10" s="186">
        <f>'明细表L8-2'!Q12</f>
        <v>0</v>
      </c>
      <c r="C10" s="186">
        <f>'明细表L8-2'!W12</f>
        <v>0</v>
      </c>
      <c r="D10" s="186"/>
      <c r="E10" s="181"/>
    </row>
    <row r="11" spans="1:21" ht="19.95" customHeight="1">
      <c r="A11" s="185" t="str">
        <f>'明细表L8-2'!A13</f>
        <v>利息净支出</v>
      </c>
      <c r="B11" s="186">
        <f>'明细表L8-2'!Q13</f>
        <v>0</v>
      </c>
      <c r="C11" s="186">
        <f>'明细表L8-2'!W13</f>
        <v>0</v>
      </c>
      <c r="D11" s="186"/>
      <c r="E11" s="181"/>
    </row>
    <row r="12" spans="1:21" ht="19.95" customHeight="1">
      <c r="A12" s="185" t="str">
        <f>'明细表L8-2'!A16</f>
        <v>承兑汇票贴息</v>
      </c>
      <c r="B12" s="186">
        <f>'明细表L8-2'!Q16</f>
        <v>0</v>
      </c>
      <c r="C12" s="186">
        <f>'明细表L8-2'!W16</f>
        <v>0</v>
      </c>
      <c r="D12" s="186"/>
      <c r="E12" s="181"/>
    </row>
    <row r="13" spans="1:21" ht="19.95" customHeight="1">
      <c r="A13" s="185" t="str">
        <f>'明细表L8-2'!A17</f>
        <v>汇兑损失</v>
      </c>
      <c r="B13" s="186">
        <f>'明细表L8-2'!Q17</f>
        <v>0</v>
      </c>
      <c r="C13" s="186">
        <f>'明细表L8-2'!W17</f>
        <v>0</v>
      </c>
      <c r="D13" s="186"/>
      <c r="E13" s="181"/>
    </row>
    <row r="14" spans="1:21" ht="19.95" customHeight="1">
      <c r="A14" s="185" t="str">
        <f>'明细表L8-2'!A18</f>
        <v>减：汇兑收益</v>
      </c>
      <c r="B14" s="186">
        <f>'明细表L8-2'!Q18</f>
        <v>0</v>
      </c>
      <c r="C14" s="186">
        <f>'明细表L8-2'!W18</f>
        <v>0</v>
      </c>
      <c r="D14" s="186"/>
      <c r="E14" s="181"/>
    </row>
    <row r="15" spans="1:21" ht="19.95" customHeight="1">
      <c r="A15" s="185" t="str">
        <f>'明细表L8-2'!A19</f>
        <v>减：汇兑损益资本化</v>
      </c>
      <c r="B15" s="186">
        <f>'明细表L8-2'!Q19</f>
        <v>0</v>
      </c>
      <c r="C15" s="186">
        <f>'明细表L8-2'!W19</f>
        <v>0</v>
      </c>
      <c r="D15" s="186"/>
      <c r="E15" s="181"/>
    </row>
    <row r="16" spans="1:21" ht="19.95" customHeight="1">
      <c r="A16" s="185" t="str">
        <f>'明细表L8-2'!A20</f>
        <v>汇兑净损失</v>
      </c>
      <c r="B16" s="186">
        <f>'明细表L8-2'!Q20</f>
        <v>0</v>
      </c>
      <c r="C16" s="186">
        <f>'明细表L8-2'!W20</f>
        <v>0</v>
      </c>
      <c r="D16" s="186"/>
      <c r="E16" s="181"/>
    </row>
    <row r="17" spans="1:5" ht="19.95" customHeight="1">
      <c r="A17" s="185" t="str">
        <f>'明细表L8-2'!A21</f>
        <v>手续费及其他</v>
      </c>
      <c r="B17" s="186">
        <f>'明细表L8-2'!Q21</f>
        <v>0</v>
      </c>
      <c r="C17" s="186">
        <f>'明细表L8-2'!W21</f>
        <v>0</v>
      </c>
      <c r="D17" s="186"/>
      <c r="E17" s="181"/>
    </row>
    <row r="18" spans="1:5" ht="19.95" customHeight="1">
      <c r="A18" s="187" t="s">
        <v>130</v>
      </c>
      <c r="B18" s="188">
        <f>'明细表L8-2'!Q22</f>
        <v>0</v>
      </c>
      <c r="C18" s="188">
        <f>'明细表L8-2'!W22</f>
        <v>0</v>
      </c>
      <c r="D18" s="189"/>
      <c r="E18" s="181"/>
    </row>
    <row r="19" spans="1:5" ht="12"/>
    <row r="20" spans="1:5" ht="12"/>
    <row r="21" spans="1:5" ht="12"/>
    <row r="22" spans="1:5" ht="12"/>
    <row r="23" spans="1:5" ht="12"/>
    <row r="24" spans="1:5" ht="12"/>
    <row r="25" spans="1:5" ht="12"/>
    <row r="26" spans="1:5" ht="12"/>
    <row r="27" spans="1:5" ht="12"/>
    <row r="28" spans="1:5" ht="12"/>
    <row r="29" spans="1:5" ht="12"/>
    <row r="30" spans="1:5" ht="12"/>
    <row r="31" spans="1:5" ht="12"/>
  </sheetData>
  <mergeCells count="2">
    <mergeCell ref="A1:E1"/>
    <mergeCell ref="A2:E2"/>
  </mergeCells>
  <phoneticPr fontId="82"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W50"/>
  <sheetViews>
    <sheetView showZeros="0" view="pageBreakPreview" zoomScaleNormal="100" workbookViewId="0">
      <selection sqref="A1:W1"/>
    </sheetView>
  </sheetViews>
  <sheetFormatPr defaultColWidth="9.109375" defaultRowHeight="15.6"/>
  <cols>
    <col min="1" max="1" width="19.44140625" style="135" customWidth="1"/>
    <col min="2" max="10" width="10" style="135" customWidth="1"/>
    <col min="11" max="11" width="10.88671875" style="135" customWidth="1"/>
    <col min="12" max="13" width="10" style="135" customWidth="1"/>
    <col min="14" max="14" width="14.44140625" style="135" customWidth="1"/>
    <col min="15" max="15" width="9.88671875" style="135" customWidth="1"/>
    <col min="16" max="16" width="11.44140625" style="135" customWidth="1"/>
    <col min="17" max="17" width="14.44140625" style="135" customWidth="1"/>
    <col min="18" max="18" width="9.109375" style="135"/>
    <col min="19" max="19" width="12" style="135" customWidth="1"/>
    <col min="20" max="20" width="14.109375" style="135" customWidth="1"/>
    <col min="21" max="21" width="9.109375" style="135"/>
    <col min="22" max="22" width="12.5546875" style="135" customWidth="1"/>
    <col min="23" max="23" width="13.88671875" style="135" customWidth="1"/>
    <col min="24" max="16384" width="9.109375" style="135"/>
  </cols>
  <sheetData>
    <row r="1" spans="1:23" s="132" customFormat="1" ht="19.95" customHeight="1">
      <c r="A1" s="350" t="s">
        <v>28</v>
      </c>
      <c r="B1" s="350"/>
      <c r="C1" s="350"/>
      <c r="D1" s="350"/>
      <c r="E1" s="350"/>
      <c r="F1" s="350"/>
      <c r="G1" s="350"/>
      <c r="H1" s="350"/>
      <c r="I1" s="350"/>
      <c r="J1" s="350"/>
      <c r="K1" s="350"/>
      <c r="L1" s="350"/>
      <c r="M1" s="350"/>
      <c r="N1" s="350"/>
      <c r="O1" s="350"/>
      <c r="P1" s="350"/>
      <c r="Q1" s="350"/>
      <c r="R1" s="350"/>
      <c r="S1" s="350"/>
      <c r="T1" s="350"/>
      <c r="U1" s="350"/>
      <c r="V1" s="350"/>
      <c r="W1" s="350"/>
    </row>
    <row r="2" spans="1:23" s="132" customFormat="1" ht="19.95" customHeight="1">
      <c r="A2" s="351" t="s">
        <v>135</v>
      </c>
      <c r="B2" s="351"/>
      <c r="C2" s="351"/>
      <c r="D2" s="351"/>
      <c r="E2" s="351"/>
      <c r="F2" s="351"/>
      <c r="G2" s="351"/>
      <c r="H2" s="351"/>
      <c r="I2" s="351"/>
      <c r="J2" s="351"/>
      <c r="K2" s="351"/>
      <c r="L2" s="351"/>
      <c r="M2" s="351"/>
      <c r="N2" s="351"/>
      <c r="O2" s="351"/>
      <c r="P2" s="351"/>
      <c r="Q2" s="351"/>
      <c r="R2" s="351"/>
      <c r="S2" s="351"/>
      <c r="T2" s="351"/>
      <c r="U2" s="351"/>
      <c r="V2" s="351"/>
      <c r="W2" s="351"/>
    </row>
    <row r="3" spans="1:23" s="133" customFormat="1" ht="19.95" customHeight="1">
      <c r="A3" s="136" t="str">
        <f>底稿目录!A2</f>
        <v>被审计单位：</v>
      </c>
      <c r="B3" s="136"/>
      <c r="H3" s="136"/>
      <c r="I3" s="159" t="str">
        <f>底稿目录!A4</f>
        <v>编制人：</v>
      </c>
      <c r="R3" s="168" t="str">
        <f>底稿目录!A5</f>
        <v>编制日期：</v>
      </c>
      <c r="S3" s="169"/>
      <c r="V3" s="170" t="s">
        <v>136</v>
      </c>
      <c r="W3" s="49" t="str">
        <f>底稿目录!D9</f>
        <v>L8-2</v>
      </c>
    </row>
    <row r="4" spans="1:23" s="133" customFormat="1" ht="19.95" customHeight="1">
      <c r="A4" s="136" t="str">
        <f>底稿目录!A3</f>
        <v>会计期间：202X年度</v>
      </c>
      <c r="B4" s="137"/>
      <c r="H4" s="136"/>
      <c r="I4" s="159" t="str">
        <f>底稿目录!A6</f>
        <v>复核人：</v>
      </c>
      <c r="R4" s="168" t="str">
        <f>底稿目录!A7</f>
        <v>复核日期：</v>
      </c>
      <c r="S4" s="169"/>
      <c r="V4" s="160" t="s">
        <v>31</v>
      </c>
    </row>
    <row r="5" spans="1:23" s="133" customFormat="1" ht="19.95" customHeight="1">
      <c r="A5" s="138" t="s">
        <v>137</v>
      </c>
      <c r="B5" s="139"/>
      <c r="F5" s="140"/>
      <c r="J5" s="160"/>
      <c r="M5" s="161"/>
    </row>
    <row r="6" spans="1:23" s="133" customFormat="1" ht="19.95" customHeight="1">
      <c r="A6" s="141" t="s">
        <v>138</v>
      </c>
      <c r="B6" s="57"/>
      <c r="C6" s="2"/>
      <c r="D6" s="2"/>
      <c r="E6" s="2"/>
      <c r="F6" s="40"/>
      <c r="G6" s="2"/>
      <c r="H6" s="2" t="s">
        <v>139</v>
      </c>
      <c r="I6" s="2"/>
      <c r="J6" s="162"/>
      <c r="K6" s="2"/>
      <c r="L6" s="2"/>
      <c r="M6" s="163"/>
      <c r="N6" s="2"/>
      <c r="O6" s="2" t="s">
        <v>140</v>
      </c>
      <c r="P6" s="2"/>
      <c r="Q6" s="2"/>
    </row>
    <row r="7" spans="1:23" s="133" customFormat="1" ht="19.95" customHeight="1">
      <c r="A7" s="142" t="s">
        <v>141</v>
      </c>
      <c r="F7" s="143"/>
      <c r="J7" s="160"/>
      <c r="M7" s="161"/>
    </row>
    <row r="8" spans="1:23" s="134" customFormat="1" ht="33.6" customHeight="1">
      <c r="A8" s="144" t="s">
        <v>142</v>
      </c>
      <c r="B8" s="144" t="s">
        <v>143</v>
      </c>
      <c r="C8" s="144" t="s">
        <v>144</v>
      </c>
      <c r="D8" s="144" t="s">
        <v>145</v>
      </c>
      <c r="E8" s="144" t="s">
        <v>146</v>
      </c>
      <c r="F8" s="144" t="s">
        <v>147</v>
      </c>
      <c r="G8" s="144" t="s">
        <v>148</v>
      </c>
      <c r="H8" s="144" t="s">
        <v>149</v>
      </c>
      <c r="I8" s="144" t="s">
        <v>150</v>
      </c>
      <c r="J8" s="144" t="s">
        <v>151</v>
      </c>
      <c r="K8" s="144" t="s">
        <v>152</v>
      </c>
      <c r="L8" s="144" t="s">
        <v>153</v>
      </c>
      <c r="M8" s="144" t="s">
        <v>154</v>
      </c>
      <c r="N8" s="144" t="s">
        <v>155</v>
      </c>
      <c r="O8" s="144" t="s">
        <v>156</v>
      </c>
      <c r="P8" s="144" t="s">
        <v>157</v>
      </c>
      <c r="Q8" s="144" t="s">
        <v>158</v>
      </c>
      <c r="R8" s="144" t="s">
        <v>159</v>
      </c>
      <c r="S8" s="144" t="s">
        <v>160</v>
      </c>
      <c r="T8" s="144" t="s">
        <v>161</v>
      </c>
      <c r="U8" s="144" t="s">
        <v>156</v>
      </c>
      <c r="V8" s="144" t="s">
        <v>157</v>
      </c>
      <c r="W8" s="144" t="s">
        <v>162</v>
      </c>
    </row>
    <row r="9" spans="1:23" s="133" customFormat="1" ht="19.95" customHeight="1">
      <c r="A9" s="145" t="s">
        <v>106</v>
      </c>
      <c r="B9" s="146"/>
      <c r="C9" s="146"/>
      <c r="D9" s="146"/>
      <c r="E9" s="146"/>
      <c r="F9" s="146"/>
      <c r="G9" s="146"/>
      <c r="H9" s="146"/>
      <c r="I9" s="146"/>
      <c r="J9" s="146"/>
      <c r="K9" s="146"/>
      <c r="L9" s="146"/>
      <c r="M9" s="146"/>
      <c r="N9" s="147">
        <f t="shared" ref="N9:N21" si="0">SUM(B9:M9)</f>
        <v>0</v>
      </c>
      <c r="O9" s="146"/>
      <c r="P9" s="146"/>
      <c r="Q9" s="147">
        <f>N9+O9+P9</f>
        <v>0</v>
      </c>
      <c r="R9" s="151">
        <f>IF(Q9=0,0,Q9/$Q$22)</f>
        <v>0</v>
      </c>
      <c r="S9" s="171"/>
      <c r="T9" s="149"/>
      <c r="U9" s="149"/>
      <c r="V9" s="149"/>
      <c r="W9" s="147">
        <f t="shared" ref="W9:W22" si="1">T9+U9+V9</f>
        <v>0</v>
      </c>
    </row>
    <row r="10" spans="1:23" s="133" customFormat="1" ht="19.95" customHeight="1">
      <c r="A10" s="145" t="s">
        <v>163</v>
      </c>
      <c r="B10" s="146"/>
      <c r="C10" s="146"/>
      <c r="D10" s="146"/>
      <c r="E10" s="146"/>
      <c r="F10" s="146"/>
      <c r="G10" s="146"/>
      <c r="H10" s="146"/>
      <c r="I10" s="146"/>
      <c r="J10" s="146"/>
      <c r="K10" s="146"/>
      <c r="L10" s="146"/>
      <c r="M10" s="146"/>
      <c r="N10" s="147">
        <f t="shared" si="0"/>
        <v>0</v>
      </c>
      <c r="O10" s="149"/>
      <c r="P10" s="149"/>
      <c r="Q10" s="147">
        <f t="shared" ref="Q10:Q21" si="2">N10+O10+P10</f>
        <v>0</v>
      </c>
      <c r="R10" s="151">
        <f>IF(Q10=0,0,Q10/$Q$22)</f>
        <v>0</v>
      </c>
      <c r="S10" s="171"/>
      <c r="T10" s="149"/>
      <c r="U10" s="149"/>
      <c r="V10" s="149"/>
      <c r="W10" s="147">
        <f t="shared" si="1"/>
        <v>0</v>
      </c>
    </row>
    <row r="11" spans="1:23" s="300" customFormat="1" ht="19.95" customHeight="1">
      <c r="A11" s="308" t="s">
        <v>164</v>
      </c>
      <c r="B11" s="147">
        <f>B9-B10</f>
        <v>0</v>
      </c>
      <c r="C11" s="147">
        <f t="shared" ref="C11:L11" si="3">C9-C10</f>
        <v>0</v>
      </c>
      <c r="D11" s="147">
        <f t="shared" si="3"/>
        <v>0</v>
      </c>
      <c r="E11" s="147">
        <f t="shared" si="3"/>
        <v>0</v>
      </c>
      <c r="F11" s="147">
        <f t="shared" si="3"/>
        <v>0</v>
      </c>
      <c r="G11" s="147">
        <f t="shared" si="3"/>
        <v>0</v>
      </c>
      <c r="H11" s="147">
        <f t="shared" si="3"/>
        <v>0</v>
      </c>
      <c r="I11" s="147">
        <f t="shared" si="3"/>
        <v>0</v>
      </c>
      <c r="J11" s="147">
        <f t="shared" si="3"/>
        <v>0</v>
      </c>
      <c r="K11" s="147">
        <f t="shared" si="3"/>
        <v>0</v>
      </c>
      <c r="L11" s="147">
        <f t="shared" si="3"/>
        <v>0</v>
      </c>
      <c r="M11" s="147">
        <f>M9-M10</f>
        <v>0</v>
      </c>
      <c r="N11" s="147">
        <f>SUM(B11:M11)</f>
        <v>0</v>
      </c>
      <c r="O11" s="147">
        <f t="shared" ref="O11:P11" si="4">O9-O10</f>
        <v>0</v>
      </c>
      <c r="P11" s="147">
        <f t="shared" si="4"/>
        <v>0</v>
      </c>
      <c r="Q11" s="147">
        <f>N11+O11+P11</f>
        <v>0</v>
      </c>
      <c r="R11" s="151">
        <f>IF(Q11=0,0,Q11/$Q$22)</f>
        <v>0</v>
      </c>
      <c r="S11" s="309"/>
      <c r="T11" s="147"/>
      <c r="U11" s="147"/>
      <c r="V11" s="147"/>
      <c r="W11" s="147">
        <f t="shared" si="1"/>
        <v>0</v>
      </c>
    </row>
    <row r="12" spans="1:23" s="133" customFormat="1" ht="19.95" customHeight="1">
      <c r="A12" s="145" t="s">
        <v>108</v>
      </c>
      <c r="B12" s="146"/>
      <c r="C12" s="146"/>
      <c r="D12" s="146"/>
      <c r="E12" s="146"/>
      <c r="F12" s="146"/>
      <c r="G12" s="146"/>
      <c r="H12" s="146"/>
      <c r="I12" s="146"/>
      <c r="J12" s="146"/>
      <c r="K12" s="146"/>
      <c r="L12" s="146"/>
      <c r="M12" s="146"/>
      <c r="N12" s="147">
        <f t="shared" si="0"/>
        <v>0</v>
      </c>
      <c r="O12" s="149"/>
      <c r="P12" s="149"/>
      <c r="Q12" s="147">
        <f t="shared" si="2"/>
        <v>0</v>
      </c>
      <c r="R12" s="151">
        <f>IF(Q12=0,0,Q12/$Q$22)</f>
        <v>0</v>
      </c>
      <c r="S12" s="172"/>
      <c r="T12" s="149"/>
      <c r="U12" s="149"/>
      <c r="V12" s="149"/>
      <c r="W12" s="147">
        <f t="shared" si="1"/>
        <v>0</v>
      </c>
    </row>
    <row r="13" spans="1:23" s="300" customFormat="1" ht="19.95" customHeight="1">
      <c r="A13" s="308" t="s">
        <v>165</v>
      </c>
      <c r="B13" s="147">
        <f>B11-B12</f>
        <v>0</v>
      </c>
      <c r="C13" s="147">
        <f t="shared" ref="C13:L13" si="5">C11-C12</f>
        <v>0</v>
      </c>
      <c r="D13" s="147">
        <f t="shared" si="5"/>
        <v>0</v>
      </c>
      <c r="E13" s="147">
        <f t="shared" si="5"/>
        <v>0</v>
      </c>
      <c r="F13" s="147">
        <f t="shared" si="5"/>
        <v>0</v>
      </c>
      <c r="G13" s="147">
        <f t="shared" si="5"/>
        <v>0</v>
      </c>
      <c r="H13" s="147">
        <f t="shared" si="5"/>
        <v>0</v>
      </c>
      <c r="I13" s="147">
        <f t="shared" si="5"/>
        <v>0</v>
      </c>
      <c r="J13" s="147">
        <f t="shared" si="5"/>
        <v>0</v>
      </c>
      <c r="K13" s="147">
        <f t="shared" si="5"/>
        <v>0</v>
      </c>
      <c r="L13" s="147">
        <f t="shared" si="5"/>
        <v>0</v>
      </c>
      <c r="M13" s="147">
        <f>M11-M12</f>
        <v>0</v>
      </c>
      <c r="N13" s="147">
        <f t="shared" si="0"/>
        <v>0</v>
      </c>
      <c r="O13" s="147">
        <f t="shared" ref="O13:P13" si="6">O11-O12</f>
        <v>0</v>
      </c>
      <c r="P13" s="147">
        <f t="shared" si="6"/>
        <v>0</v>
      </c>
      <c r="Q13" s="147">
        <f t="shared" si="2"/>
        <v>0</v>
      </c>
      <c r="R13" s="151">
        <f>IF(Q13=0,0,Q13/$Q$22)</f>
        <v>0</v>
      </c>
      <c r="S13" s="310"/>
      <c r="T13" s="147"/>
      <c r="U13" s="147"/>
      <c r="V13" s="147"/>
      <c r="W13" s="147">
        <f t="shared" si="1"/>
        <v>0</v>
      </c>
    </row>
    <row r="14" spans="1:23" s="133" customFormat="1" ht="19.95" customHeight="1">
      <c r="A14" s="148" t="s">
        <v>109</v>
      </c>
      <c r="B14" s="149"/>
      <c r="C14" s="149"/>
      <c r="D14" s="149"/>
      <c r="E14" s="149"/>
      <c r="F14" s="149"/>
      <c r="G14" s="149"/>
      <c r="H14" s="149"/>
      <c r="I14" s="149"/>
      <c r="J14" s="149"/>
      <c r="K14" s="149"/>
      <c r="L14" s="149"/>
      <c r="M14" s="149"/>
      <c r="N14" s="147">
        <f t="shared" si="0"/>
        <v>0</v>
      </c>
      <c r="O14" s="164"/>
      <c r="P14" s="164"/>
      <c r="Q14" s="147">
        <f t="shared" si="2"/>
        <v>0</v>
      </c>
      <c r="R14" s="151">
        <f t="shared" ref="R14:R15" si="7">IF(Q14=0,0,Q14/$Q$22)</f>
        <v>0</v>
      </c>
      <c r="S14" s="173"/>
      <c r="T14" s="164"/>
      <c r="U14" s="164"/>
      <c r="V14" s="164"/>
      <c r="W14" s="147">
        <f t="shared" si="1"/>
        <v>0</v>
      </c>
    </row>
    <row r="15" spans="1:23" s="133" customFormat="1" ht="19.95" customHeight="1">
      <c r="A15" s="148" t="s">
        <v>110</v>
      </c>
      <c r="B15" s="149"/>
      <c r="C15" s="149"/>
      <c r="D15" s="149"/>
      <c r="E15" s="149"/>
      <c r="F15" s="149"/>
      <c r="G15" s="149"/>
      <c r="H15" s="149"/>
      <c r="I15" s="149"/>
      <c r="J15" s="149"/>
      <c r="K15" s="149"/>
      <c r="L15" s="149"/>
      <c r="M15" s="149"/>
      <c r="N15" s="147">
        <f t="shared" si="0"/>
        <v>0</v>
      </c>
      <c r="O15" s="164"/>
      <c r="P15" s="164"/>
      <c r="Q15" s="147">
        <f t="shared" si="2"/>
        <v>0</v>
      </c>
      <c r="R15" s="151">
        <f t="shared" si="7"/>
        <v>0</v>
      </c>
      <c r="S15" s="173"/>
      <c r="T15" s="164"/>
      <c r="U15" s="164"/>
      <c r="V15" s="164"/>
      <c r="W15" s="147">
        <f t="shared" si="1"/>
        <v>0</v>
      </c>
    </row>
    <row r="16" spans="1:23" s="133" customFormat="1" ht="19.95" customHeight="1">
      <c r="A16" s="145" t="s">
        <v>166</v>
      </c>
      <c r="B16" s="146"/>
      <c r="C16" s="146"/>
      <c r="D16" s="146"/>
      <c r="E16" s="146"/>
      <c r="F16" s="146"/>
      <c r="G16" s="146"/>
      <c r="H16" s="146"/>
      <c r="I16" s="146"/>
      <c r="J16" s="146"/>
      <c r="K16" s="146"/>
      <c r="L16" s="146"/>
      <c r="M16" s="146"/>
      <c r="N16" s="147">
        <f t="shared" si="0"/>
        <v>0</v>
      </c>
      <c r="O16" s="149"/>
      <c r="P16" s="149"/>
      <c r="Q16" s="147">
        <f t="shared" si="2"/>
        <v>0</v>
      </c>
      <c r="R16" s="151">
        <f t="shared" ref="R16:R22" si="8">IF(Q16=0,0,Q16/$Q$22)</f>
        <v>0</v>
      </c>
      <c r="S16" s="173"/>
      <c r="T16" s="149"/>
      <c r="U16" s="149"/>
      <c r="V16" s="149"/>
      <c r="W16" s="147">
        <f t="shared" si="1"/>
        <v>0</v>
      </c>
    </row>
    <row r="17" spans="1:23" s="133" customFormat="1" ht="19.95" customHeight="1">
      <c r="A17" s="145" t="s">
        <v>167</v>
      </c>
      <c r="B17" s="146"/>
      <c r="C17" s="146"/>
      <c r="D17" s="146"/>
      <c r="E17" s="146"/>
      <c r="F17" s="146"/>
      <c r="G17" s="146"/>
      <c r="H17" s="146"/>
      <c r="I17" s="146"/>
      <c r="J17" s="146"/>
      <c r="K17" s="146"/>
      <c r="L17" s="146"/>
      <c r="M17" s="146"/>
      <c r="N17" s="147">
        <f t="shared" si="0"/>
        <v>0</v>
      </c>
      <c r="O17" s="146"/>
      <c r="P17" s="146"/>
      <c r="Q17" s="147">
        <f t="shared" si="2"/>
        <v>0</v>
      </c>
      <c r="R17" s="151">
        <f t="shared" si="8"/>
        <v>0</v>
      </c>
      <c r="S17" s="174"/>
      <c r="T17" s="146"/>
      <c r="U17" s="146"/>
      <c r="V17" s="146"/>
      <c r="W17" s="147">
        <f t="shared" si="1"/>
        <v>0</v>
      </c>
    </row>
    <row r="18" spans="1:23" s="133" customFormat="1" ht="19.95" customHeight="1">
      <c r="A18" s="150" t="s">
        <v>168</v>
      </c>
      <c r="B18" s="146"/>
      <c r="C18" s="146"/>
      <c r="D18" s="146"/>
      <c r="E18" s="146"/>
      <c r="F18" s="146"/>
      <c r="G18" s="146"/>
      <c r="H18" s="146"/>
      <c r="I18" s="146"/>
      <c r="J18" s="146"/>
      <c r="K18" s="146"/>
      <c r="L18" s="146"/>
      <c r="M18" s="146"/>
      <c r="N18" s="147">
        <f t="shared" si="0"/>
        <v>0</v>
      </c>
      <c r="O18" s="146"/>
      <c r="P18" s="146"/>
      <c r="Q18" s="147">
        <f t="shared" si="2"/>
        <v>0</v>
      </c>
      <c r="R18" s="151">
        <f t="shared" si="8"/>
        <v>0</v>
      </c>
      <c r="S18" s="174"/>
      <c r="T18" s="146"/>
      <c r="U18" s="146"/>
      <c r="V18" s="146"/>
      <c r="W18" s="147">
        <f t="shared" si="1"/>
        <v>0</v>
      </c>
    </row>
    <row r="19" spans="1:23" s="133" customFormat="1" ht="19.95" customHeight="1">
      <c r="A19" s="150" t="s">
        <v>169</v>
      </c>
      <c r="B19" s="146"/>
      <c r="C19" s="146"/>
      <c r="D19" s="146"/>
      <c r="E19" s="146"/>
      <c r="F19" s="146"/>
      <c r="G19" s="146"/>
      <c r="H19" s="146"/>
      <c r="I19" s="146"/>
      <c r="J19" s="146"/>
      <c r="K19" s="146"/>
      <c r="L19" s="146"/>
      <c r="M19" s="146"/>
      <c r="N19" s="147">
        <f t="shared" si="0"/>
        <v>0</v>
      </c>
      <c r="O19" s="146"/>
      <c r="P19" s="146"/>
      <c r="Q19" s="147">
        <f t="shared" si="2"/>
        <v>0</v>
      </c>
      <c r="R19" s="151">
        <f t="shared" si="8"/>
        <v>0</v>
      </c>
      <c r="S19" s="174"/>
      <c r="T19" s="146"/>
      <c r="U19" s="146"/>
      <c r="V19" s="146"/>
      <c r="W19" s="147">
        <f t="shared" si="1"/>
        <v>0</v>
      </c>
    </row>
    <row r="20" spans="1:23" s="300" customFormat="1" ht="19.95" customHeight="1">
      <c r="A20" s="311" t="s">
        <v>170</v>
      </c>
      <c r="B20" s="147">
        <f>B17-B18-B19</f>
        <v>0</v>
      </c>
      <c r="C20" s="147">
        <f t="shared" ref="C20:P20" si="9">C17-C18-C19</f>
        <v>0</v>
      </c>
      <c r="D20" s="147">
        <f t="shared" si="9"/>
        <v>0</v>
      </c>
      <c r="E20" s="147">
        <f t="shared" si="9"/>
        <v>0</v>
      </c>
      <c r="F20" s="147">
        <f t="shared" si="9"/>
        <v>0</v>
      </c>
      <c r="G20" s="147">
        <f t="shared" si="9"/>
        <v>0</v>
      </c>
      <c r="H20" s="147">
        <f t="shared" si="9"/>
        <v>0</v>
      </c>
      <c r="I20" s="147">
        <f t="shared" si="9"/>
        <v>0</v>
      </c>
      <c r="J20" s="147">
        <f t="shared" si="9"/>
        <v>0</v>
      </c>
      <c r="K20" s="147">
        <f t="shared" si="9"/>
        <v>0</v>
      </c>
      <c r="L20" s="147">
        <f t="shared" si="9"/>
        <v>0</v>
      </c>
      <c r="M20" s="147">
        <f>M17-M18-M19</f>
        <v>0</v>
      </c>
      <c r="N20" s="147">
        <f t="shared" si="0"/>
        <v>0</v>
      </c>
      <c r="O20" s="147">
        <f>O17-O18-O19</f>
        <v>0</v>
      </c>
      <c r="P20" s="147">
        <f t="shared" si="9"/>
        <v>0</v>
      </c>
      <c r="Q20" s="147">
        <f t="shared" si="2"/>
        <v>0</v>
      </c>
      <c r="R20" s="151">
        <f t="shared" si="8"/>
        <v>0</v>
      </c>
      <c r="S20" s="299"/>
      <c r="T20" s="147">
        <f>T17-T18-T19</f>
        <v>0</v>
      </c>
      <c r="U20" s="147">
        <f t="shared" ref="U20" si="10">U17-U18-U19</f>
        <v>0</v>
      </c>
      <c r="V20" s="147">
        <f t="shared" ref="V20" si="11">V17-V18-V19</f>
        <v>0</v>
      </c>
      <c r="W20" s="147">
        <f t="shared" si="1"/>
        <v>0</v>
      </c>
    </row>
    <row r="21" spans="1:23" s="133" customFormat="1" ht="19.95" customHeight="1">
      <c r="A21" s="150" t="s">
        <v>171</v>
      </c>
      <c r="B21" s="146"/>
      <c r="C21" s="146"/>
      <c r="D21" s="146"/>
      <c r="E21" s="146"/>
      <c r="F21" s="146"/>
      <c r="G21" s="146"/>
      <c r="H21" s="146"/>
      <c r="I21" s="146"/>
      <c r="J21" s="146"/>
      <c r="K21" s="146"/>
      <c r="L21" s="146"/>
      <c r="M21" s="146"/>
      <c r="N21" s="147">
        <f t="shared" si="0"/>
        <v>0</v>
      </c>
      <c r="O21" s="146"/>
      <c r="P21" s="146"/>
      <c r="Q21" s="147">
        <f t="shared" si="2"/>
        <v>0</v>
      </c>
      <c r="R21" s="151">
        <f t="shared" si="8"/>
        <v>0</v>
      </c>
      <c r="S21" s="174"/>
      <c r="T21" s="146"/>
      <c r="U21" s="146"/>
      <c r="V21" s="146"/>
      <c r="W21" s="147">
        <f t="shared" si="1"/>
        <v>0</v>
      </c>
    </row>
    <row r="22" spans="1:23" s="300" customFormat="1" ht="19.95" customHeight="1">
      <c r="A22" s="298" t="s">
        <v>172</v>
      </c>
      <c r="B22" s="147">
        <f>B13+B14-B15+B16+B20+B21</f>
        <v>0</v>
      </c>
      <c r="C22" s="147">
        <f t="shared" ref="C22:P22" si="12">C13+C14-C15+C16+C20+C21</f>
        <v>0</v>
      </c>
      <c r="D22" s="147">
        <f t="shared" si="12"/>
        <v>0</v>
      </c>
      <c r="E22" s="147">
        <f t="shared" si="12"/>
        <v>0</v>
      </c>
      <c r="F22" s="147">
        <f t="shared" si="12"/>
        <v>0</v>
      </c>
      <c r="G22" s="147">
        <f t="shared" si="12"/>
        <v>0</v>
      </c>
      <c r="H22" s="147">
        <f t="shared" si="12"/>
        <v>0</v>
      </c>
      <c r="I22" s="147">
        <f t="shared" si="12"/>
        <v>0</v>
      </c>
      <c r="J22" s="147">
        <f t="shared" si="12"/>
        <v>0</v>
      </c>
      <c r="K22" s="147">
        <f t="shared" si="12"/>
        <v>0</v>
      </c>
      <c r="L22" s="147">
        <f t="shared" si="12"/>
        <v>0</v>
      </c>
      <c r="M22" s="147">
        <f t="shared" si="12"/>
        <v>0</v>
      </c>
      <c r="N22" s="147">
        <f t="shared" si="12"/>
        <v>0</v>
      </c>
      <c r="O22" s="147">
        <f>O13+O14-O15+O16+O20+O21</f>
        <v>0</v>
      </c>
      <c r="P22" s="147">
        <f t="shared" si="12"/>
        <v>0</v>
      </c>
      <c r="Q22" s="147">
        <f>Q13+Q14-Q15+Q16+Q20+Q21</f>
        <v>0</v>
      </c>
      <c r="R22" s="151">
        <f t="shared" si="8"/>
        <v>0</v>
      </c>
      <c r="S22" s="299"/>
      <c r="T22" s="147">
        <f t="shared" ref="T22:V22" si="13">T13+T14-T15+T16+T20+T21</f>
        <v>0</v>
      </c>
      <c r="U22" s="147">
        <f t="shared" si="13"/>
        <v>0</v>
      </c>
      <c r="V22" s="147">
        <f t="shared" si="13"/>
        <v>0</v>
      </c>
      <c r="W22" s="147">
        <f t="shared" si="1"/>
        <v>0</v>
      </c>
    </row>
    <row r="23" spans="1:23" s="303" customFormat="1" ht="19.95" customHeight="1">
      <c r="A23" s="298" t="s">
        <v>173</v>
      </c>
      <c r="B23" s="151">
        <f>IF($N$22=0,0,B22/$N$22)</f>
        <v>0</v>
      </c>
      <c r="C23" s="151">
        <f t="shared" ref="C23:N23" si="14">IF($N$22=0,0,C22/$N$22)</f>
        <v>0</v>
      </c>
      <c r="D23" s="151">
        <f t="shared" si="14"/>
        <v>0</v>
      </c>
      <c r="E23" s="151">
        <f t="shared" si="14"/>
        <v>0</v>
      </c>
      <c r="F23" s="151">
        <f t="shared" si="14"/>
        <v>0</v>
      </c>
      <c r="G23" s="151">
        <f t="shared" si="14"/>
        <v>0</v>
      </c>
      <c r="H23" s="151">
        <f t="shared" si="14"/>
        <v>0</v>
      </c>
      <c r="I23" s="151">
        <f t="shared" si="14"/>
        <v>0</v>
      </c>
      <c r="J23" s="151">
        <f t="shared" si="14"/>
        <v>0</v>
      </c>
      <c r="K23" s="151">
        <f t="shared" si="14"/>
        <v>0</v>
      </c>
      <c r="L23" s="151">
        <f t="shared" si="14"/>
        <v>0</v>
      </c>
      <c r="M23" s="151">
        <f t="shared" si="14"/>
        <v>0</v>
      </c>
      <c r="N23" s="165">
        <f t="shared" si="14"/>
        <v>0</v>
      </c>
      <c r="O23" s="301"/>
      <c r="P23" s="301"/>
      <c r="Q23" s="301"/>
      <c r="R23" s="302">
        <f>IF(Q23=0,0,Q23/$Q$48)</f>
        <v>0</v>
      </c>
      <c r="S23" s="299"/>
      <c r="T23" s="299"/>
      <c r="U23" s="299"/>
      <c r="V23" s="299"/>
      <c r="W23" s="299"/>
    </row>
    <row r="24" spans="1:23" s="133" customFormat="1" ht="19.95" customHeight="1">
      <c r="A24" s="152" t="s">
        <v>174</v>
      </c>
      <c r="B24" s="153"/>
      <c r="C24" s="153"/>
      <c r="D24" s="153"/>
      <c r="E24" s="153"/>
      <c r="F24" s="153"/>
      <c r="G24" s="153"/>
      <c r="H24" s="153"/>
      <c r="I24" s="153"/>
      <c r="J24" s="153"/>
      <c r="K24" s="154" t="s">
        <v>274</v>
      </c>
      <c r="L24" s="155"/>
      <c r="M24" s="153"/>
      <c r="N24" s="153"/>
      <c r="O24" s="153"/>
      <c r="P24" s="153"/>
      <c r="Q24" s="153"/>
      <c r="R24" s="153"/>
      <c r="S24" s="153"/>
      <c r="T24" s="153"/>
      <c r="U24" s="153"/>
      <c r="V24" s="153"/>
      <c r="W24" s="153"/>
    </row>
    <row r="25" spans="1:23" s="133" customFormat="1" ht="19.95" customHeight="1">
      <c r="A25" s="154" t="s">
        <v>175</v>
      </c>
      <c r="B25" s="155"/>
      <c r="C25" s="154"/>
      <c r="D25" s="154"/>
      <c r="E25" s="154"/>
      <c r="F25" s="154"/>
      <c r="G25" s="154"/>
      <c r="H25" s="154"/>
      <c r="I25" s="154"/>
      <c r="K25" s="352" t="s">
        <v>106</v>
      </c>
      <c r="L25" s="353"/>
      <c r="M25" s="166">
        <f>Q9</f>
        <v>0</v>
      </c>
    </row>
    <row r="26" spans="1:23" s="133" customFormat="1" ht="19.95" customHeight="1">
      <c r="A26" s="154" t="s">
        <v>176</v>
      </c>
      <c r="B26" s="154"/>
      <c r="C26" s="154"/>
      <c r="D26" s="154"/>
      <c r="E26" s="154"/>
      <c r="F26" s="154"/>
      <c r="G26" s="154"/>
      <c r="H26" s="154"/>
      <c r="I26" s="154"/>
      <c r="K26" s="354" t="s">
        <v>177</v>
      </c>
      <c r="L26" s="355"/>
      <c r="M26" s="167"/>
    </row>
    <row r="27" spans="1:23" s="133" customFormat="1" ht="19.95" customHeight="1">
      <c r="A27" s="154" t="s">
        <v>178</v>
      </c>
      <c r="B27" s="154"/>
      <c r="C27" s="154"/>
      <c r="D27" s="154"/>
      <c r="E27" s="154"/>
      <c r="F27" s="154"/>
      <c r="G27" s="154"/>
      <c r="H27" s="154"/>
      <c r="I27" s="154"/>
      <c r="K27" s="354" t="s">
        <v>179</v>
      </c>
      <c r="L27" s="355"/>
      <c r="M27" s="167"/>
    </row>
    <row r="28" spans="1:23" s="133" customFormat="1" ht="19.95" customHeight="1">
      <c r="A28" s="154" t="s">
        <v>180</v>
      </c>
      <c r="B28" s="154"/>
      <c r="C28" s="154"/>
      <c r="D28" s="154"/>
      <c r="E28" s="154"/>
      <c r="F28" s="154"/>
      <c r="G28" s="154"/>
      <c r="H28" s="154"/>
      <c r="I28" s="154"/>
      <c r="K28" s="354" t="s">
        <v>181</v>
      </c>
      <c r="L28" s="355"/>
      <c r="M28" s="167"/>
    </row>
    <row r="29" spans="1:23" s="133" customFormat="1" ht="19.95" customHeight="1">
      <c r="A29" s="154" t="s">
        <v>271</v>
      </c>
      <c r="B29" s="154"/>
      <c r="C29" s="154"/>
      <c r="D29" s="154"/>
      <c r="E29" s="154"/>
      <c r="F29" s="154"/>
      <c r="G29" s="154"/>
      <c r="H29" s="154"/>
      <c r="I29" s="154"/>
      <c r="K29" s="354" t="s">
        <v>182</v>
      </c>
      <c r="L29" s="355"/>
      <c r="M29" s="167"/>
    </row>
    <row r="30" spans="1:23" s="133" customFormat="1" ht="19.95" customHeight="1">
      <c r="A30" s="154" t="s">
        <v>272</v>
      </c>
      <c r="B30" s="154"/>
      <c r="C30" s="154"/>
      <c r="D30" s="154"/>
      <c r="E30" s="154"/>
      <c r="F30" s="154"/>
      <c r="G30" s="154"/>
      <c r="H30" s="154"/>
      <c r="I30" s="154"/>
      <c r="K30" s="354" t="s">
        <v>183</v>
      </c>
      <c r="L30" s="355"/>
      <c r="M30" s="167"/>
    </row>
    <row r="31" spans="1:23" s="133" customFormat="1" ht="19.95" customHeight="1">
      <c r="A31" s="156" t="s">
        <v>273</v>
      </c>
      <c r="B31" s="155"/>
      <c r="C31" s="155"/>
      <c r="D31" s="154"/>
      <c r="E31" s="155"/>
      <c r="F31" s="155"/>
      <c r="G31" s="155"/>
      <c r="H31" s="154"/>
      <c r="I31" s="154"/>
      <c r="K31" s="352" t="s">
        <v>116</v>
      </c>
      <c r="L31" s="353"/>
      <c r="M31" s="166">
        <f>SUM(M26:M30)</f>
        <v>0</v>
      </c>
    </row>
    <row r="32" spans="1:23" s="133" customFormat="1" ht="19.95" customHeight="1">
      <c r="A32" s="156"/>
      <c r="B32" s="156"/>
      <c r="C32" s="156"/>
      <c r="D32" s="156"/>
      <c r="E32" s="156"/>
      <c r="F32" s="156"/>
      <c r="G32" s="156"/>
      <c r="H32" s="154"/>
      <c r="I32" s="154"/>
      <c r="K32" s="352" t="s">
        <v>184</v>
      </c>
      <c r="L32" s="353"/>
      <c r="M32" s="166">
        <f>M25-M31</f>
        <v>0</v>
      </c>
    </row>
    <row r="33" spans="1:20" s="133" customFormat="1" ht="19.95" customHeight="1">
      <c r="C33" s="155"/>
      <c r="D33" s="154"/>
      <c r="E33" s="155"/>
      <c r="F33" s="155"/>
      <c r="G33" s="155"/>
      <c r="H33" s="154"/>
      <c r="I33" s="154"/>
    </row>
    <row r="34" spans="1:20" s="133" customFormat="1" ht="19.95" customHeight="1">
      <c r="A34" s="157" t="s">
        <v>185</v>
      </c>
    </row>
    <row r="35" spans="1:20" s="133" customFormat="1" ht="19.95" customHeight="1"/>
    <row r="36" spans="1:20" s="133" customFormat="1" ht="13.8">
      <c r="A36" s="158" t="s">
        <v>91</v>
      </c>
    </row>
    <row r="37" spans="1:20" s="133" customFormat="1" ht="13.8">
      <c r="A37" s="314" t="s">
        <v>276</v>
      </c>
      <c r="B37" s="315"/>
      <c r="C37" s="315"/>
      <c r="D37" s="315"/>
      <c r="E37" s="315"/>
      <c r="F37" s="315"/>
      <c r="G37" s="315"/>
      <c r="H37" s="315"/>
      <c r="I37" s="315"/>
      <c r="J37" s="315"/>
      <c r="K37" s="314"/>
      <c r="L37" s="315"/>
      <c r="M37" s="315"/>
      <c r="N37" s="315"/>
      <c r="O37" s="315"/>
      <c r="P37" s="315"/>
      <c r="Q37" s="315"/>
      <c r="R37" s="315"/>
      <c r="S37" s="315"/>
      <c r="T37" s="315"/>
    </row>
    <row r="38" spans="1:20" s="133" customFormat="1" ht="13.8">
      <c r="A38" s="314" t="s">
        <v>281</v>
      </c>
      <c r="B38" s="315"/>
      <c r="C38" s="315"/>
      <c r="D38" s="315"/>
      <c r="E38" s="315"/>
      <c r="F38" s="315"/>
      <c r="G38" s="315"/>
      <c r="H38" s="315"/>
      <c r="I38" s="315"/>
      <c r="J38" s="315"/>
      <c r="K38" s="315"/>
      <c r="L38" s="315"/>
      <c r="M38" s="315"/>
      <c r="N38" s="315"/>
      <c r="O38" s="315"/>
      <c r="P38" s="315"/>
      <c r="Q38" s="315"/>
      <c r="R38" s="315"/>
      <c r="S38" s="315"/>
      <c r="T38" s="315"/>
    </row>
    <row r="39" spans="1:20" s="133" customFormat="1" ht="13.8">
      <c r="A39" s="314" t="s">
        <v>275</v>
      </c>
      <c r="B39" s="315"/>
      <c r="C39" s="315"/>
      <c r="D39" s="315"/>
      <c r="E39" s="315"/>
      <c r="F39" s="315"/>
      <c r="G39" s="315"/>
      <c r="H39" s="315"/>
      <c r="I39" s="315"/>
      <c r="J39" s="315"/>
      <c r="K39" s="315"/>
      <c r="L39" s="315"/>
      <c r="M39" s="315"/>
      <c r="N39" s="315"/>
      <c r="O39" s="315"/>
      <c r="P39" s="315"/>
      <c r="Q39" s="315"/>
      <c r="R39" s="315"/>
      <c r="S39" s="315"/>
      <c r="T39" s="315"/>
    </row>
    <row r="40" spans="1:20" s="133" customFormat="1" ht="13.8">
      <c r="A40" s="314" t="s">
        <v>282</v>
      </c>
      <c r="B40" s="315"/>
      <c r="C40" s="315"/>
      <c r="D40" s="315"/>
      <c r="E40" s="315"/>
      <c r="F40" s="315"/>
      <c r="G40" s="315"/>
      <c r="H40" s="315"/>
      <c r="I40" s="315"/>
      <c r="J40" s="315"/>
      <c r="K40" s="315"/>
      <c r="L40" s="315"/>
      <c r="M40" s="315"/>
      <c r="N40" s="315"/>
      <c r="O40" s="315"/>
      <c r="P40" s="315"/>
      <c r="Q40" s="315"/>
      <c r="R40" s="315"/>
      <c r="S40" s="315"/>
      <c r="T40" s="315"/>
    </row>
    <row r="41" spans="1:20" s="133" customFormat="1" ht="13.8">
      <c r="A41" s="314" t="s">
        <v>283</v>
      </c>
      <c r="B41" s="315"/>
      <c r="C41" s="315"/>
      <c r="D41" s="315"/>
      <c r="E41" s="315"/>
      <c r="F41" s="315"/>
      <c r="G41" s="315"/>
      <c r="H41" s="315"/>
      <c r="I41" s="315"/>
      <c r="J41" s="315"/>
      <c r="K41" s="315"/>
      <c r="L41" s="315"/>
      <c r="M41" s="315"/>
      <c r="N41" s="315"/>
      <c r="O41" s="315"/>
      <c r="P41" s="315"/>
      <c r="Q41" s="315"/>
      <c r="R41" s="315"/>
      <c r="S41" s="315"/>
      <c r="T41" s="315"/>
    </row>
    <row r="42" spans="1:20" s="133" customFormat="1" ht="13.8">
      <c r="A42" s="314" t="s">
        <v>277</v>
      </c>
      <c r="B42" s="315"/>
      <c r="C42" s="315"/>
      <c r="D42" s="315"/>
      <c r="E42" s="315"/>
      <c r="F42" s="315"/>
      <c r="G42" s="315"/>
      <c r="H42" s="315"/>
      <c r="I42" s="315"/>
      <c r="J42" s="315"/>
      <c r="K42" s="315"/>
      <c r="L42" s="315"/>
      <c r="M42" s="315"/>
      <c r="N42" s="315"/>
      <c r="O42" s="315"/>
      <c r="P42" s="315"/>
      <c r="Q42" s="315"/>
      <c r="R42" s="315"/>
      <c r="S42" s="315"/>
      <c r="T42" s="315"/>
    </row>
    <row r="43" spans="1:20" s="133" customFormat="1" ht="13.8">
      <c r="A43" s="314" t="s">
        <v>284</v>
      </c>
      <c r="B43" s="315"/>
      <c r="C43" s="315"/>
      <c r="D43" s="315"/>
      <c r="E43" s="315"/>
      <c r="F43" s="315"/>
      <c r="G43" s="315"/>
      <c r="H43" s="315"/>
      <c r="I43" s="315"/>
      <c r="J43" s="315"/>
      <c r="K43" s="315"/>
      <c r="L43" s="315"/>
      <c r="M43" s="315"/>
      <c r="N43" s="315"/>
      <c r="O43" s="315"/>
      <c r="P43" s="315"/>
      <c r="Q43" s="315"/>
      <c r="R43" s="315"/>
      <c r="S43" s="315"/>
      <c r="T43" s="315"/>
    </row>
    <row r="44" spans="1:20" s="133" customFormat="1" ht="13.8">
      <c r="A44" s="314" t="s">
        <v>278</v>
      </c>
      <c r="B44" s="315"/>
      <c r="C44" s="315"/>
      <c r="D44" s="315"/>
      <c r="E44" s="315"/>
      <c r="F44" s="315"/>
      <c r="G44" s="315"/>
      <c r="H44" s="315"/>
      <c r="I44" s="315"/>
      <c r="J44" s="315"/>
      <c r="K44" s="315"/>
      <c r="L44" s="315"/>
      <c r="M44" s="315"/>
      <c r="N44" s="315"/>
      <c r="O44" s="315"/>
      <c r="P44" s="315"/>
      <c r="Q44" s="315"/>
      <c r="R44" s="315"/>
      <c r="S44" s="315"/>
      <c r="T44" s="315"/>
    </row>
    <row r="45" spans="1:20" s="133" customFormat="1" ht="13.8">
      <c r="A45" s="314" t="s">
        <v>279</v>
      </c>
      <c r="B45" s="315"/>
      <c r="C45" s="315"/>
      <c r="D45" s="315"/>
      <c r="E45" s="315"/>
      <c r="F45" s="315"/>
      <c r="G45" s="315"/>
      <c r="H45" s="315"/>
      <c r="I45" s="315"/>
      <c r="J45" s="315"/>
      <c r="K45" s="315"/>
      <c r="L45" s="315"/>
      <c r="M45" s="315"/>
      <c r="N45" s="315"/>
      <c r="O45" s="315"/>
      <c r="P45" s="315"/>
      <c r="Q45" s="315"/>
      <c r="R45" s="315"/>
      <c r="S45" s="315"/>
      <c r="T45" s="315"/>
    </row>
    <row r="46" spans="1:20" s="133" customFormat="1" ht="13.8">
      <c r="A46" s="314" t="s">
        <v>285</v>
      </c>
      <c r="B46" s="315"/>
      <c r="C46" s="315"/>
      <c r="D46" s="315"/>
      <c r="E46" s="315"/>
      <c r="F46" s="315"/>
      <c r="G46" s="315"/>
      <c r="H46" s="315"/>
      <c r="I46" s="315"/>
      <c r="J46" s="315"/>
      <c r="K46" s="315"/>
      <c r="L46" s="315"/>
      <c r="M46" s="315"/>
      <c r="N46" s="315"/>
      <c r="O46" s="315"/>
      <c r="P46" s="315"/>
      <c r="Q46" s="315"/>
      <c r="R46" s="315"/>
      <c r="S46" s="315"/>
      <c r="T46" s="315"/>
    </row>
    <row r="47" spans="1:20" s="133" customFormat="1" ht="13.8">
      <c r="A47" s="314" t="s">
        <v>280</v>
      </c>
      <c r="B47" s="315"/>
      <c r="C47" s="315"/>
      <c r="D47" s="315"/>
      <c r="E47" s="315"/>
      <c r="F47" s="315"/>
      <c r="G47" s="315"/>
      <c r="H47" s="315"/>
      <c r="I47" s="315"/>
      <c r="J47" s="315"/>
      <c r="K47" s="315"/>
      <c r="L47" s="315"/>
      <c r="M47" s="315"/>
      <c r="N47" s="315"/>
      <c r="O47" s="315"/>
      <c r="P47" s="315"/>
      <c r="Q47" s="315"/>
      <c r="R47" s="315"/>
      <c r="S47" s="315"/>
      <c r="T47" s="315"/>
    </row>
    <row r="48" spans="1:20">
      <c r="A48" s="314" t="s">
        <v>286</v>
      </c>
      <c r="B48" s="315"/>
      <c r="C48" s="315"/>
      <c r="D48" s="315"/>
      <c r="E48" s="315"/>
      <c r="F48" s="315"/>
      <c r="G48" s="315"/>
      <c r="H48" s="315"/>
      <c r="I48" s="315"/>
      <c r="J48" s="315"/>
      <c r="K48" s="315"/>
      <c r="L48" s="315"/>
      <c r="M48" s="315"/>
      <c r="N48" s="315"/>
      <c r="O48" s="315"/>
      <c r="P48" s="315"/>
      <c r="Q48" s="315"/>
      <c r="R48" s="315"/>
      <c r="S48" s="315"/>
      <c r="T48" s="315"/>
    </row>
    <row r="49" spans="1:20" ht="17.399999999999999" customHeight="1">
      <c r="A49" s="313" t="s">
        <v>287</v>
      </c>
      <c r="B49" s="316"/>
      <c r="C49" s="316"/>
      <c r="D49" s="316"/>
      <c r="E49" s="316"/>
      <c r="F49" s="316"/>
      <c r="G49" s="316"/>
      <c r="H49" s="316"/>
      <c r="I49" s="316"/>
      <c r="J49" s="316"/>
      <c r="K49" s="316"/>
      <c r="L49" s="316"/>
      <c r="M49" s="316"/>
      <c r="N49" s="316"/>
      <c r="O49" s="316"/>
      <c r="P49" s="316"/>
      <c r="Q49" s="316"/>
      <c r="R49" s="316"/>
      <c r="S49" s="316"/>
      <c r="T49" s="316"/>
    </row>
    <row r="50" spans="1:20" ht="17.399999999999999" customHeight="1">
      <c r="A50" s="313" t="s">
        <v>288</v>
      </c>
      <c r="B50" s="316"/>
      <c r="C50" s="316"/>
      <c r="D50" s="316"/>
      <c r="E50" s="316"/>
      <c r="F50" s="316"/>
      <c r="G50" s="316"/>
      <c r="H50" s="316"/>
      <c r="I50" s="316"/>
      <c r="J50" s="316"/>
      <c r="K50" s="316"/>
      <c r="L50" s="316"/>
      <c r="M50" s="316"/>
      <c r="N50" s="316"/>
      <c r="O50" s="316"/>
      <c r="P50" s="316"/>
      <c r="Q50" s="316"/>
      <c r="R50" s="316"/>
      <c r="S50" s="316"/>
      <c r="T50" s="316"/>
    </row>
  </sheetData>
  <mergeCells count="10">
    <mergeCell ref="K28:L28"/>
    <mergeCell ref="K29:L29"/>
    <mergeCell ref="K30:L30"/>
    <mergeCell ref="K31:L31"/>
    <mergeCell ref="K32:L32"/>
    <mergeCell ref="A1:W1"/>
    <mergeCell ref="A2:W2"/>
    <mergeCell ref="K25:L25"/>
    <mergeCell ref="K26:L26"/>
    <mergeCell ref="K27:L27"/>
  </mergeCells>
  <phoneticPr fontId="82" type="noConversion"/>
  <conditionalFormatting sqref="R23 B23:N23">
    <cfRule type="cellIs" dxfId="0" priority="3" stopIfTrue="1" operator="greaterThanOrEqual">
      <formula>0.3</formula>
    </cfRule>
  </conditionalFormatting>
  <hyperlinks>
    <hyperlink ref="W3" location="底稿目录!A1" display="=底稿目录!D9"/>
  </hyperlinks>
  <printOptions horizontalCentered="1"/>
  <pageMargins left="0.39370078740157499" right="0.31496062992126" top="0.59055118110236204" bottom="0.31496062992126" header="0.511811023622047" footer="0.196850393700787"/>
  <pageSetup paperSize="9" scale="59"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workbookViewId="0">
      <selection sqref="A1:J1"/>
    </sheetView>
  </sheetViews>
  <sheetFormatPr defaultColWidth="8.88671875" defaultRowHeight="15.6"/>
  <cols>
    <col min="1" max="1" width="25.109375" style="119" customWidth="1"/>
    <col min="2" max="2" width="17.77734375" style="119" customWidth="1"/>
    <col min="3" max="3" width="19.21875" style="119" customWidth="1"/>
    <col min="4" max="4" width="14.5546875" style="119" customWidth="1"/>
    <col min="5" max="5" width="17" style="119" customWidth="1"/>
    <col min="6" max="6" width="11.44140625" style="119" customWidth="1"/>
    <col min="7" max="7" width="12" style="119" customWidth="1"/>
    <col min="8" max="8" width="12.5546875" style="119" customWidth="1"/>
    <col min="9" max="9" width="9.6640625" style="119" customWidth="1"/>
    <col min="10" max="10" width="13" style="119" customWidth="1"/>
    <col min="11" max="16384" width="8.88671875" style="119"/>
  </cols>
  <sheetData>
    <row r="1" spans="1:10" ht="19.95" customHeight="1">
      <c r="A1" s="340" t="s">
        <v>28</v>
      </c>
      <c r="B1" s="340"/>
      <c r="C1" s="340"/>
      <c r="D1" s="340"/>
      <c r="E1" s="340"/>
      <c r="F1" s="340"/>
      <c r="G1" s="340"/>
      <c r="H1" s="340"/>
      <c r="I1" s="340"/>
      <c r="J1" s="340"/>
    </row>
    <row r="2" spans="1:10" ht="19.95" customHeight="1">
      <c r="A2" s="341" t="s">
        <v>186</v>
      </c>
      <c r="B2" s="341"/>
      <c r="C2" s="341"/>
      <c r="D2" s="341"/>
      <c r="E2" s="341"/>
      <c r="F2" s="341"/>
      <c r="G2" s="341"/>
      <c r="H2" s="341"/>
      <c r="I2" s="341"/>
      <c r="J2" s="341"/>
    </row>
    <row r="3" spans="1:10" ht="19.95" customHeight="1">
      <c r="A3" s="80" t="str">
        <f>底稿目录!A2</f>
        <v>被审计单位：</v>
      </c>
      <c r="C3" s="80" t="str">
        <f>底稿目录!A4</f>
        <v>编制人：</v>
      </c>
      <c r="E3" s="80"/>
      <c r="F3" s="80" t="str">
        <f>底稿目录!A5</f>
        <v>编制日期：</v>
      </c>
      <c r="G3" s="80"/>
      <c r="H3" s="120"/>
      <c r="I3" s="129" t="s">
        <v>187</v>
      </c>
      <c r="J3" s="49" t="str">
        <f>底稿目录!D10</f>
        <v>L8-3</v>
      </c>
    </row>
    <row r="4" spans="1:10" ht="19.95" customHeight="1">
      <c r="A4" s="80" t="str">
        <f>底稿目录!A3</f>
        <v>会计期间：202X年度</v>
      </c>
      <c r="C4" s="80" t="str">
        <f>底稿目录!A6</f>
        <v>复核人：</v>
      </c>
      <c r="E4" s="80"/>
      <c r="F4" s="80" t="str">
        <f>底稿目录!A7</f>
        <v>复核日期：</v>
      </c>
      <c r="G4" s="80"/>
      <c r="H4" s="80"/>
      <c r="I4" s="129" t="s">
        <v>94</v>
      </c>
      <c r="J4" s="130"/>
    </row>
    <row r="5" spans="1:10" ht="33" customHeight="1">
      <c r="A5" s="121" t="s">
        <v>188</v>
      </c>
      <c r="B5" s="122" t="s">
        <v>189</v>
      </c>
      <c r="C5" s="123" t="s">
        <v>190</v>
      </c>
      <c r="D5" s="124" t="s">
        <v>191</v>
      </c>
      <c r="E5" s="124" t="s">
        <v>192</v>
      </c>
      <c r="F5" s="125" t="s">
        <v>183</v>
      </c>
      <c r="G5" s="124" t="s">
        <v>193</v>
      </c>
      <c r="H5" s="124" t="s">
        <v>194</v>
      </c>
      <c r="I5" s="124" t="s">
        <v>195</v>
      </c>
      <c r="J5" s="124" t="s">
        <v>196</v>
      </c>
    </row>
    <row r="6" spans="1:10" ht="19.95" customHeight="1">
      <c r="A6" s="126"/>
      <c r="B6" s="126"/>
      <c r="C6" s="127"/>
      <c r="D6" s="126"/>
      <c r="E6" s="126"/>
      <c r="F6" s="126"/>
      <c r="G6" s="128"/>
      <c r="H6" s="128"/>
      <c r="I6" s="131"/>
      <c r="J6" s="126"/>
    </row>
    <row r="7" spans="1:10" ht="19.95" customHeight="1">
      <c r="A7" s="126"/>
      <c r="B7" s="126"/>
      <c r="C7" s="127"/>
      <c r="D7" s="126"/>
      <c r="E7" s="126"/>
      <c r="F7" s="126"/>
      <c r="G7" s="128"/>
      <c r="H7" s="128"/>
      <c r="I7" s="131"/>
      <c r="J7" s="126"/>
    </row>
    <row r="8" spans="1:10" ht="19.95" customHeight="1">
      <c r="A8" s="126"/>
      <c r="B8" s="126"/>
      <c r="C8" s="127"/>
      <c r="D8" s="126"/>
      <c r="E8" s="126"/>
      <c r="F8" s="126"/>
      <c r="G8" s="128"/>
      <c r="H8" s="128"/>
      <c r="I8" s="131"/>
      <c r="J8" s="126"/>
    </row>
    <row r="9" spans="1:10" ht="19.95" customHeight="1">
      <c r="A9" s="126"/>
      <c r="B9" s="126"/>
      <c r="C9" s="127"/>
      <c r="D9" s="126"/>
      <c r="E9" s="126"/>
      <c r="F9" s="126"/>
      <c r="G9" s="128"/>
      <c r="H9" s="128"/>
      <c r="I9" s="131"/>
      <c r="J9" s="126"/>
    </row>
    <row r="10" spans="1:10" ht="19.95" customHeight="1">
      <c r="A10" s="126"/>
      <c r="B10" s="126"/>
      <c r="C10" s="127"/>
      <c r="D10" s="126"/>
      <c r="E10" s="126"/>
      <c r="F10" s="126"/>
      <c r="G10" s="128"/>
      <c r="H10" s="128"/>
      <c r="I10" s="131"/>
      <c r="J10" s="126"/>
    </row>
    <row r="11" spans="1:10" ht="19.95" customHeight="1">
      <c r="A11" s="126"/>
      <c r="B11" s="126"/>
      <c r="C11" s="127"/>
      <c r="D11" s="126"/>
      <c r="E11" s="126"/>
      <c r="F11" s="126"/>
      <c r="G11" s="128"/>
      <c r="H11" s="128"/>
      <c r="I11" s="131"/>
      <c r="J11" s="126"/>
    </row>
    <row r="12" spans="1:10" ht="19.95" customHeight="1">
      <c r="A12" s="126"/>
      <c r="B12" s="126"/>
      <c r="C12" s="127"/>
      <c r="D12" s="126"/>
      <c r="E12" s="126"/>
      <c r="F12" s="126"/>
      <c r="G12" s="128"/>
      <c r="H12" s="128"/>
      <c r="I12" s="131"/>
      <c r="J12" s="126"/>
    </row>
    <row r="13" spans="1:10" ht="19.95" customHeight="1">
      <c r="A13" s="126"/>
      <c r="B13" s="126"/>
      <c r="C13" s="127"/>
      <c r="D13" s="126"/>
      <c r="E13" s="126"/>
      <c r="F13" s="126"/>
      <c r="G13" s="128"/>
      <c r="H13" s="128"/>
      <c r="I13" s="131"/>
      <c r="J13" s="126"/>
    </row>
    <row r="14" spans="1:10" ht="19.95" customHeight="1">
      <c r="A14" s="126"/>
      <c r="B14" s="126"/>
      <c r="C14" s="127"/>
      <c r="D14" s="126"/>
      <c r="E14" s="126"/>
      <c r="F14" s="126"/>
      <c r="G14" s="128"/>
      <c r="H14" s="128"/>
      <c r="I14" s="131"/>
      <c r="J14" s="126"/>
    </row>
    <row r="15" spans="1:10" ht="19.95" customHeight="1">
      <c r="A15" s="126"/>
      <c r="B15" s="126"/>
      <c r="C15" s="127"/>
      <c r="D15" s="126"/>
      <c r="E15" s="126"/>
      <c r="F15" s="126"/>
      <c r="G15" s="128"/>
      <c r="H15" s="128"/>
      <c r="I15" s="131"/>
      <c r="J15" s="126"/>
    </row>
    <row r="16" spans="1:10" ht="19.95" customHeight="1">
      <c r="A16" s="126"/>
      <c r="B16" s="126"/>
      <c r="C16" s="127"/>
      <c r="D16" s="126"/>
      <c r="E16" s="126"/>
      <c r="F16" s="126"/>
      <c r="G16" s="128"/>
      <c r="H16" s="128"/>
      <c r="I16" s="131"/>
      <c r="J16" s="126"/>
    </row>
    <row r="17" spans="1:10" ht="19.95" customHeight="1">
      <c r="A17" s="126"/>
      <c r="B17" s="126"/>
      <c r="C17" s="127"/>
      <c r="D17" s="126"/>
      <c r="E17" s="126"/>
      <c r="F17" s="126"/>
      <c r="G17" s="128"/>
      <c r="H17" s="128"/>
      <c r="I17" s="131"/>
      <c r="J17" s="126"/>
    </row>
    <row r="18" spans="1:10" ht="19.95" customHeight="1">
      <c r="A18" s="126"/>
      <c r="B18" s="126"/>
      <c r="C18" s="127"/>
      <c r="D18" s="126"/>
      <c r="E18" s="126"/>
      <c r="F18" s="126"/>
      <c r="G18" s="128"/>
      <c r="H18" s="128"/>
      <c r="I18" s="131"/>
      <c r="J18" s="126"/>
    </row>
    <row r="19" spans="1:10" ht="19.95" customHeight="1">
      <c r="A19" s="126"/>
      <c r="B19" s="126"/>
      <c r="C19" s="127"/>
      <c r="D19" s="126"/>
      <c r="E19" s="126"/>
      <c r="F19" s="126"/>
      <c r="G19" s="128"/>
      <c r="H19" s="128"/>
      <c r="I19" s="131"/>
      <c r="J19" s="126"/>
    </row>
    <row r="20" spans="1:10" ht="19.95" customHeight="1">
      <c r="A20" s="126"/>
      <c r="B20" s="126"/>
      <c r="C20" s="127"/>
      <c r="D20" s="126"/>
      <c r="E20" s="126"/>
      <c r="F20" s="126"/>
      <c r="G20" s="128"/>
      <c r="H20" s="128"/>
      <c r="I20" s="131"/>
      <c r="J20" s="126"/>
    </row>
    <row r="21" spans="1:10" ht="39" customHeight="1">
      <c r="A21" s="356" t="s">
        <v>197</v>
      </c>
      <c r="B21" s="357"/>
      <c r="C21" s="357"/>
      <c r="D21" s="357"/>
      <c r="E21" s="357"/>
      <c r="F21" s="357"/>
      <c r="G21" s="357"/>
      <c r="H21" s="357"/>
      <c r="I21" s="357"/>
      <c r="J21" s="357"/>
    </row>
  </sheetData>
  <mergeCells count="3">
    <mergeCell ref="A1:J1"/>
    <mergeCell ref="A2:J2"/>
    <mergeCell ref="A21:J21"/>
  </mergeCells>
  <phoneticPr fontId="82" type="noConversion"/>
  <dataValidations count="1">
    <dataValidation type="list" allowBlank="1" showInputMessage="1" showErrorMessage="1" sqref="B6:B20">
      <formula1>"账项调整,报表调整,其他"</formula1>
    </dataValidation>
  </dataValidations>
  <hyperlinks>
    <hyperlink ref="J3" location="底稿目录!A1" display="=底稿目录!D10"/>
  </hyperlinks>
  <pageMargins left="0.70866141732283505" right="0.70866141732283505" top="0.74803149606299202" bottom="0.74803149606299202" header="0.31496062992126" footer="0.31496062992126"/>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O28"/>
  <sheetViews>
    <sheetView view="pageBreakPreview" zoomScaleNormal="100" workbookViewId="0">
      <selection sqref="A1:J1"/>
    </sheetView>
  </sheetViews>
  <sheetFormatPr defaultColWidth="9.109375" defaultRowHeight="13.8"/>
  <cols>
    <col min="1" max="1" width="13" style="77" customWidth="1"/>
    <col min="2" max="2" width="10.33203125" style="77" customWidth="1"/>
    <col min="3" max="3" width="12.21875" style="77" customWidth="1"/>
    <col min="4" max="4" width="13.5546875" style="77" customWidth="1"/>
    <col min="5" max="5" width="9.6640625" style="77" customWidth="1"/>
    <col min="6" max="6" width="13" style="77" customWidth="1"/>
    <col min="7" max="7" width="11.109375" style="77" customWidth="1"/>
    <col min="8" max="8" width="13.21875" style="77" customWidth="1"/>
    <col min="9" max="9" width="12.88671875" style="77" customWidth="1"/>
    <col min="10" max="10" width="10" style="77" customWidth="1"/>
    <col min="11" max="16384" width="9.109375" style="77"/>
  </cols>
  <sheetData>
    <row r="1" spans="1:15" s="75" customFormat="1" ht="19.95" customHeight="1">
      <c r="A1" s="358" t="s">
        <v>28</v>
      </c>
      <c r="B1" s="358"/>
      <c r="C1" s="358"/>
      <c r="D1" s="358"/>
      <c r="E1" s="358"/>
      <c r="F1" s="358"/>
      <c r="G1" s="358"/>
      <c r="H1" s="358"/>
      <c r="I1" s="358"/>
      <c r="J1" s="358"/>
    </row>
    <row r="2" spans="1:15" s="75" customFormat="1" ht="19.95" customHeight="1">
      <c r="A2" s="359" t="s">
        <v>198</v>
      </c>
      <c r="B2" s="360"/>
      <c r="C2" s="360"/>
      <c r="D2" s="360"/>
      <c r="E2" s="360"/>
      <c r="F2" s="360"/>
      <c r="G2" s="360"/>
      <c r="H2" s="360"/>
      <c r="I2" s="360"/>
      <c r="J2" s="360"/>
    </row>
    <row r="3" spans="1:15" s="75" customFormat="1" ht="19.95" customHeight="1">
      <c r="A3" s="78" t="str">
        <f>底稿目录!A2</f>
        <v>被审计单位：</v>
      </c>
      <c r="B3" s="79"/>
      <c r="C3" s="79"/>
      <c r="D3" s="80" t="str">
        <f>底稿目录!A4</f>
        <v>编制人：</v>
      </c>
      <c r="E3" s="80"/>
      <c r="F3" s="81" t="str">
        <f>底稿目录!A5</f>
        <v>编制日期：</v>
      </c>
      <c r="G3" s="82"/>
      <c r="H3" s="83"/>
      <c r="I3" s="83" t="s">
        <v>136</v>
      </c>
      <c r="J3" s="49" t="str">
        <f>底稿目录!D11</f>
        <v>L8-4</v>
      </c>
    </row>
    <row r="4" spans="1:15" s="75" customFormat="1" ht="19.95" customHeight="1">
      <c r="A4" s="78" t="str">
        <f>底稿目录!A3</f>
        <v>会计期间：202X年度</v>
      </c>
      <c r="B4" s="79"/>
      <c r="C4" s="79"/>
      <c r="D4" s="80" t="str">
        <f>底稿目录!A6</f>
        <v>复核人：</v>
      </c>
      <c r="E4" s="80"/>
      <c r="F4" s="81" t="str">
        <f>底稿目录!A7</f>
        <v>复核日期：</v>
      </c>
      <c r="G4" s="82"/>
      <c r="H4" s="83"/>
      <c r="I4" s="83" t="s">
        <v>94</v>
      </c>
      <c r="J4" s="116"/>
    </row>
    <row r="5" spans="1:15" s="76" customFormat="1" ht="19.95" customHeight="1">
      <c r="A5" s="84" t="s">
        <v>137</v>
      </c>
      <c r="B5" s="85"/>
      <c r="C5" s="85"/>
      <c r="D5" s="85"/>
      <c r="E5" s="79"/>
      <c r="F5" s="86"/>
      <c r="G5" s="79"/>
      <c r="H5" s="79"/>
      <c r="I5" s="79"/>
      <c r="J5" s="79"/>
      <c r="K5" s="75"/>
      <c r="L5" s="75"/>
      <c r="M5" s="75"/>
      <c r="N5" s="75"/>
      <c r="O5" s="75"/>
    </row>
    <row r="6" spans="1:15" s="76" customFormat="1" ht="19.95" customHeight="1">
      <c r="A6" s="87" t="s">
        <v>199</v>
      </c>
      <c r="B6" s="88"/>
      <c r="C6" s="89"/>
      <c r="D6" s="89"/>
      <c r="E6" s="79"/>
      <c r="F6" s="89"/>
      <c r="G6" s="79"/>
      <c r="H6" s="79"/>
      <c r="I6" s="79"/>
      <c r="J6" s="79"/>
      <c r="K6" s="75"/>
      <c r="L6" s="75"/>
      <c r="M6" s="75"/>
      <c r="N6" s="75"/>
      <c r="O6" s="75"/>
    </row>
    <row r="7" spans="1:15" s="76" customFormat="1" ht="19.95" customHeight="1">
      <c r="A7" s="87" t="s">
        <v>200</v>
      </c>
      <c r="B7" s="87"/>
      <c r="C7" s="89"/>
      <c r="D7" s="89"/>
      <c r="E7" s="79"/>
      <c r="F7" s="89"/>
      <c r="G7" s="79"/>
      <c r="H7" s="79"/>
      <c r="I7" s="79"/>
      <c r="J7" s="79"/>
      <c r="K7" s="75"/>
      <c r="L7" s="75"/>
      <c r="M7" s="75"/>
      <c r="N7" s="75"/>
      <c r="O7" s="75"/>
    </row>
    <row r="8" spans="1:15" s="76" customFormat="1" ht="19.95" customHeight="1">
      <c r="A8" s="87" t="s">
        <v>201</v>
      </c>
      <c r="B8" s="87"/>
      <c r="C8" s="89"/>
      <c r="D8" s="89"/>
      <c r="E8" s="79"/>
      <c r="F8" s="89"/>
      <c r="G8" s="79"/>
      <c r="H8" s="79"/>
      <c r="I8" s="79"/>
      <c r="J8" s="79"/>
      <c r="K8" s="75"/>
      <c r="L8" s="75"/>
      <c r="M8" s="75"/>
      <c r="N8" s="75"/>
      <c r="O8" s="75"/>
    </row>
    <row r="9" spans="1:15" s="76" customFormat="1" ht="19.95" customHeight="1">
      <c r="A9" s="90" t="s">
        <v>141</v>
      </c>
      <c r="B9" s="85"/>
      <c r="C9" s="85"/>
      <c r="D9" s="85"/>
      <c r="E9" s="79"/>
      <c r="F9" s="85"/>
      <c r="G9" s="91"/>
      <c r="H9" s="79"/>
      <c r="I9" s="79"/>
      <c r="J9" s="79"/>
      <c r="K9" s="75"/>
      <c r="L9" s="75"/>
      <c r="M9" s="75"/>
      <c r="N9" s="75"/>
      <c r="O9" s="75"/>
    </row>
    <row r="10" spans="1:15" ht="19.95" customHeight="1">
      <c r="A10" s="92" t="s">
        <v>202</v>
      </c>
      <c r="B10" s="93" t="s">
        <v>203</v>
      </c>
      <c r="C10" s="93" t="s">
        <v>204</v>
      </c>
      <c r="D10" s="93" t="s">
        <v>205</v>
      </c>
      <c r="E10" s="93" t="s">
        <v>206</v>
      </c>
      <c r="F10" s="93" t="s">
        <v>207</v>
      </c>
      <c r="G10" s="93" t="s">
        <v>208</v>
      </c>
      <c r="H10" s="93" t="s">
        <v>209</v>
      </c>
      <c r="I10" s="93" t="s">
        <v>210</v>
      </c>
      <c r="J10" s="93" t="s">
        <v>211</v>
      </c>
    </row>
    <row r="11" spans="1:15" ht="19.95" customHeight="1">
      <c r="A11" s="94"/>
      <c r="B11" s="95"/>
      <c r="C11" s="96"/>
      <c r="D11" s="96"/>
      <c r="E11" s="97"/>
      <c r="F11" s="98"/>
      <c r="G11" s="293">
        <f>IF(C11=0,0,IF((D11-C11)=365,D11-C11,D11-C11+1))</f>
        <v>0</v>
      </c>
      <c r="H11" s="293">
        <f>E11*F11/365*G11</f>
        <v>0</v>
      </c>
      <c r="I11" s="117"/>
      <c r="J11" s="118"/>
    </row>
    <row r="12" spans="1:15" ht="19.95" customHeight="1">
      <c r="A12" s="94"/>
      <c r="B12" s="95"/>
      <c r="C12" s="96"/>
      <c r="D12" s="96"/>
      <c r="E12" s="97"/>
      <c r="F12" s="98"/>
      <c r="G12" s="293">
        <f t="shared" ref="G12:G15" si="0">IF(C12=0,0,IF((D12-C12)=365,D12-C12,D12-C12+1))</f>
        <v>0</v>
      </c>
      <c r="H12" s="293">
        <f t="shared" ref="H12:H15" si="1">E12*F12/365*G12</f>
        <v>0</v>
      </c>
      <c r="I12" s="117"/>
      <c r="J12" s="118"/>
    </row>
    <row r="13" spans="1:15" ht="19.95" customHeight="1">
      <c r="A13" s="94"/>
      <c r="B13" s="95"/>
      <c r="C13" s="96"/>
      <c r="D13" s="96"/>
      <c r="E13" s="97"/>
      <c r="F13" s="98"/>
      <c r="G13" s="293">
        <f t="shared" si="0"/>
        <v>0</v>
      </c>
      <c r="H13" s="293">
        <f t="shared" si="1"/>
        <v>0</v>
      </c>
      <c r="I13" s="117"/>
      <c r="J13" s="118"/>
    </row>
    <row r="14" spans="1:15" ht="19.95" customHeight="1">
      <c r="A14" s="94"/>
      <c r="B14" s="95"/>
      <c r="C14" s="96"/>
      <c r="D14" s="96"/>
      <c r="E14" s="97"/>
      <c r="F14" s="98"/>
      <c r="G14" s="293">
        <f t="shared" si="0"/>
        <v>0</v>
      </c>
      <c r="H14" s="293">
        <f t="shared" si="1"/>
        <v>0</v>
      </c>
      <c r="I14" s="117"/>
      <c r="J14" s="118"/>
    </row>
    <row r="15" spans="1:15" ht="19.95" customHeight="1">
      <c r="A15" s="94"/>
      <c r="B15" s="95"/>
      <c r="C15" s="96"/>
      <c r="D15" s="96"/>
      <c r="E15" s="97"/>
      <c r="F15" s="98"/>
      <c r="G15" s="293">
        <f t="shared" si="0"/>
        <v>0</v>
      </c>
      <c r="H15" s="293">
        <f t="shared" si="1"/>
        <v>0</v>
      </c>
      <c r="I15" s="117"/>
      <c r="J15" s="118"/>
    </row>
    <row r="16" spans="1:15" s="297" customFormat="1" ht="19.95" customHeight="1">
      <c r="A16" s="361" t="s">
        <v>116</v>
      </c>
      <c r="B16" s="362"/>
      <c r="C16" s="362"/>
      <c r="D16" s="362"/>
      <c r="E16" s="362"/>
      <c r="F16" s="294">
        <f>SUM(F11:F15)</f>
        <v>0</v>
      </c>
      <c r="G16" s="294">
        <f>SUM(G11:G15)</f>
        <v>0</v>
      </c>
      <c r="H16" s="294">
        <f>SUM(H11:H15)</f>
        <v>0</v>
      </c>
      <c r="I16" s="295"/>
      <c r="J16" s="296"/>
    </row>
    <row r="17" spans="1:10" ht="19.95" customHeight="1">
      <c r="A17" s="364" t="s">
        <v>212</v>
      </c>
      <c r="B17" s="100" t="s">
        <v>213</v>
      </c>
      <c r="C17" s="101"/>
      <c r="D17" s="102"/>
      <c r="E17" s="103"/>
      <c r="F17" s="103"/>
      <c r="G17" s="103"/>
      <c r="H17" s="103"/>
      <c r="I17" s="103"/>
      <c r="J17" s="103"/>
    </row>
    <row r="18" spans="1:10" ht="19.95" customHeight="1">
      <c r="A18" s="365"/>
      <c r="B18" s="104" t="s">
        <v>214</v>
      </c>
      <c r="C18" s="105"/>
      <c r="D18" s="106"/>
      <c r="E18" s="103"/>
      <c r="F18" s="103"/>
      <c r="G18" s="103"/>
      <c r="H18" s="103"/>
      <c r="I18" s="103"/>
      <c r="J18" s="103"/>
    </row>
    <row r="19" spans="1:10" ht="19.95" customHeight="1">
      <c r="A19" s="365"/>
      <c r="B19" s="104" t="s">
        <v>215</v>
      </c>
      <c r="C19" s="105"/>
      <c r="D19" s="106"/>
      <c r="E19" s="103"/>
      <c r="F19" s="103"/>
      <c r="G19" s="103"/>
      <c r="H19" s="103"/>
      <c r="I19" s="103"/>
      <c r="J19" s="103"/>
    </row>
    <row r="20" spans="1:10" ht="19.95" customHeight="1">
      <c r="A20" s="365"/>
      <c r="B20" s="104" t="s">
        <v>216</v>
      </c>
      <c r="C20" s="105"/>
      <c r="D20" s="106"/>
      <c r="E20" s="103"/>
      <c r="F20" s="103"/>
      <c r="G20" s="103"/>
      <c r="H20" s="103"/>
      <c r="I20" s="103"/>
      <c r="J20" s="103"/>
    </row>
    <row r="21" spans="1:10" ht="19.95" customHeight="1">
      <c r="A21" s="363" t="s">
        <v>172</v>
      </c>
      <c r="B21" s="363"/>
      <c r="C21" s="363"/>
      <c r="D21" s="99">
        <f>D17+D18+D19+D20</f>
        <v>0</v>
      </c>
      <c r="E21" s="107"/>
      <c r="F21" s="107"/>
      <c r="G21" s="107"/>
      <c r="H21" s="107"/>
      <c r="I21" s="107"/>
      <c r="J21" s="107"/>
    </row>
    <row r="22" spans="1:10" ht="19.95" customHeight="1">
      <c r="A22" s="363" t="s">
        <v>217</v>
      </c>
      <c r="B22" s="363"/>
      <c r="C22" s="363"/>
      <c r="D22" s="99">
        <f>H16-D21</f>
        <v>0</v>
      </c>
      <c r="E22" s="107"/>
      <c r="F22" s="107"/>
      <c r="G22" s="107"/>
      <c r="H22" s="107"/>
      <c r="I22" s="107"/>
      <c r="J22" s="107"/>
    </row>
    <row r="23" spans="1:10" ht="19.95" customHeight="1">
      <c r="A23" s="108" t="s">
        <v>174</v>
      </c>
      <c r="B23" s="109"/>
      <c r="C23" s="109"/>
      <c r="D23" s="109"/>
      <c r="E23" s="110"/>
      <c r="F23" s="110"/>
      <c r="G23" s="110"/>
      <c r="H23" s="110"/>
      <c r="I23" s="110"/>
      <c r="J23" s="110"/>
    </row>
    <row r="24" spans="1:10" ht="19.95" customHeight="1">
      <c r="A24" s="111" t="s">
        <v>218</v>
      </c>
      <c r="B24" s="112"/>
      <c r="C24" s="113"/>
      <c r="D24" s="113"/>
      <c r="E24" s="113"/>
      <c r="F24" s="113"/>
      <c r="G24" s="113"/>
      <c r="H24" s="113"/>
      <c r="I24" s="113"/>
      <c r="J24" s="113"/>
    </row>
    <row r="25" spans="1:10" ht="19.95" customHeight="1">
      <c r="A25" s="111" t="s">
        <v>219</v>
      </c>
      <c r="B25" s="113"/>
      <c r="C25" s="113"/>
      <c r="D25" s="113"/>
      <c r="E25" s="113"/>
      <c r="F25" s="113"/>
      <c r="G25" s="113"/>
      <c r="H25" s="113"/>
      <c r="I25" s="113"/>
      <c r="J25" s="113"/>
    </row>
    <row r="26" spans="1:10" ht="19.95" customHeight="1">
      <c r="A26" s="114" t="s">
        <v>185</v>
      </c>
      <c r="B26" s="113"/>
      <c r="C26" s="113"/>
      <c r="D26" s="113"/>
      <c r="E26" s="113"/>
      <c r="F26" s="113"/>
      <c r="G26" s="113"/>
      <c r="H26" s="113"/>
      <c r="I26" s="113"/>
      <c r="J26" s="113"/>
    </row>
    <row r="27" spans="1:10" ht="19.95" customHeight="1">
      <c r="A27" s="115"/>
      <c r="B27" s="113"/>
      <c r="C27" s="113"/>
      <c r="D27" s="113"/>
      <c r="E27" s="113"/>
      <c r="F27" s="113"/>
      <c r="G27" s="113"/>
      <c r="H27" s="113"/>
      <c r="I27" s="113"/>
      <c r="J27" s="113"/>
    </row>
    <row r="28" spans="1:10" ht="19.95" customHeight="1">
      <c r="A28" s="115"/>
      <c r="B28" s="113"/>
      <c r="C28" s="113"/>
      <c r="D28" s="113"/>
      <c r="E28" s="113"/>
      <c r="F28" s="113"/>
      <c r="G28" s="113"/>
      <c r="H28" s="113"/>
      <c r="I28" s="113"/>
      <c r="J28" s="113"/>
    </row>
  </sheetData>
  <mergeCells count="6">
    <mergeCell ref="A1:J1"/>
    <mergeCell ref="A2:J2"/>
    <mergeCell ref="A16:E16"/>
    <mergeCell ref="A21:C21"/>
    <mergeCell ref="A22:C22"/>
    <mergeCell ref="A17:A20"/>
  </mergeCells>
  <phoneticPr fontId="82" type="noConversion"/>
  <hyperlinks>
    <hyperlink ref="J3" location="底稿目录!A1" display="=底稿目录!D11"/>
  </hyperlinks>
  <pageMargins left="0.70866141732283505" right="0.70866141732283505" top="0.74803149606299202" bottom="0.74803149606299202" header="0.31496062992126" footer="0.31496062992126"/>
  <pageSetup paperSize="9" scale="8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6"/>
  <sheetViews>
    <sheetView view="pageBreakPreview" zoomScaleNormal="130" workbookViewId="0">
      <selection sqref="A1:K1"/>
    </sheetView>
  </sheetViews>
  <sheetFormatPr defaultColWidth="9.109375" defaultRowHeight="15.6"/>
  <cols>
    <col min="1" max="1" width="6.109375" style="6" customWidth="1"/>
    <col min="2" max="2" width="10.5546875" style="6" customWidth="1"/>
    <col min="3" max="3" width="11.21875" style="6" customWidth="1"/>
    <col min="4" max="4" width="18.44140625" style="6" customWidth="1"/>
    <col min="5" max="5" width="13.44140625" style="6" customWidth="1"/>
    <col min="6" max="6" width="10.33203125" style="6" customWidth="1"/>
    <col min="7" max="7" width="11.77734375" style="6" customWidth="1"/>
    <col min="8" max="8" width="11.6640625" style="6" customWidth="1"/>
    <col min="9" max="9" width="10.44140625" style="6" customWidth="1"/>
    <col min="10" max="10" width="5.88671875" style="6" customWidth="1"/>
    <col min="11" max="11" width="9.33203125" style="6" customWidth="1"/>
    <col min="12" max="16384" width="9.109375" style="6"/>
  </cols>
  <sheetData>
    <row r="1" spans="1:11" s="51" customFormat="1" ht="19.95" customHeight="1">
      <c r="A1" s="366" t="s">
        <v>28</v>
      </c>
      <c r="B1" s="366"/>
      <c r="C1" s="366"/>
      <c r="D1" s="366"/>
      <c r="E1" s="366"/>
      <c r="F1" s="366"/>
      <c r="G1" s="366"/>
      <c r="H1" s="366"/>
      <c r="I1" s="366"/>
      <c r="J1" s="366"/>
      <c r="K1" s="366"/>
    </row>
    <row r="2" spans="1:11" s="51" customFormat="1" ht="19.95" customHeight="1">
      <c r="A2" s="367" t="s">
        <v>220</v>
      </c>
      <c r="B2" s="367"/>
      <c r="C2" s="367"/>
      <c r="D2" s="367"/>
      <c r="E2" s="367"/>
      <c r="F2" s="367"/>
      <c r="G2" s="367"/>
      <c r="H2" s="367"/>
      <c r="I2" s="367"/>
      <c r="J2" s="367"/>
      <c r="K2" s="367"/>
    </row>
    <row r="3" spans="1:11" s="2" customFormat="1" ht="19.95" customHeight="1">
      <c r="A3" s="7" t="str">
        <f>底稿目录!A2</f>
        <v>被审计单位：</v>
      </c>
      <c r="B3" s="7"/>
      <c r="E3" s="8" t="str">
        <f>底稿目录!A4</f>
        <v>编制人：</v>
      </c>
      <c r="G3" s="37" t="str">
        <f>底稿目录!A5</f>
        <v>编制日期：</v>
      </c>
      <c r="H3" s="38"/>
      <c r="J3" s="39" t="s">
        <v>136</v>
      </c>
      <c r="K3" s="49" t="str">
        <f>底稿目录!D12</f>
        <v>L8-5</v>
      </c>
    </row>
    <row r="4" spans="1:11" s="2" customFormat="1" ht="19.95" customHeight="1">
      <c r="A4" s="7" t="str">
        <f>底稿目录!A3</f>
        <v>会计期间：202X年度</v>
      </c>
      <c r="B4" s="9"/>
      <c r="E4" s="8" t="str">
        <f>底稿目录!A6</f>
        <v>复核人：</v>
      </c>
      <c r="G4" s="37" t="str">
        <f>底稿目录!A7</f>
        <v>复核日期：</v>
      </c>
      <c r="H4" s="38"/>
      <c r="J4" s="39" t="s">
        <v>221</v>
      </c>
    </row>
    <row r="5" spans="1:11" s="3" customFormat="1" ht="19.95" customHeight="1">
      <c r="A5" s="52" t="s">
        <v>222</v>
      </c>
      <c r="B5" s="53"/>
      <c r="C5" s="53"/>
      <c r="D5" s="53"/>
      <c r="E5" s="53"/>
      <c r="F5" s="53"/>
      <c r="G5" s="53"/>
      <c r="H5" s="53"/>
      <c r="I5" s="53"/>
      <c r="J5" s="53"/>
    </row>
    <row r="6" spans="1:11" s="3" customFormat="1" ht="19.95" customHeight="1">
      <c r="A6" s="54" t="s">
        <v>223</v>
      </c>
      <c r="B6" s="55"/>
      <c r="C6" s="56"/>
      <c r="D6" s="56"/>
      <c r="E6" s="57"/>
      <c r="F6" s="56"/>
      <c r="G6" s="57"/>
      <c r="H6" s="56"/>
      <c r="I6" s="57"/>
      <c r="J6" s="56"/>
    </row>
    <row r="7" spans="1:11" s="3" customFormat="1" ht="19.95" customHeight="1">
      <c r="A7" s="52" t="s">
        <v>224</v>
      </c>
      <c r="B7" s="52"/>
      <c r="C7" s="52"/>
      <c r="D7" s="52"/>
      <c r="E7" s="52"/>
      <c r="F7" s="52"/>
      <c r="G7" s="52"/>
      <c r="H7" s="52"/>
      <c r="I7" s="52"/>
      <c r="J7" s="52"/>
    </row>
    <row r="8" spans="1:11" s="3" customFormat="1" ht="19.95" customHeight="1">
      <c r="A8" s="58" t="s">
        <v>225</v>
      </c>
      <c r="B8" s="59"/>
      <c r="C8" s="60"/>
      <c r="D8" s="60"/>
      <c r="E8" s="60"/>
      <c r="F8" s="60"/>
      <c r="G8" s="60"/>
      <c r="H8" s="60"/>
      <c r="I8" s="60"/>
      <c r="J8" s="60"/>
      <c r="K8" s="72"/>
    </row>
    <row r="9" spans="1:11" s="3" customFormat="1" ht="19.95" customHeight="1">
      <c r="A9" s="58" t="s">
        <v>226</v>
      </c>
      <c r="B9" s="59"/>
      <c r="C9" s="60"/>
      <c r="D9" s="60"/>
      <c r="E9" s="60"/>
      <c r="F9" s="60"/>
      <c r="G9" s="60"/>
      <c r="H9" s="60"/>
      <c r="I9" s="60"/>
      <c r="J9" s="60"/>
      <c r="K9" s="72"/>
    </row>
    <row r="10" spans="1:11" s="3" customFormat="1" ht="28.8" customHeight="1">
      <c r="A10" s="368" t="s">
        <v>227</v>
      </c>
      <c r="B10" s="368"/>
      <c r="C10" s="368"/>
      <c r="D10" s="368"/>
      <c r="E10" s="368"/>
      <c r="F10" s="368"/>
      <c r="G10" s="368"/>
      <c r="H10" s="368"/>
      <c r="I10" s="368"/>
      <c r="J10" s="368"/>
      <c r="K10" s="368"/>
    </row>
    <row r="11" spans="1:11" s="3" customFormat="1" ht="19.95" customHeight="1">
      <c r="A11" s="52" t="s">
        <v>228</v>
      </c>
      <c r="B11" s="61"/>
      <c r="C11" s="61"/>
      <c r="D11" s="61"/>
      <c r="E11" s="62"/>
      <c r="F11" s="63"/>
    </row>
    <row r="12" spans="1:11" s="2" customFormat="1" ht="19.95" customHeight="1">
      <c r="A12" s="372" t="s">
        <v>48</v>
      </c>
      <c r="B12" s="369" t="s">
        <v>229</v>
      </c>
      <c r="C12" s="370"/>
      <c r="D12" s="370"/>
      <c r="E12" s="370"/>
      <c r="F12" s="371"/>
      <c r="G12" s="372" t="s">
        <v>230</v>
      </c>
      <c r="H12" s="373"/>
      <c r="I12" s="373"/>
      <c r="J12" s="374" t="s">
        <v>231</v>
      </c>
      <c r="K12" s="374" t="s">
        <v>232</v>
      </c>
    </row>
    <row r="13" spans="1:11" s="2" customFormat="1" ht="19.95" customHeight="1">
      <c r="A13" s="373"/>
      <c r="B13" s="21" t="s">
        <v>233</v>
      </c>
      <c r="C13" s="21" t="s">
        <v>234</v>
      </c>
      <c r="D13" s="21" t="s">
        <v>235</v>
      </c>
      <c r="E13" s="21" t="s">
        <v>236</v>
      </c>
      <c r="F13" s="21" t="s">
        <v>237</v>
      </c>
      <c r="G13" s="64" t="s">
        <v>238</v>
      </c>
      <c r="H13" s="64" t="s">
        <v>239</v>
      </c>
      <c r="I13" s="64" t="s">
        <v>237</v>
      </c>
      <c r="J13" s="375"/>
      <c r="K13" s="375"/>
    </row>
    <row r="14" spans="1:11" s="2" customFormat="1" ht="19.95" customHeight="1">
      <c r="A14" s="25">
        <v>1</v>
      </c>
      <c r="B14" s="24"/>
      <c r="C14" s="65"/>
      <c r="D14" s="24"/>
      <c r="E14" s="66"/>
      <c r="F14" s="67"/>
      <c r="G14" s="25"/>
      <c r="H14" s="24"/>
      <c r="I14" s="67"/>
      <c r="J14" s="73"/>
      <c r="K14" s="67"/>
    </row>
    <row r="15" spans="1:11" s="2" customFormat="1" ht="19.95" customHeight="1">
      <c r="A15" s="25">
        <v>2</v>
      </c>
      <c r="B15" s="24"/>
      <c r="C15" s="65"/>
      <c r="D15" s="24"/>
      <c r="E15" s="66"/>
      <c r="F15" s="67"/>
      <c r="G15" s="25"/>
      <c r="H15" s="24"/>
      <c r="I15" s="67"/>
      <c r="J15" s="73"/>
      <c r="K15" s="67"/>
    </row>
    <row r="16" spans="1:11" s="2" customFormat="1" ht="19.95" customHeight="1">
      <c r="A16" s="25">
        <v>3</v>
      </c>
      <c r="B16" s="24"/>
      <c r="C16" s="65"/>
      <c r="D16" s="24"/>
      <c r="E16" s="66"/>
      <c r="F16" s="67"/>
      <c r="G16" s="25"/>
      <c r="H16" s="24"/>
      <c r="I16" s="67"/>
      <c r="J16" s="73"/>
      <c r="K16" s="67"/>
    </row>
    <row r="17" spans="1:11" s="2" customFormat="1" ht="19.95" customHeight="1">
      <c r="A17" s="25">
        <v>4</v>
      </c>
      <c r="B17" s="24"/>
      <c r="C17" s="65"/>
      <c r="D17" s="24"/>
      <c r="E17" s="66"/>
      <c r="F17" s="67"/>
      <c r="G17" s="25"/>
      <c r="H17" s="24"/>
      <c r="I17" s="67"/>
      <c r="J17" s="73"/>
      <c r="K17" s="67"/>
    </row>
    <row r="18" spans="1:11" s="2" customFormat="1" ht="19.95" customHeight="1">
      <c r="A18" s="25">
        <v>5</v>
      </c>
      <c r="B18" s="24"/>
      <c r="C18" s="65"/>
      <c r="D18" s="24"/>
      <c r="E18" s="66"/>
      <c r="F18" s="67"/>
      <c r="G18" s="25"/>
      <c r="H18" s="24"/>
      <c r="I18" s="67"/>
      <c r="J18" s="73"/>
      <c r="K18" s="67"/>
    </row>
    <row r="19" spans="1:11" s="2" customFormat="1" ht="19.95" customHeight="1">
      <c r="A19" s="25" t="s">
        <v>69</v>
      </c>
      <c r="B19" s="24"/>
      <c r="C19" s="65"/>
      <c r="D19" s="24"/>
      <c r="E19" s="66"/>
      <c r="F19" s="67"/>
      <c r="G19" s="25"/>
      <c r="H19" s="24"/>
      <c r="I19" s="67"/>
      <c r="J19" s="73"/>
      <c r="K19" s="67"/>
    </row>
    <row r="20" spans="1:11" s="2" customFormat="1" ht="19.95" customHeight="1">
      <c r="A20" s="25" t="s">
        <v>183</v>
      </c>
      <c r="B20" s="24"/>
      <c r="C20" s="65"/>
      <c r="D20" s="24"/>
      <c r="E20" s="66"/>
      <c r="F20" s="67"/>
      <c r="G20" s="25"/>
      <c r="H20" s="24"/>
      <c r="I20" s="67"/>
      <c r="J20" s="73"/>
      <c r="K20" s="67"/>
    </row>
    <row r="21" spans="1:11" s="2" customFormat="1" ht="19.95" customHeight="1">
      <c r="A21" s="68" t="s">
        <v>240</v>
      </c>
      <c r="B21" s="69"/>
      <c r="C21" s="70"/>
      <c r="D21" s="69"/>
      <c r="E21" s="69"/>
      <c r="F21" s="69"/>
      <c r="G21" s="69"/>
      <c r="H21" s="69"/>
      <c r="I21" s="69"/>
      <c r="J21" s="74"/>
      <c r="K21" s="74"/>
    </row>
    <row r="22" spans="1:11" s="2" customFormat="1" ht="19.95" customHeight="1">
      <c r="A22" s="25">
        <v>1</v>
      </c>
      <c r="B22" s="24"/>
      <c r="C22" s="65"/>
      <c r="D22" s="24"/>
      <c r="E22" s="66"/>
      <c r="F22" s="67"/>
      <c r="G22" s="25"/>
      <c r="H22" s="24"/>
      <c r="I22" s="67"/>
      <c r="J22" s="73"/>
      <c r="K22" s="67"/>
    </row>
    <row r="23" spans="1:11" s="2" customFormat="1" ht="19.95" customHeight="1">
      <c r="A23" s="25">
        <v>2</v>
      </c>
      <c r="B23" s="24"/>
      <c r="C23" s="65"/>
      <c r="D23" s="24"/>
      <c r="E23" s="66"/>
      <c r="F23" s="67"/>
      <c r="G23" s="25"/>
      <c r="H23" s="24"/>
      <c r="I23" s="67"/>
      <c r="J23" s="73"/>
      <c r="K23" s="67"/>
    </row>
    <row r="24" spans="1:11" s="2" customFormat="1" ht="19.95" customHeight="1">
      <c r="A24" s="25">
        <v>3</v>
      </c>
      <c r="B24" s="24"/>
      <c r="C24" s="65"/>
      <c r="D24" s="24"/>
      <c r="E24" s="66"/>
      <c r="F24" s="67"/>
      <c r="G24" s="25"/>
      <c r="H24" s="24"/>
      <c r="I24" s="67"/>
      <c r="J24" s="73"/>
      <c r="K24" s="67"/>
    </row>
    <row r="25" spans="1:11" s="2" customFormat="1" ht="19.95" customHeight="1">
      <c r="A25" s="25">
        <v>4</v>
      </c>
      <c r="B25" s="24"/>
      <c r="C25" s="65"/>
      <c r="D25" s="24"/>
      <c r="E25" s="66"/>
      <c r="F25" s="67"/>
      <c r="G25" s="25"/>
      <c r="H25" s="24"/>
      <c r="I25" s="67"/>
      <c r="J25" s="73"/>
      <c r="K25" s="67"/>
    </row>
    <row r="26" spans="1:11" s="2" customFormat="1" ht="19.95" customHeight="1">
      <c r="A26" s="25">
        <v>5</v>
      </c>
      <c r="B26" s="24"/>
      <c r="C26" s="65"/>
      <c r="D26" s="24"/>
      <c r="E26" s="66"/>
      <c r="F26" s="67"/>
      <c r="G26" s="25"/>
      <c r="H26" s="24"/>
      <c r="I26" s="67"/>
      <c r="J26" s="73"/>
      <c r="K26" s="67"/>
    </row>
    <row r="27" spans="1:11" s="2" customFormat="1" ht="19.95" customHeight="1">
      <c r="A27" s="25" t="s">
        <v>69</v>
      </c>
      <c r="B27" s="24"/>
      <c r="C27" s="65"/>
      <c r="D27" s="24"/>
      <c r="E27" s="66"/>
      <c r="F27" s="67"/>
      <c r="G27" s="25"/>
      <c r="H27" s="24"/>
      <c r="I27" s="67"/>
      <c r="J27" s="73"/>
      <c r="K27" s="67"/>
    </row>
    <row r="28" spans="1:11" s="2" customFormat="1" ht="19.95" customHeight="1">
      <c r="A28" s="25" t="s">
        <v>183</v>
      </c>
      <c r="B28" s="24"/>
      <c r="C28" s="65"/>
      <c r="D28" s="24"/>
      <c r="E28" s="66"/>
      <c r="F28" s="67"/>
      <c r="G28" s="25"/>
      <c r="H28" s="24"/>
      <c r="I28" s="67"/>
      <c r="J28" s="73"/>
      <c r="K28" s="67"/>
    </row>
    <row r="29" spans="1:11" s="2" customFormat="1" ht="19.95" customHeight="1">
      <c r="A29" s="33" t="s">
        <v>241</v>
      </c>
      <c r="B29" s="32"/>
      <c r="C29" s="32"/>
      <c r="D29" s="32"/>
      <c r="E29" s="32"/>
      <c r="F29" s="32"/>
      <c r="G29" s="32"/>
      <c r="H29" s="32"/>
      <c r="I29" s="32"/>
      <c r="J29" s="32"/>
    </row>
    <row r="30" spans="1:11" s="2" customFormat="1" ht="19.95" customHeight="1"/>
    <row r="31" spans="1:11" s="2" customFormat="1" ht="19.95" customHeight="1"/>
    <row r="32" spans="1:11" s="2" customFormat="1" ht="19.95" customHeight="1">
      <c r="A32" s="34" t="s">
        <v>242</v>
      </c>
    </row>
    <row r="33" spans="1:10" s="2" customFormat="1" ht="19.95" customHeight="1"/>
    <row r="34" spans="1:10">
      <c r="A34" s="2"/>
      <c r="B34" s="2"/>
      <c r="C34" s="2"/>
      <c r="D34" s="2"/>
      <c r="E34" s="2"/>
      <c r="F34" s="2"/>
      <c r="G34" s="2"/>
      <c r="H34" s="2"/>
      <c r="I34" s="2"/>
      <c r="J34" s="2"/>
    </row>
    <row r="35" spans="1:10">
      <c r="A35" s="71"/>
      <c r="C35" s="2"/>
      <c r="D35" s="2"/>
      <c r="E35" s="2"/>
      <c r="F35" s="2"/>
      <c r="G35" s="2"/>
      <c r="H35" s="2"/>
      <c r="I35" s="2"/>
      <c r="J35" s="2"/>
    </row>
    <row r="36" spans="1:10">
      <c r="A36" s="2"/>
      <c r="B36" s="2"/>
      <c r="C36" s="2"/>
      <c r="D36" s="2"/>
      <c r="E36" s="2"/>
      <c r="F36" s="2"/>
      <c r="G36" s="2"/>
      <c r="H36" s="2"/>
      <c r="I36" s="2"/>
      <c r="J36" s="2"/>
    </row>
  </sheetData>
  <mergeCells count="8">
    <mergeCell ref="A1:K1"/>
    <mergeCell ref="A2:K2"/>
    <mergeCell ref="A10:K10"/>
    <mergeCell ref="B12:F12"/>
    <mergeCell ref="G12:I12"/>
    <mergeCell ref="A12:A13"/>
    <mergeCell ref="J12:J13"/>
    <mergeCell ref="K12:K13"/>
  </mergeCells>
  <phoneticPr fontId="82" type="noConversion"/>
  <dataValidations count="1">
    <dataValidation type="list" allowBlank="1" showInputMessage="1" showErrorMessage="1" sqref="J14:J20 J22:J28">
      <formula1>"√,×"</formula1>
    </dataValidation>
  </dataValidations>
  <hyperlinks>
    <hyperlink ref="K3" location="底稿目录!A1" display="=底稿目录!D12"/>
  </hyperlinks>
  <printOptions horizontalCentered="1"/>
  <pageMargins left="0.74803149606299202" right="0.39370078740157499" top="0.59055118110236204" bottom="0.31496062992126" header="0.511811023622047" footer="0.23622047244094499"/>
  <pageSetup paperSize="9" scale="80" fitToHeight="2"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31"/>
  <sheetViews>
    <sheetView view="pageBreakPreview" zoomScaleNormal="100" workbookViewId="0">
      <selection activeCell="Q3" sqref="Q3"/>
    </sheetView>
  </sheetViews>
  <sheetFormatPr defaultColWidth="9.109375" defaultRowHeight="15.6"/>
  <cols>
    <col min="1" max="1" width="9.88671875" style="6" customWidth="1"/>
    <col min="2" max="2" width="11.109375" style="6" customWidth="1"/>
    <col min="3" max="3" width="12.21875" style="6" customWidth="1"/>
    <col min="4" max="4" width="20" style="6" customWidth="1"/>
    <col min="5" max="5" width="12.77734375" style="6" customWidth="1"/>
    <col min="6" max="6" width="13.88671875" style="6" customWidth="1"/>
    <col min="7" max="7" width="12" style="6" customWidth="1"/>
    <col min="8" max="8" width="12.88671875" style="6" customWidth="1"/>
    <col min="9" max="9" width="20.88671875" style="6" customWidth="1"/>
    <col min="10" max="14" width="4.44140625" style="6" customWidth="1"/>
    <col min="15" max="15" width="9.6640625" style="6" customWidth="1"/>
    <col min="16" max="16" width="7.77734375" style="6" customWidth="1"/>
    <col min="17" max="16384" width="9.109375" style="6"/>
  </cols>
  <sheetData>
    <row r="1" spans="1:17" s="1" customFormat="1" ht="19.95" customHeight="1">
      <c r="A1" s="382" t="s">
        <v>28</v>
      </c>
      <c r="B1" s="382"/>
      <c r="C1" s="382"/>
      <c r="D1" s="382"/>
      <c r="E1" s="382"/>
      <c r="F1" s="382"/>
      <c r="G1" s="382"/>
      <c r="H1" s="382"/>
      <c r="I1" s="382"/>
      <c r="J1" s="382"/>
      <c r="K1" s="382"/>
      <c r="L1" s="382"/>
      <c r="M1" s="382"/>
      <c r="N1" s="382"/>
      <c r="O1" s="382"/>
      <c r="P1" s="382"/>
      <c r="Q1" s="382"/>
    </row>
    <row r="2" spans="1:17" s="1" customFormat="1" ht="19.95" customHeight="1">
      <c r="A2" s="383" t="s">
        <v>26</v>
      </c>
      <c r="B2" s="383"/>
      <c r="C2" s="383"/>
      <c r="D2" s="383"/>
      <c r="E2" s="383"/>
      <c r="F2" s="383"/>
      <c r="G2" s="383"/>
      <c r="H2" s="383"/>
      <c r="I2" s="383"/>
      <c r="J2" s="383"/>
      <c r="K2" s="383"/>
      <c r="L2" s="383"/>
      <c r="M2" s="383"/>
      <c r="N2" s="383"/>
      <c r="O2" s="383"/>
      <c r="P2" s="383"/>
      <c r="Q2" s="383"/>
    </row>
    <row r="3" spans="1:17" s="2" customFormat="1" ht="19.95" customHeight="1">
      <c r="A3" s="7" t="str">
        <f>底稿目录!A2</f>
        <v>被审计单位：</v>
      </c>
      <c r="B3" s="7"/>
      <c r="C3" s="7"/>
      <c r="F3" s="8" t="str">
        <f>底稿目录!A4</f>
        <v>编制人：</v>
      </c>
      <c r="I3" s="37" t="str">
        <f>底稿目录!A5</f>
        <v>编制日期：</v>
      </c>
      <c r="J3" s="38"/>
      <c r="K3" s="38"/>
      <c r="P3" s="39" t="s">
        <v>136</v>
      </c>
      <c r="Q3" s="49" t="str">
        <f>底稿目录!D13</f>
        <v>L8-6</v>
      </c>
    </row>
    <row r="4" spans="1:17" s="2" customFormat="1" ht="19.95" customHeight="1">
      <c r="A4" s="7" t="str">
        <f>底稿目录!A3</f>
        <v>会计期间：202X年度</v>
      </c>
      <c r="B4" s="7"/>
      <c r="C4" s="9"/>
      <c r="F4" s="8" t="str">
        <f>底稿目录!A6</f>
        <v>复核人：</v>
      </c>
      <c r="I4" s="37" t="str">
        <f>底稿目录!A7</f>
        <v>复核日期：</v>
      </c>
      <c r="J4" s="38"/>
      <c r="K4" s="38"/>
      <c r="P4" s="39" t="s">
        <v>221</v>
      </c>
      <c r="Q4" s="50"/>
    </row>
    <row r="5" spans="1:17" s="3" customFormat="1" ht="19.95" customHeight="1">
      <c r="A5" s="10" t="s">
        <v>243</v>
      </c>
      <c r="B5" s="10"/>
      <c r="C5" s="11"/>
      <c r="D5" s="11"/>
      <c r="E5" s="11"/>
      <c r="F5" s="11"/>
      <c r="G5" s="11"/>
      <c r="H5" s="11"/>
      <c r="I5" s="11"/>
      <c r="J5" s="11"/>
      <c r="K5" s="11"/>
      <c r="L5" s="11"/>
    </row>
    <row r="6" spans="1:17" s="3" customFormat="1" ht="19.95" customHeight="1">
      <c r="A6" s="12" t="s">
        <v>244</v>
      </c>
      <c r="B6" s="12"/>
      <c r="C6" s="2"/>
      <c r="D6" s="2"/>
      <c r="E6" s="2"/>
      <c r="F6" s="2"/>
      <c r="G6" s="2"/>
      <c r="H6" s="2"/>
      <c r="I6" s="2"/>
      <c r="J6" s="2"/>
      <c r="K6" s="2"/>
      <c r="M6" s="40"/>
    </row>
    <row r="7" spans="1:17" s="3" customFormat="1" ht="19.95" customHeight="1">
      <c r="A7" s="12" t="s">
        <v>245</v>
      </c>
      <c r="B7" s="12"/>
      <c r="C7" s="2"/>
      <c r="D7" s="2"/>
      <c r="E7" s="2"/>
      <c r="F7" s="2"/>
      <c r="G7" s="2"/>
      <c r="H7" s="2"/>
      <c r="I7" s="2"/>
      <c r="J7" s="2"/>
      <c r="K7" s="2"/>
      <c r="M7" s="40"/>
    </row>
    <row r="8" spans="1:17" s="3" customFormat="1" ht="19.95" customHeight="1">
      <c r="A8" s="13" t="s">
        <v>246</v>
      </c>
      <c r="B8" s="13"/>
      <c r="C8" s="14" t="s">
        <v>247</v>
      </c>
      <c r="D8" s="15"/>
      <c r="E8" s="16"/>
      <c r="F8" s="17"/>
      <c r="G8" s="17"/>
      <c r="H8" s="18"/>
      <c r="I8" s="18"/>
      <c r="J8" s="18"/>
      <c r="K8" s="18"/>
      <c r="L8" s="18"/>
      <c r="M8" s="18"/>
      <c r="N8" s="18"/>
      <c r="O8" s="18"/>
      <c r="P8" s="18"/>
      <c r="Q8" s="18"/>
    </row>
    <row r="9" spans="1:17" s="3" customFormat="1" ht="19.95" customHeight="1">
      <c r="A9" s="19" t="s">
        <v>248</v>
      </c>
      <c r="B9" s="20"/>
      <c r="C9" s="15"/>
      <c r="D9" s="15"/>
      <c r="E9" s="16"/>
      <c r="F9" s="17"/>
      <c r="G9" s="17"/>
      <c r="H9" s="18"/>
      <c r="I9" s="41"/>
      <c r="J9" s="41"/>
      <c r="K9" s="41"/>
      <c r="L9" s="41"/>
      <c r="M9" s="41"/>
      <c r="N9" s="41"/>
      <c r="O9" s="41"/>
      <c r="P9" s="41"/>
    </row>
    <row r="10" spans="1:17" s="2" customFormat="1" ht="19.95" customHeight="1">
      <c r="A10" s="385" t="s">
        <v>249</v>
      </c>
      <c r="B10" s="377" t="s">
        <v>229</v>
      </c>
      <c r="C10" s="377"/>
      <c r="D10" s="377"/>
      <c r="E10" s="377"/>
      <c r="F10" s="377"/>
      <c r="G10" s="377"/>
      <c r="H10" s="389" t="s">
        <v>250</v>
      </c>
      <c r="I10" s="389"/>
      <c r="J10" s="384" t="s">
        <v>251</v>
      </c>
      <c r="K10" s="384"/>
      <c r="L10" s="384"/>
      <c r="M10" s="384"/>
      <c r="N10" s="384"/>
      <c r="O10" s="386" t="s">
        <v>252</v>
      </c>
      <c r="P10" s="386" t="s">
        <v>253</v>
      </c>
      <c r="Q10" s="387" t="s">
        <v>254</v>
      </c>
    </row>
    <row r="11" spans="1:17" s="2" customFormat="1" ht="19.95" customHeight="1">
      <c r="A11" s="385"/>
      <c r="B11" s="21" t="s">
        <v>233</v>
      </c>
      <c r="C11" s="21" t="s">
        <v>234</v>
      </c>
      <c r="D11" s="21" t="s">
        <v>235</v>
      </c>
      <c r="E11" s="21" t="s">
        <v>236</v>
      </c>
      <c r="F11" s="21" t="s">
        <v>255</v>
      </c>
      <c r="G11" s="22" t="s">
        <v>256</v>
      </c>
      <c r="H11" s="389"/>
      <c r="I11" s="389"/>
      <c r="J11" s="42">
        <v>1</v>
      </c>
      <c r="K11" s="42">
        <v>2</v>
      </c>
      <c r="L11" s="42">
        <v>3</v>
      </c>
      <c r="M11" s="42">
        <v>4</v>
      </c>
      <c r="N11" s="42">
        <v>5</v>
      </c>
      <c r="O11" s="386"/>
      <c r="P11" s="386"/>
      <c r="Q11" s="388"/>
    </row>
    <row r="12" spans="1:17" s="2" customFormat="1" ht="19.95" customHeight="1">
      <c r="A12" s="23"/>
      <c r="B12" s="24"/>
      <c r="C12" s="25"/>
      <c r="D12" s="26"/>
      <c r="E12" s="27"/>
      <c r="F12" s="27"/>
      <c r="G12" s="28"/>
      <c r="H12" s="381"/>
      <c r="I12" s="381"/>
      <c r="J12" s="43"/>
      <c r="K12" s="43"/>
      <c r="L12" s="43"/>
      <c r="M12" s="43"/>
      <c r="N12" s="43"/>
      <c r="O12" s="25"/>
      <c r="P12" s="44"/>
      <c r="Q12" s="44"/>
    </row>
    <row r="13" spans="1:17" s="2" customFormat="1" ht="19.95" customHeight="1">
      <c r="A13" s="23"/>
      <c r="B13" s="24"/>
      <c r="C13" s="25"/>
      <c r="D13" s="26"/>
      <c r="E13" s="27"/>
      <c r="F13" s="27"/>
      <c r="G13" s="28"/>
      <c r="H13" s="381"/>
      <c r="I13" s="381"/>
      <c r="J13" s="43"/>
      <c r="K13" s="43"/>
      <c r="L13" s="43"/>
      <c r="M13" s="43"/>
      <c r="N13" s="43"/>
      <c r="O13" s="25"/>
      <c r="P13" s="44"/>
      <c r="Q13" s="44"/>
    </row>
    <row r="14" spans="1:17" s="2" customFormat="1" ht="19.95" customHeight="1">
      <c r="A14" s="23"/>
      <c r="B14" s="24"/>
      <c r="C14" s="25"/>
      <c r="D14" s="26"/>
      <c r="E14" s="27"/>
      <c r="F14" s="27"/>
      <c r="G14" s="28"/>
      <c r="H14" s="381"/>
      <c r="I14" s="381"/>
      <c r="J14" s="43"/>
      <c r="K14" s="43"/>
      <c r="L14" s="43"/>
      <c r="M14" s="43"/>
      <c r="N14" s="43"/>
      <c r="O14" s="25"/>
      <c r="P14" s="44"/>
      <c r="Q14" s="44"/>
    </row>
    <row r="15" spans="1:17" s="2" customFormat="1" ht="19.95" customHeight="1">
      <c r="A15" s="23"/>
      <c r="B15" s="24"/>
      <c r="C15" s="25"/>
      <c r="D15" s="26"/>
      <c r="E15" s="27"/>
      <c r="F15" s="27"/>
      <c r="G15" s="28"/>
      <c r="H15" s="381"/>
      <c r="I15" s="381"/>
      <c r="J15" s="43"/>
      <c r="K15" s="43"/>
      <c r="L15" s="43"/>
      <c r="M15" s="43"/>
      <c r="N15" s="43"/>
      <c r="O15" s="25"/>
      <c r="P15" s="44"/>
      <c r="Q15" s="44"/>
    </row>
    <row r="16" spans="1:17" s="2" customFormat="1" ht="19.95" customHeight="1">
      <c r="A16" s="23"/>
      <c r="B16" s="24"/>
      <c r="C16" s="25"/>
      <c r="D16" s="26"/>
      <c r="E16" s="27"/>
      <c r="F16" s="27"/>
      <c r="G16" s="28"/>
      <c r="H16" s="381"/>
      <c r="I16" s="381"/>
      <c r="J16" s="43"/>
      <c r="K16" s="43"/>
      <c r="L16" s="43"/>
      <c r="M16" s="43"/>
      <c r="N16" s="43"/>
      <c r="O16" s="25"/>
      <c r="P16" s="44"/>
      <c r="Q16" s="44"/>
    </row>
    <row r="17" spans="1:17" s="2" customFormat="1" ht="19.95" customHeight="1">
      <c r="A17" s="23"/>
      <c r="B17" s="24"/>
      <c r="C17" s="25"/>
      <c r="D17" s="26"/>
      <c r="E17" s="27"/>
      <c r="F17" s="27"/>
      <c r="G17" s="28"/>
      <c r="H17" s="381"/>
      <c r="I17" s="381"/>
      <c r="J17" s="43"/>
      <c r="K17" s="43"/>
      <c r="L17" s="43"/>
      <c r="M17" s="43"/>
      <c r="N17" s="43"/>
      <c r="O17" s="25"/>
      <c r="P17" s="44"/>
      <c r="Q17" s="44"/>
    </row>
    <row r="18" spans="1:17" s="2" customFormat="1" ht="19.95" customHeight="1">
      <c r="A18" s="23"/>
      <c r="B18" s="24"/>
      <c r="C18" s="25"/>
      <c r="D18" s="26"/>
      <c r="E18" s="27"/>
      <c r="F18" s="27"/>
      <c r="G18" s="28"/>
      <c r="H18" s="381"/>
      <c r="I18" s="381"/>
      <c r="J18" s="43"/>
      <c r="K18" s="43"/>
      <c r="L18" s="43"/>
      <c r="M18" s="43"/>
      <c r="N18" s="43"/>
      <c r="O18" s="25"/>
      <c r="P18" s="44"/>
      <c r="Q18" s="44"/>
    </row>
    <row r="19" spans="1:17" s="2" customFormat="1" ht="19.95" customHeight="1">
      <c r="A19" s="23"/>
      <c r="B19" s="24"/>
      <c r="C19" s="25"/>
      <c r="D19" s="26"/>
      <c r="E19" s="27"/>
      <c r="F19" s="27"/>
      <c r="G19" s="28"/>
      <c r="H19" s="381"/>
      <c r="I19" s="381"/>
      <c r="J19" s="43"/>
      <c r="K19" s="43"/>
      <c r="L19" s="43"/>
      <c r="M19" s="43"/>
      <c r="N19" s="43"/>
      <c r="O19" s="25"/>
      <c r="P19" s="44"/>
      <c r="Q19" s="44"/>
    </row>
    <row r="20" spans="1:17" s="2" customFormat="1" ht="19.95" customHeight="1">
      <c r="A20" s="23"/>
      <c r="B20" s="24"/>
      <c r="C20" s="25"/>
      <c r="D20" s="26"/>
      <c r="E20" s="27"/>
      <c r="F20" s="27"/>
      <c r="G20" s="28"/>
      <c r="H20" s="381"/>
      <c r="I20" s="381"/>
      <c r="J20" s="43"/>
      <c r="K20" s="43"/>
      <c r="L20" s="43"/>
      <c r="M20" s="43"/>
      <c r="N20" s="43"/>
      <c r="O20" s="25"/>
      <c r="P20" s="44"/>
      <c r="Q20" s="44"/>
    </row>
    <row r="21" spans="1:17" s="2" customFormat="1" ht="19.95" customHeight="1">
      <c r="A21" s="23"/>
      <c r="B21" s="24"/>
      <c r="C21" s="25"/>
      <c r="D21" s="26"/>
      <c r="E21" s="27"/>
      <c r="F21" s="27"/>
      <c r="G21" s="28"/>
      <c r="H21" s="381"/>
      <c r="I21" s="381"/>
      <c r="J21" s="43"/>
      <c r="K21" s="43"/>
      <c r="L21" s="43"/>
      <c r="M21" s="43"/>
      <c r="N21" s="43"/>
      <c r="O21" s="25"/>
      <c r="P21" s="44"/>
      <c r="Q21" s="44"/>
    </row>
    <row r="22" spans="1:17" s="4" customFormat="1" ht="19.95" customHeight="1">
      <c r="A22" s="378" t="s">
        <v>268</v>
      </c>
      <c r="B22" s="378"/>
      <c r="C22" s="378"/>
      <c r="D22" s="378"/>
      <c r="E22" s="30"/>
      <c r="F22" s="30"/>
      <c r="G22" s="31">
        <f>SUM(G12:G21)</f>
        <v>0</v>
      </c>
      <c r="H22" s="376"/>
      <c r="I22" s="376"/>
      <c r="J22" s="45"/>
      <c r="K22" s="45"/>
      <c r="L22" s="45"/>
      <c r="M22" s="45"/>
      <c r="N22" s="45"/>
      <c r="O22" s="29"/>
      <c r="P22" s="46"/>
      <c r="Q22" s="46"/>
    </row>
    <row r="23" spans="1:17" s="4" customFormat="1" ht="19.95" customHeight="1">
      <c r="A23" s="378" t="s">
        <v>269</v>
      </c>
      <c r="B23" s="378"/>
      <c r="C23" s="378"/>
      <c r="D23" s="378"/>
      <c r="E23" s="30"/>
      <c r="F23" s="30"/>
      <c r="G23" s="31">
        <f>'明细表L8-2'!Q22</f>
        <v>0</v>
      </c>
      <c r="H23" s="379"/>
      <c r="I23" s="380"/>
      <c r="J23" s="45"/>
      <c r="K23" s="45"/>
      <c r="L23" s="45"/>
      <c r="M23" s="45"/>
      <c r="N23" s="45"/>
      <c r="O23" s="29"/>
      <c r="P23" s="46"/>
      <c r="Q23" s="46"/>
    </row>
    <row r="24" spans="1:17" s="4" customFormat="1" ht="19.95" customHeight="1">
      <c r="A24" s="378" t="s">
        <v>270</v>
      </c>
      <c r="B24" s="378"/>
      <c r="C24" s="378"/>
      <c r="D24" s="378"/>
      <c r="E24" s="30"/>
      <c r="F24" s="30"/>
      <c r="G24" s="312" t="e">
        <f>G22/G23</f>
        <v>#DIV/0!</v>
      </c>
      <c r="H24" s="379"/>
      <c r="I24" s="380"/>
      <c r="J24" s="45"/>
      <c r="K24" s="45"/>
      <c r="L24" s="45"/>
      <c r="M24" s="45"/>
      <c r="N24" s="45"/>
      <c r="O24" s="29"/>
      <c r="P24" s="46"/>
      <c r="Q24" s="46"/>
    </row>
    <row r="25" spans="1:17" s="2" customFormat="1" ht="19.95" customHeight="1">
      <c r="A25" s="13" t="s">
        <v>257</v>
      </c>
      <c r="B25" s="13"/>
      <c r="C25" s="304"/>
      <c r="D25" s="304"/>
      <c r="E25" s="304"/>
      <c r="F25" s="304"/>
      <c r="G25" s="304"/>
      <c r="H25" s="305"/>
      <c r="I25" s="47"/>
      <c r="J25" s="47"/>
      <c r="K25" s="36"/>
      <c r="L25" s="306"/>
      <c r="M25" s="306"/>
      <c r="N25" s="306"/>
      <c r="O25" s="306"/>
      <c r="P25" s="307"/>
    </row>
    <row r="26" spans="1:17" s="2" customFormat="1" ht="19.95" customHeight="1">
      <c r="I26" s="47"/>
      <c r="J26" s="47"/>
      <c r="K26" s="35"/>
      <c r="L26" s="35"/>
      <c r="M26" s="35"/>
      <c r="N26" s="35"/>
      <c r="O26" s="35"/>
      <c r="P26" s="36"/>
    </row>
    <row r="27" spans="1:17" s="5" customFormat="1" ht="19.95" customHeight="1">
      <c r="I27" s="47"/>
      <c r="J27" s="47"/>
      <c r="K27" s="48"/>
      <c r="L27" s="48"/>
      <c r="M27" s="48"/>
      <c r="N27" s="48"/>
      <c r="O27" s="48"/>
      <c r="P27" s="48"/>
    </row>
    <row r="28" spans="1:17" s="2" customFormat="1" ht="19.95" customHeight="1">
      <c r="A28" s="34" t="s">
        <v>258</v>
      </c>
      <c r="B28" s="34"/>
      <c r="J28" s="36"/>
      <c r="K28" s="36"/>
      <c r="L28" s="36"/>
      <c r="M28" s="36"/>
      <c r="N28" s="36"/>
      <c r="O28" s="36"/>
      <c r="P28" s="36"/>
    </row>
    <row r="29" spans="1:17" s="2" customFormat="1" ht="19.95" customHeight="1">
      <c r="J29" s="36"/>
      <c r="K29" s="36"/>
      <c r="L29" s="36"/>
      <c r="M29" s="36"/>
      <c r="N29" s="36"/>
      <c r="O29" s="36"/>
      <c r="P29" s="36"/>
    </row>
    <row r="30" spans="1:17" s="2" customFormat="1" ht="18" customHeight="1">
      <c r="A30" s="35"/>
      <c r="B30" s="35"/>
      <c r="D30" s="36"/>
      <c r="E30" s="36"/>
      <c r="F30" s="36"/>
      <c r="G30" s="36"/>
      <c r="H30" s="36"/>
      <c r="I30" s="36"/>
      <c r="J30" s="36"/>
      <c r="K30" s="36"/>
      <c r="L30" s="36"/>
      <c r="M30" s="36"/>
      <c r="N30" s="36"/>
      <c r="O30" s="36"/>
      <c r="P30" s="36"/>
    </row>
    <row r="31" spans="1:17" s="2" customFormat="1" ht="18" customHeight="1">
      <c r="A31" s="35"/>
      <c r="B31" s="35"/>
      <c r="D31" s="36"/>
      <c r="E31" s="36"/>
      <c r="F31" s="36"/>
      <c r="G31" s="36"/>
      <c r="H31" s="36"/>
      <c r="I31" s="36"/>
      <c r="J31" s="36"/>
      <c r="K31" s="36"/>
      <c r="L31" s="36"/>
      <c r="M31" s="36"/>
      <c r="N31" s="36"/>
      <c r="O31" s="36"/>
      <c r="P31" s="36"/>
    </row>
  </sheetData>
  <mergeCells count="25">
    <mergeCell ref="H16:I16"/>
    <mergeCell ref="A1:Q1"/>
    <mergeCell ref="A2:Q2"/>
    <mergeCell ref="J10:N10"/>
    <mergeCell ref="A10:A11"/>
    <mergeCell ref="O10:O11"/>
    <mergeCell ref="P10:P11"/>
    <mergeCell ref="Q10:Q11"/>
    <mergeCell ref="H10:I11"/>
    <mergeCell ref="H22:I22"/>
    <mergeCell ref="B10:G10"/>
    <mergeCell ref="A22:D22"/>
    <mergeCell ref="A23:D23"/>
    <mergeCell ref="A24:D24"/>
    <mergeCell ref="H23:I23"/>
    <mergeCell ref="H24:I24"/>
    <mergeCell ref="H17:I17"/>
    <mergeCell ref="H18:I18"/>
    <mergeCell ref="H19:I19"/>
    <mergeCell ref="H20:I20"/>
    <mergeCell ref="H21:I21"/>
    <mergeCell ref="H12:I12"/>
    <mergeCell ref="H13:I13"/>
    <mergeCell ref="H14:I14"/>
    <mergeCell ref="H15:I15"/>
  </mergeCells>
  <phoneticPr fontId="82" type="noConversion"/>
  <dataValidations count="1">
    <dataValidation type="list" allowBlank="1" showInputMessage="1" showErrorMessage="1" sqref="J12:N24">
      <formula1>"√,X"</formula1>
    </dataValidation>
  </dataValidations>
  <hyperlinks>
    <hyperlink ref="Q3" location="底稿目录!A1" display="=底稿目录!D13"/>
  </hyperlinks>
  <printOptions horizontalCentered="1"/>
  <pageMargins left="0.39370078740157499" right="0.39370078740157499" top="0.35433070866141703" bottom="0.27559055118110198" header="0.31496062992126" footer="0.196850393700787"/>
  <pageSetup paperSize="9" scale="80" orientation="landscape" blackAndWhite="1" r:id="rId1"/>
  <headerFooter alignWithMargins="0">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4">
    <comment s:ref="C3" rgbClr="5CC744"/>
    <comment s:ref="C4" rgbClr="5CC744"/>
    <comment s:ref="C6" rgbClr="5CC744"/>
    <comment s:ref="C7" rgbClr="5CC744"/>
    <comment s:ref="C8" rgbClr="5CC744"/>
    <comment s:ref="C9" rgbClr="5CC744"/>
    <comment s:ref="C10" rgbClr="5CC744"/>
  </commentList>
  <commentList sheetStid="15">
    <comment s:ref="C3" rgbClr="5CC744"/>
    <comment s:ref="B4" rgbClr="5CC744"/>
    <comment s:ref="C4" rgbClr="5CC744"/>
    <comment s:ref="B5" rgbClr="5CC744"/>
    <comment s:ref="C5" rgbClr="5CC744"/>
    <comment s:ref="B6" rgbClr="5CC744"/>
    <comment s:ref="C6" rgbClr="5CC744"/>
    <comment s:ref="B7" rgbClr="5CC744"/>
    <comment s:ref="C7" rgbClr="5CC744"/>
    <comment s:ref="B8" rgbClr="5CC744"/>
    <comment s:ref="C8" rgbClr="5CC7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9</vt:i4>
      </vt:variant>
    </vt:vector>
  </HeadingPairs>
  <TitlesOfParts>
    <vt:vector size="19" baseType="lpstr">
      <vt:lpstr>底稿目录</vt:lpstr>
      <vt:lpstr>实质性程序表L8A</vt:lpstr>
      <vt:lpstr>审定表L8-1</vt:lpstr>
      <vt:lpstr>附注披露信息（上市公司）</vt:lpstr>
      <vt:lpstr>附注披露信息（国企）</vt:lpstr>
      <vt:lpstr>明细表L8-2</vt:lpstr>
      <vt:lpstr>调整分录汇总L8-3</vt:lpstr>
      <vt:lpstr>非金融机构利息支出测算表L8-4</vt:lpstr>
      <vt:lpstr>截止性测试L8-5</vt:lpstr>
      <vt:lpstr>财务费用检查表L8-6</vt:lpstr>
      <vt:lpstr>'财务费用检查表L8-6'!Print_Area</vt:lpstr>
      <vt:lpstr>'调整分录汇总L8-3'!Print_Area</vt:lpstr>
      <vt:lpstr>'非金融机构利息支出测算表L8-4'!Print_Area</vt:lpstr>
      <vt:lpstr>'附注披露信息（国企）'!Print_Area</vt:lpstr>
      <vt:lpstr>'附注披露信息（上市公司）'!Print_Area</vt:lpstr>
      <vt:lpstr>'截止性测试L8-5'!Print_Area</vt:lpstr>
      <vt:lpstr>'明细表L8-2'!Print_Area</vt:lpstr>
      <vt:lpstr>'审定表L8-1'!Print_Area</vt:lpstr>
      <vt:lpstr>实质性程序表L8A!Print_Area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2025-10-24T03:53:13Z</cp:lastPrinted>
  <dcterms:created xsi:type="dcterms:W3CDTF">2013-12-07T13:15:00Z</dcterms:created>
  <dcterms:modified xsi:type="dcterms:W3CDTF">2025-11-05T08:12:30Z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23B144344A62415C83E6B3A5D45B68B1</vt:lpwstr>
  </property>
</Properties>
</file>