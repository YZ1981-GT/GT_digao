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783"/>
  </bookViews>
  <sheets>
    <sheet name="底稿目录" sheetId="1" r:id="rId1"/>
    <sheet name="长期应付款实质性程序表L5A" sheetId="33" r:id="rId2"/>
    <sheet name="审定表L5-1" sheetId="12" r:id="rId3"/>
    <sheet name="附注披露信息（上市公司）" sheetId="21" r:id="rId4"/>
    <sheet name="附注披露信息（国企）" sheetId="23" r:id="rId5"/>
    <sheet name="明细表L5-2" sheetId="17" r:id="rId6"/>
    <sheet name="未确认融资费用明细表L5-3" sheetId="26" r:id="rId7"/>
    <sheet name="调整分录汇总L5-4" sheetId="32" r:id="rId8"/>
    <sheet name="未确认融资费用测算表L5-5" sheetId="24" r:id="rId9"/>
    <sheet name="关联方及交易检查表L5-6" sheetId="25" r:id="rId10"/>
    <sheet name="长期应付款检查表L5-7" sheetId="20" r:id="rId11"/>
    <sheet name="GT_Custom" sheetId="22" state="hidden" r:id="rId12"/>
  </sheets>
  <definedNames>
    <definedName name="_xlnm._FilterDatabase" localSheetId="8" hidden="1">'未确认融资费用测算表L5-5'!$J$9:$J$11</definedName>
    <definedName name="_xlnm._FilterDatabase" localSheetId="1" hidden="1">长期应付款实质性程序表L5A!$A$16:$I$27</definedName>
    <definedName name="AFV" localSheetId="7" hidden="1">#REF!</definedName>
    <definedName name="AFV" localSheetId="1" hidden="1">#REF!</definedName>
    <definedName name="AFV" hidden="1">#REF!</definedName>
    <definedName name="AS2DocOpenMode" hidden="1">"AS2DocumentEdit"</definedName>
    <definedName name="b" hidden="1">#REF!</definedName>
    <definedName name="bs" localSheetId="7" hidden="1">{#N/A,#N/A,FALSE,"BBPREP"}</definedName>
    <definedName name="bs" hidden="1">{#N/A,#N/A,FALSE,"BBPREP"}</definedName>
    <definedName name="bs_1" localSheetId="7" hidden="1">{#N/A,#N/A,FALSE,"BBPREP"}</definedName>
    <definedName name="bs_1" hidden="1">{#N/A,#N/A,FALSE,"BBPREP"}</definedName>
    <definedName name="CCD" localSheetId="7" hidden="1">#REF!</definedName>
    <definedName name="CCD" localSheetId="1" hidden="1">#REF!</definedName>
    <definedName name="CCD" hidden="1">#REF!</definedName>
    <definedName name="CDE" localSheetId="7" hidden="1">#REF!</definedName>
    <definedName name="CDE" localSheetId="1" hidden="1">#REF!</definedName>
    <definedName name="CDE" hidden="1">#REF!</definedName>
    <definedName name="DEX" localSheetId="7" hidden="1">#REF!</definedName>
    <definedName name="DEX" localSheetId="1" hidden="1">#REF!</definedName>
    <definedName name="DEX" hidden="1">#REF!</definedName>
    <definedName name="EDC" localSheetId="7" hidden="1">#REF!</definedName>
    <definedName name="EDC" localSheetId="1" hidden="1">#REF!</definedName>
    <definedName name="EDC" hidden="1">#REF!</definedName>
    <definedName name="FAD" localSheetId="7" hidden="1">#REF!</definedName>
    <definedName name="FAD" localSheetId="1" hidden="1">#REF!</definedName>
    <definedName name="FAD" hidden="1">#REF!</definedName>
    <definedName name="FASD" localSheetId="7" hidden="1">#REF!</definedName>
    <definedName name="FASD" localSheetId="1" hidden="1">#REF!</definedName>
    <definedName name="FASD" hidden="1">#REF!</definedName>
    <definedName name="FEDC" localSheetId="7" hidden="1">#REF!</definedName>
    <definedName name="FEDC" localSheetId="1" hidden="1">#REF!</definedName>
    <definedName name="FEDC" hidden="1">#REF!</definedName>
    <definedName name="_xlnm.Print_Area" localSheetId="7">'调整分录汇总L5-4'!$A$1:$J$20</definedName>
    <definedName name="_xlnm.Print_Area" localSheetId="4">'附注披露信息（国企）'!$A$1:$D$20</definedName>
    <definedName name="_xlnm.Print_Area" localSheetId="3">'附注披露信息（上市公司）'!$A$1:$D$22</definedName>
    <definedName name="_xlnm.Print_Area" localSheetId="9">'关联方及交易检查表L5-6'!$A$1:$O$17</definedName>
    <definedName name="_xlnm.Print_Area" localSheetId="5">'明细表L5-2'!$A$1:$AC$30</definedName>
    <definedName name="_xlnm.Print_Area" localSheetId="2">'审定表L5-1'!$A$1:$O$35</definedName>
    <definedName name="_xlnm.Print_Area" localSheetId="8">'未确认融资费用测算表L5-5'!$A$1:$K$26</definedName>
    <definedName name="_xlnm.Print_Area" localSheetId="6">'未确认融资费用明细表L5-3'!$A$1:$AA$29</definedName>
    <definedName name="_xlnm.Print_Area" localSheetId="10">'长期应付款检查表L5-7'!$A$1:$P$27</definedName>
    <definedName name="_xlnm.Print_Area" localSheetId="1">长期应付款实质性程序表L5A!$A$1:$I$27</definedName>
    <definedName name="_xlnm.Print_Titles" localSheetId="5">'明细表L5-2'!$A:$A,'明细表L5-2'!$8:$9</definedName>
    <definedName name="_xlnm.Print_Titles" localSheetId="6">'未确认融资费用明细表L5-3'!$A:$A,'未确认融资费用明细表L5-3'!$9:$10</definedName>
    <definedName name="_xlnm.Print_Titles" localSheetId="1">长期应付款实质性程序表L5A!$15:$15</definedName>
    <definedName name="RDES" localSheetId="7" hidden="1">#REF!</definedName>
    <definedName name="RDES" localSheetId="1" hidden="1">#REF!</definedName>
    <definedName name="RDES" hidden="1">#REF!</definedName>
    <definedName name="SAPBEXrevision" hidden="1">1</definedName>
    <definedName name="SAPBEXsysID" hidden="1">"PE4"</definedName>
    <definedName name="SAPBEXwbID" hidden="1">"3Q4R7W3VD66V3CXTGQHGIRCBE"</definedName>
    <definedName name="TextRefCopyRangeCount" localSheetId="7" hidden="1">136</definedName>
    <definedName name="TextRefCopyRangeCount" localSheetId="1" hidden="1">136</definedName>
    <definedName name="TextRefCopyRangeCount" hidden="1">4</definedName>
    <definedName name="VFE" localSheetId="7" hidden="1">#REF!</definedName>
    <definedName name="VFE" localSheetId="1" hidden="1">#REF!</definedName>
    <definedName name="VFE" hidden="1">#REF!</definedName>
    <definedName name="XAP" localSheetId="7" hidden="1">#REF!</definedName>
    <definedName name="XAP" localSheetId="1" hidden="1">#REF!</definedName>
    <definedName name="XAP" hidden="1">#REF!</definedName>
    <definedName name="XAQ" localSheetId="7" hidden="1">#REF!</definedName>
    <definedName name="XAQ" localSheetId="1" hidden="1">#REF!</definedName>
    <definedName name="XAQ" hidden="1">#REF!</definedName>
    <definedName name="XCD" localSheetId="7" hidden="1">#REF!</definedName>
    <definedName name="XCD" localSheetId="1" hidden="1">#REF!</definedName>
    <definedName name="XCD" hidden="1">#REF!</definedName>
    <definedName name="XREF_COLUMN_1" localSheetId="7" hidden="1">#REF!</definedName>
    <definedName name="XREF_COLUMN_1" localSheetId="1" hidden="1">#REF!</definedName>
    <definedName name="XREF_COLUMN_1" hidden="1">#REF!</definedName>
    <definedName name="XREF_COLUMN_2" localSheetId="7" hidden="1">#REF!</definedName>
    <definedName name="XREF_COLUMN_2" localSheetId="1" hidden="1">#REF!</definedName>
    <definedName name="XREF_COLUMN_2" hidden="1">#REF!</definedName>
    <definedName name="XREF_COLUMN_3" localSheetId="7" hidden="1">#REF!</definedName>
    <definedName name="XREF_COLUMN_3" localSheetId="1" hidden="1">#REF!</definedName>
    <definedName name="XREF_COLUMN_3" hidden="1">#REF!</definedName>
    <definedName name="XREF_COLUMN_5" localSheetId="7" hidden="1">#REF!</definedName>
    <definedName name="XREF_COLUMN_5" localSheetId="1" hidden="1">#REF!</definedName>
    <definedName name="XREF_COLUMN_5" hidden="1">#REF!</definedName>
    <definedName name="XRefActiveRow" localSheetId="7" hidden="1">#REF!</definedName>
    <definedName name="XRefActiveRow" localSheetId="1" hidden="1">#REF!</definedName>
    <definedName name="XRefActiveRow" hidden="1">#REF!</definedName>
    <definedName name="XRefColumnsCount" hidden="1">2</definedName>
    <definedName name="XRefCopy1" localSheetId="7" hidden="1">#REF!</definedName>
    <definedName name="XRefCopy1" localSheetId="1" hidden="1">#REF!</definedName>
    <definedName name="XRefCopy1" hidden="1">#REF!</definedName>
    <definedName name="XRefCopy1Row" localSheetId="7" hidden="1">#REF!</definedName>
    <definedName name="XRefCopy1Row" localSheetId="1" hidden="1">#REF!</definedName>
    <definedName name="XRefCopy1Row" hidden="1">#REF!</definedName>
    <definedName name="XRefCopy2Row" localSheetId="7" hidden="1">#REF!</definedName>
    <definedName name="XRefCopy2Row" localSheetId="1" hidden="1">#REF!</definedName>
    <definedName name="XRefCopy2Row" hidden="1">#REF!</definedName>
    <definedName name="XRefCopyRangeCount" hidden="1">2</definedName>
    <definedName name="XRefPaste1" localSheetId="7" hidden="1">#REF!</definedName>
    <definedName name="XRefPaste1" localSheetId="1" hidden="1">#REF!</definedName>
    <definedName name="XRefPaste1" hidden="1">#REF!</definedName>
    <definedName name="XRefPaste1Row" localSheetId="7" hidden="1">#REF!</definedName>
    <definedName name="XRefPaste1Row" localSheetId="1" hidden="1">#REF!</definedName>
    <definedName name="XRefPaste1Row" hidden="1">#REF!</definedName>
    <definedName name="XRefPaste2" localSheetId="7" hidden="1">#REF!</definedName>
    <definedName name="XRefPaste2" localSheetId="1" hidden="1">#REF!</definedName>
    <definedName name="XRefPaste2" hidden="1">#REF!</definedName>
    <definedName name="XRefPaste2Row" localSheetId="7" hidden="1">#REF!</definedName>
    <definedName name="XRefPaste2Row" localSheetId="1" hidden="1">#REF!</definedName>
    <definedName name="XRefPaste2Row" hidden="1">#REF!</definedName>
    <definedName name="XRefPaste3" localSheetId="7" hidden="1">#REF!</definedName>
    <definedName name="XRefPaste3" localSheetId="1" hidden="1">#REF!</definedName>
    <definedName name="XRefPaste3" hidden="1">#REF!</definedName>
    <definedName name="XRefPaste3Row" localSheetId="7" hidden="1">#REF!</definedName>
    <definedName name="XRefPaste3Row" localSheetId="1" hidden="1">#REF!</definedName>
    <definedName name="XRefPaste3Row" hidden="1">#REF!</definedName>
    <definedName name="XRefPasteRangeCount" hidden="1">2</definedName>
    <definedName name="本循环科目" localSheetId="7" hidden="1">#REF!</definedName>
    <definedName name="本循环科目" hidden="1">#REF!</definedName>
    <definedName name="底稿目录" localSheetId="7" hidden="1">#REF!</definedName>
    <definedName name="底稿目录" localSheetId="1" hidden="1">#REF!</definedName>
    <definedName name="底稿目录" hidden="1">#REF!</definedName>
    <definedName name="新目录" localSheetId="7"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20" l="1"/>
  <c r="F21" i="20"/>
  <c r="B23" i="24" l="1"/>
  <c r="F23" i="24"/>
  <c r="E23" i="24"/>
  <c r="D23" i="24"/>
  <c r="F13" i="24"/>
  <c r="G12" i="24"/>
  <c r="G4" i="20" l="1"/>
  <c r="D4" i="20"/>
  <c r="A4" i="20"/>
  <c r="P3" i="20"/>
  <c r="G3" i="20"/>
  <c r="D3" i="20"/>
  <c r="A3" i="20"/>
  <c r="J13" i="25"/>
  <c r="I13" i="25"/>
  <c r="H13" i="25"/>
  <c r="G13" i="25"/>
  <c r="F13" i="25"/>
  <c r="E13" i="25"/>
  <c r="D13" i="25"/>
  <c r="J12" i="25"/>
  <c r="I12" i="25"/>
  <c r="F12" i="25"/>
  <c r="J11" i="25"/>
  <c r="I11" i="25"/>
  <c r="F11" i="25"/>
  <c r="J10" i="25"/>
  <c r="I10" i="25"/>
  <c r="F10" i="25"/>
  <c r="J9" i="25"/>
  <c r="I9" i="25"/>
  <c r="F9" i="25"/>
  <c r="J8" i="25"/>
  <c r="I8" i="25"/>
  <c r="F8" i="25"/>
  <c r="J4" i="25"/>
  <c r="F4" i="25"/>
  <c r="A4" i="25"/>
  <c r="O3" i="25"/>
  <c r="J3" i="25"/>
  <c r="F3" i="25"/>
  <c r="A3" i="25"/>
  <c r="I23" i="24"/>
  <c r="G13" i="24"/>
  <c r="H13" i="24" s="1"/>
  <c r="F14" i="24" s="1"/>
  <c r="J12" i="24"/>
  <c r="H4" i="24"/>
  <c r="E4" i="24"/>
  <c r="A4" i="24"/>
  <c r="K3" i="24"/>
  <c r="H3" i="24"/>
  <c r="E3" i="24"/>
  <c r="A3" i="24"/>
  <c r="J3" i="32"/>
  <c r="Y26" i="26"/>
  <c r="X26" i="26"/>
  <c r="W26" i="26"/>
  <c r="V26" i="26"/>
  <c r="S26" i="26"/>
  <c r="R26" i="26"/>
  <c r="Q26" i="26"/>
  <c r="P26" i="26"/>
  <c r="O26" i="26"/>
  <c r="N26" i="26"/>
  <c r="M26" i="26"/>
  <c r="L26" i="26"/>
  <c r="K26" i="26"/>
  <c r="J26" i="26"/>
  <c r="I26" i="26"/>
  <c r="H26" i="26"/>
  <c r="G26" i="26"/>
  <c r="F26" i="26"/>
  <c r="E26" i="26"/>
  <c r="D26" i="26"/>
  <c r="C26" i="26"/>
  <c r="B26" i="26"/>
  <c r="S25" i="26"/>
  <c r="R25" i="26"/>
  <c r="O25" i="26"/>
  <c r="N25" i="26"/>
  <c r="M25" i="26"/>
  <c r="L25" i="26"/>
  <c r="E25" i="26"/>
  <c r="A25" i="26"/>
  <c r="Y24" i="26"/>
  <c r="X24" i="26"/>
  <c r="W24" i="26"/>
  <c r="V24" i="26"/>
  <c r="S24" i="26"/>
  <c r="R24" i="26"/>
  <c r="Q24" i="26"/>
  <c r="P24" i="26"/>
  <c r="O24" i="26"/>
  <c r="N24" i="26"/>
  <c r="M24" i="26"/>
  <c r="L24" i="26"/>
  <c r="K24" i="26"/>
  <c r="J24" i="26"/>
  <c r="I24" i="26"/>
  <c r="H24" i="26"/>
  <c r="G24" i="26"/>
  <c r="F24" i="26"/>
  <c r="E24" i="26"/>
  <c r="D24" i="26"/>
  <c r="C24" i="26"/>
  <c r="B24" i="26"/>
  <c r="S23" i="26"/>
  <c r="R23" i="26"/>
  <c r="O23" i="26"/>
  <c r="N23" i="26"/>
  <c r="M23" i="26"/>
  <c r="L23" i="26"/>
  <c r="E23" i="26"/>
  <c r="A23" i="26"/>
  <c r="S22" i="26"/>
  <c r="R22" i="26"/>
  <c r="O22" i="26"/>
  <c r="N22" i="26"/>
  <c r="M22" i="26"/>
  <c r="L22" i="26"/>
  <c r="E22" i="26"/>
  <c r="A22" i="26"/>
  <c r="S21" i="26"/>
  <c r="R21" i="26"/>
  <c r="O21" i="26"/>
  <c r="N21" i="26"/>
  <c r="M21" i="26"/>
  <c r="L21" i="26"/>
  <c r="E21" i="26"/>
  <c r="A21" i="26"/>
  <c r="S20" i="26"/>
  <c r="R20" i="26"/>
  <c r="O20" i="26"/>
  <c r="N20" i="26"/>
  <c r="M20" i="26"/>
  <c r="L20" i="26"/>
  <c r="E20" i="26"/>
  <c r="A20" i="26"/>
  <c r="S19" i="26"/>
  <c r="R19" i="26"/>
  <c r="O19" i="26"/>
  <c r="N19" i="26"/>
  <c r="M19" i="26"/>
  <c r="L19" i="26"/>
  <c r="E19" i="26"/>
  <c r="A19" i="26"/>
  <c r="Y17" i="26"/>
  <c r="X17" i="26"/>
  <c r="W17" i="26"/>
  <c r="V17" i="26"/>
  <c r="S17" i="26"/>
  <c r="R17" i="26"/>
  <c r="Q17" i="26"/>
  <c r="P17" i="26"/>
  <c r="O17" i="26"/>
  <c r="N17" i="26"/>
  <c r="M17" i="26"/>
  <c r="L17" i="26"/>
  <c r="K17" i="26"/>
  <c r="J17" i="26"/>
  <c r="I17" i="26"/>
  <c r="H17" i="26"/>
  <c r="G17" i="26"/>
  <c r="F17" i="26"/>
  <c r="E17" i="26"/>
  <c r="D17" i="26"/>
  <c r="C17" i="26"/>
  <c r="B17" i="26"/>
  <c r="S16" i="26"/>
  <c r="R16" i="26"/>
  <c r="O16" i="26"/>
  <c r="N16" i="26"/>
  <c r="M16" i="26"/>
  <c r="L16" i="26"/>
  <c r="E16" i="26"/>
  <c r="A16" i="26"/>
  <c r="S15" i="26"/>
  <c r="R15" i="26"/>
  <c r="O15" i="26"/>
  <c r="N15" i="26"/>
  <c r="M15" i="26"/>
  <c r="L15" i="26"/>
  <c r="E15" i="26"/>
  <c r="A15" i="26"/>
  <c r="S14" i="26"/>
  <c r="R14" i="26"/>
  <c r="O14" i="26"/>
  <c r="N14" i="26"/>
  <c r="M14" i="26"/>
  <c r="L14" i="26"/>
  <c r="E14" i="26"/>
  <c r="A14" i="26"/>
  <c r="S13" i="26"/>
  <c r="R13" i="26"/>
  <c r="O13" i="26"/>
  <c r="N13" i="26"/>
  <c r="M13" i="26"/>
  <c r="L13" i="26"/>
  <c r="E13" i="26"/>
  <c r="A13" i="26"/>
  <c r="S12" i="26"/>
  <c r="R12" i="26"/>
  <c r="O12" i="26"/>
  <c r="N12" i="26"/>
  <c r="M12" i="26"/>
  <c r="L12" i="26"/>
  <c r="E12" i="26"/>
  <c r="A12" i="26"/>
  <c r="A11" i="26"/>
  <c r="U4" i="26"/>
  <c r="Q4" i="26"/>
  <c r="I4" i="26"/>
  <c r="E4" i="26"/>
  <c r="A4" i="26"/>
  <c r="AA3" i="26"/>
  <c r="O3" i="26"/>
  <c r="I3" i="26"/>
  <c r="U3" i="26" s="1"/>
  <c r="E3" i="26"/>
  <c r="Q3" i="26" s="1"/>
  <c r="A3" i="26"/>
  <c r="AA25" i="17"/>
  <c r="X25" i="17"/>
  <c r="W25" i="17"/>
  <c r="V25" i="17"/>
  <c r="R25" i="17"/>
  <c r="Q25" i="17"/>
  <c r="P25" i="17"/>
  <c r="L25" i="17"/>
  <c r="I25" i="17"/>
  <c r="H25" i="17"/>
  <c r="G25" i="17"/>
  <c r="F25" i="17"/>
  <c r="E25" i="17"/>
  <c r="D25" i="17"/>
  <c r="C25" i="17"/>
  <c r="B25" i="17"/>
  <c r="S24" i="17"/>
  <c r="R24" i="17"/>
  <c r="O24" i="17"/>
  <c r="N24" i="17"/>
  <c r="M24" i="17"/>
  <c r="L24" i="17"/>
  <c r="E24" i="17"/>
  <c r="AA23" i="17"/>
  <c r="X23" i="17"/>
  <c r="W23" i="17"/>
  <c r="V23" i="17"/>
  <c r="S23" i="17"/>
  <c r="R23" i="17"/>
  <c r="Q23" i="17"/>
  <c r="P23" i="17"/>
  <c r="O23" i="17"/>
  <c r="N23" i="17"/>
  <c r="M23" i="17"/>
  <c r="L23" i="17"/>
  <c r="K23" i="17"/>
  <c r="J23" i="17"/>
  <c r="I23" i="17"/>
  <c r="H23" i="17"/>
  <c r="G23" i="17"/>
  <c r="F23" i="17"/>
  <c r="E23" i="17"/>
  <c r="D23" i="17"/>
  <c r="C23" i="17"/>
  <c r="B23" i="17"/>
  <c r="S22" i="17"/>
  <c r="R22" i="17"/>
  <c r="O22" i="17"/>
  <c r="N22" i="17"/>
  <c r="M22" i="17"/>
  <c r="L22" i="17"/>
  <c r="E22" i="17"/>
  <c r="S21" i="17"/>
  <c r="R21" i="17"/>
  <c r="O21" i="17"/>
  <c r="N21" i="17"/>
  <c r="M21" i="17"/>
  <c r="L21" i="17"/>
  <c r="E21" i="17"/>
  <c r="S20" i="17"/>
  <c r="R20" i="17"/>
  <c r="O20" i="17"/>
  <c r="N20" i="17"/>
  <c r="M20" i="17"/>
  <c r="L20" i="17"/>
  <c r="E20" i="17"/>
  <c r="S19" i="17"/>
  <c r="R19" i="17"/>
  <c r="O19" i="17"/>
  <c r="N19" i="17"/>
  <c r="M19" i="17"/>
  <c r="L19" i="17"/>
  <c r="E19" i="17"/>
  <c r="S18" i="17"/>
  <c r="R18" i="17"/>
  <c r="O18" i="17"/>
  <c r="N18" i="17"/>
  <c r="M18" i="17"/>
  <c r="L18" i="17"/>
  <c r="E18" i="17"/>
  <c r="AA16" i="17"/>
  <c r="X16" i="17"/>
  <c r="W16" i="17"/>
  <c r="V16" i="17"/>
  <c r="R16" i="17"/>
  <c r="Q16" i="17"/>
  <c r="P16" i="17"/>
  <c r="L16" i="17"/>
  <c r="K16" i="17"/>
  <c r="K25" i="17" s="1"/>
  <c r="J16" i="17"/>
  <c r="I16" i="17"/>
  <c r="H16" i="17"/>
  <c r="G16" i="17"/>
  <c r="F16" i="17"/>
  <c r="E16" i="17"/>
  <c r="D16" i="17"/>
  <c r="C16" i="17"/>
  <c r="B16" i="17"/>
  <c r="S15" i="17"/>
  <c r="R15" i="17"/>
  <c r="O15" i="17"/>
  <c r="N15" i="17"/>
  <c r="M15" i="17"/>
  <c r="L15" i="17"/>
  <c r="E15" i="17"/>
  <c r="S14" i="17"/>
  <c r="R14" i="17"/>
  <c r="O14" i="17"/>
  <c r="N14" i="17"/>
  <c r="M14" i="17"/>
  <c r="L14" i="17"/>
  <c r="E14" i="17"/>
  <c r="S13" i="17"/>
  <c r="R13" i="17"/>
  <c r="O13" i="17"/>
  <c r="N13" i="17"/>
  <c r="M13" i="17"/>
  <c r="L13" i="17"/>
  <c r="E13" i="17"/>
  <c r="S12" i="17"/>
  <c r="R12" i="17"/>
  <c r="O12" i="17"/>
  <c r="N12" i="17"/>
  <c r="M12" i="17"/>
  <c r="L12" i="17"/>
  <c r="E12" i="17"/>
  <c r="R11" i="17"/>
  <c r="N11" i="17"/>
  <c r="N16" i="17" s="1"/>
  <c r="N25" i="17" s="1"/>
  <c r="G22" i="20" s="1"/>
  <c r="G23" i="20" s="1"/>
  <c r="M11" i="17"/>
  <c r="O11" i="17" s="1"/>
  <c r="L11" i="17"/>
  <c r="E11" i="17"/>
  <c r="R4" i="17"/>
  <c r="J4" i="17"/>
  <c r="U4" i="17" s="1"/>
  <c r="E4" i="17"/>
  <c r="A4" i="17"/>
  <c r="AC3" i="17"/>
  <c r="U3" i="17"/>
  <c r="O3" i="17"/>
  <c r="J3" i="17"/>
  <c r="E3" i="17"/>
  <c r="R3" i="17" s="1"/>
  <c r="A3" i="17"/>
  <c r="C20" i="23"/>
  <c r="C19" i="23"/>
  <c r="B19" i="23"/>
  <c r="C18" i="23"/>
  <c r="C17" i="23"/>
  <c r="A16" i="23"/>
  <c r="A15" i="23"/>
  <c r="A14" i="23"/>
  <c r="A13" i="23"/>
  <c r="A12" i="23"/>
  <c r="C9" i="23"/>
  <c r="C7" i="23"/>
  <c r="C4" i="23"/>
  <c r="B4" i="23"/>
  <c r="A4" i="23"/>
  <c r="C3" i="23"/>
  <c r="B3" i="23"/>
  <c r="A3" i="23"/>
  <c r="C21" i="21"/>
  <c r="C20" i="21"/>
  <c r="B20" i="21"/>
  <c r="C19" i="21"/>
  <c r="C18" i="21"/>
  <c r="B18" i="21"/>
  <c r="A18" i="21"/>
  <c r="C17" i="21"/>
  <c r="B17" i="21"/>
  <c r="A17" i="21"/>
  <c r="C16" i="21"/>
  <c r="B16" i="21"/>
  <c r="A16" i="21"/>
  <c r="C14" i="21"/>
  <c r="B14" i="21"/>
  <c r="A14" i="21"/>
  <c r="C13" i="21"/>
  <c r="B13" i="21"/>
  <c r="A13" i="21"/>
  <c r="C12" i="21"/>
  <c r="A12" i="21"/>
  <c r="C9" i="21"/>
  <c r="C7" i="21"/>
  <c r="C4" i="21"/>
  <c r="B4" i="21"/>
  <c r="A4" i="21"/>
  <c r="C3" i="21"/>
  <c r="B3" i="21"/>
  <c r="A3" i="21"/>
  <c r="C32" i="12"/>
  <c r="C30" i="12"/>
  <c r="C28" i="12"/>
  <c r="L21" i="12"/>
  <c r="I21" i="12"/>
  <c r="H21" i="12"/>
  <c r="G21" i="12"/>
  <c r="F21" i="12"/>
  <c r="E21" i="12"/>
  <c r="D21" i="12"/>
  <c r="C21" i="12"/>
  <c r="B21" i="12"/>
  <c r="O20" i="12"/>
  <c r="N20" i="12"/>
  <c r="M20" i="12"/>
  <c r="L20" i="12"/>
  <c r="K20" i="12"/>
  <c r="J20" i="12"/>
  <c r="I20" i="12"/>
  <c r="H20" i="12"/>
  <c r="G20" i="12"/>
  <c r="F20" i="12"/>
  <c r="E20" i="12"/>
  <c r="D20" i="12"/>
  <c r="C20" i="12"/>
  <c r="B20" i="12"/>
  <c r="O19" i="12"/>
  <c r="N19" i="12"/>
  <c r="M19" i="12"/>
  <c r="L19" i="12"/>
  <c r="K19" i="12"/>
  <c r="J19" i="12"/>
  <c r="I19" i="12"/>
  <c r="H19" i="12"/>
  <c r="G19" i="12"/>
  <c r="F19" i="12"/>
  <c r="E19" i="12"/>
  <c r="D19" i="12"/>
  <c r="C19" i="12"/>
  <c r="B19" i="12"/>
  <c r="L18" i="12"/>
  <c r="I18" i="12"/>
  <c r="H18" i="12"/>
  <c r="G18" i="12"/>
  <c r="F18" i="12"/>
  <c r="E18" i="12"/>
  <c r="D18" i="12"/>
  <c r="C18" i="12"/>
  <c r="B18" i="12"/>
  <c r="O16" i="12"/>
  <c r="N16" i="12"/>
  <c r="M16" i="12"/>
  <c r="L16" i="12"/>
  <c r="K16" i="12"/>
  <c r="J16" i="12"/>
  <c r="I16" i="12"/>
  <c r="H16" i="12"/>
  <c r="G16" i="12"/>
  <c r="F16" i="12"/>
  <c r="E16" i="12"/>
  <c r="D16" i="12"/>
  <c r="C16" i="12"/>
  <c r="B16" i="12"/>
  <c r="O15" i="12"/>
  <c r="N15" i="12"/>
  <c r="M15" i="12"/>
  <c r="L15" i="12"/>
  <c r="K15" i="12"/>
  <c r="J15" i="12"/>
  <c r="I15" i="12"/>
  <c r="H15" i="12"/>
  <c r="G15" i="12"/>
  <c r="F15" i="12"/>
  <c r="E15" i="12"/>
  <c r="D15" i="12"/>
  <c r="C15" i="12"/>
  <c r="B15" i="12"/>
  <c r="O14" i="12"/>
  <c r="N14" i="12"/>
  <c r="M14" i="12"/>
  <c r="L14" i="12"/>
  <c r="K14" i="12"/>
  <c r="J14" i="12"/>
  <c r="I14" i="12"/>
  <c r="H14" i="12"/>
  <c r="G14" i="12"/>
  <c r="F14" i="12"/>
  <c r="E14" i="12"/>
  <c r="D14" i="12"/>
  <c r="C14" i="12"/>
  <c r="B14" i="12"/>
  <c r="O13" i="12"/>
  <c r="N13" i="12"/>
  <c r="M13" i="12"/>
  <c r="L13" i="12"/>
  <c r="K13" i="12"/>
  <c r="J13" i="12"/>
  <c r="I13" i="12"/>
  <c r="H13" i="12"/>
  <c r="G13" i="12"/>
  <c r="F13" i="12"/>
  <c r="E13" i="12"/>
  <c r="D13" i="12"/>
  <c r="C13" i="12"/>
  <c r="B13" i="12"/>
  <c r="L11" i="12"/>
  <c r="I11" i="12"/>
  <c r="H11" i="12"/>
  <c r="G11" i="12"/>
  <c r="F11" i="12"/>
  <c r="E11" i="12"/>
  <c r="D11" i="12"/>
  <c r="C11" i="12"/>
  <c r="B11" i="12"/>
  <c r="O10" i="12"/>
  <c r="N10" i="12"/>
  <c r="M10" i="12"/>
  <c r="L10" i="12"/>
  <c r="K10" i="12"/>
  <c r="J10" i="12"/>
  <c r="I10" i="12"/>
  <c r="H10" i="12"/>
  <c r="G10" i="12"/>
  <c r="F10" i="12"/>
  <c r="E10" i="12"/>
  <c r="D10" i="12"/>
  <c r="C10" i="12"/>
  <c r="B10" i="12"/>
  <c r="O9" i="12"/>
  <c r="N9" i="12"/>
  <c r="M9" i="12"/>
  <c r="L9" i="12"/>
  <c r="K9" i="12"/>
  <c r="J9" i="12"/>
  <c r="I9" i="12"/>
  <c r="H9" i="12"/>
  <c r="G9" i="12"/>
  <c r="F9" i="12"/>
  <c r="E9" i="12"/>
  <c r="D9" i="12"/>
  <c r="C9" i="12"/>
  <c r="B9" i="12"/>
  <c r="L8" i="12"/>
  <c r="I8" i="12"/>
  <c r="H8" i="12"/>
  <c r="G8" i="12"/>
  <c r="F8" i="12"/>
  <c r="E8" i="12"/>
  <c r="D8" i="12"/>
  <c r="C8" i="12"/>
  <c r="B8" i="12"/>
  <c r="J4" i="12"/>
  <c r="E4" i="12"/>
  <c r="A4" i="12"/>
  <c r="O3" i="12"/>
  <c r="J3" i="12"/>
  <c r="E3" i="12"/>
  <c r="A3" i="12"/>
  <c r="E4" i="33"/>
  <c r="C4" i="33"/>
  <c r="A4" i="33"/>
  <c r="E3" i="33"/>
  <c r="C3" i="33"/>
  <c r="A3" i="33"/>
  <c r="E18" i="1"/>
  <c r="J8" i="12" l="1"/>
  <c r="J18" i="12" s="1"/>
  <c r="J21" i="12" s="1"/>
  <c r="O16" i="17"/>
  <c r="S11" i="17"/>
  <c r="S16" i="17" s="1"/>
  <c r="S25" i="17" s="1"/>
  <c r="M16" i="17"/>
  <c r="M25" i="17" s="1"/>
  <c r="F22" i="20" s="1"/>
  <c r="F23" i="20" s="1"/>
  <c r="J25" i="17"/>
  <c r="G14" i="24"/>
  <c r="H14" i="24" s="1"/>
  <c r="J13" i="24"/>
  <c r="J11" i="12" l="1"/>
  <c r="K8" i="12"/>
  <c r="B12" i="21"/>
  <c r="B19" i="21" s="1"/>
  <c r="B21" i="21" s="1"/>
  <c r="B7" i="21" s="1"/>
  <c r="B9" i="21" s="1"/>
  <c r="O25" i="17"/>
  <c r="B17" i="23" s="1"/>
  <c r="B18" i="23" s="1"/>
  <c r="B20" i="23" s="1"/>
  <c r="B7" i="23" s="1"/>
  <c r="B9" i="23" s="1"/>
  <c r="K11" i="12"/>
  <c r="N11" i="12" s="1"/>
  <c r="O11" i="12" s="1"/>
  <c r="M8" i="12"/>
  <c r="K18" i="12"/>
  <c r="N8" i="12"/>
  <c r="O8" i="12" s="1"/>
  <c r="F15" i="24"/>
  <c r="G15" i="24" s="1"/>
  <c r="H15" i="24" s="1"/>
  <c r="J14" i="24"/>
  <c r="N18" i="12" l="1"/>
  <c r="O18" i="12" s="1"/>
  <c r="K21" i="12"/>
  <c r="N21" i="12" s="1"/>
  <c r="O21" i="12" s="1"/>
  <c r="M18" i="12"/>
  <c r="M21" i="12" s="1"/>
  <c r="B28" i="12" s="1"/>
  <c r="B30" i="12" s="1"/>
  <c r="B32" i="12" s="1"/>
  <c r="M11" i="12"/>
  <c r="J15" i="24"/>
  <c r="F16" i="24"/>
  <c r="G16" i="24"/>
  <c r="H16" i="24" l="1"/>
  <c r="F17" i="24" l="1"/>
  <c r="J16" i="24"/>
  <c r="G17" i="24" l="1"/>
  <c r="H17" i="24" s="1"/>
  <c r="F18" i="24" l="1"/>
  <c r="J17" i="24"/>
  <c r="G18" i="24" l="1"/>
  <c r="H18" i="24" s="1"/>
  <c r="F19" i="24" l="1"/>
  <c r="G19" i="24" s="1"/>
  <c r="H19" i="24" s="1"/>
  <c r="J18" i="24"/>
  <c r="F20" i="24" l="1"/>
  <c r="G20" i="24" s="1"/>
  <c r="H20" i="24" s="1"/>
  <c r="J19" i="24"/>
  <c r="F21" i="24" l="1"/>
  <c r="G21" i="24" s="1"/>
  <c r="H21" i="24" s="1"/>
  <c r="J20" i="24"/>
  <c r="F22" i="24" l="1"/>
  <c r="J21" i="24"/>
  <c r="G22" i="24" l="1"/>
  <c r="G23" i="24" l="1"/>
  <c r="H22" i="24"/>
  <c r="J22" i="24" l="1"/>
  <c r="J23" i="24" s="1"/>
  <c r="H23" i="24"/>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dxn</author>
  </authors>
  <commentList>
    <comment ref="E9" authorId="0" shapeId="0">
      <text>
        <r>
          <rPr>
            <b/>
            <sz val="9"/>
            <rFont val="宋体"/>
            <family val="3"/>
            <charset val="134"/>
          </rPr>
          <t>未确认融资费用</t>
        </r>
        <r>
          <rPr>
            <b/>
            <sz val="9"/>
            <rFont val="Tahoma"/>
            <family val="2"/>
          </rPr>
          <t>=</t>
        </r>
        <r>
          <rPr>
            <b/>
            <sz val="9"/>
            <rFont val="宋体"/>
            <family val="3"/>
            <charset val="134"/>
          </rPr>
          <t>最低租赁付款额</t>
        </r>
        <r>
          <rPr>
            <b/>
            <sz val="9"/>
            <rFont val="Tahoma"/>
            <family val="2"/>
          </rPr>
          <t>-[</t>
        </r>
        <r>
          <rPr>
            <b/>
            <sz val="9"/>
            <rFont val="宋体"/>
            <family val="3"/>
            <charset val="134"/>
          </rPr>
          <t>最低租赁付款额现值与租赁资产公允价值两者之中的较小者</t>
        </r>
        <r>
          <rPr>
            <b/>
            <sz val="9"/>
            <rFont val="Tahoma"/>
            <family val="2"/>
          </rPr>
          <t>]</t>
        </r>
        <r>
          <rPr>
            <sz val="9"/>
            <rFont val="Tahoma"/>
            <family val="2"/>
          </rPr>
          <t xml:space="preserve">
</t>
        </r>
      </text>
    </comment>
    <comment ref="G9" authorId="0" shapeId="0">
      <text>
        <r>
          <rPr>
            <b/>
            <sz val="9"/>
            <rFont val="宋体"/>
            <family val="3"/>
            <charset val="134"/>
          </rPr>
          <t>应付本金在融资租赁中等于最低租赁付款额的现值与租赁资产公允价值两者中的较低者，在分期付款中等于长期应付款的现值。</t>
        </r>
        <r>
          <rPr>
            <sz val="9"/>
            <rFont val="Tahoma"/>
            <family val="2"/>
          </rPr>
          <t xml:space="preserve">
</t>
        </r>
      </text>
    </comment>
  </commentList>
</comments>
</file>

<file path=xl/sharedStrings.xml><?xml version="1.0" encoding="utf-8"?>
<sst xmlns="http://schemas.openxmlformats.org/spreadsheetml/2006/main" count="500" uniqueCount="321">
  <si>
    <t>底稿开列时，可先在以下单元格填写有关内容，以便其他底稿引用有关数据：</t>
  </si>
  <si>
    <r>
      <rPr>
        <sz val="10"/>
        <rFont val="宋体"/>
        <family val="3"/>
        <charset val="134"/>
      </rPr>
      <t>被审计单位：</t>
    </r>
  </si>
  <si>
    <t>序号</t>
  </si>
  <si>
    <t>内容</t>
  </si>
  <si>
    <t>索引号</t>
  </si>
  <si>
    <t>长期应付款实质性程序表</t>
  </si>
  <si>
    <t xml:space="preserve">L5A </t>
  </si>
  <si>
    <t>编制人：</t>
  </si>
  <si>
    <t>审定表</t>
  </si>
  <si>
    <t>L5-1</t>
  </si>
  <si>
    <t>编制日期：</t>
  </si>
  <si>
    <t>附注披露信息（上市公司）</t>
  </si>
  <si>
    <t>无需打印</t>
  </si>
  <si>
    <t>复核人：</t>
  </si>
  <si>
    <t>附注披露信息（国企）</t>
  </si>
  <si>
    <t>复核日期：</t>
  </si>
  <si>
    <t>明细表</t>
  </si>
  <si>
    <t>L5-2</t>
  </si>
  <si>
    <t>明细表（未确认融资费用）</t>
  </si>
  <si>
    <t>L5-3</t>
  </si>
  <si>
    <t>调整分录汇总</t>
  </si>
  <si>
    <t>L5-4</t>
  </si>
  <si>
    <t>未确认融资费用测算表</t>
  </si>
  <si>
    <t>L5-5</t>
  </si>
  <si>
    <t>L5-6</t>
  </si>
  <si>
    <t>长期应付款检查表</t>
  </si>
  <si>
    <t>L5-7</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</si>
  <si>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</si>
  <si>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</si>
  <si>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一、本账户涉及的科目</t>
  </si>
  <si>
    <t>长期应付款</t>
  </si>
  <si>
    <r>
      <rPr>
        <sz val="10"/>
        <rFont val="宋体"/>
        <family val="3"/>
        <charset val="134"/>
      </rPr>
      <t>存在</t>
    </r>
  </si>
  <si>
    <r>
      <rPr>
        <sz val="10"/>
        <rFont val="宋体"/>
        <family val="3"/>
        <charset val="134"/>
      </rPr>
      <t>完整性</t>
    </r>
  </si>
  <si>
    <r>
      <rPr>
        <sz val="10"/>
        <rFont val="宋体"/>
        <family val="3"/>
        <charset val="134"/>
      </rPr>
      <t>权利和义务</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</si>
  <si>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</si>
  <si>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</si>
  <si>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</si>
  <si>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t>常规★</t>
  </si>
  <si>
    <t>1</t>
  </si>
  <si>
    <t>2</t>
  </si>
  <si>
    <t>3</t>
  </si>
  <si>
    <t>4</t>
  </si>
  <si>
    <r>
      <rPr>
        <b/>
        <sz val="12"/>
        <rFont val="宋体"/>
        <family val="3"/>
        <charset val="134"/>
      </rPr>
      <t>致同会计师事务所</t>
    </r>
  </si>
  <si>
    <r>
      <rPr>
        <b/>
        <sz val="14"/>
        <rFont val="宋体"/>
        <family val="3"/>
        <charset val="134"/>
      </rPr>
      <t>长期应付款实质性程序</t>
    </r>
  </si>
  <si>
    <t>二、审计目标与认定的对应关系</t>
  </si>
  <si>
    <t>审计目标</t>
  </si>
  <si>
    <t>财务报表的认定　</t>
  </si>
  <si>
    <r>
      <rPr>
        <sz val="10"/>
        <rFont val="Arial Narrow"/>
        <family val="2"/>
      </rPr>
      <t xml:space="preserve">A. </t>
    </r>
    <r>
      <rPr>
        <sz val="10"/>
        <rFont val="宋体"/>
        <family val="3"/>
        <charset val="134"/>
      </rPr>
      <t>资产负债表中记录的长期应付款是存在的，且已记录于恰当的账户</t>
    </r>
  </si>
  <si>
    <r>
      <rPr>
        <sz val="10"/>
        <rFont val="Arial Narrow"/>
        <family val="2"/>
      </rPr>
      <t xml:space="preserve">B. </t>
    </r>
    <r>
      <rPr>
        <sz val="10"/>
        <rFont val="宋体"/>
        <family val="3"/>
        <charset val="134"/>
      </rPr>
      <t>所有应记录的长期应付款均已记录，所有应当包括在财务报表中的相关披露均已包括</t>
    </r>
  </si>
  <si>
    <r>
      <rPr>
        <sz val="10"/>
        <rFont val="Arial Narrow"/>
        <family val="2"/>
      </rPr>
      <t xml:space="preserve">C. </t>
    </r>
    <r>
      <rPr>
        <sz val="10"/>
        <rFont val="宋体"/>
        <family val="3"/>
        <charset val="134"/>
      </rPr>
      <t>记录的长期应付款是被审计单位应当履行的偿还义务</t>
    </r>
  </si>
  <si>
    <r>
      <rPr>
        <sz val="10"/>
        <rFont val="Arial Narrow"/>
        <family val="2"/>
      </rPr>
      <t xml:space="preserve">D. </t>
    </r>
    <r>
      <rPr>
        <sz val="10"/>
        <rFont val="宋体"/>
        <family val="3"/>
        <charset val="134"/>
      </rPr>
      <t>长期应付款以恰当的金额包括在财务报表中，与之相关的计价或分摊调整已恰当记录，相关披露已得到恰当计量和描述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</si>
  <si>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</si>
  <si>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长期应付款已被恰当地汇总或分解且表述清楚，相关披露在按照企业会计准则的编制基础下是相关的、可理解的</t>
    </r>
  </si>
  <si>
    <r>
      <rPr>
        <sz val="10"/>
        <rFont val="宋体"/>
        <family val="3"/>
        <charset val="134"/>
      </rPr>
      <t>列报</t>
    </r>
  </si>
  <si>
    <t>财务报表的认定</t>
  </si>
  <si>
    <r>
      <rPr>
        <b/>
        <sz val="10"/>
        <rFont val="宋体"/>
        <family val="3"/>
        <charset val="134"/>
      </rPr>
      <t>底稿索引号</t>
    </r>
  </si>
  <si>
    <r>
      <rPr>
        <b/>
        <sz val="10"/>
        <rFont val="宋体"/>
        <family val="3"/>
        <charset val="134"/>
      </rPr>
      <t>存在</t>
    </r>
  </si>
  <si>
    <r>
      <rPr>
        <b/>
        <sz val="10"/>
        <rFont val="宋体"/>
        <family val="3"/>
        <charset val="134"/>
      </rPr>
      <t>完整性</t>
    </r>
  </si>
  <si>
    <r>
      <rPr>
        <b/>
        <sz val="10"/>
        <rFont val="宋体"/>
        <family val="3"/>
        <charset val="134"/>
      </rPr>
      <t>权利和义务</t>
    </r>
  </si>
  <si>
    <r>
      <rPr>
        <b/>
        <sz val="10"/>
        <rFont val="宋体"/>
        <family val="3"/>
        <charset val="134"/>
      </rPr>
      <t>准确性、计价和分摊</t>
    </r>
  </si>
  <si>
    <r>
      <rPr>
        <b/>
        <sz val="10"/>
        <rFont val="宋体"/>
        <family val="3"/>
        <charset val="134"/>
      </rPr>
      <t>列报</t>
    </r>
  </si>
  <si>
    <r>
      <rPr>
        <sz val="10"/>
        <color theme="1"/>
        <rFont val="宋体"/>
        <family val="3"/>
        <charset val="134"/>
      </rPr>
      <t>获取或编制长期应付款明细表，完成以下工作，并编制审定表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）获取管理层编制的应付账款账龄分析表，检查账龄划分是否正确；
（</t>
    </r>
    <r>
      <rPr>
        <sz val="10"/>
        <color theme="1"/>
        <rFont val="Arial Narrow"/>
        <family val="2"/>
      </rPr>
      <t>2</t>
    </r>
    <r>
      <rPr>
        <sz val="10"/>
        <color theme="1"/>
        <rFont val="宋体"/>
        <family val="3"/>
        <charset val="134"/>
      </rPr>
      <t>）确定流动负债和非流动负债的划分是否正确</t>
    </r>
    <r>
      <rPr>
        <sz val="10"/>
        <color theme="1"/>
        <rFont val="Arial Narrow"/>
        <family val="2"/>
      </rPr>
      <t xml:space="preserve"> </t>
    </r>
    <r>
      <rPr>
        <sz val="10"/>
        <color theme="1"/>
        <rFont val="宋体"/>
        <family val="3"/>
        <charset val="134"/>
      </rPr>
      <t>。</t>
    </r>
  </si>
  <si>
    <r>
      <rPr>
        <sz val="10"/>
        <color theme="1"/>
        <rFont val="宋体"/>
        <family val="3"/>
        <charset val="134"/>
      </rPr>
      <t>常规★</t>
    </r>
  </si>
  <si>
    <r>
      <rPr>
        <sz val="10"/>
        <color theme="1"/>
        <rFont val="宋体"/>
        <family val="3"/>
        <charset val="134"/>
      </rPr>
      <t>√</t>
    </r>
  </si>
  <si>
    <r>
      <rPr>
        <b/>
        <sz val="10"/>
        <color theme="1"/>
        <rFont val="宋体"/>
        <family val="3"/>
        <charset val="134"/>
      </rPr>
      <t>√</t>
    </r>
  </si>
  <si>
    <t>L5-1
/L5-2</t>
  </si>
  <si>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</si>
  <si>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</si>
  <si>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</si>
  <si>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r>
      <rPr>
        <sz val="10"/>
        <rFont val="宋体"/>
        <family val="3"/>
        <charset val="134"/>
      </rPr>
      <t>对期初余额的审计，取得长期应付款期初余额明细表复核加计是否正确，与总账、明细账合计数是否相符，检查上期长期应付款在本期支付情况，函证期初余额以及其他必要追加的审计程序。</t>
    </r>
    <r>
      <rPr>
        <sz val="10"/>
        <color rgb="FFFF0000"/>
        <rFont val="宋体"/>
        <family val="3"/>
        <charset val="134"/>
      </rPr>
      <t>（适用于首次承接）</t>
    </r>
  </si>
  <si>
    <t>备选</t>
  </si>
  <si>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</si>
  <si>
    <t>关注会计政策、会计估计合理性、一贯性，关注其是否利用会计政策和会计估计及其变更操纵利润。</t>
  </si>
  <si>
    <t>5</t>
  </si>
  <si>
    <t>检查长期应付款长期挂账的原因并作出记录，分析账龄较长的原因，是否双方有纠纷等，考虑负债计提是否充分，对确实无需支付的应付款的会计处理是否正确。</t>
  </si>
  <si>
    <t>6</t>
  </si>
  <si>
    <t>对长期应付款的利息费用执行如下程序：
（1）与被审计单位讨论确定实际利率或经信用调整的实际利率确定依据是否充分，复核实际利率或经信用调整的实际利率是否与前期一致；
（2）重新计算占有期间的利息，与被审计单位账面记录核对，如果存在差异，应查明原因并考虑进行审计调整；</t>
  </si>
  <si>
    <t>L5-3
/L5-5</t>
  </si>
  <si>
    <t>7</t>
  </si>
  <si>
    <r>
      <rPr>
        <sz val="10"/>
        <color indexed="8"/>
        <rFont val="宋体"/>
        <family val="3"/>
        <charset val="134"/>
      </rPr>
      <t>实施函证程序：
（</t>
    </r>
    <r>
      <rPr>
        <sz val="10"/>
        <color indexed="8"/>
        <rFont val="Arial Narrow"/>
        <family val="2"/>
      </rPr>
      <t>1</t>
    </r>
    <r>
      <rPr>
        <sz val="10"/>
        <color indexed="8"/>
        <rFont val="宋体"/>
        <family val="3"/>
        <charset val="134"/>
      </rPr>
      <t>）以积极方式对长期应付款进行函证，设计询证函、发函前核实被函证单位信息；
（</t>
    </r>
    <r>
      <rPr>
        <sz val="10"/>
        <color indexed="8"/>
        <rFont val="Arial Narrow"/>
        <family val="2"/>
      </rPr>
      <t>2</t>
    </r>
    <r>
      <rPr>
        <sz val="10"/>
        <color indexed="8"/>
        <rFont val="宋体"/>
        <family val="3"/>
        <charset val="134"/>
      </rPr>
      <t>）注册会计师独立收发询证函；
（</t>
    </r>
    <r>
      <rPr>
        <sz val="10"/>
        <color indexed="8"/>
        <rFont val="Arial Narrow"/>
        <family val="2"/>
      </rPr>
      <t>3</t>
    </r>
    <r>
      <rPr>
        <sz val="10"/>
        <color indexed="8"/>
        <rFont val="宋体"/>
        <family val="3"/>
        <charset val="134"/>
      </rPr>
      <t>）编制函证结果汇总表，检查发函、回函物流信息和轨迹、比对回函印章和签字等以核实回函的真实性，检查回函是否相符，对不符事项查明原因确定是否存在错报；
（</t>
    </r>
    <r>
      <rPr>
        <sz val="10"/>
        <color indexed="8"/>
        <rFont val="Arial Narrow"/>
        <family val="2"/>
      </rPr>
      <t>4</t>
    </r>
    <r>
      <rPr>
        <sz val="10"/>
        <color indexed="8"/>
        <rFont val="宋体"/>
        <family val="3"/>
        <charset val="134"/>
      </rPr>
      <t>）如果未收到回函，应当考虑与被询证者联系，要求对方作出回应或再次寄发询证函，无法收到的回函实施替代程序；
（</t>
    </r>
    <r>
      <rPr>
        <sz val="10"/>
        <color indexed="8"/>
        <rFont val="Arial Narrow"/>
        <family val="2"/>
      </rPr>
      <t>5</t>
    </r>
    <r>
      <rPr>
        <sz val="10"/>
        <color indexed="8"/>
        <rFont val="宋体"/>
        <family val="3"/>
        <charset val="134"/>
      </rPr>
      <t>）如果管理层不允许寄发询证函的，询问管理层不允许寄发的原因，并就其原因的正当、合理性收集证据；考虑实施替代审计程序以获取相关、可靠的审计证据；
（</t>
    </r>
    <r>
      <rPr>
        <sz val="10"/>
        <color indexed="8"/>
        <rFont val="Arial Narrow"/>
        <family val="2"/>
      </rPr>
      <t>6</t>
    </r>
    <r>
      <rPr>
        <sz val="10"/>
        <color indexed="8"/>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</si>
  <si>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L0</t>
  </si>
  <si>
    <t>8</t>
  </si>
  <si>
    <r>
      <rPr>
        <sz val="10"/>
        <color indexed="8"/>
        <rFont val="宋体"/>
        <family val="3"/>
        <charset val="134"/>
      </rPr>
      <t>检查长期应付关联方款项：
（</t>
    </r>
    <r>
      <rPr>
        <sz val="10"/>
        <color indexed="8"/>
        <rFont val="Arial Narrow"/>
        <family val="2"/>
      </rPr>
      <t>1</t>
    </r>
    <r>
      <rPr>
        <sz val="10"/>
        <color indexed="8"/>
        <rFont val="宋体"/>
        <family val="3"/>
        <charset val="134"/>
      </rPr>
      <t>）了解交易的商业理由、交易事项的目的、价格和条件，确定关联交易价格是否远高于或低于非关联方交易价格，考虑对关联方应付账款的合理性、合法性；
（</t>
    </r>
    <r>
      <rPr>
        <sz val="10"/>
        <color indexed="8"/>
        <rFont val="Arial Narrow"/>
        <family val="2"/>
      </rPr>
      <t>2</t>
    </r>
    <r>
      <rPr>
        <sz val="10"/>
        <color indexed="8"/>
        <rFont val="宋体"/>
        <family val="3"/>
        <charset val="134"/>
      </rPr>
      <t>）检查对关联方长期应付款的真实性相关的支持性文件、检查会计处理是否正确；
（</t>
    </r>
    <r>
      <rPr>
        <sz val="10"/>
        <color indexed="8"/>
        <rFont val="Arial Narrow"/>
        <family val="2"/>
      </rPr>
      <t>3</t>
    </r>
    <r>
      <rPr>
        <sz val="10"/>
        <color indexed="8"/>
        <rFont val="宋体"/>
        <family val="3"/>
        <charset val="134"/>
      </rPr>
      <t>）考虑向关联方或其他注册会计师函证重大的关联采购交易和余额（包括担保和其他重要信息）；
（</t>
    </r>
    <r>
      <rPr>
        <sz val="10"/>
        <color indexed="8"/>
        <rFont val="Arial Narrow"/>
        <family val="2"/>
      </rPr>
      <t>4</t>
    </r>
    <r>
      <rPr>
        <sz val="10"/>
        <color indexed="8"/>
        <rFont val="宋体"/>
        <family val="3"/>
        <charset val="134"/>
      </rPr>
      <t>）必要时，向与交易相关的人员和机构（如银行、律师）函证或与其讨论有关信息；
（</t>
    </r>
    <r>
      <rPr>
        <sz val="10"/>
        <color indexed="8"/>
        <rFont val="Arial Narrow"/>
        <family val="2"/>
      </rPr>
      <t>5</t>
    </r>
    <r>
      <rPr>
        <sz val="10"/>
        <color indexed="8"/>
        <rFont val="宋体"/>
        <family val="3"/>
        <charset val="134"/>
      </rPr>
      <t>）考虑是否存在未识别的关联方，关联交易和余额披露是否正确。</t>
    </r>
  </si>
  <si>
    <t>9</t>
  </si>
  <si>
    <t>检查与长期应付款有关的的记账凭证和相应的支持性证据以确定交易的真实性，是否按规定进行相应的会计处理和披露。</t>
  </si>
  <si>
    <t>10</t>
  </si>
  <si>
    <t>根据评估的舞弊风险等因素增加的审计程序。</t>
  </si>
  <si>
    <t>IPO/上市/新三板/重组/舞弊应对</t>
  </si>
  <si>
    <t>11</t>
  </si>
  <si>
    <t>检查长期应付款是否已按企业会计准则或其他适用的规定在财务报表中做出恰当列报和披露。</t>
  </si>
  <si>
    <r>
      <rPr>
        <sz val="10"/>
        <rFont val="Arial Narrow"/>
        <family val="2"/>
      </rPr>
      <t>A1-1/</t>
    </r>
    <r>
      <rPr>
        <sz val="10"/>
        <color rgb="FFFF0000"/>
        <rFont val="Arial Narrow"/>
        <family val="2"/>
      </rPr>
      <t>A1-15 /A1-16</t>
    </r>
  </si>
  <si>
    <r>
      <rPr>
        <u/>
        <sz val="12"/>
        <color indexed="12"/>
        <rFont val="宋体"/>
        <family val="3"/>
        <charset val="134"/>
      </rPr>
      <t>返回目录</t>
    </r>
  </si>
  <si>
    <r>
      <rPr>
        <sz val="10"/>
        <rFont val="宋体"/>
        <family val="3"/>
        <charset val="134"/>
      </rPr>
      <t>页次：</t>
    </r>
  </si>
  <si>
    <t>项目</t>
  </si>
  <si>
    <t>期初数</t>
  </si>
  <si>
    <t>期末数</t>
  </si>
  <si>
    <t>本期审定数与上期
审定数的比较</t>
  </si>
  <si>
    <t>未审数</t>
  </si>
  <si>
    <t>账项调整</t>
  </si>
  <si>
    <t>重分类调整</t>
  </si>
  <si>
    <t>审定数</t>
  </si>
  <si>
    <t>减：一年内到期的长期应付款</t>
  </si>
  <si>
    <t>最终审定数</t>
  </si>
  <si>
    <t>变动额</t>
  </si>
  <si>
    <t>变动率</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</si>
  <si>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</si>
  <si>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）长期应付款期末净值较期初净值增加（负数为减少）：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</si>
  <si>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</si>
  <si>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）与经审计的财务报表核对</t>
    </r>
  </si>
  <si>
    <r>
      <rPr>
        <sz val="10"/>
        <rFont val="宋体"/>
        <family val="3"/>
        <charset val="134"/>
      </rPr>
      <t>期末数</t>
    </r>
  </si>
  <si>
    <r>
      <rPr>
        <sz val="10"/>
        <rFont val="宋体"/>
        <family val="3"/>
        <charset val="134"/>
      </rPr>
      <t>期初数</t>
    </r>
  </si>
  <si>
    <r>
      <rPr>
        <sz val="10"/>
        <rFont val="宋体"/>
        <family val="3"/>
        <charset val="134"/>
      </rPr>
      <t>长期应付款审定数</t>
    </r>
  </si>
  <si>
    <r>
      <rPr>
        <sz val="10"/>
        <rFont val="宋体"/>
        <family val="3"/>
        <charset val="134"/>
      </rPr>
      <t>专项应付款审定数</t>
    </r>
  </si>
  <si>
    <r>
      <rPr>
        <sz val="10"/>
        <rFont val="宋体"/>
        <family val="3"/>
        <charset val="134"/>
      </rPr>
      <t>长期应付款与专项应付款合计数</t>
    </r>
  </si>
  <si>
    <r>
      <rPr>
        <sz val="10"/>
        <rFont val="宋体"/>
        <family val="3"/>
        <charset val="134"/>
      </rPr>
      <t>报表数</t>
    </r>
  </si>
  <si>
    <r>
      <rPr>
        <sz val="10"/>
        <rFont val="宋体"/>
        <family val="3"/>
        <charset val="134"/>
      </rPr>
      <t>差异</t>
    </r>
  </si>
  <si>
    <r>
      <rPr>
        <b/>
        <sz val="10"/>
        <rFont val="Arial Narrow"/>
        <family val="2"/>
      </rPr>
      <t>2</t>
    </r>
    <r>
      <rPr>
        <b/>
        <sz val="10"/>
        <rFont val="宋体"/>
        <family val="3"/>
        <charset val="134"/>
      </rPr>
      <t>、审计结论：</t>
    </r>
  </si>
  <si>
    <r>
      <rPr>
        <b/>
        <sz val="14"/>
        <rFont val="宋体"/>
        <family val="3"/>
        <charset val="134"/>
      </rPr>
      <t>长期应付款附注披露信息</t>
    </r>
  </si>
  <si>
    <r>
      <rPr>
        <b/>
        <sz val="12"/>
        <rFont val="Arial Narrow"/>
        <family val="2"/>
      </rPr>
      <t>36</t>
    </r>
    <r>
      <rPr>
        <b/>
        <sz val="12"/>
        <rFont val="宋体"/>
        <family val="3"/>
        <charset val="134"/>
      </rPr>
      <t>、长期应付款</t>
    </r>
  </si>
  <si>
    <r>
      <rPr>
        <b/>
        <sz val="12"/>
        <rFont val="宋体"/>
        <family val="3"/>
        <charset val="134"/>
      </rPr>
      <t>项目</t>
    </r>
  </si>
  <si>
    <r>
      <rPr>
        <b/>
        <sz val="12"/>
        <rFont val="宋体"/>
        <family val="3"/>
        <charset val="134"/>
      </rPr>
      <t>期末数</t>
    </r>
  </si>
  <si>
    <r>
      <rPr>
        <b/>
        <sz val="12"/>
        <color rgb="FF000000"/>
        <rFont val="宋体"/>
        <family val="3"/>
        <charset val="134"/>
      </rPr>
      <t>上年年末余额</t>
    </r>
  </si>
  <si>
    <r>
      <rPr>
        <sz val="12"/>
        <rFont val="宋体"/>
        <family val="3"/>
        <charset val="134"/>
      </rPr>
      <t>长期应付款</t>
    </r>
  </si>
  <si>
    <r>
      <rPr>
        <sz val="12"/>
        <rFont val="宋体"/>
        <family val="3"/>
        <charset val="134"/>
      </rPr>
      <t>专项应付款</t>
    </r>
  </si>
  <si>
    <r>
      <rPr>
        <b/>
        <sz val="12"/>
        <rFont val="宋体"/>
        <family val="3"/>
        <charset val="134"/>
      </rPr>
      <t>合计</t>
    </r>
  </si>
  <si>
    <r>
      <rPr>
        <b/>
        <sz val="12"/>
        <rFont val="宋体"/>
        <family val="3"/>
        <charset val="134"/>
      </rPr>
      <t>（</t>
    </r>
    <r>
      <rPr>
        <b/>
        <sz val="12"/>
        <rFont val="Arial Narrow"/>
        <family val="2"/>
      </rPr>
      <t>1</t>
    </r>
    <r>
      <rPr>
        <b/>
        <sz val="12"/>
        <rFont val="宋体"/>
        <family val="3"/>
        <charset val="134"/>
      </rPr>
      <t>）长期应付款</t>
    </r>
    <r>
      <rPr>
        <b/>
        <sz val="12"/>
        <color rgb="FF0000FF"/>
        <rFont val="宋体"/>
        <family val="3"/>
        <charset val="134"/>
      </rPr>
      <t>（按款项性质列示）</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</si>
  <si>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</si>
  <si>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期末数</t>
    </r>
  </si>
  <si>
    <r>
      <rPr>
        <sz val="12"/>
        <rFont val="宋体"/>
        <family val="3"/>
        <charset val="134"/>
      </rPr>
      <t>减：未确认融资费用：</t>
    </r>
  </si>
  <si>
    <r>
      <rPr>
        <sz val="12"/>
        <rFont val="宋体"/>
        <family val="3"/>
        <charset val="134"/>
      </rPr>
      <t>小计</t>
    </r>
  </si>
  <si>
    <r>
      <rPr>
        <sz val="12"/>
        <rFont val="宋体"/>
        <family val="3"/>
        <charset val="134"/>
      </rPr>
      <t>减：一年内到期长期应付款</t>
    </r>
  </si>
  <si>
    <r>
      <rPr>
        <b/>
        <sz val="12"/>
        <rFont val="宋体"/>
        <family val="3"/>
        <charset val="134"/>
      </rPr>
      <t>合</t>
    </r>
    <r>
      <rPr>
        <b/>
        <sz val="12"/>
        <rFont val="Arial Narrow"/>
        <family val="2"/>
      </rPr>
      <t xml:space="preserve">  </t>
    </r>
    <r>
      <rPr>
        <b/>
        <sz val="12"/>
        <rFont val="宋体"/>
        <family val="3"/>
        <charset val="134"/>
      </rPr>
      <t>计</t>
    </r>
  </si>
  <si>
    <r>
      <rPr>
        <sz val="12"/>
        <rFont val="宋体"/>
        <family val="3"/>
        <charset val="134"/>
      </rPr>
      <t>说明：由独立第三方为公司融资租赁提供担保的金额</t>
    </r>
    <r>
      <rPr>
        <sz val="12"/>
        <rFont val="Arial Narrow"/>
        <family val="2"/>
      </rPr>
      <t>XX</t>
    </r>
    <r>
      <rPr>
        <sz val="12"/>
        <rFont val="宋体"/>
        <family val="3"/>
        <charset val="134"/>
      </rPr>
      <t>元。</t>
    </r>
  </si>
  <si>
    <r>
      <rPr>
        <b/>
        <sz val="12"/>
        <rFont val="宋体"/>
        <family val="3"/>
        <charset val="134"/>
      </rPr>
      <t>长期应付款</t>
    </r>
  </si>
  <si>
    <r>
      <rPr>
        <b/>
        <sz val="12"/>
        <rFont val="宋体"/>
        <family val="3"/>
        <charset val="134"/>
      </rPr>
      <t>期初数</t>
    </r>
  </si>
  <si>
    <r>
      <rPr>
        <sz val="12"/>
        <rFont val="宋体"/>
        <family val="3"/>
        <charset val="134"/>
      </rPr>
      <t>长期应付款</t>
    </r>
    <r>
      <rPr>
        <sz val="12"/>
        <color rgb="FF0000FF"/>
        <rFont val="宋体"/>
        <family val="3"/>
        <charset val="134"/>
      </rPr>
      <t>（说明：分项披露长期应付款期末余额最大的前五项）</t>
    </r>
  </si>
  <si>
    <r>
      <rPr>
        <b/>
        <sz val="12"/>
        <color rgb="FF000000"/>
        <rFont val="宋体"/>
        <family val="3"/>
        <charset val="134"/>
      </rPr>
      <t>期末余额</t>
    </r>
  </si>
  <si>
    <r>
      <rPr>
        <b/>
        <sz val="12"/>
        <color rgb="FF000000"/>
        <rFont val="宋体"/>
        <family val="3"/>
        <charset val="134"/>
      </rPr>
      <t>年初余额</t>
    </r>
  </si>
  <si>
    <r>
      <rPr>
        <sz val="12"/>
        <color rgb="FF000000"/>
        <rFont val="宋体"/>
        <family val="3"/>
        <charset val="134"/>
      </rPr>
      <t>其他</t>
    </r>
  </si>
  <si>
    <r>
      <rPr>
        <b/>
        <sz val="12"/>
        <rFont val="宋体"/>
        <family val="3"/>
        <charset val="134"/>
      </rPr>
      <t>小</t>
    </r>
    <r>
      <rPr>
        <b/>
        <sz val="12"/>
        <rFont val="Arial Narrow"/>
        <family val="2"/>
      </rPr>
      <t xml:space="preserve">  </t>
    </r>
    <r>
      <rPr>
        <b/>
        <sz val="12"/>
        <rFont val="宋体"/>
        <family val="3"/>
        <charset val="134"/>
      </rPr>
      <t>计</t>
    </r>
  </si>
  <si>
    <r>
      <rPr>
        <b/>
        <sz val="14"/>
        <rFont val="宋体"/>
        <family val="3"/>
        <charset val="134"/>
      </rPr>
      <t>长期应付款明细表</t>
    </r>
  </si>
  <si>
    <r>
      <rPr>
        <b/>
        <sz val="10"/>
        <rFont val="宋体"/>
        <family val="3"/>
        <charset val="134"/>
      </rPr>
      <t>一、审计目标</t>
    </r>
    <r>
      <rPr>
        <b/>
        <sz val="10"/>
        <rFont val="Arial Narrow"/>
        <family val="2"/>
      </rPr>
      <t>:</t>
    </r>
  </si>
  <si>
    <r>
      <rPr>
        <sz val="10"/>
        <rFont val="Arial Narrow"/>
        <family val="2"/>
      </rPr>
      <t>1</t>
    </r>
    <r>
      <rPr>
        <sz val="10"/>
        <rFont val="宋体"/>
        <family val="3"/>
        <charset val="134"/>
      </rPr>
      <t>、资产负债表中记录的长期应付款是存在的，且已经记录在恰当的账户中；</t>
    </r>
    <r>
      <rPr>
        <sz val="10"/>
        <rFont val="Arial Narrow"/>
        <family val="2"/>
      </rPr>
      <t>2</t>
    </r>
    <r>
      <rPr>
        <sz val="10"/>
        <rFont val="宋体"/>
        <family val="3"/>
        <charset val="134"/>
      </rPr>
      <t>、</t>
    </r>
    <r>
      <rPr>
        <sz val="10"/>
        <rFont val="Arial Narrow"/>
        <family val="2"/>
      </rPr>
      <t xml:space="preserve"> </t>
    </r>
    <r>
      <rPr>
        <sz val="10"/>
        <rFont val="宋体"/>
        <family val="3"/>
        <charset val="134"/>
      </rPr>
      <t>所有应记录的短期借款均已记录，所有应当包括在财务报表中的相关披露均已包括；</t>
    </r>
    <r>
      <rPr>
        <sz val="10"/>
        <rFont val="Arial Narrow"/>
        <family val="2"/>
      </rPr>
      <t>3</t>
    </r>
    <r>
      <rPr>
        <sz val="10"/>
        <rFont val="宋体"/>
        <family val="3"/>
        <charset val="134"/>
      </rPr>
      <t>、长期应付款以恰当的金额包括在财务报表中，与之相关的计价或分摊调整已恰当记录，相关披露已得到恰当计量和描述</t>
    </r>
  </si>
  <si>
    <r>
      <rPr>
        <b/>
        <sz val="10"/>
        <rFont val="宋体"/>
        <family val="3"/>
        <charset val="134"/>
      </rPr>
      <t>二、审计过程：</t>
    </r>
  </si>
  <si>
    <t>债权人名称</t>
  </si>
  <si>
    <t>期初调整</t>
  </si>
  <si>
    <t>减：期初一年内到期长期应付款</t>
  </si>
  <si>
    <t>减：期末一年内到期长期应付款</t>
  </si>
  <si>
    <t>披露审定数</t>
  </si>
  <si>
    <t>期末到期日分析</t>
  </si>
  <si>
    <t>是否是关联方</t>
  </si>
  <si>
    <t>发函情况</t>
  </si>
  <si>
    <t>期后付款</t>
  </si>
  <si>
    <t>合同索引号</t>
  </si>
  <si>
    <t>备注</t>
  </si>
  <si>
    <t>期初余额</t>
  </si>
  <si>
    <t>借方发生</t>
  </si>
  <si>
    <t>贷方发生</t>
  </si>
  <si>
    <t>期末余额</t>
  </si>
  <si>
    <t>6个月以内</t>
  </si>
  <si>
    <t>6-12月</t>
  </si>
  <si>
    <t>1～2年</t>
  </si>
  <si>
    <t>２～3年</t>
  </si>
  <si>
    <t>3年以上</t>
  </si>
  <si>
    <t>售后租回业务形成的融资</t>
  </si>
  <si>
    <r>
      <rPr>
        <b/>
        <sz val="10"/>
        <color indexed="8"/>
        <rFont val="宋体"/>
        <family val="3"/>
        <charset val="134"/>
      </rPr>
      <t>小计</t>
    </r>
  </si>
  <si>
    <t>--</t>
  </si>
  <si>
    <r>
      <rPr>
        <b/>
        <sz val="10"/>
        <color indexed="8"/>
        <rFont val="宋体"/>
        <family val="3"/>
        <charset val="134"/>
      </rPr>
      <t>分期付款方式购入固定资产</t>
    </r>
  </si>
  <si>
    <t>…</t>
  </si>
  <si>
    <r>
      <rPr>
        <b/>
        <sz val="10"/>
        <color indexed="8"/>
        <rFont val="宋体"/>
        <family val="3"/>
        <charset val="134"/>
      </rPr>
      <t>合计</t>
    </r>
  </si>
  <si>
    <t>提示：</t>
  </si>
  <si>
    <t>1.本科目核算企业除长期借款和应付债券以外的其他各种长期应付款项，包括应付融资租入固定资产的租赁费.以分期付款方式购入固定资产等发生的应付款项等。</t>
  </si>
  <si>
    <t>2.一年内到期长期应付款，应重分类至一年内到期的非流动负债。</t>
  </si>
  <si>
    <r>
      <rPr>
        <sz val="10"/>
        <color indexed="12"/>
        <rFont val="Arial Narrow"/>
        <family val="2"/>
      </rP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</si>
  <si>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</si>
  <si>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r>
      <rPr>
        <b/>
        <sz val="14"/>
        <rFont val="宋体"/>
        <family val="3"/>
        <charset val="134"/>
      </rPr>
      <t>未确认融资费用明细表</t>
    </r>
  </si>
  <si>
    <r>
      <rPr>
        <sz val="10"/>
        <rFont val="Arial Narrow"/>
        <family val="2"/>
      </rPr>
      <t>1</t>
    </r>
    <r>
      <rPr>
        <sz val="10"/>
        <rFont val="宋体"/>
        <family val="3"/>
        <charset val="134"/>
      </rPr>
      <t>、资产负债表中记录的应付债券是存在的，且已经记录在恰当的账户中；</t>
    </r>
    <r>
      <rPr>
        <sz val="10"/>
        <rFont val="Arial Narrow"/>
        <family val="2"/>
      </rPr>
      <t>2</t>
    </r>
    <r>
      <rPr>
        <sz val="10"/>
        <rFont val="宋体"/>
        <family val="3"/>
        <charset val="134"/>
      </rPr>
      <t>、</t>
    </r>
    <r>
      <rPr>
        <sz val="10"/>
        <rFont val="Arial Narrow"/>
        <family val="2"/>
      </rPr>
      <t xml:space="preserve"> </t>
    </r>
    <r>
      <rPr>
        <sz val="10"/>
        <rFont val="宋体"/>
        <family val="3"/>
        <charset val="134"/>
      </rPr>
      <t>所有应记录的短期借款均已记录，所有应当包括在财务报表中的相关披露均已包括；</t>
    </r>
    <r>
      <rPr>
        <sz val="10"/>
        <rFont val="Arial Narrow"/>
        <family val="2"/>
      </rPr>
      <t>3</t>
    </r>
    <r>
      <rPr>
        <sz val="10"/>
        <rFont val="宋体"/>
        <family val="3"/>
        <charset val="134"/>
      </rPr>
      <t>、应付债券以恰当的金额包括在财务报表中，与之相关的计价或分摊调整已恰当记录，相关披露已得到恰当计量和描述</t>
    </r>
  </si>
  <si>
    <r>
      <rPr>
        <sz val="10"/>
        <rFont val="宋体"/>
        <family val="3"/>
        <charset val="134"/>
      </rPr>
      <t>获取或编制长期应付款明细表，复核加计正确</t>
    </r>
    <r>
      <rPr>
        <sz val="10"/>
        <rFont val="Arial Narrow"/>
        <family val="2"/>
      </rPr>
      <t>,</t>
    </r>
    <r>
      <rPr>
        <sz val="10"/>
        <rFont val="宋体"/>
        <family val="3"/>
        <charset val="134"/>
      </rPr>
      <t>将总金额与报表、总账、明细账合计数核对相符。</t>
    </r>
  </si>
  <si>
    <t>减：期初一年内到期未确认融资费用</t>
  </si>
  <si>
    <t>减：期末一年内到期未确认融资费用</t>
  </si>
  <si>
    <t>到期日</t>
  </si>
  <si>
    <t>1年以下</t>
  </si>
  <si>
    <r>
      <rPr>
        <b/>
        <sz val="10"/>
        <rFont val="宋体"/>
        <family val="3"/>
        <charset val="134"/>
      </rPr>
      <t>三、审计说明：</t>
    </r>
  </si>
  <si>
    <r>
      <rPr>
        <b/>
        <sz val="10"/>
        <rFont val="宋体"/>
        <family val="3"/>
        <charset val="134"/>
      </rPr>
      <t>四、审计结论：</t>
    </r>
  </si>
  <si>
    <r>
      <rPr>
        <sz val="10"/>
        <rFont val="宋体"/>
        <family val="3"/>
        <charset val="134"/>
      </rPr>
      <t>客户名称：</t>
    </r>
  </si>
  <si>
    <r>
      <rPr>
        <sz val="10"/>
        <rFont val="宋体"/>
        <family val="3"/>
        <charset val="134"/>
      </rPr>
      <t>编制人：</t>
    </r>
  </si>
  <si>
    <r>
      <rPr>
        <sz val="10"/>
        <rFont val="宋体"/>
        <family val="3"/>
        <charset val="134"/>
      </rPr>
      <t>编制日期：</t>
    </r>
  </si>
  <si>
    <r>
      <rPr>
        <sz val="10"/>
        <rFont val="宋体"/>
        <family val="3"/>
        <charset val="134"/>
      </rPr>
      <t>索引：</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</si>
  <si>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</si>
  <si>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复核人：</t>
    </r>
  </si>
  <si>
    <r>
      <rPr>
        <sz val="10"/>
        <rFont val="宋体"/>
        <family val="3"/>
        <charset val="134"/>
      </rPr>
      <t>复核日期：</t>
    </r>
  </si>
  <si>
    <t>调整事项说明</t>
  </si>
  <si>
    <t>类别（报表调整/账项调整/其他）</t>
  </si>
  <si>
    <r>
      <rPr>
        <b/>
        <sz val="10"/>
        <rFont val="宋体"/>
        <family val="3"/>
        <charset val="134"/>
      </rPr>
      <t>报表项目</t>
    </r>
  </si>
  <si>
    <t>科目名称</t>
  </si>
  <si>
    <t>附注项目</t>
  </si>
  <si>
    <t>……</t>
  </si>
  <si>
    <t>借方调整金额</t>
  </si>
  <si>
    <t>贷方调整金额</t>
  </si>
  <si>
    <t>索引</t>
  </si>
  <si>
    <t>注：本底稿适用于调整分录较多、较复杂的项目，且仅列示与本报表项目相关的审计调整。项目组可根据项目实际情况选择是否使用该底稿。</t>
  </si>
  <si>
    <r>
      <rPr>
        <sz val="10"/>
        <rFont val="宋体"/>
        <family val="3"/>
        <charset val="134"/>
      </rPr>
      <t>确定被审计单位长期应付款与未确认融资费用准确性。</t>
    </r>
  </si>
  <si>
    <r>
      <rPr>
        <b/>
        <sz val="9"/>
        <rFont val="宋体"/>
        <family val="3"/>
        <charset val="134"/>
      </rPr>
      <t>未确认融资费用</t>
    </r>
  </si>
  <si>
    <r>
      <rPr>
        <b/>
        <sz val="9"/>
        <rFont val="宋体"/>
        <family val="3"/>
        <charset val="134"/>
      </rPr>
      <t>应付本金</t>
    </r>
    <r>
      <rPr>
        <b/>
        <sz val="9"/>
        <rFont val="Arial Narrow"/>
        <family val="2"/>
      </rPr>
      <t xml:space="preserve"> </t>
    </r>
  </si>
  <si>
    <r>
      <rPr>
        <b/>
        <sz val="9"/>
        <rFont val="宋体"/>
        <family val="3"/>
        <charset val="134"/>
      </rPr>
      <t>年末账面余额</t>
    </r>
  </si>
  <si>
    <r>
      <rPr>
        <b/>
        <sz val="9"/>
        <rFont val="宋体"/>
        <family val="3"/>
        <charset val="134"/>
      </rPr>
      <t>差异</t>
    </r>
  </si>
  <si>
    <r>
      <rPr>
        <b/>
        <sz val="9"/>
        <rFont val="宋体"/>
        <family val="3"/>
        <charset val="134"/>
      </rPr>
      <t>差异原因</t>
    </r>
  </si>
  <si>
    <r>
      <rPr>
        <b/>
        <sz val="9"/>
        <rFont val="宋体"/>
        <family val="3"/>
        <charset val="134"/>
      </rPr>
      <t>尚未确认的未确认融资费用</t>
    </r>
  </si>
  <si>
    <r>
      <rPr>
        <b/>
        <sz val="9"/>
        <rFont val="宋体"/>
        <family val="3"/>
        <charset val="134"/>
      </rPr>
      <t>确认的融资费用</t>
    </r>
  </si>
  <si>
    <r>
      <rPr>
        <b/>
        <sz val="9"/>
        <rFont val="宋体"/>
        <family val="3"/>
        <charset val="134"/>
      </rPr>
      <t>应付本金减少额</t>
    </r>
  </si>
  <si>
    <r>
      <rPr>
        <b/>
        <sz val="9"/>
        <rFont val="宋体"/>
        <family val="3"/>
        <charset val="134"/>
      </rPr>
      <t>应付本金余额</t>
    </r>
  </si>
  <si>
    <r>
      <rPr>
        <b/>
        <sz val="9"/>
        <rFont val="宋体"/>
        <family val="3"/>
        <charset val="134"/>
      </rPr>
      <t>（</t>
    </r>
    <r>
      <rPr>
        <b/>
        <sz val="9"/>
        <rFont val="Arial Narrow"/>
        <family val="2"/>
      </rPr>
      <t>1</t>
    </r>
    <r>
      <rPr>
        <b/>
        <sz val="9"/>
        <rFont val="宋体"/>
        <family val="3"/>
        <charset val="134"/>
      </rPr>
      <t>）</t>
    </r>
  </si>
  <si>
    <r>
      <rPr>
        <b/>
        <sz val="9"/>
        <rFont val="宋体"/>
        <family val="3"/>
        <charset val="134"/>
      </rPr>
      <t>（</t>
    </r>
    <r>
      <rPr>
        <b/>
        <sz val="9"/>
        <rFont val="Arial Narrow"/>
        <family val="2"/>
      </rPr>
      <t>2</t>
    </r>
    <r>
      <rPr>
        <b/>
        <sz val="9"/>
        <rFont val="宋体"/>
        <family val="3"/>
        <charset val="134"/>
      </rPr>
      <t>）</t>
    </r>
  </si>
  <si>
    <r>
      <rPr>
        <b/>
        <sz val="9"/>
        <rFont val="宋体"/>
        <family val="3"/>
        <charset val="134"/>
      </rPr>
      <t>（</t>
    </r>
    <r>
      <rPr>
        <b/>
        <sz val="9"/>
        <rFont val="Arial Narrow"/>
        <family val="2"/>
      </rPr>
      <t>6</t>
    </r>
    <r>
      <rPr>
        <b/>
        <sz val="9"/>
        <rFont val="宋体"/>
        <family val="3"/>
        <charset val="134"/>
      </rPr>
      <t>）</t>
    </r>
  </si>
  <si>
    <r>
      <rPr>
        <b/>
        <sz val="9"/>
        <rFont val="宋体"/>
        <family val="3"/>
        <charset val="134"/>
      </rPr>
      <t>（</t>
    </r>
    <r>
      <rPr>
        <b/>
        <sz val="9"/>
        <rFont val="Arial Narrow"/>
        <family val="2"/>
      </rPr>
      <t>3</t>
    </r>
    <r>
      <rPr>
        <b/>
        <sz val="9"/>
        <rFont val="宋体"/>
        <family val="3"/>
        <charset val="134"/>
      </rPr>
      <t>）</t>
    </r>
    <r>
      <rPr>
        <b/>
        <sz val="9"/>
        <rFont val="Arial Narrow"/>
        <family val="2"/>
      </rPr>
      <t>=</t>
    </r>
    <r>
      <rPr>
        <b/>
        <sz val="9"/>
        <rFont val="宋体"/>
        <family val="3"/>
        <charset val="134"/>
      </rPr>
      <t>期初（</t>
    </r>
    <r>
      <rPr>
        <b/>
        <sz val="9"/>
        <rFont val="Arial Narrow"/>
        <family val="2"/>
      </rPr>
      <t>5</t>
    </r>
    <r>
      <rPr>
        <b/>
        <sz val="9"/>
        <rFont val="宋体"/>
        <family val="3"/>
        <charset val="134"/>
      </rPr>
      <t>）</t>
    </r>
    <r>
      <rPr>
        <b/>
        <sz val="9"/>
        <rFont val="Arial Narrow"/>
        <family val="2"/>
      </rPr>
      <t>×</t>
    </r>
    <r>
      <rPr>
        <b/>
        <sz val="9"/>
        <rFont val="宋体"/>
        <family val="3"/>
        <charset val="134"/>
      </rPr>
      <t>（</t>
    </r>
    <r>
      <rPr>
        <b/>
        <sz val="9"/>
        <rFont val="Arial Narrow"/>
        <family val="2"/>
      </rPr>
      <t>6</t>
    </r>
    <r>
      <rPr>
        <b/>
        <sz val="9"/>
        <rFont val="宋体"/>
        <family val="3"/>
        <charset val="134"/>
      </rPr>
      <t>）</t>
    </r>
  </si>
  <si>
    <r>
      <rPr>
        <b/>
        <sz val="9"/>
        <rFont val="宋体"/>
        <family val="3"/>
        <charset val="134"/>
      </rPr>
      <t>（</t>
    </r>
    <r>
      <rPr>
        <b/>
        <sz val="9"/>
        <rFont val="Arial Narrow"/>
        <family val="2"/>
      </rPr>
      <t>4</t>
    </r>
    <r>
      <rPr>
        <b/>
        <sz val="9"/>
        <rFont val="宋体"/>
        <family val="3"/>
        <charset val="134"/>
      </rPr>
      <t>）</t>
    </r>
    <r>
      <rPr>
        <b/>
        <sz val="9"/>
        <rFont val="Arial Narrow"/>
        <family val="2"/>
      </rPr>
      <t>=</t>
    </r>
    <r>
      <rPr>
        <b/>
        <sz val="9"/>
        <rFont val="宋体"/>
        <family val="3"/>
        <charset val="134"/>
      </rPr>
      <t>（</t>
    </r>
    <r>
      <rPr>
        <b/>
        <sz val="9"/>
        <rFont val="Arial Narrow"/>
        <family val="2"/>
      </rPr>
      <t>2</t>
    </r>
    <r>
      <rPr>
        <b/>
        <sz val="9"/>
        <rFont val="宋体"/>
        <family val="3"/>
        <charset val="134"/>
      </rPr>
      <t>）</t>
    </r>
    <r>
      <rPr>
        <b/>
        <sz val="9"/>
        <rFont val="Arial Narrow"/>
        <family val="2"/>
      </rPr>
      <t>-</t>
    </r>
    <r>
      <rPr>
        <b/>
        <sz val="9"/>
        <rFont val="宋体"/>
        <family val="3"/>
        <charset val="134"/>
      </rPr>
      <t>（</t>
    </r>
    <r>
      <rPr>
        <b/>
        <sz val="9"/>
        <rFont val="Arial Narrow"/>
        <family val="2"/>
      </rPr>
      <t>3</t>
    </r>
    <r>
      <rPr>
        <b/>
        <sz val="9"/>
        <rFont val="宋体"/>
        <family val="3"/>
        <charset val="134"/>
      </rPr>
      <t>）</t>
    </r>
  </si>
  <si>
    <r>
      <rPr>
        <b/>
        <sz val="9"/>
        <rFont val="宋体"/>
        <family val="3"/>
        <charset val="134"/>
      </rPr>
      <t>期末（</t>
    </r>
    <r>
      <rPr>
        <b/>
        <sz val="9"/>
        <rFont val="Arial Narrow"/>
        <family val="2"/>
      </rPr>
      <t>5</t>
    </r>
    <r>
      <rPr>
        <b/>
        <sz val="9"/>
        <rFont val="宋体"/>
        <family val="3"/>
        <charset val="134"/>
      </rPr>
      <t>）</t>
    </r>
    <r>
      <rPr>
        <b/>
        <sz val="9"/>
        <rFont val="Arial Narrow"/>
        <family val="2"/>
      </rPr>
      <t>=</t>
    </r>
    <r>
      <rPr>
        <b/>
        <sz val="9"/>
        <rFont val="宋体"/>
        <family val="3"/>
        <charset val="134"/>
      </rPr>
      <t>期初（</t>
    </r>
    <r>
      <rPr>
        <b/>
        <sz val="9"/>
        <rFont val="Arial Narrow"/>
        <family val="2"/>
      </rPr>
      <t>5</t>
    </r>
    <r>
      <rPr>
        <b/>
        <sz val="9"/>
        <rFont val="宋体"/>
        <family val="3"/>
        <charset val="134"/>
      </rPr>
      <t>）</t>
    </r>
    <r>
      <rPr>
        <b/>
        <sz val="9"/>
        <rFont val="Arial Narrow"/>
        <family val="2"/>
      </rPr>
      <t>-</t>
    </r>
    <r>
      <rPr>
        <b/>
        <sz val="9"/>
        <rFont val="宋体"/>
        <family val="3"/>
        <charset val="134"/>
      </rPr>
      <t>（</t>
    </r>
    <r>
      <rPr>
        <b/>
        <sz val="9"/>
        <rFont val="Arial Narrow"/>
        <family val="2"/>
      </rPr>
      <t>4</t>
    </r>
    <r>
      <rPr>
        <b/>
        <sz val="9"/>
        <rFont val="宋体"/>
        <family val="3"/>
        <charset val="134"/>
      </rPr>
      <t>）</t>
    </r>
  </si>
  <si>
    <r>
      <rPr>
        <b/>
        <sz val="9"/>
        <rFont val="宋体"/>
        <family val="3"/>
        <charset val="134"/>
      </rPr>
      <t>实际利率</t>
    </r>
  </si>
  <si>
    <r>
      <rPr>
        <b/>
        <sz val="9"/>
        <rFont val="宋体"/>
        <family val="3"/>
        <charset val="134"/>
      </rPr>
      <t>长期应付款现值</t>
    </r>
  </si>
  <si>
    <r>
      <rPr>
        <b/>
        <sz val="9"/>
        <rFont val="宋体"/>
        <family val="3"/>
        <charset val="134"/>
      </rPr>
      <t>年份</t>
    </r>
  </si>
  <si>
    <r>
      <rPr>
        <b/>
        <sz val="9"/>
        <rFont val="宋体"/>
        <family val="3"/>
        <charset val="134"/>
      </rPr>
      <t>各期付款金额</t>
    </r>
  </si>
  <si>
    <t>三、审计说明：</t>
  </si>
  <si>
    <t>四、审计结论：</t>
  </si>
  <si>
    <r>
      <rPr>
        <b/>
        <sz val="14"/>
        <rFont val="宋体"/>
        <family val="3"/>
        <charset val="134"/>
      </rPr>
      <t>未确认融资费用测算表</t>
    </r>
  </si>
  <si>
    <r>
      <rPr>
        <b/>
        <sz val="10"/>
        <rFont val="宋体"/>
        <family val="3"/>
        <charset val="134"/>
      </rPr>
      <t>一、审计目标：</t>
    </r>
  </si>
  <si>
    <r>
      <rPr>
        <sz val="10"/>
        <rFont val="Arial Narrow"/>
        <family val="2"/>
      </rPr>
      <t>1.</t>
    </r>
    <r>
      <rPr>
        <sz val="10"/>
        <rFont val="宋体"/>
        <family val="3"/>
        <charset val="134"/>
      </rPr>
      <t>检查各项长期应付款本息的计算是否准确，会计处理是否正确。</t>
    </r>
    <r>
      <rPr>
        <sz val="10"/>
        <rFont val="Arial Narrow"/>
        <family val="2"/>
      </rPr>
      <t>2.</t>
    </r>
    <r>
      <rPr>
        <sz val="10"/>
        <rFont val="宋体"/>
        <family val="3"/>
        <charset val="134"/>
      </rPr>
      <t>检查未确认融资费用</t>
    </r>
    <r>
      <rPr>
        <sz val="10"/>
        <rFont val="Arial Narrow"/>
        <family val="2"/>
      </rPr>
      <t>,</t>
    </r>
    <r>
      <rPr>
        <sz val="10"/>
        <rFont val="宋体"/>
        <family val="3"/>
        <charset val="134"/>
      </rPr>
      <t>重新计算实际利率，并与被审计单位的所计算确定的实际利率进行比较，检查被审计单位是否按照实际利率分摊未确认融资费用，分摊是否正确，相应的会计处理是否正确等。</t>
    </r>
  </si>
  <si>
    <t>关联方及交易检查表</t>
  </si>
  <si>
    <r>
      <rPr>
        <sz val="10"/>
        <color rgb="FF0000FF"/>
        <rFont val="宋体"/>
        <family val="3"/>
        <charset val="134"/>
      </rPr>
      <t>关注对关联方的预付款项的真实性、合理性、合法性、会计处理是否正确，考虑是否存在未识别的关联方，检查关联交易和余额披露是否正确。</t>
    </r>
  </si>
  <si>
    <r>
      <rPr>
        <sz val="10"/>
        <color rgb="FF0000FF"/>
        <rFont val="宋体"/>
        <family val="3"/>
        <charset val="134"/>
      </rPr>
      <t>考虑发生在企业与关联方之间的交易是否得到适当的会计处理。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t>
    </r>
  </si>
  <si>
    <t>关联方名称</t>
  </si>
  <si>
    <t>关联关系</t>
  </si>
  <si>
    <t>未确认融资费用</t>
  </si>
  <si>
    <t>账面余额</t>
  </si>
  <si>
    <t>期末一年内到期长期应付款余额</t>
  </si>
  <si>
    <t>发生时间及账龄</t>
  </si>
  <si>
    <t>发生原因（款项性质）</t>
  </si>
  <si>
    <r>
      <rPr>
        <b/>
        <sz val="10"/>
        <rFont val="宋体"/>
        <family val="3"/>
        <charset val="134"/>
      </rPr>
      <t>小计</t>
    </r>
  </si>
  <si>
    <t>——</t>
  </si>
  <si>
    <t>一、审计说明：</t>
  </si>
  <si>
    <t>二、审计结论：</t>
  </si>
  <si>
    <t>实际控制人</t>
  </si>
  <si>
    <t>控股股东</t>
  </si>
  <si>
    <t>控股股东、实际控制人的附属企业</t>
  </si>
  <si>
    <r>
      <rPr>
        <sz val="10"/>
        <rFont val="宋体"/>
        <family val="3"/>
        <charset val="134"/>
      </rPr>
      <t>持有</t>
    </r>
    <r>
      <rPr>
        <sz val="10"/>
        <rFont val="Arial Narrow"/>
        <family val="2"/>
      </rPr>
      <t>5%</t>
    </r>
    <r>
      <rPr>
        <sz val="10"/>
        <rFont val="宋体"/>
        <family val="3"/>
        <charset val="134"/>
      </rPr>
      <t>以上股份的法人或其他组织</t>
    </r>
  </si>
  <si>
    <t>联营企业</t>
  </si>
  <si>
    <t>合营企业</t>
  </si>
  <si>
    <t>董高监等关键管理人员</t>
  </si>
  <si>
    <t>其他关联方</t>
  </si>
  <si>
    <r>
      <rPr>
        <b/>
        <sz val="14"/>
        <rFont val="宋体"/>
        <family val="3"/>
        <charset val="134"/>
      </rPr>
      <t>长期应付款检查表</t>
    </r>
  </si>
  <si>
    <t>1.资产负债表中记录的长期应付款是存在的，且已经记录在恰当的账户中；     2.记录的长期应付款由被审计单位拥有或控制；</t>
  </si>
  <si>
    <t xml:space="preserve">3.长期应付款以恰当的金额包括在财务报表中，与之相关的计价或分摊调整已恰当记录，相关披露已得到恰当计量和描述 </t>
  </si>
  <si>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</si>
  <si>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</si>
  <si>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</si>
  <si>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</si>
  <si>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</si>
  <si>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</si>
  <si>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</si>
  <si>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</si>
  <si>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</si>
  <si>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</si>
  <si>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</si>
  <si>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</si>
  <si>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</si>
  <si>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</si>
  <si>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</si>
  <si>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t>合计</t>
  </si>
  <si>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</si>
  <si>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</si>
  <si>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</si>
  <si>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</si>
  <si>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</si>
  <si>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</si>
  <si>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</si>
  <si>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</si>
  <si>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</si>
  <si>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</si>
  <si>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</si>
  <si>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</si>
  <si>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</si>
  <si>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</si>
  <si>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</si>
  <si>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</si>
  <si>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26" type="noConversion"/>
  </si>
  <si>
    <t>关于工作底稿与审计程序索引号对应的说明</t>
    <phoneticPr fontId="12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</si>
  <si>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</si>
  <si>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2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</si>
  <si>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26" type="noConversion"/>
  </si>
  <si>
    <t>根据被审计单位实际情况和风险评估情况裁剪、修改或增加审计程序</t>
    <phoneticPr fontId="126" type="noConversion"/>
  </si>
  <si>
    <t>审计程序</t>
    <phoneticPr fontId="130" type="noConversion"/>
  </si>
  <si>
    <t>T1
/</t>
    <phoneticPr fontId="126" type="noConversion"/>
  </si>
  <si>
    <t>一、原值</t>
  </si>
  <si>
    <t>应付融资租赁款</t>
  </si>
  <si>
    <t>分期付款方式购入固定资产</t>
  </si>
  <si>
    <t>其他</t>
  </si>
  <si>
    <t>二、未确认融资费用</t>
  </si>
  <si>
    <t>三、净值</t>
  </si>
  <si>
    <t>致同会计师事务所</t>
  </si>
  <si>
    <t>长期应付款审定表</t>
  </si>
  <si>
    <t>长期应付款调整分录汇总表</t>
  </si>
  <si>
    <r>
      <rPr>
        <b/>
        <sz val="9"/>
        <rFont val="宋体"/>
        <family val="3"/>
        <charset val="134"/>
      </rPr>
      <t>合计</t>
    </r>
  </si>
  <si>
    <r>
      <rPr>
        <b/>
        <sz val="9"/>
        <rFont val="宋体"/>
        <family val="3"/>
        <charset val="134"/>
      </rPr>
      <t>长期应付款初始确认金额</t>
    </r>
  </si>
  <si>
    <t>三、审计说明：</t>
    <phoneticPr fontId="126" type="noConversion"/>
  </si>
  <si>
    <t>勿删、勿改</t>
    <phoneticPr fontId="126" type="noConversion"/>
  </si>
  <si>
    <t>合计</t>
    <phoneticPr fontId="126" type="noConversion"/>
  </si>
  <si>
    <t>本期发生额</t>
    <phoneticPr fontId="126" type="noConversion"/>
  </si>
  <si>
    <t>检查比例</t>
    <phoneticPr fontId="126" type="noConversion"/>
  </si>
  <si>
    <t>函证结果汇总表</t>
  </si>
  <si>
    <t>L0-1</t>
  </si>
  <si>
    <t>核实被函证单位信息</t>
  </si>
  <si>
    <t>L0-2</t>
  </si>
  <si>
    <t>跟函函证过程控制</t>
  </si>
  <si>
    <t>L0-3</t>
  </si>
  <si>
    <t>函证差异调节表</t>
  </si>
  <si>
    <t>L0-4</t>
  </si>
  <si>
    <t>长期应付款替代程序检查表</t>
  </si>
  <si>
    <t>L0-5</t>
  </si>
  <si>
    <t>邮件传真回函可靠性验证</t>
  </si>
  <si>
    <t>L0-6</t>
  </si>
  <si>
    <t>函证程序舞弊风险评价表</t>
  </si>
  <si>
    <t>L0-7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</si>
</sst>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_-* #,##0.0000000000_-;\-* #,##0.0000000000_-;_-* &quot;-&quot;??_-;_-@_-"/>
    <numFmt numFmtId="186" formatCode="0.0%"/>
    <numFmt numFmtId="187" formatCode="\¥#,##0;\-\¥#,##0"/>
    <numFmt numFmtId="188" formatCode="#.\ \ "/>
    <numFmt numFmtId="189" formatCode="##.\ \ "/>
    <numFmt numFmtId="190" formatCode="&quot;$&quot;#,##0_);\(&quot;$&quot;#,##0\)"/>
    <numFmt numFmtId="191" formatCode="#,##0;\-#,##0;&quot;-&quot;"/>
    <numFmt numFmtId="192" formatCode="#,##0.0_);\(#,##0.0\)"/>
    <numFmt numFmtId="193" formatCode="_(* #,##0.0000_);_(* \(#,##0.0000\);_(* &quot;-&quot;??_);_(@_)"/>
    <numFmt numFmtId="194" formatCode="mmmm\ d\,\ yyyy"/>
    <numFmt numFmtId="195" formatCode="#,##0\ &quot;FB&quot;;\-#,##0\ &quot;FB&quot;"/>
    <numFmt numFmtId="196" formatCode="_(&quot;$&quot;* #,##0.00_);_(&quot;$&quot;* \(#,##0.00\);_(&quot;$&quot;* &quot;-&quot;??_);_(@_)"/>
    <numFmt numFmtId="197" formatCode="0.0%;\(0.0%\)"/>
    <numFmt numFmtId="198" formatCode="&quot;$&quot;#,##0;[Red]&quot;$&quot;&quot;$&quot;&quot;$&quot;&quot;$&quot;&quot;$&quot;&quot;$&quot;&quot;$&quot;\-#,##0"/>
    <numFmt numFmtId="199" formatCode="_(&quot;$&quot;* #,##0_);_(&quot;$&quot;* \(#,##0\);_(&quot;$&quot;* &quot;-&quot;_);_(@_)"/>
    <numFmt numFmtId="200" formatCode="#,##0;\(#,##0\)"/>
    <numFmt numFmtId="201" formatCode="&quot;$&quot;#,##0.00_);\(&quot;$&quot;#,##0.00\)"/>
    <numFmt numFmtId="202" formatCode="&quot;\&quot;#,##0.00;&quot;\&quot;&quot;\&quot;&quot;\&quot;&quot;\&quot;&quot;\&quot;&quot;\&quot;&quot;\&quot;&quot;\&quot;\-#,##0.00"/>
    <numFmt numFmtId="203" formatCode="\$#,##0.00;\(\$#,##0.00\)"/>
    <numFmt numFmtId="204" formatCode="#,##0.000000"/>
    <numFmt numFmtId="205" formatCode="\$#,##0;\(\$#,##0\)"/>
    <numFmt numFmtId="206" formatCode="_([$€-2]* #,##0.00_);_([$€-2]* \(#,##0.00\);_([$€-2]* &quot;-&quot;??_)"/>
    <numFmt numFmtId="207" formatCode="&quot;\&quot;#,##0;&quot;\&quot;&quot;\&quot;\-#,##0"/>
    <numFmt numFmtId="208" formatCode="&quot;?#,##0;\-&quot;?#,##0"/>
    <numFmt numFmtId="209" formatCode="_-* #,##0\¥_-;\-* #,##0\¥_-;_-* &quot;-&quot;\¥_-;_-@_-"/>
    <numFmt numFmtId="210" formatCode="_-* #,##0.00\ _B_E_F_-;\-* #,##0.00\ _B_E_F_-;_-* &quot;-&quot;??\ _B_E_F_-;_-@_-"/>
    <numFmt numFmtId="211" formatCode="&quot;$&quot;#,##0;\-&quot;$&quot;#,##0"/>
    <numFmt numFmtId="212" formatCode="#,##0&quot; $&quot;;[Red]\-#,##0&quot; $&quot;"/>
    <numFmt numFmtId="213" formatCode="#,##0.00\ &quot;FB&quot;;\-#,##0.00\ &quot;FB&quot;"/>
    <numFmt numFmtId="214" formatCode="#,##0.00\ &quot;FB&quot;;[Red]\-#,##0.00\ &quot;FB&quot;"/>
    <numFmt numFmtId="215" formatCode="_-* #,##0\ _k_r_-;\-* #,##0\ _k_r_-;_-* &quot;-&quot;\ _k_r_-;_-@_-"/>
    <numFmt numFmtId="216" formatCode="_-* #,##0.00\ _k_r_-;\-* #,##0.00\ _k_r_-;_-* &quot;-&quot;??\ _k_r_-;_-@_-"/>
    <numFmt numFmtId="217" formatCode="#,##0.00_);#,##0.00\)"/>
    <numFmt numFmtId="218" formatCode="0.00000&quot;  &quot;"/>
    <numFmt numFmtId="219" formatCode="_-* #,##0_-;\-* #,##0_-;_-* &quot;-&quot;_-;_-@_-"/>
    <numFmt numFmtId="220" formatCode="_-* #,##0.00_-;\-* #,##0.00_-;_-* &quot;-&quot;??_-;_-@_-"/>
    <numFmt numFmtId="221" formatCode="_-&quot;$&quot;* #,##0_-;\-&quot;$&quot;* #,##0_-;_-&quot;$&quot;* &quot;-&quot;_-;_-@_-"/>
    <numFmt numFmtId="222" formatCode="_-&quot;$&quot;* #,##0.00_-;\-&quot;$&quot;* #,##0.00_-;_-&quot;$&quot;* &quot;-&quot;??_-;_-@_-"/>
    <numFmt numFmtId="223" formatCode="&quot;\&quot;#,##0;[Red]&quot;\&quot;&quot;\&quot;\-#,##0"/>
    <numFmt numFmtId="224" formatCode="&quot;\&quot;#,##0.00;[Red]&quot;\&quot;&quot;\&quot;&quot;\&quot;&quot;\&quot;&quot;\&quot;&quot;\&quot;\-#,##0.00"/>
    <numFmt numFmtId="225" formatCode="&quot;\&quot;#,##0.00;[Red]&quot;\&quot;\-#,##0.00"/>
    <numFmt numFmtId="226" formatCode="&quot;\&quot;#,##0;[Red]&quot;\&quot;\-#,##0"/>
    <numFmt numFmtId="22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8" formatCode="0.0000%"/>
  </numFmts>
  <fonts count="134">
    <font>
      <sz val="12"/>
      <name val="宋体"/>
      <charset val="134"/>
    </font>
    <font>
      <sz val="11"/>
      <color theme="1"/>
      <name val="宋体"/>
      <family val="2"/>
      <charset val="134"/>
      <scheme val="minor"/>
    </font>
    <font>
      <b/>
      <sz val="12"/>
      <name val="Arial Narrow"/>
      <family val="2"/>
    </font>
    <font>
      <sz val="10"/>
      <name val="Arial Narrow"/>
      <family val="2"/>
    </font>
    <font>
      <sz val="12"/>
      <name val="Arial Narrow"/>
      <family val="2"/>
    </font>
    <font>
      <b/>
      <sz val="14"/>
      <name val="Arial Narrow"/>
      <family val="2"/>
    </font>
    <font>
      <b/>
      <sz val="10"/>
      <name val="Arial Narrow"/>
      <family val="2"/>
    </font>
    <font>
      <sz val="10"/>
      <name val="宋体"/>
      <family val="3"/>
      <charset val="134"/>
    </font>
    <font>
      <b/>
      <u/>
      <sz val="10"/>
      <color indexed="10"/>
      <name val="Arial Narrow"/>
      <family val="2"/>
    </font>
    <font>
      <b/>
      <sz val="10"/>
      <name val="宋体"/>
      <family val="3"/>
      <charset val="134"/>
    </font>
    <font>
      <sz val="10"/>
      <color indexed="12"/>
      <name val="Arial Narrow"/>
      <family val="2"/>
    </font>
    <font>
      <sz val="10"/>
      <color rgb="FFFF0000"/>
      <name val="Arial Narrow"/>
      <family val="2"/>
    </font>
    <font>
      <sz val="10"/>
      <color rgb="FF0432FF"/>
      <name val="Arial Narrow"/>
      <family val="2"/>
    </font>
    <font>
      <u/>
      <sz val="12"/>
      <color indexed="12"/>
      <name val="Arial Narrow"/>
      <family val="2"/>
    </font>
    <font>
      <sz val="10"/>
      <name val="宋体"/>
      <family val="3"/>
      <charset val="134"/>
    </font>
    <font>
      <b/>
      <sz val="14"/>
      <name val="宋体"/>
      <family val="3"/>
      <charset val="134"/>
    </font>
    <font>
      <sz val="10"/>
      <color rgb="FF0000FF"/>
      <name val="Arial Narrow"/>
      <family val="2"/>
    </font>
    <font>
      <i/>
      <sz val="10"/>
      <color indexed="12"/>
      <name val="Arial Narrow"/>
      <family val="2"/>
    </font>
    <font>
      <b/>
      <sz val="10"/>
      <color indexed="12"/>
      <name val="Arial Narrow"/>
      <family val="2"/>
    </font>
    <font>
      <sz val="9"/>
      <name val="Arial Narrow"/>
      <family val="2"/>
    </font>
    <font>
      <b/>
      <sz val="9"/>
      <name val="Arial Narrow"/>
      <family val="2"/>
    </font>
    <font>
      <b/>
      <sz val="9"/>
      <name val="宋体"/>
      <family val="3"/>
      <charset val="134"/>
    </font>
    <font>
      <u/>
      <sz val="12"/>
      <color indexed="12"/>
      <name val="宋体"/>
      <family val="3"/>
      <charset val="134"/>
    </font>
    <font>
      <sz val="12"/>
      <name val="宋体"/>
      <family val="3"/>
      <charset val="134"/>
    </font>
    <font>
      <b/>
      <sz val="10"/>
      <color indexed="8"/>
      <name val="宋体"/>
      <family val="3"/>
      <charset val="134"/>
    </font>
    <font>
      <b/>
      <sz val="10"/>
      <color rgb="FFE92841"/>
      <name val="宋体"/>
      <family val="3"/>
      <charset val="134"/>
    </font>
    <font>
      <sz val="10"/>
      <color indexed="8"/>
      <name val="Arial Narrow"/>
      <family val="2"/>
    </font>
    <font>
      <sz val="10"/>
      <color rgb="FF000000"/>
      <name val="宋体"/>
      <family val="3"/>
      <charset val="134"/>
    </font>
    <font>
      <i/>
      <u/>
      <sz val="10"/>
      <color indexed="12"/>
      <name val="Arial Narrow"/>
      <family val="2"/>
    </font>
    <font>
      <sz val="10"/>
      <color indexed="12"/>
      <name val="仿宋_GB2312"/>
      <charset val="134"/>
    </font>
    <font>
      <b/>
      <sz val="10"/>
      <color indexed="8"/>
      <name val="Arial Narrow"/>
      <family val="2"/>
    </font>
    <font>
      <b/>
      <sz val="10"/>
      <color rgb="FF000000"/>
      <name val="宋体"/>
      <family val="3"/>
      <charset val="134"/>
    </font>
    <font>
      <b/>
      <sz val="10"/>
      <color indexed="12"/>
      <name val="宋体"/>
      <family val="3"/>
      <charset val="134"/>
    </font>
    <font>
      <b/>
      <sz val="12"/>
      <color rgb="FF000000"/>
      <name val="Arial Narrow"/>
      <family val="2"/>
    </font>
    <font>
      <sz val="12"/>
      <color rgb="FF000000"/>
      <name val="Arial Narrow"/>
      <family val="2"/>
    </font>
    <font>
      <sz val="10"/>
      <color theme="1"/>
      <name val="Arial Narrow"/>
      <family val="2"/>
    </font>
    <font>
      <sz val="11"/>
      <color theme="1"/>
      <name val="Arial Narrow"/>
      <family val="2"/>
    </font>
    <font>
      <b/>
      <sz val="10"/>
      <name val="宋体"/>
      <family val="3"/>
      <charset val="134"/>
    </font>
    <font>
      <b/>
      <sz val="10"/>
      <color theme="1"/>
      <name val="Arial Narrow"/>
      <family val="2"/>
    </font>
    <font>
      <sz val="10"/>
      <color indexed="8"/>
      <name val="宋体"/>
      <family val="3"/>
      <charset val="134"/>
    </font>
    <font>
      <sz val="10"/>
      <color theme="1"/>
      <name val="宋体"/>
      <family val="3"/>
      <charset val="134"/>
    </font>
    <font>
      <sz val="10"/>
      <color indexed="8"/>
      <name val="宋体"/>
      <family val="3"/>
      <charset val="134"/>
    </font>
    <font>
      <b/>
      <sz val="10"/>
      <color theme="1"/>
      <name val="宋体"/>
      <family val="3"/>
      <charset val="134"/>
    </font>
    <font>
      <sz val="10"/>
      <color indexed="12"/>
      <name val="宋体"/>
      <family val="3"/>
      <charset val="134"/>
    </font>
    <font>
      <b/>
      <sz val="12"/>
      <name val="宋体"/>
      <family val="3"/>
      <charset val="134"/>
    </font>
    <font>
      <sz val="10"/>
      <name val="Arial"/>
      <family val="2"/>
    </font>
    <font>
      <sz val="10"/>
      <color indexed="10"/>
      <name val="Arial"/>
      <family val="2"/>
    </font>
    <font>
      <sz val="12"/>
      <name val="Arial"/>
      <family val="2"/>
    </font>
    <font>
      <sz val="10.5"/>
      <name val="Arial"/>
      <family val="2"/>
    </font>
    <font>
      <sz val="10.5"/>
      <name val="宋体"/>
      <family val="3"/>
      <charset val="134"/>
    </font>
    <font>
      <b/>
      <sz val="10"/>
      <color indexed="10"/>
      <name val="Arial"/>
      <family val="2"/>
    </font>
    <font>
      <b/>
      <sz val="12"/>
      <name val="Arial"/>
      <family val="2"/>
    </font>
    <font>
      <u/>
      <sz val="12"/>
      <color rgb="FF800080"/>
      <name val="宋体"/>
      <family val="3"/>
      <charset val="134"/>
    </font>
    <font>
      <sz val="10"/>
      <name val="Times New Roman"/>
      <family val="1"/>
    </font>
    <font>
      <sz val="10"/>
      <color indexed="8"/>
      <name val="Arial"/>
      <family val="2"/>
    </font>
    <font>
      <sz val="10"/>
      <name val="Helv"/>
      <family val="2"/>
    </font>
    <font>
      <u val="singleAccounting"/>
      <vertAlign val="subscript"/>
      <sz val="10"/>
      <name val="Times New Roman"/>
      <family val="1"/>
    </font>
    <font>
      <i/>
      <sz val="9"/>
      <name val="Times New Roman"/>
      <family val="1"/>
    </font>
    <font>
      <sz val="13"/>
      <name val="Tms Rmn"/>
      <family val="1"/>
    </font>
    <font>
      <sz val="10"/>
      <name val="Book Antiqua"/>
      <family val="1"/>
    </font>
    <font>
      <b/>
      <sz val="10"/>
      <name val="Book Antiqua"/>
      <family val="1"/>
    </font>
    <font>
      <sz val="12"/>
      <color indexed="9"/>
      <name val="宋体"/>
      <family val="3"/>
      <charset val="134"/>
    </font>
    <font>
      <sz val="12"/>
      <color indexed="8"/>
      <name val="宋体"/>
      <family val="3"/>
      <charset val="134"/>
    </font>
    <font>
      <sz val="8"/>
      <name val="Times New Roman"/>
      <family val="1"/>
    </font>
    <font>
      <sz val="7"/>
      <name val="Helv"/>
      <family val="2"/>
    </font>
    <font>
      <b/>
      <sz val="10"/>
      <name val="MS Sans Serif"/>
      <family val="1"/>
    </font>
    <font>
      <b/>
      <sz val="10"/>
      <name val="Helv"/>
      <family val="2"/>
    </font>
    <font>
      <b/>
      <sz val="13"/>
      <name val="Tms Rmn"/>
      <family val="1"/>
    </font>
    <font>
      <b/>
      <sz val="8"/>
      <name val="Arial"/>
      <family val="2"/>
    </font>
    <font>
      <sz val="10"/>
      <name val="MS Serif"/>
      <family val="1"/>
    </font>
    <font>
      <sz val="10"/>
      <name val="Courier"/>
      <family val="3"/>
    </font>
    <font>
      <sz val="10"/>
      <color indexed="16"/>
      <name val="MS Serif"/>
      <family val="1"/>
    </font>
    <font>
      <sz val="9"/>
      <name val="Times New Roman"/>
      <family val="1"/>
    </font>
    <font>
      <sz val="8"/>
      <name val="Arial"/>
      <family val="2"/>
    </font>
    <font>
      <u/>
      <sz val="7.5"/>
      <color indexed="36"/>
      <name val="Arial"/>
      <family val="2"/>
    </font>
    <font>
      <b/>
      <sz val="12"/>
      <name val="Helv"/>
      <family val="2"/>
    </font>
    <font>
      <u/>
      <sz val="7.5"/>
      <color indexed="12"/>
      <name val="Arial"/>
      <family val="2"/>
    </font>
    <font>
      <sz val="12"/>
      <name val="Helv"/>
      <family val="2"/>
    </font>
    <font>
      <sz val="12"/>
      <color indexed="9"/>
      <name val="Helv"/>
      <family val="2"/>
    </font>
    <font>
      <b/>
      <sz val="11"/>
      <name val="Helv"/>
      <family val="2"/>
    </font>
    <font>
      <sz val="10"/>
      <color indexed="8"/>
      <name val="MS Sans Serif"/>
      <family val="2"/>
    </font>
    <font>
      <sz val="10"/>
      <name val="Tms Rmn"/>
      <family val="1"/>
    </font>
    <font>
      <sz val="10"/>
      <name val="MS Sans Serif"/>
      <family val="2"/>
    </font>
    <font>
      <sz val="7"/>
      <color indexed="10"/>
      <name val="Helv"/>
      <family val="2"/>
    </font>
    <font>
      <sz val="8"/>
      <color indexed="16"/>
      <name val="Century Schoolbook"/>
      <family val="1"/>
    </font>
    <font>
      <sz val="12"/>
      <name val="Times New Roma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8"/>
      <color indexed="8"/>
      <name val="Helv"/>
      <family val="2"/>
    </font>
    <font>
      <b/>
      <sz val="9"/>
      <name val="Times New Roman"/>
      <family val="1"/>
    </font>
    <font>
      <sz val="11"/>
      <name val="明朝"/>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2"/>
      <color indexed="20"/>
      <name val="宋体"/>
      <family val="3"/>
      <charset val="134"/>
    </font>
    <font>
      <sz val="11"/>
      <color theme="1"/>
      <name val="宋体"/>
      <family val="3"/>
      <charset val="134"/>
      <scheme val="minor"/>
    </font>
    <font>
      <sz val="11"/>
      <color theme="1"/>
      <name val="宋体"/>
      <family val="3"/>
      <charset val="134"/>
      <scheme val="minor"/>
    </font>
    <font>
      <u/>
      <sz val="9"/>
      <color indexed="12"/>
      <name val="Times New Roman"/>
      <family val="1"/>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charset val="134"/>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b/>
      <sz val="12"/>
      <color rgb="FF0000FF"/>
      <name val="宋体"/>
      <family val="3"/>
      <charset val="134"/>
    </font>
    <font>
      <b/>
      <sz val="12"/>
      <color rgb="FF000000"/>
      <name val="宋体"/>
      <family val="3"/>
      <charset val="134"/>
    </font>
    <font>
      <sz val="10"/>
      <color indexed="10"/>
      <name val="宋体"/>
      <family val="3"/>
      <charset val="134"/>
    </font>
    <font>
      <sz val="10"/>
      <color indexed="10"/>
      <name val="Arial Narrow"/>
      <family val="2"/>
    </font>
    <font>
      <sz val="10"/>
      <color rgb="FF0000FF"/>
      <name val="宋体"/>
      <family val="3"/>
      <charset val="134"/>
    </font>
    <font>
      <b/>
      <sz val="10"/>
      <color rgb="FFFF0000"/>
      <name val="宋体"/>
      <family val="3"/>
      <charset val="134"/>
    </font>
    <font>
      <sz val="10"/>
      <color rgb="FFFF0000"/>
      <name val="宋体"/>
      <family val="3"/>
      <charset val="134"/>
    </font>
    <font>
      <sz val="12"/>
      <color rgb="FF000000"/>
      <name val="宋体"/>
      <family val="3"/>
      <charset val="134"/>
    </font>
    <font>
      <sz val="9"/>
      <name val="宋体"/>
      <family val="3"/>
      <charset val="134"/>
    </font>
    <font>
      <sz val="12"/>
      <color rgb="FF0000FF"/>
      <name val="宋体"/>
      <family val="3"/>
      <charset val="134"/>
    </font>
    <font>
      <sz val="9"/>
      <name val="Tahoma"/>
      <family val="2"/>
    </font>
    <font>
      <b/>
      <sz val="9"/>
      <name val="Tahoma"/>
      <family val="2"/>
    </font>
    <font>
      <sz val="9"/>
      <name val="宋体"/>
      <family val="2"/>
      <charset val="134"/>
      <scheme val="minor"/>
    </font>
    <font>
      <b/>
      <sz val="9"/>
      <color indexed="81"/>
      <name val="宋体"/>
      <family val="3"/>
      <charset val="134"/>
    </font>
    <font>
      <sz val="9"/>
      <color indexed="81"/>
      <name val="宋体"/>
      <family val="3"/>
      <charset val="134"/>
    </font>
    <font>
      <b/>
      <sz val="10"/>
      <color rgb="FF0000FF"/>
      <name val="宋体"/>
      <family val="3"/>
      <charset val="134"/>
    </font>
  </fonts>
  <fills count="51">
    <fill>
      <patternFill patternType="none"/>
    </fill>
    <fill>
      <patternFill patternType="gray125"/>
    </fill>
    <fill>
      <patternFill patternType="solid">
        <fgColor theme="7" tint="0.79995117038483843"/>
        <bgColor indexed="64"/>
      </patternFill>
    </fill>
    <fill>
      <patternFill patternType="solid">
        <fgColor theme="7" tint="0.79995117038483843"/>
        <bgColor rgb="FFB7DEE8"/>
      </patternFill>
    </fill>
    <fill>
      <patternFill patternType="solid">
        <fgColor rgb="FFE4DFEC"/>
        <bgColor indexed="64"/>
      </patternFill>
    </fill>
    <fill>
      <patternFill patternType="solid">
        <fgColor theme="0"/>
        <bgColor indexed="64"/>
      </patternFill>
    </fill>
    <fill>
      <patternFill patternType="solid">
        <fgColor rgb="FFD9D9D9"/>
        <bgColor indexed="64"/>
      </patternFill>
    </fill>
    <fill>
      <patternFill patternType="solid">
        <fgColor indexed="14"/>
        <bgColor indexed="64"/>
      </patternFill>
    </fill>
    <fill>
      <patternFill patternType="solid">
        <fgColor indexed="65"/>
        <bgColor indexed="64"/>
      </patternFill>
    </fill>
    <fill>
      <patternFill patternType="gray0625">
        <fgColor indexed="10"/>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4"/>
        <bgColor indexed="64"/>
      </patternFill>
    </fill>
    <fill>
      <patternFill patternType="solid">
        <fgColor indexed="45"/>
        <bgColor indexed="45"/>
      </patternFill>
    </fill>
    <fill>
      <patternFill patternType="solid">
        <fgColor indexed="56"/>
        <bgColor indexed="64"/>
      </patternFill>
    </fill>
    <fill>
      <patternFill patternType="solid">
        <fgColor indexed="42"/>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31">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style="hair">
        <color auto="1"/>
      </left>
      <right style="hair">
        <color auto="1"/>
      </right>
      <top/>
      <bottom/>
      <diagonal/>
    </border>
    <border>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hair">
        <color indexed="8"/>
      </left>
      <right style="hair">
        <color indexed="8"/>
      </right>
      <top style="hair">
        <color indexed="8"/>
      </top>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auto="1"/>
      </top>
      <bottom style="double">
        <color auto="1"/>
      </bottom>
      <diagonal/>
    </border>
    <border>
      <left style="hair">
        <color indexed="64"/>
      </left>
      <right style="hair">
        <color indexed="64"/>
      </right>
      <top style="hair">
        <color indexed="64"/>
      </top>
      <bottom style="hair">
        <color indexed="64"/>
      </bottom>
      <diagonal/>
    </border>
  </borders>
  <cellStyleXfs count="453">
    <xf numFmtId="0" fontId="0" fillId="0" borderId="0">
      <protection locked="0"/>
    </xf>
    <xf numFmtId="43" fontId="23" fillId="0" borderId="0" applyFont="0" applyFill="0" applyBorder="0" applyAlignment="0" applyProtection="0"/>
    <xf numFmtId="9" fontId="23" fillId="0" borderId="0" applyFont="0" applyFill="0" applyBorder="0" applyAlignment="0" applyProtection="0"/>
    <xf numFmtId="0" fontId="22" fillId="0" borderId="0" applyNumberFormat="0" applyFill="0" applyBorder="0" applyAlignment="0" applyProtection="0">
      <alignment vertical="top"/>
      <protection locked="0"/>
    </xf>
    <xf numFmtId="0" fontId="45" fillId="0" borderId="0"/>
    <xf numFmtId="49" fontId="53" fillId="0" borderId="0" applyProtection="0">
      <alignment horizontal="left"/>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5" fillId="0" borderId="0"/>
    <xf numFmtId="0" fontId="55" fillId="0" borderId="0"/>
    <xf numFmtId="0" fontId="55" fillId="0" borderId="0"/>
    <xf numFmtId="0" fontId="55" fillId="0" borderId="0"/>
    <xf numFmtId="0" fontId="55" fillId="0" borderId="0"/>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4" fillId="0" borderId="0">
      <alignment vertical="top"/>
    </xf>
    <xf numFmtId="0" fontId="55" fillId="0" borderId="0"/>
    <xf numFmtId="0" fontId="55" fillId="0" borderId="0"/>
    <xf numFmtId="0" fontId="55" fillId="0" borderId="0"/>
    <xf numFmtId="0" fontId="55" fillId="0" borderId="0"/>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4" fillId="0" borderId="0">
      <alignment vertical="top"/>
    </xf>
    <xf numFmtId="0" fontId="55" fillId="0" borderId="0"/>
    <xf numFmtId="0" fontId="55" fillId="0" borderId="0"/>
    <xf numFmtId="0" fontId="55" fillId="0" borderId="0"/>
    <xf numFmtId="0" fontId="55" fillId="0" borderId="0"/>
    <xf numFmtId="176" fontId="53" fillId="0" borderId="0" applyFill="0" applyBorder="0" applyProtection="0">
      <alignment horizontal="right"/>
    </xf>
    <xf numFmtId="177" fontId="53" fillId="0" borderId="0" applyFill="0" applyBorder="0" applyProtection="0">
      <alignment horizontal="right"/>
    </xf>
    <xf numFmtId="178" fontId="56" fillId="0" borderId="0" applyFill="0" applyBorder="0" applyProtection="0">
      <alignment horizontal="center"/>
    </xf>
    <xf numFmtId="179" fontId="56" fillId="0" borderId="0" applyFill="0" applyBorder="0" applyProtection="0">
      <alignment horizontal="center"/>
    </xf>
    <xf numFmtId="180" fontId="57" fillId="0" borderId="0" applyFill="0" applyBorder="0" applyProtection="0">
      <alignment horizontal="right"/>
    </xf>
    <xf numFmtId="181" fontId="53" fillId="0" borderId="0" applyFill="0" applyBorder="0" applyProtection="0">
      <alignment horizontal="right"/>
    </xf>
    <xf numFmtId="182" fontId="53" fillId="0" borderId="0" applyFill="0" applyBorder="0" applyProtection="0">
      <alignment horizontal="right"/>
    </xf>
    <xf numFmtId="183" fontId="53" fillId="0" borderId="0" applyFill="0" applyBorder="0" applyProtection="0">
      <alignment horizontal="right"/>
    </xf>
    <xf numFmtId="184" fontId="53" fillId="0" borderId="0" applyFill="0" applyBorder="0" applyProtection="0">
      <alignment horizontal="right"/>
    </xf>
    <xf numFmtId="185" fontId="23" fillId="0" borderId="0" applyFont="0" applyFill="0" applyBorder="0" applyAlignment="0" applyProtection="0"/>
    <xf numFmtId="186" fontId="58" fillId="0" borderId="0" applyFont="0" applyFill="0" applyBorder="0" applyAlignment="0" applyProtection="0"/>
    <xf numFmtId="10" fontId="58" fillId="0" borderId="0" applyFont="0" applyFill="0" applyBorder="0" applyAlignment="0" applyProtection="0"/>
    <xf numFmtId="187" fontId="23" fillId="0" borderId="0" applyFont="0" applyFill="0" applyBorder="0" applyAlignment="0" applyProtection="0"/>
    <xf numFmtId="0" fontId="59" fillId="0" borderId="23">
      <alignment horizontal="center"/>
    </xf>
    <xf numFmtId="0" fontId="60" fillId="0" borderId="0"/>
    <xf numFmtId="0" fontId="60" fillId="0" borderId="14" applyFill="0">
      <alignment horizontal="center"/>
      <protection locked="0"/>
    </xf>
    <xf numFmtId="0" fontId="59" fillId="0" borderId="0" applyFill="0">
      <alignment horizontal="center"/>
      <protection locked="0"/>
    </xf>
    <xf numFmtId="0" fontId="59" fillId="8" borderId="0"/>
    <xf numFmtId="0" fontId="59" fillId="0" borderId="0">
      <protection locked="0"/>
    </xf>
    <xf numFmtId="0" fontId="59" fillId="0" borderId="0"/>
    <xf numFmtId="188" fontId="59" fillId="0" borderId="0"/>
    <xf numFmtId="189" fontId="59" fillId="0" borderId="0"/>
    <xf numFmtId="0" fontId="60" fillId="9" borderId="0">
      <alignment horizontal="right"/>
    </xf>
    <xf numFmtId="0" fontId="59" fillId="0" borderId="0"/>
    <xf numFmtId="0" fontId="61" fillId="10" borderId="0" applyNumberFormat="0" applyBorder="0" applyAlignment="0" applyProtection="0"/>
    <xf numFmtId="0" fontId="62" fillId="11" borderId="0" applyNumberFormat="0" applyBorder="0" applyAlignment="0" applyProtection="0"/>
    <xf numFmtId="0" fontId="62" fillId="11" borderId="0" applyNumberFormat="0" applyBorder="0" applyAlignment="0" applyProtection="0"/>
    <xf numFmtId="0" fontId="61" fillId="12" borderId="0" applyNumberFormat="0" applyBorder="0" applyAlignment="0" applyProtection="0"/>
    <xf numFmtId="0" fontId="61"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1" fillId="16" borderId="0" applyNumberFormat="0" applyBorder="0" applyAlignment="0" applyProtection="0"/>
    <xf numFmtId="0" fontId="61" fillId="16" borderId="0" applyNumberFormat="0" applyBorder="0" applyAlignment="0" applyProtection="0"/>
    <xf numFmtId="0" fontId="62" fillId="14" borderId="0" applyNumberFormat="0" applyBorder="0" applyAlignment="0" applyProtection="0"/>
    <xf numFmtId="0" fontId="62" fillId="17" borderId="0" applyNumberFormat="0" applyBorder="0" applyAlignment="0" applyProtection="0"/>
    <xf numFmtId="0" fontId="61" fillId="15" borderId="0" applyNumberFormat="0" applyBorder="0" applyAlignment="0" applyProtection="0"/>
    <xf numFmtId="0" fontId="61" fillId="10" borderId="0" applyNumberFormat="0" applyBorder="0" applyAlignment="0" applyProtection="0"/>
    <xf numFmtId="0" fontId="62" fillId="11" borderId="0" applyNumberFormat="0" applyBorder="0" applyAlignment="0" applyProtection="0"/>
    <xf numFmtId="0" fontId="62" fillId="15"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2" fillId="19" borderId="0" applyNumberFormat="0" applyBorder="0" applyAlignment="0" applyProtection="0"/>
    <xf numFmtId="0" fontId="62" fillId="11" borderId="0" applyNumberFormat="0" applyBorder="0" applyAlignment="0" applyProtection="0"/>
    <xf numFmtId="0" fontId="61" fillId="12" borderId="0" applyNumberFormat="0" applyBorder="0" applyAlignment="0" applyProtection="0"/>
    <xf numFmtId="0" fontId="61" fillId="20" borderId="0" applyNumberFormat="0" applyBorder="0" applyAlignment="0" applyProtection="0"/>
    <xf numFmtId="0" fontId="62" fillId="14" borderId="0" applyNumberFormat="0" applyBorder="0" applyAlignment="0" applyProtection="0"/>
    <xf numFmtId="0" fontId="62" fillId="21" borderId="0" applyNumberFormat="0" applyBorder="0" applyAlignment="0" applyProtection="0"/>
    <xf numFmtId="0" fontId="61" fillId="21" borderId="0" applyNumberFormat="0" applyBorder="0" applyAlignment="0" applyProtection="0"/>
    <xf numFmtId="0" fontId="63" fillId="0" borderId="0">
      <alignment horizontal="center" wrapText="1"/>
      <protection locked="0"/>
    </xf>
    <xf numFmtId="3" fontId="64" fillId="0" borderId="0"/>
    <xf numFmtId="190" fontId="65" fillId="0" borderId="24" applyAlignment="0" applyProtection="0"/>
    <xf numFmtId="191" fontId="54" fillId="0" borderId="0" applyFill="0" applyBorder="0" applyAlignment="0"/>
    <xf numFmtId="192" fontId="55" fillId="0" borderId="0" applyFill="0" applyBorder="0" applyAlignment="0"/>
    <xf numFmtId="193" fontId="55" fillId="0" borderId="0" applyFill="0" applyBorder="0" applyAlignment="0"/>
    <xf numFmtId="194" fontId="45" fillId="0" borderId="0" applyFill="0" applyBorder="0" applyAlignment="0"/>
    <xf numFmtId="195" fontId="45" fillId="0" borderId="0" applyFill="0" applyBorder="0" applyAlignment="0"/>
    <xf numFmtId="196" fontId="55" fillId="0" borderId="0" applyFill="0" applyBorder="0" applyAlignment="0"/>
    <xf numFmtId="197" fontId="55" fillId="0" borderId="0" applyFill="0" applyBorder="0" applyAlignment="0"/>
    <xf numFmtId="192" fontId="55" fillId="0" borderId="0" applyFill="0" applyBorder="0" applyAlignment="0"/>
    <xf numFmtId="0" fontId="66" fillId="0" borderId="0"/>
    <xf numFmtId="0" fontId="67" fillId="0" borderId="22" applyNumberFormat="0" applyFill="0" applyProtection="0">
      <alignment horizontal="center"/>
    </xf>
    <xf numFmtId="0" fontId="68" fillId="0" borderId="25">
      <alignment horizontal="center"/>
    </xf>
    <xf numFmtId="198" fontId="45" fillId="0" borderId="0"/>
    <xf numFmtId="198" fontId="45" fillId="0" borderId="0"/>
    <xf numFmtId="198" fontId="45" fillId="0" borderId="0"/>
    <xf numFmtId="198" fontId="45" fillId="0" borderId="0"/>
    <xf numFmtId="198" fontId="45" fillId="0" borderId="0"/>
    <xf numFmtId="198" fontId="45" fillId="0" borderId="0"/>
    <xf numFmtId="198" fontId="45" fillId="0" borderId="0"/>
    <xf numFmtId="198" fontId="45" fillId="0" borderId="0"/>
    <xf numFmtId="199" fontId="23" fillId="0" borderId="0" applyFont="0" applyFill="0" applyBorder="0" applyAlignment="0" applyProtection="0"/>
    <xf numFmtId="196" fontId="55" fillId="0" borderId="0" applyFont="0" applyFill="0" applyBorder="0" applyAlignment="0" applyProtection="0"/>
    <xf numFmtId="200" fontId="53" fillId="0" borderId="0"/>
    <xf numFmtId="37" fontId="58" fillId="0" borderId="0" applyFont="0" applyFill="0" applyBorder="0" applyAlignment="0" applyProtection="0"/>
    <xf numFmtId="192" fontId="58" fillId="0" borderId="0" applyFont="0" applyFill="0" applyBorder="0" applyAlignment="0" applyProtection="0"/>
    <xf numFmtId="39" fontId="58" fillId="0" borderId="0" applyFont="0" applyFill="0" applyBorder="0" applyAlignment="0" applyProtection="0"/>
    <xf numFmtId="0" fontId="45" fillId="0" borderId="0" applyFont="0" applyFill="0" applyBorder="0" applyAlignment="0" applyProtection="0"/>
    <xf numFmtId="0" fontId="69" fillId="0" borderId="0" applyNumberFormat="0" applyAlignment="0">
      <alignment horizontal="left"/>
    </xf>
    <xf numFmtId="0" fontId="70" fillId="0" borderId="0" applyNumberFormat="0" applyAlignment="0"/>
    <xf numFmtId="199" fontId="47" fillId="0" borderId="0" applyFont="0" applyFill="0" applyBorder="0" applyAlignment="0" applyProtection="0"/>
    <xf numFmtId="192" fontId="55" fillId="0" borderId="0" applyFont="0" applyFill="0" applyBorder="0" applyAlignment="0" applyProtection="0"/>
    <xf numFmtId="190" fontId="58" fillId="0" borderId="0" applyFont="0" applyFill="0" applyBorder="0" applyAlignment="0" applyProtection="0"/>
    <xf numFmtId="201" fontId="58" fillId="0" borderId="0" applyFont="0" applyFill="0" applyBorder="0" applyAlignment="0" applyProtection="0"/>
    <xf numFmtId="202" fontId="45" fillId="0" borderId="0" applyFont="0" applyFill="0" applyBorder="0" applyAlignment="0" applyProtection="0"/>
    <xf numFmtId="203" fontId="53" fillId="0" borderId="0"/>
    <xf numFmtId="204" fontId="45" fillId="0" borderId="0">
      <protection locked="0"/>
    </xf>
    <xf numFmtId="14" fontId="54" fillId="0" borderId="0" applyFill="0" applyBorder="0" applyAlignment="0"/>
    <xf numFmtId="204" fontId="45" fillId="0" borderId="0">
      <protection locked="0"/>
    </xf>
    <xf numFmtId="41" fontId="45" fillId="0" borderId="0" applyFont="0" applyFill="0" applyBorder="0" applyAlignment="0" applyProtection="0"/>
    <xf numFmtId="43" fontId="45" fillId="0" borderId="0" applyFont="0" applyFill="0" applyBorder="0" applyAlignment="0" applyProtection="0"/>
    <xf numFmtId="205" fontId="53" fillId="0" borderId="0"/>
    <xf numFmtId="196" fontId="55" fillId="0" borderId="0" applyFill="0" applyBorder="0" applyAlignment="0"/>
    <xf numFmtId="192" fontId="55" fillId="0" borderId="0" applyFill="0" applyBorder="0" applyAlignment="0"/>
    <xf numFmtId="196" fontId="55" fillId="0" borderId="0" applyFill="0" applyBorder="0" applyAlignment="0"/>
    <xf numFmtId="197" fontId="55" fillId="0" borderId="0" applyFill="0" applyBorder="0" applyAlignment="0"/>
    <xf numFmtId="192" fontId="55" fillId="0" borderId="0" applyFill="0" applyBorder="0" applyAlignment="0"/>
    <xf numFmtId="0" fontId="71" fillId="0" borderId="0" applyNumberFormat="0" applyAlignment="0">
      <alignment horizontal="left"/>
    </xf>
    <xf numFmtId="0" fontId="72" fillId="0" borderId="0">
      <alignment horizontal="left"/>
    </xf>
    <xf numFmtId="0" fontId="73" fillId="22" borderId="23"/>
    <xf numFmtId="206" fontId="53" fillId="0" borderId="0" applyFont="0" applyFill="0" applyBorder="0" applyAlignment="0" applyProtection="0"/>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0" fontId="74" fillId="0" borderId="0" applyNumberFormat="0" applyFill="0" applyBorder="0" applyAlignment="0" applyProtection="0">
      <alignment vertical="top"/>
      <protection locked="0"/>
    </xf>
    <xf numFmtId="38" fontId="73" fillId="23" borderId="0" applyNumberFormat="0" applyBorder="0" applyAlignment="0" applyProtection="0"/>
    <xf numFmtId="0" fontId="75" fillId="0" borderId="0">
      <alignment horizontal="left"/>
    </xf>
    <xf numFmtId="0" fontId="51" fillId="0" borderId="12" applyNumberFormat="0" applyAlignment="0" applyProtection="0">
      <alignment horizontal="left" vertical="center"/>
    </xf>
    <xf numFmtId="0" fontId="51" fillId="0" borderId="26">
      <alignment horizontal="left" vertical="center"/>
    </xf>
    <xf numFmtId="204" fontId="45" fillId="0" borderId="0">
      <protection locked="0"/>
    </xf>
    <xf numFmtId="204" fontId="45" fillId="0" borderId="0">
      <protection locked="0"/>
    </xf>
    <xf numFmtId="0" fontId="76" fillId="0" borderId="0" applyNumberFormat="0" applyFill="0" applyBorder="0" applyAlignment="0" applyProtection="0">
      <alignment vertical="top"/>
      <protection locked="0"/>
    </xf>
    <xf numFmtId="10" fontId="73" fillId="24" borderId="23" applyNumberFormat="0" applyBorder="0" applyAlignment="0" applyProtection="0"/>
    <xf numFmtId="192" fontId="77" fillId="25" borderId="0"/>
    <xf numFmtId="196" fontId="55" fillId="0" borderId="0" applyFill="0" applyBorder="0" applyAlignment="0"/>
    <xf numFmtId="192" fontId="55" fillId="0" borderId="0" applyFill="0" applyBorder="0" applyAlignment="0"/>
    <xf numFmtId="196" fontId="55" fillId="0" borderId="0" applyFill="0" applyBorder="0" applyAlignment="0"/>
    <xf numFmtId="197" fontId="55" fillId="0" borderId="0" applyFill="0" applyBorder="0" applyAlignment="0"/>
    <xf numFmtId="192" fontId="55" fillId="0" borderId="0" applyFill="0" applyBorder="0" applyAlignment="0"/>
    <xf numFmtId="192" fontId="78" fillId="26" borderId="0"/>
    <xf numFmtId="0" fontId="45" fillId="0" borderId="0" applyFont="0" applyFill="0" applyBorder="0" applyAlignment="0" applyProtection="0"/>
    <xf numFmtId="0" fontId="45" fillId="0" borderId="0" applyFont="0" applyFill="0" applyBorder="0" applyAlignment="0" applyProtection="0"/>
    <xf numFmtId="0" fontId="79" fillId="0" borderId="14"/>
    <xf numFmtId="0" fontId="45" fillId="0" borderId="0" applyFont="0" applyFill="0" applyBorder="0" applyAlignment="0" applyProtection="0"/>
    <xf numFmtId="0" fontId="45" fillId="0" borderId="0" applyFont="0" applyFill="0" applyBorder="0" applyAlignment="0" applyProtection="0"/>
    <xf numFmtId="0" fontId="70" fillId="0" borderId="0"/>
    <xf numFmtId="207" fontId="23" fillId="0" borderId="0"/>
    <xf numFmtId="0" fontId="45" fillId="0" borderId="0"/>
    <xf numFmtId="0" fontId="80" fillId="0" borderId="0"/>
    <xf numFmtId="208" fontId="23" fillId="0" borderId="0" applyFont="0" applyFill="0" applyBorder="0" applyAlignment="0" applyProtection="0"/>
    <xf numFmtId="209" fontId="23" fillId="0" borderId="0" applyFont="0" applyFill="0" applyBorder="0" applyAlignment="0" applyProtection="0"/>
    <xf numFmtId="14" fontId="63" fillId="0" borderId="0">
      <alignment horizontal="center" wrapText="1"/>
      <protection locked="0"/>
    </xf>
    <xf numFmtId="195" fontId="45" fillId="0" borderId="0" applyFont="0" applyFill="0" applyBorder="0" applyAlignment="0" applyProtection="0"/>
    <xf numFmtId="210" fontId="45" fillId="0" borderId="0" applyFont="0" applyFill="0" applyBorder="0" applyAlignment="0" applyProtection="0"/>
    <xf numFmtId="10" fontId="45" fillId="0" borderId="0" applyFont="0" applyFill="0" applyBorder="0" applyAlignment="0" applyProtection="0"/>
    <xf numFmtId="9" fontId="55" fillId="0" borderId="0" applyFont="0" applyFill="0" applyBorder="0" applyAlignment="0" applyProtection="0"/>
    <xf numFmtId="13" fontId="45" fillId="0" borderId="0" applyFont="0" applyFill="0" applyProtection="0"/>
    <xf numFmtId="0" fontId="73" fillId="23" borderId="23"/>
    <xf numFmtId="196" fontId="55" fillId="0" borderId="0" applyFill="0" applyBorder="0" applyAlignment="0"/>
    <xf numFmtId="192" fontId="55" fillId="0" borderId="0" applyFill="0" applyBorder="0" applyAlignment="0"/>
    <xf numFmtId="196" fontId="55" fillId="0" borderId="0" applyFill="0" applyBorder="0" applyAlignment="0"/>
    <xf numFmtId="197" fontId="55" fillId="0" borderId="0" applyFill="0" applyBorder="0" applyAlignment="0"/>
    <xf numFmtId="192" fontId="55" fillId="0" borderId="0" applyFill="0" applyBorder="0" applyAlignment="0"/>
    <xf numFmtId="4" fontId="72" fillId="0" borderId="0">
      <alignment horizontal="right"/>
    </xf>
    <xf numFmtId="211" fontId="81" fillId="0" borderId="0"/>
    <xf numFmtId="0" fontId="82" fillId="0" borderId="0" applyNumberFormat="0" applyFont="0" applyFill="0" applyBorder="0" applyAlignment="0" applyProtection="0">
      <alignment horizontal="left"/>
    </xf>
    <xf numFmtId="0" fontId="65" fillId="0" borderId="14">
      <alignment horizontal="center"/>
    </xf>
    <xf numFmtId="3" fontId="83" fillId="0" borderId="0"/>
    <xf numFmtId="4" fontId="84" fillId="0" borderId="0">
      <alignment horizontal="right"/>
    </xf>
    <xf numFmtId="212" fontId="85" fillId="0" borderId="0" applyNumberFormat="0" applyFill="0" applyBorder="0" applyAlignment="0" applyProtection="0">
      <alignment horizontal="left"/>
    </xf>
    <xf numFmtId="41" fontId="53" fillId="0" borderId="0" applyFont="0" applyFill="0" applyBorder="0" applyAlignment="0" applyProtection="0"/>
    <xf numFmtId="4" fontId="86" fillId="27" borderId="27" applyNumberFormat="0" applyProtection="0">
      <alignment vertical="center"/>
    </xf>
    <xf numFmtId="4" fontId="87" fillId="27" borderId="27" applyNumberFormat="0" applyProtection="0">
      <alignment vertical="center"/>
    </xf>
    <xf numFmtId="4" fontId="86" fillId="27" borderId="27" applyNumberFormat="0" applyProtection="0">
      <alignment horizontal="left" vertical="center" indent="1"/>
    </xf>
    <xf numFmtId="0" fontId="86" fillId="27" borderId="27" applyNumberFormat="0" applyProtection="0">
      <alignment horizontal="left" vertical="top" indent="1"/>
    </xf>
    <xf numFmtId="4" fontId="86" fillId="28" borderId="0" applyNumberFormat="0" applyProtection="0">
      <alignment horizontal="left" vertical="center" indent="1"/>
    </xf>
    <xf numFmtId="4" fontId="54" fillId="29" borderId="27" applyNumberFormat="0" applyProtection="0">
      <alignment horizontal="right" vertical="center"/>
    </xf>
    <xf numFmtId="4" fontId="54" fillId="30" borderId="27" applyNumberFormat="0" applyProtection="0">
      <alignment horizontal="right" vertical="center"/>
    </xf>
    <xf numFmtId="4" fontId="54" fillId="31" borderId="27" applyNumberFormat="0" applyProtection="0">
      <alignment horizontal="right" vertical="center"/>
    </xf>
    <xf numFmtId="4" fontId="54" fillId="32" borderId="27" applyNumberFormat="0" applyProtection="0">
      <alignment horizontal="right" vertical="center"/>
    </xf>
    <xf numFmtId="4" fontId="54" fillId="33" borderId="27" applyNumberFormat="0" applyProtection="0">
      <alignment horizontal="right" vertical="center"/>
    </xf>
    <xf numFmtId="4" fontId="54" fillId="34" borderId="27" applyNumberFormat="0" applyProtection="0">
      <alignment horizontal="right" vertical="center"/>
    </xf>
    <xf numFmtId="4" fontId="54" fillId="35" borderId="27" applyNumberFormat="0" applyProtection="0">
      <alignment horizontal="right" vertical="center"/>
    </xf>
    <xf numFmtId="4" fontId="54" fillId="36" borderId="27" applyNumberFormat="0" applyProtection="0">
      <alignment horizontal="right" vertical="center"/>
    </xf>
    <xf numFmtId="4" fontId="54" fillId="37" borderId="27" applyNumberFormat="0" applyProtection="0">
      <alignment horizontal="right" vertical="center"/>
    </xf>
    <xf numFmtId="4" fontId="86" fillId="38" borderId="28" applyNumberFormat="0" applyProtection="0">
      <alignment horizontal="left" vertical="center" indent="1"/>
    </xf>
    <xf numFmtId="4" fontId="54" fillId="39" borderId="0" applyNumberFormat="0" applyProtection="0">
      <alignment horizontal="left" vertical="center" indent="1"/>
    </xf>
    <xf numFmtId="4" fontId="88" fillId="40" borderId="0" applyNumberFormat="0" applyProtection="0">
      <alignment horizontal="left" vertical="center" indent="1"/>
    </xf>
    <xf numFmtId="4" fontId="54" fillId="28" borderId="27" applyNumberFormat="0" applyProtection="0">
      <alignment horizontal="right" vertical="center"/>
    </xf>
    <xf numFmtId="4" fontId="54" fillId="39" borderId="0" applyNumberFormat="0" applyProtection="0">
      <alignment horizontal="left" vertical="center" indent="1"/>
    </xf>
    <xf numFmtId="4" fontId="54" fillId="28" borderId="0" applyNumberFormat="0" applyProtection="0">
      <alignment horizontal="left" vertical="center" indent="1"/>
    </xf>
    <xf numFmtId="0" fontId="45" fillId="40" borderId="27" applyNumberFormat="0" applyProtection="0">
      <alignment horizontal="left" vertical="center" indent="1"/>
    </xf>
    <xf numFmtId="0" fontId="45" fillId="40" borderId="27" applyNumberFormat="0" applyProtection="0">
      <alignment horizontal="left" vertical="top" indent="1"/>
    </xf>
    <xf numFmtId="0" fontId="45" fillId="28" borderId="27" applyNumberFormat="0" applyProtection="0">
      <alignment horizontal="left" vertical="center" indent="1"/>
    </xf>
    <xf numFmtId="0" fontId="45" fillId="28" borderId="27" applyNumberFormat="0" applyProtection="0">
      <alignment horizontal="left" vertical="top" indent="1"/>
    </xf>
    <xf numFmtId="0" fontId="45" fillId="41" borderId="27" applyNumberFormat="0" applyProtection="0">
      <alignment horizontal="left" vertical="center" indent="1"/>
    </xf>
    <xf numFmtId="0" fontId="45" fillId="41" borderId="27" applyNumberFormat="0" applyProtection="0">
      <alignment horizontal="left" vertical="top" indent="1"/>
    </xf>
    <xf numFmtId="0" fontId="45" fillId="39" borderId="27" applyNumberFormat="0" applyProtection="0">
      <alignment horizontal="left" vertical="center" indent="1"/>
    </xf>
    <xf numFmtId="0" fontId="45" fillId="39" borderId="27" applyNumberFormat="0" applyProtection="0">
      <alignment horizontal="left" vertical="top" indent="1"/>
    </xf>
    <xf numFmtId="4" fontId="54" fillId="24" borderId="27" applyNumberFormat="0" applyProtection="0">
      <alignment vertical="center"/>
    </xf>
    <xf numFmtId="4" fontId="89" fillId="24" borderId="27" applyNumberFormat="0" applyProtection="0">
      <alignment vertical="center"/>
    </xf>
    <xf numFmtId="4" fontId="54" fillId="24" borderId="27" applyNumberFormat="0" applyProtection="0">
      <alignment horizontal="left" vertical="center" indent="1"/>
    </xf>
    <xf numFmtId="0" fontId="54" fillId="24" borderId="27" applyNumberFormat="0" applyProtection="0">
      <alignment horizontal="left" vertical="top" indent="1"/>
    </xf>
    <xf numFmtId="4" fontId="54" fillId="39" borderId="27" applyNumberFormat="0" applyProtection="0">
      <alignment horizontal="right" vertical="center"/>
    </xf>
    <xf numFmtId="4" fontId="89" fillId="39" borderId="27" applyNumberFormat="0" applyProtection="0">
      <alignment horizontal="right" vertical="center"/>
    </xf>
    <xf numFmtId="4" fontId="54" fillId="28" borderId="27" applyNumberFormat="0" applyProtection="0">
      <alignment horizontal="left" vertical="center" indent="1"/>
    </xf>
    <xf numFmtId="0" fontId="54" fillId="28" borderId="27" applyNumberFormat="0" applyProtection="0">
      <alignment horizontal="left" vertical="top" indent="1"/>
    </xf>
    <xf numFmtId="4" fontId="90" fillId="25" borderId="0" applyNumberFormat="0" applyProtection="0">
      <alignment horizontal="left" vertical="center" indent="1"/>
    </xf>
    <xf numFmtId="4" fontId="46" fillId="39" borderId="27" applyNumberFormat="0" applyProtection="0">
      <alignment horizontal="right" vertical="center"/>
    </xf>
    <xf numFmtId="0" fontId="91" fillId="0" borderId="0">
      <alignment horizontal="left"/>
    </xf>
    <xf numFmtId="43" fontId="73" fillId="0" borderId="2"/>
    <xf numFmtId="0" fontId="80" fillId="0" borderId="0"/>
    <xf numFmtId="0" fontId="79" fillId="0" borderId="0"/>
    <xf numFmtId="40" fontId="92" fillId="0" borderId="0" applyBorder="0">
      <alignment horizontal="right"/>
    </xf>
    <xf numFmtId="49" fontId="54" fillId="0" borderId="0" applyFill="0" applyBorder="0" applyAlignment="0"/>
    <xf numFmtId="213" fontId="45" fillId="0" borderId="0" applyFill="0" applyBorder="0" applyAlignment="0"/>
    <xf numFmtId="214" fontId="45" fillId="0" borderId="0" applyFill="0" applyBorder="0" applyAlignment="0"/>
    <xf numFmtId="0" fontId="93" fillId="0" borderId="0">
      <alignment horizontal="center"/>
    </xf>
    <xf numFmtId="204" fontId="45" fillId="0" borderId="29">
      <protection locked="0"/>
    </xf>
    <xf numFmtId="215" fontId="45" fillId="0" borderId="0" applyFont="0" applyFill="0" applyBorder="0" applyAlignment="0" applyProtection="0"/>
    <xf numFmtId="216" fontId="45" fillId="0" borderId="0" applyFont="0" applyFill="0" applyBorder="0" applyAlignment="0" applyProtection="0"/>
    <xf numFmtId="217" fontId="23" fillId="0" borderId="0" applyFont="0" applyFill="0" applyBorder="0" applyAlignment="0" applyProtection="0"/>
    <xf numFmtId="218" fontId="23" fillId="0" borderId="0" applyFont="0" applyFill="0" applyBorder="0" applyAlignment="0" applyProtection="0"/>
    <xf numFmtId="9" fontId="94" fillId="0" borderId="0" applyFont="0" applyFill="0" applyBorder="0" applyAlignment="0" applyProtection="0"/>
    <xf numFmtId="0" fontId="85" fillId="0" borderId="0"/>
    <xf numFmtId="0" fontId="3" fillId="0" borderId="0"/>
    <xf numFmtId="219" fontId="85" fillId="0" borderId="0" applyFont="0" applyFill="0" applyBorder="0" applyAlignment="0" applyProtection="0"/>
    <xf numFmtId="220" fontId="85" fillId="0" borderId="0" applyFont="0" applyFill="0" applyBorder="0" applyAlignment="0" applyProtection="0"/>
    <xf numFmtId="41" fontId="45" fillId="0" borderId="0" applyFont="0" applyFill="0" applyBorder="0" applyAlignment="0" applyProtection="0"/>
    <xf numFmtId="9" fontId="85" fillId="0" borderId="0" applyFont="0" applyFill="0" applyBorder="0" applyAlignment="0" applyProtection="0"/>
    <xf numFmtId="9" fontId="23" fillId="0" borderId="0" applyFont="0" applyFill="0" applyBorder="0" applyAlignment="0" applyProtection="0"/>
    <xf numFmtId="9" fontId="62" fillId="0" borderId="0" applyFont="0" applyFill="0" applyBorder="0" applyAlignment="0" applyProtection="0">
      <alignment vertical="center"/>
    </xf>
    <xf numFmtId="0" fontId="95" fillId="0" borderId="0" applyFont="0" applyFill="0" applyBorder="0" applyAlignment="0" applyProtection="0"/>
    <xf numFmtId="0" fontId="95" fillId="0" borderId="0" applyFont="0" applyFill="0" applyBorder="0" applyAlignment="0" applyProtection="0"/>
    <xf numFmtId="4" fontId="96" fillId="0" borderId="0">
      <alignment horizontal="right"/>
    </xf>
    <xf numFmtId="0" fontId="97" fillId="0" borderId="0" applyNumberFormat="0" applyFill="0" applyBorder="0" applyAlignment="0" applyProtection="0"/>
    <xf numFmtId="0" fontId="98" fillId="32"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8" fillId="32" borderId="0" applyNumberFormat="0" applyBorder="0" applyAlignment="0" applyProtection="0">
      <alignment vertical="center"/>
    </xf>
    <xf numFmtId="0" fontId="100" fillId="42" borderId="0" applyNumberFormat="0" applyBorder="0" applyAlignment="0" applyProtection="0"/>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9" fillId="29"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101" fillId="22" borderId="0" applyNumberFormat="0" applyBorder="0" applyAlignment="0" applyProtection="0">
      <alignment vertical="center"/>
    </xf>
    <xf numFmtId="0" fontId="99" fillId="29" borderId="0" applyNumberFormat="0" applyBorder="0" applyAlignment="0" applyProtection="0">
      <alignment vertical="center"/>
    </xf>
    <xf numFmtId="0" fontId="102" fillId="29"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101" fillId="2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9" fillId="29" borderId="0" applyNumberFormat="0" applyBorder="0" applyAlignment="0" applyProtection="0">
      <alignment vertical="center"/>
    </xf>
    <xf numFmtId="0" fontId="98" fillId="32" borderId="0" applyNumberFormat="0" applyBorder="0" applyAlignment="0" applyProtection="0">
      <alignment vertical="center"/>
    </xf>
    <xf numFmtId="0" fontId="99" fillId="29"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0" fontId="98" fillId="34" borderId="0" applyNumberFormat="0" applyBorder="0" applyAlignment="0" applyProtection="0">
      <alignment vertical="center"/>
    </xf>
    <xf numFmtId="0" fontId="98" fillId="32" borderId="0" applyNumberFormat="0" applyBorder="0" applyAlignment="0" applyProtection="0">
      <alignment vertical="center"/>
    </xf>
    <xf numFmtId="0" fontId="98" fillId="32" borderId="0" applyNumberFormat="0" applyBorder="0" applyAlignment="0" applyProtection="0">
      <alignment vertical="center"/>
    </xf>
    <xf numFmtId="206" fontId="103" fillId="0" borderId="0">
      <alignment vertical="center"/>
    </xf>
    <xf numFmtId="0" fontId="23" fillId="0" borderId="0"/>
    <xf numFmtId="0" fontId="7" fillId="0" borderId="0"/>
    <xf numFmtId="0" fontId="7" fillId="0" borderId="0"/>
    <xf numFmtId="0" fontId="23" fillId="0" borderId="0">
      <alignment vertical="center"/>
      <protection locked="0"/>
    </xf>
    <xf numFmtId="0" fontId="103" fillId="0" borderId="0"/>
    <xf numFmtId="0" fontId="23" fillId="0" borderId="0"/>
    <xf numFmtId="0" fontId="23" fillId="0" borderId="0">
      <alignment vertical="center"/>
    </xf>
    <xf numFmtId="0" fontId="103" fillId="0" borderId="0"/>
    <xf numFmtId="0" fontId="23" fillId="0" borderId="0">
      <protection locked="0"/>
    </xf>
    <xf numFmtId="206" fontId="23" fillId="0" borderId="0">
      <protection locked="0"/>
    </xf>
    <xf numFmtId="0" fontId="23" fillId="0" borderId="0"/>
    <xf numFmtId="0" fontId="7" fillId="0" borderId="0"/>
    <xf numFmtId="0" fontId="7" fillId="0" borderId="0"/>
    <xf numFmtId="0" fontId="23" fillId="0" borderId="0">
      <protection locked="0"/>
    </xf>
    <xf numFmtId="0" fontId="7" fillId="0" borderId="0"/>
    <xf numFmtId="0" fontId="7" fillId="0" borderId="0"/>
    <xf numFmtId="206" fontId="23" fillId="0" borderId="0"/>
    <xf numFmtId="0" fontId="7" fillId="0" borderId="0"/>
    <xf numFmtId="0" fontId="23" fillId="0" borderId="0"/>
    <xf numFmtId="0" fontId="103" fillId="0" borderId="0">
      <alignment vertical="center"/>
    </xf>
    <xf numFmtId="0" fontId="103" fillId="0" borderId="0">
      <alignment vertical="center"/>
    </xf>
    <xf numFmtId="0" fontId="7" fillId="0" borderId="0"/>
    <xf numFmtId="0" fontId="23" fillId="0" borderId="0">
      <protection locked="0"/>
    </xf>
    <xf numFmtId="206" fontId="103" fillId="0" borderId="0">
      <alignment vertical="center"/>
    </xf>
    <xf numFmtId="0" fontId="104" fillId="0" borderId="0">
      <alignment vertical="center"/>
    </xf>
    <xf numFmtId="206" fontId="103" fillId="0" borderId="0">
      <alignment vertical="center"/>
    </xf>
    <xf numFmtId="206" fontId="103" fillId="0" borderId="0">
      <alignment vertical="center"/>
    </xf>
    <xf numFmtId="0" fontId="23" fillId="0" borderId="0">
      <alignment vertical="center"/>
    </xf>
    <xf numFmtId="0" fontId="23" fillId="0" borderId="0">
      <alignment vertical="center"/>
    </xf>
    <xf numFmtId="206" fontId="23" fillId="0" borderId="0">
      <alignment vertical="center"/>
    </xf>
    <xf numFmtId="0" fontId="85" fillId="0" borderId="0"/>
    <xf numFmtId="0" fontId="85" fillId="0" borderId="0"/>
    <xf numFmtId="0" fontId="53" fillId="0" borderId="0">
      <protection locked="0"/>
    </xf>
    <xf numFmtId="0" fontId="23" fillId="0" borderId="0"/>
    <xf numFmtId="0" fontId="23" fillId="0" borderId="0" applyFill="0" applyBorder="0"/>
    <xf numFmtId="0" fontId="23" fillId="0" borderId="0" applyFill="0" applyBorder="0"/>
    <xf numFmtId="0" fontId="23" fillId="0" borderId="0">
      <alignment vertical="center"/>
    </xf>
    <xf numFmtId="0" fontId="23" fillId="0" borderId="0">
      <alignment vertical="center"/>
    </xf>
    <xf numFmtId="0" fontId="105"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106" fillId="43" borderId="0" applyNumberFormat="0" applyBorder="0" applyAlignment="0" applyProtection="0">
      <alignment vertical="center"/>
    </xf>
    <xf numFmtId="0" fontId="107" fillId="44" borderId="0" applyNumberFormat="0" applyBorder="0" applyAlignment="0" applyProtection="0">
      <alignment vertical="center"/>
    </xf>
    <xf numFmtId="0" fontId="107" fillId="43" borderId="0" applyNumberFormat="0" applyBorder="0" applyAlignment="0" applyProtection="0">
      <alignment vertical="center"/>
    </xf>
    <xf numFmtId="0" fontId="107" fillId="43" borderId="0" applyNumberFormat="0" applyBorder="0" applyAlignment="0" applyProtection="0">
      <alignment vertical="center"/>
    </xf>
    <xf numFmtId="0" fontId="107" fillId="43" borderId="0" applyNumberFormat="0" applyBorder="0" applyAlignment="0" applyProtection="0">
      <alignment vertical="center"/>
    </xf>
    <xf numFmtId="0" fontId="107" fillId="44" borderId="0" applyNumberFormat="0" applyBorder="0" applyAlignment="0" applyProtection="0">
      <alignment vertical="center"/>
    </xf>
    <xf numFmtId="0" fontId="106" fillId="43" borderId="0" applyNumberFormat="0" applyBorder="0" applyAlignment="0" applyProtection="0">
      <alignment vertical="center"/>
    </xf>
    <xf numFmtId="0" fontId="108" fillId="17" borderId="0" applyNumberFormat="0" applyBorder="0" applyAlignment="0" applyProtection="0"/>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4"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7" fillId="44" borderId="0" applyNumberFormat="0" applyBorder="0" applyAlignment="0" applyProtection="0">
      <alignment vertical="center"/>
    </xf>
    <xf numFmtId="0" fontId="108" fillId="44"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9" fillId="45" borderId="0" applyNumberFormat="0" applyBorder="0" applyAlignment="0" applyProtection="0">
      <alignment vertical="center"/>
    </xf>
    <xf numFmtId="0" fontId="106" fillId="43" borderId="0" applyNumberFormat="0" applyBorder="0" applyAlignment="0" applyProtection="0">
      <alignment vertical="center"/>
    </xf>
    <xf numFmtId="0" fontId="109" fillId="45"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7" fillId="44" borderId="0" applyNumberFormat="0" applyBorder="0" applyAlignment="0" applyProtection="0">
      <alignment vertical="center"/>
    </xf>
    <xf numFmtId="0" fontId="106" fillId="43" borderId="0" applyNumberFormat="0" applyBorder="0" applyAlignment="0" applyProtection="0">
      <alignment vertical="center"/>
    </xf>
    <xf numFmtId="0" fontId="107" fillId="44"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6" fillId="43" borderId="0" applyNumberFormat="0" applyBorder="0" applyAlignment="0" applyProtection="0">
      <alignment vertical="center"/>
    </xf>
    <xf numFmtId="0" fontId="107" fillId="43" borderId="0" applyNumberFormat="0" applyBorder="0" applyAlignment="0" applyProtection="0">
      <alignment vertical="center"/>
    </xf>
    <xf numFmtId="0" fontId="106" fillId="43" borderId="0" applyNumberFormat="0" applyBorder="0" applyAlignment="0" applyProtection="0">
      <alignment vertical="center"/>
    </xf>
    <xf numFmtId="0" fontId="107" fillId="46" borderId="0" applyNumberFormat="0" applyBorder="0" applyAlignment="0" applyProtection="0">
      <alignment vertical="center"/>
    </xf>
    <xf numFmtId="0" fontId="106" fillId="43" borderId="0" applyNumberFormat="0" applyBorder="0" applyAlignment="0" applyProtection="0">
      <alignment vertical="center"/>
    </xf>
    <xf numFmtId="0" fontId="109" fillId="45" borderId="0" applyNumberFormat="0" applyBorder="0" applyAlignment="0" applyProtection="0">
      <alignment vertical="center"/>
    </xf>
    <xf numFmtId="0" fontId="106" fillId="43" borderId="0" applyNumberFormat="0" applyBorder="0" applyAlignment="0" applyProtection="0">
      <alignment vertical="center"/>
    </xf>
    <xf numFmtId="0" fontId="109" fillId="45" borderId="0" applyNumberFormat="0" applyBorder="0" applyAlignment="0" applyProtection="0">
      <alignment vertical="center"/>
    </xf>
    <xf numFmtId="0" fontId="107" fillId="43" borderId="0" applyNumberFormat="0" applyBorder="0" applyAlignment="0" applyProtection="0">
      <alignment vertical="center"/>
    </xf>
    <xf numFmtId="4" fontId="110" fillId="0" borderId="0" applyFont="0" applyFill="0" applyBorder="0" applyAlignment="0" applyProtection="0"/>
    <xf numFmtId="41" fontId="45" fillId="0" borderId="0" applyFont="0" applyFill="0" applyBorder="0" applyAlignment="0" applyProtection="0"/>
    <xf numFmtId="221" fontId="111" fillId="0" borderId="0" applyFont="0" applyFill="0" applyBorder="0" applyAlignment="0" applyProtection="0"/>
    <xf numFmtId="222" fontId="111" fillId="0" borderId="0" applyFont="0" applyFill="0" applyBorder="0" applyAlignment="0" applyProtection="0"/>
    <xf numFmtId="223" fontId="45" fillId="0" borderId="0" applyFont="0" applyFill="0" applyBorder="0" applyAlignment="0" applyProtection="0"/>
    <xf numFmtId="224" fontId="45" fillId="0" borderId="0" applyFont="0" applyFill="0" applyBorder="0" applyAlignment="0" applyProtection="0"/>
    <xf numFmtId="0" fontId="85" fillId="0" borderId="0"/>
    <xf numFmtId="1" fontId="85" fillId="0" borderId="0"/>
    <xf numFmtId="225" fontId="112" fillId="0" borderId="0" applyFont="0" applyFill="0" applyBorder="0" applyAlignment="0" applyProtection="0"/>
    <xf numFmtId="226" fontId="112" fillId="0" borderId="0" applyFont="0" applyFill="0" applyBorder="0" applyAlignment="0" applyProtection="0"/>
    <xf numFmtId="221" fontId="85" fillId="0" borderId="0" applyFont="0" applyFill="0" applyBorder="0" applyAlignment="0" applyProtection="0"/>
    <xf numFmtId="222" fontId="85" fillId="0" borderId="0" applyFont="0" applyFill="0" applyBorder="0" applyAlignment="0" applyProtection="0"/>
    <xf numFmtId="0" fontId="53" fillId="0" borderId="0"/>
    <xf numFmtId="41" fontId="53" fillId="0" borderId="0" applyFont="0" applyFill="0" applyBorder="0" applyAlignment="0" applyProtection="0"/>
    <xf numFmtId="43" fontId="53"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alignment vertical="center"/>
    </xf>
    <xf numFmtId="43" fontId="7" fillId="0" borderId="0" applyFont="0" applyFill="0" applyBorder="0" applyAlignment="0" applyProtection="0"/>
    <xf numFmtId="43" fontId="7" fillId="0" borderId="0" applyFont="0" applyFill="0" applyBorder="0" applyAlignment="0" applyProtection="0"/>
    <xf numFmtId="43" fontId="23" fillId="0" borderId="0" applyFont="0" applyFill="0" applyBorder="0" applyAlignment="0" applyProtection="0"/>
    <xf numFmtId="43" fontId="104" fillId="0" borderId="0" applyFont="0" applyFill="0" applyBorder="0" applyAlignment="0" applyProtection="0">
      <alignment vertical="center"/>
    </xf>
    <xf numFmtId="43" fontId="23" fillId="0" borderId="0" applyFont="0" applyFill="0" applyBorder="0" applyAlignment="0" applyProtection="0">
      <alignment vertical="center"/>
    </xf>
    <xf numFmtId="41" fontId="23" fillId="0" borderId="0" applyFont="0" applyFill="0" applyBorder="0" applyAlignment="0" applyProtection="0"/>
    <xf numFmtId="0" fontId="113" fillId="0" borderId="0"/>
    <xf numFmtId="0" fontId="114" fillId="47" borderId="0" applyNumberFormat="0" applyBorder="0" applyAlignment="0" applyProtection="0"/>
    <xf numFmtId="0" fontId="114" fillId="48" borderId="0" applyNumberFormat="0" applyBorder="0" applyAlignment="0" applyProtection="0"/>
    <xf numFmtId="0" fontId="114" fillId="49" borderId="0" applyNumberFormat="0" applyBorder="0" applyAlignment="0" applyProtection="0"/>
    <xf numFmtId="196" fontId="45" fillId="0" borderId="0" applyFont="0" applyFill="0" applyBorder="0" applyAlignment="0" applyProtection="0"/>
    <xf numFmtId="227" fontId="110" fillId="0" borderId="0" applyFont="0" applyFill="0" applyBorder="0" applyAlignment="0" applyProtection="0"/>
    <xf numFmtId="0" fontId="85" fillId="0" borderId="0"/>
    <xf numFmtId="0" fontId="111" fillId="0" borderId="0"/>
    <xf numFmtId="0" fontId="115" fillId="0" borderId="0"/>
    <xf numFmtId="40" fontId="95" fillId="0" borderId="0" applyFont="0" applyFill="0" applyBorder="0" applyAlignment="0" applyProtection="0"/>
    <xf numFmtId="38" fontId="95" fillId="0" borderId="0" applyFont="0" applyFill="0" applyBorder="0" applyAlignment="0" applyProtection="0"/>
    <xf numFmtId="220" fontId="45" fillId="0" borderId="23" applyNumberFormat="0"/>
    <xf numFmtId="38" fontId="116" fillId="0" borderId="0" applyFont="0" applyFill="0" applyBorder="0" applyAlignment="0" applyProtection="0"/>
    <xf numFmtId="40" fontId="116" fillId="0" borderId="0" applyFont="0" applyFill="0" applyBorder="0" applyAlignment="0" applyProtection="0"/>
    <xf numFmtId="0" fontId="116" fillId="0" borderId="0" applyFont="0" applyFill="0" applyBorder="0" applyAlignment="0" applyProtection="0"/>
    <xf numFmtId="0" fontId="116" fillId="0" borderId="0" applyFont="0" applyFill="0" applyBorder="0" applyAlignment="0" applyProtection="0"/>
    <xf numFmtId="0" fontId="117" fillId="0" borderId="0"/>
    <xf numFmtId="206" fontId="1" fillId="0" borderId="0">
      <alignment vertical="center"/>
    </xf>
  </cellStyleXfs>
  <cellXfs count="364">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3" fillId="0" borderId="0" xfId="345" applyFont="1" applyAlignment="1" applyProtection="1">
      <alignment vertical="center"/>
      <protection locked="0"/>
    </xf>
    <xf numFmtId="0" fontId="3" fillId="0" borderId="0" xfId="0" applyFont="1" applyBorder="1" applyAlignment="1">
      <alignment vertical="center"/>
      <protection locked="0"/>
    </xf>
    <xf numFmtId="0" fontId="4" fillId="0" borderId="0" xfId="0" applyFont="1" applyAlignment="1">
      <alignment vertical="center"/>
      <protection locked="0"/>
    </xf>
    <xf numFmtId="0" fontId="3" fillId="0" borderId="0" xfId="0" applyFont="1" applyAlignment="1">
      <alignment horizontal="left" vertical="center"/>
      <protection locked="0"/>
    </xf>
    <xf numFmtId="14" fontId="3" fillId="0" borderId="0" xfId="0" applyNumberFormat="1" applyFont="1" applyAlignment="1">
      <alignment horizontal="left" vertical="center"/>
      <protection locked="0"/>
    </xf>
    <xf numFmtId="14" fontId="3" fillId="0" borderId="0" xfId="0" applyNumberFormat="1" applyFont="1" applyAlignment="1">
      <alignment vertical="center"/>
      <protection locked="0"/>
    </xf>
    <xf numFmtId="0" fontId="6" fillId="0" borderId="0" xfId="345" applyFont="1" applyAlignment="1">
      <alignment horizontal="left" vertical="center"/>
    </xf>
    <xf numFmtId="0" fontId="3" fillId="0" borderId="0" xfId="345" applyFont="1" applyAlignment="1">
      <alignment horizontal="left" vertical="center" wrapText="1"/>
    </xf>
    <xf numFmtId="0" fontId="7" fillId="0" borderId="0" xfId="345" applyFont="1" applyAlignment="1">
      <alignment vertical="center"/>
    </xf>
    <xf numFmtId="0" fontId="8" fillId="0" borderId="0" xfId="313" applyFont="1" applyAlignment="1">
      <alignment horizontal="center"/>
    </xf>
    <xf numFmtId="0" fontId="6" fillId="0" borderId="0" xfId="345" applyFont="1" applyAlignment="1">
      <alignment horizontal="left" vertical="center" wrapText="1"/>
    </xf>
    <xf numFmtId="0" fontId="9" fillId="0" borderId="0" xfId="345" applyFont="1" applyBorder="1" applyAlignment="1">
      <alignment vertical="center"/>
    </xf>
    <xf numFmtId="0" fontId="3" fillId="0" borderId="0" xfId="345" applyFont="1" applyBorder="1" applyAlignment="1">
      <alignment horizontal="left" vertical="center"/>
    </xf>
    <xf numFmtId="0" fontId="7" fillId="0" borderId="0" xfId="345" applyFont="1" applyBorder="1" applyAlignment="1">
      <alignment vertical="center"/>
    </xf>
    <xf numFmtId="0" fontId="3" fillId="0" borderId="0" xfId="345" applyFont="1" applyBorder="1" applyAlignment="1" applyProtection="1">
      <alignment horizontal="left" vertical="center"/>
      <protection hidden="1"/>
    </xf>
    <xf numFmtId="0" fontId="10" fillId="0" borderId="0" xfId="345" applyFont="1" applyBorder="1" applyAlignment="1" applyProtection="1">
      <alignment horizontal="left" vertical="center"/>
      <protection locked="0"/>
    </xf>
    <xf numFmtId="0" fontId="3" fillId="0" borderId="0" xfId="345" applyFont="1" applyBorder="1" applyAlignment="1" applyProtection="1">
      <alignment vertical="center"/>
      <protection locked="0"/>
    </xf>
    <xf numFmtId="0" fontId="11" fillId="0" borderId="0" xfId="0" applyFont="1" applyFill="1" applyBorder="1" applyAlignment="1">
      <alignment horizontal="left" vertical="center"/>
      <protection locked="0"/>
    </xf>
    <xf numFmtId="0" fontId="3" fillId="0" borderId="1" xfId="345" applyFont="1" applyBorder="1" applyAlignment="1" applyProtection="1">
      <alignment vertical="center"/>
      <protection locked="0"/>
    </xf>
    <xf numFmtId="0" fontId="10" fillId="0" borderId="1" xfId="345" applyFont="1" applyBorder="1" applyAlignment="1" applyProtection="1">
      <alignment horizontal="center" vertical="center"/>
      <protection hidden="1"/>
    </xf>
    <xf numFmtId="0" fontId="7" fillId="0" borderId="0" xfId="0" applyFont="1" applyAlignment="1">
      <alignment vertical="center"/>
      <protection locked="0"/>
    </xf>
    <xf numFmtId="0" fontId="9" fillId="2" borderId="2" xfId="316" applyFont="1" applyFill="1" applyBorder="1" applyAlignment="1" applyProtection="1">
      <alignment horizontal="center" vertical="center" wrapText="1"/>
      <protection locked="0"/>
    </xf>
    <xf numFmtId="14" fontId="3" fillId="0" borderId="2" xfId="0" applyNumberFormat="1" applyFont="1" applyBorder="1" applyAlignment="1">
      <alignment horizontal="left" vertical="center"/>
      <protection locked="0"/>
    </xf>
    <xf numFmtId="0" fontId="3" fillId="0" borderId="2" xfId="0" applyFont="1" applyBorder="1" applyAlignment="1">
      <alignment horizontal="left" vertical="center"/>
      <protection locked="0"/>
    </xf>
    <xf numFmtId="0" fontId="3" fillId="0" borderId="2" xfId="0" applyFont="1" applyBorder="1" applyAlignment="1">
      <alignment vertical="center" wrapText="1"/>
      <protection locked="0"/>
    </xf>
    <xf numFmtId="0" fontId="3" fillId="0" borderId="2" xfId="0" applyFont="1" applyBorder="1" applyAlignment="1">
      <alignment horizontal="center" vertical="center"/>
      <protection locked="0"/>
    </xf>
    <xf numFmtId="0" fontId="3" fillId="0" borderId="0" xfId="0" applyFont="1" applyBorder="1" applyAlignment="1">
      <alignment horizontal="left" vertical="center"/>
      <protection locked="0"/>
    </xf>
    <xf numFmtId="0" fontId="3" fillId="0" borderId="0" xfId="0" applyFont="1" applyBorder="1" applyAlignment="1">
      <alignment horizontal="center" vertical="center"/>
      <protection locked="0"/>
    </xf>
    <xf numFmtId="0" fontId="6" fillId="0" borderId="0" xfId="0" applyFont="1" applyBorder="1" applyAlignment="1">
      <alignment vertical="center"/>
      <protection locked="0"/>
    </xf>
    <xf numFmtId="0" fontId="12" fillId="0" borderId="0" xfId="0" applyFont="1" applyAlignment="1">
      <alignment horizontal="left" vertical="center"/>
      <protection locked="0"/>
    </xf>
    <xf numFmtId="0" fontId="9" fillId="0" borderId="0" xfId="0" applyFont="1" applyAlignment="1">
      <alignment vertical="center"/>
      <protection locked="0"/>
    </xf>
    <xf numFmtId="206" fontId="13" fillId="0" borderId="0" xfId="3" applyNumberFormat="1" applyFont="1" applyFill="1" applyAlignment="1" applyProtection="1">
      <alignment vertical="center"/>
    </xf>
    <xf numFmtId="0" fontId="6" fillId="0" borderId="0" xfId="345" applyFont="1" applyAlignment="1">
      <alignment vertical="center" wrapText="1"/>
    </xf>
    <xf numFmtId="0" fontId="6" fillId="2" borderId="2" xfId="0" applyFont="1" applyFill="1" applyBorder="1" applyAlignment="1" applyProtection="1">
      <alignment horizontal="center" vertical="center"/>
      <protection locked="0"/>
    </xf>
    <xf numFmtId="43" fontId="3" fillId="0" borderId="2" xfId="1" applyFont="1" applyBorder="1" applyAlignment="1" applyProtection="1">
      <alignment horizontal="center" vertical="center"/>
      <protection locked="0"/>
    </xf>
    <xf numFmtId="0" fontId="14" fillId="0" borderId="2" xfId="0" applyFont="1" applyBorder="1" applyAlignment="1">
      <alignment horizontal="center" vertical="center" wrapText="1"/>
      <protection locked="0"/>
    </xf>
    <xf numFmtId="0" fontId="3" fillId="0" borderId="0" xfId="340" applyFont="1" applyAlignment="1">
      <alignment vertical="center" wrapText="1"/>
    </xf>
    <xf numFmtId="0" fontId="4" fillId="0" borderId="0" xfId="340" applyFont="1" applyAlignment="1">
      <alignment vertical="center" wrapText="1"/>
    </xf>
    <xf numFmtId="0" fontId="6" fillId="0" borderId="0" xfId="0" applyFont="1" applyAlignment="1">
      <alignment vertical="center" wrapText="1"/>
      <protection locked="0"/>
    </xf>
    <xf numFmtId="0" fontId="9" fillId="0" borderId="0" xfId="0" applyFont="1" applyAlignment="1">
      <alignment horizontal="center" vertical="center" wrapText="1"/>
      <protection locked="0"/>
    </xf>
    <xf numFmtId="0" fontId="3" fillId="0" borderId="0" xfId="0" applyFont="1" applyAlignment="1">
      <alignment vertical="center" wrapText="1"/>
      <protection locked="0"/>
    </xf>
    <xf numFmtId="0" fontId="16" fillId="0" borderId="0" xfId="0" applyFont="1" applyAlignment="1">
      <alignment vertical="center"/>
      <protection locked="0"/>
    </xf>
    <xf numFmtId="0" fontId="6" fillId="0" borderId="0" xfId="0" applyFont="1" applyAlignment="1">
      <alignment horizontal="left" vertical="center"/>
      <protection locked="0"/>
    </xf>
    <xf numFmtId="0" fontId="9" fillId="2" borderId="2" xfId="0" applyFont="1" applyFill="1" applyBorder="1" applyAlignment="1">
      <alignment horizontal="center" vertical="center" wrapText="1"/>
      <protection locked="0"/>
    </xf>
    <xf numFmtId="0" fontId="14" fillId="0" borderId="2" xfId="0" applyFont="1" applyBorder="1" applyAlignment="1">
      <alignment horizontal="left" vertical="center" wrapText="1"/>
      <protection locked="0"/>
    </xf>
    <xf numFmtId="0" fontId="3" fillId="0" borderId="2" xfId="0" applyFont="1" applyBorder="1" applyAlignment="1">
      <alignment horizontal="left" vertical="center" wrapText="1"/>
      <protection locked="0"/>
    </xf>
    <xf numFmtId="0" fontId="3" fillId="0" borderId="2" xfId="0" applyFont="1" applyFill="1" applyBorder="1" applyAlignment="1">
      <alignment horizontal="left" vertical="center" wrapText="1"/>
      <protection locked="0"/>
    </xf>
    <xf numFmtId="43" fontId="3" fillId="0" borderId="2" xfId="1" applyFont="1" applyBorder="1" applyAlignment="1" applyProtection="1">
      <alignment horizontal="left" vertical="center" wrapText="1"/>
      <protection locked="0"/>
    </xf>
    <xf numFmtId="43" fontId="3" fillId="4" borderId="2" xfId="1" applyFont="1" applyFill="1" applyBorder="1" applyAlignment="1">
      <alignment horizontal="right" vertical="center" wrapText="1"/>
    </xf>
    <xf numFmtId="0" fontId="6" fillId="0" borderId="2" xfId="0" applyFont="1" applyBorder="1" applyAlignment="1">
      <alignment horizontal="center" vertical="center" wrapText="1"/>
      <protection locked="0"/>
    </xf>
    <xf numFmtId="0" fontId="9" fillId="0" borderId="7" xfId="0" applyFont="1" applyBorder="1" applyAlignment="1">
      <alignment vertical="center"/>
      <protection locked="0"/>
    </xf>
    <xf numFmtId="0" fontId="6" fillId="0" borderId="7" xfId="0" applyFont="1" applyBorder="1" applyAlignment="1">
      <alignment vertical="center"/>
      <protection locked="0"/>
    </xf>
    <xf numFmtId="0" fontId="6" fillId="0" borderId="0" xfId="0" applyFont="1" applyAlignment="1">
      <alignment vertical="center"/>
      <protection locked="0"/>
    </xf>
    <xf numFmtId="0" fontId="9" fillId="0" borderId="0" xfId="0" applyFont="1" applyAlignment="1">
      <alignment vertical="center" wrapText="1"/>
      <protection locked="0"/>
    </xf>
    <xf numFmtId="0" fontId="17" fillId="0" borderId="0" xfId="0" applyFont="1" applyAlignment="1">
      <alignment vertical="center"/>
      <protection locked="0"/>
    </xf>
    <xf numFmtId="0" fontId="10" fillId="0" borderId="0" xfId="0" applyFont="1" applyAlignment="1">
      <alignment vertical="center"/>
      <protection locked="0"/>
    </xf>
    <xf numFmtId="0" fontId="18" fillId="0" borderId="0" xfId="0" applyFont="1" applyAlignment="1">
      <alignment horizontal="right" vertical="center"/>
      <protection locked="0"/>
    </xf>
    <xf numFmtId="0" fontId="10" fillId="0" borderId="0" xfId="0" applyFont="1" applyAlignment="1">
      <alignment horizontal="right" vertical="center"/>
      <protection locked="0"/>
    </xf>
    <xf numFmtId="0" fontId="3" fillId="0" borderId="0" xfId="0" applyFont="1" applyAlignment="1">
      <alignment horizontal="right" vertical="center"/>
      <protection locked="0"/>
    </xf>
    <xf numFmtId="0" fontId="6" fillId="0" borderId="0" xfId="0" applyFont="1" applyAlignment="1">
      <alignment horizontal="left" vertical="center" wrapText="1"/>
      <protection locked="0"/>
    </xf>
    <xf numFmtId="0" fontId="7" fillId="0" borderId="0" xfId="0" applyFont="1" applyAlignment="1">
      <alignment vertical="center" wrapText="1"/>
      <protection locked="0"/>
    </xf>
    <xf numFmtId="14" fontId="3" fillId="0" borderId="2" xfId="0" applyNumberFormat="1" applyFont="1" applyBorder="1" applyAlignment="1">
      <alignment horizontal="left" vertical="center" wrapText="1"/>
      <protection locked="0"/>
    </xf>
    <xf numFmtId="0" fontId="10" fillId="0" borderId="7" xfId="0" applyFont="1" applyBorder="1" applyAlignment="1">
      <alignment vertical="center"/>
      <protection locked="0"/>
    </xf>
    <xf numFmtId="0" fontId="3" fillId="2" borderId="0" xfId="0" applyFont="1" applyFill="1" applyAlignment="1">
      <alignment vertical="center" wrapText="1"/>
      <protection locked="0"/>
    </xf>
    <xf numFmtId="0" fontId="2" fillId="0" borderId="0" xfId="340" applyFont="1">
      <alignment vertical="center"/>
    </xf>
    <xf numFmtId="0" fontId="19" fillId="0" borderId="0" xfId="348" applyFont="1" applyProtection="1">
      <alignment vertical="center"/>
      <protection locked="0"/>
    </xf>
    <xf numFmtId="0" fontId="19" fillId="0" borderId="0" xfId="348" applyFont="1" applyFill="1" applyProtection="1">
      <alignment vertical="center"/>
      <protection locked="0"/>
    </xf>
    <xf numFmtId="0" fontId="3" fillId="0" borderId="0" xfId="0" applyFont="1" applyFill="1" applyAlignment="1">
      <alignment vertical="center"/>
      <protection locked="0"/>
    </xf>
    <xf numFmtId="0" fontId="20" fillId="2" borderId="2" xfId="348" applyFont="1" applyFill="1" applyBorder="1" applyAlignment="1" applyProtection="1">
      <alignment horizontal="center" vertical="center" wrapText="1"/>
      <protection locked="0"/>
    </xf>
    <xf numFmtId="49" fontId="20" fillId="2" borderId="2" xfId="348" applyNumberFormat="1" applyFont="1" applyFill="1" applyBorder="1" applyAlignment="1" applyProtection="1">
      <alignment horizontal="center" vertical="center" wrapText="1"/>
      <protection locked="0"/>
    </xf>
    <xf numFmtId="0" fontId="19" fillId="0" borderId="2" xfId="348" applyFont="1" applyBorder="1" applyProtection="1">
      <alignment vertical="center"/>
      <protection locked="0"/>
    </xf>
    <xf numFmtId="43" fontId="19" fillId="0" borderId="2" xfId="348" applyNumberFormat="1" applyFont="1" applyBorder="1" applyAlignment="1" applyProtection="1">
      <alignment horizontal="right" vertical="center" shrinkToFit="1"/>
      <protection locked="0"/>
    </xf>
    <xf numFmtId="228" fontId="19" fillId="0" borderId="2" xfId="348" applyNumberFormat="1" applyFont="1" applyBorder="1" applyAlignment="1" applyProtection="1">
      <alignment horizontal="center" vertical="center" shrinkToFit="1"/>
      <protection locked="0"/>
    </xf>
    <xf numFmtId="0" fontId="19" fillId="0" borderId="2" xfId="348" applyFont="1" applyBorder="1" applyAlignment="1" applyProtection="1">
      <alignment horizontal="left" vertical="center"/>
      <protection locked="0"/>
    </xf>
    <xf numFmtId="43" fontId="3" fillId="0" borderId="2" xfId="1" applyFont="1" applyFill="1" applyBorder="1" applyAlignment="1">
      <alignment horizontal="right" vertical="center" wrapText="1"/>
    </xf>
    <xf numFmtId="0" fontId="3" fillId="0" borderId="0" xfId="0" applyFont="1" applyAlignment="1">
      <alignment horizontal="justify" vertical="center" wrapText="1"/>
      <protection locked="0"/>
    </xf>
    <xf numFmtId="43" fontId="9" fillId="0" borderId="0" xfId="1" applyFont="1" applyBorder="1" applyAlignment="1" applyProtection="1">
      <alignment horizontal="left" vertical="center"/>
      <protection locked="0"/>
    </xf>
    <xf numFmtId="0" fontId="23" fillId="0" borderId="0" xfId="334" applyFont="1" applyAlignment="1">
      <alignment vertical="center"/>
      <protection locked="0"/>
    </xf>
    <xf numFmtId="0" fontId="4" fillId="0" borderId="0" xfId="334" applyFont="1" applyAlignment="1">
      <alignment vertical="center"/>
      <protection locked="0"/>
    </xf>
    <xf numFmtId="43" fontId="3" fillId="0" borderId="0" xfId="347" applyNumberFormat="1" applyFont="1" applyBorder="1" applyAlignment="1">
      <alignment vertical="center"/>
    </xf>
    <xf numFmtId="43" fontId="3" fillId="0" borderId="0" xfId="347" applyNumberFormat="1" applyFont="1" applyBorder="1" applyAlignment="1">
      <alignment horizontal="left" vertical="center"/>
    </xf>
    <xf numFmtId="0" fontId="24" fillId="2" borderId="2" xfId="334" applyFont="1" applyFill="1" applyBorder="1" applyAlignment="1" applyProtection="1">
      <alignment vertical="center"/>
    </xf>
    <xf numFmtId="0" fontId="24" fillId="2" borderId="2" xfId="334" applyFont="1" applyFill="1" applyBorder="1" applyAlignment="1" applyProtection="1">
      <alignment vertical="center" wrapText="1"/>
    </xf>
    <xf numFmtId="0" fontId="24" fillId="2" borderId="2" xfId="334" applyFont="1" applyFill="1" applyBorder="1" applyAlignment="1" applyProtection="1">
      <alignment horizontal="center" vertical="center" wrapText="1"/>
    </xf>
    <xf numFmtId="206" fontId="9" fillId="2" borderId="2" xfId="328" applyFont="1" applyFill="1" applyBorder="1" applyAlignment="1" applyProtection="1">
      <alignment horizontal="center" vertical="center" wrapText="1"/>
      <protection locked="0"/>
    </xf>
    <xf numFmtId="206" fontId="25" fillId="2" borderId="2" xfId="328" applyFont="1" applyFill="1" applyBorder="1" applyAlignment="1" applyProtection="1">
      <alignment horizontal="center" vertical="center" wrapText="1"/>
      <protection locked="0"/>
    </xf>
    <xf numFmtId="0" fontId="3" fillId="0" borderId="2" xfId="334" applyFont="1" applyBorder="1" applyAlignment="1" applyProtection="1">
      <alignment horizontal="left" vertical="center"/>
    </xf>
    <xf numFmtId="0" fontId="26" fillId="0" borderId="2" xfId="334" applyFont="1" applyBorder="1" applyAlignment="1" applyProtection="1">
      <alignment horizontal="left" vertical="center"/>
    </xf>
    <xf numFmtId="0" fontId="26" fillId="0" borderId="2" xfId="334" applyFont="1" applyBorder="1" applyAlignment="1" applyProtection="1">
      <alignment vertical="center"/>
    </xf>
    <xf numFmtId="43" fontId="26" fillId="0" borderId="2" xfId="1" applyFont="1" applyBorder="1" applyAlignment="1" applyProtection="1">
      <alignment vertical="center"/>
    </xf>
    <xf numFmtId="0" fontId="14" fillId="0" borderId="2" xfId="334" applyFont="1" applyBorder="1" applyAlignment="1" applyProtection="1">
      <alignment horizontal="left" vertical="center"/>
    </xf>
    <xf numFmtId="0" fontId="27" fillId="0" borderId="2" xfId="334" applyFont="1" applyBorder="1" applyAlignment="1" applyProtection="1">
      <alignment horizontal="left" vertical="center"/>
    </xf>
    <xf numFmtId="0" fontId="6" fillId="0" borderId="2" xfId="334" applyFont="1" applyBorder="1" applyAlignment="1" applyProtection="1">
      <alignment horizontal="left" vertical="center"/>
    </xf>
    <xf numFmtId="0" fontId="11" fillId="0" borderId="2" xfId="334" applyFont="1" applyBorder="1" applyAlignment="1" applyProtection="1">
      <alignment horizontal="left" vertical="center"/>
    </xf>
    <xf numFmtId="43" fontId="6" fillId="0" borderId="7" xfId="347" applyNumberFormat="1" applyFont="1" applyBorder="1" applyAlignment="1">
      <alignment horizontal="left" vertical="center"/>
    </xf>
    <xf numFmtId="43" fontId="3" fillId="0" borderId="7" xfId="347" applyNumberFormat="1" applyFont="1" applyBorder="1" applyAlignment="1">
      <alignment horizontal="left" vertical="center"/>
    </xf>
    <xf numFmtId="43" fontId="28" fillId="0" borderId="7" xfId="351" applyNumberFormat="1" applyFont="1" applyBorder="1" applyAlignment="1" applyProtection="1">
      <alignment horizontal="center" vertical="center"/>
    </xf>
    <xf numFmtId="0" fontId="6" fillId="0" borderId="0" xfId="343" applyFont="1" applyAlignment="1">
      <alignment vertical="center"/>
    </xf>
    <xf numFmtId="0" fontId="23" fillId="0" borderId="0" xfId="0" applyFont="1">
      <protection locked="0"/>
    </xf>
    <xf numFmtId="0" fontId="3" fillId="0" borderId="0" xfId="0" applyFont="1">
      <protection locked="0"/>
    </xf>
    <xf numFmtId="0" fontId="4" fillId="0" borderId="0" xfId="0" applyFont="1">
      <protection locked="0"/>
    </xf>
    <xf numFmtId="0" fontId="4" fillId="0" borderId="0" xfId="0" applyFont="1" applyFill="1">
      <protection locked="0"/>
    </xf>
    <xf numFmtId="0" fontId="3" fillId="0" borderId="0" xfId="344" applyFont="1">
      <protection locked="0"/>
    </xf>
    <xf numFmtId="43" fontId="24" fillId="2" borderId="2" xfId="0" applyNumberFormat="1" applyFont="1" applyFill="1" applyBorder="1" applyAlignment="1">
      <alignment horizontal="center" vertical="center" wrapText="1"/>
      <protection locked="0"/>
    </xf>
    <xf numFmtId="0" fontId="24" fillId="2" borderId="3" xfId="0" applyFont="1" applyFill="1" applyBorder="1" applyAlignment="1">
      <alignment vertical="center"/>
      <protection locked="0"/>
    </xf>
    <xf numFmtId="0" fontId="24" fillId="2" borderId="4" xfId="0" applyFont="1" applyFill="1" applyBorder="1" applyAlignment="1">
      <alignment vertical="center"/>
      <protection locked="0"/>
    </xf>
    <xf numFmtId="43" fontId="3" fillId="0" borderId="2" xfId="1" applyFont="1" applyFill="1" applyBorder="1" applyAlignment="1" applyProtection="1">
      <alignment horizontal="right" vertical="center" wrapText="1"/>
      <protection locked="0"/>
    </xf>
    <xf numFmtId="43" fontId="3" fillId="0" borderId="2" xfId="0" applyNumberFormat="1" applyFont="1" applyBorder="1" applyAlignment="1">
      <alignment horizontal="left" vertical="center" wrapText="1"/>
      <protection locked="0"/>
    </xf>
    <xf numFmtId="43" fontId="26" fillId="0" borderId="2" xfId="0" applyNumberFormat="1" applyFont="1" applyBorder="1" applyAlignment="1">
      <alignment horizontal="right" vertical="center" wrapText="1"/>
      <protection locked="0"/>
    </xf>
    <xf numFmtId="0" fontId="30" fillId="2" borderId="3" xfId="0" applyFont="1" applyFill="1" applyBorder="1" applyAlignment="1">
      <alignment vertical="center"/>
      <protection locked="0"/>
    </xf>
    <xf numFmtId="43" fontId="30" fillId="2" borderId="4" xfId="0" applyNumberFormat="1" applyFont="1" applyFill="1" applyBorder="1" applyAlignment="1">
      <alignment vertical="center"/>
      <protection locked="0"/>
    </xf>
    <xf numFmtId="43" fontId="26" fillId="0" borderId="2" xfId="0" applyNumberFormat="1" applyFont="1" applyBorder="1" applyAlignment="1">
      <alignment horizontal="left" vertical="center" wrapText="1"/>
      <protection locked="0"/>
    </xf>
    <xf numFmtId="0" fontId="30" fillId="0" borderId="3" xfId="0" applyFont="1" applyBorder="1" applyAlignment="1">
      <alignment vertical="center"/>
      <protection locked="0"/>
    </xf>
    <xf numFmtId="43" fontId="30" fillId="5" borderId="4" xfId="0" applyNumberFormat="1" applyFont="1" applyFill="1" applyBorder="1" applyAlignment="1">
      <alignment vertical="center"/>
      <protection locked="0"/>
    </xf>
    <xf numFmtId="0" fontId="3" fillId="0" borderId="7" xfId="0" applyFont="1" applyBorder="1" applyAlignment="1">
      <alignment vertical="center"/>
      <protection locked="0"/>
    </xf>
    <xf numFmtId="0" fontId="3" fillId="0" borderId="7" xfId="0" applyFont="1" applyBorder="1">
      <protection locked="0"/>
    </xf>
    <xf numFmtId="0" fontId="10" fillId="0" borderId="0" xfId="0" applyFont="1">
      <protection locked="0"/>
    </xf>
    <xf numFmtId="43" fontId="26" fillId="0" borderId="2" xfId="0" applyNumberFormat="1" applyFont="1" applyFill="1" applyBorder="1" applyAlignment="1">
      <alignment horizontal="right" vertical="center" wrapText="1"/>
      <protection locked="0"/>
    </xf>
    <xf numFmtId="43" fontId="30" fillId="0" borderId="4" xfId="0" applyNumberFormat="1" applyFont="1" applyFill="1" applyBorder="1" applyAlignment="1">
      <alignment vertical="center"/>
      <protection locked="0"/>
    </xf>
    <xf numFmtId="0" fontId="3" fillId="0" borderId="0" xfId="0" applyFont="1" applyFill="1">
      <protection locked="0"/>
    </xf>
    <xf numFmtId="0" fontId="2" fillId="0" borderId="0" xfId="340" applyFont="1" applyAlignment="1">
      <alignment vertical="center" wrapText="1"/>
    </xf>
    <xf numFmtId="0" fontId="5" fillId="0" borderId="0" xfId="340" applyFont="1" applyAlignment="1">
      <alignment vertical="center" wrapText="1"/>
    </xf>
    <xf numFmtId="0" fontId="24" fillId="2" borderId="9" xfId="0" applyFont="1" applyFill="1" applyBorder="1" applyAlignment="1">
      <alignment vertical="center"/>
      <protection locked="0"/>
    </xf>
    <xf numFmtId="43" fontId="30" fillId="0" borderId="2" xfId="0" applyNumberFormat="1" applyFont="1" applyBorder="1" applyAlignment="1">
      <alignment horizontal="right" vertical="center" wrapText="1"/>
      <protection locked="0"/>
    </xf>
    <xf numFmtId="0" fontId="30" fillId="2" borderId="9" xfId="0" applyFont="1" applyFill="1" applyBorder="1" applyAlignment="1">
      <alignment vertical="center"/>
      <protection locked="0"/>
    </xf>
    <xf numFmtId="0" fontId="30" fillId="0" borderId="9" xfId="0" applyFont="1" applyBorder="1" applyAlignment="1">
      <alignment vertical="center"/>
      <protection locked="0"/>
    </xf>
    <xf numFmtId="0" fontId="7" fillId="0" borderId="0" xfId="344" applyFont="1" applyAlignment="1">
      <alignment vertical="center"/>
      <protection locked="0"/>
    </xf>
    <xf numFmtId="0" fontId="3" fillId="0" borderId="0" xfId="344" applyFont="1" applyAlignment="1">
      <alignment vertical="center"/>
      <protection locked="0"/>
    </xf>
    <xf numFmtId="0" fontId="3" fillId="0" borderId="0" xfId="344" applyFont="1" applyFill="1" applyAlignment="1">
      <alignment vertical="center"/>
      <protection locked="0"/>
    </xf>
    <xf numFmtId="0" fontId="31" fillId="2" borderId="3" xfId="0" applyFont="1" applyFill="1" applyBorder="1" applyAlignment="1">
      <alignment vertical="center"/>
      <protection locked="0"/>
    </xf>
    <xf numFmtId="0" fontId="26" fillId="0" borderId="2" xfId="0" applyFont="1" applyBorder="1" applyAlignment="1">
      <alignment horizontal="right" vertical="center" wrapText="1"/>
      <protection locked="0"/>
    </xf>
    <xf numFmtId="0" fontId="32" fillId="0" borderId="0" xfId="0" applyFont="1" applyAlignment="1">
      <alignment vertical="center"/>
      <protection locked="0"/>
    </xf>
    <xf numFmtId="0" fontId="10" fillId="0" borderId="7" xfId="0" applyFont="1" applyFill="1" applyBorder="1" applyAlignment="1">
      <alignment vertical="center"/>
      <protection locked="0"/>
    </xf>
    <xf numFmtId="14" fontId="3" fillId="0" borderId="0" xfId="344" applyNumberFormat="1" applyFont="1" applyAlignment="1">
      <alignment vertical="center"/>
      <protection locked="0"/>
    </xf>
    <xf numFmtId="0" fontId="3" fillId="0" borderId="7" xfId="344" applyFont="1" applyBorder="1" applyAlignment="1">
      <alignment vertical="center"/>
      <protection locked="0"/>
    </xf>
    <xf numFmtId="0" fontId="30" fillId="2" borderId="4" xfId="0" applyFont="1" applyFill="1" applyBorder="1" applyAlignment="1">
      <alignment vertical="center"/>
      <protection locked="0"/>
    </xf>
    <xf numFmtId="0" fontId="26" fillId="0" borderId="2" xfId="0" applyFont="1" applyBorder="1" applyAlignment="1">
      <alignment horizontal="left" vertical="center" wrapText="1"/>
      <protection locked="0"/>
    </xf>
    <xf numFmtId="0" fontId="4" fillId="0" borderId="0" xfId="340" applyFont="1">
      <alignment vertical="center"/>
    </xf>
    <xf numFmtId="206" fontId="3" fillId="0" borderId="0" xfId="337" applyFont="1" applyProtection="1">
      <alignment vertical="center"/>
      <protection locked="0"/>
    </xf>
    <xf numFmtId="0" fontId="2" fillId="0" borderId="0" xfId="0" applyFont="1" applyAlignment="1">
      <alignment horizontal="left" vertical="center"/>
      <protection locked="0"/>
    </xf>
    <xf numFmtId="0" fontId="2" fillId="0" borderId="12" xfId="0" applyFont="1" applyBorder="1" applyAlignment="1">
      <alignment horizontal="center" vertical="center"/>
      <protection locked="0"/>
    </xf>
    <xf numFmtId="0" fontId="4" fillId="0" borderId="13" xfId="0" applyFont="1" applyBorder="1" applyAlignment="1">
      <alignment vertical="center"/>
      <protection locked="0"/>
    </xf>
    <xf numFmtId="43" fontId="4" fillId="0" borderId="13" xfId="1" applyFont="1" applyBorder="1" applyAlignment="1" applyProtection="1">
      <alignment vertical="center"/>
      <protection locked="0"/>
    </xf>
    <xf numFmtId="43" fontId="4" fillId="0" borderId="0" xfId="1" applyFont="1" applyBorder="1" applyAlignment="1" applyProtection="1">
      <alignment vertical="center"/>
      <protection locked="0"/>
    </xf>
    <xf numFmtId="43" fontId="4" fillId="0" borderId="14" xfId="1" applyFont="1" applyBorder="1" applyAlignment="1" applyProtection="1">
      <alignment vertical="center"/>
      <protection locked="0"/>
    </xf>
    <xf numFmtId="43" fontId="4" fillId="0" borderId="12" xfId="1" applyFont="1" applyBorder="1" applyAlignment="1" applyProtection="1">
      <alignment vertical="center"/>
      <protection locked="0"/>
    </xf>
    <xf numFmtId="0" fontId="4" fillId="0" borderId="0" xfId="0" applyFont="1" applyAlignment="1">
      <alignment horizontal="left" vertical="center"/>
      <protection locked="0"/>
    </xf>
    <xf numFmtId="0" fontId="2" fillId="0" borderId="12" xfId="0" applyFont="1" applyBorder="1" applyAlignment="1">
      <alignment horizontal="justify" vertical="center" wrapText="1"/>
      <protection locked="0"/>
    </xf>
    <xf numFmtId="0" fontId="33" fillId="0" borderId="12" xfId="0" applyFont="1" applyBorder="1" applyAlignment="1">
      <alignment horizontal="right" vertical="center" wrapText="1"/>
      <protection locked="0"/>
    </xf>
    <xf numFmtId="0" fontId="34" fillId="0" borderId="0" xfId="0" applyFont="1" applyAlignment="1">
      <alignment horizontal="justify" vertical="center" wrapText="1"/>
      <protection locked="0"/>
    </xf>
    <xf numFmtId="43" fontId="4" fillId="0" borderId="0" xfId="0" applyNumberFormat="1" applyFont="1" applyAlignment="1">
      <alignment horizontal="right" vertical="center" wrapText="1"/>
      <protection locked="0"/>
    </xf>
    <xf numFmtId="43" fontId="3" fillId="0" borderId="0" xfId="1" applyFont="1" applyAlignment="1" applyProtection="1">
      <alignment horizontal="right" vertical="center" wrapText="1"/>
      <protection locked="0"/>
    </xf>
    <xf numFmtId="0" fontId="34" fillId="0" borderId="14" xfId="0" applyFont="1" applyBorder="1" applyAlignment="1">
      <alignment horizontal="justify" vertical="center" wrapText="1"/>
      <protection locked="0"/>
    </xf>
    <xf numFmtId="43" fontId="4" fillId="0" borderId="14" xfId="0" applyNumberFormat="1" applyFont="1" applyBorder="1" applyAlignment="1">
      <alignment horizontal="right" vertical="center" wrapText="1"/>
      <protection locked="0"/>
    </xf>
    <xf numFmtId="0" fontId="2" fillId="0" borderId="14" xfId="0" applyFont="1" applyBorder="1" applyAlignment="1">
      <alignment horizontal="justify" vertical="center" wrapText="1"/>
      <protection locked="0"/>
    </xf>
    <xf numFmtId="43" fontId="33" fillId="0" borderId="14" xfId="0" applyNumberFormat="1" applyFont="1" applyBorder="1" applyAlignment="1">
      <alignment horizontal="right" vertical="center" wrapText="1"/>
      <protection locked="0"/>
    </xf>
    <xf numFmtId="0" fontId="4" fillId="0" borderId="0" xfId="0" applyFont="1" applyAlignment="1">
      <alignment horizontal="justify" vertical="center" wrapText="1"/>
      <protection locked="0"/>
    </xf>
    <xf numFmtId="43" fontId="34" fillId="0" borderId="0" xfId="0" applyNumberFormat="1" applyFont="1" applyAlignment="1">
      <alignment horizontal="right" vertical="center" wrapText="1"/>
      <protection locked="0"/>
    </xf>
    <xf numFmtId="43" fontId="33" fillId="0" borderId="12" xfId="0" applyNumberFormat="1" applyFont="1" applyBorder="1" applyAlignment="1">
      <alignment horizontal="right" vertical="center" wrapText="1"/>
      <protection locked="0"/>
    </xf>
    <xf numFmtId="0" fontId="4" fillId="0" borderId="0" xfId="0" applyFont="1" applyAlignment="1">
      <alignment horizontal="justify" vertical="center"/>
      <protection locked="0"/>
    </xf>
    <xf numFmtId="43" fontId="4" fillId="0" borderId="0" xfId="0" applyNumberFormat="1" applyFont="1" applyAlignment="1">
      <alignment horizontal="justify" vertical="center" wrapText="1"/>
      <protection locked="0"/>
    </xf>
    <xf numFmtId="43" fontId="3" fillId="0" borderId="0" xfId="1" applyFont="1" applyAlignment="1" applyProtection="1">
      <alignment horizontal="justify" vertical="center" wrapText="1"/>
      <protection locked="0"/>
    </xf>
    <xf numFmtId="0" fontId="4" fillId="0" borderId="12" xfId="0" applyFont="1" applyBorder="1" applyAlignment="1">
      <alignment horizontal="justify" vertical="center" wrapText="1"/>
      <protection locked="0"/>
    </xf>
    <xf numFmtId="43" fontId="3" fillId="0" borderId="12" xfId="1" applyFont="1" applyBorder="1" applyAlignment="1" applyProtection="1">
      <alignment horizontal="right" vertical="center" wrapText="1"/>
      <protection locked="0"/>
    </xf>
    <xf numFmtId="43" fontId="3" fillId="0" borderId="14" xfId="1" applyFont="1" applyBorder="1" applyAlignment="1" applyProtection="1">
      <alignment horizontal="right" vertical="center" wrapText="1"/>
      <protection locked="0"/>
    </xf>
    <xf numFmtId="0" fontId="4" fillId="0" borderId="14" xfId="0" applyFont="1" applyBorder="1" applyAlignment="1">
      <alignment horizontal="justify" vertical="center" wrapText="1"/>
      <protection locked="0"/>
    </xf>
    <xf numFmtId="43" fontId="34" fillId="0" borderId="14" xfId="0" applyNumberFormat="1" applyFont="1" applyBorder="1" applyAlignment="1">
      <alignment horizontal="right" vertical="center" wrapText="1"/>
      <protection locked="0"/>
    </xf>
    <xf numFmtId="43" fontId="6" fillId="0" borderId="14" xfId="1" applyFont="1" applyBorder="1" applyAlignment="1" applyProtection="1">
      <alignment horizontal="right" vertical="center" wrapText="1"/>
      <protection locked="0"/>
    </xf>
    <xf numFmtId="0" fontId="4" fillId="0" borderId="0" xfId="0" applyFont="1" applyAlignment="1">
      <alignment vertical="center" wrapText="1"/>
      <protection locked="0"/>
    </xf>
    <xf numFmtId="0" fontId="3" fillId="0" borderId="0" xfId="349" applyFont="1">
      <alignment vertical="center"/>
    </xf>
    <xf numFmtId="43" fontId="9" fillId="2" borderId="20" xfId="1" applyFont="1" applyFill="1" applyBorder="1" applyAlignment="1" applyProtection="1">
      <alignment horizontal="center" vertical="center" wrapText="1"/>
      <protection locked="0"/>
    </xf>
    <xf numFmtId="43" fontId="3" fillId="2" borderId="2" xfId="1" applyFont="1" applyFill="1" applyBorder="1" applyAlignment="1">
      <alignment horizontal="right" vertical="center" wrapText="1"/>
    </xf>
    <xf numFmtId="43" fontId="6" fillId="4" borderId="2" xfId="1" applyFont="1" applyFill="1" applyBorder="1" applyAlignment="1">
      <alignment horizontal="right" vertical="center" wrapText="1"/>
    </xf>
    <xf numFmtId="43" fontId="6" fillId="0" borderId="0" xfId="1" applyFont="1" applyBorder="1" applyAlignment="1">
      <alignment horizontal="right" vertical="center" wrapText="1"/>
    </xf>
    <xf numFmtId="43" fontId="3" fillId="0" borderId="0" xfId="1" applyFont="1" applyBorder="1" applyAlignment="1">
      <alignment vertical="center"/>
    </xf>
    <xf numFmtId="0" fontId="3" fillId="0" borderId="0" xfId="342" applyFont="1" applyAlignment="1">
      <alignment vertical="center"/>
    </xf>
    <xf numFmtId="43" fontId="3" fillId="0" borderId="0" xfId="346" applyNumberFormat="1" applyFont="1" applyBorder="1" applyAlignment="1">
      <alignment vertical="center"/>
    </xf>
    <xf numFmtId="0" fontId="3" fillId="0" borderId="2" xfId="342" applyFont="1" applyBorder="1" applyAlignment="1">
      <alignment vertical="center"/>
    </xf>
    <xf numFmtId="0" fontId="3" fillId="0" borderId="2" xfId="342" applyFont="1" applyBorder="1" applyAlignment="1">
      <alignment horizontal="center" vertical="center"/>
    </xf>
    <xf numFmtId="43" fontId="3" fillId="0" borderId="2" xfId="342" applyNumberFormat="1" applyFont="1" applyBorder="1" applyAlignment="1">
      <alignment vertical="center"/>
    </xf>
    <xf numFmtId="0" fontId="6" fillId="0" borderId="0" xfId="0" applyFont="1" applyAlignment="1">
      <alignment horizontal="center" vertical="center" wrapText="1"/>
      <protection locked="0"/>
    </xf>
    <xf numFmtId="0" fontId="6" fillId="0" borderId="0" xfId="0" applyFont="1" applyAlignment="1">
      <alignment horizontal="right" vertical="center" wrapText="1"/>
      <protection locked="0"/>
    </xf>
    <xf numFmtId="43" fontId="9" fillId="2" borderId="20" xfId="1" applyFont="1" applyFill="1" applyBorder="1" applyAlignment="1" applyProtection="1">
      <alignment horizontal="center" vertical="center"/>
      <protection locked="0"/>
    </xf>
    <xf numFmtId="10" fontId="3" fillId="2" borderId="2" xfId="2" applyNumberFormat="1" applyFont="1" applyFill="1" applyBorder="1" applyAlignment="1">
      <alignment horizontal="right" vertical="center" wrapText="1"/>
    </xf>
    <xf numFmtId="10" fontId="3" fillId="4" borderId="2" xfId="2" applyNumberFormat="1" applyFont="1" applyFill="1" applyBorder="1" applyAlignment="1">
      <alignment horizontal="right" vertical="center" wrapText="1"/>
    </xf>
    <xf numFmtId="10" fontId="6" fillId="4" borderId="2" xfId="2" applyNumberFormat="1" applyFont="1" applyFill="1" applyBorder="1" applyAlignment="1">
      <alignment horizontal="right" vertical="center" wrapText="1"/>
    </xf>
    <xf numFmtId="43" fontId="3" fillId="0" borderId="0" xfId="1" applyFont="1" applyBorder="1" applyAlignment="1">
      <alignment horizontal="right" vertical="center"/>
    </xf>
    <xf numFmtId="206" fontId="35" fillId="0" borderId="0" xfId="337" applyFont="1">
      <alignment vertical="center"/>
    </xf>
    <xf numFmtId="206" fontId="36" fillId="0" borderId="0" xfId="337" applyFont="1">
      <alignment vertical="center"/>
    </xf>
    <xf numFmtId="0" fontId="3" fillId="0" borderId="0" xfId="325" applyFont="1" applyAlignment="1">
      <alignment horizontal="left" vertical="center"/>
      <protection locked="0"/>
    </xf>
    <xf numFmtId="0" fontId="9" fillId="0" borderId="0" xfId="333" applyFont="1" applyAlignment="1" applyProtection="1">
      <alignment vertical="center"/>
      <protection locked="0"/>
    </xf>
    <xf numFmtId="0" fontId="7" fillId="0" borderId="0" xfId="333" applyFont="1" applyAlignment="1" applyProtection="1">
      <alignment vertical="center"/>
      <protection locked="0"/>
    </xf>
    <xf numFmtId="49" fontId="9" fillId="0" borderId="0" xfId="0" applyNumberFormat="1" applyFont="1" applyFill="1" applyBorder="1" applyAlignment="1" applyProtection="1">
      <alignment horizontal="left" vertical="center"/>
      <protection locked="0"/>
    </xf>
    <xf numFmtId="206" fontId="6" fillId="0" borderId="0" xfId="337" applyFont="1" applyAlignment="1" applyProtection="1">
      <alignment horizontal="justify" vertical="center"/>
      <protection locked="0"/>
    </xf>
    <xf numFmtId="49" fontId="6" fillId="0" borderId="0" xfId="337" applyNumberFormat="1" applyFont="1" applyAlignment="1" applyProtection="1">
      <alignment horizontal="left" vertical="center"/>
      <protection locked="0"/>
    </xf>
    <xf numFmtId="0" fontId="6" fillId="2" borderId="2" xfId="312" applyFont="1" applyFill="1" applyBorder="1" applyAlignment="1" applyProtection="1">
      <alignment horizontal="center" vertical="center" wrapText="1"/>
      <protection locked="0"/>
    </xf>
    <xf numFmtId="49" fontId="3" fillId="0" borderId="2" xfId="337" applyNumberFormat="1" applyFont="1" applyBorder="1" applyAlignment="1" applyProtection="1">
      <alignment horizontal="center" vertical="center"/>
      <protection locked="0"/>
    </xf>
    <xf numFmtId="206" fontId="35" fillId="0" borderId="2" xfId="337" applyFont="1" applyBorder="1" applyAlignment="1">
      <alignment horizontal="center" vertical="center" wrapText="1"/>
    </xf>
    <xf numFmtId="0" fontId="35" fillId="0" borderId="2" xfId="323" applyNumberFormat="1" applyFont="1" applyBorder="1" applyAlignment="1">
      <alignment horizontal="center" vertical="center" wrapText="1"/>
    </xf>
    <xf numFmtId="0" fontId="38" fillId="0" borderId="2" xfId="323" applyNumberFormat="1" applyFont="1" applyBorder="1" applyAlignment="1">
      <alignment horizontal="center" vertical="center" wrapText="1"/>
    </xf>
    <xf numFmtId="49" fontId="3" fillId="0" borderId="2" xfId="312" applyNumberFormat="1" applyFont="1" applyBorder="1" applyAlignment="1" applyProtection="1">
      <alignment horizontal="center" vertical="center"/>
      <protection locked="0"/>
    </xf>
    <xf numFmtId="0" fontId="35" fillId="0" borderId="2" xfId="333" applyFont="1" applyBorder="1" applyAlignment="1">
      <alignment horizontal="center" vertical="center" wrapText="1"/>
    </xf>
    <xf numFmtId="0" fontId="26" fillId="0" borderId="2" xfId="0" applyNumberFormat="1" applyFont="1" applyFill="1" applyBorder="1" applyAlignment="1" applyProtection="1">
      <alignment horizontal="center" vertical="center" wrapText="1"/>
    </xf>
    <xf numFmtId="0" fontId="24" fillId="0" borderId="2" xfId="0" applyNumberFormat="1" applyFont="1" applyFill="1" applyBorder="1" applyAlignment="1" applyProtection="1">
      <alignment horizontal="center" vertical="center" wrapText="1"/>
    </xf>
    <xf numFmtId="0" fontId="39" fillId="0" borderId="2" xfId="0" applyNumberFormat="1" applyFont="1" applyFill="1" applyBorder="1" applyAlignment="1" applyProtection="1">
      <alignment horizontal="center" vertical="center" wrapText="1"/>
    </xf>
    <xf numFmtId="0" fontId="40" fillId="0" borderId="2" xfId="333" applyFont="1" applyBorder="1" applyAlignment="1">
      <alignment horizontal="center" vertical="center" wrapText="1"/>
    </xf>
    <xf numFmtId="0" fontId="41" fillId="0" borderId="2" xfId="0" applyNumberFormat="1" applyFont="1" applyFill="1" applyBorder="1" applyAlignment="1" applyProtection="1">
      <alignment vertical="center" wrapText="1"/>
    </xf>
    <xf numFmtId="206" fontId="39" fillId="0" borderId="2" xfId="0" applyNumberFormat="1" applyFont="1" applyFill="1" applyBorder="1" applyAlignment="1" applyProtection="1">
      <alignment horizontal="center" vertical="center" wrapText="1"/>
    </xf>
    <xf numFmtId="0" fontId="40" fillId="0" borderId="2" xfId="333" applyFont="1" applyFill="1" applyBorder="1" applyAlignment="1">
      <alignment horizontal="center" vertical="center" wrapText="1"/>
    </xf>
    <xf numFmtId="0" fontId="35" fillId="0" borderId="2" xfId="333" applyFont="1" applyFill="1" applyBorder="1" applyAlignment="1">
      <alignment horizontal="center" vertical="center" wrapText="1"/>
    </xf>
    <xf numFmtId="206" fontId="35" fillId="0" borderId="2" xfId="311" applyFont="1" applyFill="1" applyBorder="1" applyAlignment="1">
      <alignment vertical="center" wrapText="1"/>
    </xf>
    <xf numFmtId="206" fontId="39" fillId="0" borderId="2" xfId="0" applyNumberFormat="1" applyFont="1" applyFill="1" applyBorder="1" applyAlignment="1" applyProtection="1">
      <alignment vertical="center" wrapText="1"/>
    </xf>
    <xf numFmtId="0" fontId="39" fillId="0" borderId="2" xfId="0" applyNumberFormat="1" applyFont="1" applyFill="1" applyBorder="1" applyAlignment="1" applyProtection="1">
      <alignment vertical="center" wrapText="1"/>
    </xf>
    <xf numFmtId="0" fontId="35" fillId="0" borderId="2" xfId="323" applyFont="1" applyBorder="1" applyAlignment="1">
      <alignment horizontal="center" vertical="center" wrapText="1"/>
    </xf>
    <xf numFmtId="0" fontId="35" fillId="0" borderId="2" xfId="323" applyFont="1" applyBorder="1" applyAlignment="1">
      <alignment vertical="center" wrapText="1"/>
    </xf>
    <xf numFmtId="206" fontId="41" fillId="0" borderId="2" xfId="0" applyNumberFormat="1" applyFont="1" applyFill="1" applyBorder="1" applyAlignment="1" applyProtection="1">
      <alignment vertical="center" wrapText="1"/>
    </xf>
    <xf numFmtId="0" fontId="42" fillId="0" borderId="2" xfId="333" applyFont="1" applyFill="1" applyBorder="1" applyAlignment="1">
      <alignment horizontal="center" vertical="center" wrapText="1"/>
    </xf>
    <xf numFmtId="206" fontId="35" fillId="0" borderId="2" xfId="311" applyFont="1" applyFill="1" applyBorder="1" applyAlignment="1">
      <alignment horizontal="center" vertical="center" wrapText="1"/>
    </xf>
    <xf numFmtId="206" fontId="26" fillId="0" borderId="2" xfId="0" applyNumberFormat="1" applyFont="1" applyFill="1" applyBorder="1" applyAlignment="1" applyProtection="1">
      <alignment horizontal="center" vertical="center" wrapText="1"/>
    </xf>
    <xf numFmtId="206" fontId="11" fillId="0" borderId="2" xfId="0" applyNumberFormat="1" applyFont="1" applyFill="1" applyBorder="1" applyAlignment="1" applyProtection="1">
      <alignment horizontal="center" vertical="center" wrapText="1"/>
    </xf>
    <xf numFmtId="0" fontId="10" fillId="6" borderId="0" xfId="0" applyNumberFormat="1" applyFont="1" applyFill="1" applyBorder="1" applyAlignment="1" applyProtection="1">
      <alignment horizontal="left" vertical="center" wrapText="1"/>
      <protection locked="0"/>
    </xf>
    <xf numFmtId="206" fontId="3" fillId="0" borderId="2" xfId="0" applyNumberFormat="1" applyFont="1" applyFill="1" applyBorder="1" applyAlignment="1" applyProtection="1">
      <alignment horizontal="center" vertical="center" wrapText="1"/>
    </xf>
    <xf numFmtId="0" fontId="35" fillId="0" borderId="2" xfId="323" applyFont="1" applyFill="1" applyBorder="1" applyAlignment="1">
      <alignment horizontal="center" vertical="center" wrapText="1"/>
    </xf>
    <xf numFmtId="0" fontId="3" fillId="0" borderId="2" xfId="333" applyFont="1" applyBorder="1" applyAlignment="1">
      <alignment horizontal="center" vertical="center" wrapText="1"/>
    </xf>
    <xf numFmtId="0" fontId="0" fillId="0" borderId="0" xfId="0" applyAlignment="1">
      <alignment vertical="center"/>
      <protection locked="0"/>
    </xf>
    <xf numFmtId="0" fontId="47" fillId="0" borderId="0" xfId="0" applyFont="1">
      <protection locked="0"/>
    </xf>
    <xf numFmtId="0" fontId="44" fillId="0" borderId="0" xfId="0" applyFont="1" applyAlignment="1">
      <alignment vertical="center"/>
      <protection locked="0"/>
    </xf>
    <xf numFmtId="0" fontId="47" fillId="0" borderId="0" xfId="0" applyFont="1" applyAlignment="1">
      <alignment vertical="center"/>
      <protection locked="0"/>
    </xf>
    <xf numFmtId="0" fontId="23" fillId="0" borderId="0" xfId="0" applyFont="1" applyAlignment="1">
      <alignment vertical="center"/>
      <protection locked="0"/>
    </xf>
    <xf numFmtId="0" fontId="3" fillId="7" borderId="0" xfId="0" applyFont="1" applyFill="1" applyAlignment="1">
      <alignment horizontal="justify" vertical="center" wrapText="1"/>
      <protection locked="0"/>
    </xf>
    <xf numFmtId="0" fontId="48" fillId="0" borderId="0" xfId="0" applyFont="1" applyAlignment="1">
      <alignment horizontal="justify" wrapText="1"/>
      <protection locked="0"/>
    </xf>
    <xf numFmtId="0" fontId="23" fillId="0" borderId="23" xfId="0" applyFont="1" applyBorder="1" applyAlignment="1">
      <alignment horizontal="center" vertical="center"/>
      <protection locked="0"/>
    </xf>
    <xf numFmtId="0" fontId="49" fillId="0" borderId="0" xfId="0" applyFont="1" applyAlignment="1">
      <alignment horizontal="justify" wrapText="1"/>
      <protection locked="0"/>
    </xf>
    <xf numFmtId="0" fontId="47" fillId="0" borderId="23" xfId="0" applyFont="1" applyBorder="1" applyAlignment="1">
      <alignment horizontal="center" wrapText="1"/>
      <protection locked="0"/>
    </xf>
    <xf numFmtId="0" fontId="22" fillId="0" borderId="23" xfId="3" applyBorder="1" applyAlignment="1">
      <alignment vertical="center"/>
      <protection locked="0"/>
    </xf>
    <xf numFmtId="0" fontId="3" fillId="0" borderId="23" xfId="0" applyFont="1" applyBorder="1" applyAlignment="1">
      <alignment horizontal="center" vertical="center"/>
      <protection locked="0"/>
    </xf>
    <xf numFmtId="0" fontId="7" fillId="7" borderId="0" xfId="0" applyFont="1" applyFill="1" applyAlignment="1">
      <alignment horizontal="justify" vertical="center" wrapText="1"/>
      <protection locked="0"/>
    </xf>
    <xf numFmtId="0" fontId="49" fillId="0" borderId="0" xfId="0" applyFont="1" applyAlignment="1">
      <alignment horizontal="justify" vertical="top" wrapText="1"/>
      <protection locked="0"/>
    </xf>
    <xf numFmtId="0" fontId="50" fillId="0" borderId="0" xfId="0" applyFont="1" applyAlignment="1">
      <alignment horizontal="justify"/>
      <protection locked="0"/>
    </xf>
    <xf numFmtId="0" fontId="22" fillId="0" borderId="23" xfId="3" applyBorder="1" applyAlignment="1">
      <protection locked="0"/>
    </xf>
    <xf numFmtId="0" fontId="52" fillId="0" borderId="23" xfId="3" applyFont="1" applyBorder="1" applyAlignment="1">
      <alignment vertical="center"/>
      <protection locked="0"/>
    </xf>
    <xf numFmtId="206" fontId="7" fillId="0" borderId="2" xfId="337" applyFont="1" applyBorder="1" applyAlignment="1">
      <alignment vertical="center" wrapText="1"/>
    </xf>
    <xf numFmtId="0" fontId="20" fillId="2" borderId="2" xfId="348" applyFont="1" applyFill="1" applyBorder="1" applyAlignment="1" applyProtection="1">
      <alignment horizontal="center" vertical="center"/>
      <protection locked="0"/>
    </xf>
    <xf numFmtId="43" fontId="19" fillId="0" borderId="2" xfId="348" applyNumberFormat="1" applyFont="1" applyBorder="1" applyAlignment="1" applyProtection="1">
      <alignment horizontal="right" vertical="center" shrinkToFit="1"/>
      <protection locked="0"/>
    </xf>
    <xf numFmtId="49" fontId="20" fillId="2" borderId="2" xfId="348" applyNumberFormat="1" applyFont="1" applyFill="1" applyBorder="1" applyAlignment="1" applyProtection="1">
      <alignment horizontal="center" vertical="center"/>
      <protection locked="0"/>
    </xf>
    <xf numFmtId="0" fontId="20" fillId="2" borderId="2" xfId="348" applyFont="1" applyFill="1" applyBorder="1" applyAlignment="1" applyProtection="1">
      <alignment horizontal="center" vertical="center" wrapText="1"/>
      <protection locked="0"/>
    </xf>
    <xf numFmtId="0" fontId="9" fillId="2" borderId="2" xfId="316" applyFont="1" applyFill="1" applyBorder="1" applyAlignment="1" applyProtection="1">
      <alignment horizontal="center" vertical="center"/>
      <protection locked="0"/>
    </xf>
    <xf numFmtId="0" fontId="35" fillId="0" borderId="2" xfId="333" applyFont="1" applyBorder="1" applyAlignment="1">
      <alignment vertical="center" wrapText="1"/>
    </xf>
    <xf numFmtId="206" fontId="26" fillId="0" borderId="2" xfId="0" applyNumberFormat="1" applyFont="1" applyFill="1" applyBorder="1" applyAlignment="1" applyProtection="1">
      <alignment vertical="center" wrapText="1"/>
    </xf>
    <xf numFmtId="0" fontId="3" fillId="7" borderId="0" xfId="0" applyFont="1" applyFill="1" applyBorder="1" applyAlignment="1">
      <alignment horizontal="justify" vertical="center" wrapText="1"/>
      <protection locked="0"/>
    </xf>
    <xf numFmtId="0" fontId="15" fillId="0" borderId="0" xfId="0" applyFont="1" applyAlignment="1">
      <alignment horizontal="center" vertical="center"/>
      <protection locked="0"/>
    </xf>
    <xf numFmtId="206" fontId="122" fillId="0" borderId="0" xfId="452" applyFont="1" applyFill="1" applyAlignment="1">
      <alignment horizontal="left" vertical="center"/>
    </xf>
    <xf numFmtId="43" fontId="9" fillId="2" borderId="20" xfId="1" applyFont="1" applyFill="1" applyBorder="1" applyAlignment="1">
      <alignment vertical="center"/>
    </xf>
    <xf numFmtId="43" fontId="7" fillId="5" borderId="20" xfId="1" applyFont="1" applyFill="1" applyBorder="1" applyAlignment="1">
      <alignment vertical="center"/>
    </xf>
    <xf numFmtId="43" fontId="9" fillId="5" borderId="20" xfId="1" applyFont="1" applyFill="1" applyBorder="1" applyAlignment="1">
      <alignment horizontal="center" vertical="center"/>
    </xf>
    <xf numFmtId="0" fontId="30" fillId="50" borderId="2" xfId="0" applyFont="1" applyFill="1" applyBorder="1" applyAlignment="1">
      <alignment horizontal="center" vertical="center" wrapText="1"/>
      <protection locked="0"/>
    </xf>
    <xf numFmtId="43" fontId="3" fillId="50" borderId="2" xfId="1" applyFont="1" applyFill="1" applyBorder="1" applyAlignment="1">
      <alignment horizontal="right" vertical="center" wrapText="1"/>
    </xf>
    <xf numFmtId="43" fontId="30" fillId="50" borderId="2" xfId="0" quotePrefix="1" applyNumberFormat="1" applyFont="1" applyFill="1" applyBorder="1" applyAlignment="1">
      <alignment horizontal="center" vertical="center" wrapText="1"/>
      <protection locked="0"/>
    </xf>
    <xf numFmtId="0" fontId="6" fillId="50" borderId="0" xfId="344" applyFont="1" applyFill="1" applyAlignment="1">
      <alignment vertical="center"/>
      <protection locked="0"/>
    </xf>
    <xf numFmtId="0" fontId="30" fillId="50" borderId="2" xfId="0" applyFont="1" applyFill="1" applyBorder="1" applyAlignment="1">
      <alignment horizontal="centerContinuous" vertical="center" wrapText="1"/>
      <protection locked="0"/>
    </xf>
    <xf numFmtId="43" fontId="30" fillId="50" borderId="2" xfId="0" applyNumberFormat="1" applyFont="1" applyFill="1" applyBorder="1" applyAlignment="1">
      <alignment horizontal="right" vertical="center" wrapText="1"/>
      <protection locked="0"/>
    </xf>
    <xf numFmtId="0" fontId="6" fillId="50" borderId="2" xfId="0" applyFont="1" applyFill="1" applyBorder="1" applyAlignment="1">
      <alignment horizontal="left" vertical="center" wrapText="1"/>
      <protection locked="0"/>
    </xf>
    <xf numFmtId="0" fontId="4" fillId="50" borderId="0" xfId="0" applyFont="1" applyFill="1">
      <protection locked="0"/>
    </xf>
    <xf numFmtId="0" fontId="30" fillId="50" borderId="2" xfId="0" applyFont="1" applyFill="1" applyBorder="1" applyAlignment="1">
      <alignment horizontal="right" vertical="center" wrapText="1"/>
      <protection locked="0"/>
    </xf>
    <xf numFmtId="43" fontId="19" fillId="0" borderId="2" xfId="348" applyNumberFormat="1" applyFont="1" applyBorder="1" applyAlignment="1" applyProtection="1">
      <alignment vertical="center" shrinkToFit="1"/>
      <protection locked="0"/>
    </xf>
    <xf numFmtId="0" fontId="20" fillId="50" borderId="2" xfId="348" applyFont="1" applyFill="1" applyBorder="1" applyAlignment="1" applyProtection="1">
      <alignment horizontal="center" vertical="center"/>
      <protection locked="0"/>
    </xf>
    <xf numFmtId="43" fontId="6" fillId="50" borderId="2" xfId="1" applyFont="1" applyFill="1" applyBorder="1" applyAlignment="1">
      <alignment horizontal="right" vertical="center" wrapText="1"/>
    </xf>
    <xf numFmtId="43" fontId="6" fillId="50" borderId="2" xfId="1" applyFont="1" applyFill="1" applyBorder="1" applyAlignment="1">
      <alignment horizontal="center" vertical="center" wrapText="1"/>
    </xf>
    <xf numFmtId="0" fontId="20" fillId="50" borderId="0" xfId="348" applyFont="1" applyFill="1" applyProtection="1">
      <alignment vertical="center"/>
      <protection locked="0"/>
    </xf>
    <xf numFmtId="0" fontId="19" fillId="0" borderId="0" xfId="348" applyFont="1" applyAlignment="1" applyProtection="1">
      <alignment horizontal="center" vertical="center"/>
      <protection locked="0"/>
    </xf>
    <xf numFmtId="0" fontId="9" fillId="0" borderId="0" xfId="348" applyFont="1" applyProtection="1">
      <alignment vertical="center"/>
      <protection locked="0"/>
    </xf>
    <xf numFmtId="0" fontId="133" fillId="0" borderId="0" xfId="0" applyFont="1" applyAlignment="1">
      <alignment vertical="center"/>
      <protection locked="0"/>
    </xf>
    <xf numFmtId="0" fontId="6" fillId="50" borderId="2" xfId="0" applyFont="1" applyFill="1" applyBorder="1" applyAlignment="1">
      <alignment horizontal="center" vertical="center" wrapText="1"/>
      <protection locked="0"/>
    </xf>
    <xf numFmtId="0" fontId="3" fillId="50" borderId="0" xfId="0" applyFont="1" applyFill="1" applyAlignment="1">
      <alignment vertical="center"/>
      <protection locked="0"/>
    </xf>
    <xf numFmtId="0" fontId="3" fillId="50" borderId="0" xfId="0" applyFont="1" applyFill="1" applyAlignment="1">
      <alignment vertical="center" wrapText="1"/>
      <protection locked="0"/>
    </xf>
    <xf numFmtId="206" fontId="9" fillId="50" borderId="2" xfId="321" applyFont="1" applyFill="1" applyBorder="1" applyAlignment="1">
      <alignment vertical="center"/>
      <protection locked="0"/>
    </xf>
    <xf numFmtId="43" fontId="6" fillId="50" borderId="2" xfId="433" applyFont="1" applyFill="1" applyBorder="1" applyAlignment="1" applyProtection="1">
      <alignment vertical="center"/>
      <protection locked="0"/>
    </xf>
    <xf numFmtId="49" fontId="9" fillId="50" borderId="2" xfId="321" applyNumberFormat="1" applyFont="1" applyFill="1" applyBorder="1" applyAlignment="1">
      <alignment horizontal="center" vertical="center"/>
      <protection locked="0"/>
    </xf>
    <xf numFmtId="0" fontId="6" fillId="50" borderId="2" xfId="0" applyFont="1" applyFill="1" applyBorder="1" applyAlignment="1" applyProtection="1">
      <alignment horizontal="center" vertical="center"/>
      <protection locked="0"/>
    </xf>
    <xf numFmtId="0" fontId="6" fillId="50" borderId="2" xfId="433" applyNumberFormat="1" applyFont="1" applyFill="1" applyBorder="1" applyAlignment="1" applyProtection="1">
      <alignment horizontal="center" vertical="center"/>
      <protection locked="0"/>
    </xf>
    <xf numFmtId="49" fontId="6" fillId="50" borderId="2" xfId="321" applyNumberFormat="1" applyFont="1" applyFill="1" applyBorder="1" applyAlignment="1">
      <alignment vertical="center"/>
      <protection locked="0"/>
    </xf>
    <xf numFmtId="43" fontId="3" fillId="0" borderId="2" xfId="1" applyFont="1" applyBorder="1" applyAlignment="1" applyProtection="1">
      <alignment horizontal="left" vertical="center"/>
      <protection locked="0"/>
    </xf>
    <xf numFmtId="0" fontId="6" fillId="50" borderId="0" xfId="0" applyFont="1" applyFill="1" applyAlignment="1">
      <alignment vertical="center"/>
      <protection locked="0"/>
    </xf>
    <xf numFmtId="0" fontId="6" fillId="50" borderId="2" xfId="0" applyFont="1" applyFill="1" applyBorder="1" applyAlignment="1">
      <alignment horizontal="left" vertical="center"/>
      <protection locked="0"/>
    </xf>
    <xf numFmtId="10" fontId="6" fillId="50" borderId="2" xfId="2" applyNumberFormat="1" applyFont="1" applyFill="1" applyBorder="1" applyAlignment="1" applyProtection="1">
      <alignment horizontal="right" vertical="center"/>
      <protection locked="0"/>
    </xf>
    <xf numFmtId="0" fontId="6" fillId="50" borderId="2" xfId="0" applyFont="1" applyFill="1" applyBorder="1" applyAlignment="1">
      <alignment horizontal="center" vertical="center"/>
      <protection locked="0"/>
    </xf>
    <xf numFmtId="0" fontId="6" fillId="50" borderId="2" xfId="0" applyFont="1" applyFill="1" applyBorder="1" applyAlignment="1">
      <alignment vertical="center" wrapText="1"/>
      <protection locked="0"/>
    </xf>
    <xf numFmtId="0" fontId="6" fillId="50" borderId="2" xfId="0" applyFont="1" applyFill="1" applyBorder="1" applyAlignment="1">
      <alignment vertical="center"/>
      <protection locked="0"/>
    </xf>
    <xf numFmtId="0" fontId="6" fillId="50" borderId="0" xfId="0" applyFont="1" applyFill="1" applyBorder="1" applyAlignment="1">
      <alignment vertical="center"/>
      <protection locked="0"/>
    </xf>
    <xf numFmtId="0" fontId="3" fillId="0" borderId="2" xfId="0" applyFont="1" applyBorder="1" applyAlignment="1">
      <alignment vertical="center"/>
      <protection locked="0"/>
    </xf>
    <xf numFmtId="206" fontId="10" fillId="0" borderId="0" xfId="3" applyNumberFormat="1" applyFont="1" applyAlignment="1" applyProtection="1">
      <alignment vertical="center" wrapText="1"/>
      <protection locked="0"/>
    </xf>
    <xf numFmtId="0" fontId="0" fillId="0" borderId="23" xfId="0" applyBorder="1" applyAlignment="1">
      <alignment vertical="center"/>
      <protection locked="0"/>
    </xf>
    <xf numFmtId="0" fontId="2" fillId="0" borderId="0" xfId="0" applyFont="1" applyAlignment="1">
      <alignment horizontal="left" vertical="center" wrapText="1"/>
      <protection locked="0"/>
    </xf>
    <xf numFmtId="0" fontId="4" fillId="0" borderId="0" xfId="0" applyFont="1" applyAlignment="1">
      <alignment horizontal="left" vertical="center" wrapText="1"/>
      <protection locked="0"/>
    </xf>
    <xf numFmtId="0" fontId="9" fillId="4" borderId="3" xfId="0" applyNumberFormat="1" applyFont="1" applyFill="1" applyBorder="1" applyAlignment="1" applyProtection="1">
      <alignment horizontal="center" vertical="center"/>
      <protection locked="0"/>
    </xf>
    <xf numFmtId="0" fontId="9" fillId="4" borderId="4" xfId="0" applyNumberFormat="1" applyFont="1" applyFill="1" applyBorder="1" applyAlignment="1" applyProtection="1">
      <alignment horizontal="center" vertical="center"/>
      <protection locked="0"/>
    </xf>
    <xf numFmtId="0" fontId="9" fillId="4" borderId="9" xfId="0" applyNumberFormat="1" applyFont="1" applyFill="1" applyBorder="1" applyAlignment="1" applyProtection="1">
      <alignment horizontal="center" vertical="center"/>
      <protection locked="0"/>
    </xf>
    <xf numFmtId="0" fontId="43" fillId="6" borderId="21" xfId="0" applyNumberFormat="1" applyFont="1" applyFill="1" applyBorder="1" applyAlignment="1" applyProtection="1">
      <alignment horizontal="left" vertical="center" wrapText="1"/>
      <protection locked="0"/>
    </xf>
    <xf numFmtId="0" fontId="43" fillId="6" borderId="0" xfId="0" applyNumberFormat="1" applyFont="1" applyFill="1" applyBorder="1" applyAlignment="1" applyProtection="1">
      <alignment horizontal="left" vertical="center" wrapText="1"/>
      <protection locked="0"/>
    </xf>
    <xf numFmtId="0" fontId="10" fillId="6" borderId="21" xfId="0" applyNumberFormat="1" applyFont="1" applyFill="1" applyBorder="1" applyAlignment="1" applyProtection="1">
      <alignment horizontal="left" vertical="center" wrapText="1"/>
      <protection locked="0"/>
    </xf>
    <xf numFmtId="0" fontId="10" fillId="6" borderId="0" xfId="0" applyNumberFormat="1" applyFont="1" applyFill="1" applyBorder="1" applyAlignment="1" applyProtection="1">
      <alignment horizontal="left" vertical="center" wrapText="1"/>
      <protection locked="0"/>
    </xf>
    <xf numFmtId="49" fontId="6" fillId="2" borderId="5" xfId="312" applyNumberFormat="1" applyFont="1" applyFill="1" applyBorder="1" applyAlignment="1" applyProtection="1">
      <alignment horizontal="center" vertical="center"/>
      <protection locked="0"/>
    </xf>
    <xf numFmtId="49" fontId="6" fillId="2" borderId="6" xfId="312" applyNumberFormat="1" applyFont="1" applyFill="1" applyBorder="1" applyAlignment="1" applyProtection="1">
      <alignment horizontal="center" vertical="center"/>
      <protection locked="0"/>
    </xf>
    <xf numFmtId="0" fontId="9" fillId="50" borderId="30" xfId="333" applyFont="1" applyFill="1" applyBorder="1" applyAlignment="1" applyProtection="1">
      <alignment horizontal="center" vertical="center" wrapText="1"/>
      <protection locked="0"/>
    </xf>
    <xf numFmtId="0" fontId="6" fillId="2" borderId="5" xfId="312" applyFont="1" applyFill="1" applyBorder="1" applyAlignment="1" applyProtection="1">
      <alignment horizontal="center" vertical="center" wrapText="1"/>
      <protection locked="0"/>
    </xf>
    <xf numFmtId="0" fontId="6" fillId="2" borderId="6" xfId="312" applyFont="1" applyFill="1" applyBorder="1" applyAlignment="1" applyProtection="1">
      <alignment horizontal="center" vertical="center" wrapText="1"/>
      <protection locked="0"/>
    </xf>
    <xf numFmtId="0" fontId="3" fillId="0" borderId="2" xfId="329" applyFont="1" applyBorder="1" applyAlignment="1" applyProtection="1">
      <alignment horizontal="center" vertical="center" wrapText="1"/>
      <protection locked="0"/>
    </xf>
    <xf numFmtId="206" fontId="2" fillId="0" borderId="0" xfId="341" applyFont="1" applyAlignment="1">
      <alignment horizontal="center" vertical="center"/>
    </xf>
    <xf numFmtId="206" fontId="5" fillId="0" borderId="0" xfId="341" applyFont="1" applyAlignment="1">
      <alignment horizontal="center" vertical="center"/>
    </xf>
    <xf numFmtId="0" fontId="9" fillId="2" borderId="2" xfId="0" applyNumberFormat="1" applyFont="1" applyFill="1" applyBorder="1" applyAlignment="1" applyProtection="1">
      <alignment horizontal="center" vertical="center" wrapText="1"/>
      <protection locked="0"/>
    </xf>
    <xf numFmtId="0" fontId="3" fillId="0" borderId="2" xfId="333" applyFont="1" applyBorder="1" applyAlignment="1" applyProtection="1">
      <alignment horizontal="left" vertical="center" wrapText="1"/>
      <protection locked="0"/>
    </xf>
    <xf numFmtId="0" fontId="37" fillId="2" borderId="2" xfId="0" applyNumberFormat="1" applyFont="1" applyFill="1" applyBorder="1" applyAlignment="1" applyProtection="1">
      <alignment horizontal="center" vertical="center" wrapText="1"/>
      <protection locked="0"/>
    </xf>
    <xf numFmtId="0" fontId="44" fillId="0" borderId="0" xfId="340" applyFont="1" applyAlignment="1">
      <alignment horizontal="center" vertical="center" wrapText="1"/>
    </xf>
    <xf numFmtId="0" fontId="15" fillId="0" borderId="0" xfId="340" applyFont="1" applyAlignment="1">
      <alignment horizontal="center" vertical="center" wrapText="1"/>
    </xf>
    <xf numFmtId="43" fontId="9" fillId="2" borderId="16" xfId="1" applyFont="1" applyFill="1" applyBorder="1" applyAlignment="1" applyProtection="1">
      <alignment horizontal="center" vertical="center" wrapText="1"/>
      <protection locked="0"/>
    </xf>
    <xf numFmtId="43" fontId="9" fillId="2" borderId="17" xfId="1" applyFont="1" applyFill="1" applyBorder="1" applyAlignment="1" applyProtection="1">
      <alignment horizontal="center" vertical="center" wrapText="1"/>
      <protection locked="0"/>
    </xf>
    <xf numFmtId="43" fontId="9" fillId="2" borderId="18" xfId="1" applyFont="1" applyFill="1" applyBorder="1" applyAlignment="1" applyProtection="1">
      <alignment horizontal="center" vertical="center" wrapText="1"/>
      <protection locked="0"/>
    </xf>
    <xf numFmtId="43" fontId="9" fillId="2" borderId="15" xfId="1" applyFont="1" applyFill="1" applyBorder="1" applyAlignment="1">
      <alignment horizontal="center" vertical="center"/>
    </xf>
    <xf numFmtId="43" fontId="9" fillId="2" borderId="19" xfId="1" applyFont="1" applyFill="1" applyBorder="1" applyAlignment="1">
      <alignment horizontal="center" vertical="center"/>
    </xf>
    <xf numFmtId="0" fontId="2" fillId="0" borderId="0" xfId="340" applyFont="1" applyAlignment="1">
      <alignment horizontal="center" vertical="center"/>
    </xf>
    <xf numFmtId="0" fontId="5" fillId="0" borderId="0" xfId="340" applyFont="1" applyAlignment="1">
      <alignment horizontal="center" vertical="center"/>
    </xf>
    <xf numFmtId="0" fontId="9" fillId="2" borderId="5" xfId="0" applyFont="1" applyFill="1" applyBorder="1" applyAlignment="1">
      <alignment horizontal="center" vertical="center" wrapText="1"/>
      <protection locked="0"/>
    </xf>
    <xf numFmtId="0" fontId="9" fillId="2" borderId="6" xfId="0" applyFont="1" applyFill="1" applyBorder="1" applyAlignment="1">
      <alignment horizontal="center" vertical="center" wrapText="1"/>
      <protection locked="0"/>
    </xf>
    <xf numFmtId="0" fontId="9" fillId="2" borderId="3" xfId="0" applyFont="1" applyFill="1" applyBorder="1" applyAlignment="1">
      <alignment horizontal="center" vertical="center" wrapText="1"/>
      <protection locked="0"/>
    </xf>
    <xf numFmtId="0" fontId="9" fillId="2" borderId="9" xfId="0" applyFont="1" applyFill="1" applyBorder="1" applyAlignment="1">
      <alignment horizontal="center" vertical="center" wrapText="1"/>
      <protection locked="0"/>
    </xf>
    <xf numFmtId="0" fontId="9" fillId="2" borderId="4" xfId="0" applyFont="1" applyFill="1" applyBorder="1" applyAlignment="1">
      <alignment horizontal="center" vertical="center" wrapText="1"/>
      <protection locked="0"/>
    </xf>
    <xf numFmtId="0" fontId="2" fillId="0" borderId="0" xfId="340" applyFont="1" applyAlignment="1">
      <alignment horizontal="center" vertical="center" wrapText="1"/>
    </xf>
    <xf numFmtId="0" fontId="5" fillId="0" borderId="0" xfId="340" applyFont="1" applyAlignment="1">
      <alignment horizontal="center" vertical="center" wrapText="1"/>
    </xf>
    <xf numFmtId="0" fontId="3" fillId="0" borderId="0" xfId="0" applyFont="1" applyAlignment="1">
      <alignment horizontal="left" vertical="center" wrapText="1"/>
      <protection locked="0"/>
    </xf>
    <xf numFmtId="0" fontId="9" fillId="2" borderId="2" xfId="0" applyFont="1" applyFill="1" applyBorder="1" applyAlignment="1">
      <alignment horizontal="center" vertical="center" wrapText="1"/>
      <protection locked="0"/>
    </xf>
    <xf numFmtId="0" fontId="9" fillId="2" borderId="10" xfId="0" applyFont="1" applyFill="1" applyBorder="1" applyAlignment="1">
      <alignment horizontal="center" vertical="center" wrapText="1"/>
      <protection locked="0"/>
    </xf>
    <xf numFmtId="0" fontId="9" fillId="2" borderId="11" xfId="0" applyFont="1" applyFill="1" applyBorder="1" applyAlignment="1">
      <alignment horizontal="center" vertical="center" wrapText="1"/>
      <protection locked="0"/>
    </xf>
    <xf numFmtId="43" fontId="44" fillId="0" borderId="0" xfId="347" applyNumberFormat="1" applyFont="1" applyBorder="1" applyAlignment="1">
      <alignment horizontal="center" vertical="center"/>
    </xf>
    <xf numFmtId="43" fontId="15" fillId="0" borderId="0" xfId="347" applyNumberFormat="1" applyFont="1" applyBorder="1" applyAlignment="1">
      <alignment horizontal="center" vertical="center"/>
    </xf>
    <xf numFmtId="0" fontId="29" fillId="0" borderId="0" xfId="313" applyFont="1" applyAlignment="1" applyProtection="1">
      <alignment horizontal="left" vertical="center" wrapText="1"/>
      <protection locked="0"/>
    </xf>
    <xf numFmtId="0" fontId="3" fillId="0" borderId="0" xfId="313" applyFont="1" applyAlignment="1" applyProtection="1">
      <alignment horizontal="left" vertical="center" wrapText="1"/>
      <protection locked="0"/>
    </xf>
    <xf numFmtId="0" fontId="2" fillId="0" borderId="0" xfId="0" applyFont="1" applyAlignment="1">
      <alignment horizontal="center" vertical="center"/>
      <protection locked="0"/>
    </xf>
    <xf numFmtId="0" fontId="5" fillId="0" borderId="0" xfId="0" applyFont="1" applyAlignment="1">
      <alignment horizontal="center" vertical="center"/>
      <protection locked="0"/>
    </xf>
    <xf numFmtId="0" fontId="3" fillId="0" borderId="1" xfId="0" applyFont="1" applyBorder="1" applyAlignment="1">
      <alignment horizontal="left" vertical="center" wrapText="1"/>
      <protection locked="0"/>
    </xf>
    <xf numFmtId="0" fontId="20" fillId="2" borderId="2" xfId="348" applyFont="1" applyFill="1" applyBorder="1" applyAlignment="1" applyProtection="1">
      <alignment horizontal="center" vertical="center"/>
      <protection locked="0"/>
    </xf>
    <xf numFmtId="0" fontId="20" fillId="2" borderId="2" xfId="348" applyFont="1" applyFill="1" applyBorder="1" applyAlignment="1" applyProtection="1">
      <alignment horizontal="center" vertical="center" wrapText="1"/>
      <protection locked="0"/>
    </xf>
    <xf numFmtId="0" fontId="20" fillId="2" borderId="3" xfId="348" applyFont="1" applyFill="1" applyBorder="1" applyAlignment="1" applyProtection="1">
      <alignment horizontal="center" vertical="center"/>
      <protection locked="0"/>
    </xf>
    <xf numFmtId="0" fontId="20" fillId="2" borderId="9" xfId="348" applyFont="1" applyFill="1" applyBorder="1" applyAlignment="1" applyProtection="1">
      <alignment horizontal="center" vertical="center"/>
      <protection locked="0"/>
    </xf>
    <xf numFmtId="0" fontId="20" fillId="2" borderId="5" xfId="348" applyFont="1" applyFill="1" applyBorder="1" applyAlignment="1" applyProtection="1">
      <alignment horizontal="center" vertical="center" wrapText="1"/>
      <protection locked="0"/>
    </xf>
    <xf numFmtId="0" fontId="20" fillId="2" borderId="6" xfId="348" applyFont="1" applyFill="1" applyBorder="1" applyAlignment="1" applyProtection="1">
      <alignment horizontal="center" vertical="center" wrapText="1"/>
      <protection locked="0"/>
    </xf>
    <xf numFmtId="0" fontId="20" fillId="2" borderId="8" xfId="348" applyFont="1" applyFill="1" applyBorder="1" applyAlignment="1" applyProtection="1">
      <alignment horizontal="center" vertical="center" wrapText="1"/>
      <protection locked="0"/>
    </xf>
    <xf numFmtId="0" fontId="20" fillId="2" borderId="3" xfId="348" applyFont="1" applyFill="1" applyBorder="1" applyAlignment="1" applyProtection="1">
      <alignment horizontal="center" vertical="center" wrapText="1"/>
      <protection locked="0"/>
    </xf>
    <xf numFmtId="0" fontId="20" fillId="2" borderId="9" xfId="348" applyFont="1" applyFill="1" applyBorder="1" applyAlignment="1" applyProtection="1">
      <alignment horizontal="center" vertical="center" wrapText="1"/>
      <protection locked="0"/>
    </xf>
    <xf numFmtId="0" fontId="2" fillId="0" borderId="0" xfId="339" applyFont="1" applyAlignment="1">
      <alignment horizontal="center" vertical="center" wrapText="1"/>
    </xf>
    <xf numFmtId="0" fontId="15" fillId="0" borderId="0" xfId="339" applyFont="1" applyFill="1" applyAlignment="1">
      <alignment horizontal="center" vertical="center" wrapText="1"/>
    </xf>
    <xf numFmtId="0" fontId="5" fillId="0" borderId="0" xfId="339" applyFont="1" applyFill="1" applyAlignment="1">
      <alignment horizontal="center" vertical="center" wrapText="1"/>
    </xf>
    <xf numFmtId="0" fontId="16" fillId="0" borderId="1" xfId="0" applyFont="1" applyBorder="1" applyAlignment="1">
      <alignment horizontal="left" vertical="center" wrapText="1"/>
      <protection locked="0"/>
    </xf>
    <xf numFmtId="14" fontId="9" fillId="50" borderId="2" xfId="321" applyNumberFormat="1" applyFont="1" applyFill="1" applyBorder="1" applyAlignment="1">
      <alignment horizontal="center" vertical="center"/>
      <protection locked="0"/>
    </xf>
    <xf numFmtId="0" fontId="9" fillId="3" borderId="2" xfId="316" applyFont="1" applyFill="1" applyBorder="1" applyAlignment="1" applyProtection="1">
      <alignment horizontal="center" vertical="center" wrapText="1"/>
    </xf>
    <xf numFmtId="0" fontId="9" fillId="2" borderId="2" xfId="313" applyFont="1" applyFill="1" applyBorder="1" applyAlignment="1" applyProtection="1">
      <alignment horizontal="center" vertical="center"/>
      <protection locked="0"/>
    </xf>
    <xf numFmtId="0" fontId="6" fillId="2" borderId="2" xfId="313" applyFont="1" applyFill="1" applyBorder="1" applyAlignment="1" applyProtection="1">
      <alignment horizontal="center" vertical="center"/>
      <protection locked="0"/>
    </xf>
    <xf numFmtId="0" fontId="3" fillId="0" borderId="0" xfId="345" applyFont="1" applyAlignment="1">
      <alignment horizontal="left" vertical="center" wrapText="1"/>
    </xf>
    <xf numFmtId="0" fontId="9" fillId="2" borderId="2" xfId="316" applyFont="1" applyFill="1" applyBorder="1" applyAlignment="1" applyProtection="1">
      <alignment horizontal="center" vertical="center"/>
      <protection locked="0"/>
    </xf>
    <xf numFmtId="0" fontId="6" fillId="2" borderId="2" xfId="0" applyFont="1" applyFill="1" applyBorder="1" applyAlignment="1" applyProtection="1">
      <alignment horizontal="center" vertical="center"/>
      <protection locked="0"/>
    </xf>
    <xf numFmtId="0" fontId="9" fillId="2" borderId="2" xfId="313" applyFont="1" applyFill="1" applyBorder="1" applyAlignment="1" applyProtection="1">
      <alignment horizontal="center" vertical="center" wrapText="1"/>
      <protection locked="0"/>
    </xf>
    <xf numFmtId="0" fontId="6" fillId="2" borderId="2" xfId="313" applyFont="1" applyFill="1" applyBorder="1" applyAlignment="1" applyProtection="1">
      <alignment horizontal="center" vertical="center" wrapText="1"/>
      <protection locked="0"/>
    </xf>
  </cellXfs>
  <cellStyles count="453">
    <cellStyle name="_x000a_mouse.drv=lm" xfId="4"/>
    <cellStyle name="@_text" xfId="5"/>
    <cellStyle name="_2005年工作底稿" xfId="6"/>
    <cellStyle name="_2005年工作底稿_3-2-A1B-银行存款" xfId="7"/>
    <cellStyle name="_2005年工作底稿_3-2-Z17A-固定资产" xfId="8"/>
    <cellStyle name="_2005年工作底稿_Sheet1" xfId="9"/>
    <cellStyle name="_3-2-A22-无形资产" xfId="10"/>
    <cellStyle name="_3-2-A4-应收账款" xfId="11"/>
    <cellStyle name="_A17固定资产" xfId="12"/>
    <cellStyle name="_A23无形资产" xfId="13"/>
    <cellStyle name="_A3应收票据" xfId="14"/>
    <cellStyle name="_A6应收账款" xfId="15"/>
    <cellStyle name="_A6应收账款_3-2-A1B-银行存款" xfId="16"/>
    <cellStyle name="_A6应收账款_3-2-Z17A-固定资产" xfId="17"/>
    <cellStyle name="_A6应收账款_Sheet1" xfId="18"/>
    <cellStyle name="_B10其他未交款" xfId="19"/>
    <cellStyle name="_B13预收账款2005" xfId="20"/>
    <cellStyle name="_B6应付工资" xfId="21"/>
    <cellStyle name="_B7应付福利费" xfId="22"/>
    <cellStyle name="_B9应交税金2005" xfId="23"/>
    <cellStyle name="_D11营业外支出" xfId="24"/>
    <cellStyle name="_D12所得税2005" xfId="25"/>
    <cellStyle name="_D1主营业务收入" xfId="26"/>
    <cellStyle name="_D3主营业务税金及附加" xfId="27"/>
    <cellStyle name="_D4其他业务利润" xfId="28"/>
    <cellStyle name="_Sheet1" xfId="29"/>
    <cellStyle name="_封面" xfId="30"/>
    <cellStyle name="_公司填表" xfId="31"/>
    <cellStyle name="_公司填表-2005蔡" xfId="32"/>
    <cellStyle name="_公司填表-2005李志刚" xfId="33"/>
    <cellStyle name="_公司填表2005-吴" xfId="34"/>
    <cellStyle name="_公司填表2005-吴_3-2-A1B-银行存款" xfId="35"/>
    <cellStyle name="_公司填表2005-吴_3-2-Z17A-固定资产" xfId="36"/>
    <cellStyle name="_公司填表2005-吴_Sheet1" xfId="37"/>
    <cellStyle name="_公司填表2005-修改" xfId="38"/>
    <cellStyle name="_公司填表2005-修改_3-2-A1B-银行存款" xfId="39"/>
    <cellStyle name="_公司填表2005-修改_3-2-Z17A-固定资产" xfId="40"/>
    <cellStyle name="_公司填表2005-修改_Sheet1" xfId="41"/>
    <cellStyle name="_公司填表2005-修改后" xfId="42"/>
    <cellStyle name="_公司填表2005-修改后_3-2-A1B-银行存款" xfId="43"/>
    <cellStyle name="_公司填表2005-修改后_3-2-Z17A-固定资产" xfId="44"/>
    <cellStyle name="_公司填表2005-修改后_Sheet1" xfId="45"/>
    <cellStyle name="_公司填表-2005杨" xfId="46"/>
    <cellStyle name="_凭证抽查-05年" xfId="47"/>
    <cellStyle name="_应收账款账龄--04、05" xfId="48"/>
    <cellStyle name="_子公司填表" xfId="49"/>
    <cellStyle name="{Comma [0]}" xfId="50"/>
    <cellStyle name="{Comma}" xfId="51"/>
    <cellStyle name="{Date}" xfId="52"/>
    <cellStyle name="{Month}" xfId="53"/>
    <cellStyle name="{Percent}" xfId="54"/>
    <cellStyle name="{Thousand [0]}" xfId="55"/>
    <cellStyle name="{Thousand}" xfId="56"/>
    <cellStyle name="{Z'0000(1 dec)}" xfId="57"/>
    <cellStyle name="{Z'0000(4 dec)}" xfId="58"/>
    <cellStyle name="0%" xfId="59"/>
    <cellStyle name="0.0%" xfId="60"/>
    <cellStyle name="0.00%" xfId="61"/>
    <cellStyle name="00" xfId="62"/>
    <cellStyle name="AA FRAME" xfId="63"/>
    <cellStyle name="AA HEADING" xfId="64"/>
    <cellStyle name="AA INITIALS" xfId="65"/>
    <cellStyle name="AA INPUT" xfId="66"/>
    <cellStyle name="AA LOCK" xfId="67"/>
    <cellStyle name="AA MGR NAME" xfId="68"/>
    <cellStyle name="AA NORMAL" xfId="69"/>
    <cellStyle name="AA NUMBER" xfId="70"/>
    <cellStyle name="AA NUMBER2" xfId="71"/>
    <cellStyle name="AA QUESTION" xfId="72"/>
    <cellStyle name="AA SHADE" xfId="73"/>
    <cellStyle name="Accent1" xfId="74"/>
    <cellStyle name="Accent1 - 20%" xfId="75"/>
    <cellStyle name="Accent1 - 40%" xfId="76"/>
    <cellStyle name="Accent1 - 60%" xfId="77"/>
    <cellStyle name="Accent2" xfId="78"/>
    <cellStyle name="Accent2 - 20%" xfId="79"/>
    <cellStyle name="Accent2 - 40%" xfId="80"/>
    <cellStyle name="Accent2 - 60%" xfId="81"/>
    <cellStyle name="Accent3" xfId="82"/>
    <cellStyle name="Accent3 - 20%" xfId="83"/>
    <cellStyle name="Accent3 - 40%" xfId="84"/>
    <cellStyle name="Accent3 - 60%" xfId="85"/>
    <cellStyle name="Accent4" xfId="86"/>
    <cellStyle name="Accent4 - 20%" xfId="87"/>
    <cellStyle name="Accent4 - 40%" xfId="88"/>
    <cellStyle name="Accent4 - 60%" xfId="89"/>
    <cellStyle name="Accent5" xfId="90"/>
    <cellStyle name="Accent5 - 20%" xfId="91"/>
    <cellStyle name="Accent5 - 40%" xfId="92"/>
    <cellStyle name="Accent5 - 60%" xfId="93"/>
    <cellStyle name="Accent6" xfId="94"/>
    <cellStyle name="Accent6 - 20%" xfId="95"/>
    <cellStyle name="Accent6 - 40%" xfId="96"/>
    <cellStyle name="Accent6 - 60%" xfId="97"/>
    <cellStyle name="args.style" xfId="98"/>
    <cellStyle name="Black" xfId="99"/>
    <cellStyle name="Border" xfId="100"/>
    <cellStyle name="Calc Currency (0)" xfId="101"/>
    <cellStyle name="Calc Currency (2)" xfId="102"/>
    <cellStyle name="Calc Percent (0)" xfId="103"/>
    <cellStyle name="Calc Percent (1)" xfId="104"/>
    <cellStyle name="Calc Percent (2)" xfId="105"/>
    <cellStyle name="Calc Units (0)" xfId="106"/>
    <cellStyle name="Calc Units (1)" xfId="107"/>
    <cellStyle name="Calc Units (2)" xfId="108"/>
    <cellStyle name="category" xfId="109"/>
    <cellStyle name="Col Heads" xfId="110"/>
    <cellStyle name="Column_Title" xfId="111"/>
    <cellStyle name="Comma  - Style1" xfId="112"/>
    <cellStyle name="Comma  - Style2" xfId="113"/>
    <cellStyle name="Comma  - Style3" xfId="114"/>
    <cellStyle name="Comma  - Style4" xfId="115"/>
    <cellStyle name="Comma  - Style5" xfId="116"/>
    <cellStyle name="Comma  - Style6" xfId="117"/>
    <cellStyle name="Comma  - Style7" xfId="118"/>
    <cellStyle name="Comma  - Style8" xfId="119"/>
    <cellStyle name="Comma [0]" xfId="120"/>
    <cellStyle name="Comma [00]" xfId="121"/>
    <cellStyle name="comma zerodec" xfId="122"/>
    <cellStyle name="Comma,0" xfId="123"/>
    <cellStyle name="Comma,1" xfId="124"/>
    <cellStyle name="Comma,2" xfId="125"/>
    <cellStyle name="Comma_ SG&amp;A Bridge " xfId="126"/>
    <cellStyle name="Copied" xfId="127"/>
    <cellStyle name="COST1" xfId="128"/>
    <cellStyle name="Currency [0]" xfId="129"/>
    <cellStyle name="Currency [00]" xfId="130"/>
    <cellStyle name="Currency,0" xfId="131"/>
    <cellStyle name="Currency,2" xfId="132"/>
    <cellStyle name="Currency_ SG&amp;A Bridge " xfId="133"/>
    <cellStyle name="Currency1" xfId="134"/>
    <cellStyle name="Date" xfId="135"/>
    <cellStyle name="Date Short" xfId="136"/>
    <cellStyle name="Date_ A1-货币资金审定表" xfId="137"/>
    <cellStyle name="Dezimal [0]_laroux" xfId="138"/>
    <cellStyle name="Dezimal_laroux" xfId="139"/>
    <cellStyle name="Dollar (zero dec)" xfId="140"/>
    <cellStyle name="Enter Currency (0)" xfId="141"/>
    <cellStyle name="Enter Currency (2)" xfId="142"/>
    <cellStyle name="Enter Units (0)" xfId="143"/>
    <cellStyle name="Enter Units (1)" xfId="144"/>
    <cellStyle name="Enter Units (2)" xfId="145"/>
    <cellStyle name="Entered" xfId="146"/>
    <cellStyle name="entry" xfId="147"/>
    <cellStyle name="entry box" xfId="148"/>
    <cellStyle name="Euro" xfId="149"/>
    <cellStyle name="F2" xfId="150"/>
    <cellStyle name="F3" xfId="151"/>
    <cellStyle name="F4" xfId="152"/>
    <cellStyle name="F5" xfId="153"/>
    <cellStyle name="F6" xfId="154"/>
    <cellStyle name="F7" xfId="155"/>
    <cellStyle name="F8" xfId="156"/>
    <cellStyle name="Fixed" xfId="157"/>
    <cellStyle name="Followed Hyperlink_AheadBehind.xls Chart 23" xfId="158"/>
    <cellStyle name="Grey" xfId="159"/>
    <cellStyle name="HEADER" xfId="160"/>
    <cellStyle name="Header1" xfId="161"/>
    <cellStyle name="Header2" xfId="162"/>
    <cellStyle name="Heading1" xfId="163"/>
    <cellStyle name="Heading2" xfId="164"/>
    <cellStyle name="Hyperlink_AheadBehind.xls Chart 23" xfId="165"/>
    <cellStyle name="Input [yellow]" xfId="166"/>
    <cellStyle name="Input Cells" xfId="167"/>
    <cellStyle name="Link Currency (0)" xfId="168"/>
    <cellStyle name="Link Currency (2)" xfId="169"/>
    <cellStyle name="Link Units (0)" xfId="170"/>
    <cellStyle name="Link Units (1)" xfId="171"/>
    <cellStyle name="Link Units (2)" xfId="172"/>
    <cellStyle name="Linked Cells" xfId="173"/>
    <cellStyle name="Milliers [0]_!!!GO" xfId="174"/>
    <cellStyle name="Milliers_!!!GO" xfId="175"/>
    <cellStyle name="Model" xfId="176"/>
    <cellStyle name="Monétaire [0]_!!!GO" xfId="177"/>
    <cellStyle name="Monétaire_!!!GO" xfId="178"/>
    <cellStyle name="Non défini" xfId="179"/>
    <cellStyle name="Normal - Style1" xfId="180"/>
    <cellStyle name="Normal_ SG&amp;A Bridge " xfId="181"/>
    <cellStyle name="Normalny_Arkusz1" xfId="182"/>
    <cellStyle name="Œ…‹æØ‚è [0.00]_Region Orders (2)" xfId="183"/>
    <cellStyle name="Œ…‹æØ‚è_Region Orders (2)" xfId="184"/>
    <cellStyle name="per.style" xfId="185"/>
    <cellStyle name="Percent [0]" xfId="186"/>
    <cellStyle name="Percent [00]" xfId="187"/>
    <cellStyle name="Percent [2]" xfId="188"/>
    <cellStyle name="Percent_!!!GO" xfId="189"/>
    <cellStyle name="Pourcentage_pldt" xfId="190"/>
    <cellStyle name="Prefilled" xfId="191"/>
    <cellStyle name="PrePop Currency (0)" xfId="192"/>
    <cellStyle name="PrePop Currency (2)" xfId="193"/>
    <cellStyle name="PrePop Units (0)" xfId="194"/>
    <cellStyle name="PrePop Units (1)" xfId="195"/>
    <cellStyle name="PrePop Units (2)" xfId="196"/>
    <cellStyle name="price" xfId="197"/>
    <cellStyle name="pricing" xfId="198"/>
    <cellStyle name="PSChar" xfId="199"/>
    <cellStyle name="PSHeading" xfId="200"/>
    <cellStyle name="Red" xfId="201"/>
    <cellStyle name="revised" xfId="202"/>
    <cellStyle name="RevList" xfId="203"/>
    <cellStyle name="row_def_array" xfId="204"/>
    <cellStyle name="SAPBEXaggData" xfId="205"/>
    <cellStyle name="SAPBEXaggDataEmph" xfId="206"/>
    <cellStyle name="SAPBEXaggItem" xfId="207"/>
    <cellStyle name="SAPBEXaggItemX" xfId="208"/>
    <cellStyle name="SAPBEXchaText" xfId="209"/>
    <cellStyle name="SAPBEXexcBad7" xfId="210"/>
    <cellStyle name="SAPBEXexcBad8" xfId="211"/>
    <cellStyle name="SAPBEXexcBad9" xfId="212"/>
    <cellStyle name="SAPBEXexcCritical4" xfId="213"/>
    <cellStyle name="SAPBEXexcCritical5" xfId="214"/>
    <cellStyle name="SAPBEXexcCritical6" xfId="215"/>
    <cellStyle name="SAPBEXexcGood1" xfId="216"/>
    <cellStyle name="SAPBEXexcGood2" xfId="217"/>
    <cellStyle name="SAPBEXexcGood3" xfId="218"/>
    <cellStyle name="SAPBEXfilterDrill" xfId="219"/>
    <cellStyle name="SAPBEXfilterItem" xfId="220"/>
    <cellStyle name="SAPBEXfilterText" xfId="221"/>
    <cellStyle name="SAPBEXformats" xfId="222"/>
    <cellStyle name="SAPBEXheaderItem" xfId="223"/>
    <cellStyle name="SAPBEXheaderText" xfId="224"/>
    <cellStyle name="SAPBEXHLevel0" xfId="225"/>
    <cellStyle name="SAPBEXHLevel0X" xfId="226"/>
    <cellStyle name="SAPBEXHLevel1" xfId="227"/>
    <cellStyle name="SAPBEXHLevel1X" xfId="228"/>
    <cellStyle name="SAPBEXHLevel2" xfId="229"/>
    <cellStyle name="SAPBEXHLevel2X" xfId="230"/>
    <cellStyle name="SAPBEXHLevel3" xfId="231"/>
    <cellStyle name="SAPBEXHLevel3X" xfId="232"/>
    <cellStyle name="SAPBEXresData" xfId="233"/>
    <cellStyle name="SAPBEXresDataEmph" xfId="234"/>
    <cellStyle name="SAPBEXresItem" xfId="235"/>
    <cellStyle name="SAPBEXresItemX" xfId="236"/>
    <cellStyle name="SAPBEXstdData" xfId="237"/>
    <cellStyle name="SAPBEXstdDataEmph" xfId="238"/>
    <cellStyle name="SAPBEXstdItem" xfId="239"/>
    <cellStyle name="SAPBEXstdItemX" xfId="240"/>
    <cellStyle name="SAPBEXtitle" xfId="241"/>
    <cellStyle name="SAPBEXundefined" xfId="242"/>
    <cellStyle name="section" xfId="243"/>
    <cellStyle name="SOR" xfId="244"/>
    <cellStyle name="Standard_AREAS" xfId="245"/>
    <cellStyle name="subhead" xfId="246"/>
    <cellStyle name="Subtotal" xfId="247"/>
    <cellStyle name="Text Indent A" xfId="248"/>
    <cellStyle name="Text Indent B" xfId="249"/>
    <cellStyle name="Text Indent C" xfId="250"/>
    <cellStyle name="title" xfId="251"/>
    <cellStyle name="Total" xfId="252"/>
    <cellStyle name="Tusental (0)_pldt" xfId="253"/>
    <cellStyle name="Tusental_pldt" xfId="254"/>
    <cellStyle name="Valuta (0)_pldt" xfId="255"/>
    <cellStyle name="Valuta_pldt" xfId="256"/>
    <cellStyle name="パーセント_laroux" xfId="257"/>
    <cellStyle name="_PLDT" xfId="258"/>
    <cellStyle name="_laroux" xfId="259"/>
    <cellStyle name="だ[0]_PLDT" xfId="260"/>
    <cellStyle name="だ_PLDT" xfId="261"/>
    <cellStyle name="だ[0]_Total (2)" xfId="262"/>
    <cellStyle name="だ_laroux" xfId="263"/>
    <cellStyle name="百分比" xfId="2" builtinId="5"/>
    <cellStyle name="百分比 2" xfId="264"/>
    <cellStyle name="百分比 3" xfId="265"/>
    <cellStyle name="捠壿 [0.00]_PRODUCT DETAIL Q1" xfId="266"/>
    <cellStyle name="捠壿_PRODUCT DETAIL Q1" xfId="267"/>
    <cellStyle name="標準_１１月価格表" xfId="268"/>
    <cellStyle name="表标题" xfId="269"/>
    <cellStyle name="差_10存货" xfId="270"/>
    <cellStyle name="差_19-无形资产（空白模板）" xfId="271"/>
    <cellStyle name="差_2-交易性金融资产（空白模板）" xfId="272"/>
    <cellStyle name="差_2应收账款" xfId="273"/>
    <cellStyle name="差_3-2 进一步审计程序-采购与付款循环" xfId="274"/>
    <cellStyle name="差_3-3 进一步审计程序-存货与生产循环" xfId="275"/>
    <cellStyle name="差_37-长期借款（空白模板）" xfId="276"/>
    <cellStyle name="差_49-营业收入（空白模板）" xfId="277"/>
    <cellStyle name="差_4-应收账款（空白模板）" xfId="278"/>
    <cellStyle name="差_50-营业成本（空白模板）" xfId="279"/>
    <cellStyle name="差_51-营业税金及附加（空白模板）" xfId="280"/>
    <cellStyle name="差_54-财务费用（空白模板）" xfId="281"/>
    <cellStyle name="差_55-资产减值损失（空白模板）" xfId="282"/>
    <cellStyle name="差_9管理费用" xfId="283"/>
    <cellStyle name="差_Book2" xfId="284"/>
    <cellStyle name="差_dxn底稿目录" xfId="285"/>
    <cellStyle name="差_Sheet1" xfId="286"/>
    <cellStyle name="差_Z14-长期应收款（函证汇总表样本）" xfId="287"/>
    <cellStyle name="差_ZA0货币资金审定表 " xfId="288"/>
    <cellStyle name="差_财务费用" xfId="289"/>
    <cellStyle name="差_程序表模版" xfId="290"/>
    <cellStyle name="差_存货" xfId="291"/>
    <cellStyle name="差_大信底稿目录" xfId="292"/>
    <cellStyle name="差_底稿设置宏" xfId="293"/>
    <cellStyle name="差_管理费用" xfId="294"/>
    <cellStyle name="差_货币资金" xfId="295"/>
    <cellStyle name="差_货币资金 天职" xfId="296"/>
    <cellStyle name="差_货币资金 岳华" xfId="297"/>
    <cellStyle name="差_其他应付款" xfId="298"/>
    <cellStyle name="差_其他应付款—YH" xfId="299"/>
    <cellStyle name="差_未分配利润" xfId="300"/>
    <cellStyle name="差_无形资产" xfId="301"/>
    <cellStyle name="差_应付账款" xfId="302"/>
    <cellStyle name="差_应付职工薪酬" xfId="303"/>
    <cellStyle name="差_应收账款" xfId="304"/>
    <cellStyle name="差_盈余公积" xfId="305"/>
    <cellStyle name="差_长期应付款" xfId="306"/>
    <cellStyle name="差_账项明细表" xfId="307"/>
    <cellStyle name="差_资本公积" xfId="308"/>
    <cellStyle name="差_资产负债标准底稿" xfId="309"/>
    <cellStyle name="差_资产负债类底稿模版" xfId="310"/>
    <cellStyle name="常规" xfId="0" builtinId="0"/>
    <cellStyle name="常规 11 5" xfId="452"/>
    <cellStyle name="常规 13" xfId="311"/>
    <cellStyle name="常规 2" xfId="312"/>
    <cellStyle name="常规 2 2" xfId="313"/>
    <cellStyle name="常规 2 2 2" xfId="314"/>
    <cellStyle name="常规 2 2 3" xfId="315"/>
    <cellStyle name="常规 2 2 4" xfId="316"/>
    <cellStyle name="常规 2 3" xfId="317"/>
    <cellStyle name="常规 2 3 2" xfId="318"/>
    <cellStyle name="常规 2 4" xfId="319"/>
    <cellStyle name="常规 2 8" xfId="320"/>
    <cellStyle name="常规 2 8 2" xfId="321"/>
    <cellStyle name="常规 2_10存货" xfId="322"/>
    <cellStyle name="常规 3" xfId="323"/>
    <cellStyle name="常规 3 2" xfId="324"/>
    <cellStyle name="常规 3 3" xfId="325"/>
    <cellStyle name="常规 3_10存货" xfId="326"/>
    <cellStyle name="常规 4" xfId="327"/>
    <cellStyle name="常规 4 2" xfId="328"/>
    <cellStyle name="常规 5" xfId="329"/>
    <cellStyle name="常规 6" xfId="330"/>
    <cellStyle name="常规 6 2" xfId="331"/>
    <cellStyle name="常规 6 3" xfId="332"/>
    <cellStyle name="常规 7" xfId="333"/>
    <cellStyle name="常规 7 2" xfId="334"/>
    <cellStyle name="常规 7 3" xfId="335"/>
    <cellStyle name="常规 8" xfId="336"/>
    <cellStyle name="常规 9" xfId="337"/>
    <cellStyle name="常规 9 2" xfId="338"/>
    <cellStyle name="常规_2-1项目审定表－模板" xfId="339"/>
    <cellStyle name="常规_Book1" xfId="340"/>
    <cellStyle name="常规_Book1 2" xfId="341"/>
    <cellStyle name="常规_c-资产类" xfId="342"/>
    <cellStyle name="常规_c-资产类 2" xfId="343"/>
    <cellStyle name="常规_sheet" xfId="344"/>
    <cellStyle name="常规_进一步审计程序--销售与收款循环" xfId="345"/>
    <cellStyle name="常规_新审定表" xfId="346"/>
    <cellStyle name="常规_新审定表 2" xfId="347"/>
    <cellStyle name="常规_长期应收款、长期应付款" xfId="348"/>
    <cellStyle name="常规_制造费用" xfId="349"/>
    <cellStyle name="超级链接_A4应收账款" xfId="350"/>
    <cellStyle name="超链接" xfId="3" builtinId="8"/>
    <cellStyle name="超链接 2" xfId="351"/>
    <cellStyle name="超链接 3" xfId="352"/>
    <cellStyle name="好_10存货" xfId="353"/>
    <cellStyle name="好_19-无形资产（空白模板）" xfId="354"/>
    <cellStyle name="好_1财务费用" xfId="355"/>
    <cellStyle name="好_1营业收入" xfId="356"/>
    <cellStyle name="好_1资产减值损失" xfId="357"/>
    <cellStyle name="好_2-交易性金融资产（空白模板）" xfId="358"/>
    <cellStyle name="好_2应收账款" xfId="359"/>
    <cellStyle name="好_3-2 进一步审计程序-采购与付款循环" xfId="360"/>
    <cellStyle name="好_3-3 进一步审计程序-存货与生产循环" xfId="361"/>
    <cellStyle name="好_37-长期借款（空白模板）" xfId="362"/>
    <cellStyle name="好_49-营业收入（空白模板）" xfId="363"/>
    <cellStyle name="好_4-应收账款（空白模板）" xfId="364"/>
    <cellStyle name="好_50-营业成本（空白模板）" xfId="365"/>
    <cellStyle name="好_51-营业税金及附加（空白模板）" xfId="366"/>
    <cellStyle name="好_54-财务费用（空白模板）" xfId="367"/>
    <cellStyle name="好_55-资产减值损失（空白模板）" xfId="368"/>
    <cellStyle name="好_9管理费用" xfId="369"/>
    <cellStyle name="好_Book2" xfId="370"/>
    <cellStyle name="好_Sheet1" xfId="371"/>
    <cellStyle name="好_Z14-长期应收款（函证汇总表样本）" xfId="372"/>
    <cellStyle name="好_ZA0货币资金审定表 " xfId="373"/>
    <cellStyle name="好_财务费用" xfId="374"/>
    <cellStyle name="好_程序表模版" xfId="375"/>
    <cellStyle name="好_存货" xfId="376"/>
    <cellStyle name="好_存货 - 复制" xfId="377"/>
    <cellStyle name="好_大信底稿目录" xfId="378"/>
    <cellStyle name="好_底稿设置宏" xfId="379"/>
    <cellStyle name="好_底稿设置宏_大信底稿目录" xfId="380"/>
    <cellStyle name="好_管理费用" xfId="381"/>
    <cellStyle name="好_货币资金" xfId="382"/>
    <cellStyle name="好_货币资金 天职" xfId="383"/>
    <cellStyle name="好_货币资金 岳华" xfId="384"/>
    <cellStyle name="好_其他应付款" xfId="385"/>
    <cellStyle name="好_其他应付款—YH" xfId="386"/>
    <cellStyle name="好_其他应收款" xfId="387"/>
    <cellStyle name="好_实收资本(股本)" xfId="388"/>
    <cellStyle name="好_未分配利润" xfId="389"/>
    <cellStyle name="好_无形资产" xfId="390"/>
    <cellStyle name="好_银行函证结果汇总表" xfId="391"/>
    <cellStyle name="好_应付债券" xfId="392"/>
    <cellStyle name="好_应付账款" xfId="393"/>
    <cellStyle name="好_应付职工薪酬" xfId="394"/>
    <cellStyle name="好_应收利息" xfId="395"/>
    <cellStyle name="好_应收账款" xfId="396"/>
    <cellStyle name="好_盈余公积" xfId="397"/>
    <cellStyle name="好_营业收入" xfId="398"/>
    <cellStyle name="好_预收款项" xfId="399"/>
    <cellStyle name="好_长期借款—TZ" xfId="400"/>
    <cellStyle name="好_长期应付款" xfId="401"/>
    <cellStyle name="好_账项明细表" xfId="402"/>
    <cellStyle name="好_资本公积" xfId="403"/>
    <cellStyle name="好_资产负债标准底稿" xfId="404"/>
    <cellStyle name="好_资产负债标准底稿_大信底稿目录" xfId="405"/>
    <cellStyle name="好_资产负债类底稿模版" xfId="406"/>
    <cellStyle name="好_资产负债类底稿模版_大信底稿目录" xfId="407"/>
    <cellStyle name="好_资产减值损失" xfId="408"/>
    <cellStyle name="桁区切り [0.00]_１１月価格表" xfId="409"/>
    <cellStyle name="桁区切り_１１月価格表" xfId="410"/>
    <cellStyle name="貨幣 [0]_SGV" xfId="411"/>
    <cellStyle name="貨幣_SGV" xfId="412"/>
    <cellStyle name="霓付 [0]_1202" xfId="413"/>
    <cellStyle name="霓付_1202" xfId="414"/>
    <cellStyle name="妞" xfId="415"/>
    <cellStyle name="欧" xfId="416"/>
    <cellStyle name="烹拳 [0]_1202" xfId="417"/>
    <cellStyle name="烹拳_1202" xfId="418"/>
    <cellStyle name="砯刽 [0]_PLDT" xfId="419"/>
    <cellStyle name="砯刽_PLDT" xfId="420"/>
    <cellStyle name="普通_ 白土" xfId="421"/>
    <cellStyle name="千分位[0]_ 白土" xfId="422"/>
    <cellStyle name="千分位_ 白土" xfId="423"/>
    <cellStyle name="千位[0]_1995" xfId="424"/>
    <cellStyle name="千位_1995" xfId="425"/>
    <cellStyle name="千位分隔" xfId="1" builtinId="3"/>
    <cellStyle name="千位分隔 2" xfId="426"/>
    <cellStyle name="千位分隔 2 2" xfId="427"/>
    <cellStyle name="千位分隔 2 3" xfId="428"/>
    <cellStyle name="千位分隔 3" xfId="429"/>
    <cellStyle name="千位分隔 3 2" xfId="430"/>
    <cellStyle name="千位分隔 4" xfId="431"/>
    <cellStyle name="千位分隔 5" xfId="432"/>
    <cellStyle name="千位分隔 6" xfId="433"/>
    <cellStyle name="千位分隔[0] 2" xfId="434"/>
    <cellStyle name="钎霖_(沥焊何巩)岿喊牢盔拌裙" xfId="435"/>
    <cellStyle name="强调 1" xfId="436"/>
    <cellStyle name="强调 2" xfId="437"/>
    <cellStyle name="强调 3" xfId="438"/>
    <cellStyle name="通貨 [0.00]_１１月価格表" xfId="439"/>
    <cellStyle name="通貨_１１月価格表" xfId="440"/>
    <cellStyle name="样式 1" xfId="441"/>
    <cellStyle name="一般_SGV" xfId="442"/>
    <cellStyle name="昗弨_BOOKSHIP" xfId="443"/>
    <cellStyle name="寘嬫愗傝 [0.00]_PRODUCT DETAIL Q1" xfId="444"/>
    <cellStyle name="寘嬫愗傝_PRODUCT DETAIL Q1" xfId="445"/>
    <cellStyle name="资产" xfId="446"/>
    <cellStyle name="콤마 [0]_BOILER-CO1" xfId="447"/>
    <cellStyle name="콤마_BOILER-CO1" xfId="448"/>
    <cellStyle name="통화 [0]_BOILER-CO1" xfId="449"/>
    <cellStyle name="통화_BOILER-CO1" xfId="450"/>
    <cellStyle name="표준_0N-HANDLING " xfId="451"/>
  </cellStyles>
  <dxfs count="0"/>
  <tableStyles count="0" defaultTableStyle="TableStyleMedium9" defaultPivotStyle="PivotStyleLight16"/>
  <colors>
    <mruColors>
      <color rgb="FF0000FF"/>
      <color rgb="FF0000E1"/>
      <color rgb="FFFFFF99"/>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23</xdr:row>
      <xdr:rowOff>0</xdr:rowOff>
    </xdr:from>
    <xdr:to>
      <xdr:col>3</xdr:col>
      <xdr:colOff>85725</xdr:colOff>
      <xdr:row>23</xdr:row>
      <xdr:rowOff>219075</xdr:rowOff>
    </xdr:to>
    <xdr:sp macro="" textlink="">
      <xdr:nvSpPr>
        <xdr:cNvPr id="2" name="Text Box 1"/>
        <xdr:cNvSpPr txBox="1">
          <a:spLocks noChangeArrowheads="1"/>
        </xdr:cNvSpPr>
      </xdr:nvSpPr>
      <xdr:spPr>
        <a:xfrm>
          <a:off x="2867025" y="6096000"/>
          <a:ext cx="76200" cy="219075"/>
        </a:xfrm>
        <a:prstGeom prst="rect">
          <a:avLst/>
        </a:prstGeom>
        <a:noFill/>
        <a:ln w="9525">
          <a:no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9"/>
  <sheetViews>
    <sheetView tabSelected="1" workbookViewId="0"/>
  </sheetViews>
  <sheetFormatPr defaultColWidth="8.796875" defaultRowHeight="19.95" customHeight="1"/>
  <cols>
    <col min="1" max="1" width="77.59765625" style="228" customWidth="1"/>
    <col min="2" max="2" width="2" style="228" customWidth="1"/>
    <col min="3" max="3" width="2.09765625" style="228" customWidth="1"/>
    <col min="4" max="4" width="6.09765625" style="228" customWidth="1"/>
    <col min="5" max="5" width="33.296875" style="228" customWidth="1"/>
    <col min="6" max="6" width="11" style="228" customWidth="1"/>
  </cols>
  <sheetData>
    <row r="1" spans="1:7" s="227" customFormat="1" ht="19.95" customHeight="1">
      <c r="A1" s="229" t="s">
        <v>0</v>
      </c>
      <c r="B1" s="230"/>
      <c r="C1" s="230"/>
      <c r="D1" s="231"/>
      <c r="E1" s="231"/>
      <c r="F1" s="231"/>
    </row>
    <row r="2" spans="1:7" ht="19.95" customHeight="1">
      <c r="A2" s="232" t="s">
        <v>1</v>
      </c>
      <c r="B2" s="233"/>
      <c r="C2" s="233"/>
      <c r="D2" s="234" t="s">
        <v>2</v>
      </c>
      <c r="E2" s="234" t="s">
        <v>3</v>
      </c>
      <c r="F2" s="234" t="s">
        <v>4</v>
      </c>
      <c r="G2" s="235"/>
    </row>
    <row r="3" spans="1:7" ht="19.95" customHeight="1">
      <c r="A3" s="252" t="s">
        <v>283</v>
      </c>
      <c r="B3" s="233"/>
      <c r="C3" s="233"/>
      <c r="D3" s="236">
        <v>1</v>
      </c>
      <c r="E3" s="237" t="s">
        <v>5</v>
      </c>
      <c r="F3" s="238" t="s">
        <v>6</v>
      </c>
      <c r="G3" s="235"/>
    </row>
    <row r="4" spans="1:7" ht="19.95" customHeight="1">
      <c r="A4" s="239" t="s">
        <v>7</v>
      </c>
      <c r="B4" s="233"/>
      <c r="D4" s="236">
        <v>2</v>
      </c>
      <c r="E4" s="237" t="s">
        <v>8</v>
      </c>
      <c r="F4" s="238" t="s">
        <v>9</v>
      </c>
      <c r="G4" s="240"/>
    </row>
    <row r="5" spans="1:7" ht="19.95" customHeight="1">
      <c r="A5" s="239" t="s">
        <v>10</v>
      </c>
      <c r="D5" s="236">
        <v>3</v>
      </c>
      <c r="E5" s="237" t="s">
        <v>11</v>
      </c>
      <c r="F5" s="238"/>
      <c r="G5" s="227" t="s">
        <v>12</v>
      </c>
    </row>
    <row r="6" spans="1:7" ht="19.95" customHeight="1">
      <c r="A6" s="239" t="s">
        <v>13</v>
      </c>
      <c r="D6" s="236">
        <v>4</v>
      </c>
      <c r="E6" s="237" t="s">
        <v>14</v>
      </c>
      <c r="F6" s="238"/>
      <c r="G6" s="227" t="s">
        <v>12</v>
      </c>
    </row>
    <row r="7" spans="1:7" ht="19.95" customHeight="1">
      <c r="A7" s="239" t="s">
        <v>15</v>
      </c>
      <c r="D7" s="236">
        <v>5</v>
      </c>
      <c r="E7" s="237" t="s">
        <v>16</v>
      </c>
      <c r="F7" s="238" t="s">
        <v>17</v>
      </c>
    </row>
    <row r="8" spans="1:7" ht="19.95" customHeight="1">
      <c r="A8" s="241"/>
      <c r="D8" s="236">
        <v>6</v>
      </c>
      <c r="E8" s="237" t="s">
        <v>18</v>
      </c>
      <c r="F8" s="238" t="s">
        <v>19</v>
      </c>
    </row>
    <row r="9" spans="1:7" ht="19.95" customHeight="1">
      <c r="A9" s="253" t="s">
        <v>284</v>
      </c>
      <c r="D9" s="236">
        <v>7</v>
      </c>
      <c r="E9" s="242" t="s">
        <v>20</v>
      </c>
      <c r="F9" s="238" t="s">
        <v>21</v>
      </c>
    </row>
    <row r="10" spans="1:7" ht="19.95" customHeight="1">
      <c r="A10" s="295" t="s">
        <v>285</v>
      </c>
      <c r="D10" s="236">
        <v>8</v>
      </c>
      <c r="E10" s="237" t="s">
        <v>22</v>
      </c>
      <c r="F10" s="238" t="s">
        <v>23</v>
      </c>
    </row>
    <row r="11" spans="1:7" ht="19.95" customHeight="1">
      <c r="A11" s="295"/>
      <c r="D11" s="236">
        <v>9</v>
      </c>
      <c r="E11" s="294" t="s">
        <v>307</v>
      </c>
      <c r="F11" s="238" t="s">
        <v>308</v>
      </c>
    </row>
    <row r="12" spans="1:7" ht="19.95" customHeight="1">
      <c r="A12" s="295"/>
      <c r="D12" s="236">
        <v>10</v>
      </c>
      <c r="E12" s="294" t="s">
        <v>309</v>
      </c>
      <c r="F12" s="238" t="s">
        <v>310</v>
      </c>
    </row>
    <row r="13" spans="1:7" ht="19.95" customHeight="1">
      <c r="A13" s="295"/>
      <c r="D13" s="236">
        <v>11</v>
      </c>
      <c r="E13" s="294" t="s">
        <v>311</v>
      </c>
      <c r="F13" s="238" t="s">
        <v>312</v>
      </c>
    </row>
    <row r="14" spans="1:7" ht="19.95" customHeight="1">
      <c r="A14" s="295" t="s">
        <v>286</v>
      </c>
      <c r="D14" s="236">
        <v>12</v>
      </c>
      <c r="E14" s="294" t="s">
        <v>313</v>
      </c>
      <c r="F14" s="238" t="s">
        <v>314</v>
      </c>
    </row>
    <row r="15" spans="1:7" ht="19.95" customHeight="1">
      <c r="A15" s="295"/>
      <c r="D15" s="236">
        <v>13</v>
      </c>
      <c r="E15" s="294" t="s">
        <v>315</v>
      </c>
      <c r="F15" s="238" t="s">
        <v>316</v>
      </c>
    </row>
    <row r="16" spans="1:7" ht="19.95" customHeight="1">
      <c r="A16" s="295"/>
      <c r="D16" s="236">
        <v>14</v>
      </c>
      <c r="E16" s="294" t="s">
        <v>317</v>
      </c>
      <c r="F16" s="238" t="s">
        <v>318</v>
      </c>
    </row>
    <row r="17" spans="1:6" ht="19.95" customHeight="1">
      <c r="A17" s="296" t="s">
        <v>287</v>
      </c>
      <c r="D17" s="236">
        <v>15</v>
      </c>
      <c r="E17" s="294" t="s">
        <v>319</v>
      </c>
      <c r="F17" s="238" t="s">
        <v>320</v>
      </c>
    </row>
    <row r="18" spans="1:6" ht="19.95" customHeight="1">
      <c r="A18" s="296"/>
      <c r="D18" s="236">
        <v>16</v>
      </c>
      <c r="E18" s="237" t="str">
        <f>'关联方及交易检查表L5-6'!A2</f>
        <v>关联方及交易检查表</v>
      </c>
      <c r="F18" s="238" t="s">
        <v>24</v>
      </c>
    </row>
    <row r="19" spans="1:6" ht="19.95" customHeight="1">
      <c r="A19" s="296"/>
      <c r="D19" s="236">
        <v>17</v>
      </c>
      <c r="E19" s="243" t="s">
        <v>25</v>
      </c>
      <c r="F19" s="238" t="s">
        <v>26</v>
      </c>
    </row>
  </sheetData>
  <mergeCells count="3">
    <mergeCell ref="A10:A13"/>
    <mergeCell ref="A14:A16"/>
    <mergeCell ref="A17:A19"/>
  </mergeCells>
  <phoneticPr fontId="126" type="noConversion"/>
  <hyperlinks>
    <hyperlink ref="E4" location="审定表L5!A1" display="审定表"/>
    <hyperlink ref="E5" location="'附注披露信息（上市公司）'!A1" display="附注披露信息（上市公司）"/>
    <hyperlink ref="E7" location="'明细表L5-2'!A1" display="明细表"/>
    <hyperlink ref="E19" location="'长期应付款检查表L5-7'!A1" display="长期应付款检查表"/>
    <hyperlink ref="E6" location="'附注披露信息（国企）'!A1" display="附注披露信息（国企）"/>
    <hyperlink ref="E18" location="'关联方及交易检查表L5-6'!A1" display="='关联方及交易检查表L5-6'!A2"/>
    <hyperlink ref="E10" location="'未确认融资费用测算表L5-5'!A1" display="未确认融资费用测算表"/>
    <hyperlink ref="E8" location="'未确认融资费用明细表L5-3'!A1" display="明细表（未确认融资费用）"/>
    <hyperlink ref="E3" location="长期应付款实质性程序表L5A!A1" display="长期应付款实质性程序表"/>
    <hyperlink ref="E9" location="'调整分录汇总L5-4'!A1" display="调整分录汇总"/>
    <hyperlink ref="F11" location="'函证结果汇总表F0-1'!A1" display="L0-1"/>
    <hyperlink ref="F12" location="'核实被函证单位信息F0-2'!A1" display="L0-2"/>
    <hyperlink ref="F13" location="'跟函函证过程控制F0-3'!A1" display="L0-3"/>
    <hyperlink ref="F14" location="'函证差异调节表F0-4'!A1" display="L0-4"/>
    <hyperlink ref="F15" location="'预付及采购替代程序F0-5'!A1" display="L0-5"/>
    <hyperlink ref="F16" location="'跟函函证过程控制F0-3'!A1" display="L0-6"/>
    <hyperlink ref="F17" location="'函证差异调节表F0-4'!A1" display="L0-7"/>
  </hyperlinks>
  <pageMargins left="0.70866141732283505" right="0.70866141732283505" top="0.74803149606299202" bottom="0.74803149606299202" header="0.31496062992126" footer="0.31496062992126"/>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S27"/>
  <sheetViews>
    <sheetView view="pageBreakPreview" zoomScaleNormal="100" workbookViewId="0">
      <selection sqref="A1:I1"/>
    </sheetView>
  </sheetViews>
  <sheetFormatPr defaultColWidth="9" defaultRowHeight="13.8"/>
  <cols>
    <col min="1" max="1" width="4.296875" style="191" customWidth="1"/>
    <col min="2" max="2" width="63.59765625" style="191" customWidth="1"/>
    <col min="3" max="3" width="10.3984375" style="191" customWidth="1"/>
    <col min="4" max="4" width="5.69921875" style="191" customWidth="1"/>
    <col min="5" max="5" width="6.5" style="191" customWidth="1"/>
    <col min="6" max="6" width="6" style="191" customWidth="1"/>
    <col min="7" max="7" width="7.296875" style="191" customWidth="1"/>
    <col min="8" max="8" width="5.19921875" style="191" customWidth="1"/>
    <col min="9" max="9" width="7.09765625" style="191" customWidth="1"/>
    <col min="10" max="16384" width="9" style="191"/>
  </cols>
  <sheetData>
    <row r="1" spans="1:10" ht="19.95" customHeight="1">
      <c r="A1" s="310" t="s">
        <v>42</v>
      </c>
      <c r="B1" s="310"/>
      <c r="C1" s="310"/>
      <c r="D1" s="310"/>
      <c r="E1" s="310"/>
      <c r="F1" s="310"/>
      <c r="G1" s="310"/>
      <c r="H1" s="310"/>
      <c r="I1" s="310"/>
    </row>
    <row r="2" spans="1:10" ht="19.95" customHeight="1">
      <c r="A2" s="311" t="s">
        <v>43</v>
      </c>
      <c r="B2" s="311"/>
      <c r="C2" s="311"/>
      <c r="D2" s="311"/>
      <c r="E2" s="311"/>
      <c r="F2" s="311"/>
      <c r="G2" s="311"/>
      <c r="H2" s="311"/>
      <c r="I2" s="311"/>
    </row>
    <row r="3" spans="1:10" ht="19.95" customHeight="1">
      <c r="A3" s="141" t="str">
        <f>底稿目录!A2</f>
        <v>被审计单位：</v>
      </c>
      <c r="B3" s="141"/>
      <c r="C3" s="192" t="str">
        <f>底稿目录!A4</f>
        <v>编制人：</v>
      </c>
      <c r="E3" s="141" t="str">
        <f>底稿目录!A5</f>
        <v>编制日期：</v>
      </c>
      <c r="F3" s="141"/>
      <c r="H3" s="141" t="s">
        <v>27</v>
      </c>
      <c r="I3" s="293" t="s">
        <v>6</v>
      </c>
    </row>
    <row r="4" spans="1:10" ht="19.95" customHeight="1">
      <c r="A4" s="141" t="str">
        <f>底稿目录!A3</f>
        <v>截止日：202X年12月31日</v>
      </c>
      <c r="B4" s="141"/>
      <c r="C4" s="192" t="str">
        <f>底稿目录!A6</f>
        <v>复核人：</v>
      </c>
      <c r="E4" s="141" t="str">
        <f>底稿目录!A7</f>
        <v>复核日期：</v>
      </c>
      <c r="F4" s="141"/>
      <c r="H4" s="141" t="s">
        <v>28</v>
      </c>
      <c r="I4" s="141"/>
    </row>
    <row r="5" spans="1:10" ht="19.95" customHeight="1">
      <c r="A5" s="193" t="s">
        <v>29</v>
      </c>
      <c r="B5" s="141"/>
      <c r="C5" s="141"/>
      <c r="D5" s="141"/>
      <c r="E5" s="141"/>
      <c r="F5" s="141"/>
      <c r="G5" s="141"/>
      <c r="H5" s="141"/>
      <c r="I5" s="141"/>
    </row>
    <row r="6" spans="1:10" ht="19.95" customHeight="1">
      <c r="A6" s="194" t="s">
        <v>30</v>
      </c>
      <c r="B6" s="141"/>
      <c r="C6" s="141"/>
      <c r="D6" s="141"/>
      <c r="E6" s="141"/>
      <c r="F6" s="141"/>
      <c r="G6" s="141"/>
      <c r="H6" s="141"/>
      <c r="I6" s="141"/>
    </row>
    <row r="7" spans="1:10" ht="19.95" customHeight="1">
      <c r="A7" s="195" t="s">
        <v>44</v>
      </c>
      <c r="B7" s="196"/>
      <c r="C7" s="196"/>
      <c r="D7" s="141"/>
      <c r="E7" s="141"/>
      <c r="F7" s="141"/>
      <c r="G7" s="141"/>
      <c r="H7" s="141"/>
      <c r="I7" s="141"/>
    </row>
    <row r="8" spans="1:10" ht="19.95" customHeight="1">
      <c r="A8" s="312" t="s">
        <v>45</v>
      </c>
      <c r="B8" s="312"/>
      <c r="C8" s="312"/>
      <c r="D8" s="312"/>
      <c r="E8" s="312"/>
      <c r="F8" s="312"/>
      <c r="G8" s="314" t="s">
        <v>46</v>
      </c>
      <c r="H8" s="314"/>
      <c r="I8" s="314"/>
    </row>
    <row r="9" spans="1:10" ht="19.95" customHeight="1">
      <c r="A9" s="313" t="s">
        <v>47</v>
      </c>
      <c r="B9" s="313"/>
      <c r="C9" s="313"/>
      <c r="D9" s="313"/>
      <c r="E9" s="313"/>
      <c r="F9" s="313"/>
      <c r="G9" s="309" t="s">
        <v>31</v>
      </c>
      <c r="H9" s="309"/>
      <c r="I9" s="309"/>
    </row>
    <row r="10" spans="1:10" ht="19.95" customHeight="1">
      <c r="A10" s="313" t="s">
        <v>48</v>
      </c>
      <c r="B10" s="313"/>
      <c r="C10" s="313"/>
      <c r="D10" s="313"/>
      <c r="E10" s="313"/>
      <c r="F10" s="313"/>
      <c r="G10" s="309" t="s">
        <v>32</v>
      </c>
      <c r="H10" s="309"/>
      <c r="I10" s="309"/>
    </row>
    <row r="11" spans="1:10" ht="19.95" customHeight="1">
      <c r="A11" s="313" t="s">
        <v>49</v>
      </c>
      <c r="B11" s="313"/>
      <c r="C11" s="313"/>
      <c r="D11" s="313"/>
      <c r="E11" s="313"/>
      <c r="F11" s="313"/>
      <c r="G11" s="309" t="s">
        <v>33</v>
      </c>
      <c r="H11" s="309"/>
      <c r="I11" s="309"/>
    </row>
    <row r="12" spans="1:10" ht="19.95" customHeight="1">
      <c r="A12" s="313" t="s">
        <v>50</v>
      </c>
      <c r="B12" s="313"/>
      <c r="C12" s="313"/>
      <c r="D12" s="313"/>
      <c r="E12" s="313"/>
      <c r="F12" s="313"/>
      <c r="G12" s="309" t="s">
        <v>51</v>
      </c>
      <c r="H12" s="309"/>
      <c r="I12" s="309"/>
    </row>
    <row r="13" spans="1:10" ht="19.95" customHeight="1">
      <c r="A13" s="313" t="s">
        <v>52</v>
      </c>
      <c r="B13" s="313"/>
      <c r="C13" s="313"/>
      <c r="D13" s="313"/>
      <c r="E13" s="313"/>
      <c r="F13" s="313"/>
      <c r="G13" s="309" t="s">
        <v>53</v>
      </c>
      <c r="H13" s="309"/>
      <c r="I13" s="309"/>
    </row>
    <row r="14" spans="1:10" ht="19.95" customHeight="1">
      <c r="A14" s="197" t="s">
        <v>34</v>
      </c>
    </row>
    <row r="15" spans="1:10" ht="19.95" customHeight="1">
      <c r="A15" s="304" t="s">
        <v>35</v>
      </c>
      <c r="B15" s="306" t="s">
        <v>289</v>
      </c>
      <c r="C15" s="307" t="s">
        <v>36</v>
      </c>
      <c r="D15" s="297" t="s">
        <v>54</v>
      </c>
      <c r="E15" s="298"/>
      <c r="F15" s="298"/>
      <c r="G15" s="298"/>
      <c r="H15" s="299"/>
      <c r="I15" s="307" t="s">
        <v>55</v>
      </c>
    </row>
    <row r="16" spans="1:10" ht="31.5" customHeight="1">
      <c r="A16" s="305"/>
      <c r="B16" s="306"/>
      <c r="C16" s="308"/>
      <c r="D16" s="198" t="s">
        <v>56</v>
      </c>
      <c r="E16" s="198" t="s">
        <v>57</v>
      </c>
      <c r="F16" s="198" t="s">
        <v>58</v>
      </c>
      <c r="G16" s="198" t="s">
        <v>59</v>
      </c>
      <c r="H16" s="198" t="s">
        <v>60</v>
      </c>
      <c r="I16" s="308"/>
      <c r="J16" s="254" t="s">
        <v>288</v>
      </c>
    </row>
    <row r="17" spans="1:19" ht="75" customHeight="1">
      <c r="A17" s="199" t="s">
        <v>38</v>
      </c>
      <c r="B17" s="250" t="s">
        <v>61</v>
      </c>
      <c r="C17" s="200" t="s">
        <v>62</v>
      </c>
      <c r="D17" s="201" t="s">
        <v>63</v>
      </c>
      <c r="E17" s="201" t="s">
        <v>63</v>
      </c>
      <c r="F17" s="201"/>
      <c r="G17" s="202" t="s">
        <v>64</v>
      </c>
      <c r="H17" s="201"/>
      <c r="I17" s="204" t="s">
        <v>65</v>
      </c>
    </row>
    <row r="18" spans="1:19" ht="44.4" customHeight="1">
      <c r="A18" s="203" t="s">
        <v>39</v>
      </c>
      <c r="B18" s="250" t="s">
        <v>66</v>
      </c>
      <c r="C18" s="204" t="s">
        <v>62</v>
      </c>
      <c r="D18" s="205"/>
      <c r="E18" s="206" t="s">
        <v>67</v>
      </c>
      <c r="F18" s="205"/>
      <c r="G18" s="207" t="s">
        <v>67</v>
      </c>
      <c r="H18" s="201"/>
      <c r="I18" s="222" t="s">
        <v>290</v>
      </c>
      <c r="J18" s="300" t="s">
        <v>68</v>
      </c>
      <c r="K18" s="301"/>
      <c r="L18" s="301"/>
      <c r="M18" s="301"/>
      <c r="N18" s="301"/>
      <c r="O18" s="301"/>
      <c r="P18" s="301"/>
      <c r="Q18" s="301"/>
      <c r="R18" s="301"/>
      <c r="S18" s="301"/>
    </row>
    <row r="19" spans="1:19" ht="42" customHeight="1">
      <c r="A19" s="199" t="s">
        <v>40</v>
      </c>
      <c r="B19" s="244" t="s">
        <v>69</v>
      </c>
      <c r="C19" s="208" t="s">
        <v>70</v>
      </c>
      <c r="D19" s="207" t="s">
        <v>67</v>
      </c>
      <c r="E19" s="206" t="s">
        <v>67</v>
      </c>
      <c r="F19" s="207" t="s">
        <v>67</v>
      </c>
      <c r="G19" s="207" t="s">
        <v>67</v>
      </c>
      <c r="H19" s="201"/>
      <c r="I19" s="204"/>
      <c r="J19" s="302" t="s">
        <v>71</v>
      </c>
      <c r="K19" s="303"/>
      <c r="L19" s="303"/>
      <c r="M19" s="303"/>
      <c r="N19" s="303"/>
      <c r="O19" s="303"/>
      <c r="P19" s="303"/>
      <c r="Q19" s="303"/>
      <c r="R19" s="303"/>
      <c r="S19" s="303"/>
    </row>
    <row r="20" spans="1:19" ht="32.4" customHeight="1">
      <c r="A20" s="199" t="s">
        <v>41</v>
      </c>
      <c r="B20" s="209" t="s">
        <v>72</v>
      </c>
      <c r="C20" s="210" t="s">
        <v>37</v>
      </c>
      <c r="D20" s="211" t="s">
        <v>67</v>
      </c>
      <c r="E20" s="211" t="s">
        <v>67</v>
      </c>
      <c r="F20" s="212"/>
      <c r="G20" s="211" t="s">
        <v>67</v>
      </c>
      <c r="H20" s="213"/>
      <c r="I20" s="224" t="s">
        <v>65</v>
      </c>
      <c r="J20" s="223"/>
      <c r="K20" s="223"/>
      <c r="L20" s="223"/>
      <c r="M20" s="223"/>
      <c r="N20" s="223"/>
      <c r="O20" s="223"/>
      <c r="P20" s="223"/>
      <c r="Q20" s="223"/>
      <c r="R20" s="223"/>
      <c r="S20" s="223"/>
    </row>
    <row r="21" spans="1:19" ht="28.2" customHeight="1">
      <c r="A21" s="203" t="s">
        <v>73</v>
      </c>
      <c r="B21" s="214" t="s">
        <v>74</v>
      </c>
      <c r="C21" s="210" t="s">
        <v>37</v>
      </c>
      <c r="D21" s="207" t="s">
        <v>67</v>
      </c>
      <c r="E21" s="207"/>
      <c r="F21" s="205"/>
      <c r="G21" s="206" t="s">
        <v>67</v>
      </c>
      <c r="H21" s="251"/>
      <c r="I21" s="224" t="s">
        <v>17</v>
      </c>
      <c r="J21" s="223"/>
      <c r="K21" s="223"/>
      <c r="L21" s="223"/>
      <c r="M21" s="223"/>
      <c r="N21" s="223"/>
      <c r="O21" s="223"/>
      <c r="P21" s="223"/>
      <c r="Q21" s="223"/>
      <c r="R21" s="223"/>
      <c r="S21" s="223"/>
    </row>
    <row r="22" spans="1:19" ht="72" customHeight="1">
      <c r="A22" s="199" t="s">
        <v>75</v>
      </c>
      <c r="B22" s="215" t="s">
        <v>76</v>
      </c>
      <c r="C22" s="210" t="s">
        <v>37</v>
      </c>
      <c r="D22" s="206"/>
      <c r="E22" s="205"/>
      <c r="F22" s="207"/>
      <c r="G22" s="206" t="s">
        <v>67</v>
      </c>
      <c r="H22" s="221"/>
      <c r="I22" s="204" t="s">
        <v>77</v>
      </c>
      <c r="J22" s="223"/>
      <c r="K22" s="223"/>
      <c r="L22" s="223"/>
      <c r="M22" s="223"/>
      <c r="N22" s="223"/>
      <c r="O22" s="223"/>
      <c r="P22" s="223"/>
      <c r="Q22" s="223"/>
      <c r="R22" s="223"/>
      <c r="S22" s="223"/>
    </row>
    <row r="23" spans="1:19" s="190" customFormat="1" ht="178.8">
      <c r="A23" s="199" t="s">
        <v>78</v>
      </c>
      <c r="B23" s="215" t="s">
        <v>79</v>
      </c>
      <c r="C23" s="216" t="s">
        <v>62</v>
      </c>
      <c r="D23" s="206" t="s">
        <v>67</v>
      </c>
      <c r="E23" s="207" t="s">
        <v>67</v>
      </c>
      <c r="F23" s="206" t="s">
        <v>67</v>
      </c>
      <c r="G23" s="207" t="s">
        <v>67</v>
      </c>
      <c r="H23" s="217"/>
      <c r="I23" s="225" t="s">
        <v>80</v>
      </c>
    </row>
    <row r="24" spans="1:19" s="190" customFormat="1" ht="144.6" customHeight="1">
      <c r="A24" s="203" t="s">
        <v>81</v>
      </c>
      <c r="B24" s="218" t="s">
        <v>82</v>
      </c>
      <c r="C24" s="200" t="s">
        <v>62</v>
      </c>
      <c r="D24" s="206" t="s">
        <v>67</v>
      </c>
      <c r="E24" s="206" t="s">
        <v>67</v>
      </c>
      <c r="F24" s="207" t="s">
        <v>67</v>
      </c>
      <c r="G24" s="206" t="s">
        <v>67</v>
      </c>
      <c r="H24" s="207" t="s">
        <v>67</v>
      </c>
      <c r="I24" s="204" t="s">
        <v>24</v>
      </c>
    </row>
    <row r="25" spans="1:19" ht="38.4" customHeight="1">
      <c r="A25" s="199" t="s">
        <v>83</v>
      </c>
      <c r="B25" s="209" t="s">
        <v>84</v>
      </c>
      <c r="C25" s="210" t="s">
        <v>37</v>
      </c>
      <c r="D25" s="219" t="s">
        <v>67</v>
      </c>
      <c r="E25" s="212"/>
      <c r="F25" s="211" t="s">
        <v>67</v>
      </c>
      <c r="G25" s="211" t="s">
        <v>67</v>
      </c>
      <c r="H25" s="220"/>
      <c r="I25" s="204" t="s">
        <v>26</v>
      </c>
      <c r="J25" s="223"/>
      <c r="K25" s="223"/>
      <c r="L25" s="223"/>
      <c r="M25" s="223"/>
      <c r="N25" s="223"/>
      <c r="O25" s="223"/>
      <c r="P25" s="223"/>
      <c r="Q25" s="223"/>
      <c r="R25" s="223"/>
      <c r="S25" s="223"/>
    </row>
    <row r="26" spans="1:19" s="190" customFormat="1" ht="36.6" customHeight="1">
      <c r="A26" s="199" t="s">
        <v>85</v>
      </c>
      <c r="B26" s="218" t="s">
        <v>86</v>
      </c>
      <c r="C26" s="207" t="s">
        <v>87</v>
      </c>
      <c r="D26" s="221"/>
      <c r="E26" s="221"/>
      <c r="F26" s="221"/>
      <c r="G26" s="221"/>
      <c r="H26" s="221"/>
      <c r="I26" s="224"/>
    </row>
    <row r="27" spans="1:19" ht="27.6">
      <c r="A27" s="203" t="s">
        <v>88</v>
      </c>
      <c r="B27" s="244" t="s">
        <v>89</v>
      </c>
      <c r="C27" s="200" t="s">
        <v>62</v>
      </c>
      <c r="D27" s="217"/>
      <c r="E27" s="217"/>
      <c r="F27" s="217"/>
      <c r="G27" s="217"/>
      <c r="H27" s="217" t="s">
        <v>63</v>
      </c>
      <c r="I27" s="226" t="s">
        <v>90</v>
      </c>
    </row>
  </sheetData>
  <mergeCells count="21">
    <mergeCell ref="G13:I13"/>
    <mergeCell ref="A1:I1"/>
    <mergeCell ref="A2:I2"/>
    <mergeCell ref="A8:F8"/>
    <mergeCell ref="A9:F9"/>
    <mergeCell ref="A10:F10"/>
    <mergeCell ref="A11:F11"/>
    <mergeCell ref="A12:F12"/>
    <mergeCell ref="A13:F13"/>
    <mergeCell ref="G8:I8"/>
    <mergeCell ref="G9:I9"/>
    <mergeCell ref="G10:I10"/>
    <mergeCell ref="G11:I11"/>
    <mergeCell ref="G12:I12"/>
    <mergeCell ref="D15:H15"/>
    <mergeCell ref="J18:S18"/>
    <mergeCell ref="J19:S19"/>
    <mergeCell ref="A15:A16"/>
    <mergeCell ref="B15:B16"/>
    <mergeCell ref="C15:C16"/>
    <mergeCell ref="I15:I16"/>
  </mergeCells>
  <phoneticPr fontId="126" type="noConversion"/>
  <hyperlinks>
    <hyperlink ref="I3" location="底稿目录!A1" display="L5A "/>
  </hyperlinks>
  <printOptions horizontalCentered="1"/>
  <pageMargins left="0.70866141732283472" right="0.70866141732283472" top="0.74803149606299213" bottom="0.74803149606299213" header="0.31496062992125984" footer="0.31496062992125984"/>
  <pageSetup paperSize="9" scale="70" fitToWidth="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P35"/>
  <sheetViews>
    <sheetView view="pageBreakPreview" zoomScaleNormal="100" zoomScaleSheetLayoutView="100" workbookViewId="0">
      <selection sqref="A1:O1"/>
    </sheetView>
  </sheetViews>
  <sheetFormatPr defaultColWidth="9" defaultRowHeight="19.95" customHeight="1"/>
  <cols>
    <col min="1" max="1" width="24.09765625" style="171" customWidth="1"/>
    <col min="2" max="2" width="10.09765625" style="171" customWidth="1"/>
    <col min="3" max="3" width="11.09765625" style="171" customWidth="1"/>
    <col min="4" max="4" width="10.59765625" style="171" customWidth="1"/>
    <col min="5" max="5" width="11" style="171" customWidth="1"/>
    <col min="6" max="6" width="13.59765625" style="171" customWidth="1"/>
    <col min="7" max="7" width="11" style="171" customWidth="1"/>
    <col min="8" max="8" width="11.09765625" style="171" customWidth="1"/>
    <col min="9" max="9" width="10.59765625" style="171" customWidth="1"/>
    <col min="10" max="10" width="10.5" style="171" customWidth="1"/>
    <col min="11" max="11" width="12.296875" style="171" customWidth="1"/>
    <col min="12" max="12" width="14.09765625" style="171" customWidth="1"/>
    <col min="13" max="13" width="12.296875" style="171" customWidth="1"/>
    <col min="14" max="14" width="10.796875" style="171" customWidth="1"/>
    <col min="15" max="16384" width="9" style="171"/>
  </cols>
  <sheetData>
    <row r="1" spans="1:16" s="40" customFormat="1" ht="19.95" customHeight="1">
      <c r="A1" s="315" t="s">
        <v>297</v>
      </c>
      <c r="B1" s="315"/>
      <c r="C1" s="315"/>
      <c r="D1" s="315"/>
      <c r="E1" s="315"/>
      <c r="F1" s="315"/>
      <c r="G1" s="315"/>
      <c r="H1" s="315"/>
      <c r="I1" s="315"/>
      <c r="J1" s="315"/>
      <c r="K1" s="315"/>
      <c r="L1" s="315"/>
      <c r="M1" s="315"/>
      <c r="N1" s="315"/>
      <c r="O1" s="315"/>
    </row>
    <row r="2" spans="1:16" s="40" customFormat="1" ht="19.95" customHeight="1">
      <c r="A2" s="316" t="s">
        <v>298</v>
      </c>
      <c r="B2" s="316"/>
      <c r="C2" s="316"/>
      <c r="D2" s="316"/>
      <c r="E2" s="316"/>
      <c r="F2" s="316"/>
      <c r="G2" s="316"/>
      <c r="H2" s="316"/>
      <c r="I2" s="316"/>
      <c r="J2" s="316"/>
      <c r="K2" s="316"/>
      <c r="L2" s="316"/>
      <c r="M2" s="316"/>
      <c r="N2" s="316"/>
      <c r="O2" s="316"/>
      <c r="P2" s="34"/>
    </row>
    <row r="3" spans="1:16" s="43" customFormat="1" ht="19.95" customHeight="1">
      <c r="A3" s="2" t="str">
        <f>底稿目录!A2</f>
        <v>被审计单位：</v>
      </c>
      <c r="B3" s="2"/>
      <c r="C3" s="172"/>
      <c r="E3" s="2" t="str">
        <f>底稿目录!A4</f>
        <v>编制人：</v>
      </c>
      <c r="F3" s="2"/>
      <c r="G3" s="2"/>
      <c r="H3" s="2"/>
      <c r="I3" s="2"/>
      <c r="J3" s="8" t="str">
        <f>底稿目录!A5</f>
        <v>编制日期：</v>
      </c>
      <c r="K3" s="8"/>
      <c r="L3" s="2"/>
      <c r="M3" s="2"/>
      <c r="N3" s="61" t="s">
        <v>27</v>
      </c>
      <c r="O3" s="293" t="str">
        <f>底稿目录!F4</f>
        <v>L5-1</v>
      </c>
    </row>
    <row r="4" spans="1:16" s="43" customFormat="1" ht="19.95" customHeight="1">
      <c r="A4" s="2" t="str">
        <f>底稿目录!A3</f>
        <v>截止日：202X年12月31日</v>
      </c>
      <c r="B4" s="2"/>
      <c r="C4" s="172"/>
      <c r="E4" s="2" t="str">
        <f>底稿目录!A6</f>
        <v>复核人：</v>
      </c>
      <c r="F4" s="2"/>
      <c r="G4" s="2"/>
      <c r="H4" s="2"/>
      <c r="I4" s="2"/>
      <c r="J4" s="141" t="str">
        <f>底稿目录!A7</f>
        <v>复核日期：</v>
      </c>
      <c r="K4" s="8"/>
      <c r="L4" s="2"/>
      <c r="M4" s="2"/>
      <c r="N4" s="61" t="s">
        <v>92</v>
      </c>
      <c r="O4" s="2"/>
    </row>
    <row r="5" spans="1:16" s="43" customFormat="1" ht="29.55" customHeight="1">
      <c r="A5" s="320" t="s">
        <v>93</v>
      </c>
      <c r="B5" s="317" t="s">
        <v>94</v>
      </c>
      <c r="C5" s="318"/>
      <c r="D5" s="318"/>
      <c r="E5" s="318"/>
      <c r="F5" s="318"/>
      <c r="G5" s="319"/>
      <c r="H5" s="317" t="s">
        <v>95</v>
      </c>
      <c r="I5" s="318"/>
      <c r="J5" s="318"/>
      <c r="K5" s="318"/>
      <c r="L5" s="318"/>
      <c r="M5" s="319"/>
      <c r="N5" s="317" t="s">
        <v>96</v>
      </c>
      <c r="O5" s="319"/>
    </row>
    <row r="6" spans="1:16" s="43" customFormat="1" ht="27" customHeight="1">
      <c r="A6" s="321"/>
      <c r="B6" s="173" t="s">
        <v>97</v>
      </c>
      <c r="C6" s="173" t="s">
        <v>98</v>
      </c>
      <c r="D6" s="173" t="s">
        <v>99</v>
      </c>
      <c r="E6" s="173" t="s">
        <v>100</v>
      </c>
      <c r="F6" s="173" t="s">
        <v>101</v>
      </c>
      <c r="G6" s="173" t="s">
        <v>102</v>
      </c>
      <c r="H6" s="173" t="s">
        <v>97</v>
      </c>
      <c r="I6" s="173" t="s">
        <v>98</v>
      </c>
      <c r="J6" s="173" t="s">
        <v>99</v>
      </c>
      <c r="K6" s="173" t="s">
        <v>100</v>
      </c>
      <c r="L6" s="173" t="s">
        <v>101</v>
      </c>
      <c r="M6" s="173" t="s">
        <v>102</v>
      </c>
      <c r="N6" s="185" t="s">
        <v>103</v>
      </c>
      <c r="O6" s="173" t="s">
        <v>104</v>
      </c>
    </row>
    <row r="7" spans="1:16" s="43" customFormat="1" ht="19.95" customHeight="1">
      <c r="A7" s="255" t="s">
        <v>291</v>
      </c>
      <c r="B7" s="174"/>
      <c r="C7" s="174"/>
      <c r="D7" s="174"/>
      <c r="E7" s="174"/>
      <c r="F7" s="174"/>
      <c r="G7" s="174"/>
      <c r="H7" s="174"/>
      <c r="I7" s="174"/>
      <c r="J7" s="174"/>
      <c r="K7" s="174"/>
      <c r="L7" s="174"/>
      <c r="M7" s="174"/>
      <c r="N7" s="174"/>
      <c r="O7" s="186"/>
    </row>
    <row r="8" spans="1:16" s="43" customFormat="1" ht="19.95" customHeight="1">
      <c r="A8" s="256" t="s">
        <v>292</v>
      </c>
      <c r="B8" s="51">
        <f>'明细表L5-2'!B16</f>
        <v>0</v>
      </c>
      <c r="C8" s="51">
        <f>'明细表L5-2'!F16</f>
        <v>0</v>
      </c>
      <c r="D8" s="51">
        <f>'明细表L5-2'!G16</f>
        <v>0</v>
      </c>
      <c r="E8" s="51">
        <f>B8+C8+D8</f>
        <v>0</v>
      </c>
      <c r="F8" s="51">
        <f>'明细表L5-2'!P16</f>
        <v>0</v>
      </c>
      <c r="G8" s="51">
        <f>E8-F8</f>
        <v>0</v>
      </c>
      <c r="H8" s="51">
        <f>'明细表L5-2'!E16</f>
        <v>0</v>
      </c>
      <c r="I8" s="51">
        <f>'明细表L5-2'!F16+'明细表L5-2'!I16-'明细表L5-2'!H16</f>
        <v>0</v>
      </c>
      <c r="J8" s="51">
        <f>'明细表L5-2'!G16+'明细表L5-2'!K16-'明细表L5-2'!J16</f>
        <v>0</v>
      </c>
      <c r="K8" s="51">
        <f>H8+I8+J8</f>
        <v>0</v>
      </c>
      <c r="L8" s="51">
        <f>'明细表L5-2'!Q16</f>
        <v>0</v>
      </c>
      <c r="M8" s="51">
        <f>K8-L8</f>
        <v>0</v>
      </c>
      <c r="N8" s="51">
        <f>K8-E8</f>
        <v>0</v>
      </c>
      <c r="O8" s="187">
        <f>IF(AND(E8=0,N8=0),0,IF(AND(E8=0,N8&gt;0),1,N8/E8))</f>
        <v>0</v>
      </c>
    </row>
    <row r="9" spans="1:16" s="43" customFormat="1" ht="19.95" customHeight="1">
      <c r="A9" s="256" t="s">
        <v>293</v>
      </c>
      <c r="B9" s="51">
        <f>'明细表L5-2'!B23</f>
        <v>0</v>
      </c>
      <c r="C9" s="51">
        <f>'明细表L5-2'!F23</f>
        <v>0</v>
      </c>
      <c r="D9" s="51">
        <f>'明细表L5-2'!G23</f>
        <v>0</v>
      </c>
      <c r="E9" s="51">
        <f>B9+C9+D9</f>
        <v>0</v>
      </c>
      <c r="F9" s="51">
        <f>'明细表L5-2'!P23</f>
        <v>0</v>
      </c>
      <c r="G9" s="51">
        <f>E9-F9</f>
        <v>0</v>
      </c>
      <c r="H9" s="51">
        <f>'明细表L5-2'!E23</f>
        <v>0</v>
      </c>
      <c r="I9" s="51">
        <f>'明细表L5-2'!F23+'明细表L5-2'!I23-'明细表L5-2'!H23</f>
        <v>0</v>
      </c>
      <c r="J9" s="51">
        <f>'明细表L5-2'!G23+'明细表L5-2'!K23-'明细表L5-2'!J23</f>
        <v>0</v>
      </c>
      <c r="K9" s="51">
        <f>H9+I9+J9</f>
        <v>0</v>
      </c>
      <c r="L9" s="51">
        <f>'明细表L5-2'!Q23</f>
        <v>0</v>
      </c>
      <c r="M9" s="51">
        <f>K9-L9</f>
        <v>0</v>
      </c>
      <c r="N9" s="51">
        <f>K9-E9</f>
        <v>0</v>
      </c>
      <c r="O9" s="187">
        <f>IF(AND(E9=0,N9=0),0,IF(AND(E9=0,N9&gt;0),1,N9/E9))</f>
        <v>0</v>
      </c>
    </row>
    <row r="10" spans="1:16" s="43" customFormat="1" ht="19.95" customHeight="1">
      <c r="A10" s="256" t="s">
        <v>294</v>
      </c>
      <c r="B10" s="51">
        <f>'明细表L5-2'!B24</f>
        <v>0</v>
      </c>
      <c r="C10" s="51">
        <f>'明细表L5-2'!F24</f>
        <v>0</v>
      </c>
      <c r="D10" s="51">
        <f>'明细表L5-2'!G24</f>
        <v>0</v>
      </c>
      <c r="E10" s="51">
        <f>B10+C10+D10</f>
        <v>0</v>
      </c>
      <c r="F10" s="51">
        <f>'明细表L5-2'!P24</f>
        <v>0</v>
      </c>
      <c r="G10" s="51">
        <f>E10-F10</f>
        <v>0</v>
      </c>
      <c r="H10" s="51">
        <f>'明细表L5-2'!E24</f>
        <v>0</v>
      </c>
      <c r="I10" s="51">
        <f>'明细表L5-2'!F24+'明细表L5-2'!I24-'明细表L5-2'!H24</f>
        <v>0</v>
      </c>
      <c r="J10" s="51">
        <f>'明细表L5-2'!G24+'明细表L5-2'!K24-'明细表L5-2'!J24</f>
        <v>0</v>
      </c>
      <c r="K10" s="51">
        <f>H10+I10+J10</f>
        <v>0</v>
      </c>
      <c r="L10" s="51">
        <f>'明细表L5-2'!Q24</f>
        <v>0</v>
      </c>
      <c r="M10" s="51">
        <f>K10-L10</f>
        <v>0</v>
      </c>
      <c r="N10" s="51">
        <f>K10-E10</f>
        <v>0</v>
      </c>
      <c r="O10" s="187">
        <f>IF(AND(E10=0,N10=0),0,IF(AND(E10=0,N10&gt;0),1,N10/E10))</f>
        <v>0</v>
      </c>
    </row>
    <row r="11" spans="1:16" s="41" customFormat="1" ht="19.95" customHeight="1">
      <c r="A11" s="257" t="s">
        <v>266</v>
      </c>
      <c r="B11" s="175">
        <f>SUM(B8:B10)</f>
        <v>0</v>
      </c>
      <c r="C11" s="175">
        <f t="shared" ref="C11:M11" si="0">SUM(C8:C10)</f>
        <v>0</v>
      </c>
      <c r="D11" s="175">
        <f t="shared" si="0"/>
        <v>0</v>
      </c>
      <c r="E11" s="175">
        <f t="shared" si="0"/>
        <v>0</v>
      </c>
      <c r="F11" s="175">
        <f t="shared" si="0"/>
        <v>0</v>
      </c>
      <c r="G11" s="175">
        <f t="shared" si="0"/>
        <v>0</v>
      </c>
      <c r="H11" s="175">
        <f t="shared" si="0"/>
        <v>0</v>
      </c>
      <c r="I11" s="175">
        <f t="shared" si="0"/>
        <v>0</v>
      </c>
      <c r="J11" s="175">
        <f t="shared" si="0"/>
        <v>0</v>
      </c>
      <c r="K11" s="175">
        <f t="shared" si="0"/>
        <v>0</v>
      </c>
      <c r="L11" s="175">
        <f t="shared" si="0"/>
        <v>0</v>
      </c>
      <c r="M11" s="175">
        <f t="shared" si="0"/>
        <v>0</v>
      </c>
      <c r="N11" s="175">
        <f t="shared" ref="N11" si="1">K11-E11</f>
        <v>0</v>
      </c>
      <c r="O11" s="188">
        <f>IF(AND(E11=0,N11=0),0,IF(AND(E11=0,N11&gt;0),1,N11/E11))</f>
        <v>0</v>
      </c>
    </row>
    <row r="12" spans="1:16" s="43" customFormat="1" ht="19.95" customHeight="1">
      <c r="A12" s="255" t="s">
        <v>295</v>
      </c>
      <c r="B12" s="174"/>
      <c r="C12" s="174"/>
      <c r="D12" s="174"/>
      <c r="E12" s="174"/>
      <c r="F12" s="174"/>
      <c r="G12" s="174"/>
      <c r="H12" s="174"/>
      <c r="I12" s="174"/>
      <c r="J12" s="174"/>
      <c r="K12" s="174"/>
      <c r="L12" s="174"/>
      <c r="M12" s="174"/>
      <c r="N12" s="174"/>
      <c r="O12" s="186"/>
    </row>
    <row r="13" spans="1:16" s="43" customFormat="1" ht="19.95" customHeight="1">
      <c r="A13" s="256" t="s">
        <v>292</v>
      </c>
      <c r="B13" s="51">
        <f>'未确认融资费用明细表L5-3'!B17</f>
        <v>0</v>
      </c>
      <c r="C13" s="51">
        <f>'未确认融资费用明细表L5-3'!F17</f>
        <v>0</v>
      </c>
      <c r="D13" s="51">
        <f>'未确认融资费用明细表L5-3'!G17</f>
        <v>0</v>
      </c>
      <c r="E13" s="51">
        <f>B13+C13+D13</f>
        <v>0</v>
      </c>
      <c r="F13" s="51">
        <f>'未确认融资费用明细表L5-3'!P17</f>
        <v>0</v>
      </c>
      <c r="G13" s="51">
        <f>E13-F13</f>
        <v>0</v>
      </c>
      <c r="H13" s="51">
        <f>'未确认融资费用明细表L5-3'!E17</f>
        <v>0</v>
      </c>
      <c r="I13" s="51">
        <f>'未确认融资费用明细表L5-3'!F17+'未确认融资费用明细表L5-3'!I17-'未确认融资费用明细表L5-3'!H17</f>
        <v>0</v>
      </c>
      <c r="J13" s="51">
        <f>'未确认融资费用明细表L5-3'!G17+'未确认融资费用明细表L5-3'!K17-'未确认融资费用明细表L5-3'!J17</f>
        <v>0</v>
      </c>
      <c r="K13" s="51">
        <f>H13+I13+J13</f>
        <v>0</v>
      </c>
      <c r="L13" s="51">
        <f>'未确认融资费用明细表L5-3'!Q17</f>
        <v>0</v>
      </c>
      <c r="M13" s="51">
        <f>K13-L13</f>
        <v>0</v>
      </c>
      <c r="N13" s="51">
        <f t="shared" ref="N13:N16" si="2">K13-E13</f>
        <v>0</v>
      </c>
      <c r="O13" s="187">
        <f>IF(AND(E13=0,N13=0),0,IF(AND(E13=0,N13&gt;0),1,N13/E13))</f>
        <v>0</v>
      </c>
    </row>
    <row r="14" spans="1:16" s="43" customFormat="1" ht="19.95" customHeight="1">
      <c r="A14" s="256" t="s">
        <v>293</v>
      </c>
      <c r="B14" s="51">
        <f>'未确认融资费用明细表L5-3'!B24</f>
        <v>0</v>
      </c>
      <c r="C14" s="51">
        <f>'未确认融资费用明细表L5-3'!F24</f>
        <v>0</v>
      </c>
      <c r="D14" s="51">
        <f>'未确认融资费用明细表L5-3'!G24</f>
        <v>0</v>
      </c>
      <c r="E14" s="51">
        <f t="shared" ref="E14:E15" si="3">B14+C14+D14</f>
        <v>0</v>
      </c>
      <c r="F14" s="51">
        <f>'未确认融资费用明细表L5-3'!P24</f>
        <v>0</v>
      </c>
      <c r="G14" s="51">
        <f>E14-F14</f>
        <v>0</v>
      </c>
      <c r="H14" s="51">
        <f>'未确认融资费用明细表L5-3'!E24</f>
        <v>0</v>
      </c>
      <c r="I14" s="51">
        <f>'未确认融资费用明细表L5-3'!F24+'未确认融资费用明细表L5-3'!I24-'未确认融资费用明细表L5-3'!H24</f>
        <v>0</v>
      </c>
      <c r="J14" s="51">
        <f>'未确认融资费用明细表L5-3'!G24+'未确认融资费用明细表L5-3'!K24-'未确认融资费用明细表L5-3'!J24</f>
        <v>0</v>
      </c>
      <c r="K14" s="51">
        <f>H14+I14+J14</f>
        <v>0</v>
      </c>
      <c r="L14" s="51">
        <f>'未确认融资费用明细表L5-3'!Q24</f>
        <v>0</v>
      </c>
      <c r="M14" s="51">
        <f>K14-L14</f>
        <v>0</v>
      </c>
      <c r="N14" s="51">
        <f t="shared" si="2"/>
        <v>0</v>
      </c>
      <c r="O14" s="187">
        <f>IF(AND(E14=0,N14=0),0,IF(AND(E14=0,N14&gt;0),1,N14/E14))</f>
        <v>0</v>
      </c>
    </row>
    <row r="15" spans="1:16" s="43" customFormat="1" ht="19.95" customHeight="1">
      <c r="A15" s="256" t="s">
        <v>294</v>
      </c>
      <c r="B15" s="51">
        <f>'未确认融资费用明细表L5-3'!B25</f>
        <v>0</v>
      </c>
      <c r="C15" s="51">
        <f>'未确认融资费用明细表L5-3'!F25</f>
        <v>0</v>
      </c>
      <c r="D15" s="51">
        <f>'未确认融资费用明细表L5-3'!G25</f>
        <v>0</v>
      </c>
      <c r="E15" s="51">
        <f t="shared" si="3"/>
        <v>0</v>
      </c>
      <c r="F15" s="51">
        <f>'未确认融资费用明细表L5-3'!P25</f>
        <v>0</v>
      </c>
      <c r="G15" s="51">
        <f>E15-F15</f>
        <v>0</v>
      </c>
      <c r="H15" s="51">
        <f>'未确认融资费用明细表L5-3'!E25</f>
        <v>0</v>
      </c>
      <c r="I15" s="51">
        <f>'未确认融资费用明细表L5-3'!F25+'未确认融资费用明细表L5-3'!I25-'未确认融资费用明细表L5-3'!H25</f>
        <v>0</v>
      </c>
      <c r="J15" s="51">
        <f>'未确认融资费用明细表L5-3'!G25+'未确认融资费用明细表L5-3'!K25-'未确认融资费用明细表L5-3'!J25</f>
        <v>0</v>
      </c>
      <c r="K15" s="51">
        <f>H15+I15+J15</f>
        <v>0</v>
      </c>
      <c r="L15" s="51">
        <f>'未确认融资费用明细表L5-3'!Q25</f>
        <v>0</v>
      </c>
      <c r="M15" s="51">
        <f>K15-L15</f>
        <v>0</v>
      </c>
      <c r="N15" s="51">
        <f t="shared" si="2"/>
        <v>0</v>
      </c>
      <c r="O15" s="187">
        <f>IF(AND(E15=0,N15=0),0,IF(AND(E15=0,N15&gt;0),1,N15/E15))</f>
        <v>0</v>
      </c>
    </row>
    <row r="16" spans="1:16" s="41" customFormat="1" ht="19.95" customHeight="1">
      <c r="A16" s="257" t="s">
        <v>266</v>
      </c>
      <c r="B16" s="175">
        <f t="shared" ref="B16:M16" si="4">SUM(B13:B15)</f>
        <v>0</v>
      </c>
      <c r="C16" s="175">
        <f t="shared" si="4"/>
        <v>0</v>
      </c>
      <c r="D16" s="175">
        <f t="shared" si="4"/>
        <v>0</v>
      </c>
      <c r="E16" s="175">
        <f t="shared" si="4"/>
        <v>0</v>
      </c>
      <c r="F16" s="175">
        <f t="shared" si="4"/>
        <v>0</v>
      </c>
      <c r="G16" s="175">
        <f t="shared" si="4"/>
        <v>0</v>
      </c>
      <c r="H16" s="175">
        <f t="shared" si="4"/>
        <v>0</v>
      </c>
      <c r="I16" s="175">
        <f t="shared" si="4"/>
        <v>0</v>
      </c>
      <c r="J16" s="175">
        <f t="shared" si="4"/>
        <v>0</v>
      </c>
      <c r="K16" s="175">
        <f t="shared" si="4"/>
        <v>0</v>
      </c>
      <c r="L16" s="175">
        <f t="shared" si="4"/>
        <v>0</v>
      </c>
      <c r="M16" s="175">
        <f t="shared" si="4"/>
        <v>0</v>
      </c>
      <c r="N16" s="175">
        <f t="shared" si="2"/>
        <v>0</v>
      </c>
      <c r="O16" s="188">
        <f>IF(AND(E16=0,N16=0),0,IF(AND(E16=0,N16&gt;0),1,N16/E16))</f>
        <v>0</v>
      </c>
    </row>
    <row r="17" spans="1:15" s="43" customFormat="1" ht="19.95" customHeight="1">
      <c r="A17" s="255" t="s">
        <v>296</v>
      </c>
      <c r="B17" s="174"/>
      <c r="C17" s="174"/>
      <c r="D17" s="174"/>
      <c r="E17" s="174"/>
      <c r="F17" s="174"/>
      <c r="G17" s="174"/>
      <c r="H17" s="174"/>
      <c r="I17" s="174"/>
      <c r="J17" s="174"/>
      <c r="K17" s="174"/>
      <c r="L17" s="174"/>
      <c r="M17" s="174"/>
      <c r="N17" s="174"/>
      <c r="O17" s="186"/>
    </row>
    <row r="18" spans="1:15" s="43" customFormat="1" ht="19.95" customHeight="1">
      <c r="A18" s="256" t="s">
        <v>292</v>
      </c>
      <c r="B18" s="51">
        <f>B8-B13</f>
        <v>0</v>
      </c>
      <c r="C18" s="51">
        <f t="shared" ref="C18:E18" si="5">C8-C13</f>
        <v>0</v>
      </c>
      <c r="D18" s="51">
        <f t="shared" si="5"/>
        <v>0</v>
      </c>
      <c r="E18" s="51">
        <f t="shared" si="5"/>
        <v>0</v>
      </c>
      <c r="F18" s="51">
        <f t="shared" ref="F18:G18" si="6">F8-F13</f>
        <v>0</v>
      </c>
      <c r="G18" s="51">
        <f t="shared" si="6"/>
        <v>0</v>
      </c>
      <c r="H18" s="51">
        <f t="shared" ref="H18:K18" si="7">H8-H13</f>
        <v>0</v>
      </c>
      <c r="I18" s="51">
        <f t="shared" si="7"/>
        <v>0</v>
      </c>
      <c r="J18" s="51">
        <f t="shared" si="7"/>
        <v>0</v>
      </c>
      <c r="K18" s="51">
        <f t="shared" si="7"/>
        <v>0</v>
      </c>
      <c r="L18" s="51">
        <f t="shared" ref="L18:M18" si="8">L8-L13</f>
        <v>0</v>
      </c>
      <c r="M18" s="51">
        <f t="shared" si="8"/>
        <v>0</v>
      </c>
      <c r="N18" s="51">
        <f>K18-E18</f>
        <v>0</v>
      </c>
      <c r="O18" s="187">
        <f>IF(AND(E18=0,N18=0),0,IF(AND(E18=0,N18&gt;0),1,N18/E18))</f>
        <v>0</v>
      </c>
    </row>
    <row r="19" spans="1:15" s="43" customFormat="1" ht="19.95" customHeight="1">
      <c r="A19" s="256" t="s">
        <v>293</v>
      </c>
      <c r="B19" s="51">
        <f>B9-B14</f>
        <v>0</v>
      </c>
      <c r="C19" s="51">
        <f t="shared" ref="C19:D19" si="9">C9-C14</f>
        <v>0</v>
      </c>
      <c r="D19" s="51">
        <f t="shared" si="9"/>
        <v>0</v>
      </c>
      <c r="E19" s="51">
        <f t="shared" ref="E19:K20" si="10">E9-E14</f>
        <v>0</v>
      </c>
      <c r="F19" s="51">
        <f t="shared" ref="F19:G19" si="11">F9-F14</f>
        <v>0</v>
      </c>
      <c r="G19" s="51">
        <f t="shared" si="11"/>
        <v>0</v>
      </c>
      <c r="H19" s="51">
        <f t="shared" si="10"/>
        <v>0</v>
      </c>
      <c r="I19" s="51">
        <f t="shared" si="10"/>
        <v>0</v>
      </c>
      <c r="J19" s="51">
        <f t="shared" si="10"/>
        <v>0</v>
      </c>
      <c r="K19" s="51">
        <f t="shared" si="10"/>
        <v>0</v>
      </c>
      <c r="L19" s="51">
        <f t="shared" ref="L19:M19" si="12">L9-L14</f>
        <v>0</v>
      </c>
      <c r="M19" s="51">
        <f t="shared" si="12"/>
        <v>0</v>
      </c>
      <c r="N19" s="51">
        <f t="shared" ref="N19:N20" si="13">K19-E19</f>
        <v>0</v>
      </c>
      <c r="O19" s="187">
        <f>IF(AND(E19=0,N19=0),0,IF(AND(E19=0,N19&gt;0),1,N19/E19))</f>
        <v>0</v>
      </c>
    </row>
    <row r="20" spans="1:15" s="43" customFormat="1" ht="19.95" customHeight="1">
      <c r="A20" s="256" t="s">
        <v>294</v>
      </c>
      <c r="B20" s="51">
        <f>B10-B15</f>
        <v>0</v>
      </c>
      <c r="C20" s="51">
        <f t="shared" ref="C20:D20" si="14">C10-C15</f>
        <v>0</v>
      </c>
      <c r="D20" s="51">
        <f t="shared" si="14"/>
        <v>0</v>
      </c>
      <c r="E20" s="51">
        <f t="shared" si="10"/>
        <v>0</v>
      </c>
      <c r="F20" s="51">
        <f t="shared" ref="F20:G20" si="15">F10-F15</f>
        <v>0</v>
      </c>
      <c r="G20" s="51">
        <f t="shared" si="15"/>
        <v>0</v>
      </c>
      <c r="H20" s="51">
        <f t="shared" si="10"/>
        <v>0</v>
      </c>
      <c r="I20" s="51">
        <f t="shared" si="10"/>
        <v>0</v>
      </c>
      <c r="J20" s="51">
        <f t="shared" si="10"/>
        <v>0</v>
      </c>
      <c r="K20" s="51">
        <f t="shared" si="10"/>
        <v>0</v>
      </c>
      <c r="L20" s="51">
        <f t="shared" ref="L20:M20" si="16">L10-L15</f>
        <v>0</v>
      </c>
      <c r="M20" s="51">
        <f t="shared" si="16"/>
        <v>0</v>
      </c>
      <c r="N20" s="51">
        <f t="shared" si="13"/>
        <v>0</v>
      </c>
      <c r="O20" s="187">
        <f>IF(AND(E20=0,N20=0),0,IF(AND(E20=0,N20&gt;0),1,N20/E20))</f>
        <v>0</v>
      </c>
    </row>
    <row r="21" spans="1:15" s="41" customFormat="1" ht="19.95" customHeight="1">
      <c r="A21" s="257" t="s">
        <v>266</v>
      </c>
      <c r="B21" s="175">
        <f>SUM(B18:B20)</f>
        <v>0</v>
      </c>
      <c r="C21" s="175">
        <f>SUM(C18:C20)</f>
        <v>0</v>
      </c>
      <c r="D21" s="175">
        <f t="shared" ref="D21:K21" si="17">SUM(D18:D20)</f>
        <v>0</v>
      </c>
      <c r="E21" s="175">
        <f t="shared" si="17"/>
        <v>0</v>
      </c>
      <c r="F21" s="175">
        <f t="shared" si="17"/>
        <v>0</v>
      </c>
      <c r="G21" s="175">
        <f t="shared" si="17"/>
        <v>0</v>
      </c>
      <c r="H21" s="175">
        <f t="shared" si="17"/>
        <v>0</v>
      </c>
      <c r="I21" s="175">
        <f t="shared" si="17"/>
        <v>0</v>
      </c>
      <c r="J21" s="175">
        <f t="shared" si="17"/>
        <v>0</v>
      </c>
      <c r="K21" s="175">
        <f t="shared" si="17"/>
        <v>0</v>
      </c>
      <c r="L21" s="175">
        <f t="shared" ref="L21:M21" si="18">SUM(L18:L20)</f>
        <v>0</v>
      </c>
      <c r="M21" s="175">
        <f t="shared" si="18"/>
        <v>0</v>
      </c>
      <c r="N21" s="175">
        <f t="shared" ref="N21" si="19">K21-E21</f>
        <v>0</v>
      </c>
      <c r="O21" s="188">
        <f>IF(AND(E21=0,N21=0),0,IF(AND(E21=0,N21&gt;0),1,N21/E21))</f>
        <v>0</v>
      </c>
    </row>
    <row r="22" spans="1:15" s="41" customFormat="1" ht="19.95" customHeight="1">
      <c r="A22" s="62" t="s">
        <v>105</v>
      </c>
      <c r="B22" s="176"/>
      <c r="C22" s="177"/>
      <c r="D22" s="177"/>
      <c r="E22" s="177"/>
      <c r="F22" s="177"/>
      <c r="G22" s="177"/>
      <c r="H22" s="177"/>
      <c r="I22" s="177"/>
      <c r="J22" s="177"/>
      <c r="K22" s="189"/>
      <c r="L22" s="189"/>
      <c r="M22" s="189"/>
      <c r="N22" s="177"/>
    </row>
    <row r="23" spans="1:15" s="41" customFormat="1" ht="19.95" customHeight="1">
      <c r="A23" s="178" t="s">
        <v>106</v>
      </c>
      <c r="B23" s="178"/>
      <c r="C23" s="179"/>
      <c r="D23" s="179"/>
      <c r="E23" s="177"/>
      <c r="F23" s="177"/>
      <c r="G23" s="177"/>
      <c r="H23" s="177"/>
      <c r="I23" s="177"/>
      <c r="J23" s="177"/>
      <c r="K23" s="189"/>
      <c r="L23" s="189"/>
      <c r="M23" s="189"/>
      <c r="N23" s="177"/>
    </row>
    <row r="24" spans="1:15" s="41" customFormat="1" ht="19.95" customHeight="1">
      <c r="A24" s="178" t="s">
        <v>107</v>
      </c>
      <c r="B24" s="178"/>
      <c r="C24" s="178"/>
      <c r="D24" s="178"/>
      <c r="E24" s="177"/>
      <c r="F24" s="177"/>
      <c r="G24" s="177"/>
      <c r="H24" s="177"/>
      <c r="I24" s="177"/>
      <c r="J24" s="177"/>
      <c r="K24" s="189"/>
      <c r="L24" s="189"/>
      <c r="M24" s="189"/>
      <c r="N24" s="177"/>
    </row>
    <row r="25" spans="1:15" s="41" customFormat="1" ht="19.95" customHeight="1">
      <c r="A25" s="178"/>
      <c r="B25" s="178"/>
      <c r="C25" s="178"/>
      <c r="D25" s="178"/>
      <c r="E25" s="177"/>
      <c r="F25" s="177"/>
      <c r="G25" s="177"/>
      <c r="H25" s="177"/>
      <c r="I25" s="177"/>
      <c r="J25" s="177"/>
      <c r="K25" s="189"/>
      <c r="L25" s="189"/>
      <c r="M25" s="189"/>
      <c r="N25" s="177"/>
    </row>
    <row r="26" spans="1:15" s="41" customFormat="1" ht="19.95" customHeight="1">
      <c r="A26" s="178" t="s">
        <v>108</v>
      </c>
      <c r="B26" s="178"/>
      <c r="C26" s="178"/>
      <c r="D26" s="178"/>
      <c r="E26" s="177"/>
      <c r="F26" s="177"/>
      <c r="G26" s="177"/>
      <c r="H26" s="177"/>
      <c r="I26" s="177"/>
      <c r="J26" s="177"/>
      <c r="K26" s="189"/>
      <c r="L26" s="189"/>
      <c r="M26" s="189"/>
      <c r="N26" s="177"/>
    </row>
    <row r="27" spans="1:15" s="41" customFormat="1" ht="19.95" customHeight="1">
      <c r="A27" s="180"/>
      <c r="B27" s="181" t="s">
        <v>109</v>
      </c>
      <c r="C27" s="181" t="s">
        <v>110</v>
      </c>
      <c r="D27" s="178"/>
      <c r="E27" s="177"/>
      <c r="F27" s="177"/>
      <c r="G27" s="177"/>
      <c r="H27" s="177"/>
      <c r="I27" s="177"/>
      <c r="J27" s="177"/>
      <c r="K27" s="189"/>
      <c r="L27" s="189"/>
      <c r="M27" s="189"/>
      <c r="N27" s="177"/>
    </row>
    <row r="28" spans="1:15" s="41" customFormat="1" ht="19.95" customHeight="1">
      <c r="A28" s="180" t="s">
        <v>111</v>
      </c>
      <c r="B28" s="182">
        <f>M21</f>
        <v>0</v>
      </c>
      <c r="C28" s="182">
        <f>G21</f>
        <v>0</v>
      </c>
      <c r="D28" s="178"/>
      <c r="E28" s="177"/>
      <c r="F28" s="177"/>
      <c r="G28" s="177"/>
      <c r="H28" s="177"/>
      <c r="I28" s="177"/>
      <c r="J28" s="177"/>
      <c r="K28" s="189"/>
      <c r="L28" s="189"/>
      <c r="M28" s="189"/>
      <c r="N28" s="177"/>
    </row>
    <row r="29" spans="1:15" s="41" customFormat="1" ht="19.95" customHeight="1">
      <c r="A29" s="180" t="s">
        <v>112</v>
      </c>
      <c r="B29" s="182"/>
      <c r="C29" s="182"/>
      <c r="D29" s="178"/>
      <c r="E29" s="177"/>
      <c r="F29" s="177"/>
      <c r="G29" s="177"/>
      <c r="H29" s="177"/>
      <c r="I29" s="177"/>
      <c r="J29" s="177"/>
      <c r="K29" s="189"/>
      <c r="L29" s="189"/>
      <c r="M29" s="189"/>
      <c r="N29" s="177"/>
    </row>
    <row r="30" spans="1:15" s="41" customFormat="1" ht="19.95" customHeight="1">
      <c r="A30" s="180" t="s">
        <v>113</v>
      </c>
      <c r="B30" s="182">
        <f>B28+B29</f>
        <v>0</v>
      </c>
      <c r="C30" s="182">
        <f>C28+C29</f>
        <v>0</v>
      </c>
      <c r="D30" s="178"/>
      <c r="E30" s="177"/>
      <c r="F30" s="177"/>
      <c r="G30" s="177"/>
      <c r="H30" s="177"/>
      <c r="I30" s="177"/>
      <c r="J30" s="177"/>
      <c r="K30" s="189"/>
      <c r="L30" s="189"/>
      <c r="M30" s="189"/>
      <c r="N30" s="177"/>
    </row>
    <row r="31" spans="1:15" s="41" customFormat="1" ht="19.95" customHeight="1">
      <c r="A31" s="180" t="s">
        <v>114</v>
      </c>
      <c r="B31" s="182"/>
      <c r="C31" s="182"/>
      <c r="D31" s="178"/>
      <c r="E31" s="177"/>
      <c r="F31" s="177"/>
      <c r="G31" s="177"/>
      <c r="H31" s="177"/>
      <c r="I31" s="177"/>
      <c r="J31" s="177"/>
      <c r="K31" s="189"/>
      <c r="L31" s="189"/>
      <c r="M31" s="189"/>
      <c r="N31" s="177"/>
    </row>
    <row r="32" spans="1:15" s="41" customFormat="1" ht="19.95" customHeight="1">
      <c r="A32" s="180" t="s">
        <v>115</v>
      </c>
      <c r="B32" s="182">
        <f>B30-B31</f>
        <v>0</v>
      </c>
      <c r="C32" s="182">
        <f>C30-C31</f>
        <v>0</v>
      </c>
      <c r="D32" s="178"/>
      <c r="E32" s="177"/>
      <c r="F32" s="177"/>
      <c r="G32" s="177"/>
      <c r="H32" s="177"/>
      <c r="I32" s="177"/>
      <c r="J32" s="177"/>
      <c r="K32" s="189"/>
      <c r="L32" s="189"/>
      <c r="M32" s="189"/>
      <c r="N32" s="177"/>
    </row>
    <row r="33" spans="1:14" s="41" customFormat="1" ht="19.95" customHeight="1">
      <c r="A33" s="62"/>
      <c r="B33" s="176"/>
      <c r="C33" s="177"/>
      <c r="D33" s="178"/>
      <c r="E33" s="177"/>
      <c r="F33" s="177"/>
      <c r="G33" s="177"/>
      <c r="H33" s="177"/>
      <c r="I33" s="177"/>
      <c r="J33" s="177"/>
      <c r="K33" s="189"/>
      <c r="L33" s="189"/>
      <c r="M33" s="189"/>
      <c r="N33" s="177"/>
    </row>
    <row r="34" spans="1:14" s="41" customFormat="1" ht="19.95" customHeight="1">
      <c r="A34" s="41" t="s">
        <v>116</v>
      </c>
      <c r="B34" s="176"/>
      <c r="C34" s="177"/>
      <c r="D34" s="177"/>
      <c r="E34" s="177"/>
      <c r="F34" s="177"/>
      <c r="G34" s="177"/>
      <c r="H34" s="177"/>
      <c r="I34" s="177"/>
      <c r="J34" s="177"/>
      <c r="K34" s="189"/>
      <c r="L34" s="189"/>
      <c r="M34" s="189"/>
      <c r="N34" s="177"/>
    </row>
    <row r="35" spans="1:14" s="41" customFormat="1" ht="19.95" customHeight="1">
      <c r="A35" s="183"/>
      <c r="B35" s="184"/>
      <c r="C35" s="184"/>
      <c r="D35" s="184"/>
      <c r="E35" s="184"/>
      <c r="F35" s="184"/>
      <c r="G35" s="184"/>
      <c r="H35" s="184"/>
      <c r="I35" s="184"/>
      <c r="J35" s="184"/>
      <c r="K35" s="184"/>
      <c r="L35" s="184"/>
      <c r="M35" s="184"/>
      <c r="N35" s="184"/>
    </row>
  </sheetData>
  <mergeCells count="6">
    <mergeCell ref="A1:O1"/>
    <mergeCell ref="A2:O2"/>
    <mergeCell ref="B5:G5"/>
    <mergeCell ref="H5:M5"/>
    <mergeCell ref="N5:O5"/>
    <mergeCell ref="A5:A6"/>
  </mergeCells>
  <phoneticPr fontId="126" type="noConversion"/>
  <hyperlinks>
    <hyperlink ref="O3" location="底稿目录!A1" display="=底稿目录!F4"/>
  </hyperlinks>
  <printOptions horizontalCentered="1"/>
  <pageMargins left="0.70866141732283505" right="0.70866141732283505" top="0.74803149606299202" bottom="0.74803149606299202" header="0.31496062992126" footer="0.31496062992126"/>
  <pageSetup paperSize="9" scale="67"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22"/>
  <sheetViews>
    <sheetView view="pageBreakPreview" zoomScaleNormal="100" workbookViewId="0">
      <selection activeCell="G16" sqref="G16"/>
    </sheetView>
  </sheetViews>
  <sheetFormatPr defaultColWidth="9" defaultRowHeight="19.95" customHeight="1"/>
  <cols>
    <col min="1" max="1" width="27.796875" style="5" customWidth="1"/>
    <col min="2" max="2" width="13" style="5" customWidth="1"/>
    <col min="3" max="3" width="15" style="5" customWidth="1"/>
    <col min="4" max="4" width="14.09765625" style="5" customWidth="1"/>
    <col min="5" max="16384" width="9" style="5"/>
  </cols>
  <sheetData>
    <row r="1" spans="1:15" s="140" customFormat="1" ht="19.95" customHeight="1">
      <c r="A1" s="322" t="s">
        <v>42</v>
      </c>
      <c r="B1" s="322"/>
      <c r="C1" s="322"/>
      <c r="D1" s="322"/>
      <c r="E1" s="67"/>
      <c r="F1" s="67"/>
      <c r="G1" s="67"/>
      <c r="H1" s="67"/>
      <c r="I1" s="67"/>
      <c r="J1" s="67"/>
      <c r="K1" s="67"/>
      <c r="L1" s="67"/>
      <c r="M1" s="67"/>
      <c r="N1" s="67"/>
      <c r="O1" s="67"/>
    </row>
    <row r="2" spans="1:15" s="140" customFormat="1" ht="19.95" customHeight="1">
      <c r="A2" s="323" t="s">
        <v>117</v>
      </c>
      <c r="B2" s="323"/>
      <c r="C2" s="323"/>
      <c r="D2" s="323"/>
      <c r="E2" s="34" t="s">
        <v>91</v>
      </c>
      <c r="F2" s="67"/>
      <c r="G2" s="67"/>
      <c r="H2" s="67"/>
      <c r="I2" s="322"/>
      <c r="J2" s="322"/>
      <c r="K2" s="322"/>
      <c r="L2" s="322"/>
      <c r="M2" s="322"/>
      <c r="N2" s="322"/>
      <c r="O2" s="322"/>
    </row>
    <row r="3" spans="1:15" s="2" customFormat="1" ht="19.95" customHeight="1">
      <c r="A3" s="2" t="str">
        <f>底稿目录!A2</f>
        <v>被审计单位：</v>
      </c>
      <c r="B3" s="2" t="str">
        <f>底稿目录!A4</f>
        <v>编制人：</v>
      </c>
      <c r="C3" s="8" t="str">
        <f>底稿目录!A5</f>
        <v>编制日期：</v>
      </c>
      <c r="D3" s="2" t="s">
        <v>27</v>
      </c>
    </row>
    <row r="4" spans="1:15" s="2" customFormat="1" ht="19.95" customHeight="1">
      <c r="A4" s="2" t="str">
        <f>底稿目录!A3</f>
        <v>截止日：202X年12月31日</v>
      </c>
      <c r="B4" s="2" t="str">
        <f>底稿目录!A6</f>
        <v>复核人：</v>
      </c>
      <c r="C4" s="141" t="str">
        <f>底稿目录!A7</f>
        <v>复核日期：</v>
      </c>
      <c r="D4" s="2" t="s">
        <v>92</v>
      </c>
    </row>
    <row r="5" spans="1:15" s="2" customFormat="1" ht="19.95" customHeight="1">
      <c r="A5" s="142" t="s">
        <v>118</v>
      </c>
    </row>
    <row r="6" spans="1:15" s="2" customFormat="1" ht="19.95" customHeight="1">
      <c r="A6" s="143" t="s">
        <v>119</v>
      </c>
      <c r="B6" s="143" t="s">
        <v>120</v>
      </c>
      <c r="C6" s="151" t="s">
        <v>121</v>
      </c>
    </row>
    <row r="7" spans="1:15" s="2" customFormat="1" ht="19.95" customHeight="1">
      <c r="A7" s="144" t="s">
        <v>122</v>
      </c>
      <c r="B7" s="145">
        <f>B21</f>
        <v>0</v>
      </c>
      <c r="C7" s="145">
        <f>C21</f>
        <v>0</v>
      </c>
    </row>
    <row r="8" spans="1:15" s="2" customFormat="1" ht="19.95" customHeight="1">
      <c r="A8" s="5" t="s">
        <v>123</v>
      </c>
      <c r="B8" s="146"/>
      <c r="C8" s="147"/>
    </row>
    <row r="9" spans="1:15" s="2" customFormat="1" ht="19.95" customHeight="1">
      <c r="A9" s="143" t="s">
        <v>124</v>
      </c>
      <c r="B9" s="148">
        <f>SUM(B7:B8)</f>
        <v>0</v>
      </c>
      <c r="C9" s="148">
        <f>SUM(C7:C8)</f>
        <v>0</v>
      </c>
    </row>
    <row r="10" spans="1:15" ht="19.95" customHeight="1">
      <c r="A10" s="142" t="s">
        <v>125</v>
      </c>
      <c r="B10" s="162"/>
    </row>
    <row r="11" spans="1:15" ht="19.95" customHeight="1">
      <c r="A11" s="150" t="s">
        <v>126</v>
      </c>
      <c r="B11" s="151" t="s">
        <v>127</v>
      </c>
      <c r="C11" s="151" t="s">
        <v>121</v>
      </c>
    </row>
    <row r="12" spans="1:15" ht="19.95" customHeight="1">
      <c r="A12" s="163" t="str">
        <f>'明细表L5-2'!A10</f>
        <v>售后租回业务形成的融资</v>
      </c>
      <c r="B12" s="153">
        <f>'明细表L5-2'!O16</f>
        <v>0</v>
      </c>
      <c r="C12" s="153">
        <f>'明细表L5-2'!L16</f>
        <v>0</v>
      </c>
    </row>
    <row r="13" spans="1:15" ht="19.95" customHeight="1">
      <c r="A13" s="163" t="str">
        <f>'明细表L5-2'!A17</f>
        <v>分期付款方式购入固定资产</v>
      </c>
      <c r="B13" s="153">
        <f>'明细表L5-2'!O23</f>
        <v>0</v>
      </c>
      <c r="C13" s="153">
        <f>'明细表L5-2'!L23</f>
        <v>0</v>
      </c>
    </row>
    <row r="14" spans="1:15" ht="19.95" customHeight="1">
      <c r="A14" s="164" t="str">
        <f>'明细表L5-2'!A24</f>
        <v>…</v>
      </c>
      <c r="B14" s="153">
        <f>'明细表L5-2'!O24</f>
        <v>0</v>
      </c>
      <c r="C14" s="153">
        <f>'明细表L5-2'!L24</f>
        <v>0</v>
      </c>
    </row>
    <row r="15" spans="1:15" ht="19.95" customHeight="1">
      <c r="A15" s="163" t="s">
        <v>128</v>
      </c>
      <c r="B15" s="153"/>
      <c r="C15" s="153"/>
    </row>
    <row r="16" spans="1:15" ht="19.95" customHeight="1">
      <c r="A16" s="163" t="str">
        <f>'未确认融资费用明细表L5-3'!A11</f>
        <v>售后租回业务形成的融资</v>
      </c>
      <c r="B16" s="153">
        <f>'未确认融资费用明细表L5-3'!O17</f>
        <v>0</v>
      </c>
      <c r="C16" s="153">
        <f>'未确认融资费用明细表L5-3'!L17</f>
        <v>0</v>
      </c>
    </row>
    <row r="17" spans="1:3" ht="19.95" customHeight="1">
      <c r="A17" s="163" t="str">
        <f>'未确认融资费用明细表L5-3'!A18</f>
        <v>分期付款方式购入固定资产</v>
      </c>
      <c r="B17" s="153">
        <f>'未确认融资费用明细表L5-3'!O24</f>
        <v>0</v>
      </c>
      <c r="C17" s="153">
        <f>'未确认融资费用明细表L5-3'!L24</f>
        <v>0</v>
      </c>
    </row>
    <row r="18" spans="1:3" ht="19.95" customHeight="1">
      <c r="A18" s="164" t="str">
        <f>'未确认融资费用明细表L5-3'!A25</f>
        <v>…</v>
      </c>
      <c r="B18" s="153">
        <f>'未确认融资费用明细表L5-3'!O25</f>
        <v>0</v>
      </c>
      <c r="C18" s="156">
        <f>'未确认融资费用明细表L5-3'!L25</f>
        <v>0</v>
      </c>
    </row>
    <row r="19" spans="1:3" ht="19.95" customHeight="1">
      <c r="A19" s="165" t="s">
        <v>129</v>
      </c>
      <c r="B19" s="166">
        <f>SUM(B12:B14)-SUM(B16:B18)</f>
        <v>0</v>
      </c>
      <c r="C19" s="167">
        <f>SUM(C12:C14)-SUM(C16:C18)</f>
        <v>0</v>
      </c>
    </row>
    <row r="20" spans="1:3" ht="19.95" customHeight="1">
      <c r="A20" s="168" t="s">
        <v>130</v>
      </c>
      <c r="B20" s="169">
        <f>'明细表L5-2'!Q25-'未确认融资费用明细表L5-3'!Q26</f>
        <v>0</v>
      </c>
      <c r="C20" s="169">
        <f>'明细表L5-2'!P25-'未确认融资费用明细表L5-3'!P26</f>
        <v>0</v>
      </c>
    </row>
    <row r="21" spans="1:3" ht="19.95" customHeight="1">
      <c r="A21" s="157" t="s">
        <v>131</v>
      </c>
      <c r="B21" s="170">
        <f>B19-B20</f>
        <v>0</v>
      </c>
      <c r="C21" s="170">
        <f>C19-C20</f>
        <v>0</v>
      </c>
    </row>
    <row r="22" spans="1:3" ht="19.95" customHeight="1">
      <c r="A22" s="5" t="s">
        <v>132</v>
      </c>
    </row>
  </sheetData>
  <mergeCells count="3">
    <mergeCell ref="A1:D1"/>
    <mergeCell ref="A2:D2"/>
    <mergeCell ref="I2:O2"/>
  </mergeCells>
  <phoneticPr fontId="126" type="noConversion"/>
  <hyperlinks>
    <hyperlink ref="E2" location="底稿目录!A1" display="返回目录"/>
  </hyperlinks>
  <pageMargins left="0.70866141732283505" right="0.70866141732283505" top="0.74803149606299202" bottom="0.74803149606299202" header="0.31496062992126" footer="0.31496062992126"/>
  <pageSetup paperSize="9" fitToHeight="0"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O20"/>
  <sheetViews>
    <sheetView view="pageBreakPreview" zoomScaleNormal="100" workbookViewId="0">
      <selection activeCell="G10" sqref="G10"/>
    </sheetView>
  </sheetViews>
  <sheetFormatPr defaultColWidth="9" defaultRowHeight="19.95" customHeight="1"/>
  <cols>
    <col min="1" max="1" width="26.796875" style="5" customWidth="1"/>
    <col min="2" max="2" width="11.09765625" style="5" customWidth="1"/>
    <col min="3" max="3" width="17.296875" style="5" customWidth="1"/>
    <col min="4" max="4" width="7.796875" style="5" customWidth="1"/>
    <col min="5" max="16384" width="9" style="5"/>
  </cols>
  <sheetData>
    <row r="1" spans="1:15" s="140" customFormat="1" ht="19.95" customHeight="1">
      <c r="A1" s="322" t="s">
        <v>42</v>
      </c>
      <c r="B1" s="322"/>
      <c r="C1" s="322"/>
      <c r="D1" s="322"/>
      <c r="E1" s="67"/>
      <c r="F1" s="67"/>
      <c r="G1" s="67"/>
      <c r="H1" s="67"/>
      <c r="I1" s="67"/>
      <c r="J1" s="67"/>
      <c r="K1" s="67"/>
      <c r="L1" s="67"/>
      <c r="M1" s="67"/>
      <c r="N1" s="67"/>
      <c r="O1" s="67"/>
    </row>
    <row r="2" spans="1:15" s="140" customFormat="1" ht="19.95" customHeight="1">
      <c r="A2" s="323" t="s">
        <v>117</v>
      </c>
      <c r="B2" s="323"/>
      <c r="C2" s="323"/>
      <c r="D2" s="323"/>
      <c r="E2" s="34" t="s">
        <v>91</v>
      </c>
      <c r="F2" s="67"/>
      <c r="G2" s="67"/>
      <c r="H2" s="67"/>
      <c r="I2" s="322"/>
      <c r="J2" s="322"/>
      <c r="K2" s="322"/>
      <c r="L2" s="322"/>
      <c r="M2" s="322"/>
      <c r="N2" s="322"/>
      <c r="O2" s="322"/>
    </row>
    <row r="3" spans="1:15" s="2" customFormat="1" ht="19.95" customHeight="1">
      <c r="A3" s="2" t="str">
        <f>底稿目录!A2</f>
        <v>被审计单位：</v>
      </c>
      <c r="B3" s="2" t="str">
        <f>底稿目录!A4</f>
        <v>编制人：</v>
      </c>
      <c r="C3" s="2" t="str">
        <f>底稿目录!A5</f>
        <v>编制日期：</v>
      </c>
      <c r="D3" s="2" t="s">
        <v>27</v>
      </c>
    </row>
    <row r="4" spans="1:15" s="2" customFormat="1" ht="19.95" customHeight="1">
      <c r="A4" s="2" t="str">
        <f>底稿目录!A3</f>
        <v>截止日：202X年12月31日</v>
      </c>
      <c r="B4" s="2" t="str">
        <f>底稿目录!A6</f>
        <v>复核人：</v>
      </c>
      <c r="C4" s="141" t="str">
        <f>底稿目录!A7</f>
        <v>复核日期：</v>
      </c>
      <c r="D4" s="2" t="s">
        <v>92</v>
      </c>
    </row>
    <row r="5" spans="1:15" ht="19.95" customHeight="1">
      <c r="A5" s="142" t="s">
        <v>133</v>
      </c>
      <c r="B5" s="2"/>
      <c r="C5" s="2"/>
    </row>
    <row r="6" spans="1:15" ht="19.95" customHeight="1">
      <c r="A6" s="143" t="s">
        <v>119</v>
      </c>
      <c r="B6" s="143" t="s">
        <v>120</v>
      </c>
      <c r="C6" s="143" t="s">
        <v>134</v>
      </c>
    </row>
    <row r="7" spans="1:15" ht="19.95" customHeight="1">
      <c r="A7" s="144" t="s">
        <v>122</v>
      </c>
      <c r="B7" s="145">
        <f>B20</f>
        <v>0</v>
      </c>
      <c r="C7" s="145">
        <f>C20</f>
        <v>0</v>
      </c>
    </row>
    <row r="8" spans="1:15" ht="19.95" customHeight="1">
      <c r="A8" s="5" t="s">
        <v>123</v>
      </c>
      <c r="B8" s="146"/>
      <c r="C8" s="147"/>
    </row>
    <row r="9" spans="1:15" ht="19.95" customHeight="1">
      <c r="A9" s="143" t="s">
        <v>124</v>
      </c>
      <c r="B9" s="148">
        <f>SUM(B7:B8)</f>
        <v>0</v>
      </c>
      <c r="C9" s="148">
        <f>SUM(C7:C8)</f>
        <v>0</v>
      </c>
    </row>
    <row r="10" spans="1:15" ht="19.95" customHeight="1">
      <c r="A10" s="149" t="s">
        <v>135</v>
      </c>
      <c r="B10" s="149"/>
    </row>
    <row r="11" spans="1:15" ht="19.95" customHeight="1">
      <c r="A11" s="150" t="s">
        <v>126</v>
      </c>
      <c r="B11" s="151" t="s">
        <v>136</v>
      </c>
      <c r="C11" s="151" t="s">
        <v>137</v>
      </c>
    </row>
    <row r="12" spans="1:15" ht="19.95" customHeight="1">
      <c r="A12" s="152">
        <f>'关联方及交易检查表L5-6'!A8</f>
        <v>0</v>
      </c>
      <c r="B12" s="153"/>
      <c r="C12" s="154"/>
    </row>
    <row r="13" spans="1:15" ht="19.95" customHeight="1">
      <c r="A13" s="152">
        <f>'关联方及交易检查表L5-6'!A9</f>
        <v>0</v>
      </c>
      <c r="B13" s="153"/>
      <c r="C13" s="154"/>
    </row>
    <row r="14" spans="1:15" ht="19.95" customHeight="1">
      <c r="A14" s="152">
        <f>'关联方及交易检查表L5-6'!A10</f>
        <v>0</v>
      </c>
      <c r="B14" s="153"/>
      <c r="C14" s="154"/>
    </row>
    <row r="15" spans="1:15" ht="19.95" customHeight="1">
      <c r="A15" s="152">
        <f>'关联方及交易检查表L5-6'!A11</f>
        <v>0</v>
      </c>
      <c r="B15" s="153"/>
      <c r="C15" s="154"/>
    </row>
    <row r="16" spans="1:15" ht="19.95" customHeight="1">
      <c r="A16" s="152">
        <f>'关联方及交易检查表L5-6'!A12</f>
        <v>0</v>
      </c>
      <c r="B16" s="153"/>
      <c r="C16" s="154"/>
    </row>
    <row r="17" spans="1:3" ht="19.95" customHeight="1">
      <c r="A17" s="155" t="s">
        <v>138</v>
      </c>
      <c r="B17" s="156">
        <f>'明细表L5-2'!O25-'附注披露信息（国企）'!B12-'附注披露信息（国企）'!B13-'附注披露信息（国企）'!B14-'附注披露信息（国企）'!B15-'附注披露信息（国企）'!B16</f>
        <v>0</v>
      </c>
      <c r="C17" s="156">
        <f>'明细表L5-2'!L25-'附注披露信息（国企）'!C12-'附注披露信息（国企）'!C13-'附注披露信息（国企）'!C14-'附注披露信息（国企）'!C15-'附注披露信息（国企）'!C16</f>
        <v>0</v>
      </c>
    </row>
    <row r="18" spans="1:3" ht="19.95" customHeight="1">
      <c r="A18" s="157" t="s">
        <v>139</v>
      </c>
      <c r="B18" s="158">
        <f>SUM(B12:B17)</f>
        <v>0</v>
      </c>
      <c r="C18" s="158">
        <f>SUM(C12:C17)</f>
        <v>0</v>
      </c>
    </row>
    <row r="19" spans="1:3" ht="19.95" customHeight="1">
      <c r="A19" s="159" t="s">
        <v>130</v>
      </c>
      <c r="B19" s="160">
        <f>'明细表L5-2'!Q25-'未确认融资费用明细表L5-3'!Q26</f>
        <v>0</v>
      </c>
      <c r="C19" s="160">
        <f>'明细表L5-2'!P25-'未确认融资费用明细表L5-3'!P26</f>
        <v>0</v>
      </c>
    </row>
    <row r="20" spans="1:3" ht="19.95" customHeight="1">
      <c r="A20" s="150" t="s">
        <v>131</v>
      </c>
      <c r="B20" s="161">
        <f>B18-B19</f>
        <v>0</v>
      </c>
      <c r="C20" s="161">
        <f>C18-C19</f>
        <v>0</v>
      </c>
    </row>
  </sheetData>
  <mergeCells count="3">
    <mergeCell ref="A1:D1"/>
    <mergeCell ref="A2:D2"/>
    <mergeCell ref="I2:O2"/>
  </mergeCells>
  <phoneticPr fontId="126" type="noConversion"/>
  <hyperlinks>
    <hyperlink ref="E2" location="底稿目录!A1" display="返回目录"/>
  </hyperlinks>
  <pageMargins left="0.70866141732283505" right="0.70866141732283505" top="0.74803149606299202" bottom="0.74803149606299202" header="0.31496062992126" footer="0.31496062992126"/>
  <pageSetup paperSize="9" scale="77"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35"/>
  <sheetViews>
    <sheetView view="pageBreakPreview" zoomScaleNormal="100" workbookViewId="0">
      <selection sqref="A1:O1"/>
    </sheetView>
  </sheetViews>
  <sheetFormatPr defaultColWidth="7" defaultRowHeight="19.95" customHeight="1"/>
  <cols>
    <col min="1" max="1" width="22.5" style="130" customWidth="1"/>
    <col min="2" max="2" width="11.796875" style="130" customWidth="1"/>
    <col min="3" max="4" width="8.5" style="130" customWidth="1"/>
    <col min="5" max="8" width="10.796875" style="130" customWidth="1"/>
    <col min="9" max="9" width="10.796875" style="131" customWidth="1"/>
    <col min="10" max="10" width="10.796875" style="130" customWidth="1"/>
    <col min="11" max="11" width="10.796875" style="131" customWidth="1"/>
    <col min="12" max="17" width="10.796875" style="130" customWidth="1"/>
    <col min="18" max="19" width="13.59765625" style="130" customWidth="1"/>
    <col min="20" max="21" width="10.796875" style="130" customWidth="1"/>
    <col min="22" max="23" width="8.09765625" style="130" customWidth="1"/>
    <col min="24" max="24" width="9" style="130" customWidth="1"/>
    <col min="25" max="25" width="7.69921875" style="130" customWidth="1"/>
    <col min="26" max="26" width="8.5" style="130" customWidth="1"/>
    <col min="27" max="27" width="8.09765625" style="130" customWidth="1"/>
    <col min="28" max="28" width="10.69921875" style="130" customWidth="1"/>
    <col min="29" max="29" width="9" style="130" customWidth="1"/>
    <col min="30" max="16384" width="7" style="130"/>
  </cols>
  <sheetData>
    <row r="1" spans="1:30" ht="19.95" customHeight="1">
      <c r="A1" s="329" t="s">
        <v>42</v>
      </c>
      <c r="B1" s="329"/>
      <c r="C1" s="329"/>
      <c r="D1" s="329"/>
      <c r="E1" s="329"/>
      <c r="F1" s="329"/>
      <c r="G1" s="329"/>
      <c r="H1" s="329"/>
      <c r="I1" s="329"/>
      <c r="J1" s="329"/>
      <c r="K1" s="329"/>
      <c r="L1" s="329"/>
      <c r="M1" s="329"/>
      <c r="N1" s="329"/>
      <c r="O1" s="329"/>
      <c r="P1" s="329" t="s">
        <v>42</v>
      </c>
      <c r="Q1" s="329"/>
      <c r="R1" s="329"/>
      <c r="S1" s="329"/>
      <c r="T1" s="329"/>
      <c r="U1" s="329"/>
      <c r="V1" s="329"/>
      <c r="W1" s="329"/>
      <c r="X1" s="329"/>
      <c r="Y1" s="329"/>
      <c r="Z1" s="329"/>
      <c r="AA1" s="123"/>
      <c r="AB1" s="123"/>
      <c r="AC1" s="123"/>
      <c r="AD1" s="123"/>
    </row>
    <row r="2" spans="1:30" ht="19.95" customHeight="1">
      <c r="A2" s="330" t="s">
        <v>140</v>
      </c>
      <c r="B2" s="330"/>
      <c r="C2" s="330"/>
      <c r="D2" s="330"/>
      <c r="E2" s="330"/>
      <c r="F2" s="330"/>
      <c r="G2" s="330"/>
      <c r="H2" s="330"/>
      <c r="I2" s="330"/>
      <c r="J2" s="330"/>
      <c r="K2" s="330"/>
      <c r="L2" s="330"/>
      <c r="M2" s="330"/>
      <c r="N2" s="330"/>
      <c r="O2" s="330"/>
      <c r="P2" s="330" t="s">
        <v>140</v>
      </c>
      <c r="Q2" s="330"/>
      <c r="R2" s="330"/>
      <c r="S2" s="330"/>
      <c r="T2" s="330"/>
      <c r="U2" s="330"/>
      <c r="V2" s="330"/>
      <c r="W2" s="330"/>
      <c r="X2" s="330"/>
      <c r="Y2" s="330"/>
      <c r="Z2" s="330"/>
      <c r="AA2" s="124"/>
      <c r="AB2" s="124"/>
      <c r="AC2" s="124"/>
      <c r="AD2" s="124"/>
    </row>
    <row r="3" spans="1:30" ht="19.95" customHeight="1">
      <c r="A3" s="2" t="str">
        <f>底稿目录!A2</f>
        <v>被审计单位：</v>
      </c>
      <c r="B3" s="2"/>
      <c r="C3" s="2"/>
      <c r="D3" s="2"/>
      <c r="E3" s="2" t="str">
        <f>底稿目录!A4</f>
        <v>编制人：</v>
      </c>
      <c r="F3" s="2"/>
      <c r="G3" s="2"/>
      <c r="I3" s="70"/>
      <c r="J3" s="8" t="str">
        <f>底稿目录!A5</f>
        <v>编制日期：</v>
      </c>
      <c r="K3" s="70"/>
      <c r="L3" s="2"/>
      <c r="M3" s="2"/>
      <c r="N3" s="2" t="s">
        <v>27</v>
      </c>
      <c r="O3" s="293" t="str">
        <f>底稿目录!F7</f>
        <v>L5-2</v>
      </c>
      <c r="P3" s="2"/>
      <c r="Q3" s="2"/>
      <c r="R3" s="2" t="str">
        <f>E3</f>
        <v>编制人：</v>
      </c>
      <c r="U3" s="136" t="str">
        <f>J3</f>
        <v>编制日期：</v>
      </c>
      <c r="Y3" s="2"/>
      <c r="Z3" s="2"/>
      <c r="AB3" s="2" t="s">
        <v>27</v>
      </c>
      <c r="AC3" s="293" t="str">
        <f>底稿目录!F7</f>
        <v>L5-2</v>
      </c>
    </row>
    <row r="4" spans="1:30" ht="19.95" customHeight="1">
      <c r="A4" s="2" t="str">
        <f>底稿目录!A3</f>
        <v>截止日：202X年12月31日</v>
      </c>
      <c r="B4" s="2"/>
      <c r="C4" s="2"/>
      <c r="D4" s="2"/>
      <c r="E4" s="2" t="str">
        <f>底稿目录!A6</f>
        <v>复核人：</v>
      </c>
      <c r="F4" s="2"/>
      <c r="G4" s="2"/>
      <c r="I4" s="70"/>
      <c r="J4" s="8" t="str">
        <f>底稿目录!A7</f>
        <v>复核日期：</v>
      </c>
      <c r="K4" s="70"/>
      <c r="L4" s="2"/>
      <c r="M4" s="2"/>
      <c r="N4" s="2" t="s">
        <v>92</v>
      </c>
      <c r="O4" s="2"/>
      <c r="P4" s="2"/>
      <c r="Q4" s="2"/>
      <c r="R4" s="2" t="str">
        <f>E4</f>
        <v>复核人：</v>
      </c>
      <c r="U4" s="136" t="str">
        <f>J4</f>
        <v>复核日期：</v>
      </c>
      <c r="Y4" s="2"/>
      <c r="Z4" s="2"/>
      <c r="AB4" s="2" t="s">
        <v>92</v>
      </c>
      <c r="AC4" s="2"/>
    </row>
    <row r="5" spans="1:30" ht="19.95" customHeight="1">
      <c r="A5" s="55" t="s">
        <v>141</v>
      </c>
      <c r="C5" s="2"/>
      <c r="D5" s="2"/>
      <c r="E5" s="2"/>
      <c r="F5" s="2"/>
      <c r="G5" s="2"/>
      <c r="H5" s="2"/>
      <c r="J5" s="61"/>
      <c r="K5" s="70"/>
      <c r="L5" s="2"/>
      <c r="M5" s="2"/>
      <c r="N5" s="2"/>
      <c r="O5" s="2"/>
      <c r="P5" s="2"/>
      <c r="Q5" s="2"/>
      <c r="R5" s="2"/>
      <c r="S5" s="2"/>
      <c r="T5" s="2"/>
      <c r="U5" s="2"/>
      <c r="X5" s="2"/>
      <c r="Y5" s="2"/>
      <c r="Z5" s="2"/>
      <c r="AA5" s="2"/>
      <c r="AB5" s="2"/>
    </row>
    <row r="6" spans="1:30" ht="32.549999999999997" customHeight="1">
      <c r="B6" s="331" t="s">
        <v>142</v>
      </c>
      <c r="C6" s="331"/>
      <c r="D6" s="331"/>
      <c r="E6" s="331"/>
      <c r="F6" s="331"/>
      <c r="G6" s="331"/>
      <c r="H6" s="331"/>
      <c r="I6" s="331"/>
      <c r="J6" s="331"/>
      <c r="K6" s="331"/>
      <c r="L6" s="331"/>
      <c r="M6" s="331"/>
      <c r="N6" s="331"/>
      <c r="O6" s="331"/>
      <c r="P6" s="331" t="s">
        <v>142</v>
      </c>
      <c r="Q6" s="331"/>
      <c r="R6" s="331"/>
      <c r="S6" s="331"/>
      <c r="T6" s="331"/>
      <c r="U6" s="331"/>
      <c r="V6" s="331"/>
      <c r="W6" s="331"/>
      <c r="X6" s="331"/>
      <c r="Y6" s="331"/>
      <c r="Z6" s="331"/>
      <c r="AA6" s="331"/>
      <c r="AB6" s="331"/>
      <c r="AC6" s="331"/>
    </row>
    <row r="7" spans="1:30" ht="19.95" customHeight="1">
      <c r="A7" s="55" t="s">
        <v>143</v>
      </c>
      <c r="B7" s="2"/>
      <c r="C7" s="2"/>
      <c r="D7" s="2"/>
      <c r="F7" s="2"/>
      <c r="G7" s="2"/>
      <c r="H7" s="2"/>
      <c r="I7" s="70"/>
      <c r="J7" s="2"/>
      <c r="K7" s="70"/>
      <c r="L7" s="2"/>
      <c r="M7" s="2"/>
      <c r="N7" s="2"/>
      <c r="O7" s="2"/>
      <c r="P7" s="2"/>
      <c r="Q7" s="2"/>
      <c r="R7" s="2"/>
      <c r="S7" s="2"/>
      <c r="T7" s="2"/>
      <c r="U7" s="2"/>
      <c r="X7" s="2"/>
      <c r="Y7" s="2"/>
      <c r="Z7" s="2"/>
      <c r="AA7" s="2"/>
      <c r="AB7" s="2"/>
    </row>
    <row r="8" spans="1:30" s="129" customFormat="1" ht="19.95" customHeight="1">
      <c r="A8" s="324" t="s">
        <v>144</v>
      </c>
      <c r="B8" s="326" t="s">
        <v>97</v>
      </c>
      <c r="C8" s="328"/>
      <c r="D8" s="328"/>
      <c r="E8" s="327"/>
      <c r="F8" s="326" t="s">
        <v>145</v>
      </c>
      <c r="G8" s="327"/>
      <c r="H8" s="326" t="s">
        <v>98</v>
      </c>
      <c r="I8" s="327"/>
      <c r="J8" s="326" t="s">
        <v>99</v>
      </c>
      <c r="K8" s="327"/>
      <c r="L8" s="326" t="s">
        <v>100</v>
      </c>
      <c r="M8" s="328"/>
      <c r="N8" s="328"/>
      <c r="O8" s="327"/>
      <c r="P8" s="324" t="s">
        <v>146</v>
      </c>
      <c r="Q8" s="324" t="s">
        <v>147</v>
      </c>
      <c r="R8" s="326" t="s">
        <v>148</v>
      </c>
      <c r="S8" s="327"/>
      <c r="T8" s="326" t="s">
        <v>149</v>
      </c>
      <c r="U8" s="328"/>
      <c r="V8" s="328"/>
      <c r="W8" s="328"/>
      <c r="X8" s="327"/>
      <c r="Y8" s="324" t="s">
        <v>150</v>
      </c>
      <c r="Z8" s="324" t="s">
        <v>151</v>
      </c>
      <c r="AA8" s="324" t="s">
        <v>152</v>
      </c>
      <c r="AB8" s="324" t="s">
        <v>153</v>
      </c>
      <c r="AC8" s="324" t="s">
        <v>154</v>
      </c>
    </row>
    <row r="9" spans="1:30" s="129" customFormat="1" ht="19.95" customHeight="1">
      <c r="A9" s="325"/>
      <c r="B9" s="46" t="s">
        <v>155</v>
      </c>
      <c r="C9" s="46" t="s">
        <v>156</v>
      </c>
      <c r="D9" s="46" t="s">
        <v>157</v>
      </c>
      <c r="E9" s="46" t="s">
        <v>158</v>
      </c>
      <c r="F9" s="46" t="s">
        <v>98</v>
      </c>
      <c r="G9" s="46" t="s">
        <v>99</v>
      </c>
      <c r="H9" s="106" t="s">
        <v>156</v>
      </c>
      <c r="I9" s="106" t="s">
        <v>157</v>
      </c>
      <c r="J9" s="106" t="s">
        <v>156</v>
      </c>
      <c r="K9" s="106" t="s">
        <v>157</v>
      </c>
      <c r="L9" s="46" t="s">
        <v>155</v>
      </c>
      <c r="M9" s="46" t="s">
        <v>156</v>
      </c>
      <c r="N9" s="46" t="s">
        <v>157</v>
      </c>
      <c r="O9" s="46" t="s">
        <v>158</v>
      </c>
      <c r="P9" s="325"/>
      <c r="Q9" s="325"/>
      <c r="R9" s="46" t="s">
        <v>155</v>
      </c>
      <c r="S9" s="46" t="s">
        <v>158</v>
      </c>
      <c r="T9" s="46" t="s">
        <v>159</v>
      </c>
      <c r="U9" s="46" t="s">
        <v>160</v>
      </c>
      <c r="V9" s="46" t="s">
        <v>161</v>
      </c>
      <c r="W9" s="46" t="s">
        <v>162</v>
      </c>
      <c r="X9" s="46" t="s">
        <v>163</v>
      </c>
      <c r="Y9" s="325"/>
      <c r="Z9" s="325"/>
      <c r="AA9" s="325"/>
      <c r="AB9" s="325"/>
      <c r="AC9" s="325"/>
    </row>
    <row r="10" spans="1:30" s="129" customFormat="1" ht="19.95" customHeight="1">
      <c r="A10" s="132" t="s">
        <v>164</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25"/>
    </row>
    <row r="11" spans="1:30" ht="19.95" customHeight="1">
      <c r="A11" s="133"/>
      <c r="B11" s="110"/>
      <c r="C11" s="110"/>
      <c r="D11" s="110"/>
      <c r="E11" s="51">
        <f>B11-C11+D11</f>
        <v>0</v>
      </c>
      <c r="F11" s="111"/>
      <c r="G11" s="111"/>
      <c r="H11" s="111"/>
      <c r="I11" s="111"/>
      <c r="J11" s="111"/>
      <c r="K11" s="111"/>
      <c r="L11" s="51">
        <f>B11+F11+G11</f>
        <v>0</v>
      </c>
      <c r="M11" s="51">
        <f t="shared" ref="M11:N15" si="0">C11+H11+J11</f>
        <v>0</v>
      </c>
      <c r="N11" s="51">
        <f t="shared" si="0"/>
        <v>0</v>
      </c>
      <c r="O11" s="51">
        <f>L11-M11+N11</f>
        <v>0</v>
      </c>
      <c r="P11" s="77"/>
      <c r="Q11" s="77"/>
      <c r="R11" s="51">
        <f>L11-P11</f>
        <v>0</v>
      </c>
      <c r="S11" s="51">
        <f>O11-Q11</f>
        <v>0</v>
      </c>
      <c r="T11" s="51"/>
      <c r="U11" s="51"/>
      <c r="V11" s="111"/>
      <c r="W11" s="110"/>
      <c r="X11" s="110"/>
      <c r="Y11" s="110"/>
      <c r="Z11" s="48"/>
      <c r="AA11" s="110"/>
      <c r="AB11" s="110"/>
      <c r="AC11" s="48"/>
    </row>
    <row r="12" spans="1:30" ht="19.95" customHeight="1">
      <c r="A12" s="133"/>
      <c r="B12" s="110"/>
      <c r="C12" s="110"/>
      <c r="D12" s="110"/>
      <c r="E12" s="51">
        <f>B12-C12+D12</f>
        <v>0</v>
      </c>
      <c r="F12" s="111"/>
      <c r="G12" s="111"/>
      <c r="H12" s="111"/>
      <c r="I12" s="111"/>
      <c r="J12" s="111"/>
      <c r="K12" s="111"/>
      <c r="L12" s="51">
        <f>B12+F12+G12</f>
        <v>0</v>
      </c>
      <c r="M12" s="51">
        <f t="shared" si="0"/>
        <v>0</v>
      </c>
      <c r="N12" s="51">
        <f t="shared" si="0"/>
        <v>0</v>
      </c>
      <c r="O12" s="51">
        <f>L12-M12+N12</f>
        <v>0</v>
      </c>
      <c r="P12" s="77"/>
      <c r="Q12" s="77"/>
      <c r="R12" s="51">
        <f>L12-P12</f>
        <v>0</v>
      </c>
      <c r="S12" s="51">
        <f t="shared" ref="S12:S15" si="1">O12-Q12</f>
        <v>0</v>
      </c>
      <c r="T12" s="51"/>
      <c r="U12" s="51"/>
      <c r="V12" s="111"/>
      <c r="W12" s="110"/>
      <c r="X12" s="110"/>
      <c r="Y12" s="110"/>
      <c r="Z12" s="48"/>
      <c r="AA12" s="110"/>
      <c r="AB12" s="110"/>
      <c r="AC12" s="48"/>
    </row>
    <row r="13" spans="1:30" ht="19.95" customHeight="1">
      <c r="A13" s="133"/>
      <c r="B13" s="110"/>
      <c r="C13" s="110"/>
      <c r="D13" s="110"/>
      <c r="E13" s="51">
        <f>B13-C13+D13</f>
        <v>0</v>
      </c>
      <c r="F13" s="111"/>
      <c r="G13" s="111"/>
      <c r="H13" s="111"/>
      <c r="I13" s="111"/>
      <c r="J13" s="111"/>
      <c r="K13" s="111"/>
      <c r="L13" s="51">
        <f>B13+F13+G13</f>
        <v>0</v>
      </c>
      <c r="M13" s="51">
        <f t="shared" si="0"/>
        <v>0</v>
      </c>
      <c r="N13" s="51">
        <f t="shared" si="0"/>
        <v>0</v>
      </c>
      <c r="O13" s="51">
        <f>L13-M13+N13</f>
        <v>0</v>
      </c>
      <c r="P13" s="77"/>
      <c r="Q13" s="77"/>
      <c r="R13" s="51">
        <f>L13-P13</f>
        <v>0</v>
      </c>
      <c r="S13" s="51">
        <f t="shared" si="1"/>
        <v>0</v>
      </c>
      <c r="T13" s="51"/>
      <c r="U13" s="51"/>
      <c r="V13" s="111"/>
      <c r="W13" s="110"/>
      <c r="X13" s="110"/>
      <c r="Y13" s="110"/>
      <c r="Z13" s="48"/>
      <c r="AA13" s="110"/>
      <c r="AB13" s="110"/>
      <c r="AC13" s="48"/>
    </row>
    <row r="14" spans="1:30" ht="19.95" customHeight="1">
      <c r="A14" s="133"/>
      <c r="B14" s="110"/>
      <c r="C14" s="110"/>
      <c r="D14" s="110"/>
      <c r="E14" s="51">
        <f>B14-C14+D14</f>
        <v>0</v>
      </c>
      <c r="F14" s="111"/>
      <c r="G14" s="111"/>
      <c r="H14" s="111"/>
      <c r="I14" s="111"/>
      <c r="J14" s="111"/>
      <c r="K14" s="111"/>
      <c r="L14" s="51">
        <f>B14+F14+G14</f>
        <v>0</v>
      </c>
      <c r="M14" s="51">
        <f t="shared" si="0"/>
        <v>0</v>
      </c>
      <c r="N14" s="51">
        <f t="shared" si="0"/>
        <v>0</v>
      </c>
      <c r="O14" s="51">
        <f>L14-M14+N14</f>
        <v>0</v>
      </c>
      <c r="P14" s="77"/>
      <c r="Q14" s="77"/>
      <c r="R14" s="51">
        <f>L14-P14</f>
        <v>0</v>
      </c>
      <c r="S14" s="51">
        <f t="shared" si="1"/>
        <v>0</v>
      </c>
      <c r="T14" s="51"/>
      <c r="U14" s="51"/>
      <c r="V14" s="111"/>
      <c r="W14" s="110"/>
      <c r="X14" s="110"/>
      <c r="Y14" s="110"/>
      <c r="Z14" s="48"/>
      <c r="AA14" s="110"/>
      <c r="AB14" s="110"/>
      <c r="AC14" s="48"/>
    </row>
    <row r="15" spans="1:30" ht="19.95" customHeight="1">
      <c r="A15" s="133"/>
      <c r="B15" s="110"/>
      <c r="C15" s="110"/>
      <c r="D15" s="110"/>
      <c r="E15" s="51">
        <f>B15-C15+D15</f>
        <v>0</v>
      </c>
      <c r="F15" s="111"/>
      <c r="G15" s="111"/>
      <c r="H15" s="111"/>
      <c r="I15" s="111"/>
      <c r="J15" s="111"/>
      <c r="K15" s="111"/>
      <c r="L15" s="51">
        <f>B15+F15+G15</f>
        <v>0</v>
      </c>
      <c r="M15" s="51">
        <f t="shared" si="0"/>
        <v>0</v>
      </c>
      <c r="N15" s="51">
        <f t="shared" si="0"/>
        <v>0</v>
      </c>
      <c r="O15" s="51">
        <f>L15-M15+N15</f>
        <v>0</v>
      </c>
      <c r="P15" s="77"/>
      <c r="Q15" s="77"/>
      <c r="R15" s="51">
        <f>L15-P15</f>
        <v>0</v>
      </c>
      <c r="S15" s="51">
        <f t="shared" si="1"/>
        <v>0</v>
      </c>
      <c r="T15" s="51"/>
      <c r="U15" s="51"/>
      <c r="V15" s="111"/>
      <c r="W15" s="110"/>
      <c r="X15" s="110"/>
      <c r="Y15" s="110"/>
      <c r="Z15" s="48"/>
      <c r="AA15" s="110"/>
      <c r="AB15" s="110"/>
      <c r="AC15" s="48"/>
    </row>
    <row r="16" spans="1:30" s="261" customFormat="1" ht="19.95" customHeight="1">
      <c r="A16" s="258" t="s">
        <v>165</v>
      </c>
      <c r="B16" s="259">
        <f>SUM(B11:B15)</f>
        <v>0</v>
      </c>
      <c r="C16" s="259">
        <f t="shared" ref="C16:O16" si="2">SUM(C11:C15)</f>
        <v>0</v>
      </c>
      <c r="D16" s="259">
        <f t="shared" si="2"/>
        <v>0</v>
      </c>
      <c r="E16" s="259">
        <f t="shared" si="2"/>
        <v>0</v>
      </c>
      <c r="F16" s="259">
        <f t="shared" si="2"/>
        <v>0</v>
      </c>
      <c r="G16" s="259">
        <f t="shared" si="2"/>
        <v>0</v>
      </c>
      <c r="H16" s="259">
        <f t="shared" si="2"/>
        <v>0</v>
      </c>
      <c r="I16" s="259">
        <f t="shared" si="2"/>
        <v>0</v>
      </c>
      <c r="J16" s="259">
        <f t="shared" si="2"/>
        <v>0</v>
      </c>
      <c r="K16" s="259">
        <f t="shared" si="2"/>
        <v>0</v>
      </c>
      <c r="L16" s="259">
        <f t="shared" si="2"/>
        <v>0</v>
      </c>
      <c r="M16" s="259">
        <f t="shared" si="2"/>
        <v>0</v>
      </c>
      <c r="N16" s="259">
        <f t="shared" si="2"/>
        <v>0</v>
      </c>
      <c r="O16" s="259">
        <f t="shared" si="2"/>
        <v>0</v>
      </c>
      <c r="P16" s="259">
        <f t="shared" ref="P16:S16" si="3">SUM(P11:P15)</f>
        <v>0</v>
      </c>
      <c r="Q16" s="259">
        <f t="shared" si="3"/>
        <v>0</v>
      </c>
      <c r="R16" s="259">
        <f t="shared" si="3"/>
        <v>0</v>
      </c>
      <c r="S16" s="259">
        <f t="shared" si="3"/>
        <v>0</v>
      </c>
      <c r="T16" s="259"/>
      <c r="U16" s="259"/>
      <c r="V16" s="259">
        <f t="shared" ref="V16:X16" si="4">SUM(V11:V15)</f>
        <v>0</v>
      </c>
      <c r="W16" s="259">
        <f t="shared" si="4"/>
        <v>0</v>
      </c>
      <c r="X16" s="259">
        <f t="shared" si="4"/>
        <v>0</v>
      </c>
      <c r="Y16" s="260" t="s">
        <v>166</v>
      </c>
      <c r="Z16" s="260" t="s">
        <v>166</v>
      </c>
      <c r="AA16" s="259">
        <f>SUM(AA11:AA15)</f>
        <v>0</v>
      </c>
      <c r="AB16" s="260" t="s">
        <v>166</v>
      </c>
      <c r="AC16" s="260" t="s">
        <v>166</v>
      </c>
    </row>
    <row r="17" spans="1:29" ht="19.95" customHeight="1">
      <c r="A17" s="112" t="s">
        <v>167</v>
      </c>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38"/>
      <c r="AA17" s="113"/>
      <c r="AB17" s="113"/>
      <c r="AC17" s="127"/>
    </row>
    <row r="18" spans="1:29" ht="19.95" customHeight="1">
      <c r="A18" s="133"/>
      <c r="B18" s="114"/>
      <c r="C18" s="114"/>
      <c r="D18" s="114"/>
      <c r="E18" s="51">
        <f>B18-C18+D18</f>
        <v>0</v>
      </c>
      <c r="F18" s="111"/>
      <c r="G18" s="111"/>
      <c r="H18" s="111"/>
      <c r="I18" s="111"/>
      <c r="J18" s="111"/>
      <c r="K18" s="111"/>
      <c r="L18" s="51">
        <f>B18+F18+G18</f>
        <v>0</v>
      </c>
      <c r="M18" s="51">
        <f t="shared" ref="M18:N22" si="5">C18+H18+J18</f>
        <v>0</v>
      </c>
      <c r="N18" s="51">
        <f t="shared" si="5"/>
        <v>0</v>
      </c>
      <c r="O18" s="51">
        <f>L18-M18+N18</f>
        <v>0</v>
      </c>
      <c r="P18" s="77"/>
      <c r="Q18" s="77"/>
      <c r="R18" s="51">
        <f>L18-P18</f>
        <v>0</v>
      </c>
      <c r="S18" s="51">
        <f>O18-Q18</f>
        <v>0</v>
      </c>
      <c r="T18" s="51"/>
      <c r="U18" s="51"/>
      <c r="V18" s="111"/>
      <c r="W18" s="110"/>
      <c r="X18" s="110"/>
      <c r="Y18" s="110"/>
      <c r="Z18" s="139"/>
      <c r="AA18" s="110"/>
      <c r="AB18" s="110"/>
      <c r="AC18" s="48"/>
    </row>
    <row r="19" spans="1:29" ht="19.95" customHeight="1">
      <c r="A19" s="133"/>
      <c r="B19" s="114"/>
      <c r="C19" s="114"/>
      <c r="D19" s="114"/>
      <c r="E19" s="51">
        <f>B19-C19+D19</f>
        <v>0</v>
      </c>
      <c r="F19" s="111"/>
      <c r="G19" s="111"/>
      <c r="H19" s="111"/>
      <c r="I19" s="111"/>
      <c r="J19" s="111"/>
      <c r="K19" s="111"/>
      <c r="L19" s="51">
        <f>B19+F19+G19</f>
        <v>0</v>
      </c>
      <c r="M19" s="51">
        <f t="shared" si="5"/>
        <v>0</v>
      </c>
      <c r="N19" s="51">
        <f t="shared" si="5"/>
        <v>0</v>
      </c>
      <c r="O19" s="51">
        <f>L19-M19+N19</f>
        <v>0</v>
      </c>
      <c r="P19" s="77"/>
      <c r="Q19" s="77"/>
      <c r="R19" s="51">
        <f>L19-P19</f>
        <v>0</v>
      </c>
      <c r="S19" s="51">
        <f t="shared" ref="S19:S22" si="6">O19-Q19</f>
        <v>0</v>
      </c>
      <c r="T19" s="51"/>
      <c r="U19" s="51"/>
      <c r="V19" s="111"/>
      <c r="W19" s="110"/>
      <c r="X19" s="110"/>
      <c r="Y19" s="110"/>
      <c r="Z19" s="139"/>
      <c r="AA19" s="110"/>
      <c r="AB19" s="110"/>
      <c r="AC19" s="48"/>
    </row>
    <row r="20" spans="1:29" ht="19.95" customHeight="1">
      <c r="A20" s="133"/>
      <c r="B20" s="114"/>
      <c r="C20" s="114"/>
      <c r="D20" s="114"/>
      <c r="E20" s="51">
        <f>B20-C20+D20</f>
        <v>0</v>
      </c>
      <c r="F20" s="111"/>
      <c r="G20" s="111"/>
      <c r="H20" s="111"/>
      <c r="I20" s="111"/>
      <c r="J20" s="111"/>
      <c r="K20" s="111"/>
      <c r="L20" s="51">
        <f>B20+F20+G20</f>
        <v>0</v>
      </c>
      <c r="M20" s="51">
        <f t="shared" si="5"/>
        <v>0</v>
      </c>
      <c r="N20" s="51">
        <f t="shared" si="5"/>
        <v>0</v>
      </c>
      <c r="O20" s="51">
        <f>L20-M20+N20</f>
        <v>0</v>
      </c>
      <c r="P20" s="77"/>
      <c r="Q20" s="77"/>
      <c r="R20" s="51">
        <f>L20-P20</f>
        <v>0</v>
      </c>
      <c r="S20" s="51">
        <f t="shared" si="6"/>
        <v>0</v>
      </c>
      <c r="T20" s="51"/>
      <c r="U20" s="51"/>
      <c r="V20" s="111"/>
      <c r="W20" s="110"/>
      <c r="X20" s="110"/>
      <c r="Y20" s="110"/>
      <c r="Z20" s="139"/>
      <c r="AA20" s="110"/>
      <c r="AB20" s="110"/>
      <c r="AC20" s="48"/>
    </row>
    <row r="21" spans="1:29" ht="19.95" customHeight="1">
      <c r="A21" s="133"/>
      <c r="B21" s="114"/>
      <c r="C21" s="114"/>
      <c r="D21" s="114"/>
      <c r="E21" s="51">
        <f>B21-C21+D21</f>
        <v>0</v>
      </c>
      <c r="F21" s="111"/>
      <c r="G21" s="111"/>
      <c r="H21" s="111"/>
      <c r="I21" s="111"/>
      <c r="J21" s="111"/>
      <c r="K21" s="111"/>
      <c r="L21" s="51">
        <f>B21+F21+G21</f>
        <v>0</v>
      </c>
      <c r="M21" s="51">
        <f t="shared" si="5"/>
        <v>0</v>
      </c>
      <c r="N21" s="51">
        <f t="shared" si="5"/>
        <v>0</v>
      </c>
      <c r="O21" s="51">
        <f>L21-M21+N21</f>
        <v>0</v>
      </c>
      <c r="P21" s="77"/>
      <c r="Q21" s="77"/>
      <c r="R21" s="51">
        <f>L21-P21</f>
        <v>0</v>
      </c>
      <c r="S21" s="51">
        <f t="shared" si="6"/>
        <v>0</v>
      </c>
      <c r="T21" s="51"/>
      <c r="U21" s="51"/>
      <c r="V21" s="111"/>
      <c r="W21" s="110"/>
      <c r="X21" s="110"/>
      <c r="Y21" s="110"/>
      <c r="Z21" s="139"/>
      <c r="AA21" s="110"/>
      <c r="AB21" s="110"/>
      <c r="AC21" s="48"/>
    </row>
    <row r="22" spans="1:29" ht="19.95" customHeight="1">
      <c r="A22" s="133"/>
      <c r="B22" s="114"/>
      <c r="C22" s="114"/>
      <c r="D22" s="114"/>
      <c r="E22" s="51">
        <f>B22-C22+D22</f>
        <v>0</v>
      </c>
      <c r="F22" s="111"/>
      <c r="G22" s="111"/>
      <c r="H22" s="111"/>
      <c r="I22" s="111"/>
      <c r="J22" s="111"/>
      <c r="K22" s="111"/>
      <c r="L22" s="51">
        <f>B22+F22+G22</f>
        <v>0</v>
      </c>
      <c r="M22" s="51">
        <f t="shared" si="5"/>
        <v>0</v>
      </c>
      <c r="N22" s="51">
        <f t="shared" si="5"/>
        <v>0</v>
      </c>
      <c r="O22" s="51">
        <f>L22-M22+N22</f>
        <v>0</v>
      </c>
      <c r="P22" s="77"/>
      <c r="Q22" s="77"/>
      <c r="R22" s="51">
        <f>L22-P22</f>
        <v>0</v>
      </c>
      <c r="S22" s="51">
        <f t="shared" si="6"/>
        <v>0</v>
      </c>
      <c r="T22" s="51"/>
      <c r="U22" s="51"/>
      <c r="V22" s="111"/>
      <c r="W22" s="110"/>
      <c r="X22" s="110"/>
      <c r="Y22" s="110"/>
      <c r="Z22" s="139"/>
      <c r="AA22" s="110"/>
      <c r="AB22" s="110"/>
      <c r="AC22" s="48"/>
    </row>
    <row r="23" spans="1:29" s="261" customFormat="1" ht="19.95" customHeight="1">
      <c r="A23" s="258" t="s">
        <v>165</v>
      </c>
      <c r="B23" s="259">
        <f>SUM(B18:B22)</f>
        <v>0</v>
      </c>
      <c r="C23" s="259">
        <f t="shared" ref="C23:X23" si="7">SUM(C18:C22)</f>
        <v>0</v>
      </c>
      <c r="D23" s="259">
        <f t="shared" si="7"/>
        <v>0</v>
      </c>
      <c r="E23" s="259">
        <f t="shared" si="7"/>
        <v>0</v>
      </c>
      <c r="F23" s="259">
        <f t="shared" si="7"/>
        <v>0</v>
      </c>
      <c r="G23" s="259">
        <f t="shared" si="7"/>
        <v>0</v>
      </c>
      <c r="H23" s="259">
        <f t="shared" si="7"/>
        <v>0</v>
      </c>
      <c r="I23" s="259">
        <f t="shared" si="7"/>
        <v>0</v>
      </c>
      <c r="J23" s="259">
        <f t="shared" si="7"/>
        <v>0</v>
      </c>
      <c r="K23" s="259">
        <f t="shared" si="7"/>
        <v>0</v>
      </c>
      <c r="L23" s="259">
        <f t="shared" si="7"/>
        <v>0</v>
      </c>
      <c r="M23" s="259">
        <f t="shared" si="7"/>
        <v>0</v>
      </c>
      <c r="N23" s="259">
        <f t="shared" si="7"/>
        <v>0</v>
      </c>
      <c r="O23" s="259">
        <f t="shared" si="7"/>
        <v>0</v>
      </c>
      <c r="P23" s="259">
        <f t="shared" si="7"/>
        <v>0</v>
      </c>
      <c r="Q23" s="259">
        <f t="shared" si="7"/>
        <v>0</v>
      </c>
      <c r="R23" s="259">
        <f t="shared" si="7"/>
        <v>0</v>
      </c>
      <c r="S23" s="259">
        <f t="shared" si="7"/>
        <v>0</v>
      </c>
      <c r="T23" s="259"/>
      <c r="U23" s="259"/>
      <c r="V23" s="259">
        <f t="shared" si="7"/>
        <v>0</v>
      </c>
      <c r="W23" s="259">
        <f t="shared" si="7"/>
        <v>0</v>
      </c>
      <c r="X23" s="259">
        <f t="shared" si="7"/>
        <v>0</v>
      </c>
      <c r="Y23" s="260" t="s">
        <v>166</v>
      </c>
      <c r="Z23" s="260" t="s">
        <v>166</v>
      </c>
      <c r="AA23" s="259">
        <f>SUM(AA18:AA22)</f>
        <v>0</v>
      </c>
      <c r="AB23" s="260" t="s">
        <v>166</v>
      </c>
      <c r="AC23" s="260" t="s">
        <v>166</v>
      </c>
    </row>
    <row r="24" spans="1:29" ht="19.95" customHeight="1">
      <c r="A24" s="115" t="s">
        <v>168</v>
      </c>
      <c r="B24" s="116"/>
      <c r="C24" s="116"/>
      <c r="D24" s="116"/>
      <c r="E24" s="51">
        <f>B24-C24+D24</f>
        <v>0</v>
      </c>
      <c r="F24" s="116"/>
      <c r="G24" s="116"/>
      <c r="H24" s="116"/>
      <c r="I24" s="116"/>
      <c r="J24" s="116"/>
      <c r="K24" s="116"/>
      <c r="L24" s="51">
        <f>B24+F24+G24</f>
        <v>0</v>
      </c>
      <c r="M24" s="51">
        <f>C24+H24+J24</f>
        <v>0</v>
      </c>
      <c r="N24" s="51">
        <f>D24+I24+K24</f>
        <v>0</v>
      </c>
      <c r="O24" s="51">
        <f>L24-M24+N24</f>
        <v>0</v>
      </c>
      <c r="P24" s="77"/>
      <c r="Q24" s="77"/>
      <c r="R24" s="51">
        <f>L24-P24</f>
        <v>0</v>
      </c>
      <c r="S24" s="51">
        <f>O24-Q24</f>
        <v>0</v>
      </c>
      <c r="T24" s="51"/>
      <c r="U24" s="51"/>
      <c r="V24" s="111"/>
      <c r="W24" s="110"/>
      <c r="X24" s="110"/>
      <c r="Y24" s="126"/>
      <c r="Z24" s="52"/>
      <c r="AA24" s="77"/>
      <c r="AB24" s="77"/>
      <c r="AC24" s="128"/>
    </row>
    <row r="25" spans="1:29" s="261" customFormat="1" ht="19.95" customHeight="1">
      <c r="A25" s="258" t="s">
        <v>169</v>
      </c>
      <c r="B25" s="259">
        <f>SUM(B16,B23,B24)</f>
        <v>0</v>
      </c>
      <c r="C25" s="259">
        <f t="shared" ref="C25:X25" si="8">SUM(C16,C23,C24)</f>
        <v>0</v>
      </c>
      <c r="D25" s="259">
        <f t="shared" si="8"/>
        <v>0</v>
      </c>
      <c r="E25" s="259">
        <f t="shared" si="8"/>
        <v>0</v>
      </c>
      <c r="F25" s="259">
        <f t="shared" si="8"/>
        <v>0</v>
      </c>
      <c r="G25" s="259">
        <f t="shared" si="8"/>
        <v>0</v>
      </c>
      <c r="H25" s="259">
        <f t="shared" si="8"/>
        <v>0</v>
      </c>
      <c r="I25" s="259">
        <f t="shared" si="8"/>
        <v>0</v>
      </c>
      <c r="J25" s="259">
        <f t="shared" si="8"/>
        <v>0</v>
      </c>
      <c r="K25" s="259">
        <f t="shared" si="8"/>
        <v>0</v>
      </c>
      <c r="L25" s="259">
        <f t="shared" si="8"/>
        <v>0</v>
      </c>
      <c r="M25" s="259">
        <f t="shared" si="8"/>
        <v>0</v>
      </c>
      <c r="N25" s="259">
        <f t="shared" si="8"/>
        <v>0</v>
      </c>
      <c r="O25" s="259">
        <f t="shared" si="8"/>
        <v>0</v>
      </c>
      <c r="P25" s="259">
        <f t="shared" si="8"/>
        <v>0</v>
      </c>
      <c r="Q25" s="259">
        <f t="shared" si="8"/>
        <v>0</v>
      </c>
      <c r="R25" s="259">
        <f t="shared" si="8"/>
        <v>0</v>
      </c>
      <c r="S25" s="259">
        <f t="shared" si="8"/>
        <v>0</v>
      </c>
      <c r="T25" s="259"/>
      <c r="U25" s="259"/>
      <c r="V25" s="259">
        <f t="shared" si="8"/>
        <v>0</v>
      </c>
      <c r="W25" s="259">
        <f t="shared" si="8"/>
        <v>0</v>
      </c>
      <c r="X25" s="259">
        <f t="shared" si="8"/>
        <v>0</v>
      </c>
      <c r="Y25" s="260" t="s">
        <v>166</v>
      </c>
      <c r="Z25" s="260" t="s">
        <v>166</v>
      </c>
      <c r="AA25" s="259">
        <f>SUM(AA16,AA23,AA24)</f>
        <v>0</v>
      </c>
      <c r="AB25" s="260" t="s">
        <v>166</v>
      </c>
      <c r="AC25" s="260" t="s">
        <v>166</v>
      </c>
    </row>
    <row r="26" spans="1:29" ht="19.95" customHeight="1">
      <c r="A26" s="54" t="s">
        <v>105</v>
      </c>
      <c r="B26" s="65"/>
      <c r="C26" s="65"/>
      <c r="D26" s="65"/>
      <c r="E26" s="65"/>
      <c r="F26" s="65"/>
      <c r="G26" s="65"/>
      <c r="H26" s="65"/>
      <c r="I26" s="135"/>
      <c r="J26" s="65"/>
      <c r="K26" s="135"/>
      <c r="L26" s="65"/>
      <c r="M26" s="65"/>
      <c r="N26" s="65"/>
      <c r="O26" s="65"/>
      <c r="P26" s="65"/>
      <c r="Q26" s="65"/>
      <c r="R26" s="65"/>
      <c r="S26" s="65"/>
      <c r="T26" s="65"/>
      <c r="U26" s="65"/>
      <c r="V26" s="137"/>
      <c r="W26" s="137"/>
      <c r="X26" s="137"/>
      <c r="Y26" s="137"/>
      <c r="Z26" s="65"/>
      <c r="AA26" s="137"/>
      <c r="AB26" s="137"/>
      <c r="AC26" s="137"/>
    </row>
    <row r="27" spans="1:29" ht="19.95" customHeight="1">
      <c r="A27" s="2"/>
      <c r="B27" s="2"/>
      <c r="C27" s="2"/>
      <c r="D27" s="2"/>
      <c r="E27" s="2"/>
      <c r="F27" s="2"/>
      <c r="G27" s="2"/>
      <c r="H27" s="2"/>
      <c r="I27" s="70"/>
      <c r="J27" s="2"/>
      <c r="K27" s="70"/>
      <c r="L27" s="2"/>
      <c r="M27" s="2"/>
      <c r="N27" s="2"/>
      <c r="O27" s="2"/>
      <c r="P27" s="2"/>
      <c r="Q27" s="2"/>
      <c r="R27" s="2"/>
      <c r="S27" s="2"/>
      <c r="T27" s="2"/>
      <c r="U27" s="2"/>
      <c r="Z27" s="2"/>
    </row>
    <row r="28" spans="1:29" ht="19.95" customHeight="1">
      <c r="A28" s="2"/>
      <c r="B28" s="2"/>
      <c r="C28" s="2"/>
      <c r="D28" s="2"/>
      <c r="E28" s="2"/>
      <c r="F28" s="2"/>
      <c r="G28" s="2"/>
      <c r="H28" s="2"/>
      <c r="I28" s="70"/>
      <c r="J28" s="2"/>
      <c r="K28" s="70"/>
      <c r="L28" s="2"/>
      <c r="M28" s="2"/>
      <c r="N28" s="2"/>
      <c r="O28" s="2"/>
      <c r="P28" s="2"/>
      <c r="Q28" s="2"/>
      <c r="R28" s="2"/>
      <c r="S28" s="2"/>
      <c r="T28" s="2"/>
      <c r="U28" s="2"/>
      <c r="Z28" s="2"/>
    </row>
    <row r="29" spans="1:29" ht="19.95" customHeight="1">
      <c r="A29" s="55" t="s">
        <v>116</v>
      </c>
      <c r="B29" s="2"/>
      <c r="C29" s="2"/>
      <c r="D29" s="2"/>
      <c r="E29" s="2"/>
      <c r="F29" s="2"/>
      <c r="G29" s="2"/>
      <c r="H29" s="2"/>
      <c r="I29" s="70"/>
      <c r="J29" s="2"/>
      <c r="K29" s="70"/>
      <c r="L29" s="2"/>
      <c r="M29" s="2"/>
      <c r="N29" s="2"/>
      <c r="O29" s="2"/>
      <c r="P29" s="2"/>
      <c r="Q29" s="2"/>
      <c r="R29" s="2"/>
      <c r="S29" s="2"/>
      <c r="T29" s="2"/>
      <c r="U29" s="2"/>
      <c r="Z29" s="2"/>
    </row>
    <row r="30" spans="1:29" ht="19.95" customHeight="1">
      <c r="A30" s="2"/>
      <c r="B30" s="2"/>
      <c r="C30" s="2"/>
      <c r="D30" s="2"/>
      <c r="E30" s="2"/>
      <c r="F30" s="2"/>
      <c r="G30" s="2"/>
      <c r="H30" s="2"/>
      <c r="I30" s="70"/>
      <c r="J30" s="2"/>
      <c r="K30" s="70"/>
      <c r="L30" s="2"/>
      <c r="M30" s="2"/>
      <c r="N30" s="2"/>
      <c r="O30" s="2"/>
      <c r="P30" s="2"/>
      <c r="Q30" s="2"/>
      <c r="R30" s="2"/>
      <c r="S30" s="2"/>
      <c r="T30" s="2"/>
      <c r="U30" s="2"/>
      <c r="Z30" s="2"/>
    </row>
    <row r="31" spans="1:29" ht="18" customHeight="1">
      <c r="A31" s="134" t="s">
        <v>170</v>
      </c>
      <c r="B31" s="134"/>
      <c r="C31" s="134"/>
      <c r="D31" s="2"/>
      <c r="E31" s="2"/>
      <c r="F31" s="2"/>
      <c r="G31" s="2"/>
      <c r="H31" s="2"/>
      <c r="I31" s="2"/>
      <c r="J31" s="2"/>
      <c r="K31" s="2"/>
      <c r="L31" s="2"/>
      <c r="M31" s="2"/>
      <c r="N31" s="2"/>
      <c r="O31" s="2"/>
      <c r="P31" s="2"/>
      <c r="Q31" s="2"/>
      <c r="R31" s="2"/>
      <c r="S31" s="2"/>
      <c r="T31" s="2"/>
      <c r="U31" s="2"/>
      <c r="AA31" s="2"/>
    </row>
    <row r="32" spans="1:29" ht="18" customHeight="1">
      <c r="A32" s="58" t="s">
        <v>171</v>
      </c>
      <c r="B32" s="58"/>
      <c r="C32" s="58"/>
      <c r="D32" s="2"/>
      <c r="E32" s="2"/>
      <c r="F32" s="2"/>
      <c r="G32" s="2"/>
      <c r="H32" s="2"/>
      <c r="I32" s="2"/>
      <c r="J32" s="2"/>
      <c r="K32" s="2"/>
      <c r="L32" s="2"/>
      <c r="M32" s="2"/>
      <c r="N32" s="2"/>
      <c r="O32" s="2"/>
      <c r="P32" s="2"/>
      <c r="Q32" s="2"/>
      <c r="R32" s="2"/>
      <c r="S32" s="2"/>
      <c r="T32" s="2"/>
      <c r="U32" s="2"/>
      <c r="AA32" s="2"/>
    </row>
    <row r="33" spans="1:27" ht="18" customHeight="1">
      <c r="A33" s="58" t="s">
        <v>172</v>
      </c>
      <c r="B33" s="58"/>
      <c r="C33" s="58"/>
      <c r="D33" s="2"/>
      <c r="E33" s="2"/>
      <c r="F33" s="2"/>
      <c r="G33" s="2"/>
      <c r="H33" s="2"/>
      <c r="I33" s="2"/>
      <c r="J33" s="2"/>
      <c r="K33" s="2"/>
      <c r="L33" s="2"/>
      <c r="M33" s="2"/>
      <c r="N33" s="2"/>
      <c r="O33" s="2"/>
      <c r="P33" s="2"/>
      <c r="Q33" s="2"/>
      <c r="R33" s="2"/>
      <c r="S33" s="2"/>
      <c r="T33" s="2"/>
      <c r="U33" s="2"/>
      <c r="AA33" s="2"/>
    </row>
    <row r="34" spans="1:27" ht="18" customHeight="1">
      <c r="A34" s="58" t="s">
        <v>173</v>
      </c>
      <c r="B34" s="58"/>
      <c r="C34" s="58"/>
      <c r="D34" s="2"/>
      <c r="E34" s="2"/>
      <c r="F34" s="2"/>
      <c r="G34" s="2"/>
      <c r="H34" s="2"/>
      <c r="I34" s="2"/>
      <c r="J34" s="2"/>
      <c r="K34" s="2"/>
      <c r="L34" s="2"/>
      <c r="M34" s="2"/>
      <c r="N34" s="2"/>
      <c r="O34" s="2"/>
      <c r="P34" s="2"/>
      <c r="Q34" s="2"/>
      <c r="R34" s="2"/>
      <c r="S34" s="2"/>
      <c r="T34" s="2"/>
      <c r="U34" s="2"/>
      <c r="AA34" s="2"/>
    </row>
    <row r="35" spans="1:27" ht="18" customHeight="1">
      <c r="A35" s="58" t="s">
        <v>174</v>
      </c>
      <c r="B35" s="58"/>
      <c r="C35" s="58"/>
      <c r="E35" s="2"/>
      <c r="F35" s="2"/>
      <c r="G35" s="2"/>
      <c r="H35" s="2"/>
      <c r="I35" s="2"/>
      <c r="J35" s="2"/>
      <c r="K35" s="2"/>
      <c r="L35" s="2"/>
      <c r="M35" s="2"/>
      <c r="N35" s="2"/>
      <c r="O35" s="2"/>
      <c r="P35" s="2"/>
      <c r="Q35" s="2"/>
      <c r="R35" s="2"/>
      <c r="S35" s="2"/>
      <c r="T35" s="2"/>
      <c r="U35" s="2"/>
      <c r="AA35" s="2"/>
    </row>
  </sheetData>
  <mergeCells count="21">
    <mergeCell ref="A1:O1"/>
    <mergeCell ref="P1:Z1"/>
    <mergeCell ref="A2:O2"/>
    <mergeCell ref="P2:Z2"/>
    <mergeCell ref="B6:O6"/>
    <mergeCell ref="P6:AC6"/>
    <mergeCell ref="R8:S8"/>
    <mergeCell ref="T8:X8"/>
    <mergeCell ref="A8:A9"/>
    <mergeCell ref="P8:P9"/>
    <mergeCell ref="Q8:Q9"/>
    <mergeCell ref="B8:E8"/>
    <mergeCell ref="F8:G8"/>
    <mergeCell ref="H8:I8"/>
    <mergeCell ref="J8:K8"/>
    <mergeCell ref="L8:O8"/>
    <mergeCell ref="Y8:Y9"/>
    <mergeCell ref="Z8:Z9"/>
    <mergeCell ref="AA8:AA9"/>
    <mergeCell ref="AB8:AB9"/>
    <mergeCell ref="AC8:AC9"/>
  </mergeCells>
  <phoneticPr fontId="126" type="noConversion"/>
  <dataValidations count="1">
    <dataValidation type="list" allowBlank="1" showInputMessage="1" showErrorMessage="1" sqref="Y11:Y15 Y18:Y22">
      <formula1>"关联方（合并范围内),关联方（合并范围外）,非关联方"</formula1>
    </dataValidation>
  </dataValidations>
  <hyperlinks>
    <hyperlink ref="AC3" location="底稿目录!A1" display="=底稿目录!F7"/>
  </hyperlinks>
  <printOptions horizontalCentered="1"/>
  <pageMargins left="0.70866141732283505" right="0.70866141732283505" top="0.74803149606299202" bottom="0.74803149606299202" header="0.31496062992126" footer="0.31496062992126"/>
  <pageSetup paperSize="9" scale="72" fitToHeight="5" orientation="landscape" blackAndWhite="1" cellComments="asDisplayed" r:id="rId1"/>
  <headerFooter alignWithMargins="0">
    <oddFooter>&amp;C&amp;P/&amp;N</oddFooter>
  </headerFooter>
  <colBreaks count="1" manualBreakCount="1">
    <brk id="15" max="29"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D31"/>
  <sheetViews>
    <sheetView view="pageBreakPreview" zoomScaleNormal="100" workbookViewId="0">
      <selection sqref="A1:O1"/>
    </sheetView>
  </sheetViews>
  <sheetFormatPr defaultColWidth="9" defaultRowHeight="19.95" customHeight="1"/>
  <cols>
    <col min="1" max="1" width="17" style="103" customWidth="1"/>
    <col min="2" max="6" width="9" style="103"/>
    <col min="7" max="7" width="10.59765625" style="103" customWidth="1"/>
    <col min="8" max="8" width="9" style="103"/>
    <col min="9" max="9" width="9" style="104"/>
    <col min="10" max="10" width="9" style="103"/>
    <col min="11" max="11" width="9" style="104"/>
    <col min="12" max="15" width="9" style="103"/>
    <col min="16" max="16" width="11.296875" style="103" customWidth="1"/>
    <col min="17" max="17" width="11.59765625" style="103" customWidth="1"/>
    <col min="18" max="19" width="11.5" style="103" customWidth="1"/>
    <col min="20" max="16384" width="9" style="103"/>
  </cols>
  <sheetData>
    <row r="1" spans="1:30" ht="19.95" customHeight="1">
      <c r="A1" s="329" t="s">
        <v>42</v>
      </c>
      <c r="B1" s="329"/>
      <c r="C1" s="329"/>
      <c r="D1" s="329"/>
      <c r="E1" s="329"/>
      <c r="F1" s="329"/>
      <c r="G1" s="329"/>
      <c r="H1" s="329"/>
      <c r="I1" s="329"/>
      <c r="J1" s="329"/>
      <c r="K1" s="329"/>
      <c r="L1" s="329"/>
      <c r="M1" s="329"/>
      <c r="N1" s="329"/>
      <c r="O1" s="329"/>
      <c r="P1" s="329" t="s">
        <v>42</v>
      </c>
      <c r="Q1" s="329"/>
      <c r="R1" s="329"/>
      <c r="S1" s="329"/>
      <c r="T1" s="329"/>
      <c r="U1" s="329"/>
      <c r="V1" s="329"/>
      <c r="W1" s="329"/>
      <c r="X1" s="329"/>
      <c r="Y1" s="123"/>
      <c r="Z1" s="123"/>
      <c r="AA1" s="123"/>
      <c r="AB1" s="123"/>
      <c r="AC1" s="123"/>
      <c r="AD1" s="123"/>
    </row>
    <row r="2" spans="1:30" ht="19.95" customHeight="1">
      <c r="A2" s="330" t="s">
        <v>175</v>
      </c>
      <c r="B2" s="330"/>
      <c r="C2" s="330"/>
      <c r="D2" s="330"/>
      <c r="E2" s="330"/>
      <c r="F2" s="330"/>
      <c r="G2" s="330"/>
      <c r="H2" s="330"/>
      <c r="I2" s="330"/>
      <c r="J2" s="330"/>
      <c r="K2" s="330"/>
      <c r="L2" s="330"/>
      <c r="M2" s="330"/>
      <c r="N2" s="330"/>
      <c r="O2" s="330"/>
      <c r="P2" s="330" t="s">
        <v>175</v>
      </c>
      <c r="Q2" s="330"/>
      <c r="R2" s="330"/>
      <c r="S2" s="330"/>
      <c r="T2" s="330"/>
      <c r="U2" s="330"/>
      <c r="V2" s="330"/>
      <c r="W2" s="330"/>
      <c r="X2" s="330"/>
      <c r="Y2" s="124"/>
      <c r="Z2" s="124"/>
      <c r="AA2" s="124"/>
      <c r="AB2" s="124"/>
      <c r="AC2" s="124"/>
      <c r="AD2" s="124"/>
    </row>
    <row r="3" spans="1:30" ht="19.95" customHeight="1">
      <c r="A3" s="2" t="str">
        <f>底稿目录!A2</f>
        <v>被审计单位：</v>
      </c>
      <c r="B3" s="2"/>
      <c r="C3" s="2"/>
      <c r="D3" s="2"/>
      <c r="E3" s="2" t="str">
        <f>底稿目录!A4</f>
        <v>编制人：</v>
      </c>
      <c r="F3" s="2"/>
      <c r="G3" s="2"/>
      <c r="I3" s="8" t="str">
        <f>底稿目录!A5</f>
        <v>编制日期：</v>
      </c>
      <c r="J3" s="2"/>
      <c r="K3" s="70"/>
      <c r="L3" s="2"/>
      <c r="M3" s="2"/>
      <c r="N3" s="2" t="s">
        <v>27</v>
      </c>
      <c r="O3" s="293" t="str">
        <f>底稿目录!F8</f>
        <v>L5-3</v>
      </c>
      <c r="P3" s="2"/>
      <c r="Q3" s="2" t="str">
        <f>E3</f>
        <v>编制人：</v>
      </c>
      <c r="R3" s="2"/>
      <c r="T3" s="8"/>
      <c r="U3" s="8" t="str">
        <f>I3</f>
        <v>编制日期：</v>
      </c>
      <c r="V3" s="8"/>
      <c r="W3" s="105"/>
      <c r="X3" s="105"/>
      <c r="Z3" s="2" t="s">
        <v>27</v>
      </c>
      <c r="AA3" s="293" t="str">
        <f>底稿目录!F8</f>
        <v>L5-3</v>
      </c>
    </row>
    <row r="4" spans="1:30" ht="19.95" customHeight="1">
      <c r="A4" s="2" t="str">
        <f>底稿目录!A3</f>
        <v>截止日：202X年12月31日</v>
      </c>
      <c r="B4" s="2"/>
      <c r="C4" s="2"/>
      <c r="D4" s="2"/>
      <c r="E4" s="2" t="str">
        <f>底稿目录!A6</f>
        <v>复核人：</v>
      </c>
      <c r="F4" s="2"/>
      <c r="G4" s="2"/>
      <c r="I4" s="8" t="str">
        <f>底稿目录!A7</f>
        <v>复核日期：</v>
      </c>
      <c r="J4" s="2"/>
      <c r="K4" s="70"/>
      <c r="L4" s="2"/>
      <c r="M4" s="2"/>
      <c r="N4" s="2" t="s">
        <v>92</v>
      </c>
      <c r="O4" s="2"/>
      <c r="P4" s="2"/>
      <c r="Q4" s="2" t="str">
        <f>E4</f>
        <v>复核人：</v>
      </c>
      <c r="R4" s="2"/>
      <c r="T4" s="8"/>
      <c r="U4" s="8" t="str">
        <f>I4</f>
        <v>复核日期：</v>
      </c>
      <c r="V4" s="8"/>
      <c r="W4" s="105"/>
      <c r="X4" s="105"/>
      <c r="Z4" s="2" t="s">
        <v>92</v>
      </c>
      <c r="AA4" s="2"/>
    </row>
    <row r="5" spans="1:30" ht="19.95" customHeight="1">
      <c r="A5" s="55" t="s">
        <v>141</v>
      </c>
      <c r="C5" s="2"/>
      <c r="D5" s="2"/>
      <c r="E5" s="105"/>
      <c r="F5" s="2"/>
      <c r="G5" s="2"/>
      <c r="H5" s="2"/>
      <c r="I5" s="70"/>
      <c r="J5" s="2"/>
      <c r="K5" s="70"/>
      <c r="L5" s="2"/>
      <c r="M5" s="2"/>
      <c r="N5" s="2"/>
      <c r="O5" s="2"/>
      <c r="P5" s="2"/>
      <c r="Q5" s="2"/>
      <c r="R5" s="2"/>
      <c r="S5" s="2"/>
      <c r="T5" s="2"/>
      <c r="U5" s="2"/>
      <c r="V5" s="2"/>
      <c r="W5" s="105"/>
      <c r="X5" s="105"/>
      <c r="Y5" s="2"/>
      <c r="Z5" s="2"/>
      <c r="AA5" s="105"/>
    </row>
    <row r="6" spans="1:30" ht="29.55" customHeight="1">
      <c r="B6" s="331" t="s">
        <v>176</v>
      </c>
      <c r="C6" s="331"/>
      <c r="D6" s="331"/>
      <c r="E6" s="331"/>
      <c r="F6" s="331"/>
      <c r="G6" s="331"/>
      <c r="H6" s="331"/>
      <c r="I6" s="331"/>
      <c r="J6" s="331"/>
      <c r="K6" s="331"/>
      <c r="L6" s="331"/>
      <c r="M6" s="331"/>
      <c r="N6" s="331"/>
      <c r="O6" s="331"/>
      <c r="P6" s="331" t="s">
        <v>176</v>
      </c>
      <c r="Q6" s="331"/>
      <c r="R6" s="331"/>
      <c r="S6" s="331"/>
      <c r="T6" s="331"/>
      <c r="U6" s="331"/>
      <c r="V6" s="331"/>
      <c r="W6" s="331"/>
      <c r="X6" s="331"/>
      <c r="Y6" s="331"/>
      <c r="Z6" s="331"/>
      <c r="AA6" s="331"/>
      <c r="AB6" s="43"/>
      <c r="AC6" s="43"/>
    </row>
    <row r="7" spans="1:30" ht="19.95" customHeight="1">
      <c r="A7" s="55" t="s">
        <v>143</v>
      </c>
      <c r="C7" s="2"/>
      <c r="D7" s="2"/>
      <c r="E7" s="105"/>
      <c r="F7" s="2"/>
      <c r="G7" s="2"/>
      <c r="H7" s="2"/>
      <c r="I7" s="70"/>
      <c r="J7" s="2"/>
      <c r="K7" s="70"/>
      <c r="L7" s="2"/>
      <c r="M7" s="2"/>
      <c r="N7" s="2"/>
      <c r="O7" s="2"/>
      <c r="P7" s="2"/>
      <c r="Q7" s="2"/>
      <c r="R7" s="2"/>
      <c r="S7" s="2"/>
      <c r="T7" s="2"/>
      <c r="U7" s="2"/>
      <c r="V7" s="2"/>
      <c r="W7" s="105"/>
      <c r="X7" s="105"/>
      <c r="Y7" s="2"/>
      <c r="Z7" s="2"/>
      <c r="AA7" s="105"/>
    </row>
    <row r="8" spans="1:30" ht="19.95" customHeight="1">
      <c r="B8" s="2" t="s">
        <v>177</v>
      </c>
      <c r="C8" s="2"/>
      <c r="D8" s="2"/>
      <c r="E8" s="105"/>
      <c r="F8" s="2"/>
      <c r="G8" s="2"/>
      <c r="H8" s="2"/>
      <c r="I8" s="70"/>
      <c r="J8" s="2"/>
      <c r="K8" s="70"/>
      <c r="L8" s="2"/>
      <c r="M8" s="2"/>
      <c r="N8" s="2"/>
      <c r="O8" s="2"/>
      <c r="P8" s="2" t="s">
        <v>177</v>
      </c>
      <c r="Q8" s="2"/>
      <c r="R8" s="2"/>
      <c r="S8" s="2"/>
      <c r="T8" s="2"/>
      <c r="U8" s="2"/>
      <c r="V8" s="2"/>
      <c r="W8" s="105"/>
      <c r="X8" s="105"/>
      <c r="Y8" s="2"/>
      <c r="Z8" s="2"/>
      <c r="AA8" s="105"/>
    </row>
    <row r="9" spans="1:30" s="101" customFormat="1" ht="19.95" customHeight="1">
      <c r="A9" s="332" t="s">
        <v>144</v>
      </c>
      <c r="B9" s="326" t="s">
        <v>97</v>
      </c>
      <c r="C9" s="328"/>
      <c r="D9" s="328"/>
      <c r="E9" s="327"/>
      <c r="F9" s="332" t="s">
        <v>145</v>
      </c>
      <c r="G9" s="332"/>
      <c r="H9" s="333" t="s">
        <v>98</v>
      </c>
      <c r="I9" s="334"/>
      <c r="J9" s="326" t="s">
        <v>99</v>
      </c>
      <c r="K9" s="327"/>
      <c r="L9" s="326" t="s">
        <v>100</v>
      </c>
      <c r="M9" s="328"/>
      <c r="N9" s="328"/>
      <c r="O9" s="327"/>
      <c r="P9" s="324" t="s">
        <v>178</v>
      </c>
      <c r="Q9" s="324" t="s">
        <v>179</v>
      </c>
      <c r="R9" s="326" t="s">
        <v>148</v>
      </c>
      <c r="S9" s="327"/>
      <c r="T9" s="326" t="s">
        <v>180</v>
      </c>
      <c r="U9" s="328"/>
      <c r="V9" s="328"/>
      <c r="W9" s="328"/>
      <c r="X9" s="328"/>
      <c r="Y9" s="327"/>
      <c r="Z9" s="324" t="s">
        <v>150</v>
      </c>
      <c r="AA9" s="332" t="s">
        <v>154</v>
      </c>
    </row>
    <row r="10" spans="1:30" s="101" customFormat="1" ht="19.95" customHeight="1">
      <c r="A10" s="332"/>
      <c r="B10" s="46" t="s">
        <v>155</v>
      </c>
      <c r="C10" s="46" t="s">
        <v>156</v>
      </c>
      <c r="D10" s="46" t="s">
        <v>157</v>
      </c>
      <c r="E10" s="46" t="s">
        <v>158</v>
      </c>
      <c r="F10" s="46" t="s">
        <v>98</v>
      </c>
      <c r="G10" s="46" t="s">
        <v>99</v>
      </c>
      <c r="H10" s="106" t="s">
        <v>156</v>
      </c>
      <c r="I10" s="106" t="s">
        <v>157</v>
      </c>
      <c r="J10" s="106" t="s">
        <v>156</v>
      </c>
      <c r="K10" s="106" t="s">
        <v>157</v>
      </c>
      <c r="L10" s="46" t="s">
        <v>155</v>
      </c>
      <c r="M10" s="46" t="s">
        <v>156</v>
      </c>
      <c r="N10" s="46" t="s">
        <v>157</v>
      </c>
      <c r="O10" s="46" t="s">
        <v>158</v>
      </c>
      <c r="P10" s="325"/>
      <c r="Q10" s="325"/>
      <c r="R10" s="46" t="s">
        <v>155</v>
      </c>
      <c r="S10" s="46" t="s">
        <v>158</v>
      </c>
      <c r="T10" s="46" t="s">
        <v>159</v>
      </c>
      <c r="U10" s="46" t="s">
        <v>160</v>
      </c>
      <c r="V10" s="46" t="s">
        <v>181</v>
      </c>
      <c r="W10" s="46" t="s">
        <v>161</v>
      </c>
      <c r="X10" s="46" t="s">
        <v>162</v>
      </c>
      <c r="Y10" s="46" t="s">
        <v>163</v>
      </c>
      <c r="Z10" s="325"/>
      <c r="AA10" s="332"/>
    </row>
    <row r="11" spans="1:30" s="101" customFormat="1" ht="19.95" customHeight="1">
      <c r="A11" s="107" t="str">
        <f>'明细表L5-2'!A10</f>
        <v>售后租回业务形成的融资</v>
      </c>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25"/>
    </row>
    <row r="12" spans="1:30" ht="19.95" customHeight="1">
      <c r="A12" s="109">
        <f>'明细表L5-2'!A11</f>
        <v>0</v>
      </c>
      <c r="B12" s="110"/>
      <c r="C12" s="110"/>
      <c r="D12" s="110"/>
      <c r="E12" s="51">
        <f>B12-C12+D12</f>
        <v>0</v>
      </c>
      <c r="F12" s="111"/>
      <c r="G12" s="111"/>
      <c r="H12" s="111"/>
      <c r="I12" s="120"/>
      <c r="J12" s="111"/>
      <c r="K12" s="120"/>
      <c r="L12" s="51">
        <f>B12+F12+G12</f>
        <v>0</v>
      </c>
      <c r="M12" s="51">
        <f>C12+H12+J12</f>
        <v>0</v>
      </c>
      <c r="N12" s="51">
        <f>D12+I12+K12</f>
        <v>0</v>
      </c>
      <c r="O12" s="51">
        <f>L12-M12+N12</f>
        <v>0</v>
      </c>
      <c r="P12" s="77"/>
      <c r="Q12" s="77"/>
      <c r="R12" s="51">
        <f>L12-P12</f>
        <v>0</v>
      </c>
      <c r="S12" s="51">
        <f>O12-Q12</f>
        <v>0</v>
      </c>
      <c r="T12" s="51"/>
      <c r="U12" s="51"/>
      <c r="V12" s="110"/>
      <c r="W12" s="111"/>
      <c r="X12" s="110"/>
      <c r="Y12" s="110"/>
      <c r="Z12" s="110"/>
      <c r="AA12" s="48"/>
    </row>
    <row r="13" spans="1:30" ht="19.95" customHeight="1">
      <c r="A13" s="109">
        <f>'明细表L5-2'!A12</f>
        <v>0</v>
      </c>
      <c r="B13" s="110"/>
      <c r="C13" s="110"/>
      <c r="D13" s="110"/>
      <c r="E13" s="51">
        <f t="shared" ref="E13:E16" si="0">B13-C13+D13</f>
        <v>0</v>
      </c>
      <c r="F13" s="111"/>
      <c r="G13" s="111"/>
      <c r="H13" s="111"/>
      <c r="I13" s="120"/>
      <c r="J13" s="111"/>
      <c r="K13" s="120"/>
      <c r="L13" s="51">
        <f t="shared" ref="L13:L16" si="1">B13+F13+G13</f>
        <v>0</v>
      </c>
      <c r="M13" s="51">
        <f t="shared" ref="M13:N16" si="2">C13+H13+J13</f>
        <v>0</v>
      </c>
      <c r="N13" s="51">
        <f t="shared" si="2"/>
        <v>0</v>
      </c>
      <c r="O13" s="51">
        <f t="shared" ref="O13:O16" si="3">L13-M13+N13</f>
        <v>0</v>
      </c>
      <c r="P13" s="77"/>
      <c r="Q13" s="77"/>
      <c r="R13" s="51">
        <f>L13-P13</f>
        <v>0</v>
      </c>
      <c r="S13" s="51">
        <f>O13-Q13</f>
        <v>0</v>
      </c>
      <c r="T13" s="51"/>
      <c r="U13" s="51"/>
      <c r="V13" s="110"/>
      <c r="W13" s="111"/>
      <c r="X13" s="110"/>
      <c r="Y13" s="110"/>
      <c r="Z13" s="110"/>
      <c r="AA13" s="48"/>
    </row>
    <row r="14" spans="1:30" ht="19.95" customHeight="1">
      <c r="A14" s="109">
        <f>'明细表L5-2'!A13</f>
        <v>0</v>
      </c>
      <c r="B14" s="110"/>
      <c r="C14" s="110"/>
      <c r="D14" s="110"/>
      <c r="E14" s="51">
        <f t="shared" si="0"/>
        <v>0</v>
      </c>
      <c r="F14" s="111"/>
      <c r="G14" s="111"/>
      <c r="H14" s="111"/>
      <c r="I14" s="120"/>
      <c r="J14" s="111"/>
      <c r="K14" s="120"/>
      <c r="L14" s="51">
        <f t="shared" si="1"/>
        <v>0</v>
      </c>
      <c r="M14" s="51">
        <f t="shared" si="2"/>
        <v>0</v>
      </c>
      <c r="N14" s="51">
        <f t="shared" si="2"/>
        <v>0</v>
      </c>
      <c r="O14" s="51">
        <f t="shared" si="3"/>
        <v>0</v>
      </c>
      <c r="P14" s="77"/>
      <c r="Q14" s="77"/>
      <c r="R14" s="51">
        <f t="shared" ref="R14:R16" si="4">L14-P14</f>
        <v>0</v>
      </c>
      <c r="S14" s="51">
        <f t="shared" ref="S14:S16" si="5">O14-Q14</f>
        <v>0</v>
      </c>
      <c r="T14" s="51"/>
      <c r="U14" s="51"/>
      <c r="V14" s="110"/>
      <c r="W14" s="111"/>
      <c r="X14" s="110"/>
      <c r="Y14" s="110"/>
      <c r="Z14" s="110"/>
      <c r="AA14" s="48"/>
    </row>
    <row r="15" spans="1:30" ht="19.95" customHeight="1">
      <c r="A15" s="109">
        <f>'明细表L5-2'!A14</f>
        <v>0</v>
      </c>
      <c r="B15" s="110"/>
      <c r="C15" s="110"/>
      <c r="D15" s="110"/>
      <c r="E15" s="51">
        <f t="shared" si="0"/>
        <v>0</v>
      </c>
      <c r="F15" s="111"/>
      <c r="G15" s="111"/>
      <c r="H15" s="111"/>
      <c r="I15" s="120"/>
      <c r="J15" s="111"/>
      <c r="K15" s="120"/>
      <c r="L15" s="51">
        <f t="shared" si="1"/>
        <v>0</v>
      </c>
      <c r="M15" s="51">
        <f t="shared" si="2"/>
        <v>0</v>
      </c>
      <c r="N15" s="51">
        <f t="shared" si="2"/>
        <v>0</v>
      </c>
      <c r="O15" s="51">
        <f t="shared" si="3"/>
        <v>0</v>
      </c>
      <c r="P15" s="77"/>
      <c r="Q15" s="77"/>
      <c r="R15" s="51">
        <f t="shared" si="4"/>
        <v>0</v>
      </c>
      <c r="S15" s="51">
        <f t="shared" si="5"/>
        <v>0</v>
      </c>
      <c r="T15" s="51"/>
      <c r="U15" s="51"/>
      <c r="V15" s="110"/>
      <c r="W15" s="111"/>
      <c r="X15" s="110"/>
      <c r="Y15" s="110"/>
      <c r="Z15" s="110"/>
      <c r="AA15" s="48"/>
    </row>
    <row r="16" spans="1:30" ht="19.95" customHeight="1">
      <c r="A16" s="109">
        <f>'明细表L5-2'!A15</f>
        <v>0</v>
      </c>
      <c r="B16" s="110"/>
      <c r="C16" s="110"/>
      <c r="D16" s="110"/>
      <c r="E16" s="51">
        <f t="shared" si="0"/>
        <v>0</v>
      </c>
      <c r="F16" s="111"/>
      <c r="G16" s="111"/>
      <c r="H16" s="111"/>
      <c r="I16" s="120"/>
      <c r="J16" s="111"/>
      <c r="K16" s="120"/>
      <c r="L16" s="51">
        <f t="shared" si="1"/>
        <v>0</v>
      </c>
      <c r="M16" s="51">
        <f t="shared" si="2"/>
        <v>0</v>
      </c>
      <c r="N16" s="51">
        <f t="shared" si="2"/>
        <v>0</v>
      </c>
      <c r="O16" s="51">
        <f t="shared" si="3"/>
        <v>0</v>
      </c>
      <c r="P16" s="77"/>
      <c r="Q16" s="77"/>
      <c r="R16" s="51">
        <f t="shared" si="4"/>
        <v>0</v>
      </c>
      <c r="S16" s="51">
        <f t="shared" si="5"/>
        <v>0</v>
      </c>
      <c r="T16" s="51"/>
      <c r="U16" s="51"/>
      <c r="V16" s="110"/>
      <c r="W16" s="111"/>
      <c r="X16" s="110"/>
      <c r="Y16" s="110"/>
      <c r="Z16" s="110"/>
      <c r="AA16" s="48"/>
    </row>
    <row r="17" spans="1:27" s="265" customFormat="1" ht="19.95" customHeight="1">
      <c r="A17" s="262" t="s">
        <v>165</v>
      </c>
      <c r="B17" s="259">
        <f>SUM(B12:B16)</f>
        <v>0</v>
      </c>
      <c r="C17" s="259">
        <f t="shared" ref="C17:Y17" si="6">SUM(C12:C16)</f>
        <v>0</v>
      </c>
      <c r="D17" s="259">
        <f t="shared" si="6"/>
        <v>0</v>
      </c>
      <c r="E17" s="259">
        <f t="shared" si="6"/>
        <v>0</v>
      </c>
      <c r="F17" s="259">
        <f t="shared" si="6"/>
        <v>0</v>
      </c>
      <c r="G17" s="259">
        <f t="shared" si="6"/>
        <v>0</v>
      </c>
      <c r="H17" s="259">
        <f t="shared" si="6"/>
        <v>0</v>
      </c>
      <c r="I17" s="259">
        <f t="shared" si="6"/>
        <v>0</v>
      </c>
      <c r="J17" s="259">
        <f t="shared" si="6"/>
        <v>0</v>
      </c>
      <c r="K17" s="259">
        <f t="shared" si="6"/>
        <v>0</v>
      </c>
      <c r="L17" s="259">
        <f t="shared" si="6"/>
        <v>0</v>
      </c>
      <c r="M17" s="259">
        <f t="shared" si="6"/>
        <v>0</v>
      </c>
      <c r="N17" s="259">
        <f t="shared" si="6"/>
        <v>0</v>
      </c>
      <c r="O17" s="259">
        <f t="shared" si="6"/>
        <v>0</v>
      </c>
      <c r="P17" s="259">
        <f t="shared" si="6"/>
        <v>0</v>
      </c>
      <c r="Q17" s="259">
        <f t="shared" si="6"/>
        <v>0</v>
      </c>
      <c r="R17" s="259">
        <f t="shared" si="6"/>
        <v>0</v>
      </c>
      <c r="S17" s="259">
        <f t="shared" si="6"/>
        <v>0</v>
      </c>
      <c r="T17" s="259"/>
      <c r="U17" s="259"/>
      <c r="V17" s="259">
        <f t="shared" si="6"/>
        <v>0</v>
      </c>
      <c r="W17" s="259">
        <f t="shared" si="6"/>
        <v>0</v>
      </c>
      <c r="X17" s="259">
        <f t="shared" si="6"/>
        <v>0</v>
      </c>
      <c r="Y17" s="259">
        <f t="shared" si="6"/>
        <v>0</v>
      </c>
      <c r="Z17" s="263"/>
      <c r="AA17" s="264"/>
    </row>
    <row r="18" spans="1:27" ht="19.95" customHeight="1">
      <c r="A18" s="112" t="s">
        <v>167</v>
      </c>
      <c r="B18" s="113"/>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27"/>
    </row>
    <row r="19" spans="1:27" ht="19.95" customHeight="1">
      <c r="A19" s="109">
        <f>'明细表L5-2'!A18</f>
        <v>0</v>
      </c>
      <c r="B19" s="114"/>
      <c r="C19" s="114"/>
      <c r="D19" s="114"/>
      <c r="E19" s="51">
        <f t="shared" ref="E19:E23" si="7">B19-C19+D19</f>
        <v>0</v>
      </c>
      <c r="F19" s="111"/>
      <c r="G19" s="111"/>
      <c r="H19" s="111"/>
      <c r="I19" s="120"/>
      <c r="J19" s="111"/>
      <c r="K19" s="120"/>
      <c r="L19" s="51">
        <f>B19+F19+G19</f>
        <v>0</v>
      </c>
      <c r="M19" s="51">
        <f>C19+H19+J19</f>
        <v>0</v>
      </c>
      <c r="N19" s="51">
        <f>D19+I19+K19</f>
        <v>0</v>
      </c>
      <c r="O19" s="51">
        <f>L19-M19+N19</f>
        <v>0</v>
      </c>
      <c r="P19" s="77"/>
      <c r="Q19" s="77"/>
      <c r="R19" s="51">
        <f>L19-P19</f>
        <v>0</v>
      </c>
      <c r="S19" s="51">
        <f>O19-Q19</f>
        <v>0</v>
      </c>
      <c r="T19" s="51"/>
      <c r="U19" s="51"/>
      <c r="V19" s="110"/>
      <c r="W19" s="111"/>
      <c r="X19" s="110"/>
      <c r="Y19" s="110"/>
      <c r="Z19" s="110"/>
      <c r="AA19" s="48"/>
    </row>
    <row r="20" spans="1:27" ht="19.95" customHeight="1">
      <c r="A20" s="109">
        <f>'明细表L5-2'!A19</f>
        <v>0</v>
      </c>
      <c r="B20" s="114"/>
      <c r="C20" s="114"/>
      <c r="D20" s="114"/>
      <c r="E20" s="51">
        <f t="shared" si="7"/>
        <v>0</v>
      </c>
      <c r="F20" s="111"/>
      <c r="G20" s="111"/>
      <c r="H20" s="111"/>
      <c r="I20" s="120"/>
      <c r="J20" s="111"/>
      <c r="K20" s="120"/>
      <c r="L20" s="51">
        <f t="shared" ref="L20:L23" si="8">B20+F20+G20</f>
        <v>0</v>
      </c>
      <c r="M20" s="51">
        <f t="shared" ref="M20:N23" si="9">C20+H20+J20</f>
        <v>0</v>
      </c>
      <c r="N20" s="51">
        <f t="shared" si="9"/>
        <v>0</v>
      </c>
      <c r="O20" s="51">
        <f t="shared" ref="O20:O23" si="10">L20-M20+N20</f>
        <v>0</v>
      </c>
      <c r="P20" s="77"/>
      <c r="Q20" s="77"/>
      <c r="R20" s="51">
        <f t="shared" ref="R20:R23" si="11">L20-P20</f>
        <v>0</v>
      </c>
      <c r="S20" s="51">
        <f t="shared" ref="S20:S23" si="12">O20-Q20</f>
        <v>0</v>
      </c>
      <c r="T20" s="51"/>
      <c r="U20" s="51"/>
      <c r="V20" s="110"/>
      <c r="W20" s="111"/>
      <c r="X20" s="110"/>
      <c r="Y20" s="110"/>
      <c r="Z20" s="110"/>
      <c r="AA20" s="48"/>
    </row>
    <row r="21" spans="1:27" ht="19.95" customHeight="1">
      <c r="A21" s="109">
        <f>'明细表L5-2'!A20</f>
        <v>0</v>
      </c>
      <c r="B21" s="114"/>
      <c r="C21" s="114"/>
      <c r="D21" s="114"/>
      <c r="E21" s="51">
        <f t="shared" si="7"/>
        <v>0</v>
      </c>
      <c r="F21" s="111"/>
      <c r="G21" s="111"/>
      <c r="H21" s="111"/>
      <c r="I21" s="120"/>
      <c r="J21" s="111"/>
      <c r="K21" s="120"/>
      <c r="L21" s="51">
        <f t="shared" si="8"/>
        <v>0</v>
      </c>
      <c r="M21" s="51">
        <f t="shared" si="9"/>
        <v>0</v>
      </c>
      <c r="N21" s="51">
        <f t="shared" si="9"/>
        <v>0</v>
      </c>
      <c r="O21" s="51">
        <f t="shared" si="10"/>
        <v>0</v>
      </c>
      <c r="P21" s="77"/>
      <c r="Q21" s="77"/>
      <c r="R21" s="51">
        <f t="shared" si="11"/>
        <v>0</v>
      </c>
      <c r="S21" s="51">
        <f t="shared" si="12"/>
        <v>0</v>
      </c>
      <c r="T21" s="51"/>
      <c r="U21" s="51"/>
      <c r="V21" s="110"/>
      <c r="W21" s="111"/>
      <c r="X21" s="110"/>
      <c r="Y21" s="110"/>
      <c r="Z21" s="110"/>
      <c r="AA21" s="48"/>
    </row>
    <row r="22" spans="1:27" ht="19.95" customHeight="1">
      <c r="A22" s="109">
        <f>'明细表L5-2'!A21</f>
        <v>0</v>
      </c>
      <c r="B22" s="114"/>
      <c r="C22" s="114"/>
      <c r="D22" s="114"/>
      <c r="E22" s="51">
        <f t="shared" si="7"/>
        <v>0</v>
      </c>
      <c r="F22" s="111"/>
      <c r="G22" s="111"/>
      <c r="H22" s="111"/>
      <c r="I22" s="120"/>
      <c r="J22" s="111"/>
      <c r="K22" s="120"/>
      <c r="L22" s="51">
        <f t="shared" si="8"/>
        <v>0</v>
      </c>
      <c r="M22" s="51">
        <f t="shared" si="9"/>
        <v>0</v>
      </c>
      <c r="N22" s="51">
        <f t="shared" si="9"/>
        <v>0</v>
      </c>
      <c r="O22" s="51">
        <f t="shared" si="10"/>
        <v>0</v>
      </c>
      <c r="P22" s="77"/>
      <c r="Q22" s="77"/>
      <c r="R22" s="51">
        <f t="shared" si="11"/>
        <v>0</v>
      </c>
      <c r="S22" s="51">
        <f t="shared" si="12"/>
        <v>0</v>
      </c>
      <c r="T22" s="51"/>
      <c r="U22" s="51"/>
      <c r="V22" s="110"/>
      <c r="W22" s="111"/>
      <c r="X22" s="110"/>
      <c r="Y22" s="110"/>
      <c r="Z22" s="110"/>
      <c r="AA22" s="48"/>
    </row>
    <row r="23" spans="1:27" ht="19.95" customHeight="1">
      <c r="A23" s="109">
        <f>'明细表L5-2'!A22</f>
        <v>0</v>
      </c>
      <c r="B23" s="114"/>
      <c r="C23" s="114"/>
      <c r="D23" s="114"/>
      <c r="E23" s="51">
        <f t="shared" si="7"/>
        <v>0</v>
      </c>
      <c r="F23" s="111"/>
      <c r="G23" s="111"/>
      <c r="H23" s="111"/>
      <c r="I23" s="120"/>
      <c r="J23" s="111"/>
      <c r="K23" s="120"/>
      <c r="L23" s="51">
        <f t="shared" si="8"/>
        <v>0</v>
      </c>
      <c r="M23" s="51">
        <f t="shared" si="9"/>
        <v>0</v>
      </c>
      <c r="N23" s="51">
        <f t="shared" si="9"/>
        <v>0</v>
      </c>
      <c r="O23" s="51">
        <f t="shared" si="10"/>
        <v>0</v>
      </c>
      <c r="P23" s="77"/>
      <c r="Q23" s="77"/>
      <c r="R23" s="51">
        <f t="shared" si="11"/>
        <v>0</v>
      </c>
      <c r="S23" s="51">
        <f t="shared" si="12"/>
        <v>0</v>
      </c>
      <c r="T23" s="51"/>
      <c r="U23" s="51"/>
      <c r="V23" s="110"/>
      <c r="W23" s="111"/>
      <c r="X23" s="110"/>
      <c r="Y23" s="110"/>
      <c r="Z23" s="110"/>
      <c r="AA23" s="48"/>
    </row>
    <row r="24" spans="1:27" s="265" customFormat="1" ht="19.95" customHeight="1">
      <c r="A24" s="262" t="s">
        <v>165</v>
      </c>
      <c r="B24" s="259">
        <f>SUM(B19:B23)</f>
        <v>0</v>
      </c>
      <c r="C24" s="259">
        <f t="shared" ref="C24:R24" si="13">SUM(C19:C23)</f>
        <v>0</v>
      </c>
      <c r="D24" s="259">
        <f t="shared" si="13"/>
        <v>0</v>
      </c>
      <c r="E24" s="259">
        <f t="shared" si="13"/>
        <v>0</v>
      </c>
      <c r="F24" s="259">
        <f t="shared" si="13"/>
        <v>0</v>
      </c>
      <c r="G24" s="259">
        <f t="shared" si="13"/>
        <v>0</v>
      </c>
      <c r="H24" s="259">
        <f t="shared" si="13"/>
        <v>0</v>
      </c>
      <c r="I24" s="259">
        <f t="shared" si="13"/>
        <v>0</v>
      </c>
      <c r="J24" s="259">
        <f t="shared" si="13"/>
        <v>0</v>
      </c>
      <c r="K24" s="259">
        <f t="shared" si="13"/>
        <v>0</v>
      </c>
      <c r="L24" s="259">
        <f t="shared" si="13"/>
        <v>0</v>
      </c>
      <c r="M24" s="259">
        <f t="shared" si="13"/>
        <v>0</v>
      </c>
      <c r="N24" s="259">
        <f t="shared" si="13"/>
        <v>0</v>
      </c>
      <c r="O24" s="259">
        <f t="shared" si="13"/>
        <v>0</v>
      </c>
      <c r="P24" s="259">
        <f t="shared" si="13"/>
        <v>0</v>
      </c>
      <c r="Q24" s="259">
        <f t="shared" si="13"/>
        <v>0</v>
      </c>
      <c r="R24" s="259">
        <f t="shared" si="13"/>
        <v>0</v>
      </c>
      <c r="S24" s="259">
        <f t="shared" ref="S24:Y24" si="14">SUM(S19:S23)</f>
        <v>0</v>
      </c>
      <c r="T24" s="259"/>
      <c r="U24" s="259"/>
      <c r="V24" s="259">
        <f t="shared" si="14"/>
        <v>0</v>
      </c>
      <c r="W24" s="259">
        <f t="shared" si="14"/>
        <v>0</v>
      </c>
      <c r="X24" s="259">
        <f t="shared" si="14"/>
        <v>0</v>
      </c>
      <c r="Y24" s="259">
        <f t="shared" si="14"/>
        <v>0</v>
      </c>
      <c r="Z24" s="263"/>
      <c r="AA24" s="266"/>
    </row>
    <row r="25" spans="1:27" ht="19.95" customHeight="1">
      <c r="A25" s="115" t="str">
        <f>'明细表L5-2'!A24</f>
        <v>…</v>
      </c>
      <c r="B25" s="116"/>
      <c r="C25" s="116"/>
      <c r="D25" s="116"/>
      <c r="E25" s="51">
        <f>B25-C25+D25</f>
        <v>0</v>
      </c>
      <c r="F25" s="116"/>
      <c r="G25" s="116"/>
      <c r="H25" s="116"/>
      <c r="I25" s="121"/>
      <c r="J25" s="116"/>
      <c r="K25" s="121"/>
      <c r="L25" s="51">
        <f>B25+F25+G25</f>
        <v>0</v>
      </c>
      <c r="M25" s="51">
        <f>C25+H25+J25</f>
        <v>0</v>
      </c>
      <c r="N25" s="51">
        <f>D25+I25+K25</f>
        <v>0</v>
      </c>
      <c r="O25" s="51">
        <f>L25-M25+N25</f>
        <v>0</v>
      </c>
      <c r="P25" s="77"/>
      <c r="Q25" s="77"/>
      <c r="R25" s="51">
        <f>L25-P25</f>
        <v>0</v>
      </c>
      <c r="S25" s="51">
        <f>O25-Q25</f>
        <v>0</v>
      </c>
      <c r="T25" s="51"/>
      <c r="U25" s="51"/>
      <c r="V25" s="110"/>
      <c r="W25" s="111"/>
      <c r="X25" s="110"/>
      <c r="Y25" s="110"/>
      <c r="Z25" s="126"/>
      <c r="AA25" s="128"/>
    </row>
    <row r="26" spans="1:27" s="265" customFormat="1" ht="19.95" customHeight="1">
      <c r="A26" s="262" t="s">
        <v>169</v>
      </c>
      <c r="B26" s="259">
        <f>SUM(B17,B24,B25)</f>
        <v>0</v>
      </c>
      <c r="C26" s="259">
        <f t="shared" ref="C26:Y26" si="15">SUM(C17,C24,C25)</f>
        <v>0</v>
      </c>
      <c r="D26" s="259">
        <f t="shared" si="15"/>
        <v>0</v>
      </c>
      <c r="E26" s="259">
        <f t="shared" si="15"/>
        <v>0</v>
      </c>
      <c r="F26" s="259">
        <f t="shared" si="15"/>
        <v>0</v>
      </c>
      <c r="G26" s="259">
        <f t="shared" si="15"/>
        <v>0</v>
      </c>
      <c r="H26" s="259">
        <f t="shared" si="15"/>
        <v>0</v>
      </c>
      <c r="I26" s="259">
        <f t="shared" si="15"/>
        <v>0</v>
      </c>
      <c r="J26" s="259">
        <f t="shared" si="15"/>
        <v>0</v>
      </c>
      <c r="K26" s="259">
        <f t="shared" si="15"/>
        <v>0</v>
      </c>
      <c r="L26" s="259">
        <f t="shared" si="15"/>
        <v>0</v>
      </c>
      <c r="M26" s="259">
        <f t="shared" si="15"/>
        <v>0</v>
      </c>
      <c r="N26" s="259">
        <f t="shared" si="15"/>
        <v>0</v>
      </c>
      <c r="O26" s="259">
        <f t="shared" si="15"/>
        <v>0</v>
      </c>
      <c r="P26" s="259">
        <f t="shared" si="15"/>
        <v>0</v>
      </c>
      <c r="Q26" s="259">
        <f t="shared" si="15"/>
        <v>0</v>
      </c>
      <c r="R26" s="259">
        <f t="shared" si="15"/>
        <v>0</v>
      </c>
      <c r="S26" s="259">
        <f t="shared" si="15"/>
        <v>0</v>
      </c>
      <c r="T26" s="259"/>
      <c r="U26" s="259"/>
      <c r="V26" s="259">
        <f>SUM(V17,V24,V25)</f>
        <v>0</v>
      </c>
      <c r="W26" s="259">
        <f t="shared" si="15"/>
        <v>0</v>
      </c>
      <c r="X26" s="259">
        <f t="shared" si="15"/>
        <v>0</v>
      </c>
      <c r="Y26" s="259">
        <f t="shared" si="15"/>
        <v>0</v>
      </c>
      <c r="Z26" s="263"/>
      <c r="AA26" s="264"/>
    </row>
    <row r="27" spans="1:27" s="102" customFormat="1" ht="19.95" customHeight="1">
      <c r="A27" s="54" t="s">
        <v>182</v>
      </c>
      <c r="B27" s="117"/>
      <c r="C27" s="117"/>
      <c r="D27" s="117"/>
      <c r="E27" s="117"/>
      <c r="F27" s="117"/>
      <c r="G27" s="118"/>
      <c r="H27" s="118"/>
      <c r="I27" s="118"/>
      <c r="J27" s="118"/>
      <c r="K27" s="118"/>
      <c r="L27" s="118"/>
      <c r="M27" s="118"/>
      <c r="N27" s="118"/>
      <c r="O27" s="118"/>
      <c r="P27" s="118"/>
      <c r="Q27" s="118"/>
      <c r="R27" s="118"/>
      <c r="S27" s="118"/>
      <c r="T27" s="118"/>
      <c r="U27" s="118"/>
      <c r="V27" s="118"/>
      <c r="W27" s="118"/>
      <c r="X27" s="118"/>
      <c r="Y27" s="118"/>
      <c r="Z27" s="118"/>
      <c r="AA27" s="118"/>
    </row>
    <row r="28" spans="1:27" s="102" customFormat="1" ht="19.95" customHeight="1">
      <c r="A28" s="55"/>
      <c r="B28" s="2"/>
      <c r="C28" s="2"/>
      <c r="D28" s="2"/>
      <c r="E28" s="2"/>
      <c r="F28" s="2"/>
      <c r="I28" s="122"/>
      <c r="K28" s="122"/>
    </row>
    <row r="29" spans="1:27" s="102" customFormat="1" ht="19.95" customHeight="1">
      <c r="A29" s="55" t="s">
        <v>183</v>
      </c>
      <c r="B29" s="2"/>
      <c r="C29" s="2"/>
      <c r="D29" s="2"/>
      <c r="E29" s="2"/>
      <c r="F29" s="2"/>
      <c r="I29" s="122"/>
      <c r="K29" s="122"/>
    </row>
    <row r="30" spans="1:27" s="102" customFormat="1" ht="19.95" customHeight="1">
      <c r="A30" s="119"/>
      <c r="I30" s="122"/>
      <c r="K30" s="122"/>
    </row>
    <row r="31" spans="1:27" s="102" customFormat="1" ht="19.95" customHeight="1">
      <c r="I31" s="122"/>
      <c r="K31" s="122"/>
    </row>
  </sheetData>
  <mergeCells count="18">
    <mergeCell ref="A1:O1"/>
    <mergeCell ref="P1:X1"/>
    <mergeCell ref="A2:O2"/>
    <mergeCell ref="P2:X2"/>
    <mergeCell ref="B6:O6"/>
    <mergeCell ref="P6:AA6"/>
    <mergeCell ref="Z9:Z10"/>
    <mergeCell ref="AA9:AA10"/>
    <mergeCell ref="R9:S9"/>
    <mergeCell ref="T9:Y9"/>
    <mergeCell ref="A9:A10"/>
    <mergeCell ref="P9:P10"/>
    <mergeCell ref="Q9:Q10"/>
    <mergeCell ref="B9:E9"/>
    <mergeCell ref="F9:G9"/>
    <mergeCell ref="H9:I9"/>
    <mergeCell ref="J9:K9"/>
    <mergeCell ref="L9:O9"/>
  </mergeCells>
  <phoneticPr fontId="126" type="noConversion"/>
  <dataValidations count="1">
    <dataValidation type="list" allowBlank="1" showInputMessage="1" showErrorMessage="1" sqref="Z12:Z16 Z19:Z23">
      <formula1>"关联方（合并范围内),关联方（合并范围外）,非关联方"</formula1>
    </dataValidation>
  </dataValidations>
  <hyperlinks>
    <hyperlink ref="AA3" location="底稿目录!A1" display="=底稿目录!F8"/>
  </hyperlinks>
  <pageMargins left="0.70866141732283505" right="0.70866141732283505" top="0.74803149606299202" bottom="0.74803149606299202" header="0.31496062992126" footer="0.31496062992126"/>
  <pageSetup paperSize="9" scale="83" fitToHeight="0" orientation="landscape" blackAndWhite="1" r:id="rId1"/>
  <headerFooter>
    <oddFooter>&amp;C&amp;P/&amp;N</oddFooter>
  </headerFooter>
  <colBreaks count="1" manualBreakCount="1">
    <brk id="15" max="3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3"/>
  <sheetViews>
    <sheetView view="pageBreakPreview" zoomScaleNormal="100" workbookViewId="0">
      <selection sqref="A1:J1"/>
    </sheetView>
  </sheetViews>
  <sheetFormatPr defaultColWidth="9" defaultRowHeight="19.95" customHeight="1"/>
  <cols>
    <col min="1" max="1" width="20.59765625" style="81" customWidth="1"/>
    <col min="2" max="2" width="18.09765625" style="81" customWidth="1"/>
    <col min="3" max="16384" width="9" style="81"/>
  </cols>
  <sheetData>
    <row r="1" spans="1:11" ht="19.95" customHeight="1">
      <c r="A1" s="335" t="s">
        <v>297</v>
      </c>
      <c r="B1" s="335"/>
      <c r="C1" s="335"/>
      <c r="D1" s="335"/>
      <c r="E1" s="335"/>
      <c r="F1" s="335"/>
      <c r="G1" s="335"/>
      <c r="H1" s="335"/>
      <c r="I1" s="335"/>
      <c r="J1" s="335"/>
    </row>
    <row r="2" spans="1:11" ht="19.95" customHeight="1">
      <c r="A2" s="336" t="s">
        <v>299</v>
      </c>
      <c r="B2" s="336"/>
      <c r="C2" s="336"/>
      <c r="D2" s="336"/>
      <c r="E2" s="336"/>
      <c r="F2" s="336"/>
      <c r="G2" s="336"/>
      <c r="H2" s="336"/>
      <c r="I2" s="336"/>
      <c r="J2" s="336"/>
      <c r="K2" s="34"/>
    </row>
    <row r="3" spans="1:11" ht="19.95" customHeight="1">
      <c r="A3" s="82" t="s">
        <v>184</v>
      </c>
      <c r="B3" s="82"/>
      <c r="C3" s="82" t="s">
        <v>185</v>
      </c>
      <c r="D3" s="82"/>
      <c r="E3" s="82"/>
      <c r="F3" s="83"/>
      <c r="G3" s="82" t="s">
        <v>186</v>
      </c>
      <c r="H3" s="82"/>
      <c r="I3" s="83" t="s">
        <v>187</v>
      </c>
      <c r="J3" s="293" t="str">
        <f>底稿目录!F9</f>
        <v>L5-4</v>
      </c>
    </row>
    <row r="4" spans="1:11" ht="19.95" customHeight="1">
      <c r="A4" s="82" t="s">
        <v>188</v>
      </c>
      <c r="B4" s="82"/>
      <c r="C4" s="82" t="s">
        <v>189</v>
      </c>
      <c r="D4" s="82"/>
      <c r="E4" s="82"/>
      <c r="F4" s="83"/>
      <c r="G4" s="82" t="s">
        <v>190</v>
      </c>
      <c r="H4" s="82"/>
      <c r="I4" s="83" t="s">
        <v>92</v>
      </c>
      <c r="J4" s="83"/>
    </row>
    <row r="5" spans="1:11" s="80" customFormat="1" ht="30" customHeight="1">
      <c r="A5" s="84" t="s">
        <v>191</v>
      </c>
      <c r="B5" s="85" t="s">
        <v>192</v>
      </c>
      <c r="C5" s="86" t="s">
        <v>193</v>
      </c>
      <c r="D5" s="87" t="s">
        <v>194</v>
      </c>
      <c r="E5" s="87" t="s">
        <v>195</v>
      </c>
      <c r="F5" s="88" t="s">
        <v>196</v>
      </c>
      <c r="G5" s="87" t="s">
        <v>197</v>
      </c>
      <c r="H5" s="87" t="s">
        <v>198</v>
      </c>
      <c r="I5" s="87" t="s">
        <v>199</v>
      </c>
      <c r="J5" s="87" t="s">
        <v>154</v>
      </c>
    </row>
    <row r="6" spans="1:11" ht="19.95" customHeight="1">
      <c r="A6" s="89"/>
      <c r="B6" s="90"/>
      <c r="C6" s="90"/>
      <c r="D6" s="90"/>
      <c r="E6" s="90"/>
      <c r="F6" s="91"/>
      <c r="G6" s="92"/>
      <c r="H6" s="92"/>
      <c r="I6" s="90"/>
      <c r="J6" s="90"/>
    </row>
    <row r="7" spans="1:11" ht="19.95" customHeight="1">
      <c r="A7" s="89"/>
      <c r="B7" s="90"/>
      <c r="C7" s="90"/>
      <c r="D7" s="90"/>
      <c r="E7" s="90"/>
      <c r="F7" s="91"/>
      <c r="G7" s="92"/>
      <c r="H7" s="92"/>
      <c r="I7" s="90"/>
      <c r="J7" s="90"/>
    </row>
    <row r="8" spans="1:11" ht="19.95" customHeight="1">
      <c r="A8" s="93"/>
      <c r="B8" s="90"/>
      <c r="C8" s="94"/>
      <c r="D8" s="94"/>
      <c r="E8" s="94"/>
      <c r="F8" s="91"/>
      <c r="G8" s="92"/>
      <c r="H8" s="92"/>
      <c r="I8" s="90"/>
      <c r="J8" s="94"/>
    </row>
    <row r="9" spans="1:11" ht="19.95" customHeight="1">
      <c r="A9" s="89"/>
      <c r="B9" s="90"/>
      <c r="C9" s="90"/>
      <c r="D9" s="90"/>
      <c r="E9" s="90"/>
      <c r="F9" s="91"/>
      <c r="G9" s="92"/>
      <c r="H9" s="92"/>
      <c r="I9" s="90"/>
      <c r="J9" s="90"/>
    </row>
    <row r="10" spans="1:11" ht="19.95" customHeight="1">
      <c r="A10" s="89"/>
      <c r="B10" s="90"/>
      <c r="C10" s="90"/>
      <c r="D10" s="90"/>
      <c r="E10" s="90"/>
      <c r="F10" s="91"/>
      <c r="G10" s="92"/>
      <c r="H10" s="92"/>
      <c r="I10" s="90"/>
      <c r="J10" s="90"/>
    </row>
    <row r="11" spans="1:11" ht="19.95" customHeight="1">
      <c r="A11" s="95"/>
      <c r="B11" s="90"/>
      <c r="C11" s="90"/>
      <c r="D11" s="90"/>
      <c r="E11" s="90"/>
      <c r="F11" s="91"/>
      <c r="G11" s="92"/>
      <c r="H11" s="92"/>
      <c r="I11" s="90"/>
      <c r="J11" s="90"/>
    </row>
    <row r="12" spans="1:11" ht="19.95" customHeight="1">
      <c r="A12" s="89"/>
      <c r="B12" s="90"/>
      <c r="C12" s="90"/>
      <c r="D12" s="90"/>
      <c r="E12" s="90"/>
      <c r="F12" s="91"/>
      <c r="G12" s="92"/>
      <c r="H12" s="92"/>
      <c r="I12" s="90"/>
      <c r="J12" s="90"/>
    </row>
    <row r="13" spans="1:11" ht="19.95" customHeight="1">
      <c r="A13" s="89"/>
      <c r="B13" s="90"/>
      <c r="C13" s="90"/>
      <c r="D13" s="90"/>
      <c r="E13" s="90"/>
      <c r="F13" s="91"/>
      <c r="G13" s="92"/>
      <c r="H13" s="92"/>
      <c r="I13" s="90"/>
      <c r="J13" s="90"/>
    </row>
    <row r="14" spans="1:11" ht="19.95" customHeight="1">
      <c r="A14" s="89"/>
      <c r="B14" s="90"/>
      <c r="C14" s="90"/>
      <c r="D14" s="90"/>
      <c r="E14" s="90"/>
      <c r="F14" s="91"/>
      <c r="G14" s="92"/>
      <c r="H14" s="92"/>
      <c r="I14" s="90"/>
      <c r="J14" s="90"/>
    </row>
    <row r="15" spans="1:11" ht="19.95" customHeight="1">
      <c r="A15" s="89"/>
      <c r="B15" s="90"/>
      <c r="C15" s="90"/>
      <c r="D15" s="90"/>
      <c r="E15" s="90"/>
      <c r="F15" s="91"/>
      <c r="G15" s="92"/>
      <c r="H15" s="92"/>
      <c r="I15" s="90"/>
      <c r="J15" s="90"/>
    </row>
    <row r="16" spans="1:11" ht="19.95" customHeight="1">
      <c r="A16" s="96"/>
      <c r="B16" s="90"/>
      <c r="C16" s="90"/>
      <c r="D16" s="90"/>
      <c r="E16" s="90"/>
      <c r="F16" s="91"/>
      <c r="G16" s="92"/>
      <c r="H16" s="92"/>
      <c r="I16" s="90"/>
      <c r="J16" s="90"/>
    </row>
    <row r="17" spans="1:10" ht="19.95" customHeight="1">
      <c r="A17" s="96"/>
      <c r="B17" s="90"/>
      <c r="C17" s="90"/>
      <c r="D17" s="90"/>
      <c r="E17" s="90"/>
      <c r="F17" s="91"/>
      <c r="G17" s="92"/>
      <c r="H17" s="92"/>
      <c r="I17" s="90"/>
      <c r="J17" s="90"/>
    </row>
    <row r="18" spans="1:10" ht="19.95" customHeight="1">
      <c r="A18" s="96"/>
      <c r="B18" s="90"/>
      <c r="C18" s="90"/>
      <c r="D18" s="90"/>
      <c r="E18" s="90"/>
      <c r="F18" s="91"/>
      <c r="G18" s="92"/>
      <c r="H18" s="92"/>
      <c r="I18" s="90"/>
      <c r="J18" s="90"/>
    </row>
    <row r="19" spans="1:10" ht="19.95" customHeight="1">
      <c r="A19" s="96"/>
      <c r="B19" s="90"/>
      <c r="C19" s="90"/>
      <c r="D19" s="90"/>
      <c r="E19" s="90"/>
      <c r="F19" s="91"/>
      <c r="G19" s="92"/>
      <c r="H19" s="92"/>
      <c r="I19" s="90"/>
      <c r="J19" s="90"/>
    </row>
    <row r="20" spans="1:10" ht="19.95" customHeight="1">
      <c r="A20" s="96"/>
      <c r="B20" s="90"/>
      <c r="C20" s="90"/>
      <c r="D20" s="90"/>
      <c r="E20" s="90"/>
      <c r="F20" s="91"/>
      <c r="G20" s="92"/>
      <c r="H20" s="92"/>
      <c r="I20" s="90"/>
      <c r="J20" s="90"/>
    </row>
    <row r="21" spans="1:10" ht="19.95" customHeight="1">
      <c r="A21" s="97"/>
      <c r="B21" s="97"/>
      <c r="C21" s="98"/>
      <c r="D21" s="98"/>
      <c r="E21" s="98"/>
      <c r="F21" s="98"/>
      <c r="G21" s="99"/>
      <c r="H21" s="99"/>
      <c r="I21" s="98"/>
      <c r="J21" s="100"/>
    </row>
    <row r="22" spans="1:10" ht="25.8" customHeight="1">
      <c r="A22" s="337" t="s">
        <v>200</v>
      </c>
      <c r="B22" s="338"/>
      <c r="C22" s="338"/>
      <c r="D22" s="338"/>
      <c r="E22" s="338"/>
      <c r="F22" s="338"/>
      <c r="G22" s="338"/>
      <c r="H22" s="338"/>
      <c r="I22" s="338"/>
      <c r="J22" s="338"/>
    </row>
    <row r="23" spans="1:10" ht="19.95" customHeight="1">
      <c r="A23" s="337"/>
      <c r="B23" s="338"/>
      <c r="C23" s="338"/>
      <c r="D23" s="338"/>
      <c r="E23" s="338"/>
      <c r="F23" s="338"/>
      <c r="G23" s="338"/>
      <c r="H23" s="338"/>
      <c r="I23" s="338"/>
      <c r="J23" s="338"/>
    </row>
  </sheetData>
  <mergeCells count="4">
    <mergeCell ref="A1:J1"/>
    <mergeCell ref="A2:J2"/>
    <mergeCell ref="A23:J23"/>
    <mergeCell ref="A22:J22"/>
  </mergeCells>
  <phoneticPr fontId="126"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505" right="0.70866141732283505" top="0.74803149606299202" bottom="0.74803149606299202" header="0.31496062992126" footer="0.31496062992126"/>
  <pageSetup paperSize="9" scale="74"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WVF26"/>
  <sheetViews>
    <sheetView view="pageBreakPreview" zoomScaleNormal="100" workbookViewId="0">
      <selection sqref="A1:K1"/>
    </sheetView>
  </sheetViews>
  <sheetFormatPr defaultColWidth="8.796875" defaultRowHeight="19.95" customHeight="1"/>
  <cols>
    <col min="1" max="1" width="9.296875" style="68" customWidth="1"/>
    <col min="2" max="2" width="13.3984375" style="69" customWidth="1"/>
    <col min="3" max="4" width="10.59765625" style="68" customWidth="1"/>
    <col min="5" max="5" width="12.3984375" style="68" customWidth="1"/>
    <col min="6" max="6" width="12.69921875" style="68" customWidth="1"/>
    <col min="7" max="7" width="12.19921875" style="68" customWidth="1"/>
    <col min="8" max="8" width="13.296875" style="68" customWidth="1"/>
    <col min="9" max="9" width="12.796875" style="68" customWidth="1"/>
    <col min="10" max="11" width="12.296875" style="68" customWidth="1"/>
    <col min="12" max="253" width="9" style="68"/>
    <col min="254" max="254" width="8.796875" style="68" hidden="1" customWidth="1"/>
    <col min="255" max="255" width="4.5" style="68" customWidth="1"/>
    <col min="256" max="256" width="4.796875" style="68" customWidth="1"/>
    <col min="257" max="257" width="9.296875" style="68" customWidth="1"/>
    <col min="258" max="259" width="10.59765625" style="68" customWidth="1"/>
    <col min="260" max="261" width="8.59765625" style="68" customWidth="1"/>
    <col min="262" max="263" width="10.59765625" style="68" customWidth="1"/>
    <col min="264" max="264" width="11.09765625" style="68" customWidth="1"/>
    <col min="265" max="266" width="10.59765625" style="68" customWidth="1"/>
    <col min="267" max="267" width="12.59765625" style="68" customWidth="1"/>
    <col min="268" max="509" width="9" style="68"/>
    <col min="510" max="510" width="8.796875" style="68" hidden="1" customWidth="1"/>
    <col min="511" max="511" width="4.5" style="68" customWidth="1"/>
    <col min="512" max="512" width="4.796875" style="68" customWidth="1"/>
    <col min="513" max="513" width="9.296875" style="68" customWidth="1"/>
    <col min="514" max="515" width="10.59765625" style="68" customWidth="1"/>
    <col min="516" max="517" width="8.59765625" style="68" customWidth="1"/>
    <col min="518" max="519" width="10.59765625" style="68" customWidth="1"/>
    <col min="520" max="520" width="11.09765625" style="68" customWidth="1"/>
    <col min="521" max="522" width="10.59765625" style="68" customWidth="1"/>
    <col min="523" max="523" width="12.59765625" style="68" customWidth="1"/>
    <col min="524" max="765" width="9" style="68"/>
    <col min="766" max="766" width="8.796875" style="68" hidden="1" customWidth="1"/>
    <col min="767" max="767" width="4.5" style="68" customWidth="1"/>
    <col min="768" max="768" width="4.796875" style="68" customWidth="1"/>
    <col min="769" max="769" width="9.296875" style="68" customWidth="1"/>
    <col min="770" max="771" width="10.59765625" style="68" customWidth="1"/>
    <col min="772" max="773" width="8.59765625" style="68" customWidth="1"/>
    <col min="774" max="775" width="10.59765625" style="68" customWidth="1"/>
    <col min="776" max="776" width="11.09765625" style="68" customWidth="1"/>
    <col min="777" max="778" width="10.59765625" style="68" customWidth="1"/>
    <col min="779" max="779" width="12.59765625" style="68" customWidth="1"/>
    <col min="780" max="1021" width="9" style="68"/>
    <col min="1022" max="1022" width="8.796875" style="68" hidden="1" customWidth="1"/>
    <col min="1023" max="1023" width="4.5" style="68" customWidth="1"/>
    <col min="1024" max="1024" width="4.796875" style="68" customWidth="1"/>
    <col min="1025" max="1025" width="9.296875" style="68" customWidth="1"/>
    <col min="1026" max="1027" width="10.59765625" style="68" customWidth="1"/>
    <col min="1028" max="1029" width="8.59765625" style="68" customWidth="1"/>
    <col min="1030" max="1031" width="10.59765625" style="68" customWidth="1"/>
    <col min="1032" max="1032" width="11.09765625" style="68" customWidth="1"/>
    <col min="1033" max="1034" width="10.59765625" style="68" customWidth="1"/>
    <col min="1035" max="1035" width="12.59765625" style="68" customWidth="1"/>
    <col min="1036" max="1277" width="9" style="68"/>
    <col min="1278" max="1278" width="8.796875" style="68" hidden="1" customWidth="1"/>
    <col min="1279" max="1279" width="4.5" style="68" customWidth="1"/>
    <col min="1280" max="1280" width="4.796875" style="68" customWidth="1"/>
    <col min="1281" max="1281" width="9.296875" style="68" customWidth="1"/>
    <col min="1282" max="1283" width="10.59765625" style="68" customWidth="1"/>
    <col min="1284" max="1285" width="8.59765625" style="68" customWidth="1"/>
    <col min="1286" max="1287" width="10.59765625" style="68" customWidth="1"/>
    <col min="1288" max="1288" width="11.09765625" style="68" customWidth="1"/>
    <col min="1289" max="1290" width="10.59765625" style="68" customWidth="1"/>
    <col min="1291" max="1291" width="12.59765625" style="68" customWidth="1"/>
    <col min="1292" max="1533" width="9" style="68"/>
    <col min="1534" max="1534" width="8.796875" style="68" hidden="1" customWidth="1"/>
    <col min="1535" max="1535" width="4.5" style="68" customWidth="1"/>
    <col min="1536" max="1536" width="4.796875" style="68" customWidth="1"/>
    <col min="1537" max="1537" width="9.296875" style="68" customWidth="1"/>
    <col min="1538" max="1539" width="10.59765625" style="68" customWidth="1"/>
    <col min="1540" max="1541" width="8.59765625" style="68" customWidth="1"/>
    <col min="1542" max="1543" width="10.59765625" style="68" customWidth="1"/>
    <col min="1544" max="1544" width="11.09765625" style="68" customWidth="1"/>
    <col min="1545" max="1546" width="10.59765625" style="68" customWidth="1"/>
    <col min="1547" max="1547" width="12.59765625" style="68" customWidth="1"/>
    <col min="1548" max="1789" width="9" style="68"/>
    <col min="1790" max="1790" width="8.796875" style="68" hidden="1" customWidth="1"/>
    <col min="1791" max="1791" width="4.5" style="68" customWidth="1"/>
    <col min="1792" max="1792" width="4.796875" style="68" customWidth="1"/>
    <col min="1793" max="1793" width="9.296875" style="68" customWidth="1"/>
    <col min="1794" max="1795" width="10.59765625" style="68" customWidth="1"/>
    <col min="1796" max="1797" width="8.59765625" style="68" customWidth="1"/>
    <col min="1798" max="1799" width="10.59765625" style="68" customWidth="1"/>
    <col min="1800" max="1800" width="11.09765625" style="68" customWidth="1"/>
    <col min="1801" max="1802" width="10.59765625" style="68" customWidth="1"/>
    <col min="1803" max="1803" width="12.59765625" style="68" customWidth="1"/>
    <col min="1804" max="2045" width="9" style="68"/>
    <col min="2046" max="2046" width="8.796875" style="68" hidden="1" customWidth="1"/>
    <col min="2047" max="2047" width="4.5" style="68" customWidth="1"/>
    <col min="2048" max="2048" width="4.796875" style="68" customWidth="1"/>
    <col min="2049" max="2049" width="9.296875" style="68" customWidth="1"/>
    <col min="2050" max="2051" width="10.59765625" style="68" customWidth="1"/>
    <col min="2052" max="2053" width="8.59765625" style="68" customWidth="1"/>
    <col min="2054" max="2055" width="10.59765625" style="68" customWidth="1"/>
    <col min="2056" max="2056" width="11.09765625" style="68" customWidth="1"/>
    <col min="2057" max="2058" width="10.59765625" style="68" customWidth="1"/>
    <col min="2059" max="2059" width="12.59765625" style="68" customWidth="1"/>
    <col min="2060" max="2301" width="9" style="68"/>
    <col min="2302" max="2302" width="8.796875" style="68" hidden="1" customWidth="1"/>
    <col min="2303" max="2303" width="4.5" style="68" customWidth="1"/>
    <col min="2304" max="2304" width="4.796875" style="68" customWidth="1"/>
    <col min="2305" max="2305" width="9.296875" style="68" customWidth="1"/>
    <col min="2306" max="2307" width="10.59765625" style="68" customWidth="1"/>
    <col min="2308" max="2309" width="8.59765625" style="68" customWidth="1"/>
    <col min="2310" max="2311" width="10.59765625" style="68" customWidth="1"/>
    <col min="2312" max="2312" width="11.09765625" style="68" customWidth="1"/>
    <col min="2313" max="2314" width="10.59765625" style="68" customWidth="1"/>
    <col min="2315" max="2315" width="12.59765625" style="68" customWidth="1"/>
    <col min="2316" max="2557" width="9" style="68"/>
    <col min="2558" max="2558" width="8.796875" style="68" hidden="1" customWidth="1"/>
    <col min="2559" max="2559" width="4.5" style="68" customWidth="1"/>
    <col min="2560" max="2560" width="4.796875" style="68" customWidth="1"/>
    <col min="2561" max="2561" width="9.296875" style="68" customWidth="1"/>
    <col min="2562" max="2563" width="10.59765625" style="68" customWidth="1"/>
    <col min="2564" max="2565" width="8.59765625" style="68" customWidth="1"/>
    <col min="2566" max="2567" width="10.59765625" style="68" customWidth="1"/>
    <col min="2568" max="2568" width="11.09765625" style="68" customWidth="1"/>
    <col min="2569" max="2570" width="10.59765625" style="68" customWidth="1"/>
    <col min="2571" max="2571" width="12.59765625" style="68" customWidth="1"/>
    <col min="2572" max="2813" width="9" style="68"/>
    <col min="2814" max="2814" width="8.796875" style="68" hidden="1" customWidth="1"/>
    <col min="2815" max="2815" width="4.5" style="68" customWidth="1"/>
    <col min="2816" max="2816" width="4.796875" style="68" customWidth="1"/>
    <col min="2817" max="2817" width="9.296875" style="68" customWidth="1"/>
    <col min="2818" max="2819" width="10.59765625" style="68" customWidth="1"/>
    <col min="2820" max="2821" width="8.59765625" style="68" customWidth="1"/>
    <col min="2822" max="2823" width="10.59765625" style="68" customWidth="1"/>
    <col min="2824" max="2824" width="11.09765625" style="68" customWidth="1"/>
    <col min="2825" max="2826" width="10.59765625" style="68" customWidth="1"/>
    <col min="2827" max="2827" width="12.59765625" style="68" customWidth="1"/>
    <col min="2828" max="3069" width="9" style="68"/>
    <col min="3070" max="3070" width="8.796875" style="68" hidden="1" customWidth="1"/>
    <col min="3071" max="3071" width="4.5" style="68" customWidth="1"/>
    <col min="3072" max="3072" width="4.796875" style="68" customWidth="1"/>
    <col min="3073" max="3073" width="9.296875" style="68" customWidth="1"/>
    <col min="3074" max="3075" width="10.59765625" style="68" customWidth="1"/>
    <col min="3076" max="3077" width="8.59765625" style="68" customWidth="1"/>
    <col min="3078" max="3079" width="10.59765625" style="68" customWidth="1"/>
    <col min="3080" max="3080" width="11.09765625" style="68" customWidth="1"/>
    <col min="3081" max="3082" width="10.59765625" style="68" customWidth="1"/>
    <col min="3083" max="3083" width="12.59765625" style="68" customWidth="1"/>
    <col min="3084" max="3325" width="9" style="68"/>
    <col min="3326" max="3326" width="8.796875" style="68" hidden="1" customWidth="1"/>
    <col min="3327" max="3327" width="4.5" style="68" customWidth="1"/>
    <col min="3328" max="3328" width="4.796875" style="68" customWidth="1"/>
    <col min="3329" max="3329" width="9.296875" style="68" customWidth="1"/>
    <col min="3330" max="3331" width="10.59765625" style="68" customWidth="1"/>
    <col min="3332" max="3333" width="8.59765625" style="68" customWidth="1"/>
    <col min="3334" max="3335" width="10.59765625" style="68" customWidth="1"/>
    <col min="3336" max="3336" width="11.09765625" style="68" customWidth="1"/>
    <col min="3337" max="3338" width="10.59765625" style="68" customWidth="1"/>
    <col min="3339" max="3339" width="12.59765625" style="68" customWidth="1"/>
    <col min="3340" max="3581" width="9" style="68"/>
    <col min="3582" max="3582" width="8.796875" style="68" hidden="1" customWidth="1"/>
    <col min="3583" max="3583" width="4.5" style="68" customWidth="1"/>
    <col min="3584" max="3584" width="4.796875" style="68" customWidth="1"/>
    <col min="3585" max="3585" width="9.296875" style="68" customWidth="1"/>
    <col min="3586" max="3587" width="10.59765625" style="68" customWidth="1"/>
    <col min="3588" max="3589" width="8.59765625" style="68" customWidth="1"/>
    <col min="3590" max="3591" width="10.59765625" style="68" customWidth="1"/>
    <col min="3592" max="3592" width="11.09765625" style="68" customWidth="1"/>
    <col min="3593" max="3594" width="10.59765625" style="68" customWidth="1"/>
    <col min="3595" max="3595" width="12.59765625" style="68" customWidth="1"/>
    <col min="3596" max="3837" width="9" style="68"/>
    <col min="3838" max="3838" width="8.796875" style="68" hidden="1" customWidth="1"/>
    <col min="3839" max="3839" width="4.5" style="68" customWidth="1"/>
    <col min="3840" max="3840" width="4.796875" style="68" customWidth="1"/>
    <col min="3841" max="3841" width="9.296875" style="68" customWidth="1"/>
    <col min="3842" max="3843" width="10.59765625" style="68" customWidth="1"/>
    <col min="3844" max="3845" width="8.59765625" style="68" customWidth="1"/>
    <col min="3846" max="3847" width="10.59765625" style="68" customWidth="1"/>
    <col min="3848" max="3848" width="11.09765625" style="68" customWidth="1"/>
    <col min="3849" max="3850" width="10.59765625" style="68" customWidth="1"/>
    <col min="3851" max="3851" width="12.59765625" style="68" customWidth="1"/>
    <col min="3852" max="4093" width="9" style="68"/>
    <col min="4094" max="4094" width="8.796875" style="68" hidden="1" customWidth="1"/>
    <col min="4095" max="4095" width="4.5" style="68" customWidth="1"/>
    <col min="4096" max="4096" width="4.796875" style="68" customWidth="1"/>
    <col min="4097" max="4097" width="9.296875" style="68" customWidth="1"/>
    <col min="4098" max="4099" width="10.59765625" style="68" customWidth="1"/>
    <col min="4100" max="4101" width="8.59765625" style="68" customWidth="1"/>
    <col min="4102" max="4103" width="10.59765625" style="68" customWidth="1"/>
    <col min="4104" max="4104" width="11.09765625" style="68" customWidth="1"/>
    <col min="4105" max="4106" width="10.59765625" style="68" customWidth="1"/>
    <col min="4107" max="4107" width="12.59765625" style="68" customWidth="1"/>
    <col min="4108" max="4349" width="9" style="68"/>
    <col min="4350" max="4350" width="8.796875" style="68" hidden="1" customWidth="1"/>
    <col min="4351" max="4351" width="4.5" style="68" customWidth="1"/>
    <col min="4352" max="4352" width="4.796875" style="68" customWidth="1"/>
    <col min="4353" max="4353" width="9.296875" style="68" customWidth="1"/>
    <col min="4354" max="4355" width="10.59765625" style="68" customWidth="1"/>
    <col min="4356" max="4357" width="8.59765625" style="68" customWidth="1"/>
    <col min="4358" max="4359" width="10.59765625" style="68" customWidth="1"/>
    <col min="4360" max="4360" width="11.09765625" style="68" customWidth="1"/>
    <col min="4361" max="4362" width="10.59765625" style="68" customWidth="1"/>
    <col min="4363" max="4363" width="12.59765625" style="68" customWidth="1"/>
    <col min="4364" max="4605" width="9" style="68"/>
    <col min="4606" max="4606" width="8.796875" style="68" hidden="1" customWidth="1"/>
    <col min="4607" max="4607" width="4.5" style="68" customWidth="1"/>
    <col min="4608" max="4608" width="4.796875" style="68" customWidth="1"/>
    <col min="4609" max="4609" width="9.296875" style="68" customWidth="1"/>
    <col min="4610" max="4611" width="10.59765625" style="68" customWidth="1"/>
    <col min="4612" max="4613" width="8.59765625" style="68" customWidth="1"/>
    <col min="4614" max="4615" width="10.59765625" style="68" customWidth="1"/>
    <col min="4616" max="4616" width="11.09765625" style="68" customWidth="1"/>
    <col min="4617" max="4618" width="10.59765625" style="68" customWidth="1"/>
    <col min="4619" max="4619" width="12.59765625" style="68" customWidth="1"/>
    <col min="4620" max="4861" width="9" style="68"/>
    <col min="4862" max="4862" width="8.796875" style="68" hidden="1" customWidth="1"/>
    <col min="4863" max="4863" width="4.5" style="68" customWidth="1"/>
    <col min="4864" max="4864" width="4.796875" style="68" customWidth="1"/>
    <col min="4865" max="4865" width="9.296875" style="68" customWidth="1"/>
    <col min="4866" max="4867" width="10.59765625" style="68" customWidth="1"/>
    <col min="4868" max="4869" width="8.59765625" style="68" customWidth="1"/>
    <col min="4870" max="4871" width="10.59765625" style="68" customWidth="1"/>
    <col min="4872" max="4872" width="11.09765625" style="68" customWidth="1"/>
    <col min="4873" max="4874" width="10.59765625" style="68" customWidth="1"/>
    <col min="4875" max="4875" width="12.59765625" style="68" customWidth="1"/>
    <col min="4876" max="5117" width="9" style="68"/>
    <col min="5118" max="5118" width="8.796875" style="68" hidden="1" customWidth="1"/>
    <col min="5119" max="5119" width="4.5" style="68" customWidth="1"/>
    <col min="5120" max="5120" width="4.796875" style="68" customWidth="1"/>
    <col min="5121" max="5121" width="9.296875" style="68" customWidth="1"/>
    <col min="5122" max="5123" width="10.59765625" style="68" customWidth="1"/>
    <col min="5124" max="5125" width="8.59765625" style="68" customWidth="1"/>
    <col min="5126" max="5127" width="10.59765625" style="68" customWidth="1"/>
    <col min="5128" max="5128" width="11.09765625" style="68" customWidth="1"/>
    <col min="5129" max="5130" width="10.59765625" style="68" customWidth="1"/>
    <col min="5131" max="5131" width="12.59765625" style="68" customWidth="1"/>
    <col min="5132" max="5373" width="9" style="68"/>
    <col min="5374" max="5374" width="8.796875" style="68" hidden="1" customWidth="1"/>
    <col min="5375" max="5375" width="4.5" style="68" customWidth="1"/>
    <col min="5376" max="5376" width="4.796875" style="68" customWidth="1"/>
    <col min="5377" max="5377" width="9.296875" style="68" customWidth="1"/>
    <col min="5378" max="5379" width="10.59765625" style="68" customWidth="1"/>
    <col min="5380" max="5381" width="8.59765625" style="68" customWidth="1"/>
    <col min="5382" max="5383" width="10.59765625" style="68" customWidth="1"/>
    <col min="5384" max="5384" width="11.09765625" style="68" customWidth="1"/>
    <col min="5385" max="5386" width="10.59765625" style="68" customWidth="1"/>
    <col min="5387" max="5387" width="12.59765625" style="68" customWidth="1"/>
    <col min="5388" max="5629" width="9" style="68"/>
    <col min="5630" max="5630" width="8.796875" style="68" hidden="1" customWidth="1"/>
    <col min="5631" max="5631" width="4.5" style="68" customWidth="1"/>
    <col min="5632" max="5632" width="4.796875" style="68" customWidth="1"/>
    <col min="5633" max="5633" width="9.296875" style="68" customWidth="1"/>
    <col min="5634" max="5635" width="10.59765625" style="68" customWidth="1"/>
    <col min="5636" max="5637" width="8.59765625" style="68" customWidth="1"/>
    <col min="5638" max="5639" width="10.59765625" style="68" customWidth="1"/>
    <col min="5640" max="5640" width="11.09765625" style="68" customWidth="1"/>
    <col min="5641" max="5642" width="10.59765625" style="68" customWidth="1"/>
    <col min="5643" max="5643" width="12.59765625" style="68" customWidth="1"/>
    <col min="5644" max="5885" width="9" style="68"/>
    <col min="5886" max="5886" width="8.796875" style="68" hidden="1" customWidth="1"/>
    <col min="5887" max="5887" width="4.5" style="68" customWidth="1"/>
    <col min="5888" max="5888" width="4.796875" style="68" customWidth="1"/>
    <col min="5889" max="5889" width="9.296875" style="68" customWidth="1"/>
    <col min="5890" max="5891" width="10.59765625" style="68" customWidth="1"/>
    <col min="5892" max="5893" width="8.59765625" style="68" customWidth="1"/>
    <col min="5894" max="5895" width="10.59765625" style="68" customWidth="1"/>
    <col min="5896" max="5896" width="11.09765625" style="68" customWidth="1"/>
    <col min="5897" max="5898" width="10.59765625" style="68" customWidth="1"/>
    <col min="5899" max="5899" width="12.59765625" style="68" customWidth="1"/>
    <col min="5900" max="6141" width="9" style="68"/>
    <col min="6142" max="6142" width="8.796875" style="68" hidden="1" customWidth="1"/>
    <col min="6143" max="6143" width="4.5" style="68" customWidth="1"/>
    <col min="6144" max="6144" width="4.796875" style="68" customWidth="1"/>
    <col min="6145" max="6145" width="9.296875" style="68" customWidth="1"/>
    <col min="6146" max="6147" width="10.59765625" style="68" customWidth="1"/>
    <col min="6148" max="6149" width="8.59765625" style="68" customWidth="1"/>
    <col min="6150" max="6151" width="10.59765625" style="68" customWidth="1"/>
    <col min="6152" max="6152" width="11.09765625" style="68" customWidth="1"/>
    <col min="6153" max="6154" width="10.59765625" style="68" customWidth="1"/>
    <col min="6155" max="6155" width="12.59765625" style="68" customWidth="1"/>
    <col min="6156" max="6397" width="9" style="68"/>
    <col min="6398" max="6398" width="8.796875" style="68" hidden="1" customWidth="1"/>
    <col min="6399" max="6399" width="4.5" style="68" customWidth="1"/>
    <col min="6400" max="6400" width="4.796875" style="68" customWidth="1"/>
    <col min="6401" max="6401" width="9.296875" style="68" customWidth="1"/>
    <col min="6402" max="6403" width="10.59765625" style="68" customWidth="1"/>
    <col min="6404" max="6405" width="8.59765625" style="68" customWidth="1"/>
    <col min="6406" max="6407" width="10.59765625" style="68" customWidth="1"/>
    <col min="6408" max="6408" width="11.09765625" style="68" customWidth="1"/>
    <col min="6409" max="6410" width="10.59765625" style="68" customWidth="1"/>
    <col min="6411" max="6411" width="12.59765625" style="68" customWidth="1"/>
    <col min="6412" max="6653" width="9" style="68"/>
    <col min="6654" max="6654" width="8.796875" style="68" hidden="1" customWidth="1"/>
    <col min="6655" max="6655" width="4.5" style="68" customWidth="1"/>
    <col min="6656" max="6656" width="4.796875" style="68" customWidth="1"/>
    <col min="6657" max="6657" width="9.296875" style="68" customWidth="1"/>
    <col min="6658" max="6659" width="10.59765625" style="68" customWidth="1"/>
    <col min="6660" max="6661" width="8.59765625" style="68" customWidth="1"/>
    <col min="6662" max="6663" width="10.59765625" style="68" customWidth="1"/>
    <col min="6664" max="6664" width="11.09765625" style="68" customWidth="1"/>
    <col min="6665" max="6666" width="10.59765625" style="68" customWidth="1"/>
    <col min="6667" max="6667" width="12.59765625" style="68" customWidth="1"/>
    <col min="6668" max="6909" width="9" style="68"/>
    <col min="6910" max="6910" width="8.796875" style="68" hidden="1" customWidth="1"/>
    <col min="6911" max="6911" width="4.5" style="68" customWidth="1"/>
    <col min="6912" max="6912" width="4.796875" style="68" customWidth="1"/>
    <col min="6913" max="6913" width="9.296875" style="68" customWidth="1"/>
    <col min="6914" max="6915" width="10.59765625" style="68" customWidth="1"/>
    <col min="6916" max="6917" width="8.59765625" style="68" customWidth="1"/>
    <col min="6918" max="6919" width="10.59765625" style="68" customWidth="1"/>
    <col min="6920" max="6920" width="11.09765625" style="68" customWidth="1"/>
    <col min="6921" max="6922" width="10.59765625" style="68" customWidth="1"/>
    <col min="6923" max="6923" width="12.59765625" style="68" customWidth="1"/>
    <col min="6924" max="7165" width="9" style="68"/>
    <col min="7166" max="7166" width="8.796875" style="68" hidden="1" customWidth="1"/>
    <col min="7167" max="7167" width="4.5" style="68" customWidth="1"/>
    <col min="7168" max="7168" width="4.796875" style="68" customWidth="1"/>
    <col min="7169" max="7169" width="9.296875" style="68" customWidth="1"/>
    <col min="7170" max="7171" width="10.59765625" style="68" customWidth="1"/>
    <col min="7172" max="7173" width="8.59765625" style="68" customWidth="1"/>
    <col min="7174" max="7175" width="10.59765625" style="68" customWidth="1"/>
    <col min="7176" max="7176" width="11.09765625" style="68" customWidth="1"/>
    <col min="7177" max="7178" width="10.59765625" style="68" customWidth="1"/>
    <col min="7179" max="7179" width="12.59765625" style="68" customWidth="1"/>
    <col min="7180" max="7421" width="9" style="68"/>
    <col min="7422" max="7422" width="8.796875" style="68" hidden="1" customWidth="1"/>
    <col min="7423" max="7423" width="4.5" style="68" customWidth="1"/>
    <col min="7424" max="7424" width="4.796875" style="68" customWidth="1"/>
    <col min="7425" max="7425" width="9.296875" style="68" customWidth="1"/>
    <col min="7426" max="7427" width="10.59765625" style="68" customWidth="1"/>
    <col min="7428" max="7429" width="8.59765625" style="68" customWidth="1"/>
    <col min="7430" max="7431" width="10.59765625" style="68" customWidth="1"/>
    <col min="7432" max="7432" width="11.09765625" style="68" customWidth="1"/>
    <col min="7433" max="7434" width="10.59765625" style="68" customWidth="1"/>
    <col min="7435" max="7435" width="12.59765625" style="68" customWidth="1"/>
    <col min="7436" max="7677" width="9" style="68"/>
    <col min="7678" max="7678" width="8.796875" style="68" hidden="1" customWidth="1"/>
    <col min="7679" max="7679" width="4.5" style="68" customWidth="1"/>
    <col min="7680" max="7680" width="4.796875" style="68" customWidth="1"/>
    <col min="7681" max="7681" width="9.296875" style="68" customWidth="1"/>
    <col min="7682" max="7683" width="10.59765625" style="68" customWidth="1"/>
    <col min="7684" max="7685" width="8.59765625" style="68" customWidth="1"/>
    <col min="7686" max="7687" width="10.59765625" style="68" customWidth="1"/>
    <col min="7688" max="7688" width="11.09765625" style="68" customWidth="1"/>
    <col min="7689" max="7690" width="10.59765625" style="68" customWidth="1"/>
    <col min="7691" max="7691" width="12.59765625" style="68" customWidth="1"/>
    <col min="7692" max="7933" width="9" style="68"/>
    <col min="7934" max="7934" width="8.796875" style="68" hidden="1" customWidth="1"/>
    <col min="7935" max="7935" width="4.5" style="68" customWidth="1"/>
    <col min="7936" max="7936" width="4.796875" style="68" customWidth="1"/>
    <col min="7937" max="7937" width="9.296875" style="68" customWidth="1"/>
    <col min="7938" max="7939" width="10.59765625" style="68" customWidth="1"/>
    <col min="7940" max="7941" width="8.59765625" style="68" customWidth="1"/>
    <col min="7942" max="7943" width="10.59765625" style="68" customWidth="1"/>
    <col min="7944" max="7944" width="11.09765625" style="68" customWidth="1"/>
    <col min="7945" max="7946" width="10.59765625" style="68" customWidth="1"/>
    <col min="7947" max="7947" width="12.59765625" style="68" customWidth="1"/>
    <col min="7948" max="8189" width="9" style="68"/>
    <col min="8190" max="8190" width="8.796875" style="68" hidden="1" customWidth="1"/>
    <col min="8191" max="8191" width="4.5" style="68" customWidth="1"/>
    <col min="8192" max="8192" width="4.796875" style="68" customWidth="1"/>
    <col min="8193" max="8193" width="9.296875" style="68" customWidth="1"/>
    <col min="8194" max="8195" width="10.59765625" style="68" customWidth="1"/>
    <col min="8196" max="8197" width="8.59765625" style="68" customWidth="1"/>
    <col min="8198" max="8199" width="10.59765625" style="68" customWidth="1"/>
    <col min="8200" max="8200" width="11.09765625" style="68" customWidth="1"/>
    <col min="8201" max="8202" width="10.59765625" style="68" customWidth="1"/>
    <col min="8203" max="8203" width="12.59765625" style="68" customWidth="1"/>
    <col min="8204" max="8445" width="9" style="68"/>
    <col min="8446" max="8446" width="8.796875" style="68" hidden="1" customWidth="1"/>
    <col min="8447" max="8447" width="4.5" style="68" customWidth="1"/>
    <col min="8448" max="8448" width="4.796875" style="68" customWidth="1"/>
    <col min="8449" max="8449" width="9.296875" style="68" customWidth="1"/>
    <col min="8450" max="8451" width="10.59765625" style="68" customWidth="1"/>
    <col min="8452" max="8453" width="8.59765625" style="68" customWidth="1"/>
    <col min="8454" max="8455" width="10.59765625" style="68" customWidth="1"/>
    <col min="8456" max="8456" width="11.09765625" style="68" customWidth="1"/>
    <col min="8457" max="8458" width="10.59765625" style="68" customWidth="1"/>
    <col min="8459" max="8459" width="12.59765625" style="68" customWidth="1"/>
    <col min="8460" max="8701" width="9" style="68"/>
    <col min="8702" max="8702" width="8.796875" style="68" hidden="1" customWidth="1"/>
    <col min="8703" max="8703" width="4.5" style="68" customWidth="1"/>
    <col min="8704" max="8704" width="4.796875" style="68" customWidth="1"/>
    <col min="8705" max="8705" width="9.296875" style="68" customWidth="1"/>
    <col min="8706" max="8707" width="10.59765625" style="68" customWidth="1"/>
    <col min="8708" max="8709" width="8.59765625" style="68" customWidth="1"/>
    <col min="8710" max="8711" width="10.59765625" style="68" customWidth="1"/>
    <col min="8712" max="8712" width="11.09765625" style="68" customWidth="1"/>
    <col min="8713" max="8714" width="10.59765625" style="68" customWidth="1"/>
    <col min="8715" max="8715" width="12.59765625" style="68" customWidth="1"/>
    <col min="8716" max="8957" width="9" style="68"/>
    <col min="8958" max="8958" width="8.796875" style="68" hidden="1" customWidth="1"/>
    <col min="8959" max="8959" width="4.5" style="68" customWidth="1"/>
    <col min="8960" max="8960" width="4.796875" style="68" customWidth="1"/>
    <col min="8961" max="8961" width="9.296875" style="68" customWidth="1"/>
    <col min="8962" max="8963" width="10.59765625" style="68" customWidth="1"/>
    <col min="8964" max="8965" width="8.59765625" style="68" customWidth="1"/>
    <col min="8966" max="8967" width="10.59765625" style="68" customWidth="1"/>
    <col min="8968" max="8968" width="11.09765625" style="68" customWidth="1"/>
    <col min="8969" max="8970" width="10.59765625" style="68" customWidth="1"/>
    <col min="8971" max="8971" width="12.59765625" style="68" customWidth="1"/>
    <col min="8972" max="9213" width="9" style="68"/>
    <col min="9214" max="9214" width="8.796875" style="68" hidden="1" customWidth="1"/>
    <col min="9215" max="9215" width="4.5" style="68" customWidth="1"/>
    <col min="9216" max="9216" width="4.796875" style="68" customWidth="1"/>
    <col min="9217" max="9217" width="9.296875" style="68" customWidth="1"/>
    <col min="9218" max="9219" width="10.59765625" style="68" customWidth="1"/>
    <col min="9220" max="9221" width="8.59765625" style="68" customWidth="1"/>
    <col min="9222" max="9223" width="10.59765625" style="68" customWidth="1"/>
    <col min="9224" max="9224" width="11.09765625" style="68" customWidth="1"/>
    <col min="9225" max="9226" width="10.59765625" style="68" customWidth="1"/>
    <col min="9227" max="9227" width="12.59765625" style="68" customWidth="1"/>
    <col min="9228" max="9469" width="9" style="68"/>
    <col min="9470" max="9470" width="8.796875" style="68" hidden="1" customWidth="1"/>
    <col min="9471" max="9471" width="4.5" style="68" customWidth="1"/>
    <col min="9472" max="9472" width="4.796875" style="68" customWidth="1"/>
    <col min="9473" max="9473" width="9.296875" style="68" customWidth="1"/>
    <col min="9474" max="9475" width="10.59765625" style="68" customWidth="1"/>
    <col min="9476" max="9477" width="8.59765625" style="68" customWidth="1"/>
    <col min="9478" max="9479" width="10.59765625" style="68" customWidth="1"/>
    <col min="9480" max="9480" width="11.09765625" style="68" customWidth="1"/>
    <col min="9481" max="9482" width="10.59765625" style="68" customWidth="1"/>
    <col min="9483" max="9483" width="12.59765625" style="68" customWidth="1"/>
    <col min="9484" max="9725" width="9" style="68"/>
    <col min="9726" max="9726" width="8.796875" style="68" hidden="1" customWidth="1"/>
    <col min="9727" max="9727" width="4.5" style="68" customWidth="1"/>
    <col min="9728" max="9728" width="4.796875" style="68" customWidth="1"/>
    <col min="9729" max="9729" width="9.296875" style="68" customWidth="1"/>
    <col min="9730" max="9731" width="10.59765625" style="68" customWidth="1"/>
    <col min="9732" max="9733" width="8.59765625" style="68" customWidth="1"/>
    <col min="9734" max="9735" width="10.59765625" style="68" customWidth="1"/>
    <col min="9736" max="9736" width="11.09765625" style="68" customWidth="1"/>
    <col min="9737" max="9738" width="10.59765625" style="68" customWidth="1"/>
    <col min="9739" max="9739" width="12.59765625" style="68" customWidth="1"/>
    <col min="9740" max="9981" width="9" style="68"/>
    <col min="9982" max="9982" width="8.796875" style="68" hidden="1" customWidth="1"/>
    <col min="9983" max="9983" width="4.5" style="68" customWidth="1"/>
    <col min="9984" max="9984" width="4.796875" style="68" customWidth="1"/>
    <col min="9985" max="9985" width="9.296875" style="68" customWidth="1"/>
    <col min="9986" max="9987" width="10.59765625" style="68" customWidth="1"/>
    <col min="9988" max="9989" width="8.59765625" style="68" customWidth="1"/>
    <col min="9990" max="9991" width="10.59765625" style="68" customWidth="1"/>
    <col min="9992" max="9992" width="11.09765625" style="68" customWidth="1"/>
    <col min="9993" max="9994" width="10.59765625" style="68" customWidth="1"/>
    <col min="9995" max="9995" width="12.59765625" style="68" customWidth="1"/>
    <col min="9996" max="10237" width="9" style="68"/>
    <col min="10238" max="10238" width="8.796875" style="68" hidden="1" customWidth="1"/>
    <col min="10239" max="10239" width="4.5" style="68" customWidth="1"/>
    <col min="10240" max="10240" width="4.796875" style="68" customWidth="1"/>
    <col min="10241" max="10241" width="9.296875" style="68" customWidth="1"/>
    <col min="10242" max="10243" width="10.59765625" style="68" customWidth="1"/>
    <col min="10244" max="10245" width="8.59765625" style="68" customWidth="1"/>
    <col min="10246" max="10247" width="10.59765625" style="68" customWidth="1"/>
    <col min="10248" max="10248" width="11.09765625" style="68" customWidth="1"/>
    <col min="10249" max="10250" width="10.59765625" style="68" customWidth="1"/>
    <col min="10251" max="10251" width="12.59765625" style="68" customWidth="1"/>
    <col min="10252" max="10493" width="9" style="68"/>
    <col min="10494" max="10494" width="8.796875" style="68" hidden="1" customWidth="1"/>
    <col min="10495" max="10495" width="4.5" style="68" customWidth="1"/>
    <col min="10496" max="10496" width="4.796875" style="68" customWidth="1"/>
    <col min="10497" max="10497" width="9.296875" style="68" customWidth="1"/>
    <col min="10498" max="10499" width="10.59765625" style="68" customWidth="1"/>
    <col min="10500" max="10501" width="8.59765625" style="68" customWidth="1"/>
    <col min="10502" max="10503" width="10.59765625" style="68" customWidth="1"/>
    <col min="10504" max="10504" width="11.09765625" style="68" customWidth="1"/>
    <col min="10505" max="10506" width="10.59765625" style="68" customWidth="1"/>
    <col min="10507" max="10507" width="12.59765625" style="68" customWidth="1"/>
    <col min="10508" max="10749" width="9" style="68"/>
    <col min="10750" max="10750" width="8.796875" style="68" hidden="1" customWidth="1"/>
    <col min="10751" max="10751" width="4.5" style="68" customWidth="1"/>
    <col min="10752" max="10752" width="4.796875" style="68" customWidth="1"/>
    <col min="10753" max="10753" width="9.296875" style="68" customWidth="1"/>
    <col min="10754" max="10755" width="10.59765625" style="68" customWidth="1"/>
    <col min="10756" max="10757" width="8.59765625" style="68" customWidth="1"/>
    <col min="10758" max="10759" width="10.59765625" style="68" customWidth="1"/>
    <col min="10760" max="10760" width="11.09765625" style="68" customWidth="1"/>
    <col min="10761" max="10762" width="10.59765625" style="68" customWidth="1"/>
    <col min="10763" max="10763" width="12.59765625" style="68" customWidth="1"/>
    <col min="10764" max="11005" width="9" style="68"/>
    <col min="11006" max="11006" width="8.796875" style="68" hidden="1" customWidth="1"/>
    <col min="11007" max="11007" width="4.5" style="68" customWidth="1"/>
    <col min="11008" max="11008" width="4.796875" style="68" customWidth="1"/>
    <col min="11009" max="11009" width="9.296875" style="68" customWidth="1"/>
    <col min="11010" max="11011" width="10.59765625" style="68" customWidth="1"/>
    <col min="11012" max="11013" width="8.59765625" style="68" customWidth="1"/>
    <col min="11014" max="11015" width="10.59765625" style="68" customWidth="1"/>
    <col min="11016" max="11016" width="11.09765625" style="68" customWidth="1"/>
    <col min="11017" max="11018" width="10.59765625" style="68" customWidth="1"/>
    <col min="11019" max="11019" width="12.59765625" style="68" customWidth="1"/>
    <col min="11020" max="11261" width="9" style="68"/>
    <col min="11262" max="11262" width="8.796875" style="68" hidden="1" customWidth="1"/>
    <col min="11263" max="11263" width="4.5" style="68" customWidth="1"/>
    <col min="11264" max="11264" width="4.796875" style="68" customWidth="1"/>
    <col min="11265" max="11265" width="9.296875" style="68" customWidth="1"/>
    <col min="11266" max="11267" width="10.59765625" style="68" customWidth="1"/>
    <col min="11268" max="11269" width="8.59765625" style="68" customWidth="1"/>
    <col min="11270" max="11271" width="10.59765625" style="68" customWidth="1"/>
    <col min="11272" max="11272" width="11.09765625" style="68" customWidth="1"/>
    <col min="11273" max="11274" width="10.59765625" style="68" customWidth="1"/>
    <col min="11275" max="11275" width="12.59765625" style="68" customWidth="1"/>
    <col min="11276" max="11517" width="9" style="68"/>
    <col min="11518" max="11518" width="8.796875" style="68" hidden="1" customWidth="1"/>
    <col min="11519" max="11519" width="4.5" style="68" customWidth="1"/>
    <col min="11520" max="11520" width="4.796875" style="68" customWidth="1"/>
    <col min="11521" max="11521" width="9.296875" style="68" customWidth="1"/>
    <col min="11522" max="11523" width="10.59765625" style="68" customWidth="1"/>
    <col min="11524" max="11525" width="8.59765625" style="68" customWidth="1"/>
    <col min="11526" max="11527" width="10.59765625" style="68" customWidth="1"/>
    <col min="11528" max="11528" width="11.09765625" style="68" customWidth="1"/>
    <col min="11529" max="11530" width="10.59765625" style="68" customWidth="1"/>
    <col min="11531" max="11531" width="12.59765625" style="68" customWidth="1"/>
    <col min="11532" max="11773" width="9" style="68"/>
    <col min="11774" max="11774" width="8.796875" style="68" hidden="1" customWidth="1"/>
    <col min="11775" max="11775" width="4.5" style="68" customWidth="1"/>
    <col min="11776" max="11776" width="4.796875" style="68" customWidth="1"/>
    <col min="11777" max="11777" width="9.296875" style="68" customWidth="1"/>
    <col min="11778" max="11779" width="10.59765625" style="68" customWidth="1"/>
    <col min="11780" max="11781" width="8.59765625" style="68" customWidth="1"/>
    <col min="11782" max="11783" width="10.59765625" style="68" customWidth="1"/>
    <col min="11784" max="11784" width="11.09765625" style="68" customWidth="1"/>
    <col min="11785" max="11786" width="10.59765625" style="68" customWidth="1"/>
    <col min="11787" max="11787" width="12.59765625" style="68" customWidth="1"/>
    <col min="11788" max="12029" width="9" style="68"/>
    <col min="12030" max="12030" width="8.796875" style="68" hidden="1" customWidth="1"/>
    <col min="12031" max="12031" width="4.5" style="68" customWidth="1"/>
    <col min="12032" max="12032" width="4.796875" style="68" customWidth="1"/>
    <col min="12033" max="12033" width="9.296875" style="68" customWidth="1"/>
    <col min="12034" max="12035" width="10.59765625" style="68" customWidth="1"/>
    <col min="12036" max="12037" width="8.59765625" style="68" customWidth="1"/>
    <col min="12038" max="12039" width="10.59765625" style="68" customWidth="1"/>
    <col min="12040" max="12040" width="11.09765625" style="68" customWidth="1"/>
    <col min="12041" max="12042" width="10.59765625" style="68" customWidth="1"/>
    <col min="12043" max="12043" width="12.59765625" style="68" customWidth="1"/>
    <col min="12044" max="12285" width="9" style="68"/>
    <col min="12286" max="12286" width="8.796875" style="68" hidden="1" customWidth="1"/>
    <col min="12287" max="12287" width="4.5" style="68" customWidth="1"/>
    <col min="12288" max="12288" width="4.796875" style="68" customWidth="1"/>
    <col min="12289" max="12289" width="9.296875" style="68" customWidth="1"/>
    <col min="12290" max="12291" width="10.59765625" style="68" customWidth="1"/>
    <col min="12292" max="12293" width="8.59765625" style="68" customWidth="1"/>
    <col min="12294" max="12295" width="10.59765625" style="68" customWidth="1"/>
    <col min="12296" max="12296" width="11.09765625" style="68" customWidth="1"/>
    <col min="12297" max="12298" width="10.59765625" style="68" customWidth="1"/>
    <col min="12299" max="12299" width="12.59765625" style="68" customWidth="1"/>
    <col min="12300" max="12541" width="9" style="68"/>
    <col min="12542" max="12542" width="8.796875" style="68" hidden="1" customWidth="1"/>
    <col min="12543" max="12543" width="4.5" style="68" customWidth="1"/>
    <col min="12544" max="12544" width="4.796875" style="68" customWidth="1"/>
    <col min="12545" max="12545" width="9.296875" style="68" customWidth="1"/>
    <col min="12546" max="12547" width="10.59765625" style="68" customWidth="1"/>
    <col min="12548" max="12549" width="8.59765625" style="68" customWidth="1"/>
    <col min="12550" max="12551" width="10.59765625" style="68" customWidth="1"/>
    <col min="12552" max="12552" width="11.09765625" style="68" customWidth="1"/>
    <col min="12553" max="12554" width="10.59765625" style="68" customWidth="1"/>
    <col min="12555" max="12555" width="12.59765625" style="68" customWidth="1"/>
    <col min="12556" max="12797" width="9" style="68"/>
    <col min="12798" max="12798" width="8.796875" style="68" hidden="1" customWidth="1"/>
    <col min="12799" max="12799" width="4.5" style="68" customWidth="1"/>
    <col min="12800" max="12800" width="4.796875" style="68" customWidth="1"/>
    <col min="12801" max="12801" width="9.296875" style="68" customWidth="1"/>
    <col min="12802" max="12803" width="10.59765625" style="68" customWidth="1"/>
    <col min="12804" max="12805" width="8.59765625" style="68" customWidth="1"/>
    <col min="12806" max="12807" width="10.59765625" style="68" customWidth="1"/>
    <col min="12808" max="12808" width="11.09765625" style="68" customWidth="1"/>
    <col min="12809" max="12810" width="10.59765625" style="68" customWidth="1"/>
    <col min="12811" max="12811" width="12.59765625" style="68" customWidth="1"/>
    <col min="12812" max="13053" width="9" style="68"/>
    <col min="13054" max="13054" width="8.796875" style="68" hidden="1" customWidth="1"/>
    <col min="13055" max="13055" width="4.5" style="68" customWidth="1"/>
    <col min="13056" max="13056" width="4.796875" style="68" customWidth="1"/>
    <col min="13057" max="13057" width="9.296875" style="68" customWidth="1"/>
    <col min="13058" max="13059" width="10.59765625" style="68" customWidth="1"/>
    <col min="13060" max="13061" width="8.59765625" style="68" customWidth="1"/>
    <col min="13062" max="13063" width="10.59765625" style="68" customWidth="1"/>
    <col min="13064" max="13064" width="11.09765625" style="68" customWidth="1"/>
    <col min="13065" max="13066" width="10.59765625" style="68" customWidth="1"/>
    <col min="13067" max="13067" width="12.59765625" style="68" customWidth="1"/>
    <col min="13068" max="13309" width="9" style="68"/>
    <col min="13310" max="13310" width="8.796875" style="68" hidden="1" customWidth="1"/>
    <col min="13311" max="13311" width="4.5" style="68" customWidth="1"/>
    <col min="13312" max="13312" width="4.796875" style="68" customWidth="1"/>
    <col min="13313" max="13313" width="9.296875" style="68" customWidth="1"/>
    <col min="13314" max="13315" width="10.59765625" style="68" customWidth="1"/>
    <col min="13316" max="13317" width="8.59765625" style="68" customWidth="1"/>
    <col min="13318" max="13319" width="10.59765625" style="68" customWidth="1"/>
    <col min="13320" max="13320" width="11.09765625" style="68" customWidth="1"/>
    <col min="13321" max="13322" width="10.59765625" style="68" customWidth="1"/>
    <col min="13323" max="13323" width="12.59765625" style="68" customWidth="1"/>
    <col min="13324" max="13565" width="9" style="68"/>
    <col min="13566" max="13566" width="8.796875" style="68" hidden="1" customWidth="1"/>
    <col min="13567" max="13567" width="4.5" style="68" customWidth="1"/>
    <col min="13568" max="13568" width="4.796875" style="68" customWidth="1"/>
    <col min="13569" max="13569" width="9.296875" style="68" customWidth="1"/>
    <col min="13570" max="13571" width="10.59765625" style="68" customWidth="1"/>
    <col min="13572" max="13573" width="8.59765625" style="68" customWidth="1"/>
    <col min="13574" max="13575" width="10.59765625" style="68" customWidth="1"/>
    <col min="13576" max="13576" width="11.09765625" style="68" customWidth="1"/>
    <col min="13577" max="13578" width="10.59765625" style="68" customWidth="1"/>
    <col min="13579" max="13579" width="12.59765625" style="68" customWidth="1"/>
    <col min="13580" max="13821" width="9" style="68"/>
    <col min="13822" max="13822" width="8.796875" style="68" hidden="1" customWidth="1"/>
    <col min="13823" max="13823" width="4.5" style="68" customWidth="1"/>
    <col min="13824" max="13824" width="4.796875" style="68" customWidth="1"/>
    <col min="13825" max="13825" width="9.296875" style="68" customWidth="1"/>
    <col min="13826" max="13827" width="10.59765625" style="68" customWidth="1"/>
    <col min="13828" max="13829" width="8.59765625" style="68" customWidth="1"/>
    <col min="13830" max="13831" width="10.59765625" style="68" customWidth="1"/>
    <col min="13832" max="13832" width="11.09765625" style="68" customWidth="1"/>
    <col min="13833" max="13834" width="10.59765625" style="68" customWidth="1"/>
    <col min="13835" max="13835" width="12.59765625" style="68" customWidth="1"/>
    <col min="13836" max="14077" width="9" style="68"/>
    <col min="14078" max="14078" width="8.796875" style="68" hidden="1" customWidth="1"/>
    <col min="14079" max="14079" width="4.5" style="68" customWidth="1"/>
    <col min="14080" max="14080" width="4.796875" style="68" customWidth="1"/>
    <col min="14081" max="14081" width="9.296875" style="68" customWidth="1"/>
    <col min="14082" max="14083" width="10.59765625" style="68" customWidth="1"/>
    <col min="14084" max="14085" width="8.59765625" style="68" customWidth="1"/>
    <col min="14086" max="14087" width="10.59765625" style="68" customWidth="1"/>
    <col min="14088" max="14088" width="11.09765625" style="68" customWidth="1"/>
    <col min="14089" max="14090" width="10.59765625" style="68" customWidth="1"/>
    <col min="14091" max="14091" width="12.59765625" style="68" customWidth="1"/>
    <col min="14092" max="14333" width="9" style="68"/>
    <col min="14334" max="14334" width="8.796875" style="68" hidden="1" customWidth="1"/>
    <col min="14335" max="14335" width="4.5" style="68" customWidth="1"/>
    <col min="14336" max="14336" width="4.796875" style="68" customWidth="1"/>
    <col min="14337" max="14337" width="9.296875" style="68" customWidth="1"/>
    <col min="14338" max="14339" width="10.59765625" style="68" customWidth="1"/>
    <col min="14340" max="14341" width="8.59765625" style="68" customWidth="1"/>
    <col min="14342" max="14343" width="10.59765625" style="68" customWidth="1"/>
    <col min="14344" max="14344" width="11.09765625" style="68" customWidth="1"/>
    <col min="14345" max="14346" width="10.59765625" style="68" customWidth="1"/>
    <col min="14347" max="14347" width="12.59765625" style="68" customWidth="1"/>
    <col min="14348" max="14589" width="9" style="68"/>
    <col min="14590" max="14590" width="8.796875" style="68" hidden="1" customWidth="1"/>
    <col min="14591" max="14591" width="4.5" style="68" customWidth="1"/>
    <col min="14592" max="14592" width="4.796875" style="68" customWidth="1"/>
    <col min="14593" max="14593" width="9.296875" style="68" customWidth="1"/>
    <col min="14594" max="14595" width="10.59765625" style="68" customWidth="1"/>
    <col min="14596" max="14597" width="8.59765625" style="68" customWidth="1"/>
    <col min="14598" max="14599" width="10.59765625" style="68" customWidth="1"/>
    <col min="14600" max="14600" width="11.09765625" style="68" customWidth="1"/>
    <col min="14601" max="14602" width="10.59765625" style="68" customWidth="1"/>
    <col min="14603" max="14603" width="12.59765625" style="68" customWidth="1"/>
    <col min="14604" max="14845" width="9" style="68"/>
    <col min="14846" max="14846" width="8.796875" style="68" hidden="1" customWidth="1"/>
    <col min="14847" max="14847" width="4.5" style="68" customWidth="1"/>
    <col min="14848" max="14848" width="4.796875" style="68" customWidth="1"/>
    <col min="14849" max="14849" width="9.296875" style="68" customWidth="1"/>
    <col min="14850" max="14851" width="10.59765625" style="68" customWidth="1"/>
    <col min="14852" max="14853" width="8.59765625" style="68" customWidth="1"/>
    <col min="14854" max="14855" width="10.59765625" style="68" customWidth="1"/>
    <col min="14856" max="14856" width="11.09765625" style="68" customWidth="1"/>
    <col min="14857" max="14858" width="10.59765625" style="68" customWidth="1"/>
    <col min="14859" max="14859" width="12.59765625" style="68" customWidth="1"/>
    <col min="14860" max="15101" width="9" style="68"/>
    <col min="15102" max="15102" width="8.796875" style="68" hidden="1" customWidth="1"/>
    <col min="15103" max="15103" width="4.5" style="68" customWidth="1"/>
    <col min="15104" max="15104" width="4.796875" style="68" customWidth="1"/>
    <col min="15105" max="15105" width="9.296875" style="68" customWidth="1"/>
    <col min="15106" max="15107" width="10.59765625" style="68" customWidth="1"/>
    <col min="15108" max="15109" width="8.59765625" style="68" customWidth="1"/>
    <col min="15110" max="15111" width="10.59765625" style="68" customWidth="1"/>
    <col min="15112" max="15112" width="11.09765625" style="68" customWidth="1"/>
    <col min="15113" max="15114" width="10.59765625" style="68" customWidth="1"/>
    <col min="15115" max="15115" width="12.59765625" style="68" customWidth="1"/>
    <col min="15116" max="15357" width="9" style="68"/>
    <col min="15358" max="15358" width="8.796875" style="68" hidden="1" customWidth="1"/>
    <col min="15359" max="15359" width="4.5" style="68" customWidth="1"/>
    <col min="15360" max="15360" width="4.796875" style="68" customWidth="1"/>
    <col min="15361" max="15361" width="9.296875" style="68" customWidth="1"/>
    <col min="15362" max="15363" width="10.59765625" style="68" customWidth="1"/>
    <col min="15364" max="15365" width="8.59765625" style="68" customWidth="1"/>
    <col min="15366" max="15367" width="10.59765625" style="68" customWidth="1"/>
    <col min="15368" max="15368" width="11.09765625" style="68" customWidth="1"/>
    <col min="15369" max="15370" width="10.59765625" style="68" customWidth="1"/>
    <col min="15371" max="15371" width="12.59765625" style="68" customWidth="1"/>
    <col min="15372" max="15613" width="9" style="68"/>
    <col min="15614" max="15614" width="8.796875" style="68" hidden="1" customWidth="1"/>
    <col min="15615" max="15615" width="4.5" style="68" customWidth="1"/>
    <col min="15616" max="15616" width="4.796875" style="68" customWidth="1"/>
    <col min="15617" max="15617" width="9.296875" style="68" customWidth="1"/>
    <col min="15618" max="15619" width="10.59765625" style="68" customWidth="1"/>
    <col min="15620" max="15621" width="8.59765625" style="68" customWidth="1"/>
    <col min="15622" max="15623" width="10.59765625" style="68" customWidth="1"/>
    <col min="15624" max="15624" width="11.09765625" style="68" customWidth="1"/>
    <col min="15625" max="15626" width="10.59765625" style="68" customWidth="1"/>
    <col min="15627" max="15627" width="12.59765625" style="68" customWidth="1"/>
    <col min="15628" max="15869" width="9" style="68"/>
    <col min="15870" max="15870" width="8.796875" style="68" hidden="1" customWidth="1"/>
    <col min="15871" max="15871" width="4.5" style="68" customWidth="1"/>
    <col min="15872" max="15872" width="4.796875" style="68" customWidth="1"/>
    <col min="15873" max="15873" width="9.296875" style="68" customWidth="1"/>
    <col min="15874" max="15875" width="10.59765625" style="68" customWidth="1"/>
    <col min="15876" max="15877" width="8.59765625" style="68" customWidth="1"/>
    <col min="15878" max="15879" width="10.59765625" style="68" customWidth="1"/>
    <col min="15880" max="15880" width="11.09765625" style="68" customWidth="1"/>
    <col min="15881" max="15882" width="10.59765625" style="68" customWidth="1"/>
    <col min="15883" max="15883" width="12.59765625" style="68" customWidth="1"/>
    <col min="15884" max="16125" width="9" style="68"/>
    <col min="16126" max="16126" width="8.796875" style="68" hidden="1" customWidth="1"/>
    <col min="16127" max="16127" width="4.5" style="68" customWidth="1"/>
    <col min="16128" max="16128" width="4.796875" style="68" customWidth="1"/>
    <col min="16129" max="16129" width="9.296875" style="68" customWidth="1"/>
    <col min="16130" max="16131" width="10.59765625" style="68" customWidth="1"/>
    <col min="16132" max="16133" width="8.59765625" style="68" customWidth="1"/>
    <col min="16134" max="16135" width="10.59765625" style="68" customWidth="1"/>
    <col min="16136" max="16136" width="11.09765625" style="68" customWidth="1"/>
    <col min="16137" max="16138" width="10.59765625" style="68" customWidth="1"/>
    <col min="16139" max="16139" width="12.59765625" style="68" customWidth="1"/>
    <col min="16140" max="16379" width="9" style="68"/>
    <col min="16380" max="16384" width="9" style="68" customWidth="1"/>
  </cols>
  <sheetData>
    <row r="1" spans="1:17" s="67" customFormat="1" ht="19.95" customHeight="1">
      <c r="A1" s="339" t="s">
        <v>42</v>
      </c>
      <c r="B1" s="339"/>
      <c r="C1" s="339"/>
      <c r="D1" s="339"/>
      <c r="E1" s="339"/>
      <c r="F1" s="339"/>
      <c r="G1" s="339"/>
      <c r="H1" s="339"/>
      <c r="I1" s="339"/>
      <c r="J1" s="339"/>
      <c r="K1" s="339"/>
      <c r="L1" s="1"/>
      <c r="M1" s="1"/>
      <c r="N1" s="1"/>
      <c r="O1" s="1"/>
      <c r="P1" s="1"/>
      <c r="Q1" s="1"/>
    </row>
    <row r="2" spans="1:17" s="1" customFormat="1" ht="19.95" customHeight="1">
      <c r="A2" s="340" t="s">
        <v>223</v>
      </c>
      <c r="B2" s="340"/>
      <c r="C2" s="340"/>
      <c r="D2" s="340"/>
      <c r="E2" s="340"/>
      <c r="F2" s="340"/>
      <c r="G2" s="340"/>
      <c r="H2" s="340"/>
      <c r="I2" s="340"/>
      <c r="J2" s="340"/>
      <c r="K2" s="340"/>
      <c r="L2" s="34"/>
    </row>
    <row r="3" spans="1:17" s="2" customFormat="1" ht="19.95" customHeight="1">
      <c r="A3" s="2" t="str">
        <f>底稿目录!A2</f>
        <v>被审计单位：</v>
      </c>
      <c r="B3" s="70"/>
      <c r="E3" s="2" t="str">
        <f>底稿目录!A4</f>
        <v>编制人：</v>
      </c>
      <c r="H3" s="2" t="str">
        <f>底稿目录!A5</f>
        <v>编制日期：</v>
      </c>
      <c r="J3" s="2" t="s">
        <v>27</v>
      </c>
      <c r="K3" s="293" t="str">
        <f>底稿目录!F10</f>
        <v>L5-5</v>
      </c>
      <c r="N3" s="78"/>
    </row>
    <row r="4" spans="1:17" s="2" customFormat="1" ht="19.95" customHeight="1">
      <c r="A4" s="2" t="str">
        <f>底稿目录!A3</f>
        <v>截止日：202X年12月31日</v>
      </c>
      <c r="B4" s="70"/>
      <c r="E4" s="2" t="str">
        <f>底稿目录!A6</f>
        <v>复核人：</v>
      </c>
      <c r="H4" s="2" t="str">
        <f>底稿目录!A7</f>
        <v>复核日期：</v>
      </c>
      <c r="J4" s="2" t="s">
        <v>92</v>
      </c>
      <c r="N4" s="78"/>
    </row>
    <row r="5" spans="1:17" s="2" customFormat="1" ht="19.95" customHeight="1">
      <c r="A5" s="55" t="s">
        <v>224</v>
      </c>
      <c r="B5" s="70"/>
      <c r="N5" s="78"/>
    </row>
    <row r="6" spans="1:17" s="2" customFormat="1" ht="19.95" customHeight="1">
      <c r="A6" s="2" t="s">
        <v>201</v>
      </c>
      <c r="B6" s="70"/>
      <c r="N6" s="78"/>
    </row>
    <row r="7" spans="1:17" s="2" customFormat="1" ht="19.95" customHeight="1">
      <c r="A7" s="55" t="s">
        <v>143</v>
      </c>
      <c r="B7" s="70"/>
      <c r="N7" s="78"/>
    </row>
    <row r="8" spans="1:17" s="2" customFormat="1" ht="30" customHeight="1">
      <c r="A8" s="341" t="s">
        <v>225</v>
      </c>
      <c r="B8" s="341"/>
      <c r="C8" s="341"/>
      <c r="D8" s="341"/>
      <c r="E8" s="341"/>
      <c r="F8" s="341"/>
      <c r="G8" s="341"/>
      <c r="H8" s="341"/>
      <c r="I8" s="341"/>
      <c r="J8" s="341"/>
      <c r="K8" s="341"/>
      <c r="N8" s="78"/>
    </row>
    <row r="9" spans="1:17" ht="19.95" customHeight="1">
      <c r="A9" s="349" t="s">
        <v>301</v>
      </c>
      <c r="B9" s="350"/>
      <c r="C9" s="343" t="s">
        <v>217</v>
      </c>
      <c r="D9" s="346" t="s">
        <v>218</v>
      </c>
      <c r="E9" s="344" t="s">
        <v>202</v>
      </c>
      <c r="F9" s="345"/>
      <c r="G9" s="342" t="s">
        <v>203</v>
      </c>
      <c r="H9" s="342"/>
      <c r="I9" s="342" t="s">
        <v>204</v>
      </c>
      <c r="J9" s="342" t="s">
        <v>205</v>
      </c>
      <c r="K9" s="342" t="s">
        <v>206</v>
      </c>
    </row>
    <row r="10" spans="1:17" s="272" customFormat="1" ht="19.95" customHeight="1">
      <c r="A10" s="245" t="s">
        <v>219</v>
      </c>
      <c r="B10" s="245" t="s">
        <v>220</v>
      </c>
      <c r="C10" s="343"/>
      <c r="D10" s="348"/>
      <c r="E10" s="346" t="s">
        <v>207</v>
      </c>
      <c r="F10" s="248" t="s">
        <v>208</v>
      </c>
      <c r="G10" s="248" t="s">
        <v>209</v>
      </c>
      <c r="H10" s="248" t="s">
        <v>210</v>
      </c>
      <c r="I10" s="342"/>
      <c r="J10" s="342"/>
      <c r="K10" s="342"/>
    </row>
    <row r="11" spans="1:17" ht="30" customHeight="1">
      <c r="A11" s="72" t="s">
        <v>211</v>
      </c>
      <c r="B11" s="247" t="s">
        <v>212</v>
      </c>
      <c r="C11" s="72" t="s">
        <v>213</v>
      </c>
      <c r="D11" s="347"/>
      <c r="E11" s="347"/>
      <c r="F11" s="71" t="s">
        <v>214</v>
      </c>
      <c r="G11" s="71" t="s">
        <v>215</v>
      </c>
      <c r="H11" s="71" t="s">
        <v>216</v>
      </c>
      <c r="I11" s="342"/>
      <c r="J11" s="342"/>
      <c r="K11" s="342"/>
    </row>
    <row r="12" spans="1:17" ht="19.95" customHeight="1">
      <c r="A12" s="73"/>
      <c r="B12" s="267"/>
      <c r="C12" s="75"/>
      <c r="D12" s="246"/>
      <c r="E12" s="267"/>
      <c r="F12" s="74"/>
      <c r="G12" s="51">
        <f t="shared" ref="G12:G22" si="0">B12-F12</f>
        <v>0</v>
      </c>
      <c r="H12" s="74"/>
      <c r="I12" s="74"/>
      <c r="J12" s="51">
        <f>H12-I12</f>
        <v>0</v>
      </c>
      <c r="K12" s="73"/>
    </row>
    <row r="13" spans="1:17" ht="19.95" customHeight="1">
      <c r="A13" s="73"/>
      <c r="B13" s="267"/>
      <c r="C13" s="75"/>
      <c r="D13" s="246"/>
      <c r="E13" s="267"/>
      <c r="F13" s="51">
        <f t="shared" ref="F13:F22" si="1">H12*C12</f>
        <v>0</v>
      </c>
      <c r="G13" s="51">
        <f t="shared" si="0"/>
        <v>0</v>
      </c>
      <c r="H13" s="51">
        <f>H12-G13</f>
        <v>0</v>
      </c>
      <c r="I13" s="77"/>
      <c r="J13" s="51">
        <f t="shared" ref="J13:J22" si="2">H13-I13</f>
        <v>0</v>
      </c>
      <c r="K13" s="73"/>
    </row>
    <row r="14" spans="1:17" ht="19.95" customHeight="1">
      <c r="A14" s="73"/>
      <c r="B14" s="267"/>
      <c r="C14" s="75"/>
      <c r="D14" s="246"/>
      <c r="E14" s="267"/>
      <c r="F14" s="51">
        <f t="shared" si="1"/>
        <v>0</v>
      </c>
      <c r="G14" s="51">
        <f t="shared" si="0"/>
        <v>0</v>
      </c>
      <c r="H14" s="51">
        <f t="shared" ref="H14:H22" si="3">H13-G14</f>
        <v>0</v>
      </c>
      <c r="I14" s="77"/>
      <c r="J14" s="51">
        <f t="shared" si="2"/>
        <v>0</v>
      </c>
      <c r="K14" s="73"/>
    </row>
    <row r="15" spans="1:17" ht="19.95" customHeight="1">
      <c r="A15" s="76"/>
      <c r="B15" s="267"/>
      <c r="C15" s="75"/>
      <c r="D15" s="246"/>
      <c r="E15" s="267"/>
      <c r="F15" s="51">
        <f t="shared" si="1"/>
        <v>0</v>
      </c>
      <c r="G15" s="51">
        <f t="shared" si="0"/>
        <v>0</v>
      </c>
      <c r="H15" s="51">
        <f t="shared" si="3"/>
        <v>0</v>
      </c>
      <c r="I15" s="77"/>
      <c r="J15" s="51">
        <f t="shared" si="2"/>
        <v>0</v>
      </c>
      <c r="K15" s="73"/>
    </row>
    <row r="16" spans="1:17" ht="19.95" customHeight="1">
      <c r="A16" s="73"/>
      <c r="B16" s="267"/>
      <c r="C16" s="75"/>
      <c r="D16" s="246"/>
      <c r="E16" s="267"/>
      <c r="F16" s="51">
        <f t="shared" si="1"/>
        <v>0</v>
      </c>
      <c r="G16" s="51">
        <f t="shared" si="0"/>
        <v>0</v>
      </c>
      <c r="H16" s="51">
        <f t="shared" si="3"/>
        <v>0</v>
      </c>
      <c r="I16" s="77"/>
      <c r="J16" s="51">
        <f t="shared" si="2"/>
        <v>0</v>
      </c>
      <c r="K16" s="73"/>
    </row>
    <row r="17" spans="1:11" ht="19.95" customHeight="1">
      <c r="A17" s="73"/>
      <c r="B17" s="267"/>
      <c r="C17" s="75"/>
      <c r="D17" s="246"/>
      <c r="E17" s="267"/>
      <c r="F17" s="51">
        <f t="shared" si="1"/>
        <v>0</v>
      </c>
      <c r="G17" s="51">
        <f t="shared" si="0"/>
        <v>0</v>
      </c>
      <c r="H17" s="51">
        <f t="shared" si="3"/>
        <v>0</v>
      </c>
      <c r="I17" s="77"/>
      <c r="J17" s="51">
        <f t="shared" si="2"/>
        <v>0</v>
      </c>
      <c r="K17" s="73"/>
    </row>
    <row r="18" spans="1:11" ht="19.95" customHeight="1">
      <c r="A18" s="73"/>
      <c r="B18" s="267"/>
      <c r="C18" s="75"/>
      <c r="D18" s="246"/>
      <c r="E18" s="267"/>
      <c r="F18" s="51">
        <f t="shared" si="1"/>
        <v>0</v>
      </c>
      <c r="G18" s="51">
        <f t="shared" si="0"/>
        <v>0</v>
      </c>
      <c r="H18" s="51">
        <f t="shared" si="3"/>
        <v>0</v>
      </c>
      <c r="I18" s="77"/>
      <c r="J18" s="51">
        <f t="shared" si="2"/>
        <v>0</v>
      </c>
      <c r="K18" s="73"/>
    </row>
    <row r="19" spans="1:11" ht="19.95" customHeight="1">
      <c r="A19" s="73"/>
      <c r="B19" s="267"/>
      <c r="C19" s="75"/>
      <c r="D19" s="246"/>
      <c r="E19" s="267"/>
      <c r="F19" s="51">
        <f t="shared" si="1"/>
        <v>0</v>
      </c>
      <c r="G19" s="51">
        <f t="shared" si="0"/>
        <v>0</v>
      </c>
      <c r="H19" s="51">
        <f t="shared" si="3"/>
        <v>0</v>
      </c>
      <c r="I19" s="77"/>
      <c r="J19" s="51">
        <f t="shared" si="2"/>
        <v>0</v>
      </c>
      <c r="K19" s="73"/>
    </row>
    <row r="20" spans="1:11" ht="19.95" customHeight="1">
      <c r="A20" s="73"/>
      <c r="B20" s="267"/>
      <c r="C20" s="75"/>
      <c r="D20" s="246"/>
      <c r="E20" s="267"/>
      <c r="F20" s="51">
        <f t="shared" si="1"/>
        <v>0</v>
      </c>
      <c r="G20" s="51">
        <f t="shared" si="0"/>
        <v>0</v>
      </c>
      <c r="H20" s="51">
        <f t="shared" si="3"/>
        <v>0</v>
      </c>
      <c r="I20" s="77"/>
      <c r="J20" s="51">
        <f t="shared" si="2"/>
        <v>0</v>
      </c>
      <c r="K20" s="73"/>
    </row>
    <row r="21" spans="1:11" ht="19.95" customHeight="1">
      <c r="A21" s="73"/>
      <c r="B21" s="267"/>
      <c r="C21" s="75"/>
      <c r="D21" s="246"/>
      <c r="E21" s="267"/>
      <c r="F21" s="51">
        <f t="shared" si="1"/>
        <v>0</v>
      </c>
      <c r="G21" s="51">
        <f t="shared" si="0"/>
        <v>0</v>
      </c>
      <c r="H21" s="51">
        <f t="shared" si="3"/>
        <v>0</v>
      </c>
      <c r="I21" s="77"/>
      <c r="J21" s="51">
        <f t="shared" si="2"/>
        <v>0</v>
      </c>
      <c r="K21" s="73"/>
    </row>
    <row r="22" spans="1:11" ht="19.95" customHeight="1">
      <c r="A22" s="73"/>
      <c r="B22" s="267"/>
      <c r="C22" s="75"/>
      <c r="D22" s="246"/>
      <c r="E22" s="267"/>
      <c r="F22" s="51">
        <f t="shared" si="1"/>
        <v>0</v>
      </c>
      <c r="G22" s="51">
        <f t="shared" si="0"/>
        <v>0</v>
      </c>
      <c r="H22" s="51">
        <f t="shared" si="3"/>
        <v>0</v>
      </c>
      <c r="I22" s="77"/>
      <c r="J22" s="51">
        <f t="shared" si="2"/>
        <v>0</v>
      </c>
      <c r="K22" s="73"/>
    </row>
    <row r="23" spans="1:11" s="271" customFormat="1" ht="19.95" customHeight="1">
      <c r="A23" s="268" t="s">
        <v>300</v>
      </c>
      <c r="B23" s="269">
        <f>SUM(B12:B22)</f>
        <v>0</v>
      </c>
      <c r="C23" s="270" t="s">
        <v>166</v>
      </c>
      <c r="D23" s="269">
        <f>SUM(D12:D22)</f>
        <v>0</v>
      </c>
      <c r="E23" s="269">
        <f>SUM(E12:E22)</f>
        <v>0</v>
      </c>
      <c r="F23" s="269">
        <f>SUM(F12:F22)</f>
        <v>0</v>
      </c>
      <c r="G23" s="269">
        <f>SUM(G12:G22)</f>
        <v>0</v>
      </c>
      <c r="H23" s="269">
        <f>SUM(H12:H22)</f>
        <v>0</v>
      </c>
      <c r="I23" s="269">
        <f t="shared" ref="I23:J23" si="4">SUM(I12:I22)</f>
        <v>0</v>
      </c>
      <c r="J23" s="269">
        <f t="shared" si="4"/>
        <v>0</v>
      </c>
      <c r="K23" s="269"/>
    </row>
    <row r="24" spans="1:11" ht="19.95" customHeight="1">
      <c r="A24" s="79" t="s">
        <v>302</v>
      </c>
    </row>
    <row r="26" spans="1:11" ht="19.95" customHeight="1">
      <c r="A26" s="273" t="s">
        <v>222</v>
      </c>
    </row>
  </sheetData>
  <mergeCells count="12">
    <mergeCell ref="A1:K1"/>
    <mergeCell ref="A2:K2"/>
    <mergeCell ref="A8:K8"/>
    <mergeCell ref="G9:H9"/>
    <mergeCell ref="I9:I11"/>
    <mergeCell ref="J9:J11"/>
    <mergeCell ref="K9:K11"/>
    <mergeCell ref="C9:C10"/>
    <mergeCell ref="E9:F9"/>
    <mergeCell ref="E10:E11"/>
    <mergeCell ref="D9:D11"/>
    <mergeCell ref="A9:B9"/>
  </mergeCells>
  <phoneticPr fontId="126" type="noConversion"/>
  <hyperlinks>
    <hyperlink ref="K3" location="底稿目录!A1" display="=底稿目录!F10"/>
  </hyperlinks>
  <printOptions horizontalCentered="1"/>
  <pageMargins left="0.70866141732283505" right="0.70866141732283505" top="0.74803149606299202" bottom="0.74803149606299202" header="0.31496062992126" footer="0.31496062992126"/>
  <pageSetup paperSize="9" scale="93" fitToHeight="0" orientation="landscape" blackAndWhite="1" r:id="rId1"/>
  <headerFooter alignWithMargins="0">
    <oddFooter>&amp;C&amp;P/&amp;N</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P29"/>
  <sheetViews>
    <sheetView view="pageBreakPreview" zoomScaleNormal="100" workbookViewId="0">
      <selection sqref="A1:N1"/>
    </sheetView>
  </sheetViews>
  <sheetFormatPr defaultColWidth="9" defaultRowHeight="19.95" customHeight="1"/>
  <cols>
    <col min="1" max="1" width="17.19921875" style="43" customWidth="1"/>
    <col min="2" max="2" width="10.59765625" style="43" customWidth="1"/>
    <col min="3" max="3" width="14.09765625" style="43" customWidth="1"/>
    <col min="4" max="4" width="11.19921875" style="43" customWidth="1"/>
    <col min="5" max="5" width="8.5" style="43" customWidth="1"/>
    <col min="6" max="6" width="13.296875" style="43" customWidth="1"/>
    <col min="7" max="7" width="10.19921875" style="43" customWidth="1"/>
    <col min="8" max="8" width="11.19921875" style="43" customWidth="1"/>
    <col min="9" max="9" width="14.8984375" style="43" customWidth="1"/>
    <col min="10" max="10" width="14.59765625" style="43" customWidth="1"/>
    <col min="11" max="11" width="9.5" style="43" customWidth="1"/>
    <col min="12" max="12" width="8.3984375" style="43" customWidth="1"/>
    <col min="13" max="13" width="12.796875" style="43" customWidth="1"/>
    <col min="14" max="14" width="8.796875" style="43" customWidth="1"/>
    <col min="15" max="16384" width="9" style="43"/>
  </cols>
  <sheetData>
    <row r="1" spans="1:16" s="39" customFormat="1" ht="19.95" customHeight="1">
      <c r="A1" s="351" t="s">
        <v>42</v>
      </c>
      <c r="B1" s="351"/>
      <c r="C1" s="351"/>
      <c r="D1" s="351"/>
      <c r="E1" s="351"/>
      <c r="F1" s="351"/>
      <c r="G1" s="351"/>
      <c r="H1" s="351"/>
      <c r="I1" s="351"/>
      <c r="J1" s="351"/>
      <c r="K1" s="351"/>
      <c r="L1" s="351"/>
      <c r="M1" s="351"/>
      <c r="N1" s="351"/>
    </row>
    <row r="2" spans="1:16" s="40" customFormat="1" ht="19.95" customHeight="1">
      <c r="A2" s="352" t="s">
        <v>226</v>
      </c>
      <c r="B2" s="353"/>
      <c r="C2" s="353"/>
      <c r="D2" s="353"/>
      <c r="E2" s="353"/>
      <c r="F2" s="353"/>
      <c r="G2" s="353"/>
      <c r="H2" s="353"/>
      <c r="I2" s="353"/>
      <c r="J2" s="353"/>
      <c r="K2" s="353"/>
      <c r="L2" s="353"/>
      <c r="M2" s="353"/>
      <c r="N2" s="353"/>
      <c r="P2" s="34"/>
    </row>
    <row r="3" spans="1:16" ht="19.95" customHeight="1">
      <c r="A3" s="2" t="str">
        <f>底稿目录!A2</f>
        <v>被审计单位：</v>
      </c>
      <c r="B3" s="2"/>
      <c r="C3" s="2"/>
      <c r="D3" s="2"/>
      <c r="F3" s="2" t="str">
        <f>底稿目录!A4</f>
        <v>编制人：</v>
      </c>
      <c r="G3" s="2"/>
      <c r="H3" s="2"/>
      <c r="I3" s="2"/>
      <c r="J3" s="2" t="str">
        <f>底稿目录!A5</f>
        <v>编制日期：</v>
      </c>
      <c r="K3" s="2"/>
      <c r="L3" s="2"/>
      <c r="N3" s="61" t="s">
        <v>27</v>
      </c>
      <c r="O3" s="293" t="str">
        <f>底稿目录!F18</f>
        <v>L5-6</v>
      </c>
    </row>
    <row r="4" spans="1:16" ht="19.95" customHeight="1">
      <c r="A4" s="2" t="str">
        <f>底稿目录!A3</f>
        <v>截止日：202X年12月31日</v>
      </c>
      <c r="B4" s="2"/>
      <c r="C4" s="2"/>
      <c r="D4" s="2"/>
      <c r="F4" s="2" t="str">
        <f>底稿目录!A6</f>
        <v>复核人：</v>
      </c>
      <c r="G4" s="2"/>
      <c r="H4" s="2"/>
      <c r="I4" s="2"/>
      <c r="J4" s="2" t="str">
        <f>底稿目录!A7</f>
        <v>复核日期：</v>
      </c>
      <c r="K4" s="2"/>
      <c r="L4" s="2"/>
      <c r="N4" s="61" t="s">
        <v>92</v>
      </c>
    </row>
    <row r="5" spans="1:16" s="41" customFormat="1" ht="19.95" customHeight="1">
      <c r="A5" s="44" t="s">
        <v>227</v>
      </c>
      <c r="B5" s="44"/>
      <c r="C5" s="44"/>
      <c r="D5" s="45"/>
      <c r="E5" s="45"/>
      <c r="F5" s="45"/>
      <c r="G5" s="45"/>
      <c r="H5" s="45"/>
      <c r="I5" s="45"/>
      <c r="J5" s="62"/>
      <c r="K5" s="62"/>
      <c r="L5" s="62"/>
      <c r="M5" s="62"/>
      <c r="N5" s="62"/>
    </row>
    <row r="6" spans="1:16" s="41" customFormat="1" ht="30" customHeight="1">
      <c r="A6" s="354" t="s">
        <v>228</v>
      </c>
      <c r="B6" s="354"/>
      <c r="C6" s="354"/>
      <c r="D6" s="354"/>
      <c r="E6" s="354"/>
      <c r="F6" s="354"/>
      <c r="G6" s="354"/>
      <c r="H6" s="354"/>
      <c r="I6" s="354"/>
      <c r="J6" s="354"/>
      <c r="K6" s="354"/>
      <c r="L6" s="354"/>
      <c r="M6" s="354"/>
      <c r="N6" s="354"/>
      <c r="O6" s="354"/>
    </row>
    <row r="7" spans="1:16" s="42" customFormat="1" ht="51" customHeight="1">
      <c r="A7" s="46" t="s">
        <v>93</v>
      </c>
      <c r="B7" s="46" t="s">
        <v>229</v>
      </c>
      <c r="C7" s="46" t="s">
        <v>230</v>
      </c>
      <c r="D7" s="46" t="s">
        <v>30</v>
      </c>
      <c r="E7" s="46" t="s">
        <v>231</v>
      </c>
      <c r="F7" s="46" t="s">
        <v>232</v>
      </c>
      <c r="G7" s="46" t="s">
        <v>147</v>
      </c>
      <c r="H7" s="46" t="s">
        <v>179</v>
      </c>
      <c r="I7" s="46" t="s">
        <v>233</v>
      </c>
      <c r="J7" s="46" t="s">
        <v>100</v>
      </c>
      <c r="K7" s="46" t="s">
        <v>234</v>
      </c>
      <c r="L7" s="46" t="s">
        <v>180</v>
      </c>
      <c r="M7" s="46" t="s">
        <v>235</v>
      </c>
      <c r="N7" s="46" t="s">
        <v>4</v>
      </c>
      <c r="O7" s="46" t="s">
        <v>154</v>
      </c>
      <c r="P7" s="63"/>
    </row>
    <row r="8" spans="1:16" ht="19.95" customHeight="1">
      <c r="A8" s="47"/>
      <c r="B8" s="48"/>
      <c r="C8" s="49"/>
      <c r="D8" s="50"/>
      <c r="E8" s="50"/>
      <c r="F8" s="51">
        <f>D8-E8</f>
        <v>0</v>
      </c>
      <c r="G8" s="48"/>
      <c r="H8" s="48"/>
      <c r="I8" s="51">
        <f>G8-H8</f>
        <v>0</v>
      </c>
      <c r="J8" s="51">
        <f>F8-I8</f>
        <v>0</v>
      </c>
      <c r="K8" s="48"/>
      <c r="L8" s="64"/>
      <c r="M8" s="47"/>
      <c r="N8" s="48"/>
      <c r="O8" s="48"/>
    </row>
    <row r="9" spans="1:16" ht="19.95" customHeight="1">
      <c r="A9" s="48"/>
      <c r="B9" s="48"/>
      <c r="C9" s="49"/>
      <c r="D9" s="50"/>
      <c r="E9" s="50"/>
      <c r="F9" s="51">
        <f>D9-E9</f>
        <v>0</v>
      </c>
      <c r="G9" s="48"/>
      <c r="H9" s="48"/>
      <c r="I9" s="51">
        <f>G9-H9</f>
        <v>0</v>
      </c>
      <c r="J9" s="51">
        <f t="shared" ref="J9:J12" si="0">F9-I9</f>
        <v>0</v>
      </c>
      <c r="K9" s="48"/>
      <c r="L9" s="48"/>
      <c r="M9" s="48"/>
      <c r="N9" s="48"/>
      <c r="O9" s="52"/>
    </row>
    <row r="10" spans="1:16" ht="19.95" customHeight="1">
      <c r="A10" s="48"/>
      <c r="B10" s="48"/>
      <c r="C10" s="49"/>
      <c r="D10" s="50"/>
      <c r="E10" s="50"/>
      <c r="F10" s="51">
        <f>D10-E10</f>
        <v>0</v>
      </c>
      <c r="G10" s="48"/>
      <c r="H10" s="48"/>
      <c r="I10" s="51">
        <f>G10-H10</f>
        <v>0</v>
      </c>
      <c r="J10" s="51">
        <f t="shared" si="0"/>
        <v>0</v>
      </c>
      <c r="K10" s="48"/>
      <c r="L10" s="48"/>
      <c r="M10" s="48"/>
      <c r="N10" s="48"/>
      <c r="O10" s="52"/>
    </row>
    <row r="11" spans="1:16" ht="19.95" customHeight="1">
      <c r="A11" s="48"/>
      <c r="B11" s="48"/>
      <c r="C11" s="49"/>
      <c r="D11" s="50"/>
      <c r="E11" s="50"/>
      <c r="F11" s="51">
        <f>D11-E11</f>
        <v>0</v>
      </c>
      <c r="G11" s="48"/>
      <c r="H11" s="48"/>
      <c r="I11" s="51">
        <f>G11-H11</f>
        <v>0</v>
      </c>
      <c r="J11" s="51">
        <f t="shared" si="0"/>
        <v>0</v>
      </c>
      <c r="K11" s="48"/>
      <c r="L11" s="48"/>
      <c r="M11" s="48"/>
      <c r="N11" s="48"/>
      <c r="O11" s="52"/>
    </row>
    <row r="12" spans="1:16" ht="19.95" customHeight="1">
      <c r="A12" s="48"/>
      <c r="B12" s="48"/>
      <c r="C12" s="49"/>
      <c r="D12" s="50"/>
      <c r="E12" s="50"/>
      <c r="F12" s="51">
        <f>D12-E12</f>
        <v>0</v>
      </c>
      <c r="G12" s="48"/>
      <c r="H12" s="48"/>
      <c r="I12" s="51">
        <f>G12-H12</f>
        <v>0</v>
      </c>
      <c r="J12" s="51">
        <f t="shared" si="0"/>
        <v>0</v>
      </c>
      <c r="K12" s="48"/>
      <c r="L12" s="48"/>
      <c r="M12" s="48"/>
      <c r="N12" s="48"/>
      <c r="O12" s="52"/>
    </row>
    <row r="13" spans="1:16" s="277" customFormat="1" ht="19.95" customHeight="1">
      <c r="A13" s="275" t="s">
        <v>236</v>
      </c>
      <c r="B13" s="275"/>
      <c r="C13" s="275"/>
      <c r="D13" s="259">
        <f t="shared" ref="D13:F13" si="1">SUM(D8:D12)</f>
        <v>0</v>
      </c>
      <c r="E13" s="259">
        <f t="shared" si="1"/>
        <v>0</v>
      </c>
      <c r="F13" s="259">
        <f t="shared" si="1"/>
        <v>0</v>
      </c>
      <c r="G13" s="259">
        <f t="shared" ref="G13:J13" si="2">SUM(G8:G12)</f>
        <v>0</v>
      </c>
      <c r="H13" s="259">
        <f t="shared" si="2"/>
        <v>0</v>
      </c>
      <c r="I13" s="259">
        <f t="shared" si="2"/>
        <v>0</v>
      </c>
      <c r="J13" s="259">
        <f t="shared" si="2"/>
        <v>0</v>
      </c>
      <c r="K13" s="259"/>
      <c r="L13" s="259"/>
      <c r="M13" s="259"/>
      <c r="N13" s="259" t="s">
        <v>237</v>
      </c>
      <c r="O13" s="259" t="s">
        <v>237</v>
      </c>
      <c r="P13" s="276"/>
    </row>
    <row r="14" spans="1:16" s="2" customFormat="1" ht="19.95" customHeight="1">
      <c r="A14" s="53" t="s">
        <v>238</v>
      </c>
      <c r="B14" s="54"/>
      <c r="C14" s="54"/>
      <c r="D14" s="54"/>
      <c r="E14" s="54"/>
      <c r="F14" s="54"/>
      <c r="G14" s="54"/>
      <c r="H14" s="54"/>
      <c r="I14" s="54"/>
      <c r="J14" s="65"/>
      <c r="K14" s="65"/>
      <c r="L14" s="65"/>
      <c r="M14" s="65"/>
      <c r="N14" s="65"/>
      <c r="O14" s="58"/>
      <c r="P14" s="43"/>
    </row>
    <row r="15" spans="1:16" s="2" customFormat="1" ht="19.95" customHeight="1">
      <c r="D15" s="55"/>
      <c r="E15" s="55"/>
      <c r="F15" s="55"/>
      <c r="G15" s="55"/>
      <c r="H15" s="55"/>
      <c r="I15" s="55"/>
      <c r="J15" s="58"/>
      <c r="K15" s="58"/>
      <c r="L15" s="58"/>
      <c r="M15" s="58"/>
      <c r="N15" s="58"/>
      <c r="O15" s="58"/>
      <c r="P15" s="43"/>
    </row>
    <row r="16" spans="1:16" s="2" customFormat="1" ht="19.95" customHeight="1">
      <c r="D16" s="55"/>
      <c r="E16" s="55"/>
      <c r="F16" s="55"/>
      <c r="G16" s="55"/>
      <c r="H16" s="55"/>
      <c r="I16" s="55"/>
      <c r="J16" s="58"/>
      <c r="K16" s="58"/>
      <c r="L16" s="58"/>
      <c r="M16" s="58"/>
      <c r="N16" s="58"/>
      <c r="O16" s="58"/>
      <c r="P16" s="43"/>
    </row>
    <row r="17" spans="1:16" s="2" customFormat="1" ht="19.95" customHeight="1">
      <c r="A17" s="56" t="s">
        <v>239</v>
      </c>
      <c r="D17" s="55"/>
      <c r="E17" s="55"/>
      <c r="F17" s="55"/>
      <c r="G17" s="55"/>
      <c r="H17" s="55"/>
      <c r="I17" s="55"/>
      <c r="J17" s="58"/>
      <c r="K17" s="58"/>
      <c r="L17" s="58"/>
      <c r="M17" s="58"/>
      <c r="N17" s="58"/>
      <c r="O17" s="58"/>
      <c r="P17" s="43"/>
    </row>
    <row r="18" spans="1:16" s="2" customFormat="1" ht="19.95" customHeight="1">
      <c r="A18" s="55"/>
      <c r="B18" s="55"/>
      <c r="C18" s="55"/>
      <c r="D18" s="55"/>
      <c r="E18" s="55"/>
      <c r="F18" s="55"/>
      <c r="G18" s="55"/>
      <c r="H18" s="55"/>
      <c r="I18" s="274" t="s">
        <v>303</v>
      </c>
      <c r="J18" s="63" t="s">
        <v>240</v>
      </c>
      <c r="K18" s="58"/>
      <c r="L18" s="58"/>
      <c r="M18" s="58"/>
      <c r="N18" s="58"/>
      <c r="O18" s="58"/>
    </row>
    <row r="19" spans="1:16" s="2" customFormat="1" ht="19.95" customHeight="1">
      <c r="A19" s="55"/>
      <c r="B19" s="55"/>
      <c r="C19" s="55"/>
      <c r="D19" s="44"/>
      <c r="E19" s="55"/>
      <c r="F19" s="55"/>
      <c r="G19" s="55"/>
      <c r="H19" s="55"/>
      <c r="I19" s="55"/>
      <c r="J19" s="63" t="s">
        <v>241</v>
      </c>
      <c r="K19" s="58"/>
      <c r="L19" s="58"/>
      <c r="M19" s="58"/>
      <c r="N19" s="58"/>
      <c r="O19" s="58"/>
    </row>
    <row r="20" spans="1:16" ht="19.95" customHeight="1">
      <c r="B20" s="41"/>
      <c r="C20" s="41"/>
      <c r="D20" s="41"/>
      <c r="E20" s="41"/>
      <c r="F20" s="41"/>
      <c r="G20" s="41"/>
      <c r="H20" s="41"/>
      <c r="I20" s="41"/>
      <c r="J20" s="63" t="s">
        <v>242</v>
      </c>
    </row>
    <row r="21" spans="1:16" ht="19.95" customHeight="1">
      <c r="A21" s="41"/>
      <c r="B21" s="41"/>
      <c r="C21" s="41"/>
      <c r="D21" s="41"/>
      <c r="E21" s="41"/>
      <c r="F21" s="41"/>
      <c r="G21" s="41"/>
      <c r="H21" s="41"/>
      <c r="I21" s="41"/>
      <c r="J21" s="66" t="s">
        <v>243</v>
      </c>
    </row>
    <row r="22" spans="1:16" ht="19.95" customHeight="1">
      <c r="A22" s="2"/>
      <c r="B22" s="2"/>
      <c r="C22" s="2"/>
      <c r="D22" s="2"/>
      <c r="E22" s="2"/>
      <c r="F22" s="2"/>
      <c r="G22" s="2"/>
      <c r="H22" s="2"/>
      <c r="I22" s="2"/>
      <c r="J22" s="63" t="s">
        <v>244</v>
      </c>
      <c r="K22" s="2"/>
      <c r="L22" s="2"/>
      <c r="M22" s="2"/>
      <c r="N22" s="2"/>
      <c r="O22" s="2"/>
    </row>
    <row r="23" spans="1:16" ht="19.95" customHeight="1">
      <c r="A23" s="57"/>
      <c r="B23" s="57"/>
      <c r="C23" s="57"/>
      <c r="D23" s="57"/>
      <c r="E23" s="57"/>
      <c r="F23" s="57"/>
      <c r="G23" s="57"/>
      <c r="H23" s="57"/>
      <c r="I23" s="57"/>
      <c r="J23" s="23" t="s">
        <v>245</v>
      </c>
      <c r="K23" s="2"/>
      <c r="L23" s="2"/>
      <c r="M23" s="2"/>
      <c r="N23" s="2"/>
      <c r="O23" s="2"/>
    </row>
    <row r="24" spans="1:16" ht="19.95" customHeight="1">
      <c r="A24" s="58"/>
      <c r="B24" s="58"/>
      <c r="C24" s="58"/>
      <c r="D24" s="58"/>
      <c r="E24" s="58"/>
      <c r="F24" s="58"/>
      <c r="G24" s="58"/>
      <c r="H24" s="58"/>
      <c r="I24" s="58"/>
      <c r="J24" s="63" t="s">
        <v>246</v>
      </c>
      <c r="K24" s="2"/>
      <c r="L24" s="2"/>
      <c r="M24" s="2"/>
      <c r="N24" s="2"/>
      <c r="O24" s="2"/>
    </row>
    <row r="25" spans="1:16" ht="19.95" customHeight="1">
      <c r="A25" s="58"/>
      <c r="B25" s="58"/>
      <c r="C25" s="58"/>
      <c r="D25" s="58"/>
      <c r="E25" s="58"/>
      <c r="F25" s="58"/>
      <c r="G25" s="58"/>
      <c r="H25" s="58"/>
      <c r="I25" s="58"/>
      <c r="J25" s="63" t="s">
        <v>247</v>
      </c>
      <c r="K25" s="2"/>
      <c r="L25" s="2"/>
      <c r="M25" s="2"/>
      <c r="N25" s="2"/>
      <c r="O25" s="2"/>
    </row>
    <row r="26" spans="1:16" ht="19.95" customHeight="1">
      <c r="A26" s="59"/>
      <c r="B26" s="59"/>
      <c r="C26" s="59"/>
      <c r="D26" s="59"/>
      <c r="E26" s="59"/>
      <c r="F26" s="59"/>
      <c r="G26" s="59"/>
      <c r="H26" s="59"/>
      <c r="I26" s="59"/>
      <c r="J26" s="2"/>
      <c r="K26" s="2"/>
      <c r="L26" s="2"/>
      <c r="M26" s="2"/>
      <c r="N26" s="2"/>
      <c r="O26" s="2"/>
    </row>
    <row r="27" spans="1:16" ht="19.95" customHeight="1">
      <c r="A27" s="60"/>
      <c r="B27" s="60"/>
      <c r="C27" s="60"/>
      <c r="D27" s="60"/>
      <c r="E27" s="60"/>
      <c r="F27" s="60"/>
      <c r="G27" s="60"/>
      <c r="H27" s="60"/>
      <c r="I27" s="60"/>
      <c r="J27" s="58"/>
      <c r="K27" s="2"/>
      <c r="L27" s="2"/>
      <c r="M27" s="2"/>
      <c r="N27" s="2"/>
      <c r="O27" s="2"/>
    </row>
    <row r="28" spans="1:16" ht="19.95" customHeight="1">
      <c r="A28" s="60"/>
      <c r="B28" s="60"/>
      <c r="C28" s="60"/>
      <c r="D28" s="60"/>
      <c r="E28" s="60"/>
      <c r="F28" s="60"/>
      <c r="G28" s="60"/>
      <c r="H28" s="60"/>
      <c r="I28" s="60"/>
      <c r="J28" s="58"/>
      <c r="K28" s="2"/>
      <c r="L28" s="2"/>
      <c r="M28" s="2"/>
      <c r="N28" s="2"/>
      <c r="O28" s="2"/>
    </row>
    <row r="29" spans="1:16" ht="19.95" customHeight="1">
      <c r="A29" s="60"/>
      <c r="B29" s="60"/>
      <c r="C29" s="60"/>
      <c r="D29" s="60"/>
      <c r="E29" s="60"/>
      <c r="F29" s="60"/>
      <c r="G29" s="60"/>
      <c r="H29" s="60"/>
      <c r="I29" s="60"/>
      <c r="J29" s="58"/>
      <c r="K29" s="2"/>
      <c r="L29" s="2"/>
      <c r="M29" s="2"/>
      <c r="N29" s="2"/>
      <c r="O29" s="2"/>
    </row>
  </sheetData>
  <mergeCells count="3">
    <mergeCell ref="A1:N1"/>
    <mergeCell ref="A2:N2"/>
    <mergeCell ref="A6:O6"/>
  </mergeCells>
  <phoneticPr fontId="126" type="noConversion"/>
  <dataValidations count="1">
    <dataValidation type="list" allowBlank="1" showInputMessage="1" showErrorMessage="1" sqref="C8:C12">
      <formula1>$J$18:$J$25</formula1>
    </dataValidation>
  </dataValidations>
  <hyperlinks>
    <hyperlink ref="O3" location="底稿目录!A1" display="=底稿目录!F11"/>
  </hyperlinks>
  <pageMargins left="0.70866141732283505" right="0.70866141732283505" top="0.74803149606299202" bottom="0.74803149606299202" header="0.31496062992126" footer="0.31496062992126"/>
  <pageSetup paperSize="9" scale="70"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view="pageBreakPreview" zoomScaleNormal="100" workbookViewId="0">
      <selection activeCell="P3" sqref="P3"/>
    </sheetView>
  </sheetViews>
  <sheetFormatPr defaultColWidth="9" defaultRowHeight="19.95" customHeight="1"/>
  <cols>
    <col min="1" max="2" width="9" style="5"/>
    <col min="3" max="3" width="20.8984375" style="5" customWidth="1"/>
    <col min="4" max="5" width="13.59765625" style="5" customWidth="1"/>
    <col min="6" max="6" width="11.796875" style="5" customWidth="1"/>
    <col min="7" max="7" width="10.5" style="5" customWidth="1"/>
    <col min="8" max="8" width="16.796875" style="5" customWidth="1"/>
    <col min="9" max="13" width="3.59765625" style="5" customWidth="1"/>
    <col min="14" max="14" width="12.5" style="5" customWidth="1"/>
    <col min="15" max="15" width="8" style="5" customWidth="1"/>
    <col min="16" max="16" width="14.5" style="5" customWidth="1"/>
    <col min="17" max="16384" width="9" style="5"/>
  </cols>
  <sheetData>
    <row r="1" spans="1:19" s="1" customFormat="1" ht="19.95" customHeight="1">
      <c r="A1" s="339" t="s">
        <v>42</v>
      </c>
      <c r="B1" s="339"/>
      <c r="C1" s="339"/>
      <c r="D1" s="339"/>
      <c r="E1" s="339"/>
      <c r="F1" s="339"/>
      <c r="G1" s="339"/>
      <c r="H1" s="339"/>
      <c r="I1" s="339"/>
      <c r="J1" s="339"/>
      <c r="K1" s="339"/>
      <c r="L1" s="339"/>
      <c r="M1" s="339"/>
      <c r="N1" s="339"/>
      <c r="O1" s="339"/>
      <c r="P1" s="339"/>
    </row>
    <row r="2" spans="1:19" s="1" customFormat="1" ht="19.95" customHeight="1">
      <c r="A2" s="340" t="s">
        <v>248</v>
      </c>
      <c r="B2" s="340"/>
      <c r="C2" s="340"/>
      <c r="D2" s="340"/>
      <c r="E2" s="340"/>
      <c r="F2" s="340"/>
      <c r="G2" s="340"/>
      <c r="H2" s="340"/>
      <c r="I2" s="340"/>
      <c r="J2" s="340"/>
      <c r="K2" s="340"/>
      <c r="L2" s="340"/>
      <c r="M2" s="340"/>
      <c r="N2" s="340"/>
      <c r="O2" s="340"/>
      <c r="P2" s="340"/>
    </row>
    <row r="3" spans="1:19" s="2" customFormat="1" ht="19.95" customHeight="1">
      <c r="A3" s="2" t="str">
        <f>底稿目录!A2</f>
        <v>被审计单位：</v>
      </c>
      <c r="B3" s="6"/>
      <c r="C3" s="6"/>
      <c r="D3" s="6" t="str">
        <f>底稿目录!A4</f>
        <v>编制人：</v>
      </c>
      <c r="G3" s="7" t="str">
        <f>底稿目录!A5</f>
        <v>编制日期：</v>
      </c>
      <c r="H3" s="8"/>
      <c r="I3" s="8"/>
      <c r="O3" s="2" t="s">
        <v>27</v>
      </c>
      <c r="P3" s="293" t="str">
        <f>底稿目录!F19</f>
        <v>L5-7</v>
      </c>
    </row>
    <row r="4" spans="1:19" s="2" customFormat="1" ht="19.95" customHeight="1">
      <c r="A4" s="2" t="str">
        <f>底稿目录!A3</f>
        <v>截止日：202X年12月31日</v>
      </c>
      <c r="B4" s="6"/>
      <c r="C4" s="6"/>
      <c r="D4" s="6" t="str">
        <f>底稿目录!A6</f>
        <v>复核人：</v>
      </c>
      <c r="G4" s="7" t="str">
        <f>底稿目录!A7</f>
        <v>复核日期：</v>
      </c>
      <c r="H4" s="8"/>
      <c r="I4" s="8"/>
      <c r="O4" s="2" t="s">
        <v>92</v>
      </c>
    </row>
    <row r="5" spans="1:19" s="3" customFormat="1" ht="19.95" customHeight="1">
      <c r="A5" s="9" t="s">
        <v>224</v>
      </c>
      <c r="B5" s="9"/>
      <c r="C5" s="359"/>
      <c r="D5" s="359"/>
      <c r="E5" s="359"/>
      <c r="F5" s="359"/>
      <c r="G5" s="359"/>
      <c r="H5" s="359"/>
      <c r="I5" s="359"/>
      <c r="J5" s="359"/>
      <c r="K5" s="359"/>
      <c r="L5" s="359"/>
      <c r="M5" s="359"/>
      <c r="N5" s="359"/>
    </row>
    <row r="6" spans="1:19" s="3" customFormat="1" ht="19.95" customHeight="1">
      <c r="A6" s="11" t="s">
        <v>249</v>
      </c>
      <c r="B6" s="12"/>
      <c r="C6" s="10"/>
      <c r="D6" s="13"/>
      <c r="E6" s="13"/>
      <c r="F6" s="13"/>
      <c r="G6" s="13"/>
      <c r="H6" s="13"/>
      <c r="I6" s="13"/>
      <c r="J6" s="13"/>
      <c r="K6" s="13"/>
      <c r="L6" s="13"/>
      <c r="M6" s="13"/>
      <c r="N6" s="35"/>
      <c r="O6" s="35"/>
      <c r="P6" s="35"/>
      <c r="Q6" s="35"/>
      <c r="R6" s="35"/>
      <c r="S6" s="35"/>
    </row>
    <row r="7" spans="1:19" s="3" customFormat="1" ht="19.95" customHeight="1">
      <c r="A7" s="11" t="s">
        <v>250</v>
      </c>
      <c r="B7" s="12"/>
      <c r="C7" s="10"/>
      <c r="D7" s="13"/>
      <c r="E7" s="13"/>
      <c r="F7" s="13"/>
      <c r="G7" s="13"/>
      <c r="H7" s="13"/>
      <c r="I7" s="13"/>
      <c r="J7" s="13"/>
      <c r="K7" s="13"/>
      <c r="L7" s="13"/>
      <c r="M7" s="13"/>
      <c r="N7" s="35"/>
      <c r="O7" s="35"/>
      <c r="P7" s="35"/>
      <c r="Q7" s="35"/>
      <c r="R7" s="35"/>
      <c r="S7" s="35"/>
    </row>
    <row r="8" spans="1:19" s="3" customFormat="1" ht="19.95" customHeight="1">
      <c r="A8" s="14" t="s">
        <v>251</v>
      </c>
      <c r="B8" s="15"/>
      <c r="C8" s="16" t="s">
        <v>252</v>
      </c>
      <c r="D8" s="17"/>
      <c r="E8" s="18"/>
      <c r="F8" s="19"/>
      <c r="G8" s="19"/>
      <c r="H8" s="19"/>
      <c r="I8" s="19"/>
      <c r="J8" s="19"/>
      <c r="K8" s="19"/>
      <c r="L8" s="19"/>
      <c r="M8" s="19"/>
      <c r="N8" s="19"/>
    </row>
    <row r="9" spans="1:19" s="3" customFormat="1" ht="19.95" customHeight="1">
      <c r="A9" s="20" t="s">
        <v>253</v>
      </c>
      <c r="B9" s="21"/>
      <c r="C9" s="22"/>
      <c r="D9" s="23"/>
      <c r="E9" s="23"/>
      <c r="F9" s="23"/>
      <c r="G9" s="23"/>
      <c r="H9" s="23"/>
      <c r="I9" s="23"/>
      <c r="J9" s="23"/>
      <c r="K9" s="23"/>
      <c r="L9" s="23"/>
      <c r="M9" s="23"/>
      <c r="N9" s="23"/>
      <c r="O9" s="23"/>
      <c r="P9" s="23"/>
    </row>
    <row r="10" spans="1:19" s="2" customFormat="1" ht="19.95" customHeight="1">
      <c r="A10" s="360" t="s">
        <v>254</v>
      </c>
      <c r="B10" s="360"/>
      <c r="C10" s="360"/>
      <c r="D10" s="360"/>
      <c r="E10" s="360"/>
      <c r="F10" s="360"/>
      <c r="G10" s="360"/>
      <c r="H10" s="362" t="s">
        <v>255</v>
      </c>
      <c r="I10" s="361" t="s">
        <v>256</v>
      </c>
      <c r="J10" s="361"/>
      <c r="K10" s="361"/>
      <c r="L10" s="361"/>
      <c r="M10" s="361"/>
      <c r="N10" s="356" t="s">
        <v>4</v>
      </c>
      <c r="O10" s="356" t="s">
        <v>257</v>
      </c>
      <c r="P10" s="357" t="s">
        <v>258</v>
      </c>
    </row>
    <row r="11" spans="1:19" s="2" customFormat="1" ht="19.95" customHeight="1">
      <c r="A11" s="249" t="s">
        <v>259</v>
      </c>
      <c r="B11" s="249" t="s">
        <v>260</v>
      </c>
      <c r="C11" s="249" t="s">
        <v>261</v>
      </c>
      <c r="D11" s="249" t="s">
        <v>262</v>
      </c>
      <c r="E11" s="249" t="s">
        <v>263</v>
      </c>
      <c r="F11" s="24" t="s">
        <v>264</v>
      </c>
      <c r="G11" s="24" t="s">
        <v>265</v>
      </c>
      <c r="H11" s="363"/>
      <c r="I11" s="36">
        <v>1</v>
      </c>
      <c r="J11" s="36">
        <v>2</v>
      </c>
      <c r="K11" s="36">
        <v>3</v>
      </c>
      <c r="L11" s="36">
        <v>4</v>
      </c>
      <c r="M11" s="36">
        <v>5</v>
      </c>
      <c r="N11" s="356"/>
      <c r="O11" s="356"/>
      <c r="P11" s="358"/>
    </row>
    <row r="12" spans="1:19" s="2" customFormat="1" ht="19.95" customHeight="1">
      <c r="A12" s="25"/>
      <c r="B12" s="26"/>
      <c r="C12" s="27"/>
      <c r="D12" s="26"/>
      <c r="E12" s="26"/>
      <c r="F12" s="284"/>
      <c r="G12" s="37"/>
      <c r="H12" s="28"/>
      <c r="I12" s="28"/>
      <c r="J12" s="28"/>
      <c r="K12" s="37"/>
      <c r="L12" s="28"/>
      <c r="M12" s="28"/>
      <c r="N12" s="38"/>
      <c r="O12" s="292"/>
      <c r="P12" s="292"/>
    </row>
    <row r="13" spans="1:19" s="2" customFormat="1" ht="19.95" customHeight="1">
      <c r="A13" s="25"/>
      <c r="B13" s="26"/>
      <c r="C13" s="27"/>
      <c r="D13" s="26"/>
      <c r="E13" s="26"/>
      <c r="F13" s="284"/>
      <c r="G13" s="37"/>
      <c r="H13" s="28"/>
      <c r="I13" s="28"/>
      <c r="J13" s="28"/>
      <c r="K13" s="37"/>
      <c r="L13" s="28"/>
      <c r="M13" s="28"/>
      <c r="N13" s="38"/>
      <c r="O13" s="292"/>
      <c r="P13" s="292"/>
    </row>
    <row r="14" spans="1:19" s="2" customFormat="1" ht="19.95" customHeight="1">
      <c r="A14" s="25"/>
      <c r="B14" s="26"/>
      <c r="C14" s="27"/>
      <c r="D14" s="26"/>
      <c r="E14" s="26"/>
      <c r="F14" s="284"/>
      <c r="G14" s="37"/>
      <c r="H14" s="28"/>
      <c r="I14" s="28"/>
      <c r="J14" s="28"/>
      <c r="K14" s="37"/>
      <c r="L14" s="28"/>
      <c r="M14" s="28"/>
      <c r="N14" s="38"/>
      <c r="O14" s="292"/>
      <c r="P14" s="292"/>
    </row>
    <row r="15" spans="1:19" s="2" customFormat="1" ht="19.95" customHeight="1">
      <c r="A15" s="25"/>
      <c r="B15" s="26"/>
      <c r="C15" s="27"/>
      <c r="D15" s="26"/>
      <c r="E15" s="26"/>
      <c r="F15" s="284"/>
      <c r="G15" s="37"/>
      <c r="H15" s="28"/>
      <c r="I15" s="28"/>
      <c r="J15" s="28"/>
      <c r="K15" s="37"/>
      <c r="L15" s="28"/>
      <c r="M15" s="28"/>
      <c r="N15" s="38"/>
      <c r="O15" s="292"/>
      <c r="P15" s="292"/>
    </row>
    <row r="16" spans="1:19" s="2" customFormat="1" ht="19.95" customHeight="1">
      <c r="A16" s="25"/>
      <c r="B16" s="26"/>
      <c r="C16" s="27"/>
      <c r="D16" s="26"/>
      <c r="E16" s="26"/>
      <c r="F16" s="284"/>
      <c r="G16" s="37"/>
      <c r="H16" s="28"/>
      <c r="I16" s="28"/>
      <c r="J16" s="28"/>
      <c r="K16" s="37"/>
      <c r="L16" s="28"/>
      <c r="M16" s="28"/>
      <c r="N16" s="38"/>
      <c r="O16" s="292"/>
      <c r="P16" s="292"/>
    </row>
    <row r="17" spans="1:16" s="2" customFormat="1" ht="19.95" customHeight="1">
      <c r="A17" s="25"/>
      <c r="B17" s="26"/>
      <c r="C17" s="27"/>
      <c r="D17" s="26"/>
      <c r="E17" s="26"/>
      <c r="F17" s="284"/>
      <c r="G17" s="37"/>
      <c r="H17" s="28"/>
      <c r="I17" s="28"/>
      <c r="J17" s="28"/>
      <c r="K17" s="37"/>
      <c r="L17" s="28"/>
      <c r="M17" s="28"/>
      <c r="N17" s="38"/>
      <c r="O17" s="292"/>
      <c r="P17" s="292"/>
    </row>
    <row r="18" spans="1:16" s="2" customFormat="1" ht="19.95" customHeight="1">
      <c r="A18" s="25"/>
      <c r="B18" s="26"/>
      <c r="C18" s="27"/>
      <c r="D18" s="26"/>
      <c r="E18" s="26"/>
      <c r="F18" s="284"/>
      <c r="G18" s="37"/>
      <c r="H18" s="28"/>
      <c r="I18" s="28"/>
      <c r="J18" s="28"/>
      <c r="K18" s="37"/>
      <c r="L18" s="28"/>
      <c r="M18" s="28"/>
      <c r="N18" s="38"/>
      <c r="O18" s="292"/>
      <c r="P18" s="292"/>
    </row>
    <row r="19" spans="1:16" s="2" customFormat="1" ht="19.95" customHeight="1">
      <c r="A19" s="25"/>
      <c r="B19" s="26"/>
      <c r="C19" s="27"/>
      <c r="D19" s="26"/>
      <c r="E19" s="26"/>
      <c r="F19" s="284"/>
      <c r="G19" s="37"/>
      <c r="H19" s="28"/>
      <c r="I19" s="28"/>
      <c r="J19" s="28"/>
      <c r="K19" s="37"/>
      <c r="L19" s="28"/>
      <c r="M19" s="28"/>
      <c r="N19" s="38"/>
      <c r="O19" s="292"/>
      <c r="P19" s="292"/>
    </row>
    <row r="20" spans="1:16" s="2" customFormat="1" ht="19.95" customHeight="1">
      <c r="A20" s="25"/>
      <c r="B20" s="26"/>
      <c r="C20" s="27"/>
      <c r="D20" s="26"/>
      <c r="E20" s="26"/>
      <c r="F20" s="284"/>
      <c r="G20" s="37"/>
      <c r="H20" s="28"/>
      <c r="I20" s="28"/>
      <c r="J20" s="28"/>
      <c r="K20" s="37"/>
      <c r="L20" s="28"/>
      <c r="M20" s="28"/>
      <c r="N20" s="38"/>
      <c r="O20" s="292"/>
      <c r="P20" s="292"/>
    </row>
    <row r="21" spans="1:16" s="285" customFormat="1" ht="19.95" customHeight="1">
      <c r="A21" s="355" t="s">
        <v>304</v>
      </c>
      <c r="B21" s="355"/>
      <c r="C21" s="355"/>
      <c r="D21" s="278"/>
      <c r="E21" s="278"/>
      <c r="F21" s="279">
        <f>SUM(F12:F20)</f>
        <v>0</v>
      </c>
      <c r="G21" s="279">
        <f>SUM(G12:G20)</f>
        <v>0</v>
      </c>
      <c r="H21" s="280"/>
      <c r="I21" s="281"/>
      <c r="J21" s="281"/>
      <c r="K21" s="281"/>
      <c r="L21" s="281"/>
      <c r="M21" s="281"/>
      <c r="N21" s="282"/>
      <c r="O21" s="283"/>
      <c r="P21" s="283"/>
    </row>
    <row r="22" spans="1:16" s="285" customFormat="1" ht="19.95" customHeight="1">
      <c r="A22" s="355" t="s">
        <v>305</v>
      </c>
      <c r="B22" s="355"/>
      <c r="C22" s="355"/>
      <c r="D22" s="278"/>
      <c r="E22" s="278"/>
      <c r="F22" s="279">
        <f>'明细表L5-2'!M25</f>
        <v>0</v>
      </c>
      <c r="G22" s="279">
        <f>'明细表L5-2'!N25</f>
        <v>0</v>
      </c>
      <c r="H22" s="280"/>
      <c r="I22" s="281"/>
      <c r="J22" s="281"/>
      <c r="K22" s="281"/>
      <c r="L22" s="281"/>
      <c r="M22" s="281"/>
      <c r="N22" s="282"/>
      <c r="O22" s="283"/>
      <c r="P22" s="283"/>
    </row>
    <row r="23" spans="1:16" s="291" customFormat="1" ht="19.95" customHeight="1">
      <c r="A23" s="355" t="s">
        <v>306</v>
      </c>
      <c r="B23" s="355"/>
      <c r="C23" s="355"/>
      <c r="D23" s="286"/>
      <c r="E23" s="286"/>
      <c r="F23" s="287" t="e">
        <f>F21/F22</f>
        <v>#DIV/0!</v>
      </c>
      <c r="G23" s="287" t="e">
        <f>G21/G22</f>
        <v>#DIV/0!</v>
      </c>
      <c r="H23" s="288"/>
      <c r="I23" s="288"/>
      <c r="J23" s="288"/>
      <c r="K23" s="288"/>
      <c r="L23" s="288"/>
      <c r="M23" s="288"/>
      <c r="N23" s="289"/>
      <c r="O23" s="290"/>
      <c r="P23" s="290"/>
    </row>
    <row r="24" spans="1:16" s="2" customFormat="1" ht="19.95" customHeight="1">
      <c r="A24" s="14" t="s">
        <v>221</v>
      </c>
      <c r="B24" s="4"/>
      <c r="C24" s="4"/>
      <c r="D24" s="4"/>
      <c r="E24" s="4"/>
      <c r="F24" s="4"/>
      <c r="G24" s="31"/>
      <c r="H24" s="30"/>
      <c r="I24" s="30"/>
      <c r="J24" s="30"/>
      <c r="K24" s="30"/>
      <c r="L24" s="30"/>
      <c r="M24" s="30"/>
      <c r="N24" s="29"/>
      <c r="O24" s="4"/>
    </row>
    <row r="25" spans="1:16" s="2" customFormat="1" ht="19.95" customHeight="1">
      <c r="G25" s="32"/>
      <c r="H25" s="6"/>
      <c r="I25" s="6"/>
      <c r="J25" s="6"/>
      <c r="K25" s="6"/>
      <c r="L25" s="6"/>
      <c r="M25" s="6"/>
      <c r="N25" s="6"/>
    </row>
    <row r="26" spans="1:16" s="2" customFormat="1" ht="19.95" customHeight="1">
      <c r="A26" s="33" t="s">
        <v>222</v>
      </c>
      <c r="G26" s="6"/>
      <c r="H26" s="6"/>
      <c r="I26" s="6"/>
      <c r="J26" s="6"/>
      <c r="K26" s="6"/>
      <c r="L26" s="6"/>
      <c r="M26" s="6"/>
      <c r="N26" s="6"/>
    </row>
    <row r="27" spans="1:16" s="2" customFormat="1" ht="19.95" customHeight="1">
      <c r="G27" s="6"/>
      <c r="H27" s="6"/>
      <c r="I27" s="6"/>
      <c r="J27" s="6"/>
      <c r="K27" s="6"/>
      <c r="L27" s="6"/>
      <c r="M27" s="6"/>
      <c r="N27" s="6"/>
    </row>
  </sheetData>
  <mergeCells count="12">
    <mergeCell ref="A1:P1"/>
    <mergeCell ref="A2:P2"/>
    <mergeCell ref="C5:N5"/>
    <mergeCell ref="A10:G10"/>
    <mergeCell ref="I10:M10"/>
    <mergeCell ref="H10:H11"/>
    <mergeCell ref="N10:N11"/>
    <mergeCell ref="A21:C21"/>
    <mergeCell ref="A22:C22"/>
    <mergeCell ref="A23:C23"/>
    <mergeCell ref="O10:O11"/>
    <mergeCell ref="P10:P11"/>
  </mergeCells>
  <phoneticPr fontId="126" type="noConversion"/>
  <dataValidations count="1">
    <dataValidation type="list" allowBlank="1" showInputMessage="1" showErrorMessage="1" sqref="I21:M22">
      <formula1>"√,X"</formula1>
    </dataValidation>
  </dataValidations>
  <hyperlinks>
    <hyperlink ref="P3" location="底稿目录!A1" display="=底稿目录!F12"/>
  </hyperlinks>
  <printOptions horizontalCentered="1"/>
  <pageMargins left="0.70866141732283505" right="0.70866141732283505" top="0.74803149606299202" bottom="0.74803149606299202" header="0.31496062992126" footer="0.31496062992126"/>
  <pageSetup paperSize="9" scale="75" fitToWidth="0" fitToHeight="0" orientation="landscape"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8"/>
  <sheetViews>
    <sheetView workbookViewId="0"/>
  </sheetViews>
  <sheetFormatPr defaultColWidth="8.796875" defaultRowHeight="15.6"/>
  <sheetData>
    <row r="1" spans="1:2">
      <c r="A1" t="s">
        <v>267</v>
      </c>
      <c r="B1" t="s">
        <v>268</v>
      </c>
    </row>
    <row r="2" spans="1:2">
      <c r="A2" t="s">
        <v>269</v>
      </c>
      <c r="B2" t="s">
        <v>270</v>
      </c>
    </row>
    <row r="3" spans="1:2">
      <c r="A3" t="s">
        <v>271</v>
      </c>
      <c r="B3" t="s">
        <v>272</v>
      </c>
    </row>
    <row r="4" spans="1:2">
      <c r="A4" t="s">
        <v>273</v>
      </c>
      <c r="B4" t="s">
        <v>274</v>
      </c>
    </row>
    <row r="5" spans="1:2">
      <c r="A5" t="s">
        <v>275</v>
      </c>
      <c r="B5" t="s">
        <v>276</v>
      </c>
    </row>
    <row r="6" spans="1:2">
      <c r="A6" t="s">
        <v>277</v>
      </c>
      <c r="B6" t="s">
        <v>278</v>
      </c>
    </row>
    <row r="7" spans="1:2">
      <c r="A7" t="s">
        <v>279</v>
      </c>
      <c r="B7" t="s">
        <v>280</v>
      </c>
    </row>
    <row r="8" spans="1:2">
      <c r="A8" t="s">
        <v>281</v>
      </c>
      <c r="B8" t="s">
        <v>282</v>
      </c>
    </row>
  </sheetData>
  <phoneticPr fontId="12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13</vt:i4>
      </vt:variant>
    </vt:vector>
  </HeadingPairs>
  <TitlesOfParts>
    <vt:vector size="25" baseType="lpstr">
      <vt:lpstr>底稿目录</vt:lpstr>
      <vt:lpstr>长期应付款实质性程序表L5A</vt:lpstr>
      <vt:lpstr>审定表L5-1</vt:lpstr>
      <vt:lpstr>附注披露信息（上市公司）</vt:lpstr>
      <vt:lpstr>附注披露信息（国企）</vt:lpstr>
      <vt:lpstr>明细表L5-2</vt:lpstr>
      <vt:lpstr>未确认融资费用明细表L5-3</vt:lpstr>
      <vt:lpstr>调整分录汇总L5-4</vt:lpstr>
      <vt:lpstr>未确认融资费用测算表L5-5</vt:lpstr>
      <vt:lpstr>关联方及交易检查表L5-6</vt:lpstr>
      <vt:lpstr>长期应付款检查表L5-7</vt:lpstr>
      <vt:lpstr>GT_Custom</vt:lpstr>
      <vt:lpstr>'调整分录汇总L5-4'!Print_Area</vt:lpstr>
      <vt:lpstr>'附注披露信息（国企）'!Print_Area</vt:lpstr>
      <vt:lpstr>'附注披露信息（上市公司）'!Print_Area</vt:lpstr>
      <vt:lpstr>'关联方及交易检查表L5-6'!Print_Area</vt:lpstr>
      <vt:lpstr>'明细表L5-2'!Print_Area</vt:lpstr>
      <vt:lpstr>'审定表L5-1'!Print_Area</vt:lpstr>
      <vt:lpstr>'未确认融资费用测算表L5-5'!Print_Area</vt:lpstr>
      <vt:lpstr>'未确认融资费用明细表L5-3'!Print_Area</vt:lpstr>
      <vt:lpstr>'长期应付款检查表L5-7'!Print_Area</vt:lpstr>
      <vt:lpstr>长期应付款实质性程序表L5A!Print_Area</vt:lpstr>
      <vt:lpstr>'明细表L5-2'!Print_Titles</vt:lpstr>
      <vt:lpstr>'未确认融资费用明细表L5-3'!Print_Titles</vt:lpstr>
      <vt:lpstr>长期应付款实质性程序表L5A!Print_Titles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2025-10-24T03:20:25Z</cp:lastPrinted>
  <dcterms:created xsi:type="dcterms:W3CDTF">2007-05-20T08:51:00Z</dcterms:created>
  <dcterms:modified xsi:type="dcterms:W3CDTF">2025-11-05T08:07:56Z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EB8428FB486E4D75A741718C6CC9EE0C_12</vt:lpwstr>
  </property>
  <property fmtid="{D5CDD505-2E9C-101B-9397-08002B2CF9AE}" pid="3" name="KSOProductBuildVer">
    <vt:lpwstr>2052-12.1.0.22529</vt:lpwstr>
  </property>
</Properties>
</file>