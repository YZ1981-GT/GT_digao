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致同通用审计程序及底稿模板\1.致同审计程序及底稿模板（2025年）\4.风险应对-实质性程序（D-N）\L 债务循环\"/>
    </mc:Choice>
  </mc:AlternateContent>
  <bookViews>
    <workbookView xWindow="-108" yWindow="-108" windowWidth="19416" windowHeight="10416" tabRatio="805" activeTab="5"/>
  </bookViews>
  <sheets>
    <sheet name="底稿目录" sheetId="22" r:id="rId1"/>
    <sheet name=" 短期借款实质性程序表L1A" sheetId="42" r:id="rId2"/>
    <sheet name="审定表L1-1" sheetId="18" r:id="rId3"/>
    <sheet name="附注披露信息核对（上市公司）" sheetId="20" r:id="rId4"/>
    <sheet name="附注披露信息核对（国企）" sheetId="35" r:id="rId5"/>
    <sheet name="明细表L1-2" sheetId="13" r:id="rId6"/>
    <sheet name="调整分录汇总L1-3" sheetId="37" r:id="rId7"/>
    <sheet name="征信报告核对表L1-4" sheetId="41" r:id="rId8"/>
    <sheet name="利息测算表L1-5" sheetId="6" r:id="rId9"/>
    <sheet name="贷款合同检查L1-6" sheetId="45" r:id="rId10"/>
    <sheet name="逾期贷款检查表L1-7" sheetId="30" r:id="rId11"/>
    <sheet name="抵质押资产检查表L1-8" sheetId="34" r:id="rId12"/>
    <sheet name="短期借款检查表L1-9" sheetId="19" r:id="rId13"/>
  </sheets>
  <definedNames>
    <definedName name="_xlnm._FilterDatabase" localSheetId="1">' 短期借款实质性程序表L1A'!$A$16:$I$16</definedName>
    <definedName name="_xlnm._FilterDatabase" localSheetId="9">'贷款合同检查L1-6'!$A$11:$AA$11</definedName>
    <definedName name="_xlnm.Print_Area" localSheetId="1">' 短期借款实质性程序表L1A'!$A$1:$I$26</definedName>
    <definedName name="_xlnm.Print_Area" localSheetId="9">'贷款合同检查L1-6'!$A$1:$Z$23</definedName>
    <definedName name="_xlnm.Print_Area" localSheetId="11">'抵质押资产检查表L1-8'!$A$1:$M$20</definedName>
    <definedName name="_xlnm.Print_Area" localSheetId="6">'调整分录汇总L1-3'!$A$1:$J$22</definedName>
    <definedName name="_xlnm.Print_Area" localSheetId="12">'短期借款检查表L1-9'!$A$1:$P$32</definedName>
    <definedName name="_xlnm.Print_Area" localSheetId="4">'附注披露信息核对（国企）'!$A$1:$D$24</definedName>
    <definedName name="_xlnm.Print_Area" localSheetId="3">'附注披露信息核对（上市公司）'!$A$1:$E$24</definedName>
    <definedName name="_xlnm.Print_Area" localSheetId="8">'利息测算表L1-5'!$A$1:$T$30</definedName>
    <definedName name="_xlnm.Print_Area" localSheetId="5">'明细表L1-2'!$A$1:$AB$33</definedName>
    <definedName name="_xlnm.Print_Area" localSheetId="2">'审定表L1-1'!$A$1:$N$22</definedName>
    <definedName name="_xlnm.Print_Area" localSheetId="10">'逾期贷款检查表L1-7'!$A$1:$Q$20</definedName>
    <definedName name="_xlnm.Print_Area" localSheetId="7">'征信报告核对表L1-4'!$A$1:$T$27</definedName>
    <definedName name="_xlnm.Print_Titles" localSheetId="1">' 短期借款实质性程序表L1A'!$15:$16</definedName>
    <definedName name="_xlnm.Print_Titles" localSheetId="9">'贷款合同检查L1-6'!$A:$A,'贷款合同检查L1-6'!$11:$11</definedName>
    <definedName name="_xlnm.Print_Titles" localSheetId="8">'利息测算表L1-5'!$A:$C,'利息测算表L1-5'!$9:$10</definedName>
    <definedName name="_xlnm.Print_Titles" localSheetId="5">'明细表L1-2'!$A:$C,'明细表L1-2'!$8:$9</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6" i="13" l="1"/>
  <c r="S26" i="13"/>
  <c r="T26" i="13"/>
  <c r="U26" i="13"/>
  <c r="U11" i="13"/>
  <c r="U12" i="13"/>
  <c r="U13" i="13"/>
  <c r="U14" i="13"/>
  <c r="U15" i="13"/>
  <c r="U16" i="13"/>
  <c r="U17" i="13"/>
  <c r="U18" i="13"/>
  <c r="U19" i="13"/>
  <c r="U20" i="13"/>
  <c r="U21" i="13"/>
  <c r="U22" i="13"/>
  <c r="U23" i="13"/>
  <c r="U24" i="13"/>
  <c r="U25" i="13"/>
  <c r="U10" i="13"/>
  <c r="R10" i="13"/>
  <c r="H11" i="6" l="1"/>
  <c r="L11" i="6" s="1"/>
  <c r="K25" i="6" l="1"/>
  <c r="G24" i="19" l="1"/>
  <c r="F24" i="19"/>
  <c r="AB3" i="13" l="1"/>
  <c r="R11" i="13" l="1"/>
  <c r="R12" i="13"/>
  <c r="R13" i="13"/>
  <c r="R14" i="13"/>
  <c r="R15" i="13"/>
  <c r="R16" i="13"/>
  <c r="R17" i="13"/>
  <c r="R18" i="13"/>
  <c r="R19" i="13"/>
  <c r="R20" i="13"/>
  <c r="R21" i="13"/>
  <c r="R22" i="13"/>
  <c r="R23" i="13"/>
  <c r="R24" i="13"/>
  <c r="R25" i="13"/>
  <c r="M26" i="13"/>
  <c r="N26" i="13"/>
  <c r="O26" i="13"/>
  <c r="P26" i="13"/>
  <c r="Q26" i="13"/>
  <c r="G8" i="18"/>
  <c r="H8" i="18"/>
  <c r="G9" i="18"/>
  <c r="H9" i="18"/>
  <c r="G10" i="18"/>
  <c r="H10" i="18"/>
  <c r="H7" i="18"/>
  <c r="G7" i="18"/>
  <c r="D7" i="18"/>
  <c r="D8" i="18"/>
  <c r="D9" i="18"/>
  <c r="D10" i="18"/>
  <c r="C8" i="18"/>
  <c r="C9" i="18"/>
  <c r="C10" i="18"/>
  <c r="C7" i="18"/>
  <c r="B8" i="18"/>
  <c r="B9" i="18"/>
  <c r="B10" i="18"/>
  <c r="B7" i="18"/>
  <c r="S11" i="13"/>
  <c r="T11" i="13"/>
  <c r="S12" i="13"/>
  <c r="T12" i="13"/>
  <c r="S13" i="13"/>
  <c r="T13" i="13"/>
  <c r="S14" i="13"/>
  <c r="T14" i="13"/>
  <c r="S15" i="13"/>
  <c r="T15" i="13"/>
  <c r="S16" i="13"/>
  <c r="T16" i="13"/>
  <c r="S17" i="13"/>
  <c r="T17" i="13"/>
  <c r="S18" i="13"/>
  <c r="T18" i="13"/>
  <c r="S19" i="13"/>
  <c r="T19" i="13"/>
  <c r="S20" i="13"/>
  <c r="T20" i="13"/>
  <c r="S21" i="13"/>
  <c r="T21" i="13"/>
  <c r="S22" i="13"/>
  <c r="T22" i="13"/>
  <c r="S23" i="13"/>
  <c r="T23" i="13"/>
  <c r="S24" i="13"/>
  <c r="T24" i="13"/>
  <c r="S25" i="13"/>
  <c r="T25" i="13"/>
  <c r="T10" i="13"/>
  <c r="S10" i="13"/>
  <c r="D11" i="18" l="1"/>
  <c r="H11" i="18"/>
  <c r="E10" i="18"/>
  <c r="E9" i="18"/>
  <c r="E8" i="18"/>
  <c r="E7" i="18"/>
  <c r="E11" i="18" l="1"/>
  <c r="J12" i="30" l="1"/>
  <c r="J13" i="30"/>
  <c r="J14" i="30"/>
  <c r="J11" i="30"/>
  <c r="N3" i="18" l="1"/>
  <c r="J3" i="37"/>
  <c r="G4" i="45" l="1"/>
  <c r="W4" i="45" s="1"/>
  <c r="D4" i="45"/>
  <c r="R4" i="45" s="1"/>
  <c r="B4" i="45"/>
  <c r="N4" i="45" s="1"/>
  <c r="M3" i="45"/>
  <c r="Z3" i="45" s="1"/>
  <c r="G3" i="45"/>
  <c r="W3" i="45" s="1"/>
  <c r="D3" i="45"/>
  <c r="R3" i="45" s="1"/>
  <c r="B3" i="45"/>
  <c r="N3" i="45" s="1"/>
  <c r="O3" i="13" l="1"/>
  <c r="E11" i="22"/>
  <c r="T3" i="6"/>
  <c r="T3" i="41"/>
  <c r="E10" i="22"/>
  <c r="M3" i="34"/>
  <c r="E14" i="22"/>
  <c r="E13" i="22"/>
  <c r="Q3" i="30"/>
  <c r="P3" i="19"/>
  <c r="E21" i="22"/>
  <c r="E15" i="30" l="1"/>
  <c r="M14" i="30" l="1"/>
  <c r="C20" i="35"/>
  <c r="A22" i="20"/>
  <c r="D22" i="20"/>
  <c r="E22" i="20"/>
  <c r="A20" i="35"/>
  <c r="B20" i="35"/>
  <c r="C22" i="20"/>
  <c r="B22" i="20"/>
  <c r="M13" i="30"/>
  <c r="A21" i="20"/>
  <c r="A19" i="35"/>
  <c r="B19" i="35"/>
  <c r="C21" i="20"/>
  <c r="D21" i="20"/>
  <c r="C19" i="35"/>
  <c r="B21" i="20"/>
  <c r="E21" i="20"/>
  <c r="M11" i="30"/>
  <c r="C17" i="35"/>
  <c r="B17" i="35"/>
  <c r="A17" i="35"/>
  <c r="A19" i="20"/>
  <c r="D19" i="20"/>
  <c r="E19" i="20"/>
  <c r="B19" i="20"/>
  <c r="C19" i="20"/>
  <c r="M12" i="30"/>
  <c r="A18" i="35"/>
  <c r="B18" i="35"/>
  <c r="C18" i="35"/>
  <c r="B20" i="20"/>
  <c r="C20" i="20"/>
  <c r="D20" i="20"/>
  <c r="E20" i="20"/>
  <c r="A20" i="20"/>
  <c r="K14" i="30"/>
  <c r="L14" i="30" s="1"/>
  <c r="K13" i="30"/>
  <c r="L13" i="30" s="1"/>
  <c r="K12" i="30"/>
  <c r="L12" i="30" s="1"/>
  <c r="K11" i="30"/>
  <c r="L11" i="30" s="1"/>
  <c r="P12" i="41"/>
  <c r="R12" i="41" s="1"/>
  <c r="P13" i="41"/>
  <c r="R13" i="41" s="1"/>
  <c r="P14" i="41"/>
  <c r="R14" i="41" s="1"/>
  <c r="P15" i="41"/>
  <c r="R15" i="41" s="1"/>
  <c r="P16" i="41"/>
  <c r="R16" i="41" s="1"/>
  <c r="P11" i="41"/>
  <c r="R11" i="41" s="1"/>
  <c r="M15" i="30" l="1"/>
  <c r="L15" i="30"/>
  <c r="E4" i="42" l="1"/>
  <c r="C4" i="42"/>
  <c r="A4" i="42"/>
  <c r="E3" i="42"/>
  <c r="C3" i="42"/>
  <c r="A3" i="42"/>
  <c r="N4" i="41" l="1"/>
  <c r="G4" i="41"/>
  <c r="A4" i="41"/>
  <c r="N3" i="41"/>
  <c r="G3" i="41"/>
  <c r="A3" i="41"/>
  <c r="L12" i="6" l="1"/>
  <c r="L13" i="6"/>
  <c r="L14" i="6"/>
  <c r="L15" i="6"/>
  <c r="L16" i="6"/>
  <c r="L17" i="6"/>
  <c r="L18" i="6"/>
  <c r="L19" i="6"/>
  <c r="L20" i="6"/>
  <c r="G11" i="6"/>
  <c r="K14" i="13"/>
  <c r="K15" i="13"/>
  <c r="K16" i="13"/>
  <c r="K17" i="13"/>
  <c r="K18" i="13"/>
  <c r="F9" i="18" s="1"/>
  <c r="I9" i="18" s="1"/>
  <c r="K19" i="13"/>
  <c r="K20" i="13"/>
  <c r="K21" i="13"/>
  <c r="K22" i="13"/>
  <c r="F8" i="18" l="1"/>
  <c r="I8" i="18" s="1"/>
  <c r="K4" i="13" l="1"/>
  <c r="V4" i="13" s="1"/>
  <c r="K3" i="13"/>
  <c r="V3" i="13" s="1"/>
  <c r="B23" i="20" l="1"/>
  <c r="B21" i="35"/>
  <c r="I26" i="13"/>
  <c r="J26" i="13"/>
  <c r="L26" i="13"/>
  <c r="H26" i="13"/>
  <c r="K24" i="6" l="1"/>
  <c r="S12" i="6"/>
  <c r="S13" i="6"/>
  <c r="S14" i="6"/>
  <c r="S15" i="6"/>
  <c r="S16" i="6"/>
  <c r="S17" i="6"/>
  <c r="S18" i="6"/>
  <c r="S19" i="6"/>
  <c r="S20" i="6"/>
  <c r="S11" i="6"/>
  <c r="Q12" i="6"/>
  <c r="Q13" i="6"/>
  <c r="Q14" i="6"/>
  <c r="Q15" i="6"/>
  <c r="Q16" i="6"/>
  <c r="Q17" i="6"/>
  <c r="Q18" i="6"/>
  <c r="Q19" i="6"/>
  <c r="Q20" i="6"/>
  <c r="Q11" i="6"/>
  <c r="M11" i="6"/>
  <c r="O11" i="6" l="1"/>
  <c r="C10" i="20"/>
  <c r="C10" i="35"/>
  <c r="C9" i="20"/>
  <c r="C9" i="35"/>
  <c r="C11" i="20"/>
  <c r="C11" i="35"/>
  <c r="C8" i="20"/>
  <c r="C12" i="35"/>
  <c r="F25" i="19"/>
  <c r="F26" i="19" s="1"/>
  <c r="G25" i="19"/>
  <c r="G26" i="19" s="1"/>
  <c r="J4" i="19"/>
  <c r="J4" i="34"/>
  <c r="J4" i="30"/>
  <c r="N4" i="6"/>
  <c r="C4" i="35"/>
  <c r="C4" i="20"/>
  <c r="I4" i="18"/>
  <c r="D4" i="19"/>
  <c r="F4" i="34"/>
  <c r="G4" i="30"/>
  <c r="J4" i="6"/>
  <c r="D4" i="13"/>
  <c r="Q4" i="13" s="1"/>
  <c r="B4" i="35"/>
  <c r="B4" i="20"/>
  <c r="E4" i="18"/>
  <c r="A3" i="18" l="1"/>
  <c r="E3" i="18"/>
  <c r="I3" i="18"/>
  <c r="A4" i="18"/>
  <c r="K23" i="13" l="1"/>
  <c r="K24" i="13"/>
  <c r="A4" i="35" l="1"/>
  <c r="C3" i="35"/>
  <c r="B3" i="35"/>
  <c r="A3" i="35"/>
  <c r="K21" i="6" l="1"/>
  <c r="J21" i="6"/>
  <c r="S21" i="6" s="1"/>
  <c r="P21" i="6"/>
  <c r="D3" i="13"/>
  <c r="Q3" i="13" s="1"/>
  <c r="A4" i="13"/>
  <c r="A3" i="13"/>
  <c r="C3" i="20"/>
  <c r="B3" i="20"/>
  <c r="A4" i="20"/>
  <c r="A3" i="20"/>
  <c r="A4" i="34"/>
  <c r="J3" i="34"/>
  <c r="F3" i="34"/>
  <c r="A3" i="34"/>
  <c r="J9" i="34"/>
  <c r="J15" i="34"/>
  <c r="J14" i="34"/>
  <c r="J13" i="34"/>
  <c r="J12" i="34"/>
  <c r="J11" i="34"/>
  <c r="J10" i="34"/>
  <c r="A4" i="19"/>
  <c r="J3" i="19"/>
  <c r="D3" i="19"/>
  <c r="A3" i="19"/>
  <c r="A4" i="30"/>
  <c r="J3" i="30"/>
  <c r="G3" i="30"/>
  <c r="A3" i="30"/>
  <c r="N11" i="6" l="1"/>
  <c r="N3" i="6"/>
  <c r="J3" i="6"/>
  <c r="A4" i="6"/>
  <c r="A3" i="6"/>
  <c r="K10" i="13" l="1"/>
  <c r="K25" i="13" l="1"/>
  <c r="F10" i="18" s="1"/>
  <c r="I10" i="18" s="1"/>
  <c r="K13" i="13"/>
  <c r="K11" i="13"/>
  <c r="K12" i="13"/>
  <c r="F7" i="18" l="1"/>
  <c r="I7" i="18" s="1"/>
  <c r="I11" i="18" s="1"/>
  <c r="K26" i="13"/>
  <c r="B11" i="18"/>
  <c r="B12" i="35"/>
  <c r="B8" i="20" l="1"/>
  <c r="B9" i="35"/>
  <c r="B11" i="35"/>
  <c r="B11" i="20"/>
  <c r="B10" i="35"/>
  <c r="B10" i="20"/>
  <c r="B9" i="20"/>
  <c r="J10" i="18"/>
  <c r="K10" i="18" s="1"/>
  <c r="G11" i="18"/>
  <c r="F11" i="18"/>
  <c r="J7" i="18"/>
  <c r="J9" i="18"/>
  <c r="K9" i="18" s="1"/>
  <c r="L9" i="18"/>
  <c r="M9" i="18" s="1"/>
  <c r="C11" i="18"/>
  <c r="J8" i="18"/>
  <c r="K8" i="18" s="1"/>
  <c r="L8" i="18" l="1"/>
  <c r="M8" i="18" s="1"/>
  <c r="L10" i="18"/>
  <c r="M10" i="18" s="1"/>
  <c r="L7" i="18"/>
  <c r="M7" i="18" s="1"/>
  <c r="E16" i="30"/>
  <c r="J16" i="30" s="1"/>
  <c r="J11" i="18"/>
  <c r="K11" i="18" s="1"/>
  <c r="K7" i="18"/>
  <c r="L11" i="18" l="1"/>
  <c r="M11" i="18" s="1"/>
  <c r="C13" i="35"/>
  <c r="B13" i="35"/>
  <c r="B12" i="20"/>
  <c r="C12" i="20"/>
  <c r="M12" i="6" l="1"/>
  <c r="O12" i="6" s="1"/>
  <c r="M13" i="6"/>
  <c r="M14" i="6"/>
  <c r="M15" i="6"/>
  <c r="M16" i="6"/>
  <c r="M17" i="6"/>
  <c r="M18" i="6"/>
  <c r="M19" i="6"/>
  <c r="M20" i="6"/>
  <c r="N19" i="6" l="1"/>
  <c r="O19" i="6"/>
  <c r="N18" i="6"/>
  <c r="O18" i="6"/>
  <c r="N17" i="6"/>
  <c r="O17" i="6"/>
  <c r="N16" i="6"/>
  <c r="O16" i="6"/>
  <c r="N15" i="6"/>
  <c r="O15" i="6"/>
  <c r="N20" i="6"/>
  <c r="O20" i="6"/>
  <c r="N14" i="6"/>
  <c r="O14" i="6"/>
  <c r="N13" i="6"/>
  <c r="O13" i="6"/>
  <c r="N12" i="6"/>
  <c r="M21" i="6"/>
  <c r="N21" i="6" l="1"/>
  <c r="O21" i="6"/>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Liufs</author>
    <author>Administrator</author>
    <author>何先琴</author>
  </authors>
  <commentList>
    <comment ref="D10" authorId="0" shapeId="0">
      <text>
        <r>
          <rPr>
            <b/>
            <sz val="9"/>
            <color indexed="81"/>
            <rFont val="宋体"/>
            <family val="3"/>
            <charset val="134"/>
          </rPr>
          <t>Liufs:</t>
        </r>
        <r>
          <rPr>
            <sz val="9"/>
            <color indexed="81"/>
            <rFont val="宋体"/>
            <family val="3"/>
            <charset val="134"/>
          </rPr>
          <t xml:space="preserve">
开始计算利息的日期</t>
        </r>
      </text>
    </comment>
    <comment ref="F10" authorId="1" shapeId="0">
      <text>
        <r>
          <rPr>
            <sz val="9"/>
            <color indexed="81"/>
            <rFont val="宋体"/>
            <family val="3"/>
            <charset val="134"/>
          </rPr>
          <t xml:space="preserve">贷款最后一期利息已支付的日期
</t>
        </r>
      </text>
    </comment>
    <comment ref="H10" authorId="0" shapeId="0">
      <text>
        <r>
          <rPr>
            <b/>
            <sz val="9"/>
            <color indexed="81"/>
            <rFont val="宋体"/>
            <family val="3"/>
            <charset val="134"/>
          </rPr>
          <t>Liufs:</t>
        </r>
        <r>
          <rPr>
            <sz val="9"/>
            <color indexed="81"/>
            <rFont val="宋体"/>
            <family val="3"/>
            <charset val="134"/>
          </rPr>
          <t xml:space="preserve">
终止计算利息的日期</t>
        </r>
      </text>
    </comment>
    <comment ref="M10" authorId="2" shapeId="0">
      <text>
        <r>
          <rPr>
            <b/>
            <sz val="9"/>
            <color indexed="81"/>
            <rFont val="宋体"/>
            <family val="3"/>
            <charset val="134"/>
          </rPr>
          <t>专业技术部:</t>
        </r>
        <r>
          <rPr>
            <sz val="9"/>
            <color indexed="81"/>
            <rFont val="宋体"/>
            <family val="3"/>
            <charset val="134"/>
          </rPr>
          <t xml:space="preserve">
根据不同银行的利息计算方式，修改测算公式里面的天数365或360</t>
        </r>
      </text>
    </comment>
  </commentList>
</comments>
</file>

<file path=xl/sharedStrings.xml><?xml version="1.0" encoding="utf-8"?>
<sst xmlns="http://schemas.openxmlformats.org/spreadsheetml/2006/main" count="521" uniqueCount="402">
  <si>
    <t>短期借款明细表</t>
    <phoneticPr fontId="14" type="noConversion"/>
  </si>
  <si>
    <t xml:space="preserve">
</t>
    <phoneticPr fontId="14" type="noConversion"/>
  </si>
  <si>
    <t>年利率</t>
    <phoneticPr fontId="14" type="noConversion"/>
  </si>
  <si>
    <t>期初余额</t>
    <phoneticPr fontId="14" type="noConversion"/>
  </si>
  <si>
    <t>本期增加</t>
    <phoneticPr fontId="14" type="noConversion"/>
  </si>
  <si>
    <t>期末余额</t>
    <phoneticPr fontId="14" type="noConversion"/>
  </si>
  <si>
    <r>
      <t>1</t>
    </r>
    <r>
      <rPr>
        <sz val="10"/>
        <rFont val="宋体"/>
        <family val="3"/>
        <charset val="134"/>
      </rPr>
      <t>、如为外币借款，应在</t>
    </r>
    <r>
      <rPr>
        <sz val="10"/>
        <rFont val="Arial Narrow"/>
        <family val="2"/>
      </rPr>
      <t>“</t>
    </r>
    <r>
      <rPr>
        <sz val="10"/>
        <rFont val="宋体"/>
        <family val="3"/>
        <charset val="134"/>
      </rPr>
      <t>备注</t>
    </r>
    <r>
      <rPr>
        <sz val="10"/>
        <rFont val="Arial Narrow"/>
        <family val="2"/>
      </rPr>
      <t>”</t>
    </r>
    <r>
      <rPr>
        <sz val="10"/>
        <rFont val="宋体"/>
        <family val="3"/>
        <charset val="134"/>
      </rPr>
      <t>栏中说明原币金额及折合汇率。</t>
    </r>
    <phoneticPr fontId="14" type="noConversion"/>
  </si>
  <si>
    <r>
      <t>2</t>
    </r>
    <r>
      <rPr>
        <sz val="10"/>
        <rFont val="宋体"/>
        <family val="3"/>
        <charset val="134"/>
      </rPr>
      <t>、如存在逾期借款，应在</t>
    </r>
    <r>
      <rPr>
        <sz val="10"/>
        <rFont val="Arial Narrow"/>
        <family val="2"/>
      </rPr>
      <t>“</t>
    </r>
    <r>
      <rPr>
        <sz val="10"/>
        <rFont val="宋体"/>
        <family val="3"/>
        <charset val="134"/>
      </rPr>
      <t>备注</t>
    </r>
    <r>
      <rPr>
        <sz val="10"/>
        <rFont val="Arial Narrow"/>
        <family val="2"/>
      </rPr>
      <t>”</t>
    </r>
    <r>
      <rPr>
        <sz val="10"/>
        <rFont val="宋体"/>
        <family val="3"/>
        <charset val="134"/>
      </rPr>
      <t>栏中说明。</t>
    </r>
    <phoneticPr fontId="14" type="noConversion"/>
  </si>
  <si>
    <t>起始日期</t>
  </si>
  <si>
    <t>讫止日期</t>
  </si>
  <si>
    <t>借款合同（索引）</t>
    <phoneticPr fontId="14" type="noConversion"/>
  </si>
  <si>
    <t>——</t>
    <phoneticPr fontId="14" type="noConversion"/>
  </si>
  <si>
    <t>备注</t>
    <phoneticPr fontId="14" type="noConversion"/>
  </si>
  <si>
    <t>询证函（索引）</t>
    <phoneticPr fontId="14" type="noConversion"/>
  </si>
  <si>
    <t>--</t>
  </si>
  <si>
    <t>致同会计师事务所</t>
  </si>
  <si>
    <r>
      <rPr>
        <b/>
        <sz val="10"/>
        <color indexed="8"/>
        <rFont val="宋体"/>
        <family val="3"/>
        <charset val="134"/>
      </rPr>
      <t>一、审计目标</t>
    </r>
    <r>
      <rPr>
        <b/>
        <sz val="10"/>
        <color indexed="8"/>
        <rFont val="Arial Narrow"/>
        <family val="2"/>
      </rPr>
      <t>:</t>
    </r>
    <phoneticPr fontId="17" type="noConversion"/>
  </si>
  <si>
    <r>
      <rPr>
        <b/>
        <sz val="10"/>
        <rFont val="宋体"/>
        <family val="3"/>
        <charset val="134"/>
      </rPr>
      <t>二、审计过程：</t>
    </r>
    <phoneticPr fontId="14" type="noConversion"/>
  </si>
  <si>
    <t>期初调整</t>
    <phoneticPr fontId="39" type="noConversion"/>
  </si>
  <si>
    <t>账项调整</t>
    <phoneticPr fontId="39" type="noConversion"/>
  </si>
  <si>
    <t>账项调整</t>
    <phoneticPr fontId="14" type="noConversion"/>
  </si>
  <si>
    <t>未审数</t>
    <phoneticPr fontId="39" type="noConversion"/>
  </si>
  <si>
    <t>审定数</t>
    <phoneticPr fontId="39" type="noConversion"/>
  </si>
  <si>
    <t>内容</t>
  </si>
  <si>
    <t>2</t>
    <phoneticPr fontId="14" type="noConversion"/>
  </si>
  <si>
    <r>
      <rPr>
        <sz val="10"/>
        <rFont val="宋体"/>
        <family val="3"/>
        <charset val="134"/>
      </rPr>
      <t>页次：</t>
    </r>
    <r>
      <rPr>
        <sz val="10"/>
        <rFont val="Arial Narrow"/>
        <family val="2"/>
      </rPr>
      <t>1</t>
    </r>
  </si>
  <si>
    <r>
      <t>1</t>
    </r>
    <r>
      <rPr>
        <b/>
        <sz val="10"/>
        <rFont val="宋体"/>
        <family val="3"/>
        <charset val="134"/>
      </rPr>
      <t>、审计说明</t>
    </r>
    <r>
      <rPr>
        <sz val="10"/>
        <color indexed="12"/>
        <rFont val="宋体"/>
        <family val="3"/>
        <charset val="134"/>
      </rPr>
      <t/>
    </r>
    <phoneticPr fontId="14" type="noConversion"/>
  </si>
  <si>
    <r>
      <t>2</t>
    </r>
    <r>
      <rPr>
        <b/>
        <sz val="10"/>
        <rFont val="宋体"/>
        <family val="3"/>
        <charset val="134"/>
      </rPr>
      <t>、审计结论</t>
    </r>
    <phoneticPr fontId="14" type="noConversion"/>
  </si>
  <si>
    <r>
      <rPr>
        <sz val="10"/>
        <rFont val="宋体"/>
        <family val="3"/>
        <charset val="134"/>
      </rPr>
      <t>页次：</t>
    </r>
  </si>
  <si>
    <r>
      <rPr>
        <sz val="10"/>
        <rFont val="宋体"/>
        <family val="3"/>
        <charset val="134"/>
      </rPr>
      <t>索引号：</t>
    </r>
  </si>
  <si>
    <r>
      <rPr>
        <b/>
        <sz val="10"/>
        <rFont val="宋体"/>
        <family val="3"/>
        <charset val="134"/>
      </rPr>
      <t>三、审计说明：</t>
    </r>
    <phoneticPr fontId="14" type="noConversion"/>
  </si>
  <si>
    <r>
      <rPr>
        <b/>
        <sz val="10"/>
        <rFont val="宋体"/>
        <family val="3"/>
        <charset val="134"/>
      </rPr>
      <t>四、审计结论：</t>
    </r>
    <phoneticPr fontId="14" type="noConversion"/>
  </si>
  <si>
    <r>
      <rPr>
        <b/>
        <sz val="10"/>
        <rFont val="宋体"/>
        <family val="3"/>
        <charset val="134"/>
      </rPr>
      <t>贷款单位</t>
    </r>
  </si>
  <si>
    <r>
      <rPr>
        <b/>
        <sz val="10"/>
        <rFont val="宋体"/>
        <family val="3"/>
        <charset val="134"/>
      </rPr>
      <t>贷款类别</t>
    </r>
    <phoneticPr fontId="14" type="noConversion"/>
  </si>
  <si>
    <r>
      <rPr>
        <b/>
        <sz val="10"/>
        <rFont val="宋体"/>
        <family val="3"/>
        <charset val="134"/>
      </rPr>
      <t>贷款资金用途</t>
    </r>
    <phoneticPr fontId="14" type="noConversion"/>
  </si>
  <si>
    <r>
      <rPr>
        <b/>
        <sz val="10"/>
        <rFont val="宋体"/>
        <family val="3"/>
        <charset val="134"/>
      </rPr>
      <t>贷款金额</t>
    </r>
    <phoneticPr fontId="14" type="noConversion"/>
  </si>
  <si>
    <r>
      <rPr>
        <b/>
        <sz val="10"/>
        <rFont val="宋体"/>
        <family val="3"/>
        <charset val="134"/>
      </rPr>
      <t>借款日期</t>
    </r>
    <phoneticPr fontId="14" type="noConversion"/>
  </si>
  <si>
    <r>
      <rPr>
        <b/>
        <sz val="10"/>
        <rFont val="宋体"/>
        <family val="3"/>
        <charset val="134"/>
      </rPr>
      <t>未按期偿还的原因</t>
    </r>
    <phoneticPr fontId="14" type="noConversion"/>
  </si>
  <si>
    <r>
      <rPr>
        <b/>
        <sz val="10"/>
        <rFont val="宋体"/>
        <family val="3"/>
        <charset val="134"/>
      </rPr>
      <t>预计还款期</t>
    </r>
    <phoneticPr fontId="14" type="noConversion"/>
  </si>
  <si>
    <r>
      <rPr>
        <b/>
        <sz val="10"/>
        <rFont val="宋体"/>
        <family val="3"/>
        <charset val="134"/>
      </rPr>
      <t>备注</t>
    </r>
    <phoneticPr fontId="14" type="noConversion"/>
  </si>
  <si>
    <r>
      <rPr>
        <b/>
        <sz val="10"/>
        <rFont val="宋体"/>
        <family val="3"/>
        <charset val="134"/>
      </rPr>
      <t>贷款单位</t>
    </r>
    <phoneticPr fontId="14" type="noConversion"/>
  </si>
  <si>
    <t>--</t>
    <phoneticPr fontId="14" type="noConversion"/>
  </si>
  <si>
    <r>
      <rPr>
        <b/>
        <sz val="10"/>
        <rFont val="宋体"/>
        <family val="3"/>
        <charset val="134"/>
      </rPr>
      <t>合计</t>
    </r>
    <phoneticPr fontId="14" type="noConversion"/>
  </si>
  <si>
    <r>
      <rPr>
        <b/>
        <sz val="9"/>
        <rFont val="宋体"/>
        <family val="3"/>
        <charset val="134"/>
      </rPr>
      <t>资产明细索引号</t>
    </r>
  </si>
  <si>
    <r>
      <rPr>
        <b/>
        <sz val="9"/>
        <rFont val="宋体"/>
        <family val="3"/>
        <charset val="134"/>
      </rPr>
      <t>备注</t>
    </r>
  </si>
  <si>
    <t>--</t>
    <phoneticPr fontId="14" type="noConversion"/>
  </si>
  <si>
    <t>……</t>
    <phoneticPr fontId="14" type="noConversion"/>
  </si>
  <si>
    <r>
      <rPr>
        <b/>
        <sz val="12"/>
        <rFont val="宋体"/>
        <family val="3"/>
        <charset val="134"/>
      </rPr>
      <t>底稿开列时，可先在以下单元格填写有关内容，以便其他底稿引用有关数据：</t>
    </r>
    <phoneticPr fontId="14" type="noConversion"/>
  </si>
  <si>
    <t>序号</t>
  </si>
  <si>
    <t>索引号</t>
  </si>
  <si>
    <t>二、审计过程：</t>
    <phoneticPr fontId="14" type="noConversion"/>
  </si>
  <si>
    <r>
      <rPr>
        <b/>
        <sz val="10"/>
        <rFont val="宋体"/>
        <family val="3"/>
        <charset val="134"/>
      </rPr>
      <t>合计</t>
    </r>
  </si>
  <si>
    <r>
      <rPr>
        <sz val="10"/>
        <rFont val="宋体"/>
        <family val="3"/>
        <charset val="134"/>
      </rPr>
      <t>页</t>
    </r>
    <r>
      <rPr>
        <sz val="10"/>
        <rFont val="Arial Narrow"/>
        <family val="2"/>
      </rPr>
      <t xml:space="preserve">  </t>
    </r>
    <r>
      <rPr>
        <sz val="10"/>
        <rFont val="宋体"/>
        <family val="3"/>
        <charset val="134"/>
      </rPr>
      <t>次：</t>
    </r>
    <phoneticPr fontId="51" type="noConversion"/>
  </si>
  <si>
    <r>
      <rPr>
        <sz val="10"/>
        <rFont val="宋体"/>
        <family val="3"/>
        <charset val="134"/>
      </rPr>
      <t>存在</t>
    </r>
    <phoneticPr fontId="14" type="noConversion"/>
  </si>
  <si>
    <r>
      <rPr>
        <b/>
        <sz val="10"/>
        <rFont val="宋体"/>
        <family val="3"/>
        <charset val="134"/>
      </rPr>
      <t>三、计划实施的实质性程序</t>
    </r>
    <phoneticPr fontId="14" type="noConversion"/>
  </si>
  <si>
    <r>
      <rPr>
        <b/>
        <sz val="10"/>
        <rFont val="宋体"/>
        <family val="3"/>
        <charset val="134"/>
      </rPr>
      <t>序号</t>
    </r>
    <phoneticPr fontId="14" type="noConversion"/>
  </si>
  <si>
    <r>
      <rPr>
        <b/>
        <sz val="10"/>
        <rFont val="宋体"/>
        <family val="3"/>
        <charset val="134"/>
      </rPr>
      <t>程序分类</t>
    </r>
    <phoneticPr fontId="14" type="noConversion"/>
  </si>
  <si>
    <t>1</t>
    <phoneticPr fontId="51" type="noConversion"/>
  </si>
  <si>
    <t>3</t>
  </si>
  <si>
    <t>4</t>
  </si>
  <si>
    <t>5</t>
  </si>
  <si>
    <t>6</t>
  </si>
  <si>
    <t>7</t>
  </si>
  <si>
    <t>8</t>
  </si>
  <si>
    <t>9</t>
  </si>
  <si>
    <t>短期借款实质性程序表</t>
    <phoneticPr fontId="14" type="noConversion"/>
  </si>
  <si>
    <t>借款种类</t>
    <phoneticPr fontId="14" type="noConversion"/>
  </si>
  <si>
    <t>序号</t>
    <phoneticPr fontId="14" type="noConversion"/>
  </si>
  <si>
    <t>贷款单位</t>
    <phoneticPr fontId="14" type="noConversion"/>
  </si>
  <si>
    <t>固定/浮动利率</t>
    <phoneticPr fontId="14" type="noConversion"/>
  </si>
  <si>
    <t>调整分录汇总</t>
    <phoneticPr fontId="14" type="noConversion"/>
  </si>
  <si>
    <r>
      <t xml:space="preserve"> </t>
    </r>
    <r>
      <rPr>
        <sz val="12"/>
        <rFont val="宋体"/>
        <family val="3"/>
        <charset val="134"/>
      </rPr>
      <t>（</t>
    </r>
    <r>
      <rPr>
        <sz val="12"/>
        <rFont val="Arial Narrow"/>
        <family val="2"/>
      </rPr>
      <t>2</t>
    </r>
    <r>
      <rPr>
        <sz val="12"/>
        <rFont val="宋体"/>
        <family val="3"/>
        <charset val="134"/>
      </rPr>
      <t>）已逾期未偿还的短期借款情况</t>
    </r>
    <r>
      <rPr>
        <sz val="12"/>
        <rFont val="Arial Narrow"/>
        <family val="2"/>
      </rPr>
      <t xml:space="preserve"> </t>
    </r>
  </si>
  <si>
    <r>
      <t xml:space="preserve"> </t>
    </r>
    <r>
      <rPr>
        <sz val="12"/>
        <rFont val="宋体"/>
        <family val="3"/>
        <charset val="134"/>
      </rPr>
      <t>说明：</t>
    </r>
    <r>
      <rPr>
        <sz val="12"/>
        <rFont val="Arial Narrow"/>
        <family val="2"/>
      </rPr>
      <t xml:space="preserve"> </t>
    </r>
  </si>
  <si>
    <r>
      <t xml:space="preserve"> </t>
    </r>
    <r>
      <rPr>
        <sz val="12"/>
        <color rgb="FF0432FF"/>
        <rFont val="宋体"/>
        <family val="3"/>
        <charset val="134"/>
      </rPr>
      <t>①</t>
    </r>
    <r>
      <rPr>
        <sz val="12"/>
        <color rgb="FF0432FF"/>
        <rFont val="Arial Narrow"/>
        <family val="2"/>
      </rPr>
      <t xml:space="preserve"> </t>
    </r>
    <r>
      <rPr>
        <sz val="12"/>
        <color rgb="FF0432FF"/>
        <rFont val="宋体"/>
        <family val="3"/>
        <charset val="134"/>
      </rPr>
      <t>资产负债表日后已偿还金额</t>
    </r>
    <r>
      <rPr>
        <sz val="12"/>
        <color rgb="FF0432FF"/>
        <rFont val="Arial Narrow"/>
        <family val="2"/>
      </rPr>
      <t>XX</t>
    </r>
    <r>
      <rPr>
        <sz val="12"/>
        <color rgb="FF0432FF"/>
        <rFont val="宋体"/>
        <family val="3"/>
        <charset val="134"/>
      </rPr>
      <t>元。</t>
    </r>
    <r>
      <rPr>
        <sz val="12"/>
        <color rgb="FF0432FF"/>
        <rFont val="Arial Narrow"/>
        <family val="2"/>
      </rPr>
      <t xml:space="preserve"> </t>
    </r>
  </si>
  <si>
    <r>
      <t xml:space="preserve"> </t>
    </r>
    <r>
      <rPr>
        <sz val="12"/>
        <color rgb="FF0432FF"/>
        <rFont val="宋体"/>
        <family val="3"/>
        <charset val="134"/>
      </rPr>
      <t>②（包括已到期短期借款或展期的，若已到期的短期借款获得展期，应说明展期条件、新的到期日。）</t>
    </r>
    <r>
      <rPr>
        <sz val="12"/>
        <color rgb="FF0432FF"/>
        <rFont val="Arial Narrow"/>
        <family val="2"/>
      </rPr>
      <t xml:space="preserve"> </t>
    </r>
  </si>
  <si>
    <r>
      <rPr>
        <sz val="10"/>
        <rFont val="宋体"/>
        <family val="3"/>
        <charset val="134"/>
      </rPr>
      <t>对外担保信息</t>
    </r>
    <phoneticPr fontId="51" type="noConversion"/>
  </si>
  <si>
    <r>
      <rPr>
        <sz val="10"/>
        <rFont val="宋体"/>
        <family val="3"/>
        <charset val="134"/>
      </rPr>
      <t>被担保信息</t>
    </r>
    <phoneticPr fontId="51" type="noConversion"/>
  </si>
  <si>
    <r>
      <rPr>
        <sz val="10"/>
        <rFont val="宋体"/>
        <family val="3"/>
        <charset val="134"/>
      </rPr>
      <t>索引号：</t>
    </r>
    <phoneticPr fontId="14" type="noConversion"/>
  </si>
  <si>
    <t>保证人/抵押物/质押物</t>
    <phoneticPr fontId="14" type="noConversion"/>
  </si>
  <si>
    <r>
      <rPr>
        <b/>
        <sz val="10"/>
        <rFont val="宋体"/>
        <family val="3"/>
        <charset val="134"/>
      </rPr>
      <t>财务报表的认定　</t>
    </r>
    <phoneticPr fontId="14" type="noConversion"/>
  </si>
  <si>
    <t>——</t>
    <phoneticPr fontId="14" type="noConversion"/>
  </si>
  <si>
    <t>3.如果存在有违反债务协议约定或者条款的情况：确定违反相关协议和其他协议（如：连带违约）的影响，确定和记录任何额外执行的程序（如，企业获得书面的豁免，如果需要，或签订合同，以保证违规在债务宽限期内修正违规），确定违约行为是否影响我们对持续经营评价。</t>
    <phoneticPr fontId="14" type="noConversion"/>
  </si>
  <si>
    <t>L1A</t>
  </si>
  <si>
    <t>L1-2</t>
  </si>
  <si>
    <t>L1-4</t>
  </si>
  <si>
    <t>L1-5</t>
  </si>
  <si>
    <t>L1-6</t>
  </si>
  <si>
    <t>L1-7</t>
  </si>
  <si>
    <t>L1-8</t>
  </si>
  <si>
    <t>L1-9</t>
  </si>
  <si>
    <t>L1-1</t>
    <phoneticPr fontId="14" type="noConversion"/>
  </si>
  <si>
    <t>L1-3</t>
    <phoneticPr fontId="14" type="noConversion"/>
  </si>
  <si>
    <t>L1A</t>
    <phoneticPr fontId="14" type="noConversion"/>
  </si>
  <si>
    <t>短期借款附注披露（上市公司）信息核对表</t>
    <phoneticPr fontId="14" type="noConversion"/>
  </si>
  <si>
    <t>短期借款附注披露（国企）信息核对表</t>
    <phoneticPr fontId="14" type="noConversion"/>
  </si>
  <si>
    <t>短期借款审定表</t>
    <phoneticPr fontId="14" type="noConversion"/>
  </si>
  <si>
    <r>
      <rPr>
        <b/>
        <sz val="12"/>
        <rFont val="宋体"/>
        <family val="3"/>
        <charset val="134"/>
      </rPr>
      <t>致同会计师事务所</t>
    </r>
    <phoneticPr fontId="14" type="noConversion"/>
  </si>
  <si>
    <r>
      <rPr>
        <sz val="10"/>
        <rFont val="宋体"/>
        <family val="3"/>
        <charset val="134"/>
      </rPr>
      <t>索引号</t>
    </r>
    <phoneticPr fontId="14" type="noConversion"/>
  </si>
  <si>
    <r>
      <rPr>
        <b/>
        <sz val="10"/>
        <rFont val="宋体"/>
        <family val="3"/>
        <charset val="134"/>
      </rPr>
      <t>三、审计说明：</t>
    </r>
    <phoneticPr fontId="23" type="noConversion"/>
  </si>
  <si>
    <r>
      <rPr>
        <b/>
        <sz val="12"/>
        <rFont val="宋体"/>
        <family val="3"/>
        <charset val="134"/>
      </rPr>
      <t>致同会计师事务所</t>
    </r>
  </si>
  <si>
    <r>
      <rPr>
        <b/>
        <sz val="9"/>
        <rFont val="宋体"/>
        <family val="3"/>
        <charset val="134"/>
      </rPr>
      <t>抵</t>
    </r>
    <r>
      <rPr>
        <b/>
        <sz val="9"/>
        <rFont val="Arial Narrow"/>
        <family val="2"/>
      </rPr>
      <t>/</t>
    </r>
    <r>
      <rPr>
        <b/>
        <sz val="9"/>
        <rFont val="宋体"/>
        <family val="3"/>
        <charset val="134"/>
      </rPr>
      <t>质押合同号</t>
    </r>
    <phoneticPr fontId="14" type="noConversion"/>
  </si>
  <si>
    <r>
      <rPr>
        <b/>
        <sz val="9"/>
        <rFont val="宋体"/>
        <family val="3"/>
        <charset val="134"/>
      </rPr>
      <t>资产状态</t>
    </r>
    <phoneticPr fontId="14" type="noConversion"/>
  </si>
  <si>
    <r>
      <rPr>
        <b/>
        <sz val="9"/>
        <rFont val="宋体"/>
        <family val="3"/>
        <charset val="134"/>
      </rPr>
      <t>抵</t>
    </r>
    <r>
      <rPr>
        <b/>
        <sz val="9"/>
        <rFont val="Arial Narrow"/>
        <family val="2"/>
      </rPr>
      <t>/</t>
    </r>
    <r>
      <rPr>
        <b/>
        <sz val="9"/>
        <rFont val="宋体"/>
        <family val="3"/>
        <charset val="134"/>
      </rPr>
      <t>质押贷款额</t>
    </r>
    <phoneticPr fontId="14" type="noConversion"/>
  </si>
  <si>
    <r>
      <rPr>
        <b/>
        <sz val="9"/>
        <rFont val="宋体"/>
        <family val="3"/>
        <charset val="134"/>
      </rPr>
      <t>抵</t>
    </r>
    <r>
      <rPr>
        <b/>
        <sz val="9"/>
        <rFont val="Arial Narrow"/>
        <family val="2"/>
      </rPr>
      <t>/</t>
    </r>
    <r>
      <rPr>
        <b/>
        <sz val="9"/>
        <rFont val="宋体"/>
        <family val="3"/>
        <charset val="134"/>
      </rPr>
      <t>质押资产评估价值</t>
    </r>
    <phoneticPr fontId="14" type="noConversion"/>
  </si>
  <si>
    <r>
      <rPr>
        <b/>
        <sz val="9"/>
        <rFont val="宋体"/>
        <family val="3"/>
        <charset val="134"/>
      </rPr>
      <t>抵</t>
    </r>
    <r>
      <rPr>
        <b/>
        <sz val="9"/>
        <rFont val="Arial Narrow"/>
        <family val="2"/>
      </rPr>
      <t>/</t>
    </r>
    <r>
      <rPr>
        <b/>
        <sz val="9"/>
        <rFont val="宋体"/>
        <family val="3"/>
        <charset val="134"/>
      </rPr>
      <t>质押资产权证号</t>
    </r>
    <phoneticPr fontId="14" type="noConversion"/>
  </si>
  <si>
    <r>
      <rPr>
        <b/>
        <sz val="9"/>
        <rFont val="宋体"/>
        <family val="3"/>
        <charset val="134"/>
      </rPr>
      <t>抵</t>
    </r>
    <r>
      <rPr>
        <b/>
        <sz val="9"/>
        <rFont val="Arial Narrow"/>
        <family val="2"/>
      </rPr>
      <t>/</t>
    </r>
    <r>
      <rPr>
        <b/>
        <sz val="9"/>
        <rFont val="宋体"/>
        <family val="3"/>
        <charset val="134"/>
      </rPr>
      <t>质押资产所属报表科目</t>
    </r>
    <phoneticPr fontId="14" type="noConversion"/>
  </si>
  <si>
    <r>
      <rPr>
        <b/>
        <sz val="9"/>
        <rFont val="宋体"/>
        <family val="3"/>
        <charset val="134"/>
      </rPr>
      <t>抵</t>
    </r>
    <r>
      <rPr>
        <b/>
        <sz val="9"/>
        <rFont val="Arial Narrow"/>
        <family val="2"/>
      </rPr>
      <t>/</t>
    </r>
    <r>
      <rPr>
        <b/>
        <sz val="9"/>
        <rFont val="宋体"/>
        <family val="3"/>
        <charset val="134"/>
      </rPr>
      <t>质押资产账面原值</t>
    </r>
    <phoneticPr fontId="14" type="noConversion"/>
  </si>
  <si>
    <r>
      <rPr>
        <b/>
        <sz val="9"/>
        <rFont val="宋体"/>
        <family val="3"/>
        <charset val="134"/>
      </rPr>
      <t>抵</t>
    </r>
    <r>
      <rPr>
        <b/>
        <sz val="9"/>
        <rFont val="Arial Narrow"/>
        <family val="2"/>
      </rPr>
      <t>/</t>
    </r>
    <r>
      <rPr>
        <b/>
        <sz val="9"/>
        <rFont val="宋体"/>
        <family val="3"/>
        <charset val="134"/>
      </rPr>
      <t>质押资产折旧或摊销</t>
    </r>
    <phoneticPr fontId="14" type="noConversion"/>
  </si>
  <si>
    <r>
      <rPr>
        <b/>
        <sz val="9"/>
        <rFont val="宋体"/>
        <family val="3"/>
        <charset val="134"/>
      </rPr>
      <t>抵</t>
    </r>
    <r>
      <rPr>
        <b/>
        <sz val="9"/>
        <rFont val="Arial Narrow"/>
        <family val="2"/>
      </rPr>
      <t>/</t>
    </r>
    <r>
      <rPr>
        <b/>
        <sz val="9"/>
        <rFont val="宋体"/>
        <family val="3"/>
        <charset val="134"/>
      </rPr>
      <t>质押资产账面净值</t>
    </r>
    <phoneticPr fontId="14" type="noConversion"/>
  </si>
  <si>
    <r>
      <rPr>
        <b/>
        <sz val="9"/>
        <rFont val="宋体"/>
        <family val="3"/>
        <charset val="134"/>
      </rPr>
      <t>抵</t>
    </r>
    <r>
      <rPr>
        <b/>
        <sz val="9"/>
        <rFont val="Arial Narrow"/>
        <family val="2"/>
      </rPr>
      <t>/</t>
    </r>
    <r>
      <rPr>
        <b/>
        <sz val="9"/>
        <rFont val="宋体"/>
        <family val="3"/>
        <charset val="134"/>
      </rPr>
      <t>质押资产所有权是否归属于被审计单位</t>
    </r>
    <phoneticPr fontId="14" type="noConversion"/>
  </si>
  <si>
    <r>
      <rPr>
        <b/>
        <sz val="9"/>
        <rFont val="宋体"/>
        <family val="3"/>
        <charset val="134"/>
      </rPr>
      <t>抵</t>
    </r>
    <r>
      <rPr>
        <b/>
        <sz val="9"/>
        <rFont val="Arial Narrow"/>
        <family val="2"/>
      </rPr>
      <t>/</t>
    </r>
    <r>
      <rPr>
        <b/>
        <sz val="9"/>
        <rFont val="宋体"/>
        <family val="3"/>
        <charset val="134"/>
      </rPr>
      <t>质押资产状况</t>
    </r>
    <phoneticPr fontId="14" type="noConversion"/>
  </si>
  <si>
    <r>
      <rPr>
        <sz val="10"/>
        <rFont val="宋体"/>
        <family val="3"/>
        <charset val="134"/>
      </rPr>
      <t>页次：</t>
    </r>
    <phoneticPr fontId="14" type="noConversion"/>
  </si>
  <si>
    <r>
      <t xml:space="preserve">1. </t>
    </r>
    <r>
      <rPr>
        <sz val="10"/>
        <rFont val="宋体"/>
        <family val="3"/>
        <charset val="134"/>
      </rPr>
      <t>记录的短期借款是被审计单位应当履行的偿还义务</t>
    </r>
    <r>
      <rPr>
        <sz val="10"/>
        <rFont val="Arial Narrow"/>
        <family val="2"/>
      </rPr>
      <t>;2.</t>
    </r>
    <r>
      <rPr>
        <sz val="10"/>
        <rFont val="宋体"/>
        <family val="3"/>
        <charset val="134"/>
      </rPr>
      <t>短期借款已被恰当地汇总或分解且表述清楚，相关披露在按照企业会计准则的编制基础下是相关的、可理解的</t>
    </r>
    <phoneticPr fontId="14" type="noConversion"/>
  </si>
  <si>
    <r>
      <rPr>
        <b/>
        <sz val="10"/>
        <rFont val="宋体"/>
        <family val="3"/>
        <charset val="134"/>
      </rPr>
      <t>报告期间</t>
    </r>
    <phoneticPr fontId="14" type="noConversion"/>
  </si>
  <si>
    <r>
      <rPr>
        <b/>
        <sz val="10"/>
        <rFont val="宋体"/>
        <family val="3"/>
        <charset val="134"/>
      </rPr>
      <t>借款利率</t>
    </r>
    <phoneticPr fontId="14" type="noConversion"/>
  </si>
  <si>
    <r>
      <rPr>
        <b/>
        <sz val="10"/>
        <rFont val="宋体"/>
        <family val="3"/>
        <charset val="134"/>
      </rPr>
      <t>逾期利率（日）</t>
    </r>
    <phoneticPr fontId="14" type="noConversion"/>
  </si>
  <si>
    <r>
      <rPr>
        <b/>
        <sz val="10"/>
        <rFont val="宋体"/>
        <family val="3"/>
        <charset val="134"/>
      </rPr>
      <t>借款到期日期</t>
    </r>
    <phoneticPr fontId="14" type="noConversion"/>
  </si>
  <si>
    <r>
      <rPr>
        <b/>
        <sz val="10"/>
        <rFont val="宋体"/>
        <family val="3"/>
        <charset val="134"/>
      </rPr>
      <t>累计逾期时间（天）</t>
    </r>
    <phoneticPr fontId="14" type="noConversion"/>
  </si>
  <si>
    <r>
      <rPr>
        <b/>
        <sz val="10"/>
        <rFont val="宋体"/>
        <family val="3"/>
        <charset val="134"/>
      </rPr>
      <t>本期计息天数</t>
    </r>
    <phoneticPr fontId="14" type="noConversion"/>
  </si>
  <si>
    <r>
      <rPr>
        <b/>
        <sz val="10"/>
        <rFont val="宋体"/>
        <family val="3"/>
        <charset val="134"/>
      </rPr>
      <t>本期应计利息</t>
    </r>
    <phoneticPr fontId="14" type="noConversion"/>
  </si>
  <si>
    <r>
      <rPr>
        <b/>
        <sz val="10"/>
        <rFont val="宋体"/>
        <family val="3"/>
        <charset val="134"/>
      </rPr>
      <t>累计应付利息</t>
    </r>
    <phoneticPr fontId="14" type="noConversion"/>
  </si>
  <si>
    <r>
      <rPr>
        <b/>
        <sz val="10"/>
        <rFont val="宋体"/>
        <family val="3"/>
        <charset val="134"/>
      </rPr>
      <t>是否涉诉</t>
    </r>
    <phoneticPr fontId="14" type="noConversion"/>
  </si>
  <si>
    <r>
      <rPr>
        <b/>
        <sz val="10"/>
        <rFont val="宋体"/>
        <family val="3"/>
        <charset val="134"/>
      </rPr>
      <t>逾期比例</t>
    </r>
    <phoneticPr fontId="14" type="noConversion"/>
  </si>
  <si>
    <r>
      <rPr>
        <b/>
        <sz val="14"/>
        <rFont val="宋体"/>
        <family val="3"/>
        <charset val="134"/>
      </rPr>
      <t>逾期贷款检查表</t>
    </r>
    <phoneticPr fontId="14" type="noConversion"/>
  </si>
  <si>
    <r>
      <rPr>
        <b/>
        <sz val="14"/>
        <rFont val="宋体"/>
        <family val="3"/>
        <charset val="134"/>
      </rPr>
      <t>贷款合同检查表</t>
    </r>
  </si>
  <si>
    <r>
      <rPr>
        <b/>
        <sz val="10"/>
        <rFont val="宋体"/>
        <family val="3"/>
        <charset val="134"/>
      </rPr>
      <t>借款单位名称（公司全称）</t>
    </r>
    <phoneticPr fontId="14" type="noConversion"/>
  </si>
  <si>
    <r>
      <rPr>
        <b/>
        <sz val="10"/>
        <rFont val="宋体"/>
        <family val="3"/>
        <charset val="134"/>
      </rPr>
      <t>贷款单位名称（银行全称）</t>
    </r>
    <phoneticPr fontId="14" type="noConversion"/>
  </si>
  <si>
    <r>
      <rPr>
        <b/>
        <sz val="10"/>
        <rFont val="宋体"/>
        <family val="3"/>
        <charset val="134"/>
      </rPr>
      <t>合同索引</t>
    </r>
    <phoneticPr fontId="14" type="noConversion"/>
  </si>
  <si>
    <r>
      <rPr>
        <b/>
        <sz val="10"/>
        <rFont val="宋体"/>
        <family val="3"/>
        <charset val="134"/>
      </rPr>
      <t>合同类型</t>
    </r>
    <phoneticPr fontId="14" type="noConversion"/>
  </si>
  <si>
    <r>
      <rPr>
        <b/>
        <sz val="10"/>
        <rFont val="宋体"/>
        <family val="3"/>
        <charset val="134"/>
      </rPr>
      <t>借款合同编号</t>
    </r>
  </si>
  <si>
    <r>
      <rPr>
        <b/>
        <sz val="10"/>
        <rFont val="宋体"/>
        <family val="3"/>
        <charset val="134"/>
      </rPr>
      <t>合同名称</t>
    </r>
    <phoneticPr fontId="14" type="noConversion"/>
  </si>
  <si>
    <r>
      <rPr>
        <b/>
        <sz val="10"/>
        <rFont val="宋体"/>
        <family val="3"/>
        <charset val="134"/>
      </rPr>
      <t>借款类型</t>
    </r>
    <phoneticPr fontId="14" type="noConversion"/>
  </si>
  <si>
    <r>
      <rPr>
        <b/>
        <sz val="10"/>
        <rFont val="宋体"/>
        <family val="3"/>
        <charset val="134"/>
      </rPr>
      <t>借款用途</t>
    </r>
    <phoneticPr fontId="14" type="noConversion"/>
  </si>
  <si>
    <r>
      <rPr>
        <b/>
        <sz val="10"/>
        <rFont val="宋体"/>
        <family val="3"/>
        <charset val="134"/>
      </rPr>
      <t>起始日期</t>
    </r>
  </si>
  <si>
    <r>
      <rPr>
        <b/>
        <sz val="10"/>
        <rFont val="宋体"/>
        <family val="3"/>
        <charset val="134"/>
      </rPr>
      <t>讫止日期</t>
    </r>
  </si>
  <si>
    <r>
      <rPr>
        <b/>
        <sz val="10"/>
        <rFont val="宋体"/>
        <family val="3"/>
        <charset val="134"/>
      </rPr>
      <t>年利率</t>
    </r>
  </si>
  <si>
    <r>
      <rPr>
        <b/>
        <sz val="10"/>
        <rFont val="宋体"/>
        <family val="3"/>
        <charset val="134"/>
      </rPr>
      <t>合同约定利率</t>
    </r>
    <phoneticPr fontId="14" type="noConversion"/>
  </si>
  <si>
    <r>
      <rPr>
        <b/>
        <sz val="10"/>
        <rFont val="宋体"/>
        <family val="3"/>
        <charset val="134"/>
      </rPr>
      <t>是否到期</t>
    </r>
  </si>
  <si>
    <r>
      <rPr>
        <b/>
        <sz val="10"/>
        <rFont val="宋体"/>
        <family val="3"/>
        <charset val="134"/>
      </rPr>
      <t>币种</t>
    </r>
  </si>
  <si>
    <r>
      <rPr>
        <b/>
        <sz val="10"/>
        <rFont val="宋体"/>
        <family val="3"/>
        <charset val="134"/>
      </rPr>
      <t>合同贷款总额</t>
    </r>
    <r>
      <rPr>
        <b/>
        <sz val="10"/>
        <rFont val="Arial Narrow"/>
        <family val="2"/>
      </rPr>
      <t>/</t>
    </r>
    <r>
      <rPr>
        <b/>
        <sz val="10"/>
        <rFont val="宋体"/>
        <family val="3"/>
        <charset val="134"/>
      </rPr>
      <t>授信敞口</t>
    </r>
    <r>
      <rPr>
        <b/>
        <sz val="10"/>
        <rFont val="Arial Narrow"/>
        <family val="2"/>
      </rPr>
      <t>(</t>
    </r>
    <r>
      <rPr>
        <b/>
        <sz val="10"/>
        <rFont val="宋体"/>
        <family val="3"/>
        <charset val="134"/>
      </rPr>
      <t>额度</t>
    </r>
    <r>
      <rPr>
        <b/>
        <sz val="10"/>
        <rFont val="Arial Narrow"/>
        <family val="2"/>
      </rPr>
      <t>)/</t>
    </r>
    <r>
      <rPr>
        <b/>
        <sz val="10"/>
        <rFont val="宋体"/>
        <family val="3"/>
        <charset val="134"/>
      </rPr>
      <t>保证金额</t>
    </r>
    <r>
      <rPr>
        <b/>
        <sz val="10"/>
        <rFont val="Arial Narrow"/>
        <family val="2"/>
      </rPr>
      <t>/</t>
    </r>
    <r>
      <rPr>
        <b/>
        <sz val="10"/>
        <rFont val="宋体"/>
        <family val="3"/>
        <charset val="134"/>
      </rPr>
      <t>抵、质押限额</t>
    </r>
    <phoneticPr fontId="14" type="noConversion"/>
  </si>
  <si>
    <r>
      <rPr>
        <b/>
        <sz val="10"/>
        <rFont val="宋体"/>
        <family val="3"/>
        <charset val="134"/>
      </rPr>
      <t>结息方式</t>
    </r>
  </si>
  <si>
    <r>
      <rPr>
        <b/>
        <sz val="10"/>
        <rFont val="宋体"/>
        <family val="3"/>
        <charset val="134"/>
      </rPr>
      <t>保证人</t>
    </r>
    <r>
      <rPr>
        <b/>
        <sz val="10"/>
        <rFont val="Arial Narrow"/>
        <family val="2"/>
      </rPr>
      <t>/</t>
    </r>
    <r>
      <rPr>
        <b/>
        <sz val="10"/>
        <rFont val="宋体"/>
        <family val="3"/>
        <charset val="134"/>
      </rPr>
      <t>抵、质押人</t>
    </r>
    <phoneticPr fontId="14" type="noConversion"/>
  </si>
  <si>
    <r>
      <rPr>
        <b/>
        <sz val="10"/>
        <rFont val="宋体"/>
        <family val="3"/>
        <charset val="134"/>
      </rPr>
      <t>保证责任</t>
    </r>
    <r>
      <rPr>
        <b/>
        <sz val="10"/>
        <rFont val="Arial Narrow"/>
        <family val="2"/>
      </rPr>
      <t>/</t>
    </r>
    <r>
      <rPr>
        <b/>
        <sz val="10"/>
        <rFont val="宋体"/>
        <family val="3"/>
        <charset val="134"/>
      </rPr>
      <t>抵押权顺位</t>
    </r>
    <phoneticPr fontId="14" type="noConversion"/>
  </si>
  <si>
    <r>
      <rPr>
        <b/>
        <sz val="10"/>
        <rFont val="宋体"/>
        <family val="3"/>
        <charset val="134"/>
      </rPr>
      <t>抵押物名称</t>
    </r>
    <phoneticPr fontId="14" type="noConversion"/>
  </si>
  <si>
    <r>
      <rPr>
        <b/>
        <sz val="10"/>
        <rFont val="宋体"/>
        <family val="3"/>
        <charset val="134"/>
      </rPr>
      <t>权属证书编号</t>
    </r>
    <phoneticPr fontId="14" type="noConversion"/>
  </si>
  <si>
    <r>
      <rPr>
        <b/>
        <sz val="10"/>
        <rFont val="宋体"/>
        <family val="3"/>
        <charset val="134"/>
      </rPr>
      <t>处所</t>
    </r>
    <phoneticPr fontId="14" type="noConversion"/>
  </si>
  <si>
    <r>
      <rPr>
        <b/>
        <sz val="10"/>
        <rFont val="宋体"/>
        <family val="3"/>
        <charset val="134"/>
      </rPr>
      <t>面积</t>
    </r>
    <phoneticPr fontId="14" type="noConversion"/>
  </si>
  <si>
    <r>
      <rPr>
        <b/>
        <sz val="10"/>
        <rFont val="宋体"/>
        <family val="3"/>
        <charset val="134"/>
      </rPr>
      <t>抵、质押物价值（万元）</t>
    </r>
    <phoneticPr fontId="14" type="noConversion"/>
  </si>
  <si>
    <r>
      <rPr>
        <b/>
        <sz val="14"/>
        <rFont val="宋体"/>
        <family val="3"/>
        <charset val="134"/>
      </rPr>
      <t>短期借款利息测算表</t>
    </r>
    <phoneticPr fontId="14" type="noConversion"/>
  </si>
  <si>
    <r>
      <rPr>
        <sz val="10"/>
        <rFont val="宋体"/>
        <family val="3"/>
        <charset val="134"/>
      </rPr>
      <t>短期借款以恰当的金额包括在财务报表中，与之相关的计价或分摊调整已恰当记录，相关披露已得到恰当计量和描述</t>
    </r>
    <r>
      <rPr>
        <sz val="10"/>
        <rFont val="Arial Narrow"/>
        <family val="2"/>
      </rPr>
      <t xml:space="preserve"> </t>
    </r>
  </si>
  <si>
    <r>
      <rPr>
        <sz val="10"/>
        <rFont val="宋体"/>
        <family val="3"/>
        <charset val="134"/>
      </rPr>
      <t>对短期借款的利息进行测算，并检查会计处理是否正确</t>
    </r>
    <phoneticPr fontId="14" type="noConversion"/>
  </si>
  <si>
    <r>
      <rPr>
        <b/>
        <sz val="10"/>
        <rFont val="宋体"/>
        <family val="3"/>
        <charset val="134"/>
      </rPr>
      <t>借款种类</t>
    </r>
    <phoneticPr fontId="14" type="noConversion"/>
  </si>
  <si>
    <r>
      <rPr>
        <b/>
        <sz val="10"/>
        <rFont val="宋体"/>
        <family val="3"/>
        <charset val="134"/>
      </rPr>
      <t>年利率</t>
    </r>
    <phoneticPr fontId="17" type="noConversion"/>
  </si>
  <si>
    <r>
      <rPr>
        <b/>
        <sz val="10"/>
        <rFont val="宋体"/>
        <family val="3"/>
        <charset val="134"/>
      </rPr>
      <t>借款本金</t>
    </r>
  </si>
  <si>
    <r>
      <rPr>
        <b/>
        <sz val="10"/>
        <rFont val="宋体"/>
        <family val="3"/>
        <charset val="134"/>
      </rPr>
      <t>本期实计利息①</t>
    </r>
    <phoneticPr fontId="14" type="noConversion"/>
  </si>
  <si>
    <r>
      <rPr>
        <b/>
        <sz val="10"/>
        <rFont val="宋体"/>
        <family val="3"/>
        <charset val="134"/>
      </rPr>
      <t>本期应计息天数</t>
    </r>
    <phoneticPr fontId="14" type="noConversion"/>
  </si>
  <si>
    <r>
      <rPr>
        <b/>
        <sz val="10"/>
        <rFont val="宋体"/>
        <family val="3"/>
        <charset val="134"/>
      </rPr>
      <t>差异</t>
    </r>
  </si>
  <si>
    <r>
      <rPr>
        <b/>
        <sz val="10"/>
        <rFont val="宋体"/>
        <family val="3"/>
        <charset val="134"/>
      </rPr>
      <t>财务费用</t>
    </r>
    <r>
      <rPr>
        <b/>
        <sz val="10"/>
        <rFont val="Arial Narrow"/>
        <family val="2"/>
      </rPr>
      <t>-</t>
    </r>
    <r>
      <rPr>
        <b/>
        <sz val="10"/>
        <rFont val="宋体"/>
        <family val="3"/>
        <charset val="134"/>
      </rPr>
      <t>利息支出②</t>
    </r>
    <phoneticPr fontId="14" type="noConversion"/>
  </si>
  <si>
    <r>
      <rPr>
        <b/>
        <sz val="10"/>
        <rFont val="宋体"/>
        <family val="3"/>
        <charset val="134"/>
      </rPr>
      <t>资本化利息支出③</t>
    </r>
    <phoneticPr fontId="14" type="noConversion"/>
  </si>
  <si>
    <r>
      <rPr>
        <b/>
        <sz val="10"/>
        <rFont val="宋体"/>
        <family val="3"/>
        <charset val="134"/>
      </rPr>
      <t>本期未付利息天数</t>
    </r>
    <phoneticPr fontId="14" type="noConversion"/>
  </si>
  <si>
    <r>
      <rPr>
        <b/>
        <sz val="10"/>
        <rFont val="宋体"/>
        <family val="3"/>
        <charset val="134"/>
      </rPr>
      <t>本期应付利息账面数</t>
    </r>
    <phoneticPr fontId="14" type="noConversion"/>
  </si>
  <si>
    <r>
      <rPr>
        <b/>
        <sz val="10"/>
        <rFont val="宋体"/>
        <family val="3"/>
        <charset val="134"/>
      </rPr>
      <t>本期应付利测算</t>
    </r>
    <phoneticPr fontId="14" type="noConversion"/>
  </si>
  <si>
    <r>
      <rPr>
        <b/>
        <sz val="10"/>
        <rFont val="宋体"/>
        <family val="3"/>
        <charset val="134"/>
      </rPr>
      <t>备注</t>
    </r>
  </si>
  <si>
    <r>
      <rPr>
        <b/>
        <sz val="10"/>
        <rFont val="宋体"/>
        <family val="3"/>
        <charset val="134"/>
      </rPr>
      <t>财务费用</t>
    </r>
    <r>
      <rPr>
        <b/>
        <sz val="10"/>
        <rFont val="Arial Narrow"/>
        <family val="2"/>
      </rPr>
      <t>——</t>
    </r>
    <r>
      <rPr>
        <b/>
        <sz val="10"/>
        <rFont val="宋体"/>
        <family val="3"/>
        <charset val="134"/>
      </rPr>
      <t>利息支出：</t>
    </r>
  </si>
  <si>
    <r>
      <rPr>
        <b/>
        <sz val="10"/>
        <rFont val="宋体"/>
        <family val="3"/>
        <charset val="134"/>
      </rPr>
      <t>资本化利息支出：</t>
    </r>
  </si>
  <si>
    <r>
      <rPr>
        <b/>
        <sz val="10"/>
        <rFont val="宋体"/>
        <family val="3"/>
        <charset val="134"/>
      </rPr>
      <t>与应计利息的差异</t>
    </r>
  </si>
  <si>
    <r>
      <rPr>
        <b/>
        <sz val="14"/>
        <rFont val="宋体"/>
        <family val="3"/>
        <charset val="134"/>
      </rPr>
      <t>征信报告核对表</t>
    </r>
    <phoneticPr fontId="14" type="noConversion"/>
  </si>
  <si>
    <r>
      <rPr>
        <sz val="10"/>
        <rFont val="宋体"/>
        <family val="3"/>
        <charset val="134"/>
      </rPr>
      <t>页次</t>
    </r>
    <phoneticPr fontId="51" type="noConversion"/>
  </si>
  <si>
    <r>
      <rPr>
        <sz val="10"/>
        <rFont val="宋体"/>
        <family val="3"/>
        <charset val="134"/>
      </rPr>
      <t>客户名称：</t>
    </r>
  </si>
  <si>
    <r>
      <rPr>
        <sz val="10"/>
        <rFont val="宋体"/>
        <family val="3"/>
        <charset val="134"/>
      </rPr>
      <t>编制人：</t>
    </r>
  </si>
  <si>
    <r>
      <rPr>
        <sz val="10"/>
        <rFont val="宋体"/>
        <family val="3"/>
        <charset val="134"/>
      </rPr>
      <t>编制日期：</t>
    </r>
  </si>
  <si>
    <r>
      <rPr>
        <sz val="10"/>
        <rFont val="宋体"/>
        <family val="3"/>
        <charset val="134"/>
      </rPr>
      <t>索引：</t>
    </r>
    <phoneticPr fontId="14"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</si>
  <si>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</si>
  <si>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r>
      <rPr>
        <sz val="10"/>
        <rFont val="宋体"/>
        <family val="3"/>
        <charset val="134"/>
      </rPr>
      <t>复核人：</t>
    </r>
  </si>
  <si>
    <r>
      <rPr>
        <sz val="10"/>
        <rFont val="宋体"/>
        <family val="3"/>
        <charset val="134"/>
      </rPr>
      <t>复核日期：</t>
    </r>
  </si>
  <si>
    <r>
      <rPr>
        <b/>
        <sz val="10"/>
        <color indexed="8"/>
        <rFont val="宋体"/>
        <family val="3"/>
        <charset val="134"/>
      </rPr>
      <t>调整事项说明</t>
    </r>
    <phoneticPr fontId="14" type="noConversion"/>
  </si>
  <si>
    <r>
      <rPr>
        <b/>
        <sz val="10"/>
        <color indexed="8"/>
        <rFont val="宋体"/>
        <family val="3"/>
        <charset val="134"/>
      </rPr>
      <t>类别（报表调整</t>
    </r>
    <r>
      <rPr>
        <b/>
        <sz val="10"/>
        <color indexed="8"/>
        <rFont val="Arial Narrow"/>
        <family val="2"/>
      </rPr>
      <t>/</t>
    </r>
    <r>
      <rPr>
        <b/>
        <sz val="10"/>
        <color indexed="8"/>
        <rFont val="宋体"/>
        <family val="3"/>
        <charset val="134"/>
      </rPr>
      <t>账项调整</t>
    </r>
    <r>
      <rPr>
        <b/>
        <sz val="10"/>
        <color indexed="8"/>
        <rFont val="Arial Narrow"/>
        <family val="2"/>
      </rPr>
      <t>/</t>
    </r>
    <r>
      <rPr>
        <b/>
        <sz val="10"/>
        <color indexed="8"/>
        <rFont val="宋体"/>
        <family val="3"/>
        <charset val="134"/>
      </rPr>
      <t>其他）</t>
    </r>
    <phoneticPr fontId="14" type="noConversion"/>
  </si>
  <si>
    <r>
      <rPr>
        <b/>
        <sz val="10"/>
        <rFont val="宋体"/>
        <family val="3"/>
        <charset val="134"/>
      </rPr>
      <t>报表项目</t>
    </r>
    <phoneticPr fontId="14" type="noConversion"/>
  </si>
  <si>
    <r>
      <rPr>
        <b/>
        <sz val="10"/>
        <rFont val="宋体"/>
        <family val="3"/>
        <charset val="134"/>
      </rPr>
      <t>科目名称</t>
    </r>
    <phoneticPr fontId="14" type="noConversion"/>
  </si>
  <si>
    <r>
      <rPr>
        <b/>
        <sz val="10"/>
        <rFont val="宋体"/>
        <family val="3"/>
        <charset val="134"/>
      </rPr>
      <t>附注项目</t>
    </r>
    <phoneticPr fontId="14" type="noConversion"/>
  </si>
  <si>
    <r>
      <rPr>
        <b/>
        <sz val="10"/>
        <rFont val="宋体"/>
        <family val="3"/>
        <charset val="134"/>
      </rPr>
      <t>借方调整金额</t>
    </r>
    <phoneticPr fontId="14" type="noConversion"/>
  </si>
  <si>
    <r>
      <rPr>
        <b/>
        <sz val="10"/>
        <rFont val="宋体"/>
        <family val="3"/>
        <charset val="134"/>
      </rPr>
      <t>贷方调整金额</t>
    </r>
    <phoneticPr fontId="14" type="noConversion"/>
  </si>
  <si>
    <r>
      <rPr>
        <b/>
        <sz val="10"/>
        <rFont val="宋体"/>
        <family val="3"/>
        <charset val="134"/>
      </rPr>
      <t>索引</t>
    </r>
    <phoneticPr fontId="14" type="noConversion"/>
  </si>
  <si>
    <r>
      <rPr>
        <b/>
        <sz val="14"/>
        <rFont val="宋体"/>
        <family val="3"/>
        <charset val="134"/>
      </rPr>
      <t>短期借款明细表</t>
    </r>
    <phoneticPr fontId="14" type="noConversion"/>
  </si>
  <si>
    <r>
      <rPr>
        <b/>
        <sz val="10"/>
        <rFont val="宋体"/>
        <family val="3"/>
        <charset val="134"/>
      </rPr>
      <t>期初余额</t>
    </r>
    <phoneticPr fontId="14" type="noConversion"/>
  </si>
  <si>
    <r>
      <rPr>
        <b/>
        <sz val="10"/>
        <rFont val="宋体"/>
        <family val="3"/>
        <charset val="134"/>
      </rPr>
      <t>本期增加</t>
    </r>
    <phoneticPr fontId="14" type="noConversion"/>
  </si>
  <si>
    <r>
      <rPr>
        <b/>
        <sz val="10"/>
        <rFont val="宋体"/>
        <family val="3"/>
        <charset val="134"/>
      </rPr>
      <t>期末余额</t>
    </r>
    <phoneticPr fontId="14" type="noConversion"/>
  </si>
  <si>
    <r>
      <rPr>
        <b/>
        <sz val="10"/>
        <rFont val="宋体"/>
        <family val="3"/>
        <charset val="134"/>
      </rPr>
      <t>四、审计结论：</t>
    </r>
    <phoneticPr fontId="39" type="noConversion"/>
  </si>
  <si>
    <r>
      <rPr>
        <sz val="10"/>
        <rFont val="宋体"/>
        <family val="3"/>
        <charset val="134"/>
      </rPr>
      <t>信用借款</t>
    </r>
    <phoneticPr fontId="14" type="noConversion"/>
  </si>
  <si>
    <r>
      <rPr>
        <sz val="10"/>
        <rFont val="宋体"/>
        <family val="3"/>
        <charset val="134"/>
      </rPr>
      <t>抵押借款</t>
    </r>
    <phoneticPr fontId="14" type="noConversion"/>
  </si>
  <si>
    <r>
      <rPr>
        <sz val="10"/>
        <rFont val="宋体"/>
        <family val="3"/>
        <charset val="134"/>
      </rPr>
      <t>保证借款</t>
    </r>
    <phoneticPr fontId="14" type="noConversion"/>
  </si>
  <si>
    <r>
      <rPr>
        <sz val="10"/>
        <rFont val="宋体"/>
        <family val="3"/>
        <charset val="134"/>
      </rPr>
      <t>质押借款</t>
    </r>
    <phoneticPr fontId="14" type="noConversion"/>
  </si>
  <si>
    <r>
      <t xml:space="preserve">A. </t>
    </r>
    <r>
      <rPr>
        <sz val="10"/>
        <rFont val="宋体"/>
        <family val="3"/>
        <charset val="134"/>
      </rPr>
      <t>资产负债表中记录的短期借款是存在的，且已记录于恰当的账户</t>
    </r>
    <phoneticPr fontId="14" type="noConversion"/>
  </si>
  <si>
    <r>
      <t xml:space="preserve">B. </t>
    </r>
    <r>
      <rPr>
        <sz val="10"/>
        <rFont val="宋体"/>
        <family val="3"/>
        <charset val="134"/>
      </rPr>
      <t>所有应记录的短期借款均已记录，所有应当包括在财务报表中的相关披露均已包括</t>
    </r>
    <phoneticPr fontId="14" type="noConversion"/>
  </si>
  <si>
    <r>
      <rPr>
        <b/>
        <sz val="10"/>
        <rFont val="宋体"/>
        <family val="3"/>
        <charset val="134"/>
      </rPr>
      <t>财务报表的认定</t>
    </r>
    <phoneticPr fontId="14" type="noConversion"/>
  </si>
  <si>
    <r>
      <rPr>
        <b/>
        <sz val="10"/>
        <rFont val="宋体"/>
        <family val="3"/>
        <charset val="134"/>
      </rPr>
      <t>底稿索引号</t>
    </r>
    <phoneticPr fontId="14" type="noConversion"/>
  </si>
  <si>
    <r>
      <rPr>
        <b/>
        <sz val="10"/>
        <rFont val="宋体"/>
        <family val="3"/>
        <charset val="134"/>
      </rPr>
      <t>存在</t>
    </r>
  </si>
  <si>
    <r>
      <rPr>
        <b/>
        <sz val="10"/>
        <rFont val="宋体"/>
        <family val="3"/>
        <charset val="134"/>
      </rPr>
      <t>完整性</t>
    </r>
  </si>
  <si>
    <r>
      <rPr>
        <b/>
        <sz val="10"/>
        <rFont val="宋体"/>
        <family val="3"/>
        <charset val="134"/>
      </rPr>
      <t>权利和义务</t>
    </r>
  </si>
  <si>
    <r>
      <rPr>
        <b/>
        <sz val="10"/>
        <rFont val="宋体"/>
        <family val="3"/>
        <charset val="134"/>
      </rPr>
      <t>准确性、计价和分摊</t>
    </r>
  </si>
  <si>
    <r>
      <rPr>
        <b/>
        <sz val="10"/>
        <rFont val="宋体"/>
        <family val="3"/>
        <charset val="134"/>
      </rPr>
      <t>列报</t>
    </r>
  </si>
  <si>
    <r>
      <rPr>
        <sz val="10"/>
        <color theme="1"/>
        <rFont val="宋体"/>
        <family val="3"/>
        <charset val="134"/>
      </rPr>
      <t>常规★</t>
    </r>
    <phoneticPr fontId="51" type="noConversion"/>
  </si>
  <si>
    <r>
      <rPr>
        <sz val="10"/>
        <color theme="1"/>
        <rFont val="宋体"/>
        <family val="3"/>
        <charset val="134"/>
      </rPr>
      <t>√</t>
    </r>
    <phoneticPr fontId="14" type="noConversion"/>
  </si>
  <si>
    <r>
      <rPr>
        <sz val="10"/>
        <color theme="1"/>
        <rFont val="宋体"/>
        <family val="3"/>
        <charset val="134"/>
      </rPr>
      <t>在使用手工编制、自定义信息报告、系统生成的非固定格式报告等由被审计单位生成的信息时，测试有关信息准确性和完整性，并针对编制和维护由被审计单位生成的信息的相关控制实施控制测试，以评价该信息是否能够为实现审计目的提供基础。</t>
    </r>
    <phoneticPr fontId="14" type="noConversion"/>
  </si>
  <si>
    <r>
      <rPr>
        <sz val="10"/>
        <color theme="1"/>
        <rFont val="宋体"/>
        <family val="3"/>
        <charset val="134"/>
      </rPr>
      <t>常规★</t>
    </r>
  </si>
  <si>
    <r>
      <rPr>
        <sz val="10"/>
        <color theme="1"/>
        <rFont val="宋体"/>
        <family val="3"/>
        <charset val="134"/>
      </rPr>
      <t>√</t>
    </r>
  </si>
  <si>
    <r>
      <rPr>
        <sz val="10"/>
        <color theme="1"/>
        <rFont val="宋体"/>
        <family val="3"/>
        <charset val="134"/>
      </rPr>
      <t>备选</t>
    </r>
    <phoneticPr fontId="14" type="noConversion"/>
  </si>
  <si>
    <r>
      <rPr>
        <b/>
        <sz val="14"/>
        <rFont val="宋体"/>
        <family val="3"/>
        <charset val="134"/>
      </rPr>
      <t>短期借款附注披露信息</t>
    </r>
    <phoneticPr fontId="14" type="noConversion"/>
  </si>
  <si>
    <r>
      <rPr>
        <b/>
        <sz val="12"/>
        <rFont val="宋体"/>
        <family val="3"/>
        <charset val="134"/>
      </rPr>
      <t>附注披露信息（上市公司）：</t>
    </r>
    <phoneticPr fontId="14" type="noConversion"/>
  </si>
  <si>
    <r>
      <rPr>
        <sz val="12"/>
        <rFont val="宋体"/>
        <family val="3"/>
        <charset val="134"/>
      </rPr>
      <t>（</t>
    </r>
    <r>
      <rPr>
        <sz val="12"/>
        <rFont val="Arial Narrow"/>
        <family val="2"/>
      </rPr>
      <t>1</t>
    </r>
    <r>
      <rPr>
        <sz val="12"/>
        <rFont val="宋体"/>
        <family val="3"/>
        <charset val="134"/>
      </rPr>
      <t>）短期借款分类</t>
    </r>
  </si>
  <si>
    <r>
      <rPr>
        <b/>
        <sz val="12"/>
        <rFont val="宋体"/>
        <family val="3"/>
        <charset val="134"/>
      </rPr>
      <t>项</t>
    </r>
    <r>
      <rPr>
        <b/>
        <sz val="12"/>
        <rFont val="Arial Narrow"/>
        <family val="2"/>
      </rPr>
      <t xml:space="preserve">  </t>
    </r>
    <r>
      <rPr>
        <b/>
        <sz val="12"/>
        <rFont val="宋体"/>
        <family val="3"/>
        <charset val="134"/>
      </rPr>
      <t>目</t>
    </r>
  </si>
  <si>
    <r>
      <rPr>
        <b/>
        <sz val="12"/>
        <rFont val="宋体"/>
        <family val="3"/>
        <charset val="134"/>
      </rPr>
      <t>期末余额</t>
    </r>
    <phoneticPr fontId="14" type="noConversion"/>
  </si>
  <si>
    <r>
      <rPr>
        <b/>
        <sz val="12"/>
        <color rgb="FF000000"/>
        <rFont val="宋体"/>
        <family val="3"/>
        <charset val="134"/>
      </rPr>
      <t>上年年末余额</t>
    </r>
    <phoneticPr fontId="14" type="noConversion"/>
  </si>
  <si>
    <r>
      <rPr>
        <sz val="12"/>
        <rFont val="宋体"/>
        <family val="3"/>
        <charset val="134"/>
      </rPr>
      <t>信用借款</t>
    </r>
  </si>
  <si>
    <r>
      <rPr>
        <sz val="12"/>
        <rFont val="宋体"/>
        <family val="3"/>
        <charset val="134"/>
      </rPr>
      <t>质押借款</t>
    </r>
  </si>
  <si>
    <r>
      <rPr>
        <sz val="12"/>
        <rFont val="宋体"/>
        <family val="3"/>
        <charset val="134"/>
      </rPr>
      <t>抵押借款</t>
    </r>
  </si>
  <si>
    <r>
      <rPr>
        <sz val="12"/>
        <rFont val="宋体"/>
        <family val="3"/>
        <charset val="134"/>
      </rPr>
      <t>保证借款</t>
    </r>
  </si>
  <si>
    <r>
      <rPr>
        <b/>
        <sz val="12"/>
        <rFont val="宋体"/>
        <family val="3"/>
        <charset val="134"/>
      </rPr>
      <t>合</t>
    </r>
    <r>
      <rPr>
        <b/>
        <sz val="12"/>
        <rFont val="Arial Narrow"/>
        <family val="2"/>
      </rPr>
      <t xml:space="preserve">  </t>
    </r>
    <r>
      <rPr>
        <b/>
        <sz val="12"/>
        <rFont val="宋体"/>
        <family val="3"/>
        <charset val="134"/>
      </rPr>
      <t>计</t>
    </r>
  </si>
  <si>
    <r>
      <rPr>
        <sz val="12"/>
        <rFont val="宋体"/>
        <family val="3"/>
        <charset val="134"/>
      </rPr>
      <t>说明：</t>
    </r>
    <r>
      <rPr>
        <sz val="12"/>
        <color rgb="FF0000FF"/>
        <rFont val="宋体"/>
        <family val="3"/>
        <charset val="134"/>
      </rPr>
      <t>（用于抵押、质押的财产）</t>
    </r>
  </si>
  <si>
    <r>
      <rPr>
        <sz val="12"/>
        <rFont val="宋体"/>
        <family val="3"/>
        <charset val="134"/>
      </rPr>
      <t>（</t>
    </r>
    <r>
      <rPr>
        <sz val="12"/>
        <rFont val="Arial Narrow"/>
        <family val="2"/>
      </rPr>
      <t>2</t>
    </r>
    <r>
      <rPr>
        <sz val="12"/>
        <rFont val="宋体"/>
        <family val="3"/>
        <charset val="134"/>
      </rPr>
      <t>）逾期借款情况</t>
    </r>
    <r>
      <rPr>
        <sz val="12"/>
        <color rgb="FF0000FF"/>
        <rFont val="宋体"/>
        <family val="3"/>
        <charset val="134"/>
      </rPr>
      <t>（如无，删除）</t>
    </r>
  </si>
  <si>
    <r>
      <rPr>
        <sz val="12"/>
        <color rgb="FF0000FF"/>
        <rFont val="宋体"/>
        <family val="3"/>
        <charset val="134"/>
      </rPr>
      <t>（汇总披露逾期借款（包括从长期借款转入的）的期末余额。对于重要的逾期借款，还应按借款单位列示借款期末余额、借款利率、逾期时间、逾期利率。）</t>
    </r>
  </si>
  <si>
    <r>
      <rPr>
        <sz val="12"/>
        <rFont val="宋体"/>
        <family val="3"/>
        <charset val="134"/>
      </rPr>
      <t>本期末已逾期未偿还的短期借款余款合计</t>
    </r>
    <r>
      <rPr>
        <sz val="12"/>
        <rFont val="Arial Narrow"/>
        <family val="2"/>
      </rPr>
      <t>XXX</t>
    </r>
    <r>
      <rPr>
        <sz val="12"/>
        <rFont val="宋体"/>
        <family val="3"/>
        <charset val="134"/>
      </rPr>
      <t>元，其中由长期借款转入金额为</t>
    </r>
    <r>
      <rPr>
        <sz val="12"/>
        <rFont val="Arial Narrow"/>
        <family val="2"/>
      </rPr>
      <t>XXX</t>
    </r>
    <r>
      <rPr>
        <sz val="12"/>
        <rFont val="宋体"/>
        <family val="3"/>
        <charset val="134"/>
      </rPr>
      <t>元。</t>
    </r>
  </si>
  <si>
    <r>
      <rPr>
        <sz val="10"/>
        <rFont val="宋体"/>
        <family val="3"/>
        <charset val="134"/>
      </rPr>
      <t>重要的逾期借款情况如下：</t>
    </r>
  </si>
  <si>
    <r>
      <rPr>
        <b/>
        <sz val="12"/>
        <rFont val="宋体"/>
        <family val="3"/>
        <charset val="134"/>
      </rPr>
      <t>借款单位</t>
    </r>
  </si>
  <si>
    <r>
      <rPr>
        <b/>
        <sz val="12"/>
        <color rgb="FF000000"/>
        <rFont val="宋体"/>
        <family val="3"/>
        <charset val="134"/>
      </rPr>
      <t>期末余额</t>
    </r>
  </si>
  <si>
    <r>
      <rPr>
        <b/>
        <sz val="12"/>
        <color rgb="FF000000"/>
        <rFont val="宋体"/>
        <family val="3"/>
        <charset val="134"/>
      </rPr>
      <t>借款利率</t>
    </r>
  </si>
  <si>
    <r>
      <rPr>
        <b/>
        <sz val="12"/>
        <color rgb="FF000000"/>
        <rFont val="宋体"/>
        <family val="3"/>
        <charset val="134"/>
      </rPr>
      <t>逾期时间</t>
    </r>
  </si>
  <si>
    <r>
      <rPr>
        <b/>
        <sz val="12"/>
        <rFont val="宋体"/>
        <family val="3"/>
        <charset val="134"/>
      </rPr>
      <t>逾期利率</t>
    </r>
  </si>
  <si>
    <r>
      <rPr>
        <b/>
        <sz val="12"/>
        <color rgb="FF000000"/>
        <rFont val="宋体"/>
        <family val="3"/>
        <charset val="134"/>
      </rPr>
      <t>合</t>
    </r>
    <r>
      <rPr>
        <b/>
        <sz val="12"/>
        <color rgb="FF000000"/>
        <rFont val="Arial Narrow"/>
        <family val="2"/>
      </rPr>
      <t xml:space="preserve">  </t>
    </r>
    <r>
      <rPr>
        <b/>
        <sz val="12"/>
        <color rgb="FF000000"/>
        <rFont val="宋体"/>
        <family val="3"/>
        <charset val="134"/>
      </rPr>
      <t>计</t>
    </r>
  </si>
  <si>
    <r>
      <rPr>
        <b/>
        <sz val="12"/>
        <rFont val="宋体"/>
        <family val="3"/>
        <charset val="134"/>
      </rPr>
      <t>附注披露信息（国企）：</t>
    </r>
    <phoneticPr fontId="14" type="noConversion"/>
  </si>
  <si>
    <r>
      <rPr>
        <sz val="12"/>
        <rFont val="宋体"/>
        <family val="3"/>
        <charset val="134"/>
      </rPr>
      <t>短期借款</t>
    </r>
  </si>
  <si>
    <r>
      <rPr>
        <b/>
        <sz val="12"/>
        <rFont val="宋体"/>
        <family val="3"/>
        <charset val="134"/>
      </rPr>
      <t>借款类别</t>
    </r>
    <phoneticPr fontId="14" type="noConversion"/>
  </si>
  <si>
    <r>
      <rPr>
        <b/>
        <sz val="12"/>
        <rFont val="宋体"/>
        <family val="3"/>
        <charset val="134"/>
      </rPr>
      <t>年初余额</t>
    </r>
  </si>
  <si>
    <r>
      <rPr>
        <b/>
        <sz val="12"/>
        <rFont val="宋体"/>
        <family val="3"/>
        <charset val="134"/>
      </rPr>
      <t>债权单位</t>
    </r>
    <phoneticPr fontId="14" type="noConversion"/>
  </si>
  <si>
    <r>
      <rPr>
        <b/>
        <sz val="14"/>
        <rFont val="宋体"/>
        <family val="3"/>
        <charset val="134"/>
      </rPr>
      <t>抵</t>
    </r>
    <r>
      <rPr>
        <b/>
        <sz val="14"/>
        <rFont val="Arial Narrow"/>
        <family val="2"/>
      </rPr>
      <t>/</t>
    </r>
    <r>
      <rPr>
        <b/>
        <sz val="14"/>
        <rFont val="宋体"/>
        <family val="3"/>
        <charset val="134"/>
      </rPr>
      <t>质押资产检查表</t>
    </r>
    <phoneticPr fontId="14" type="noConversion"/>
  </si>
  <si>
    <r>
      <rPr>
        <b/>
        <sz val="14"/>
        <rFont val="宋体"/>
        <family val="3"/>
        <charset val="134"/>
      </rPr>
      <t>短期借款检查底稿</t>
    </r>
    <phoneticPr fontId="14" type="noConversion"/>
  </si>
  <si>
    <t>本期减少</t>
    <phoneticPr fontId="14" type="noConversion"/>
  </si>
  <si>
    <t>（1）短期借款期末余额较期初余额增加（负数为减少）：</t>
  </si>
  <si>
    <t>主要原因（比例超过30%的）：</t>
  </si>
  <si>
    <t>（2）已到期未偿还的短期借款情况说明。（贷款单位、贷款金额、贷款利率、贷款资金用途、未按期偿还的原因及预计还款期，</t>
  </si>
  <si>
    <t>并在期后事项中反映报表日后是否已偿还。若已到期的短期借款获得展期，应说明展期条件、新的到期日。）</t>
  </si>
  <si>
    <t>（3）公司用于抵押、质押的财产情况说明。</t>
  </si>
  <si>
    <t>（4）关联方保证、抵押或质押情况说明。</t>
  </si>
  <si>
    <t>E0</t>
    <phoneticPr fontId="14" type="noConversion"/>
  </si>
  <si>
    <t>1.资产负债表中记录的短期借款是存在的，且已经记录在恰当的账户中；2. 所有应记录的短期借款均已记录，所有应当包括在财务报表中的相关披露均已包括</t>
  </si>
  <si>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phoneticPr fontId="51" type="noConversion"/>
  </si>
  <si>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phoneticPr fontId="51" type="noConversion"/>
  </si>
  <si>
    <t>重分类调整</t>
    <phoneticPr fontId="39" type="noConversion"/>
  </si>
  <si>
    <t>重分类调整</t>
    <phoneticPr fontId="14" type="noConversion"/>
  </si>
  <si>
    <t>重分类调整</t>
    <phoneticPr fontId="14" type="noConversion"/>
  </si>
  <si>
    <t>一、审计目标:</t>
    <phoneticPr fontId="17" type="noConversion"/>
  </si>
  <si>
    <t>类别</t>
    <phoneticPr fontId="51" type="noConversion"/>
  </si>
  <si>
    <t>授信机构</t>
    <phoneticPr fontId="51" type="noConversion"/>
  </si>
  <si>
    <t>业务种类</t>
    <phoneticPr fontId="51" type="noConversion"/>
  </si>
  <si>
    <t>开立日期</t>
    <phoneticPr fontId="51" type="noConversion"/>
  </si>
  <si>
    <t>到期日</t>
    <phoneticPr fontId="51" type="noConversion"/>
  </si>
  <si>
    <t>币种</t>
    <phoneticPr fontId="51" type="noConversion"/>
  </si>
  <si>
    <t>借款金额</t>
    <phoneticPr fontId="51" type="noConversion"/>
  </si>
  <si>
    <t>发放形式</t>
    <phoneticPr fontId="51" type="noConversion"/>
  </si>
  <si>
    <t>担保方式</t>
    <phoneticPr fontId="51" type="noConversion"/>
  </si>
  <si>
    <t>企业信用查询记录信息余额</t>
  </si>
  <si>
    <t>逾期总额</t>
    <phoneticPr fontId="51" type="noConversion"/>
  </si>
  <si>
    <t>逾期本金</t>
    <phoneticPr fontId="51" type="noConversion"/>
  </si>
  <si>
    <t>逾期月数</t>
    <phoneticPr fontId="51" type="noConversion"/>
  </si>
  <si>
    <t>查询日到财务报表日减少金额</t>
    <phoneticPr fontId="51" type="noConversion"/>
  </si>
  <si>
    <t>查询日到财务报表日增加金额</t>
    <phoneticPr fontId="51" type="noConversion"/>
  </si>
  <si>
    <t>财务报表日的倒轧余额</t>
    <phoneticPr fontId="51" type="noConversion"/>
  </si>
  <si>
    <t>账面借款金额</t>
    <phoneticPr fontId="51" type="noConversion"/>
  </si>
  <si>
    <t>征信报告信息与账面数据差异</t>
    <phoneticPr fontId="51" type="noConversion"/>
  </si>
  <si>
    <t>差异原因</t>
    <phoneticPr fontId="51" type="noConversion"/>
  </si>
  <si>
    <t>备注</t>
    <phoneticPr fontId="51" type="noConversion"/>
  </si>
  <si>
    <t>无需打印</t>
    <phoneticPr fontId="14" type="noConversion"/>
  </si>
  <si>
    <t>注：本底稿适用于调整分录较多、较复杂的项目，且仅列示与本报表项目相关的审计调整。项目组可根据项目实际情况选择是否使用该底稿。</t>
    <phoneticPr fontId="14" type="noConversion"/>
  </si>
  <si>
    <t>短期借款审定数</t>
    <phoneticPr fontId="14" type="noConversion"/>
  </si>
  <si>
    <t>1.资产负债表中记录的短期借款是存在的，且已经记录在恰当的账户中；     2.记录的短期借款由被审计单位拥有或控制；</t>
  </si>
  <si>
    <t xml:space="preserve">3.短期借款以恰当的金额包括在财务报表中，与之相关的计价或分摊调整已恰当记录，相关披露已得到恰当计量和描述 </t>
  </si>
  <si>
    <t>短期借款已被恰当地汇总或分解且表述清楚，相关披露在按照企业会计准则的编制基础下是相关的、可理解的。</t>
    <phoneticPr fontId="14" type="noConversion"/>
  </si>
  <si>
    <r>
      <rPr>
        <b/>
        <sz val="10"/>
        <rFont val="宋体"/>
        <family val="3"/>
        <charset val="134"/>
      </rPr>
      <t>借款起始日期</t>
    </r>
    <phoneticPr fontId="17" type="noConversion"/>
  </si>
  <si>
    <r>
      <rPr>
        <b/>
        <sz val="10"/>
        <rFont val="宋体"/>
        <family val="3"/>
        <charset val="134"/>
      </rPr>
      <t>借款讫止日期</t>
    </r>
    <phoneticPr fontId="17" type="noConversion"/>
  </si>
  <si>
    <r>
      <rPr>
        <b/>
        <sz val="10"/>
        <rFont val="宋体"/>
        <family val="3"/>
        <charset val="134"/>
      </rPr>
      <t>结息日</t>
    </r>
    <phoneticPr fontId="17" type="noConversion"/>
  </si>
  <si>
    <r>
      <rPr>
        <b/>
        <sz val="10"/>
        <rFont val="宋体"/>
        <family val="3"/>
        <charset val="134"/>
      </rPr>
      <t>起算时点</t>
    </r>
    <phoneticPr fontId="17" type="noConversion"/>
  </si>
  <si>
    <r>
      <rPr>
        <b/>
        <sz val="10"/>
        <rFont val="宋体"/>
        <family val="3"/>
        <charset val="134"/>
      </rPr>
      <t>截止时点</t>
    </r>
    <phoneticPr fontId="17" type="noConversion"/>
  </si>
  <si>
    <t>序号</t>
    <phoneticPr fontId="14" type="noConversion"/>
  </si>
  <si>
    <r>
      <t xml:space="preserve">1. </t>
    </r>
    <r>
      <rPr>
        <sz val="10"/>
        <color indexed="8"/>
        <rFont val="宋体"/>
        <family val="3"/>
        <charset val="134"/>
      </rPr>
      <t>记录的短期借款是被审计单位应当履行的偿还义务</t>
    </r>
    <r>
      <rPr>
        <sz val="10"/>
        <color indexed="8"/>
        <rFont val="Arial Narrow"/>
        <family val="2"/>
      </rPr>
      <t>;2.</t>
    </r>
    <r>
      <rPr>
        <sz val="10"/>
        <color indexed="8"/>
        <rFont val="宋体"/>
        <family val="3"/>
        <charset val="134"/>
      </rPr>
      <t>短期借款已被恰当地汇总或分解且表述清楚，相关披露在按照企业会计准则的编制基础下是相关的、可理解的</t>
    </r>
  </si>
  <si>
    <t>获取企业征信报告并：1.考虑审查文件（如董事会/财务委员会会议纪要和信件）、定期存单原件，并在银行询证函中注明该定期存单是否已被质押或冻结；2.考虑检查房屋建筑物或土地使用权等权证的原件，如果被审计单位无法提供原件，则应追查原因，并向房产交易中心查询该权证是否已用于抵押或交易，以判断被审计单位是否存在未入账的银行借款。</t>
  </si>
  <si>
    <t>借款用途</t>
    <phoneticPr fontId="14" type="noConversion"/>
  </si>
  <si>
    <t>是否逾期</t>
    <phoneticPr fontId="14" type="noConversion"/>
  </si>
  <si>
    <t>与征信报告核对(√)</t>
    <phoneticPr fontId="14" type="noConversion"/>
  </si>
  <si>
    <t>提示：</t>
    <phoneticPr fontId="14" type="noConversion"/>
  </si>
  <si>
    <t>1.对已到期未偿还的短期借款，应单独列示贷款单位.贷款金额.贷款利率.贷款资金用途.未按期偿还的原因及预计还款期，并在期后事项中反映报表日后是否已偿还。</t>
  </si>
  <si>
    <t>2.应说明公司用于抵押.质押的财产情况；说明关联方保证.抵押或质押情况。。</t>
  </si>
  <si>
    <t>3.取得年度内所有借款合同.相应担保合同（保证.抵押.质押）.借据.还款单。</t>
  </si>
  <si>
    <t>4.与银行存款一起发函询证。</t>
  </si>
  <si>
    <r>
      <t>5.</t>
    </r>
    <r>
      <rPr>
        <sz val="10"/>
        <color rgb="FF0000FF"/>
        <rFont val="微软雅黑"/>
        <family val="2"/>
        <charset val="134"/>
      </rPr>
      <t>审计说明可以概述：（</t>
    </r>
    <r>
      <rPr>
        <sz val="10"/>
        <color rgb="FF0000FF"/>
        <rFont val="Arial Narrow"/>
        <family val="2"/>
      </rPr>
      <t>1</t>
    </r>
    <r>
      <rPr>
        <sz val="10"/>
        <color rgb="FF0000FF"/>
        <rFont val="微软雅黑"/>
        <family val="2"/>
        <charset val="134"/>
      </rPr>
      <t>）程序的测试情况</t>
    </r>
    <r>
      <rPr>
        <sz val="10"/>
        <color rgb="FF0000FF"/>
        <rFont val="Arial Narrow"/>
        <family val="2"/>
      </rPr>
      <t>.</t>
    </r>
    <r>
      <rPr>
        <sz val="10"/>
        <color rgb="FF0000FF"/>
        <rFont val="微软雅黑"/>
        <family val="2"/>
        <charset val="134"/>
      </rPr>
      <t>结果；（</t>
    </r>
    <r>
      <rPr>
        <sz val="10"/>
        <color rgb="FF0000FF"/>
        <rFont val="Arial Narrow"/>
        <family val="2"/>
      </rPr>
      <t>2</t>
    </r>
    <r>
      <rPr>
        <sz val="10"/>
        <color rgb="FF0000FF"/>
        <rFont val="微软雅黑"/>
        <family val="2"/>
        <charset val="134"/>
      </rPr>
      <t>）拟调整事项及其调整分录</t>
    </r>
    <r>
      <rPr>
        <sz val="10"/>
        <color rgb="FF0000FF"/>
        <rFont val="Arial Narrow"/>
        <family val="2"/>
      </rPr>
      <t>.</t>
    </r>
    <r>
      <rPr>
        <sz val="10"/>
        <color rgb="FF0000FF"/>
        <rFont val="微软雅黑"/>
        <family val="2"/>
        <charset val="134"/>
      </rPr>
      <t>未调整事项及其影响，审计范围受到限制情况及其影响。</t>
    </r>
    <phoneticPr fontId="14" type="noConversion"/>
  </si>
  <si>
    <r>
      <t>6.</t>
    </r>
    <r>
      <rPr>
        <sz val="10"/>
        <color rgb="FF0000FF"/>
        <rFont val="微软雅黑"/>
        <family val="2"/>
        <charset val="134"/>
      </rPr>
      <t>审计结论可参考：</t>
    </r>
    <r>
      <rPr>
        <sz val="10"/>
        <color rgb="FF0000FF"/>
        <rFont val="Arial Narrow"/>
        <family val="2"/>
      </rPr>
      <t>A.</t>
    </r>
    <r>
      <rPr>
        <sz val="10"/>
        <color rgb="FF0000FF"/>
        <rFont val="微软雅黑"/>
        <family val="2"/>
        <charset val="134"/>
      </rPr>
      <t>未见异常。</t>
    </r>
    <r>
      <rPr>
        <sz val="10"/>
        <color rgb="FF0000FF"/>
        <rFont val="Arial Narrow"/>
        <family val="2"/>
      </rPr>
      <t xml:space="preserve"> B.</t>
    </r>
    <r>
      <rPr>
        <sz val="10"/>
        <color rgb="FF0000FF"/>
        <rFont val="微软雅黑"/>
        <family val="2"/>
        <charset val="134"/>
      </rPr>
      <t>除上述重大不符事项应当作为调整事项予以调整外，其余未见异常。</t>
    </r>
    <r>
      <rPr>
        <sz val="10"/>
        <color rgb="FF0000FF"/>
        <rFont val="Arial Narrow"/>
        <family val="2"/>
      </rPr>
      <t xml:space="preserve">  C.</t>
    </r>
    <r>
      <rPr>
        <sz val="10"/>
        <color rgb="FF0000FF"/>
        <rFont val="微软雅黑"/>
        <family val="2"/>
        <charset val="134"/>
      </rPr>
      <t>由于存在以下重大未调整事项（或审计范围受到限制无法获取充分</t>
    </r>
    <r>
      <rPr>
        <sz val="10"/>
        <color rgb="FF0000FF"/>
        <rFont val="Arial Narrow"/>
        <family val="2"/>
      </rPr>
      <t>.</t>
    </r>
    <r>
      <rPr>
        <sz val="10"/>
        <color rgb="FF0000FF"/>
        <rFont val="微软雅黑"/>
        <family val="2"/>
        <charset val="134"/>
      </rPr>
      <t>适当证据），不可确认。</t>
    </r>
    <phoneticPr fontId="14" type="noConversion"/>
  </si>
  <si>
    <t>贷款合同检查表</t>
    <phoneticPr fontId="14" type="noConversion"/>
  </si>
  <si>
    <t>1.资产负债表中记录的短期借款是存在的，且已经记录在恰当的账户中；2. 所有应记录的短期借款均已记录，所有应当包括在财务报表中的相关披露均已包括；3.应付利息以恰当的金额包括在财务报表中，与之相关的计价或分摊调整已恰当记录，相关披露已得到恰当计量和描述</t>
    <phoneticPr fontId="14" type="noConversion"/>
  </si>
  <si>
    <t>项目</t>
    <phoneticPr fontId="14" type="noConversion"/>
  </si>
  <si>
    <t>期初数</t>
    <phoneticPr fontId="14" type="noConversion"/>
  </si>
  <si>
    <t>期末数</t>
    <phoneticPr fontId="14" type="noConversion"/>
  </si>
  <si>
    <t>本期未审数与上期
审定数的比较</t>
    <phoneticPr fontId="14" type="noConversion"/>
  </si>
  <si>
    <t>本期审定数与上期
审定数的比较</t>
    <phoneticPr fontId="14" type="noConversion"/>
  </si>
  <si>
    <t>原因分析</t>
    <phoneticPr fontId="39" type="noConversion"/>
  </si>
  <si>
    <t>未审数</t>
    <phoneticPr fontId="14" type="noConversion"/>
  </si>
  <si>
    <t>审定数</t>
    <phoneticPr fontId="14" type="noConversion"/>
  </si>
  <si>
    <t>变动额</t>
  </si>
  <si>
    <t>变动率</t>
    <phoneticPr fontId="14" type="noConversion"/>
  </si>
  <si>
    <t>变动额</t>
    <phoneticPr fontId="14" type="noConversion"/>
  </si>
  <si>
    <r>
      <rPr>
        <b/>
        <sz val="10"/>
        <rFont val="宋体"/>
        <family val="3"/>
        <charset val="134"/>
      </rPr>
      <t>一、审计目标</t>
    </r>
    <r>
      <rPr>
        <b/>
        <sz val="10"/>
        <rFont val="Arial Narrow"/>
        <family val="2"/>
      </rPr>
      <t>:</t>
    </r>
    <phoneticPr fontId="14" type="noConversion"/>
  </si>
  <si>
    <r>
      <rPr>
        <b/>
        <sz val="10"/>
        <rFont val="宋体"/>
        <family val="3"/>
        <charset val="134"/>
      </rPr>
      <t>二、审计过程</t>
    </r>
    <r>
      <rPr>
        <b/>
        <sz val="10"/>
        <rFont val="Arial Narrow"/>
        <family val="2"/>
      </rPr>
      <t>:</t>
    </r>
    <phoneticPr fontId="14" type="noConversion"/>
  </si>
  <si>
    <t>准确性、计价和分摊</t>
    <phoneticPr fontId="14" type="noConversion"/>
  </si>
  <si>
    <t>权利和义务</t>
    <phoneticPr fontId="14" type="noConversion"/>
  </si>
  <si>
    <t>列报</t>
    <phoneticPr fontId="14" type="noConversion"/>
  </si>
  <si>
    <t>短期借款</t>
    <phoneticPr fontId="14" type="noConversion"/>
  </si>
  <si>
    <t>一、本账户涉及的科目</t>
    <phoneticPr fontId="14" type="noConversion"/>
  </si>
  <si>
    <t>二、审计目标与认定对应关系</t>
    <phoneticPr fontId="14" type="noConversion"/>
  </si>
  <si>
    <t>完整性</t>
    <phoneticPr fontId="14" type="noConversion"/>
  </si>
  <si>
    <r>
      <rPr>
        <sz val="10"/>
        <color theme="1"/>
        <rFont val="宋体"/>
        <family val="3"/>
        <charset val="134"/>
      </rPr>
      <t>获取或编制短期借款的明细表，完成以下工作，并编制审定表
（</t>
    </r>
    <r>
      <rPr>
        <sz val="10"/>
        <color theme="1"/>
        <rFont val="Arial Narrow"/>
        <family val="2"/>
      </rPr>
      <t>1</t>
    </r>
    <r>
      <rPr>
        <sz val="10"/>
        <color theme="1"/>
        <rFont val="宋体"/>
        <family val="3"/>
        <charset val="134"/>
      </rPr>
      <t>）复核加计是否正确，与总账、明细账合计数核对是否相符，期初余额与上期审定期末余额是否相符；
（</t>
    </r>
    <r>
      <rPr>
        <sz val="10"/>
        <color theme="1"/>
        <rFont val="Arial Narrow"/>
        <family val="2"/>
      </rPr>
      <t>2</t>
    </r>
    <r>
      <rPr>
        <sz val="10"/>
        <color theme="1"/>
        <rFont val="宋体"/>
        <family val="3"/>
        <charset val="134"/>
      </rPr>
      <t>）检查非记账本位币债务的折算汇率及折算金额是否正确，折算方法是否前后期一致。</t>
    </r>
    <phoneticPr fontId="51" type="noConversion"/>
  </si>
  <si>
    <t>√</t>
  </si>
  <si>
    <t>对短期借款进行函证。除非有充分证据表明某一借款对财务报表不重要且与之相关的重大错报风险很低。如果不对这些项目实施函证程序，在审计工作底稿中说明理由。</t>
    <phoneticPr fontId="51" type="noConversion"/>
  </si>
  <si>
    <r>
      <rPr>
        <b/>
        <sz val="10"/>
        <color theme="1"/>
        <rFont val="宋体"/>
        <family val="3"/>
        <charset val="134"/>
      </rPr>
      <t>√</t>
    </r>
    <phoneticPr fontId="14" type="noConversion"/>
  </si>
  <si>
    <r>
      <rPr>
        <b/>
        <sz val="10"/>
        <color theme="1"/>
        <rFont val="宋体"/>
        <family val="3"/>
        <charset val="134"/>
      </rPr>
      <t>√</t>
    </r>
    <phoneticPr fontId="14" type="noConversion"/>
  </si>
  <si>
    <t>短期借款实质性程序</t>
    <phoneticPr fontId="14" type="noConversion"/>
  </si>
  <si>
    <t>检查短期借款是否已按企业会计准则或其他适用的规定在财务报表中做出恰当列报和披露。</t>
    <phoneticPr fontId="14" type="noConversion"/>
  </si>
  <si>
    <t>针对性检查：
（1）对本期新增债务，获取借款合同、担保合同、银行放款原始凭证等，关注金额、利率、期限等相关信息，检查会计处理是否正确。
（2）对本期减少的债务，获取归还借款的原始凭证，核实还款数据，检查会计处理是否正确。
（3）关注逾期借款的形成原因、还款计划调整、利息偿还情况及诉讼或其法律纠纷，若逾期金额较大，需评估对企业持续经营能力的影响，并检查是否已充分披露相关事项。</t>
    <phoneticPr fontId="14" type="noConversion"/>
  </si>
  <si>
    <t>1.关注未能办理转期手续的是否引发了诉讼事项，如确引发了诉讼事项，取得贷款人的诉状；2.分析逾期借款占公司全部借款的比例，对公司持续经营的影响程度。</t>
    <phoneticPr fontId="14" type="noConversion"/>
  </si>
  <si>
    <t>获取被审计单位资产负债表日后最近一期的企业信用报告，核对关键信息，核实账面记录是否准确、完整。对被审计单位企业信用报告中列示的信息与账面记录核对的差异进行分析，关注企业信用报告中列示的被审计单位对外担保的信息。</t>
    <phoneticPr fontId="14" type="noConversion"/>
  </si>
  <si>
    <r>
      <t>对期初余额的审计，取得短期借款期初余额明细表复核加计是否正确，与总账、明细账合计数是否相符。获得每项债务的信息，包括与债权人函证余额、抵押品、到期日、利率、担保等。检查上期短期借款在本期归还情况，函证期初余额以及其他必要追加的审计程序。</t>
    </r>
    <r>
      <rPr>
        <sz val="10"/>
        <color rgb="FFFF0000"/>
        <rFont val="宋体"/>
        <family val="3"/>
        <charset val="134"/>
      </rPr>
      <t>（适用于首次承接）</t>
    </r>
    <phoneticPr fontId="14" type="noConversion"/>
  </si>
  <si>
    <t>L1-1
/L1-2</t>
    <phoneticPr fontId="51" type="noConversion"/>
  </si>
  <si>
    <t>L1-6
/L1-7
/L1-9</t>
    <phoneticPr fontId="51" type="noConversion"/>
  </si>
  <si>
    <t>根据评估的舞弊风险等因素增加的审计程序。</t>
  </si>
  <si>
    <t>IPO/上市/新三板/重组/舞弊应对</t>
  </si>
  <si>
    <t>10</t>
  </si>
  <si>
    <t>借款利息测算及资本化判断：
（1）对短期借款的利息进行测算并与本期实计利息核对，检查会计处理是否正确；
（2）结合存货、固定资产等循环审计，关注借款费用资本化是否恰当，资本化的处理是否符合规定，确认全部利息费用已正确区分为资本性支出和收益性支出，并已正确入账。</t>
    <phoneticPr fontId="14" type="noConversion"/>
  </si>
  <si>
    <r>
      <rPr>
        <b/>
        <sz val="10"/>
        <rFont val="宋体"/>
        <family val="3"/>
        <charset val="134"/>
      </rPr>
      <t>保证人</t>
    </r>
    <r>
      <rPr>
        <b/>
        <sz val="10"/>
        <rFont val="Arial Narrow"/>
        <family val="2"/>
      </rPr>
      <t>/</t>
    </r>
    <r>
      <rPr>
        <b/>
        <sz val="10"/>
        <rFont val="宋体"/>
        <family val="3"/>
        <charset val="134"/>
      </rPr>
      <t>抵、质押人是否为关联方</t>
    </r>
    <phoneticPr fontId="14" type="noConversion"/>
  </si>
  <si>
    <t>检查被审计单位用于短期借款的抵押或质押等资产的所有权是否属于被审计单位，其价值和实际状况是否与契约中的规定相一致。</t>
    <phoneticPr fontId="14" type="noConversion"/>
  </si>
  <si>
    <r>
      <rPr>
        <sz val="10"/>
        <color theme="1"/>
        <rFont val="宋体"/>
        <family val="3"/>
        <charset val="134"/>
      </rPr>
      <t>√</t>
    </r>
    <phoneticPr fontId="14" type="noConversion"/>
  </si>
  <si>
    <r>
      <rPr>
        <b/>
        <sz val="10"/>
        <color theme="1"/>
        <rFont val="宋体"/>
        <family val="3"/>
        <charset val="134"/>
      </rPr>
      <t>√</t>
    </r>
    <phoneticPr fontId="14" type="noConversion"/>
  </si>
  <si>
    <r>
      <t>A1-1/</t>
    </r>
    <r>
      <rPr>
        <sz val="10"/>
        <color rgb="FFFF0000"/>
        <rFont val="Arial Narrow"/>
        <family val="2"/>
      </rPr>
      <t>A1-15 /A1-16</t>
    </r>
    <phoneticPr fontId="51" type="noConversion"/>
  </si>
  <si>
    <t>借款期限</t>
    <phoneticPr fontId="14" type="noConversion"/>
  </si>
  <si>
    <t>借款/授信/保证/抵押/质押等合同信息</t>
    <phoneticPr fontId="14" type="noConversion"/>
  </si>
  <si>
    <r>
      <rPr>
        <b/>
        <sz val="10"/>
        <color theme="1"/>
        <rFont val="宋体"/>
        <family val="3"/>
        <charset val="134"/>
      </rPr>
      <t>√</t>
    </r>
    <phoneticPr fontId="14" type="noConversion"/>
  </si>
  <si>
    <t>实施函证程序：
（1）以积极方式对短期借款进行函证，设计询证函、发函前核实被函证单位信息；
（2）注册会计师独立收发询证函；
（3）编制函证结果汇总表，检查发函、回函物流信息和轨迹、比对回函印章和签字等以核实回函的真实性，检查回函是否相符，对不符事项查明原因确定是否存在错报；
（4）如果未收到回函，应当考虑与被询证者联系，要求对方作出回应或再次寄发询证函；
（5）如果管理层不允许寄发询证函的，询问管理层不允许寄发的原因，并就其原因的正当、合理性收集证据；考虑实施替代审计程序以获取相关、可靠的审计证据；
（6）如果管理层不允许寄发询证函的原因不合理、或者认为回函不可靠，评价对评估的重大错报风险以及其他审计程序的性质、时间安排和范围的影响，并确定其对审计工作和审计意见的影响。</t>
    <phoneticPr fontId="14" type="noConversion"/>
  </si>
  <si>
    <t>二、测试：</t>
    <phoneticPr fontId="23" type="noConversion"/>
  </si>
  <si>
    <t>测试原因：大额（）关联方（）大额交易频繁（）异常（）其他（）</t>
    <phoneticPr fontId="14"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</si>
  <si>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4" type="noConversion"/>
  </si>
  <si>
    <t>记账凭证</t>
    <phoneticPr fontId="14" type="noConversion"/>
  </si>
  <si>
    <t>支持性文件</t>
    <phoneticPr fontId="14" type="noConversion"/>
  </si>
  <si>
    <r>
      <rPr>
        <b/>
        <sz val="10"/>
        <rFont val="宋体"/>
        <family val="3"/>
        <charset val="134"/>
      </rPr>
      <t>核对内容</t>
    </r>
  </si>
  <si>
    <t>是否异常</t>
    <phoneticPr fontId="14" type="noConversion"/>
  </si>
  <si>
    <t>备注说明</t>
    <phoneticPr fontId="14" type="noConversion"/>
  </si>
  <si>
    <t>日期</t>
  </si>
  <si>
    <t>凭证编号</t>
  </si>
  <si>
    <t>业务内容</t>
    <phoneticPr fontId="14" type="noConversion"/>
  </si>
  <si>
    <t>对方科目</t>
    <phoneticPr fontId="14" type="noConversion"/>
  </si>
  <si>
    <t>对方明细科目</t>
    <phoneticPr fontId="14" type="noConversion"/>
  </si>
  <si>
    <t>借方金额</t>
    <phoneticPr fontId="14" type="noConversion"/>
  </si>
  <si>
    <t>贷方金额</t>
    <phoneticPr fontId="14" type="noConversion"/>
  </si>
  <si>
    <t>合计</t>
    <phoneticPr fontId="14" type="noConversion"/>
  </si>
  <si>
    <r>
      <rPr>
        <b/>
        <sz val="10"/>
        <color indexed="8"/>
        <rFont val="宋体"/>
        <family val="3"/>
        <charset val="134"/>
      </rPr>
      <t>一、审计目标：</t>
    </r>
    <phoneticPr fontId="14" type="noConversion"/>
  </si>
  <si>
    <r>
      <rPr>
        <sz val="10"/>
        <rFont val="宋体"/>
        <family val="3"/>
        <charset val="134"/>
      </rPr>
      <t>被审计单位：</t>
    </r>
    <r>
      <rPr>
        <sz val="10"/>
        <rFont val="Arial Narrow"/>
        <family val="2"/>
      </rPr>
      <t/>
    </r>
    <phoneticPr fontId="14" type="noConversion"/>
  </si>
  <si>
    <t>编制人：</t>
    <phoneticPr fontId="14" type="noConversion"/>
  </si>
  <si>
    <t>编制日期：</t>
    <phoneticPr fontId="14" type="noConversion"/>
  </si>
  <si>
    <t>复核人：</t>
    <phoneticPr fontId="14" type="noConversion"/>
  </si>
  <si>
    <t>复核日期：</t>
    <phoneticPr fontId="14" type="noConversion"/>
  </si>
  <si>
    <t>审计目标</t>
    <phoneticPr fontId="51" type="noConversion"/>
  </si>
  <si>
    <r>
      <t xml:space="preserve">C. </t>
    </r>
    <r>
      <rPr>
        <sz val="10"/>
        <rFont val="宋体"/>
        <family val="3"/>
        <charset val="134"/>
      </rPr>
      <t>记录的短期借款是被审计单位应当履行的偿还义务</t>
    </r>
    <phoneticPr fontId="14" type="noConversion"/>
  </si>
  <si>
    <r>
      <t xml:space="preserve">D. </t>
    </r>
    <r>
      <rPr>
        <sz val="10"/>
        <rFont val="宋体"/>
        <family val="3"/>
        <charset val="134"/>
      </rPr>
      <t>短期借款以恰当的金额包括在财务报表中，与之相关的计价或分摊调整已恰当记录，相关披露已得到恰当计量和描述</t>
    </r>
    <r>
      <rPr>
        <sz val="10"/>
        <rFont val="Arial Narrow"/>
        <family val="2"/>
      </rPr>
      <t xml:space="preserve"> </t>
    </r>
    <phoneticPr fontId="14" type="noConversion"/>
  </si>
  <si>
    <r>
      <t xml:space="preserve">E. </t>
    </r>
    <r>
      <rPr>
        <sz val="10"/>
        <rFont val="宋体"/>
        <family val="3"/>
        <charset val="134"/>
      </rPr>
      <t>短期借款已被恰当地汇总或分解且表述清楚，相关披露在按照企业会计准则的编制基础下是相关的、可理解的</t>
    </r>
    <phoneticPr fontId="14"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</si>
  <si>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4" type="noConversion"/>
  </si>
  <si>
    <t>关于工作底稿与审计程序索引号对应的说明</t>
    <phoneticPr fontId="14"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</si>
  <si>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4"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</si>
  <si>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4"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</si>
  <si>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4" type="noConversion"/>
  </si>
  <si>
    <t>根据被审计单位实际情况和风险评估情况裁剪、修改或增加审计程序</t>
    <phoneticPr fontId="14" type="noConversion"/>
  </si>
  <si>
    <t>审计程序</t>
    <phoneticPr fontId="51" type="noConversion"/>
  </si>
  <si>
    <t>T1
/</t>
    <phoneticPr fontId="14" type="noConversion"/>
  </si>
  <si>
    <t>页次：</t>
    <phoneticPr fontId="14" type="noConversion"/>
  </si>
  <si>
    <t>1.测算过程</t>
    <phoneticPr fontId="51" type="noConversion"/>
  </si>
  <si>
    <r>
      <t>2.</t>
    </r>
    <r>
      <rPr>
        <sz val="10"/>
        <rFont val="宋体"/>
        <family val="3"/>
        <charset val="134"/>
      </rPr>
      <t>借款人担保信息：</t>
    </r>
    <phoneticPr fontId="51" type="noConversion"/>
  </si>
  <si>
    <r>
      <t>3.</t>
    </r>
    <r>
      <rPr>
        <sz val="10"/>
        <rFont val="宋体"/>
        <family val="3"/>
        <charset val="134"/>
      </rPr>
      <t>其他信息</t>
    </r>
    <phoneticPr fontId="51" type="noConversion"/>
  </si>
  <si>
    <r>
      <t>4.</t>
    </r>
    <r>
      <rPr>
        <sz val="10"/>
        <rFont val="宋体"/>
        <family val="3"/>
        <charset val="134"/>
      </rPr>
      <t>信用报告信息索引号：</t>
    </r>
    <phoneticPr fontId="51" type="noConversion"/>
  </si>
  <si>
    <t>页 次：</t>
    <phoneticPr fontId="14" type="noConversion"/>
  </si>
  <si>
    <t>1.获取债务协议，复核关键或重要项，如本金、利息、到期日、抵押、规定的付息日及债务契约，汇总检查协议时注意到的重要信息；
2.检查被审计单位用于借款的抵押资产的所有权是否属于被审计单位，其价值和实际状况是否与协议中的规定一致。</t>
    <phoneticPr fontId="14" type="noConversion"/>
  </si>
  <si>
    <t>本期发生额</t>
    <phoneticPr fontId="14" type="noConversion"/>
  </si>
  <si>
    <t>检查比例</t>
    <phoneticPr fontId="14" type="noConversion"/>
  </si>
  <si>
    <t>1.如果检查比例较低应扩大检查样本量或说明原因</t>
    <phoneticPr fontId="14" type="noConversion"/>
  </si>
  <si>
    <t>2.……</t>
    <phoneticPr fontId="14" type="noConversion"/>
  </si>
  <si>
    <t>页  次：</t>
    <phoneticPr fontId="14" type="noConversion"/>
  </si>
  <si>
    <t>E0-2</t>
  </si>
  <si>
    <t>货币资金发函记录表</t>
  </si>
  <si>
    <t>E0-3</t>
  </si>
  <si>
    <t>借款发函记录表</t>
  </si>
  <si>
    <t>E0-4</t>
  </si>
  <si>
    <t>E0-7</t>
  </si>
  <si>
    <t>E0-8</t>
  </si>
  <si>
    <t>函证结果汇总表</t>
    <phoneticPr fontId="14" type="noConversion"/>
  </si>
  <si>
    <t>E0-1</t>
    <phoneticPr fontId="51" type="noConversion"/>
  </si>
  <si>
    <t>核实被函证单位信息</t>
    <phoneticPr fontId="14" type="noConversion"/>
  </si>
  <si>
    <t>跟函函证过程控制</t>
    <phoneticPr fontId="14" type="noConversion"/>
  </si>
  <si>
    <t>函证程序舞弊风险评价表</t>
    <phoneticPr fontId="14" type="noConversion"/>
  </si>
  <si>
    <t>短期借款调整分录汇总表</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</si>
</sst>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4">
    <numFmt numFmtId="41" formatCode="_ * #,##0_ ;_ * \-#,##0_ ;_ * &quot;-&quot;_ ;_ @_ "/>
    <numFmt numFmtId="43" formatCode="_ * #,##0.00_ ;_ * \-#,##0.00_ ;_ * &quot;-&quot;??_ ;_ @_ "/>
    <numFmt numFmtId="176" formatCode="_-* #,##0_-;\-* #,##0_-;_-* &quot;-&quot;_-;_-@_-"/>
    <numFmt numFmtId="177" formatCode="_-* #,##0.00_-;\-* #,##0.00_-;_-* &quot;-&quot;??_-;_-@_-"/>
    <numFmt numFmtId="178" formatCode="&quot;$&quot;#,##0_);\(&quot;$&quot;#,##0\)"/>
    <numFmt numFmtId="179" formatCode="_-&quot;$&quot;* #,##0_-;\-&quot;$&quot;* #,##0_-;_-&quot;$&quot;* &quot;-&quot;_-;_-@_-"/>
    <numFmt numFmtId="180" formatCode="_-&quot;$&quot;* #,##0.00_-;\-&quot;$&quot;* #,##0.00_-;_-&quot;$&quot;* &quot;-&quot;??_-;_-@_-"/>
    <numFmt numFmtId="181" formatCode="&quot;\&quot;#,##0;&quot;\&quot;&quot;\&quot;\-#,##0"/>
    <numFmt numFmtId="182" formatCode="&quot;\&quot;#,##0;[Red]&quot;\&quot;&quot;\&quot;\-#,##0"/>
    <numFmt numFmtId="183" formatCode="&quot;\&quot;#,##0.00;[Red]&quot;\&quot;&quot;\&quot;\-#,##0.00"/>
    <numFmt numFmtId="184" formatCode="_-#,##0.00_-;\(#,##0.00\);_-\ \ &quot;-&quot;_-;_-@_-"/>
    <numFmt numFmtId="185" formatCode="mmm/yyyy;_-\ &quot;N/A&quot;_-;_-\ &quot;-&quot;_-"/>
    <numFmt numFmtId="186" formatCode="mmm/dd/yyyy;_-\ &quot;N/A&quot;_-;_-\ &quot;-&quot;_-"/>
    <numFmt numFmtId="187" formatCode="_-#,##0_-;\(#,##0\);_-\ \ &quot;-&quot;_-;_-@_-"/>
    <numFmt numFmtId="188" formatCode="_-#,##0%_-;\(#,##0%\);_-\ &quot;-&quot;_-"/>
    <numFmt numFmtId="189" formatCode="_-#,###,_-;\(#,###,\);_-\ \ &quot;-&quot;_-;_-@_-"/>
    <numFmt numFmtId="190" formatCode="_-#,###.00,_-;\(#,###.00,\);_-\ \ &quot;-&quot;_-;_-@_-"/>
    <numFmt numFmtId="191" formatCode="_([$€-2]* #,##0.00_);_([$€-2]* \(#,##0.00\);_([$€-2]* &quot;-&quot;??_)"/>
    <numFmt numFmtId="192" formatCode="_-#0&quot;.&quot;0000_-;\(#0&quot;.&quot;0000\);_-\ \ &quot;-&quot;_-;_-@_-"/>
    <numFmt numFmtId="193" formatCode="_-#0&quot;.&quot;0,_-;\(#0&quot;.&quot;0,\);_-\ \ &quot;-&quot;_-;_-@_-"/>
    <numFmt numFmtId="194" formatCode="#,##0.00_ "/>
    <numFmt numFmtId="195" formatCode="&quot;\&quot;#,##0.00;[Red]&quot;\&quot;&quot;\&quot;&quot;\&quot;&quot;\&quot;&quot;\&quot;&quot;\&quot;\-#,##0.00"/>
    <numFmt numFmtId="196" formatCode="&quot;\&quot;#,##0.00;[Red]&quot;\&quot;\-#,##0.00"/>
    <numFmt numFmtId="197" formatCode="&quot;\&quot;#,##0;[Red]&quot;\&quot;\-#,##0"/>
  </numFmts>
  <fonts count="90">
    <font>
      <sz val="12"/>
      <name val="宋体"/>
      <charset val="134"/>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7"/>
      <color indexed="10"/>
      <name val="Helv"/>
      <family val="2"/>
    </font>
    <font>
      <u/>
      <sz val="12"/>
      <color indexed="12"/>
      <name val="宋体"/>
      <family val="3"/>
      <charset val="134"/>
    </font>
    <font>
      <sz val="12"/>
      <name val="楷体_GB2312"/>
      <family val="3"/>
      <charset val="134"/>
    </font>
    <font>
      <sz val="9"/>
      <name val="宋体"/>
      <family val="3"/>
      <charset val="134"/>
    </font>
    <font>
      <sz val="10"/>
      <name val="宋体"/>
      <family val="3"/>
      <charset val="134"/>
    </font>
    <font>
      <b/>
      <sz val="12"/>
      <name val="宋体"/>
      <family val="3"/>
      <charset val="134"/>
    </font>
    <font>
      <sz val="10"/>
      <name val="Times New Roman"/>
      <family val="1"/>
    </font>
    <font>
      <b/>
      <sz val="10"/>
      <name val="宋体"/>
      <family val="3"/>
      <charset val="134"/>
    </font>
    <font>
      <sz val="12"/>
      <name val="Times New Roman"/>
      <family val="1"/>
    </font>
    <font>
      <b/>
      <sz val="10"/>
      <color indexed="8"/>
      <name val="宋体"/>
      <family val="3"/>
      <charset val="134"/>
    </font>
    <font>
      <i/>
      <sz val="10"/>
      <name val="宋体"/>
      <family val="3"/>
      <charset val="134"/>
    </font>
    <font>
      <sz val="10"/>
      <color indexed="12"/>
      <name val="宋体"/>
      <family val="3"/>
      <charset val="134"/>
    </font>
    <font>
      <sz val="18"/>
      <color indexed="48"/>
      <name val="魏碑"/>
      <family val="3"/>
      <charset val="134"/>
    </font>
    <font>
      <u val="singleAccounting"/>
      <vertAlign val="subscript"/>
      <sz val="10"/>
      <name val="Times New Roman"/>
      <family val="1"/>
    </font>
    <font>
      <i/>
      <sz val="9"/>
      <name val="Times New Roman"/>
      <family val="1"/>
    </font>
    <font>
      <b/>
      <sz val="10"/>
      <name val="Arial Narrow"/>
      <family val="2"/>
    </font>
    <font>
      <sz val="12"/>
      <name val="Arial Narrow"/>
      <family val="2"/>
    </font>
    <font>
      <b/>
      <sz val="12"/>
      <name val="Arial Narrow"/>
      <family val="2"/>
    </font>
    <font>
      <sz val="10"/>
      <name val="Arial Narrow"/>
      <family val="2"/>
    </font>
    <font>
      <u/>
      <sz val="10"/>
      <name val="Arial Narrow"/>
      <family val="2"/>
    </font>
    <font>
      <sz val="10"/>
      <color indexed="12"/>
      <name val="Arial Narrow"/>
      <family val="2"/>
    </font>
    <font>
      <b/>
      <sz val="9"/>
      <color indexed="81"/>
      <name val="宋体"/>
      <family val="3"/>
      <charset val="134"/>
    </font>
    <font>
      <sz val="9"/>
      <color indexed="81"/>
      <name val="宋体"/>
      <family val="3"/>
      <charset val="134"/>
    </font>
    <font>
      <b/>
      <sz val="10"/>
      <color indexed="8"/>
      <name val="Arial Narrow"/>
      <family val="2"/>
    </font>
    <font>
      <i/>
      <sz val="10"/>
      <name val="Arial Narrow"/>
      <family val="2"/>
    </font>
    <font>
      <sz val="14"/>
      <name val="Arial Narrow"/>
      <family val="2"/>
    </font>
    <font>
      <sz val="12"/>
      <color indexed="8"/>
      <name val="Arial Narrow"/>
      <family val="2"/>
    </font>
    <font>
      <b/>
      <u/>
      <sz val="10"/>
      <color indexed="10"/>
      <name val="Arial Narrow"/>
      <family val="2"/>
    </font>
    <font>
      <sz val="9"/>
      <name val="宋体"/>
      <family val="3"/>
      <charset val="134"/>
      <scheme val="minor"/>
    </font>
    <font>
      <b/>
      <sz val="10"/>
      <color rgb="FFFF0000"/>
      <name val="Arial Narrow"/>
      <family val="2"/>
    </font>
    <font>
      <sz val="10"/>
      <color rgb="FFFF0000"/>
      <name val="宋体"/>
      <family val="3"/>
      <charset val="134"/>
    </font>
    <font>
      <sz val="10"/>
      <color rgb="FFFF0000"/>
      <name val="Arial Narrow"/>
      <family val="2"/>
    </font>
    <font>
      <sz val="11"/>
      <color theme="1"/>
      <name val="宋体"/>
      <family val="3"/>
      <charset val="134"/>
      <scheme val="minor"/>
    </font>
    <font>
      <sz val="10"/>
      <color indexed="8"/>
      <name val="Arial Narrow"/>
      <family val="2"/>
    </font>
    <font>
      <b/>
      <sz val="12"/>
      <color indexed="8"/>
      <name val="Arial Narrow"/>
      <family val="2"/>
    </font>
    <font>
      <b/>
      <sz val="12"/>
      <name val="Arial"/>
      <family val="2"/>
    </font>
    <font>
      <sz val="14"/>
      <name val="柧挬"/>
      <family val="2"/>
    </font>
    <font>
      <sz val="12"/>
      <name val="官帕眉"/>
      <family val="2"/>
    </font>
    <font>
      <sz val="10"/>
      <name val="奔覆眉"/>
      <family val="2"/>
    </font>
    <font>
      <sz val="12"/>
      <name val="柧挬"/>
      <family val="2"/>
    </font>
    <font>
      <sz val="9"/>
      <name val="宋体"/>
      <family val="2"/>
      <charset val="134"/>
      <scheme val="minor"/>
    </font>
    <font>
      <sz val="11"/>
      <color indexed="9"/>
      <name val="宋体"/>
      <family val="3"/>
      <charset val="134"/>
    </font>
    <font>
      <sz val="9"/>
      <name val="Arial Narrow"/>
      <family val="2"/>
    </font>
    <font>
      <sz val="12"/>
      <color rgb="FF0000FF"/>
      <name val="Arial Narrow"/>
      <family val="2"/>
    </font>
    <font>
      <sz val="10"/>
      <color indexed="8"/>
      <name val="宋体"/>
      <family val="3"/>
      <charset val="134"/>
    </font>
    <font>
      <i/>
      <u/>
      <sz val="10"/>
      <color indexed="12"/>
      <name val="Arial Narrow"/>
      <family val="2"/>
    </font>
    <font>
      <b/>
      <sz val="12"/>
      <color rgb="FF000000"/>
      <name val="Arial Narrow"/>
      <family val="2"/>
    </font>
    <font>
      <b/>
      <sz val="9"/>
      <name val="Arial Narrow"/>
      <family val="2"/>
    </font>
    <font>
      <b/>
      <sz val="9"/>
      <name val="宋体"/>
      <family val="3"/>
      <charset val="134"/>
    </font>
    <font>
      <b/>
      <sz val="14"/>
      <name val="Arial Narrow"/>
      <family val="2"/>
    </font>
    <font>
      <sz val="10"/>
      <color theme="1"/>
      <name val="Arial Narrow"/>
      <family val="2"/>
    </font>
    <font>
      <sz val="11"/>
      <color theme="1"/>
      <name val="Arial Narrow"/>
      <family val="2"/>
    </font>
    <font>
      <b/>
      <sz val="10"/>
      <color theme="1"/>
      <name val="Arial Narrow"/>
      <family val="2"/>
    </font>
    <font>
      <sz val="10"/>
      <color theme="1"/>
      <name val="宋体"/>
      <family val="3"/>
      <charset val="134"/>
    </font>
    <font>
      <b/>
      <sz val="10"/>
      <color theme="1"/>
      <name val="宋体"/>
      <family val="3"/>
      <charset val="134"/>
    </font>
    <font>
      <b/>
      <sz val="10"/>
      <color rgb="FFE92841"/>
      <name val="Arial Narrow"/>
      <family val="2"/>
    </font>
    <font>
      <sz val="12"/>
      <color rgb="FF0432FF"/>
      <name val="Arial Narrow"/>
      <family val="2"/>
    </font>
    <font>
      <sz val="12"/>
      <color rgb="FF0432FF"/>
      <name val="宋体"/>
      <family val="3"/>
      <charset val="134"/>
    </font>
    <font>
      <sz val="10"/>
      <name val="宋体"/>
      <family val="2"/>
      <charset val="134"/>
    </font>
    <font>
      <b/>
      <sz val="10"/>
      <name val="宋体"/>
      <family val="2"/>
      <charset val="134"/>
    </font>
    <font>
      <b/>
      <sz val="10"/>
      <color rgb="FFFF0000"/>
      <name val="宋体"/>
      <family val="3"/>
      <charset val="134"/>
    </font>
    <font>
      <b/>
      <sz val="14"/>
      <name val="宋体"/>
      <family val="3"/>
      <charset val="134"/>
    </font>
    <font>
      <sz val="10"/>
      <color rgb="FF0000FF"/>
      <name val="Arial Narrow"/>
      <family val="2"/>
    </font>
    <font>
      <sz val="10"/>
      <color rgb="FF0432FF"/>
      <name val="Arial Narrow"/>
      <family val="2"/>
    </font>
    <font>
      <b/>
      <sz val="12"/>
      <color rgb="FF000000"/>
      <name val="宋体"/>
      <family val="3"/>
      <charset val="134"/>
    </font>
    <font>
      <sz val="12"/>
      <color rgb="FF0000FF"/>
      <name val="宋体"/>
      <family val="3"/>
      <charset val="134"/>
    </font>
    <font>
      <sz val="10"/>
      <color rgb="FF0000FF"/>
      <name val="宋体"/>
      <family val="3"/>
      <charset val="134"/>
    </font>
    <font>
      <sz val="10"/>
      <color rgb="FF000000"/>
      <name val="宋体"/>
      <family val="3"/>
      <charset val="134"/>
    </font>
    <font>
      <b/>
      <u/>
      <sz val="10"/>
      <color indexed="10"/>
      <name val="宋体"/>
      <family val="3"/>
      <charset val="134"/>
    </font>
    <font>
      <sz val="10"/>
      <color indexed="12"/>
      <name val="仿宋_GB2312"/>
      <family val="3"/>
      <charset val="134"/>
    </font>
    <font>
      <sz val="9"/>
      <name val="宋体"/>
      <family val="2"/>
      <charset val="134"/>
    </font>
    <font>
      <b/>
      <sz val="10"/>
      <color rgb="FF000000"/>
      <name val="宋体"/>
      <family val="3"/>
      <charset val="134"/>
    </font>
    <font>
      <b/>
      <sz val="10"/>
      <color indexed="12"/>
      <name val="宋体"/>
      <family val="3"/>
      <charset val="134"/>
    </font>
    <font>
      <sz val="10"/>
      <color rgb="FF0000FF"/>
      <name val="微软雅黑"/>
      <family val="2"/>
      <charset val="134"/>
    </font>
    <font>
      <b/>
      <sz val="10"/>
      <name val="Arial Narrow"/>
      <family val="3"/>
      <charset val="134"/>
    </font>
    <font>
      <sz val="10"/>
      <color rgb="FF0432FF"/>
      <name val="宋体"/>
      <family val="3"/>
      <charset val="134"/>
    </font>
    <font>
      <sz val="10"/>
      <color indexed="8"/>
      <name val="宋体"/>
      <family val="2"/>
    </font>
    <font>
      <b/>
      <sz val="10"/>
      <color indexed="10"/>
      <name val="宋体"/>
      <family val="3"/>
      <charset val="134"/>
    </font>
    <font>
      <sz val="11"/>
      <color indexed="8"/>
      <name val="Arial Narrow"/>
      <family val="2"/>
    </font>
  </fonts>
  <fills count="12">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7" tint="0.79998168889431442"/>
        <bgColor indexed="64"/>
      </patternFill>
    </fill>
    <fill>
      <patternFill patternType="solid">
        <fgColor indexed="30"/>
      </patternFill>
    </fill>
    <fill>
      <patternFill patternType="solid">
        <fgColor indexed="14"/>
        <bgColor indexed="64"/>
      </patternFill>
    </fill>
    <fill>
      <patternFill patternType="solid">
        <fgColor theme="0" tint="-0.14999847407452621"/>
        <bgColor indexed="64"/>
      </patternFill>
    </fill>
    <fill>
      <patternFill patternType="solid">
        <fgColor rgb="FFE4DFEC"/>
        <bgColor indexed="64"/>
      </patternFill>
    </fill>
    <fill>
      <patternFill patternType="solid">
        <fgColor theme="0" tint="-0.499984740745262"/>
        <bgColor indexed="64"/>
      </patternFill>
    </fill>
    <fill>
      <patternFill patternType="solid">
        <fgColor rgb="FFD9D9D9"/>
        <bgColor indexed="64"/>
      </patternFill>
    </fill>
    <fill>
      <patternFill patternType="solid">
        <fgColor theme="7" tint="0.79998168889431442"/>
        <bgColor rgb="FFB7DEE8"/>
      </patternFill>
    </fill>
  </fills>
  <borders count="31">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8"/>
      </left>
      <right style="hair">
        <color indexed="8"/>
      </right>
      <top style="hair">
        <color indexed="8"/>
      </top>
      <bottom style="hair">
        <color indexed="8"/>
      </bottom>
      <diagonal/>
    </border>
    <border>
      <left style="hair">
        <color indexed="64"/>
      </left>
      <right/>
      <top/>
      <bottom/>
      <diagonal/>
    </border>
    <border>
      <left style="hair">
        <color indexed="64"/>
      </left>
      <right/>
      <top style="hair">
        <color indexed="64"/>
      </top>
      <bottom/>
      <diagonal/>
    </border>
    <border>
      <left/>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n">
        <color indexed="64"/>
      </top>
      <bottom style="thin">
        <color indexed="64"/>
      </bottom>
      <diagonal/>
    </border>
    <border>
      <left style="hair">
        <color indexed="8"/>
      </left>
      <right style="hair">
        <color indexed="8"/>
      </right>
      <top style="hair">
        <color indexed="8"/>
      </top>
      <bottom/>
      <diagonal/>
    </border>
    <border>
      <left style="hair">
        <color indexed="8"/>
      </left>
      <right style="hair">
        <color indexed="8"/>
      </right>
      <top/>
      <bottom style="hair">
        <color indexed="8"/>
      </bottom>
      <diagonal/>
    </border>
    <border>
      <left/>
      <right/>
      <top style="hair">
        <color indexed="8"/>
      </top>
      <bottom/>
      <diagonal/>
    </border>
    <border>
      <left style="hair">
        <color indexed="8"/>
      </left>
      <right/>
      <top style="hair">
        <color indexed="8"/>
      </top>
      <bottom style="hair">
        <color indexed="8"/>
      </bottom>
      <diagonal/>
    </border>
    <border>
      <left/>
      <right style="hair">
        <color indexed="8"/>
      </right>
      <top style="hair">
        <color indexed="8"/>
      </top>
      <bottom style="hair">
        <color indexed="8"/>
      </bottom>
      <diagonal/>
    </border>
    <border>
      <left/>
      <right/>
      <top style="hair">
        <color indexed="8"/>
      </top>
      <bottom style="hair">
        <color indexed="8"/>
      </bottom>
      <diagonal/>
    </border>
    <border>
      <left/>
      <right/>
      <top/>
      <bottom style="hair">
        <color indexed="64"/>
      </bottom>
      <diagonal/>
    </border>
    <border>
      <left style="hair">
        <color auto="1"/>
      </left>
      <right style="hair">
        <color auto="1"/>
      </right>
      <top style="hair">
        <color auto="1"/>
      </top>
      <bottom style="hair">
        <color auto="1"/>
      </bottom>
      <diagonal/>
    </border>
    <border>
      <left style="hair">
        <color auto="1"/>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diagonal/>
    </border>
  </borders>
  <cellStyleXfs count="88">
    <xf numFmtId="0" fontId="0" fillId="0" borderId="0">
      <protection locked="0"/>
    </xf>
    <xf numFmtId="49" fontId="17" fillId="0" borderId="0" applyProtection="0">
      <alignment horizontal="left"/>
    </xf>
    <xf numFmtId="187" fontId="17" fillId="0" borderId="0" applyFill="0" applyBorder="0" applyProtection="0">
      <alignment horizontal="right"/>
    </xf>
    <xf numFmtId="184" fontId="17" fillId="0" borderId="0" applyFill="0" applyBorder="0" applyProtection="0">
      <alignment horizontal="right"/>
    </xf>
    <xf numFmtId="186" fontId="24" fillId="0" borderId="0" applyFill="0" applyBorder="0" applyProtection="0">
      <alignment horizontal="center"/>
    </xf>
    <xf numFmtId="185" fontId="24" fillId="0" borderId="0" applyFill="0" applyBorder="0" applyProtection="0">
      <alignment horizontal="center"/>
    </xf>
    <xf numFmtId="188" fontId="25" fillId="0" borderId="0" applyFill="0" applyBorder="0" applyProtection="0">
      <alignment horizontal="right"/>
    </xf>
    <xf numFmtId="189" fontId="17" fillId="0" borderId="0" applyFill="0" applyBorder="0" applyProtection="0">
      <alignment horizontal="right"/>
    </xf>
    <xf numFmtId="190" fontId="17" fillId="0" borderId="0" applyFill="0" applyBorder="0" applyProtection="0">
      <alignment horizontal="right"/>
    </xf>
    <xf numFmtId="193" fontId="17" fillId="0" borderId="0" applyFill="0" applyBorder="0" applyProtection="0">
      <alignment horizontal="right"/>
    </xf>
    <xf numFmtId="192" fontId="17" fillId="0" borderId="0" applyFill="0" applyBorder="0" applyProtection="0">
      <alignment horizontal="right"/>
    </xf>
    <xf numFmtId="3" fontId="3" fillId="0" borderId="0"/>
    <xf numFmtId="178" fontId="4" fillId="0" borderId="1" applyAlignment="0" applyProtection="0"/>
    <xf numFmtId="176" fontId="5" fillId="0" borderId="0" applyFont="0" applyFill="0" applyBorder="0" applyAlignment="0" applyProtection="0"/>
    <xf numFmtId="177" fontId="5" fillId="0" borderId="0" applyFont="0" applyFill="0" applyBorder="0" applyAlignment="0" applyProtection="0"/>
    <xf numFmtId="179" fontId="5" fillId="0" borderId="0" applyFont="0" applyFill="0" applyBorder="0" applyAlignment="0" applyProtection="0"/>
    <xf numFmtId="180" fontId="5"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91" fontId="17" fillId="0" borderId="0" applyFont="0" applyFill="0" applyBorder="0" applyAlignment="0" applyProtection="0"/>
    <xf numFmtId="0" fontId="6" fillId="0" borderId="0" applyNumberFormat="0" applyFill="0" applyBorder="0" applyAlignment="0" applyProtection="0">
      <alignment vertical="top"/>
      <protection locked="0"/>
    </xf>
    <xf numFmtId="38" fontId="7" fillId="2" borderId="0" applyNumberFormat="0" applyBorder="0" applyAlignment="0" applyProtection="0"/>
    <xf numFmtId="0" fontId="8" fillId="0" borderId="0" applyNumberFormat="0" applyFill="0" applyBorder="0" applyAlignment="0" applyProtection="0">
      <alignment vertical="top"/>
      <protection locked="0"/>
    </xf>
    <xf numFmtId="10" fontId="7" fillId="3" borderId="2" applyNumberFormat="0" applyBorder="0" applyAlignment="0" applyProtection="0"/>
    <xf numFmtId="182" fontId="9" fillId="0" borderId="0" applyFont="0" applyFill="0" applyBorder="0" applyAlignment="0" applyProtection="0"/>
    <xf numFmtId="183" fontId="9" fillId="0" borderId="0" applyFont="0" applyFill="0" applyBorder="0" applyAlignment="0" applyProtection="0"/>
    <xf numFmtId="0" fontId="10" fillId="0" borderId="0"/>
    <xf numFmtId="181" fontId="9" fillId="0" borderId="0"/>
    <xf numFmtId="10" fontId="5" fillId="0" borderId="0" applyFont="0" applyFill="0" applyBorder="0" applyAlignment="0" applyProtection="0"/>
    <xf numFmtId="3" fontId="11" fillId="0" borderId="0"/>
    <xf numFmtId="9" fontId="9" fillId="0" borderId="0" applyFont="0" applyFill="0" applyBorder="0" applyAlignment="0" applyProtection="0"/>
    <xf numFmtId="0" fontId="9" fillId="0" borderId="0">
      <alignment vertical="center"/>
    </xf>
    <xf numFmtId="0" fontId="19" fillId="0" borderId="0"/>
    <xf numFmtId="0" fontId="19" fillId="0" borderId="0"/>
    <xf numFmtId="0" fontId="17" fillId="0" borderId="0">
      <protection locked="0"/>
    </xf>
    <xf numFmtId="0" fontId="9" fillId="0" borderId="0"/>
    <xf numFmtId="0" fontId="9" fillId="0" borderId="0" applyFill="0" applyBorder="0"/>
    <xf numFmtId="0" fontId="12" fillId="0" borderId="0" applyNumberFormat="0" applyFill="0" applyBorder="0" applyAlignment="0" applyProtection="0">
      <alignment vertical="top"/>
      <protection locked="0"/>
    </xf>
    <xf numFmtId="41" fontId="13"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191" fontId="9" fillId="0" borderId="0">
      <protection locked="0"/>
    </xf>
    <xf numFmtId="43" fontId="9" fillId="0" borderId="0" applyFont="0" applyFill="0" applyBorder="0" applyAlignment="0" applyProtection="0"/>
    <xf numFmtId="191" fontId="43" fillId="0" borderId="0">
      <alignment vertical="center"/>
    </xf>
    <xf numFmtId="191" fontId="9" fillId="0" borderId="0"/>
    <xf numFmtId="0" fontId="9" fillId="0" borderId="0">
      <alignment vertical="center"/>
    </xf>
    <xf numFmtId="9" fontId="9" fillId="0" borderId="0" applyFont="0" applyFill="0" applyBorder="0" applyAlignment="0" applyProtection="0">
      <alignment vertical="center"/>
    </xf>
    <xf numFmtId="0" fontId="46" fillId="0" borderId="12" applyNumberFormat="0" applyAlignment="0" applyProtection="0">
      <alignment horizontal="left" vertical="center"/>
    </xf>
    <xf numFmtId="0" fontId="46" fillId="0" borderId="16">
      <alignment horizontal="left" vertical="center"/>
    </xf>
    <xf numFmtId="0" fontId="5" fillId="0" borderId="0"/>
    <xf numFmtId="41" fontId="17" fillId="0" borderId="0" applyFont="0" applyFill="0" applyBorder="0" applyAlignment="0" applyProtection="0"/>
    <xf numFmtId="0" fontId="29" fillId="0" borderId="0"/>
    <xf numFmtId="9" fontId="19" fillId="0" borderId="0" applyFont="0" applyFill="0" applyBorder="0" applyAlignment="0" applyProtection="0"/>
    <xf numFmtId="0" fontId="47" fillId="0" borderId="0" applyFont="0" applyFill="0" applyBorder="0" applyAlignment="0" applyProtection="0"/>
    <xf numFmtId="0" fontId="47" fillId="0" borderId="0" applyFont="0" applyFill="0" applyBorder="0" applyAlignment="0" applyProtection="0"/>
    <xf numFmtId="182" fontId="5" fillId="0" borderId="0" applyFont="0" applyFill="0" applyBorder="0" applyAlignment="0" applyProtection="0"/>
    <xf numFmtId="195" fontId="5" fillId="0" borderId="0" applyFont="0" applyFill="0" applyBorder="0" applyAlignment="0" applyProtection="0"/>
    <xf numFmtId="196" fontId="48" fillId="0" borderId="0" applyFont="0" applyFill="0" applyBorder="0" applyAlignment="0" applyProtection="0"/>
    <xf numFmtId="197" fontId="48" fillId="0" borderId="0" applyFont="0" applyFill="0" applyBorder="0" applyAlignment="0" applyProtection="0"/>
    <xf numFmtId="0" fontId="5" fillId="0" borderId="0"/>
    <xf numFmtId="41" fontId="5" fillId="0" borderId="0" applyFont="0" applyFill="0" applyBorder="0" applyAlignment="0" applyProtection="0"/>
    <xf numFmtId="43" fontId="5" fillId="0" borderId="0" applyFont="0" applyFill="0" applyBorder="0" applyAlignment="0" applyProtection="0"/>
    <xf numFmtId="0" fontId="49" fillId="0" borderId="0"/>
    <xf numFmtId="0" fontId="50" fillId="0" borderId="0"/>
    <xf numFmtId="40" fontId="47" fillId="0" borderId="0" applyFont="0" applyFill="0" applyBorder="0" applyAlignment="0" applyProtection="0"/>
    <xf numFmtId="38" fontId="47" fillId="0" borderId="0" applyFont="0" applyFill="0" applyBorder="0" applyAlignment="0" applyProtection="0"/>
    <xf numFmtId="0" fontId="9" fillId="0" borderId="0">
      <protection locked="0"/>
    </xf>
    <xf numFmtId="43" fontId="9" fillId="0" borderId="0" applyFont="0" applyFill="0" applyBorder="0" applyAlignment="0" applyProtection="0">
      <alignment vertical="center"/>
    </xf>
    <xf numFmtId="0" fontId="9" fillId="0" borderId="0">
      <protection locked="0"/>
    </xf>
    <xf numFmtId="0" fontId="52" fillId="5" borderId="0" applyNumberFormat="0" applyBorder="0" applyAlignment="0" applyProtection="0">
      <alignment vertical="center"/>
    </xf>
    <xf numFmtId="0" fontId="5" fillId="0" borderId="0"/>
    <xf numFmtId="0" fontId="9" fillId="0" borderId="0">
      <protection locked="0"/>
    </xf>
    <xf numFmtId="0" fontId="9" fillId="0" borderId="0"/>
    <xf numFmtId="0" fontId="9" fillId="0" borderId="0"/>
    <xf numFmtId="0" fontId="9" fillId="0" borderId="0">
      <protection locked="0"/>
    </xf>
    <xf numFmtId="191" fontId="9" fillId="0" borderId="0">
      <alignment vertical="center"/>
    </xf>
    <xf numFmtId="191" fontId="2" fillId="0" borderId="0">
      <alignment vertical="center"/>
    </xf>
    <xf numFmtId="0" fontId="9" fillId="0" borderId="0" applyFill="0" applyBorder="0"/>
    <xf numFmtId="0" fontId="9" fillId="0" borderId="0">
      <protection locked="0"/>
    </xf>
    <xf numFmtId="191" fontId="9" fillId="0" borderId="0"/>
    <xf numFmtId="0" fontId="12" fillId="0" borderId="0" applyNumberFormat="0" applyFill="0" applyBorder="0" applyAlignment="0" applyProtection="0">
      <alignment vertical="top"/>
      <protection locked="0"/>
    </xf>
    <xf numFmtId="0" fontId="19" fillId="0" borderId="0"/>
    <xf numFmtId="0" fontId="19" fillId="0" borderId="0">
      <alignment vertical="center" shrinkToFit="1"/>
    </xf>
    <xf numFmtId="43" fontId="9" fillId="0" borderId="0" applyFont="0" applyFill="0" applyBorder="0" applyAlignment="0" applyProtection="0"/>
    <xf numFmtId="0" fontId="9" fillId="0" borderId="0">
      <protection locked="0"/>
    </xf>
    <xf numFmtId="191" fontId="9" fillId="0" borderId="0">
      <protection locked="0"/>
    </xf>
    <xf numFmtId="43" fontId="9" fillId="0" borderId="0" applyFont="0" applyFill="0" applyBorder="0" applyAlignment="0" applyProtection="0">
      <alignment vertical="center"/>
    </xf>
    <xf numFmtId="191" fontId="1" fillId="0" borderId="0">
      <alignment vertical="center"/>
    </xf>
  </cellStyleXfs>
  <cellXfs count="478">
    <xf numFmtId="0" fontId="0" fillId="0" borderId="0" xfId="0">
      <protection locked="0"/>
    </xf>
    <xf numFmtId="0" fontId="15" fillId="0" borderId="0" xfId="0" applyFont="1" applyAlignment="1">
      <alignment vertical="center"/>
      <protection locked="0"/>
    </xf>
    <xf numFmtId="43" fontId="27" fillId="0" borderId="0" xfId="36" applyNumberFormat="1" applyFont="1" applyBorder="1" applyAlignment="1">
      <alignment vertical="center"/>
    </xf>
    <xf numFmtId="43" fontId="29" fillId="0" borderId="0" xfId="36" applyNumberFormat="1" applyFont="1" applyBorder="1" applyAlignment="1">
      <alignment vertical="center"/>
    </xf>
    <xf numFmtId="43" fontId="29" fillId="0" borderId="0" xfId="36" applyNumberFormat="1" applyFont="1" applyBorder="1" applyAlignment="1">
      <alignment horizontal="center" vertical="center"/>
    </xf>
    <xf numFmtId="49" fontId="29" fillId="0" borderId="0" xfId="36" applyNumberFormat="1" applyFont="1" applyBorder="1" applyAlignment="1">
      <alignment horizontal="center" vertical="center"/>
    </xf>
    <xf numFmtId="43" fontId="26" fillId="0" borderId="0" xfId="36" applyNumberFormat="1" applyFont="1" applyBorder="1" applyAlignment="1">
      <alignment vertical="center"/>
    </xf>
    <xf numFmtId="0" fontId="29" fillId="0" borderId="0" xfId="32" applyFont="1" applyAlignment="1">
      <alignment vertical="center"/>
    </xf>
    <xf numFmtId="0" fontId="15" fillId="0" borderId="0" xfId="0" applyFont="1" applyAlignment="1">
      <alignment horizontal="right" vertical="center"/>
      <protection locked="0"/>
    </xf>
    <xf numFmtId="0" fontId="27" fillId="0" borderId="0" xfId="31" applyFont="1">
      <alignment vertical="center"/>
    </xf>
    <xf numFmtId="0" fontId="29" fillId="0" borderId="0" xfId="0" applyFont="1" applyAlignment="1">
      <alignment vertical="center"/>
      <protection locked="0"/>
    </xf>
    <xf numFmtId="0" fontId="29" fillId="0" borderId="0" xfId="0" applyFont="1">
      <protection locked="0"/>
    </xf>
    <xf numFmtId="0" fontId="29" fillId="0" borderId="3" xfId="0" applyFont="1" applyBorder="1" applyAlignment="1">
      <alignment horizontal="center" vertical="center" wrapText="1"/>
      <protection locked="0"/>
    </xf>
    <xf numFmtId="0" fontId="27" fillId="0" borderId="0" xfId="0" applyFont="1">
      <protection locked="0"/>
    </xf>
    <xf numFmtId="0" fontId="27" fillId="0" borderId="0" xfId="0" applyFont="1" applyAlignment="1">
      <alignment vertical="center"/>
      <protection locked="0"/>
    </xf>
    <xf numFmtId="0" fontId="29" fillId="0" borderId="7" xfId="0" applyFont="1" applyBorder="1" applyAlignment="1">
      <alignment vertical="center"/>
      <protection locked="0"/>
    </xf>
    <xf numFmtId="0" fontId="29" fillId="0" borderId="3" xfId="0" applyFont="1" applyBorder="1" applyAlignment="1">
      <alignment vertical="center"/>
      <protection locked="0"/>
    </xf>
    <xf numFmtId="43" fontId="29" fillId="0" borderId="3" xfId="0" applyNumberFormat="1" applyFont="1" applyBorder="1" applyAlignment="1">
      <alignment vertical="center"/>
      <protection locked="0"/>
    </xf>
    <xf numFmtId="10" fontId="35" fillId="0" borderId="3" xfId="30" quotePrefix="1" applyNumberFormat="1" applyFont="1" applyBorder="1" applyAlignment="1" applyProtection="1">
      <alignment horizontal="center" vertical="center"/>
      <protection locked="0"/>
    </xf>
    <xf numFmtId="10" fontId="29" fillId="0" borderId="3" xfId="30" applyNumberFormat="1" applyFont="1" applyBorder="1" applyAlignment="1" applyProtection="1">
      <alignment horizontal="center" vertical="center"/>
      <protection locked="0"/>
    </xf>
    <xf numFmtId="0" fontId="31" fillId="0" borderId="0" xfId="0" applyFont="1">
      <protection locked="0"/>
    </xf>
    <xf numFmtId="0" fontId="36" fillId="0" borderId="0" xfId="33" applyFont="1" applyAlignment="1">
      <alignment vertical="center"/>
    </xf>
    <xf numFmtId="0" fontId="29" fillId="0" borderId="0" xfId="33" applyFont="1" applyAlignment="1">
      <alignment vertical="center"/>
    </xf>
    <xf numFmtId="43" fontId="29" fillId="0" borderId="3" xfId="40" applyFont="1" applyBorder="1" applyAlignment="1">
      <alignment horizontal="right" vertical="center" wrapText="1"/>
    </xf>
    <xf numFmtId="0" fontId="29" fillId="0" borderId="3" xfId="0" applyFont="1" applyBorder="1" applyAlignment="1">
      <alignment vertical="center" wrapText="1"/>
      <protection locked="0"/>
    </xf>
    <xf numFmtId="14" fontId="26" fillId="0" borderId="3" xfId="0" applyNumberFormat="1" applyFont="1" applyBorder="1" applyAlignment="1">
      <alignment vertical="center" wrapText="1"/>
      <protection locked="0"/>
    </xf>
    <xf numFmtId="14" fontId="29" fillId="0" borderId="3" xfId="0" applyNumberFormat="1" applyFont="1" applyBorder="1" applyAlignment="1">
      <alignment vertical="center" wrapText="1"/>
      <protection locked="0"/>
    </xf>
    <xf numFmtId="10" fontId="29" fillId="0" borderId="3" xfId="30" applyNumberFormat="1" applyFont="1" applyBorder="1" applyAlignment="1" applyProtection="1">
      <alignment horizontal="center" vertical="center" wrapText="1"/>
      <protection locked="0"/>
    </xf>
    <xf numFmtId="0" fontId="29" fillId="0" borderId="0" xfId="0" applyFont="1" applyAlignment="1">
      <alignment horizontal="center" vertical="center"/>
      <protection locked="0"/>
    </xf>
    <xf numFmtId="0" fontId="28" fillId="0" borderId="0" xfId="0" applyFont="1" applyAlignment="1">
      <alignment vertical="center"/>
      <protection locked="0"/>
    </xf>
    <xf numFmtId="0" fontId="29" fillId="0" borderId="0" xfId="0" applyFont="1" applyAlignment="1">
      <alignment horizontal="left" vertical="center"/>
      <protection locked="0"/>
    </xf>
    <xf numFmtId="0" fontId="26" fillId="0" borderId="0" xfId="35" applyFont="1" applyAlignment="1">
      <alignment horizontal="left" vertical="center"/>
    </xf>
    <xf numFmtId="0" fontId="29" fillId="0" borderId="0" xfId="35" applyFont="1" applyAlignment="1" applyProtection="1">
      <alignment vertical="center"/>
      <protection locked="0"/>
    </xf>
    <xf numFmtId="0" fontId="29" fillId="0" borderId="3" xfId="0" applyFont="1" applyBorder="1" applyAlignment="1">
      <alignment horizontal="left" vertical="center"/>
      <protection locked="0"/>
    </xf>
    <xf numFmtId="0" fontId="26" fillId="0" borderId="0" xfId="0" applyFont="1" applyAlignment="1">
      <alignment vertical="center"/>
      <protection locked="0"/>
    </xf>
    <xf numFmtId="0" fontId="28" fillId="0" borderId="0" xfId="31" applyFont="1">
      <alignment vertical="center"/>
    </xf>
    <xf numFmtId="0" fontId="27" fillId="0" borderId="0" xfId="0" applyFont="1" applyAlignment="1">
      <alignment horizontal="right" wrapText="1"/>
      <protection locked="0"/>
    </xf>
    <xf numFmtId="0" fontId="37" fillId="0" borderId="0" xfId="0" applyFont="1" applyAlignment="1">
      <alignment horizontal="justify" wrapText="1"/>
      <protection locked="0"/>
    </xf>
    <xf numFmtId="0" fontId="37" fillId="0" borderId="0" xfId="0" applyFont="1" applyAlignment="1">
      <alignment horizontal="right" wrapText="1"/>
      <protection locked="0"/>
    </xf>
    <xf numFmtId="191" fontId="34" fillId="0" borderId="0" xfId="41" applyFont="1" applyAlignment="1" applyProtection="1">
      <alignment vertical="center"/>
    </xf>
    <xf numFmtId="191" fontId="38" fillId="0" borderId="0" xfId="41" applyFont="1" applyAlignment="1" applyProtection="1">
      <alignment horizontal="center"/>
    </xf>
    <xf numFmtId="49" fontId="26" fillId="0" borderId="0" xfId="42" applyNumberFormat="1" applyFont="1" applyFill="1" applyAlignment="1" applyProtection="1">
      <alignment horizontal="right" vertical="center" shrinkToFit="1"/>
    </xf>
    <xf numFmtId="191" fontId="26" fillId="0" borderId="0" xfId="41" applyFont="1" applyAlignment="1" applyProtection="1">
      <alignment horizontal="left" vertical="center"/>
    </xf>
    <xf numFmtId="191" fontId="29" fillId="0" borderId="0" xfId="41" applyFont="1" applyAlignment="1">
      <alignment vertical="center"/>
      <protection locked="0"/>
    </xf>
    <xf numFmtId="0" fontId="29" fillId="4" borderId="0" xfId="0" applyFont="1" applyFill="1" applyAlignment="1">
      <alignment vertical="center"/>
      <protection locked="0"/>
    </xf>
    <xf numFmtId="43" fontId="29" fillId="0" borderId="4" xfId="36" applyNumberFormat="1" applyFont="1" applyBorder="1" applyAlignment="1">
      <alignment vertical="center"/>
    </xf>
    <xf numFmtId="43" fontId="26" fillId="0" borderId="0" xfId="36" applyNumberFormat="1" applyFont="1" applyBorder="1" applyAlignment="1">
      <alignment horizontal="left" vertical="center"/>
    </xf>
    <xf numFmtId="43" fontId="26" fillId="0" borderId="4" xfId="36" applyNumberFormat="1" applyFont="1" applyBorder="1" applyAlignment="1">
      <alignment vertical="center"/>
    </xf>
    <xf numFmtId="191" fontId="45" fillId="0" borderId="0" xfId="0" applyNumberFormat="1" applyFont="1" applyAlignment="1" applyProtection="1">
      <alignment horizontal="left" vertical="center"/>
    </xf>
    <xf numFmtId="191" fontId="34" fillId="0" borderId="0" xfId="0" applyNumberFormat="1" applyFont="1" applyAlignment="1" applyProtection="1">
      <alignment horizontal="left" vertical="center"/>
    </xf>
    <xf numFmtId="191" fontId="34" fillId="0" borderId="0" xfId="0" applyNumberFormat="1" applyFont="1" applyAlignment="1" applyProtection="1">
      <alignment horizontal="center" vertical="center"/>
    </xf>
    <xf numFmtId="191" fontId="44" fillId="0" borderId="0" xfId="0" applyNumberFormat="1" applyFont="1" applyAlignment="1" applyProtection="1">
      <alignment vertical="center"/>
    </xf>
    <xf numFmtId="191" fontId="44" fillId="0" borderId="0" xfId="0" applyNumberFormat="1" applyFont="1" applyAlignment="1" applyProtection="1">
      <alignment horizontal="center" vertical="center"/>
    </xf>
    <xf numFmtId="43" fontId="44" fillId="0" borderId="3" xfId="40" applyFont="1" applyFill="1" applyBorder="1" applyAlignment="1">
      <alignment horizontal="right" vertical="center"/>
    </xf>
    <xf numFmtId="14" fontId="26" fillId="0" borderId="7" xfId="0" applyNumberFormat="1" applyFont="1" applyBorder="1" applyAlignment="1">
      <alignment vertical="center" wrapText="1"/>
      <protection locked="0"/>
    </xf>
    <xf numFmtId="43" fontId="44" fillId="0" borderId="7" xfId="40" applyFont="1" applyFill="1" applyBorder="1" applyAlignment="1">
      <alignment horizontal="right" vertical="center"/>
    </xf>
    <xf numFmtId="43" fontId="44" fillId="0" borderId="0" xfId="40" applyFont="1" applyFill="1" applyBorder="1" applyAlignment="1">
      <alignment horizontal="right" vertical="center"/>
    </xf>
    <xf numFmtId="0" fontId="26" fillId="0" borderId="7" xfId="0" applyFont="1" applyBorder="1" applyAlignment="1">
      <alignment horizontal="center" vertical="center" wrapText="1"/>
      <protection locked="0"/>
    </xf>
    <xf numFmtId="0" fontId="26" fillId="0" borderId="0" xfId="0" applyFont="1" applyAlignment="1">
      <alignment horizontal="center" vertical="center" wrapText="1"/>
      <protection locked="0"/>
    </xf>
    <xf numFmtId="0" fontId="28" fillId="0" borderId="0" xfId="66" applyFont="1" applyAlignment="1">
      <alignment vertical="center"/>
      <protection locked="0"/>
    </xf>
    <xf numFmtId="0" fontId="29" fillId="0" borderId="0" xfId="35" applyFont="1" applyAlignment="1">
      <alignment vertical="center"/>
    </xf>
    <xf numFmtId="43" fontId="53" fillId="0" borderId="3" xfId="73" applyNumberFormat="1" applyFont="1" applyBorder="1" applyAlignment="1" applyProtection="1">
      <alignment horizontal="right" vertical="center" shrinkToFit="1"/>
      <protection locked="0"/>
    </xf>
    <xf numFmtId="0" fontId="53" fillId="0" borderId="3" xfId="73" applyFont="1" applyBorder="1" applyAlignment="1" applyProtection="1">
      <alignment horizontal="center" vertical="center" shrinkToFit="1"/>
      <protection locked="0"/>
    </xf>
    <xf numFmtId="0" fontId="53" fillId="0" borderId="3" xfId="73" applyFont="1" applyBorder="1" applyAlignment="1" applyProtection="1">
      <alignment vertical="center" shrinkToFit="1"/>
      <protection locked="0"/>
    </xf>
    <xf numFmtId="0" fontId="15" fillId="0" borderId="0" xfId="35" applyFont="1" applyAlignment="1">
      <alignment vertical="center"/>
    </xf>
    <xf numFmtId="43" fontId="29" fillId="0" borderId="0" xfId="0" applyNumberFormat="1" applyFont="1" applyAlignment="1">
      <alignment vertical="center"/>
      <protection locked="0"/>
    </xf>
    <xf numFmtId="43" fontId="56" fillId="0" borderId="0" xfId="37" applyNumberFormat="1" applyFont="1" applyBorder="1" applyAlignment="1" applyProtection="1">
      <alignment horizontal="center" vertical="center"/>
    </xf>
    <xf numFmtId="0" fontId="26" fillId="0" borderId="0" xfId="32" applyFont="1" applyAlignment="1">
      <alignment vertical="center"/>
    </xf>
    <xf numFmtId="0" fontId="31" fillId="0" borderId="0" xfId="32" applyFont="1" applyAlignment="1">
      <alignment vertical="center"/>
    </xf>
    <xf numFmtId="0" fontId="27" fillId="0" borderId="0" xfId="0" applyFont="1" applyAlignment="1">
      <alignment horizontal="justify" vertical="center"/>
      <protection locked="0"/>
    </xf>
    <xf numFmtId="0" fontId="28" fillId="0" borderId="12" xfId="0" applyFont="1" applyBorder="1" applyAlignment="1">
      <alignment horizontal="justify" vertical="center" wrapText="1"/>
      <protection locked="0"/>
    </xf>
    <xf numFmtId="0" fontId="27" fillId="0" borderId="0" xfId="0" applyFont="1" applyAlignment="1">
      <alignment horizontal="justify" vertical="center" wrapText="1"/>
      <protection locked="0"/>
    </xf>
    <xf numFmtId="0" fontId="27" fillId="0" borderId="13" xfId="0" applyFont="1" applyBorder="1" applyAlignment="1">
      <alignment horizontal="justify" vertical="center" wrapText="1"/>
      <protection locked="0"/>
    </xf>
    <xf numFmtId="0" fontId="28" fillId="0" borderId="13" xfId="0" applyFont="1" applyBorder="1" applyAlignment="1">
      <alignment horizontal="justify" vertical="center" wrapText="1"/>
      <protection locked="0"/>
    </xf>
    <xf numFmtId="43" fontId="28" fillId="0" borderId="13" xfId="0" applyNumberFormat="1" applyFont="1" applyBorder="1" applyAlignment="1">
      <alignment horizontal="right" vertical="center" wrapText="1"/>
      <protection locked="0"/>
    </xf>
    <xf numFmtId="0" fontId="27" fillId="0" borderId="0" xfId="0" applyFont="1" applyAlignment="1">
      <alignment horizontal="left" vertical="center"/>
      <protection locked="0"/>
    </xf>
    <xf numFmtId="0" fontId="29" fillId="0" borderId="0" xfId="0" applyFont="1" applyAlignment="1">
      <alignment horizontal="justify" vertical="center"/>
      <protection locked="0"/>
    </xf>
    <xf numFmtId="0" fontId="57" fillId="0" borderId="12" xfId="0" applyFont="1" applyBorder="1" applyAlignment="1">
      <alignment horizontal="right" vertical="center" wrapText="1"/>
      <protection locked="0"/>
    </xf>
    <xf numFmtId="0" fontId="28" fillId="0" borderId="12" xfId="0" applyFont="1" applyBorder="1" applyAlignment="1">
      <alignment horizontal="right" vertical="center" wrapText="1"/>
      <protection locked="0"/>
    </xf>
    <xf numFmtId="43" fontId="27" fillId="0" borderId="0" xfId="40" applyFont="1" applyAlignment="1" applyProtection="1">
      <alignment horizontal="right" vertical="center" wrapText="1"/>
      <protection locked="0"/>
    </xf>
    <xf numFmtId="0" fontId="57" fillId="0" borderId="13" xfId="0" applyFont="1" applyBorder="1" applyAlignment="1">
      <alignment horizontal="justify" vertical="center" wrapText="1"/>
      <protection locked="0"/>
    </xf>
    <xf numFmtId="0" fontId="28" fillId="0" borderId="13" xfId="0" applyFont="1" applyBorder="1" applyAlignment="1">
      <alignment horizontal="right" vertical="center" wrapText="1"/>
      <protection locked="0"/>
    </xf>
    <xf numFmtId="0" fontId="29" fillId="0" borderId="0" xfId="0" applyFont="1" applyAlignment="1">
      <alignment vertical="center" wrapText="1"/>
      <protection locked="0"/>
    </xf>
    <xf numFmtId="14" fontId="26" fillId="0" borderId="6" xfId="0" applyNumberFormat="1" applyFont="1" applyBorder="1" applyAlignment="1">
      <alignment vertical="center" wrapText="1"/>
      <protection locked="0"/>
    </xf>
    <xf numFmtId="0" fontId="26" fillId="0" borderId="5" xfId="0" applyFont="1" applyBorder="1" applyAlignment="1">
      <alignment vertical="center" wrapText="1"/>
      <protection locked="0"/>
    </xf>
    <xf numFmtId="0" fontId="18" fillId="0" borderId="0" xfId="0" applyFont="1" applyAlignment="1">
      <alignment vertical="center"/>
      <protection locked="0"/>
    </xf>
    <xf numFmtId="191" fontId="38" fillId="0" borderId="0" xfId="41" applyFont="1" applyAlignment="1" applyProtection="1">
      <alignment horizontal="center" vertical="center"/>
    </xf>
    <xf numFmtId="43" fontId="29" fillId="0" borderId="0" xfId="40" applyFont="1" applyAlignment="1" applyProtection="1">
      <alignment vertical="center"/>
      <protection locked="0"/>
    </xf>
    <xf numFmtId="191" fontId="29" fillId="0" borderId="0" xfId="41" applyFont="1" applyAlignment="1" applyProtection="1">
      <alignment vertical="center"/>
    </xf>
    <xf numFmtId="0" fontId="26" fillId="0" borderId="0" xfId="45" applyFont="1" applyAlignment="1">
      <alignment horizontal="left" vertical="center"/>
    </xf>
    <xf numFmtId="0" fontId="26" fillId="0" borderId="0" xfId="45" applyFont="1">
      <alignment vertical="center"/>
    </xf>
    <xf numFmtId="0" fontId="29" fillId="0" borderId="0" xfId="45" applyFont="1">
      <alignment vertical="center"/>
    </xf>
    <xf numFmtId="0" fontId="26" fillId="0" borderId="0" xfId="66" applyFont="1" applyAlignment="1">
      <alignment vertical="center"/>
      <protection locked="0"/>
    </xf>
    <xf numFmtId="0" fontId="26" fillId="0" borderId="0" xfId="31" applyFont="1">
      <alignment vertical="center"/>
    </xf>
    <xf numFmtId="0" fontId="26" fillId="0" borderId="0" xfId="45" applyFont="1" applyAlignment="1">
      <alignment horizontal="center" vertical="center"/>
    </xf>
    <xf numFmtId="0" fontId="29" fillId="0" borderId="3" xfId="45" applyFont="1" applyBorder="1" applyAlignment="1">
      <alignment horizontal="left" vertical="center"/>
    </xf>
    <xf numFmtId="0" fontId="29" fillId="0" borderId="3" xfId="45" applyFont="1" applyBorder="1" applyAlignment="1">
      <alignment horizontal="center" vertical="center"/>
    </xf>
    <xf numFmtId="194" fontId="29" fillId="0" borderId="3" xfId="45" applyNumberFormat="1" applyFont="1" applyBorder="1" applyAlignment="1">
      <alignment horizontal="right" vertical="center"/>
    </xf>
    <xf numFmtId="0" fontId="29" fillId="0" borderId="0" xfId="45" applyFont="1" applyAlignment="1">
      <alignment horizontal="left" vertical="center"/>
    </xf>
    <xf numFmtId="0" fontId="29" fillId="0" borderId="0" xfId="45" applyFont="1" applyAlignment="1">
      <alignment horizontal="left" vertical="center" wrapText="1"/>
    </xf>
    <xf numFmtId="0" fontId="26" fillId="4" borderId="3" xfId="45" applyFont="1" applyFill="1" applyBorder="1" applyAlignment="1">
      <alignment horizontal="center" vertical="center"/>
    </xf>
    <xf numFmtId="0" fontId="26" fillId="4" borderId="3" xfId="45" applyFont="1" applyFill="1" applyBorder="1" applyAlignment="1">
      <alignment horizontal="center" vertical="center" wrapText="1"/>
    </xf>
    <xf numFmtId="0" fontId="58" fillId="4" borderId="3" xfId="73" applyFont="1" applyFill="1" applyBorder="1" applyAlignment="1" applyProtection="1">
      <alignment horizontal="center" vertical="center" wrapText="1"/>
      <protection locked="0"/>
    </xf>
    <xf numFmtId="43" fontId="27" fillId="0" borderId="0" xfId="40" applyFont="1" applyAlignment="1" applyProtection="1">
      <alignment horizontal="right" vertical="center" wrapText="1"/>
    </xf>
    <xf numFmtId="43" fontId="29" fillId="0" borderId="4" xfId="40" applyFont="1" applyFill="1" applyBorder="1" applyAlignment="1">
      <alignment vertical="center"/>
    </xf>
    <xf numFmtId="14" fontId="29" fillId="0" borderId="0" xfId="36" applyNumberFormat="1" applyFont="1" applyBorder="1" applyAlignment="1">
      <alignment vertical="center"/>
    </xf>
    <xf numFmtId="14" fontId="29" fillId="0" borderId="0" xfId="0" applyNumberFormat="1" applyFont="1" applyAlignment="1">
      <alignment vertical="center"/>
      <protection locked="0"/>
    </xf>
    <xf numFmtId="14" fontId="29" fillId="0" borderId="0" xfId="33" applyNumberFormat="1" applyFont="1" applyAlignment="1">
      <alignment vertical="center"/>
    </xf>
    <xf numFmtId="0" fontId="29" fillId="0" borderId="8" xfId="0" applyFont="1" applyBorder="1" applyAlignment="1">
      <alignment horizontal="justify" vertical="center" wrapText="1"/>
      <protection locked="0"/>
    </xf>
    <xf numFmtId="0" fontId="29" fillId="0" borderId="10" xfId="0" applyFont="1" applyBorder="1" applyAlignment="1">
      <alignment horizontal="justify" vertical="center" wrapText="1"/>
      <protection locked="0"/>
    </xf>
    <xf numFmtId="0" fontId="26" fillId="0" borderId="8" xfId="0" applyFont="1" applyBorder="1" applyAlignment="1">
      <alignment horizontal="justify" vertical="center" wrapText="1"/>
      <protection locked="0"/>
    </xf>
    <xf numFmtId="0" fontId="26" fillId="0" borderId="10" xfId="0" applyFont="1" applyBorder="1" applyAlignment="1">
      <alignment horizontal="justify" vertical="center" wrapText="1"/>
      <protection locked="0"/>
    </xf>
    <xf numFmtId="0" fontId="35" fillId="0" borderId="8" xfId="0" applyFont="1" applyBorder="1" applyAlignment="1">
      <alignment horizontal="center" vertical="center" wrapText="1"/>
      <protection locked="0"/>
    </xf>
    <xf numFmtId="0" fontId="35" fillId="0" borderId="10" xfId="0" applyFont="1" applyBorder="1" applyAlignment="1">
      <alignment horizontal="center" vertical="center" wrapText="1"/>
      <protection locked="0"/>
    </xf>
    <xf numFmtId="0" fontId="29" fillId="0" borderId="8" xfId="0" applyFont="1" applyBorder="1" applyAlignment="1">
      <alignment horizontal="center" vertical="center" wrapText="1"/>
      <protection locked="0"/>
    </xf>
    <xf numFmtId="0" fontId="29" fillId="0" borderId="10" xfId="0" applyFont="1" applyBorder="1" applyAlignment="1">
      <alignment horizontal="center" vertical="center" wrapText="1"/>
      <protection locked="0"/>
    </xf>
    <xf numFmtId="14" fontId="29" fillId="0" borderId="3" xfId="0" applyNumberFormat="1" applyFont="1" applyBorder="1" applyAlignment="1">
      <alignment horizontal="left" vertical="center"/>
      <protection locked="0"/>
    </xf>
    <xf numFmtId="14" fontId="29" fillId="0" borderId="3" xfId="45" applyNumberFormat="1" applyFont="1" applyBorder="1" applyAlignment="1">
      <alignment horizontal="center" vertical="center"/>
    </xf>
    <xf numFmtId="0" fontId="29" fillId="6" borderId="0" xfId="0" applyFont="1" applyFill="1" applyAlignment="1">
      <alignment horizontal="justify" vertical="center" wrapText="1"/>
      <protection locked="0"/>
    </xf>
    <xf numFmtId="0" fontId="29" fillId="0" borderId="0" xfId="0" applyFont="1" applyAlignment="1">
      <alignment horizontal="justify" vertical="center" wrapText="1"/>
      <protection locked="0"/>
    </xf>
    <xf numFmtId="0" fontId="28" fillId="0" borderId="0" xfId="0" applyFont="1" applyAlignment="1">
      <alignment horizontal="justify" vertical="center"/>
      <protection locked="0"/>
    </xf>
    <xf numFmtId="43" fontId="26" fillId="0" borderId="4" xfId="40" applyFont="1" applyFill="1" applyBorder="1" applyAlignment="1">
      <alignment vertical="center"/>
    </xf>
    <xf numFmtId="0" fontId="27" fillId="0" borderId="0" xfId="40" applyNumberFormat="1" applyFont="1" applyAlignment="1" applyProtection="1">
      <alignment horizontal="justify" vertical="center" wrapText="1"/>
      <protection locked="0"/>
    </xf>
    <xf numFmtId="0" fontId="26" fillId="0" borderId="0" xfId="33" applyFont="1" applyAlignment="1">
      <alignment vertical="center"/>
    </xf>
    <xf numFmtId="0" fontId="34" fillId="0" borderId="2" xfId="0" applyFont="1" applyBorder="1" applyAlignment="1" applyProtection="1">
      <alignment horizontal="center" vertical="center"/>
    </xf>
    <xf numFmtId="191" fontId="61" fillId="0" borderId="0" xfId="76" applyFont="1">
      <alignment vertical="center"/>
    </xf>
    <xf numFmtId="191" fontId="62" fillId="0" borderId="0" xfId="76" applyFont="1">
      <alignment vertical="center"/>
    </xf>
    <xf numFmtId="191" fontId="29" fillId="0" borderId="0" xfId="76" applyFont="1" applyProtection="1">
      <alignment vertical="center"/>
      <protection locked="0"/>
    </xf>
    <xf numFmtId="0" fontId="29" fillId="0" borderId="0" xfId="71" applyFont="1" applyAlignment="1">
      <alignment horizontal="left" vertical="center"/>
      <protection locked="0"/>
    </xf>
    <xf numFmtId="191" fontId="12" fillId="0" borderId="2" xfId="37" applyNumberFormat="1" applyBorder="1" applyAlignment="1" applyProtection="1">
      <alignment vertical="center"/>
    </xf>
    <xf numFmtId="10" fontId="30" fillId="0" borderId="19" xfId="30" applyNumberFormat="1" applyFont="1" applyBorder="1" applyAlignment="1">
      <alignment horizontal="left" vertical="center"/>
    </xf>
    <xf numFmtId="191" fontId="66" fillId="4" borderId="3" xfId="79" applyFont="1" applyFill="1" applyBorder="1" applyAlignment="1" applyProtection="1">
      <alignment horizontal="center" vertical="center" wrapText="1"/>
      <protection locked="0"/>
    </xf>
    <xf numFmtId="0" fontId="34" fillId="0" borderId="3" xfId="78" applyFont="1" applyBorder="1" applyAlignment="1" applyProtection="1">
      <alignment horizontal="center" vertical="center"/>
    </xf>
    <xf numFmtId="43" fontId="26" fillId="0" borderId="7" xfId="77" applyNumberFormat="1" applyFont="1" applyBorder="1" applyAlignment="1">
      <alignment horizontal="left" vertical="center"/>
    </xf>
    <xf numFmtId="43" fontId="29" fillId="0" borderId="7" xfId="77" applyNumberFormat="1" applyFont="1" applyBorder="1" applyAlignment="1">
      <alignment horizontal="left" vertical="center"/>
    </xf>
    <xf numFmtId="43" fontId="56" fillId="0" borderId="7" xfId="80" applyNumberFormat="1" applyFont="1" applyBorder="1" applyAlignment="1" applyProtection="1">
      <alignment horizontal="center" vertical="center"/>
    </xf>
    <xf numFmtId="0" fontId="26" fillId="0" borderId="0" xfId="81" applyFont="1" applyAlignment="1">
      <alignment vertical="center"/>
    </xf>
    <xf numFmtId="0" fontId="29" fillId="0" borderId="0" xfId="81" applyFont="1" applyAlignment="1">
      <alignment vertical="center"/>
    </xf>
    <xf numFmtId="9" fontId="30" fillId="0" borderId="0" xfId="30" applyFont="1" applyBorder="1" applyAlignment="1">
      <alignment horizontal="left" vertical="center"/>
    </xf>
    <xf numFmtId="0" fontId="29" fillId="0" borderId="0" xfId="81" applyFont="1" applyAlignment="1">
      <alignment horizontal="left" vertical="center"/>
    </xf>
    <xf numFmtId="0" fontId="67" fillId="0" borderId="0" xfId="0" applyFont="1">
      <protection locked="0"/>
    </xf>
    <xf numFmtId="43" fontId="27" fillId="0" borderId="0" xfId="0" applyNumberFormat="1" applyFont="1" applyAlignment="1">
      <alignment horizontal="right" vertical="center" wrapText="1"/>
      <protection locked="0"/>
    </xf>
    <xf numFmtId="43" fontId="28" fillId="0" borderId="0" xfId="0" applyNumberFormat="1" applyFont="1" applyAlignment="1">
      <alignment horizontal="right" vertical="center" wrapText="1"/>
      <protection locked="0"/>
    </xf>
    <xf numFmtId="43" fontId="29" fillId="8" borderId="3" xfId="40" applyFont="1" applyFill="1" applyBorder="1" applyAlignment="1">
      <alignment horizontal="right" vertical="center" wrapText="1"/>
    </xf>
    <xf numFmtId="10" fontId="29" fillId="8" borderId="3" xfId="30" applyNumberFormat="1" applyFont="1" applyFill="1" applyBorder="1" applyAlignment="1">
      <alignment horizontal="right" vertical="center" wrapText="1"/>
    </xf>
    <xf numFmtId="43" fontId="26" fillId="8" borderId="4" xfId="40" applyFont="1" applyFill="1" applyBorder="1" applyAlignment="1">
      <alignment horizontal="center" vertical="center"/>
    </xf>
    <xf numFmtId="10" fontId="26" fillId="8" borderId="3" xfId="30" applyNumberFormat="1" applyFont="1" applyFill="1" applyBorder="1" applyAlignment="1">
      <alignment horizontal="right" vertical="center" wrapText="1"/>
    </xf>
    <xf numFmtId="43" fontId="29" fillId="8" borderId="3" xfId="0" applyNumberFormat="1" applyFont="1" applyFill="1" applyBorder="1" applyAlignment="1">
      <alignment vertical="center"/>
      <protection locked="0"/>
    </xf>
    <xf numFmtId="43" fontId="44" fillId="8" borderId="3" xfId="40" applyFont="1" applyFill="1" applyBorder="1" applyAlignment="1">
      <alignment horizontal="right" vertical="center"/>
    </xf>
    <xf numFmtId="43" fontId="29" fillId="8" borderId="3" xfId="40" applyFont="1" applyFill="1" applyBorder="1" applyAlignment="1" applyProtection="1">
      <alignment horizontal="center" vertical="center"/>
      <protection locked="0"/>
    </xf>
    <xf numFmtId="43" fontId="29" fillId="8" borderId="3" xfId="40" applyFont="1" applyFill="1" applyBorder="1" applyAlignment="1">
      <alignment horizontal="right" vertical="center"/>
    </xf>
    <xf numFmtId="0" fontId="29" fillId="0" borderId="0" xfId="0" applyFont="1" applyBorder="1" applyAlignment="1">
      <alignment vertical="center"/>
      <protection locked="0"/>
    </xf>
    <xf numFmtId="14" fontId="29" fillId="8" borderId="3" xfId="40" applyNumberFormat="1" applyFont="1" applyFill="1" applyBorder="1" applyAlignment="1" applyProtection="1">
      <alignment horizontal="center" vertical="center"/>
      <protection locked="0"/>
    </xf>
    <xf numFmtId="0" fontId="29" fillId="0" borderId="0" xfId="68" applyFont="1" applyAlignment="1">
      <alignment vertical="center"/>
      <protection locked="0"/>
    </xf>
    <xf numFmtId="43" fontId="29" fillId="0" borderId="0" xfId="68" applyNumberFormat="1" applyFont="1" applyAlignment="1">
      <alignment vertical="center"/>
      <protection locked="0"/>
    </xf>
    <xf numFmtId="0" fontId="27" fillId="0" borderId="0" xfId="68" applyFont="1" applyAlignment="1">
      <alignment vertical="center"/>
      <protection locked="0"/>
    </xf>
    <xf numFmtId="0" fontId="29" fillId="0" borderId="0" xfId="82" applyFont="1" applyAlignment="1">
      <alignment vertical="center"/>
    </xf>
    <xf numFmtId="0" fontId="29" fillId="0" borderId="3" xfId="82" applyFont="1" applyBorder="1" applyAlignment="1">
      <alignment horizontal="center" vertical="center"/>
    </xf>
    <xf numFmtId="0" fontId="29" fillId="0" borderId="3" xfId="82" applyFont="1" applyBorder="1" applyAlignment="1">
      <alignment vertical="center"/>
    </xf>
    <xf numFmtId="0" fontId="40" fillId="0" borderId="0" xfId="82" applyFont="1" applyAlignment="1">
      <alignment horizontal="center" vertical="center"/>
    </xf>
    <xf numFmtId="43" fontId="26" fillId="0" borderId="0" xfId="40" applyFont="1" applyBorder="1" applyAlignment="1" applyProtection="1">
      <alignment horizontal="left" vertical="center"/>
      <protection locked="0"/>
    </xf>
    <xf numFmtId="43" fontId="29" fillId="0" borderId="0" xfId="40" applyFont="1" applyBorder="1" applyAlignment="1" applyProtection="1">
      <alignment vertical="center"/>
      <protection locked="0"/>
    </xf>
    <xf numFmtId="0" fontId="29" fillId="0" borderId="0" xfId="0" applyFont="1" applyFill="1" applyAlignment="1">
      <alignment vertical="center"/>
      <protection locked="0"/>
    </xf>
    <xf numFmtId="0" fontId="29" fillId="0" borderId="7" xfId="0" applyFont="1" applyFill="1" applyBorder="1" applyAlignment="1">
      <alignment vertical="center"/>
      <protection locked="0"/>
    </xf>
    <xf numFmtId="0" fontId="29" fillId="0" borderId="0" xfId="0" applyFont="1" applyFill="1" applyAlignment="1">
      <alignment vertical="center" wrapText="1"/>
      <protection locked="0"/>
    </xf>
    <xf numFmtId="0" fontId="29" fillId="0" borderId="0" xfId="0" applyFont="1" applyFill="1">
      <protection locked="0"/>
    </xf>
    <xf numFmtId="0" fontId="27" fillId="0" borderId="0" xfId="0" applyFont="1" applyFill="1">
      <protection locked="0"/>
    </xf>
    <xf numFmtId="43" fontId="29" fillId="0" borderId="0" xfId="36" applyNumberFormat="1" applyFont="1" applyFill="1" applyBorder="1" applyAlignment="1">
      <alignment vertical="center"/>
    </xf>
    <xf numFmtId="43" fontId="29" fillId="0" borderId="0" xfId="40" applyFont="1" applyBorder="1" applyAlignment="1" applyProtection="1">
      <alignment horizontal="left" vertical="center"/>
      <protection locked="0"/>
    </xf>
    <xf numFmtId="0" fontId="29" fillId="0" borderId="0" xfId="82" applyFont="1" applyBorder="1" applyAlignment="1">
      <alignment horizontal="center" vertical="center"/>
    </xf>
    <xf numFmtId="191" fontId="62" fillId="0" borderId="0" xfId="76" applyFont="1" applyAlignment="1">
      <alignment vertical="center"/>
    </xf>
    <xf numFmtId="0" fontId="26" fillId="4" borderId="3" xfId="72" applyFont="1" applyFill="1" applyBorder="1" applyAlignment="1" applyProtection="1">
      <alignment horizontal="center" vertical="center" wrapText="1"/>
      <protection locked="0"/>
    </xf>
    <xf numFmtId="0" fontId="29" fillId="0" borderId="0" xfId="82" applyFont="1" applyBorder="1" applyAlignment="1">
      <alignment horizontal="left" vertical="center"/>
    </xf>
    <xf numFmtId="0" fontId="15" fillId="0" borderId="0" xfId="33" applyFont="1" applyAlignment="1">
      <alignment vertical="center"/>
    </xf>
    <xf numFmtId="43" fontId="26" fillId="8" borderId="3" xfId="40" applyFont="1" applyFill="1" applyBorder="1" applyAlignment="1" applyProtection="1">
      <alignment horizontal="center" vertical="center"/>
      <protection locked="0"/>
    </xf>
    <xf numFmtId="14" fontId="29" fillId="0" borderId="3" xfId="40" applyNumberFormat="1" applyFont="1" applyFill="1" applyBorder="1" applyAlignment="1" applyProtection="1">
      <alignment horizontal="center" vertical="center"/>
      <protection locked="0"/>
    </xf>
    <xf numFmtId="191" fontId="61" fillId="0" borderId="3" xfId="76" applyFont="1" applyFill="1" applyBorder="1" applyAlignment="1">
      <alignment horizontal="center" vertical="center" wrapText="1"/>
    </xf>
    <xf numFmtId="191" fontId="62" fillId="0" borderId="0" xfId="76" applyFont="1" applyFill="1">
      <alignment vertical="center"/>
    </xf>
    <xf numFmtId="14" fontId="29" fillId="0" borderId="0" xfId="41" applyNumberFormat="1" applyFont="1" applyAlignment="1" applyProtection="1">
      <alignment vertical="center"/>
    </xf>
    <xf numFmtId="14" fontId="29" fillId="0" borderId="0" xfId="33" applyNumberFormat="1" applyFont="1" applyAlignment="1">
      <alignment horizontal="center" vertical="center"/>
    </xf>
    <xf numFmtId="191" fontId="29" fillId="0" borderId="0" xfId="41" applyFont="1" applyAlignment="1" applyProtection="1">
      <alignment horizontal="center" vertical="center"/>
    </xf>
    <xf numFmtId="0" fontId="29" fillId="0" borderId="0" xfId="33" applyFont="1" applyAlignment="1">
      <alignment horizontal="center" vertical="center"/>
    </xf>
    <xf numFmtId="191" fontId="44" fillId="0" borderId="0" xfId="0" applyNumberFormat="1" applyFont="1" applyFill="1" applyAlignment="1" applyProtection="1">
      <alignment vertical="center"/>
    </xf>
    <xf numFmtId="191" fontId="12" fillId="0" borderId="2" xfId="37" applyNumberFormat="1" applyFill="1" applyBorder="1" applyAlignment="1" applyProtection="1">
      <alignment vertical="center"/>
    </xf>
    <xf numFmtId="0" fontId="26" fillId="9" borderId="3" xfId="45" applyFont="1" applyFill="1" applyBorder="1" applyAlignment="1">
      <alignment horizontal="center" vertical="center" wrapText="1"/>
    </xf>
    <xf numFmtId="43" fontId="26" fillId="0" borderId="0" xfId="40" applyFont="1" applyAlignment="1" applyProtection="1">
      <alignment vertical="center"/>
      <protection locked="0"/>
    </xf>
    <xf numFmtId="14" fontId="26" fillId="4" borderId="3" xfId="33" applyNumberFormat="1" applyFont="1" applyFill="1" applyBorder="1" applyAlignment="1">
      <alignment horizontal="center" vertical="center" wrapText="1"/>
    </xf>
    <xf numFmtId="10" fontId="29" fillId="0" borderId="3" xfId="30" applyNumberFormat="1" applyFont="1" applyBorder="1" applyAlignment="1" applyProtection="1">
      <alignment vertical="center"/>
      <protection locked="0"/>
    </xf>
    <xf numFmtId="43" fontId="29" fillId="0" borderId="3" xfId="40" applyFont="1" applyBorder="1" applyAlignment="1" applyProtection="1">
      <alignment vertical="center" wrapText="1"/>
      <protection locked="0"/>
    </xf>
    <xf numFmtId="0" fontId="29" fillId="0" borderId="3" xfId="0" applyFont="1" applyBorder="1" applyAlignment="1">
      <alignment horizontal="center" vertical="center"/>
      <protection locked="0"/>
    </xf>
    <xf numFmtId="43" fontId="29" fillId="0" borderId="3" xfId="40" applyFont="1" applyBorder="1" applyAlignment="1" applyProtection="1">
      <alignment vertical="center"/>
      <protection locked="0"/>
    </xf>
    <xf numFmtId="0" fontId="29" fillId="0" borderId="3" xfId="0" applyFont="1" applyBorder="1" applyAlignment="1">
      <alignment horizontal="right" vertical="center"/>
      <protection locked="0"/>
    </xf>
    <xf numFmtId="0" fontId="26" fillId="0" borderId="0" xfId="0" applyFont="1" applyAlignment="1">
      <alignment horizontal="right" vertical="center"/>
      <protection locked="0"/>
    </xf>
    <xf numFmtId="0" fontId="29" fillId="0" borderId="0" xfId="0" applyFont="1" applyAlignment="1">
      <alignment horizontal="right" vertical="center"/>
      <protection locked="0"/>
    </xf>
    <xf numFmtId="0" fontId="26" fillId="4" borderId="8" xfId="0" applyFont="1" applyFill="1" applyBorder="1" applyAlignment="1">
      <alignment vertical="center" wrapText="1"/>
      <protection locked="0"/>
    </xf>
    <xf numFmtId="0" fontId="26" fillId="4" borderId="3" xfId="34" applyFont="1" applyFill="1" applyBorder="1" applyAlignment="1">
      <alignment horizontal="center" vertical="center"/>
      <protection locked="0"/>
    </xf>
    <xf numFmtId="0" fontId="26" fillId="0" borderId="0" xfId="0" applyFont="1" applyBorder="1" applyAlignment="1">
      <alignment vertical="center"/>
      <protection locked="0"/>
    </xf>
    <xf numFmtId="0" fontId="27" fillId="0" borderId="0" xfId="78" applyFont="1">
      <protection locked="0"/>
    </xf>
    <xf numFmtId="43" fontId="29" fillId="0" borderId="0" xfId="77" applyNumberFormat="1" applyFont="1" applyBorder="1" applyAlignment="1">
      <alignment vertical="center"/>
    </xf>
    <xf numFmtId="43" fontId="29" fillId="0" borderId="0" xfId="77" applyNumberFormat="1" applyFont="1" applyBorder="1" applyAlignment="1">
      <alignment horizontal="left" vertical="center"/>
    </xf>
    <xf numFmtId="0" fontId="34" fillId="4" borderId="3" xfId="78" applyFont="1" applyFill="1" applyBorder="1" applyAlignment="1" applyProtection="1">
      <alignment vertical="center"/>
    </xf>
    <xf numFmtId="0" fontId="34" fillId="4" borderId="3" xfId="78" applyFont="1" applyFill="1" applyBorder="1" applyAlignment="1" applyProtection="1">
      <alignment vertical="center" wrapText="1"/>
    </xf>
    <xf numFmtId="191" fontId="26" fillId="4" borderId="3" xfId="79" applyFont="1" applyFill="1" applyBorder="1" applyAlignment="1" applyProtection="1">
      <alignment horizontal="center" vertical="center" wrapText="1"/>
      <protection locked="0"/>
    </xf>
    <xf numFmtId="0" fontId="44" fillId="0" borderId="3" xfId="78" applyFont="1" applyBorder="1" applyAlignment="1" applyProtection="1">
      <alignment vertical="center"/>
    </xf>
    <xf numFmtId="0" fontId="29" fillId="0" borderId="3" xfId="78" applyFont="1" applyBorder="1" applyAlignment="1" applyProtection="1">
      <alignment vertical="center"/>
    </xf>
    <xf numFmtId="0" fontId="42" fillId="0" borderId="3" xfId="78" applyFont="1" applyBorder="1" applyAlignment="1" applyProtection="1">
      <alignment horizontal="left" vertical="center" indent="1"/>
    </xf>
    <xf numFmtId="0" fontId="26" fillId="0" borderId="0" xfId="0" applyFont="1">
      <protection locked="0"/>
    </xf>
    <xf numFmtId="191" fontId="29" fillId="0" borderId="0" xfId="76" applyFont="1" applyFill="1" applyProtection="1">
      <alignment vertical="center"/>
      <protection locked="0"/>
    </xf>
    <xf numFmtId="49" fontId="26" fillId="0" borderId="0" xfId="76" applyNumberFormat="1" applyFont="1" applyFill="1" applyAlignment="1" applyProtection="1">
      <alignment horizontal="left" vertical="center"/>
      <protection locked="0"/>
    </xf>
    <xf numFmtId="49" fontId="29" fillId="0" borderId="3" xfId="76" applyNumberFormat="1" applyFont="1" applyFill="1" applyBorder="1" applyAlignment="1" applyProtection="1">
      <alignment horizontal="center" vertical="center"/>
      <protection locked="0"/>
    </xf>
    <xf numFmtId="0" fontId="74" fillId="0" borderId="0" xfId="0" applyFont="1" applyAlignment="1">
      <alignment horizontal="left" vertical="center"/>
      <protection locked="0"/>
    </xf>
    <xf numFmtId="191" fontId="61" fillId="0" borderId="8" xfId="76" applyFont="1" applyBorder="1" applyAlignment="1">
      <alignment vertical="center" wrapText="1"/>
    </xf>
    <xf numFmtId="191" fontId="61" fillId="0" borderId="3" xfId="76" applyFont="1" applyBorder="1" applyAlignment="1">
      <alignment horizontal="center" vertical="center" wrapText="1"/>
    </xf>
    <xf numFmtId="10" fontId="30" fillId="0" borderId="0" xfId="30" applyNumberFormat="1" applyFont="1" applyBorder="1" applyAlignment="1">
      <alignment horizontal="left" vertical="center"/>
    </xf>
    <xf numFmtId="0" fontId="26" fillId="4" borderId="3" xfId="0" applyFont="1" applyFill="1" applyBorder="1" applyAlignment="1">
      <alignment horizontal="center" vertical="center" wrapText="1"/>
      <protection locked="0"/>
    </xf>
    <xf numFmtId="43" fontId="29" fillId="0" borderId="0" xfId="33" applyNumberFormat="1" applyFont="1" applyAlignment="1">
      <alignment vertical="center"/>
    </xf>
    <xf numFmtId="191" fontId="34" fillId="0" borderId="2" xfId="0" applyNumberFormat="1" applyFont="1" applyBorder="1" applyAlignment="1" applyProtection="1">
      <alignment horizontal="center" vertical="center"/>
    </xf>
    <xf numFmtId="191" fontId="64" fillId="0" borderId="8" xfId="76" applyFont="1" applyBorder="1" applyAlignment="1">
      <alignment vertical="center" wrapText="1"/>
    </xf>
    <xf numFmtId="10" fontId="30" fillId="0" borderId="0" xfId="30" applyNumberFormat="1" applyFont="1" applyBorder="1" applyAlignment="1">
      <alignment horizontal="left" vertical="center"/>
    </xf>
    <xf numFmtId="0" fontId="29" fillId="0" borderId="0" xfId="82" applyFont="1" applyBorder="1" applyAlignment="1">
      <alignment vertical="center"/>
    </xf>
    <xf numFmtId="191" fontId="29" fillId="0" borderId="0" xfId="41" applyFont="1" applyAlignment="1" applyProtection="1">
      <alignment horizontal="left" vertical="center" wrapText="1"/>
    </xf>
    <xf numFmtId="0" fontId="28" fillId="0" borderId="0" xfId="31" applyFont="1" applyAlignment="1">
      <alignment vertical="center"/>
    </xf>
    <xf numFmtId="0" fontId="60" fillId="0" borderId="0" xfId="31" applyFont="1" applyAlignment="1">
      <alignment vertical="center"/>
    </xf>
    <xf numFmtId="0" fontId="29" fillId="0" borderId="0" xfId="68" applyFont="1" applyFill="1" applyAlignment="1">
      <alignment vertical="center"/>
      <protection locked="0"/>
    </xf>
    <xf numFmtId="0" fontId="29" fillId="0" borderId="0" xfId="68" applyFont="1" applyBorder="1" applyAlignment="1">
      <alignment vertical="center"/>
      <protection locked="0"/>
    </xf>
    <xf numFmtId="0" fontId="41" fillId="0" borderId="0" xfId="32" applyFont="1" applyAlignment="1">
      <alignment vertical="center"/>
    </xf>
    <xf numFmtId="191" fontId="29" fillId="0" borderId="3" xfId="76" applyFont="1" applyBorder="1" applyAlignment="1">
      <alignment horizontal="center" vertical="center" wrapText="1"/>
    </xf>
    <xf numFmtId="191" fontId="64" fillId="0" borderId="3" xfId="76" applyFont="1" applyBorder="1" applyAlignment="1">
      <alignment vertical="center" wrapText="1"/>
    </xf>
    <xf numFmtId="0" fontId="15" fillId="0" borderId="0" xfId="68" applyFont="1" applyAlignment="1">
      <alignment vertical="center"/>
      <protection locked="0"/>
    </xf>
    <xf numFmtId="191" fontId="69" fillId="0" borderId="0" xfId="41" applyFont="1" applyAlignment="1" applyProtection="1">
      <alignment horizontal="left" vertical="center"/>
    </xf>
    <xf numFmtId="0" fontId="69" fillId="0" borderId="0" xfId="0" applyFont="1" applyAlignment="1">
      <alignment vertical="center"/>
      <protection locked="0"/>
    </xf>
    <xf numFmtId="43" fontId="29" fillId="0" borderId="7" xfId="0" applyNumberFormat="1" applyFont="1" applyBorder="1" applyAlignment="1">
      <alignment vertical="center"/>
      <protection locked="0"/>
    </xf>
    <xf numFmtId="43" fontId="29" fillId="0" borderId="0" xfId="0" applyNumberFormat="1" applyFont="1" applyAlignment="1">
      <alignment vertical="center" wrapText="1"/>
      <protection locked="0"/>
    </xf>
    <xf numFmtId="0" fontId="69" fillId="0" borderId="3" xfId="82" applyFont="1" applyBorder="1" applyAlignment="1">
      <alignment vertical="center"/>
    </xf>
    <xf numFmtId="14" fontId="29" fillId="0" borderId="3" xfId="82" applyNumberFormat="1" applyFont="1" applyBorder="1" applyAlignment="1">
      <alignment horizontal="center" vertical="center"/>
    </xf>
    <xf numFmtId="0" fontId="69" fillId="0" borderId="3" xfId="82" applyFont="1" applyBorder="1" applyAlignment="1">
      <alignment horizontal="center" vertical="center"/>
    </xf>
    <xf numFmtId="43" fontId="29" fillId="0" borderId="3" xfId="40" applyFont="1" applyBorder="1" applyAlignment="1">
      <alignment horizontal="center" vertical="center"/>
    </xf>
    <xf numFmtId="43" fontId="29" fillId="0" borderId="3" xfId="40" applyFont="1" applyFill="1" applyBorder="1" applyAlignment="1">
      <alignment horizontal="center" vertical="center" wrapText="1"/>
    </xf>
    <xf numFmtId="43" fontId="29" fillId="0" borderId="3" xfId="40" applyFont="1" applyFill="1" applyBorder="1" applyAlignment="1">
      <alignment horizontal="center" vertical="center"/>
    </xf>
    <xf numFmtId="43" fontId="29" fillId="0" borderId="0" xfId="40" applyFont="1" applyBorder="1" applyAlignment="1">
      <alignment horizontal="center" vertical="center"/>
    </xf>
    <xf numFmtId="191" fontId="15" fillId="0" borderId="0" xfId="41" applyFont="1" applyFill="1" applyAlignment="1" applyProtection="1">
      <alignment vertical="center"/>
    </xf>
    <xf numFmtId="43" fontId="15" fillId="0" borderId="0" xfId="36" applyNumberFormat="1" applyFont="1" applyBorder="1" applyAlignment="1">
      <alignment vertical="center"/>
    </xf>
    <xf numFmtId="0" fontId="18" fillId="0" borderId="0" xfId="68" applyFont="1" applyAlignment="1">
      <alignment vertical="center"/>
      <protection locked="0"/>
    </xf>
    <xf numFmtId="0" fontId="41" fillId="0" borderId="0" xfId="68" applyFont="1" applyAlignment="1">
      <alignment vertical="center"/>
      <protection locked="0"/>
    </xf>
    <xf numFmtId="0" fontId="15" fillId="0" borderId="0" xfId="82" applyFont="1" applyFill="1" applyAlignment="1">
      <alignment vertical="center"/>
    </xf>
    <xf numFmtId="0" fontId="15" fillId="0" borderId="0" xfId="68" applyFont="1" applyFill="1" applyAlignment="1">
      <alignment vertical="center"/>
      <protection locked="0"/>
    </xf>
    <xf numFmtId="191" fontId="20" fillId="0" borderId="0" xfId="41" applyFont="1" applyAlignment="1" applyProtection="1">
      <alignment vertical="center"/>
    </xf>
    <xf numFmtId="191" fontId="79" fillId="0" borderId="0" xfId="41" applyFont="1" applyAlignment="1" applyProtection="1">
      <alignment horizontal="center" vertical="center"/>
    </xf>
    <xf numFmtId="191" fontId="18" fillId="0" borderId="0" xfId="41" applyFont="1" applyFill="1" applyAlignment="1" applyProtection="1">
      <alignment horizontal="left" vertical="center"/>
    </xf>
    <xf numFmtId="191" fontId="15" fillId="0" borderId="0" xfId="41" applyFont="1" applyFill="1" applyAlignment="1">
      <alignment vertical="center"/>
      <protection locked="0"/>
    </xf>
    <xf numFmtId="0" fontId="18" fillId="4" borderId="3" xfId="82" applyFont="1" applyFill="1" applyBorder="1" applyAlignment="1">
      <alignment horizontal="center" vertical="center"/>
    </xf>
    <xf numFmtId="0" fontId="18" fillId="4" borderId="3" xfId="82" applyFont="1" applyFill="1" applyBorder="1" applyAlignment="1">
      <alignment horizontal="center" vertical="center" wrapText="1"/>
    </xf>
    <xf numFmtId="0" fontId="15" fillId="0" borderId="0" xfId="68" applyFont="1" applyAlignment="1">
      <alignment horizontal="center" vertical="center"/>
      <protection locked="0"/>
    </xf>
    <xf numFmtId="0" fontId="18" fillId="4" borderId="3" xfId="0" applyFont="1" applyFill="1" applyBorder="1" applyAlignment="1">
      <alignment horizontal="center" vertical="center" wrapText="1"/>
      <protection locked="0"/>
    </xf>
    <xf numFmtId="0" fontId="26" fillId="4" borderId="3" xfId="33" applyFont="1" applyFill="1" applyBorder="1" applyAlignment="1">
      <alignment horizontal="center" vertical="center" wrapText="1"/>
    </xf>
    <xf numFmtId="191" fontId="29" fillId="0" borderId="0" xfId="41" applyFont="1" applyAlignment="1" applyProtection="1">
      <alignment horizontal="left" vertical="center" wrapText="1"/>
    </xf>
    <xf numFmtId="191" fontId="20" fillId="4" borderId="3" xfId="43" applyFont="1" applyFill="1" applyBorder="1" applyAlignment="1" applyProtection="1">
      <alignment horizontal="center" vertical="center"/>
      <protection locked="0"/>
    </xf>
    <xf numFmtId="0" fontId="29" fillId="0" borderId="0" xfId="35" applyFont="1" applyAlignment="1">
      <alignment horizontal="left" vertical="center" wrapText="1"/>
    </xf>
    <xf numFmtId="0" fontId="26" fillId="0" borderId="0" xfId="35" applyFont="1" applyAlignment="1">
      <alignment horizontal="left" vertical="center" wrapText="1"/>
    </xf>
    <xf numFmtId="0" fontId="26" fillId="0" borderId="0" xfId="35" applyFont="1" applyAlignment="1">
      <alignment vertical="center" wrapText="1"/>
    </xf>
    <xf numFmtId="0" fontId="18" fillId="4" borderId="3" xfId="45" applyFont="1" applyFill="1" applyBorder="1" applyAlignment="1">
      <alignment horizontal="center" vertical="center"/>
    </xf>
    <xf numFmtId="0" fontId="15" fillId="0" borderId="0" xfId="0" applyFont="1">
      <protection locked="0"/>
    </xf>
    <xf numFmtId="0" fontId="69" fillId="0" borderId="3" xfId="0" applyFont="1" applyBorder="1" applyAlignment="1">
      <alignment horizontal="left" vertical="center"/>
      <protection locked="0"/>
    </xf>
    <xf numFmtId="0" fontId="38" fillId="0" borderId="0" xfId="68" applyFont="1" applyAlignment="1" applyProtection="1">
      <alignment horizontal="center" vertical="center"/>
    </xf>
    <xf numFmtId="43" fontId="15" fillId="0" borderId="0" xfId="40" applyFont="1" applyAlignment="1" applyProtection="1">
      <alignment vertical="center"/>
      <protection locked="0"/>
    </xf>
    <xf numFmtId="191" fontId="18" fillId="0" borderId="0" xfId="41" applyFont="1" applyAlignment="1" applyProtection="1">
      <alignment horizontal="left" vertical="center"/>
    </xf>
    <xf numFmtId="0" fontId="14" fillId="0" borderId="3" xfId="73" applyFont="1" applyBorder="1" applyAlignment="1" applyProtection="1">
      <alignment horizontal="center" vertical="center" shrinkToFit="1"/>
      <protection locked="0"/>
    </xf>
    <xf numFmtId="0" fontId="53" fillId="0" borderId="3" xfId="73" applyFont="1" applyBorder="1" applyAlignment="1" applyProtection="1">
      <alignment horizontal="left" vertical="center" shrinkToFit="1"/>
      <protection locked="0"/>
    </xf>
    <xf numFmtId="0" fontId="81" fillId="0" borderId="3" xfId="73" applyFont="1" applyBorder="1" applyAlignment="1" applyProtection="1">
      <alignment vertical="center" wrapText="1" shrinkToFit="1"/>
      <protection locked="0"/>
    </xf>
    <xf numFmtId="0" fontId="81" fillId="0" borderId="3" xfId="73" applyFont="1" applyBorder="1" applyAlignment="1" applyProtection="1">
      <alignment horizontal="center" vertical="center" shrinkToFit="1"/>
      <protection locked="0"/>
    </xf>
    <xf numFmtId="0" fontId="69" fillId="0" borderId="3" xfId="45" applyFont="1" applyBorder="1" applyAlignment="1">
      <alignment horizontal="left" vertical="center"/>
    </xf>
    <xf numFmtId="0" fontId="69" fillId="0" borderId="3" xfId="45" applyFont="1" applyBorder="1" applyAlignment="1">
      <alignment horizontal="center" vertical="center"/>
    </xf>
    <xf numFmtId="10" fontId="29" fillId="0" borderId="3" xfId="30" applyNumberFormat="1" applyFont="1" applyBorder="1" applyAlignment="1">
      <alignment horizontal="center" vertical="center"/>
    </xf>
    <xf numFmtId="14" fontId="29" fillId="0" borderId="3" xfId="0" applyNumberFormat="1" applyFont="1" applyBorder="1" applyAlignment="1">
      <alignment horizontal="center" vertical="center" wrapText="1"/>
      <protection locked="0"/>
    </xf>
    <xf numFmtId="194" fontId="69" fillId="0" borderId="3" xfId="45" applyNumberFormat="1" applyFont="1" applyBorder="1" applyAlignment="1">
      <alignment horizontal="center" vertical="center"/>
    </xf>
    <xf numFmtId="0" fontId="69" fillId="0" borderId="3" xfId="0" applyFont="1" applyBorder="1" applyAlignment="1">
      <alignment horizontal="center" vertical="center" wrapText="1"/>
      <protection locked="0"/>
    </xf>
    <xf numFmtId="0" fontId="69" fillId="0" borderId="10" xfId="0" applyFont="1" applyBorder="1" applyAlignment="1">
      <alignment horizontal="justify" vertical="center" wrapText="1"/>
      <protection locked="0"/>
    </xf>
    <xf numFmtId="0" fontId="69" fillId="0" borderId="8" xfId="0" applyFont="1" applyBorder="1" applyAlignment="1">
      <alignment horizontal="justify" vertical="center" wrapText="1"/>
      <protection locked="0"/>
    </xf>
    <xf numFmtId="10" fontId="29" fillId="8" borderId="3" xfId="30" applyNumberFormat="1" applyFont="1" applyFill="1" applyBorder="1" applyAlignment="1" applyProtection="1">
      <alignment horizontal="center" vertical="center"/>
      <protection locked="0"/>
    </xf>
    <xf numFmtId="14" fontId="29" fillId="0" borderId="3" xfId="0" applyNumberFormat="1" applyFont="1" applyBorder="1" applyAlignment="1">
      <alignment horizontal="center" vertical="center"/>
      <protection locked="0"/>
    </xf>
    <xf numFmtId="0" fontId="70" fillId="4" borderId="3" xfId="33" applyFont="1" applyFill="1" applyBorder="1" applyAlignment="1">
      <alignment horizontal="center" vertical="center" wrapText="1"/>
    </xf>
    <xf numFmtId="191" fontId="44" fillId="0" borderId="0" xfId="41" applyFont="1" applyAlignment="1" applyProtection="1">
      <alignment vertical="center"/>
    </xf>
    <xf numFmtId="43" fontId="44" fillId="8" borderId="3" xfId="40" applyFont="1" applyFill="1" applyBorder="1" applyAlignment="1">
      <alignment vertical="center"/>
    </xf>
    <xf numFmtId="0" fontId="15" fillId="4" borderId="0" xfId="0" applyFont="1" applyFill="1" applyAlignment="1">
      <alignment vertical="center"/>
      <protection locked="0"/>
    </xf>
    <xf numFmtId="191" fontId="82" fillId="4" borderId="3" xfId="43" applyFont="1" applyFill="1" applyBorder="1" applyAlignment="1" applyProtection="1">
      <alignment horizontal="center" vertical="center"/>
      <protection locked="0"/>
    </xf>
    <xf numFmtId="0" fontId="15" fillId="4" borderId="0" xfId="0" applyFont="1" applyFill="1">
      <protection locked="0"/>
    </xf>
    <xf numFmtId="43" fontId="15" fillId="0" borderId="3" xfId="0" applyNumberFormat="1" applyFont="1" applyBorder="1" applyAlignment="1">
      <alignment horizontal="center" vertical="center"/>
      <protection locked="0"/>
    </xf>
    <xf numFmtId="43" fontId="55" fillId="0" borderId="3" xfId="40" applyFont="1" applyFill="1" applyBorder="1" applyAlignment="1">
      <alignment horizontal="left" vertical="center"/>
    </xf>
    <xf numFmtId="43" fontId="15" fillId="0" borderId="3" xfId="0" applyNumberFormat="1" applyFont="1" applyBorder="1" applyAlignment="1">
      <alignment horizontal="left" vertical="center"/>
      <protection locked="0"/>
    </xf>
    <xf numFmtId="43" fontId="78" fillId="0" borderId="3" xfId="40" applyFont="1" applyFill="1" applyBorder="1" applyAlignment="1">
      <alignment horizontal="left" vertical="center"/>
    </xf>
    <xf numFmtId="43" fontId="21" fillId="0" borderId="3" xfId="0" applyNumberFormat="1" applyFont="1" applyBorder="1" applyAlignment="1">
      <alignment horizontal="left" vertical="center"/>
      <protection locked="0"/>
    </xf>
    <xf numFmtId="0" fontId="15" fillId="0" borderId="3" xfId="0" applyFont="1" applyBorder="1" applyAlignment="1">
      <alignment horizontal="left" vertical="center"/>
      <protection locked="0"/>
    </xf>
    <xf numFmtId="0" fontId="21" fillId="0" borderId="3" xfId="0" applyFont="1" applyBorder="1" applyAlignment="1">
      <alignment horizontal="left" vertical="center"/>
      <protection locked="0"/>
    </xf>
    <xf numFmtId="0" fontId="83" fillId="0" borderId="0" xfId="0" applyFont="1" applyAlignment="1">
      <alignment vertical="center"/>
      <protection locked="0"/>
    </xf>
    <xf numFmtId="0" fontId="29" fillId="0" borderId="0" xfId="34" applyFont="1">
      <protection locked="0"/>
    </xf>
    <xf numFmtId="0" fontId="31" fillId="0" borderId="0" xfId="0" applyFont="1" applyAlignment="1">
      <alignment vertical="center"/>
      <protection locked="0"/>
    </xf>
    <xf numFmtId="0" fontId="29" fillId="0" borderId="0" xfId="34" applyFont="1" applyAlignment="1">
      <alignment vertical="center"/>
      <protection locked="0"/>
    </xf>
    <xf numFmtId="0" fontId="29" fillId="0" borderId="0" xfId="0" applyFont="1" applyAlignment="1">
      <alignment horizontal="left"/>
      <protection locked="0"/>
    </xf>
    <xf numFmtId="14" fontId="35" fillId="0" borderId="3" xfId="0" quotePrefix="1" applyNumberFormat="1" applyFont="1" applyBorder="1" applyAlignment="1">
      <alignment horizontal="left" vertical="center"/>
      <protection locked="0"/>
    </xf>
    <xf numFmtId="43" fontId="18" fillId="0" borderId="0" xfId="36" applyNumberFormat="1" applyFont="1" applyBorder="1" applyAlignment="1">
      <alignment vertical="center"/>
    </xf>
    <xf numFmtId="43" fontId="18" fillId="4" borderId="4" xfId="40" applyFont="1" applyFill="1" applyBorder="1" applyAlignment="1" applyProtection="1">
      <alignment horizontal="center" vertical="center" wrapText="1"/>
      <protection locked="0"/>
    </xf>
    <xf numFmtId="43" fontId="18" fillId="4" borderId="4" xfId="40" applyFont="1" applyFill="1" applyBorder="1" applyAlignment="1" applyProtection="1">
      <alignment horizontal="center" vertical="center"/>
      <protection locked="0"/>
    </xf>
    <xf numFmtId="0" fontId="60" fillId="0" borderId="0" xfId="0" applyFont="1" applyAlignment="1">
      <alignment vertical="center"/>
      <protection locked="0"/>
    </xf>
    <xf numFmtId="0" fontId="36" fillId="0" borderId="0" xfId="0" applyFont="1" applyAlignment="1">
      <alignment vertical="center"/>
      <protection locked="0"/>
    </xf>
    <xf numFmtId="14" fontId="15" fillId="0" borderId="0" xfId="33" applyNumberFormat="1" applyFont="1" applyAlignment="1">
      <alignment horizontal="center" vertical="center"/>
    </xf>
    <xf numFmtId="0" fontId="85" fillId="0" borderId="0" xfId="0" applyFont="1" applyAlignment="1">
      <alignment vertical="center"/>
      <protection locked="0"/>
    </xf>
    <xf numFmtId="191" fontId="64" fillId="0" borderId="8" xfId="76" applyFont="1" applyBorder="1" applyAlignment="1">
      <alignment vertical="center" wrapText="1"/>
    </xf>
    <xf numFmtId="191" fontId="61" fillId="0" borderId="3" xfId="76" applyFont="1" applyBorder="1" applyAlignment="1">
      <alignment horizontal="center" vertical="center" wrapText="1"/>
    </xf>
    <xf numFmtId="0" fontId="61" fillId="0" borderId="3" xfId="76" applyNumberFormat="1" applyFont="1" applyBorder="1" applyAlignment="1">
      <alignment horizontal="center" vertical="center" wrapText="1"/>
    </xf>
    <xf numFmtId="191" fontId="18" fillId="0" borderId="0" xfId="76" applyFont="1" applyFill="1" applyProtection="1">
      <alignment vertical="center"/>
      <protection locked="0"/>
    </xf>
    <xf numFmtId="191" fontId="15" fillId="0" borderId="0" xfId="76" applyFont="1" applyFill="1" applyProtection="1">
      <alignment vertical="center"/>
      <protection locked="0"/>
    </xf>
    <xf numFmtId="191" fontId="29" fillId="0" borderId="0" xfId="76" applyFont="1" applyAlignment="1" applyProtection="1">
      <alignment horizontal="center" vertical="center"/>
      <protection locked="0"/>
    </xf>
    <xf numFmtId="191" fontId="62" fillId="0" borderId="0" xfId="76" applyFont="1" applyAlignment="1">
      <alignment horizontal="center" vertical="center"/>
    </xf>
    <xf numFmtId="0" fontId="61" fillId="0" borderId="3" xfId="44" applyNumberFormat="1" applyFont="1" applyBorder="1" applyAlignment="1">
      <alignment horizontal="center" vertical="center" wrapText="1"/>
    </xf>
    <xf numFmtId="0" fontId="61" fillId="0" borderId="3" xfId="76" applyNumberFormat="1" applyFont="1" applyFill="1" applyBorder="1" applyAlignment="1">
      <alignment horizontal="center" vertical="center" wrapText="1"/>
    </xf>
    <xf numFmtId="0" fontId="61" fillId="0" borderId="3" xfId="44" applyNumberFormat="1" applyFont="1" applyFill="1" applyBorder="1" applyAlignment="1">
      <alignment horizontal="center" vertical="center" wrapText="1"/>
    </xf>
    <xf numFmtId="0" fontId="63" fillId="0" borderId="3" xfId="44" applyNumberFormat="1" applyFont="1" applyBorder="1" applyAlignment="1">
      <alignment horizontal="center" vertical="center" wrapText="1"/>
    </xf>
    <xf numFmtId="191" fontId="86" fillId="7" borderId="0" xfId="76" applyFont="1" applyFill="1" applyAlignment="1" applyProtection="1">
      <alignment horizontal="left" vertical="center"/>
      <protection locked="0"/>
    </xf>
    <xf numFmtId="191" fontId="61" fillId="0" borderId="0" xfId="76" applyFont="1" applyAlignment="1">
      <alignment vertical="center"/>
    </xf>
    <xf numFmtId="191" fontId="64" fillId="0" borderId="8" xfId="76" applyFont="1" applyFill="1" applyBorder="1" applyAlignment="1">
      <alignment vertical="center" wrapText="1"/>
    </xf>
    <xf numFmtId="191" fontId="29" fillId="0" borderId="0" xfId="76" applyFont="1" applyAlignment="1" applyProtection="1">
      <alignment horizontal="left" vertical="center"/>
      <protection locked="0"/>
    </xf>
    <xf numFmtId="191" fontId="77" fillId="7" borderId="0" xfId="76" applyFont="1" applyFill="1" applyAlignment="1" applyProtection="1">
      <alignment horizontal="left" vertical="center" wrapText="1"/>
      <protection locked="0"/>
    </xf>
    <xf numFmtId="191" fontId="61" fillId="0" borderId="26" xfId="76" applyFont="1" applyFill="1" applyBorder="1" applyAlignment="1">
      <alignment horizontal="center" vertical="center" wrapText="1"/>
    </xf>
    <xf numFmtId="0" fontId="61" fillId="0" borderId="26" xfId="44" applyNumberFormat="1" applyFont="1" applyFill="1" applyBorder="1" applyAlignment="1">
      <alignment horizontal="center" vertical="center" wrapText="1"/>
    </xf>
    <xf numFmtId="191" fontId="87" fillId="0" borderId="27" xfId="0" applyNumberFormat="1" applyFont="1" applyFill="1" applyBorder="1" applyAlignment="1" applyProtection="1">
      <alignment vertical="center" wrapText="1"/>
    </xf>
    <xf numFmtId="0" fontId="55" fillId="0" borderId="27" xfId="0" applyNumberFormat="1" applyFont="1" applyFill="1" applyBorder="1" applyAlignment="1" applyProtection="1">
      <alignment horizontal="center" vertical="center" wrapText="1"/>
    </xf>
    <xf numFmtId="191" fontId="88" fillId="10" borderId="0" xfId="0" applyNumberFormat="1" applyFont="1" applyFill="1" applyBorder="1" applyAlignment="1" applyProtection="1">
      <alignment horizontal="left" vertical="center"/>
      <protection locked="0"/>
    </xf>
    <xf numFmtId="191" fontId="71" fillId="0" borderId="0" xfId="76" applyFont="1">
      <alignment vertical="center"/>
    </xf>
    <xf numFmtId="0" fontId="44" fillId="0" borderId="27" xfId="0" applyNumberFormat="1" applyFont="1" applyFill="1" applyBorder="1" applyAlignment="1" applyProtection="1">
      <alignment horizontal="center" vertical="center" wrapText="1"/>
    </xf>
    <xf numFmtId="0" fontId="20" fillId="0" borderId="27" xfId="0" applyNumberFormat="1" applyFont="1" applyFill="1" applyBorder="1" applyAlignment="1" applyProtection="1">
      <alignment horizontal="center" vertical="center" wrapText="1"/>
    </xf>
    <xf numFmtId="0" fontId="63" fillId="0" borderId="3" xfId="44" applyNumberFormat="1" applyFont="1" applyFill="1" applyBorder="1" applyAlignment="1">
      <alignment horizontal="center" vertical="center" wrapText="1"/>
    </xf>
    <xf numFmtId="0" fontId="18" fillId="4" borderId="3" xfId="33" applyFont="1" applyFill="1" applyBorder="1" applyAlignment="1">
      <alignment horizontal="center" vertical="center" wrapText="1"/>
    </xf>
    <xf numFmtId="43" fontId="15" fillId="0" borderId="26" xfId="40" applyFont="1" applyBorder="1" applyAlignment="1" applyProtection="1">
      <alignment horizontal="center" vertical="center" wrapText="1"/>
      <protection locked="0"/>
    </xf>
    <xf numFmtId="43" fontId="29" fillId="0" borderId="26" xfId="40" applyFont="1" applyBorder="1" applyAlignment="1" applyProtection="1">
      <alignment horizontal="center" vertical="center" wrapText="1"/>
      <protection locked="0"/>
    </xf>
    <xf numFmtId="0" fontId="26" fillId="4" borderId="3" xfId="0" applyFont="1" applyFill="1" applyBorder="1" applyAlignment="1">
      <alignment horizontal="center" vertical="center" wrapText="1"/>
      <protection locked="0"/>
    </xf>
    <xf numFmtId="14" fontId="26" fillId="4" borderId="3" xfId="0" applyNumberFormat="1" applyFont="1" applyFill="1" applyBorder="1" applyAlignment="1">
      <alignment vertical="center" wrapText="1"/>
      <protection locked="0"/>
    </xf>
    <xf numFmtId="10" fontId="26" fillId="4" borderId="3" xfId="30" applyNumberFormat="1" applyFont="1" applyFill="1" applyBorder="1" applyAlignment="1" applyProtection="1">
      <alignment horizontal="center" vertical="center" wrapText="1"/>
      <protection locked="0"/>
    </xf>
    <xf numFmtId="43" fontId="44" fillId="4" borderId="3" xfId="40" applyFont="1" applyFill="1" applyBorder="1" applyAlignment="1">
      <alignment horizontal="right" vertical="center"/>
    </xf>
    <xf numFmtId="0" fontId="26" fillId="4" borderId="3" xfId="0" quotePrefix="1" applyFont="1" applyFill="1" applyBorder="1" applyAlignment="1">
      <alignment horizontal="center" vertical="center" wrapText="1"/>
      <protection locked="0"/>
    </xf>
    <xf numFmtId="0" fontId="18" fillId="0" borderId="0" xfId="35" applyFont="1" applyBorder="1" applyAlignment="1">
      <alignment vertical="center"/>
    </xf>
    <xf numFmtId="0" fontId="29" fillId="0" borderId="0" xfId="35" applyFont="1" applyBorder="1" applyAlignment="1" applyProtection="1">
      <alignment vertical="center"/>
      <protection locked="0"/>
    </xf>
    <xf numFmtId="0" fontId="15" fillId="0" borderId="0" xfId="35" applyFont="1" applyBorder="1" applyAlignment="1">
      <alignment vertical="center"/>
    </xf>
    <xf numFmtId="0" fontId="42" fillId="0" borderId="0" xfId="0" applyFont="1" applyFill="1" applyBorder="1" applyAlignment="1">
      <alignment horizontal="left" vertical="center"/>
      <protection locked="0"/>
    </xf>
    <xf numFmtId="0" fontId="29" fillId="0" borderId="23" xfId="35" applyFont="1" applyBorder="1" applyAlignment="1" applyProtection="1">
      <alignment vertical="center"/>
      <protection locked="0"/>
    </xf>
    <xf numFmtId="0" fontId="31" fillId="0" borderId="23" xfId="35" applyFont="1" applyBorder="1" applyAlignment="1" applyProtection="1">
      <alignment horizontal="center" vertical="center"/>
      <protection hidden="1"/>
    </xf>
    <xf numFmtId="0" fontId="26" fillId="4" borderId="27" xfId="0" applyFont="1" applyFill="1" applyBorder="1" applyAlignment="1" applyProtection="1">
      <alignment horizontal="center" vertical="center"/>
      <protection locked="0"/>
    </xf>
    <xf numFmtId="14" fontId="29" fillId="0" borderId="27" xfId="85" applyNumberFormat="1" applyFont="1" applyBorder="1" applyAlignment="1">
      <alignment horizontal="center" vertical="center"/>
      <protection locked="0"/>
    </xf>
    <xf numFmtId="49" fontId="29" fillId="0" borderId="27" xfId="85" applyNumberFormat="1" applyFont="1" applyBorder="1" applyAlignment="1">
      <alignment horizontal="center" vertical="center"/>
      <protection locked="0"/>
    </xf>
    <xf numFmtId="191" fontId="15" fillId="0" borderId="27" xfId="85" applyFont="1" applyBorder="1" applyAlignment="1">
      <alignment vertical="center"/>
      <protection locked="0"/>
    </xf>
    <xf numFmtId="43" fontId="29" fillId="0" borderId="27" xfId="86" applyFont="1" applyBorder="1" applyAlignment="1" applyProtection="1">
      <alignment vertical="center"/>
      <protection locked="0"/>
    </xf>
    <xf numFmtId="49" fontId="41" fillId="0" borderId="27" xfId="85" applyNumberFormat="1" applyFont="1" applyBorder="1" applyAlignment="1">
      <alignment horizontal="left" vertical="center"/>
      <protection locked="0"/>
    </xf>
    <xf numFmtId="0" fontId="29" fillId="0" borderId="27" xfId="0" applyFont="1" applyBorder="1" applyAlignment="1" applyProtection="1">
      <alignment horizontal="center" vertical="center"/>
      <protection locked="0"/>
    </xf>
    <xf numFmtId="0" fontId="29" fillId="0" borderId="27" xfId="86" applyNumberFormat="1" applyFont="1" applyBorder="1" applyAlignment="1" applyProtection="1">
      <alignment horizontal="center" vertical="center"/>
      <protection locked="0"/>
    </xf>
    <xf numFmtId="49" fontId="29" fillId="0" borderId="27" xfId="85" applyNumberFormat="1" applyFont="1" applyBorder="1" applyAlignment="1">
      <alignment vertical="center"/>
      <protection locked="0"/>
    </xf>
    <xf numFmtId="49" fontId="15" fillId="0" borderId="27" xfId="85" applyNumberFormat="1" applyFont="1" applyBorder="1" applyAlignment="1">
      <alignment horizontal="center" vertical="center"/>
      <protection locked="0"/>
    </xf>
    <xf numFmtId="0" fontId="29" fillId="4" borderId="0" xfId="35" applyFont="1" applyFill="1" applyAlignment="1" applyProtection="1">
      <alignment vertical="center"/>
      <protection locked="0"/>
    </xf>
    <xf numFmtId="0" fontId="18" fillId="4" borderId="27" xfId="84" applyFont="1" applyFill="1" applyBorder="1" applyAlignment="1">
      <alignment horizontal="center" vertical="center"/>
      <protection locked="0"/>
    </xf>
    <xf numFmtId="0" fontId="18" fillId="4" borderId="27" xfId="84" applyFont="1" applyFill="1" applyBorder="1" applyAlignment="1">
      <alignment horizontal="center" vertical="center" wrapText="1"/>
      <protection locked="0"/>
    </xf>
    <xf numFmtId="0" fontId="29" fillId="4" borderId="0" xfId="0" applyFont="1" applyFill="1" applyAlignment="1">
      <alignment horizontal="center" vertical="center"/>
      <protection locked="0"/>
    </xf>
    <xf numFmtId="0" fontId="29" fillId="4" borderId="0" xfId="35" applyFont="1" applyFill="1" applyAlignment="1" applyProtection="1">
      <alignment horizontal="center" vertical="center"/>
      <protection locked="0"/>
    </xf>
    <xf numFmtId="191" fontId="18" fillId="4" borderId="27" xfId="85" applyFont="1" applyFill="1" applyBorder="1" applyAlignment="1">
      <alignment vertical="center"/>
      <protection locked="0"/>
    </xf>
    <xf numFmtId="43" fontId="26" fillId="4" borderId="27" xfId="86" applyFont="1" applyFill="1" applyBorder="1" applyAlignment="1" applyProtection="1">
      <alignment vertical="center"/>
      <protection locked="0"/>
    </xf>
    <xf numFmtId="49" fontId="18" fillId="4" borderId="27" xfId="85" applyNumberFormat="1" applyFont="1" applyFill="1" applyBorder="1" applyAlignment="1">
      <alignment horizontal="center" vertical="center"/>
      <protection locked="0"/>
    </xf>
    <xf numFmtId="0" fontId="26" fillId="4" borderId="27" xfId="86" applyNumberFormat="1" applyFont="1" applyFill="1" applyBorder="1" applyAlignment="1" applyProtection="1">
      <alignment horizontal="center" vertical="center"/>
      <protection locked="0"/>
    </xf>
    <xf numFmtId="49" fontId="26" fillId="4" borderId="27" xfId="85" applyNumberFormat="1" applyFont="1" applyFill="1" applyBorder="1" applyAlignment="1">
      <alignment vertical="center"/>
      <protection locked="0"/>
    </xf>
    <xf numFmtId="0" fontId="26" fillId="4" borderId="0" xfId="0" applyFont="1" applyFill="1" applyAlignment="1">
      <alignment vertical="center"/>
      <protection locked="0"/>
    </xf>
    <xf numFmtId="0" fontId="26" fillId="4" borderId="0" xfId="35" applyFont="1" applyFill="1" applyAlignment="1" applyProtection="1">
      <alignment vertical="center"/>
      <protection locked="0"/>
    </xf>
    <xf numFmtId="0" fontId="34" fillId="0" borderId="0" xfId="0" applyFont="1" applyAlignment="1" applyProtection="1">
      <alignment vertical="center"/>
    </xf>
    <xf numFmtId="0" fontId="15" fillId="6" borderId="0" xfId="0" applyFont="1" applyFill="1" applyAlignment="1">
      <alignment horizontal="justify" vertical="center" wrapText="1"/>
      <protection locked="0"/>
    </xf>
    <xf numFmtId="191" fontId="29" fillId="0" borderId="23" xfId="76" applyFont="1" applyBorder="1" applyAlignment="1" applyProtection="1">
      <alignment horizontal="center" vertical="center"/>
      <protection locked="0"/>
    </xf>
    <xf numFmtId="191" fontId="26" fillId="0" borderId="23" xfId="76" applyFont="1" applyBorder="1" applyAlignment="1" applyProtection="1">
      <alignment vertical="center" wrapText="1"/>
      <protection locked="0"/>
    </xf>
    <xf numFmtId="0" fontId="29" fillId="6" borderId="0" xfId="0" applyFont="1" applyFill="1" applyBorder="1" applyAlignment="1">
      <alignment horizontal="justify" vertical="center" wrapText="1"/>
      <protection locked="0"/>
    </xf>
    <xf numFmtId="0" fontId="72" fillId="0" borderId="0" xfId="0" applyFont="1" applyAlignment="1">
      <alignment horizontal="center" vertical="center"/>
      <protection locked="0"/>
    </xf>
    <xf numFmtId="191" fontId="77" fillId="0" borderId="0" xfId="87" applyFont="1" applyFill="1" applyAlignment="1">
      <alignment horizontal="left" vertical="center"/>
    </xf>
    <xf numFmtId="191" fontId="42" fillId="0" borderId="24" xfId="0" applyNumberFormat="1" applyFont="1" applyFill="1" applyBorder="1" applyAlignment="1" applyProtection="1">
      <alignment horizontal="center" vertical="center" wrapText="1"/>
    </xf>
    <xf numFmtId="0" fontId="35" fillId="8" borderId="3" xfId="0" applyFont="1" applyFill="1" applyBorder="1" applyAlignment="1">
      <alignment vertical="center"/>
      <protection locked="0"/>
    </xf>
    <xf numFmtId="0" fontId="29" fillId="8" borderId="3" xfId="0" applyFont="1" applyFill="1" applyBorder="1" applyAlignment="1">
      <alignment vertical="center"/>
      <protection locked="0"/>
    </xf>
    <xf numFmtId="0" fontId="26" fillId="8" borderId="3" xfId="0" applyFont="1" applyFill="1" applyBorder="1" applyAlignment="1">
      <alignment horizontal="center" vertical="center"/>
      <protection locked="0"/>
    </xf>
    <xf numFmtId="14" fontId="35" fillId="8" borderId="3" xfId="0" quotePrefix="1" applyNumberFormat="1" applyFont="1" applyFill="1" applyBorder="1" applyAlignment="1">
      <alignment horizontal="center" vertical="center"/>
      <protection locked="0"/>
    </xf>
    <xf numFmtId="10" fontId="35" fillId="8" borderId="3" xfId="30" quotePrefix="1" applyNumberFormat="1" applyFont="1" applyFill="1" applyBorder="1" applyAlignment="1" applyProtection="1">
      <alignment horizontal="center" vertical="center"/>
      <protection locked="0"/>
    </xf>
    <xf numFmtId="43" fontId="29" fillId="8" borderId="3" xfId="40" applyFont="1" applyFill="1" applyBorder="1" applyAlignment="1">
      <alignment horizontal="left" vertical="center" wrapText="1"/>
    </xf>
    <xf numFmtId="43" fontId="26" fillId="8" borderId="3" xfId="0" applyNumberFormat="1" applyFont="1" applyFill="1" applyBorder="1" applyAlignment="1">
      <alignment horizontal="left" vertical="center"/>
      <protection locked="0"/>
    </xf>
    <xf numFmtId="43" fontId="26" fillId="8" borderId="3" xfId="0" applyNumberFormat="1" applyFont="1" applyFill="1" applyBorder="1" applyAlignment="1">
      <alignment vertical="center"/>
      <protection locked="0"/>
    </xf>
    <xf numFmtId="0" fontId="26" fillId="8" borderId="3" xfId="0" applyFont="1" applyFill="1" applyBorder="1" applyAlignment="1">
      <alignment horizontal="left" vertical="center"/>
      <protection locked="0"/>
    </xf>
    <xf numFmtId="0" fontId="29" fillId="8" borderId="0" xfId="0" applyFont="1" applyFill="1">
      <protection locked="0"/>
    </xf>
    <xf numFmtId="43" fontId="29" fillId="0" borderId="0" xfId="77" applyNumberFormat="1" applyFont="1" applyBorder="1" applyAlignment="1">
      <alignment horizontal="right" vertical="center"/>
    </xf>
    <xf numFmtId="43" fontId="15" fillId="0" borderId="0" xfId="77" applyNumberFormat="1" applyFont="1" applyBorder="1" applyAlignment="1">
      <alignment horizontal="right" vertical="center"/>
    </xf>
    <xf numFmtId="43" fontId="29" fillId="0" borderId="0" xfId="0" applyNumberFormat="1" applyFont="1" applyAlignment="1">
      <alignment horizontal="right" vertical="center"/>
      <protection locked="0"/>
    </xf>
    <xf numFmtId="43" fontId="15" fillId="0" borderId="0" xfId="0" applyNumberFormat="1" applyFont="1" applyAlignment="1">
      <alignment horizontal="right" vertical="center"/>
      <protection locked="0"/>
    </xf>
    <xf numFmtId="0" fontId="31" fillId="0" borderId="0" xfId="37" applyFont="1" applyAlignment="1">
      <alignment vertical="center"/>
      <protection locked="0"/>
    </xf>
    <xf numFmtId="0" fontId="31" fillId="0" borderId="0" xfId="37" applyFont="1" applyAlignment="1" applyProtection="1">
      <alignment vertical="center"/>
    </xf>
    <xf numFmtId="0" fontId="31" fillId="0" borderId="0" xfId="37" applyFont="1" applyAlignment="1">
      <alignment horizontal="left" vertical="center"/>
      <protection locked="0"/>
    </xf>
    <xf numFmtId="0" fontId="26" fillId="0" borderId="0" xfId="35" applyFont="1" applyBorder="1" applyAlignment="1">
      <alignment vertical="center"/>
    </xf>
    <xf numFmtId="10" fontId="26" fillId="4" borderId="27" xfId="30" applyNumberFormat="1" applyFont="1" applyFill="1" applyBorder="1" applyAlignment="1" applyProtection="1">
      <alignment vertical="center"/>
      <protection locked="0"/>
    </xf>
    <xf numFmtId="0" fontId="41" fillId="0" borderId="0" xfId="35" applyFont="1" applyBorder="1" applyAlignment="1">
      <alignment vertical="center"/>
    </xf>
    <xf numFmtId="0" fontId="42" fillId="0" borderId="0" xfId="68" applyFont="1" applyAlignment="1">
      <alignment vertical="center"/>
      <protection locked="0"/>
    </xf>
    <xf numFmtId="43" fontId="31" fillId="0" borderId="0" xfId="37" applyNumberFormat="1" applyFont="1" applyBorder="1" applyAlignment="1" applyProtection="1">
      <alignment horizontal="left" vertical="center"/>
    </xf>
    <xf numFmtId="43" fontId="31" fillId="0" borderId="0" xfId="37" applyNumberFormat="1" applyFont="1" applyBorder="1" applyAlignment="1" applyProtection="1">
      <alignment vertical="center"/>
    </xf>
    <xf numFmtId="191" fontId="31" fillId="0" borderId="0" xfId="37" applyNumberFormat="1" applyFont="1" applyAlignment="1" applyProtection="1">
      <alignment vertical="center" wrapText="1"/>
      <protection locked="0"/>
    </xf>
    <xf numFmtId="191" fontId="45" fillId="0" borderId="0" xfId="0" applyNumberFormat="1" applyFont="1" applyAlignment="1" applyProtection="1">
      <alignment horizontal="center" vertical="center"/>
    </xf>
    <xf numFmtId="191" fontId="44" fillId="0" borderId="2" xfId="0" applyNumberFormat="1" applyFont="1" applyBorder="1" applyAlignment="1" applyProtection="1">
      <alignment horizontal="center" vertical="center"/>
    </xf>
    <xf numFmtId="191" fontId="29" fillId="0" borderId="2" xfId="0" applyNumberFormat="1" applyFont="1" applyFill="1" applyBorder="1" applyAlignment="1" applyProtection="1">
      <alignment horizontal="center" vertical="center"/>
    </xf>
    <xf numFmtId="191" fontId="44" fillId="0" borderId="2" xfId="0" applyNumberFormat="1" applyFont="1" applyFill="1" applyBorder="1" applyAlignment="1" applyProtection="1">
      <alignment horizontal="center" vertical="center"/>
    </xf>
    <xf numFmtId="0" fontId="15" fillId="0" borderId="3" xfId="0" applyFont="1" applyBorder="1" applyAlignment="1">
      <alignment vertical="center"/>
      <protection locked="0"/>
    </xf>
    <xf numFmtId="0" fontId="89" fillId="0" borderId="2" xfId="0" applyFont="1" applyBorder="1" applyAlignment="1" applyProtection="1">
      <alignment horizontal="center" vertical="center"/>
    </xf>
    <xf numFmtId="0" fontId="0" fillId="0" borderId="2" xfId="0" applyBorder="1" applyAlignment="1">
      <alignment vertical="center"/>
      <protection locked="0"/>
    </xf>
    <xf numFmtId="0" fontId="28" fillId="0" borderId="0" xfId="0" applyFont="1" applyAlignment="1">
      <alignment horizontal="left" vertical="center" wrapText="1"/>
      <protection locked="0"/>
    </xf>
    <xf numFmtId="0" fontId="27" fillId="0" borderId="0" xfId="0" applyFont="1" applyAlignment="1">
      <alignment horizontal="left" vertical="center" wrapText="1"/>
      <protection locked="0"/>
    </xf>
    <xf numFmtId="191" fontId="77" fillId="7" borderId="5" xfId="76" applyFont="1" applyFill="1" applyBorder="1" applyAlignment="1" applyProtection="1">
      <alignment horizontal="left" vertical="center" wrapText="1"/>
      <protection locked="0"/>
    </xf>
    <xf numFmtId="191" fontId="77" fillId="7" borderId="0" xfId="76" applyFont="1" applyFill="1" applyAlignment="1" applyProtection="1">
      <alignment horizontal="left" vertical="center" wrapText="1"/>
      <protection locked="0"/>
    </xf>
    <xf numFmtId="191" fontId="73" fillId="7" borderId="25" xfId="76" applyFont="1" applyFill="1" applyBorder="1" applyAlignment="1" applyProtection="1">
      <alignment horizontal="left" vertical="center" wrapText="1"/>
      <protection locked="0"/>
    </xf>
    <xf numFmtId="191" fontId="73" fillId="7" borderId="0" xfId="76" applyFont="1" applyFill="1" applyAlignment="1" applyProtection="1">
      <alignment horizontal="left" vertical="center" wrapText="1"/>
      <protection locked="0"/>
    </xf>
    <xf numFmtId="191" fontId="73" fillId="7" borderId="5" xfId="76" applyFont="1" applyFill="1" applyBorder="1" applyAlignment="1" applyProtection="1">
      <alignment horizontal="left" vertical="center" wrapText="1"/>
      <protection locked="0"/>
    </xf>
    <xf numFmtId="0" fontId="15" fillId="0" borderId="27" xfId="45" applyFont="1" applyBorder="1" applyAlignment="1" applyProtection="1">
      <alignment horizontal="center" vertical="center" wrapText="1"/>
      <protection locked="0"/>
    </xf>
    <xf numFmtId="191" fontId="29" fillId="0" borderId="27" xfId="76" applyFont="1" applyBorder="1" applyAlignment="1" applyProtection="1">
      <alignment horizontal="left" vertical="center" wrapText="1"/>
      <protection locked="0"/>
    </xf>
    <xf numFmtId="49" fontId="26" fillId="4" borderId="14" xfId="76" applyNumberFormat="1" applyFont="1" applyFill="1" applyBorder="1" applyAlignment="1" applyProtection="1">
      <alignment horizontal="center" vertical="center"/>
      <protection locked="0"/>
    </xf>
    <xf numFmtId="49" fontId="26" fillId="4" borderId="15" xfId="76" applyNumberFormat="1" applyFont="1" applyFill="1" applyBorder="1" applyAlignment="1" applyProtection="1">
      <alignment horizontal="center" vertical="center"/>
      <protection locked="0"/>
    </xf>
    <xf numFmtId="191" fontId="18" fillId="4" borderId="27" xfId="76" applyFont="1" applyFill="1" applyBorder="1" applyAlignment="1" applyProtection="1">
      <alignment horizontal="center" vertical="center" wrapText="1"/>
      <protection locked="0"/>
    </xf>
    <xf numFmtId="191" fontId="26" fillId="4" borderId="14" xfId="76" applyFont="1" applyFill="1" applyBorder="1" applyAlignment="1" applyProtection="1">
      <alignment horizontal="center" vertical="center" wrapText="1"/>
      <protection locked="0"/>
    </xf>
    <xf numFmtId="191" fontId="26" fillId="4" borderId="15" xfId="76" applyFont="1" applyFill="1" applyBorder="1" applyAlignment="1" applyProtection="1">
      <alignment horizontal="center" vertical="center" wrapText="1"/>
      <protection locked="0"/>
    </xf>
    <xf numFmtId="191" fontId="26" fillId="4" borderId="3" xfId="76" applyFont="1" applyFill="1" applyBorder="1" applyAlignment="1" applyProtection="1">
      <alignment horizontal="center" vertical="center"/>
      <protection locked="0"/>
    </xf>
    <xf numFmtId="191" fontId="28" fillId="0" borderId="0" xfId="75" applyFont="1" applyAlignment="1">
      <alignment horizontal="center" vertical="center"/>
    </xf>
    <xf numFmtId="191" fontId="72" fillId="0" borderId="0" xfId="75" applyFont="1" applyAlignment="1">
      <alignment horizontal="center" vertical="center"/>
    </xf>
    <xf numFmtId="191" fontId="60" fillId="0" borderId="0" xfId="75" applyFont="1" applyAlignment="1">
      <alignment horizontal="center" vertical="center"/>
    </xf>
    <xf numFmtId="191" fontId="18" fillId="0" borderId="23" xfId="76" applyFont="1" applyBorder="1" applyAlignment="1" applyProtection="1">
      <alignment horizontal="left" vertical="center" wrapText="1"/>
      <protection locked="0"/>
    </xf>
    <xf numFmtId="191" fontId="26" fillId="0" borderId="23" xfId="76" applyFont="1" applyBorder="1" applyAlignment="1" applyProtection="1">
      <alignment horizontal="left" vertical="center" wrapText="1"/>
      <protection locked="0"/>
    </xf>
    <xf numFmtId="191" fontId="26" fillId="0" borderId="23" xfId="76" applyFont="1" applyBorder="1" applyAlignment="1" applyProtection="1">
      <alignment horizontal="center" vertical="center" wrapText="1"/>
      <protection locked="0"/>
    </xf>
    <xf numFmtId="0" fontId="29" fillId="0" borderId="27" xfId="45" applyFont="1" applyBorder="1" applyAlignment="1" applyProtection="1">
      <alignment horizontal="center" vertical="center" wrapText="1"/>
      <protection locked="0"/>
    </xf>
    <xf numFmtId="191" fontId="26" fillId="4" borderId="27" xfId="76" applyFont="1" applyFill="1" applyBorder="1" applyAlignment="1" applyProtection="1">
      <alignment horizontal="center" vertical="center" wrapText="1"/>
      <protection locked="0"/>
    </xf>
    <xf numFmtId="43" fontId="18" fillId="4" borderId="20" xfId="40" applyFont="1" applyFill="1" applyBorder="1" applyAlignment="1" applyProtection="1">
      <alignment horizontal="center" vertical="center" wrapText="1"/>
      <protection locked="0"/>
    </xf>
    <xf numFmtId="43" fontId="18" fillId="4" borderId="21" xfId="40" applyFont="1" applyFill="1" applyBorder="1" applyAlignment="1" applyProtection="1">
      <alignment horizontal="center" vertical="center" wrapText="1"/>
      <protection locked="0"/>
    </xf>
    <xf numFmtId="43" fontId="18" fillId="4" borderId="17" xfId="40" applyFont="1" applyFill="1" applyBorder="1" applyAlignment="1" applyProtection="1">
      <alignment horizontal="center" vertical="center" wrapText="1"/>
      <protection locked="0"/>
    </xf>
    <xf numFmtId="43" fontId="18" fillId="4" borderId="18" xfId="40" applyFont="1" applyFill="1" applyBorder="1" applyAlignment="1" applyProtection="1">
      <alignment horizontal="center" vertical="center" wrapText="1"/>
      <protection locked="0"/>
    </xf>
    <xf numFmtId="43" fontId="16" fillId="0" borderId="0" xfId="36" applyNumberFormat="1" applyFont="1" applyBorder="1" applyAlignment="1">
      <alignment horizontal="center" vertical="center"/>
    </xf>
    <xf numFmtId="43" fontId="72" fillId="0" borderId="0" xfId="36" applyNumberFormat="1" applyFont="1" applyBorder="1" applyAlignment="1">
      <alignment horizontal="center" vertical="center"/>
    </xf>
    <xf numFmtId="43" fontId="18" fillId="4" borderId="22" xfId="40" applyFont="1" applyFill="1" applyBorder="1" applyAlignment="1" applyProtection="1">
      <alignment horizontal="center" vertical="center" wrapText="1"/>
      <protection locked="0"/>
    </xf>
    <xf numFmtId="43" fontId="18" fillId="4" borderId="17" xfId="40" applyFont="1" applyFill="1" applyBorder="1" applyAlignment="1">
      <alignment horizontal="center" vertical="center"/>
    </xf>
    <xf numFmtId="43" fontId="18" fillId="4" borderId="18" xfId="40" applyFont="1" applyFill="1" applyBorder="1" applyAlignment="1">
      <alignment horizontal="center" vertical="center"/>
    </xf>
    <xf numFmtId="0" fontId="27" fillId="0" borderId="11" xfId="0" applyFont="1" applyBorder="1" applyAlignment="1">
      <alignment horizontal="left" vertical="center"/>
      <protection locked="0"/>
    </xf>
    <xf numFmtId="0" fontId="28" fillId="0" borderId="0" xfId="31" applyFont="1" applyAlignment="1">
      <alignment horizontal="center" vertical="center"/>
    </xf>
    <xf numFmtId="0" fontId="60" fillId="0" borderId="0" xfId="31" applyFont="1" applyAlignment="1">
      <alignment horizontal="center" vertical="center"/>
    </xf>
    <xf numFmtId="0" fontId="54" fillId="0" borderId="0" xfId="0" applyFont="1" applyAlignment="1">
      <alignment horizontal="left" vertical="center" wrapText="1"/>
      <protection locked="0"/>
    </xf>
    <xf numFmtId="0" fontId="15" fillId="0" borderId="0" xfId="0" applyFont="1" applyAlignment="1">
      <alignment horizontal="left" vertical="center" wrapText="1"/>
      <protection locked="0"/>
    </xf>
    <xf numFmtId="0" fontId="18" fillId="4" borderId="3" xfId="0" applyFont="1" applyFill="1" applyBorder="1" applyAlignment="1">
      <alignment horizontal="center" vertical="center" wrapText="1"/>
      <protection locked="0"/>
    </xf>
    <xf numFmtId="0" fontId="18" fillId="4" borderId="14" xfId="0" applyFont="1" applyFill="1" applyBorder="1" applyAlignment="1">
      <alignment horizontal="center" vertical="center" wrapText="1"/>
      <protection locked="0"/>
    </xf>
    <xf numFmtId="0" fontId="18" fillId="4" borderId="15" xfId="0" applyFont="1" applyFill="1" applyBorder="1" applyAlignment="1">
      <alignment horizontal="center" vertical="center" wrapText="1"/>
      <protection locked="0"/>
    </xf>
    <xf numFmtId="191" fontId="20" fillId="4" borderId="8" xfId="43" applyFont="1" applyFill="1" applyBorder="1" applyAlignment="1" applyProtection="1">
      <alignment horizontal="center" vertical="center"/>
      <protection locked="0"/>
    </xf>
    <xf numFmtId="191" fontId="20" fillId="4" borderId="9" xfId="43" applyFont="1" applyFill="1" applyBorder="1" applyAlignment="1" applyProtection="1">
      <alignment horizontal="center" vertical="center"/>
      <protection locked="0"/>
    </xf>
    <xf numFmtId="191" fontId="20" fillId="4" borderId="10" xfId="43" applyFont="1" applyFill="1" applyBorder="1" applyAlignment="1" applyProtection="1">
      <alignment horizontal="center" vertical="center"/>
      <protection locked="0"/>
    </xf>
    <xf numFmtId="191" fontId="20" fillId="4" borderId="3" xfId="43" applyFont="1" applyFill="1" applyBorder="1" applyAlignment="1" applyProtection="1">
      <alignment horizontal="center" vertical="center"/>
      <protection locked="0"/>
    </xf>
    <xf numFmtId="43" fontId="16" fillId="0" borderId="0" xfId="77" applyNumberFormat="1" applyFont="1" applyBorder="1" applyAlignment="1">
      <alignment horizontal="center" vertical="center"/>
    </xf>
    <xf numFmtId="43" fontId="72" fillId="0" borderId="0" xfId="77" applyNumberFormat="1" applyFont="1" applyBorder="1" applyAlignment="1">
      <alignment horizontal="center" vertical="center"/>
    </xf>
    <xf numFmtId="0" fontId="80" fillId="0" borderId="0" xfId="68" applyFont="1" applyAlignment="1">
      <alignment horizontal="left" vertical="center" wrapText="1"/>
      <protection locked="0"/>
    </xf>
    <xf numFmtId="0" fontId="29" fillId="0" borderId="0" xfId="68" applyFont="1" applyAlignment="1">
      <alignment horizontal="left" vertical="center" wrapText="1"/>
      <protection locked="0"/>
    </xf>
    <xf numFmtId="0" fontId="28" fillId="0" borderId="0" xfId="33" applyFont="1" applyAlignment="1">
      <alignment horizontal="center" vertical="center"/>
    </xf>
    <xf numFmtId="0" fontId="60" fillId="0" borderId="0" xfId="33" applyFont="1" applyAlignment="1">
      <alignment horizontal="center" vertical="center"/>
    </xf>
    <xf numFmtId="0" fontId="29" fillId="0" borderId="0" xfId="82" applyFont="1" applyBorder="1" applyAlignment="1">
      <alignment vertical="center"/>
    </xf>
    <xf numFmtId="0" fontId="15" fillId="0" borderId="0" xfId="68" applyFont="1" applyAlignment="1">
      <alignment horizontal="left" vertical="center" wrapText="1"/>
      <protection locked="0"/>
    </xf>
    <xf numFmtId="191" fontId="15" fillId="0" borderId="0" xfId="41" applyFont="1" applyFill="1" applyAlignment="1" applyProtection="1">
      <alignment horizontal="left" vertical="center" wrapText="1"/>
    </xf>
    <xf numFmtId="0" fontId="26" fillId="4" borderId="3" xfId="0" applyFont="1" applyFill="1" applyBorder="1" applyAlignment="1">
      <alignment horizontal="center" vertical="center" wrapText="1"/>
      <protection locked="0"/>
    </xf>
    <xf numFmtId="0" fontId="28" fillId="0" borderId="0" xfId="0" applyFont="1" applyAlignment="1">
      <alignment horizontal="center" vertical="center"/>
      <protection locked="0"/>
    </xf>
    <xf numFmtId="0" fontId="60" fillId="0" borderId="0" xfId="0" applyFont="1" applyAlignment="1">
      <alignment horizontal="center" vertical="center"/>
      <protection locked="0"/>
    </xf>
    <xf numFmtId="0" fontId="28" fillId="0" borderId="0" xfId="66" applyFont="1" applyAlignment="1">
      <alignment horizontal="center" vertical="center"/>
      <protection locked="0"/>
    </xf>
    <xf numFmtId="0" fontId="60" fillId="0" borderId="0" xfId="66" applyFont="1" applyAlignment="1">
      <alignment horizontal="center" vertical="center"/>
      <protection locked="0"/>
    </xf>
    <xf numFmtId="43" fontId="26" fillId="8" borderId="3" xfId="40" applyFont="1" applyFill="1" applyBorder="1" applyAlignment="1" applyProtection="1">
      <alignment horizontal="center" vertical="center"/>
      <protection locked="0"/>
    </xf>
    <xf numFmtId="191" fontId="29" fillId="0" borderId="0" xfId="41" applyFont="1" applyAlignment="1" applyProtection="1">
      <alignment horizontal="left" vertical="center" wrapText="1"/>
    </xf>
    <xf numFmtId="43" fontId="18" fillId="8" borderId="3" xfId="40" applyFont="1" applyFill="1" applyBorder="1" applyAlignment="1" applyProtection="1">
      <alignment horizontal="center" vertical="center"/>
      <protection locked="0"/>
    </xf>
    <xf numFmtId="14" fontId="18" fillId="4" borderId="27" xfId="85" applyNumberFormat="1" applyFont="1" applyFill="1" applyBorder="1" applyAlignment="1">
      <alignment horizontal="center" vertical="center"/>
      <protection locked="0"/>
    </xf>
    <xf numFmtId="0" fontId="18" fillId="11" borderId="27" xfId="84" applyFont="1" applyFill="1" applyBorder="1" applyAlignment="1" applyProtection="1">
      <alignment horizontal="center" vertical="center" wrapText="1"/>
    </xf>
    <xf numFmtId="0" fontId="18" fillId="11" borderId="30" xfId="84" applyFont="1" applyFill="1" applyBorder="1" applyAlignment="1" applyProtection="1">
      <alignment horizontal="center" vertical="center" wrapText="1"/>
    </xf>
    <xf numFmtId="0" fontId="18" fillId="11" borderId="15" xfId="84" applyFont="1" applyFill="1" applyBorder="1" applyAlignment="1" applyProtection="1">
      <alignment horizontal="center" vertical="center" wrapText="1"/>
    </xf>
    <xf numFmtId="0" fontId="18" fillId="4" borderId="27" xfId="68" applyFont="1" applyFill="1" applyBorder="1" applyAlignment="1">
      <alignment horizontal="center" vertical="center"/>
      <protection locked="0"/>
    </xf>
    <xf numFmtId="0" fontId="26" fillId="4" borderId="27" xfId="68" applyFont="1" applyFill="1" applyBorder="1" applyAlignment="1">
      <alignment horizontal="center" vertical="center"/>
      <protection locked="0"/>
    </xf>
    <xf numFmtId="0" fontId="18" fillId="4" borderId="27" xfId="84" applyFont="1" applyFill="1" applyBorder="1" applyAlignment="1">
      <alignment horizontal="center" vertical="center"/>
      <protection locked="0"/>
    </xf>
    <xf numFmtId="0" fontId="18" fillId="4" borderId="27" xfId="68" applyFont="1" applyFill="1" applyBorder="1" applyAlignment="1">
      <alignment horizontal="center" vertical="center" wrapText="1"/>
      <protection locked="0"/>
    </xf>
    <xf numFmtId="0" fontId="26" fillId="4" borderId="27" xfId="68" applyFont="1" applyFill="1" applyBorder="1" applyAlignment="1">
      <alignment horizontal="center" vertical="center" wrapText="1"/>
      <protection locked="0"/>
    </xf>
    <xf numFmtId="0" fontId="26" fillId="4" borderId="28" xfId="0" applyFont="1" applyFill="1" applyBorder="1" applyAlignment="1" applyProtection="1">
      <alignment horizontal="center" vertical="center"/>
      <protection locked="0"/>
    </xf>
    <xf numFmtId="0" fontId="26" fillId="4" borderId="29" xfId="0" applyFont="1" applyFill="1" applyBorder="1" applyAlignment="1" applyProtection="1">
      <alignment horizontal="center" vertical="center"/>
      <protection locked="0"/>
    </xf>
  </cellXfs>
  <cellStyles count="88">
    <cellStyle name="?" xfId="69"/>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Black" xfId="11"/>
    <cellStyle name="Border" xfId="12"/>
    <cellStyle name="Comma [0]_1995" xfId="13"/>
    <cellStyle name="Comma_1995" xfId="14"/>
    <cellStyle name="Currency [0]_1995" xfId="15"/>
    <cellStyle name="Currency_1995" xfId="16"/>
    <cellStyle name="Dezimal [0]_laroux" xfId="17"/>
    <cellStyle name="Dezimal_laroux" xfId="18"/>
    <cellStyle name="Euro" xfId="19"/>
    <cellStyle name="Followed Hyperlink_AheadBehind.xls Chart 23" xfId="20"/>
    <cellStyle name="Grey" xfId="21"/>
    <cellStyle name="Header1" xfId="47"/>
    <cellStyle name="Header2" xfId="48"/>
    <cellStyle name="Hyperlink_AheadBehind.xls Chart 23" xfId="22"/>
    <cellStyle name="Input [yellow]" xfId="23"/>
    <cellStyle name="Milliers [0]_laroux" xfId="24"/>
    <cellStyle name="Milliers_laroux" xfId="25"/>
    <cellStyle name="Non défini" xfId="26"/>
    <cellStyle name="Normal - Style1" xfId="27"/>
    <cellStyle name="Normal 2" xfId="70"/>
    <cellStyle name="Normal_ SG&amp;A Bridge " xfId="49"/>
    <cellStyle name="Percent [2]" xfId="28"/>
    <cellStyle name="Red" xfId="29"/>
    <cellStyle name="row_def_array" xfId="50"/>
    <cellStyle name="_laroux" xfId="51"/>
    <cellStyle name="だ_laroux" xfId="52"/>
    <cellStyle name="百分比" xfId="30" builtinId="5"/>
    <cellStyle name="百分比 2" xfId="46"/>
    <cellStyle name="捠壿 [0.00]_PRODUCT DETAIL Q1" xfId="53"/>
    <cellStyle name="捠壿_PRODUCT DETAIL Q1" xfId="54"/>
    <cellStyle name="常规" xfId="0" builtinId="0"/>
    <cellStyle name="常规 11 5" xfId="87"/>
    <cellStyle name="常规 2" xfId="41"/>
    <cellStyle name="常规 2 2" xfId="68"/>
    <cellStyle name="常规 2 2 4" xfId="84"/>
    <cellStyle name="常规 2 3" xfId="72"/>
    <cellStyle name="常规 2 8" xfId="74"/>
    <cellStyle name="常规 2 8 2" xfId="85"/>
    <cellStyle name="常规 3" xfId="44"/>
    <cellStyle name="常规 3 2" xfId="71"/>
    <cellStyle name="常规 4" xfId="43"/>
    <cellStyle name="常规 4 2" xfId="79"/>
    <cellStyle name="常规 5" xfId="45"/>
    <cellStyle name="常规 6" xfId="66"/>
    <cellStyle name="常规 7" xfId="76"/>
    <cellStyle name="常规 7 2" xfId="78"/>
    <cellStyle name="常规_27-短期借款(空白模板)" xfId="73"/>
    <cellStyle name="常规_Book1" xfId="31"/>
    <cellStyle name="常规_Book1 2" xfId="75"/>
    <cellStyle name="常规_c-资产类" xfId="32"/>
    <cellStyle name="常规_c-资产类 2" xfId="81"/>
    <cellStyle name="常规_F11短期借款" xfId="33"/>
    <cellStyle name="常规_sheet" xfId="34"/>
    <cellStyle name="常规_WOOKSHEET2" xfId="82"/>
    <cellStyle name="常规_进一步审计程序--销售与收款循环" xfId="35"/>
    <cellStyle name="常规_新审定表" xfId="36"/>
    <cellStyle name="常规_新审定表 2" xfId="77"/>
    <cellStyle name="超链接" xfId="37" builtinId="8"/>
    <cellStyle name="超链接 2" xfId="80"/>
    <cellStyle name="霓付 [0]_1202" xfId="55"/>
    <cellStyle name="霓付_1202" xfId="56"/>
    <cellStyle name="烹拳 [0]_1202" xfId="57"/>
    <cellStyle name="烹拳_1202" xfId="58"/>
    <cellStyle name="普通_ 固 定 资 产2" xfId="59"/>
    <cellStyle name="千分位[0]_Chap05b" xfId="60"/>
    <cellStyle name="千分位_Chap05b" xfId="61"/>
    <cellStyle name="千位[0]_laroux" xfId="38"/>
    <cellStyle name="千位_laroux" xfId="39"/>
    <cellStyle name="千位分隔" xfId="40" builtinId="3"/>
    <cellStyle name="千位分隔 15" xfId="83"/>
    <cellStyle name="千位分隔 2" xfId="42"/>
    <cellStyle name="千位分隔 2 2" xfId="67"/>
    <cellStyle name="千位分隔 6" xfId="86"/>
    <cellStyle name="钎霖_(沥焊何巩)岿喊牢盔拌裙" xfId="62"/>
    <cellStyle name="昗弨_BOOKSHIP" xfId="63"/>
    <cellStyle name="寘嬫愗傝 [0.00]_PRODUCT DETAIL Q1" xfId="64"/>
    <cellStyle name="寘嬫愗傝_PRODUCT DETAIL Q1" xfId="65"/>
  </cellStyles>
  <dxfs count="0"/>
  <tableStyles count="0" defaultTableStyle="TableStyleMedium9" defaultPivotStyle="PivotStyleLight16"/>
  <colors>
    <mruColors>
      <color rgb="FF0432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21"/>
  <sheetViews>
    <sheetView workbookViewId="0"/>
  </sheetViews>
  <sheetFormatPr defaultColWidth="9" defaultRowHeight="19.95" customHeight="1"/>
  <cols>
    <col min="1" max="1" width="76.09765625" style="51" customWidth="1"/>
    <col min="2" max="3" width="3" style="51" customWidth="1"/>
    <col min="4" max="4" width="9" style="52"/>
    <col min="5" max="5" width="55.796875" style="51" customWidth="1"/>
    <col min="6" max="6" width="9" style="52"/>
    <col min="7" max="16384" width="9" style="51"/>
  </cols>
  <sheetData>
    <row r="1" spans="1:7" s="48" customFormat="1" ht="19.95" customHeight="1">
      <c r="A1" s="29" t="s">
        <v>47</v>
      </c>
      <c r="B1" s="29"/>
      <c r="C1" s="29"/>
      <c r="F1" s="399"/>
    </row>
    <row r="2" spans="1:7" s="49" customFormat="1" ht="19.95" customHeight="1">
      <c r="A2" s="118" t="s">
        <v>360</v>
      </c>
      <c r="B2" s="119"/>
      <c r="C2" s="119"/>
      <c r="D2" s="50"/>
      <c r="E2" s="50"/>
      <c r="F2" s="50"/>
    </row>
    <row r="3" spans="1:7" s="50" customFormat="1" ht="19.95" customHeight="1">
      <c r="A3" s="371" t="s">
        <v>369</v>
      </c>
      <c r="B3" s="119"/>
      <c r="C3" s="119"/>
      <c r="D3" s="216" t="s">
        <v>48</v>
      </c>
      <c r="E3" s="216" t="s">
        <v>23</v>
      </c>
      <c r="F3" s="216" t="s">
        <v>49</v>
      </c>
    </row>
    <row r="4" spans="1:7" s="50" customFormat="1" ht="19.95" customHeight="1">
      <c r="A4" s="368" t="s">
        <v>361</v>
      </c>
      <c r="B4" s="119"/>
      <c r="C4" s="119"/>
      <c r="D4" s="124">
        <v>1</v>
      </c>
      <c r="E4" s="129" t="s">
        <v>65</v>
      </c>
      <c r="F4" s="216" t="s">
        <v>82</v>
      </c>
    </row>
    <row r="5" spans="1:7" s="50" customFormat="1" ht="19.95" customHeight="1">
      <c r="A5" s="368" t="s">
        <v>362</v>
      </c>
      <c r="B5" s="119"/>
      <c r="C5" s="119"/>
      <c r="D5" s="124">
        <v>2</v>
      </c>
      <c r="E5" s="129" t="s">
        <v>95</v>
      </c>
      <c r="F5" s="400" t="s">
        <v>90</v>
      </c>
    </row>
    <row r="6" spans="1:7" ht="19.95" customHeight="1">
      <c r="A6" s="368" t="s">
        <v>363</v>
      </c>
      <c r="B6" s="119"/>
      <c r="C6" s="119"/>
      <c r="D6" s="124">
        <v>3</v>
      </c>
      <c r="E6" s="129" t="s">
        <v>93</v>
      </c>
      <c r="F6" s="400"/>
      <c r="G6" t="s">
        <v>271</v>
      </c>
    </row>
    <row r="7" spans="1:7" ht="19.95" customHeight="1">
      <c r="A7" s="368" t="s">
        <v>364</v>
      </c>
      <c r="B7" s="119"/>
      <c r="C7" s="119"/>
      <c r="D7" s="124">
        <v>4</v>
      </c>
      <c r="E7" s="129" t="s">
        <v>94</v>
      </c>
      <c r="F7" s="400"/>
      <c r="G7" t="s">
        <v>271</v>
      </c>
    </row>
    <row r="8" spans="1:7" ht="19.95" customHeight="1">
      <c r="D8" s="124">
        <v>5</v>
      </c>
      <c r="E8" s="129" t="s">
        <v>0</v>
      </c>
      <c r="F8" s="400" t="s">
        <v>83</v>
      </c>
    </row>
    <row r="9" spans="1:7" ht="19.95" customHeight="1">
      <c r="A9" s="372" t="s">
        <v>370</v>
      </c>
      <c r="D9" s="124">
        <v>6</v>
      </c>
      <c r="E9" s="129" t="s">
        <v>70</v>
      </c>
      <c r="F9" s="400" t="s">
        <v>91</v>
      </c>
    </row>
    <row r="10" spans="1:7" s="182" customFormat="1" ht="19.95" customHeight="1">
      <c r="A10" s="406" t="s">
        <v>371</v>
      </c>
      <c r="D10" s="124">
        <v>7</v>
      </c>
      <c r="E10" s="183" t="str">
        <f>'征信报告核对表L1-4'!A2</f>
        <v>征信报告核对表</v>
      </c>
      <c r="F10" s="401" t="s">
        <v>84</v>
      </c>
    </row>
    <row r="11" spans="1:7" ht="19.95" customHeight="1">
      <c r="A11" s="406"/>
      <c r="D11" s="124">
        <v>8</v>
      </c>
      <c r="E11" s="129" t="str">
        <f>'利息测算表L1-5'!A2</f>
        <v>短期借款利息测算表</v>
      </c>
      <c r="F11" s="400" t="s">
        <v>85</v>
      </c>
    </row>
    <row r="12" spans="1:7" ht="19.95" customHeight="1">
      <c r="A12" s="406"/>
      <c r="D12" s="124">
        <v>9</v>
      </c>
      <c r="E12" s="183" t="s">
        <v>295</v>
      </c>
      <c r="F12" s="402" t="s">
        <v>86</v>
      </c>
    </row>
    <row r="13" spans="1:7" ht="19.95" customHeight="1">
      <c r="A13" s="406"/>
      <c r="D13" s="124">
        <v>10</v>
      </c>
      <c r="E13" s="129" t="str">
        <f>'逾期贷款检查表L1-7'!A2</f>
        <v>逾期贷款检查表</v>
      </c>
      <c r="F13" s="400" t="s">
        <v>87</v>
      </c>
    </row>
    <row r="14" spans="1:7" ht="19.95" customHeight="1">
      <c r="A14" s="406" t="s">
        <v>372</v>
      </c>
      <c r="D14" s="124">
        <v>11</v>
      </c>
      <c r="E14" s="129" t="str">
        <f>'抵质押资产检查表L1-8'!A2</f>
        <v>抵/质押资产检查表</v>
      </c>
      <c r="F14" s="400" t="s">
        <v>88</v>
      </c>
    </row>
    <row r="15" spans="1:7" ht="19.95" customHeight="1">
      <c r="A15" s="406"/>
      <c r="D15" s="124">
        <v>12</v>
      </c>
      <c r="E15" s="405" t="s">
        <v>396</v>
      </c>
      <c r="F15" s="404" t="s">
        <v>397</v>
      </c>
    </row>
    <row r="16" spans="1:7" ht="19.95" customHeight="1">
      <c r="A16" s="406"/>
      <c r="D16" s="124">
        <v>13</v>
      </c>
      <c r="E16" s="405" t="s">
        <v>398</v>
      </c>
      <c r="F16" s="404" t="s">
        <v>389</v>
      </c>
    </row>
    <row r="17" spans="1:6" ht="19.95" customHeight="1">
      <c r="A17" s="407" t="s">
        <v>373</v>
      </c>
      <c r="D17" s="124">
        <v>14</v>
      </c>
      <c r="E17" s="405" t="s">
        <v>390</v>
      </c>
      <c r="F17" s="404" t="s">
        <v>391</v>
      </c>
    </row>
    <row r="18" spans="1:6" ht="19.95" customHeight="1">
      <c r="A18" s="407"/>
      <c r="D18" s="124">
        <v>15</v>
      </c>
      <c r="E18" s="405" t="s">
        <v>392</v>
      </c>
      <c r="F18" s="404" t="s">
        <v>393</v>
      </c>
    </row>
    <row r="19" spans="1:6" ht="19.95" customHeight="1">
      <c r="A19" s="407"/>
      <c r="D19" s="124">
        <v>16</v>
      </c>
      <c r="E19" s="405" t="s">
        <v>399</v>
      </c>
      <c r="F19" s="404" t="s">
        <v>394</v>
      </c>
    </row>
    <row r="20" spans="1:6" ht="19.95" customHeight="1">
      <c r="A20" s="120"/>
      <c r="D20" s="124">
        <v>17</v>
      </c>
      <c r="E20" s="405" t="s">
        <v>400</v>
      </c>
      <c r="F20" s="404" t="s">
        <v>395</v>
      </c>
    </row>
    <row r="21" spans="1:6" ht="19.95" customHeight="1">
      <c r="D21" s="124">
        <v>18</v>
      </c>
      <c r="E21" s="129" t="str">
        <f>'短期借款检查表L1-9'!A2</f>
        <v>短期借款检查底稿</v>
      </c>
      <c r="F21" s="400" t="s">
        <v>89</v>
      </c>
    </row>
  </sheetData>
  <mergeCells count="3">
    <mergeCell ref="A10:A13"/>
    <mergeCell ref="A14:A16"/>
    <mergeCell ref="A17:A19"/>
  </mergeCells>
  <phoneticPr fontId="14" type="noConversion"/>
  <hyperlinks>
    <hyperlink ref="E5" location="'审定表L1-1'!A1" display="短期借款审定表"/>
    <hyperlink ref="E6" location="'附注披露信息核对（上市公司）'!A1" display="短期借款附注披露（上市公司）信息核对表"/>
    <hyperlink ref="E8" location="'明细表L1-2'!A1" display="短期借款明细表"/>
    <hyperlink ref="E11" location="'利息测算表L1-5'!A1" display="'利息测算表L1-5'!A1"/>
    <hyperlink ref="E12" location="'贷款合同检查PL-6'!A1" display="'贷款合同检查PL-6'!A1"/>
    <hyperlink ref="E13" location="'逾期贷款检查表L1-7'!A1" display="'逾期贷款检查表L1-7'!A1"/>
    <hyperlink ref="E14" location="'抵质押资产检查表L1-8'!A1" display="'抵质押资产检查表L1-8'!A1"/>
    <hyperlink ref="E21" location="'短期借款检查表L1-9'!A1" display="'短期借款检查表L1-9'!A1"/>
    <hyperlink ref="E10" location="'征信报告核对表L1-4'!A1" display="'征信报告核对表L1-4'!A1"/>
    <hyperlink ref="E7" location="'附注披露信息核对（国企）'!A1" display="短期借款附注披露（国企）信息核对表"/>
    <hyperlink ref="E4" location="' 短期借款实质性程序表L1A'!A1" display="短期借款实质性程序表"/>
    <hyperlink ref="E9" location="'调整分录汇总L1-3'!A1" display="调整分录汇总"/>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R26"/>
  <sheetViews>
    <sheetView view="pageBreakPreview" zoomScaleNormal="100" zoomScaleSheetLayoutView="100" workbookViewId="0">
      <selection sqref="A1:I1"/>
    </sheetView>
  </sheetViews>
  <sheetFormatPr defaultColWidth="9" defaultRowHeight="13.8"/>
  <cols>
    <col min="1" max="1" width="4.3984375" style="177" customWidth="1"/>
    <col min="2" max="2" width="66.5" style="126" customWidth="1"/>
    <col min="3" max="3" width="9.69921875" style="126" customWidth="1"/>
    <col min="4" max="4" width="4.8984375" style="312" customWidth="1"/>
    <col min="5" max="5" width="6.296875" style="312" customWidth="1"/>
    <col min="6" max="6" width="6.09765625" style="312" customWidth="1"/>
    <col min="7" max="7" width="6.796875" style="312" customWidth="1"/>
    <col min="8" max="8" width="5" style="312" customWidth="1"/>
    <col min="9" max="9" width="7.09765625" style="126" customWidth="1"/>
    <col min="10" max="10" width="9" style="125"/>
    <col min="11" max="16384" width="9" style="126"/>
  </cols>
  <sheetData>
    <row r="1" spans="1:10" ht="19.95" customHeight="1">
      <c r="A1" s="421" t="s">
        <v>99</v>
      </c>
      <c r="B1" s="421"/>
      <c r="C1" s="421"/>
      <c r="D1" s="421"/>
      <c r="E1" s="421"/>
      <c r="F1" s="421"/>
      <c r="G1" s="421"/>
      <c r="H1" s="421"/>
      <c r="I1" s="421"/>
    </row>
    <row r="2" spans="1:10" ht="19.95" customHeight="1">
      <c r="A2" s="422" t="s">
        <v>322</v>
      </c>
      <c r="B2" s="423"/>
      <c r="C2" s="423"/>
      <c r="D2" s="423"/>
      <c r="E2" s="423"/>
      <c r="F2" s="423"/>
      <c r="G2" s="423"/>
      <c r="H2" s="423"/>
      <c r="I2" s="423"/>
    </row>
    <row r="3" spans="1:10" ht="19.95" customHeight="1">
      <c r="A3" s="207" t="str">
        <f>底稿目录!A2</f>
        <v>被审计单位：</v>
      </c>
      <c r="B3" s="127"/>
      <c r="C3" s="128" t="str">
        <f>底稿目录!A4</f>
        <v>编制人：</v>
      </c>
      <c r="E3" s="320" t="str">
        <f>底稿目录!A5</f>
        <v>编制日期：</v>
      </c>
      <c r="F3" s="311"/>
      <c r="H3" s="311" t="s">
        <v>29</v>
      </c>
      <c r="I3" s="398" t="s">
        <v>92</v>
      </c>
    </row>
    <row r="4" spans="1:10" ht="19.95" customHeight="1">
      <c r="A4" s="207" t="str">
        <f>底稿目录!A3</f>
        <v>截止日：202X年12月31日</v>
      </c>
      <c r="B4" s="127"/>
      <c r="C4" s="128" t="str">
        <f>底稿目录!A6</f>
        <v>复核人：</v>
      </c>
      <c r="E4" s="320" t="str">
        <f>底稿目录!A7</f>
        <v>复核日期：</v>
      </c>
      <c r="F4" s="311"/>
      <c r="H4" s="311" t="s">
        <v>52</v>
      </c>
      <c r="I4" s="127"/>
    </row>
    <row r="5" spans="1:10" ht="19.95" customHeight="1">
      <c r="A5" s="309" t="s">
        <v>314</v>
      </c>
      <c r="B5" s="127"/>
      <c r="C5" s="127"/>
      <c r="D5" s="311"/>
      <c r="E5" s="311"/>
      <c r="F5" s="311"/>
      <c r="G5" s="311"/>
      <c r="H5" s="311"/>
      <c r="I5" s="127"/>
    </row>
    <row r="6" spans="1:10" ht="19.95" customHeight="1">
      <c r="A6" s="310" t="s">
        <v>313</v>
      </c>
      <c r="B6" s="127"/>
      <c r="C6" s="127"/>
      <c r="D6" s="311"/>
      <c r="E6" s="311"/>
      <c r="F6" s="311"/>
      <c r="G6" s="311"/>
      <c r="H6" s="311"/>
      <c r="I6" s="127"/>
    </row>
    <row r="7" spans="1:10" ht="19.95" customHeight="1">
      <c r="A7" s="424" t="s">
        <v>315</v>
      </c>
      <c r="B7" s="425"/>
      <c r="C7" s="426"/>
      <c r="D7" s="426"/>
      <c r="E7" s="369"/>
      <c r="F7" s="369"/>
      <c r="G7" s="370"/>
      <c r="H7" s="370"/>
      <c r="I7" s="370"/>
    </row>
    <row r="8" spans="1:10" ht="19.95" customHeight="1">
      <c r="A8" s="417" t="s">
        <v>365</v>
      </c>
      <c r="B8" s="417"/>
      <c r="C8" s="417"/>
      <c r="D8" s="417"/>
      <c r="E8" s="417"/>
      <c r="F8" s="417"/>
      <c r="G8" s="428" t="s">
        <v>79</v>
      </c>
      <c r="H8" s="428"/>
      <c r="I8" s="428"/>
    </row>
    <row r="9" spans="1:10" ht="19.95" customHeight="1">
      <c r="A9" s="414" t="s">
        <v>192</v>
      </c>
      <c r="B9" s="414"/>
      <c r="C9" s="414"/>
      <c r="D9" s="414"/>
      <c r="E9" s="414"/>
      <c r="F9" s="414"/>
      <c r="G9" s="427" t="s">
        <v>53</v>
      </c>
      <c r="H9" s="427"/>
      <c r="I9" s="427"/>
    </row>
    <row r="10" spans="1:10" ht="19.95" customHeight="1">
      <c r="A10" s="414" t="s">
        <v>193</v>
      </c>
      <c r="B10" s="414"/>
      <c r="C10" s="414"/>
      <c r="D10" s="414"/>
      <c r="E10" s="414"/>
      <c r="F10" s="414"/>
      <c r="G10" s="413" t="s">
        <v>316</v>
      </c>
      <c r="H10" s="413"/>
      <c r="I10" s="413"/>
    </row>
    <row r="11" spans="1:10" ht="19.95" customHeight="1">
      <c r="A11" s="414" t="s">
        <v>366</v>
      </c>
      <c r="B11" s="414"/>
      <c r="C11" s="414"/>
      <c r="D11" s="414"/>
      <c r="E11" s="414"/>
      <c r="F11" s="414"/>
      <c r="G11" s="413" t="s">
        <v>311</v>
      </c>
      <c r="H11" s="413"/>
      <c r="I11" s="413"/>
    </row>
    <row r="12" spans="1:10" ht="19.95" customHeight="1">
      <c r="A12" s="414" t="s">
        <v>367</v>
      </c>
      <c r="B12" s="414"/>
      <c r="C12" s="414"/>
      <c r="D12" s="414"/>
      <c r="E12" s="414"/>
      <c r="F12" s="414"/>
      <c r="G12" s="413" t="s">
        <v>310</v>
      </c>
      <c r="H12" s="413"/>
      <c r="I12" s="413"/>
    </row>
    <row r="13" spans="1:10" ht="19.95" customHeight="1">
      <c r="A13" s="414" t="s">
        <v>368</v>
      </c>
      <c r="B13" s="414"/>
      <c r="C13" s="414"/>
      <c r="D13" s="414"/>
      <c r="E13" s="414"/>
      <c r="F13" s="414"/>
      <c r="G13" s="413" t="s">
        <v>312</v>
      </c>
      <c r="H13" s="413"/>
      <c r="I13" s="413"/>
    </row>
    <row r="14" spans="1:10" ht="19.95" customHeight="1">
      <c r="A14" s="208" t="s">
        <v>54</v>
      </c>
    </row>
    <row r="15" spans="1:10" ht="19.95" customHeight="1">
      <c r="A15" s="415" t="s">
        <v>55</v>
      </c>
      <c r="B15" s="417" t="s">
        <v>375</v>
      </c>
      <c r="C15" s="418" t="s">
        <v>56</v>
      </c>
      <c r="D15" s="420" t="s">
        <v>194</v>
      </c>
      <c r="E15" s="420"/>
      <c r="F15" s="420"/>
      <c r="G15" s="420"/>
      <c r="H15" s="420"/>
      <c r="I15" s="418" t="s">
        <v>195</v>
      </c>
    </row>
    <row r="16" spans="1:10" ht="34.200000000000003" customHeight="1">
      <c r="A16" s="416"/>
      <c r="B16" s="417"/>
      <c r="C16" s="419"/>
      <c r="D16" s="171" t="s">
        <v>196</v>
      </c>
      <c r="E16" s="171" t="s">
        <v>197</v>
      </c>
      <c r="F16" s="171" t="s">
        <v>198</v>
      </c>
      <c r="G16" s="171" t="s">
        <v>199</v>
      </c>
      <c r="H16" s="171" t="s">
        <v>200</v>
      </c>
      <c r="I16" s="419"/>
      <c r="J16" s="373" t="s">
        <v>374</v>
      </c>
    </row>
    <row r="17" spans="1:18" ht="63.6" customHeight="1">
      <c r="A17" s="209" t="s">
        <v>57</v>
      </c>
      <c r="B17" s="211" t="s">
        <v>317</v>
      </c>
      <c r="C17" s="212" t="s">
        <v>201</v>
      </c>
      <c r="D17" s="313" t="s">
        <v>202</v>
      </c>
      <c r="E17" s="313" t="s">
        <v>202</v>
      </c>
      <c r="F17" s="313"/>
      <c r="G17" s="316" t="s">
        <v>341</v>
      </c>
      <c r="H17" s="313"/>
      <c r="I17" s="212" t="s">
        <v>328</v>
      </c>
    </row>
    <row r="18" spans="1:18" ht="44.4" customHeight="1">
      <c r="A18" s="209" t="s">
        <v>24</v>
      </c>
      <c r="B18" s="211" t="s">
        <v>203</v>
      </c>
      <c r="C18" s="212" t="s">
        <v>201</v>
      </c>
      <c r="D18" s="328"/>
      <c r="E18" s="329" t="s">
        <v>318</v>
      </c>
      <c r="F18" s="328"/>
      <c r="G18" s="325" t="s">
        <v>318</v>
      </c>
      <c r="H18" s="313"/>
      <c r="I18" s="374" t="s">
        <v>376</v>
      </c>
      <c r="J18" s="410" t="s">
        <v>245</v>
      </c>
      <c r="K18" s="411"/>
      <c r="L18" s="411"/>
      <c r="M18" s="411"/>
      <c r="N18" s="411"/>
      <c r="O18" s="411"/>
      <c r="P18" s="411"/>
      <c r="Q18" s="411"/>
      <c r="R18" s="411"/>
    </row>
    <row r="19" spans="1:18" ht="55.2" customHeight="1">
      <c r="A19" s="209" t="s">
        <v>58</v>
      </c>
      <c r="B19" s="217" t="s">
        <v>327</v>
      </c>
      <c r="C19" s="212" t="s">
        <v>206</v>
      </c>
      <c r="D19" s="325" t="s">
        <v>318</v>
      </c>
      <c r="E19" s="329" t="s">
        <v>318</v>
      </c>
      <c r="F19" s="325" t="s">
        <v>318</v>
      </c>
      <c r="G19" s="325" t="s">
        <v>318</v>
      </c>
      <c r="H19" s="313"/>
      <c r="I19" s="212"/>
      <c r="J19" s="412" t="s">
        <v>246</v>
      </c>
      <c r="K19" s="411"/>
      <c r="L19" s="411"/>
      <c r="M19" s="411"/>
      <c r="N19" s="411"/>
      <c r="O19" s="411"/>
      <c r="P19" s="411"/>
      <c r="Q19" s="411"/>
      <c r="R19" s="411"/>
    </row>
    <row r="20" spans="1:18" s="170" customFormat="1" ht="48.6" customHeight="1">
      <c r="A20" s="209" t="s">
        <v>59</v>
      </c>
      <c r="B20" s="306" t="s">
        <v>326</v>
      </c>
      <c r="C20" s="212" t="s">
        <v>201</v>
      </c>
      <c r="D20" s="313" t="s">
        <v>202</v>
      </c>
      <c r="E20" s="316" t="s">
        <v>320</v>
      </c>
      <c r="F20" s="329" t="s">
        <v>318</v>
      </c>
      <c r="G20" s="313"/>
      <c r="H20" s="308"/>
      <c r="I20" s="212" t="s">
        <v>84</v>
      </c>
      <c r="J20" s="327"/>
    </row>
    <row r="21" spans="1:18" ht="64.2" customHeight="1">
      <c r="A21" s="209" t="s">
        <v>60</v>
      </c>
      <c r="B21" s="306" t="s">
        <v>333</v>
      </c>
      <c r="C21" s="212" t="s">
        <v>204</v>
      </c>
      <c r="D21" s="308"/>
      <c r="E21" s="308"/>
      <c r="F21" s="308"/>
      <c r="G21" s="316" t="s">
        <v>321</v>
      </c>
      <c r="H21" s="308"/>
      <c r="I21" s="212" t="s">
        <v>85</v>
      </c>
      <c r="J21" s="327"/>
    </row>
    <row r="22" spans="1:18" ht="93.6" customHeight="1">
      <c r="A22" s="209" t="s">
        <v>61</v>
      </c>
      <c r="B22" s="319" t="s">
        <v>324</v>
      </c>
      <c r="C22" s="176" t="s">
        <v>204</v>
      </c>
      <c r="D22" s="325" t="s">
        <v>318</v>
      </c>
      <c r="E22" s="329" t="s">
        <v>318</v>
      </c>
      <c r="F22" s="325" t="s">
        <v>318</v>
      </c>
      <c r="G22" s="329" t="s">
        <v>318</v>
      </c>
      <c r="H22" s="325" t="s">
        <v>318</v>
      </c>
      <c r="I22" s="176" t="s">
        <v>329</v>
      </c>
      <c r="J22" s="317"/>
    </row>
    <row r="23" spans="1:18" s="177" customFormat="1" ht="39.6" customHeight="1">
      <c r="A23" s="209" t="s">
        <v>62</v>
      </c>
      <c r="B23" s="319" t="s">
        <v>335</v>
      </c>
      <c r="C23" s="212" t="s">
        <v>204</v>
      </c>
      <c r="D23" s="314"/>
      <c r="E23" s="314"/>
      <c r="F23" s="330" t="s">
        <v>320</v>
      </c>
      <c r="G23" s="314"/>
      <c r="H23" s="307" t="s">
        <v>205</v>
      </c>
      <c r="I23" s="176" t="s">
        <v>88</v>
      </c>
      <c r="J23" s="327"/>
    </row>
    <row r="24" spans="1:18" ht="152.4" customHeight="1">
      <c r="A24" s="209" t="s">
        <v>63</v>
      </c>
      <c r="B24" s="227" t="s">
        <v>342</v>
      </c>
      <c r="C24" s="176" t="s">
        <v>201</v>
      </c>
      <c r="D24" s="315" t="s">
        <v>336</v>
      </c>
      <c r="E24" s="330" t="s">
        <v>337</v>
      </c>
      <c r="F24" s="315" t="s">
        <v>202</v>
      </c>
      <c r="G24" s="330" t="s">
        <v>320</v>
      </c>
      <c r="H24" s="176"/>
      <c r="I24" s="176" t="s">
        <v>243</v>
      </c>
      <c r="J24" s="408" t="s">
        <v>319</v>
      </c>
      <c r="K24" s="409"/>
      <c r="L24" s="409"/>
      <c r="M24" s="409"/>
      <c r="N24" s="409"/>
      <c r="O24" s="409"/>
      <c r="P24" s="409"/>
      <c r="Q24" s="409"/>
      <c r="R24" s="409"/>
    </row>
    <row r="25" spans="1:18" ht="48">
      <c r="A25" s="209" t="s">
        <v>64</v>
      </c>
      <c r="B25" s="324" t="s">
        <v>330</v>
      </c>
      <c r="C25" s="325" t="s">
        <v>331</v>
      </c>
      <c r="D25" s="323"/>
      <c r="E25" s="323"/>
      <c r="F25" s="323"/>
      <c r="G25" s="323"/>
      <c r="H25" s="322"/>
      <c r="I25" s="322"/>
      <c r="J25" s="326"/>
      <c r="K25" s="321"/>
      <c r="L25" s="321"/>
      <c r="M25" s="321"/>
      <c r="N25" s="321"/>
      <c r="O25" s="321"/>
      <c r="P25" s="321"/>
      <c r="Q25" s="321"/>
      <c r="R25" s="321"/>
    </row>
    <row r="26" spans="1:18" s="170" customFormat="1" ht="34.200000000000003" customHeight="1">
      <c r="A26" s="209" t="s">
        <v>332</v>
      </c>
      <c r="B26" s="306" t="s">
        <v>323</v>
      </c>
      <c r="C26" s="212" t="s">
        <v>204</v>
      </c>
      <c r="D26" s="307"/>
      <c r="E26" s="307"/>
      <c r="F26" s="307"/>
      <c r="G26" s="307"/>
      <c r="H26" s="307" t="s">
        <v>205</v>
      </c>
      <c r="I26" s="226" t="s">
        <v>338</v>
      </c>
      <c r="J26" s="318"/>
    </row>
  </sheetData>
  <mergeCells count="24">
    <mergeCell ref="A10:F10"/>
    <mergeCell ref="A11:F11"/>
    <mergeCell ref="A12:F12"/>
    <mergeCell ref="A1:I1"/>
    <mergeCell ref="A2:I2"/>
    <mergeCell ref="A7:B7"/>
    <mergeCell ref="C7:D7"/>
    <mergeCell ref="G9:I9"/>
    <mergeCell ref="G10:I10"/>
    <mergeCell ref="G11:I11"/>
    <mergeCell ref="G12:I12"/>
    <mergeCell ref="G8:I8"/>
    <mergeCell ref="A8:F8"/>
    <mergeCell ref="A9:F9"/>
    <mergeCell ref="J24:R24"/>
    <mergeCell ref="J18:R18"/>
    <mergeCell ref="J19:R19"/>
    <mergeCell ref="G13:I13"/>
    <mergeCell ref="A13:F13"/>
    <mergeCell ref="A15:A16"/>
    <mergeCell ref="B15:B16"/>
    <mergeCell ref="C15:C16"/>
    <mergeCell ref="I15:I16"/>
    <mergeCell ref="D15:H15"/>
  </mergeCells>
  <phoneticPr fontId="51" type="noConversion"/>
  <hyperlinks>
    <hyperlink ref="I3" location="底稿目录!A1" display="L1A"/>
  </hyperlinks>
  <printOptions horizontalCentered="1"/>
  <pageMargins left="0.70866141732283472" right="0.70866141732283472" top="0.74803149606299213" bottom="0.74803149606299213" header="0.31496062992125984" footer="0.31496062992125984"/>
  <pageSetup paperSize="9" scale="70" fitToHeight="50" orientation="portrait" blackAndWhite="1"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N23"/>
  <sheetViews>
    <sheetView view="pageBreakPreview" zoomScaleSheetLayoutView="100" workbookViewId="0">
      <selection sqref="A1:N1"/>
    </sheetView>
  </sheetViews>
  <sheetFormatPr defaultColWidth="9" defaultRowHeight="19.95" customHeight="1"/>
  <cols>
    <col min="1" max="1" width="13.5" style="3" customWidth="1"/>
    <col min="2" max="2" width="11.19921875" style="3" customWidth="1"/>
    <col min="3" max="3" width="10" style="3" customWidth="1"/>
    <col min="4" max="4" width="11.69921875" style="3" customWidth="1"/>
    <col min="5" max="5" width="13" style="3" customWidth="1"/>
    <col min="6" max="6" width="9.796875" style="3" bestFit="1" customWidth="1"/>
    <col min="7" max="7" width="10" style="3" bestFit="1" customWidth="1"/>
    <col min="8" max="8" width="11.19921875" style="3" customWidth="1"/>
    <col min="9" max="9" width="10.5" style="3" customWidth="1"/>
    <col min="10" max="13" width="9.796875" style="3" customWidth="1"/>
    <col min="14" max="14" width="8.796875" style="3" bestFit="1" customWidth="1"/>
    <col min="15" max="16384" width="9" style="3"/>
  </cols>
  <sheetData>
    <row r="1" spans="1:14" s="2" customFormat="1" ht="19.95" customHeight="1">
      <c r="A1" s="433" t="s">
        <v>15</v>
      </c>
      <c r="B1" s="433"/>
      <c r="C1" s="433"/>
      <c r="D1" s="433"/>
      <c r="E1" s="433"/>
      <c r="F1" s="433"/>
      <c r="G1" s="433"/>
      <c r="H1" s="433"/>
      <c r="I1" s="433"/>
      <c r="J1" s="433"/>
      <c r="K1" s="433"/>
      <c r="L1" s="433"/>
      <c r="M1" s="433"/>
      <c r="N1" s="433"/>
    </row>
    <row r="2" spans="1:14" s="2" customFormat="1" ht="19.95" customHeight="1">
      <c r="A2" s="434" t="s">
        <v>95</v>
      </c>
      <c r="B2" s="434"/>
      <c r="C2" s="434"/>
      <c r="D2" s="434"/>
      <c r="E2" s="434"/>
      <c r="F2" s="434"/>
      <c r="G2" s="434"/>
      <c r="H2" s="434"/>
      <c r="I2" s="434"/>
      <c r="J2" s="434"/>
      <c r="K2" s="434"/>
      <c r="L2" s="434"/>
      <c r="M2" s="434"/>
      <c r="N2" s="434"/>
    </row>
    <row r="3" spans="1:14" ht="19.95" customHeight="1">
      <c r="A3" s="10" t="str">
        <f>底稿目录!A2</f>
        <v>被审计单位：</v>
      </c>
      <c r="E3" s="65" t="str">
        <f>底稿目录!A4</f>
        <v>编制人：</v>
      </c>
      <c r="G3" s="4"/>
      <c r="H3" s="4"/>
      <c r="I3" s="105" t="str">
        <f>底稿目录!A5</f>
        <v>编制日期：</v>
      </c>
      <c r="J3" s="105"/>
      <c r="M3" s="193" t="s">
        <v>29</v>
      </c>
      <c r="N3" s="397" t="str">
        <f>底稿目录!F5</f>
        <v>L1-1</v>
      </c>
    </row>
    <row r="4" spans="1:14" ht="19.95" customHeight="1">
      <c r="A4" s="10" t="str">
        <f>底稿目录!A3</f>
        <v>截止日：202X年12月31日</v>
      </c>
      <c r="E4" s="65" t="str">
        <f>底稿目录!A6</f>
        <v>复核人：</v>
      </c>
      <c r="G4" s="5"/>
      <c r="H4" s="5"/>
      <c r="I4" s="105" t="str">
        <f>底稿目录!A7</f>
        <v>复核日期：</v>
      </c>
      <c r="J4" s="105"/>
      <c r="M4" s="8" t="s">
        <v>388</v>
      </c>
    </row>
    <row r="5" spans="1:14" s="299" customFormat="1" ht="28.95" customHeight="1">
      <c r="A5" s="436" t="s">
        <v>297</v>
      </c>
      <c r="B5" s="429" t="s">
        <v>298</v>
      </c>
      <c r="C5" s="435"/>
      <c r="D5" s="435"/>
      <c r="E5" s="430"/>
      <c r="F5" s="429" t="s">
        <v>299</v>
      </c>
      <c r="G5" s="435"/>
      <c r="H5" s="435"/>
      <c r="I5" s="430"/>
      <c r="J5" s="429" t="s">
        <v>300</v>
      </c>
      <c r="K5" s="430"/>
      <c r="L5" s="429" t="s">
        <v>301</v>
      </c>
      <c r="M5" s="430"/>
      <c r="N5" s="431" t="s">
        <v>302</v>
      </c>
    </row>
    <row r="6" spans="1:14" s="241" customFormat="1" ht="25.2" customHeight="1">
      <c r="A6" s="437"/>
      <c r="B6" s="300" t="s">
        <v>303</v>
      </c>
      <c r="C6" s="300" t="s">
        <v>20</v>
      </c>
      <c r="D6" s="300" t="s">
        <v>249</v>
      </c>
      <c r="E6" s="300" t="s">
        <v>304</v>
      </c>
      <c r="F6" s="300" t="s">
        <v>303</v>
      </c>
      <c r="G6" s="300" t="s">
        <v>20</v>
      </c>
      <c r="H6" s="300" t="s">
        <v>249</v>
      </c>
      <c r="I6" s="300" t="s">
        <v>304</v>
      </c>
      <c r="J6" s="301" t="s">
        <v>305</v>
      </c>
      <c r="K6" s="301" t="s">
        <v>306</v>
      </c>
      <c r="L6" s="301" t="s">
        <v>307</v>
      </c>
      <c r="M6" s="300" t="s">
        <v>306</v>
      </c>
      <c r="N6" s="432"/>
    </row>
    <row r="7" spans="1:14" ht="19.95" customHeight="1">
      <c r="A7" s="104" t="s">
        <v>188</v>
      </c>
      <c r="B7" s="143">
        <f>SUMIF('明细表L1-2'!$B:$B,'审定表L1-1'!$A7,'明细表L1-2'!$H:$H)</f>
        <v>0</v>
      </c>
      <c r="C7" s="143">
        <f>SUMIF('明细表L1-2'!$B:$B,'审定表L1-1'!$A7,'明细表L1-2'!L:L)</f>
        <v>0</v>
      </c>
      <c r="D7" s="143">
        <f>SUMIF('明细表L1-2'!$B:$B,'审定表L1-1'!$A7,'明细表L1-2'!M:M)</f>
        <v>0</v>
      </c>
      <c r="E7" s="143">
        <f>B7+C7+D7</f>
        <v>0</v>
      </c>
      <c r="F7" s="143">
        <f>SUMIF('明细表L1-2'!$B:$B,'审定表L1-1'!$A7,'明细表L1-2'!$K:$K)</f>
        <v>0</v>
      </c>
      <c r="G7" s="143">
        <f>SUMIF('明细表L1-2'!$B:$B,'审定表L1-1'!$A7,'明细表L1-2'!$N:$N)-SUMIF('明细表L1-2'!$B:$B,'审定表L1-1'!$A7,'明细表L1-2'!$O:$O)</f>
        <v>0</v>
      </c>
      <c r="H7" s="143">
        <f>SUMIF('明细表L1-2'!$B:$B,'审定表L1-1'!$A7,'明细表L1-2'!$P:$P)-SUMIF('明细表L1-2'!$B:$B,'审定表L1-1'!$A7,'明细表L1-2'!$Q:$Q)</f>
        <v>0</v>
      </c>
      <c r="I7" s="143">
        <f>F7+G7+H7</f>
        <v>0</v>
      </c>
      <c r="J7" s="143">
        <f>F7-B7</f>
        <v>0</v>
      </c>
      <c r="K7" s="144">
        <f>IF(AND(B7=0,J7=0),0,IF(AND(B7=0,J7&gt;0),1,J7/B7))</f>
        <v>0</v>
      </c>
      <c r="L7" s="143">
        <f>I7-E7</f>
        <v>0</v>
      </c>
      <c r="M7" s="144">
        <f>IF(AND(E7=0,L7=0),0,IF(AND(E7=0,L7&gt;0),1,L7/E7))</f>
        <v>0</v>
      </c>
      <c r="N7" s="45"/>
    </row>
    <row r="8" spans="1:14" ht="19.95" customHeight="1">
      <c r="A8" s="104" t="s">
        <v>189</v>
      </c>
      <c r="B8" s="143">
        <f>SUMIF('明细表L1-2'!$B:$B,'审定表L1-1'!$A8,'明细表L1-2'!$H:$H)</f>
        <v>0</v>
      </c>
      <c r="C8" s="143">
        <f>SUMIF('明细表L1-2'!$B:$B,'审定表L1-1'!$A8,'明细表L1-2'!L:L)</f>
        <v>0</v>
      </c>
      <c r="D8" s="143">
        <f>SUMIF('明细表L1-2'!$B:$B,'审定表L1-1'!$A8,'明细表L1-2'!M:M)</f>
        <v>0</v>
      </c>
      <c r="E8" s="143">
        <f t="shared" ref="E8:E10" si="0">B8+C8+D8</f>
        <v>0</v>
      </c>
      <c r="F8" s="143">
        <f>SUMIF('明细表L1-2'!$B:$B,'审定表L1-1'!$A8,'明细表L1-2'!$K:$K)</f>
        <v>0</v>
      </c>
      <c r="G8" s="143">
        <f>SUMIF('明细表L1-2'!$B:$B,'审定表L1-1'!$A8,'明细表L1-2'!$N:$N)-SUMIF('明细表L1-2'!$B:$B,'审定表L1-1'!$A8,'明细表L1-2'!$O:$O)</f>
        <v>0</v>
      </c>
      <c r="H8" s="143">
        <f>SUMIF('明细表L1-2'!$B:$B,'审定表L1-1'!$A8,'明细表L1-2'!$P:$P)-SUMIF('明细表L1-2'!$B:$B,'审定表L1-1'!$A8,'明细表L1-2'!$Q:$Q)</f>
        <v>0</v>
      </c>
      <c r="I8" s="143">
        <f t="shared" ref="I8:I10" si="1">F8+G8+H8</f>
        <v>0</v>
      </c>
      <c r="J8" s="143">
        <f>F8-B8</f>
        <v>0</v>
      </c>
      <c r="K8" s="144">
        <f>IF(AND(B8=0,J8=0),0,IF(AND(B8=0,J8&gt;0),1,J8/B8))</f>
        <v>0</v>
      </c>
      <c r="L8" s="143">
        <f>I8-E8</f>
        <v>0</v>
      </c>
      <c r="M8" s="144">
        <f>IF(AND(E8=0,L8=0),0,IF(AND(E8=0,L8&gt;0),1,L8/E8))</f>
        <v>0</v>
      </c>
      <c r="N8" s="45"/>
    </row>
    <row r="9" spans="1:14" ht="19.95" customHeight="1">
      <c r="A9" s="104" t="s">
        <v>190</v>
      </c>
      <c r="B9" s="143">
        <f>SUMIF('明细表L1-2'!$B:$B,'审定表L1-1'!$A9,'明细表L1-2'!$H:$H)</f>
        <v>0</v>
      </c>
      <c r="C9" s="143">
        <f>SUMIF('明细表L1-2'!$B:$B,'审定表L1-1'!$A9,'明细表L1-2'!L:L)</f>
        <v>0</v>
      </c>
      <c r="D9" s="143">
        <f>SUMIF('明细表L1-2'!$B:$B,'审定表L1-1'!$A9,'明细表L1-2'!M:M)</f>
        <v>0</v>
      </c>
      <c r="E9" s="143">
        <f t="shared" si="0"/>
        <v>0</v>
      </c>
      <c r="F9" s="143">
        <f>SUMIF('明细表L1-2'!$B:$B,'审定表L1-1'!$A9,'明细表L1-2'!$K:$K)</f>
        <v>0</v>
      </c>
      <c r="G9" s="143">
        <f>SUMIF('明细表L1-2'!$B:$B,'审定表L1-1'!$A9,'明细表L1-2'!$N:$N)-SUMIF('明细表L1-2'!$B:$B,'审定表L1-1'!$A9,'明细表L1-2'!$O:$O)</f>
        <v>0</v>
      </c>
      <c r="H9" s="143">
        <f>SUMIF('明细表L1-2'!$B:$B,'审定表L1-1'!$A9,'明细表L1-2'!$P:$P)-SUMIF('明细表L1-2'!$B:$B,'审定表L1-1'!$A9,'明细表L1-2'!$Q:$Q)</f>
        <v>0</v>
      </c>
      <c r="I9" s="143">
        <f t="shared" si="1"/>
        <v>0</v>
      </c>
      <c r="J9" s="143">
        <f>F9-B9</f>
        <v>0</v>
      </c>
      <c r="K9" s="144">
        <f>IF(AND(B9=0,J9=0),0,IF(AND(B9=0,J9&gt;0),1,J9/B9))</f>
        <v>0</v>
      </c>
      <c r="L9" s="143">
        <f>I9-E9</f>
        <v>0</v>
      </c>
      <c r="M9" s="144">
        <f>IF(AND(E9=0,L9=0),0,IF(AND(E9=0,L9&gt;0),1,L9/E9))</f>
        <v>0</v>
      </c>
      <c r="N9" s="45"/>
    </row>
    <row r="10" spans="1:14" ht="19.95" customHeight="1">
      <c r="A10" s="104" t="s">
        <v>191</v>
      </c>
      <c r="B10" s="143">
        <f>SUMIF('明细表L1-2'!$B:$B,'审定表L1-1'!$A10,'明细表L1-2'!$H:$H)</f>
        <v>0</v>
      </c>
      <c r="C10" s="143">
        <f>SUMIF('明细表L1-2'!$B:$B,'审定表L1-1'!$A10,'明细表L1-2'!L:L)</f>
        <v>0</v>
      </c>
      <c r="D10" s="143">
        <f>SUMIF('明细表L1-2'!$B:$B,'审定表L1-1'!$A10,'明细表L1-2'!M:M)</f>
        <v>0</v>
      </c>
      <c r="E10" s="143">
        <f t="shared" si="0"/>
        <v>0</v>
      </c>
      <c r="F10" s="143">
        <f>SUMIF('明细表L1-2'!$B:$B,'审定表L1-1'!$A10,'明细表L1-2'!$K:$K)</f>
        <v>0</v>
      </c>
      <c r="G10" s="143">
        <f>SUMIF('明细表L1-2'!$B:$B,'审定表L1-1'!$A10,'明细表L1-2'!$N:$N)-SUMIF('明细表L1-2'!$B:$B,'审定表L1-1'!$A10,'明细表L1-2'!$O:$O)</f>
        <v>0</v>
      </c>
      <c r="H10" s="143">
        <f>SUMIF('明细表L1-2'!$B:$B,'审定表L1-1'!$A10,'明细表L1-2'!$P:$P)-SUMIF('明细表L1-2'!$B:$B,'审定表L1-1'!$A10,'明细表L1-2'!$Q:$Q)</f>
        <v>0</v>
      </c>
      <c r="I10" s="143">
        <f t="shared" si="1"/>
        <v>0</v>
      </c>
      <c r="J10" s="143">
        <f>F10-B10</f>
        <v>0</v>
      </c>
      <c r="K10" s="144">
        <f>IF(AND(B10=0,J10=0),0,IF(AND(B10=0,J10&gt;0),1,J10/B10))</f>
        <v>0</v>
      </c>
      <c r="L10" s="143">
        <f>I10-E10</f>
        <v>0</v>
      </c>
      <c r="M10" s="144">
        <f>IF(AND(E10=0,L10=0),0,IF(AND(E10=0,L10&gt;0),1,L10/E10))</f>
        <v>0</v>
      </c>
      <c r="N10" s="45"/>
    </row>
    <row r="11" spans="1:14" s="6" customFormat="1" ht="19.95" customHeight="1">
      <c r="A11" s="121" t="s">
        <v>42</v>
      </c>
      <c r="B11" s="145">
        <f>SUM(B7:B10)</f>
        <v>0</v>
      </c>
      <c r="C11" s="145">
        <f t="shared" ref="C11:I11" si="2">SUM(C7:C10)</f>
        <v>0</v>
      </c>
      <c r="D11" s="145">
        <f t="shared" si="2"/>
        <v>0</v>
      </c>
      <c r="E11" s="145">
        <f>SUM(E7:E10)</f>
        <v>0</v>
      </c>
      <c r="F11" s="145">
        <f t="shared" si="2"/>
        <v>0</v>
      </c>
      <c r="G11" s="145">
        <f t="shared" si="2"/>
        <v>0</v>
      </c>
      <c r="H11" s="145">
        <f t="shared" si="2"/>
        <v>0</v>
      </c>
      <c r="I11" s="145">
        <f t="shared" si="2"/>
        <v>0</v>
      </c>
      <c r="J11" s="145">
        <f>SUM(J7:J10)</f>
        <v>0</v>
      </c>
      <c r="K11" s="146">
        <f>IF(AND(B11=0,J11=0),0,IF(AND(B11=0,J11&gt;0),1,J11/B11))</f>
        <v>0</v>
      </c>
      <c r="L11" s="145">
        <f>SUM(L7:L10)</f>
        <v>0</v>
      </c>
      <c r="M11" s="146">
        <f>IF(AND(E11=0,L11=0),0,IF(AND(E11=0,L11&gt;0),1,L11/E11))</f>
        <v>0</v>
      </c>
      <c r="N11" s="47"/>
    </row>
    <row r="12" spans="1:14" ht="19.95" customHeight="1">
      <c r="A12" s="46" t="s">
        <v>26</v>
      </c>
      <c r="B12" s="7"/>
      <c r="C12" s="130"/>
      <c r="D12" s="218"/>
      <c r="E12" s="7"/>
      <c r="F12" s="7"/>
      <c r="G12" s="7"/>
      <c r="H12" s="7"/>
    </row>
    <row r="13" spans="1:14" ht="19.95" customHeight="1">
      <c r="A13" s="225" t="s">
        <v>237</v>
      </c>
      <c r="B13" s="7"/>
      <c r="C13" s="7"/>
      <c r="D13" s="7"/>
      <c r="E13" s="7"/>
      <c r="F13" s="7"/>
      <c r="G13" s="7"/>
      <c r="H13" s="7"/>
    </row>
    <row r="14" spans="1:14" ht="19.95" customHeight="1">
      <c r="A14" s="225" t="s">
        <v>238</v>
      </c>
      <c r="B14" s="7"/>
      <c r="C14" s="7"/>
      <c r="D14" s="7"/>
      <c r="E14" s="7"/>
      <c r="F14" s="7"/>
      <c r="G14" s="7"/>
      <c r="H14" s="7"/>
    </row>
    <row r="15" spans="1:14" ht="19.95" customHeight="1">
      <c r="A15" s="225" t="s">
        <v>239</v>
      </c>
      <c r="B15" s="7"/>
      <c r="C15" s="7"/>
      <c r="D15" s="7"/>
      <c r="E15" s="7"/>
      <c r="F15" s="7"/>
      <c r="G15" s="7"/>
      <c r="H15" s="7"/>
    </row>
    <row r="16" spans="1:14" ht="19.95" customHeight="1">
      <c r="A16" s="225" t="s">
        <v>240</v>
      </c>
      <c r="B16" s="7"/>
      <c r="C16" s="7"/>
      <c r="D16" s="7"/>
      <c r="E16" s="7"/>
      <c r="F16" s="7"/>
      <c r="G16" s="7"/>
      <c r="H16" s="7"/>
    </row>
    <row r="17" spans="1:8" ht="19.95" customHeight="1">
      <c r="A17" s="225" t="s">
        <v>241</v>
      </c>
      <c r="B17" s="7"/>
      <c r="C17" s="7"/>
      <c r="D17" s="7"/>
      <c r="E17" s="7"/>
      <c r="F17" s="7"/>
      <c r="G17" s="7"/>
      <c r="H17" s="7"/>
    </row>
    <row r="18" spans="1:8" ht="19.95" customHeight="1">
      <c r="A18" s="225" t="s">
        <v>242</v>
      </c>
      <c r="B18" s="7"/>
      <c r="C18" s="7"/>
      <c r="D18" s="7"/>
      <c r="E18" s="7"/>
      <c r="F18" s="7"/>
      <c r="G18" s="7"/>
      <c r="H18" s="7"/>
    </row>
    <row r="19" spans="1:8" ht="19.95" customHeight="1">
      <c r="A19" s="67" t="s">
        <v>27</v>
      </c>
      <c r="B19" s="7"/>
      <c r="C19" s="7"/>
      <c r="D19" s="7"/>
      <c r="E19" s="66"/>
      <c r="F19" s="7"/>
      <c r="G19" s="7"/>
      <c r="H19" s="7"/>
    </row>
    <row r="20" spans="1:8" ht="19.95" customHeight="1">
      <c r="A20" s="67"/>
      <c r="B20" s="7"/>
      <c r="C20" s="7"/>
      <c r="D20" s="7"/>
      <c r="E20" s="7"/>
      <c r="F20" s="7"/>
      <c r="G20" s="7"/>
      <c r="H20" s="7"/>
    </row>
    <row r="21" spans="1:8" ht="19.95" customHeight="1">
      <c r="A21" s="67"/>
      <c r="B21" s="7"/>
      <c r="C21" s="7"/>
      <c r="D21" s="7"/>
      <c r="E21" s="7"/>
      <c r="F21" s="7"/>
      <c r="G21" s="7"/>
      <c r="H21" s="7"/>
    </row>
    <row r="22" spans="1:8" ht="19.95" customHeight="1">
      <c r="A22" s="68" t="s">
        <v>1</v>
      </c>
      <c r="B22" s="7"/>
      <c r="C22" s="7"/>
      <c r="D22" s="7"/>
      <c r="E22" s="7"/>
      <c r="F22" s="7"/>
      <c r="G22" s="7"/>
      <c r="H22" s="7"/>
    </row>
    <row r="23" spans="1:8" ht="19.95" customHeight="1">
      <c r="A23" s="68"/>
      <c r="B23" s="7"/>
      <c r="C23" s="7"/>
      <c r="D23" s="7"/>
      <c r="E23" s="7"/>
      <c r="F23" s="7"/>
      <c r="G23" s="7"/>
      <c r="H23" s="7"/>
    </row>
  </sheetData>
  <mergeCells count="8">
    <mergeCell ref="L5:M5"/>
    <mergeCell ref="N5:N6"/>
    <mergeCell ref="A1:N1"/>
    <mergeCell ref="A2:N2"/>
    <mergeCell ref="B5:E5"/>
    <mergeCell ref="F5:I5"/>
    <mergeCell ref="J5:K5"/>
    <mergeCell ref="A5:A6"/>
  </mergeCells>
  <phoneticPr fontId="14" type="noConversion"/>
  <hyperlinks>
    <hyperlink ref="N3" location="底稿目录!A1" display="底稿目录!A1"/>
  </hyperlinks>
  <printOptions horizontalCentered="1"/>
  <pageMargins left="0.70866141732283472" right="0.70866141732283472" top="0.74803149606299213" bottom="0.74803149606299213" header="0.31496062992125984" footer="0.31496062992125984"/>
  <pageSetup paperSize="9" scale="80" orientation="landscape" blackAndWhite="1"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24"/>
  <sheetViews>
    <sheetView view="pageBreakPreview" zoomScaleSheetLayoutView="100" workbookViewId="0">
      <selection sqref="A1:E1"/>
    </sheetView>
  </sheetViews>
  <sheetFormatPr defaultColWidth="9" defaultRowHeight="15.6"/>
  <cols>
    <col min="1" max="1" width="35.296875" style="13" customWidth="1"/>
    <col min="2" max="2" width="13.796875" style="13" customWidth="1"/>
    <col min="3" max="3" width="15.19921875" style="13" customWidth="1"/>
    <col min="4" max="4" width="12" style="13" customWidth="1"/>
    <col min="5" max="5" width="10.59765625" style="13" customWidth="1"/>
    <col min="6" max="16384" width="9" style="13"/>
  </cols>
  <sheetData>
    <row r="1" spans="1:12" s="9" customFormat="1" ht="20.100000000000001" customHeight="1">
      <c r="A1" s="439" t="s">
        <v>99</v>
      </c>
      <c r="B1" s="439"/>
      <c r="C1" s="439"/>
      <c r="D1" s="439"/>
      <c r="E1" s="439"/>
      <c r="F1" s="35"/>
      <c r="G1" s="35"/>
      <c r="H1" s="35"/>
      <c r="I1" s="35"/>
      <c r="J1" s="35"/>
      <c r="K1" s="35"/>
      <c r="L1" s="35"/>
    </row>
    <row r="2" spans="1:12" s="9" customFormat="1" ht="25.05" customHeight="1">
      <c r="A2" s="440" t="s">
        <v>207</v>
      </c>
      <c r="B2" s="440"/>
      <c r="C2" s="440"/>
      <c r="D2" s="440"/>
      <c r="E2" s="440"/>
      <c r="F2" s="439"/>
      <c r="G2" s="439"/>
      <c r="H2" s="439"/>
      <c r="I2" s="439"/>
      <c r="J2" s="439"/>
      <c r="K2" s="439"/>
      <c r="L2" s="439"/>
    </row>
    <row r="3" spans="1:12" s="10" customFormat="1" ht="20.100000000000001" customHeight="1">
      <c r="A3" s="10" t="str">
        <f>底稿目录!A2</f>
        <v>被审计单位：</v>
      </c>
      <c r="B3" s="65" t="str">
        <f>底稿目录!A4</f>
        <v>编制人：</v>
      </c>
      <c r="C3" s="106" t="str">
        <f>底稿目录!A5</f>
        <v>编制日期：</v>
      </c>
      <c r="D3" s="106"/>
      <c r="E3" s="10" t="s">
        <v>77</v>
      </c>
    </row>
    <row r="4" spans="1:12" s="10" customFormat="1" ht="20.100000000000001" customHeight="1">
      <c r="A4" s="10" t="str">
        <f>底稿目录!A3</f>
        <v>截止日：202X年12月31日</v>
      </c>
      <c r="B4" s="65" t="str">
        <f>底稿目录!A6</f>
        <v>复核人：</v>
      </c>
      <c r="C4" s="106" t="str">
        <f>底稿目录!A7</f>
        <v>复核日期：</v>
      </c>
      <c r="D4" s="106"/>
      <c r="E4" s="10" t="s">
        <v>28</v>
      </c>
    </row>
    <row r="5" spans="1:12" ht="20.100000000000001" customHeight="1">
      <c r="A5" s="69" t="s">
        <v>208</v>
      </c>
      <c r="B5" s="38"/>
      <c r="C5" s="38"/>
      <c r="D5" s="38"/>
      <c r="E5" s="38"/>
    </row>
    <row r="6" spans="1:12" s="14" customFormat="1" ht="20.100000000000001" customHeight="1" thickBot="1">
      <c r="A6" s="69" t="s">
        <v>209</v>
      </c>
      <c r="D6" s="10"/>
      <c r="E6" s="10"/>
    </row>
    <row r="7" spans="1:12" s="14" customFormat="1" ht="20.100000000000001" customHeight="1" thickBot="1">
      <c r="A7" s="70" t="s">
        <v>210</v>
      </c>
      <c r="B7" s="70" t="s">
        <v>211</v>
      </c>
      <c r="C7" s="77" t="s">
        <v>212</v>
      </c>
      <c r="D7" s="10"/>
      <c r="E7" s="10"/>
    </row>
    <row r="8" spans="1:12" s="14" customFormat="1" ht="20.100000000000001" customHeight="1">
      <c r="A8" s="71" t="s">
        <v>213</v>
      </c>
      <c r="B8" s="142">
        <f>SUMIF('明细表L1-2'!B:B,'附注披露信息核对（上市公司）'!A8,'明细表L1-2'!U:U)</f>
        <v>0</v>
      </c>
      <c r="C8" s="142">
        <f>SUMIF('明细表L1-2'!B:B,'附注披露信息核对（上市公司）'!A8,'明细表L1-2'!R:R)</f>
        <v>0</v>
      </c>
      <c r="D8" s="10"/>
      <c r="E8" s="10"/>
    </row>
    <row r="9" spans="1:12" s="14" customFormat="1" ht="20.100000000000001" customHeight="1">
      <c r="A9" s="71" t="s">
        <v>214</v>
      </c>
      <c r="B9" s="141">
        <f>SUMIF('明细表L1-2'!B:B,'附注披露信息核对（上市公司）'!A9,'明细表L1-2'!U:U)</f>
        <v>0</v>
      </c>
      <c r="C9" s="141">
        <f>SUMIF('明细表L1-2'!B:B,'附注披露信息核对（上市公司）'!A9,'明细表L1-2'!R:R)</f>
        <v>0</v>
      </c>
      <c r="D9" s="10"/>
      <c r="E9" s="10"/>
    </row>
    <row r="10" spans="1:12" s="14" customFormat="1" ht="20.100000000000001" customHeight="1">
      <c r="A10" s="71" t="s">
        <v>215</v>
      </c>
      <c r="B10" s="141">
        <f>SUMIF('明细表L1-2'!B:B,'附注披露信息核对（上市公司）'!A10,'明细表L1-2'!U:U)</f>
        <v>0</v>
      </c>
      <c r="C10" s="141">
        <f>SUMIF('明细表L1-2'!B:B,'附注披露信息核对（上市公司）'!A10,'明细表L1-2'!R:R)</f>
        <v>0</v>
      </c>
      <c r="D10" s="10"/>
      <c r="E10" s="10"/>
    </row>
    <row r="11" spans="1:12" s="14" customFormat="1" ht="20.100000000000001" customHeight="1" thickBot="1">
      <c r="A11" s="72" t="s">
        <v>216</v>
      </c>
      <c r="B11" s="74">
        <f>SUMIF('明细表L1-2'!B:B,'附注披露信息核对（上市公司）'!A11,'明细表L1-2'!U:U)</f>
        <v>0</v>
      </c>
      <c r="C11" s="74">
        <f>SUMIF('明细表L1-2'!B:B,'附注披露信息核对（上市公司）'!A11,'明细表L1-2'!R:R)</f>
        <v>0</v>
      </c>
      <c r="D11" s="10"/>
      <c r="E11" s="10"/>
    </row>
    <row r="12" spans="1:12" s="14" customFormat="1" ht="20.100000000000001" customHeight="1" thickBot="1">
      <c r="A12" s="73" t="s">
        <v>217</v>
      </c>
      <c r="B12" s="74">
        <f>SUM(B9:B11)</f>
        <v>0</v>
      </c>
      <c r="C12" s="74">
        <f>SUM(C9:C11)</f>
        <v>0</v>
      </c>
      <c r="D12" s="10"/>
      <c r="E12" s="10"/>
    </row>
    <row r="13" spans="1:12" s="14" customFormat="1" ht="20.100000000000001" customHeight="1">
      <c r="A13" s="438" t="s">
        <v>218</v>
      </c>
      <c r="B13" s="438"/>
      <c r="C13" s="438"/>
      <c r="D13" s="10"/>
      <c r="E13" s="10"/>
    </row>
    <row r="14" spans="1:12" s="14" customFormat="1" ht="20.100000000000001" customHeight="1">
      <c r="A14" s="69" t="s">
        <v>219</v>
      </c>
      <c r="B14" s="10"/>
      <c r="C14" s="10"/>
      <c r="D14" s="10"/>
      <c r="E14" s="10"/>
    </row>
    <row r="15" spans="1:12" s="14" customFormat="1" ht="29.25" customHeight="1">
      <c r="A15" s="441" t="s">
        <v>220</v>
      </c>
      <c r="B15" s="441"/>
      <c r="C15" s="441"/>
      <c r="D15" s="441"/>
      <c r="E15" s="441"/>
    </row>
    <row r="16" spans="1:12" s="14" customFormat="1" ht="20.100000000000001" customHeight="1">
      <c r="A16" s="75" t="s">
        <v>221</v>
      </c>
      <c r="B16" s="10"/>
      <c r="C16" s="10"/>
      <c r="D16" s="10"/>
      <c r="E16" s="10"/>
    </row>
    <row r="17" spans="1:5" s="14" customFormat="1" ht="20.100000000000001" customHeight="1" thickBot="1">
      <c r="A17" s="76" t="s">
        <v>222</v>
      </c>
      <c r="B17" s="10"/>
      <c r="C17" s="10"/>
      <c r="D17" s="10"/>
      <c r="E17" s="10"/>
    </row>
    <row r="18" spans="1:5" s="14" customFormat="1" ht="20.100000000000001" customHeight="1" thickBot="1">
      <c r="A18" s="70" t="s">
        <v>223</v>
      </c>
      <c r="B18" s="77" t="s">
        <v>224</v>
      </c>
      <c r="C18" s="77" t="s">
        <v>225</v>
      </c>
      <c r="D18" s="77" t="s">
        <v>226</v>
      </c>
      <c r="E18" s="78" t="s">
        <v>227</v>
      </c>
    </row>
    <row r="19" spans="1:5" s="14" customFormat="1" ht="20.100000000000001" customHeight="1">
      <c r="A19" s="122" t="str">
        <f>IF('逾期贷款检查表L1-7'!J11,'逾期贷款检查表L1-7'!B11,"")</f>
        <v/>
      </c>
      <c r="B19" s="103" t="str">
        <f>IF('逾期贷款检查表L1-7'!J11,'逾期贷款检查表L1-7'!E11,"")</f>
        <v/>
      </c>
      <c r="C19" s="79" t="str">
        <f>IF('逾期贷款检查表L1-7'!J11&gt;0,'逾期贷款检查表L1-7'!F11,"")</f>
        <v/>
      </c>
      <c r="D19" s="79" t="str">
        <f>IF('逾期贷款检查表L1-7'!J11&gt;0,'逾期贷款检查表L1-7'!J11,"")</f>
        <v/>
      </c>
      <c r="E19" s="79" t="str">
        <f>IF('逾期贷款检查表L1-7'!J11,'逾期贷款检查表L1-7'!G11,"")</f>
        <v/>
      </c>
    </row>
    <row r="20" spans="1:5" s="14" customFormat="1" ht="20.100000000000001" customHeight="1">
      <c r="A20" s="122" t="str">
        <f>IF('逾期贷款检查表L1-7'!J12,'逾期贷款检查表L1-7'!B12,"")</f>
        <v/>
      </c>
      <c r="B20" s="103" t="str">
        <f>IF('逾期贷款检查表L1-7'!J12,'逾期贷款检查表L1-7'!E12,"")</f>
        <v/>
      </c>
      <c r="C20" s="79" t="str">
        <f>IF('逾期贷款检查表L1-7'!J12&gt;0,'逾期贷款检查表L1-7'!F12,"")</f>
        <v/>
      </c>
      <c r="D20" s="79" t="str">
        <f>IF('逾期贷款检查表L1-7'!J12&gt;0,'逾期贷款检查表L1-7'!J12,"")</f>
        <v/>
      </c>
      <c r="E20" s="79" t="str">
        <f>IF('逾期贷款检查表L1-7'!J12,'逾期贷款检查表L1-7'!G12,"")</f>
        <v/>
      </c>
    </row>
    <row r="21" spans="1:5" s="14" customFormat="1" ht="20.100000000000001" customHeight="1">
      <c r="A21" s="122" t="str">
        <f>IF('逾期贷款检查表L1-7'!J13,'逾期贷款检查表L1-7'!B13,"")</f>
        <v/>
      </c>
      <c r="B21" s="103" t="str">
        <f>IF('逾期贷款检查表L1-7'!J13,'逾期贷款检查表L1-7'!E13,"")</f>
        <v/>
      </c>
      <c r="C21" s="79" t="str">
        <f>IF('逾期贷款检查表L1-7'!J13&gt;0,'逾期贷款检查表L1-7'!F13,"")</f>
        <v/>
      </c>
      <c r="D21" s="79" t="str">
        <f>IF('逾期贷款检查表L1-7'!J13&gt;0,'逾期贷款检查表L1-7'!J13,"")</f>
        <v/>
      </c>
      <c r="E21" s="79" t="str">
        <f>IF('逾期贷款检查表L1-7'!J13,'逾期贷款检查表L1-7'!G13,"")</f>
        <v/>
      </c>
    </row>
    <row r="22" spans="1:5" s="14" customFormat="1" ht="20.100000000000001" customHeight="1">
      <c r="A22" s="122" t="str">
        <f>IF('逾期贷款检查表L1-7'!J14,'逾期贷款检查表L1-7'!B14,"")</f>
        <v/>
      </c>
      <c r="B22" s="103" t="str">
        <f>IF('逾期贷款检查表L1-7'!J14,'逾期贷款检查表L1-7'!E14,"")</f>
        <v/>
      </c>
      <c r="C22" s="79" t="str">
        <f>IF('逾期贷款检查表L1-7'!J14&gt;0,'逾期贷款检查表L1-7'!F14,"")</f>
        <v/>
      </c>
      <c r="D22" s="79" t="str">
        <f>IF('逾期贷款检查表L1-7'!J14&gt;0,'逾期贷款检查表L1-7'!J14,"")</f>
        <v/>
      </c>
      <c r="E22" s="79" t="str">
        <f>IF('逾期贷款检查表L1-7'!J14,'逾期贷款检查表L1-7'!G14,"")</f>
        <v/>
      </c>
    </row>
    <row r="23" spans="1:5" s="14" customFormat="1" ht="20.100000000000001" customHeight="1" thickBot="1">
      <c r="A23" s="80" t="s">
        <v>228</v>
      </c>
      <c r="B23" s="74">
        <f>SUM(B19:B22)</f>
        <v>0</v>
      </c>
      <c r="C23" s="81" t="s">
        <v>14</v>
      </c>
      <c r="D23" s="81" t="s">
        <v>14</v>
      </c>
      <c r="E23" s="81" t="s">
        <v>14</v>
      </c>
    </row>
    <row r="24" spans="1:5" s="14" customFormat="1" ht="20.100000000000001" customHeight="1">
      <c r="A24" s="69" t="s">
        <v>218</v>
      </c>
      <c r="B24" s="10"/>
      <c r="C24" s="10"/>
      <c r="D24" s="10"/>
      <c r="E24" s="10"/>
    </row>
  </sheetData>
  <mergeCells count="5">
    <mergeCell ref="A13:C13"/>
    <mergeCell ref="A1:E1"/>
    <mergeCell ref="A2:E2"/>
    <mergeCell ref="F2:L2"/>
    <mergeCell ref="A15:E15"/>
  </mergeCells>
  <phoneticPr fontId="14" type="noConversion"/>
  <printOptions horizontalCentered="1"/>
  <pageMargins left="0.70866141732283472" right="0.70866141732283472" top="0.74803149606299213" bottom="0.74803149606299213" header="0.31496062992125984" footer="0.31496062992125984"/>
  <pageSetup paperSize="9" scale="91" orientation="portrait"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H24"/>
  <sheetViews>
    <sheetView view="pageBreakPreview" zoomScaleNormal="100" zoomScaleSheetLayoutView="100" workbookViewId="0">
      <selection sqref="A1:E1"/>
    </sheetView>
  </sheetViews>
  <sheetFormatPr defaultColWidth="9" defaultRowHeight="15.6"/>
  <cols>
    <col min="1" max="1" width="31" style="13" customWidth="1"/>
    <col min="2" max="2" width="12.296875" style="13" bestFit="1" customWidth="1"/>
    <col min="3" max="3" width="16" style="13" bestFit="1" customWidth="1"/>
    <col min="4" max="4" width="7.796875" style="13" bestFit="1" customWidth="1"/>
    <col min="5" max="5" width="12.09765625" style="13" customWidth="1"/>
    <col min="6" max="7" width="12.296875" style="13" customWidth="1"/>
    <col min="8" max="8" width="8.59765625" style="13" customWidth="1"/>
    <col min="9" max="16384" width="9" style="13"/>
  </cols>
  <sheetData>
    <row r="1" spans="1:8" s="9" customFormat="1" ht="20.100000000000001" customHeight="1">
      <c r="A1" s="439" t="s">
        <v>99</v>
      </c>
      <c r="B1" s="439"/>
      <c r="C1" s="439"/>
      <c r="D1" s="439"/>
      <c r="E1" s="221"/>
      <c r="F1" s="221"/>
      <c r="G1" s="221"/>
      <c r="H1" s="221"/>
    </row>
    <row r="2" spans="1:8" s="9" customFormat="1" ht="25.05" customHeight="1">
      <c r="A2" s="440" t="s">
        <v>207</v>
      </c>
      <c r="B2" s="440"/>
      <c r="C2" s="440"/>
      <c r="D2" s="440"/>
      <c r="E2" s="222"/>
      <c r="F2" s="222"/>
      <c r="G2" s="222"/>
      <c r="H2" s="222"/>
    </row>
    <row r="3" spans="1:8" s="10" customFormat="1" ht="20.100000000000001" customHeight="1">
      <c r="A3" s="10" t="str">
        <f>底稿目录!A2</f>
        <v>被审计单位：</v>
      </c>
      <c r="B3" s="65" t="str">
        <f>底稿目录!A4</f>
        <v>编制人：</v>
      </c>
      <c r="C3" s="106" t="str">
        <f>底稿目录!A5</f>
        <v>编制日期：</v>
      </c>
      <c r="D3" s="10" t="s">
        <v>29</v>
      </c>
      <c r="F3" s="106"/>
    </row>
    <row r="4" spans="1:8" s="10" customFormat="1" ht="20.100000000000001" customHeight="1">
      <c r="A4" s="10" t="str">
        <f>底稿目录!A3</f>
        <v>截止日：202X年12月31日</v>
      </c>
      <c r="B4" s="65" t="str">
        <f>底稿目录!A6</f>
        <v>复核人：</v>
      </c>
      <c r="C4" s="106" t="str">
        <f>底稿目录!A7</f>
        <v>复核日期：</v>
      </c>
      <c r="D4" s="10" t="s">
        <v>28</v>
      </c>
      <c r="F4" s="106"/>
    </row>
    <row r="5" spans="1:8" s="14" customFormat="1" ht="20.100000000000001" customHeight="1">
      <c r="A5" s="75" t="s">
        <v>229</v>
      </c>
    </row>
    <row r="6" spans="1:8" s="14" customFormat="1" ht="20.100000000000001" customHeight="1">
      <c r="A6" s="75" t="s">
        <v>230</v>
      </c>
      <c r="D6" s="10"/>
      <c r="E6" s="10"/>
      <c r="F6" s="10"/>
      <c r="G6" s="10"/>
      <c r="H6" s="10"/>
    </row>
    <row r="7" spans="1:8" s="14" customFormat="1" ht="20.100000000000001" customHeight="1" thickBot="1">
      <c r="A7" s="69" t="s">
        <v>209</v>
      </c>
      <c r="D7" s="10"/>
      <c r="E7" s="10"/>
      <c r="F7" s="10"/>
      <c r="G7" s="10"/>
      <c r="H7" s="10"/>
    </row>
    <row r="8" spans="1:8" s="14" customFormat="1" ht="20.100000000000001" customHeight="1" thickBot="1">
      <c r="A8" s="70" t="s">
        <v>231</v>
      </c>
      <c r="B8" s="77" t="s">
        <v>224</v>
      </c>
      <c r="C8" s="78" t="s">
        <v>232</v>
      </c>
      <c r="D8" s="10"/>
      <c r="E8" s="10"/>
      <c r="F8" s="10"/>
      <c r="G8" s="10"/>
      <c r="H8" s="10"/>
    </row>
    <row r="9" spans="1:8" s="14" customFormat="1" ht="20.100000000000001" customHeight="1">
      <c r="A9" s="71" t="s">
        <v>214</v>
      </c>
      <c r="B9" s="141">
        <f>SUMIF('明细表L1-2'!B:B,A9,'明细表L1-2'!U:U)</f>
        <v>0</v>
      </c>
      <c r="C9" s="141">
        <f>SUMIF('明细表L1-2'!B:B,A9,'明细表L1-2'!R:R)</f>
        <v>0</v>
      </c>
      <c r="D9" s="10"/>
      <c r="E9" s="10"/>
      <c r="F9" s="10"/>
      <c r="G9" s="10"/>
      <c r="H9" s="10"/>
    </row>
    <row r="10" spans="1:8" s="14" customFormat="1" ht="20.100000000000001" customHeight="1">
      <c r="A10" s="71" t="s">
        <v>215</v>
      </c>
      <c r="B10" s="141">
        <f>SUMIF('明细表L1-2'!B:B,A10,'明细表L1-2'!U:U)</f>
        <v>0</v>
      </c>
      <c r="C10" s="141">
        <f>SUMIF('明细表L1-2'!B:B,A10,'明细表L1-2'!R:R)</f>
        <v>0</v>
      </c>
      <c r="D10" s="10"/>
      <c r="E10" s="10"/>
      <c r="F10" s="10"/>
      <c r="G10" s="10"/>
      <c r="H10" s="10"/>
    </row>
    <row r="11" spans="1:8" s="14" customFormat="1" ht="20.100000000000001" customHeight="1">
      <c r="A11" s="71" t="s">
        <v>216</v>
      </c>
      <c r="B11" s="141">
        <f>SUMIF('明细表L1-2'!B:B,A11,'明细表L1-2'!U:U)</f>
        <v>0</v>
      </c>
      <c r="C11" s="141">
        <f>SUMIF('明细表L1-2'!B:B,A11,'明细表L1-2'!R:R)</f>
        <v>0</v>
      </c>
      <c r="D11" s="10"/>
      <c r="E11" s="10"/>
      <c r="F11" s="10"/>
      <c r="G11" s="10"/>
      <c r="H11" s="10"/>
    </row>
    <row r="12" spans="1:8" s="14" customFormat="1" ht="20.100000000000001" customHeight="1" thickBot="1">
      <c r="A12" s="72" t="s">
        <v>213</v>
      </c>
      <c r="B12" s="74">
        <f>SUMIF('明细表L1-2'!B:B,A12,'明细表L1-2'!U:U)</f>
        <v>0</v>
      </c>
      <c r="C12" s="74">
        <f>SUMIF('明细表L1-2'!B:B,A12,'明细表L1-2'!R:R)</f>
        <v>0</v>
      </c>
      <c r="D12" s="10"/>
      <c r="E12" s="10"/>
      <c r="F12" s="10"/>
      <c r="G12" s="10"/>
      <c r="H12" s="10"/>
    </row>
    <row r="13" spans="1:8" s="14" customFormat="1" ht="20.100000000000001" customHeight="1" thickBot="1">
      <c r="A13" s="73" t="s">
        <v>217</v>
      </c>
      <c r="B13" s="74">
        <f>SUM(B9:B12)</f>
        <v>0</v>
      </c>
      <c r="C13" s="74">
        <f>SUM(C9:C12)</f>
        <v>0</v>
      </c>
      <c r="D13" s="65"/>
      <c r="E13" s="65"/>
      <c r="F13" s="10"/>
      <c r="G13" s="10"/>
      <c r="H13" s="10"/>
    </row>
    <row r="14" spans="1:8">
      <c r="A14" s="37"/>
      <c r="B14" s="38"/>
      <c r="C14" s="38"/>
      <c r="D14" s="38"/>
      <c r="E14" s="38"/>
      <c r="F14" s="36"/>
    </row>
    <row r="15" spans="1:8" ht="32.4" thickBot="1">
      <c r="A15" s="69" t="s">
        <v>71</v>
      </c>
      <c r="B15" s="36"/>
      <c r="C15" s="36"/>
      <c r="D15" s="36"/>
      <c r="E15" s="36"/>
      <c r="F15" s="36"/>
    </row>
    <row r="16" spans="1:8" s="14" customFormat="1" ht="20.100000000000001" customHeight="1" thickBot="1">
      <c r="A16" s="70" t="s">
        <v>233</v>
      </c>
      <c r="B16" s="77" t="s">
        <v>224</v>
      </c>
      <c r="C16" s="77" t="s">
        <v>225</v>
      </c>
    </row>
    <row r="17" spans="1:6" s="14" customFormat="1" ht="20.100000000000001" customHeight="1">
      <c r="A17" s="122" t="str">
        <f>IF('逾期贷款检查表L1-7'!J11,'逾期贷款检查表L1-7'!B11,"")</f>
        <v/>
      </c>
      <c r="B17" s="103" t="str">
        <f>IF('逾期贷款检查表L1-7'!J11,'逾期贷款检查表L1-7'!E11,"")</f>
        <v/>
      </c>
      <c r="C17" s="79" t="str">
        <f>IF('逾期贷款检查表L1-7'!J11&gt;0,'逾期贷款检查表L1-7'!F11,"")</f>
        <v/>
      </c>
    </row>
    <row r="18" spans="1:6" s="14" customFormat="1" ht="20.100000000000001" customHeight="1">
      <c r="A18" s="122" t="str">
        <f>IF('逾期贷款检查表L1-7'!J12,'逾期贷款检查表L1-7'!B12,"")</f>
        <v/>
      </c>
      <c r="B18" s="103" t="str">
        <f>IF('逾期贷款检查表L1-7'!J12,'逾期贷款检查表L1-7'!E12,"")</f>
        <v/>
      </c>
      <c r="C18" s="79" t="str">
        <f>IF('逾期贷款检查表L1-7'!J12&gt;0,'逾期贷款检查表L1-7'!F12,"")</f>
        <v/>
      </c>
    </row>
    <row r="19" spans="1:6" s="14" customFormat="1" ht="20.100000000000001" customHeight="1">
      <c r="A19" s="122" t="str">
        <f>IF('逾期贷款检查表L1-7'!J13,'逾期贷款检查表L1-7'!B13,"")</f>
        <v/>
      </c>
      <c r="B19" s="103" t="str">
        <f>IF('逾期贷款检查表L1-7'!J13,'逾期贷款检查表L1-7'!E13,"")</f>
        <v/>
      </c>
      <c r="C19" s="79" t="str">
        <f>IF('逾期贷款检查表L1-7'!J13&gt;0,'逾期贷款检查表L1-7'!F13,"")</f>
        <v/>
      </c>
    </row>
    <row r="20" spans="1:6" s="14" customFormat="1" ht="20.100000000000001" customHeight="1">
      <c r="A20" s="122" t="str">
        <f>IF('逾期贷款检查表L1-7'!J14,'逾期贷款检查表L1-7'!B14,"")</f>
        <v/>
      </c>
      <c r="B20" s="103" t="str">
        <f>IF('逾期贷款检查表L1-7'!J14,'逾期贷款检查表L1-7'!E14,"")</f>
        <v/>
      </c>
      <c r="C20" s="79" t="str">
        <f>IF('逾期贷款检查表L1-7'!J14&gt;0,'逾期贷款检查表L1-7'!F14,"")</f>
        <v/>
      </c>
    </row>
    <row r="21" spans="1:6" s="14" customFormat="1" ht="20.100000000000001" customHeight="1" thickBot="1">
      <c r="A21" s="80" t="s">
        <v>228</v>
      </c>
      <c r="B21" s="74">
        <f>SUM(B17:B20)</f>
        <v>0</v>
      </c>
      <c r="C21" s="81" t="s">
        <v>14</v>
      </c>
    </row>
    <row r="22" spans="1:6" ht="16.2">
      <c r="A22" s="13" t="s">
        <v>72</v>
      </c>
    </row>
    <row r="23" spans="1:6" ht="16.2">
      <c r="A23" s="140" t="s">
        <v>73</v>
      </c>
      <c r="B23" s="140"/>
      <c r="C23" s="140"/>
      <c r="D23" s="140"/>
      <c r="E23" s="140"/>
      <c r="F23" s="140"/>
    </row>
    <row r="24" spans="1:6" ht="16.2">
      <c r="A24" s="140" t="s">
        <v>74</v>
      </c>
      <c r="B24" s="140"/>
      <c r="C24" s="140"/>
      <c r="D24" s="140"/>
      <c r="E24" s="140"/>
      <c r="F24" s="140"/>
    </row>
  </sheetData>
  <mergeCells count="2">
    <mergeCell ref="A1:D1"/>
    <mergeCell ref="A2:D2"/>
  </mergeCells>
  <phoneticPr fontId="14" type="noConversion"/>
  <pageMargins left="0.70866141732283472" right="0.70866141732283472" top="0.74803149606299213" bottom="0.74803149606299213" header="0.31496062992125984" footer="0.31496062992125984"/>
  <pageSetup paperSize="9" fitToHeight="0" orientation="portrait"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D49"/>
  <sheetViews>
    <sheetView tabSelected="1" view="pageBreakPreview" zoomScaleSheetLayoutView="100" workbookViewId="0">
      <selection activeCell="U26" sqref="U26"/>
    </sheetView>
  </sheetViews>
  <sheetFormatPr defaultColWidth="9" defaultRowHeight="19.95" customHeight="1"/>
  <cols>
    <col min="1" max="1" width="4.59765625" style="13" customWidth="1"/>
    <col min="2" max="2" width="8" style="13" customWidth="1"/>
    <col min="3" max="3" width="23.59765625" style="13" customWidth="1"/>
    <col min="4" max="5" width="8.5" style="13" bestFit="1" customWidth="1"/>
    <col min="6" max="6" width="8" style="13" bestFit="1" customWidth="1"/>
    <col min="7" max="7" width="8" style="13" customWidth="1"/>
    <col min="8" max="8" width="11" style="13" customWidth="1"/>
    <col min="9" max="9" width="10.5" style="13" customWidth="1"/>
    <col min="10" max="10" width="10.296875" style="13" customWidth="1"/>
    <col min="11" max="11" width="11.09765625" style="13" customWidth="1"/>
    <col min="12" max="13" width="10.796875" style="13" customWidth="1"/>
    <col min="14" max="17" width="10.5" style="13" customWidth="1"/>
    <col min="18" max="21" width="11" style="13" customWidth="1"/>
    <col min="22" max="22" width="11" style="166" customWidth="1"/>
    <col min="23" max="23" width="11.09765625" style="13" customWidth="1"/>
    <col min="24" max="24" width="9.5" style="13" customWidth="1"/>
    <col min="25" max="25" width="9.296875" style="13" customWidth="1"/>
    <col min="26" max="26" width="8.09765625" style="13" customWidth="1"/>
    <col min="27" max="27" width="7.296875" style="13" customWidth="1"/>
    <col min="28" max="28" width="5" style="13" bestFit="1" customWidth="1"/>
    <col min="29" max="16384" width="9" style="13"/>
  </cols>
  <sheetData>
    <row r="1" spans="1:30" s="9" customFormat="1" ht="19.95" customHeight="1">
      <c r="A1" s="439" t="s">
        <v>99</v>
      </c>
      <c r="B1" s="439"/>
      <c r="C1" s="439"/>
      <c r="D1" s="439"/>
      <c r="E1" s="439"/>
      <c r="F1" s="439"/>
      <c r="G1" s="439"/>
      <c r="H1" s="439"/>
      <c r="I1" s="439"/>
      <c r="J1" s="439"/>
      <c r="K1" s="439"/>
      <c r="L1" s="439"/>
      <c r="M1" s="439"/>
      <c r="N1" s="439"/>
      <c r="O1" s="439"/>
      <c r="P1" s="439" t="s">
        <v>99</v>
      </c>
      <c r="Q1" s="439"/>
      <c r="R1" s="439"/>
      <c r="S1" s="439"/>
      <c r="T1" s="439"/>
      <c r="U1" s="439"/>
      <c r="V1" s="439"/>
      <c r="W1" s="439"/>
      <c r="X1" s="439"/>
      <c r="Y1" s="221"/>
      <c r="Z1" s="221"/>
      <c r="AA1" s="221"/>
      <c r="AB1" s="221"/>
      <c r="AC1" s="221"/>
      <c r="AD1" s="221"/>
    </row>
    <row r="2" spans="1:30" s="9" customFormat="1" ht="19.95" customHeight="1">
      <c r="A2" s="440" t="s">
        <v>183</v>
      </c>
      <c r="B2" s="440"/>
      <c r="C2" s="440"/>
      <c r="D2" s="440"/>
      <c r="E2" s="440"/>
      <c r="F2" s="440"/>
      <c r="G2" s="440"/>
      <c r="H2" s="440"/>
      <c r="I2" s="440"/>
      <c r="J2" s="440"/>
      <c r="K2" s="440"/>
      <c r="L2" s="440"/>
      <c r="M2" s="440"/>
      <c r="N2" s="440"/>
      <c r="O2" s="440"/>
      <c r="P2" s="440" t="s">
        <v>183</v>
      </c>
      <c r="Q2" s="440"/>
      <c r="R2" s="440"/>
      <c r="S2" s="440"/>
      <c r="T2" s="440"/>
      <c r="U2" s="440"/>
      <c r="V2" s="440"/>
      <c r="W2" s="440"/>
      <c r="X2" s="440"/>
      <c r="Y2" s="222"/>
      <c r="Z2" s="222"/>
      <c r="AA2" s="222"/>
      <c r="AB2" s="222"/>
      <c r="AC2" s="222"/>
      <c r="AD2" s="222"/>
    </row>
    <row r="3" spans="1:30" s="10" customFormat="1" ht="19.95" customHeight="1">
      <c r="A3" s="10" t="str">
        <f>底稿目录!A2</f>
        <v>被审计单位：</v>
      </c>
      <c r="B3" s="65"/>
      <c r="D3" s="65" t="str">
        <f>底稿目录!A4</f>
        <v>编制人：</v>
      </c>
      <c r="J3" s="3"/>
      <c r="K3" s="10" t="str">
        <f>底稿目录!A5</f>
        <v>编制日期：</v>
      </c>
      <c r="N3" s="193" t="s">
        <v>29</v>
      </c>
      <c r="O3" s="389" t="str">
        <f>底稿目录!F8</f>
        <v>L1-2</v>
      </c>
      <c r="Q3" s="65" t="str">
        <f>D3</f>
        <v>编制人：</v>
      </c>
      <c r="S3" s="3"/>
      <c r="T3" s="3"/>
      <c r="U3" s="3"/>
      <c r="V3" s="167" t="str">
        <f>K3</f>
        <v>编制日期：</v>
      </c>
      <c r="AA3" s="193" t="s">
        <v>29</v>
      </c>
      <c r="AB3" s="389" t="str">
        <f>底稿目录!F8</f>
        <v>L1-2</v>
      </c>
    </row>
    <row r="4" spans="1:30" s="10" customFormat="1" ht="19.95" customHeight="1">
      <c r="A4" s="10" t="str">
        <f>底稿目录!A3</f>
        <v>截止日：202X年12月31日</v>
      </c>
      <c r="B4" s="65"/>
      <c r="D4" s="65" t="str">
        <f>底稿目录!A6</f>
        <v>复核人：</v>
      </c>
      <c r="J4" s="3"/>
      <c r="K4" s="10" t="str">
        <f>底稿目录!A7</f>
        <v>复核日期：</v>
      </c>
      <c r="N4" s="193" t="s">
        <v>28</v>
      </c>
      <c r="Q4" s="65" t="str">
        <f>D4</f>
        <v>复核人：</v>
      </c>
      <c r="S4" s="3"/>
      <c r="T4" s="3"/>
      <c r="U4" s="3"/>
      <c r="V4" s="167" t="str">
        <f>K4</f>
        <v>复核日期：</v>
      </c>
      <c r="AA4" s="193" t="s">
        <v>28</v>
      </c>
    </row>
    <row r="5" spans="1:30" s="10" customFormat="1" ht="19.95" customHeight="1">
      <c r="A5" s="39" t="s">
        <v>16</v>
      </c>
      <c r="B5" s="40"/>
      <c r="K5" s="193"/>
      <c r="T5" s="3"/>
      <c r="U5" s="3"/>
      <c r="V5" s="167"/>
      <c r="Z5" s="193"/>
      <c r="AA5" s="193"/>
    </row>
    <row r="6" spans="1:30" s="10" customFormat="1" ht="31.5" customHeight="1">
      <c r="B6" s="40"/>
      <c r="D6" s="442" t="s">
        <v>296</v>
      </c>
      <c r="E6" s="442"/>
      <c r="F6" s="442"/>
      <c r="G6" s="442"/>
      <c r="H6" s="442"/>
      <c r="I6" s="442"/>
      <c r="J6" s="442"/>
      <c r="K6" s="442"/>
      <c r="L6" s="442"/>
      <c r="M6" s="442"/>
      <c r="N6" s="442"/>
      <c r="O6" s="442"/>
      <c r="P6" s="442" t="s">
        <v>296</v>
      </c>
      <c r="Q6" s="442"/>
      <c r="R6" s="442"/>
      <c r="S6" s="442"/>
      <c r="T6" s="442"/>
      <c r="U6" s="442"/>
      <c r="V6" s="442"/>
      <c r="W6" s="442"/>
      <c r="X6" s="442"/>
      <c r="Y6" s="442"/>
      <c r="Z6" s="442"/>
      <c r="AA6" s="442"/>
    </row>
    <row r="7" spans="1:30" s="10" customFormat="1" ht="19.95" customHeight="1">
      <c r="A7" s="42" t="s">
        <v>17</v>
      </c>
      <c r="B7" s="43"/>
      <c r="C7" s="65"/>
      <c r="D7" s="3"/>
      <c r="E7" s="3"/>
      <c r="F7" s="3"/>
      <c r="G7" s="3"/>
      <c r="I7" s="3"/>
      <c r="J7" s="3"/>
      <c r="K7" s="60"/>
      <c r="N7" s="3"/>
      <c r="P7" s="230"/>
      <c r="Q7" s="230"/>
      <c r="S7" s="3"/>
      <c r="T7" s="3"/>
      <c r="U7" s="3"/>
      <c r="V7" s="167"/>
      <c r="Z7" s="193"/>
      <c r="AA7" s="193"/>
    </row>
    <row r="8" spans="1:30" s="1" customFormat="1" ht="19.95" customHeight="1">
      <c r="A8" s="444" t="s">
        <v>67</v>
      </c>
      <c r="B8" s="444" t="s">
        <v>66</v>
      </c>
      <c r="C8" s="444" t="s">
        <v>68</v>
      </c>
      <c r="D8" s="444" t="s">
        <v>8</v>
      </c>
      <c r="E8" s="444" t="s">
        <v>9</v>
      </c>
      <c r="F8" s="444" t="s">
        <v>2</v>
      </c>
      <c r="G8" s="444" t="s">
        <v>69</v>
      </c>
      <c r="H8" s="446" t="s">
        <v>21</v>
      </c>
      <c r="I8" s="447"/>
      <c r="J8" s="447"/>
      <c r="K8" s="448"/>
      <c r="L8" s="446" t="s">
        <v>18</v>
      </c>
      <c r="M8" s="448"/>
      <c r="N8" s="449" t="s">
        <v>19</v>
      </c>
      <c r="O8" s="449"/>
      <c r="P8" s="449" t="s">
        <v>247</v>
      </c>
      <c r="Q8" s="449"/>
      <c r="R8" s="446" t="s">
        <v>22</v>
      </c>
      <c r="S8" s="447"/>
      <c r="T8" s="447"/>
      <c r="U8" s="448"/>
      <c r="V8" s="443" t="s">
        <v>285</v>
      </c>
      <c r="W8" s="443" t="s">
        <v>78</v>
      </c>
      <c r="X8" s="443" t="s">
        <v>10</v>
      </c>
      <c r="Y8" s="443" t="s">
        <v>286</v>
      </c>
      <c r="Z8" s="443" t="s">
        <v>13</v>
      </c>
      <c r="AA8" s="443" t="s">
        <v>287</v>
      </c>
      <c r="AB8" s="443" t="s">
        <v>12</v>
      </c>
      <c r="AC8" s="283"/>
    </row>
    <row r="9" spans="1:30" s="261" customFormat="1" ht="19.95" customHeight="1">
      <c r="A9" s="445"/>
      <c r="B9" s="445"/>
      <c r="C9" s="445"/>
      <c r="D9" s="445"/>
      <c r="E9" s="445"/>
      <c r="F9" s="445"/>
      <c r="G9" s="445"/>
      <c r="H9" s="253" t="s">
        <v>3</v>
      </c>
      <c r="I9" s="253" t="s">
        <v>4</v>
      </c>
      <c r="J9" s="253" t="s">
        <v>236</v>
      </c>
      <c r="K9" s="253" t="s">
        <v>5</v>
      </c>
      <c r="L9" s="256" t="s">
        <v>20</v>
      </c>
      <c r="M9" s="284" t="s">
        <v>248</v>
      </c>
      <c r="N9" s="256" t="s">
        <v>4</v>
      </c>
      <c r="O9" s="256" t="s">
        <v>236</v>
      </c>
      <c r="P9" s="256" t="s">
        <v>4</v>
      </c>
      <c r="Q9" s="256" t="s">
        <v>236</v>
      </c>
      <c r="R9" s="256" t="s">
        <v>184</v>
      </c>
      <c r="S9" s="256" t="s">
        <v>185</v>
      </c>
      <c r="T9" s="256" t="s">
        <v>236</v>
      </c>
      <c r="U9" s="256" t="s">
        <v>186</v>
      </c>
      <c r="V9" s="443"/>
      <c r="W9" s="443"/>
      <c r="X9" s="443"/>
      <c r="Y9" s="443"/>
      <c r="Z9" s="443"/>
      <c r="AA9" s="443"/>
      <c r="AB9" s="443"/>
      <c r="AC9" s="285"/>
    </row>
    <row r="10" spans="1:30" s="11" customFormat="1" ht="19.95" customHeight="1">
      <c r="A10" s="189">
        <v>1</v>
      </c>
      <c r="B10" s="403"/>
      <c r="C10" s="33"/>
      <c r="D10" s="116"/>
      <c r="E10" s="116"/>
      <c r="F10" s="19"/>
      <c r="G10" s="19"/>
      <c r="H10" s="17"/>
      <c r="I10" s="17"/>
      <c r="J10" s="17"/>
      <c r="K10" s="147">
        <f>H10+I10-J10</f>
        <v>0</v>
      </c>
      <c r="L10" s="17"/>
      <c r="M10" s="17"/>
      <c r="N10" s="17"/>
      <c r="O10" s="17"/>
      <c r="P10" s="17"/>
      <c r="Q10" s="17"/>
      <c r="R10" s="148">
        <f>H10+L10+M10</f>
        <v>0</v>
      </c>
      <c r="S10" s="148">
        <f>I10+N10+P10</f>
        <v>0</v>
      </c>
      <c r="T10" s="148">
        <f>J10+O10+Q10</f>
        <v>0</v>
      </c>
      <c r="U10" s="148">
        <f>R10+S10-T10</f>
        <v>0</v>
      </c>
      <c r="V10" s="287"/>
      <c r="W10" s="288"/>
      <c r="X10" s="288"/>
      <c r="Y10" s="286"/>
      <c r="Z10" s="288"/>
      <c r="AA10" s="288"/>
      <c r="AB10" s="291"/>
    </row>
    <row r="11" spans="1:30" s="11" customFormat="1" ht="19.95" customHeight="1">
      <c r="A11" s="189">
        <v>2</v>
      </c>
      <c r="B11" s="403"/>
      <c r="C11" s="262"/>
      <c r="D11" s="116"/>
      <c r="E11" s="116"/>
      <c r="F11" s="19"/>
      <c r="G11" s="19"/>
      <c r="H11" s="17"/>
      <c r="I11" s="17"/>
      <c r="J11" s="17"/>
      <c r="K11" s="147">
        <f t="shared" ref="K11:K12" si="0">H11+I11-J11</f>
        <v>0</v>
      </c>
      <c r="L11" s="17"/>
      <c r="M11" s="17"/>
      <c r="N11" s="17"/>
      <c r="O11" s="17"/>
      <c r="P11" s="17"/>
      <c r="Q11" s="17"/>
      <c r="R11" s="148">
        <f>H11+L11+M11</f>
        <v>0</v>
      </c>
      <c r="S11" s="148">
        <f t="shared" ref="S11:S25" si="1">I11+N11+P11</f>
        <v>0</v>
      </c>
      <c r="T11" s="148">
        <f t="shared" ref="T11:T25" si="2">J11+O11+Q11</f>
        <v>0</v>
      </c>
      <c r="U11" s="148">
        <f t="shared" ref="U11:U25" si="3">R11+S11-T11</f>
        <v>0</v>
      </c>
      <c r="V11" s="289"/>
      <c r="W11" s="288"/>
      <c r="X11" s="288"/>
      <c r="Y11" s="286"/>
      <c r="Z11" s="288"/>
      <c r="AA11" s="288"/>
      <c r="AB11" s="291"/>
    </row>
    <row r="12" spans="1:30" s="11" customFormat="1" ht="19.95" customHeight="1">
      <c r="A12" s="189">
        <v>3</v>
      </c>
      <c r="B12" s="403"/>
      <c r="C12" s="33"/>
      <c r="D12" s="297"/>
      <c r="E12" s="116"/>
      <c r="F12" s="19"/>
      <c r="G12" s="19"/>
      <c r="H12" s="17"/>
      <c r="I12" s="17"/>
      <c r="J12" s="17"/>
      <c r="K12" s="147">
        <f t="shared" si="0"/>
        <v>0</v>
      </c>
      <c r="L12" s="17"/>
      <c r="M12" s="17"/>
      <c r="N12" s="17"/>
      <c r="O12" s="17"/>
      <c r="P12" s="17"/>
      <c r="Q12" s="17"/>
      <c r="R12" s="148">
        <f t="shared" ref="R12:R25" si="4">H12+L12+M12</f>
        <v>0</v>
      </c>
      <c r="S12" s="148">
        <f t="shared" si="1"/>
        <v>0</v>
      </c>
      <c r="T12" s="148">
        <f t="shared" si="2"/>
        <v>0</v>
      </c>
      <c r="U12" s="148">
        <f t="shared" si="3"/>
        <v>0</v>
      </c>
      <c r="V12" s="287"/>
      <c r="W12" s="288"/>
      <c r="X12" s="288"/>
      <c r="Y12" s="286"/>
      <c r="Z12" s="288"/>
      <c r="AA12" s="288"/>
      <c r="AB12" s="291"/>
    </row>
    <row r="13" spans="1:30" s="11" customFormat="1" ht="19.95" customHeight="1">
      <c r="A13" s="189">
        <v>4</v>
      </c>
      <c r="B13" s="403"/>
      <c r="C13" s="33"/>
      <c r="D13" s="116"/>
      <c r="E13" s="116"/>
      <c r="F13" s="19"/>
      <c r="G13" s="19"/>
      <c r="H13" s="17"/>
      <c r="I13" s="17"/>
      <c r="J13" s="17"/>
      <c r="K13" s="147">
        <f>H13+I13-J13</f>
        <v>0</v>
      </c>
      <c r="L13" s="17"/>
      <c r="M13" s="17"/>
      <c r="N13" s="17"/>
      <c r="O13" s="17"/>
      <c r="P13" s="17"/>
      <c r="Q13" s="17"/>
      <c r="R13" s="148">
        <f t="shared" si="4"/>
        <v>0</v>
      </c>
      <c r="S13" s="148">
        <f t="shared" si="1"/>
        <v>0</v>
      </c>
      <c r="T13" s="148">
        <f t="shared" si="2"/>
        <v>0</v>
      </c>
      <c r="U13" s="148">
        <f t="shared" si="3"/>
        <v>0</v>
      </c>
      <c r="V13" s="287"/>
      <c r="W13" s="288"/>
      <c r="X13" s="288"/>
      <c r="Y13" s="286"/>
      <c r="Z13" s="288"/>
      <c r="AA13" s="288"/>
      <c r="AB13" s="291"/>
    </row>
    <row r="14" spans="1:30" s="11" customFormat="1" ht="19.95" customHeight="1">
      <c r="A14" s="189">
        <v>5</v>
      </c>
      <c r="B14" s="403"/>
      <c r="C14" s="33"/>
      <c r="D14" s="116"/>
      <c r="E14" s="116"/>
      <c r="F14" s="19"/>
      <c r="G14" s="19"/>
      <c r="H14" s="17"/>
      <c r="I14" s="17"/>
      <c r="J14" s="17"/>
      <c r="K14" s="147">
        <f t="shared" ref="K14:K22" si="5">H14+I14-J14</f>
        <v>0</v>
      </c>
      <c r="L14" s="17"/>
      <c r="M14" s="17"/>
      <c r="N14" s="17"/>
      <c r="O14" s="17"/>
      <c r="P14" s="17"/>
      <c r="Q14" s="17"/>
      <c r="R14" s="148">
        <f t="shared" si="4"/>
        <v>0</v>
      </c>
      <c r="S14" s="148">
        <f t="shared" si="1"/>
        <v>0</v>
      </c>
      <c r="T14" s="148">
        <f t="shared" si="2"/>
        <v>0</v>
      </c>
      <c r="U14" s="148">
        <f t="shared" si="3"/>
        <v>0</v>
      </c>
      <c r="V14" s="287"/>
      <c r="W14" s="288"/>
      <c r="X14" s="288"/>
      <c r="Y14" s="286"/>
      <c r="Z14" s="288"/>
      <c r="AA14" s="288"/>
      <c r="AB14" s="291"/>
    </row>
    <row r="15" spans="1:30" s="11" customFormat="1" ht="19.95" customHeight="1">
      <c r="A15" s="189">
        <v>6</v>
      </c>
      <c r="B15" s="403"/>
      <c r="C15" s="33"/>
      <c r="D15" s="116"/>
      <c r="E15" s="116"/>
      <c r="F15" s="19"/>
      <c r="G15" s="19"/>
      <c r="H15" s="17"/>
      <c r="I15" s="17"/>
      <c r="J15" s="17"/>
      <c r="K15" s="147">
        <f t="shared" si="5"/>
        <v>0</v>
      </c>
      <c r="L15" s="17"/>
      <c r="M15" s="17"/>
      <c r="N15" s="17"/>
      <c r="O15" s="17"/>
      <c r="P15" s="17"/>
      <c r="Q15" s="17"/>
      <c r="R15" s="148">
        <f t="shared" si="4"/>
        <v>0</v>
      </c>
      <c r="S15" s="148">
        <f t="shared" si="1"/>
        <v>0</v>
      </c>
      <c r="T15" s="148">
        <f t="shared" si="2"/>
        <v>0</v>
      </c>
      <c r="U15" s="148">
        <f t="shared" si="3"/>
        <v>0</v>
      </c>
      <c r="V15" s="287"/>
      <c r="W15" s="288"/>
      <c r="X15" s="288"/>
      <c r="Y15" s="286"/>
      <c r="Z15" s="288"/>
      <c r="AA15" s="288"/>
      <c r="AB15" s="291"/>
    </row>
    <row r="16" spans="1:30" s="11" customFormat="1" ht="19.95" customHeight="1">
      <c r="A16" s="189">
        <v>7</v>
      </c>
      <c r="B16" s="403"/>
      <c r="C16" s="33"/>
      <c r="D16" s="116"/>
      <c r="E16" s="116"/>
      <c r="F16" s="19"/>
      <c r="G16" s="19"/>
      <c r="H16" s="17"/>
      <c r="I16" s="17"/>
      <c r="J16" s="17"/>
      <c r="K16" s="147">
        <f t="shared" si="5"/>
        <v>0</v>
      </c>
      <c r="L16" s="17"/>
      <c r="M16" s="17"/>
      <c r="N16" s="17"/>
      <c r="O16" s="17"/>
      <c r="P16" s="17"/>
      <c r="Q16" s="17"/>
      <c r="R16" s="148">
        <f t="shared" si="4"/>
        <v>0</v>
      </c>
      <c r="S16" s="148">
        <f t="shared" si="1"/>
        <v>0</v>
      </c>
      <c r="T16" s="148">
        <f t="shared" si="2"/>
        <v>0</v>
      </c>
      <c r="U16" s="148">
        <f t="shared" si="3"/>
        <v>0</v>
      </c>
      <c r="V16" s="287"/>
      <c r="W16" s="288"/>
      <c r="X16" s="288"/>
      <c r="Y16" s="286"/>
      <c r="Z16" s="288"/>
      <c r="AA16" s="288"/>
      <c r="AB16" s="291"/>
    </row>
    <row r="17" spans="1:28" s="11" customFormat="1" ht="19.95" customHeight="1">
      <c r="A17" s="189">
        <v>8</v>
      </c>
      <c r="B17" s="403"/>
      <c r="C17" s="33"/>
      <c r="D17" s="116"/>
      <c r="E17" s="116"/>
      <c r="F17" s="19"/>
      <c r="G17" s="19"/>
      <c r="H17" s="17"/>
      <c r="I17" s="17"/>
      <c r="J17" s="17"/>
      <c r="K17" s="147">
        <f t="shared" si="5"/>
        <v>0</v>
      </c>
      <c r="L17" s="17"/>
      <c r="M17" s="17"/>
      <c r="N17" s="17"/>
      <c r="O17" s="17"/>
      <c r="P17" s="17"/>
      <c r="Q17" s="17"/>
      <c r="R17" s="148">
        <f t="shared" si="4"/>
        <v>0</v>
      </c>
      <c r="S17" s="148">
        <f t="shared" si="1"/>
        <v>0</v>
      </c>
      <c r="T17" s="148">
        <f t="shared" si="2"/>
        <v>0</v>
      </c>
      <c r="U17" s="148">
        <f t="shared" si="3"/>
        <v>0</v>
      </c>
      <c r="V17" s="287"/>
      <c r="W17" s="288"/>
      <c r="X17" s="288"/>
      <c r="Y17" s="286"/>
      <c r="Z17" s="288"/>
      <c r="AA17" s="288"/>
      <c r="AB17" s="291"/>
    </row>
    <row r="18" spans="1:28" s="11" customFormat="1" ht="19.95" customHeight="1">
      <c r="A18" s="189">
        <v>9</v>
      </c>
      <c r="B18" s="403"/>
      <c r="C18" s="33"/>
      <c r="D18" s="298"/>
      <c r="E18" s="298"/>
      <c r="F18" s="18"/>
      <c r="G18" s="18"/>
      <c r="H18" s="17"/>
      <c r="I18" s="17"/>
      <c r="J18" s="17"/>
      <c r="K18" s="147">
        <f t="shared" si="5"/>
        <v>0</v>
      </c>
      <c r="L18" s="17"/>
      <c r="M18" s="17"/>
      <c r="N18" s="17"/>
      <c r="O18" s="17"/>
      <c r="P18" s="17"/>
      <c r="Q18" s="17"/>
      <c r="R18" s="148">
        <f t="shared" si="4"/>
        <v>0</v>
      </c>
      <c r="S18" s="148">
        <f t="shared" si="1"/>
        <v>0</v>
      </c>
      <c r="T18" s="148">
        <f t="shared" si="2"/>
        <v>0</v>
      </c>
      <c r="U18" s="148">
        <f t="shared" si="3"/>
        <v>0</v>
      </c>
      <c r="V18" s="287"/>
      <c r="W18" s="290"/>
      <c r="X18" s="290"/>
      <c r="Y18" s="286"/>
      <c r="Z18" s="290"/>
      <c r="AA18" s="290"/>
      <c r="AB18" s="292"/>
    </row>
    <row r="19" spans="1:28" s="11" customFormat="1" ht="19.95" customHeight="1">
      <c r="A19" s="189">
        <v>10</v>
      </c>
      <c r="B19" s="403"/>
      <c r="C19" s="33"/>
      <c r="D19" s="298"/>
      <c r="E19" s="298"/>
      <c r="F19" s="18"/>
      <c r="G19" s="18"/>
      <c r="H19" s="17"/>
      <c r="I19" s="17"/>
      <c r="J19" s="17"/>
      <c r="K19" s="147">
        <f t="shared" si="5"/>
        <v>0</v>
      </c>
      <c r="L19" s="17"/>
      <c r="M19" s="17"/>
      <c r="N19" s="17"/>
      <c r="O19" s="17"/>
      <c r="P19" s="17"/>
      <c r="Q19" s="17"/>
      <c r="R19" s="148">
        <f t="shared" si="4"/>
        <v>0</v>
      </c>
      <c r="S19" s="148">
        <f t="shared" si="1"/>
        <v>0</v>
      </c>
      <c r="T19" s="148">
        <f t="shared" si="2"/>
        <v>0</v>
      </c>
      <c r="U19" s="148">
        <f t="shared" si="3"/>
        <v>0</v>
      </c>
      <c r="V19" s="287"/>
      <c r="W19" s="290"/>
      <c r="X19" s="290"/>
      <c r="Y19" s="286"/>
      <c r="Z19" s="290"/>
      <c r="AA19" s="290"/>
      <c r="AB19" s="292"/>
    </row>
    <row r="20" spans="1:28" s="11" customFormat="1" ht="19.95" customHeight="1">
      <c r="A20" s="189">
        <v>11</v>
      </c>
      <c r="B20" s="403"/>
      <c r="C20" s="33"/>
      <c r="D20" s="116"/>
      <c r="E20" s="116"/>
      <c r="F20" s="19"/>
      <c r="G20" s="19"/>
      <c r="H20" s="17"/>
      <c r="I20" s="17"/>
      <c r="J20" s="17"/>
      <c r="K20" s="147">
        <f t="shared" si="5"/>
        <v>0</v>
      </c>
      <c r="L20" s="17"/>
      <c r="M20" s="17"/>
      <c r="N20" s="17"/>
      <c r="O20" s="17"/>
      <c r="P20" s="17"/>
      <c r="Q20" s="17"/>
      <c r="R20" s="148">
        <f t="shared" si="4"/>
        <v>0</v>
      </c>
      <c r="S20" s="148">
        <f t="shared" si="1"/>
        <v>0</v>
      </c>
      <c r="T20" s="148">
        <f t="shared" si="2"/>
        <v>0</v>
      </c>
      <c r="U20" s="148">
        <f t="shared" si="3"/>
        <v>0</v>
      </c>
      <c r="V20" s="287"/>
      <c r="W20" s="288"/>
      <c r="X20" s="288"/>
      <c r="Y20" s="286"/>
      <c r="Z20" s="288"/>
      <c r="AA20" s="288"/>
      <c r="AB20" s="291"/>
    </row>
    <row r="21" spans="1:28" s="11" customFormat="1" ht="19.95" customHeight="1">
      <c r="A21" s="189">
        <v>12</v>
      </c>
      <c r="B21" s="403"/>
      <c r="C21" s="33"/>
      <c r="D21" s="116"/>
      <c r="E21" s="116"/>
      <c r="F21" s="19"/>
      <c r="G21" s="19"/>
      <c r="H21" s="17"/>
      <c r="I21" s="17"/>
      <c r="J21" s="17"/>
      <c r="K21" s="147">
        <f t="shared" si="5"/>
        <v>0</v>
      </c>
      <c r="L21" s="17"/>
      <c r="M21" s="17"/>
      <c r="N21" s="17"/>
      <c r="O21" s="17"/>
      <c r="P21" s="17"/>
      <c r="Q21" s="17"/>
      <c r="R21" s="148">
        <f t="shared" si="4"/>
        <v>0</v>
      </c>
      <c r="S21" s="148">
        <f t="shared" si="1"/>
        <v>0</v>
      </c>
      <c r="T21" s="148">
        <f t="shared" si="2"/>
        <v>0</v>
      </c>
      <c r="U21" s="148">
        <f t="shared" si="3"/>
        <v>0</v>
      </c>
      <c r="V21" s="287"/>
      <c r="W21" s="288"/>
      <c r="X21" s="288"/>
      <c r="Y21" s="286"/>
      <c r="Z21" s="288"/>
      <c r="AA21" s="288"/>
      <c r="AB21" s="291"/>
    </row>
    <row r="22" spans="1:28" s="11" customFormat="1" ht="19.95" customHeight="1">
      <c r="A22" s="189">
        <v>13</v>
      </c>
      <c r="B22" s="403"/>
      <c r="C22" s="33"/>
      <c r="D22" s="116"/>
      <c r="E22" s="116"/>
      <c r="F22" s="19"/>
      <c r="G22" s="19"/>
      <c r="H22" s="17"/>
      <c r="I22" s="17"/>
      <c r="J22" s="17"/>
      <c r="K22" s="147">
        <f t="shared" si="5"/>
        <v>0</v>
      </c>
      <c r="L22" s="17"/>
      <c r="M22" s="17"/>
      <c r="N22" s="17"/>
      <c r="O22" s="17"/>
      <c r="P22" s="17"/>
      <c r="Q22" s="17"/>
      <c r="R22" s="148">
        <f t="shared" si="4"/>
        <v>0</v>
      </c>
      <c r="S22" s="148">
        <f t="shared" si="1"/>
        <v>0</v>
      </c>
      <c r="T22" s="148">
        <f t="shared" si="2"/>
        <v>0</v>
      </c>
      <c r="U22" s="148">
        <f t="shared" si="3"/>
        <v>0</v>
      </c>
      <c r="V22" s="287"/>
      <c r="W22" s="288"/>
      <c r="X22" s="288"/>
      <c r="Y22" s="286"/>
      <c r="Z22" s="288"/>
      <c r="AA22" s="288"/>
      <c r="AB22" s="291"/>
    </row>
    <row r="23" spans="1:28" s="11" customFormat="1" ht="19.95" customHeight="1">
      <c r="A23" s="189">
        <v>14</v>
      </c>
      <c r="B23" s="403"/>
      <c r="C23" s="33"/>
      <c r="D23" s="116"/>
      <c r="E23" s="116"/>
      <c r="F23" s="19"/>
      <c r="G23" s="19"/>
      <c r="H23" s="17"/>
      <c r="I23" s="17"/>
      <c r="J23" s="17"/>
      <c r="K23" s="147">
        <f t="shared" ref="K23:K24" si="6">H23+I23-J23</f>
        <v>0</v>
      </c>
      <c r="L23" s="17"/>
      <c r="M23" s="17"/>
      <c r="N23" s="17"/>
      <c r="O23" s="17"/>
      <c r="P23" s="17"/>
      <c r="Q23" s="17"/>
      <c r="R23" s="148">
        <f t="shared" si="4"/>
        <v>0</v>
      </c>
      <c r="S23" s="148">
        <f t="shared" si="1"/>
        <v>0</v>
      </c>
      <c r="T23" s="148">
        <f t="shared" si="2"/>
        <v>0</v>
      </c>
      <c r="U23" s="148">
        <f t="shared" si="3"/>
        <v>0</v>
      </c>
      <c r="V23" s="287"/>
      <c r="W23" s="288"/>
      <c r="X23" s="288"/>
      <c r="Y23" s="286"/>
      <c r="Z23" s="288"/>
      <c r="AA23" s="288"/>
      <c r="AB23" s="291"/>
    </row>
    <row r="24" spans="1:28" s="11" customFormat="1" ht="19.95" customHeight="1">
      <c r="A24" s="189">
        <v>15</v>
      </c>
      <c r="B24" s="403"/>
      <c r="C24" s="33"/>
      <c r="D24" s="116"/>
      <c r="E24" s="116"/>
      <c r="F24" s="19"/>
      <c r="G24" s="19"/>
      <c r="H24" s="17"/>
      <c r="I24" s="17"/>
      <c r="J24" s="17"/>
      <c r="K24" s="147">
        <f t="shared" si="6"/>
        <v>0</v>
      </c>
      <c r="L24" s="17"/>
      <c r="M24" s="17"/>
      <c r="N24" s="17"/>
      <c r="O24" s="17"/>
      <c r="P24" s="17"/>
      <c r="Q24" s="17"/>
      <c r="R24" s="148">
        <f t="shared" si="4"/>
        <v>0</v>
      </c>
      <c r="S24" s="148">
        <f t="shared" si="1"/>
        <v>0</v>
      </c>
      <c r="T24" s="148">
        <f t="shared" si="2"/>
        <v>0</v>
      </c>
      <c r="U24" s="148">
        <f t="shared" si="3"/>
        <v>0</v>
      </c>
      <c r="V24" s="287"/>
      <c r="W24" s="288"/>
      <c r="X24" s="288"/>
      <c r="Y24" s="286"/>
      <c r="Z24" s="288"/>
      <c r="AA24" s="288"/>
      <c r="AB24" s="291"/>
    </row>
    <row r="25" spans="1:28" s="11" customFormat="1" ht="19.95" customHeight="1">
      <c r="A25" s="189">
        <v>16</v>
      </c>
      <c r="B25" s="403"/>
      <c r="C25" s="33"/>
      <c r="D25" s="116"/>
      <c r="E25" s="116"/>
      <c r="F25" s="19"/>
      <c r="G25" s="19"/>
      <c r="H25" s="17"/>
      <c r="I25" s="17"/>
      <c r="J25" s="17"/>
      <c r="K25" s="147">
        <f>H25+I25-J25</f>
        <v>0</v>
      </c>
      <c r="L25" s="17"/>
      <c r="M25" s="17"/>
      <c r="N25" s="17"/>
      <c r="O25" s="17"/>
      <c r="P25" s="17"/>
      <c r="Q25" s="17"/>
      <c r="R25" s="148">
        <f t="shared" si="4"/>
        <v>0</v>
      </c>
      <c r="S25" s="148">
        <f t="shared" si="1"/>
        <v>0</v>
      </c>
      <c r="T25" s="148">
        <f t="shared" si="2"/>
        <v>0</v>
      </c>
      <c r="U25" s="148">
        <f t="shared" si="3"/>
        <v>0</v>
      </c>
      <c r="V25" s="287"/>
      <c r="W25" s="288"/>
      <c r="X25" s="288"/>
      <c r="Y25" s="286"/>
      <c r="Z25" s="288"/>
      <c r="AA25" s="288"/>
      <c r="AB25" s="291"/>
    </row>
    <row r="26" spans="1:28" s="384" customFormat="1" ht="19.95" customHeight="1">
      <c r="A26" s="375"/>
      <c r="B26" s="376"/>
      <c r="C26" s="377" t="s">
        <v>51</v>
      </c>
      <c r="D26" s="378" t="s">
        <v>11</v>
      </c>
      <c r="E26" s="378" t="s">
        <v>11</v>
      </c>
      <c r="F26" s="379" t="s">
        <v>11</v>
      </c>
      <c r="G26" s="379"/>
      <c r="H26" s="143">
        <f>SUM(H10:H25)</f>
        <v>0</v>
      </c>
      <c r="I26" s="143">
        <f t="shared" ref="I26:U26" si="7">SUM(I10:I25)</f>
        <v>0</v>
      </c>
      <c r="J26" s="143">
        <f t="shared" si="7"/>
        <v>0</v>
      </c>
      <c r="K26" s="143">
        <f t="shared" si="7"/>
        <v>0</v>
      </c>
      <c r="L26" s="143">
        <f t="shared" si="7"/>
        <v>0</v>
      </c>
      <c r="M26" s="143">
        <f t="shared" si="7"/>
        <v>0</v>
      </c>
      <c r="N26" s="143">
        <f t="shared" si="7"/>
        <v>0</v>
      </c>
      <c r="O26" s="143">
        <f t="shared" si="7"/>
        <v>0</v>
      </c>
      <c r="P26" s="143">
        <f t="shared" si="7"/>
        <v>0</v>
      </c>
      <c r="Q26" s="143">
        <f t="shared" si="7"/>
        <v>0</v>
      </c>
      <c r="R26" s="143">
        <f>SUM(R10:R25)</f>
        <v>0</v>
      </c>
      <c r="S26" s="143">
        <f>SUM(S10:S25)</f>
        <v>0</v>
      </c>
      <c r="T26" s="143">
        <f>SUM(T10:T25)</f>
        <v>0</v>
      </c>
      <c r="U26" s="143">
        <f>SUM(U10:U25)</f>
        <v>0</v>
      </c>
      <c r="V26" s="380"/>
      <c r="W26" s="381"/>
      <c r="X26" s="381"/>
      <c r="Y26" s="382"/>
      <c r="Z26" s="381"/>
      <c r="AA26" s="381"/>
      <c r="AB26" s="383"/>
    </row>
    <row r="27" spans="1:28" s="11" customFormat="1" ht="19.95" customHeight="1">
      <c r="A27" s="15" t="s">
        <v>6</v>
      </c>
      <c r="D27" s="15"/>
      <c r="E27" s="15"/>
      <c r="F27" s="15"/>
      <c r="G27" s="15"/>
      <c r="H27" s="15"/>
      <c r="I27" s="15"/>
      <c r="J27" s="15"/>
      <c r="K27" s="15"/>
      <c r="L27" s="15"/>
      <c r="M27" s="15"/>
      <c r="N27" s="231"/>
      <c r="O27" s="15"/>
      <c r="P27" s="231"/>
      <c r="Q27" s="15"/>
      <c r="R27" s="15"/>
      <c r="S27" s="15"/>
      <c r="T27" s="15"/>
      <c r="U27" s="15"/>
      <c r="V27" s="163"/>
      <c r="W27" s="15"/>
      <c r="X27" s="15"/>
      <c r="Y27" s="15"/>
      <c r="Z27" s="15"/>
      <c r="AA27" s="15"/>
      <c r="AB27" s="15"/>
    </row>
    <row r="28" spans="1:28" s="11" customFormat="1" ht="19.95" customHeight="1">
      <c r="A28" s="10" t="s">
        <v>7</v>
      </c>
      <c r="D28" s="10"/>
      <c r="E28" s="10"/>
      <c r="F28" s="10"/>
      <c r="G28" s="10"/>
      <c r="H28" s="10"/>
      <c r="I28" s="10"/>
      <c r="J28" s="10"/>
      <c r="K28" s="10"/>
      <c r="L28" s="10"/>
      <c r="M28" s="10"/>
      <c r="N28" s="65"/>
      <c r="O28" s="10"/>
      <c r="P28" s="10"/>
      <c r="Q28" s="10"/>
      <c r="R28" s="10"/>
      <c r="S28" s="10"/>
      <c r="T28" s="10"/>
      <c r="U28" s="10"/>
      <c r="V28" s="162"/>
      <c r="W28" s="10"/>
      <c r="X28" s="10"/>
      <c r="Y28" s="10"/>
      <c r="Z28" s="10"/>
      <c r="AA28" s="10"/>
      <c r="AB28" s="10"/>
    </row>
    <row r="29" spans="1:28" s="11" customFormat="1" ht="19.95" customHeight="1">
      <c r="A29" s="34" t="s">
        <v>30</v>
      </c>
      <c r="D29" s="82"/>
      <c r="E29" s="82"/>
      <c r="F29" s="82"/>
      <c r="G29" s="82"/>
      <c r="H29" s="82"/>
      <c r="I29" s="82"/>
      <c r="J29" s="82"/>
      <c r="K29" s="82"/>
      <c r="L29" s="82"/>
      <c r="M29" s="82"/>
      <c r="N29" s="232"/>
      <c r="O29" s="82"/>
      <c r="P29" s="82"/>
      <c r="Q29" s="82"/>
      <c r="R29" s="82"/>
      <c r="S29" s="82"/>
      <c r="T29" s="82"/>
      <c r="U29" s="82"/>
      <c r="V29" s="164"/>
      <c r="W29" s="82"/>
      <c r="X29" s="82"/>
      <c r="Y29" s="82"/>
      <c r="Z29" s="82"/>
      <c r="AA29" s="82"/>
      <c r="AB29" s="82"/>
    </row>
    <row r="30" spans="1:28" s="11" customFormat="1" ht="19.95" customHeight="1">
      <c r="V30" s="165"/>
    </row>
    <row r="31" spans="1:28" s="11" customFormat="1" ht="19.95" customHeight="1">
      <c r="V31" s="165"/>
    </row>
    <row r="32" spans="1:28" s="11" customFormat="1" ht="19.95" customHeight="1">
      <c r="A32" s="206" t="s">
        <v>187</v>
      </c>
      <c r="V32" s="165"/>
    </row>
    <row r="33" spans="1:27" s="11" customFormat="1" ht="19.95" customHeight="1">
      <c r="V33" s="165"/>
    </row>
    <row r="34" spans="1:27" s="294" customFormat="1" ht="18" customHeight="1">
      <c r="A34" s="293" t="s">
        <v>288</v>
      </c>
      <c r="B34" s="293"/>
      <c r="C34" s="293"/>
      <c r="D34" s="10"/>
      <c r="E34" s="10"/>
      <c r="F34" s="10"/>
      <c r="G34" s="10"/>
      <c r="H34" s="10"/>
      <c r="I34" s="10"/>
      <c r="J34" s="10"/>
      <c r="K34" s="10"/>
      <c r="L34" s="10"/>
      <c r="M34" s="10"/>
      <c r="N34" s="10"/>
      <c r="O34" s="10"/>
      <c r="P34" s="10"/>
      <c r="Q34" s="10"/>
      <c r="R34" s="10"/>
      <c r="S34" s="10"/>
      <c r="T34" s="10"/>
      <c r="U34" s="10"/>
      <c r="AA34" s="10"/>
    </row>
    <row r="35" spans="1:27" s="10" customFormat="1" ht="19.95" customHeight="1">
      <c r="A35" s="295" t="s">
        <v>289</v>
      </c>
      <c r="V35" s="162"/>
    </row>
    <row r="36" spans="1:27" s="10" customFormat="1" ht="19.95" customHeight="1">
      <c r="A36" s="295" t="s">
        <v>290</v>
      </c>
      <c r="V36" s="162"/>
    </row>
    <row r="37" spans="1:27" s="10" customFormat="1" ht="19.95" customHeight="1">
      <c r="A37" s="295" t="s">
        <v>291</v>
      </c>
      <c r="V37" s="162"/>
    </row>
    <row r="38" spans="1:27" s="10" customFormat="1" ht="19.95" customHeight="1">
      <c r="A38" s="295" t="s">
        <v>292</v>
      </c>
      <c r="V38" s="162"/>
    </row>
    <row r="39" spans="1:27" s="296" customFormat="1" ht="18" customHeight="1">
      <c r="A39" s="295" t="s">
        <v>293</v>
      </c>
      <c r="B39" s="295"/>
      <c r="C39" s="295"/>
      <c r="D39" s="10"/>
      <c r="E39" s="10"/>
      <c r="F39" s="10"/>
      <c r="G39" s="10"/>
      <c r="H39" s="10"/>
      <c r="I39" s="10"/>
      <c r="J39" s="10"/>
      <c r="K39" s="10"/>
      <c r="L39" s="10"/>
      <c r="M39" s="10"/>
      <c r="N39" s="10"/>
      <c r="O39" s="10"/>
      <c r="P39" s="10"/>
      <c r="Q39" s="10"/>
      <c r="R39" s="10"/>
      <c r="S39" s="10"/>
      <c r="T39" s="10"/>
      <c r="U39" s="10"/>
      <c r="AA39" s="10"/>
    </row>
    <row r="40" spans="1:27" s="296" customFormat="1" ht="18" customHeight="1">
      <c r="A40" s="295" t="s">
        <v>294</v>
      </c>
      <c r="B40" s="295"/>
      <c r="C40" s="295"/>
      <c r="E40" s="10"/>
      <c r="F40" s="10"/>
      <c r="G40" s="10"/>
      <c r="H40" s="10"/>
      <c r="I40" s="10"/>
      <c r="J40" s="10"/>
      <c r="K40" s="10"/>
      <c r="L40" s="10"/>
      <c r="M40" s="10"/>
      <c r="N40" s="10"/>
      <c r="O40" s="10"/>
      <c r="P40" s="10"/>
      <c r="Q40" s="10"/>
      <c r="R40" s="10"/>
      <c r="S40" s="10"/>
      <c r="T40" s="10"/>
      <c r="U40" s="10"/>
      <c r="AA40" s="10"/>
    </row>
    <row r="41" spans="1:27" s="11" customFormat="1" ht="19.95" customHeight="1">
      <c r="V41" s="165"/>
    </row>
    <row r="42" spans="1:27" s="11" customFormat="1" ht="19.95" customHeight="1">
      <c r="C42" s="20"/>
      <c r="V42" s="165"/>
    </row>
    <row r="43" spans="1:27" s="11" customFormat="1" ht="19.95" customHeight="1">
      <c r="V43" s="165"/>
    </row>
    <row r="44" spans="1:27" s="11" customFormat="1" ht="19.95" customHeight="1">
      <c r="V44" s="165"/>
    </row>
    <row r="45" spans="1:27" s="11" customFormat="1" ht="19.95" customHeight="1">
      <c r="V45" s="165"/>
    </row>
    <row r="46" spans="1:27" s="11" customFormat="1" ht="19.95" customHeight="1">
      <c r="V46" s="165"/>
    </row>
    <row r="47" spans="1:27" s="11" customFormat="1" ht="19.95" customHeight="1">
      <c r="V47" s="165"/>
    </row>
    <row r="48" spans="1:27" s="11" customFormat="1" ht="19.95" customHeight="1">
      <c r="V48" s="165"/>
    </row>
    <row r="49" spans="22:22" s="11" customFormat="1" ht="19.95" customHeight="1">
      <c r="V49" s="165"/>
    </row>
  </sheetData>
  <mergeCells count="25">
    <mergeCell ref="A8:A9"/>
    <mergeCell ref="H8:K8"/>
    <mergeCell ref="C8:C9"/>
    <mergeCell ref="D8:D9"/>
    <mergeCell ref="E8:E9"/>
    <mergeCell ref="F8:F9"/>
    <mergeCell ref="AA8:AA9"/>
    <mergeCell ref="Y8:Y9"/>
    <mergeCell ref="AB8:AB9"/>
    <mergeCell ref="B8:B9"/>
    <mergeCell ref="W8:W9"/>
    <mergeCell ref="Z8:Z9"/>
    <mergeCell ref="R8:U8"/>
    <mergeCell ref="N8:O8"/>
    <mergeCell ref="G8:G9"/>
    <mergeCell ref="X8:X9"/>
    <mergeCell ref="P8:Q8"/>
    <mergeCell ref="L8:M8"/>
    <mergeCell ref="V8:V9"/>
    <mergeCell ref="A1:O1"/>
    <mergeCell ref="A2:O2"/>
    <mergeCell ref="D6:O6"/>
    <mergeCell ref="P6:AA6"/>
    <mergeCell ref="P1:X1"/>
    <mergeCell ref="P2:X2"/>
  </mergeCells>
  <phoneticPr fontId="14" type="noConversion"/>
  <dataValidations count="2">
    <dataValidation type="list" allowBlank="1" showInputMessage="1" showErrorMessage="1" sqref="Y10:Y25">
      <formula1>"是,否"</formula1>
    </dataValidation>
    <dataValidation type="list" allowBlank="1" showInputMessage="1" showErrorMessage="1" sqref="B10:B25">
      <formula1>"信用借款,抵押借款,保证借款,质押借款,票据背书或贴现,应收账款保理"</formula1>
    </dataValidation>
  </dataValidations>
  <hyperlinks>
    <hyperlink ref="O3" location="底稿目录!A1" display="底稿目录!A1"/>
  </hyperlinks>
  <printOptions horizontalCentered="1"/>
  <pageMargins left="0.70866141732283472" right="0.70866141732283472" top="0.74803149606299213" bottom="0.74803149606299213" header="0.31496062992125984" footer="0.31496062992125984"/>
  <pageSetup paperSize="9" scale="70" orientation="landscape" blackAndWhite="1" r:id="rId1"/>
  <headerFooter alignWithMargins="0">
    <oddFooter>&amp;C&amp;P/&amp;N</oddFooter>
  </headerFooter>
  <colBreaks count="1" manualBreakCount="1">
    <brk id="15" max="32"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J23"/>
  <sheetViews>
    <sheetView view="pageBreakPreview" zoomScaleNormal="100" zoomScaleSheetLayoutView="100" workbookViewId="0">
      <selection sqref="A1:J1"/>
    </sheetView>
  </sheetViews>
  <sheetFormatPr defaultColWidth="9" defaultRowHeight="19.95" customHeight="1"/>
  <cols>
    <col min="1" max="1" width="19.19921875" style="197" customWidth="1"/>
    <col min="2" max="2" width="14" style="197" customWidth="1"/>
    <col min="3" max="3" width="9.3984375" style="197" customWidth="1"/>
    <col min="4" max="16384" width="9" style="197"/>
  </cols>
  <sheetData>
    <row r="1" spans="1:10" ht="19.95" customHeight="1">
      <c r="A1" s="450" t="s">
        <v>15</v>
      </c>
      <c r="B1" s="450"/>
      <c r="C1" s="450"/>
      <c r="D1" s="450"/>
      <c r="E1" s="450"/>
      <c r="F1" s="450"/>
      <c r="G1" s="450"/>
      <c r="H1" s="450"/>
      <c r="I1" s="450"/>
      <c r="J1" s="450"/>
    </row>
    <row r="2" spans="1:10" ht="19.95" customHeight="1">
      <c r="A2" s="451" t="s">
        <v>401</v>
      </c>
      <c r="B2" s="451"/>
      <c r="C2" s="451"/>
      <c r="D2" s="451"/>
      <c r="E2" s="451"/>
      <c r="F2" s="451"/>
      <c r="G2" s="451"/>
      <c r="H2" s="451"/>
      <c r="I2" s="451"/>
      <c r="J2" s="451"/>
    </row>
    <row r="3" spans="1:10" ht="19.95" customHeight="1">
      <c r="A3" s="198" t="s">
        <v>168</v>
      </c>
      <c r="B3" s="198"/>
      <c r="C3" s="198" t="s">
        <v>169</v>
      </c>
      <c r="D3" s="198"/>
      <c r="E3" s="198"/>
      <c r="F3" s="199"/>
      <c r="G3" s="198" t="s">
        <v>170</v>
      </c>
      <c r="H3" s="198"/>
      <c r="I3" s="385" t="s">
        <v>171</v>
      </c>
      <c r="J3" s="396" t="str">
        <f>底稿目录!F9</f>
        <v>L1-3</v>
      </c>
    </row>
    <row r="4" spans="1:10" ht="19.95" customHeight="1">
      <c r="A4" s="198" t="s">
        <v>172</v>
      </c>
      <c r="B4" s="198"/>
      <c r="C4" s="198" t="s">
        <v>173</v>
      </c>
      <c r="D4" s="198"/>
      <c r="E4" s="198"/>
      <c r="F4" s="199"/>
      <c r="G4" s="198" t="s">
        <v>174</v>
      </c>
      <c r="H4" s="198"/>
      <c r="I4" s="386" t="s">
        <v>377</v>
      </c>
      <c r="J4" s="199"/>
    </row>
    <row r="5" spans="1:10" ht="29.55" customHeight="1">
      <c r="A5" s="200" t="s">
        <v>175</v>
      </c>
      <c r="B5" s="201" t="s">
        <v>176</v>
      </c>
      <c r="C5" s="202" t="s">
        <v>177</v>
      </c>
      <c r="D5" s="202" t="s">
        <v>178</v>
      </c>
      <c r="E5" s="202" t="s">
        <v>179</v>
      </c>
      <c r="F5" s="131" t="s">
        <v>46</v>
      </c>
      <c r="G5" s="202" t="s">
        <v>180</v>
      </c>
      <c r="H5" s="202" t="s">
        <v>181</v>
      </c>
      <c r="I5" s="202" t="s">
        <v>182</v>
      </c>
      <c r="J5" s="202" t="s">
        <v>39</v>
      </c>
    </row>
    <row r="6" spans="1:10" ht="19.95" customHeight="1">
      <c r="A6" s="203"/>
      <c r="B6" s="203"/>
      <c r="C6" s="203"/>
      <c r="D6" s="203"/>
      <c r="E6" s="203"/>
      <c r="F6" s="203"/>
      <c r="G6" s="203"/>
      <c r="H6" s="203"/>
      <c r="I6" s="203"/>
      <c r="J6" s="203"/>
    </row>
    <row r="7" spans="1:10" ht="19.95" customHeight="1">
      <c r="A7" s="204"/>
      <c r="B7" s="203"/>
      <c r="C7" s="203"/>
      <c r="D7" s="203"/>
      <c r="E7" s="203"/>
      <c r="F7" s="203"/>
      <c r="G7" s="203"/>
      <c r="H7" s="203"/>
      <c r="I7" s="203"/>
      <c r="J7" s="203"/>
    </row>
    <row r="8" spans="1:10" ht="19.95" customHeight="1">
      <c r="A8" s="205"/>
      <c r="B8" s="203"/>
      <c r="C8" s="203"/>
      <c r="D8" s="203"/>
      <c r="E8" s="203"/>
      <c r="F8" s="203"/>
      <c r="G8" s="203"/>
      <c r="H8" s="203"/>
      <c r="I8" s="203"/>
      <c r="J8" s="203"/>
    </row>
    <row r="9" spans="1:10" ht="19.95" customHeight="1">
      <c r="A9" s="205"/>
      <c r="B9" s="203"/>
      <c r="C9" s="203"/>
      <c r="D9" s="203"/>
      <c r="E9" s="203"/>
      <c r="F9" s="203"/>
      <c r="G9" s="203"/>
      <c r="H9" s="203"/>
      <c r="I9" s="203"/>
      <c r="J9" s="203"/>
    </row>
    <row r="10" spans="1:10" ht="19.95" customHeight="1">
      <c r="A10" s="205"/>
      <c r="B10" s="203"/>
      <c r="C10" s="203"/>
      <c r="D10" s="203"/>
      <c r="E10" s="203"/>
      <c r="F10" s="203"/>
      <c r="G10" s="203"/>
      <c r="H10" s="203"/>
      <c r="I10" s="203"/>
      <c r="J10" s="203"/>
    </row>
    <row r="11" spans="1:10" ht="19.95" customHeight="1">
      <c r="A11" s="132"/>
      <c r="B11" s="203"/>
      <c r="C11" s="203"/>
      <c r="D11" s="203"/>
      <c r="E11" s="203"/>
      <c r="F11" s="203"/>
      <c r="G11" s="203"/>
      <c r="H11" s="203"/>
      <c r="I11" s="203"/>
      <c r="J11" s="203"/>
    </row>
    <row r="12" spans="1:10" ht="19.95" customHeight="1">
      <c r="A12" s="205"/>
      <c r="B12" s="203"/>
      <c r="C12" s="203"/>
      <c r="D12" s="203"/>
      <c r="E12" s="203"/>
      <c r="F12" s="203"/>
      <c r="G12" s="203"/>
      <c r="H12" s="203"/>
      <c r="I12" s="203"/>
      <c r="J12" s="203"/>
    </row>
    <row r="13" spans="1:10" ht="19.95" customHeight="1">
      <c r="A13" s="205"/>
      <c r="B13" s="203"/>
      <c r="C13" s="203"/>
      <c r="D13" s="203"/>
      <c r="E13" s="203"/>
      <c r="F13" s="203"/>
      <c r="G13" s="203"/>
      <c r="H13" s="203"/>
      <c r="I13" s="203"/>
      <c r="J13" s="203"/>
    </row>
    <row r="14" spans="1:10" ht="19.95" customHeight="1">
      <c r="A14" s="205"/>
      <c r="B14" s="203"/>
      <c r="C14" s="203"/>
      <c r="D14" s="203"/>
      <c r="E14" s="203"/>
      <c r="F14" s="203"/>
      <c r="G14" s="203"/>
      <c r="H14" s="203"/>
      <c r="I14" s="203"/>
      <c r="J14" s="203"/>
    </row>
    <row r="15" spans="1:10" ht="19.95" customHeight="1">
      <c r="A15" s="205"/>
      <c r="B15" s="203"/>
      <c r="C15" s="203"/>
      <c r="D15" s="203"/>
      <c r="E15" s="203"/>
      <c r="F15" s="203"/>
      <c r="G15" s="203"/>
      <c r="H15" s="203"/>
      <c r="I15" s="203"/>
      <c r="J15" s="203"/>
    </row>
    <row r="16" spans="1:10" ht="19.95" customHeight="1">
      <c r="A16" s="205"/>
      <c r="B16" s="203"/>
      <c r="C16" s="203"/>
      <c r="D16" s="203"/>
      <c r="E16" s="203"/>
      <c r="F16" s="203"/>
      <c r="G16" s="203"/>
      <c r="H16" s="203"/>
      <c r="I16" s="203"/>
      <c r="J16" s="203"/>
    </row>
    <row r="17" spans="1:10" ht="19.95" customHeight="1">
      <c r="A17" s="205"/>
      <c r="B17" s="203"/>
      <c r="C17" s="203"/>
      <c r="D17" s="203"/>
      <c r="E17" s="203"/>
      <c r="F17" s="203"/>
      <c r="G17" s="203"/>
      <c r="H17" s="203"/>
      <c r="I17" s="203"/>
      <c r="J17" s="203"/>
    </row>
    <row r="18" spans="1:10" ht="19.95" customHeight="1">
      <c r="A18" s="205"/>
      <c r="B18" s="203"/>
      <c r="C18" s="203"/>
      <c r="D18" s="203"/>
      <c r="E18" s="203"/>
      <c r="F18" s="203"/>
      <c r="G18" s="203"/>
      <c r="H18" s="203"/>
      <c r="I18" s="203"/>
      <c r="J18" s="203"/>
    </row>
    <row r="19" spans="1:10" ht="19.95" customHeight="1">
      <c r="A19" s="205"/>
      <c r="B19" s="203"/>
      <c r="C19" s="203"/>
      <c r="D19" s="203"/>
      <c r="E19" s="203"/>
      <c r="F19" s="203"/>
      <c r="G19" s="203"/>
      <c r="H19" s="203"/>
      <c r="I19" s="203"/>
      <c r="J19" s="203"/>
    </row>
    <row r="20" spans="1:10" ht="19.95" customHeight="1">
      <c r="A20" s="205"/>
      <c r="B20" s="203"/>
      <c r="C20" s="203"/>
      <c r="D20" s="203"/>
      <c r="E20" s="203"/>
      <c r="F20" s="203"/>
      <c r="G20" s="203"/>
      <c r="H20" s="203"/>
      <c r="I20" s="203"/>
      <c r="J20" s="203"/>
    </row>
    <row r="21" spans="1:10" ht="19.95" customHeight="1">
      <c r="A21" s="133"/>
      <c r="B21" s="133"/>
      <c r="C21" s="134"/>
      <c r="D21" s="134"/>
      <c r="E21" s="134"/>
      <c r="F21" s="134"/>
      <c r="G21" s="135"/>
      <c r="H21" s="135"/>
      <c r="I21" s="134"/>
      <c r="J21" s="136"/>
    </row>
    <row r="22" spans="1:10" ht="19.95" customHeight="1">
      <c r="A22" s="137"/>
      <c r="B22" s="137"/>
      <c r="C22" s="137"/>
      <c r="D22" s="137"/>
      <c r="E22" s="138"/>
      <c r="F22" s="139"/>
      <c r="G22" s="213"/>
      <c r="H22" s="213"/>
      <c r="I22" s="213"/>
      <c r="J22" s="213"/>
    </row>
    <row r="23" spans="1:10" ht="19.95" customHeight="1">
      <c r="A23" s="452" t="s">
        <v>272</v>
      </c>
      <c r="B23" s="453"/>
      <c r="C23" s="453"/>
      <c r="D23" s="453"/>
      <c r="E23" s="453"/>
      <c r="F23" s="453"/>
      <c r="G23" s="453"/>
      <c r="H23" s="453"/>
      <c r="I23" s="453"/>
      <c r="J23" s="453"/>
    </row>
  </sheetData>
  <mergeCells count="3">
    <mergeCell ref="A1:J1"/>
    <mergeCell ref="A2:J2"/>
    <mergeCell ref="A23:J23"/>
  </mergeCells>
  <phoneticPr fontId="14"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scale="77" orientation="portrait"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AD31"/>
  <sheetViews>
    <sheetView view="pageBreakPreview" zoomScaleSheetLayoutView="100" workbookViewId="0">
      <selection sqref="A1:T1"/>
    </sheetView>
  </sheetViews>
  <sheetFormatPr defaultColWidth="9" defaultRowHeight="19.95" customHeight="1"/>
  <cols>
    <col min="1" max="1" width="9" style="155"/>
    <col min="2" max="2" width="14.5" style="155" customWidth="1"/>
    <col min="3" max="3" width="10.5" style="155" customWidth="1"/>
    <col min="4" max="4" width="9.59765625" style="155" customWidth="1"/>
    <col min="5" max="5" width="9.796875" style="155" customWidth="1"/>
    <col min="6" max="7" width="9.59765625" style="155" customWidth="1"/>
    <col min="8" max="8" width="11" style="155" customWidth="1"/>
    <col min="9" max="10" width="9" style="155"/>
    <col min="11" max="11" width="10" style="155" bestFit="1" customWidth="1"/>
    <col min="12" max="13" width="9" style="155"/>
    <col min="14" max="15" width="9.8984375" style="155" customWidth="1"/>
    <col min="16" max="17" width="9" style="155"/>
    <col min="18" max="18" width="10.796875" style="155" customWidth="1"/>
    <col min="19" max="19" width="9" style="155"/>
    <col min="20" max="20" width="20.5" style="155" customWidth="1"/>
    <col min="21" max="16384" width="9" style="155"/>
  </cols>
  <sheetData>
    <row r="1" spans="1:30" s="21" customFormat="1" ht="19.95" customHeight="1">
      <c r="A1" s="454" t="s">
        <v>99</v>
      </c>
      <c r="B1" s="454"/>
      <c r="C1" s="454"/>
      <c r="D1" s="454"/>
      <c r="E1" s="454"/>
      <c r="F1" s="454"/>
      <c r="G1" s="454"/>
      <c r="H1" s="454"/>
      <c r="I1" s="454"/>
      <c r="J1" s="454"/>
      <c r="K1" s="454"/>
      <c r="L1" s="454"/>
      <c r="M1" s="454"/>
      <c r="N1" s="454"/>
      <c r="O1" s="454"/>
      <c r="P1" s="454"/>
      <c r="Q1" s="454"/>
      <c r="R1" s="454"/>
      <c r="S1" s="454"/>
      <c r="T1" s="454"/>
      <c r="U1" s="155"/>
      <c r="V1" s="155"/>
    </row>
    <row r="2" spans="1:30" s="21" customFormat="1" ht="19.95" customHeight="1">
      <c r="A2" s="455" t="s">
        <v>166</v>
      </c>
      <c r="B2" s="455"/>
      <c r="C2" s="455"/>
      <c r="D2" s="455"/>
      <c r="E2" s="455"/>
      <c r="F2" s="455"/>
      <c r="G2" s="455"/>
      <c r="H2" s="455"/>
      <c r="I2" s="455"/>
      <c r="J2" s="455"/>
      <c r="K2" s="455"/>
      <c r="L2" s="455"/>
      <c r="M2" s="455"/>
      <c r="N2" s="455"/>
      <c r="O2" s="455"/>
      <c r="P2" s="455"/>
      <c r="Q2" s="455"/>
      <c r="R2" s="455"/>
      <c r="S2" s="455"/>
      <c r="T2" s="455"/>
    </row>
    <row r="3" spans="1:30" s="22" customFormat="1" ht="19.95" customHeight="1">
      <c r="A3" s="153" t="str">
        <f>底稿目录!A2</f>
        <v>被审计单位：</v>
      </c>
      <c r="B3" s="153"/>
      <c r="C3" s="154"/>
      <c r="G3" s="154" t="str">
        <f>底稿目录!A4</f>
        <v>编制人：</v>
      </c>
      <c r="N3" s="105" t="str">
        <f>底稿目录!A5</f>
        <v>编制日期：</v>
      </c>
      <c r="S3" s="22" t="s">
        <v>77</v>
      </c>
      <c r="T3" s="390" t="str">
        <f>底稿目录!F10</f>
        <v>L1-4</v>
      </c>
    </row>
    <row r="4" spans="1:30" s="22" customFormat="1" ht="19.95" customHeight="1">
      <c r="A4" s="153" t="str">
        <f>底稿目录!A3</f>
        <v>截止日：202X年12月31日</v>
      </c>
      <c r="B4" s="153"/>
      <c r="C4" s="154"/>
      <c r="G4" s="154" t="str">
        <f>底稿目录!A6</f>
        <v>复核人：</v>
      </c>
      <c r="N4" s="105" t="str">
        <f>底稿目录!A7</f>
        <v>复核日期：</v>
      </c>
      <c r="S4" s="22" t="s">
        <v>167</v>
      </c>
    </row>
    <row r="5" spans="1:30" s="228" customFormat="1" ht="19.95" customHeight="1">
      <c r="A5" s="246" t="s">
        <v>250</v>
      </c>
      <c r="B5" s="247"/>
      <c r="D5" s="241"/>
      <c r="E5" s="242"/>
      <c r="P5" s="243"/>
    </row>
    <row r="6" spans="1:30" s="228" customFormat="1" ht="19.95" customHeight="1">
      <c r="A6" s="240" t="s">
        <v>244</v>
      </c>
      <c r="B6" s="247"/>
      <c r="C6" s="240"/>
      <c r="D6" s="241"/>
      <c r="E6" s="242"/>
      <c r="P6" s="243"/>
    </row>
    <row r="7" spans="1:30" s="245" customFormat="1" ht="19.95" customHeight="1">
      <c r="A7" s="248" t="s">
        <v>50</v>
      </c>
      <c r="B7" s="249"/>
      <c r="C7" s="457"/>
      <c r="D7" s="457"/>
      <c r="E7" s="457"/>
      <c r="F7" s="457"/>
      <c r="G7" s="457"/>
      <c r="H7" s="457"/>
      <c r="I7" s="457"/>
      <c r="J7" s="457"/>
      <c r="K7" s="457"/>
      <c r="L7" s="457"/>
      <c r="M7" s="457"/>
      <c r="N7" s="457"/>
      <c r="O7" s="457"/>
      <c r="P7" s="457"/>
      <c r="Q7" s="457"/>
      <c r="R7" s="457"/>
      <c r="S7" s="457"/>
      <c r="T7" s="457"/>
    </row>
    <row r="8" spans="1:30" s="245" customFormat="1" ht="29.55" customHeight="1">
      <c r="A8" s="458" t="s">
        <v>284</v>
      </c>
      <c r="B8" s="458"/>
      <c r="C8" s="458"/>
      <c r="D8" s="458"/>
      <c r="E8" s="458"/>
      <c r="F8" s="458"/>
      <c r="G8" s="458"/>
      <c r="H8" s="458"/>
      <c r="I8" s="458"/>
      <c r="J8" s="458"/>
      <c r="K8" s="458"/>
      <c r="L8" s="458"/>
      <c r="M8" s="458"/>
      <c r="N8" s="458"/>
      <c r="O8" s="458"/>
      <c r="P8" s="458"/>
      <c r="Q8" s="458"/>
      <c r="R8" s="458"/>
      <c r="S8" s="458"/>
      <c r="T8" s="458"/>
    </row>
    <row r="9" spans="1:30" s="245" customFormat="1" ht="19.95" customHeight="1">
      <c r="A9" s="244" t="s">
        <v>378</v>
      </c>
      <c r="B9" s="244"/>
      <c r="C9" s="228"/>
      <c r="D9" s="228"/>
      <c r="E9" s="244"/>
      <c r="F9" s="244"/>
      <c r="G9" s="244"/>
      <c r="H9" s="244"/>
      <c r="J9" s="244"/>
    </row>
    <row r="10" spans="1:30" s="252" customFormat="1" ht="43.05" customHeight="1">
      <c r="A10" s="250" t="s">
        <v>251</v>
      </c>
      <c r="B10" s="250" t="s">
        <v>252</v>
      </c>
      <c r="C10" s="250" t="s">
        <v>253</v>
      </c>
      <c r="D10" s="250" t="s">
        <v>254</v>
      </c>
      <c r="E10" s="250" t="s">
        <v>255</v>
      </c>
      <c r="F10" s="250" t="s">
        <v>256</v>
      </c>
      <c r="G10" s="250" t="s">
        <v>257</v>
      </c>
      <c r="H10" s="250" t="s">
        <v>258</v>
      </c>
      <c r="I10" s="250" t="s">
        <v>259</v>
      </c>
      <c r="J10" s="251" t="s">
        <v>260</v>
      </c>
      <c r="K10" s="251" t="s">
        <v>261</v>
      </c>
      <c r="L10" s="251" t="s">
        <v>262</v>
      </c>
      <c r="M10" s="251" t="s">
        <v>263</v>
      </c>
      <c r="N10" s="251" t="s">
        <v>264</v>
      </c>
      <c r="O10" s="251" t="s">
        <v>265</v>
      </c>
      <c r="P10" s="251" t="s">
        <v>266</v>
      </c>
      <c r="Q10" s="251" t="s">
        <v>267</v>
      </c>
      <c r="R10" s="251" t="s">
        <v>268</v>
      </c>
      <c r="S10" s="251" t="s">
        <v>269</v>
      </c>
      <c r="T10" s="250" t="s">
        <v>270</v>
      </c>
      <c r="V10" s="245"/>
      <c r="W10" s="245"/>
      <c r="X10" s="245"/>
      <c r="Y10" s="245"/>
      <c r="Z10" s="245"/>
      <c r="AA10" s="245"/>
      <c r="AB10" s="245"/>
      <c r="AC10" s="245"/>
      <c r="AD10" s="245"/>
    </row>
    <row r="11" spans="1:30" s="153" customFormat="1" ht="19.95" customHeight="1">
      <c r="A11" s="233"/>
      <c r="B11" s="233"/>
      <c r="C11" s="157"/>
      <c r="D11" s="234"/>
      <c r="E11" s="234"/>
      <c r="F11" s="235"/>
      <c r="G11" s="236"/>
      <c r="H11" s="157"/>
      <c r="I11" s="157"/>
      <c r="J11" s="236"/>
      <c r="K11" s="236"/>
      <c r="L11" s="236"/>
      <c r="M11" s="157"/>
      <c r="N11" s="237"/>
      <c r="O11" s="237"/>
      <c r="P11" s="148">
        <f>J11+N11-O11</f>
        <v>0</v>
      </c>
      <c r="Q11" s="236"/>
      <c r="R11" s="148">
        <f>P11-Q11</f>
        <v>0</v>
      </c>
      <c r="S11" s="235"/>
      <c r="T11" s="157"/>
      <c r="V11" s="223"/>
      <c r="W11" s="223"/>
      <c r="X11" s="223"/>
      <c r="Y11" s="223"/>
      <c r="Z11" s="223"/>
      <c r="AA11" s="223"/>
      <c r="AB11" s="223"/>
      <c r="AC11" s="223"/>
      <c r="AD11" s="223"/>
    </row>
    <row r="12" spans="1:30" s="153" customFormat="1" ht="19.95" customHeight="1">
      <c r="A12" s="158"/>
      <c r="B12" s="158"/>
      <c r="C12" s="157"/>
      <c r="D12" s="157"/>
      <c r="E12" s="157"/>
      <c r="F12" s="157"/>
      <c r="G12" s="236"/>
      <c r="H12" s="157"/>
      <c r="I12" s="157"/>
      <c r="J12" s="236"/>
      <c r="K12" s="236"/>
      <c r="L12" s="236"/>
      <c r="M12" s="157"/>
      <c r="N12" s="238"/>
      <c r="O12" s="238"/>
      <c r="P12" s="148">
        <f t="shared" ref="P12:P16" si="0">J12+N12-O12</f>
        <v>0</v>
      </c>
      <c r="Q12" s="236"/>
      <c r="R12" s="148">
        <f t="shared" ref="R12:R16" si="1">P12-Q12</f>
        <v>0</v>
      </c>
      <c r="S12" s="157"/>
      <c r="T12" s="157"/>
      <c r="V12" s="223"/>
      <c r="W12" s="223"/>
      <c r="X12" s="223"/>
      <c r="Y12" s="223"/>
      <c r="Z12" s="223"/>
      <c r="AA12" s="223"/>
      <c r="AB12" s="223"/>
      <c r="AC12" s="223"/>
      <c r="AD12" s="223"/>
    </row>
    <row r="13" spans="1:30" s="153" customFormat="1" ht="19.95" customHeight="1">
      <c r="A13" s="158"/>
      <c r="B13" s="158"/>
      <c r="C13" s="157"/>
      <c r="D13" s="157"/>
      <c r="E13" s="157"/>
      <c r="F13" s="157"/>
      <c r="G13" s="236"/>
      <c r="H13" s="157"/>
      <c r="I13" s="157"/>
      <c r="J13" s="236"/>
      <c r="K13" s="236"/>
      <c r="L13" s="236"/>
      <c r="M13" s="157"/>
      <c r="N13" s="238"/>
      <c r="O13" s="238"/>
      <c r="P13" s="148">
        <f t="shared" si="0"/>
        <v>0</v>
      </c>
      <c r="Q13" s="236"/>
      <c r="R13" s="148">
        <f t="shared" si="1"/>
        <v>0</v>
      </c>
      <c r="S13" s="157"/>
      <c r="T13" s="157"/>
      <c r="V13" s="223"/>
      <c r="W13" s="223"/>
      <c r="X13" s="223"/>
      <c r="Y13" s="223"/>
      <c r="Z13" s="223"/>
      <c r="AA13" s="223"/>
      <c r="AB13" s="223"/>
      <c r="AC13" s="223"/>
      <c r="AD13" s="223"/>
    </row>
    <row r="14" spans="1:30" s="153" customFormat="1" ht="19.95" customHeight="1">
      <c r="A14" s="158"/>
      <c r="B14" s="158"/>
      <c r="C14" s="157"/>
      <c r="D14" s="157"/>
      <c r="E14" s="157"/>
      <c r="F14" s="157"/>
      <c r="G14" s="236"/>
      <c r="H14" s="157"/>
      <c r="I14" s="157"/>
      <c r="J14" s="236"/>
      <c r="K14" s="236"/>
      <c r="L14" s="236"/>
      <c r="M14" s="157"/>
      <c r="N14" s="238"/>
      <c r="O14" s="238"/>
      <c r="P14" s="148">
        <f t="shared" si="0"/>
        <v>0</v>
      </c>
      <c r="Q14" s="236"/>
      <c r="R14" s="148">
        <f t="shared" si="1"/>
        <v>0</v>
      </c>
      <c r="S14" s="157"/>
      <c r="T14" s="157"/>
      <c r="V14" s="223"/>
      <c r="W14" s="223"/>
      <c r="X14" s="223"/>
      <c r="Y14" s="223"/>
      <c r="Z14" s="223"/>
      <c r="AA14" s="223"/>
      <c r="AB14" s="223"/>
      <c r="AC14" s="223"/>
      <c r="AD14" s="223"/>
    </row>
    <row r="15" spans="1:30" s="153" customFormat="1" ht="19.95" customHeight="1">
      <c r="A15" s="158"/>
      <c r="B15" s="158"/>
      <c r="C15" s="157"/>
      <c r="D15" s="157"/>
      <c r="E15" s="157"/>
      <c r="F15" s="157"/>
      <c r="G15" s="236"/>
      <c r="H15" s="157"/>
      <c r="I15" s="157"/>
      <c r="J15" s="236"/>
      <c r="K15" s="236"/>
      <c r="L15" s="236"/>
      <c r="M15" s="157"/>
      <c r="N15" s="238"/>
      <c r="O15" s="238"/>
      <c r="P15" s="148">
        <f t="shared" si="0"/>
        <v>0</v>
      </c>
      <c r="Q15" s="236"/>
      <c r="R15" s="148">
        <f t="shared" si="1"/>
        <v>0</v>
      </c>
      <c r="S15" s="157"/>
      <c r="T15" s="157"/>
      <c r="V15" s="223"/>
      <c r="W15" s="223"/>
      <c r="X15" s="223"/>
      <c r="Y15" s="223"/>
      <c r="Z15" s="223"/>
      <c r="AA15" s="223"/>
      <c r="AB15" s="223"/>
      <c r="AC15" s="223"/>
      <c r="AD15" s="223"/>
    </row>
    <row r="16" spans="1:30" s="153" customFormat="1" ht="19.95" customHeight="1">
      <c r="A16" s="158"/>
      <c r="B16" s="158"/>
      <c r="C16" s="157"/>
      <c r="D16" s="157"/>
      <c r="E16" s="157"/>
      <c r="F16" s="157"/>
      <c r="G16" s="236"/>
      <c r="H16" s="157"/>
      <c r="I16" s="157"/>
      <c r="J16" s="236"/>
      <c r="K16" s="236"/>
      <c r="L16" s="236"/>
      <c r="M16" s="157"/>
      <c r="N16" s="238"/>
      <c r="O16" s="238"/>
      <c r="P16" s="148">
        <f t="shared" si="0"/>
        <v>0</v>
      </c>
      <c r="Q16" s="236"/>
      <c r="R16" s="148">
        <f t="shared" si="1"/>
        <v>0</v>
      </c>
      <c r="S16" s="157"/>
      <c r="T16" s="157"/>
      <c r="V16" s="223"/>
      <c r="W16" s="223"/>
      <c r="X16" s="223"/>
      <c r="Y16" s="223"/>
      <c r="Z16" s="223"/>
      <c r="AA16" s="223"/>
      <c r="AB16" s="223"/>
      <c r="AC16" s="223"/>
      <c r="AD16" s="223"/>
    </row>
    <row r="17" spans="1:30" s="224" customFormat="1" ht="19.95" customHeight="1">
      <c r="A17" s="219"/>
      <c r="B17" s="219"/>
      <c r="C17" s="169"/>
      <c r="D17" s="169"/>
      <c r="E17" s="169"/>
      <c r="F17" s="169"/>
      <c r="G17" s="169"/>
      <c r="H17" s="169"/>
      <c r="I17" s="169"/>
      <c r="J17" s="169"/>
      <c r="K17" s="169"/>
      <c r="L17" s="169"/>
      <c r="M17" s="169"/>
      <c r="N17" s="239"/>
      <c r="O17" s="239"/>
      <c r="P17" s="169"/>
      <c r="Q17" s="239"/>
      <c r="R17" s="169"/>
      <c r="S17" s="169"/>
      <c r="T17" s="169"/>
      <c r="V17" s="223"/>
      <c r="W17" s="223"/>
      <c r="X17" s="223"/>
      <c r="Y17" s="223"/>
      <c r="Z17" s="223"/>
      <c r="AA17" s="223"/>
      <c r="AB17" s="223"/>
      <c r="AC17" s="223"/>
      <c r="AD17" s="223"/>
    </row>
    <row r="18" spans="1:30" s="224" customFormat="1" ht="19.95" customHeight="1">
      <c r="A18" s="219" t="s">
        <v>379</v>
      </c>
      <c r="B18" s="219"/>
      <c r="C18" s="219"/>
      <c r="D18" s="219"/>
      <c r="E18" s="219"/>
      <c r="F18" s="219"/>
      <c r="G18" s="219"/>
      <c r="H18" s="219"/>
      <c r="Q18" s="161"/>
    </row>
    <row r="19" spans="1:30" s="224" customFormat="1" ht="19.95" customHeight="1">
      <c r="A19" s="172" t="s">
        <v>75</v>
      </c>
      <c r="B19" s="219"/>
      <c r="C19" s="169"/>
      <c r="D19" s="169"/>
      <c r="E19" s="169"/>
      <c r="F19" s="169"/>
      <c r="G19" s="169"/>
      <c r="H19" s="169"/>
    </row>
    <row r="20" spans="1:30" s="224" customFormat="1" ht="19.95" customHeight="1">
      <c r="A20" s="172" t="s">
        <v>76</v>
      </c>
      <c r="B20" s="219"/>
      <c r="C20" s="169"/>
      <c r="D20" s="169"/>
      <c r="E20" s="169"/>
      <c r="F20" s="169"/>
      <c r="G20" s="169"/>
      <c r="H20" s="169"/>
    </row>
    <row r="21" spans="1:30" s="224" customFormat="1" ht="19.95" customHeight="1">
      <c r="A21" s="456" t="s">
        <v>380</v>
      </c>
      <c r="B21" s="456"/>
      <c r="C21" s="456"/>
      <c r="D21" s="456"/>
      <c r="E21" s="456"/>
      <c r="F21" s="456"/>
      <c r="G21" s="456"/>
      <c r="H21" s="456"/>
    </row>
    <row r="22" spans="1:30" s="153" customFormat="1" ht="19.95" customHeight="1">
      <c r="A22" s="156" t="s">
        <v>381</v>
      </c>
      <c r="B22" s="156"/>
      <c r="C22" s="159"/>
      <c r="D22" s="156"/>
      <c r="E22" s="156"/>
      <c r="F22" s="156"/>
      <c r="G22" s="156"/>
      <c r="H22" s="156"/>
    </row>
    <row r="23" spans="1:30" s="153" customFormat="1" ht="19.95" customHeight="1"/>
    <row r="24" spans="1:30" s="153" customFormat="1" ht="19.95" customHeight="1">
      <c r="A24" s="160" t="s">
        <v>30</v>
      </c>
      <c r="B24" s="89"/>
      <c r="C24" s="90"/>
      <c r="D24" s="90"/>
      <c r="E24" s="90"/>
      <c r="F24" s="91"/>
      <c r="G24" s="91"/>
      <c r="H24" s="91"/>
    </row>
    <row r="25" spans="1:30" s="153" customFormat="1" ht="19.95" customHeight="1">
      <c r="A25" s="161"/>
      <c r="B25" s="89"/>
      <c r="C25" s="90"/>
      <c r="D25" s="90"/>
      <c r="E25" s="90"/>
      <c r="F25" s="91"/>
      <c r="G25" s="91"/>
      <c r="H25" s="91"/>
    </row>
    <row r="26" spans="1:30" s="153" customFormat="1" ht="19.95" customHeight="1">
      <c r="A26" s="160" t="s">
        <v>31</v>
      </c>
      <c r="B26" s="89"/>
      <c r="C26" s="90"/>
      <c r="D26" s="90"/>
      <c r="E26" s="90"/>
      <c r="F26" s="91"/>
      <c r="G26" s="91"/>
      <c r="H26" s="91"/>
    </row>
    <row r="27" spans="1:30" s="153" customFormat="1" ht="19.95" customHeight="1">
      <c r="A27" s="161"/>
      <c r="B27" s="89"/>
      <c r="C27" s="90"/>
      <c r="D27" s="90"/>
      <c r="E27" s="90"/>
      <c r="F27" s="91"/>
      <c r="G27" s="91"/>
      <c r="H27" s="91"/>
    </row>
    <row r="28" spans="1:30" ht="19.95" customHeight="1">
      <c r="B28" s="89"/>
      <c r="C28" s="90"/>
      <c r="D28" s="90"/>
      <c r="E28" s="90"/>
      <c r="F28" s="91"/>
      <c r="G28" s="91"/>
      <c r="H28" s="91"/>
    </row>
    <row r="29" spans="1:30" ht="19.95" customHeight="1">
      <c r="B29" s="89"/>
      <c r="C29" s="90"/>
      <c r="D29" s="90"/>
      <c r="E29" s="90"/>
      <c r="F29" s="91"/>
      <c r="G29" s="91"/>
      <c r="H29" s="91"/>
    </row>
    <row r="30" spans="1:30" ht="19.95" customHeight="1">
      <c r="B30" s="89"/>
      <c r="C30" s="90"/>
      <c r="D30" s="90"/>
      <c r="E30" s="90"/>
      <c r="F30" s="91"/>
      <c r="G30" s="91"/>
      <c r="H30" s="91"/>
    </row>
    <row r="31" spans="1:30" ht="19.95" customHeight="1">
      <c r="B31" s="89"/>
      <c r="C31" s="90"/>
      <c r="D31" s="90"/>
      <c r="E31" s="90"/>
      <c r="F31" s="91"/>
      <c r="G31" s="91"/>
      <c r="H31" s="91"/>
    </row>
  </sheetData>
  <mergeCells count="5">
    <mergeCell ref="A1:T1"/>
    <mergeCell ref="A2:T2"/>
    <mergeCell ref="A21:H21"/>
    <mergeCell ref="C7:T7"/>
    <mergeCell ref="A8:T8"/>
  </mergeCells>
  <phoneticPr fontId="51" type="noConversion"/>
  <hyperlinks>
    <hyperlink ref="T3" location="底稿目录!A1" display="底稿目录!A1"/>
  </hyperlinks>
  <pageMargins left="0.70866141732283472" right="0.70866141732283472" top="0.74803149606299213" bottom="0.74803149606299213" header="0.31496062992125984" footer="0.31496062992125984"/>
  <pageSetup paperSize="9" scale="59" fitToHeight="0"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T30"/>
  <sheetViews>
    <sheetView showZeros="0" view="pageBreakPreview" zoomScaleSheetLayoutView="100" workbookViewId="0">
      <selection sqref="A1:T1"/>
    </sheetView>
  </sheetViews>
  <sheetFormatPr defaultColWidth="9" defaultRowHeight="19.95" customHeight="1"/>
  <cols>
    <col min="1" max="1" width="4.69921875" style="14" customWidth="1"/>
    <col min="2" max="2" width="9.5" style="14" customWidth="1"/>
    <col min="3" max="3" width="19.5" style="14" customWidth="1"/>
    <col min="4" max="7" width="10.796875" style="14" customWidth="1"/>
    <col min="8" max="8" width="11.09765625" style="14" customWidth="1"/>
    <col min="9" max="9" width="10" style="14" customWidth="1"/>
    <col min="10" max="10" width="11" style="14" customWidth="1"/>
    <col min="11" max="11" width="12" style="14" customWidth="1"/>
    <col min="12" max="12" width="13.3984375" style="14" customWidth="1"/>
    <col min="13" max="13" width="13.09765625" style="14" customWidth="1"/>
    <col min="14" max="14" width="10.59765625" style="14" customWidth="1"/>
    <col min="15" max="15" width="9.8984375" style="14" customWidth="1"/>
    <col min="16" max="16" width="10.59765625" style="14" customWidth="1"/>
    <col min="17" max="17" width="9.296875" style="14" customWidth="1"/>
    <col min="18" max="18" width="11.59765625" style="14" customWidth="1"/>
    <col min="19" max="19" width="11.69921875" style="14" bestFit="1" customWidth="1"/>
    <col min="20" max="20" width="11.59765625" style="14" customWidth="1"/>
    <col min="21" max="16384" width="9" style="14"/>
  </cols>
  <sheetData>
    <row r="1" spans="1:20" s="9" customFormat="1" ht="19.95" customHeight="1">
      <c r="A1" s="439" t="s">
        <v>99</v>
      </c>
      <c r="B1" s="439"/>
      <c r="C1" s="439"/>
      <c r="D1" s="439"/>
      <c r="E1" s="439"/>
      <c r="F1" s="439"/>
      <c r="G1" s="439"/>
      <c r="H1" s="439"/>
      <c r="I1" s="439"/>
      <c r="J1" s="439"/>
      <c r="K1" s="439"/>
      <c r="L1" s="439"/>
      <c r="M1" s="439"/>
      <c r="N1" s="439"/>
      <c r="O1" s="439"/>
      <c r="P1" s="439"/>
      <c r="Q1" s="439"/>
      <c r="R1" s="439"/>
      <c r="S1" s="439"/>
      <c r="T1" s="439"/>
    </row>
    <row r="2" spans="1:20" s="9" customFormat="1" ht="19.95" customHeight="1">
      <c r="A2" s="440" t="s">
        <v>148</v>
      </c>
      <c r="B2" s="440"/>
      <c r="C2" s="440"/>
      <c r="D2" s="440"/>
      <c r="E2" s="440"/>
      <c r="F2" s="440"/>
      <c r="G2" s="440"/>
      <c r="H2" s="440"/>
      <c r="I2" s="440"/>
      <c r="J2" s="440"/>
      <c r="K2" s="440"/>
      <c r="L2" s="440"/>
      <c r="M2" s="440"/>
      <c r="N2" s="440"/>
      <c r="O2" s="440"/>
      <c r="P2" s="440"/>
      <c r="Q2" s="440"/>
      <c r="R2" s="440"/>
      <c r="S2" s="440"/>
      <c r="T2" s="440"/>
    </row>
    <row r="3" spans="1:20" s="10" customFormat="1" ht="19.95" customHeight="1">
      <c r="A3" s="10" t="str">
        <f>底稿目录!A2</f>
        <v>被审计单位：</v>
      </c>
      <c r="J3" s="65" t="str">
        <f>底稿目录!A4</f>
        <v>编制人：</v>
      </c>
      <c r="N3" s="106" t="str">
        <f>底稿目录!A5</f>
        <v>编制日期：</v>
      </c>
      <c r="O3" s="106"/>
      <c r="Q3" s="65"/>
      <c r="R3" s="65"/>
      <c r="S3" s="387" t="s">
        <v>77</v>
      </c>
      <c r="T3" s="389" t="str">
        <f>底稿目录!F11</f>
        <v>L1-5</v>
      </c>
    </row>
    <row r="4" spans="1:20" s="10" customFormat="1" ht="19.95" customHeight="1">
      <c r="A4" s="10" t="str">
        <f>底稿目录!A3</f>
        <v>截止日：202X年12月31日</v>
      </c>
      <c r="J4" s="65" t="str">
        <f>底稿目录!A6</f>
        <v>复核人：</v>
      </c>
      <c r="N4" s="106" t="str">
        <f>底稿目录!A7</f>
        <v>复核日期：</v>
      </c>
      <c r="O4" s="106"/>
      <c r="Q4" s="65"/>
      <c r="R4" s="65"/>
      <c r="S4" s="388" t="s">
        <v>382</v>
      </c>
    </row>
    <row r="5" spans="1:20" s="34" customFormat="1" ht="19.95" customHeight="1">
      <c r="A5" s="39" t="s">
        <v>16</v>
      </c>
      <c r="B5" s="39"/>
      <c r="D5" s="65"/>
      <c r="E5" s="65"/>
      <c r="F5" s="65"/>
      <c r="G5" s="65"/>
      <c r="H5" s="3"/>
      <c r="P5" s="192"/>
      <c r="Q5" s="192"/>
      <c r="R5" s="192"/>
      <c r="S5" s="192"/>
    </row>
    <row r="6" spans="1:20" s="34" customFormat="1" ht="19.95" customHeight="1">
      <c r="A6" s="88" t="s">
        <v>149</v>
      </c>
      <c r="B6" s="39"/>
      <c r="C6" s="88"/>
      <c r="D6" s="65"/>
      <c r="E6" s="65"/>
      <c r="F6" s="65"/>
      <c r="G6" s="65"/>
      <c r="H6" s="3"/>
      <c r="P6" s="192"/>
      <c r="Q6" s="192"/>
      <c r="R6" s="192"/>
      <c r="S6" s="192"/>
    </row>
    <row r="7" spans="1:20" s="10" customFormat="1" ht="19.95" customHeight="1">
      <c r="A7" s="42" t="s">
        <v>17</v>
      </c>
      <c r="B7" s="42"/>
      <c r="D7" s="65"/>
      <c r="E7" s="65"/>
      <c r="F7" s="65"/>
      <c r="G7" s="65"/>
      <c r="H7" s="3"/>
      <c r="P7" s="193"/>
      <c r="Q7" s="193"/>
      <c r="R7" s="193"/>
      <c r="S7" s="193"/>
    </row>
    <row r="8" spans="1:20" s="10" customFormat="1" ht="19.95" customHeight="1">
      <c r="A8" s="88" t="s">
        <v>150</v>
      </c>
      <c r="B8" s="42"/>
      <c r="C8" s="88"/>
      <c r="D8" s="65"/>
      <c r="E8" s="65"/>
      <c r="F8" s="65"/>
      <c r="G8" s="65"/>
      <c r="H8" s="3"/>
      <c r="P8" s="193"/>
      <c r="Q8" s="193"/>
      <c r="R8" s="193"/>
      <c r="S8" s="193"/>
    </row>
    <row r="9" spans="1:20" s="10" customFormat="1" ht="19.95" customHeight="1">
      <c r="A9" s="41"/>
      <c r="C9" s="101" t="s">
        <v>113</v>
      </c>
      <c r="D9" s="175">
        <v>45658</v>
      </c>
      <c r="E9" s="175">
        <v>46022</v>
      </c>
      <c r="F9" s="65"/>
      <c r="G9" s="65"/>
      <c r="H9" s="3"/>
      <c r="P9" s="193"/>
      <c r="Q9" s="193"/>
      <c r="R9" s="193"/>
      <c r="S9" s="193"/>
    </row>
    <row r="10" spans="1:20" s="10" customFormat="1" ht="37.5" customHeight="1">
      <c r="A10" s="194" t="s">
        <v>55</v>
      </c>
      <c r="B10" s="214" t="s">
        <v>151</v>
      </c>
      <c r="C10" s="214" t="s">
        <v>40</v>
      </c>
      <c r="D10" s="214" t="s">
        <v>277</v>
      </c>
      <c r="E10" s="214" t="s">
        <v>278</v>
      </c>
      <c r="F10" s="214" t="s">
        <v>279</v>
      </c>
      <c r="G10" s="195" t="s">
        <v>280</v>
      </c>
      <c r="H10" s="195" t="s">
        <v>281</v>
      </c>
      <c r="I10" s="195" t="s">
        <v>152</v>
      </c>
      <c r="J10" s="214" t="s">
        <v>153</v>
      </c>
      <c r="K10" s="214" t="s">
        <v>154</v>
      </c>
      <c r="L10" s="214" t="s">
        <v>155</v>
      </c>
      <c r="M10" s="214" t="s">
        <v>119</v>
      </c>
      <c r="N10" s="214" t="s">
        <v>156</v>
      </c>
      <c r="O10" s="214" t="s">
        <v>157</v>
      </c>
      <c r="P10" s="214" t="s">
        <v>158</v>
      </c>
      <c r="Q10" s="214" t="s">
        <v>159</v>
      </c>
      <c r="R10" s="214" t="s">
        <v>160</v>
      </c>
      <c r="S10" s="214" t="s">
        <v>161</v>
      </c>
      <c r="T10" s="214" t="s">
        <v>162</v>
      </c>
    </row>
    <row r="11" spans="1:20" s="10" customFormat="1" ht="19.95" customHeight="1">
      <c r="A11" s="114">
        <v>1</v>
      </c>
      <c r="B11" s="277"/>
      <c r="C11" s="276"/>
      <c r="D11" s="26"/>
      <c r="E11" s="26"/>
      <c r="F11" s="26"/>
      <c r="G11" s="152">
        <f>IF(D11&lt;=$D$9,$D$9,D11)</f>
        <v>45658</v>
      </c>
      <c r="H11" s="152">
        <f>IF(E11&lt;=$E$9,E11,$E$9)</f>
        <v>0</v>
      </c>
      <c r="I11" s="27"/>
      <c r="J11" s="23"/>
      <c r="K11" s="23"/>
      <c r="L11" s="149">
        <f>IF(G11=0,0,IF((H11-G11)=365,H11-G11,H11-G11+1))</f>
        <v>-45657</v>
      </c>
      <c r="M11" s="148">
        <f>J11*I11/365*L11</f>
        <v>0</v>
      </c>
      <c r="N11" s="148">
        <f>M11-K11</f>
        <v>0</v>
      </c>
      <c r="O11" s="148">
        <f t="shared" ref="O11:O20" si="0">M11-P11</f>
        <v>0</v>
      </c>
      <c r="P11" s="53"/>
      <c r="Q11" s="148">
        <f t="shared" ref="Q11:Q20" si="1">IF(F11=0,0,IF((H11-F11)=365,H11-F11,H11-F11+1))</f>
        <v>0</v>
      </c>
      <c r="R11" s="53"/>
      <c r="S11" s="148">
        <f t="shared" ref="S11:S21" si="2">J11*I11/365*R11</f>
        <v>0</v>
      </c>
      <c r="T11" s="275"/>
    </row>
    <row r="12" spans="1:20" s="10" customFormat="1" ht="19.95" customHeight="1">
      <c r="A12" s="114">
        <v>2</v>
      </c>
      <c r="B12" s="108"/>
      <c r="C12" s="109"/>
      <c r="D12" s="26"/>
      <c r="E12" s="26"/>
      <c r="F12" s="26"/>
      <c r="G12" s="152"/>
      <c r="H12" s="152"/>
      <c r="I12" s="27"/>
      <c r="J12" s="23"/>
      <c r="K12" s="23"/>
      <c r="L12" s="149">
        <f t="shared" ref="L12:L20" si="3">IF(G12=0,0,IF((H12-G12)=365,H12-G12,H12-G12+1))</f>
        <v>0</v>
      </c>
      <c r="M12" s="148">
        <f t="shared" ref="M12:M20" si="4">J12*I12/365*L12</f>
        <v>0</v>
      </c>
      <c r="N12" s="148">
        <f t="shared" ref="N12:N18" si="5">M12-K12</f>
        <v>0</v>
      </c>
      <c r="O12" s="148">
        <f t="shared" si="0"/>
        <v>0</v>
      </c>
      <c r="P12" s="53"/>
      <c r="Q12" s="148">
        <f t="shared" si="1"/>
        <v>0</v>
      </c>
      <c r="R12" s="53"/>
      <c r="S12" s="148">
        <f t="shared" si="2"/>
        <v>0</v>
      </c>
      <c r="T12" s="12"/>
    </row>
    <row r="13" spans="1:20" s="10" customFormat="1" ht="19.95" customHeight="1">
      <c r="A13" s="114">
        <v>3</v>
      </c>
      <c r="B13" s="108"/>
      <c r="C13" s="109"/>
      <c r="D13" s="26"/>
      <c r="E13" s="26"/>
      <c r="F13" s="26"/>
      <c r="G13" s="152"/>
      <c r="H13" s="152"/>
      <c r="I13" s="27"/>
      <c r="J13" s="23"/>
      <c r="K13" s="23"/>
      <c r="L13" s="149">
        <f t="shared" si="3"/>
        <v>0</v>
      </c>
      <c r="M13" s="148">
        <f t="shared" si="4"/>
        <v>0</v>
      </c>
      <c r="N13" s="148">
        <f t="shared" si="5"/>
        <v>0</v>
      </c>
      <c r="O13" s="148">
        <f t="shared" si="0"/>
        <v>0</v>
      </c>
      <c r="P13" s="53"/>
      <c r="Q13" s="148">
        <f t="shared" si="1"/>
        <v>0</v>
      </c>
      <c r="R13" s="53"/>
      <c r="S13" s="148">
        <f t="shared" si="2"/>
        <v>0</v>
      </c>
      <c r="T13" s="12"/>
    </row>
    <row r="14" spans="1:20" s="10" customFormat="1" ht="19.95" customHeight="1">
      <c r="A14" s="114">
        <v>4</v>
      </c>
      <c r="B14" s="110"/>
      <c r="C14" s="111"/>
      <c r="D14" s="26"/>
      <c r="E14" s="26"/>
      <c r="F14" s="26"/>
      <c r="G14" s="152"/>
      <c r="H14" s="152"/>
      <c r="I14" s="27"/>
      <c r="J14" s="23"/>
      <c r="K14" s="23"/>
      <c r="L14" s="149">
        <f t="shared" si="3"/>
        <v>0</v>
      </c>
      <c r="M14" s="148">
        <f t="shared" si="4"/>
        <v>0</v>
      </c>
      <c r="N14" s="148">
        <f t="shared" si="5"/>
        <v>0</v>
      </c>
      <c r="O14" s="148">
        <f t="shared" si="0"/>
        <v>0</v>
      </c>
      <c r="P14" s="53"/>
      <c r="Q14" s="148">
        <f t="shared" si="1"/>
        <v>0</v>
      </c>
      <c r="R14" s="53"/>
      <c r="S14" s="148">
        <f t="shared" si="2"/>
        <v>0</v>
      </c>
      <c r="T14" s="12"/>
    </row>
    <row r="15" spans="1:20" s="10" customFormat="1" ht="19.95" customHeight="1">
      <c r="A15" s="114">
        <v>5</v>
      </c>
      <c r="B15" s="110"/>
      <c r="C15" s="111"/>
      <c r="D15" s="26"/>
      <c r="E15" s="26"/>
      <c r="F15" s="26"/>
      <c r="G15" s="152"/>
      <c r="H15" s="152"/>
      <c r="I15" s="27"/>
      <c r="J15" s="23"/>
      <c r="K15" s="23"/>
      <c r="L15" s="149">
        <f t="shared" si="3"/>
        <v>0</v>
      </c>
      <c r="M15" s="148">
        <f t="shared" si="4"/>
        <v>0</v>
      </c>
      <c r="N15" s="148">
        <f t="shared" si="5"/>
        <v>0</v>
      </c>
      <c r="O15" s="148">
        <f t="shared" si="0"/>
        <v>0</v>
      </c>
      <c r="P15" s="53"/>
      <c r="Q15" s="148">
        <f t="shared" si="1"/>
        <v>0</v>
      </c>
      <c r="R15" s="53"/>
      <c r="S15" s="148">
        <f t="shared" si="2"/>
        <v>0</v>
      </c>
      <c r="T15" s="12"/>
    </row>
    <row r="16" spans="1:20" s="10" customFormat="1" ht="19.95" customHeight="1">
      <c r="A16" s="114">
        <v>6</v>
      </c>
      <c r="B16" s="108"/>
      <c r="C16" s="109"/>
      <c r="D16" s="26"/>
      <c r="E16" s="26"/>
      <c r="F16" s="26"/>
      <c r="G16" s="152"/>
      <c r="H16" s="152"/>
      <c r="I16" s="27"/>
      <c r="J16" s="23"/>
      <c r="K16" s="23"/>
      <c r="L16" s="149">
        <f t="shared" si="3"/>
        <v>0</v>
      </c>
      <c r="M16" s="148">
        <f t="shared" si="4"/>
        <v>0</v>
      </c>
      <c r="N16" s="148">
        <f>M16-K16</f>
        <v>0</v>
      </c>
      <c r="O16" s="148">
        <f t="shared" si="0"/>
        <v>0</v>
      </c>
      <c r="P16" s="53"/>
      <c r="Q16" s="148">
        <f t="shared" si="1"/>
        <v>0</v>
      </c>
      <c r="R16" s="53"/>
      <c r="S16" s="148">
        <f t="shared" si="2"/>
        <v>0</v>
      </c>
      <c r="T16" s="12"/>
    </row>
    <row r="17" spans="1:20" s="10" customFormat="1" ht="19.95" customHeight="1">
      <c r="A17" s="114">
        <v>7</v>
      </c>
      <c r="B17" s="108"/>
      <c r="C17" s="109"/>
      <c r="D17" s="26"/>
      <c r="E17" s="26"/>
      <c r="F17" s="26"/>
      <c r="G17" s="152"/>
      <c r="H17" s="152"/>
      <c r="I17" s="27"/>
      <c r="J17" s="23"/>
      <c r="K17" s="23"/>
      <c r="L17" s="149">
        <f t="shared" si="3"/>
        <v>0</v>
      </c>
      <c r="M17" s="148">
        <f t="shared" si="4"/>
        <v>0</v>
      </c>
      <c r="N17" s="148">
        <f>M17-K17</f>
        <v>0</v>
      </c>
      <c r="O17" s="148">
        <f t="shared" si="0"/>
        <v>0</v>
      </c>
      <c r="P17" s="53"/>
      <c r="Q17" s="148">
        <f t="shared" si="1"/>
        <v>0</v>
      </c>
      <c r="R17" s="53"/>
      <c r="S17" s="148">
        <f t="shared" si="2"/>
        <v>0</v>
      </c>
      <c r="T17" s="12"/>
    </row>
    <row r="18" spans="1:20" s="10" customFormat="1" ht="19.95" customHeight="1">
      <c r="A18" s="114">
        <v>8</v>
      </c>
      <c r="B18" s="112"/>
      <c r="C18" s="113"/>
      <c r="D18" s="26"/>
      <c r="E18" s="26"/>
      <c r="F18" s="26"/>
      <c r="G18" s="152"/>
      <c r="H18" s="152"/>
      <c r="I18" s="27"/>
      <c r="J18" s="23"/>
      <c r="K18" s="23"/>
      <c r="L18" s="149">
        <f t="shared" si="3"/>
        <v>0</v>
      </c>
      <c r="M18" s="148">
        <f t="shared" si="4"/>
        <v>0</v>
      </c>
      <c r="N18" s="148">
        <f t="shared" si="5"/>
        <v>0</v>
      </c>
      <c r="O18" s="148">
        <f t="shared" si="0"/>
        <v>0</v>
      </c>
      <c r="P18" s="53"/>
      <c r="Q18" s="148">
        <f t="shared" si="1"/>
        <v>0</v>
      </c>
      <c r="R18" s="53"/>
      <c r="S18" s="148">
        <f t="shared" si="2"/>
        <v>0</v>
      </c>
      <c r="T18" s="12"/>
    </row>
    <row r="19" spans="1:20" s="10" customFormat="1" ht="19.95" customHeight="1">
      <c r="A19" s="108"/>
      <c r="B19" s="114"/>
      <c r="C19" s="115"/>
      <c r="D19" s="26"/>
      <c r="E19" s="26"/>
      <c r="F19" s="26"/>
      <c r="G19" s="152"/>
      <c r="H19" s="152"/>
      <c r="I19" s="27"/>
      <c r="J19" s="23"/>
      <c r="K19" s="23"/>
      <c r="L19" s="149">
        <f t="shared" si="3"/>
        <v>0</v>
      </c>
      <c r="M19" s="148">
        <f t="shared" si="4"/>
        <v>0</v>
      </c>
      <c r="N19" s="148">
        <f>M19-K19</f>
        <v>0</v>
      </c>
      <c r="O19" s="148">
        <f t="shared" si="0"/>
        <v>0</v>
      </c>
      <c r="P19" s="53"/>
      <c r="Q19" s="148">
        <f t="shared" si="1"/>
        <v>0</v>
      </c>
      <c r="R19" s="53"/>
      <c r="S19" s="148">
        <f t="shared" si="2"/>
        <v>0</v>
      </c>
      <c r="T19" s="12"/>
    </row>
    <row r="20" spans="1:20" s="10" customFormat="1" ht="19.95" customHeight="1">
      <c r="A20" s="108"/>
      <c r="B20" s="114"/>
      <c r="C20" s="115"/>
      <c r="D20" s="26"/>
      <c r="E20" s="26"/>
      <c r="F20" s="26"/>
      <c r="G20" s="152"/>
      <c r="H20" s="152"/>
      <c r="I20" s="27"/>
      <c r="J20" s="23"/>
      <c r="K20" s="23"/>
      <c r="L20" s="149">
        <f t="shared" si="3"/>
        <v>0</v>
      </c>
      <c r="M20" s="148">
        <f t="shared" si="4"/>
        <v>0</v>
      </c>
      <c r="N20" s="148">
        <f>M20-K20</f>
        <v>0</v>
      </c>
      <c r="O20" s="148">
        <f t="shared" si="0"/>
        <v>0</v>
      </c>
      <c r="P20" s="53"/>
      <c r="Q20" s="148">
        <f t="shared" si="1"/>
        <v>0</v>
      </c>
      <c r="R20" s="53"/>
      <c r="S20" s="148">
        <f t="shared" si="2"/>
        <v>0</v>
      </c>
      <c r="T20" s="12"/>
    </row>
    <row r="21" spans="1:20" s="44" customFormat="1" ht="19.95" customHeight="1">
      <c r="A21" s="459" t="s">
        <v>51</v>
      </c>
      <c r="B21" s="459"/>
      <c r="C21" s="459"/>
      <c r="D21" s="335"/>
      <c r="E21" s="335"/>
      <c r="F21" s="335"/>
      <c r="G21" s="335"/>
      <c r="H21" s="335"/>
      <c r="I21" s="336"/>
      <c r="J21" s="337">
        <f>SUM(J11:J20)</f>
        <v>0</v>
      </c>
      <c r="K21" s="337">
        <f>SUM(K11:K20)</f>
        <v>0</v>
      </c>
      <c r="L21" s="338" t="s">
        <v>45</v>
      </c>
      <c r="M21" s="337">
        <f t="shared" ref="M21:P21" si="6">SUM(M11:M20)</f>
        <v>0</v>
      </c>
      <c r="N21" s="337">
        <f t="shared" si="6"/>
        <v>0</v>
      </c>
      <c r="O21" s="337">
        <f t="shared" si="6"/>
        <v>0</v>
      </c>
      <c r="P21" s="337">
        <f t="shared" si="6"/>
        <v>0</v>
      </c>
      <c r="Q21" s="338" t="s">
        <v>41</v>
      </c>
      <c r="R21" s="337"/>
      <c r="S21" s="337">
        <f t="shared" si="2"/>
        <v>0</v>
      </c>
      <c r="T21" s="334"/>
    </row>
    <row r="22" spans="1:20" s="10" customFormat="1" ht="19.95" customHeight="1">
      <c r="A22" s="459" t="s">
        <v>163</v>
      </c>
      <c r="B22" s="459"/>
      <c r="C22" s="459"/>
      <c r="D22" s="459"/>
      <c r="E22" s="459"/>
      <c r="F22" s="459"/>
      <c r="G22" s="459"/>
      <c r="H22" s="459"/>
      <c r="I22" s="459"/>
      <c r="J22" s="459"/>
      <c r="K22" s="25"/>
      <c r="L22" s="83"/>
      <c r="M22" s="54"/>
      <c r="N22" s="55"/>
      <c r="O22" s="55"/>
      <c r="P22" s="55"/>
      <c r="Q22" s="55"/>
      <c r="R22" s="55"/>
      <c r="S22" s="55"/>
      <c r="T22" s="57"/>
    </row>
    <row r="23" spans="1:20" s="10" customFormat="1" ht="19.95" customHeight="1">
      <c r="A23" s="459" t="s">
        <v>164</v>
      </c>
      <c r="B23" s="459"/>
      <c r="C23" s="459"/>
      <c r="D23" s="459"/>
      <c r="E23" s="459"/>
      <c r="F23" s="459"/>
      <c r="G23" s="459"/>
      <c r="H23" s="459"/>
      <c r="I23" s="459"/>
      <c r="J23" s="459"/>
      <c r="K23" s="25"/>
      <c r="L23" s="84"/>
      <c r="M23" s="56"/>
      <c r="N23" s="56"/>
      <c r="O23" s="56"/>
      <c r="P23" s="56"/>
      <c r="Q23" s="56"/>
      <c r="R23" s="56"/>
      <c r="S23" s="56"/>
      <c r="T23" s="58"/>
    </row>
    <row r="24" spans="1:20" s="10" customFormat="1" ht="19.95" customHeight="1">
      <c r="A24" s="459" t="s">
        <v>51</v>
      </c>
      <c r="B24" s="459"/>
      <c r="C24" s="459"/>
      <c r="D24" s="459"/>
      <c r="E24" s="459"/>
      <c r="F24" s="459"/>
      <c r="G24" s="459"/>
      <c r="H24" s="459"/>
      <c r="I24" s="459"/>
      <c r="J24" s="459"/>
      <c r="K24" s="282">
        <f>K22+K23</f>
        <v>0</v>
      </c>
      <c r="L24" s="84"/>
      <c r="M24" s="56"/>
      <c r="N24" s="56"/>
      <c r="O24" s="56"/>
      <c r="P24" s="56"/>
      <c r="Q24" s="56"/>
      <c r="R24" s="56"/>
      <c r="S24" s="56"/>
      <c r="T24" s="58"/>
    </row>
    <row r="25" spans="1:20" s="10" customFormat="1" ht="19.95" customHeight="1">
      <c r="A25" s="459" t="s">
        <v>165</v>
      </c>
      <c r="B25" s="459"/>
      <c r="C25" s="459"/>
      <c r="D25" s="459"/>
      <c r="E25" s="459"/>
      <c r="F25" s="459"/>
      <c r="G25" s="459"/>
      <c r="H25" s="459"/>
      <c r="I25" s="459"/>
      <c r="J25" s="459"/>
      <c r="K25" s="282">
        <f>K24-K21</f>
        <v>0</v>
      </c>
      <c r="L25" s="84"/>
      <c r="M25" s="56"/>
      <c r="N25" s="56"/>
      <c r="O25" s="56"/>
      <c r="P25" s="56"/>
      <c r="Q25" s="56"/>
      <c r="R25" s="56"/>
      <c r="S25" s="56"/>
      <c r="T25" s="58"/>
    </row>
    <row r="26" spans="1:20" s="10" customFormat="1" ht="19.95" customHeight="1">
      <c r="E26" s="151"/>
      <c r="F26" s="151"/>
      <c r="G26" s="151"/>
      <c r="H26" s="151"/>
      <c r="I26" s="151"/>
      <c r="J26" s="151"/>
      <c r="K26" s="151"/>
    </row>
    <row r="27" spans="1:20" s="10" customFormat="1" ht="19.95" customHeight="1">
      <c r="A27" s="34" t="s">
        <v>30</v>
      </c>
      <c r="C27" s="196"/>
      <c r="D27" s="151"/>
      <c r="E27" s="151"/>
      <c r="F27" s="151"/>
      <c r="G27" s="151"/>
      <c r="H27" s="151"/>
      <c r="I27" s="151"/>
      <c r="J27" s="151"/>
      <c r="K27" s="151"/>
    </row>
    <row r="28" spans="1:20" s="10" customFormat="1" ht="19.95" customHeight="1">
      <c r="C28" s="196"/>
      <c r="D28" s="151"/>
      <c r="E28" s="151"/>
      <c r="F28" s="151"/>
      <c r="G28" s="151"/>
      <c r="H28" s="151"/>
      <c r="I28" s="151"/>
      <c r="J28" s="151"/>
      <c r="K28" s="151"/>
    </row>
    <row r="29" spans="1:20" s="10" customFormat="1" ht="19.95" customHeight="1">
      <c r="A29" s="34" t="s">
        <v>31</v>
      </c>
    </row>
    <row r="30" spans="1:20" s="10" customFormat="1" ht="19.95" customHeight="1"/>
  </sheetData>
  <mergeCells count="7">
    <mergeCell ref="A24:J24"/>
    <mergeCell ref="A25:J25"/>
    <mergeCell ref="A1:T1"/>
    <mergeCell ref="A2:T2"/>
    <mergeCell ref="A21:C21"/>
    <mergeCell ref="A22:J22"/>
    <mergeCell ref="A23:J23"/>
  </mergeCells>
  <phoneticPr fontId="14" type="noConversion"/>
  <hyperlinks>
    <hyperlink ref="T3" location="底稿目录!A1" display="底稿目录!A1"/>
  </hyperlinks>
  <printOptions horizontalCentered="1"/>
  <pageMargins left="0.70866141732283472" right="0.70866141732283472" top="0.74803149606299213" bottom="0.74803149606299213" header="0.31496062992125984" footer="0.31496062992125984"/>
  <pageSetup paperSize="9" scale="55" fitToHeight="0" orientation="landscape" blackAndWhite="1" r:id="rId1"/>
  <headerFooter alignWithMargins="0">
    <oddFooter>&amp;C&amp;P/&amp;N</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AF37"/>
  <sheetViews>
    <sheetView view="pageBreakPreview" zoomScaleNormal="70" zoomScaleSheetLayoutView="100" workbookViewId="0">
      <selection sqref="A1:M1"/>
    </sheetView>
  </sheetViews>
  <sheetFormatPr defaultColWidth="8.69921875" defaultRowHeight="13.8"/>
  <cols>
    <col min="1" max="1" width="5.19921875" style="10" customWidth="1"/>
    <col min="2" max="2" width="19.8984375" style="10" customWidth="1"/>
    <col min="3" max="3" width="20.59765625" style="10" customWidth="1"/>
    <col min="4" max="4" width="11.3984375" style="10" customWidth="1"/>
    <col min="5" max="5" width="11.796875" style="10" customWidth="1"/>
    <col min="6" max="6" width="13.19921875" style="10" customWidth="1"/>
    <col min="7" max="7" width="15.3984375" style="10" customWidth="1"/>
    <col min="8" max="8" width="8.3984375" style="10" customWidth="1"/>
    <col min="9" max="9" width="8" style="10" customWidth="1"/>
    <col min="10" max="10" width="8.69921875" style="106"/>
    <col min="11" max="11" width="8.3984375" style="106" customWidth="1"/>
    <col min="12" max="12" width="6.59765625" style="10" customWidth="1"/>
    <col min="13" max="13" width="20.69921875" style="10" customWidth="1"/>
    <col min="14" max="14" width="7.59765625" style="10" customWidth="1"/>
    <col min="15" max="15" width="7.19921875" style="28" customWidth="1"/>
    <col min="16" max="16" width="10.19921875" style="10" customWidth="1"/>
    <col min="17" max="17" width="16.8984375" style="10" customWidth="1"/>
    <col min="18" max="18" width="19.3984375" style="10" customWidth="1"/>
    <col min="19" max="19" width="20.296875" style="10" customWidth="1"/>
    <col min="20" max="20" width="9.3984375" style="10" customWidth="1"/>
    <col min="21" max="21" width="7.8984375" style="10" customWidth="1"/>
    <col min="22" max="22" width="12" style="10" customWidth="1"/>
    <col min="23" max="23" width="13.59765625" style="10" customWidth="1"/>
    <col min="24" max="24" width="23.09765625" style="10" customWidth="1"/>
    <col min="25" max="25" width="8.8984375" style="10" customWidth="1"/>
    <col min="26" max="26" width="11.59765625" style="10" customWidth="1"/>
    <col min="27" max="29" width="10.59765625" style="10" customWidth="1"/>
    <col min="30" max="16384" width="8.69921875" style="10"/>
  </cols>
  <sheetData>
    <row r="1" spans="1:32" s="14" customFormat="1" ht="19.95" customHeight="1">
      <c r="A1" s="460" t="s">
        <v>96</v>
      </c>
      <c r="B1" s="460"/>
      <c r="C1" s="460"/>
      <c r="D1" s="460"/>
      <c r="E1" s="460"/>
      <c r="F1" s="460"/>
      <c r="G1" s="460"/>
      <c r="H1" s="460"/>
      <c r="I1" s="460"/>
      <c r="J1" s="460"/>
      <c r="K1" s="460"/>
      <c r="L1" s="460"/>
      <c r="M1" s="460"/>
      <c r="N1" s="29"/>
      <c r="O1" s="29"/>
      <c r="P1" s="29"/>
      <c r="Q1" s="29"/>
      <c r="R1" s="460" t="s">
        <v>96</v>
      </c>
      <c r="S1" s="460"/>
      <c r="T1" s="460"/>
      <c r="U1" s="460"/>
      <c r="V1" s="460"/>
      <c r="W1" s="460"/>
      <c r="X1" s="29"/>
      <c r="Y1" s="29"/>
      <c r="Z1" s="29"/>
      <c r="AA1" s="29"/>
      <c r="AB1" s="29"/>
      <c r="AC1" s="29"/>
      <c r="AD1" s="29"/>
    </row>
    <row r="2" spans="1:32" s="303" customFormat="1" ht="19.95" customHeight="1">
      <c r="A2" s="461" t="s">
        <v>124</v>
      </c>
      <c r="B2" s="461"/>
      <c r="C2" s="461"/>
      <c r="D2" s="461"/>
      <c r="E2" s="461"/>
      <c r="F2" s="461"/>
      <c r="G2" s="461"/>
      <c r="H2" s="461"/>
      <c r="I2" s="461"/>
      <c r="J2" s="461"/>
      <c r="K2" s="461"/>
      <c r="L2" s="461"/>
      <c r="M2" s="461"/>
      <c r="N2" s="302"/>
      <c r="O2" s="302"/>
      <c r="P2" s="302"/>
      <c r="Q2" s="302"/>
      <c r="R2" s="461" t="s">
        <v>124</v>
      </c>
      <c r="S2" s="461"/>
      <c r="T2" s="461"/>
      <c r="U2" s="461"/>
      <c r="V2" s="461"/>
      <c r="W2" s="461"/>
      <c r="X2" s="302"/>
      <c r="Y2" s="302"/>
      <c r="Z2" s="302"/>
      <c r="AA2" s="302"/>
      <c r="AB2" s="302"/>
      <c r="AC2" s="302"/>
      <c r="AD2" s="302"/>
    </row>
    <row r="3" spans="1:32" ht="19.95" customHeight="1">
      <c r="B3" s="10" t="str">
        <f>底稿目录!A2</f>
        <v>被审计单位：</v>
      </c>
      <c r="D3" s="65" t="str">
        <f>底稿目录!A4</f>
        <v>编制人：</v>
      </c>
      <c r="F3" s="65"/>
      <c r="G3" s="105" t="str">
        <f>底稿目录!A6</f>
        <v>复核人：</v>
      </c>
      <c r="H3" s="3"/>
      <c r="I3" s="3"/>
      <c r="J3" s="105"/>
      <c r="K3" s="107"/>
      <c r="L3" s="22" t="s">
        <v>77</v>
      </c>
      <c r="M3" s="389" t="str">
        <f>底稿目录!F12</f>
        <v>L1-6</v>
      </c>
      <c r="N3" s="10" t="str">
        <f>B3</f>
        <v>被审计单位：</v>
      </c>
      <c r="O3" s="179"/>
      <c r="R3" s="215" t="str">
        <f>D3</f>
        <v>编制人：</v>
      </c>
      <c r="W3" s="106" t="str">
        <f>G3</f>
        <v>复核人：</v>
      </c>
      <c r="Y3" s="22" t="s">
        <v>77</v>
      </c>
      <c r="Z3" s="389" t="str">
        <f>M3</f>
        <v>L1-6</v>
      </c>
    </row>
    <row r="4" spans="1:32" ht="19.95" customHeight="1">
      <c r="B4" s="10" t="str">
        <f>底稿目录!A3</f>
        <v>截止日：202X年12月31日</v>
      </c>
      <c r="D4" s="65" t="str">
        <f>底稿目录!A5</f>
        <v>编制日期：</v>
      </c>
      <c r="F4" s="65"/>
      <c r="G4" s="105" t="str">
        <f>底稿目录!A7</f>
        <v>复核日期：</v>
      </c>
      <c r="H4" s="3"/>
      <c r="I4" s="3"/>
      <c r="J4" s="105"/>
      <c r="K4" s="107"/>
      <c r="L4" s="22" t="s">
        <v>111</v>
      </c>
      <c r="N4" s="10" t="str">
        <f t="shared" ref="N4" si="0">B4</f>
        <v>截止日：202X年12月31日</v>
      </c>
      <c r="O4" s="179"/>
      <c r="R4" s="215" t="str">
        <f>D4</f>
        <v>编制日期：</v>
      </c>
      <c r="W4" s="106" t="str">
        <f>G4</f>
        <v>复核日期：</v>
      </c>
      <c r="Y4" s="22" t="s">
        <v>111</v>
      </c>
    </row>
    <row r="5" spans="1:32" ht="19.95" customHeight="1">
      <c r="B5" s="305" t="s">
        <v>308</v>
      </c>
      <c r="D5" s="88"/>
      <c r="E5" s="88"/>
      <c r="F5" s="88"/>
      <c r="G5" s="88"/>
      <c r="H5" s="88"/>
      <c r="I5" s="88"/>
      <c r="J5" s="178"/>
      <c r="K5" s="178"/>
      <c r="L5" s="88"/>
      <c r="M5" s="88"/>
      <c r="N5" s="305"/>
      <c r="O5" s="180"/>
      <c r="P5" s="88"/>
      <c r="Q5" s="88"/>
      <c r="R5" s="88"/>
      <c r="S5" s="88"/>
      <c r="T5" s="88"/>
      <c r="U5" s="88"/>
      <c r="V5" s="88"/>
      <c r="W5" s="88"/>
      <c r="X5" s="88"/>
      <c r="Y5" s="88"/>
      <c r="Z5" s="88"/>
    </row>
    <row r="6" spans="1:32" ht="19.95" customHeight="1">
      <c r="B6" s="88" t="s">
        <v>112</v>
      </c>
      <c r="D6" s="88"/>
      <c r="E6" s="88"/>
      <c r="F6" s="88"/>
      <c r="G6" s="88"/>
      <c r="H6" s="88"/>
      <c r="I6" s="88"/>
      <c r="J6" s="178"/>
      <c r="K6" s="178"/>
      <c r="L6" s="88"/>
      <c r="M6" s="88"/>
      <c r="N6" s="88"/>
      <c r="O6" s="180"/>
      <c r="P6" s="88"/>
      <c r="Q6" s="88"/>
      <c r="R6" s="88"/>
      <c r="S6" s="88"/>
      <c r="T6" s="88"/>
      <c r="U6" s="88"/>
      <c r="V6" s="88"/>
      <c r="W6" s="88"/>
      <c r="X6" s="88"/>
      <c r="Y6" s="88"/>
      <c r="Z6" s="88"/>
    </row>
    <row r="7" spans="1:32" ht="19.95" customHeight="1">
      <c r="B7" s="305" t="s">
        <v>309</v>
      </c>
      <c r="F7" s="65"/>
      <c r="G7" s="65"/>
      <c r="H7" s="3"/>
      <c r="I7" s="3"/>
      <c r="J7" s="105"/>
      <c r="K7" s="10"/>
      <c r="L7" s="22"/>
      <c r="M7" s="22"/>
      <c r="N7" s="305"/>
      <c r="O7" s="179"/>
      <c r="P7" s="22"/>
      <c r="Q7" s="22"/>
      <c r="R7" s="22"/>
      <c r="S7" s="22"/>
      <c r="T7" s="22"/>
      <c r="U7" s="22"/>
    </row>
    <row r="8" spans="1:32" s="1" customFormat="1" ht="28.8" customHeight="1">
      <c r="B8" s="442" t="s">
        <v>383</v>
      </c>
      <c r="C8" s="442"/>
      <c r="D8" s="442"/>
      <c r="E8" s="442"/>
      <c r="F8" s="442"/>
      <c r="G8" s="442"/>
      <c r="H8" s="442"/>
      <c r="I8" s="442"/>
      <c r="J8" s="442"/>
      <c r="K8" s="442"/>
      <c r="L8" s="442"/>
      <c r="M8" s="442"/>
      <c r="O8" s="304"/>
      <c r="P8" s="173"/>
      <c r="Q8" s="173"/>
      <c r="R8" s="173"/>
      <c r="S8" s="173"/>
      <c r="T8" s="173"/>
      <c r="U8" s="173"/>
    </row>
    <row r="9" spans="1:32" s="1" customFormat="1" ht="26.4" customHeight="1">
      <c r="B9" s="442" t="s">
        <v>81</v>
      </c>
      <c r="C9" s="442"/>
      <c r="D9" s="442"/>
      <c r="E9" s="442"/>
      <c r="F9" s="442"/>
      <c r="G9" s="442"/>
      <c r="H9" s="442"/>
      <c r="I9" s="442"/>
      <c r="J9" s="442"/>
      <c r="K9" s="442"/>
      <c r="L9" s="442"/>
      <c r="M9" s="442"/>
      <c r="O9" s="304"/>
      <c r="P9" s="173"/>
      <c r="Q9" s="173"/>
      <c r="R9" s="173"/>
      <c r="S9" s="173"/>
      <c r="T9" s="173"/>
      <c r="U9" s="173"/>
    </row>
    <row r="10" spans="1:32" ht="19.95" customHeight="1">
      <c r="A10" s="85"/>
      <c r="B10" s="85" t="s">
        <v>340</v>
      </c>
      <c r="F10" s="65"/>
      <c r="G10" s="65"/>
      <c r="H10" s="65"/>
      <c r="I10" s="65"/>
      <c r="L10" s="3"/>
      <c r="M10" s="3"/>
      <c r="N10" s="3"/>
      <c r="O10" s="181"/>
      <c r="P10" s="22"/>
      <c r="Q10" s="22"/>
      <c r="R10" s="105"/>
      <c r="S10" s="107"/>
      <c r="T10" s="107"/>
      <c r="U10" s="107"/>
      <c r="V10" s="22"/>
      <c r="W10" s="22"/>
      <c r="X10" s="22"/>
      <c r="Y10" s="22"/>
      <c r="Z10" s="22"/>
      <c r="AA10" s="22"/>
      <c r="AB10" s="22"/>
    </row>
    <row r="11" spans="1:32" s="58" customFormat="1" ht="54" customHeight="1">
      <c r="A11" s="280" t="s">
        <v>282</v>
      </c>
      <c r="B11" s="254" t="s">
        <v>125</v>
      </c>
      <c r="C11" s="254" t="s">
        <v>126</v>
      </c>
      <c r="D11" s="254" t="s">
        <v>127</v>
      </c>
      <c r="E11" s="254" t="s">
        <v>128</v>
      </c>
      <c r="F11" s="254" t="s">
        <v>129</v>
      </c>
      <c r="G11" s="254" t="s">
        <v>130</v>
      </c>
      <c r="H11" s="254" t="s">
        <v>131</v>
      </c>
      <c r="I11" s="254" t="s">
        <v>132</v>
      </c>
      <c r="J11" s="186" t="s">
        <v>133</v>
      </c>
      <c r="K11" s="186" t="s">
        <v>134</v>
      </c>
      <c r="L11" s="254" t="s">
        <v>135</v>
      </c>
      <c r="M11" s="254" t="s">
        <v>136</v>
      </c>
      <c r="N11" s="331" t="s">
        <v>339</v>
      </c>
      <c r="O11" s="254" t="s">
        <v>137</v>
      </c>
      <c r="P11" s="254" t="s">
        <v>138</v>
      </c>
      <c r="Q11" s="254" t="s">
        <v>139</v>
      </c>
      <c r="R11" s="254" t="s">
        <v>140</v>
      </c>
      <c r="S11" s="254" t="s">
        <v>141</v>
      </c>
      <c r="T11" s="254" t="s">
        <v>334</v>
      </c>
      <c r="U11" s="254" t="s">
        <v>142</v>
      </c>
      <c r="V11" s="254" t="s">
        <v>143</v>
      </c>
      <c r="W11" s="254" t="s">
        <v>144</v>
      </c>
      <c r="X11" s="254" t="s">
        <v>145</v>
      </c>
      <c r="Y11" s="254" t="s">
        <v>146</v>
      </c>
      <c r="Z11" s="254" t="s">
        <v>147</v>
      </c>
      <c r="AA11" s="22"/>
      <c r="AB11" s="22"/>
      <c r="AC11" s="10"/>
      <c r="AD11" s="10"/>
      <c r="AE11" s="10"/>
      <c r="AF11" s="10"/>
    </row>
    <row r="12" spans="1:32" ht="19.95" customHeight="1">
      <c r="A12" s="114">
        <v>1</v>
      </c>
      <c r="B12" s="24"/>
      <c r="C12" s="24"/>
      <c r="D12" s="24"/>
      <c r="E12" s="16"/>
      <c r="F12" s="16"/>
      <c r="G12" s="24"/>
      <c r="H12" s="24"/>
      <c r="I12" s="24"/>
      <c r="J12" s="279"/>
      <c r="K12" s="279"/>
      <c r="L12" s="187"/>
      <c r="M12" s="188"/>
      <c r="N12" s="189"/>
      <c r="O12" s="189"/>
      <c r="P12" s="189"/>
      <c r="Q12" s="190"/>
      <c r="R12" s="188"/>
      <c r="S12" s="188"/>
      <c r="T12" s="332"/>
      <c r="U12" s="188"/>
      <c r="V12" s="188"/>
      <c r="W12" s="188"/>
      <c r="X12" s="188"/>
      <c r="Y12" s="188"/>
      <c r="Z12" s="188"/>
      <c r="AA12" s="22"/>
      <c r="AB12" s="22"/>
    </row>
    <row r="13" spans="1:32" ht="19.95" customHeight="1">
      <c r="A13" s="114">
        <v>2</v>
      </c>
      <c r="B13" s="24"/>
      <c r="C13" s="24"/>
      <c r="D13" s="24"/>
      <c r="E13" s="16"/>
      <c r="F13" s="16"/>
      <c r="G13" s="16"/>
      <c r="H13" s="24"/>
      <c r="I13" s="24"/>
      <c r="J13" s="279"/>
      <c r="K13" s="279"/>
      <c r="L13" s="187"/>
      <c r="M13" s="188"/>
      <c r="N13" s="189"/>
      <c r="O13" s="189"/>
      <c r="P13" s="189"/>
      <c r="Q13" s="190"/>
      <c r="R13" s="188"/>
      <c r="S13" s="188"/>
      <c r="T13" s="332"/>
      <c r="U13" s="188"/>
      <c r="V13" s="188"/>
      <c r="W13" s="188"/>
      <c r="X13" s="188"/>
      <c r="Y13" s="188"/>
      <c r="Z13" s="188"/>
      <c r="AA13" s="22"/>
      <c r="AB13" s="22"/>
    </row>
    <row r="14" spans="1:32" ht="19.95" customHeight="1">
      <c r="A14" s="114">
        <v>3</v>
      </c>
      <c r="B14" s="24"/>
      <c r="C14" s="24"/>
      <c r="D14" s="24"/>
      <c r="E14" s="16"/>
      <c r="F14" s="16"/>
      <c r="G14" s="16"/>
      <c r="H14" s="24"/>
      <c r="I14" s="16"/>
      <c r="J14" s="279"/>
      <c r="K14" s="279"/>
      <c r="L14" s="191"/>
      <c r="M14" s="191"/>
      <c r="N14" s="189"/>
      <c r="O14" s="189"/>
      <c r="P14" s="189"/>
      <c r="Q14" s="24"/>
      <c r="R14" s="191"/>
      <c r="S14" s="188"/>
      <c r="T14" s="333"/>
      <c r="U14" s="188"/>
      <c r="V14" s="188"/>
      <c r="W14" s="188"/>
      <c r="X14" s="188"/>
      <c r="Y14" s="188"/>
      <c r="Z14" s="188"/>
      <c r="AA14" s="22"/>
      <c r="AB14" s="22"/>
    </row>
    <row r="15" spans="1:32" ht="19.95" customHeight="1">
      <c r="A15" s="114">
        <v>4</v>
      </c>
      <c r="B15" s="24"/>
      <c r="C15" s="24"/>
      <c r="D15" s="24"/>
      <c r="E15" s="16"/>
      <c r="F15" s="24"/>
      <c r="G15" s="16"/>
      <c r="H15" s="24"/>
      <c r="I15" s="16"/>
      <c r="J15" s="279"/>
      <c r="K15" s="273"/>
      <c r="L15" s="191"/>
      <c r="M15" s="191"/>
      <c r="N15" s="189"/>
      <c r="O15" s="189"/>
      <c r="P15" s="189"/>
      <c r="Q15" s="190"/>
      <c r="R15" s="191"/>
      <c r="S15" s="188"/>
      <c r="T15" s="333"/>
      <c r="U15" s="188"/>
      <c r="V15" s="188"/>
      <c r="W15" s="188"/>
      <c r="X15" s="188"/>
      <c r="Y15" s="188"/>
      <c r="Z15" s="188"/>
      <c r="AA15" s="22"/>
      <c r="AB15" s="22"/>
    </row>
    <row r="16" spans="1:32" ht="19.95" customHeight="1">
      <c r="A16" s="114">
        <v>5</v>
      </c>
      <c r="B16" s="24"/>
      <c r="C16" s="24"/>
      <c r="D16" s="24"/>
      <c r="E16" s="16"/>
      <c r="F16" s="24"/>
      <c r="G16" s="16"/>
      <c r="H16" s="24"/>
      <c r="I16" s="16"/>
      <c r="J16" s="279"/>
      <c r="K16" s="273"/>
      <c r="L16" s="191"/>
      <c r="M16" s="191"/>
      <c r="N16" s="189"/>
      <c r="O16" s="189"/>
      <c r="P16" s="189"/>
      <c r="Q16" s="190"/>
      <c r="R16" s="191"/>
      <c r="S16" s="188"/>
      <c r="T16" s="333"/>
      <c r="U16" s="188"/>
      <c r="V16" s="188"/>
      <c r="W16" s="188"/>
      <c r="X16" s="188"/>
      <c r="Y16" s="188"/>
      <c r="Z16" s="190"/>
      <c r="AA16" s="22"/>
      <c r="AB16" s="22"/>
    </row>
    <row r="17" spans="1:28" ht="19.95" customHeight="1">
      <c r="A17" s="114">
        <v>6</v>
      </c>
      <c r="B17" s="24"/>
      <c r="C17" s="24"/>
      <c r="D17" s="24"/>
      <c r="E17" s="16"/>
      <c r="F17" s="24"/>
      <c r="G17" s="16"/>
      <c r="H17" s="24"/>
      <c r="I17" s="16"/>
      <c r="J17" s="279"/>
      <c r="K17" s="273"/>
      <c r="L17" s="191"/>
      <c r="M17" s="191"/>
      <c r="N17" s="189"/>
      <c r="O17" s="189"/>
      <c r="P17" s="189"/>
      <c r="Q17" s="190"/>
      <c r="R17" s="191"/>
      <c r="S17" s="188"/>
      <c r="T17" s="333"/>
      <c r="U17" s="188"/>
      <c r="V17" s="188"/>
      <c r="W17" s="188"/>
      <c r="X17" s="188"/>
      <c r="Y17" s="188"/>
      <c r="Z17" s="190"/>
      <c r="AA17" s="22"/>
      <c r="AB17" s="22"/>
    </row>
    <row r="18" spans="1:28" ht="19.95" customHeight="1">
      <c r="A18" s="114">
        <v>7</v>
      </c>
      <c r="B18" s="24"/>
      <c r="C18" s="24"/>
      <c r="D18" s="24"/>
      <c r="E18" s="16"/>
      <c r="F18" s="24"/>
      <c r="G18" s="16"/>
      <c r="H18" s="24"/>
      <c r="I18" s="16"/>
      <c r="J18" s="279"/>
      <c r="K18" s="273"/>
      <c r="L18" s="191"/>
      <c r="M18" s="191"/>
      <c r="N18" s="189"/>
      <c r="O18" s="189"/>
      <c r="P18" s="189"/>
      <c r="Q18" s="190"/>
      <c r="R18" s="191"/>
      <c r="S18" s="188"/>
      <c r="T18" s="333"/>
      <c r="U18" s="188"/>
      <c r="V18" s="188"/>
      <c r="W18" s="188"/>
      <c r="X18" s="188"/>
      <c r="Y18" s="188"/>
      <c r="Z18" s="190"/>
      <c r="AA18" s="22"/>
      <c r="AB18" s="22"/>
    </row>
    <row r="19" spans="1:28" ht="19.95" customHeight="1">
      <c r="A19" s="114">
        <v>8</v>
      </c>
      <c r="B19" s="24"/>
      <c r="C19" s="24"/>
      <c r="D19" s="24"/>
      <c r="E19" s="16"/>
      <c r="F19" s="24"/>
      <c r="G19" s="16"/>
      <c r="H19" s="24"/>
      <c r="I19" s="16"/>
      <c r="J19" s="279"/>
      <c r="K19" s="273"/>
      <c r="L19" s="191"/>
      <c r="M19" s="191"/>
      <c r="N19" s="189"/>
      <c r="O19" s="189"/>
      <c r="P19" s="189"/>
      <c r="Q19" s="190"/>
      <c r="R19" s="191"/>
      <c r="S19" s="188"/>
      <c r="T19" s="333"/>
      <c r="U19" s="188"/>
      <c r="V19" s="188"/>
      <c r="W19" s="188"/>
      <c r="X19" s="188"/>
      <c r="Y19" s="188"/>
      <c r="Z19" s="190"/>
      <c r="AA19" s="22"/>
      <c r="AB19" s="22"/>
    </row>
    <row r="20" spans="1:28" ht="19.95" customHeight="1">
      <c r="A20" s="114">
        <v>9</v>
      </c>
      <c r="B20" s="24"/>
      <c r="C20" s="24"/>
      <c r="D20" s="24"/>
      <c r="E20" s="16"/>
      <c r="F20" s="24"/>
      <c r="G20" s="16"/>
      <c r="H20" s="24"/>
      <c r="I20" s="16"/>
      <c r="J20" s="279"/>
      <c r="K20" s="273"/>
      <c r="L20" s="191"/>
      <c r="M20" s="191"/>
      <c r="N20" s="189"/>
      <c r="O20" s="189"/>
      <c r="P20" s="189"/>
      <c r="Q20" s="190"/>
      <c r="R20" s="191"/>
      <c r="S20" s="188"/>
      <c r="T20" s="333"/>
      <c r="U20" s="188"/>
      <c r="V20" s="188"/>
      <c r="W20" s="188"/>
      <c r="X20" s="188"/>
      <c r="Y20" s="188"/>
      <c r="Z20" s="190"/>
      <c r="AA20" s="22"/>
      <c r="AB20" s="22"/>
    </row>
    <row r="21" spans="1:28" ht="19.95" customHeight="1">
      <c r="A21" s="123"/>
      <c r="B21" s="123" t="s">
        <v>30</v>
      </c>
      <c r="N21" s="28"/>
      <c r="P21" s="28"/>
      <c r="AA21" s="22"/>
      <c r="AB21" s="22"/>
    </row>
    <row r="22" spans="1:28" ht="19.95" customHeight="1">
      <c r="C22" s="106"/>
      <c r="D22" s="106"/>
      <c r="J22" s="10"/>
      <c r="K22" s="10"/>
    </row>
    <row r="23" spans="1:28" ht="19.95" customHeight="1">
      <c r="A23" s="123"/>
      <c r="B23" s="123" t="s">
        <v>31</v>
      </c>
      <c r="C23" s="106"/>
      <c r="D23" s="106"/>
      <c r="J23" s="10"/>
      <c r="K23" s="10"/>
    </row>
    <row r="24" spans="1:28" ht="19.95" customHeight="1"/>
    <row r="25" spans="1:28" ht="19.95" customHeight="1"/>
    <row r="26" spans="1:28" ht="19.95" customHeight="1"/>
    <row r="27" spans="1:28" ht="19.95" customHeight="1"/>
    <row r="28" spans="1:28" ht="19.95" customHeight="1"/>
    <row r="29" spans="1:28" ht="19.95" customHeight="1"/>
    <row r="30" spans="1:28" ht="19.95" customHeight="1"/>
    <row r="31" spans="1:28" ht="19.95" customHeight="1"/>
    <row r="32" spans="1:28" ht="19.95" customHeight="1"/>
    <row r="33" ht="19.95" customHeight="1"/>
    <row r="34" ht="19.95" customHeight="1"/>
    <row r="35" ht="19.95" customHeight="1"/>
    <row r="36" ht="19.95" customHeight="1"/>
    <row r="37" ht="19.95" customHeight="1"/>
  </sheetData>
  <mergeCells count="6">
    <mergeCell ref="B9:M9"/>
    <mergeCell ref="R1:W1"/>
    <mergeCell ref="R2:W2"/>
    <mergeCell ref="A1:M1"/>
    <mergeCell ref="A2:M2"/>
    <mergeCell ref="B8:M8"/>
  </mergeCells>
  <phoneticPr fontId="14" type="noConversion"/>
  <dataValidations count="3">
    <dataValidation type="list" allowBlank="1" showInputMessage="1" showErrorMessage="1" sqref="E12:E20">
      <formula1>"综合授信协议,借款合同,保证合同,抵押合同,质押合同"</formula1>
    </dataValidation>
    <dataValidation type="list" allowBlank="1" showInputMessage="1" showErrorMessage="1" sqref="H12:H20">
      <formula1>"信用借款,保证借款,抵押借款,质押借款,——"</formula1>
    </dataValidation>
    <dataValidation type="list" allowBlank="1" showInputMessage="1" showErrorMessage="1" sqref="O12 O14:O20">
      <formula1>"是,否"</formula1>
    </dataValidation>
  </dataValidations>
  <hyperlinks>
    <hyperlink ref="M3" location="底稿目录!A1" display="底稿目录!A1"/>
    <hyperlink ref="Z3" location="底稿目录!A1" display="底稿目录!A1"/>
  </hyperlinks>
  <pageMargins left="0.70866141732283472" right="0.70866141732283472" top="0.74803149606299213" bottom="0.74803149606299213" header="0.31496062992125984" footer="0.31496062992125984"/>
  <pageSetup paperSize="9" scale="70" orientation="landscape" blackAndWhite="1" r:id="rId1"/>
  <headerFooter>
    <oddFooter>&amp;C&amp;P/&amp;N</oddFooter>
  </headerFooter>
  <colBreaks count="1" manualBreakCount="1">
    <brk id="13" max="24"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V28"/>
  <sheetViews>
    <sheetView view="pageBreakPreview" zoomScaleSheetLayoutView="100" workbookViewId="0">
      <selection sqref="A1:R1"/>
    </sheetView>
  </sheetViews>
  <sheetFormatPr defaultColWidth="9" defaultRowHeight="19.95" customHeight="1"/>
  <cols>
    <col min="1" max="1" width="3.59765625" style="10" customWidth="1"/>
    <col min="2" max="3" width="9" style="10"/>
    <col min="4" max="4" width="11.19921875" style="10" customWidth="1"/>
    <col min="5" max="5" width="10" style="10" bestFit="1" customWidth="1"/>
    <col min="6" max="6" width="9" style="10"/>
    <col min="7" max="7" width="9.09765625" style="10" customWidth="1"/>
    <col min="8" max="8" width="9.09765625" style="10" bestFit="1" customWidth="1"/>
    <col min="9" max="9" width="9.5" style="10" bestFit="1" customWidth="1"/>
    <col min="10" max="10" width="10.69921875" style="10" customWidth="1"/>
    <col min="11" max="13" width="0" style="10" hidden="1" customWidth="1"/>
    <col min="14" max="15" width="9" style="10"/>
    <col min="16" max="16" width="11.5" style="10" customWidth="1"/>
    <col min="17" max="17" width="10.296875" style="10" customWidth="1"/>
    <col min="18" max="18" width="11.09765625" style="10" customWidth="1"/>
    <col min="19" max="16384" width="9" style="10"/>
  </cols>
  <sheetData>
    <row r="1" spans="1:22" s="93" customFormat="1" ht="19.95" customHeight="1">
      <c r="A1" s="462" t="s">
        <v>99</v>
      </c>
      <c r="B1" s="462"/>
      <c r="C1" s="462"/>
      <c r="D1" s="462"/>
      <c r="E1" s="462"/>
      <c r="F1" s="462"/>
      <c r="G1" s="462"/>
      <c r="H1" s="462"/>
      <c r="I1" s="462"/>
      <c r="J1" s="462"/>
      <c r="K1" s="462"/>
      <c r="L1" s="462"/>
      <c r="M1" s="462"/>
      <c r="N1" s="462"/>
      <c r="O1" s="462"/>
      <c r="P1" s="462"/>
      <c r="Q1" s="462"/>
      <c r="R1" s="462"/>
      <c r="S1" s="92"/>
      <c r="T1" s="92"/>
      <c r="U1" s="92"/>
      <c r="V1" s="92"/>
    </row>
    <row r="2" spans="1:22" s="92" customFormat="1" ht="19.95" customHeight="1">
      <c r="A2" s="463" t="s">
        <v>123</v>
      </c>
      <c r="B2" s="463"/>
      <c r="C2" s="463"/>
      <c r="D2" s="463"/>
      <c r="E2" s="463"/>
      <c r="F2" s="463"/>
      <c r="G2" s="463"/>
      <c r="H2" s="463"/>
      <c r="I2" s="463"/>
      <c r="J2" s="463"/>
      <c r="K2" s="463"/>
      <c r="L2" s="463"/>
      <c r="M2" s="463"/>
      <c r="N2" s="463"/>
      <c r="O2" s="463"/>
      <c r="P2" s="463"/>
      <c r="Q2" s="463"/>
      <c r="R2" s="463"/>
    </row>
    <row r="3" spans="1:22" s="22" customFormat="1" ht="19.95" customHeight="1">
      <c r="A3" s="10" t="str">
        <f>底稿目录!A2</f>
        <v>被审计单位：</v>
      </c>
      <c r="B3" s="10"/>
      <c r="C3" s="65"/>
      <c r="E3" s="3"/>
      <c r="F3" s="3"/>
      <c r="G3" s="65" t="str">
        <f>底稿目录!A4</f>
        <v>编制人：</v>
      </c>
      <c r="J3" s="105" t="str">
        <f>底稿目录!A5</f>
        <v>编制日期：</v>
      </c>
      <c r="K3" s="105"/>
      <c r="L3" s="105"/>
      <c r="M3" s="105"/>
      <c r="N3" s="105"/>
      <c r="O3" s="107"/>
      <c r="P3" s="22" t="s">
        <v>77</v>
      </c>
      <c r="Q3" s="390" t="str">
        <f>底稿目录!F13</f>
        <v>L1-7</v>
      </c>
    </row>
    <row r="4" spans="1:22" s="22" customFormat="1" ht="19.95" customHeight="1">
      <c r="A4" s="10" t="str">
        <f>底稿目录!A3</f>
        <v>截止日：202X年12月31日</v>
      </c>
      <c r="B4" s="10"/>
      <c r="C4" s="65"/>
      <c r="E4" s="3"/>
      <c r="F4" s="3"/>
      <c r="G4" s="65" t="str">
        <f>底稿目录!A6</f>
        <v>复核人：</v>
      </c>
      <c r="J4" s="105" t="str">
        <f>底稿目录!A7</f>
        <v>复核日期：</v>
      </c>
      <c r="K4" s="105"/>
      <c r="L4" s="105"/>
      <c r="M4" s="105"/>
      <c r="N4" s="105"/>
      <c r="O4" s="107"/>
      <c r="P4" s="22" t="s">
        <v>111</v>
      </c>
    </row>
    <row r="5" spans="1:22" ht="19.95" customHeight="1">
      <c r="A5" s="39" t="s">
        <v>16</v>
      </c>
      <c r="B5" s="86"/>
      <c r="C5" s="465"/>
      <c r="D5" s="465"/>
      <c r="E5" s="465"/>
      <c r="F5" s="465"/>
      <c r="G5" s="465"/>
      <c r="H5" s="465"/>
      <c r="I5" s="465"/>
      <c r="J5" s="465"/>
      <c r="K5" s="465"/>
      <c r="L5" s="465"/>
      <c r="M5" s="465"/>
      <c r="N5" s="465"/>
      <c r="O5" s="465"/>
      <c r="P5" s="465"/>
      <c r="Q5" s="465"/>
    </row>
    <row r="6" spans="1:22" ht="19.95" customHeight="1">
      <c r="A6" s="281" t="s">
        <v>283</v>
      </c>
      <c r="B6" s="86"/>
      <c r="C6" s="255"/>
      <c r="D6" s="255"/>
      <c r="E6" s="255"/>
      <c r="F6" s="255"/>
      <c r="G6" s="255"/>
      <c r="H6" s="255"/>
      <c r="I6" s="255"/>
      <c r="J6" s="255"/>
      <c r="K6" s="255"/>
      <c r="L6" s="255"/>
      <c r="M6" s="255"/>
      <c r="N6" s="255"/>
      <c r="O6" s="255"/>
      <c r="P6" s="255"/>
      <c r="Q6" s="255"/>
    </row>
    <row r="7" spans="1:22" ht="19.95" customHeight="1">
      <c r="A7" s="42" t="s">
        <v>17</v>
      </c>
      <c r="B7" s="43"/>
      <c r="D7" s="220"/>
      <c r="E7" s="220"/>
      <c r="F7" s="220"/>
      <c r="G7" s="220"/>
      <c r="H7" s="220"/>
      <c r="I7" s="220"/>
      <c r="J7" s="220"/>
      <c r="K7" s="220"/>
      <c r="L7" s="220"/>
      <c r="M7" s="220"/>
      <c r="N7" s="220"/>
      <c r="O7" s="220"/>
      <c r="P7" s="220"/>
      <c r="Q7" s="220"/>
    </row>
    <row r="8" spans="1:22" ht="19.95" customHeight="1">
      <c r="A8" s="229" t="s">
        <v>325</v>
      </c>
      <c r="B8" s="43"/>
      <c r="C8" s="65"/>
    </row>
    <row r="9" spans="1:22" ht="19.95" customHeight="1">
      <c r="A9" s="229"/>
      <c r="B9" s="43"/>
      <c r="C9" s="65"/>
      <c r="G9" s="101" t="s">
        <v>113</v>
      </c>
      <c r="H9" s="175">
        <v>45658</v>
      </c>
      <c r="I9" s="175">
        <v>46022</v>
      </c>
    </row>
    <row r="10" spans="1:22" s="34" customFormat="1" ht="31.5" customHeight="1">
      <c r="A10" s="260" t="s">
        <v>67</v>
      </c>
      <c r="B10" s="100" t="s">
        <v>32</v>
      </c>
      <c r="C10" s="100" t="s">
        <v>33</v>
      </c>
      <c r="D10" s="101" t="s">
        <v>34</v>
      </c>
      <c r="E10" s="100" t="s">
        <v>35</v>
      </c>
      <c r="F10" s="101" t="s">
        <v>114</v>
      </c>
      <c r="G10" s="101" t="s">
        <v>115</v>
      </c>
      <c r="H10" s="100" t="s">
        <v>36</v>
      </c>
      <c r="I10" s="101" t="s">
        <v>116</v>
      </c>
      <c r="J10" s="101" t="s">
        <v>117</v>
      </c>
      <c r="K10" s="184" t="s">
        <v>118</v>
      </c>
      <c r="L10" s="184" t="s">
        <v>119</v>
      </c>
      <c r="M10" s="184" t="s">
        <v>120</v>
      </c>
      <c r="N10" s="101" t="s">
        <v>121</v>
      </c>
      <c r="O10" s="101" t="s">
        <v>37</v>
      </c>
      <c r="P10" s="100" t="s">
        <v>38</v>
      </c>
      <c r="Q10" s="100" t="s">
        <v>39</v>
      </c>
    </row>
    <row r="11" spans="1:22" ht="19.95" customHeight="1">
      <c r="A11" s="96">
        <v>1</v>
      </c>
      <c r="B11" s="270"/>
      <c r="C11" s="270"/>
      <c r="D11" s="271"/>
      <c r="E11" s="97"/>
      <c r="F11" s="272"/>
      <c r="G11" s="272"/>
      <c r="H11" s="273"/>
      <c r="I11" s="273"/>
      <c r="J11" s="149">
        <f>IF(I11=0,0,$I$9-I11)</f>
        <v>0</v>
      </c>
      <c r="K11" s="149" t="e">
        <f>IF(#REF!=0,0,IF((#REF!-#REF!)=365,#REF!-#REF!,#REF!-#REF!+1))</f>
        <v>#REF!</v>
      </c>
      <c r="L11" s="150" t="e">
        <f>E11*G11*K11</f>
        <v>#REF!</v>
      </c>
      <c r="M11" s="150">
        <f>E11*G11*J11</f>
        <v>0</v>
      </c>
      <c r="N11" s="274"/>
      <c r="O11" s="271"/>
      <c r="P11" s="117"/>
      <c r="Q11" s="271"/>
    </row>
    <row r="12" spans="1:22" ht="19.95" customHeight="1">
      <c r="A12" s="96">
        <v>2</v>
      </c>
      <c r="B12" s="95"/>
      <c r="C12" s="95"/>
      <c r="D12" s="96"/>
      <c r="E12" s="97"/>
      <c r="F12" s="272"/>
      <c r="G12" s="272"/>
      <c r="H12" s="273"/>
      <c r="I12" s="273"/>
      <c r="J12" s="149">
        <f>IF(I12=0,0,$I$9-I12)</f>
        <v>0</v>
      </c>
      <c r="K12" s="149" t="e">
        <f>IF(#REF!=0,0,IF((#REF!-#REF!)=365,#REF!-#REF!,#REF!-#REF!+1))</f>
        <v>#REF!</v>
      </c>
      <c r="L12" s="150" t="e">
        <f>K12*G12</f>
        <v>#REF!</v>
      </c>
      <c r="M12" s="150">
        <f>E12*G12*J12</f>
        <v>0</v>
      </c>
      <c r="N12" s="274"/>
      <c r="O12" s="96"/>
      <c r="P12" s="96"/>
      <c r="Q12" s="96"/>
    </row>
    <row r="13" spans="1:22" ht="19.95" customHeight="1">
      <c r="A13" s="96"/>
      <c r="B13" s="95"/>
      <c r="C13" s="95"/>
      <c r="D13" s="96"/>
      <c r="E13" s="97"/>
      <c r="F13" s="272"/>
      <c r="G13" s="272"/>
      <c r="H13" s="117"/>
      <c r="I13" s="117"/>
      <c r="J13" s="149">
        <f>IF(I13=0,0,$I$9-I13)</f>
        <v>0</v>
      </c>
      <c r="K13" s="149" t="e">
        <f>IF(#REF!=0,0,IF((#REF!-#REF!)=365,#REF!-#REF!,#REF!-#REF!+1))</f>
        <v>#REF!</v>
      </c>
      <c r="L13" s="150" t="e">
        <f>K13*G13</f>
        <v>#REF!</v>
      </c>
      <c r="M13" s="150">
        <f>E13*G13*J13</f>
        <v>0</v>
      </c>
      <c r="N13" s="274"/>
      <c r="O13" s="96"/>
      <c r="P13" s="96"/>
      <c r="Q13" s="96"/>
    </row>
    <row r="14" spans="1:22" ht="19.95" customHeight="1">
      <c r="A14" s="96"/>
      <c r="B14" s="95"/>
      <c r="C14" s="95"/>
      <c r="D14" s="96"/>
      <c r="E14" s="97"/>
      <c r="F14" s="272"/>
      <c r="G14" s="272"/>
      <c r="H14" s="117"/>
      <c r="I14" s="117"/>
      <c r="J14" s="149">
        <f>IF(I14=0,0,$I$9-I14)</f>
        <v>0</v>
      </c>
      <c r="K14" s="149" t="e">
        <f>IF(#REF!=0,0,IF((#REF!-#REF!)=365,#REF!-#REF!,#REF!-#REF!+1))</f>
        <v>#REF!</v>
      </c>
      <c r="L14" s="150" t="e">
        <f>K14*G14</f>
        <v>#REF!</v>
      </c>
      <c r="M14" s="150">
        <f>E14*G14*J14</f>
        <v>0</v>
      </c>
      <c r="N14" s="274"/>
      <c r="O14" s="96"/>
      <c r="P14" s="96"/>
      <c r="Q14" s="96"/>
    </row>
    <row r="15" spans="1:22" ht="19.95" customHeight="1">
      <c r="A15" s="464" t="s">
        <v>42</v>
      </c>
      <c r="B15" s="464"/>
      <c r="C15" s="464"/>
      <c r="D15" s="464"/>
      <c r="E15" s="174">
        <f>SUM(E11:E14)</f>
        <v>0</v>
      </c>
      <c r="F15" s="174"/>
      <c r="G15" s="149" t="s">
        <v>80</v>
      </c>
      <c r="H15" s="149" t="s">
        <v>80</v>
      </c>
      <c r="I15" s="149" t="s">
        <v>80</v>
      </c>
      <c r="J15" s="149" t="s">
        <v>80</v>
      </c>
      <c r="K15" s="149" t="s">
        <v>80</v>
      </c>
      <c r="L15" s="174" t="e">
        <f t="shared" ref="L15:M15" si="0">SUM(L11:L14)</f>
        <v>#REF!</v>
      </c>
      <c r="M15" s="174">
        <f t="shared" si="0"/>
        <v>0</v>
      </c>
      <c r="N15" s="149" t="s">
        <v>80</v>
      </c>
      <c r="O15" s="149" t="s">
        <v>80</v>
      </c>
      <c r="P15" s="149" t="s">
        <v>80</v>
      </c>
      <c r="Q15" s="149" t="s">
        <v>80</v>
      </c>
    </row>
    <row r="16" spans="1:22" ht="19.95" customHeight="1">
      <c r="A16" s="466" t="s">
        <v>273</v>
      </c>
      <c r="B16" s="464"/>
      <c r="C16" s="464"/>
      <c r="D16" s="464"/>
      <c r="E16" s="174">
        <f>'审定表L1-1'!I11</f>
        <v>0</v>
      </c>
      <c r="F16" s="174"/>
      <c r="G16" s="464" t="s">
        <v>122</v>
      </c>
      <c r="H16" s="464"/>
      <c r="I16" s="464"/>
      <c r="J16" s="278" t="e">
        <f>E15/E16</f>
        <v>#DIV/0!</v>
      </c>
      <c r="L16" s="99"/>
      <c r="M16" s="99"/>
      <c r="N16" s="91"/>
      <c r="O16" s="99"/>
      <c r="P16" s="99"/>
      <c r="Q16" s="90"/>
    </row>
    <row r="17" spans="1:17" ht="19.95" customHeight="1">
      <c r="A17" s="89"/>
      <c r="G17" s="99"/>
      <c r="H17" s="99"/>
      <c r="I17" s="99"/>
      <c r="J17" s="99"/>
      <c r="K17" s="99"/>
      <c r="L17" s="99"/>
      <c r="M17" s="99"/>
      <c r="N17" s="91"/>
      <c r="O17" s="99"/>
      <c r="P17" s="99"/>
      <c r="Q17" s="90"/>
    </row>
    <row r="18" spans="1:17" ht="19.95" customHeight="1">
      <c r="A18" s="185" t="s">
        <v>30</v>
      </c>
      <c r="B18" s="94"/>
      <c r="C18" s="98"/>
      <c r="D18" s="99"/>
      <c r="E18" s="99"/>
      <c r="F18" s="99"/>
      <c r="G18" s="99"/>
      <c r="H18" s="99"/>
      <c r="I18" s="99"/>
      <c r="J18" s="99"/>
      <c r="K18" s="99"/>
      <c r="L18" s="99"/>
      <c r="M18" s="99"/>
      <c r="N18" s="99"/>
      <c r="O18" s="99"/>
      <c r="P18" s="99"/>
      <c r="Q18" s="90"/>
    </row>
    <row r="19" spans="1:17" ht="19.95" customHeight="1">
      <c r="A19" s="89"/>
      <c r="B19" s="91"/>
      <c r="C19" s="99"/>
      <c r="D19" s="99"/>
      <c r="E19" s="99"/>
      <c r="F19" s="99"/>
      <c r="G19" s="99"/>
      <c r="H19" s="99"/>
      <c r="I19" s="99"/>
      <c r="J19" s="99"/>
      <c r="K19" s="99"/>
      <c r="L19" s="99"/>
      <c r="M19" s="99"/>
      <c r="N19" s="99"/>
      <c r="O19" s="99"/>
      <c r="P19" s="99"/>
      <c r="Q19" s="90"/>
    </row>
    <row r="20" spans="1:17" ht="19.95" customHeight="1">
      <c r="A20" s="185" t="s">
        <v>31</v>
      </c>
    </row>
    <row r="21" spans="1:17" ht="19.95" customHeight="1">
      <c r="A21" s="87"/>
    </row>
    <row r="22" spans="1:17" ht="19.95" customHeight="1">
      <c r="A22" s="87"/>
    </row>
    <row r="23" spans="1:17" ht="19.95" customHeight="1">
      <c r="A23" s="87"/>
    </row>
    <row r="25" spans="1:17" ht="19.95" customHeight="1">
      <c r="A25" s="87"/>
    </row>
    <row r="26" spans="1:17" ht="19.95" customHeight="1">
      <c r="A26" s="87"/>
    </row>
    <row r="27" spans="1:17" ht="19.95" customHeight="1">
      <c r="A27" s="87"/>
    </row>
    <row r="28" spans="1:17" ht="19.95" customHeight="1">
      <c r="A28" s="87"/>
    </row>
  </sheetData>
  <mergeCells count="6">
    <mergeCell ref="A1:R1"/>
    <mergeCell ref="A2:R2"/>
    <mergeCell ref="G16:I16"/>
    <mergeCell ref="C5:Q5"/>
    <mergeCell ref="A15:D15"/>
    <mergeCell ref="A16:D16"/>
  </mergeCells>
  <phoneticPr fontId="14" type="noConversion"/>
  <dataValidations count="1">
    <dataValidation type="list" allowBlank="1" showInputMessage="1" showErrorMessage="1" sqref="N11:N14">
      <formula1>"是,否"</formula1>
    </dataValidation>
  </dataValidations>
  <hyperlinks>
    <hyperlink ref="Q3" location="底稿目录!A1" display="底稿目录!A1"/>
  </hyperlinks>
  <pageMargins left="0.70866141732283472" right="0.70866141732283472" top="0.74803149606299213" bottom="0.74803149606299213" header="0.31496062992125984" footer="0.31496062992125984"/>
  <pageSetup paperSize="9" scale="94" fitToHeight="0" orientation="landscape" blackAndWhite="1" r:id="rId1"/>
  <headerFoot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Q20"/>
  <sheetViews>
    <sheetView view="pageBreakPreview" zoomScaleSheetLayoutView="100" workbookViewId="0">
      <selection sqref="A1:M1"/>
    </sheetView>
  </sheetViews>
  <sheetFormatPr defaultColWidth="9" defaultRowHeight="19.95" customHeight="1"/>
  <cols>
    <col min="1" max="1" width="15.69921875" style="14" customWidth="1"/>
    <col min="2" max="3" width="9" style="14"/>
    <col min="4" max="4" width="10.796875" style="14" customWidth="1"/>
    <col min="5" max="5" width="11" style="14" customWidth="1"/>
    <col min="6" max="6" width="7.796875" style="14" customWidth="1"/>
    <col min="7" max="7" width="8.5" style="14" customWidth="1"/>
    <col min="8" max="8" width="10.796875" style="14" customWidth="1"/>
    <col min="9" max="9" width="10.296875" style="14" customWidth="1"/>
    <col min="10" max="10" width="10" style="14" customWidth="1"/>
    <col min="11" max="11" width="11" style="14" customWidth="1"/>
    <col min="12" max="12" width="8.296875" style="14" customWidth="1"/>
    <col min="13" max="13" width="8.8984375" style="14" customWidth="1"/>
    <col min="14" max="16384" width="9" style="14"/>
  </cols>
  <sheetData>
    <row r="1" spans="1:17" s="35" customFormat="1" ht="19.95" customHeight="1">
      <c r="A1" s="462" t="s">
        <v>99</v>
      </c>
      <c r="B1" s="462"/>
      <c r="C1" s="462"/>
      <c r="D1" s="462"/>
      <c r="E1" s="462"/>
      <c r="F1" s="462"/>
      <c r="G1" s="462"/>
      <c r="H1" s="462"/>
      <c r="I1" s="462"/>
      <c r="J1" s="462"/>
      <c r="K1" s="462"/>
      <c r="L1" s="462"/>
      <c r="M1" s="462"/>
      <c r="N1" s="59"/>
      <c r="O1" s="59"/>
      <c r="P1" s="59"/>
      <c r="Q1" s="59"/>
    </row>
    <row r="2" spans="1:17" s="59" customFormat="1" ht="19.95" customHeight="1">
      <c r="A2" s="463" t="s">
        <v>234</v>
      </c>
      <c r="B2" s="463"/>
      <c r="C2" s="463"/>
      <c r="D2" s="463"/>
      <c r="E2" s="463"/>
      <c r="F2" s="463"/>
      <c r="G2" s="463"/>
      <c r="H2" s="463"/>
      <c r="I2" s="463"/>
      <c r="J2" s="463"/>
      <c r="K2" s="463"/>
      <c r="L2" s="463"/>
      <c r="M2" s="463"/>
    </row>
    <row r="3" spans="1:17" s="22" customFormat="1" ht="19.95" customHeight="1">
      <c r="A3" s="10" t="str">
        <f>底稿目录!A2</f>
        <v>被审计单位：</v>
      </c>
      <c r="B3" s="10"/>
      <c r="C3" s="10"/>
      <c r="D3" s="65"/>
      <c r="F3" s="65" t="str">
        <f>底稿目录!A4</f>
        <v>编制人：</v>
      </c>
      <c r="J3" s="105" t="str">
        <f>底稿目录!A5</f>
        <v>编制日期：</v>
      </c>
      <c r="K3" s="107"/>
      <c r="L3" s="22" t="s">
        <v>77</v>
      </c>
      <c r="M3" s="390" t="str">
        <f>底稿目录!F14</f>
        <v>L1-8</v>
      </c>
    </row>
    <row r="4" spans="1:17" s="22" customFormat="1" ht="19.95" customHeight="1">
      <c r="A4" s="10" t="str">
        <f>底稿目录!A3</f>
        <v>截止日：202X年12月31日</v>
      </c>
      <c r="B4" s="10"/>
      <c r="C4" s="10"/>
      <c r="D4" s="65"/>
      <c r="F4" s="65" t="str">
        <f>底稿目录!A6</f>
        <v>复核人：</v>
      </c>
      <c r="J4" s="105" t="str">
        <f>底稿目录!A7</f>
        <v>复核日期：</v>
      </c>
      <c r="K4" s="107"/>
      <c r="L4" s="22" t="s">
        <v>25</v>
      </c>
    </row>
    <row r="5" spans="1:17" ht="19.95" customHeight="1">
      <c r="A5" s="246" t="s">
        <v>250</v>
      </c>
    </row>
    <row r="6" spans="1:17" ht="19.95" customHeight="1">
      <c r="A6" s="264" t="s">
        <v>276</v>
      </c>
      <c r="B6" s="87"/>
    </row>
    <row r="7" spans="1:17" ht="19.95" customHeight="1">
      <c r="A7" s="265" t="s">
        <v>50</v>
      </c>
    </row>
    <row r="8" spans="1:17" ht="45.45" customHeight="1">
      <c r="A8" s="102" t="s">
        <v>100</v>
      </c>
      <c r="B8" s="102" t="s">
        <v>101</v>
      </c>
      <c r="C8" s="102" t="s">
        <v>102</v>
      </c>
      <c r="D8" s="102" t="s">
        <v>103</v>
      </c>
      <c r="E8" s="102" t="s">
        <v>104</v>
      </c>
      <c r="F8" s="102" t="s">
        <v>43</v>
      </c>
      <c r="G8" s="102" t="s">
        <v>105</v>
      </c>
      <c r="H8" s="102" t="s">
        <v>106</v>
      </c>
      <c r="I8" s="102" t="s">
        <v>107</v>
      </c>
      <c r="J8" s="102" t="s">
        <v>108</v>
      </c>
      <c r="K8" s="102" t="s">
        <v>109</v>
      </c>
      <c r="L8" s="102" t="s">
        <v>110</v>
      </c>
      <c r="M8" s="102" t="s">
        <v>44</v>
      </c>
    </row>
    <row r="9" spans="1:17" ht="19.95" customHeight="1">
      <c r="A9" s="267"/>
      <c r="B9" s="63"/>
      <c r="C9" s="61"/>
      <c r="D9" s="61"/>
      <c r="E9" s="63"/>
      <c r="F9" s="62"/>
      <c r="G9" s="268"/>
      <c r="H9" s="61"/>
      <c r="I9" s="61"/>
      <c r="J9" s="148">
        <f>H9-I9</f>
        <v>0</v>
      </c>
      <c r="K9" s="266"/>
      <c r="L9" s="269"/>
      <c r="M9" s="269"/>
    </row>
    <row r="10" spans="1:17" ht="19.95" customHeight="1">
      <c r="A10" s="267"/>
      <c r="B10" s="63"/>
      <c r="C10" s="61"/>
      <c r="D10" s="61"/>
      <c r="E10" s="63"/>
      <c r="F10" s="62"/>
      <c r="G10" s="268"/>
      <c r="H10" s="61"/>
      <c r="I10" s="61"/>
      <c r="J10" s="148">
        <f t="shared" ref="J10:J15" si="0">H10-I10</f>
        <v>0</v>
      </c>
      <c r="K10" s="266"/>
      <c r="L10" s="269"/>
      <c r="M10" s="269"/>
    </row>
    <row r="11" spans="1:17" ht="19.95" customHeight="1">
      <c r="A11" s="267"/>
      <c r="B11" s="63"/>
      <c r="C11" s="61"/>
      <c r="D11" s="61"/>
      <c r="E11" s="63"/>
      <c r="F11" s="62"/>
      <c r="G11" s="268"/>
      <c r="H11" s="61"/>
      <c r="I11" s="61"/>
      <c r="J11" s="148">
        <f t="shared" si="0"/>
        <v>0</v>
      </c>
      <c r="K11" s="266"/>
      <c r="L11" s="269"/>
      <c r="M11" s="269"/>
    </row>
    <row r="12" spans="1:17" ht="19.95" customHeight="1">
      <c r="A12" s="267"/>
      <c r="B12" s="63"/>
      <c r="C12" s="61"/>
      <c r="D12" s="61"/>
      <c r="E12" s="63"/>
      <c r="F12" s="62"/>
      <c r="G12" s="268"/>
      <c r="H12" s="61"/>
      <c r="I12" s="61"/>
      <c r="J12" s="148">
        <f t="shared" si="0"/>
        <v>0</v>
      </c>
      <c r="K12" s="266"/>
      <c r="L12" s="269"/>
      <c r="M12" s="269"/>
    </row>
    <row r="13" spans="1:17" ht="19.95" customHeight="1">
      <c r="A13" s="267"/>
      <c r="B13" s="63"/>
      <c r="C13" s="61"/>
      <c r="D13" s="61"/>
      <c r="E13" s="63"/>
      <c r="F13" s="62"/>
      <c r="G13" s="268"/>
      <c r="H13" s="61"/>
      <c r="I13" s="61"/>
      <c r="J13" s="148">
        <f t="shared" si="0"/>
        <v>0</v>
      </c>
      <c r="K13" s="266"/>
      <c r="L13" s="269"/>
      <c r="M13" s="269"/>
    </row>
    <row r="14" spans="1:17" ht="19.95" customHeight="1">
      <c r="A14" s="267"/>
      <c r="B14" s="63"/>
      <c r="C14" s="61"/>
      <c r="D14" s="61"/>
      <c r="E14" s="63"/>
      <c r="F14" s="62"/>
      <c r="G14" s="268"/>
      <c r="H14" s="61"/>
      <c r="I14" s="61"/>
      <c r="J14" s="148">
        <f t="shared" si="0"/>
        <v>0</v>
      </c>
      <c r="K14" s="266"/>
      <c r="L14" s="269"/>
      <c r="M14" s="269"/>
    </row>
    <row r="15" spans="1:17" ht="19.95" customHeight="1">
      <c r="A15" s="267"/>
      <c r="B15" s="63"/>
      <c r="C15" s="61"/>
      <c r="D15" s="61"/>
      <c r="E15" s="63"/>
      <c r="F15" s="62"/>
      <c r="G15" s="268"/>
      <c r="H15" s="61"/>
      <c r="I15" s="61"/>
      <c r="J15" s="148">
        <f t="shared" si="0"/>
        <v>0</v>
      </c>
      <c r="K15" s="266"/>
      <c r="L15" s="269"/>
      <c r="M15" s="269"/>
    </row>
    <row r="16" spans="1:17" s="10" customFormat="1" ht="19.95" customHeight="1">
      <c r="A16" s="34" t="s">
        <v>30</v>
      </c>
      <c r="B16" s="34"/>
    </row>
    <row r="17" spans="1:2" s="10" customFormat="1" ht="19.95" customHeight="1"/>
    <row r="18" spans="1:2" s="10" customFormat="1" ht="19.95" customHeight="1"/>
    <row r="19" spans="1:2" s="10" customFormat="1" ht="19.95" customHeight="1">
      <c r="A19" s="34" t="s">
        <v>31</v>
      </c>
      <c r="B19" s="34"/>
    </row>
    <row r="20" spans="1:2" s="10" customFormat="1" ht="19.95" customHeight="1"/>
  </sheetData>
  <mergeCells count="2">
    <mergeCell ref="A1:M1"/>
    <mergeCell ref="A2:M2"/>
  </mergeCells>
  <phoneticPr fontId="14" type="noConversion"/>
  <dataValidations count="2">
    <dataValidation type="list" allowBlank="1" showInputMessage="1" showErrorMessage="1" sqref="K9:K15">
      <formula1>"是,否"</formula1>
    </dataValidation>
    <dataValidation type="list" allowBlank="1" showInputMessage="1" showErrorMessage="1" sqref="B9:B15">
      <formula1>"抵押,质押"</formula1>
    </dataValidation>
  </dataValidations>
  <hyperlinks>
    <hyperlink ref="M3" location="底稿目录!A1" display="底稿目录!A1"/>
  </hyperlinks>
  <printOptions horizontalCentered="1"/>
  <pageMargins left="0.70866141732283472" right="0.70866141732283472" top="0.74803149606299213" bottom="0.74803149606299213" header="0.31496062992125984" footer="0.31496062992125984"/>
  <pageSetup paperSize="9" scale="93" fitToHeight="0" orientation="landscape" blackAndWhite="1" r:id="rId1"/>
  <headerFooter>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D36"/>
  <sheetViews>
    <sheetView view="pageBreakPreview" zoomScaleSheetLayoutView="100" workbookViewId="0">
      <selection activeCell="P3" sqref="P3"/>
    </sheetView>
  </sheetViews>
  <sheetFormatPr defaultColWidth="9" defaultRowHeight="19.95" customHeight="1"/>
  <cols>
    <col min="1" max="2" width="9" style="14"/>
    <col min="3" max="3" width="17.796875" style="14" customWidth="1"/>
    <col min="4" max="4" width="10.59765625" style="14" customWidth="1"/>
    <col min="5" max="5" width="11.09765625" style="14" customWidth="1"/>
    <col min="6" max="6" width="10.296875" style="14" customWidth="1"/>
    <col min="7" max="7" width="10.19921875" style="14" customWidth="1"/>
    <col min="8" max="8" width="21.3984375" style="14" customWidth="1"/>
    <col min="9" max="13" width="4.296875" style="14" customWidth="1"/>
    <col min="14" max="14" width="10.8984375" style="14" customWidth="1"/>
    <col min="15" max="15" width="7.69921875" style="14" customWidth="1"/>
    <col min="16" max="16" width="11.296875" style="14" customWidth="1"/>
    <col min="17" max="16384" width="9" style="14"/>
  </cols>
  <sheetData>
    <row r="1" spans="1:30" s="29" customFormat="1" ht="19.95" customHeight="1">
      <c r="A1" s="460" t="s">
        <v>96</v>
      </c>
      <c r="B1" s="460"/>
      <c r="C1" s="460"/>
      <c r="D1" s="460"/>
      <c r="E1" s="460"/>
      <c r="F1" s="460"/>
      <c r="G1" s="460"/>
      <c r="H1" s="460"/>
      <c r="I1" s="460"/>
      <c r="J1" s="460"/>
      <c r="K1" s="460"/>
      <c r="L1" s="460"/>
      <c r="M1" s="460"/>
      <c r="N1" s="460"/>
      <c r="O1" s="460"/>
      <c r="P1" s="460"/>
    </row>
    <row r="2" spans="1:30" s="29" customFormat="1" ht="19.95" customHeight="1">
      <c r="A2" s="461" t="s">
        <v>235</v>
      </c>
      <c r="B2" s="461"/>
      <c r="C2" s="461"/>
      <c r="D2" s="461"/>
      <c r="E2" s="461"/>
      <c r="F2" s="461"/>
      <c r="G2" s="461"/>
      <c r="H2" s="461"/>
      <c r="I2" s="461"/>
      <c r="J2" s="461"/>
      <c r="K2" s="461"/>
      <c r="L2" s="461"/>
      <c r="M2" s="461"/>
      <c r="N2" s="461"/>
      <c r="O2" s="461"/>
      <c r="P2" s="461"/>
    </row>
    <row r="3" spans="1:30" s="10" customFormat="1" ht="19.95" customHeight="1">
      <c r="A3" s="10" t="str">
        <f>底稿目录!A2</f>
        <v>被审计单位：</v>
      </c>
      <c r="C3" s="65"/>
      <c r="D3" s="65" t="str">
        <f>底稿目录!A4</f>
        <v>编制人：</v>
      </c>
      <c r="E3" s="3"/>
      <c r="F3" s="3"/>
      <c r="H3" s="105"/>
      <c r="I3" s="105"/>
      <c r="J3" s="105" t="str">
        <f>底稿目录!A5</f>
        <v>编制日期：</v>
      </c>
      <c r="K3" s="105"/>
      <c r="L3" s="105"/>
      <c r="M3" s="105"/>
      <c r="N3" s="105"/>
      <c r="O3" s="30" t="s">
        <v>97</v>
      </c>
      <c r="P3" s="391" t="str">
        <f>底稿目录!F21</f>
        <v>L1-9</v>
      </c>
    </row>
    <row r="4" spans="1:30" s="10" customFormat="1" ht="19.95" customHeight="1">
      <c r="A4" s="10" t="str">
        <f>底稿目录!A3</f>
        <v>截止日：202X年12月31日</v>
      </c>
      <c r="C4" s="65"/>
      <c r="D4" s="65" t="str">
        <f>底稿目录!A6</f>
        <v>复核人：</v>
      </c>
      <c r="E4" s="3"/>
      <c r="F4" s="3"/>
      <c r="H4" s="105"/>
      <c r="I4" s="105"/>
      <c r="J4" s="105" t="str">
        <f>底稿目录!A7</f>
        <v>复核日期：</v>
      </c>
      <c r="K4" s="105"/>
      <c r="L4" s="105"/>
      <c r="M4" s="105"/>
      <c r="N4" s="105"/>
      <c r="O4" s="30" t="s">
        <v>28</v>
      </c>
      <c r="P4" s="30"/>
    </row>
    <row r="5" spans="1:30" s="32" customFormat="1" ht="19.95" customHeight="1">
      <c r="A5" s="367" t="s">
        <v>359</v>
      </c>
      <c r="B5" s="31"/>
      <c r="C5" s="60"/>
      <c r="D5" s="60"/>
      <c r="E5" s="60"/>
      <c r="F5" s="60"/>
      <c r="G5" s="60"/>
      <c r="H5" s="60"/>
      <c r="I5" s="60"/>
      <c r="J5" s="60"/>
      <c r="K5" s="60"/>
      <c r="L5" s="60"/>
      <c r="M5" s="60"/>
      <c r="N5" s="60"/>
      <c r="O5" s="60"/>
      <c r="P5" s="60"/>
    </row>
    <row r="6" spans="1:30" s="32" customFormat="1" ht="19.95" customHeight="1">
      <c r="A6" s="64" t="s">
        <v>274</v>
      </c>
      <c r="B6" s="263"/>
      <c r="C6" s="257"/>
      <c r="D6" s="258"/>
      <c r="E6" s="258"/>
      <c r="F6" s="258"/>
      <c r="G6" s="258"/>
      <c r="H6" s="258"/>
      <c r="I6" s="258"/>
      <c r="J6" s="258"/>
      <c r="K6" s="258"/>
      <c r="L6" s="258"/>
      <c r="M6" s="258"/>
      <c r="N6" s="259"/>
      <c r="O6" s="259"/>
      <c r="P6" s="259"/>
    </row>
    <row r="7" spans="1:30" s="32" customFormat="1" ht="19.95" customHeight="1">
      <c r="A7" s="64" t="s">
        <v>275</v>
      </c>
      <c r="B7" s="263"/>
      <c r="C7" s="257"/>
      <c r="D7" s="258"/>
      <c r="E7" s="258"/>
      <c r="F7" s="258"/>
      <c r="G7" s="258"/>
      <c r="H7" s="258"/>
      <c r="I7" s="258"/>
      <c r="J7" s="258"/>
      <c r="K7" s="258"/>
      <c r="L7" s="258"/>
      <c r="M7" s="258"/>
      <c r="N7" s="259"/>
      <c r="O7" s="259"/>
      <c r="P7" s="259"/>
    </row>
    <row r="8" spans="1:30" s="1" customFormat="1" ht="19.95" customHeight="1">
      <c r="A8" s="339" t="s">
        <v>343</v>
      </c>
      <c r="B8" s="340"/>
      <c r="C8" s="341" t="s">
        <v>344</v>
      </c>
    </row>
    <row r="9" spans="1:30" s="1" customFormat="1" ht="19.95" customHeight="1">
      <c r="A9" s="342" t="s">
        <v>345</v>
      </c>
      <c r="B9" s="343"/>
      <c r="C9" s="344"/>
    </row>
    <row r="10" spans="1:30" s="44" customFormat="1" ht="19.95" customHeight="1">
      <c r="A10" s="473" t="s">
        <v>346</v>
      </c>
      <c r="B10" s="473"/>
      <c r="C10" s="473"/>
      <c r="D10" s="473"/>
      <c r="E10" s="473"/>
      <c r="F10" s="473"/>
      <c r="G10" s="473"/>
      <c r="H10" s="474" t="s">
        <v>347</v>
      </c>
      <c r="I10" s="476" t="s">
        <v>348</v>
      </c>
      <c r="J10" s="477"/>
      <c r="K10" s="477"/>
      <c r="L10" s="477"/>
      <c r="M10" s="477"/>
      <c r="N10" s="468" t="s">
        <v>49</v>
      </c>
      <c r="O10" s="469" t="s">
        <v>349</v>
      </c>
      <c r="P10" s="471" t="s">
        <v>350</v>
      </c>
      <c r="S10" s="355"/>
      <c r="T10" s="355"/>
      <c r="U10" s="355"/>
      <c r="V10" s="355"/>
      <c r="W10" s="355"/>
      <c r="X10" s="355"/>
      <c r="Y10" s="355"/>
      <c r="Z10" s="355"/>
      <c r="AA10" s="355"/>
      <c r="AB10" s="355"/>
      <c r="AC10" s="355"/>
      <c r="AD10" s="355"/>
    </row>
    <row r="11" spans="1:30" s="358" customFormat="1" ht="19.95" customHeight="1">
      <c r="A11" s="356" t="s">
        <v>351</v>
      </c>
      <c r="B11" s="356" t="s">
        <v>352</v>
      </c>
      <c r="C11" s="356" t="s">
        <v>353</v>
      </c>
      <c r="D11" s="356" t="s">
        <v>354</v>
      </c>
      <c r="E11" s="356" t="s">
        <v>355</v>
      </c>
      <c r="F11" s="357" t="s">
        <v>356</v>
      </c>
      <c r="G11" s="357" t="s">
        <v>357</v>
      </c>
      <c r="H11" s="475"/>
      <c r="I11" s="345">
        <v>1</v>
      </c>
      <c r="J11" s="345">
        <v>2</v>
      </c>
      <c r="K11" s="345">
        <v>3</v>
      </c>
      <c r="L11" s="345">
        <v>4</v>
      </c>
      <c r="M11" s="345">
        <v>5</v>
      </c>
      <c r="N11" s="468"/>
      <c r="O11" s="470"/>
      <c r="P11" s="472"/>
      <c r="S11" s="359"/>
      <c r="T11" s="359"/>
      <c r="U11" s="359"/>
      <c r="V11" s="359"/>
      <c r="W11" s="359"/>
      <c r="X11" s="359"/>
      <c r="Y11" s="359"/>
      <c r="Z11" s="359"/>
      <c r="AA11" s="359"/>
      <c r="AB11" s="359"/>
      <c r="AC11" s="359"/>
      <c r="AD11" s="359"/>
    </row>
    <row r="12" spans="1:30" s="10" customFormat="1" ht="19.95" customHeight="1">
      <c r="A12" s="346"/>
      <c r="B12" s="347"/>
      <c r="C12" s="348"/>
      <c r="D12" s="348"/>
      <c r="E12" s="348"/>
      <c r="F12" s="349"/>
      <c r="G12" s="349"/>
      <c r="H12" s="350"/>
      <c r="I12" s="351"/>
      <c r="J12" s="351"/>
      <c r="K12" s="351"/>
      <c r="L12" s="351"/>
      <c r="M12" s="351"/>
      <c r="N12" s="352"/>
      <c r="O12" s="353"/>
      <c r="P12" s="353"/>
      <c r="S12" s="32"/>
      <c r="T12" s="32"/>
      <c r="U12" s="32"/>
      <c r="V12" s="32"/>
      <c r="W12" s="32"/>
      <c r="X12" s="32"/>
      <c r="Y12" s="32"/>
      <c r="Z12" s="32"/>
      <c r="AA12" s="32"/>
      <c r="AB12" s="32"/>
      <c r="AC12" s="32"/>
      <c r="AD12" s="32"/>
    </row>
    <row r="13" spans="1:30" s="10" customFormat="1" ht="19.95" customHeight="1">
      <c r="A13" s="346"/>
      <c r="B13" s="347"/>
      <c r="C13" s="348"/>
      <c r="D13" s="348"/>
      <c r="E13" s="348"/>
      <c r="F13" s="349"/>
      <c r="G13" s="349"/>
      <c r="H13" s="354"/>
      <c r="I13" s="351"/>
      <c r="J13" s="351"/>
      <c r="K13" s="351"/>
      <c r="L13" s="351"/>
      <c r="M13" s="351"/>
      <c r="N13" s="352"/>
      <c r="O13" s="353"/>
      <c r="P13" s="353"/>
      <c r="S13" s="32"/>
      <c r="T13" s="32"/>
      <c r="U13" s="32"/>
      <c r="V13" s="32"/>
      <c r="W13" s="32"/>
      <c r="X13" s="32"/>
      <c r="Y13" s="32"/>
      <c r="Z13" s="32"/>
      <c r="AA13" s="32"/>
      <c r="AB13" s="32"/>
      <c r="AC13" s="32"/>
      <c r="AD13" s="32"/>
    </row>
    <row r="14" spans="1:30" s="10" customFormat="1" ht="19.95" customHeight="1">
      <c r="A14" s="346"/>
      <c r="B14" s="347"/>
      <c r="C14" s="348"/>
      <c r="D14" s="348"/>
      <c r="E14" s="348"/>
      <c r="F14" s="349"/>
      <c r="G14" s="349"/>
      <c r="H14" s="354"/>
      <c r="I14" s="351"/>
      <c r="J14" s="351"/>
      <c r="K14" s="351"/>
      <c r="L14" s="351"/>
      <c r="M14" s="351"/>
      <c r="N14" s="352"/>
      <c r="O14" s="353"/>
      <c r="P14" s="353"/>
      <c r="S14" s="32"/>
      <c r="T14" s="32"/>
      <c r="U14" s="32"/>
      <c r="V14" s="32"/>
      <c r="W14" s="32"/>
      <c r="X14" s="32"/>
      <c r="Y14" s="32"/>
      <c r="Z14" s="32"/>
      <c r="AA14" s="32"/>
      <c r="AB14" s="32"/>
      <c r="AC14" s="32"/>
      <c r="AD14" s="32"/>
    </row>
    <row r="15" spans="1:30" s="10" customFormat="1" ht="19.95" customHeight="1">
      <c r="A15" s="346"/>
      <c r="B15" s="347"/>
      <c r="C15" s="348"/>
      <c r="D15" s="348"/>
      <c r="E15" s="348"/>
      <c r="F15" s="349"/>
      <c r="G15" s="349"/>
      <c r="H15" s="354"/>
      <c r="I15" s="351"/>
      <c r="J15" s="351"/>
      <c r="K15" s="351"/>
      <c r="L15" s="351"/>
      <c r="M15" s="351"/>
      <c r="N15" s="352"/>
      <c r="O15" s="353"/>
      <c r="P15" s="353"/>
      <c r="S15" s="32"/>
      <c r="T15" s="32"/>
      <c r="U15" s="32"/>
      <c r="V15" s="32"/>
      <c r="W15" s="32"/>
      <c r="X15" s="32"/>
      <c r="Y15" s="32"/>
      <c r="Z15" s="32"/>
      <c r="AA15" s="32"/>
      <c r="AB15" s="32"/>
      <c r="AC15" s="32"/>
      <c r="AD15" s="32"/>
    </row>
    <row r="16" spans="1:30" s="10" customFormat="1" ht="19.95" customHeight="1">
      <c r="A16" s="346"/>
      <c r="B16" s="347"/>
      <c r="C16" s="348"/>
      <c r="D16" s="348"/>
      <c r="E16" s="348"/>
      <c r="F16" s="349"/>
      <c r="G16" s="349"/>
      <c r="H16" s="354"/>
      <c r="I16" s="351"/>
      <c r="J16" s="351"/>
      <c r="K16" s="351"/>
      <c r="L16" s="351"/>
      <c r="M16" s="351"/>
      <c r="N16" s="352"/>
      <c r="O16" s="353"/>
      <c r="P16" s="353"/>
      <c r="S16" s="32"/>
      <c r="T16" s="32"/>
      <c r="U16" s="32"/>
      <c r="V16" s="32"/>
      <c r="W16" s="32"/>
      <c r="X16" s="32"/>
      <c r="Y16" s="32"/>
      <c r="Z16" s="32"/>
      <c r="AA16" s="32"/>
      <c r="AB16" s="32"/>
      <c r="AC16" s="32"/>
      <c r="AD16" s="32"/>
    </row>
    <row r="17" spans="1:30" s="10" customFormat="1" ht="19.95" customHeight="1">
      <c r="A17" s="346"/>
      <c r="B17" s="347"/>
      <c r="C17" s="348"/>
      <c r="D17" s="348"/>
      <c r="E17" s="348"/>
      <c r="F17" s="349"/>
      <c r="G17" s="349"/>
      <c r="H17" s="354"/>
      <c r="I17" s="351"/>
      <c r="J17" s="351"/>
      <c r="K17" s="351"/>
      <c r="L17" s="351"/>
      <c r="M17" s="351"/>
      <c r="N17" s="352"/>
      <c r="O17" s="353"/>
      <c r="P17" s="353"/>
      <c r="S17" s="32"/>
      <c r="T17" s="32"/>
      <c r="U17" s="32"/>
      <c r="V17" s="32"/>
      <c r="W17" s="32"/>
      <c r="X17" s="32"/>
      <c r="Y17" s="32"/>
      <c r="Z17" s="32"/>
      <c r="AA17" s="32"/>
      <c r="AB17" s="32"/>
      <c r="AC17" s="32"/>
      <c r="AD17" s="32"/>
    </row>
    <row r="18" spans="1:30" s="10" customFormat="1" ht="19.95" customHeight="1">
      <c r="A18" s="346"/>
      <c r="B18" s="347"/>
      <c r="C18" s="348"/>
      <c r="D18" s="348"/>
      <c r="E18" s="348"/>
      <c r="F18" s="349"/>
      <c r="G18" s="349"/>
      <c r="H18" s="354"/>
      <c r="I18" s="351"/>
      <c r="J18" s="351"/>
      <c r="K18" s="351"/>
      <c r="L18" s="351"/>
      <c r="M18" s="351"/>
      <c r="N18" s="352"/>
      <c r="O18" s="353"/>
      <c r="P18" s="353"/>
      <c r="S18" s="32"/>
      <c r="T18" s="32"/>
      <c r="U18" s="32"/>
      <c r="V18" s="32"/>
      <c r="W18" s="32"/>
      <c r="X18" s="32"/>
      <c r="Y18" s="32"/>
      <c r="Z18" s="32"/>
      <c r="AA18" s="32"/>
      <c r="AB18" s="32"/>
      <c r="AC18" s="32"/>
      <c r="AD18" s="32"/>
    </row>
    <row r="19" spans="1:30" s="10" customFormat="1" ht="19.95" customHeight="1">
      <c r="A19" s="346"/>
      <c r="B19" s="347"/>
      <c r="C19" s="348"/>
      <c r="D19" s="348"/>
      <c r="E19" s="348"/>
      <c r="F19" s="349"/>
      <c r="G19" s="349"/>
      <c r="H19" s="354"/>
      <c r="I19" s="351"/>
      <c r="J19" s="351"/>
      <c r="K19" s="351"/>
      <c r="L19" s="351"/>
      <c r="M19" s="351"/>
      <c r="N19" s="352"/>
      <c r="O19" s="353"/>
      <c r="P19" s="353"/>
      <c r="S19" s="32"/>
      <c r="T19" s="32"/>
      <c r="U19" s="32"/>
      <c r="V19" s="32"/>
      <c r="W19" s="32"/>
      <c r="X19" s="32"/>
      <c r="Y19" s="32"/>
      <c r="Z19" s="32"/>
      <c r="AA19" s="32"/>
      <c r="AB19" s="32"/>
      <c r="AC19" s="32"/>
      <c r="AD19" s="32"/>
    </row>
    <row r="20" spans="1:30" s="10" customFormat="1" ht="19.95" customHeight="1">
      <c r="A20" s="346"/>
      <c r="B20" s="347"/>
      <c r="C20" s="348"/>
      <c r="D20" s="348"/>
      <c r="E20" s="348"/>
      <c r="F20" s="349"/>
      <c r="G20" s="349"/>
      <c r="H20" s="354"/>
      <c r="I20" s="351"/>
      <c r="J20" s="351"/>
      <c r="K20" s="351"/>
      <c r="L20" s="351"/>
      <c r="M20" s="351"/>
      <c r="N20" s="352"/>
      <c r="O20" s="353"/>
      <c r="P20" s="353"/>
      <c r="S20" s="32"/>
      <c r="T20" s="32"/>
      <c r="U20" s="32"/>
      <c r="V20" s="32"/>
      <c r="W20" s="32"/>
      <c r="X20" s="32"/>
      <c r="Y20" s="32"/>
      <c r="Z20" s="32"/>
      <c r="AA20" s="32"/>
      <c r="AB20" s="32"/>
      <c r="AC20" s="32"/>
      <c r="AD20" s="32"/>
    </row>
    <row r="21" spans="1:30" s="10" customFormat="1" ht="19.95" customHeight="1">
      <c r="A21" s="346"/>
      <c r="B21" s="347"/>
      <c r="C21" s="348"/>
      <c r="D21" s="348"/>
      <c r="E21" s="348"/>
      <c r="F21" s="349"/>
      <c r="G21" s="349"/>
      <c r="H21" s="354"/>
      <c r="I21" s="351"/>
      <c r="J21" s="351"/>
      <c r="K21" s="351"/>
      <c r="L21" s="351"/>
      <c r="M21" s="351"/>
      <c r="N21" s="352"/>
      <c r="O21" s="353"/>
      <c r="P21" s="353"/>
      <c r="S21" s="32"/>
      <c r="T21" s="32"/>
      <c r="U21" s="32"/>
      <c r="V21" s="32"/>
      <c r="W21" s="32"/>
      <c r="X21" s="32"/>
      <c r="Y21" s="32"/>
      <c r="Z21" s="32"/>
      <c r="AA21" s="32"/>
      <c r="AB21" s="32"/>
      <c r="AC21" s="32"/>
      <c r="AD21" s="32"/>
    </row>
    <row r="22" spans="1:30" s="10" customFormat="1" ht="19.95" customHeight="1">
      <c r="A22" s="346"/>
      <c r="B22" s="347"/>
      <c r="C22" s="348"/>
      <c r="D22" s="348"/>
      <c r="E22" s="348"/>
      <c r="F22" s="349"/>
      <c r="G22" s="349"/>
      <c r="H22" s="354"/>
      <c r="I22" s="351"/>
      <c r="J22" s="351"/>
      <c r="K22" s="351"/>
      <c r="L22" s="351"/>
      <c r="M22" s="351"/>
      <c r="N22" s="352"/>
      <c r="O22" s="353"/>
      <c r="P22" s="353"/>
      <c r="S22" s="32"/>
      <c r="T22" s="32"/>
      <c r="U22" s="32"/>
      <c r="V22" s="32"/>
      <c r="W22" s="32"/>
      <c r="X22" s="32"/>
      <c r="Y22" s="32"/>
      <c r="Z22" s="32"/>
      <c r="AA22" s="32"/>
      <c r="AB22" s="32"/>
      <c r="AC22" s="32"/>
      <c r="AD22" s="32"/>
    </row>
    <row r="23" spans="1:30" s="10" customFormat="1" ht="19.95" customHeight="1">
      <c r="A23" s="346"/>
      <c r="B23" s="347"/>
      <c r="C23" s="348"/>
      <c r="D23" s="348"/>
      <c r="E23" s="348"/>
      <c r="F23" s="349"/>
      <c r="G23" s="349"/>
      <c r="H23" s="354"/>
      <c r="I23" s="351"/>
      <c r="J23" s="351"/>
      <c r="K23" s="351"/>
      <c r="L23" s="351"/>
      <c r="M23" s="351"/>
      <c r="N23" s="352"/>
      <c r="O23" s="353"/>
      <c r="P23" s="353"/>
      <c r="S23" s="32"/>
      <c r="T23" s="32"/>
      <c r="U23" s="32"/>
      <c r="V23" s="32"/>
      <c r="W23" s="32"/>
      <c r="X23" s="32"/>
      <c r="Y23" s="32"/>
      <c r="Z23" s="32"/>
      <c r="AA23" s="32"/>
      <c r="AB23" s="32"/>
      <c r="AC23" s="32"/>
      <c r="AD23" s="32"/>
    </row>
    <row r="24" spans="1:30" s="365" customFormat="1" ht="19.95" customHeight="1">
      <c r="A24" s="467" t="s">
        <v>358</v>
      </c>
      <c r="B24" s="467"/>
      <c r="C24" s="467"/>
      <c r="D24" s="360"/>
      <c r="E24" s="360"/>
      <c r="F24" s="361">
        <f>SUM(F12:F23)</f>
        <v>0</v>
      </c>
      <c r="G24" s="361">
        <f>SUM(G12:G23)</f>
        <v>0</v>
      </c>
      <c r="H24" s="362"/>
      <c r="I24" s="345"/>
      <c r="J24" s="345"/>
      <c r="K24" s="345"/>
      <c r="L24" s="345"/>
      <c r="M24" s="345"/>
      <c r="N24" s="363"/>
      <c r="O24" s="364"/>
      <c r="P24" s="364"/>
      <c r="S24" s="366"/>
      <c r="T24" s="366"/>
      <c r="U24" s="366"/>
      <c r="V24" s="366"/>
      <c r="W24" s="366"/>
      <c r="X24" s="366"/>
      <c r="Y24" s="366"/>
      <c r="Z24" s="366"/>
      <c r="AA24" s="366"/>
      <c r="AB24" s="366"/>
      <c r="AC24" s="366"/>
      <c r="AD24" s="366"/>
    </row>
    <row r="25" spans="1:30" s="365" customFormat="1" ht="19.95" customHeight="1">
      <c r="A25" s="467" t="s">
        <v>384</v>
      </c>
      <c r="B25" s="467"/>
      <c r="C25" s="467"/>
      <c r="D25" s="360"/>
      <c r="E25" s="360"/>
      <c r="F25" s="361">
        <f>'明细表L1-2'!T26</f>
        <v>0</v>
      </c>
      <c r="G25" s="361">
        <f>'明细表L1-2'!S26</f>
        <v>0</v>
      </c>
      <c r="H25" s="362"/>
      <c r="I25" s="345"/>
      <c r="J25" s="345"/>
      <c r="K25" s="345"/>
      <c r="L25" s="345"/>
      <c r="M25" s="345"/>
      <c r="N25" s="363"/>
      <c r="O25" s="364"/>
      <c r="P25" s="364"/>
      <c r="S25" s="366"/>
      <c r="T25" s="366"/>
      <c r="U25" s="366"/>
      <c r="V25" s="366"/>
      <c r="W25" s="366"/>
      <c r="X25" s="366"/>
      <c r="Y25" s="366"/>
      <c r="Z25" s="366"/>
      <c r="AA25" s="366"/>
      <c r="AB25" s="366"/>
      <c r="AC25" s="366"/>
      <c r="AD25" s="366"/>
    </row>
    <row r="26" spans="1:30" s="365" customFormat="1" ht="19.95" customHeight="1">
      <c r="A26" s="467" t="s">
        <v>385</v>
      </c>
      <c r="B26" s="467"/>
      <c r="C26" s="467"/>
      <c r="D26" s="360"/>
      <c r="E26" s="360"/>
      <c r="F26" s="393" t="e">
        <f>F24/F25</f>
        <v>#DIV/0!</v>
      </c>
      <c r="G26" s="393" t="e">
        <f>G24/G25</f>
        <v>#DIV/0!</v>
      </c>
      <c r="H26" s="362"/>
      <c r="I26" s="345"/>
      <c r="J26" s="345"/>
      <c r="K26" s="345"/>
      <c r="L26" s="345"/>
      <c r="M26" s="345"/>
      <c r="N26" s="363"/>
      <c r="O26" s="364"/>
      <c r="P26" s="364"/>
      <c r="S26" s="366"/>
      <c r="T26" s="366"/>
      <c r="U26" s="366"/>
      <c r="V26" s="366"/>
      <c r="W26" s="366"/>
      <c r="X26" s="366"/>
      <c r="Y26" s="366"/>
      <c r="Z26" s="366"/>
      <c r="AA26" s="366"/>
      <c r="AB26" s="366"/>
      <c r="AC26" s="366"/>
      <c r="AD26" s="366"/>
    </row>
    <row r="27" spans="1:30" s="10" customFormat="1" ht="19.95" customHeight="1">
      <c r="A27" s="392" t="s">
        <v>98</v>
      </c>
      <c r="B27" s="151"/>
      <c r="C27" s="151"/>
      <c r="D27" s="151"/>
      <c r="E27" s="151"/>
      <c r="F27" s="151"/>
      <c r="G27" s="151"/>
      <c r="H27" s="151"/>
      <c r="I27" s="151"/>
      <c r="J27" s="151"/>
      <c r="K27" s="151"/>
      <c r="L27" s="151"/>
      <c r="M27" s="151"/>
      <c r="N27" s="151"/>
      <c r="O27" s="168"/>
    </row>
    <row r="28" spans="1:30" s="10" customFormat="1" ht="19.95" customHeight="1">
      <c r="A28" s="394" t="s">
        <v>386</v>
      </c>
      <c r="B28" s="151"/>
      <c r="C28" s="151"/>
      <c r="D28" s="151"/>
      <c r="E28" s="151"/>
      <c r="F28" s="151"/>
      <c r="G28" s="151"/>
      <c r="H28" s="151"/>
      <c r="I28" s="151"/>
      <c r="J28" s="151"/>
      <c r="K28" s="151"/>
      <c r="L28" s="151"/>
      <c r="M28" s="151"/>
      <c r="N28" s="151"/>
      <c r="O28" s="168"/>
    </row>
    <row r="29" spans="1:30" s="10" customFormat="1" ht="19.95" customHeight="1">
      <c r="A29" s="395" t="s">
        <v>387</v>
      </c>
      <c r="B29" s="151"/>
      <c r="C29" s="151"/>
      <c r="D29" s="151"/>
      <c r="E29" s="151"/>
      <c r="F29" s="151"/>
      <c r="G29" s="151"/>
      <c r="H29" s="151"/>
      <c r="I29" s="151"/>
      <c r="J29" s="151"/>
      <c r="K29" s="151"/>
      <c r="L29" s="151"/>
      <c r="M29" s="151"/>
      <c r="N29" s="151"/>
      <c r="O29" s="168"/>
    </row>
    <row r="30" spans="1:30" s="10" customFormat="1" ht="19.95" customHeight="1">
      <c r="O30" s="162"/>
      <c r="P30" s="30"/>
    </row>
    <row r="31" spans="1:30" s="10" customFormat="1" ht="19.95" customHeight="1">
      <c r="A31" s="34" t="s">
        <v>31</v>
      </c>
      <c r="P31" s="210"/>
    </row>
    <row r="32" spans="1:30" s="10" customFormat="1" ht="19.95" customHeight="1"/>
    <row r="33" spans="1:16" s="10" customFormat="1" ht="19.95" customHeight="1">
      <c r="A33" s="28"/>
      <c r="C33" s="30"/>
      <c r="D33" s="30"/>
      <c r="E33" s="30"/>
      <c r="F33" s="30"/>
      <c r="G33" s="30"/>
      <c r="H33" s="30"/>
      <c r="I33" s="30"/>
      <c r="J33" s="30"/>
      <c r="K33" s="30"/>
      <c r="L33" s="30"/>
      <c r="M33" s="30"/>
      <c r="N33" s="30"/>
      <c r="O33" s="30"/>
      <c r="P33" s="30"/>
    </row>
    <row r="34" spans="1:16" s="10" customFormat="1" ht="19.95" customHeight="1">
      <c r="A34" s="28"/>
      <c r="C34" s="30"/>
      <c r="D34" s="30"/>
      <c r="E34" s="30"/>
      <c r="F34" s="30"/>
      <c r="G34" s="30"/>
      <c r="H34" s="30"/>
      <c r="I34" s="30"/>
      <c r="J34" s="30"/>
      <c r="K34" s="30"/>
      <c r="L34" s="30"/>
      <c r="M34" s="30"/>
      <c r="N34" s="30"/>
      <c r="O34" s="30"/>
      <c r="P34" s="30"/>
    </row>
    <row r="35" spans="1:16" s="10" customFormat="1" ht="19.95" customHeight="1"/>
    <row r="36" spans="1:16" s="10" customFormat="1" ht="19.95" customHeight="1"/>
  </sheetData>
  <mergeCells count="11">
    <mergeCell ref="P10:P11"/>
    <mergeCell ref="A1:P1"/>
    <mergeCell ref="A2:P2"/>
    <mergeCell ref="A10:G10"/>
    <mergeCell ref="H10:H11"/>
    <mergeCell ref="I10:M10"/>
    <mergeCell ref="A24:C24"/>
    <mergeCell ref="A25:C25"/>
    <mergeCell ref="A26:C26"/>
    <mergeCell ref="N10:N11"/>
    <mergeCell ref="O10:O11"/>
  </mergeCells>
  <phoneticPr fontId="14" type="noConversion"/>
  <dataValidations count="1">
    <dataValidation type="list" allowBlank="1" showInputMessage="1" showErrorMessage="1" sqref="I12:M26">
      <formula1>"√,X"</formula1>
    </dataValidation>
  </dataValidations>
  <hyperlinks>
    <hyperlink ref="P3" location="底稿目录!A1" display="底稿目录!A1"/>
  </hyperlinks>
  <printOptions horizontalCentered="1"/>
  <pageMargins left="0.70866141732283472" right="0.70866141732283472" top="0.74803149606299213" bottom="0.74803149606299213" header="0.31496062992125984" footer="0.31496062992125984"/>
  <pageSetup paperSize="9" scale="80" fitToHeight="0" orientation="landscape" blackAndWhite="1" r:id="rId1"/>
  <headerFooter alignWithMargins="0">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13</vt:i4>
      </vt:variant>
      <vt:variant>
        <vt:lpstr>命名范围</vt:lpstr>
      </vt:variant>
      <vt:variant>
        <vt:i4>18</vt:i4>
      </vt:variant>
    </vt:vector>
  </HeadingPairs>
  <TitlesOfParts>
    <vt:vector size="31" baseType="lpstr">
      <vt:lpstr>底稿目录</vt:lpstr>
      <vt:lpstr> 短期借款实质性程序表L1A</vt:lpstr>
      <vt:lpstr>审定表L1-1</vt:lpstr>
      <vt:lpstr>附注披露信息核对（上市公司）</vt:lpstr>
      <vt:lpstr>附注披露信息核对（国企）</vt:lpstr>
      <vt:lpstr>明细表L1-2</vt:lpstr>
      <vt:lpstr>调整分录汇总L1-3</vt:lpstr>
      <vt:lpstr>征信报告核对表L1-4</vt:lpstr>
      <vt:lpstr>利息测算表L1-5</vt:lpstr>
      <vt:lpstr>贷款合同检查L1-6</vt:lpstr>
      <vt:lpstr>逾期贷款检查表L1-7</vt:lpstr>
      <vt:lpstr>抵质押资产检查表L1-8</vt:lpstr>
      <vt:lpstr>短期借款检查表L1-9</vt:lpstr>
      <vt:lpstr>' 短期借款实质性程序表L1A'!_FilterDatabase</vt:lpstr>
      <vt:lpstr>'贷款合同检查L1-6'!_FilterDatabase</vt:lpstr>
      <vt:lpstr>' 短期借款实质性程序表L1A'!Print_Area</vt:lpstr>
      <vt:lpstr>'贷款合同检查L1-6'!Print_Area</vt:lpstr>
      <vt:lpstr>'抵质押资产检查表L1-8'!Print_Area</vt:lpstr>
      <vt:lpstr>'调整分录汇总L1-3'!Print_Area</vt:lpstr>
      <vt:lpstr>'短期借款检查表L1-9'!Print_Area</vt:lpstr>
      <vt:lpstr>'附注披露信息核对（国企）'!Print_Area</vt:lpstr>
      <vt:lpstr>'附注披露信息核对（上市公司）'!Print_Area</vt:lpstr>
      <vt:lpstr>'利息测算表L1-5'!Print_Area</vt:lpstr>
      <vt:lpstr>'明细表L1-2'!Print_Area</vt:lpstr>
      <vt:lpstr>'审定表L1-1'!Print_Area</vt:lpstr>
      <vt:lpstr>'逾期贷款检查表L1-7'!Print_Area</vt:lpstr>
      <vt:lpstr>'征信报告核对表L1-4'!Print_Area</vt:lpstr>
      <vt:lpstr>' 短期借款实质性程序表L1A'!Print_Titles</vt:lpstr>
      <vt:lpstr>'贷款合同检查L1-6'!Print_Titles</vt:lpstr>
      <vt:lpstr>'利息测算表L1-5'!Print_Titles</vt:lpstr>
      <vt:lpstr>'明细表L1-2'!Print_Titles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2025-10-23T09:51:33Z</cp:lastPrinted>
  <dcterms:created xsi:type="dcterms:W3CDTF">2007-05-20T08:51:05Z</dcterms:created>
  <dcterms:modified xsi:type="dcterms:W3CDTF">2025-12-02T07:51:28Z</dcterms:modified>
</cp:coreProperties>
</file>