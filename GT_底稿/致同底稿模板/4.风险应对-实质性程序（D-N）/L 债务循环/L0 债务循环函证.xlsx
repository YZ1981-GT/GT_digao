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5.底稿模板\2025年底稿修订\1.已修订底稿\2025年底稿模板-10.31\L 债务循环\"/>
    </mc:Choice>
  </mc:AlternateContent>
  <bookViews>
    <workbookView xWindow="0" yWindow="0" windowWidth="20748" windowHeight="9696" tabRatio="854"/>
  </bookViews>
  <sheets>
    <sheet name="底稿目录" sheetId="10" r:id="rId1"/>
    <sheet name="函证程序表F0A" sheetId="1" r:id="rId2"/>
    <sheet name="函证结果汇总表L0-1" sheetId="13" r:id="rId3"/>
    <sheet name="核实被函证单位信息L0-2" sheetId="3" r:id="rId4"/>
    <sheet name="跟函函证过程控制L0-3" sheetId="4" r:id="rId5"/>
    <sheet name="函证差异调节表L0-4" sheetId="5" r:id="rId6"/>
    <sheet name="函证差异检查表（示例）" sheetId="12" state="hidden" r:id="rId7"/>
    <sheet name="长期应付款替代程序L0-5" sheetId="7" r:id="rId8"/>
    <sheet name="邮件传真回函可靠性验证L0-6" sheetId="6" r:id="rId9"/>
    <sheet name="函证程序舞弊风险评价表L0-7" sheetId="11" r:id="rId10"/>
  </sheets>
  <definedNames>
    <definedName name="_" localSheetId="2">#REF!</definedName>
    <definedName name="_">#REF!</definedName>
    <definedName name="___DAT1" localSheetId="2">#REF!</definedName>
    <definedName name="___DAT1">#REF!</definedName>
    <definedName name="___DAT10" localSheetId="2">#REF!</definedName>
    <definedName name="___DAT10">#REF!</definedName>
    <definedName name="___DAT11" localSheetId="2">#REF!</definedName>
    <definedName name="___DAT11">#REF!</definedName>
    <definedName name="___DAT2" localSheetId="2">#REF!</definedName>
    <definedName name="___DAT2">#REF!</definedName>
    <definedName name="___DAT3" localSheetId="2">#REF!</definedName>
    <definedName name="___DAT3">#REF!</definedName>
    <definedName name="___DAT4" localSheetId="2">#REF!</definedName>
    <definedName name="___DAT4">#REF!</definedName>
    <definedName name="___DAT5" localSheetId="2">#REF!</definedName>
    <definedName name="___DAT5">#REF!</definedName>
    <definedName name="___DAT6" localSheetId="2">#REF!</definedName>
    <definedName name="___DAT6">#REF!</definedName>
    <definedName name="___DAT7" localSheetId="2">#REF!</definedName>
    <definedName name="___DAT7">#REF!</definedName>
    <definedName name="___DAT8" localSheetId="2">#REF!</definedName>
    <definedName name="___DAT8">#REF!</definedName>
    <definedName name="___DAT9" localSheetId="2">#REF!</definedName>
    <definedName name="___DAT9">#REF!</definedName>
    <definedName name="__C161100" localSheetId="2">#REF!</definedName>
    <definedName name="__C161100">#REF!</definedName>
    <definedName name="__DAT1" localSheetId="2">#REF!</definedName>
    <definedName name="__DAT1">#REF!</definedName>
    <definedName name="__DAT10" localSheetId="2">#REF!</definedName>
    <definedName name="__DAT10">#REF!</definedName>
    <definedName name="__DAT11" localSheetId="2">#REF!</definedName>
    <definedName name="__DAT11">#REF!</definedName>
    <definedName name="__DAT2" localSheetId="2">#REF!</definedName>
    <definedName name="__DAT2">#REF!</definedName>
    <definedName name="__DAT3" localSheetId="2">#REF!</definedName>
    <definedName name="__DAT3">#REF!</definedName>
    <definedName name="__DAT4" localSheetId="2">#REF!</definedName>
    <definedName name="__DAT4">#REF!</definedName>
    <definedName name="__DAT5" localSheetId="2">#REF!</definedName>
    <definedName name="__DAT5">#REF!</definedName>
    <definedName name="__DAT6" localSheetId="2">#REF!</definedName>
    <definedName name="__DAT6">#REF!</definedName>
    <definedName name="__DAT7" localSheetId="2">#REF!</definedName>
    <definedName name="__DAT7">#REF!</definedName>
    <definedName name="__DAT8" localSheetId="2">#REF!</definedName>
    <definedName name="__DAT8">#REF!</definedName>
    <definedName name="__DAT9" localSheetId="2">#REF!</definedName>
    <definedName name="__DAT9">#REF!</definedName>
    <definedName name="_002存新" localSheetId="2">#REF!</definedName>
    <definedName name="_002存新">#REF!</definedName>
    <definedName name="_003新" localSheetId="2">#REF!</definedName>
    <definedName name="_003新">#REF!</definedName>
    <definedName name="_01" localSheetId="2">#REF!</definedName>
    <definedName name="_01">#REF!</definedName>
    <definedName name="_011" localSheetId="2">#REF!</definedName>
    <definedName name="_011">#REF!</definedName>
    <definedName name="_012" localSheetId="2">#REF!</definedName>
    <definedName name="_012">#REF!</definedName>
    <definedName name="_013" localSheetId="2">#REF!</definedName>
    <definedName name="_013">#REF!</definedName>
    <definedName name="_014" localSheetId="2">#REF!</definedName>
    <definedName name="_014">#REF!</definedName>
    <definedName name="_015" localSheetId="2">#REF!</definedName>
    <definedName name="_015">#REF!</definedName>
    <definedName name="_016" localSheetId="2">#REF!</definedName>
    <definedName name="_016">#REF!</definedName>
    <definedName name="_01a" localSheetId="2">#REF!,#REF!,#REF!</definedName>
    <definedName name="_01a">#REF!,#REF!,#REF!</definedName>
    <definedName name="_02" localSheetId="2">#REF!</definedName>
    <definedName name="_02">#REF!</definedName>
    <definedName name="_021" localSheetId="2">#REF!</definedName>
    <definedName name="_021">#REF!</definedName>
    <definedName name="_022" localSheetId="2">#REF!</definedName>
    <definedName name="_022">#REF!</definedName>
    <definedName name="_023" localSheetId="2">#REF!</definedName>
    <definedName name="_023">#REF!</definedName>
    <definedName name="_024" localSheetId="2">#REF!</definedName>
    <definedName name="_024">#REF!</definedName>
    <definedName name="_025" localSheetId="2">#REF!</definedName>
    <definedName name="_025">#REF!</definedName>
    <definedName name="_027" localSheetId="2">#REF!</definedName>
    <definedName name="_027">#REF!</definedName>
    <definedName name="_1" localSheetId="2">#REF!</definedName>
    <definedName name="_1">#REF!</definedName>
    <definedName name="_1_?" localSheetId="2">#REF!</definedName>
    <definedName name="_1_?">#REF!</definedName>
    <definedName name="_13102" localSheetId="2">#REF!</definedName>
    <definedName name="_13102">#REF!</definedName>
    <definedName name="_13302" localSheetId="2">#REF!</definedName>
    <definedName name="_13302">#REF!</definedName>
    <definedName name="_13398" localSheetId="2">#REF!</definedName>
    <definedName name="_13398">#REF!</definedName>
    <definedName name="_18102" localSheetId="2">#REF!</definedName>
    <definedName name="_18102">#REF!</definedName>
    <definedName name="_18198" localSheetId="2">#REF!</definedName>
    <definedName name="_18198">#REF!</definedName>
    <definedName name="_2" localSheetId="2">#REF!</definedName>
    <definedName name="_2">#REF!</definedName>
    <definedName name="_2_??????" localSheetId="2">#REF!</definedName>
    <definedName name="_2_??????">#REF!</definedName>
    <definedName name="_3查询_2001年4月余额表" localSheetId="2">#REF!</definedName>
    <definedName name="_3查询_2001年4月余额表">#REF!</definedName>
    <definedName name="_412应收明细" localSheetId="2">#REF!</definedName>
    <definedName name="_412应收明细">#REF!</definedName>
    <definedName name="_99.dbf" localSheetId="2">#REF!</definedName>
    <definedName name="_99.dbf">#REF!</definedName>
    <definedName name="_999年12月31日股份应收帐款.dbf" localSheetId="2">#REF!</definedName>
    <definedName name="_999年12月31日股份应收帐款.dbf">#REF!</definedName>
    <definedName name="_A1000" localSheetId="2">#REF!</definedName>
    <definedName name="_A1000">#REF!</definedName>
    <definedName name="_A1100" localSheetId="2">#REF!</definedName>
    <definedName name="_A1100">#REF!</definedName>
    <definedName name="_a1101" localSheetId="2">#REF!</definedName>
    <definedName name="_a1101">#REF!</definedName>
    <definedName name="_A1111" localSheetId="2">#REF!</definedName>
    <definedName name="_A1111">#REF!</definedName>
    <definedName name="_A1121" localSheetId="2">#REF!</definedName>
    <definedName name="_A1121">#REF!</definedName>
    <definedName name="_A1131" localSheetId="2">#REF!</definedName>
    <definedName name="_A1131">#REF!</definedName>
    <definedName name="_A1141" localSheetId="2">#REF!</definedName>
    <definedName name="_A1141">#REF!</definedName>
    <definedName name="_A1151" localSheetId="2">#REF!</definedName>
    <definedName name="_A1151">#REF!</definedName>
    <definedName name="_A1171" localSheetId="2">#REF!</definedName>
    <definedName name="_A1171">#REF!</definedName>
    <definedName name="_A1191" localSheetId="2">#REF!</definedName>
    <definedName name="_A1191">#REF!</definedName>
    <definedName name="_A1201" localSheetId="2">#REF!</definedName>
    <definedName name="_A1201">#REF!</definedName>
    <definedName name="_A1400" localSheetId="2">#REF!</definedName>
    <definedName name="_A1400">#REF!</definedName>
    <definedName name="_A1421" localSheetId="2">#REF!</definedName>
    <definedName name="_A1421">#REF!</definedName>
    <definedName name="_A1491" localSheetId="2">#REF!</definedName>
    <definedName name="_A1491">#REF!</definedName>
    <definedName name="_A1499" localSheetId="2">#REF!</definedName>
    <definedName name="_A1499">#REF!</definedName>
    <definedName name="_A1501" localSheetId="2">#REF!</definedName>
    <definedName name="_A1501">#REF!</definedName>
    <definedName name="_A1601" localSheetId="2">#REF!</definedName>
    <definedName name="_A1601">#REF!</definedName>
    <definedName name="_A160100" localSheetId="2">#REF!</definedName>
    <definedName name="_A160100">#REF!</definedName>
    <definedName name="_A1611" localSheetId="2">#REF!</definedName>
    <definedName name="_A1611">#REF!</definedName>
    <definedName name="_A1621" localSheetId="2">#REF!</definedName>
    <definedName name="_A1621">#REF!</definedName>
    <definedName name="_A1641" localSheetId="2">#REF!</definedName>
    <definedName name="_A1641">#REF!</definedName>
    <definedName name="_A1701" localSheetId="2">#REF!</definedName>
    <definedName name="_A1701">#REF!</definedName>
    <definedName name="_A1800" localSheetId="2">#REF!</definedName>
    <definedName name="_A1800">#REF!</definedName>
    <definedName name="_A1801" localSheetId="2">#REF!</definedName>
    <definedName name="_A1801">#REF!</definedName>
    <definedName name="_A1811" localSheetId="2">#REF!</definedName>
    <definedName name="_A1811">#REF!</definedName>
    <definedName name="_A1821" localSheetId="2">#REF!</definedName>
    <definedName name="_A1821">#REF!</definedName>
    <definedName name="_A1900" localSheetId="2">#REF!</definedName>
    <definedName name="_A1900">#REF!</definedName>
    <definedName name="_A1901" localSheetId="2">#REF!</definedName>
    <definedName name="_A1901">#REF!</definedName>
    <definedName name="_A1911" localSheetId="2">#REF!</definedName>
    <definedName name="_A1911">#REF!</definedName>
    <definedName name="_A1921" localSheetId="2">#REF!</definedName>
    <definedName name="_A1921">#REF!</definedName>
    <definedName name="_A1931" localSheetId="2">#REF!</definedName>
    <definedName name="_A1931">#REF!</definedName>
    <definedName name="_A1941" localSheetId="2">#REF!</definedName>
    <definedName name="_A1941">#REF!</definedName>
    <definedName name="_A1951" localSheetId="2">#REF!</definedName>
    <definedName name="_A1951">#REF!</definedName>
    <definedName name="_A2000" localSheetId="2">#REF!</definedName>
    <definedName name="_A2000">#REF!</definedName>
    <definedName name="_A2100" localSheetId="2">#REF!</definedName>
    <definedName name="_A2100">#REF!</definedName>
    <definedName name="_A2101" localSheetId="2">#REF!</definedName>
    <definedName name="_A2101">#REF!</definedName>
    <definedName name="_A2111" localSheetId="2">#REF!</definedName>
    <definedName name="_A2111">#REF!</definedName>
    <definedName name="_A2121" localSheetId="2">#REF!</definedName>
    <definedName name="_A2121">#REF!</definedName>
    <definedName name="_A2131" localSheetId="2">#REF!</definedName>
    <definedName name="_A2131">#REF!</definedName>
    <definedName name="_A2141" localSheetId="2">#REF!</definedName>
    <definedName name="_A2141">#REF!</definedName>
    <definedName name="_A2151" localSheetId="2">#REF!</definedName>
    <definedName name="_A2151">#REF!</definedName>
    <definedName name="_A2161" localSheetId="2">#REF!</definedName>
    <definedName name="_A2161">#REF!</definedName>
    <definedName name="_A2171" localSheetId="2">#REF!</definedName>
    <definedName name="_A2171">#REF!</definedName>
    <definedName name="_A2181" localSheetId="2">#REF!</definedName>
    <definedName name="_A2181">#REF!</definedName>
    <definedName name="_A2191" localSheetId="2">#REF!</definedName>
    <definedName name="_A2191">#REF!</definedName>
    <definedName name="_A2195" localSheetId="2">#REF!</definedName>
    <definedName name="_A2195">#REF!</definedName>
    <definedName name="_A2199" localSheetId="2">#REF!</definedName>
    <definedName name="_A2199">#REF!</definedName>
    <definedName name="_A2200" localSheetId="2">#REF!</definedName>
    <definedName name="_A2200">#REF!</definedName>
    <definedName name="_A2201" localSheetId="2">#REF!</definedName>
    <definedName name="_A2201">#REF!</definedName>
    <definedName name="_A2211" localSheetId="2">#REF!</definedName>
    <definedName name="_A2211">#REF!</definedName>
    <definedName name="_A2212" localSheetId="2">#REF!</definedName>
    <definedName name="_A2212">#REF!</definedName>
    <definedName name="_A2221" localSheetId="2">#REF!</definedName>
    <definedName name="_A2221">#REF!</definedName>
    <definedName name="_A2900" localSheetId="2">#REF!</definedName>
    <definedName name="_A2900">#REF!</definedName>
    <definedName name="_A2911" localSheetId="2">#REF!</definedName>
    <definedName name="_A2911">#REF!</definedName>
    <definedName name="_A2921" localSheetId="2">#REF!</definedName>
    <definedName name="_A2921">#REF!</definedName>
    <definedName name="_A2931" localSheetId="2">#REF!</definedName>
    <definedName name="_A2931">#REF!</definedName>
    <definedName name="_A2941" localSheetId="2">#REF!</definedName>
    <definedName name="_A2941">#REF!</definedName>
    <definedName name="_A2951" localSheetId="2">#REF!</definedName>
    <definedName name="_A2951">#REF!</definedName>
    <definedName name="_A3000" localSheetId="2">#REF!</definedName>
    <definedName name="_A3000">#REF!</definedName>
    <definedName name="_A3101" localSheetId="2">#REF!</definedName>
    <definedName name="_A3101">#REF!</definedName>
    <definedName name="_A310110" localSheetId="2">#REF!</definedName>
    <definedName name="_A310110">#REF!</definedName>
    <definedName name="_A310120" localSheetId="2">#REF!</definedName>
    <definedName name="_A310120">#REF!</definedName>
    <definedName name="_A3102" localSheetId="2">#REF!</definedName>
    <definedName name="_A3102">#REF!</definedName>
    <definedName name="_A3111" localSheetId="2">#REF!</definedName>
    <definedName name="_A3111">#REF!</definedName>
    <definedName name="_A3201" localSheetId="2">#REF!</definedName>
    <definedName name="_A3201">#REF!</definedName>
    <definedName name="_A3211" localSheetId="2">#REF!</definedName>
    <definedName name="_A3211">#REF!</definedName>
    <definedName name="_A3221" localSheetId="2">#REF!</definedName>
    <definedName name="_A3221">#REF!</definedName>
    <definedName name="_A3301" localSheetId="2">#REF!</definedName>
    <definedName name="_A3301">#REF!</definedName>
    <definedName name="_A3311" localSheetId="2">#REF!</definedName>
    <definedName name="_A3311">#REF!</definedName>
    <definedName name="_a4201" localSheetId="2">#REF!</definedName>
    <definedName name="_a4201">#REF!</definedName>
    <definedName name="_a5101" localSheetId="2">#REF!</definedName>
    <definedName name="_a5101">#REF!</definedName>
    <definedName name="_a510101" localSheetId="2">#REF!</definedName>
    <definedName name="_a510101">#REF!</definedName>
    <definedName name="_a5102" localSheetId="2">#REF!</definedName>
    <definedName name="_a5102">#REF!</definedName>
    <definedName name="_a510202" localSheetId="2">#REF!</definedName>
    <definedName name="_a510202">#REF!</definedName>
    <definedName name="_a5111" localSheetId="2">#REF!</definedName>
    <definedName name="_a5111">#REF!</definedName>
    <definedName name="_a5121" localSheetId="2">#REF!</definedName>
    <definedName name="_a5121">#REF!</definedName>
    <definedName name="_a512101" localSheetId="2">#REF!</definedName>
    <definedName name="_a512101">#REF!</definedName>
    <definedName name="_a5131" localSheetId="2">#REF!</definedName>
    <definedName name="_a5131">#REF!</definedName>
    <definedName name="_a5141" localSheetId="2">#REF!</definedName>
    <definedName name="_a5141">#REF!</definedName>
    <definedName name="_a5151" localSheetId="2">#REF!</definedName>
    <definedName name="_a5151">#REF!</definedName>
    <definedName name="_a5501" localSheetId="2">#REF!</definedName>
    <definedName name="_a5501">#REF!</definedName>
    <definedName name="_a5601" localSheetId="2">#REF!</definedName>
    <definedName name="_a5601">#REF!</definedName>
    <definedName name="_a5701" localSheetId="2">#REF!</definedName>
    <definedName name="_a5701">#REF!</definedName>
    <definedName name="_a5801" localSheetId="2">#REF!</definedName>
    <definedName name="_a5801">#REF!</definedName>
    <definedName name="_a5901" localSheetId="2">#REF!</definedName>
    <definedName name="_a5901">#REF!</definedName>
    <definedName name="_A6000" localSheetId="2">#REF!</definedName>
    <definedName name="_A6000">#REF!</definedName>
    <definedName name="_a7000" localSheetId="2">#REF!</definedName>
    <definedName name="_a7000">#REF!</definedName>
    <definedName name="_aar1" localSheetId="2">#REF!</definedName>
    <definedName name="_aar1">#REF!</definedName>
    <definedName name="_aar2" localSheetId="2">#REF!</definedName>
    <definedName name="_aar2">#REF!</definedName>
    <definedName name="_aar3" localSheetId="2">#REF!</definedName>
    <definedName name="_aar3">#REF!</definedName>
    <definedName name="_aar4" localSheetId="2">#REF!</definedName>
    <definedName name="_aar4">#REF!</definedName>
    <definedName name="_aar5" localSheetId="2">#REF!</definedName>
    <definedName name="_aar5">#REF!</definedName>
    <definedName name="_aar6" localSheetId="2">#REF!</definedName>
    <definedName name="_aar6">#REF!</definedName>
    <definedName name="_aar7" localSheetId="2">#REF!</definedName>
    <definedName name="_aar7">#REF!</definedName>
    <definedName name="_aar8" localSheetId="2">#REF!</definedName>
    <definedName name="_aar8">#REF!</definedName>
    <definedName name="_aar9" localSheetId="2">#REF!</definedName>
    <definedName name="_aar9">#REF!</definedName>
    <definedName name="_B1000" localSheetId="2">#REF!</definedName>
    <definedName name="_B1000">#REF!</definedName>
    <definedName name="_B1101" localSheetId="2">#REF!</definedName>
    <definedName name="_B1101">#REF!</definedName>
    <definedName name="_B1111" localSheetId="2">#REF!</definedName>
    <definedName name="_B1111">#REF!</definedName>
    <definedName name="_B1121" localSheetId="2">#REF!</definedName>
    <definedName name="_B1121">#REF!</definedName>
    <definedName name="_B1131" localSheetId="2">#REF!</definedName>
    <definedName name="_B1131">#REF!</definedName>
    <definedName name="_B1141" localSheetId="2">#REF!</definedName>
    <definedName name="_B1141">#REF!</definedName>
    <definedName name="_B1151" localSheetId="2">#REF!</definedName>
    <definedName name="_B1151">#REF!</definedName>
    <definedName name="_B1171" localSheetId="2">#REF!</definedName>
    <definedName name="_B1171">#REF!</definedName>
    <definedName name="_B1191" localSheetId="2">#REF!</definedName>
    <definedName name="_B1191">#REF!</definedName>
    <definedName name="_B1201" localSheetId="2">#REF!</definedName>
    <definedName name="_B1201">#REF!</definedName>
    <definedName name="_B1400" localSheetId="2">#REF!</definedName>
    <definedName name="_B1400">#REF!</definedName>
    <definedName name="_B1491" localSheetId="2">#REF!</definedName>
    <definedName name="_B1491">#REF!</definedName>
    <definedName name="_B1499" localSheetId="2">#REF!</definedName>
    <definedName name="_B1499">#REF!</definedName>
    <definedName name="_B1501" localSheetId="2">#REF!</definedName>
    <definedName name="_B1501">#REF!</definedName>
    <definedName name="_B1601" localSheetId="2">#REF!</definedName>
    <definedName name="_B1601">#REF!</definedName>
    <definedName name="_B160100" localSheetId="2">#REF!</definedName>
    <definedName name="_B160100">#REF!</definedName>
    <definedName name="_B1611" localSheetId="2">#REF!</definedName>
    <definedName name="_B1611">#REF!</definedName>
    <definedName name="_B1621" localSheetId="2">#REF!</definedName>
    <definedName name="_B1621">#REF!</definedName>
    <definedName name="_B1641" localSheetId="2">#REF!</definedName>
    <definedName name="_B1641">#REF!</definedName>
    <definedName name="_B1701" localSheetId="2">#REF!</definedName>
    <definedName name="_B1701">#REF!</definedName>
    <definedName name="_b1707" localSheetId="2">#REF!</definedName>
    <definedName name="_b1707">#REF!</definedName>
    <definedName name="_B1800" localSheetId="2">#REF!</definedName>
    <definedName name="_B1800">#REF!</definedName>
    <definedName name="_B1801" localSheetId="2">#REF!</definedName>
    <definedName name="_B1801">#REF!</definedName>
    <definedName name="_B1811" localSheetId="2">#REF!</definedName>
    <definedName name="_B1811">#REF!</definedName>
    <definedName name="_B1821" localSheetId="2">#REF!</definedName>
    <definedName name="_B1821">#REF!</definedName>
    <definedName name="_B1900" localSheetId="2">#REF!</definedName>
    <definedName name="_B1900">#REF!</definedName>
    <definedName name="_B1901" localSheetId="2">#REF!</definedName>
    <definedName name="_B1901">#REF!</definedName>
    <definedName name="_B1911" localSheetId="2">#REF!</definedName>
    <definedName name="_B1911">#REF!</definedName>
    <definedName name="_B1921" localSheetId="2">#REF!</definedName>
    <definedName name="_B1921">#REF!</definedName>
    <definedName name="_B1931" localSheetId="2">#REF!</definedName>
    <definedName name="_B1931">#REF!</definedName>
    <definedName name="_B1941" localSheetId="2">#REF!</definedName>
    <definedName name="_B1941">#REF!</definedName>
    <definedName name="_B1951" localSheetId="2">#REF!</definedName>
    <definedName name="_B1951">#REF!</definedName>
    <definedName name="_B2000" localSheetId="2">#REF!</definedName>
    <definedName name="_B2000">#REF!</definedName>
    <definedName name="_B2100" localSheetId="2">#REF!</definedName>
    <definedName name="_B2100">#REF!</definedName>
    <definedName name="_B2101" localSheetId="2">#REF!</definedName>
    <definedName name="_B2101">#REF!</definedName>
    <definedName name="_B2111" localSheetId="2">#REF!</definedName>
    <definedName name="_B2111">#REF!</definedName>
    <definedName name="_B2121" localSheetId="2">#REF!</definedName>
    <definedName name="_B2121">#REF!</definedName>
    <definedName name="_B2131" localSheetId="2">#REF!</definedName>
    <definedName name="_B2131">#REF!</definedName>
    <definedName name="_B2141" localSheetId="2">#REF!</definedName>
    <definedName name="_B2141">#REF!</definedName>
    <definedName name="_B2151" localSheetId="2">#REF!</definedName>
    <definedName name="_B2151">#REF!</definedName>
    <definedName name="_B2161" localSheetId="2">#REF!</definedName>
    <definedName name="_B2161">#REF!</definedName>
    <definedName name="_B2171" localSheetId="2">#REF!</definedName>
    <definedName name="_B2171">#REF!</definedName>
    <definedName name="_B2181" localSheetId="2">#REF!</definedName>
    <definedName name="_B2181">#REF!</definedName>
    <definedName name="_B2191" localSheetId="2">#REF!</definedName>
    <definedName name="_B2191">#REF!</definedName>
    <definedName name="_B2195" localSheetId="2">#REF!</definedName>
    <definedName name="_B2195">#REF!</definedName>
    <definedName name="_B2199" localSheetId="2">#REF!</definedName>
    <definedName name="_B2199">#REF!</definedName>
    <definedName name="_B2200" localSheetId="2">#REF!</definedName>
    <definedName name="_B2200">#REF!</definedName>
    <definedName name="_B2201" localSheetId="2">#REF!</definedName>
    <definedName name="_B2201">#REF!</definedName>
    <definedName name="_B2211" localSheetId="2">#REF!</definedName>
    <definedName name="_B2211">#REF!</definedName>
    <definedName name="_B2212" localSheetId="2">#REF!</definedName>
    <definedName name="_B2212">#REF!</definedName>
    <definedName name="_B2221" localSheetId="2">#REF!</definedName>
    <definedName name="_B2221">#REF!</definedName>
    <definedName name="_B2900" localSheetId="2">#REF!</definedName>
    <definedName name="_B2900">#REF!</definedName>
    <definedName name="_B2912" localSheetId="2">#REF!</definedName>
    <definedName name="_B2912">#REF!</definedName>
    <definedName name="_B2922" localSheetId="2">#REF!</definedName>
    <definedName name="_B2922">#REF!</definedName>
    <definedName name="_B2932" localSheetId="2">#REF!</definedName>
    <definedName name="_B2932">#REF!</definedName>
    <definedName name="_B2942" localSheetId="2">#REF!</definedName>
    <definedName name="_B2942">#REF!</definedName>
    <definedName name="_B2952" localSheetId="2">#REF!</definedName>
    <definedName name="_B2952">#REF!</definedName>
    <definedName name="_B3000" localSheetId="2">#REF!</definedName>
    <definedName name="_B3000">#REF!</definedName>
    <definedName name="_B3101" localSheetId="2">#REF!</definedName>
    <definedName name="_B3101">#REF!</definedName>
    <definedName name="_B310110" localSheetId="2">#REF!</definedName>
    <definedName name="_B310110">#REF!</definedName>
    <definedName name="_B310120" localSheetId="2">#REF!</definedName>
    <definedName name="_B310120">#REF!</definedName>
    <definedName name="_B3102" localSheetId="2">#REF!</definedName>
    <definedName name="_B3102">#REF!</definedName>
    <definedName name="_B3111" localSheetId="2">#REF!</definedName>
    <definedName name="_B3111">#REF!</definedName>
    <definedName name="_B3201" localSheetId="2">#REF!</definedName>
    <definedName name="_B3201">#REF!</definedName>
    <definedName name="_B3211" localSheetId="2">#REF!</definedName>
    <definedName name="_B3211">#REF!</definedName>
    <definedName name="_B3221" localSheetId="2">#REF!</definedName>
    <definedName name="_B3221">#REF!</definedName>
    <definedName name="_B3301" localSheetId="2">#REF!</definedName>
    <definedName name="_B3301">#REF!</definedName>
    <definedName name="_B3311" localSheetId="2">#REF!</definedName>
    <definedName name="_B3311">#REF!</definedName>
    <definedName name="_b4201" localSheetId="2">#REF!</definedName>
    <definedName name="_b4201">#REF!</definedName>
    <definedName name="_b5101" localSheetId="2">#REF!</definedName>
    <definedName name="_b5101">#REF!</definedName>
    <definedName name="_b510101" localSheetId="2">#REF!</definedName>
    <definedName name="_b510101">#REF!</definedName>
    <definedName name="_b510102" localSheetId="2">#REF!</definedName>
    <definedName name="_b510102">#REF!</definedName>
    <definedName name="_b5102" localSheetId="2">#REF!</definedName>
    <definedName name="_b5102">#REF!</definedName>
    <definedName name="_b5111" localSheetId="2">#REF!</definedName>
    <definedName name="_b5111">#REF!</definedName>
    <definedName name="_b5121" localSheetId="2">#REF!</definedName>
    <definedName name="_b5121">#REF!</definedName>
    <definedName name="_b512101" localSheetId="2">#REF!</definedName>
    <definedName name="_b512101">#REF!</definedName>
    <definedName name="_b5131" localSheetId="2">#REF!</definedName>
    <definedName name="_b5131">#REF!</definedName>
    <definedName name="_b5141" localSheetId="2">#REF!</definedName>
    <definedName name="_b5141">#REF!</definedName>
    <definedName name="_b5151" localSheetId="2">#REF!</definedName>
    <definedName name="_b5151">#REF!</definedName>
    <definedName name="_b5501" localSheetId="2">#REF!</definedName>
    <definedName name="_b5501">#REF!</definedName>
    <definedName name="_b5601" localSheetId="2">#REF!</definedName>
    <definedName name="_b5601">#REF!</definedName>
    <definedName name="_b5801" localSheetId="2">#REF!</definedName>
    <definedName name="_b5801">#REF!</definedName>
    <definedName name="_b5901" localSheetId="2">#REF!</definedName>
    <definedName name="_b5901">#REF!</definedName>
    <definedName name="_B6000" localSheetId="2">#REF!</definedName>
    <definedName name="_B6000">#REF!</definedName>
    <definedName name="_b7000" localSheetId="2">#REF!</definedName>
    <definedName name="_b7000">#REF!</definedName>
    <definedName name="_C160100" localSheetId="2">#REF!</definedName>
    <definedName name="_C160100">#REF!</definedName>
    <definedName name="_c161100" localSheetId="2">#REF!</definedName>
    <definedName name="_c161100">#REF!</definedName>
    <definedName name="_D170110" localSheetId="2">#REF!</definedName>
    <definedName name="_D170110">#REF!</definedName>
    <definedName name="_DAT1" localSheetId="2">#REF!</definedName>
    <definedName name="_DAT1">#REF!</definedName>
    <definedName name="_DAT10" localSheetId="2">#REF!</definedName>
    <definedName name="_DAT10">#REF!</definedName>
    <definedName name="_DAT100" localSheetId="2">#REF!</definedName>
    <definedName name="_DAT100">#REF!</definedName>
    <definedName name="_DAT101" localSheetId="2">#REF!</definedName>
    <definedName name="_DAT101">#REF!</definedName>
    <definedName name="_DAT102" localSheetId="2">#REF!</definedName>
    <definedName name="_DAT102">#REF!</definedName>
    <definedName name="_DAT103" localSheetId="2">#REF!</definedName>
    <definedName name="_DAT103">#REF!</definedName>
    <definedName name="_DAT104" localSheetId="2">#REF!</definedName>
    <definedName name="_DAT104">#REF!</definedName>
    <definedName name="_DAT106" localSheetId="2">#REF!</definedName>
    <definedName name="_DAT106">#REF!</definedName>
    <definedName name="_DAT107" localSheetId="2">#REF!</definedName>
    <definedName name="_DAT107">#REF!</definedName>
    <definedName name="_DAT108" localSheetId="2">#REF!</definedName>
    <definedName name="_DAT108">#REF!</definedName>
    <definedName name="_DAT109" localSheetId="2">#REF!</definedName>
    <definedName name="_DAT109">#REF!</definedName>
    <definedName name="_DAT11" localSheetId="2">#REF!</definedName>
    <definedName name="_DAT11">#REF!</definedName>
    <definedName name="_DAT110" localSheetId="2">#REF!</definedName>
    <definedName name="_DAT110">#REF!</definedName>
    <definedName name="_DAT111" localSheetId="2">#REF!</definedName>
    <definedName name="_DAT111">#REF!</definedName>
    <definedName name="_DAT112" localSheetId="2">#REF!</definedName>
    <definedName name="_DAT112">#REF!</definedName>
    <definedName name="_DAT113" localSheetId="2">#REF!</definedName>
    <definedName name="_DAT113">#REF!</definedName>
    <definedName name="_DAT114" localSheetId="2">#REF!</definedName>
    <definedName name="_DAT114">#REF!</definedName>
    <definedName name="_DAT115" localSheetId="2">#REF!</definedName>
    <definedName name="_DAT115">#REF!</definedName>
    <definedName name="_DAT116" localSheetId="2">#REF!</definedName>
    <definedName name="_DAT116">#REF!</definedName>
    <definedName name="_DAT117" localSheetId="2">#REF!</definedName>
    <definedName name="_DAT117">#REF!</definedName>
    <definedName name="_DAT118" localSheetId="2">#REF!</definedName>
    <definedName name="_DAT118">#REF!</definedName>
    <definedName name="_DAT119" localSheetId="2">#REF!</definedName>
    <definedName name="_DAT119">#REF!</definedName>
    <definedName name="_DAT12" localSheetId="2">#REF!</definedName>
    <definedName name="_DAT12">#REF!</definedName>
    <definedName name="_DAT120" localSheetId="2">#REF!</definedName>
    <definedName name="_DAT120">#REF!</definedName>
    <definedName name="_DAT121" localSheetId="2">#REF!</definedName>
    <definedName name="_DAT121">#REF!</definedName>
    <definedName name="_DAT122" localSheetId="2">#REF!</definedName>
    <definedName name="_DAT122">#REF!</definedName>
    <definedName name="_DAT123" localSheetId="2">#REF!</definedName>
    <definedName name="_DAT123">#REF!</definedName>
    <definedName name="_DAT124" localSheetId="2">#REF!</definedName>
    <definedName name="_DAT124">#REF!</definedName>
    <definedName name="_DAT125" localSheetId="2">#REF!</definedName>
    <definedName name="_DAT125">#REF!</definedName>
    <definedName name="_DAT126" localSheetId="2">#REF!</definedName>
    <definedName name="_DAT126">#REF!</definedName>
    <definedName name="_DAT127" localSheetId="2">#REF!</definedName>
    <definedName name="_DAT127">#REF!</definedName>
    <definedName name="_DAT128" localSheetId="2">#REF!</definedName>
    <definedName name="_DAT128">#REF!</definedName>
    <definedName name="_DAT129" localSheetId="2">#REF!</definedName>
    <definedName name="_DAT129">#REF!</definedName>
    <definedName name="_DAT13" localSheetId="2">#REF!</definedName>
    <definedName name="_DAT13">#REF!</definedName>
    <definedName name="_DAT130" localSheetId="2">#REF!</definedName>
    <definedName name="_DAT130">#REF!</definedName>
    <definedName name="_DAT131" localSheetId="2">#REF!</definedName>
    <definedName name="_DAT131">#REF!</definedName>
    <definedName name="_DAT132" localSheetId="2">#REF!</definedName>
    <definedName name="_DAT132">#REF!</definedName>
    <definedName name="_DAT133" localSheetId="2">#REF!</definedName>
    <definedName name="_DAT133">#REF!</definedName>
    <definedName name="_DAT134" localSheetId="2">#REF!</definedName>
    <definedName name="_DAT134">#REF!</definedName>
    <definedName name="_DAT135" localSheetId="2">#REF!</definedName>
    <definedName name="_DAT135">#REF!</definedName>
    <definedName name="_DAT136" localSheetId="2">#REF!</definedName>
    <definedName name="_DAT136">#REF!</definedName>
    <definedName name="_DAT137" localSheetId="2">#REF!</definedName>
    <definedName name="_DAT137">#REF!</definedName>
    <definedName name="_DAT138" localSheetId="2">#REF!</definedName>
    <definedName name="_DAT138">#REF!</definedName>
    <definedName name="_DAT139" localSheetId="2">#REF!</definedName>
    <definedName name="_DAT139">#REF!</definedName>
    <definedName name="_DAT14" localSheetId="2">#REF!</definedName>
    <definedName name="_DAT14">#REF!</definedName>
    <definedName name="_DAT140" localSheetId="2">#REF!</definedName>
    <definedName name="_DAT140">#REF!</definedName>
    <definedName name="_DAT142" localSheetId="2">#REF!</definedName>
    <definedName name="_DAT142">#REF!</definedName>
    <definedName name="_DAT143" localSheetId="2">#REF!</definedName>
    <definedName name="_DAT143">#REF!</definedName>
    <definedName name="_DAT144" localSheetId="2">#REF!</definedName>
    <definedName name="_DAT144">#REF!</definedName>
    <definedName name="_DAT145" localSheetId="2">#REF!</definedName>
    <definedName name="_DAT145">#REF!</definedName>
    <definedName name="_DAT146" localSheetId="2">#REF!</definedName>
    <definedName name="_DAT146">#REF!</definedName>
    <definedName name="_DAT148" localSheetId="2">#REF!</definedName>
    <definedName name="_DAT148">#REF!</definedName>
    <definedName name="_DAT149" localSheetId="2">#REF!</definedName>
    <definedName name="_DAT149">#REF!</definedName>
    <definedName name="_DAT15" localSheetId="2">#REF!</definedName>
    <definedName name="_DAT15">#REF!</definedName>
    <definedName name="_DAT150" localSheetId="2">#REF!</definedName>
    <definedName name="_DAT150">#REF!</definedName>
    <definedName name="_DAT151" localSheetId="2">#REF!</definedName>
    <definedName name="_DAT151">#REF!</definedName>
    <definedName name="_DAT152" localSheetId="2">#REF!</definedName>
    <definedName name="_DAT152">#REF!</definedName>
    <definedName name="_DAT153" localSheetId="2">#REF!</definedName>
    <definedName name="_DAT153">#REF!</definedName>
    <definedName name="_DAT154" localSheetId="2">#REF!</definedName>
    <definedName name="_DAT154">#REF!</definedName>
    <definedName name="_DAT155" localSheetId="2">#REF!</definedName>
    <definedName name="_DAT155">#REF!</definedName>
    <definedName name="_DAT156" localSheetId="2">#REF!</definedName>
    <definedName name="_DAT156">#REF!</definedName>
    <definedName name="_DAT157" localSheetId="2">#REF!</definedName>
    <definedName name="_DAT157">#REF!</definedName>
    <definedName name="_DAT158" localSheetId="2">#REF!</definedName>
    <definedName name="_DAT158">#REF!</definedName>
    <definedName name="_DAT16" localSheetId="2">#REF!</definedName>
    <definedName name="_DAT16">#REF!</definedName>
    <definedName name="_DAT160" localSheetId="2">#REF!</definedName>
    <definedName name="_DAT160">#REF!</definedName>
    <definedName name="_DAT161" localSheetId="2">#REF!</definedName>
    <definedName name="_DAT161">#REF!</definedName>
    <definedName name="_DAT162" localSheetId="2">#REF!</definedName>
    <definedName name="_DAT162">#REF!</definedName>
    <definedName name="_DAT163" localSheetId="2">#REF!</definedName>
    <definedName name="_DAT163">#REF!</definedName>
    <definedName name="_DAT164" localSheetId="2">#REF!</definedName>
    <definedName name="_DAT164">#REF!</definedName>
    <definedName name="_DAT166" localSheetId="2">#REF!</definedName>
    <definedName name="_DAT166">#REF!</definedName>
    <definedName name="_DAT167" localSheetId="2">#REF!</definedName>
    <definedName name="_DAT167">#REF!</definedName>
    <definedName name="_DAT168" localSheetId="2">#REF!</definedName>
    <definedName name="_DAT168">#REF!</definedName>
    <definedName name="_DAT169" localSheetId="2">#REF!</definedName>
    <definedName name="_DAT169">#REF!</definedName>
    <definedName name="_DAT17" localSheetId="2">#REF!</definedName>
    <definedName name="_DAT17">#REF!</definedName>
    <definedName name="_DAT170" localSheetId="2">#REF!</definedName>
    <definedName name="_DAT170">#REF!</definedName>
    <definedName name="_DAT172" localSheetId="2">#REF!</definedName>
    <definedName name="_DAT172">#REF!</definedName>
    <definedName name="_DAT173" localSheetId="2">#REF!</definedName>
    <definedName name="_DAT173">#REF!</definedName>
    <definedName name="_DAT174" localSheetId="2">#REF!</definedName>
    <definedName name="_DAT174">#REF!</definedName>
    <definedName name="_DAT175" localSheetId="2">#REF!</definedName>
    <definedName name="_DAT175">#REF!</definedName>
    <definedName name="_DAT176" localSheetId="2">#REF!</definedName>
    <definedName name="_DAT176">#REF!</definedName>
    <definedName name="_DAT178" localSheetId="2">#REF!</definedName>
    <definedName name="_DAT178">#REF!</definedName>
    <definedName name="_DAT179" localSheetId="2">#REF!</definedName>
    <definedName name="_DAT179">#REF!</definedName>
    <definedName name="_DAT18" localSheetId="2">#REF!</definedName>
    <definedName name="_DAT18">#REF!</definedName>
    <definedName name="_DAT180" localSheetId="2">#REF!</definedName>
    <definedName name="_DAT180">#REF!</definedName>
    <definedName name="_DAT181" localSheetId="2">#REF!</definedName>
    <definedName name="_DAT181">#REF!</definedName>
    <definedName name="_DAT182" localSheetId="2">#REF!</definedName>
    <definedName name="_DAT182">#REF!</definedName>
    <definedName name="_DAT184" localSheetId="2">#REF!</definedName>
    <definedName name="_DAT184">#REF!</definedName>
    <definedName name="_DAT185" localSheetId="2">#REF!</definedName>
    <definedName name="_DAT185">#REF!</definedName>
    <definedName name="_DAT186" localSheetId="2">#REF!</definedName>
    <definedName name="_DAT186">#REF!</definedName>
    <definedName name="_DAT187" localSheetId="2">#REF!</definedName>
    <definedName name="_DAT187">#REF!</definedName>
    <definedName name="_DAT188" localSheetId="2">#REF!</definedName>
    <definedName name="_DAT188">#REF!</definedName>
    <definedName name="_DAT189" localSheetId="2">#REF!</definedName>
    <definedName name="_DAT189">#REF!</definedName>
    <definedName name="_DAT19" localSheetId="2">#REF!</definedName>
    <definedName name="_DAT19">#REF!</definedName>
    <definedName name="_DAT190" localSheetId="2">#REF!</definedName>
    <definedName name="_DAT190">#REF!</definedName>
    <definedName name="_DAT191" localSheetId="2">#REF!</definedName>
    <definedName name="_DAT191">#REF!</definedName>
    <definedName name="_DAT192" localSheetId="2">#REF!</definedName>
    <definedName name="_DAT192">#REF!</definedName>
    <definedName name="_DAT193" localSheetId="2">#REF!</definedName>
    <definedName name="_DAT193">#REF!</definedName>
    <definedName name="_DAT194" localSheetId="2">#REF!</definedName>
    <definedName name="_DAT194">#REF!</definedName>
    <definedName name="_DAT195" localSheetId="2">#REF!</definedName>
    <definedName name="_DAT195">#REF!</definedName>
    <definedName name="_DAT196" localSheetId="2">#REF!</definedName>
    <definedName name="_DAT196">#REF!</definedName>
    <definedName name="_DAT197" localSheetId="2">#REF!</definedName>
    <definedName name="_DAT197">#REF!</definedName>
    <definedName name="_DAT198" localSheetId="2">#REF!</definedName>
    <definedName name="_DAT198">#REF!</definedName>
    <definedName name="_DAT199" localSheetId="2">#REF!</definedName>
    <definedName name="_DAT199">#REF!</definedName>
    <definedName name="_DAT2" localSheetId="2">#REF!</definedName>
    <definedName name="_DAT2">#REF!</definedName>
    <definedName name="_DAT20" localSheetId="2">#REF!</definedName>
    <definedName name="_DAT20">#REF!</definedName>
    <definedName name="_DAT200" localSheetId="2">#REF!</definedName>
    <definedName name="_DAT200">#REF!</definedName>
    <definedName name="_DAT201" localSheetId="2">#REF!</definedName>
    <definedName name="_DAT201">#REF!</definedName>
    <definedName name="_DAT202" localSheetId="2">#REF!</definedName>
    <definedName name="_DAT202">#REF!</definedName>
    <definedName name="_DAT203" localSheetId="2">#REF!</definedName>
    <definedName name="_DAT203">#REF!</definedName>
    <definedName name="_DAT204" localSheetId="2">#REF!</definedName>
    <definedName name="_DAT204">#REF!</definedName>
    <definedName name="_DAT205" localSheetId="2">#REF!</definedName>
    <definedName name="_DAT205">#REF!</definedName>
    <definedName name="_DAT206" localSheetId="2">#REF!</definedName>
    <definedName name="_DAT206">#REF!</definedName>
    <definedName name="_DAT207" localSheetId="2">#REF!</definedName>
    <definedName name="_DAT207">#REF!</definedName>
    <definedName name="_DAT208" localSheetId="2">#REF!</definedName>
    <definedName name="_DAT208">#REF!</definedName>
    <definedName name="_DAT209" localSheetId="2">#REF!</definedName>
    <definedName name="_DAT209">#REF!</definedName>
    <definedName name="_DAT21" localSheetId="2">#REF!</definedName>
    <definedName name="_DAT21">#REF!</definedName>
    <definedName name="_DAT210" localSheetId="2">#REF!</definedName>
    <definedName name="_DAT210">#REF!</definedName>
    <definedName name="_DAT211" localSheetId="2">#REF!</definedName>
    <definedName name="_DAT211">#REF!</definedName>
    <definedName name="_DAT212" localSheetId="2">#REF!</definedName>
    <definedName name="_DAT212">#REF!</definedName>
    <definedName name="_DAT213" localSheetId="2">#REF!</definedName>
    <definedName name="_DAT213">#REF!</definedName>
    <definedName name="_DAT22" localSheetId="2">#REF!</definedName>
    <definedName name="_DAT22">#REF!</definedName>
    <definedName name="_DAT23" localSheetId="2">#REF!</definedName>
    <definedName name="_DAT23">#REF!</definedName>
    <definedName name="_DAT24" localSheetId="2">#REF!</definedName>
    <definedName name="_DAT24">#REF!</definedName>
    <definedName name="_DAT25" localSheetId="2">#REF!</definedName>
    <definedName name="_DAT25">#REF!</definedName>
    <definedName name="_DAT26" localSheetId="2">#REF!</definedName>
    <definedName name="_DAT26">#REF!</definedName>
    <definedName name="_DAT28" localSheetId="2">#REF!</definedName>
    <definedName name="_DAT28">#REF!</definedName>
    <definedName name="_DAT29" localSheetId="2">#REF!</definedName>
    <definedName name="_DAT29">#REF!</definedName>
    <definedName name="_DAT3" localSheetId="2">#REF!</definedName>
    <definedName name="_DAT3">#REF!</definedName>
    <definedName name="_DAT30" localSheetId="2">#REF!</definedName>
    <definedName name="_DAT30">#REF!</definedName>
    <definedName name="_DAT31" localSheetId="2">#REF!</definedName>
    <definedName name="_DAT31">#REF!</definedName>
    <definedName name="_DAT32" localSheetId="2">#REF!</definedName>
    <definedName name="_DAT32">#REF!</definedName>
    <definedName name="_DAT33" localSheetId="2">#REF!</definedName>
    <definedName name="_DAT33">#REF!</definedName>
    <definedName name="_DAT34" localSheetId="2">#REF!</definedName>
    <definedName name="_DAT34">#REF!</definedName>
    <definedName name="_DAT35" localSheetId="2">#REF!</definedName>
    <definedName name="_DAT35">#REF!</definedName>
    <definedName name="_DAT36" localSheetId="2">#REF!</definedName>
    <definedName name="_DAT36">#REF!</definedName>
    <definedName name="_DAT37" localSheetId="2">#REF!</definedName>
    <definedName name="_DAT37">#REF!</definedName>
    <definedName name="_DAT38" localSheetId="2">#REF!</definedName>
    <definedName name="_DAT38">#REF!</definedName>
    <definedName name="_DAT39" localSheetId="2">#REF!</definedName>
    <definedName name="_DAT39">#REF!</definedName>
    <definedName name="_DAT4" localSheetId="2">#REF!</definedName>
    <definedName name="_DAT4">#REF!</definedName>
    <definedName name="_DAT40" localSheetId="2">#REF!</definedName>
    <definedName name="_DAT40">#REF!</definedName>
    <definedName name="_DAT41" localSheetId="2">#REF!</definedName>
    <definedName name="_DAT41">#REF!</definedName>
    <definedName name="_DAT42" localSheetId="2">#REF!</definedName>
    <definedName name="_DAT42">#REF!</definedName>
    <definedName name="_DAT43" localSheetId="2">#REF!</definedName>
    <definedName name="_DAT43">#REF!</definedName>
    <definedName name="_DAT44" localSheetId="2">#REF!</definedName>
    <definedName name="_DAT44">#REF!</definedName>
    <definedName name="_DAT46" localSheetId="2">#REF!</definedName>
    <definedName name="_DAT46">#REF!</definedName>
    <definedName name="_DAT47" localSheetId="2">#REF!</definedName>
    <definedName name="_DAT47">#REF!</definedName>
    <definedName name="_DAT48" localSheetId="2">#REF!</definedName>
    <definedName name="_DAT48">#REF!</definedName>
    <definedName name="_DAT49" localSheetId="2">#REF!</definedName>
    <definedName name="_DAT49">#REF!</definedName>
    <definedName name="_DAT5" localSheetId="2">#REF!</definedName>
    <definedName name="_DAT5">#REF!</definedName>
    <definedName name="_DAT50" localSheetId="2">#REF!</definedName>
    <definedName name="_DAT50">#REF!</definedName>
    <definedName name="_DAT51" localSheetId="2">#REF!</definedName>
    <definedName name="_DAT51">#REF!</definedName>
    <definedName name="_DAT52" localSheetId="2">#REF!</definedName>
    <definedName name="_DAT52">#REF!</definedName>
    <definedName name="_DAT53" localSheetId="2">#REF!</definedName>
    <definedName name="_DAT53">#REF!</definedName>
    <definedName name="_DAT54" localSheetId="2">#REF!</definedName>
    <definedName name="_DAT54">#REF!</definedName>
    <definedName name="_DAT55" localSheetId="2">#REF!</definedName>
    <definedName name="_DAT55">#REF!</definedName>
    <definedName name="_DAT56" localSheetId="2">#REF!</definedName>
    <definedName name="_DAT56">#REF!</definedName>
    <definedName name="_DAT57" localSheetId="2">#REF!</definedName>
    <definedName name="_DAT57">#REF!</definedName>
    <definedName name="_DAT58" localSheetId="2">#REF!</definedName>
    <definedName name="_DAT58">#REF!</definedName>
    <definedName name="_DAT59" localSheetId="2">#REF!</definedName>
    <definedName name="_DAT59">#REF!</definedName>
    <definedName name="_DAT6" localSheetId="2">#REF!</definedName>
    <definedName name="_DAT6">#REF!</definedName>
    <definedName name="_DAT60" localSheetId="2">#REF!</definedName>
    <definedName name="_DAT60">#REF!</definedName>
    <definedName name="_DAT61" localSheetId="2">#REF!</definedName>
    <definedName name="_DAT61">#REF!</definedName>
    <definedName name="_DAT62" localSheetId="2">#REF!</definedName>
    <definedName name="_DAT62">#REF!</definedName>
    <definedName name="_DAT63" localSheetId="2">#REF!</definedName>
    <definedName name="_DAT63">#REF!</definedName>
    <definedName name="_DAT64" localSheetId="2">#REF!</definedName>
    <definedName name="_DAT64">#REF!</definedName>
    <definedName name="_DAT65" localSheetId="2">#REF!</definedName>
    <definedName name="_DAT65">#REF!</definedName>
    <definedName name="_DAT66" localSheetId="2">#REF!</definedName>
    <definedName name="_DAT66">#REF!</definedName>
    <definedName name="_DAT67" localSheetId="2">#REF!</definedName>
    <definedName name="_DAT67">#REF!</definedName>
    <definedName name="_DAT68" localSheetId="2">#REF!</definedName>
    <definedName name="_DAT68">#REF!</definedName>
    <definedName name="_DAT69" localSheetId="2">#REF!</definedName>
    <definedName name="_DAT69">#REF!</definedName>
    <definedName name="_DAT7" localSheetId="2">#REF!</definedName>
    <definedName name="_DAT7">#REF!</definedName>
    <definedName name="_DAT70" localSheetId="2">#REF!</definedName>
    <definedName name="_DAT70">#REF!</definedName>
    <definedName name="_DAT71" localSheetId="2">#REF!</definedName>
    <definedName name="_DAT71">#REF!</definedName>
    <definedName name="_DAT72" localSheetId="2">#REF!</definedName>
    <definedName name="_DAT72">#REF!</definedName>
    <definedName name="_DAT73" localSheetId="2">#REF!</definedName>
    <definedName name="_DAT73">#REF!</definedName>
    <definedName name="_DAT74" localSheetId="2">#REF!</definedName>
    <definedName name="_DAT74">#REF!</definedName>
    <definedName name="_DAT76" localSheetId="2">#REF!</definedName>
    <definedName name="_DAT76">#REF!</definedName>
    <definedName name="_DAT77" localSheetId="2">#REF!</definedName>
    <definedName name="_DAT77">#REF!</definedName>
    <definedName name="_DAT78" localSheetId="2">#REF!</definedName>
    <definedName name="_DAT78">#REF!</definedName>
    <definedName name="_DAT79" localSheetId="2">#REF!</definedName>
    <definedName name="_DAT79">#REF!</definedName>
    <definedName name="_DAT8" localSheetId="2">#REF!</definedName>
    <definedName name="_DAT8">#REF!</definedName>
    <definedName name="_DAT80" localSheetId="2">#REF!</definedName>
    <definedName name="_DAT80">#REF!</definedName>
    <definedName name="_DAT81" localSheetId="2">#REF!</definedName>
    <definedName name="_DAT81">#REF!</definedName>
    <definedName name="_DAT82" localSheetId="2">#REF!</definedName>
    <definedName name="_DAT82">#REF!</definedName>
    <definedName name="_DAT83" localSheetId="2">#REF!</definedName>
    <definedName name="_DAT83">#REF!</definedName>
    <definedName name="_DAT84" localSheetId="2">#REF!</definedName>
    <definedName name="_DAT84">#REF!</definedName>
    <definedName name="_DAT85" localSheetId="2">#REF!</definedName>
    <definedName name="_DAT85">#REF!</definedName>
    <definedName name="_DAT86" localSheetId="2">#REF!</definedName>
    <definedName name="_DAT86">#REF!</definedName>
    <definedName name="_DAT87" localSheetId="2">#REF!</definedName>
    <definedName name="_DAT87">#REF!</definedName>
    <definedName name="_DAT88" localSheetId="2">#REF!</definedName>
    <definedName name="_DAT88">#REF!</definedName>
    <definedName name="_DAT89" localSheetId="2">#REF!</definedName>
    <definedName name="_DAT89">#REF!</definedName>
    <definedName name="_DAT9" localSheetId="2">#REF!</definedName>
    <definedName name="_DAT9">#REF!</definedName>
    <definedName name="_DAT90" localSheetId="2">#REF!</definedName>
    <definedName name="_DAT90">#REF!</definedName>
    <definedName name="_DAT91" localSheetId="2">#REF!</definedName>
    <definedName name="_DAT91">#REF!</definedName>
    <definedName name="_DAT92" localSheetId="2">#REF!</definedName>
    <definedName name="_DAT92">#REF!</definedName>
    <definedName name="_DAT93" localSheetId="2">#REF!</definedName>
    <definedName name="_DAT93">#REF!</definedName>
    <definedName name="_DAT94" localSheetId="2">#REF!</definedName>
    <definedName name="_DAT94">#REF!</definedName>
    <definedName name="_DAT95" localSheetId="2">#REF!</definedName>
    <definedName name="_DAT95">#REF!</definedName>
    <definedName name="_DAT96" localSheetId="2">#REF!</definedName>
    <definedName name="_DAT96">#REF!</definedName>
    <definedName name="_DAT97" localSheetId="2">#REF!</definedName>
    <definedName name="_DAT97">#REF!</definedName>
    <definedName name="_DAT98" localSheetId="2">#REF!</definedName>
    <definedName name="_DAT98">#REF!</definedName>
    <definedName name="_DAT99" localSheetId="2">#REF!</definedName>
    <definedName name="_DAT99">#REF!</definedName>
    <definedName name="_F600001" localSheetId="2">#REF!</definedName>
    <definedName name="_F600001">#REF!</definedName>
    <definedName name="_F600002" localSheetId="2">#REF!</definedName>
    <definedName name="_F600002">#REF!</definedName>
    <definedName name="_F600003" localSheetId="2">#REF!</definedName>
    <definedName name="_F600003">#REF!</definedName>
    <definedName name="_F600004" localSheetId="2">#REF!</definedName>
    <definedName name="_F600004">#REF!</definedName>
    <definedName name="_F600005" localSheetId="2">#REF!</definedName>
    <definedName name="_F600005">#REF!</definedName>
    <definedName name="_F600006" localSheetId="2">#REF!</definedName>
    <definedName name="_F600006">#REF!</definedName>
    <definedName name="_F600007" localSheetId="2">#REF!</definedName>
    <definedName name="_F600007">#REF!</definedName>
    <definedName name="_F600008" localSheetId="2">#REF!</definedName>
    <definedName name="_F600008">#REF!</definedName>
    <definedName name="_F600009" localSheetId="2">#REF!</definedName>
    <definedName name="_F600009">#REF!</definedName>
    <definedName name="_F600010" localSheetId="2">#REF!</definedName>
    <definedName name="_F600010">#REF!</definedName>
    <definedName name="_xlnm._FilterDatabase" localSheetId="1">函证程序表F0A!$A$5:$F$19</definedName>
    <definedName name="_xlnm._FilterDatabase" localSheetId="2">'函证结果汇总表L0-1'!$A$7:$AB$7</definedName>
    <definedName name="_hl1" localSheetId="2">#REF!</definedName>
    <definedName name="_hl1">#REF!</definedName>
    <definedName name="_hl2" localSheetId="2">#REF!</definedName>
    <definedName name="_hl2">#REF!</definedName>
    <definedName name="_hl3" localSheetId="2">#REF!</definedName>
    <definedName name="_hl3">#REF!</definedName>
    <definedName name="_hl4" localSheetId="2">#REF!</definedName>
    <definedName name="_hl4">#REF!</definedName>
    <definedName name="_hl5" localSheetId="2">#REF!</definedName>
    <definedName name="_hl5">#REF!</definedName>
    <definedName name="_hl6" localSheetId="2">#REF!</definedName>
    <definedName name="_hl6">#REF!</definedName>
    <definedName name="_USD09">#REF!</definedName>
    <definedName name="A" localSheetId="2">#REF!</definedName>
    <definedName name="A">#REF!</definedName>
    <definedName name="a01a" localSheetId="2">#REF!</definedName>
    <definedName name="a01a">#REF!</definedName>
    <definedName name="a02a" localSheetId="2">#REF!</definedName>
    <definedName name="a02a">#REF!</definedName>
    <definedName name="A1141a" localSheetId="2">#REF!</definedName>
    <definedName name="A1141a">#REF!</definedName>
    <definedName name="A1501a" localSheetId="2">#REF!</definedName>
    <definedName name="A1501a">#REF!</definedName>
    <definedName name="A1701C" localSheetId="2">#REF!</definedName>
    <definedName name="A1701C">#REF!</definedName>
    <definedName name="AB">#REF!</definedName>
    <definedName name="AB1447\" localSheetId="2">#REF!</definedName>
    <definedName name="AB1447\">#REF!</definedName>
    <definedName name="AFSDGEGQ" localSheetId="2">#REF!</definedName>
    <definedName name="AFSDGEGQ">#REF!</definedName>
    <definedName name="after_tax" localSheetId="2">#REF!</definedName>
    <definedName name="after_tax">#REF!</definedName>
    <definedName name="AFV" localSheetId="2" hidden="1">#REF!</definedName>
    <definedName name="AFV" hidden="1">#REF!</definedName>
    <definedName name="ar" localSheetId="2">#REF!</definedName>
    <definedName name="ar">#REF!</definedName>
    <definedName name="area1">#REF!</definedName>
    <definedName name="area2">#REF!</definedName>
    <definedName name="area3">#REF!</definedName>
    <definedName name="AS2DocOpenMode" hidden="1">"AS2DocumentEdit"</definedName>
    <definedName name="ASDFA" localSheetId="2">#REF!</definedName>
    <definedName name="ASDFA">#REF!</definedName>
    <definedName name="ASFDA" localSheetId="2">#REF!</definedName>
    <definedName name="ASFDA">#REF!</definedName>
    <definedName name="a暗暗">#REF!</definedName>
    <definedName name="B1401a" localSheetId="2">#REF!</definedName>
    <definedName name="B1401a">#REF!</definedName>
    <definedName name="B1501a" localSheetId="2">#REF!</definedName>
    <definedName name="B1501a">#REF!</definedName>
    <definedName name="B1701C" localSheetId="2">#REF!</definedName>
    <definedName name="B1701C">#REF!</definedName>
    <definedName name="bahns" localSheetId="2">#REF!</definedName>
    <definedName name="bahns">#REF!</definedName>
    <definedName name="bbkm">#REF!</definedName>
    <definedName name="bbxml" localSheetId="2">#REF!</definedName>
    <definedName name="bbxml">#REF!</definedName>
    <definedName name="before_tax" localSheetId="2">#REF!</definedName>
    <definedName name="before_tax">#REF!</definedName>
    <definedName name="border1">#REF!</definedName>
    <definedName name="border2">#REF!</definedName>
    <definedName name="border3">#REF!</definedName>
    <definedName name="bs" localSheetId="6" hidden="1">{#N/A,#N/A,FALSE,"BBPREP"}</definedName>
    <definedName name="bs" hidden="1">{#N/A,#N/A,FALSE,"BBPREP"}</definedName>
    <definedName name="bs_1" localSheetId="6" hidden="1">{#N/A,#N/A,FALSE,"BBPREP"}</definedName>
    <definedName name="bs_1" hidden="1">{#N/A,#N/A,FALSE,"BBPREP"}</definedName>
    <definedName name="C_301_年末余额">#REF!</definedName>
    <definedName name="C_311_年末余额">#REF!</definedName>
    <definedName name="C_318_年末余额">#REF!</definedName>
    <definedName name="caiwufeiyong.dbf" localSheetId="2">#REF!</definedName>
    <definedName name="caiwufeiyong.dbf">#REF!</definedName>
    <definedName name="Capital_Reserves" localSheetId="2">#REF!</definedName>
    <definedName name="Capital_Reserves">#REF!</definedName>
    <definedName name="CarryKnown" localSheetId="2">#REF!</definedName>
    <definedName name="CarryKnown">#REF!</definedName>
    <definedName name="CarryKnownTable" localSheetId="2">#REF!</definedName>
    <definedName name="CarryKnownTable">#REF!</definedName>
    <definedName name="CarryLikely" localSheetId="2">#REF!</definedName>
    <definedName name="CarryLikely">#REF!</definedName>
    <definedName name="CarryLikelyTable" localSheetId="2">#REF!</definedName>
    <definedName name="CarryLikelyTable">#REF!</definedName>
    <definedName name="Carryover_Effect_of_Prior_Year" localSheetId="2">#REF!</definedName>
    <definedName name="Carryover_Effect_of_Prior_Year">#REF!</definedName>
    <definedName name="CarryoverTitle" localSheetId="2">#REF!</definedName>
    <definedName name="CarryoverTitle">#REF!</definedName>
    <definedName name="CC_Instruction" localSheetId="2">#REF!</definedName>
    <definedName name="CC_Instruction">#REF!</definedName>
    <definedName name="CCD" localSheetId="2" hidden="1">#REF!</definedName>
    <definedName name="CCD" hidden="1">#REF!</definedName>
    <definedName name="CDE" localSheetId="2" hidden="1">#REF!</definedName>
    <definedName name="CDE" hidden="1">#REF!</definedName>
    <definedName name="CE_CarryKnownProtection" localSheetId="2">#REF!</definedName>
    <definedName name="CE_CarryKnownProtection">#REF!</definedName>
    <definedName name="CE_CarryKnownTable" localSheetId="2">#REF!</definedName>
    <definedName name="CE_CarryKnownTable">#REF!</definedName>
    <definedName name="CE_CarryLikely1Protection" localSheetId="2">#REF!</definedName>
    <definedName name="CE_CarryLikely1Protection">#REF!</definedName>
    <definedName name="CE_CarryLikely1Table" localSheetId="2">#REF!</definedName>
    <definedName name="CE_CarryLikely1Table">#REF!</definedName>
    <definedName name="CE_CarryLikely2Protection" localSheetId="2">#REF!</definedName>
    <definedName name="CE_CarryLikely2Protection">#REF!</definedName>
    <definedName name="CE_CarryLikely2Table" localSheetId="2">#REF!</definedName>
    <definedName name="CE_CarryLikely2Table">#REF!</definedName>
    <definedName name="CE_CarryTaxable" localSheetId="2">#REF!</definedName>
    <definedName name="CE_CarryTaxable">#REF!</definedName>
    <definedName name="CE_Desc" localSheetId="2">#REF!</definedName>
    <definedName name="CE_Desc">#REF!</definedName>
    <definedName name="CE_Income" localSheetId="2">#REF!</definedName>
    <definedName name="CE_Income">#REF!</definedName>
    <definedName name="CE_KeepFormat" localSheetId="2">#REF!</definedName>
    <definedName name="CE_KeepFormat">#REF!</definedName>
    <definedName name="CE_KnownChange" localSheetId="2">#REF!</definedName>
    <definedName name="CE_KnownChange">#REF!</definedName>
    <definedName name="CE_KnownFormulaProtection" localSheetId="2">#REF!</definedName>
    <definedName name="CE_KnownFormulaProtection">#REF!</definedName>
    <definedName name="CE_KnownImpact" localSheetId="2">#REF!</definedName>
    <definedName name="CE_KnownImpact">#REF!</definedName>
    <definedName name="CE_Likely1Change" localSheetId="2">#REF!</definedName>
    <definedName name="CE_Likely1Change">#REF!</definedName>
    <definedName name="CE_Likely1FormulaProtection" localSheetId="2">#REF!</definedName>
    <definedName name="CE_Likely1FormulaProtection">#REF!</definedName>
    <definedName name="CE_Likely1Impact" localSheetId="2">#REF!</definedName>
    <definedName name="CE_Likely1Impact">#REF!</definedName>
    <definedName name="CE_Likely2Change" localSheetId="2">#REF!</definedName>
    <definedName name="CE_Likely2Change">#REF!</definedName>
    <definedName name="CE_Likely2FormulaProtection" localSheetId="2">#REF!</definedName>
    <definedName name="CE_Likely2FormulaProtection">#REF!</definedName>
    <definedName name="CE_Likely2Impact" localSheetId="2">#REF!</definedName>
    <definedName name="CE_Likely2Impact">#REF!</definedName>
    <definedName name="CE_SheetCorrect" localSheetId="2">#REF!</definedName>
    <definedName name="CE_SheetCorrect">#REF!</definedName>
    <definedName name="CE_StatementImpact" localSheetId="2">#REF!</definedName>
    <definedName name="CE_StatementImpact">#REF!</definedName>
    <definedName name="CE_TotalProtection" localSheetId="2">#REF!</definedName>
    <definedName name="CE_TotalProtection">#REF!</definedName>
    <definedName name="CE_WholeSheet" localSheetId="2">#REF!</definedName>
    <definedName name="CE_WholeSheet">#REF!</definedName>
    <definedName name="CE_XF1" localSheetId="2">#REF!</definedName>
    <definedName name="CE_XF1">#REF!</definedName>
    <definedName name="CE_XF1Rng1" localSheetId="2">#REF!</definedName>
    <definedName name="CE_XF1Rng1">#REF!</definedName>
    <definedName name="CE_XF1Rng2" localSheetId="2">#REF!</definedName>
    <definedName name="CE_XF1Rng2">#REF!</definedName>
    <definedName name="CE_XF2" localSheetId="2">#REF!</definedName>
    <definedName name="CE_XF2">#REF!</definedName>
    <definedName name="CE_XF2Rng1" localSheetId="2">#REF!</definedName>
    <definedName name="CE_XF2Rng1">#REF!</definedName>
    <definedName name="CE_XF2Rng2" localSheetId="2">#REF!</definedName>
    <definedName name="CE_XF2Rng2">#REF!</definedName>
    <definedName name="CE_XF3" localSheetId="2">#REF!</definedName>
    <definedName name="CE_XF3">#REF!</definedName>
    <definedName name="CE_XF3Rng1" localSheetId="2">#REF!</definedName>
    <definedName name="CE_XF3Rng1">#REF!</definedName>
    <definedName name="CE_XF3Rng2" localSheetId="2">#REF!</definedName>
    <definedName name="CE_XF3Rng2">#REF!</definedName>
    <definedName name="ChecklistQuestion1" localSheetId="2">#REF!</definedName>
    <definedName name="ChecklistQuestion1">#REF!</definedName>
    <definedName name="ChecklistQuestion2" localSheetId="2">#REF!</definedName>
    <definedName name="ChecklistQuestion2">#REF!</definedName>
    <definedName name="ChecklistQuestion3" localSheetId="2">#REF!</definedName>
    <definedName name="ChecklistQuestion3">#REF!</definedName>
    <definedName name="chmxb" localSheetId="2">#REF!</definedName>
    <definedName name="chmxb">#REF!</definedName>
    <definedName name="clah" localSheetId="2">#REF!</definedName>
    <definedName name="clah">#REF!</definedName>
    <definedName name="clz" localSheetId="2">#REF!</definedName>
    <definedName name="clz">#REF!</definedName>
    <definedName name="Conclusions1" localSheetId="2">#REF!</definedName>
    <definedName name="Conclusions1">#REF!</definedName>
    <definedName name="Conclusions2" localSheetId="2">#REF!</definedName>
    <definedName name="Conclusions2">#REF!</definedName>
    <definedName name="Conclusions3" localSheetId="2">#REF!</definedName>
    <definedName name="Conclusions3">#REF!</definedName>
    <definedName name="Conclusions4" localSheetId="2">#REF!</definedName>
    <definedName name="Conclusions4">#REF!</definedName>
    <definedName name="Control_BS" localSheetId="2">#REF!</definedName>
    <definedName name="Control_BS">#REF!</definedName>
    <definedName name="Control_Net_Income" localSheetId="2">#REF!</definedName>
    <definedName name="Control_Net_Income">#REF!</definedName>
    <definedName name="CorrectKey" localSheetId="2">#REF!</definedName>
    <definedName name="CorrectKey">#REF!</definedName>
    <definedName name="cosco" localSheetId="2">#REF!</definedName>
    <definedName name="cosco">#REF!</definedName>
    <definedName name="cost" localSheetId="2">#REF!</definedName>
    <definedName name="cost">#REF!</definedName>
    <definedName name="CountryFirstAccRec" localSheetId="2">#REF!</definedName>
    <definedName name="CountryFirstAccRec">#REF!</definedName>
    <definedName name="CountryFirstInt" localSheetId="2">#REF!</definedName>
    <definedName name="CountryFirstInt">#REF!</definedName>
    <definedName name="CountryFirstNetStock" localSheetId="2">#REF!</definedName>
    <definedName name="CountryFirstNetStock">#REF!</definedName>
    <definedName name="CountryFirstSal" localSheetId="2">#REF!</definedName>
    <definedName name="CountryFirstSal">#REF!</definedName>
    <definedName name="CountryFirstStock" localSheetId="2">#REF!</definedName>
    <definedName name="CountryFirstStock">#REF!</definedName>
    <definedName name="CountryFirstSup" localSheetId="2">#REF!</definedName>
    <definedName name="CountryFirstSup">#REF!</definedName>
    <definedName name="CountryLastAccRec" localSheetId="2">#REF!</definedName>
    <definedName name="CountryLastAccRec">#REF!</definedName>
    <definedName name="CountryLastInt" localSheetId="2">#REF!</definedName>
    <definedName name="CountryLastInt">#REF!</definedName>
    <definedName name="CountryLastNetStock" localSheetId="2">#REF!</definedName>
    <definedName name="CountryLastNetStock">#REF!</definedName>
    <definedName name="CountryLastSal" localSheetId="2">#REF!</definedName>
    <definedName name="CountryLastSal">#REF!</definedName>
    <definedName name="CountryLastStock" localSheetId="2">#REF!</definedName>
    <definedName name="CountryLastStock">#REF!</definedName>
    <definedName name="CountryLastSup" localSheetId="2">#REF!</definedName>
    <definedName name="CountryLastSup">#REF!</definedName>
    <definedName name="Current" localSheetId="2">#REF!</definedName>
    <definedName name="Current">#REF!</definedName>
    <definedName name="current_asset" localSheetId="2">#REF!</definedName>
    <definedName name="current_asset">#REF!</definedName>
    <definedName name="Current_Assets" localSheetId="2">#REF!</definedName>
    <definedName name="Current_Assets">#REF!</definedName>
    <definedName name="Current_Liabilities" localSheetId="2">#REF!</definedName>
    <definedName name="Current_Liabilities">#REF!</definedName>
    <definedName name="Current_Year_Known_and_Likely_Misstatements" localSheetId="2">#REF!</definedName>
    <definedName name="Current_Year_Known_and_Likely_Misstatements">#REF!</definedName>
    <definedName name="CY_all_Assets" localSheetId="2">#REF!</definedName>
    <definedName name="CY_all_Assets">#REF!</definedName>
    <definedName name="CY_all_Equity" localSheetId="2">#REF!</definedName>
    <definedName name="CY_all_Equity">#REF!</definedName>
    <definedName name="CY_all_Income" localSheetId="2">#REF!</definedName>
    <definedName name="CY_all_Income">#REF!</definedName>
    <definedName name="CY_all_Liabs" localSheetId="2">#REF!</definedName>
    <definedName name="CY_all_Liabs">#REF!</definedName>
    <definedName name="CY_all_RetEarn_bf" localSheetId="2">#REF!</definedName>
    <definedName name="CY_all_RetEarn_bf">#REF!</definedName>
    <definedName name="CY_knw_Assets" localSheetId="2">#REF!</definedName>
    <definedName name="CY_knw_Assets">#REF!</definedName>
    <definedName name="CY_knw_Equity" localSheetId="2">#REF!</definedName>
    <definedName name="CY_knw_Equity">#REF!</definedName>
    <definedName name="CY_knw_Income" localSheetId="2">#REF!</definedName>
    <definedName name="CY_knw_Income">#REF!</definedName>
    <definedName name="CY_knw_Liabs" localSheetId="2">#REF!</definedName>
    <definedName name="CY_knw_Liabs">#REF!</definedName>
    <definedName name="CY_knw_RetEarn_bf" localSheetId="2">#REF!</definedName>
    <definedName name="CY_knw_RetEarn_bf">#REF!</definedName>
    <definedName name="CY_lik_Assets" localSheetId="2">#REF!</definedName>
    <definedName name="CY_lik_Assets">#REF!</definedName>
    <definedName name="CY_lik_Assets_ex" localSheetId="2">#REF!</definedName>
    <definedName name="CY_lik_Assets_ex">#REF!</definedName>
    <definedName name="CY_lik_Assets_ext" localSheetId="2">#REF!</definedName>
    <definedName name="CY_lik_Assets_ext">#REF!</definedName>
    <definedName name="CY_lik_Equity" localSheetId="2">#REF!</definedName>
    <definedName name="CY_lik_Equity">#REF!</definedName>
    <definedName name="CY_lik_Equity_eX" localSheetId="2">#REF!</definedName>
    <definedName name="CY_lik_Equity_eX">#REF!</definedName>
    <definedName name="CY_lik_Equity_eXt" localSheetId="2">#REF!</definedName>
    <definedName name="CY_lik_Equity_eXt">#REF!</definedName>
    <definedName name="CY_lik_Income" localSheetId="2">#REF!</definedName>
    <definedName name="CY_lik_Income">#REF!</definedName>
    <definedName name="CY_lik_Income_Ex" localSheetId="2">#REF!</definedName>
    <definedName name="CY_lik_Income_Ex">#REF!</definedName>
    <definedName name="CY_lik_Income_Ext" localSheetId="2">#REF!</definedName>
    <definedName name="CY_lik_Income_Ext">#REF!</definedName>
    <definedName name="CY_lik_Liabs" localSheetId="2">#REF!</definedName>
    <definedName name="CY_lik_Liabs">#REF!</definedName>
    <definedName name="CY_lik_Liabs_EX" localSheetId="2">#REF!</definedName>
    <definedName name="CY_lik_Liabs_EX">#REF!</definedName>
    <definedName name="CY_lik_Liabs_EXt" localSheetId="2">#REF!</definedName>
    <definedName name="CY_lik_Liabs_EXt">#REF!</definedName>
    <definedName name="CY_lik_RetEarn_bf" localSheetId="2">#REF!</definedName>
    <definedName name="CY_lik_RetEarn_bf">#REF!</definedName>
    <definedName name="CY_tx_all_Equity" localSheetId="2">#REF!</definedName>
    <definedName name="CY_tx_all_Equity">#REF!</definedName>
    <definedName name="CY_tx_all_Income" localSheetId="2">#REF!</definedName>
    <definedName name="CY_tx_all_Income">#REF!</definedName>
    <definedName name="CY_tx_all_Liabs" localSheetId="2">#REF!</definedName>
    <definedName name="CY_tx_all_Liabs">#REF!</definedName>
    <definedName name="CY_tx_all_RetEarn_bf" localSheetId="2">#REF!</definedName>
    <definedName name="CY_tx_all_RetEarn_bf">#REF!</definedName>
    <definedName name="CY_tx_knw_Equity" localSheetId="2">#REF!</definedName>
    <definedName name="CY_tx_knw_Equity">#REF!</definedName>
    <definedName name="CY_tx_knw_Income" localSheetId="2">#REF!</definedName>
    <definedName name="CY_tx_knw_Income">#REF!</definedName>
    <definedName name="CY_tx_knw_Liabs" localSheetId="2">#REF!</definedName>
    <definedName name="CY_tx_knw_Liabs">#REF!</definedName>
    <definedName name="CY_tx_knw_RetEarn_bf" localSheetId="2">#REF!</definedName>
    <definedName name="CY_tx_knw_RetEarn_bf">#REF!</definedName>
    <definedName name="CY_tx_lik_Equity" localSheetId="2">#REF!</definedName>
    <definedName name="CY_tx_lik_Equity">#REF!</definedName>
    <definedName name="CY_tx_lik_Equity_ex" localSheetId="2">#REF!</definedName>
    <definedName name="CY_tx_lik_Equity_ex">#REF!</definedName>
    <definedName name="CY_tx_lik_Equity_ext" localSheetId="2">#REF!</definedName>
    <definedName name="CY_tx_lik_Equity_ext">#REF!</definedName>
    <definedName name="CY_tx_lik_Income" localSheetId="2">#REF!</definedName>
    <definedName name="CY_tx_lik_Income">#REF!</definedName>
    <definedName name="CY_tx_lik_Income_ex" localSheetId="2">#REF!</definedName>
    <definedName name="CY_tx_lik_Income_ex">#REF!</definedName>
    <definedName name="CY_tx_lik_Income_ext" localSheetId="2">#REF!</definedName>
    <definedName name="CY_tx_lik_Income_ext">#REF!</definedName>
    <definedName name="CY_tx_lik_Liabs" localSheetId="2">#REF!</definedName>
    <definedName name="CY_tx_lik_Liabs">#REF!</definedName>
    <definedName name="CY_tx_lik_Liabs_ex" localSheetId="2">#REF!</definedName>
    <definedName name="CY_tx_lik_Liabs_ex">#REF!</definedName>
    <definedName name="CY_tx_lik_Liabs_ext" localSheetId="2">#REF!</definedName>
    <definedName name="CY_tx_lik_Liabs_ext">#REF!</definedName>
    <definedName name="CY_tx_lik_RetEarn_bf" localSheetId="2">#REF!</definedName>
    <definedName name="CY_tx_lik_RetEarn_bf">#REF!</definedName>
    <definedName name="CY_tx_lik_RetEarn_bf_ex" localSheetId="2">#REF!</definedName>
    <definedName name="CY_tx_lik_RetEarn_bf_ex">#REF!</definedName>
    <definedName name="CY_tx_lik_RetEarn_bf_ext" localSheetId="2">#REF!</definedName>
    <definedName name="CY_tx_lik_RetEarn_bf_ext">#REF!</definedName>
    <definedName name="d" localSheetId="2">#REF!</definedName>
    <definedName name="d">#REF!</definedName>
    <definedName name="DATA" localSheetId="2">#REF!</definedName>
    <definedName name="DATA">#REF!</definedName>
    <definedName name="_xlnm.Database" localSheetId="2">#REF!</definedName>
    <definedName name="_xlnm.Database">#REF!</definedName>
    <definedName name="dddd" localSheetId="2">#REF!</definedName>
    <definedName name="dddd">#REF!</definedName>
    <definedName name="DEX" localSheetId="2" hidden="1">#REF!</definedName>
    <definedName name="DEX" hidden="1">#REF!</definedName>
    <definedName name="didi" localSheetId="2">#REF!</definedName>
    <definedName name="didi">#REF!</definedName>
    <definedName name="dmbtr" localSheetId="2">#REF!</definedName>
    <definedName name="dmbtr">#REF!</definedName>
    <definedName name="E1888\" localSheetId="2">#REF!</definedName>
    <definedName name="E1888\">#REF!</definedName>
    <definedName name="EDC" localSheetId="2" hidden="1">#REF!</definedName>
    <definedName name="EDC" hidden="1">#REF!</definedName>
    <definedName name="ee" localSheetId="2">#REF!</definedName>
    <definedName name="ee">#REF!</definedName>
    <definedName name="Effective_Tax_Rate" localSheetId="2">#REF!</definedName>
    <definedName name="Effective_Tax_Rate">#REF!</definedName>
    <definedName name="F" localSheetId="2">#REF!</definedName>
    <definedName name="F">#REF!</definedName>
    <definedName name="FAD" localSheetId="2" hidden="1">#REF!</definedName>
    <definedName name="FAD" hidden="1">#REF!</definedName>
    <definedName name="FALD" localSheetId="2">#REF!</definedName>
    <definedName name="FALD">#REF!</definedName>
    <definedName name="FASD" localSheetId="2" hidden="1">#REF!</definedName>
    <definedName name="FASD" hidden="1">#REF!</definedName>
    <definedName name="FEDC" localSheetId="2" hidden="1">#REF!</definedName>
    <definedName name="FEDC" hidden="1">#REF!</definedName>
    <definedName name="ffd">#REF!</definedName>
    <definedName name="Finance_costs" localSheetId="2">#REF!</definedName>
    <definedName name="Finance_costs">#REF!</definedName>
    <definedName name="firow" localSheetId="2">#REF!</definedName>
    <definedName name="firow">#REF!</definedName>
    <definedName name="Fixed_assests" localSheetId="2">#REF!</definedName>
    <definedName name="Fixed_assests">#REF!</definedName>
    <definedName name="fixedassets" localSheetId="2">#REF!</definedName>
    <definedName name="fixedassets">#REF!</definedName>
    <definedName name="fuck" localSheetId="2">#REF!</definedName>
    <definedName name="fuck">#REF!</definedName>
    <definedName name="gender">#REF!</definedName>
    <definedName name="gugi" localSheetId="2">#REF!</definedName>
    <definedName name="gugi">#REF!</definedName>
    <definedName name="hg" localSheetId="2">#REF!</definedName>
    <definedName name="hg">#REF!</definedName>
    <definedName name="hjl" localSheetId="2">#REF!</definedName>
    <definedName name="hjl">#REF!</definedName>
    <definedName name="I">#REF!</definedName>
    <definedName name="inventory" localSheetId="2">#REF!</definedName>
    <definedName name="inventory">#REF!</definedName>
    <definedName name="io" localSheetId="2">#REF!</definedName>
    <definedName name="io">#REF!</definedName>
    <definedName name="kk" localSheetId="2">#REF!</definedName>
    <definedName name="kk">#REF!</definedName>
    <definedName name="klime" localSheetId="2">#REF!</definedName>
    <definedName name="klime">#REF!</definedName>
    <definedName name="Known" localSheetId="2">#REF!</definedName>
    <definedName name="Known">#REF!</definedName>
    <definedName name="KnownTable" localSheetId="2">#REF!</definedName>
    <definedName name="KnownTable">#REF!</definedName>
    <definedName name="KnownTitle" localSheetId="2">#REF!</definedName>
    <definedName name="KnownTitle">#REF!</definedName>
    <definedName name="KUM" localSheetId="2">#REF!</definedName>
    <definedName name="KUM">#REF!</definedName>
    <definedName name="kunnr" localSheetId="2">#REF!</definedName>
    <definedName name="kunnr">#REF!</definedName>
    <definedName name="lalala" localSheetId="2">#REF!</definedName>
    <definedName name="lalala">#REF!</definedName>
    <definedName name="liability" localSheetId="2">#REF!</definedName>
    <definedName name="liability">#REF!</definedName>
    <definedName name="Likely1" localSheetId="2">#REF!</definedName>
    <definedName name="Likely1">#REF!</definedName>
    <definedName name="Likely2" localSheetId="2">#REF!</definedName>
    <definedName name="Likely2">#REF!</definedName>
    <definedName name="LikelyTable1" localSheetId="2">#REF!</definedName>
    <definedName name="LikelyTable1">#REF!</definedName>
    <definedName name="LikelyTable2" localSheetId="2">#REF!</definedName>
    <definedName name="LikelyTable2">#REF!</definedName>
    <definedName name="LikelyTitle" localSheetId="2">#REF!</definedName>
    <definedName name="LikelyTitle">#REF!</definedName>
    <definedName name="long" localSheetId="2">#REF!</definedName>
    <definedName name="long">#REF!</definedName>
    <definedName name="Long_term_investment" localSheetId="2">#REF!</definedName>
    <definedName name="Long_term_investment">#REF!</definedName>
    <definedName name="MACRO09">#REF!</definedName>
    <definedName name="Materiality" localSheetId="2">#REF!</definedName>
    <definedName name="Materiality">#REF!</definedName>
    <definedName name="mfg" localSheetId="2">#REF!</definedName>
    <definedName name="mfg">#REF!</definedName>
    <definedName name="miranda" localSheetId="2">#REF!</definedName>
    <definedName name="miranda">#REF!</definedName>
    <definedName name="Monetary_Precision" localSheetId="2">#REF!</definedName>
    <definedName name="Monetary_Precision">#REF!</definedName>
    <definedName name="mxkm">#REF!</definedName>
    <definedName name="mxxml" localSheetId="2">#REF!</definedName>
    <definedName name="mxxml">#REF!</definedName>
    <definedName name="name" localSheetId="2">#REF!</definedName>
    <definedName name="name">#REF!</definedName>
    <definedName name="name1" localSheetId="2">#REF!</definedName>
    <definedName name="name1">#REF!</definedName>
    <definedName name="Non_current_Assets" localSheetId="2">#REF!</definedName>
    <definedName name="Non_current_Assets">#REF!</definedName>
    <definedName name="Non_current_Liabilities" localSheetId="2">#REF!</definedName>
    <definedName name="Non_current_Liabilities">#REF!</definedName>
    <definedName name="OC_Instruction" localSheetId="2">#REF!</definedName>
    <definedName name="OC_Instruction">#REF!</definedName>
    <definedName name="OLE_LINK1" localSheetId="9">'函证程序舞弊风险评价表L0-7'!#REF!</definedName>
    <definedName name="OLE_LINK2" localSheetId="9">'函证程序舞弊风险评价表L0-7'!#REF!</definedName>
    <definedName name="Operating_expenses" localSheetId="2">#REF!</definedName>
    <definedName name="Operating_expenses">#REF!</definedName>
    <definedName name="Other_assets" localSheetId="2">#REF!</definedName>
    <definedName name="Other_assets">#REF!</definedName>
    <definedName name="Other_Reserves" localSheetId="2">#REF!</definedName>
    <definedName name="Other_Reserves">#REF!</definedName>
    <definedName name="OtherConditions" localSheetId="2">#REF!</definedName>
    <definedName name="OtherConditions">#REF!</definedName>
    <definedName name="otherlia">#REF!</definedName>
    <definedName name="Owner_equity" localSheetId="2">#REF!</definedName>
    <definedName name="Owner_equity">#REF!</definedName>
    <definedName name="owners_equity" localSheetId="2">#REF!</definedName>
    <definedName name="owners_equity">#REF!</definedName>
    <definedName name="PercAccRec" localSheetId="2">#REF!</definedName>
    <definedName name="PercAccRec">#REF!</definedName>
    <definedName name="PercInt" localSheetId="2">#REF!</definedName>
    <definedName name="PercInt">#REF!</definedName>
    <definedName name="PercNetStock" localSheetId="2">#REF!</definedName>
    <definedName name="PercNetStock">#REF!</definedName>
    <definedName name="PercSal" localSheetId="2">#REF!</definedName>
    <definedName name="PercSal">#REF!</definedName>
    <definedName name="PercStock" localSheetId="2">#REF!</definedName>
    <definedName name="PercStock">#REF!</definedName>
    <definedName name="PercSup" localSheetId="2">#REF!</definedName>
    <definedName name="PercSup">#REF!</definedName>
    <definedName name="pl">#REF!</definedName>
    <definedName name="PRCGAAP" localSheetId="2">#REF!</definedName>
    <definedName name="PRCGAAP">#REF!</definedName>
    <definedName name="PRCGAAP2" localSheetId="2">#REF!</definedName>
    <definedName name="PRCGAAP2">#REF!</definedName>
    <definedName name="Pre_tax_materiality" localSheetId="2">#REF!</definedName>
    <definedName name="Pre_tax_materiality">#REF!</definedName>
    <definedName name="Precision" localSheetId="2">#REF!</definedName>
    <definedName name="Precision">#REF!</definedName>
    <definedName name="preparment">#REF!</definedName>
    <definedName name="prepay" localSheetId="2">#REF!</definedName>
    <definedName name="prepay">#REF!</definedName>
    <definedName name="_xlnm.Print_Area" localSheetId="4">'跟函函证过程控制L0-3'!$A$1:$F$27</definedName>
    <definedName name="_xlnm.Print_Area" localSheetId="5">'函证差异调节表L0-4'!$A$1:$I$21</definedName>
    <definedName name="_xlnm.Print_Area" localSheetId="6">'函证差异检查表（示例）'!$A$1:$G$33</definedName>
    <definedName name="_xlnm.Print_Area" localSheetId="1">函证程序表F0A!$A$1:$F$18</definedName>
    <definedName name="_xlnm.Print_Area" localSheetId="9">'函证程序舞弊风险评价表L0-7'!$A$1:$I$30</definedName>
    <definedName name="_xlnm.Print_Area" localSheetId="2">'函证结果汇总表L0-1'!$A$1:$AB$41</definedName>
    <definedName name="_xlnm.Print_Area" localSheetId="3">'核实被函证单位信息L0-2'!$A$1:$AL$26</definedName>
    <definedName name="_xlnm.Print_Area" localSheetId="8">'邮件传真回函可靠性验证L0-6'!$A$1:$N$22</definedName>
    <definedName name="_xlnm.Print_Area" localSheetId="7">'长期应付款替代程序L0-5'!$A$1:$N$51</definedName>
    <definedName name="_xlnm.Print_Area">#REF!</definedName>
    <definedName name="Print_Area_MI" localSheetId="6">#REF!</definedName>
    <definedName name="Print_Area_MI" localSheetId="2">#REF!</definedName>
    <definedName name="Print_Area_MI">#REF!</definedName>
    <definedName name="print_area1" localSheetId="6">#REF!</definedName>
    <definedName name="print_area1" localSheetId="2">#REF!</definedName>
    <definedName name="print_area1">#REF!</definedName>
    <definedName name="_xlnm.Print_Titles" localSheetId="1">函证程序表F0A!$5:$5</definedName>
    <definedName name="_xlnm.Print_Titles" localSheetId="2">'函证结果汇总表L0-1'!$B:$B</definedName>
    <definedName name="_xlnm.Print_Titles" localSheetId="3">'核实被函证单位信息L0-2'!$A:$B</definedName>
    <definedName name="Prior" localSheetId="6">#REF!</definedName>
    <definedName name="Prior" localSheetId="2">#REF!</definedName>
    <definedName name="Prior">#REF!</definedName>
    <definedName name="PY_all_Equity" localSheetId="6">#REF!</definedName>
    <definedName name="PY_all_Equity" localSheetId="2">#REF!</definedName>
    <definedName name="PY_all_Equity">#REF!</definedName>
    <definedName name="PY_all_Income" localSheetId="6">#REF!</definedName>
    <definedName name="PY_all_Income" localSheetId="2">#REF!</definedName>
    <definedName name="PY_all_Income">#REF!</definedName>
    <definedName name="PY_all_RetEarn" localSheetId="2">#REF!</definedName>
    <definedName name="PY_all_RetEarn">#REF!</definedName>
    <definedName name="PY_knw_Income" localSheetId="2">#REF!</definedName>
    <definedName name="PY_knw_Income">#REF!</definedName>
    <definedName name="PY_knw_RetEarn" localSheetId="2">#REF!</definedName>
    <definedName name="PY_knw_RetEarn">#REF!</definedName>
    <definedName name="PY_lik_Income" localSheetId="2">#REF!</definedName>
    <definedName name="PY_lik_Income">#REF!</definedName>
    <definedName name="PY_lik_RetEarn" localSheetId="2">#REF!</definedName>
    <definedName name="PY_lik_RetEarn">#REF!</definedName>
    <definedName name="PY_tot_knw_Xfoot" localSheetId="2">#REF!</definedName>
    <definedName name="PY_tot_knw_Xfoot">#REF!</definedName>
    <definedName name="PY_tot_lik_Xfoot" localSheetId="2">#REF!</definedName>
    <definedName name="PY_tot_lik_Xfoot">#REF!</definedName>
    <definedName name="PY_tx_all_Income" localSheetId="2">#REF!</definedName>
    <definedName name="PY_tx_all_Income">#REF!</definedName>
    <definedName name="PY_tx_all_RetEarn" localSheetId="2">#REF!</definedName>
    <definedName name="PY_tx_all_RetEarn">#REF!</definedName>
    <definedName name="PY_tx_knw_Income" localSheetId="2">#REF!</definedName>
    <definedName name="PY_tx_knw_Income">#REF!</definedName>
    <definedName name="PY_tx_knw_RetEarn" localSheetId="2">#REF!</definedName>
    <definedName name="PY_tx_knw_RetEarn">#REF!</definedName>
    <definedName name="PY_tx_lik_Income" localSheetId="2">#REF!</definedName>
    <definedName name="PY_tx_lik_Income">#REF!</definedName>
    <definedName name="PY_tx_lik_RetEarn" localSheetId="2">#REF!</definedName>
    <definedName name="PY_tx_lik_RetEarn">#REF!</definedName>
    <definedName name="q" localSheetId="2">#REF!</definedName>
    <definedName name="q">#REF!</definedName>
    <definedName name="QC_Instruction" localSheetId="2">#REF!</definedName>
    <definedName name="QC_Instruction">#REF!</definedName>
    <definedName name="qcbbkm">#REF!</definedName>
    <definedName name="Qualitative1" localSheetId="6">#REF!</definedName>
    <definedName name="Qualitative1" localSheetId="2">#REF!</definedName>
    <definedName name="Qualitative1">#REF!</definedName>
    <definedName name="Qualitative2" localSheetId="6">#REF!</definedName>
    <definedName name="Qualitative2" localSheetId="2">#REF!</definedName>
    <definedName name="Qualitative2">#REF!</definedName>
    <definedName name="Qualitative3" localSheetId="6">#REF!</definedName>
    <definedName name="Qualitative3" localSheetId="2">#REF!</definedName>
    <definedName name="Qualitative3">#REF!</definedName>
    <definedName name="QualitativeTextBox" localSheetId="2">#REF!</definedName>
    <definedName name="QualitativeTextBox">#REF!</definedName>
    <definedName name="RATE1" localSheetId="2">#REF!</definedName>
    <definedName name="RATE1">#REF!</definedName>
    <definedName name="RATE2" localSheetId="2">#REF!</definedName>
    <definedName name="RATE2">#REF!</definedName>
    <definedName name="RATE3" localSheetId="2">#REF!</definedName>
    <definedName name="RATE3">#REF!</definedName>
    <definedName name="RATE4" localSheetId="2">#REF!</definedName>
    <definedName name="RATE4">#REF!</definedName>
    <definedName name="RATE5" localSheetId="2">#REF!</definedName>
    <definedName name="RATE5">#REF!</definedName>
    <definedName name="RATE6" localSheetId="2">#REF!</definedName>
    <definedName name="RATE6">#REF!</definedName>
    <definedName name="RATE9" localSheetId="2">#REF!</definedName>
    <definedName name="RATE9">#REF!</definedName>
    <definedName name="RD.CC" localSheetId="2">#REF!</definedName>
    <definedName name="RD.CC">#REF!</definedName>
    <definedName name="RD.SC" localSheetId="2">#REF!</definedName>
    <definedName name="RD.SC">#REF!</definedName>
    <definedName name="RDES" localSheetId="2" hidden="1">#REF!</definedName>
    <definedName name="RDES" hidden="1">#REF!</definedName>
    <definedName name="relaco" localSheetId="2">#REF!</definedName>
    <definedName name="relaco">#REF!</definedName>
    <definedName name="relateco2" localSheetId="2">#REF!</definedName>
    <definedName name="relateco2">#REF!</definedName>
    <definedName name="RESERVE" localSheetId="2">#REF!</definedName>
    <definedName name="RESERVE">#REF!</definedName>
    <definedName name="Retained_Earnings" localSheetId="2">#REF!</definedName>
    <definedName name="Retained_Earnings">#REF!</definedName>
    <definedName name="Revaluation_Reserves" localSheetId="2">#REF!</definedName>
    <definedName name="Revaluation_Reserves">#REF!</definedName>
    <definedName name="richard" localSheetId="2">#REF!</definedName>
    <definedName name="richard">#REF!</definedName>
    <definedName name="s" localSheetId="2">#REF!</definedName>
    <definedName name="s">#REF!</definedName>
    <definedName name="sales" localSheetId="2">#REF!</definedName>
    <definedName name="sales">#REF!</definedName>
    <definedName name="SD" localSheetId="2">#REF!</definedName>
    <definedName name="SD">#REF!</definedName>
    <definedName name="sda" localSheetId="2">#REF!</definedName>
    <definedName name="sda">#REF!</definedName>
    <definedName name="SDF" localSheetId="2">#REF!</definedName>
    <definedName name="SDF">#REF!</definedName>
    <definedName name="SDFA" localSheetId="2">#REF!</definedName>
    <definedName name="SDFA">#REF!</definedName>
    <definedName name="SDFSD" localSheetId="2">#REF!</definedName>
    <definedName name="SDFSD">#REF!</definedName>
    <definedName name="sell" localSheetId="2">#REF!</definedName>
    <definedName name="sell">#REF!</definedName>
    <definedName name="SF" localSheetId="2">#REF!</definedName>
    <definedName name="SF">#REF!</definedName>
    <definedName name="Share_Capital" localSheetId="2">#REF!</definedName>
    <definedName name="Share_Capital">#REF!</definedName>
    <definedName name="Share_Premium" localSheetId="2">#REF!</definedName>
    <definedName name="Share_Premium">#REF!</definedName>
    <definedName name="Sheet1" localSheetId="2">#REF!</definedName>
    <definedName name="Sheet1">#REF!</definedName>
    <definedName name="Sheet10" localSheetId="2">#REF!</definedName>
    <definedName name="Sheet10">#REF!</definedName>
    <definedName name="Sheet11" localSheetId="2">#REF!</definedName>
    <definedName name="Sheet11">#REF!</definedName>
    <definedName name="Sheet12" localSheetId="2">#REF!</definedName>
    <definedName name="Sheet12">#REF!</definedName>
    <definedName name="Sheet13" localSheetId="2">#REF!</definedName>
    <definedName name="Sheet13">#REF!</definedName>
    <definedName name="Sheet14" localSheetId="2">#REF!</definedName>
    <definedName name="Sheet14">#REF!</definedName>
    <definedName name="Sheet15" localSheetId="2">#REF!</definedName>
    <definedName name="Sheet15">#REF!</definedName>
    <definedName name="Sheet16" localSheetId="2">#REF!</definedName>
    <definedName name="Sheet16">#REF!</definedName>
    <definedName name="Sheet17" localSheetId="2">#REF!</definedName>
    <definedName name="Sheet17">#REF!</definedName>
    <definedName name="Sheet18" localSheetId="2">#REF!</definedName>
    <definedName name="Sheet18">#REF!</definedName>
    <definedName name="Sheet19" localSheetId="2">#REF!</definedName>
    <definedName name="Sheet19">#REF!</definedName>
    <definedName name="Sheet2" localSheetId="2">#REF!</definedName>
    <definedName name="Sheet2">#REF!</definedName>
    <definedName name="Sheet20" localSheetId="2">#REF!</definedName>
    <definedName name="Sheet20">#REF!</definedName>
    <definedName name="Sheet21" localSheetId="2">#REF!</definedName>
    <definedName name="Sheet21">#REF!</definedName>
    <definedName name="Sheet3" localSheetId="2">#REF!</definedName>
    <definedName name="Sheet3">#REF!</definedName>
    <definedName name="Sheet4" localSheetId="2">#REF!</definedName>
    <definedName name="Sheet4">#REF!</definedName>
    <definedName name="Sheet5" localSheetId="2">#REF!</definedName>
    <definedName name="Sheet5">#REF!</definedName>
    <definedName name="Sheet6" localSheetId="2">#REF!</definedName>
    <definedName name="Sheet6">#REF!</definedName>
    <definedName name="Sheet7" localSheetId="2">#REF!</definedName>
    <definedName name="Sheet7">#REF!</definedName>
    <definedName name="Sheet8" localSheetId="2">#REF!</definedName>
    <definedName name="Sheet8">#REF!</definedName>
    <definedName name="Sheet9" localSheetId="2">#REF!</definedName>
    <definedName name="Sheet9">#REF!</definedName>
    <definedName name="shengchanqi8" localSheetId="2">#REF!</definedName>
    <definedName name="shengchanqi8">#REF!</definedName>
    <definedName name="shengchanqi9" localSheetId="2">#REF!</definedName>
    <definedName name="shengchanqi9">#REF!</definedName>
    <definedName name="Short_term\" localSheetId="2">#REF!</definedName>
    <definedName name="Short_term\">#REF!</definedName>
    <definedName name="Short_term_liability" localSheetId="2">#REF!</definedName>
    <definedName name="Short_term_liability">#REF!</definedName>
    <definedName name="shuijingjifujia.dbf" localSheetId="2">#REF!</definedName>
    <definedName name="shuijingjifujia.dbf">#REF!</definedName>
    <definedName name="sj">#REF!</definedName>
    <definedName name="SM_CurrentYearHyplnk" localSheetId="2">#REF!</definedName>
    <definedName name="SM_CurrentYearHyplnk">#REF!</definedName>
    <definedName name="SM_PriorYearHyplnk" localSheetId="2">#REF!</definedName>
    <definedName name="SM_PriorYearHyplnk">#REF!</definedName>
    <definedName name="SM_WholeSheet" localSheetId="2">#REF!</definedName>
    <definedName name="SM_WholeSheet">#REF!</definedName>
    <definedName name="ss" localSheetId="2">#REF!</definedName>
    <definedName name="ss">#REF!</definedName>
    <definedName name="SummaryCOKnownProtection" localSheetId="2">#REF!</definedName>
    <definedName name="SummaryCOKnownProtection">#REF!</definedName>
    <definedName name="SummaryCOLikelyProtection" localSheetId="2">#REF!</definedName>
    <definedName name="SummaryCOLikelyProtection">#REF!</definedName>
    <definedName name="SummaryKnownProtection" localSheetId="2">#REF!</definedName>
    <definedName name="SummaryKnownProtection">#REF!</definedName>
    <definedName name="SummaryLikely1Protection" localSheetId="2">#REF!</definedName>
    <definedName name="SummaryLikely1Protection">#REF!</definedName>
    <definedName name="SummaryLikely2Protection" localSheetId="2">#REF!</definedName>
    <definedName name="SummaryLikely2Protection">#REF!</definedName>
    <definedName name="sy" localSheetId="2">#REF!</definedName>
    <definedName name="sy">#REF!</definedName>
    <definedName name="syh">#REF!</definedName>
    <definedName name="tax" localSheetId="2">#REF!</definedName>
    <definedName name="tax">#REF!</definedName>
    <definedName name="Tax_Effect_Income" localSheetId="2">#REF!</definedName>
    <definedName name="Tax_Effect_Income">#REF!</definedName>
    <definedName name="Tax_Effect_Liabs" localSheetId="2">#REF!</definedName>
    <definedName name="Tax_Effect_Liabs">#REF!</definedName>
    <definedName name="Tax_Effect_RetEarn" localSheetId="2">#REF!</definedName>
    <definedName name="Tax_Effect_RetEarn">#REF!</definedName>
    <definedName name="Tax_Rate" localSheetId="2">#REF!</definedName>
    <definedName name="Tax_Rate">#REF!</definedName>
    <definedName name="TEST0" localSheetId="2">#REF!</definedName>
    <definedName name="TEST0">#REF!</definedName>
    <definedName name="TEST1" localSheetId="2">#REF!</definedName>
    <definedName name="TEST1">#REF!</definedName>
    <definedName name="TESTHKEY" localSheetId="2">#REF!</definedName>
    <definedName name="TESTHKEY">#REF!</definedName>
    <definedName name="TESTKEYS" localSheetId="2">#REF!</definedName>
    <definedName name="TESTKEYS">#REF!</definedName>
    <definedName name="TESTVKEY" localSheetId="2">#REF!</definedName>
    <definedName name="TESTVKEY">#REF!</definedName>
    <definedName name="TextRefCopy1" localSheetId="2">#REF!</definedName>
    <definedName name="TextRefCopy1">#REF!</definedName>
    <definedName name="TextRefCopyRangeCount" hidden="1">136</definedName>
    <definedName name="Threshold" localSheetId="2">#REF!</definedName>
    <definedName name="Threshold">#REF!</definedName>
    <definedName name="Threshold_for_Accumulating" localSheetId="2">#REF!</definedName>
    <definedName name="Threshold_for_Accumulating">#REF!</definedName>
    <definedName name="time" localSheetId="2">#REF!</definedName>
    <definedName name="time">#REF!</definedName>
    <definedName name="Tot_knw_Xfoot" localSheetId="2">#REF!</definedName>
    <definedName name="Tot_knw_Xfoot">#REF!</definedName>
    <definedName name="Tot_lik_Xfoot" localSheetId="2">#REF!</definedName>
    <definedName name="Tot_lik_Xfoot">#REF!</definedName>
    <definedName name="Tot_lik_Xfoot_ex" localSheetId="2">#REF!</definedName>
    <definedName name="Tot_lik_Xfoot_ex">#REF!</definedName>
    <definedName name="Tot_lik_Xfoot_ext" localSheetId="2">#REF!</definedName>
    <definedName name="Tot_lik_Xfoot_ext">#REF!</definedName>
    <definedName name="Total_Assets" localSheetId="2">#REF!</definedName>
    <definedName name="Total_Assets">#REF!</definedName>
    <definedName name="TOTAL_KNOWN" localSheetId="2">#REF!</definedName>
    <definedName name="TOTAL_KNOWN">#REF!</definedName>
    <definedName name="Total_Liabilities" localSheetId="2">#REF!</definedName>
    <definedName name="Total_Liabilities">#REF!</definedName>
    <definedName name="TotalCarryOver" localSheetId="2">#REF!</definedName>
    <definedName name="TotalCarryOver">#REF!</definedName>
    <definedName name="TotalCurrentYear" localSheetId="2">#REF!</definedName>
    <definedName name="TotalCurrentYear">#REF!</definedName>
    <definedName name="TotalKnownCheck" localSheetId="2">#REF!</definedName>
    <definedName name="TotalKnownCheck">#REF!</definedName>
    <definedName name="TotBU" localSheetId="2">#REF!</definedName>
    <definedName name="TotBU">#REF!</definedName>
    <definedName name="UFPrn20020120153922" localSheetId="2">#REF!</definedName>
    <definedName name="UFPrn20020120153922">#REF!</definedName>
    <definedName name="UFPrn20020129135956" localSheetId="2">#REF!</definedName>
    <definedName name="UFPrn20020129135956">#REF!</definedName>
    <definedName name="UFPrn20020129140103" localSheetId="2">#REF!</definedName>
    <definedName name="UFPrn20020129140103">#REF!</definedName>
    <definedName name="UFPrn20020129140202" localSheetId="2">#REF!</definedName>
    <definedName name="UFPrn20020129140202">#REF!</definedName>
    <definedName name="UFPrn20020129140404" localSheetId="2">#REF!</definedName>
    <definedName name="UFPrn20020129140404">#REF!</definedName>
    <definedName name="UFPrn20020129140614" localSheetId="2">#REF!</definedName>
    <definedName name="UFPrn20020129140614">#REF!</definedName>
    <definedName name="UFPrn20020129140653" localSheetId="2">#REF!</definedName>
    <definedName name="UFPrn20020129140653">#REF!</definedName>
    <definedName name="UFPrn20020129140730" localSheetId="2">#REF!</definedName>
    <definedName name="UFPrn20020129140730">#REF!</definedName>
    <definedName name="UFPrn20020201152344" localSheetId="2">#REF!</definedName>
    <definedName name="UFPrn20020201152344">#REF!</definedName>
    <definedName name="UFPrn20020301105444" localSheetId="2">#REF!</definedName>
    <definedName name="UFPrn20020301105444">#REF!</definedName>
    <definedName name="UFPrn20020302105521" localSheetId="2">#REF!</definedName>
    <definedName name="UFPrn20020302105521">#REF!</definedName>
    <definedName name="UFPrn20020302105727" localSheetId="2">#REF!</definedName>
    <definedName name="UFPrn20020302105727">#REF!</definedName>
    <definedName name="UFPrn20020302141827" localSheetId="2">#REF!</definedName>
    <definedName name="UFPrn20020302141827">#REF!</definedName>
    <definedName name="UFPrn20020302141857" localSheetId="2">#REF!</definedName>
    <definedName name="UFPrn20020302141857">#REF!</definedName>
    <definedName name="UFPrn20020302141928" localSheetId="2">#REF!</definedName>
    <definedName name="UFPrn20020302141928">#REF!</definedName>
    <definedName name="UFPrn20020302142027" localSheetId="2">#REF!</definedName>
    <definedName name="UFPrn20020302142027">#REF!</definedName>
    <definedName name="UFPrn20020302142059" localSheetId="2">#REF!</definedName>
    <definedName name="UFPrn20020302142059">#REF!</definedName>
    <definedName name="UFPrn20020302142134" localSheetId="2">#REF!</definedName>
    <definedName name="UFPrn20020302142134">#REF!</definedName>
    <definedName name="UFPrn20020302142201" localSheetId="2">#REF!</definedName>
    <definedName name="UFPrn20020302142201">#REF!</definedName>
    <definedName name="UFPrn20020302142228" localSheetId="2">#REF!</definedName>
    <definedName name="UFPrn20020302142228">#REF!</definedName>
    <definedName name="UFPrn20020303093924" localSheetId="2">#REF!</definedName>
    <definedName name="UFPrn20020303093924">#REF!</definedName>
    <definedName name="UFPrn20020303094009" localSheetId="2">#REF!</definedName>
    <definedName name="UFPrn20020303094009">#REF!</definedName>
    <definedName name="UFPrn20020303094056" localSheetId="2">#REF!</definedName>
    <definedName name="UFPrn20020303094056">#REF!</definedName>
    <definedName name="UFPrn20020303094209" localSheetId="2">#REF!</definedName>
    <definedName name="UFPrn20020303094209">#REF!</definedName>
    <definedName name="UFPrn20020303094311" localSheetId="2">#REF!</definedName>
    <definedName name="UFPrn20020303094311">#REF!</definedName>
    <definedName name="UFPrn20020303094400" localSheetId="2">#REF!</definedName>
    <definedName name="UFPrn20020303094400">#REF!</definedName>
    <definedName name="UFPrn20020309161349" localSheetId="2">#REF!</definedName>
    <definedName name="UFPrn20020309161349">#REF!</definedName>
    <definedName name="UFPrn20020310141243" localSheetId="2">#REF!</definedName>
    <definedName name="UFPrn20020310141243">#REF!</definedName>
    <definedName name="UFPrn20020310141327" localSheetId="2">#REF!</definedName>
    <definedName name="UFPrn20020310141327">#REF!</definedName>
    <definedName name="UFPrn20020310141355" localSheetId="2">#REF!</definedName>
    <definedName name="UFPrn20020310141355">#REF!</definedName>
    <definedName name="UFPrn20020310141456" localSheetId="2">#REF!</definedName>
    <definedName name="UFPrn20020310141456">#REF!</definedName>
    <definedName name="UFPrn20020310141539" localSheetId="2">#REF!</definedName>
    <definedName name="UFPrn20020310141539">#REF!</definedName>
    <definedName name="UFPrn20020310141619" localSheetId="2">#REF!</definedName>
    <definedName name="UFPrn20020310141619">#REF!</definedName>
    <definedName name="UFPrn20020310141651" localSheetId="2">#REF!</definedName>
    <definedName name="UFPrn20020310141651">#REF!</definedName>
    <definedName name="UFPrn20020310142531" localSheetId="2">#REF!</definedName>
    <definedName name="UFPrn20020310142531">#REF!</definedName>
    <definedName name="UFPrn20020310142744" localSheetId="2">#REF!</definedName>
    <definedName name="UFPrn20020310142744">#REF!</definedName>
    <definedName name="UFPrn20020310142844" localSheetId="2">#REF!</definedName>
    <definedName name="UFPrn20020310142844">#REF!</definedName>
    <definedName name="UFPrn20020310143105" localSheetId="2">#REF!</definedName>
    <definedName name="UFPrn20020310143105">#REF!</definedName>
    <definedName name="UFPrn20020310143151" localSheetId="2">#REF!</definedName>
    <definedName name="UFPrn20020310143151">#REF!</definedName>
    <definedName name="UFPrn20020317170200" localSheetId="2">#REF!</definedName>
    <definedName name="UFPrn20020317170200">#REF!</definedName>
    <definedName name="UFPrn20020426154224" localSheetId="2">#REF!</definedName>
    <definedName name="UFPrn20020426154224">#REF!</definedName>
    <definedName name="UFPrn20020610092042" localSheetId="2">#REF!</definedName>
    <definedName name="UFPrn20020610092042">#REF!</definedName>
    <definedName name="UFPrn20020709085811" localSheetId="2">#REF!</definedName>
    <definedName name="UFPrn20020709085811">#REF!</definedName>
    <definedName name="UFPrn20020715153244" localSheetId="2">#REF!</definedName>
    <definedName name="UFPrn20020715153244">#REF!</definedName>
    <definedName name="UFPrn20020717133652" localSheetId="2">#REF!</definedName>
    <definedName name="UFPrn20020717133652">#REF!</definedName>
    <definedName name="UFPrn20020722143003" localSheetId="2">#REF!</definedName>
    <definedName name="UFPrn20020722143003">#REF!</definedName>
    <definedName name="UFPrn20021008134934" localSheetId="2">#REF!</definedName>
    <definedName name="UFPrn20021008134934">#REF!</definedName>
    <definedName name="UFPrn20030107130737" localSheetId="2">#REF!</definedName>
    <definedName name="UFPrn20030107130737">#REF!</definedName>
    <definedName name="UFPrn20030108134622" localSheetId="2">#REF!</definedName>
    <definedName name="UFPrn20030108134622">#REF!</definedName>
    <definedName name="UFPrn20030110164906" localSheetId="2">#REF!</definedName>
    <definedName name="UFPrn20030110164906">#REF!</definedName>
    <definedName name="UFPrn20030114114347" localSheetId="2">#REF!</definedName>
    <definedName name="UFPrn20030114114347">#REF!</definedName>
    <definedName name="UFPrn20030114121044" localSheetId="2">#REF!</definedName>
    <definedName name="UFPrn20030114121044">#REF!</definedName>
    <definedName name="UFPrn20030114121335" localSheetId="2">#REF!</definedName>
    <definedName name="UFPrn20030114121335">#REF!</definedName>
    <definedName name="UFPrn20030208161316" localSheetId="2">#REF!</definedName>
    <definedName name="UFPrn20030208161316">#REF!</definedName>
    <definedName name="UFPrn20030208161641" localSheetId="2">#REF!</definedName>
    <definedName name="UFPrn20030208161641">#REF!</definedName>
    <definedName name="UFPrn20030211171155" localSheetId="2">#REF!</definedName>
    <definedName name="UFPrn20030211171155">#REF!</definedName>
    <definedName name="UFPrn20030211171418" localSheetId="2">#REF!</definedName>
    <definedName name="UFPrn20030211171418">#REF!</definedName>
    <definedName name="UFPrn20030211172416" localSheetId="2">#REF!</definedName>
    <definedName name="UFPrn20030211172416">#REF!</definedName>
    <definedName name="UFPrn20030211172453" localSheetId="2">#REF!</definedName>
    <definedName name="UFPrn20030211172453">#REF!</definedName>
    <definedName name="UFPrn20030212192326" localSheetId="2">#REF!</definedName>
    <definedName name="UFPrn20030212192326">#REF!</definedName>
    <definedName name="UFPrn20030213110429" localSheetId="2">#REF!</definedName>
    <definedName name="UFPrn20030213110429">#REF!</definedName>
    <definedName name="UFPrn20030213110447" localSheetId="2">#REF!</definedName>
    <definedName name="UFPrn20030213110447">#REF!</definedName>
    <definedName name="UFPrn20030213110511" localSheetId="2">#REF!</definedName>
    <definedName name="UFPrn20030213110511">#REF!</definedName>
    <definedName name="UFPrn20030213110535" localSheetId="2">#REF!</definedName>
    <definedName name="UFPrn20030213110535">#REF!</definedName>
    <definedName name="UFPrn20030213110557" localSheetId="2">#REF!</definedName>
    <definedName name="UFPrn20030213110557">#REF!</definedName>
    <definedName name="UFPrn20030213110617" localSheetId="2">#REF!</definedName>
    <definedName name="UFPrn20030213110617">#REF!</definedName>
    <definedName name="UFPrn20030213110636" localSheetId="2">#REF!</definedName>
    <definedName name="UFPrn20030213110636">#REF!</definedName>
    <definedName name="UFPrn20030213110704" localSheetId="2">#REF!</definedName>
    <definedName name="UFPrn20030213110704">#REF!</definedName>
    <definedName name="UFPrn20030213110726" localSheetId="2">#REF!</definedName>
    <definedName name="UFPrn20030213110726">#REF!</definedName>
    <definedName name="UFPrn20030213110745" localSheetId="2">#REF!</definedName>
    <definedName name="UFPrn20030213110745">#REF!</definedName>
    <definedName name="UFPrn20030213110803" localSheetId="2">#REF!</definedName>
    <definedName name="UFPrn20030213110803">#REF!</definedName>
    <definedName name="UFPrn20030213110822" localSheetId="2">#REF!</definedName>
    <definedName name="UFPrn20030213110822">#REF!</definedName>
    <definedName name="UFPrn20030415145352" localSheetId="2">#REF!</definedName>
    <definedName name="UFPrn20030415145352">#REF!</definedName>
    <definedName name="UFPrn20030415145852" localSheetId="2">#REF!</definedName>
    <definedName name="UFPrn20030415145852">#REF!</definedName>
    <definedName name="UFPrn20030422113829" localSheetId="2">#REF!</definedName>
    <definedName name="UFPrn20030422113829">#REF!</definedName>
    <definedName name="UFPrn20030422114203" localSheetId="2">#REF!</definedName>
    <definedName name="UFPrn20030422114203">#REF!</definedName>
    <definedName name="UFPrn20030424105518" localSheetId="2">#REF!</definedName>
    <definedName name="UFPrn20030424105518">#REF!</definedName>
    <definedName name="UFPrn20031101102350" localSheetId="2">#REF!</definedName>
    <definedName name="UFPrn20031101102350">#REF!</definedName>
    <definedName name="UFPrn20031101102457" localSheetId="2">#REF!</definedName>
    <definedName name="UFPrn20031101102457">#REF!</definedName>
    <definedName name="UFPrn20031111093752" localSheetId="2">#REF!</definedName>
    <definedName name="UFPrn20031111093752">#REF!</definedName>
    <definedName name="UFPrn20031111093913" localSheetId="2">#REF!</definedName>
    <definedName name="UFPrn20031111093913">#REF!</definedName>
    <definedName name="UFPrn20031111102127" localSheetId="2">#REF!</definedName>
    <definedName name="UFPrn20031111102127">#REF!</definedName>
    <definedName name="UFPrn20031111102908" localSheetId="2">#REF!</definedName>
    <definedName name="UFPrn20031111102908">#REF!</definedName>
    <definedName name="UFPrn20031111112918" localSheetId="2">#REF!</definedName>
    <definedName name="UFPrn20031111112918">#REF!</definedName>
    <definedName name="UFPrn20031111182206" localSheetId="2">#REF!</definedName>
    <definedName name="UFPrn20031111182206">#REF!</definedName>
    <definedName name="UFPrn20031111182243" localSheetId="2">#REF!</definedName>
    <definedName name="UFPrn20031111182243">#REF!</definedName>
    <definedName name="UFPrn20031111182321" localSheetId="2">#REF!</definedName>
    <definedName name="UFPrn20031111182321">#REF!</definedName>
    <definedName name="UFPrn20031112084952" localSheetId="2">#REF!</definedName>
    <definedName name="UFPrn20031112084952">#REF!</definedName>
    <definedName name="UFPrn20031112085442" localSheetId="2">#REF!</definedName>
    <definedName name="UFPrn20031112085442">#REF!</definedName>
    <definedName name="UFPrn20031112172623" localSheetId="2">#REF!</definedName>
    <definedName name="UFPrn20031112172623">#REF!</definedName>
    <definedName name="UFPrn20031113083938" localSheetId="2">#REF!</definedName>
    <definedName name="UFPrn20031113083938">#REF!</definedName>
    <definedName name="UFPrn20031114182129">#REF!</definedName>
    <definedName name="UFPrn20031203194659" localSheetId="6">#REF!</definedName>
    <definedName name="UFPrn20031203194659" localSheetId="2">#REF!</definedName>
    <definedName name="UFPrn20031203194659">#REF!</definedName>
    <definedName name="UFPrn20031203195053">#REF!</definedName>
    <definedName name="UFPrn20031230161818" localSheetId="6">#REF!</definedName>
    <definedName name="UFPrn20031230161818" localSheetId="2">#REF!</definedName>
    <definedName name="UFPrn20031230161818">#REF!</definedName>
    <definedName name="UFPrn20031230161854" localSheetId="6">#REF!</definedName>
    <definedName name="UFPrn20031230161854" localSheetId="2">#REF!</definedName>
    <definedName name="UFPrn20031230161854">#REF!</definedName>
    <definedName name="UFPrn20031230161930" localSheetId="6">#REF!</definedName>
    <definedName name="UFPrn20031230161930" localSheetId="2">#REF!</definedName>
    <definedName name="UFPrn20031230161930">#REF!</definedName>
    <definedName name="UFPrn20031230164858" localSheetId="2">#REF!</definedName>
    <definedName name="UFPrn20031230164858">#REF!</definedName>
    <definedName name="UFPrn20031230170410" localSheetId="2">#REF!</definedName>
    <definedName name="UFPrn20031230170410">#REF!</definedName>
    <definedName name="UFPrn20031230170535" localSheetId="2">#REF!</definedName>
    <definedName name="UFPrn20031230170535">#REF!</definedName>
    <definedName name="UFPrn20040105141413" localSheetId="2">#REF!</definedName>
    <definedName name="UFPrn20040105141413">#REF!</definedName>
    <definedName name="UFPrn20040107185142">#REF!</definedName>
    <definedName name="UFPrn20040108140619" localSheetId="6">#REF!</definedName>
    <definedName name="UFPrn20040108140619" localSheetId="2">#REF!</definedName>
    <definedName name="UFPrn20040108140619">#REF!</definedName>
    <definedName name="UFPrn20040108140716" localSheetId="6">#REF!</definedName>
    <definedName name="UFPrn20040108140716" localSheetId="2">#REF!</definedName>
    <definedName name="UFPrn20040108140716">#REF!</definedName>
    <definedName name="UFPrn20040108161256">#REF!</definedName>
    <definedName name="UFPrn20040108161343">#REF!</definedName>
    <definedName name="UFPrn20040108161418">#REF!</definedName>
    <definedName name="UFPrn20040108212803" localSheetId="6">#REF!</definedName>
    <definedName name="UFPrn20040108212803" localSheetId="2">#REF!</definedName>
    <definedName name="UFPrn20040108212803">#REF!</definedName>
    <definedName name="UFPrn20040108212855" localSheetId="6">#REF!</definedName>
    <definedName name="UFPrn20040108212855" localSheetId="2">#REF!</definedName>
    <definedName name="UFPrn20040108212855">#REF!</definedName>
    <definedName name="UFPrn20040206155313" localSheetId="6">#REF!</definedName>
    <definedName name="UFPrn20040206155313" localSheetId="2">#REF!</definedName>
    <definedName name="UFPrn20040206155313">#REF!</definedName>
    <definedName name="UFPrn20040206155410" localSheetId="2">#REF!</definedName>
    <definedName name="UFPrn20040206155410">#REF!</definedName>
    <definedName name="UFPrn20040206155453" localSheetId="2">#REF!</definedName>
    <definedName name="UFPrn20040206155453">#REF!</definedName>
    <definedName name="UFPrn20040206155542" localSheetId="2">#REF!</definedName>
    <definedName name="UFPrn20040206155542">#REF!</definedName>
    <definedName name="UFPrn20040206155736" localSheetId="2">#REF!</definedName>
    <definedName name="UFPrn20040206155736">#REF!</definedName>
    <definedName name="UFPrn20040206155841" localSheetId="2">#REF!</definedName>
    <definedName name="UFPrn20040206155841">#REF!</definedName>
    <definedName name="UFPrn20040206155907" localSheetId="2">#REF!</definedName>
    <definedName name="UFPrn20040206155907">#REF!</definedName>
    <definedName name="UFPrn20040211084218" localSheetId="2">#REF!</definedName>
    <definedName name="UFPrn20040211084218">#REF!</definedName>
    <definedName name="UFPrn20040303084601" localSheetId="2">#REF!</definedName>
    <definedName name="UFPrn20040303084601">#REF!</definedName>
    <definedName name="UFPrn20040323174131" localSheetId="2">#REF!</definedName>
    <definedName name="UFPrn20040323174131">#REF!</definedName>
    <definedName name="UFPrn20040405225024" localSheetId="2">#REF!</definedName>
    <definedName name="UFPrn20040405225024">#REF!</definedName>
    <definedName name="UFPrn20040422164214" localSheetId="2">#REF!</definedName>
    <definedName name="UFPrn20040422164214">#REF!</definedName>
    <definedName name="UFPrn20040505102210">#REF!</definedName>
    <definedName name="UFPrn20040505104854">#REF!</definedName>
    <definedName name="UFPrn20040505104922">#REF!</definedName>
    <definedName name="UFPrn20040505155852">#REF!</definedName>
    <definedName name="UFPrn20050119091029" localSheetId="6">#REF!</definedName>
    <definedName name="UFPrn20050119091029" localSheetId="2">#REF!</definedName>
    <definedName name="UFPrn20050119091029">#REF!</definedName>
    <definedName name="UFPrn20050119092447" localSheetId="6">#REF!</definedName>
    <definedName name="UFPrn20050119092447" localSheetId="2">#REF!</definedName>
    <definedName name="UFPrn20050119092447">#REF!</definedName>
    <definedName name="UFPrn20050321174253" localSheetId="6">#REF!</definedName>
    <definedName name="UFPrn20050321174253" localSheetId="2">#REF!</definedName>
    <definedName name="UFPrn20050321174253">#REF!</definedName>
    <definedName name="UFPrn20051027160140" localSheetId="2">#REF!</definedName>
    <definedName name="UFPrn20051027160140">#REF!</definedName>
    <definedName name="UFPrn20051027172739" localSheetId="2">#REF!</definedName>
    <definedName name="UFPrn20051027172739">#REF!</definedName>
    <definedName name="UFPrn20051103141418" localSheetId="2">#REF!</definedName>
    <definedName name="UFPrn20051103141418">#REF!</definedName>
    <definedName name="UFPrn20060721155740" localSheetId="2">#REF!</definedName>
    <definedName name="UFPrn20060721155740">#REF!</definedName>
    <definedName name="UFPrn20071205095615" localSheetId="2">#REF!</definedName>
    <definedName name="UFPrn20071205095615">#REF!</definedName>
    <definedName name="UFPrn20071205103259" localSheetId="2">#REF!</definedName>
    <definedName name="UFPrn20071205103259">#REF!</definedName>
    <definedName name="UFPrn20071205103331" localSheetId="2">#REF!</definedName>
    <definedName name="UFPrn20071205103331">#REF!</definedName>
    <definedName name="UFPrn20071205103404" localSheetId="2">#REF!</definedName>
    <definedName name="UFPrn20071205103404">#REF!</definedName>
    <definedName name="UFPrn20071205103449" localSheetId="2">#REF!</definedName>
    <definedName name="UFPrn20071205103449">#REF!</definedName>
    <definedName name="UFPrn20071205103544" localSheetId="2">#REF!</definedName>
    <definedName name="UFPrn20071205103544">#REF!</definedName>
    <definedName name="UFPrn20071205103726" localSheetId="2">#REF!</definedName>
    <definedName name="UFPrn20071205103726">#REF!</definedName>
    <definedName name="UFPrn20071205103910" localSheetId="2">#REF!</definedName>
    <definedName name="UFPrn20071205103910">#REF!</definedName>
    <definedName name="UFPrn20071205104255" localSheetId="2">#REF!</definedName>
    <definedName name="UFPrn20071205104255">#REF!</definedName>
    <definedName name="UFPrn20071205104641" localSheetId="2">#REF!</definedName>
    <definedName name="UFPrn20071205104641">#REF!</definedName>
    <definedName name="UFPrn20140208163509" localSheetId="2">#REF!</definedName>
    <definedName name="UFPrn20140208163509">#REF!</definedName>
    <definedName name="VFE" localSheetId="2" hidden="1">#REF!</definedName>
    <definedName name="VFE" hidden="1">#REF!</definedName>
    <definedName name="W">#REF!</definedName>
    <definedName name="waers" localSheetId="6">#REF!</definedName>
    <definedName name="waers" localSheetId="2">#REF!</definedName>
    <definedName name="waers">#REF!</definedName>
    <definedName name="Work_Program_By_Area_List" localSheetId="6">#REF!</definedName>
    <definedName name="Work_Program_By_Area_List" localSheetId="2">#REF!</definedName>
    <definedName name="Work_Program_By_Area_List">#REF!</definedName>
    <definedName name="worksheet" localSheetId="6">#REF!</definedName>
    <definedName name="worksheet" localSheetId="2">#REF!</definedName>
    <definedName name="worksheet">#REF!</definedName>
    <definedName name="wrbtr" localSheetId="2">#REF!</definedName>
    <definedName name="wrbtr">#REF!</definedName>
    <definedName name="wrn.Aging._.and._.Trend._.Analysis." localSheetId="6">{#N/A,#N/A,FALSE,"Aging Summary";#N/A,#N/A,FALSE,"Ratio Analysis";#N/A,#N/A,FALSE,"Test 120 Day Accts";#N/A,#N/A,FALSE,"Tickmarks"}</definedName>
    <definedName name="wrn.Aging._.and._.Trend._.Analysis.">{#N/A,#N/A,FALSE,"Aging Summary";#N/A,#N/A,FALSE,"Ratio Analysis";#N/A,#N/A,FALSE,"Test 120 Day Accts";#N/A,#N/A,FALSE,"Tickmarks"}</definedName>
    <definedName name="wrn.Aging._.and._.Trend._.Analysis._1">{#N/A,#N/A,FALSE,"Aging Summary";#N/A,#N/A,FALSE,"Ratio Analysis";#N/A,#N/A,FALSE,"Test 120 Day Accts";#N/A,#N/A,FALSE,"Tickmarks"}</definedName>
    <definedName name="wrn.new" localSheetId="6">{#N/A,#N/A,FALSE,"Aging Summary";#N/A,#N/A,FALSE,"Ratio Analysis";#N/A,#N/A,FALSE,"Test 120 Day Accts";#N/A,#N/A,FALSE,"Tickmarks"}</definedName>
    <definedName name="wrn.new">{#N/A,#N/A,FALSE,"Aging Summary";#N/A,#N/A,FALSE,"Ratio Analysis";#N/A,#N/A,FALSE,"Test 120 Day Accts";#N/A,#N/A,FALSE,"Tickmarks"}</definedName>
    <definedName name="wrn.new_1">{#N/A,#N/A,FALSE,"Aging Summary";#N/A,#N/A,FALSE,"Ratio Analysis";#N/A,#N/A,FALSE,"Test 120 Day Accts";#N/A,#N/A,FALSE,"Tickmarks"}</definedName>
    <definedName name="XAP" localSheetId="2" hidden="1">#REF!</definedName>
    <definedName name="XAP" hidden="1">#REF!</definedName>
    <definedName name="XAQ" localSheetId="2" hidden="1">#REF!</definedName>
    <definedName name="XAQ" hidden="1">#REF!</definedName>
    <definedName name="XCD" localSheetId="2" hidden="1">#REF!</definedName>
    <definedName name="XCD" hidden="1">#REF!</definedName>
    <definedName name="XREF_COLUMN_1" localSheetId="2" hidden="1">#REF!</definedName>
    <definedName name="XREF_COLUMN_1" hidden="1">#REF!</definedName>
    <definedName name="XREF_COLUMN_2" localSheetId="2" hidden="1">#REF!</definedName>
    <definedName name="XREF_COLUMN_2" hidden="1">#REF!</definedName>
    <definedName name="XREF_COLUMN_3" localSheetId="2" hidden="1">#REF!</definedName>
    <definedName name="XREF_COLUMN_3" hidden="1">#REF!</definedName>
    <definedName name="XREF_COLUMN_5" localSheetId="2" hidden="1">#REF!</definedName>
    <definedName name="XREF_COLUMN_5" hidden="1">#REF!</definedName>
    <definedName name="XRefActiveRow" localSheetId="2" hidden="1">#REF!</definedName>
    <definedName name="XRefActiveRow" hidden="1">#REF!</definedName>
    <definedName name="XRefColumnsCount" hidden="1">2</definedName>
    <definedName name="XRefCopy1" localSheetId="2" hidden="1">#REF!</definedName>
    <definedName name="XRefCopy1" hidden="1">#REF!</definedName>
    <definedName name="XRefCopy1Row" localSheetId="2" hidden="1">#REF!</definedName>
    <definedName name="XRefCopy1Row" hidden="1">#REF!</definedName>
    <definedName name="XRefCopy2Row" localSheetId="2" hidden="1">#REF!</definedName>
    <definedName name="XRefCopy2Row" hidden="1">#REF!</definedName>
    <definedName name="XRefCopyRangeCount" hidden="1">2</definedName>
    <definedName name="XRefPaste1" localSheetId="2" hidden="1">#REF!</definedName>
    <definedName name="XRefPaste1" hidden="1">#REF!</definedName>
    <definedName name="XRefPaste1Row" localSheetId="2" hidden="1">#REF!</definedName>
    <definedName name="XRefPaste1Row" hidden="1">#REF!</definedName>
    <definedName name="XRefPaste2" localSheetId="2" hidden="1">#REF!</definedName>
    <definedName name="XRefPaste2" hidden="1">#REF!</definedName>
    <definedName name="XRefPaste2Row" localSheetId="2" hidden="1">#REF!</definedName>
    <definedName name="XRefPaste2Row" hidden="1">#REF!</definedName>
    <definedName name="XRefPaste3" localSheetId="2" hidden="1">#REF!</definedName>
    <definedName name="XRefPaste3" hidden="1">#REF!</definedName>
    <definedName name="XRefPaste3Row" localSheetId="2" hidden="1">#REF!</definedName>
    <definedName name="XRefPaste3Row" hidden="1">#REF!</definedName>
    <definedName name="XRefPasteRangeCount" hidden="1">2</definedName>
    <definedName name="XVC" localSheetId="2">#REF!</definedName>
    <definedName name="XVC">#REF!</definedName>
    <definedName name="yingfugongzi.dbf" localSheetId="2">#REF!</definedName>
    <definedName name="yingfugongzi.dbf">#REF!</definedName>
    <definedName name="yinghsou__" localSheetId="2">#REF!</definedName>
    <definedName name="yinghsou__">#REF!</definedName>
    <definedName name="yinghsou_jinhengsheng" localSheetId="2">#REF!</definedName>
    <definedName name="yinghsou_jinhengsheng">#REF!</definedName>
    <definedName name="yinghsou_shui" localSheetId="2">#REF!</definedName>
    <definedName name="yinghsou_shui">#REF!</definedName>
    <definedName name="yingshou_" localSheetId="2">#REF!</definedName>
    <definedName name="yingshou_">#REF!</definedName>
    <definedName name="yingshou___" localSheetId="2">#REF!</definedName>
    <definedName name="yingshou___">#REF!</definedName>
    <definedName name="yingshou_hengji" localSheetId="2">#REF!</definedName>
    <definedName name="yingshou_hengji">#REF!</definedName>
    <definedName name="yingshou_qingdao" localSheetId="2">#REF!</definedName>
    <definedName name="yingshou_qingdao">#REF!</definedName>
    <definedName name="yingshou_qita" localSheetId="2">#REF!</definedName>
    <definedName name="yingshou_qita">#REF!</definedName>
    <definedName name="yingshou_shantou" localSheetId="2">#REF!</definedName>
    <definedName name="yingshou_shantou">#REF!</definedName>
    <definedName name="yushou_01" localSheetId="2">#REF!</definedName>
    <definedName name="yushou_01">#REF!</definedName>
    <definedName name="yushou_1" localSheetId="2">#REF!</definedName>
    <definedName name="yushou_1">#REF!</definedName>
    <definedName name="yushou_25" localSheetId="2">#REF!</definedName>
    <definedName name="yushou_25">#REF!</definedName>
    <definedName name="yushou_qita" localSheetId="2">#REF!</definedName>
    <definedName name="yushou_qita">#REF!</definedName>
    <definedName name="Z_47D4C474_81EA_4562_A03B_66488F80C527_.wvu.FilterData" localSheetId="2" hidden="1">#REF!</definedName>
    <definedName name="Z_47D4C474_81EA_4562_A03B_66488F80C527_.wvu.FilterData" hidden="1">#REF!</definedName>
    <definedName name="Z_85E7D15F_9559_4B54_A2EE_DCCECE011EC4_.wvu.Cols" localSheetId="2" hidden="1">#REF!</definedName>
    <definedName name="Z_85E7D15F_9559_4B54_A2EE_DCCECE011EC4_.wvu.Cols" hidden="1">#REF!</definedName>
    <definedName name="zhb">#REF!</definedName>
    <definedName name="zhb1">#REF!</definedName>
    <definedName name="zhb3">#REF!</definedName>
    <definedName name="zhb4">#REF!</definedName>
    <definedName name="zhkm" localSheetId="6">#REF!</definedName>
    <definedName name="zhkm" localSheetId="2">#REF!</definedName>
    <definedName name="zhkm">#REF!</definedName>
    <definedName name="zhxmb">#REF!</definedName>
    <definedName name="ztag1" localSheetId="6">#REF!</definedName>
    <definedName name="ztag1" localSheetId="2">#REF!</definedName>
    <definedName name="ztag1">#REF!</definedName>
    <definedName name="啊" localSheetId="6">#REF!</definedName>
    <definedName name="啊" localSheetId="2">#REF!</definedName>
    <definedName name="啊">#REF!</definedName>
    <definedName name="暗暗审">#REF!</definedName>
    <definedName name="半成品" localSheetId="6">#REF!</definedName>
    <definedName name="半成品" localSheetId="2">#REF!</definedName>
    <definedName name="半成品">#REF!</definedName>
    <definedName name="包装物" localSheetId="6">#REF!</definedName>
    <definedName name="包装物" localSheetId="2">#REF!</definedName>
    <definedName name="包装物">#REF!</definedName>
    <definedName name="报表项目" localSheetId="6">#REF!</definedName>
    <definedName name="报表项目" localSheetId="2">#REF!</definedName>
    <definedName name="报表项目">#REF!</definedName>
    <definedName name="北船">#REF!</definedName>
    <definedName name="本年减少的固定资产原价" localSheetId="6">#REF!</definedName>
    <definedName name="本年减少的固定资产原价" localSheetId="2">#REF!</definedName>
    <definedName name="本年减少的固定资产原价">#REF!</definedName>
    <definedName name="本年增加的固定资产累计折旧" localSheetId="6">#REF!</definedName>
    <definedName name="本年增加的固定资产累计折旧" localSheetId="2">#REF!</definedName>
    <definedName name="本年增加的固定资产累计折旧">#REF!</definedName>
    <definedName name="本年增加的固定资产原价" localSheetId="6">#REF!</definedName>
    <definedName name="本年增加的固定资产原价" localSheetId="2">#REF!</definedName>
    <definedName name="本年增加的固定资产原价">#REF!</definedName>
    <definedName name="本年折旧额" localSheetId="2">#REF!</definedName>
    <definedName name="本年折旧额">#REF!</definedName>
    <definedName name="本年折旧率" localSheetId="2">#REF!</definedName>
    <definedName name="本年折旧率">#REF!</definedName>
    <definedName name="本循环科目" hidden="1">#REF!</definedName>
    <definedName name="币种" localSheetId="6">#REF!</definedName>
    <definedName name="币种" localSheetId="2">#REF!</definedName>
    <definedName name="币种">#REF!</definedName>
    <definedName name="编制">#REF!</definedName>
    <definedName name="编制单位">#REF!</definedName>
    <definedName name="查询10" localSheetId="6">#REF!</definedName>
    <definedName name="查询10" localSheetId="2">#REF!</definedName>
    <definedName name="查询10">#REF!</definedName>
    <definedName name="产成品" localSheetId="6">#REF!</definedName>
    <definedName name="产成品" localSheetId="2">#REF!</definedName>
    <definedName name="产成品">#REF!</definedName>
    <definedName name="超能大将军USB" localSheetId="6">#REF!</definedName>
    <definedName name="超能大将军USB" localSheetId="2">#REF!</definedName>
    <definedName name="超能大将军USB">#REF!</definedName>
    <definedName name="存放部门_单位" localSheetId="2">#REF!</definedName>
    <definedName name="存放部门_单位">#REF!</definedName>
    <definedName name="存货93期初">#REF!</definedName>
    <definedName name="存货93期末">#REF!</definedName>
    <definedName name="存货94期初">#REF!</definedName>
    <definedName name="存货94期末">#REF!</definedName>
    <definedName name="存货95期初">#REF!</definedName>
    <definedName name="存货95期末">#REF!</definedName>
    <definedName name="存货表" localSheetId="6">#REF!</definedName>
    <definedName name="存货表" localSheetId="2">#REF!</definedName>
    <definedName name="存货表">#REF!</definedName>
    <definedName name="存货明细" localSheetId="6">#REF!</definedName>
    <definedName name="存货明细" localSheetId="2">#REF!</definedName>
    <definedName name="存货明细">#REF!</definedName>
    <definedName name="大" localSheetId="6">#REF!</definedName>
    <definedName name="大" localSheetId="2">#REF!</definedName>
    <definedName name="大">#REF!</definedName>
    <definedName name="大多数">#REF!</definedName>
    <definedName name="大司马USB" localSheetId="6">#REF!</definedName>
    <definedName name="大司马USB" localSheetId="2">#REF!</definedName>
    <definedName name="大司马USB">#REF!</definedName>
    <definedName name="的217" localSheetId="6">#REF!</definedName>
    <definedName name="的217" localSheetId="2">#REF!</definedName>
    <definedName name="的217">#REF!</definedName>
    <definedName name="低耗品" localSheetId="6">#REF!</definedName>
    <definedName name="低耗品" localSheetId="2">#REF!</definedName>
    <definedName name="低耗品">#REF!</definedName>
    <definedName name="底稿目录" localSheetId="2" hidden="1">#REF!</definedName>
    <definedName name="底稿目录" hidden="1">#REF!</definedName>
    <definedName name="调后合计" localSheetId="2">#REF!</definedName>
    <definedName name="调后合计">#REF!</definedName>
    <definedName name="调整后账面值" localSheetId="2">#REF!</definedName>
    <definedName name="调整后账面值">#REF!</definedName>
    <definedName name="儿女" localSheetId="2">#REF!</definedName>
    <definedName name="儿女">#REF!</definedName>
    <definedName name="二类" localSheetId="2">#REF!</definedName>
    <definedName name="二类">#REF!</definedName>
    <definedName name="发出商品" localSheetId="2">#REF!</definedName>
    <definedName name="发出商品">#REF!</definedName>
    <definedName name="分录20">#REF!</definedName>
    <definedName name="分录21">#REF!</definedName>
    <definedName name="分录22">#REF!</definedName>
    <definedName name="分录23">#REF!</definedName>
    <definedName name="分录95" localSheetId="6">#REF!</definedName>
    <definedName name="分录95" localSheetId="2">#REF!</definedName>
    <definedName name="分录95">#REF!</definedName>
    <definedName name="分录96" localSheetId="6">#REF!</definedName>
    <definedName name="分录96" localSheetId="2">#REF!</definedName>
    <definedName name="分录96">#REF!</definedName>
    <definedName name="分录97">#REF!</definedName>
    <definedName name="负债合计93期末">#REF!</definedName>
    <definedName name="负债合计94期末">#REF!</definedName>
    <definedName name="负债合计95期末">#REF!</definedName>
    <definedName name="附注" localSheetId="6">#REF!</definedName>
    <definedName name="附注" localSheetId="2">#REF!</definedName>
    <definedName name="附注">#REF!</definedName>
    <definedName name="复核">#REF!</definedName>
    <definedName name="固定资产">#REF!</definedName>
    <definedName name="固定资产原价年初数" localSheetId="6">#REF!</definedName>
    <definedName name="固定资产原价年初数" localSheetId="2">#REF!</definedName>
    <definedName name="固定资产原价年初数">#REF!</definedName>
    <definedName name="固定资产原价年末数" localSheetId="6">#REF!</definedName>
    <definedName name="固定资产原价年末数" localSheetId="2">#REF!</definedName>
    <definedName name="固定资产原价年末数">#REF!</definedName>
    <definedName name="固定资产原值表" localSheetId="6">#REF!</definedName>
    <definedName name="固定资产原值表" localSheetId="2">#REF!</definedName>
    <definedName name="固定资产原值表">#REF!</definedName>
    <definedName name="固定资产增减">#REF!</definedName>
    <definedName name="固定资产增减2">#REF!</definedName>
    <definedName name="哈哈">#REF!</definedName>
    <definedName name="核对内容" localSheetId="2">#REF!</definedName>
    <definedName name="核对内容">#REF!</definedName>
    <definedName name="核对内容说明" localSheetId="2">#REF!</definedName>
    <definedName name="核对内容说明">#REF!</definedName>
    <definedName name="核算项目明细表" localSheetId="2">#REF!</definedName>
    <definedName name="核算项目明细表">#REF!</definedName>
    <definedName name="汇率" localSheetId="2">#REF!</definedName>
    <definedName name="汇率">#REF!</definedName>
    <definedName name="汇率2" localSheetId="2">#REF!</definedName>
    <definedName name="汇率2">#REF!</definedName>
    <definedName name="货币资金" localSheetId="2">#REF!</definedName>
    <definedName name="货币资金">#REF!</definedName>
    <definedName name="截止">#REF!</definedName>
    <definedName name="净_利_润93">#REF!</definedName>
    <definedName name="净_利_润94">#REF!</definedName>
    <definedName name="净_利_润95">#REF!</definedName>
    <definedName name="净资产合计93期初">#REF!</definedName>
    <definedName name="净资产合计93期末">#REF!</definedName>
    <definedName name="净资产合计94期初">#REF!</definedName>
    <definedName name="净资产合计94期末">#REF!</definedName>
    <definedName name="净资产合计95期初">#REF!</definedName>
    <definedName name="净资产合计95期末">#REF!</definedName>
    <definedName name="科目余额表" localSheetId="6">#REF!</definedName>
    <definedName name="科目余额表" localSheetId="2">#REF!</definedName>
    <definedName name="科目余额表">#REF!</definedName>
    <definedName name="客户">#REF!</definedName>
    <definedName name="累计折旧年初数" localSheetId="6">#REF!</definedName>
    <definedName name="累计折旧年初数" localSheetId="2">#REF!</definedName>
    <definedName name="累计折旧年初数">#REF!</definedName>
    <definedName name="累计折旧年末数" localSheetId="6">#REF!</definedName>
    <definedName name="累计折旧年末数" localSheetId="2">#REF!</definedName>
    <definedName name="累计折旧年末数">#REF!</definedName>
    <definedName name="利_润_总_额93">#REF!</definedName>
    <definedName name="利_润_总_额94">#REF!</definedName>
    <definedName name="利_润_总_额95">#REF!</definedName>
    <definedName name="利润表" localSheetId="6">#REF!</definedName>
    <definedName name="利润表" localSheetId="2">#REF!</definedName>
    <definedName name="利润表">#REF!</definedName>
    <definedName name="利润分配表" localSheetId="6">#REF!</definedName>
    <definedName name="利润分配表" localSheetId="2">#REF!</definedName>
    <definedName name="利润分配表">#REF!</definedName>
    <definedName name="流_动_资_产93">#REF!</definedName>
    <definedName name="流_动_资_产94">#REF!</definedName>
    <definedName name="流_动_资_产95">#REF!</definedName>
    <definedName name="流动负债93期末">#REF!</definedName>
    <definedName name="流动负债94期末">#REF!</definedName>
    <definedName name="流动负债95期末">#REF!</definedName>
    <definedName name="名篇通秀才5.0" localSheetId="6">#REF!</definedName>
    <definedName name="名篇通秀才5.0" localSheetId="2">#REF!</definedName>
    <definedName name="名篇通秀才5.0">#REF!</definedName>
    <definedName name="明细分类账" localSheetId="6">#REF!</definedName>
    <definedName name="明细分类账" localSheetId="2">#REF!</definedName>
    <definedName name="明细分类账">#REF!</definedName>
    <definedName name="明细科" localSheetId="6">#REF!</definedName>
    <definedName name="明细科" localSheetId="2">#REF!</definedName>
    <definedName name="明细科">#REF!</definedName>
    <definedName name="明细科目" localSheetId="6">#REF!</definedName>
    <definedName name="明细科目" localSheetId="2">#REF!</definedName>
    <definedName name="明细科目">#REF!</definedName>
    <definedName name="年初短期投资" localSheetId="6">#REF!</definedName>
    <definedName name="年初短期投资" localSheetId="2">#REF!</definedName>
    <definedName name="年初短期投资">#REF!</definedName>
    <definedName name="年初合计" localSheetId="6">#REF!</definedName>
    <definedName name="年初合计" localSheetId="2">#REF!</definedName>
    <definedName name="年初合计">#REF!</definedName>
    <definedName name="年初货币资金" localSheetId="2">#REF!</definedName>
    <definedName name="年初货币资金">#REF!</definedName>
    <definedName name="年初应收票据" localSheetId="2">#REF!</definedName>
    <definedName name="年初应收票据">#REF!</definedName>
    <definedName name="年末合计" localSheetId="2">#REF!</definedName>
    <definedName name="年末合计">#REF!</definedName>
    <definedName name="年末合计1" localSheetId="2">#REF!</definedName>
    <definedName name="年末合计1">#REF!</definedName>
    <definedName name="年末合计3" localSheetId="2">#REF!</definedName>
    <definedName name="年末合计3">#REF!</definedName>
    <definedName name="年末余额4" localSheetId="2">#REF!</definedName>
    <definedName name="年末余额4">#REF!</definedName>
    <definedName name="年末余额5" localSheetId="2">#REF!</definedName>
    <definedName name="年末余额5">#REF!</definedName>
    <definedName name="评估基准日汇率" localSheetId="2">#REF!</definedName>
    <definedName name="评估基准日汇率">#REF!</definedName>
    <definedName name="评估价值" localSheetId="2">#REF!</definedName>
    <definedName name="评估价值">#REF!</definedName>
    <definedName name="期初负债权益" localSheetId="2">#REF!</definedName>
    <definedName name="期初负债权益">#REF!</definedName>
    <definedName name="期初资产" localSheetId="2">#REF!</definedName>
    <definedName name="期初资产">#REF!</definedName>
    <definedName name="其他业务" localSheetId="2">#REF!</definedName>
    <definedName name="其他业务">#REF!</definedName>
    <definedName name="其他业务利润" localSheetId="2">#REF!</definedName>
    <definedName name="其他业务利润">#REF!</definedName>
    <definedName name="其他业务利润审定表" localSheetId="2">#REF!</definedName>
    <definedName name="其他业务利润审定表">#REF!</definedName>
    <definedName name="日期1">#REF!</definedName>
    <definedName name="日期2">#REF!</definedName>
    <definedName name="三类" localSheetId="6">#REF!</definedName>
    <definedName name="三类" localSheetId="2">#REF!</definedName>
    <definedName name="三类">#REF!</definedName>
    <definedName name="沈玉环" localSheetId="6">#REF!</definedName>
    <definedName name="沈玉环" localSheetId="2">#REF!</definedName>
    <definedName name="沈玉环">#REF!</definedName>
    <definedName name="审计结论">#REF!</definedName>
    <definedName name="生产列1" localSheetId="2">#REF!</definedName>
    <definedName name="生产列1">#REF!</definedName>
    <definedName name="生产列11" localSheetId="2">#REF!</definedName>
    <definedName name="生产列11">#REF!</definedName>
    <definedName name="生产列15" localSheetId="2">#REF!</definedName>
    <definedName name="生产列15">#REF!</definedName>
    <definedName name="生产列16" localSheetId="2">#REF!</definedName>
    <definedName name="生产列16">#REF!</definedName>
    <definedName name="生产列17" localSheetId="2">#REF!</definedName>
    <definedName name="生产列17">#REF!</definedName>
    <definedName name="生产列19" localSheetId="2">#REF!</definedName>
    <definedName name="生产列19">#REF!</definedName>
    <definedName name="生产列2" localSheetId="2">#REF!</definedName>
    <definedName name="生产列2">#REF!</definedName>
    <definedName name="生产列20" localSheetId="2">#REF!</definedName>
    <definedName name="生产列20">#REF!</definedName>
    <definedName name="生产列3" localSheetId="2">#REF!</definedName>
    <definedName name="生产列3">#REF!</definedName>
    <definedName name="生产列4" localSheetId="2">#REF!</definedName>
    <definedName name="生产列4">#REF!</definedName>
    <definedName name="生产列5" localSheetId="2">#REF!</definedName>
    <definedName name="生产列5">#REF!</definedName>
    <definedName name="生产列6" localSheetId="2">#REF!</definedName>
    <definedName name="生产列6">#REF!</definedName>
    <definedName name="生产列7" localSheetId="2">#REF!</definedName>
    <definedName name="生产列7">#REF!</definedName>
    <definedName name="生产列8" localSheetId="2">#REF!</definedName>
    <definedName name="生产列8">#REF!</definedName>
    <definedName name="生产列9" localSheetId="2">#REF!</definedName>
    <definedName name="生产列9">#REF!</definedName>
    <definedName name="生产期" localSheetId="2">#REF!</definedName>
    <definedName name="生产期">#REF!</definedName>
    <definedName name="生产期1" localSheetId="2">#REF!</definedName>
    <definedName name="生产期1">#REF!</definedName>
    <definedName name="生产期11" localSheetId="2">#REF!</definedName>
    <definedName name="生产期11">#REF!</definedName>
    <definedName name="生产期15" localSheetId="2">#REF!</definedName>
    <definedName name="生产期15">#REF!</definedName>
    <definedName name="生产期16" localSheetId="2">#REF!</definedName>
    <definedName name="生产期16">#REF!</definedName>
    <definedName name="生产期17" localSheetId="2">#REF!</definedName>
    <definedName name="生产期17">#REF!</definedName>
    <definedName name="生产期19" localSheetId="2">#REF!</definedName>
    <definedName name="生产期19">#REF!</definedName>
    <definedName name="生产期2" localSheetId="2">#REF!</definedName>
    <definedName name="生产期2">#REF!</definedName>
    <definedName name="生产期20" localSheetId="2">#REF!</definedName>
    <definedName name="生产期20">#REF!</definedName>
    <definedName name="生产期3" localSheetId="2">#REF!</definedName>
    <definedName name="生产期3">#REF!</definedName>
    <definedName name="生产期4" localSheetId="2">#REF!</definedName>
    <definedName name="生产期4">#REF!</definedName>
    <definedName name="生产期5" localSheetId="2">#REF!</definedName>
    <definedName name="生产期5">#REF!</definedName>
    <definedName name="生产期500" localSheetId="2">#REF!</definedName>
    <definedName name="生产期500">#REF!</definedName>
    <definedName name="生产期6" localSheetId="6">#REF!</definedName>
    <definedName name="生产期6" localSheetId="2">#REF!</definedName>
    <definedName name="生产期6">#REF!</definedName>
    <definedName name="生产期7" localSheetId="6">#REF!</definedName>
    <definedName name="生产期7" localSheetId="2">#REF!</definedName>
    <definedName name="生产期7">#REF!</definedName>
    <definedName name="生产期8" localSheetId="6">#REF!</definedName>
    <definedName name="生产期8" localSheetId="2">#REF!</definedName>
    <definedName name="生产期8">#REF!</definedName>
    <definedName name="生产期9" localSheetId="2">#REF!</definedName>
    <definedName name="生产期9">#REF!</definedName>
    <definedName name="事实上" localSheetId="2">#REF!</definedName>
    <definedName name="事实上">#REF!</definedName>
    <definedName name="收入" localSheetId="2">#REF!</definedName>
    <definedName name="收入">#REF!</definedName>
    <definedName name="四类" localSheetId="2">#REF!</definedName>
    <definedName name="四类">#REF!</definedName>
    <definedName name="速_动_资_产93">#REF!</definedName>
    <definedName name="速_动_资_产94">#REF!</definedName>
    <definedName name="速_动_资_产95">#REF!</definedName>
    <definedName name="损益调整表" localSheetId="6">#REF!</definedName>
    <definedName name="损益调整表" localSheetId="2">#REF!</definedName>
    <definedName name="损益调整表">#REF!</definedName>
    <definedName name="索引号" localSheetId="2">#REF!</definedName>
    <definedName name="索引号">#REF!</definedName>
    <definedName name="挑战者" localSheetId="2">#REF!</definedName>
    <definedName name="挑战者">#REF!</definedName>
    <definedName name="外币账面金额" localSheetId="2">#REF!</definedName>
    <definedName name="外币账面金额">#REF!</definedName>
    <definedName name="委托加工" localSheetId="2">#REF!</definedName>
    <definedName name="委托加工">#REF!</definedName>
    <definedName name="辖区" localSheetId="2">#REF!</definedName>
    <definedName name="辖区">#REF!</definedName>
    <definedName name="新公司附注" localSheetId="2">#REF!</definedName>
    <definedName name="新公司附注">#REF!</definedName>
    <definedName name="新目录" localSheetId="2" hidden="1">#REF!</definedName>
    <definedName name="新目录" hidden="1">#REF!</definedName>
    <definedName name="新替代测试" localSheetId="2">#REF!</definedName>
    <definedName name="新替代测试">#REF!</definedName>
    <definedName name="新替代测试2">#REF!</definedName>
    <definedName name="序号" localSheetId="6">#REF!</definedName>
    <definedName name="序号" localSheetId="2">#REF!</definedName>
    <definedName name="序号">#REF!</definedName>
    <definedName name="一类" localSheetId="6">#REF!</definedName>
    <definedName name="一类" localSheetId="2">#REF!</definedName>
    <definedName name="一类">#REF!</definedName>
    <definedName name="应会" localSheetId="6">#REF!</definedName>
    <definedName name="应会" localSheetId="2">#REF!</definedName>
    <definedName name="应会">#REF!</definedName>
    <definedName name="应交税金" localSheetId="2">#REF!</definedName>
    <definedName name="应交税金">#REF!</definedName>
    <definedName name="应收明细" localSheetId="2">#REF!</definedName>
    <definedName name="应收明细">#REF!</definedName>
    <definedName name="应收票据审定表" localSheetId="2">#REF!</definedName>
    <definedName name="应收票据审定表">#REF!</definedName>
    <definedName name="应收帐款93期初">#REF!</definedName>
    <definedName name="应收帐款93期末">#REF!</definedName>
    <definedName name="应收帐款94期初">#REF!</definedName>
    <definedName name="应收帐款94期末">#REF!</definedName>
    <definedName name="应收帐款95期初">#REF!</definedName>
    <definedName name="应收帐款95期末">#REF!</definedName>
    <definedName name="应收账款审定表" localSheetId="2">#REF!</definedName>
    <definedName name="应收账款审定表">#REF!</definedName>
    <definedName name="预收客户" localSheetId="6">#REF!</definedName>
    <definedName name="预收客户" localSheetId="2">#REF!</definedName>
    <definedName name="预收客户">#REF!</definedName>
    <definedName name="原材料" localSheetId="6">#REF!</definedName>
    <definedName name="原材料" localSheetId="2">#REF!</definedName>
    <definedName name="原材料">#REF!</definedName>
    <definedName name="在途材料" localSheetId="6">#REF!</definedName>
    <definedName name="在途材料" localSheetId="2">#REF!</definedName>
    <definedName name="在途材料">#REF!</definedName>
    <definedName name="增值率" localSheetId="2">#REF!</definedName>
    <definedName name="增值率">#REF!</definedName>
    <definedName name="帐务_科目_50305至50305_期间_1至本月_栏目_借方发生额">16645.6</definedName>
    <definedName name="帐务_科目_50306至50306_期间_1至本月_栏目_借方发生额">0</definedName>
    <definedName name="帐务_科目_50309至50309_期间_1至本月_栏目_借方发生额">0</definedName>
    <definedName name="帐务_科目_50310至50310_期间_1至本月_栏目_借方发生额">0</definedName>
    <definedName name="帐务_科目_52103至52103_期间_1至本月_栏目_借方发生额">0</definedName>
    <definedName name="帐务_科目_52104至52104_期间_1至本月_栏目_借方发生额">1000</definedName>
    <definedName name="帐务_科目_52106至52109_期间_1至本月_栏目_借方发生额">0</definedName>
    <definedName name="帐务_科目_52120至52120_期间_1至本月_栏目_借方发生额">0</definedName>
    <definedName name="帐务_科目_52123至52123_期间_1至本月_栏目_借方发生额">15000</definedName>
    <definedName name="帐务_科目_52125至52125_期间_1至本月_栏目_借方发生额">18843</definedName>
    <definedName name="帐务_科目_52126至52126_期间_1至本月_栏目_借方发生额">0</definedName>
    <definedName name="帐务_科目_52128至52128_期间_1至本月_栏目_借方发生额">0</definedName>
    <definedName name="账面价值" localSheetId="2">#REF!</definedName>
    <definedName name="账面价值">#REF!</definedName>
    <definedName name="中书令USB" localSheetId="2">#REF!</definedName>
    <definedName name="中书令USB">#REF!</definedName>
    <definedName name="主营业务成本" localSheetId="2">#REF!</definedName>
    <definedName name="主营业务成本">#REF!</definedName>
    <definedName name="资产负债表" localSheetId="2">#REF!</definedName>
    <definedName name="资产负债表">#REF!</definedName>
    <definedName name="资产合计93期初">#REF!</definedName>
    <definedName name="资产合计93期末">#REF!</definedName>
    <definedName name="资产合计94期初">#REF!</definedName>
    <definedName name="资产合计94期末">#REF!</definedName>
    <definedName name="资产合计95期初">#REF!</definedName>
    <definedName name="资产合计95期末">#REF!</definedName>
    <definedName name="资产卡片查询2001年4月" localSheetId="6">#REF!</definedName>
    <definedName name="资产卡片查询2001年4月" localSheetId="2">#REF!</definedName>
    <definedName name="资产卡片查询2001年4月">#REF!</definedName>
    <definedName name="전" localSheetId="6">#REF!</definedName>
    <definedName name="전" localSheetId="2">#REF!</definedName>
    <definedName name="전">#REF!</definedName>
    <definedName name="주택사업본부" localSheetId="6">#REF!</definedName>
    <definedName name="주택사업본부" localSheetId="2">#REF!</definedName>
    <definedName name="주택사업본부">#REF!</definedName>
    <definedName name="철구사업본부" localSheetId="2">#REF!</definedName>
    <definedName name="철구사업본부">#REF!</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4" i="7" l="1"/>
  <c r="E36" i="7"/>
  <c r="E26" i="7"/>
  <c r="E19" i="7"/>
  <c r="E31" i="13" l="1"/>
  <c r="F4" i="11" l="1"/>
  <c r="D4" i="11"/>
  <c r="A4" i="11"/>
  <c r="I3" i="11"/>
  <c r="F3" i="11"/>
  <c r="D3" i="11"/>
  <c r="A3" i="11"/>
  <c r="H4" i="6"/>
  <c r="E4" i="6"/>
  <c r="A4" i="6"/>
  <c r="N3" i="6"/>
  <c r="H3" i="6"/>
  <c r="E3" i="6"/>
  <c r="A3" i="6"/>
  <c r="E11" i="7"/>
  <c r="J4" i="7"/>
  <c r="E4" i="7"/>
  <c r="A4" i="7"/>
  <c r="N3" i="7"/>
  <c r="J3" i="7"/>
  <c r="E3" i="7"/>
  <c r="A3" i="7"/>
  <c r="E31" i="12"/>
  <c r="E30" i="12"/>
  <c r="E25" i="12"/>
  <c r="E20" i="12"/>
  <c r="E18" i="12"/>
  <c r="E13" i="12"/>
  <c r="E8" i="12"/>
  <c r="E4" i="12"/>
  <c r="D4" i="12"/>
  <c r="A4" i="12"/>
  <c r="E3" i="12"/>
  <c r="D3" i="12"/>
  <c r="A3" i="12"/>
  <c r="E21" i="5"/>
  <c r="D21" i="5"/>
  <c r="F20" i="5"/>
  <c r="F19" i="5"/>
  <c r="F18" i="5"/>
  <c r="F17" i="5"/>
  <c r="F16" i="5"/>
  <c r="F15" i="5"/>
  <c r="F14" i="5"/>
  <c r="F13" i="5"/>
  <c r="F12" i="5"/>
  <c r="F11" i="5"/>
  <c r="F10" i="5"/>
  <c r="F9" i="5"/>
  <c r="F8" i="5"/>
  <c r="F7" i="5"/>
  <c r="F21" i="5" s="1"/>
  <c r="F6" i="5"/>
  <c r="F4" i="5"/>
  <c r="D4" i="5"/>
  <c r="A4" i="5"/>
  <c r="I3" i="5"/>
  <c r="F3" i="5"/>
  <c r="D3" i="5"/>
  <c r="A3" i="5"/>
  <c r="D4" i="4"/>
  <c r="C4" i="4"/>
  <c r="A4" i="4"/>
  <c r="F3" i="4"/>
  <c r="D3" i="4"/>
  <c r="C3" i="4"/>
  <c r="A3" i="4"/>
  <c r="AH4" i="3"/>
  <c r="AE4" i="3"/>
  <c r="W4" i="3"/>
  <c r="T4" i="3"/>
  <c r="K4" i="3"/>
  <c r="F4" i="3"/>
  <c r="A4" i="3"/>
  <c r="AL3" i="3"/>
  <c r="AH3" i="3"/>
  <c r="AE3" i="3"/>
  <c r="AA3" i="3"/>
  <c r="W3" i="3"/>
  <c r="T3" i="3"/>
  <c r="O3" i="3"/>
  <c r="K3" i="3"/>
  <c r="F3" i="3"/>
  <c r="A3" i="3"/>
  <c r="F37" i="13"/>
  <c r="E37" i="13"/>
  <c r="F36" i="13"/>
  <c r="E36" i="13"/>
  <c r="F35" i="13"/>
  <c r="E35" i="13"/>
  <c r="F34" i="13"/>
  <c r="E34" i="13"/>
  <c r="F33" i="13"/>
  <c r="E33" i="13"/>
  <c r="F32" i="13"/>
  <c r="E32" i="13"/>
  <c r="F31" i="13"/>
  <c r="T27" i="13"/>
  <c r="R27" i="13"/>
  <c r="Q27" i="13"/>
  <c r="M27" i="13"/>
  <c r="K27" i="13"/>
  <c r="J27" i="13"/>
  <c r="G27" i="13"/>
  <c r="D27" i="13"/>
  <c r="T26" i="13"/>
  <c r="R26" i="13"/>
  <c r="Q26" i="13"/>
  <c r="M26" i="13"/>
  <c r="K26" i="13"/>
  <c r="J26" i="13"/>
  <c r="G26" i="13"/>
  <c r="D26" i="13"/>
  <c r="T25" i="13"/>
  <c r="R25" i="13"/>
  <c r="Q25" i="13"/>
  <c r="M25" i="13"/>
  <c r="K25" i="13"/>
  <c r="J25" i="13"/>
  <c r="G25" i="13"/>
  <c r="D25" i="13"/>
  <c r="T24" i="13"/>
  <c r="R24" i="13"/>
  <c r="Q24" i="13"/>
  <c r="M24" i="13"/>
  <c r="K24" i="13"/>
  <c r="J24" i="13"/>
  <c r="G24" i="13"/>
  <c r="D24" i="13"/>
  <c r="T23" i="13"/>
  <c r="R23" i="13"/>
  <c r="Q23" i="13"/>
  <c r="M23" i="13"/>
  <c r="K23" i="13"/>
  <c r="J23" i="13"/>
  <c r="G23" i="13"/>
  <c r="D23" i="13"/>
  <c r="T22" i="13"/>
  <c r="R22" i="13"/>
  <c r="Q22" i="13"/>
  <c r="M22" i="13"/>
  <c r="K22" i="13"/>
  <c r="J22" i="13"/>
  <c r="G22" i="13"/>
  <c r="D22" i="13"/>
  <c r="T21" i="13"/>
  <c r="R21" i="13"/>
  <c r="Q21" i="13"/>
  <c r="M21" i="13"/>
  <c r="K21" i="13"/>
  <c r="J21" i="13"/>
  <c r="G21" i="13"/>
  <c r="D21" i="13"/>
  <c r="T20" i="13"/>
  <c r="R20" i="13"/>
  <c r="Q20" i="13"/>
  <c r="M20" i="13"/>
  <c r="K20" i="13"/>
  <c r="J20" i="13"/>
  <c r="G20" i="13"/>
  <c r="D20" i="13"/>
  <c r="T19" i="13"/>
  <c r="R19" i="13"/>
  <c r="Q19" i="13"/>
  <c r="M19" i="13"/>
  <c r="K19" i="13"/>
  <c r="J19" i="13"/>
  <c r="G19" i="13"/>
  <c r="D19" i="13"/>
  <c r="T18" i="13"/>
  <c r="R18" i="13"/>
  <c r="Q18" i="13"/>
  <c r="M18" i="13"/>
  <c r="K18" i="13"/>
  <c r="J18" i="13"/>
  <c r="G18" i="13"/>
  <c r="D18" i="13"/>
  <c r="T17" i="13"/>
  <c r="R17" i="13"/>
  <c r="Q17" i="13"/>
  <c r="M17" i="13"/>
  <c r="K17" i="13"/>
  <c r="J17" i="13"/>
  <c r="G17" i="13"/>
  <c r="D17" i="13"/>
  <c r="T16" i="13"/>
  <c r="R16" i="13"/>
  <c r="Q16" i="13"/>
  <c r="M16" i="13"/>
  <c r="K16" i="13"/>
  <c r="J16" i="13"/>
  <c r="G16" i="13"/>
  <c r="D16" i="13"/>
  <c r="T15" i="13"/>
  <c r="R15" i="13"/>
  <c r="Q15" i="13"/>
  <c r="M15" i="13"/>
  <c r="K15" i="13"/>
  <c r="J15" i="13"/>
  <c r="G15" i="13"/>
  <c r="D15" i="13"/>
  <c r="T14" i="13"/>
  <c r="R14" i="13"/>
  <c r="Q14" i="13"/>
  <c r="M14" i="13"/>
  <c r="K14" i="13"/>
  <c r="J14" i="13"/>
  <c r="G14" i="13"/>
  <c r="D14" i="13"/>
  <c r="T13" i="13"/>
  <c r="R13" i="13"/>
  <c r="Q13" i="13"/>
  <c r="M13" i="13"/>
  <c r="K13" i="13"/>
  <c r="J13" i="13"/>
  <c r="G13" i="13"/>
  <c r="D13" i="13"/>
  <c r="T12" i="13"/>
  <c r="R12" i="13"/>
  <c r="Q12" i="13"/>
  <c r="M12" i="13"/>
  <c r="K12" i="13"/>
  <c r="J12" i="13"/>
  <c r="G12" i="13"/>
  <c r="D12" i="13"/>
  <c r="T11" i="13"/>
  <c r="R11" i="13"/>
  <c r="Q11" i="13"/>
  <c r="M11" i="13"/>
  <c r="K11" i="13"/>
  <c r="J11" i="13"/>
  <c r="G11" i="13"/>
  <c r="D11" i="13"/>
  <c r="T10" i="13"/>
  <c r="R10" i="13"/>
  <c r="Q10" i="13"/>
  <c r="M10" i="13"/>
  <c r="K10" i="13"/>
  <c r="J10" i="13"/>
  <c r="G10" i="13"/>
  <c r="D10" i="13"/>
  <c r="T9" i="13"/>
  <c r="R9" i="13"/>
  <c r="Q9" i="13"/>
  <c r="M9" i="13"/>
  <c r="K9" i="13"/>
  <c r="J9" i="13"/>
  <c r="G9" i="13"/>
  <c r="D9" i="13"/>
  <c r="T8" i="13"/>
  <c r="R8" i="13"/>
  <c r="Q8" i="13"/>
  <c r="M8" i="13"/>
  <c r="K8" i="13"/>
  <c r="J8" i="13"/>
  <c r="G8" i="13"/>
  <c r="D8" i="13"/>
  <c r="Y4" i="13"/>
  <c r="V4" i="13"/>
  <c r="S4" i="13"/>
  <c r="J4" i="13"/>
  <c r="F4" i="13"/>
  <c r="A4" i="13"/>
  <c r="AB3" i="13"/>
  <c r="Y3" i="13"/>
  <c r="V3" i="13"/>
  <c r="S3" i="13"/>
  <c r="R3" i="13"/>
  <c r="J3" i="13"/>
  <c r="F3" i="13"/>
  <c r="A3" i="13"/>
  <c r="D4" i="1"/>
  <c r="C4" i="1"/>
  <c r="A4" i="1"/>
  <c r="F3" i="1"/>
  <c r="D3" i="1"/>
  <c r="C3" i="1"/>
  <c r="A3" i="1"/>
  <c r="D11" i="10"/>
  <c r="D10" i="10"/>
  <c r="D9" i="10"/>
  <c r="D8" i="10"/>
  <c r="D7" i="10"/>
  <c r="D6" i="10"/>
  <c r="D5" i="10"/>
</calcChain>
</file>

<file path=xl/comments1.xml><?xml version="1.0" encoding="utf-8"?>
<comments xmlns="http://schemas.openxmlformats.org/spreadsheetml/2006/main">
  <authors>
    <author>何先琴</author>
  </authors>
  <commentList>
    <comment ref="L5" authorId="0" shapeId="0">
      <text>
        <r>
          <rPr>
            <b/>
            <sz val="9"/>
            <color indexed="81"/>
            <rFont val="宋体"/>
            <family val="3"/>
            <charset val="134"/>
          </rPr>
          <t>专业技术部:</t>
        </r>
        <r>
          <rPr>
            <sz val="9"/>
            <color indexed="81"/>
            <rFont val="宋体"/>
            <family val="3"/>
            <charset val="134"/>
          </rPr>
          <t xml:space="preserve">
对收到的回函重点检查：
1.确认与发出的询证函是否为同一份、是否为原件；
2.检查回函发出地址、快递物流信息，核实回函地址是否与发函收件地址一致，对比回函印章是否与被询证着名称一致、加盖印章和签名是否清晰可辨认等；必要时进一步与被审计单位持有的其他文件进行核对或亲自前往被询证者进行核实；
3.关注回函中是否包含免责或其他限制性条款；
4.检查函证信息是否相符，对回函不符的询证函事项查明原因确定是否存在错报，考虑是否存在舞弊的可能性。</t>
        </r>
      </text>
    </comment>
  </commentList>
</comments>
</file>

<file path=xl/comments2.xml><?xml version="1.0" encoding="utf-8"?>
<comments xmlns="http://schemas.openxmlformats.org/spreadsheetml/2006/main">
  <authors>
    <author>Windows 用户</author>
  </authors>
  <commentList>
    <comment ref="A17" authorId="0" shapeId="0">
      <text>
        <r>
          <rPr>
            <b/>
            <sz val="9"/>
            <color indexed="81"/>
            <rFont val="宋体"/>
            <family val="3"/>
            <charset val="134"/>
          </rPr>
          <t>Windows 用户:</t>
        </r>
        <r>
          <rPr>
            <sz val="9"/>
            <color indexed="81"/>
            <rFont val="宋体"/>
            <family val="3"/>
            <charset val="134"/>
          </rPr>
          <t xml:space="preserve">
应将将执行可靠性验证确认过程的审计人员姓名及日期、获得被询证者电话的方式、被询证者联络人员姓名及所属部门、沟通的过程及其结果等内容清晰地记录在审计工作底稿中</t>
        </r>
      </text>
    </comment>
  </commentList>
</comments>
</file>

<file path=xl/sharedStrings.xml><?xml version="1.0" encoding="utf-8"?>
<sst xmlns="http://schemas.openxmlformats.org/spreadsheetml/2006/main" count="534" uniqueCount="415">
  <si>
    <t>底稿开列时，可先在以下单元格填写有关内容，以便其他底稿引用有关数据：</t>
  </si>
  <si>
    <t>序号</t>
  </si>
  <si>
    <t>内容</t>
  </si>
  <si>
    <t>索引号</t>
  </si>
  <si>
    <t>函证程序表</t>
  </si>
  <si>
    <t>L0A</t>
  </si>
  <si>
    <t>函证结果汇总表</t>
  </si>
  <si>
    <t>L0-1</t>
  </si>
  <si>
    <t>核实被函证单位信息</t>
  </si>
  <si>
    <t>L0-2</t>
  </si>
  <si>
    <t>跟函函证过程控制</t>
  </si>
  <si>
    <t>L0-3</t>
  </si>
  <si>
    <t>函证差异调节表</t>
  </si>
  <si>
    <t>L0-4</t>
  </si>
  <si>
    <t>长期应付款替代程序检查表</t>
  </si>
  <si>
    <t>L0-5</t>
  </si>
  <si>
    <t>邮件传真回函可靠性验证</t>
  </si>
  <si>
    <t>L0-6</t>
  </si>
  <si>
    <t>函证程序舞弊风险评价表</t>
  </si>
  <si>
    <t>L0-7</t>
  </si>
  <si>
    <r>
      <rPr>
        <b/>
        <sz val="12"/>
        <rFont val="宋体"/>
        <family val="3"/>
        <charset val="134"/>
      </rPr>
      <t>致同会计师事务所</t>
    </r>
  </si>
  <si>
    <t>长期应付款/应付债券函证程序</t>
  </si>
  <si>
    <r>
      <rPr>
        <sz val="10"/>
        <rFont val="宋体"/>
        <family val="3"/>
        <charset val="134"/>
      </rPr>
      <t>索引号：</t>
    </r>
  </si>
  <si>
    <r>
      <rPr>
        <sz val="10"/>
        <rFont val="宋体"/>
        <family val="3"/>
        <charset val="134"/>
      </rPr>
      <t>页</t>
    </r>
    <r>
      <rPr>
        <sz val="10"/>
        <rFont val="Arial Narrow"/>
        <family val="2"/>
      </rPr>
      <t xml:space="preserve">  </t>
    </r>
    <r>
      <rPr>
        <sz val="10"/>
        <rFont val="宋体"/>
        <family val="3"/>
        <charset val="134"/>
      </rPr>
      <t>次：</t>
    </r>
  </si>
  <si>
    <t>审计程序</t>
  </si>
  <si>
    <t>程序分类</t>
  </si>
  <si>
    <t>底稿索引号</t>
  </si>
  <si>
    <t>1</t>
  </si>
  <si>
    <t>常规★</t>
  </si>
  <si>
    <t>本函证不包含银行长期借款、银行短期借款函证，与银行借款相关函证详见货币资金循环</t>
  </si>
  <si>
    <t>2</t>
  </si>
  <si>
    <t>比较当年度及以前年度长期应付款、应付债券的增减变动、具体构成、账龄及主要供货商的变化，针对舞弊风险较大的债权人，考虑对合同条款、是否存在关联方关系及是否存在补充协议实施函证程序。</t>
  </si>
  <si>
    <t>舞弊应对/IPO/上市/新三板/重组</t>
  </si>
  <si>
    <t>3</t>
  </si>
  <si>
    <t>设计询证函，考虑制作询证函防伪标识，并在发函前核实被函证单位信息（函证科目、单位名称、地址、联系人、联系电话、邮政编码、函证人等），对于函证地址与注册地址、办公地址等不一致，不同客户或供应商的函证地址相近、电话号段相邻，函证联系人非被询证单位员工等情况，需核查并记录原因。</t>
  </si>
  <si>
    <t>4</t>
  </si>
  <si>
    <t>注册会计师直接收发询证函，跟函时观察实地场所以及函证核对过程，确认处理函证的人员身份和权限，防范询证函被拦截、篡改或发生串通舞弊，并在底稿中记录或留存控制过程；</t>
  </si>
  <si>
    <t>5</t>
  </si>
  <si>
    <t>留存亲自寄发函证的寄送单回执及被审计单位盖章确认的询证函复印件，核实发函快递物流信息；</t>
  </si>
  <si>
    <t>6</t>
  </si>
  <si>
    <t>7</t>
  </si>
  <si>
    <t>如果被询证者以传真、电子邮件等方式回函，审计项目组应当直接接收，并验证传真、电邮邮件回函的可靠性，要求被询证者在审计报告日之前寄回询证函原件</t>
  </si>
  <si>
    <t>备选</t>
  </si>
  <si>
    <t>8</t>
  </si>
  <si>
    <t>如果利用第三方函证平台收发函证的，考虑评估第三方函证平台服务的可靠性，了解资质认证或有关控制设计及运行的有效性。</t>
  </si>
  <si>
    <r>
      <rPr>
        <sz val="10"/>
        <color rgb="FF0000FF"/>
        <rFont val="宋体"/>
        <family val="3"/>
        <charset val="134"/>
      </rPr>
      <t>第三方电子询证函平台的安全性评估内容相关要点详见函证技术提示</t>
    </r>
    <r>
      <rPr>
        <sz val="10"/>
        <color rgb="FF0000FF"/>
        <rFont val="Arial Narrow"/>
        <family val="2"/>
      </rPr>
      <t>3</t>
    </r>
    <r>
      <rPr>
        <sz val="10"/>
        <color rgb="FF0000FF"/>
        <rFont val="宋体"/>
        <family val="3"/>
        <charset val="134"/>
      </rPr>
      <t>号，链接为：</t>
    </r>
    <r>
      <rPr>
        <sz val="10"/>
        <color rgb="FF0000FF"/>
        <rFont val="Arial Narrow"/>
        <family val="2"/>
      </rPr>
      <t>https://www.gt-china.com.cn/article_view.php?id=9682</t>
    </r>
    <r>
      <rPr>
        <sz val="10"/>
        <color rgb="FF0000FF"/>
        <rFont val="宋体"/>
        <family val="3"/>
        <charset val="134"/>
      </rPr>
      <t>；</t>
    </r>
  </si>
  <si>
    <t>9</t>
  </si>
  <si>
    <t>分析核实退回或无法寄到的函证、未回函、回函率较低的原因，考虑与被询证者联系，要求对方作出回应或再次寄发询证函，必要时增加现场走访等程序，关注是否存在账面记录与外部证据矛盾的审计证据；</t>
  </si>
  <si>
    <t>10</t>
  </si>
  <si>
    <t>11</t>
  </si>
  <si>
    <t>针对再次发函未回函的项目，评价其重大错报风险以及其他审计程序的性质、时间安排和范围的影响实施替代审计程序，包括：
（1）检查交易发生的记账凭证和相关的支持性证据； 
（2）检查资产负债表日后到付款情况或其他情况</t>
  </si>
  <si>
    <t>12</t>
  </si>
  <si>
    <t>结合风险评估情况及函证程序执行过程中的舞弊风险迹象，考虑串通舞弊、伪造交易的可能性等，对函证程序的舞弊风险进行评价；</t>
  </si>
  <si>
    <t>如果管理层不允许寄发询证函的原因不合理、或者认为回函不可靠，列出供应商清单，实施替代审计程序，并评价对评估的重大错报风险以及其他审计程序的性质、时间安排和范围的影响，考虑其对审计工作和审计意见的影响；</t>
  </si>
  <si>
    <r>
      <rPr>
        <b/>
        <sz val="14"/>
        <color rgb="FFFF0000"/>
        <rFont val="宋体"/>
        <family val="3"/>
        <charset val="134"/>
      </rPr>
      <t>长期应付款/应付债券</t>
    </r>
    <r>
      <rPr>
        <b/>
        <sz val="14"/>
        <rFont val="宋体"/>
        <family val="3"/>
        <charset val="134"/>
      </rPr>
      <t>函证结果汇总表</t>
    </r>
  </si>
  <si>
    <t>索引号：</t>
  </si>
  <si>
    <r>
      <rPr>
        <sz val="10"/>
        <rFont val="宋体"/>
        <family val="3"/>
        <charset val="134"/>
      </rPr>
      <t>页</t>
    </r>
    <r>
      <rPr>
        <sz val="10"/>
        <rFont val="Arial Narrow"/>
        <family val="2"/>
      </rPr>
      <t xml:space="preserve">    </t>
    </r>
    <r>
      <rPr>
        <sz val="10"/>
        <rFont val="宋体"/>
        <family val="3"/>
        <charset val="134"/>
      </rPr>
      <t>次：</t>
    </r>
  </si>
  <si>
    <t>页 次：</t>
  </si>
  <si>
    <r>
      <rPr>
        <b/>
        <sz val="10"/>
        <rFont val="宋体"/>
        <family val="3"/>
        <charset val="134"/>
      </rPr>
      <t>序号</t>
    </r>
  </si>
  <si>
    <t>询证函索引号</t>
  </si>
  <si>
    <r>
      <rPr>
        <b/>
        <sz val="10"/>
        <rFont val="宋体"/>
        <family val="3"/>
        <charset val="134"/>
      </rPr>
      <t>发函询证纪要</t>
    </r>
  </si>
  <si>
    <r>
      <rPr>
        <b/>
        <sz val="10"/>
        <rFont val="Arial Narrow"/>
        <family val="2"/>
      </rPr>
      <t>1</t>
    </r>
    <r>
      <rPr>
        <b/>
        <sz val="10"/>
        <rFont val="宋体"/>
        <family val="3"/>
        <charset val="134"/>
      </rPr>
      <t>、发函信息</t>
    </r>
  </si>
  <si>
    <r>
      <rPr>
        <b/>
        <sz val="10"/>
        <rFont val="Arial Narrow"/>
        <family val="2"/>
      </rPr>
      <t>3</t>
    </r>
    <r>
      <rPr>
        <b/>
        <sz val="10"/>
        <rFont val="宋体"/>
        <family val="3"/>
        <charset val="134"/>
      </rPr>
      <t>、回函金额确认</t>
    </r>
  </si>
  <si>
    <r>
      <rPr>
        <b/>
        <sz val="10"/>
        <rFont val="Arial Narrow"/>
        <family val="2"/>
      </rPr>
      <t>4</t>
    </r>
    <r>
      <rPr>
        <b/>
        <sz val="10"/>
        <rFont val="宋体"/>
        <family val="3"/>
        <charset val="134"/>
      </rPr>
      <t>、未收到回函的替代程序</t>
    </r>
  </si>
  <si>
    <r>
      <rPr>
        <b/>
        <sz val="10"/>
        <rFont val="宋体"/>
        <family val="3"/>
        <charset val="134"/>
      </rPr>
      <t>审计结论</t>
    </r>
  </si>
  <si>
    <r>
      <rPr>
        <b/>
        <sz val="10"/>
        <rFont val="宋体"/>
        <family val="3"/>
        <charset val="134"/>
      </rPr>
      <t>选取样本目的</t>
    </r>
  </si>
  <si>
    <r>
      <rPr>
        <b/>
        <sz val="10"/>
        <rFont val="宋体"/>
        <family val="3"/>
        <charset val="134"/>
      </rPr>
      <t>被询证单位名称</t>
    </r>
  </si>
  <si>
    <r>
      <rPr>
        <b/>
        <sz val="10"/>
        <rFont val="宋体"/>
        <family val="3"/>
        <charset val="134"/>
      </rPr>
      <t>账户</t>
    </r>
    <r>
      <rPr>
        <b/>
        <sz val="10"/>
        <rFont val="Arial Narrow"/>
        <family val="2"/>
      </rPr>
      <t>/</t>
    </r>
    <r>
      <rPr>
        <b/>
        <sz val="10"/>
        <rFont val="宋体"/>
        <family val="3"/>
        <charset val="134"/>
      </rPr>
      <t>交易</t>
    </r>
  </si>
  <si>
    <r>
      <rPr>
        <b/>
        <sz val="10"/>
        <rFont val="宋体"/>
        <family val="3"/>
        <charset val="134"/>
      </rPr>
      <t>金额</t>
    </r>
  </si>
  <si>
    <r>
      <rPr>
        <b/>
        <sz val="10"/>
        <rFont val="宋体"/>
        <family val="3"/>
        <charset val="134"/>
      </rPr>
      <t>函证方式</t>
    </r>
  </si>
  <si>
    <r>
      <rPr>
        <b/>
        <sz val="10"/>
        <rFont val="宋体"/>
        <family val="3"/>
        <charset val="134"/>
      </rPr>
      <t>发函日期</t>
    </r>
  </si>
  <si>
    <r>
      <rPr>
        <b/>
        <sz val="10"/>
        <rFont val="宋体"/>
        <family val="3"/>
        <charset val="134"/>
      </rPr>
      <t>发函单号</t>
    </r>
  </si>
  <si>
    <r>
      <rPr>
        <b/>
        <sz val="10"/>
        <rFont val="宋体"/>
        <family val="3"/>
        <charset val="134"/>
      </rPr>
      <t>收件地址</t>
    </r>
  </si>
  <si>
    <r>
      <rPr>
        <b/>
        <sz val="10"/>
        <rFont val="宋体"/>
        <family val="3"/>
        <charset val="134"/>
      </rPr>
      <t>地址核查是否一致</t>
    </r>
  </si>
  <si>
    <r>
      <rPr>
        <b/>
        <sz val="10"/>
        <rFont val="宋体"/>
        <family val="3"/>
        <charset val="134"/>
      </rPr>
      <t>是否收到回函</t>
    </r>
  </si>
  <si>
    <r>
      <rPr>
        <b/>
        <sz val="10"/>
        <rFont val="宋体"/>
        <family val="3"/>
        <charset val="134"/>
      </rPr>
      <t>回函方式</t>
    </r>
  </si>
  <si>
    <r>
      <rPr>
        <b/>
        <sz val="10"/>
        <rFont val="宋体"/>
        <family val="3"/>
        <charset val="134"/>
      </rPr>
      <t>是否相符</t>
    </r>
  </si>
  <si>
    <r>
      <rPr>
        <b/>
        <sz val="10"/>
        <rFont val="宋体"/>
        <family val="3"/>
        <charset val="134"/>
      </rPr>
      <t>回函日期</t>
    </r>
  </si>
  <si>
    <r>
      <rPr>
        <b/>
        <sz val="10"/>
        <rFont val="宋体"/>
        <family val="3"/>
        <charset val="134"/>
      </rPr>
      <t>回函快递单号</t>
    </r>
  </si>
  <si>
    <r>
      <rPr>
        <b/>
        <sz val="10"/>
        <rFont val="宋体"/>
        <family val="3"/>
        <charset val="134"/>
      </rPr>
      <t>回函发出地址</t>
    </r>
  </si>
  <si>
    <r>
      <rPr>
        <b/>
        <sz val="10"/>
        <rFont val="宋体"/>
        <family val="3"/>
        <charset val="134"/>
      </rPr>
      <t>发函地址与回函地址是否一致</t>
    </r>
  </si>
  <si>
    <r>
      <rPr>
        <b/>
        <sz val="10"/>
        <rFont val="宋体"/>
        <family val="3"/>
        <charset val="134"/>
      </rPr>
      <t>回函金额</t>
    </r>
  </si>
  <si>
    <r>
      <rPr>
        <b/>
        <sz val="10"/>
        <rFont val="宋体"/>
        <family val="3"/>
        <charset val="134"/>
      </rPr>
      <t>差异</t>
    </r>
  </si>
  <si>
    <r>
      <rPr>
        <b/>
        <sz val="10"/>
        <rFont val="宋体"/>
        <family val="3"/>
        <charset val="134"/>
      </rPr>
      <t>可确认金额</t>
    </r>
  </si>
  <si>
    <r>
      <rPr>
        <b/>
        <sz val="10"/>
        <rFont val="宋体"/>
        <family val="3"/>
        <charset val="134"/>
      </rPr>
      <t>调节索引（</t>
    </r>
    <r>
      <rPr>
        <b/>
        <sz val="10"/>
        <rFont val="Arial Narrow"/>
        <family val="2"/>
      </rPr>
      <t>F0-4</t>
    </r>
    <r>
      <rPr>
        <b/>
        <sz val="10"/>
        <rFont val="宋体"/>
        <family val="3"/>
        <charset val="134"/>
      </rPr>
      <t>）</t>
    </r>
  </si>
  <si>
    <r>
      <rPr>
        <b/>
        <sz val="10"/>
        <rFont val="宋体"/>
        <family val="3"/>
        <charset val="134"/>
      </rPr>
      <t>其他说明</t>
    </r>
    <r>
      <rPr>
        <b/>
        <sz val="10"/>
        <rFont val="Arial Narrow"/>
        <family val="2"/>
      </rPr>
      <t>/</t>
    </r>
    <r>
      <rPr>
        <b/>
        <sz val="10"/>
        <rFont val="宋体"/>
        <family val="3"/>
        <charset val="134"/>
      </rPr>
      <t>备注</t>
    </r>
  </si>
  <si>
    <r>
      <rPr>
        <b/>
        <sz val="10"/>
        <rFont val="宋体"/>
        <family val="3"/>
        <charset val="134"/>
      </rPr>
      <t>是否采取替代程序</t>
    </r>
  </si>
  <si>
    <r>
      <rPr>
        <b/>
        <sz val="10"/>
        <rFont val="宋体"/>
        <family val="3"/>
        <charset val="134"/>
      </rPr>
      <t>替代后可确认金额</t>
    </r>
  </si>
  <si>
    <r>
      <rPr>
        <b/>
        <sz val="10"/>
        <rFont val="宋体"/>
        <family val="3"/>
        <charset val="134"/>
      </rPr>
      <t>替代后不可确认金额</t>
    </r>
  </si>
  <si>
    <r>
      <rPr>
        <b/>
        <sz val="10"/>
        <rFont val="宋体"/>
        <family val="3"/>
        <charset val="134"/>
      </rPr>
      <t>替代程序索引号</t>
    </r>
  </si>
  <si>
    <t>一、函证情况</t>
  </si>
  <si>
    <t>二、样本选择</t>
  </si>
  <si>
    <t>二、审计说明</t>
  </si>
  <si>
    <r>
      <rPr>
        <sz val="10"/>
        <rFont val="宋体"/>
        <family val="3"/>
        <charset val="134"/>
      </rPr>
      <t>项目</t>
    </r>
  </si>
  <si>
    <t>长期应付款</t>
  </si>
  <si>
    <t>应付债券</t>
  </si>
  <si>
    <t>测试总体：</t>
  </si>
  <si>
    <t>如长期应付款账面余额XX、债权人XX个；应付债券账面余额XX、债权人XX个；……</t>
  </si>
  <si>
    <r>
      <rPr>
        <sz val="10"/>
        <rFont val="Arial Narrow"/>
        <family val="2"/>
      </rPr>
      <t>1</t>
    </r>
    <r>
      <rPr>
        <sz val="10"/>
        <rFont val="宋体"/>
        <family val="3"/>
        <charset val="134"/>
      </rPr>
      <t>、对询证函保持的控制的说明</t>
    </r>
  </si>
  <si>
    <r>
      <rPr>
        <sz val="10"/>
        <rFont val="Arial Narrow"/>
        <family val="2"/>
      </rPr>
      <t>2</t>
    </r>
    <r>
      <rPr>
        <sz val="10"/>
        <rFont val="宋体"/>
        <family val="3"/>
        <charset val="134"/>
      </rPr>
      <t>、对误差的分析</t>
    </r>
  </si>
  <si>
    <r>
      <rPr>
        <sz val="10"/>
        <rFont val="宋体"/>
        <family val="3"/>
        <charset val="134"/>
      </rPr>
      <t>本期（期末）账面金额：</t>
    </r>
  </si>
  <si>
    <t>特定样本：</t>
  </si>
  <si>
    <t>长期应付款XX金额以上（大额）……、关联方/关联交易形成的款项、XX异常款项全部测试，共XX个供应商；</t>
  </si>
  <si>
    <t>界定误差构成条件：［不符事项的金额高于或低于账户余额人民币</t>
  </si>
  <si>
    <r>
      <rPr>
        <sz val="10"/>
        <rFont val="宋体"/>
        <family val="3"/>
        <charset val="134"/>
      </rPr>
      <t>抽取样本的发函金额：</t>
    </r>
  </si>
  <si>
    <t>抽样总体：</t>
  </si>
  <si>
    <t>测试总体扣除特定样本以外的样本，长期应付款共XX个供应商、金额XX，应付债券共XX债券、金额XX，……；</t>
  </si>
  <si>
    <t>（）万元，并且被审计单位不能合理解释其差异并提供相应依据］</t>
  </si>
  <si>
    <r>
      <rPr>
        <sz val="10"/>
        <rFont val="宋体"/>
        <family val="3"/>
        <charset val="134"/>
      </rPr>
      <t>发函金额占账面金额的比例</t>
    </r>
    <r>
      <rPr>
        <sz val="10"/>
        <rFont val="Arial Narrow"/>
        <family val="2"/>
      </rPr>
      <t>(%)</t>
    </r>
    <r>
      <rPr>
        <sz val="10"/>
        <rFont val="宋体"/>
        <family val="3"/>
        <charset val="134"/>
      </rPr>
      <t>：</t>
    </r>
  </si>
  <si>
    <t>确定的抽样样本量：</t>
  </si>
  <si>
    <t>长期应付款、应付债券……分别抽取XX个、XX个、XX个供应商；</t>
  </si>
  <si>
    <t>回函确认金额：</t>
  </si>
  <si>
    <t>（如果使用了样本计算器计算样本量，样本量计算过程见&lt;XX&gt;底稿）</t>
  </si>
  <si>
    <r>
      <rPr>
        <sz val="10"/>
        <rFont val="宋体"/>
        <family val="3"/>
        <charset val="134"/>
      </rPr>
      <t>回函可确认金额占发函金额的比例</t>
    </r>
    <r>
      <rPr>
        <sz val="10"/>
        <rFont val="Arial Narrow"/>
        <family val="2"/>
      </rPr>
      <t>(%)</t>
    </r>
    <r>
      <rPr>
        <sz val="10"/>
        <rFont val="宋体"/>
        <family val="3"/>
        <charset val="134"/>
      </rPr>
      <t>：</t>
    </r>
  </si>
  <si>
    <t>抽样方法：</t>
  </si>
  <si>
    <t>随机选样/系统选样/货币单元抽样/随意选样</t>
  </si>
  <si>
    <r>
      <rPr>
        <sz val="10"/>
        <rFont val="Arial Narrow"/>
        <family val="2"/>
      </rPr>
      <t>4</t>
    </r>
    <r>
      <rPr>
        <sz val="10"/>
        <rFont val="宋体"/>
        <family val="3"/>
        <charset val="134"/>
      </rPr>
      <t>、针对不符事项的程序</t>
    </r>
  </si>
  <si>
    <r>
      <rPr>
        <sz val="10"/>
        <rFont val="宋体"/>
        <family val="3"/>
        <charset val="134"/>
      </rPr>
      <t>回函可确认金额占账面金额的比例</t>
    </r>
    <r>
      <rPr>
        <sz val="10"/>
        <rFont val="Arial Narrow"/>
        <family val="2"/>
      </rPr>
      <t>(%)</t>
    </r>
    <r>
      <rPr>
        <sz val="10"/>
        <rFont val="宋体"/>
        <family val="3"/>
        <charset val="134"/>
      </rPr>
      <t>：</t>
    </r>
  </si>
  <si>
    <t>抽样过程：</t>
  </si>
  <si>
    <t>使用IDEA（XX抽样工具）选取样本进行函证，长期应付款选择XX个供应商、金额XX的样本，</t>
  </si>
  <si>
    <t>替代测试确认金额：</t>
  </si>
  <si>
    <r>
      <rPr>
        <sz val="10"/>
        <color rgb="FF0000FF"/>
        <rFont val="宋体"/>
        <family val="3"/>
        <charset val="134"/>
      </rPr>
      <t>抽样工具中的样本选择过程和结果见</t>
    </r>
    <r>
      <rPr>
        <sz val="10"/>
        <color rgb="FF0000FF"/>
        <rFont val="Arial Narrow"/>
        <family val="2"/>
      </rPr>
      <t>&lt;XX&gt;</t>
    </r>
    <r>
      <rPr>
        <sz val="10"/>
        <color rgb="FF0000FF"/>
        <rFont val="宋体"/>
        <family val="3"/>
        <charset val="134"/>
      </rPr>
      <t>底稿</t>
    </r>
  </si>
  <si>
    <r>
      <rPr>
        <sz val="10"/>
        <rFont val="Arial Narrow"/>
        <family val="2"/>
      </rPr>
      <t>5</t>
    </r>
    <r>
      <rPr>
        <sz val="10"/>
        <rFont val="宋体"/>
        <family val="3"/>
        <charset val="134"/>
      </rPr>
      <t>、针对未回函的替代程序</t>
    </r>
  </si>
  <si>
    <r>
      <rPr>
        <sz val="10"/>
        <rFont val="宋体"/>
        <family val="3"/>
        <charset val="134"/>
      </rPr>
      <t>回函和替代确认金额占账面金额的比例</t>
    </r>
    <r>
      <rPr>
        <sz val="10"/>
        <rFont val="Arial Narrow"/>
        <family val="2"/>
      </rPr>
      <t>(%)</t>
    </r>
    <r>
      <rPr>
        <sz val="10"/>
        <rFont val="宋体"/>
        <family val="3"/>
        <charset val="134"/>
      </rPr>
      <t>：</t>
    </r>
  </si>
  <si>
    <t>四、审计结论</t>
  </si>
  <si>
    <t>如果被询证者以传真、电子邮件等方式回函，审计项目组应当直接接收，并验证传真、电子邮件回函的可靠性，要求被询证者在审计报告日之前寄回询证函原件</t>
  </si>
  <si>
    <t>编制说明：</t>
  </si>
  <si>
    <r>
      <rPr>
        <b/>
        <sz val="10"/>
        <color indexed="12"/>
        <rFont val="Arial Narrow"/>
        <family val="2"/>
      </rPr>
      <t>1</t>
    </r>
    <r>
      <rPr>
        <b/>
        <sz val="10"/>
        <color indexed="12"/>
        <rFont val="宋体"/>
        <family val="3"/>
        <charset val="134"/>
      </rPr>
      <t>、函证样本的选择：</t>
    </r>
  </si>
  <si>
    <r>
      <rPr>
        <sz val="10"/>
        <color indexed="12"/>
        <rFont val="宋体"/>
        <family val="3"/>
        <charset val="134"/>
      </rPr>
      <t>《中国注册会计师审计准则第</t>
    </r>
    <r>
      <rPr>
        <sz val="10"/>
        <color indexed="12"/>
        <rFont val="Arial Narrow"/>
        <family val="2"/>
      </rPr>
      <t>1312</t>
    </r>
    <r>
      <rPr>
        <sz val="10"/>
        <color indexed="12"/>
        <rFont val="宋体"/>
        <family val="3"/>
        <charset val="134"/>
      </rPr>
      <t>号</t>
    </r>
    <r>
      <rPr>
        <sz val="10"/>
        <color indexed="12"/>
        <rFont val="Arial Narrow"/>
        <family val="2"/>
      </rPr>
      <t>——</t>
    </r>
    <r>
      <rPr>
        <sz val="10"/>
        <color indexed="12"/>
        <rFont val="宋体"/>
        <family val="3"/>
        <charset val="134"/>
      </rPr>
      <t>函证》第十条注册会计师采用审计抽样或其他选取测试项目的方法</t>
    </r>
  </si>
  <si>
    <r>
      <rPr>
        <sz val="10"/>
        <color indexed="12"/>
        <rFont val="宋体"/>
        <family val="3"/>
        <charset val="134"/>
      </rPr>
      <t>选择函证样本时，样本应当足以代表总体，并包括：</t>
    </r>
  </si>
  <si>
    <r>
      <rPr>
        <sz val="10"/>
        <color indexed="12"/>
        <rFont val="宋体"/>
        <family val="3"/>
        <charset val="134"/>
      </rPr>
      <t>（一）金额较大的项目；</t>
    </r>
  </si>
  <si>
    <r>
      <rPr>
        <sz val="10"/>
        <color indexed="12"/>
        <rFont val="宋体"/>
        <family val="3"/>
        <charset val="134"/>
      </rPr>
      <t>　　（二）账龄较长的项目；</t>
    </r>
  </si>
  <si>
    <r>
      <rPr>
        <sz val="10"/>
        <color indexed="12"/>
        <rFont val="宋体"/>
        <family val="3"/>
        <charset val="134"/>
      </rPr>
      <t>　　（三）交易频繁但期末余额较小的项目；</t>
    </r>
  </si>
  <si>
    <r>
      <rPr>
        <sz val="10"/>
        <color indexed="12"/>
        <rFont val="宋体"/>
        <family val="3"/>
        <charset val="134"/>
      </rPr>
      <t>　　（四）重大关联方交易；</t>
    </r>
  </si>
  <si>
    <r>
      <rPr>
        <sz val="10"/>
        <color indexed="12"/>
        <rFont val="宋体"/>
        <family val="3"/>
        <charset val="134"/>
      </rPr>
      <t>　　（五）重大或异常的交易；</t>
    </r>
  </si>
  <si>
    <r>
      <rPr>
        <sz val="10"/>
        <color indexed="12"/>
        <rFont val="宋体"/>
        <family val="3"/>
        <charset val="134"/>
      </rPr>
      <t>　　（六）可能存在争议以及产生重大舞弊或错误的交易。</t>
    </r>
  </si>
  <si>
    <r>
      <rPr>
        <b/>
        <sz val="10"/>
        <color indexed="12"/>
        <rFont val="Arial Narrow"/>
        <family val="2"/>
      </rPr>
      <t>2</t>
    </r>
    <r>
      <rPr>
        <b/>
        <sz val="10"/>
        <color indexed="12"/>
        <rFont val="宋体"/>
        <family val="3"/>
        <charset val="134"/>
      </rPr>
      <t>、函证注意事项：</t>
    </r>
  </si>
  <si>
    <r>
      <rPr>
        <sz val="10"/>
        <color indexed="12"/>
        <rFont val="宋体"/>
        <family val="3"/>
        <charset val="134"/>
      </rPr>
      <t>①严格控制发函过程（亲自发函；直接回函）；</t>
    </r>
  </si>
  <si>
    <r>
      <rPr>
        <sz val="10"/>
        <color indexed="12"/>
        <rFont val="宋体"/>
        <family val="3"/>
        <charset val="134"/>
      </rPr>
      <t>②传真件、电子邮件回函可以作为证据，但可靠性低于原件且需严格控制并记录函证过程；</t>
    </r>
  </si>
  <si>
    <r>
      <rPr>
        <sz val="10"/>
        <color indexed="12"/>
        <rFont val="宋体"/>
        <family val="3"/>
        <charset val="134"/>
      </rPr>
      <t>③同一客户的多项往来在同一张询证函列示；</t>
    </r>
  </si>
  <si>
    <r>
      <rPr>
        <sz val="10"/>
        <color indexed="12"/>
        <rFont val="宋体"/>
        <family val="3"/>
        <charset val="134"/>
      </rPr>
      <t>④关联往来核对一致；</t>
    </r>
  </si>
  <si>
    <r>
      <rPr>
        <sz val="10"/>
        <color indexed="12"/>
        <rFont val="宋体"/>
        <family val="3"/>
        <charset val="134"/>
      </rPr>
      <t>⑤收信人尽量写清楚；</t>
    </r>
  </si>
  <si>
    <r>
      <rPr>
        <sz val="10"/>
        <color indexed="12"/>
        <rFont val="宋体"/>
        <family val="3"/>
        <charset val="134"/>
      </rPr>
      <t>⑥收到回函编制函证控制表（函证结果汇总表），保留回函信封，注明选样标准；</t>
    </r>
  </si>
  <si>
    <r>
      <rPr>
        <sz val="10"/>
        <color indexed="12"/>
        <rFont val="宋体"/>
        <family val="3"/>
        <charset val="134"/>
      </rPr>
      <t>⑦回函有差异须进一步核对原因；</t>
    </r>
  </si>
  <si>
    <r>
      <rPr>
        <sz val="10"/>
        <color indexed="12"/>
        <rFont val="宋体"/>
        <family val="3"/>
        <charset val="134"/>
      </rPr>
      <t>⑧未回函的</t>
    </r>
    <r>
      <rPr>
        <u/>
        <sz val="10"/>
        <color indexed="10"/>
        <rFont val="宋体"/>
        <family val="3"/>
        <charset val="134"/>
      </rPr>
      <t>全部</t>
    </r>
    <r>
      <rPr>
        <sz val="10"/>
        <color indexed="12"/>
        <rFont val="宋体"/>
        <family val="3"/>
        <charset val="134"/>
      </rPr>
      <t>执行替代程序。</t>
    </r>
  </si>
  <si>
    <r>
      <rPr>
        <b/>
        <sz val="10"/>
        <color indexed="12"/>
        <rFont val="Arial Narrow"/>
        <family val="2"/>
      </rPr>
      <t>3</t>
    </r>
    <r>
      <rPr>
        <b/>
        <sz val="10"/>
        <color indexed="12"/>
        <rFont val="宋体"/>
        <family val="3"/>
        <charset val="134"/>
      </rPr>
      <t>、概述：（</t>
    </r>
    <r>
      <rPr>
        <b/>
        <sz val="10"/>
        <color indexed="12"/>
        <rFont val="Arial Narrow"/>
        <family val="2"/>
      </rPr>
      <t>1</t>
    </r>
    <r>
      <rPr>
        <b/>
        <sz val="10"/>
        <color indexed="12"/>
        <rFont val="宋体"/>
        <family val="3"/>
        <charset val="134"/>
      </rPr>
      <t>）程序的测试情况、结果；</t>
    </r>
  </si>
  <si>
    <t>（2）拟调整事项及其调整分录、未调整事项及其影响，审计范围受到限制情况及其影响。</t>
  </si>
  <si>
    <r>
      <rPr>
        <b/>
        <sz val="10"/>
        <color indexed="12"/>
        <rFont val="宋体"/>
        <family val="3"/>
        <charset val="134"/>
      </rPr>
      <t>参考结论：</t>
    </r>
  </si>
  <si>
    <r>
      <rPr>
        <sz val="10"/>
        <color indexed="12"/>
        <rFont val="Arial Narrow"/>
        <family val="2"/>
      </rPr>
      <t>A</t>
    </r>
    <r>
      <rPr>
        <sz val="10"/>
        <color indexed="12"/>
        <rFont val="宋体"/>
        <family val="3"/>
        <charset val="134"/>
      </rPr>
      <t>、</t>
    </r>
  </si>
  <si>
    <r>
      <rPr>
        <sz val="10"/>
        <color indexed="12"/>
        <rFont val="宋体"/>
        <family val="3"/>
        <charset val="134"/>
      </rPr>
      <t>未见异常。</t>
    </r>
  </si>
  <si>
    <r>
      <rPr>
        <sz val="10"/>
        <color indexed="12"/>
        <rFont val="Arial Narrow"/>
        <family val="2"/>
      </rPr>
      <t>B</t>
    </r>
    <r>
      <rPr>
        <sz val="10"/>
        <color indexed="12"/>
        <rFont val="宋体"/>
        <family val="3"/>
        <charset val="134"/>
      </rPr>
      <t>、</t>
    </r>
  </si>
  <si>
    <r>
      <rPr>
        <sz val="10"/>
        <color indexed="12"/>
        <rFont val="宋体"/>
        <family val="3"/>
        <charset val="134"/>
      </rPr>
      <t>除以下重大不符事项应当作为调整事项予以调整外，其余未见异常。</t>
    </r>
  </si>
  <si>
    <r>
      <rPr>
        <sz val="10"/>
        <color indexed="12"/>
        <rFont val="Arial Narrow"/>
        <family val="2"/>
      </rPr>
      <t>C</t>
    </r>
    <r>
      <rPr>
        <sz val="10"/>
        <color indexed="12"/>
        <rFont val="宋体"/>
        <family val="3"/>
        <charset val="134"/>
      </rPr>
      <t>、</t>
    </r>
  </si>
  <si>
    <r>
      <rPr>
        <sz val="10"/>
        <color indexed="12"/>
        <rFont val="宋体"/>
        <family val="3"/>
        <charset val="134"/>
      </rPr>
      <t>由于存在以下重大未调整事项（或审计范围受到限制无法获取充分、适当证据），不可确认。</t>
    </r>
  </si>
  <si>
    <t>后附审计证据：询证函回函、不符事项相关资料、替代程序资料等。</t>
  </si>
  <si>
    <t>页  次：</t>
  </si>
  <si>
    <r>
      <rPr>
        <b/>
        <sz val="10"/>
        <rFont val="宋体"/>
        <family val="3"/>
        <charset val="134"/>
      </rPr>
      <t>函证索引</t>
    </r>
  </si>
  <si>
    <r>
      <rPr>
        <b/>
        <sz val="10"/>
        <rFont val="宋体"/>
        <family val="3"/>
        <charset val="134"/>
      </rPr>
      <t>被审计单位提供的被函证单位信息及核对（核实被函证单位信息）</t>
    </r>
    <r>
      <rPr>
        <b/>
        <sz val="10"/>
        <color rgb="FFFF0000"/>
        <rFont val="宋体"/>
        <family val="3"/>
        <charset val="134"/>
      </rPr>
      <t>（注1）</t>
    </r>
  </si>
  <si>
    <t>回函信息情况（回函核对记录）</t>
  </si>
  <si>
    <r>
      <rPr>
        <b/>
        <sz val="10"/>
        <color indexed="8"/>
        <rFont val="宋体"/>
        <family val="3"/>
        <charset val="134"/>
      </rPr>
      <t>第一次发函结果？（送抵</t>
    </r>
    <r>
      <rPr>
        <b/>
        <sz val="10"/>
        <color indexed="8"/>
        <rFont val="Arial Narrow"/>
        <family val="2"/>
      </rPr>
      <t>/</t>
    </r>
    <r>
      <rPr>
        <b/>
        <sz val="10"/>
        <color indexed="8"/>
        <rFont val="宋体"/>
        <family val="3"/>
        <charset val="134"/>
      </rPr>
      <t>退回）（</t>
    </r>
    <r>
      <rPr>
        <b/>
        <sz val="10"/>
        <color indexed="10"/>
        <rFont val="宋体"/>
        <family val="3"/>
        <charset val="134"/>
      </rPr>
      <t>注</t>
    </r>
    <r>
      <rPr>
        <b/>
        <sz val="10"/>
        <color indexed="10"/>
        <rFont val="Arial Narrow"/>
        <family val="2"/>
      </rPr>
      <t>2</t>
    </r>
    <r>
      <rPr>
        <b/>
        <sz val="10"/>
        <color indexed="8"/>
        <rFont val="宋体"/>
        <family val="3"/>
        <charset val="134"/>
      </rPr>
      <t>）</t>
    </r>
  </si>
  <si>
    <r>
      <rPr>
        <b/>
        <sz val="10"/>
        <rFont val="宋体"/>
        <family val="3"/>
        <charset val="134"/>
      </rPr>
      <t>经核实的原因</t>
    </r>
  </si>
  <si>
    <r>
      <rPr>
        <b/>
        <sz val="10"/>
        <rFont val="宋体"/>
        <family val="3"/>
        <charset val="134"/>
      </rPr>
      <t>该原因是否合理（是</t>
    </r>
    <r>
      <rPr>
        <b/>
        <sz val="10"/>
        <rFont val="Arial Narrow"/>
        <family val="2"/>
      </rPr>
      <t>/</t>
    </r>
    <r>
      <rPr>
        <b/>
        <sz val="10"/>
        <rFont val="宋体"/>
        <family val="3"/>
        <charset val="134"/>
      </rPr>
      <t xml:space="preserve">否）
</t>
    </r>
    <r>
      <rPr>
        <b/>
        <sz val="10"/>
        <color indexed="10"/>
        <rFont val="宋体"/>
        <family val="3"/>
        <charset val="134"/>
      </rPr>
      <t>（注</t>
    </r>
    <r>
      <rPr>
        <b/>
        <sz val="10"/>
        <color indexed="10"/>
        <rFont val="Arial Narrow"/>
        <family val="2"/>
      </rPr>
      <t>3</t>
    </r>
    <r>
      <rPr>
        <b/>
        <sz val="10"/>
        <color indexed="10"/>
        <rFont val="宋体"/>
        <family val="3"/>
        <charset val="134"/>
      </rPr>
      <t>）</t>
    </r>
  </si>
  <si>
    <r>
      <rPr>
        <b/>
        <sz val="10"/>
        <color theme="1"/>
        <rFont val="宋体"/>
        <family val="3"/>
        <charset val="134"/>
      </rPr>
      <t>是否进行第二次发函？
（是</t>
    </r>
    <r>
      <rPr>
        <b/>
        <sz val="10"/>
        <color theme="1"/>
        <rFont val="Arial Narrow"/>
        <family val="2"/>
      </rPr>
      <t>/</t>
    </r>
    <r>
      <rPr>
        <b/>
        <sz val="10"/>
        <color theme="1"/>
        <rFont val="宋体"/>
        <family val="3"/>
        <charset val="134"/>
      </rPr>
      <t>否）</t>
    </r>
  </si>
  <si>
    <r>
      <rPr>
        <b/>
        <sz val="10"/>
        <rFont val="宋体"/>
        <family val="3"/>
        <charset val="134"/>
      </rPr>
      <t>第二次发函的被函证单位信息</t>
    </r>
  </si>
  <si>
    <r>
      <rPr>
        <b/>
        <sz val="10"/>
        <color theme="1"/>
        <rFont val="宋体"/>
        <family val="3"/>
        <charset val="134"/>
      </rPr>
      <t>第二次发函结果？（送抵</t>
    </r>
    <r>
      <rPr>
        <b/>
        <sz val="10"/>
        <color theme="1"/>
        <rFont val="Arial Narrow"/>
        <family val="2"/>
      </rPr>
      <t>/</t>
    </r>
    <r>
      <rPr>
        <b/>
        <sz val="10"/>
        <color theme="1"/>
        <rFont val="宋体"/>
        <family val="3"/>
        <charset val="134"/>
      </rPr>
      <t xml:space="preserve">退回）
</t>
    </r>
    <r>
      <rPr>
        <b/>
        <sz val="10"/>
        <color indexed="10"/>
        <rFont val="宋体"/>
        <family val="3"/>
        <charset val="134"/>
      </rPr>
      <t>（注</t>
    </r>
    <r>
      <rPr>
        <b/>
        <sz val="10"/>
        <color indexed="10"/>
        <rFont val="Arial Narrow"/>
        <family val="2"/>
      </rPr>
      <t>4</t>
    </r>
    <r>
      <rPr>
        <b/>
        <sz val="10"/>
        <color indexed="10"/>
        <rFont val="宋体"/>
        <family val="3"/>
        <charset val="134"/>
      </rPr>
      <t>）</t>
    </r>
  </si>
  <si>
    <t>被询证单位全称</t>
  </si>
  <si>
    <t>函证方式</t>
  </si>
  <si>
    <t>收件地址</t>
  </si>
  <si>
    <t>邮编</t>
  </si>
  <si>
    <r>
      <rPr>
        <b/>
        <sz val="10"/>
        <rFont val="宋体"/>
        <family val="3"/>
        <charset val="134"/>
      </rPr>
      <t>联系人</t>
    </r>
  </si>
  <si>
    <r>
      <rPr>
        <b/>
        <sz val="10"/>
        <rFont val="宋体"/>
        <family val="3"/>
        <charset val="134"/>
      </rPr>
      <t>联系电话</t>
    </r>
  </si>
  <si>
    <t>邮箱/传真</t>
  </si>
  <si>
    <r>
      <rPr>
        <b/>
        <sz val="10"/>
        <color rgb="FFFF0000"/>
        <rFont val="宋体"/>
        <family val="3"/>
        <charset val="134"/>
      </rPr>
      <t>企查查</t>
    </r>
    <r>
      <rPr>
        <b/>
        <sz val="10"/>
        <rFont val="宋体"/>
        <family val="3"/>
        <charset val="134"/>
      </rPr>
      <t>地址</t>
    </r>
  </si>
  <si>
    <r>
      <rPr>
        <b/>
        <sz val="10"/>
        <rFont val="宋体"/>
        <family val="3"/>
        <charset val="134"/>
      </rPr>
      <t>发函地址与</t>
    </r>
    <r>
      <rPr>
        <b/>
        <sz val="10"/>
        <color rgb="FFFF0000"/>
        <rFont val="宋体"/>
        <family val="3"/>
        <charset val="134"/>
      </rPr>
      <t>企查查</t>
    </r>
    <r>
      <rPr>
        <b/>
        <sz val="10"/>
        <rFont val="宋体"/>
        <family val="3"/>
        <charset val="134"/>
      </rPr>
      <t>地址是否一致</t>
    </r>
  </si>
  <si>
    <t>地址核查不一致的说明</t>
  </si>
  <si>
    <t>地址不一致的核实方式</t>
  </si>
  <si>
    <t>核实的支持性文件或其他公开信息索引号</t>
  </si>
  <si>
    <t>不一致说明是否合理</t>
  </si>
  <si>
    <t>备注</t>
  </si>
  <si>
    <t>回函方式</t>
  </si>
  <si>
    <t>是否为原件</t>
  </si>
  <si>
    <t>是否直接收到回函</t>
  </si>
  <si>
    <t>回函寄件人</t>
  </si>
  <si>
    <t>回函电话</t>
  </si>
  <si>
    <t>发函地址与回函地址是否一致</t>
  </si>
  <si>
    <t>发函收件人与回函寄件人是否一致</t>
  </si>
  <si>
    <t>发函收件人电话与回函寄件人电话是否一致</t>
  </si>
  <si>
    <t>不一致的说明</t>
  </si>
  <si>
    <t>核实支持性证据索引号</t>
  </si>
  <si>
    <t>跟函函证控制过程（F0-3）</t>
  </si>
  <si>
    <t>地址</t>
  </si>
  <si>
    <r>
      <rPr>
        <b/>
        <sz val="10"/>
        <rFont val="宋体"/>
        <family val="3"/>
        <charset val="134"/>
      </rPr>
      <t>邮编</t>
    </r>
  </si>
  <si>
    <r>
      <rPr>
        <b/>
        <sz val="10"/>
        <rFont val="宋体"/>
        <family val="3"/>
        <charset val="134"/>
      </rPr>
      <t>传真</t>
    </r>
  </si>
  <si>
    <t>信息是否核查一致</t>
  </si>
  <si>
    <r>
      <rPr>
        <b/>
        <sz val="10"/>
        <color rgb="FF0000FF"/>
        <rFont val="宋体"/>
        <family val="3"/>
        <charset val="134"/>
      </rPr>
      <t>说明</t>
    </r>
    <r>
      <rPr>
        <b/>
        <sz val="10"/>
        <color rgb="FF0000FF"/>
        <rFont val="Arial Narrow"/>
        <family val="2"/>
      </rPr>
      <t>1</t>
    </r>
    <r>
      <rPr>
        <b/>
        <sz val="10"/>
        <color rgb="FF0000FF"/>
        <rFont val="宋体"/>
        <family val="3"/>
        <charset val="134"/>
      </rPr>
      <t>：</t>
    </r>
  </si>
  <si>
    <r>
      <rPr>
        <sz val="10"/>
        <color rgb="FF0000FF"/>
        <rFont val="宋体"/>
        <family val="3"/>
        <charset val="134"/>
      </rPr>
      <t>进行核实的信息应该包括单位名称，地址，以及联系人和电话。</t>
    </r>
  </si>
  <si>
    <r>
      <rPr>
        <sz val="10"/>
        <color rgb="FF0000FF"/>
        <rFont val="Arial Narrow"/>
        <family val="2"/>
      </rPr>
      <t>1.</t>
    </r>
    <r>
      <rPr>
        <sz val="10"/>
        <color rgb="FF0000FF"/>
        <rFont val="宋体"/>
        <family val="3"/>
        <charset val="134"/>
      </rPr>
      <t>项目组可利用函证中心对接的企查查获取被函证单位地址，如果不一致的应使用多种方法来核实被函证单位的信息，如查找相关发票</t>
    </r>
    <r>
      <rPr>
        <sz val="10"/>
        <color rgb="FF0000FF"/>
        <rFont val="Arial Narrow"/>
        <family val="2"/>
      </rPr>
      <t>/</t>
    </r>
    <r>
      <rPr>
        <sz val="10"/>
        <color rgb="FF0000FF"/>
        <rFont val="宋体"/>
        <family val="3"/>
        <charset val="134"/>
      </rPr>
      <t>合同，网站搜索，电话确认，邮件确认等，请详细记录核实的方式</t>
    </r>
  </si>
  <si>
    <r>
      <rPr>
        <sz val="10"/>
        <color rgb="FF0000FF"/>
        <rFont val="Arial Narrow"/>
        <family val="2"/>
      </rPr>
      <t>2.</t>
    </r>
    <r>
      <rPr>
        <sz val="10"/>
        <color rgb="FF0000FF"/>
        <rFont val="宋体"/>
        <family val="3"/>
        <charset val="134"/>
      </rPr>
      <t>若检查了相关支持性文件或其他公开信息，请记录所检查的详细内容。</t>
    </r>
  </si>
  <si>
    <r>
      <rPr>
        <sz val="10"/>
        <color rgb="FF0000FF"/>
        <rFont val="Arial Narrow"/>
        <family val="2"/>
      </rPr>
      <t>3.</t>
    </r>
    <r>
      <rPr>
        <sz val="10"/>
        <color rgb="FF0000FF"/>
        <rFont val="宋体"/>
        <family val="3"/>
        <charset val="134"/>
      </rPr>
      <t>请记录确认联系人身份的过程。</t>
    </r>
    <r>
      <rPr>
        <u/>
        <sz val="10"/>
        <color rgb="FF0000FF"/>
        <rFont val="宋体"/>
        <family val="3"/>
        <charset val="134"/>
      </rPr>
      <t>注意：在银行函证中，也应注意核实联系人的身份并记录工号（若有）</t>
    </r>
  </si>
  <si>
    <r>
      <rPr>
        <sz val="10"/>
        <color rgb="FF0000FF"/>
        <rFont val="Arial Narrow"/>
        <family val="2"/>
      </rPr>
      <t>4.</t>
    </r>
    <r>
      <rPr>
        <sz val="10"/>
        <color rgb="FF0000FF"/>
        <rFont val="宋体"/>
        <family val="3"/>
        <charset val="134"/>
      </rPr>
      <t>在核实结果中，应注明所检查的信息（包括单位名称、地址、联系人及电话等）是否与被函证单位信息相符。</t>
    </r>
  </si>
  <si>
    <r>
      <rPr>
        <b/>
        <sz val="10"/>
        <color rgb="FF0000FF"/>
        <rFont val="宋体"/>
        <family val="3"/>
        <charset val="134"/>
      </rPr>
      <t>说明</t>
    </r>
    <r>
      <rPr>
        <b/>
        <sz val="10"/>
        <color rgb="FF0000FF"/>
        <rFont val="Arial Narrow"/>
        <family val="2"/>
      </rPr>
      <t>2</t>
    </r>
    <r>
      <rPr>
        <b/>
        <sz val="10"/>
        <color rgb="FF0000FF"/>
        <rFont val="宋体"/>
        <family val="3"/>
        <charset val="134"/>
      </rPr>
      <t>：</t>
    </r>
  </si>
  <si>
    <r>
      <rPr>
        <sz val="10"/>
        <color rgb="FF0000FF"/>
        <rFont val="宋体"/>
        <family val="3"/>
        <charset val="134"/>
      </rPr>
      <t>请详细记录核实函证被退回原因所进行的程序，</t>
    </r>
    <r>
      <rPr>
        <sz val="10"/>
        <color rgb="FF0000FF"/>
        <rFont val="Arial Narrow"/>
        <family val="2"/>
      </rPr>
      <t xml:space="preserve"> </t>
    </r>
    <r>
      <rPr>
        <sz val="10"/>
        <color rgb="FF0000FF"/>
        <rFont val="宋体"/>
        <family val="3"/>
        <charset val="134"/>
      </rPr>
      <t>例如：询问，检查等程序的具体内容</t>
    </r>
  </si>
  <si>
    <r>
      <rPr>
        <b/>
        <sz val="10"/>
        <color rgb="FF0000FF"/>
        <rFont val="宋体"/>
        <family val="3"/>
        <charset val="134"/>
      </rPr>
      <t>说明</t>
    </r>
    <r>
      <rPr>
        <b/>
        <sz val="10"/>
        <color rgb="FF0000FF"/>
        <rFont val="Arial Narrow"/>
        <family val="2"/>
      </rPr>
      <t>3</t>
    </r>
    <r>
      <rPr>
        <b/>
        <sz val="10"/>
        <color rgb="FF0000FF"/>
        <rFont val="宋体"/>
        <family val="3"/>
        <charset val="134"/>
      </rPr>
      <t>：</t>
    </r>
  </si>
  <si>
    <r>
      <rPr>
        <sz val="10"/>
        <color rgb="FF0000FF"/>
        <rFont val="宋体"/>
        <family val="3"/>
        <charset val="134"/>
      </rPr>
      <t>若退回的原因不合理或存在舞弊可能，审计项目组人员应及时告知项目负责人，并咨询有关针对舞弊的审计应对措施</t>
    </r>
  </si>
  <si>
    <r>
      <rPr>
        <b/>
        <sz val="10"/>
        <color rgb="FF0000FF"/>
        <rFont val="宋体"/>
        <family val="3"/>
        <charset val="134"/>
      </rPr>
      <t>说明</t>
    </r>
    <r>
      <rPr>
        <b/>
        <sz val="10"/>
        <color rgb="FF0000FF"/>
        <rFont val="Arial Narrow"/>
        <family val="2"/>
      </rPr>
      <t>4</t>
    </r>
    <r>
      <rPr>
        <b/>
        <sz val="10"/>
        <color rgb="FF0000FF"/>
        <rFont val="宋体"/>
        <family val="3"/>
        <charset val="134"/>
      </rPr>
      <t>：</t>
    </r>
  </si>
  <si>
    <r>
      <rPr>
        <sz val="10"/>
        <color rgb="FF0000FF"/>
        <rFont val="宋体"/>
        <family val="3"/>
        <charset val="134"/>
      </rPr>
      <t>请跟进第二次发函的结果，记录是否送抵被函证方，对于仍被退回的函证，应进行进一步调查并考虑舞弊的可能，同时在相应底稿中记录与之相关的审计风险与对审计的影响。</t>
    </r>
  </si>
  <si>
    <r>
      <rPr>
        <b/>
        <sz val="10"/>
        <color rgb="FF0000FF"/>
        <rFont val="宋体"/>
        <family val="3"/>
        <charset val="134"/>
      </rPr>
      <t>说明</t>
    </r>
    <r>
      <rPr>
        <b/>
        <sz val="10"/>
        <color rgb="FF0000FF"/>
        <rFont val="Arial Narrow"/>
        <family val="2"/>
      </rPr>
      <t>5</t>
    </r>
    <r>
      <rPr>
        <b/>
        <sz val="10"/>
        <color rgb="FF0000FF"/>
        <rFont val="宋体"/>
        <family val="3"/>
        <charset val="134"/>
      </rPr>
      <t>：</t>
    </r>
  </si>
  <si>
    <t>如果被询证者以传真、电子邮件方式回函，审计项目组应当直接接收，并验证传真、电子邮件回函的可靠性，要求被询证者在审计报告日之前寄回询证函原件</t>
  </si>
  <si>
    <r>
      <rPr>
        <sz val="10"/>
        <rFont val="宋体"/>
        <family val="3"/>
        <charset val="134"/>
      </rPr>
      <t>页</t>
    </r>
    <r>
      <rPr>
        <sz val="10"/>
        <rFont val="Arial Narrow"/>
        <family val="2"/>
      </rPr>
      <t xml:space="preserve">   </t>
    </r>
    <r>
      <rPr>
        <sz val="10"/>
        <rFont val="宋体"/>
        <family val="3"/>
        <charset val="134"/>
      </rPr>
      <t>次：</t>
    </r>
  </si>
  <si>
    <r>
      <rPr>
        <b/>
        <sz val="10"/>
        <rFont val="宋体"/>
        <family val="3"/>
        <charset val="134"/>
      </rPr>
      <t>直接至被函证方公司进行函证（</t>
    </r>
    <r>
      <rPr>
        <b/>
        <sz val="10"/>
        <rFont val="Arial Narrow"/>
        <family val="2"/>
      </rPr>
      <t>“</t>
    </r>
    <r>
      <rPr>
        <b/>
        <sz val="10"/>
        <rFont val="宋体"/>
        <family val="3"/>
        <charset val="134"/>
      </rPr>
      <t>跟函</t>
    </r>
    <r>
      <rPr>
        <b/>
        <sz val="10"/>
        <rFont val="Arial Narrow"/>
        <family val="2"/>
      </rPr>
      <t>”</t>
    </r>
    <r>
      <rPr>
        <b/>
        <sz val="10"/>
        <rFont val="宋体"/>
        <family val="3"/>
        <charset val="134"/>
      </rPr>
      <t>）程序的记录</t>
    </r>
    <r>
      <rPr>
        <sz val="10"/>
        <rFont val="Arial Narrow"/>
        <family val="2"/>
      </rPr>
      <t xml:space="preserve">   </t>
    </r>
  </si>
  <si>
    <r>
      <rPr>
        <b/>
        <sz val="10"/>
        <color rgb="FF0000FF"/>
        <rFont val="宋体"/>
        <family val="3"/>
        <charset val="134"/>
      </rPr>
      <t>提示：</t>
    </r>
  </si>
  <si>
    <r>
      <rPr>
        <sz val="10"/>
        <color rgb="FF0000FF"/>
        <rFont val="Arial Narrow"/>
        <family val="2"/>
      </rPr>
      <t>·</t>
    </r>
    <r>
      <rPr>
        <b/>
        <sz val="10"/>
        <color rgb="FF0000FF"/>
        <rFont val="宋体"/>
        <family val="3"/>
        <charset val="134"/>
      </rPr>
      <t>本记录是针对审计项目组成员不通过寄送，而是直接至被函证方公司进行函证（</t>
    </r>
    <r>
      <rPr>
        <b/>
        <sz val="10"/>
        <color rgb="FF0000FF"/>
        <rFont val="Arial Narrow"/>
        <family val="2"/>
      </rPr>
      <t>“</t>
    </r>
    <r>
      <rPr>
        <b/>
        <sz val="10"/>
        <color rgb="FF0000FF"/>
        <rFont val="宋体"/>
        <family val="3"/>
        <charset val="134"/>
      </rPr>
      <t>跟函</t>
    </r>
    <r>
      <rPr>
        <b/>
        <sz val="10"/>
        <color rgb="FF0000FF"/>
        <rFont val="Arial Narrow"/>
        <family val="2"/>
      </rPr>
      <t>”</t>
    </r>
    <r>
      <rPr>
        <b/>
        <sz val="10"/>
        <color rgb="FF0000FF"/>
        <rFont val="宋体"/>
        <family val="3"/>
        <charset val="134"/>
      </rPr>
      <t>）的情况。</t>
    </r>
  </si>
  <si>
    <r>
      <rPr>
        <sz val="10"/>
        <color rgb="FF0000FF"/>
        <rFont val="Arial Narrow"/>
        <family val="2"/>
      </rPr>
      <t>·</t>
    </r>
    <r>
      <rPr>
        <b/>
        <sz val="10"/>
        <color rgb="FF0000FF"/>
        <rFont val="宋体"/>
        <family val="3"/>
        <charset val="134"/>
      </rPr>
      <t>本记录应由执行跟函程序的项目组成员针对每一份经由跟函程序取得的函证编制，并由该跟函人员在记录底稿上手书签署姓名。</t>
    </r>
  </si>
  <si>
    <r>
      <rPr>
        <sz val="10"/>
        <color rgb="FF0000FF"/>
        <rFont val="Arial Narrow"/>
        <family val="2"/>
      </rPr>
      <t>·</t>
    </r>
    <r>
      <rPr>
        <b/>
        <sz val="10"/>
        <color rgb="FF0000FF"/>
        <rFont val="Arial Narrow"/>
        <family val="2"/>
      </rPr>
      <t>[  ]</t>
    </r>
    <r>
      <rPr>
        <b/>
        <sz val="10"/>
        <color rgb="FF0000FF"/>
        <rFont val="宋体"/>
        <family val="3"/>
        <charset val="134"/>
      </rPr>
      <t>中的斜体字请根据实际情况填写。</t>
    </r>
  </si>
  <si>
    <r>
      <rPr>
        <sz val="10"/>
        <rFont val="宋体"/>
        <family val="3"/>
        <charset val="134"/>
      </rPr>
      <t>审计项目组成员</t>
    </r>
    <r>
      <rPr>
        <i/>
        <sz val="10"/>
        <color rgb="FFFF0000"/>
        <rFont val="Arial Narrow"/>
        <family val="2"/>
      </rPr>
      <t>[XXX…]</t>
    </r>
    <r>
      <rPr>
        <sz val="10"/>
        <rFont val="宋体"/>
        <family val="3"/>
        <charset val="134"/>
      </rPr>
      <t>于</t>
    </r>
    <r>
      <rPr>
        <sz val="10"/>
        <color rgb="FFFF0000"/>
        <rFont val="Arial Narrow"/>
        <family val="2"/>
      </rPr>
      <t>[</t>
    </r>
    <r>
      <rPr>
        <i/>
        <sz val="10"/>
        <color rgb="FFFF0000"/>
        <rFont val="Arial Narrow"/>
        <family val="2"/>
      </rPr>
      <t>201X</t>
    </r>
    <r>
      <rPr>
        <i/>
        <sz val="10"/>
        <color rgb="FFFF0000"/>
        <rFont val="宋体"/>
        <family val="3"/>
        <charset val="134"/>
      </rPr>
      <t>年</t>
    </r>
    <r>
      <rPr>
        <i/>
        <sz val="10"/>
        <color rgb="FFFF0000"/>
        <rFont val="Arial Narrow"/>
        <family val="2"/>
      </rPr>
      <t>XX</t>
    </r>
    <r>
      <rPr>
        <i/>
        <sz val="10"/>
        <color rgb="FFFF0000"/>
        <rFont val="宋体"/>
        <family val="3"/>
        <charset val="134"/>
      </rPr>
      <t>月</t>
    </r>
    <r>
      <rPr>
        <i/>
        <sz val="10"/>
        <color rgb="FFFF0000"/>
        <rFont val="Arial Narrow"/>
        <family val="2"/>
      </rPr>
      <t>XX</t>
    </r>
    <r>
      <rPr>
        <i/>
        <sz val="10"/>
        <color rgb="FFFF0000"/>
        <rFont val="宋体"/>
        <family val="3"/>
        <charset val="134"/>
      </rPr>
      <t>日</t>
    </r>
    <r>
      <rPr>
        <sz val="10"/>
        <color rgb="FFFF0000"/>
        <rFont val="Arial Narrow"/>
        <family val="2"/>
      </rPr>
      <t>]</t>
    </r>
    <r>
      <rPr>
        <sz val="10"/>
        <rFont val="宋体"/>
        <family val="3"/>
        <charset val="134"/>
      </rPr>
      <t>与</t>
    </r>
    <r>
      <rPr>
        <i/>
        <sz val="10"/>
        <color rgb="FFFF0000"/>
        <rFont val="Arial Narrow"/>
        <family val="2"/>
      </rPr>
      <t>[</t>
    </r>
    <r>
      <rPr>
        <i/>
        <sz val="10"/>
        <color rgb="FFFF0000"/>
        <rFont val="宋体"/>
        <family val="3"/>
        <charset val="134"/>
      </rPr>
      <t>被审计单位</t>
    </r>
    <r>
      <rPr>
        <i/>
        <sz val="10"/>
        <color rgb="FFFF0000"/>
        <rFont val="Arial Narrow"/>
        <family val="2"/>
      </rPr>
      <t>XX</t>
    </r>
    <r>
      <rPr>
        <i/>
        <sz val="10"/>
        <color rgb="FFFF0000"/>
        <rFont val="宋体"/>
        <family val="3"/>
        <charset val="134"/>
      </rPr>
      <t>部</t>
    </r>
    <r>
      <rPr>
        <i/>
        <sz val="10"/>
        <color rgb="FFFF0000"/>
        <rFont val="Arial Narrow"/>
        <family val="2"/>
      </rPr>
      <t>XX]</t>
    </r>
    <r>
      <rPr>
        <sz val="10"/>
        <rFont val="宋体"/>
        <family val="3"/>
        <charset val="134"/>
      </rPr>
      <t>一同</t>
    </r>
    <r>
      <rPr>
        <sz val="10"/>
        <rFont val="Arial Narrow"/>
        <family val="2"/>
      </rPr>
      <t>/</t>
    </r>
    <r>
      <rPr>
        <sz val="10"/>
        <rFont val="宋体"/>
        <family val="3"/>
        <charset val="134"/>
      </rPr>
      <t>或者在无被审计单位人员陪同下独立至</t>
    </r>
  </si>
  <si>
    <r>
      <rPr>
        <sz val="10"/>
        <rFont val="Arial Narrow"/>
        <family val="2"/>
      </rPr>
      <t>[</t>
    </r>
    <r>
      <rPr>
        <sz val="10"/>
        <rFont val="宋体"/>
        <family val="3"/>
        <charset val="134"/>
      </rPr>
      <t>被函证方单位</t>
    </r>
    <r>
      <rPr>
        <sz val="10"/>
        <rFont val="Arial Narrow"/>
        <family val="2"/>
      </rPr>
      <t>XX</t>
    </r>
    <r>
      <rPr>
        <sz val="10"/>
        <rFont val="宋体"/>
        <family val="3"/>
        <charset val="134"/>
      </rPr>
      <t>财务部</t>
    </r>
    <r>
      <rPr>
        <sz val="10"/>
        <rFont val="Arial Narrow"/>
        <family val="2"/>
      </rPr>
      <t>/[</t>
    </r>
    <r>
      <rPr>
        <sz val="10"/>
        <rFont val="宋体"/>
        <family val="3"/>
        <charset val="134"/>
      </rPr>
      <t>或者其他执行类似职能的</t>
    </r>
    <r>
      <rPr>
        <sz val="10"/>
        <rFont val="Arial Narrow"/>
        <family val="2"/>
      </rPr>
      <t>XXX</t>
    </r>
    <r>
      <rPr>
        <sz val="10"/>
        <rFont val="宋体"/>
        <family val="3"/>
        <charset val="134"/>
      </rPr>
      <t>部门</t>
    </r>
    <r>
      <rPr>
        <sz val="10"/>
        <rFont val="Arial Narrow"/>
        <family val="2"/>
      </rPr>
      <t>]]</t>
    </r>
    <r>
      <rPr>
        <sz val="10"/>
        <rFont val="宋体"/>
        <family val="3"/>
        <charset val="134"/>
      </rPr>
      <t>（</t>
    </r>
    <r>
      <rPr>
        <sz val="10"/>
        <rFont val="Arial Narrow"/>
        <family val="2"/>
      </rPr>
      <t>[</t>
    </r>
    <r>
      <rPr>
        <sz val="10"/>
        <rFont val="宋体"/>
        <family val="3"/>
        <charset val="134"/>
      </rPr>
      <t>地址</t>
    </r>
    <r>
      <rPr>
        <sz val="10"/>
        <rFont val="Arial Narrow"/>
        <family val="2"/>
      </rPr>
      <t>]</t>
    </r>
    <r>
      <rPr>
        <sz val="10"/>
        <rFont val="宋体"/>
        <family val="3"/>
        <charset val="134"/>
      </rPr>
      <t>）执行函证程序。</t>
    </r>
  </si>
  <si>
    <r>
      <rPr>
        <sz val="10"/>
        <rFont val="宋体"/>
        <family val="3"/>
        <charset val="134"/>
      </rPr>
      <t>该函证是在</t>
    </r>
    <r>
      <rPr>
        <sz val="10"/>
        <color rgb="FFFF0000"/>
        <rFont val="Arial Narrow"/>
        <family val="2"/>
      </rPr>
      <t>[</t>
    </r>
    <r>
      <rPr>
        <i/>
        <sz val="10"/>
        <color rgb="FFFF0000"/>
        <rFont val="Arial Narrow"/>
        <family val="2"/>
      </rPr>
      <t>XX</t>
    </r>
    <r>
      <rPr>
        <i/>
        <sz val="10"/>
        <color rgb="FFFF0000"/>
        <rFont val="宋体"/>
        <family val="3"/>
        <charset val="134"/>
      </rPr>
      <t>公司</t>
    </r>
    <r>
      <rPr>
        <sz val="10"/>
        <color rgb="FFFF0000"/>
        <rFont val="Arial Narrow"/>
        <family val="2"/>
      </rPr>
      <t>]</t>
    </r>
    <r>
      <rPr>
        <sz val="10"/>
        <rFont val="宋体"/>
        <family val="3"/>
        <charset val="134"/>
      </rPr>
      <t>的财务部</t>
    </r>
    <r>
      <rPr>
        <i/>
        <sz val="10"/>
        <color rgb="FFFF0000"/>
        <rFont val="Arial Narrow"/>
        <family val="2"/>
      </rPr>
      <t>/[</t>
    </r>
    <r>
      <rPr>
        <i/>
        <sz val="10"/>
        <color rgb="FFFF0000"/>
        <rFont val="宋体"/>
        <family val="3"/>
        <charset val="134"/>
      </rPr>
      <t>或者其他执行类似职能的</t>
    </r>
    <r>
      <rPr>
        <i/>
        <sz val="10"/>
        <color rgb="FFFF0000"/>
        <rFont val="Arial Narrow"/>
        <family val="2"/>
      </rPr>
      <t>XX</t>
    </r>
    <r>
      <rPr>
        <i/>
        <sz val="10"/>
        <color rgb="FFFF0000"/>
        <rFont val="宋体"/>
        <family val="3"/>
        <charset val="134"/>
      </rPr>
      <t>部门</t>
    </r>
    <r>
      <rPr>
        <i/>
        <sz val="10"/>
        <color rgb="FFFF0000"/>
        <rFont val="Arial Narrow"/>
        <family val="2"/>
      </rPr>
      <t>]</t>
    </r>
    <r>
      <rPr>
        <sz val="10"/>
        <rFont val="宋体"/>
        <family val="3"/>
        <charset val="134"/>
      </rPr>
      <t>办理，确认函证的被函证单位工作人员姓名为</t>
    </r>
    <r>
      <rPr>
        <sz val="10"/>
        <color rgb="FFFF0000"/>
        <rFont val="Arial Narrow"/>
        <family val="2"/>
      </rPr>
      <t>[</t>
    </r>
    <r>
      <rPr>
        <i/>
        <sz val="10"/>
        <color rgb="FFFF0000"/>
        <rFont val="Arial Narrow"/>
        <family val="2"/>
      </rPr>
      <t>XX</t>
    </r>
    <r>
      <rPr>
        <sz val="10"/>
        <color rgb="FFFF0000"/>
        <rFont val="Arial Narrow"/>
        <family val="2"/>
      </rPr>
      <t>]</t>
    </r>
    <r>
      <rPr>
        <sz val="10"/>
        <rFont val="宋体"/>
        <family val="3"/>
        <charset val="134"/>
      </rPr>
      <t>，</t>
    </r>
  </si>
  <si>
    <r>
      <rPr>
        <sz val="10"/>
        <rFont val="宋体"/>
        <family val="3"/>
        <charset val="134"/>
      </rPr>
      <t>工号为</t>
    </r>
    <r>
      <rPr>
        <sz val="10"/>
        <rFont val="Arial Narrow"/>
        <family val="2"/>
      </rPr>
      <t>[XX]</t>
    </r>
    <r>
      <rPr>
        <sz val="10"/>
        <rFont val="宋体"/>
        <family val="3"/>
        <charset val="134"/>
      </rPr>
      <t>（如有），我们取得了由被函证方公司确认的函证，函证索引号为</t>
    </r>
    <r>
      <rPr>
        <sz val="10"/>
        <rFont val="Arial Narrow"/>
        <family val="2"/>
      </rPr>
      <t>[XX]</t>
    </r>
    <r>
      <rPr>
        <sz val="10"/>
        <rFont val="宋体"/>
        <family val="3"/>
        <charset val="134"/>
      </rPr>
      <t>。</t>
    </r>
  </si>
  <si>
    <r>
      <rPr>
        <sz val="10"/>
        <color rgb="FF0000FF"/>
        <rFont val="Arial Narrow"/>
        <family val="2"/>
      </rPr>
      <t>*</t>
    </r>
    <r>
      <rPr>
        <sz val="10"/>
        <color rgb="FF0000FF"/>
        <rFont val="宋体"/>
        <family val="3"/>
        <charset val="134"/>
      </rPr>
      <t>若被函证单位无法即时确认函证，而要求跟函人员将函证留下，待确认后再寄回事务所相关办公室则考虑使用以下内容</t>
    </r>
  </si>
  <si>
    <r>
      <rPr>
        <sz val="10"/>
        <rFont val="宋体"/>
        <family val="3"/>
        <charset val="134"/>
      </rPr>
      <t>审计项目组成员</t>
    </r>
    <r>
      <rPr>
        <sz val="10"/>
        <color rgb="FFFF0000"/>
        <rFont val="Arial Narrow"/>
        <family val="2"/>
      </rPr>
      <t>[</t>
    </r>
    <r>
      <rPr>
        <i/>
        <sz val="10"/>
        <color rgb="FFFF0000"/>
        <rFont val="Arial Narrow"/>
        <family val="2"/>
      </rPr>
      <t>XX…</t>
    </r>
    <r>
      <rPr>
        <sz val="10"/>
        <color rgb="FFFF0000"/>
        <rFont val="Arial Narrow"/>
        <family val="2"/>
      </rPr>
      <t>]</t>
    </r>
    <r>
      <rPr>
        <sz val="10"/>
        <rFont val="宋体"/>
        <family val="3"/>
        <charset val="134"/>
      </rPr>
      <t>于</t>
    </r>
    <r>
      <rPr>
        <sz val="10"/>
        <color rgb="FFFF0000"/>
        <rFont val="Arial Narrow"/>
        <family val="2"/>
      </rPr>
      <t>[</t>
    </r>
    <r>
      <rPr>
        <i/>
        <sz val="10"/>
        <color rgb="FFFF0000"/>
        <rFont val="Arial Narrow"/>
        <family val="2"/>
      </rPr>
      <t>201X</t>
    </r>
    <r>
      <rPr>
        <i/>
        <sz val="10"/>
        <color rgb="FFFF0000"/>
        <rFont val="宋体"/>
        <family val="3"/>
        <charset val="134"/>
      </rPr>
      <t>年</t>
    </r>
    <r>
      <rPr>
        <i/>
        <sz val="10"/>
        <color rgb="FFFF0000"/>
        <rFont val="Arial Narrow"/>
        <family val="2"/>
      </rPr>
      <t>XX</t>
    </r>
    <r>
      <rPr>
        <i/>
        <sz val="10"/>
        <color rgb="FFFF0000"/>
        <rFont val="宋体"/>
        <family val="3"/>
        <charset val="134"/>
      </rPr>
      <t>月</t>
    </r>
    <r>
      <rPr>
        <i/>
        <sz val="10"/>
        <color rgb="FFFF0000"/>
        <rFont val="Arial Narrow"/>
        <family val="2"/>
      </rPr>
      <t>XX</t>
    </r>
    <r>
      <rPr>
        <i/>
        <sz val="10"/>
        <color rgb="FFFF0000"/>
        <rFont val="宋体"/>
        <family val="3"/>
        <charset val="134"/>
      </rPr>
      <t>日</t>
    </r>
    <r>
      <rPr>
        <sz val="10"/>
        <color rgb="FFFF0000"/>
        <rFont val="Arial Narrow"/>
        <family val="2"/>
      </rPr>
      <t>]</t>
    </r>
    <r>
      <rPr>
        <sz val="10"/>
        <rFont val="宋体"/>
        <family val="3"/>
        <charset val="134"/>
      </rPr>
      <t>至</t>
    </r>
    <r>
      <rPr>
        <sz val="10"/>
        <color rgb="FFFF0000"/>
        <rFont val="Arial Narrow"/>
        <family val="2"/>
      </rPr>
      <t>[</t>
    </r>
    <r>
      <rPr>
        <i/>
        <sz val="10"/>
        <color rgb="FFFF0000"/>
        <rFont val="宋体"/>
        <family val="3"/>
        <charset val="134"/>
      </rPr>
      <t>被函证单位全称</t>
    </r>
    <r>
      <rPr>
        <sz val="10"/>
        <color rgb="FFFF0000"/>
        <rFont val="Arial Narrow"/>
        <family val="2"/>
      </rPr>
      <t>]</t>
    </r>
    <r>
      <rPr>
        <sz val="10"/>
        <color rgb="FFFF0000"/>
        <rFont val="宋体"/>
        <family val="3"/>
        <charset val="134"/>
      </rPr>
      <t>（</t>
    </r>
    <r>
      <rPr>
        <sz val="10"/>
        <color rgb="FFFF0000"/>
        <rFont val="Arial Narrow"/>
        <family val="2"/>
      </rPr>
      <t>[</t>
    </r>
    <r>
      <rPr>
        <i/>
        <sz val="10"/>
        <color rgb="FFFF0000"/>
        <rFont val="宋体"/>
        <family val="3"/>
        <charset val="134"/>
      </rPr>
      <t>地址</t>
    </r>
    <r>
      <rPr>
        <sz val="10"/>
        <color rgb="FFFF0000"/>
        <rFont val="Arial Narrow"/>
        <family val="2"/>
      </rPr>
      <t>]</t>
    </r>
    <r>
      <rPr>
        <sz val="10"/>
        <color rgb="FFFF0000"/>
        <rFont val="宋体"/>
        <family val="3"/>
        <charset val="134"/>
      </rPr>
      <t>）</t>
    </r>
    <r>
      <rPr>
        <sz val="10"/>
        <rFont val="宋体"/>
        <family val="3"/>
        <charset val="134"/>
      </rPr>
      <t>实行函证程序，</t>
    </r>
    <r>
      <rPr>
        <i/>
        <sz val="10"/>
        <rFont val="宋体"/>
        <family val="3"/>
        <charset val="134"/>
      </rPr>
      <t>被函证单位</t>
    </r>
    <r>
      <rPr>
        <sz val="10"/>
        <rFont val="宋体"/>
        <family val="3"/>
        <charset val="134"/>
      </rPr>
      <t>人员</t>
    </r>
    <r>
      <rPr>
        <i/>
        <sz val="10"/>
        <color rgb="FFFF0000"/>
        <rFont val="Arial Narrow"/>
        <family val="2"/>
      </rPr>
      <t>XX</t>
    </r>
    <r>
      <rPr>
        <sz val="10"/>
        <rFont val="宋体"/>
        <family val="3"/>
        <charset val="134"/>
      </rPr>
      <t>告知我</t>
    </r>
    <r>
      <rPr>
        <sz val="10"/>
        <rFont val="Arial Narrow"/>
        <family val="2"/>
      </rPr>
      <t>/</t>
    </r>
  </si>
  <si>
    <r>
      <rPr>
        <sz val="10"/>
        <rFont val="Arial Narrow"/>
        <family val="2"/>
      </rPr>
      <t>[</t>
    </r>
    <r>
      <rPr>
        <sz val="10"/>
        <rFont val="宋体"/>
        <family val="3"/>
        <charset val="134"/>
      </rPr>
      <t>我们</t>
    </r>
    <r>
      <rPr>
        <sz val="10"/>
        <rFont val="Arial Narrow"/>
        <family val="2"/>
      </rPr>
      <t>]</t>
    </r>
    <r>
      <rPr>
        <sz val="10"/>
        <rFont val="宋体"/>
        <family val="3"/>
        <charset val="134"/>
      </rPr>
      <t>无法现场即时确认该函证，需要做详细查询后才可以确认，并同意将确认的函证直接寄回致同会计师事务</t>
    </r>
    <r>
      <rPr>
        <sz val="10"/>
        <rFont val="Arial Narrow"/>
        <family val="2"/>
      </rPr>
      <t>XX</t>
    </r>
    <r>
      <rPr>
        <sz val="10"/>
        <rFont val="宋体"/>
        <family val="3"/>
        <charset val="134"/>
      </rPr>
      <t>办公室</t>
    </r>
    <r>
      <rPr>
        <sz val="10"/>
        <rFont val="Arial Narrow"/>
        <family val="2"/>
      </rPr>
      <t>](</t>
    </r>
    <r>
      <rPr>
        <sz val="10"/>
        <rFont val="宋体"/>
        <family val="3"/>
        <charset val="134"/>
      </rPr>
      <t>可以根据实际情况进行修改</t>
    </r>
    <r>
      <rPr>
        <sz val="10"/>
        <rFont val="Arial Narrow"/>
        <family val="2"/>
      </rPr>
      <t>)</t>
    </r>
    <r>
      <rPr>
        <sz val="10"/>
        <rFont val="宋体"/>
        <family val="3"/>
        <charset val="134"/>
      </rPr>
      <t>。</t>
    </r>
  </si>
  <si>
    <r>
      <rPr>
        <sz val="10"/>
        <color rgb="FFFF0000"/>
        <rFont val="Arial Narrow"/>
        <family val="2"/>
      </rPr>
      <t>[</t>
    </r>
    <r>
      <rPr>
        <i/>
        <sz val="10"/>
        <color rgb="FFFF0000"/>
        <rFont val="宋体"/>
        <family val="3"/>
        <charset val="134"/>
      </rPr>
      <t>我，或者我们</t>
    </r>
    <r>
      <rPr>
        <sz val="10"/>
        <color rgb="FFFF0000"/>
        <rFont val="Arial Narrow"/>
        <family val="2"/>
      </rPr>
      <t>]</t>
    </r>
    <r>
      <rPr>
        <sz val="10"/>
        <rFont val="宋体"/>
        <family val="3"/>
        <charset val="134"/>
      </rPr>
      <t>亲自将该函证交给被函证单位的人员</t>
    </r>
    <r>
      <rPr>
        <sz val="10"/>
        <color rgb="FFFF0000"/>
        <rFont val="Arial Narrow"/>
        <family val="2"/>
      </rPr>
      <t>[</t>
    </r>
    <r>
      <rPr>
        <i/>
        <sz val="10"/>
        <color rgb="FFFF0000"/>
        <rFont val="宋体"/>
        <family val="3"/>
        <charset val="134"/>
      </rPr>
      <t>姓名</t>
    </r>
    <r>
      <rPr>
        <i/>
        <sz val="10"/>
        <color rgb="FFFF0000"/>
        <rFont val="Arial Narrow"/>
        <family val="2"/>
      </rPr>
      <t>XX</t>
    </r>
    <r>
      <rPr>
        <sz val="10"/>
        <color rgb="FFFF0000"/>
        <rFont val="Arial Narrow"/>
        <family val="2"/>
      </rPr>
      <t>]</t>
    </r>
    <r>
      <rPr>
        <sz val="10"/>
        <rFont val="宋体"/>
        <family val="3"/>
        <charset val="134"/>
      </rPr>
      <t>，工号为</t>
    </r>
    <r>
      <rPr>
        <sz val="10"/>
        <color rgb="FFFF0000"/>
        <rFont val="Arial Narrow"/>
        <family val="2"/>
      </rPr>
      <t>[</t>
    </r>
    <r>
      <rPr>
        <i/>
        <sz val="10"/>
        <color rgb="FFFF0000"/>
        <rFont val="Arial Narrow"/>
        <family val="2"/>
      </rPr>
      <t>XX</t>
    </r>
    <r>
      <rPr>
        <sz val="10"/>
        <color rgb="FFFF0000"/>
        <rFont val="Arial Narrow"/>
        <family val="2"/>
      </rPr>
      <t>]</t>
    </r>
    <r>
      <rPr>
        <sz val="10"/>
        <rFont val="宋体"/>
        <family val="3"/>
        <charset val="134"/>
      </rPr>
      <t>（如有）办理。并将致同会计师事务</t>
    </r>
    <r>
      <rPr>
        <sz val="10"/>
        <color rgb="FFFF0000"/>
        <rFont val="Arial Narrow"/>
        <family val="2"/>
      </rPr>
      <t>XX</t>
    </r>
    <r>
      <rPr>
        <sz val="10"/>
        <rFont val="宋体"/>
        <family val="3"/>
        <charset val="134"/>
      </rPr>
      <t>办公室的函证回邮信封留给该工作人员。</t>
    </r>
  </si>
  <si>
    <r>
      <rPr>
        <sz val="10"/>
        <rFont val="宋体"/>
        <family val="3"/>
        <charset val="134"/>
      </rPr>
      <t>跟函人员（或者项目组其他成员）</t>
    </r>
    <r>
      <rPr>
        <sz val="10"/>
        <color rgb="FFFF0000"/>
        <rFont val="Arial Narrow"/>
        <family val="2"/>
      </rPr>
      <t>[</t>
    </r>
    <r>
      <rPr>
        <i/>
        <sz val="10"/>
        <color rgb="FFFF0000"/>
        <rFont val="Arial Narrow"/>
        <family val="2"/>
      </rPr>
      <t>XX</t>
    </r>
    <r>
      <rPr>
        <sz val="10"/>
        <color rgb="FFFF0000"/>
        <rFont val="Arial Narrow"/>
        <family val="2"/>
      </rPr>
      <t>]</t>
    </r>
    <r>
      <rPr>
        <sz val="10"/>
        <color rgb="FFFF0000"/>
        <rFont val="宋体"/>
        <family val="3"/>
        <charset val="134"/>
      </rPr>
      <t>在</t>
    </r>
    <r>
      <rPr>
        <sz val="10"/>
        <color rgb="FFFF0000"/>
        <rFont val="Arial Narrow"/>
        <family val="2"/>
      </rPr>
      <t>[</t>
    </r>
    <r>
      <rPr>
        <i/>
        <sz val="10"/>
        <color rgb="FFFF0000"/>
        <rFont val="Arial Narrow"/>
        <family val="2"/>
      </rPr>
      <t>XX]</t>
    </r>
    <r>
      <rPr>
        <sz val="10"/>
        <color rgb="FFFF0000"/>
        <rFont val="宋体"/>
        <family val="3"/>
        <charset val="134"/>
      </rPr>
      <t>年</t>
    </r>
    <r>
      <rPr>
        <sz val="10"/>
        <color rgb="FFFF0000"/>
        <rFont val="Arial Narrow"/>
        <family val="2"/>
      </rPr>
      <t>[</t>
    </r>
    <r>
      <rPr>
        <i/>
        <sz val="10"/>
        <color rgb="FFFF0000"/>
        <rFont val="Arial Narrow"/>
        <family val="2"/>
      </rPr>
      <t>XX</t>
    </r>
    <r>
      <rPr>
        <sz val="10"/>
        <color rgb="FFFF0000"/>
        <rFont val="Arial Narrow"/>
        <family val="2"/>
      </rPr>
      <t>]</t>
    </r>
    <r>
      <rPr>
        <sz val="10"/>
        <color rgb="FFFF0000"/>
        <rFont val="宋体"/>
        <family val="3"/>
        <charset val="134"/>
      </rPr>
      <t>月</t>
    </r>
    <r>
      <rPr>
        <sz val="10"/>
        <color rgb="FFFF0000"/>
        <rFont val="Arial Narrow"/>
        <family val="2"/>
      </rPr>
      <t>[</t>
    </r>
    <r>
      <rPr>
        <i/>
        <sz val="10"/>
        <color rgb="FFFF0000"/>
        <rFont val="Arial Narrow"/>
        <family val="2"/>
      </rPr>
      <t>XX</t>
    </r>
    <r>
      <rPr>
        <sz val="10"/>
        <color rgb="FFFF0000"/>
        <rFont val="Arial Narrow"/>
        <family val="2"/>
      </rPr>
      <t>]</t>
    </r>
    <r>
      <rPr>
        <sz val="10"/>
        <color rgb="FFFF0000"/>
        <rFont val="宋体"/>
        <family val="3"/>
        <charset val="134"/>
      </rPr>
      <t>日</t>
    </r>
    <r>
      <rPr>
        <sz val="10"/>
        <rFont val="宋体"/>
        <family val="3"/>
        <charset val="134"/>
      </rPr>
      <t>致电</t>
    </r>
    <r>
      <rPr>
        <i/>
        <sz val="10"/>
        <color rgb="FFFF0000"/>
        <rFont val="Arial Narrow"/>
        <family val="2"/>
      </rPr>
      <t>[</t>
    </r>
    <r>
      <rPr>
        <i/>
        <sz val="10"/>
        <color rgb="FFFF0000"/>
        <rFont val="宋体"/>
        <family val="3"/>
        <charset val="134"/>
      </rPr>
      <t>被函证方全称</t>
    </r>
    <r>
      <rPr>
        <i/>
        <sz val="10"/>
        <color rgb="FFFF0000"/>
        <rFont val="Arial Narrow"/>
        <family val="2"/>
      </rPr>
      <t>]</t>
    </r>
    <r>
      <rPr>
        <sz val="10"/>
        <rFont val="宋体"/>
        <family val="3"/>
        <charset val="134"/>
      </rPr>
      <t>对外公开电话，号码为</t>
    </r>
    <r>
      <rPr>
        <i/>
        <sz val="10"/>
        <color rgb="FFFF0000"/>
        <rFont val="Arial Narrow"/>
        <family val="2"/>
      </rPr>
      <t>[XX]</t>
    </r>
    <r>
      <rPr>
        <sz val="10"/>
        <rFont val="宋体"/>
        <family val="3"/>
        <charset val="134"/>
      </rPr>
      <t>，并与被函证单位工作人员确认其确实于</t>
    </r>
  </si>
  <si>
    <r>
      <rPr>
        <sz val="10"/>
        <color rgb="FFFF0000"/>
        <rFont val="Arial Narrow"/>
        <family val="2"/>
      </rPr>
      <t>[XX]</t>
    </r>
    <r>
      <rPr>
        <sz val="10"/>
        <color rgb="FFFF0000"/>
        <rFont val="宋体"/>
        <family val="3"/>
        <charset val="134"/>
      </rPr>
      <t>年</t>
    </r>
    <r>
      <rPr>
        <sz val="10"/>
        <color rgb="FFFF0000"/>
        <rFont val="Arial Narrow"/>
        <family val="2"/>
      </rPr>
      <t>[XX]</t>
    </r>
    <r>
      <rPr>
        <sz val="10"/>
        <color rgb="FFFF0000"/>
        <rFont val="宋体"/>
        <family val="3"/>
        <charset val="134"/>
      </rPr>
      <t>月</t>
    </r>
    <r>
      <rPr>
        <sz val="10"/>
        <color rgb="FFFF0000"/>
        <rFont val="Arial Narrow"/>
        <family val="2"/>
      </rPr>
      <t>[XX]</t>
    </r>
    <r>
      <rPr>
        <sz val="10"/>
        <color rgb="FFFF0000"/>
        <rFont val="宋体"/>
        <family val="3"/>
        <charset val="134"/>
      </rPr>
      <t>日</t>
    </r>
    <r>
      <rPr>
        <sz val="10"/>
        <rFont val="宋体"/>
        <family val="3"/>
        <charset val="134"/>
      </rPr>
      <t>接待我们的跟函人员，确认</t>
    </r>
    <r>
      <rPr>
        <sz val="10"/>
        <rFont val="Arial Narrow"/>
        <family val="2"/>
      </rPr>
      <t>[</t>
    </r>
    <r>
      <rPr>
        <sz val="10"/>
        <rFont val="宋体"/>
        <family val="3"/>
        <charset val="134"/>
      </rPr>
      <t>发函公司名称</t>
    </r>
    <r>
      <rPr>
        <sz val="10"/>
        <rFont val="Arial Narrow"/>
        <family val="2"/>
      </rPr>
      <t>]</t>
    </r>
    <r>
      <rPr>
        <sz val="10"/>
        <rFont val="宋体"/>
        <family val="3"/>
        <charset val="134"/>
      </rPr>
      <t>的函证。</t>
    </r>
  </si>
  <si>
    <r>
      <rPr>
        <sz val="10"/>
        <rFont val="宋体"/>
        <family val="3"/>
        <charset val="134"/>
      </rPr>
      <t>注：如果在完成本备忘录之后才收回函证，建议在本备忘录中作如下记录：</t>
    </r>
  </si>
  <si>
    <r>
      <rPr>
        <sz val="10"/>
        <rFont val="宋体"/>
        <family val="3"/>
        <charset val="134"/>
      </rPr>
      <t>该函证于</t>
    </r>
    <r>
      <rPr>
        <i/>
        <sz val="10"/>
        <color rgb="FFFF0000"/>
        <rFont val="Arial Narrow"/>
        <family val="2"/>
      </rPr>
      <t>[201X</t>
    </r>
    <r>
      <rPr>
        <i/>
        <sz val="10"/>
        <color rgb="FFFF0000"/>
        <rFont val="宋体"/>
        <family val="3"/>
        <charset val="134"/>
      </rPr>
      <t>年</t>
    </r>
    <r>
      <rPr>
        <i/>
        <sz val="10"/>
        <color rgb="FFFF0000"/>
        <rFont val="Arial Narrow"/>
        <family val="2"/>
      </rPr>
      <t>XX</t>
    </r>
    <r>
      <rPr>
        <i/>
        <sz val="10"/>
        <color rgb="FFFF0000"/>
        <rFont val="宋体"/>
        <family val="3"/>
        <charset val="134"/>
      </rPr>
      <t>月</t>
    </r>
    <r>
      <rPr>
        <i/>
        <sz val="10"/>
        <color rgb="FFFF0000"/>
        <rFont val="Arial Narrow"/>
        <family val="2"/>
      </rPr>
      <t>XX</t>
    </r>
    <r>
      <rPr>
        <i/>
        <sz val="10"/>
        <color rgb="FFFF0000"/>
        <rFont val="宋体"/>
        <family val="3"/>
        <charset val="134"/>
      </rPr>
      <t>日</t>
    </r>
    <r>
      <rPr>
        <i/>
        <sz val="10"/>
        <color rgb="FFFF0000"/>
        <rFont val="Arial Narrow"/>
        <family val="2"/>
      </rPr>
      <t>]</t>
    </r>
    <r>
      <rPr>
        <sz val="10"/>
        <rFont val="宋体"/>
        <family val="3"/>
        <charset val="134"/>
      </rPr>
      <t>寄回致同会计师事务</t>
    </r>
    <r>
      <rPr>
        <i/>
        <sz val="10"/>
        <color rgb="FFFF0000"/>
        <rFont val="Arial Narrow"/>
        <family val="2"/>
      </rPr>
      <t>XX</t>
    </r>
    <r>
      <rPr>
        <sz val="10"/>
        <rFont val="宋体"/>
        <family val="3"/>
        <charset val="134"/>
      </rPr>
      <t>办公室。</t>
    </r>
    <r>
      <rPr>
        <i/>
        <sz val="10"/>
        <rFont val="宋体"/>
        <family val="3"/>
        <charset val="134"/>
      </rPr>
      <t>函证索引号为</t>
    </r>
    <r>
      <rPr>
        <i/>
        <sz val="10"/>
        <color rgb="FFFF0000"/>
        <rFont val="Arial Narrow"/>
        <family val="2"/>
      </rPr>
      <t>[XX]</t>
    </r>
  </si>
  <si>
    <t>是否了解处理函证的通常流程和处理人员</t>
  </si>
  <si>
    <t>是否确认询证函处理人员的身份及权限</t>
  </si>
  <si>
    <t>处理人员是否按正常流程处理</t>
  </si>
  <si>
    <r>
      <rPr>
        <b/>
        <sz val="10"/>
        <rFont val="宋体"/>
        <family val="3"/>
        <charset val="134"/>
      </rPr>
      <t>审计项目组成员签名：</t>
    </r>
    <r>
      <rPr>
        <b/>
        <sz val="10"/>
        <rFont val="Arial Narrow"/>
        <family val="2"/>
      </rPr>
      <t xml:space="preserve">__________________      </t>
    </r>
    <r>
      <rPr>
        <b/>
        <sz val="10"/>
        <rFont val="宋体"/>
        <family val="3"/>
        <charset val="134"/>
      </rPr>
      <t>日期：</t>
    </r>
    <r>
      <rPr>
        <b/>
        <sz val="10"/>
        <rFont val="Arial Narrow"/>
        <family val="2"/>
      </rPr>
      <t>_____________________</t>
    </r>
  </si>
  <si>
    <r>
      <rPr>
        <b/>
        <sz val="14"/>
        <rFont val="宋体"/>
        <family val="3"/>
        <charset val="134"/>
      </rPr>
      <t>长期应付款</t>
    </r>
    <r>
      <rPr>
        <b/>
        <sz val="14"/>
        <color rgb="FFFF0000"/>
        <rFont val="宋体"/>
        <family val="3"/>
        <charset val="134"/>
      </rPr>
      <t>/应付债券</t>
    </r>
    <r>
      <rPr>
        <b/>
        <sz val="14"/>
        <rFont val="宋体"/>
        <family val="3"/>
        <charset val="134"/>
      </rPr>
      <t>函证差异调节表</t>
    </r>
  </si>
  <si>
    <r>
      <rPr>
        <b/>
        <sz val="10"/>
        <rFont val="宋体"/>
        <family val="3"/>
        <charset val="134"/>
      </rPr>
      <t>询证函索引号</t>
    </r>
  </si>
  <si>
    <r>
      <rPr>
        <b/>
        <sz val="10"/>
        <rFont val="宋体"/>
        <family val="3"/>
        <charset val="134"/>
      </rPr>
      <t>发函金额</t>
    </r>
  </si>
  <si>
    <r>
      <rPr>
        <b/>
        <sz val="10"/>
        <rFont val="宋体"/>
        <family val="3"/>
        <charset val="134"/>
      </rPr>
      <t>差异原因</t>
    </r>
  </si>
  <si>
    <r>
      <rPr>
        <b/>
        <sz val="10"/>
        <rFont val="宋体"/>
        <family val="3"/>
        <charset val="134"/>
      </rPr>
      <t>相关支持性证据</t>
    </r>
  </si>
  <si>
    <r>
      <rPr>
        <b/>
        <sz val="10"/>
        <rFont val="宋体"/>
        <family val="3"/>
        <charset val="134"/>
      </rPr>
      <t>是否调整</t>
    </r>
  </si>
  <si>
    <r>
      <rPr>
        <b/>
        <sz val="10"/>
        <rFont val="宋体"/>
        <family val="3"/>
        <charset val="134"/>
      </rPr>
      <t>合计</t>
    </r>
  </si>
  <si>
    <r>
      <rPr>
        <b/>
        <sz val="14"/>
        <rFont val="宋体"/>
        <family val="3"/>
        <charset val="134"/>
      </rPr>
      <t>函证差异检查表</t>
    </r>
    <r>
      <rPr>
        <b/>
        <sz val="14"/>
        <color rgb="FFFF0000"/>
        <rFont val="宋体"/>
        <family val="3"/>
        <charset val="134"/>
      </rPr>
      <t>-XX公司</t>
    </r>
  </si>
  <si>
    <r>
      <rPr>
        <b/>
        <sz val="9"/>
        <rFont val="宋体"/>
        <family val="3"/>
        <charset val="134"/>
      </rPr>
      <t>序号</t>
    </r>
  </si>
  <si>
    <r>
      <rPr>
        <b/>
        <sz val="9"/>
        <rFont val="宋体"/>
        <family val="3"/>
        <charset val="134"/>
      </rPr>
      <t>项目</t>
    </r>
  </si>
  <si>
    <r>
      <rPr>
        <b/>
        <sz val="9"/>
        <rFont val="宋体"/>
        <family val="3"/>
        <charset val="134"/>
      </rPr>
      <t>金额</t>
    </r>
  </si>
  <si>
    <r>
      <rPr>
        <b/>
        <sz val="9"/>
        <rFont val="宋体"/>
        <family val="3"/>
        <charset val="134"/>
      </rPr>
      <t>是否调整</t>
    </r>
  </si>
  <si>
    <t>A</t>
  </si>
  <si>
    <r>
      <rPr>
        <sz val="9"/>
        <rFont val="宋体"/>
        <family val="3"/>
        <charset val="134"/>
      </rPr>
      <t>被询证方回函金额</t>
    </r>
  </si>
  <si>
    <t>B</t>
  </si>
  <si>
    <r>
      <rPr>
        <sz val="9"/>
        <rFont val="宋体"/>
        <family val="3"/>
        <charset val="134"/>
      </rPr>
      <t>本公司已记录应付账款增加，而被询证方尚未确认的金额合计</t>
    </r>
  </si>
  <si>
    <r>
      <rPr>
        <sz val="9"/>
        <rFont val="宋体"/>
        <family val="3"/>
        <charset val="134"/>
      </rPr>
      <t>本公司收货日期</t>
    </r>
  </si>
  <si>
    <r>
      <rPr>
        <sz val="9"/>
        <rFont val="宋体"/>
        <family val="3"/>
        <charset val="134"/>
      </rPr>
      <t>本公司确认应付账款增加的日期</t>
    </r>
  </si>
  <si>
    <r>
      <rPr>
        <sz val="9"/>
        <rFont val="宋体"/>
        <family val="3"/>
        <charset val="134"/>
      </rPr>
      <t>记账凭证号</t>
    </r>
  </si>
  <si>
    <t>…</t>
  </si>
  <si>
    <t>C</t>
  </si>
  <si>
    <r>
      <rPr>
        <sz val="9"/>
        <rFont val="宋体"/>
        <family val="3"/>
        <charset val="134"/>
      </rPr>
      <t>本公司已记录应付账款减少，而被询证方尚未确认的金额合计</t>
    </r>
  </si>
  <si>
    <r>
      <rPr>
        <sz val="9"/>
        <rFont val="宋体"/>
        <family val="3"/>
        <charset val="134"/>
      </rPr>
      <t>本公司付款日期</t>
    </r>
  </si>
  <si>
    <r>
      <rPr>
        <sz val="9"/>
        <rFont val="宋体"/>
        <family val="3"/>
        <charset val="134"/>
      </rPr>
      <t>本公司确认应付账款减少的日期</t>
    </r>
  </si>
  <si>
    <t>D</t>
  </si>
  <si>
    <r>
      <rPr>
        <sz val="9"/>
        <rFont val="宋体"/>
        <family val="3"/>
        <charset val="134"/>
      </rPr>
      <t>调节后的被询证方余额（</t>
    </r>
    <r>
      <rPr>
        <sz val="9"/>
        <rFont val="Arial Narrow"/>
        <family val="2"/>
      </rPr>
      <t>D</t>
    </r>
    <r>
      <rPr>
        <sz val="9"/>
        <rFont val="宋体"/>
        <family val="3"/>
        <charset val="134"/>
      </rPr>
      <t>＝</t>
    </r>
    <r>
      <rPr>
        <sz val="9"/>
        <rFont val="Arial Narrow"/>
        <family val="2"/>
      </rPr>
      <t>A</t>
    </r>
    <r>
      <rPr>
        <sz val="9"/>
        <rFont val="宋体"/>
        <family val="3"/>
        <charset val="134"/>
      </rPr>
      <t>＋</t>
    </r>
    <r>
      <rPr>
        <sz val="9"/>
        <rFont val="Arial Narrow"/>
        <family val="2"/>
      </rPr>
      <t>B</t>
    </r>
    <r>
      <rPr>
        <sz val="9"/>
        <rFont val="宋体"/>
        <family val="3"/>
        <charset val="134"/>
      </rPr>
      <t>－</t>
    </r>
    <r>
      <rPr>
        <sz val="9"/>
        <rFont val="Arial Narrow"/>
        <family val="2"/>
      </rPr>
      <t>C</t>
    </r>
    <r>
      <rPr>
        <sz val="9"/>
        <rFont val="宋体"/>
        <family val="3"/>
        <charset val="134"/>
      </rPr>
      <t>）</t>
    </r>
  </si>
  <si>
    <t>E</t>
  </si>
  <si>
    <r>
      <rPr>
        <sz val="9"/>
        <rFont val="宋体"/>
        <family val="3"/>
        <charset val="134"/>
      </rPr>
      <t>本公司账面记录余额</t>
    </r>
  </si>
  <si>
    <t>F</t>
  </si>
  <si>
    <r>
      <rPr>
        <sz val="9"/>
        <rFont val="宋体"/>
        <family val="3"/>
        <charset val="134"/>
      </rPr>
      <t>被询证方已记录应付账款增加，而本公司尚未确认的应付账款合计</t>
    </r>
  </si>
  <si>
    <t>G</t>
  </si>
  <si>
    <r>
      <rPr>
        <sz val="9"/>
        <rFont val="宋体"/>
        <family val="3"/>
        <charset val="134"/>
      </rPr>
      <t>被询证方已记录支付应付账款，而本公司尚未收到的应付账款合计</t>
    </r>
  </si>
  <si>
    <t>H</t>
  </si>
  <si>
    <r>
      <rPr>
        <sz val="9"/>
        <rFont val="宋体"/>
        <family val="3"/>
        <charset val="134"/>
      </rPr>
      <t>调节后本公司账面余额</t>
    </r>
    <r>
      <rPr>
        <sz val="9"/>
        <rFont val="Arial Narrow"/>
        <family val="2"/>
      </rPr>
      <t>H</t>
    </r>
    <r>
      <rPr>
        <sz val="9"/>
        <rFont val="宋体"/>
        <family val="3"/>
        <charset val="134"/>
      </rPr>
      <t>＝</t>
    </r>
    <r>
      <rPr>
        <sz val="9"/>
        <rFont val="Arial Narrow"/>
        <family val="2"/>
      </rPr>
      <t>E</t>
    </r>
    <r>
      <rPr>
        <sz val="9"/>
        <rFont val="宋体"/>
        <family val="3"/>
        <charset val="134"/>
      </rPr>
      <t>＋</t>
    </r>
    <r>
      <rPr>
        <sz val="9"/>
        <rFont val="Arial Narrow"/>
        <family val="2"/>
      </rPr>
      <t>F</t>
    </r>
    <r>
      <rPr>
        <sz val="9"/>
        <rFont val="宋体"/>
        <family val="3"/>
        <charset val="134"/>
      </rPr>
      <t>－</t>
    </r>
    <r>
      <rPr>
        <sz val="9"/>
        <rFont val="Arial Narrow"/>
        <family val="2"/>
      </rPr>
      <t>G</t>
    </r>
  </si>
  <si>
    <t>I</t>
  </si>
  <si>
    <r>
      <rPr>
        <sz val="9"/>
        <rFont val="宋体"/>
        <family val="3"/>
        <charset val="134"/>
      </rPr>
      <t>差异＝</t>
    </r>
    <r>
      <rPr>
        <sz val="9"/>
        <rFont val="Arial Narrow"/>
        <family val="2"/>
      </rPr>
      <t>H</t>
    </r>
    <r>
      <rPr>
        <sz val="9"/>
        <rFont val="宋体"/>
        <family val="3"/>
        <charset val="134"/>
      </rPr>
      <t>－</t>
    </r>
    <r>
      <rPr>
        <sz val="9"/>
        <rFont val="Arial Narrow"/>
        <family val="2"/>
      </rPr>
      <t>D</t>
    </r>
  </si>
  <si>
    <r>
      <rPr>
        <b/>
        <sz val="10"/>
        <rFont val="宋体"/>
        <family val="3"/>
        <charset val="134"/>
      </rPr>
      <t>审计说明：</t>
    </r>
  </si>
  <si>
    <t>长期应付款替代程序检查表-XX公司</t>
  </si>
  <si>
    <r>
      <rPr>
        <sz val="10"/>
        <rFont val="宋体"/>
        <family val="3"/>
        <charset val="134"/>
      </rPr>
      <t>页次：</t>
    </r>
  </si>
  <si>
    <r>
      <rPr>
        <b/>
        <sz val="10"/>
        <rFont val="宋体"/>
        <family val="3"/>
        <charset val="134"/>
      </rPr>
      <t>一、样本选取标准与规模：</t>
    </r>
  </si>
  <si>
    <r>
      <rPr>
        <sz val="10"/>
        <rFont val="宋体"/>
        <family val="3"/>
        <charset val="134"/>
      </rPr>
      <t>测试总体：</t>
    </r>
  </si>
  <si>
    <r>
      <rPr>
        <sz val="10"/>
        <color rgb="FF0000FF"/>
        <rFont val="宋体"/>
        <family val="3"/>
        <charset val="134"/>
      </rPr>
      <t>如借方发生额所有凭证共</t>
    </r>
    <r>
      <rPr>
        <sz val="10"/>
        <color rgb="FF0000FF"/>
        <rFont val="Arial Narrow"/>
        <family val="2"/>
      </rPr>
      <t>XX</t>
    </r>
    <r>
      <rPr>
        <sz val="10"/>
        <color rgb="FF0000FF"/>
        <rFont val="宋体"/>
        <family val="3"/>
        <charset val="134"/>
      </rPr>
      <t>笔金额</t>
    </r>
    <r>
      <rPr>
        <sz val="10"/>
        <color rgb="FF0000FF"/>
        <rFont val="Arial Narrow"/>
        <family val="2"/>
      </rPr>
      <t>XX</t>
    </r>
    <r>
      <rPr>
        <sz val="10"/>
        <color rgb="FF0000FF"/>
        <rFont val="宋体"/>
        <family val="3"/>
        <charset val="134"/>
      </rPr>
      <t>、贷方发生额所有凭证共</t>
    </r>
    <r>
      <rPr>
        <sz val="10"/>
        <color rgb="FF0000FF"/>
        <rFont val="Arial Narrow"/>
        <family val="2"/>
      </rPr>
      <t>XX</t>
    </r>
    <r>
      <rPr>
        <sz val="10"/>
        <color rgb="FF0000FF"/>
        <rFont val="宋体"/>
        <family val="3"/>
        <charset val="134"/>
      </rPr>
      <t>笔金额</t>
    </r>
    <r>
      <rPr>
        <sz val="10"/>
        <color rgb="FF0000FF"/>
        <rFont val="Arial Narrow"/>
        <family val="2"/>
      </rPr>
      <t>XX</t>
    </r>
  </si>
  <si>
    <r>
      <rPr>
        <sz val="10"/>
        <rFont val="宋体"/>
        <family val="3"/>
        <charset val="134"/>
      </rPr>
      <t>特定样本：</t>
    </r>
  </si>
  <si>
    <r>
      <rPr>
        <sz val="10"/>
        <color rgb="FF0000FF"/>
        <rFont val="Arial Narrow"/>
        <family val="2"/>
      </rPr>
      <t>XX</t>
    </r>
    <r>
      <rPr>
        <sz val="10"/>
        <color rgb="FF0000FF"/>
        <rFont val="宋体"/>
        <family val="3"/>
        <charset val="134"/>
      </rPr>
      <t>金额以上（大额）、关联方</t>
    </r>
    <r>
      <rPr>
        <sz val="10"/>
        <color rgb="FF0000FF"/>
        <rFont val="Arial Narrow"/>
        <family val="2"/>
      </rPr>
      <t>/</t>
    </r>
    <r>
      <rPr>
        <sz val="10"/>
        <color rgb="FF0000FF"/>
        <rFont val="宋体"/>
        <family val="3"/>
        <charset val="134"/>
      </rPr>
      <t>关联交易形成的款项、</t>
    </r>
    <r>
      <rPr>
        <sz val="10"/>
        <color rgb="FF0000FF"/>
        <rFont val="Arial Narrow"/>
        <family val="2"/>
      </rPr>
      <t>XX</t>
    </r>
    <r>
      <rPr>
        <sz val="10"/>
        <color rgb="FF0000FF"/>
        <rFont val="宋体"/>
        <family val="3"/>
        <charset val="134"/>
      </rPr>
      <t>异常款项全部测试，共</t>
    </r>
    <r>
      <rPr>
        <sz val="10"/>
        <color rgb="FF0000FF"/>
        <rFont val="Arial Narrow"/>
        <family val="2"/>
      </rPr>
      <t>XX</t>
    </r>
    <r>
      <rPr>
        <sz val="10"/>
        <color rgb="FF0000FF"/>
        <rFont val="宋体"/>
        <family val="3"/>
        <charset val="134"/>
      </rPr>
      <t>笔；</t>
    </r>
  </si>
  <si>
    <r>
      <rPr>
        <sz val="10"/>
        <rFont val="宋体"/>
        <family val="3"/>
        <charset val="134"/>
      </rPr>
      <t>抽样总体：</t>
    </r>
  </si>
  <si>
    <r>
      <rPr>
        <sz val="10"/>
        <color rgb="FF0000FF"/>
        <rFont val="宋体"/>
        <family val="3"/>
        <charset val="134"/>
      </rPr>
      <t>测试总体扣除特定样本以外的样本，共</t>
    </r>
    <r>
      <rPr>
        <sz val="10"/>
        <color rgb="FF0000FF"/>
        <rFont val="Arial Narrow"/>
        <family val="2"/>
      </rPr>
      <t>XX</t>
    </r>
    <r>
      <rPr>
        <sz val="10"/>
        <color rgb="FF0000FF"/>
        <rFont val="宋体"/>
        <family val="3"/>
        <charset val="134"/>
      </rPr>
      <t>笔、金额</t>
    </r>
    <r>
      <rPr>
        <sz val="10"/>
        <color rgb="FF0000FF"/>
        <rFont val="Arial Narrow"/>
        <family val="2"/>
      </rPr>
      <t>XX</t>
    </r>
  </si>
  <si>
    <r>
      <rPr>
        <sz val="10"/>
        <rFont val="宋体"/>
        <family val="3"/>
        <charset val="134"/>
      </rPr>
      <t>确定的抽样样本量：</t>
    </r>
  </si>
  <si>
    <r>
      <rPr>
        <sz val="10"/>
        <color rgb="FF0000FF"/>
        <rFont val="宋体"/>
        <family val="3"/>
        <charset val="134"/>
      </rPr>
      <t>抽取</t>
    </r>
    <r>
      <rPr>
        <sz val="10"/>
        <color rgb="FF0000FF"/>
        <rFont val="Arial Narrow"/>
        <family val="2"/>
      </rPr>
      <t>XX</t>
    </r>
    <r>
      <rPr>
        <sz val="10"/>
        <color rgb="FF0000FF"/>
        <rFont val="宋体"/>
        <family val="3"/>
        <charset val="134"/>
      </rPr>
      <t>笔</t>
    </r>
  </si>
  <si>
    <r>
      <rPr>
        <sz val="10"/>
        <color rgb="FF0000FF"/>
        <rFont val="宋体"/>
        <family val="3"/>
        <charset val="134"/>
      </rPr>
      <t>（如果使用了样本计算器计算样本量，样本量计算过程见</t>
    </r>
    <r>
      <rPr>
        <sz val="10"/>
        <color rgb="FF0000FF"/>
        <rFont val="Arial Narrow"/>
        <family val="2"/>
      </rPr>
      <t>&lt;XX&gt;</t>
    </r>
    <r>
      <rPr>
        <sz val="10"/>
        <color rgb="FF0000FF"/>
        <rFont val="宋体"/>
        <family val="3"/>
        <charset val="134"/>
      </rPr>
      <t>底稿）</t>
    </r>
  </si>
  <si>
    <r>
      <rPr>
        <sz val="10"/>
        <rFont val="宋体"/>
        <family val="3"/>
        <charset val="134"/>
      </rPr>
      <t>抽样方法：</t>
    </r>
  </si>
  <si>
    <r>
      <rPr>
        <sz val="10"/>
        <rFont val="宋体"/>
        <family val="3"/>
        <charset val="134"/>
      </rPr>
      <t>抽样过程：</t>
    </r>
  </si>
  <si>
    <r>
      <rPr>
        <sz val="10"/>
        <color rgb="FF0000FF"/>
        <rFont val="宋体"/>
        <family val="3"/>
        <charset val="134"/>
      </rPr>
      <t>使用</t>
    </r>
    <r>
      <rPr>
        <sz val="10"/>
        <color rgb="FF0000FF"/>
        <rFont val="Arial Narrow"/>
        <family val="2"/>
      </rPr>
      <t>IDEA</t>
    </r>
    <r>
      <rPr>
        <sz val="10"/>
        <color rgb="FF0000FF"/>
        <rFont val="宋体"/>
        <family val="3"/>
        <charset val="134"/>
      </rPr>
      <t>（</t>
    </r>
    <r>
      <rPr>
        <sz val="10"/>
        <color rgb="FF0000FF"/>
        <rFont val="Arial Narrow"/>
        <family val="2"/>
      </rPr>
      <t>XX</t>
    </r>
    <r>
      <rPr>
        <sz val="10"/>
        <color rgb="FF0000FF"/>
        <rFont val="宋体"/>
        <family val="3"/>
        <charset val="134"/>
      </rPr>
      <t>抽样工具）选择</t>
    </r>
    <r>
      <rPr>
        <sz val="10"/>
        <color rgb="FF0000FF"/>
        <rFont val="Arial Narrow"/>
        <family val="2"/>
      </rPr>
      <t>XX</t>
    </r>
    <r>
      <rPr>
        <sz val="10"/>
        <color rgb="FF0000FF"/>
        <rFont val="宋体"/>
        <family val="3"/>
        <charset val="134"/>
      </rPr>
      <t>数量、金额</t>
    </r>
    <r>
      <rPr>
        <sz val="10"/>
        <color rgb="FF0000FF"/>
        <rFont val="Arial Narrow"/>
        <family val="2"/>
      </rPr>
      <t>XX</t>
    </r>
    <r>
      <rPr>
        <sz val="10"/>
        <color rgb="FF0000FF"/>
        <rFont val="宋体"/>
        <family val="3"/>
        <charset val="134"/>
      </rPr>
      <t>的样本进行测试，抽样工具中的样本选择过程和结果见</t>
    </r>
    <r>
      <rPr>
        <sz val="10"/>
        <color rgb="FF0000FF"/>
        <rFont val="Arial Narrow"/>
        <family val="2"/>
      </rPr>
      <t>&lt;XX&gt;</t>
    </r>
    <r>
      <rPr>
        <sz val="10"/>
        <color rgb="FF0000FF"/>
        <rFont val="宋体"/>
        <family val="3"/>
        <charset val="134"/>
      </rPr>
      <t>底稿</t>
    </r>
  </si>
  <si>
    <r>
      <rPr>
        <b/>
        <sz val="10"/>
        <rFont val="宋体"/>
        <family val="3"/>
        <charset val="134"/>
      </rPr>
      <t>二、检查过程记录：</t>
    </r>
  </si>
  <si>
    <r>
      <rPr>
        <b/>
        <sz val="9"/>
        <color rgb="FF000000"/>
        <rFont val="宋体"/>
        <family val="3"/>
        <charset val="134"/>
      </rPr>
      <t>函证项目</t>
    </r>
  </si>
  <si>
    <r>
      <rPr>
        <b/>
        <sz val="9"/>
        <color rgb="FF000000"/>
        <rFont val="宋体"/>
        <family val="3"/>
        <charset val="134"/>
      </rPr>
      <t>年初余额</t>
    </r>
  </si>
  <si>
    <r>
      <rPr>
        <b/>
        <sz val="9"/>
        <color rgb="FF000000"/>
        <rFont val="宋体"/>
        <family val="3"/>
        <charset val="134"/>
      </rPr>
      <t>借方发生额</t>
    </r>
  </si>
  <si>
    <r>
      <rPr>
        <b/>
        <sz val="9"/>
        <color rgb="FF000000"/>
        <rFont val="宋体"/>
        <family val="3"/>
        <charset val="134"/>
      </rPr>
      <t>贷方发生额</t>
    </r>
  </si>
  <si>
    <r>
      <rPr>
        <b/>
        <sz val="9"/>
        <color rgb="FF000000"/>
        <rFont val="宋体"/>
        <family val="3"/>
        <charset val="134"/>
      </rPr>
      <t>期末余额</t>
    </r>
  </si>
  <si>
    <r>
      <rPr>
        <b/>
        <sz val="10"/>
        <rFont val="Arial Narrow"/>
        <family val="2"/>
      </rPr>
      <t>1</t>
    </r>
    <r>
      <rPr>
        <b/>
        <sz val="10"/>
        <rFont val="宋体"/>
        <family val="3"/>
        <charset val="134"/>
      </rPr>
      <t>、检查期后付款</t>
    </r>
  </si>
  <si>
    <r>
      <rPr>
        <b/>
        <sz val="10"/>
        <rFont val="宋体"/>
        <family val="3"/>
        <charset val="134"/>
      </rPr>
      <t>记账凭证</t>
    </r>
  </si>
  <si>
    <r>
      <rPr>
        <b/>
        <sz val="10"/>
        <rFont val="宋体"/>
        <family val="3"/>
        <charset val="134"/>
      </rPr>
      <t>支持性文件</t>
    </r>
    <r>
      <rPr>
        <b/>
        <sz val="10"/>
        <rFont val="Arial Narrow"/>
        <family val="2"/>
      </rPr>
      <t>1</t>
    </r>
  </si>
  <si>
    <r>
      <rPr>
        <b/>
        <sz val="10"/>
        <rFont val="宋体"/>
        <family val="3"/>
        <charset val="134"/>
      </rPr>
      <t>支持性文件</t>
    </r>
    <r>
      <rPr>
        <b/>
        <sz val="10"/>
        <rFont val="Arial Narrow"/>
        <family val="2"/>
      </rPr>
      <t>2</t>
    </r>
  </si>
  <si>
    <r>
      <rPr>
        <b/>
        <sz val="10"/>
        <rFont val="宋体"/>
        <family val="3"/>
        <charset val="134"/>
      </rPr>
      <t>是否核对一致</t>
    </r>
  </si>
  <si>
    <r>
      <rPr>
        <b/>
        <sz val="10"/>
        <rFont val="宋体"/>
        <family val="3"/>
        <charset val="134"/>
      </rPr>
      <t>凭证编号</t>
    </r>
  </si>
  <si>
    <r>
      <rPr>
        <b/>
        <sz val="10"/>
        <rFont val="宋体"/>
        <family val="3"/>
        <charset val="134"/>
      </rPr>
      <t>付款日期</t>
    </r>
  </si>
  <si>
    <r>
      <rPr>
        <b/>
        <sz val="10"/>
        <rFont val="宋体"/>
        <family val="3"/>
        <charset val="134"/>
      </rPr>
      <t>经济内容</t>
    </r>
  </si>
  <si>
    <r>
      <rPr>
        <b/>
        <sz val="10"/>
        <rFont val="宋体"/>
        <family val="3"/>
        <charset val="134"/>
      </rPr>
      <t>支付方式</t>
    </r>
  </si>
  <si>
    <r>
      <rPr>
        <b/>
        <sz val="10"/>
        <rFont val="宋体"/>
        <family val="3"/>
        <charset val="134"/>
      </rPr>
      <t>付款金额</t>
    </r>
  </si>
  <si>
    <r>
      <rPr>
        <b/>
        <sz val="10"/>
        <rFont val="宋体"/>
        <family val="3"/>
        <charset val="134"/>
      </rPr>
      <t>文件编号</t>
    </r>
  </si>
  <si>
    <r>
      <rPr>
        <b/>
        <sz val="10"/>
        <rFont val="宋体"/>
        <family val="3"/>
        <charset val="134"/>
      </rPr>
      <t>信息</t>
    </r>
    <r>
      <rPr>
        <b/>
        <sz val="10"/>
        <rFont val="Arial Narrow"/>
        <family val="2"/>
      </rPr>
      <t>1</t>
    </r>
  </si>
  <si>
    <r>
      <rPr>
        <b/>
        <sz val="10"/>
        <rFont val="宋体"/>
        <family val="3"/>
        <charset val="134"/>
      </rPr>
      <t>信息</t>
    </r>
    <r>
      <rPr>
        <b/>
        <sz val="10"/>
        <rFont val="Arial Narrow"/>
        <family val="2"/>
      </rPr>
      <t>2</t>
    </r>
  </si>
  <si>
    <t>……</t>
  </si>
  <si>
    <r>
      <rPr>
        <b/>
        <sz val="10"/>
        <rFont val="Arial Narrow"/>
        <family val="2"/>
      </rPr>
      <t>2</t>
    </r>
    <r>
      <rPr>
        <b/>
        <sz val="10"/>
        <rFont val="宋体"/>
        <family val="3"/>
        <charset val="134"/>
      </rPr>
      <t>、检查构成期末长期应付款余额的支持性文件（如合同等）</t>
    </r>
  </si>
  <si>
    <r>
      <rPr>
        <b/>
        <sz val="10"/>
        <rFont val="宋体"/>
        <family val="3"/>
        <charset val="134"/>
      </rPr>
      <t>凭证日期</t>
    </r>
  </si>
  <si>
    <r>
      <rPr>
        <b/>
        <sz val="10"/>
        <rFont val="宋体"/>
        <family val="3"/>
        <charset val="134"/>
      </rPr>
      <t>对应科目</t>
    </r>
  </si>
  <si>
    <r>
      <rPr>
        <b/>
        <sz val="10"/>
        <rFont val="宋体"/>
        <family val="3"/>
        <charset val="134"/>
      </rPr>
      <t>应付金额</t>
    </r>
  </si>
  <si>
    <r>
      <rPr>
        <b/>
        <sz val="10"/>
        <rFont val="Arial Narrow"/>
        <family val="2"/>
      </rPr>
      <t>3</t>
    </r>
    <r>
      <rPr>
        <b/>
        <sz val="10"/>
        <rFont val="宋体"/>
        <family val="3"/>
        <charset val="134"/>
      </rPr>
      <t>、检查期初余额是否与上期期末余额一致：</t>
    </r>
  </si>
  <si>
    <r>
      <rPr>
        <sz val="10"/>
        <color rgb="FFFF0000"/>
        <rFont val="宋体"/>
        <family val="3"/>
        <charset val="134"/>
      </rPr>
      <t>请选择</t>
    </r>
  </si>
  <si>
    <r>
      <rPr>
        <b/>
        <sz val="10"/>
        <rFont val="Arial Narrow"/>
        <family val="2"/>
      </rPr>
      <t>4</t>
    </r>
    <r>
      <rPr>
        <b/>
        <sz val="10"/>
        <rFont val="宋体"/>
        <family val="3"/>
        <charset val="134"/>
      </rPr>
      <t>、测试本期发生额：</t>
    </r>
  </si>
  <si>
    <r>
      <rPr>
        <sz val="10"/>
        <rFont val="宋体"/>
        <family val="3"/>
        <charset val="134"/>
      </rPr>
      <t>（</t>
    </r>
    <r>
      <rPr>
        <sz val="10"/>
        <rFont val="Arial Narrow"/>
        <family val="2"/>
      </rPr>
      <t>1</t>
    </r>
    <r>
      <rPr>
        <sz val="10"/>
        <rFont val="宋体"/>
        <family val="3"/>
        <charset val="134"/>
      </rPr>
      <t>）本期借方发生额</t>
    </r>
  </si>
  <si>
    <r>
      <rPr>
        <b/>
        <sz val="10"/>
        <rFont val="宋体"/>
        <family val="3"/>
        <charset val="134"/>
      </rPr>
      <t>支付金额</t>
    </r>
  </si>
  <si>
    <r>
      <rPr>
        <sz val="10"/>
        <rFont val="宋体"/>
        <family val="3"/>
        <charset val="134"/>
      </rPr>
      <t>（</t>
    </r>
    <r>
      <rPr>
        <sz val="10"/>
        <rFont val="Arial Narrow"/>
        <family val="2"/>
      </rPr>
      <t>2</t>
    </r>
    <r>
      <rPr>
        <sz val="10"/>
        <rFont val="宋体"/>
        <family val="3"/>
        <charset val="134"/>
      </rPr>
      <t>）本期贷方发生额</t>
    </r>
  </si>
  <si>
    <r>
      <rPr>
        <b/>
        <sz val="10"/>
        <rFont val="宋体"/>
        <family val="3"/>
        <charset val="134"/>
      </rPr>
      <t>三、审计说明：</t>
    </r>
  </si>
  <si>
    <r>
      <rPr>
        <b/>
        <sz val="10"/>
        <rFont val="宋体"/>
        <family val="3"/>
        <charset val="134"/>
      </rPr>
      <t>四、审计结论：</t>
    </r>
  </si>
  <si>
    <t>提示：</t>
  </si>
  <si>
    <t>1.检查本期付款、期后收货或回收；</t>
  </si>
  <si>
    <t>2.检查原始凭证：合同、订货单、发票或收据、银行回单、支票存根等；</t>
  </si>
  <si>
    <t>3.对回函可能性不高的、余额重大的，发函同时执行替代程序。</t>
  </si>
  <si>
    <t>邮件/传真回函可靠性验证记录</t>
  </si>
  <si>
    <r>
      <rPr>
        <b/>
        <sz val="10"/>
        <rFont val="宋体"/>
        <family val="3"/>
        <charset val="134"/>
      </rPr>
      <t>函证索引号</t>
    </r>
  </si>
  <si>
    <r>
      <rPr>
        <b/>
        <sz val="10"/>
        <rFont val="宋体"/>
        <family val="3"/>
        <charset val="134"/>
      </rPr>
      <t>是否由审计项目组直接接收</t>
    </r>
  </si>
  <si>
    <r>
      <rPr>
        <b/>
        <sz val="10"/>
        <rFont val="宋体"/>
        <family val="3"/>
        <charset val="134"/>
      </rPr>
      <t>是否寄回原件</t>
    </r>
  </si>
  <si>
    <r>
      <rPr>
        <b/>
        <sz val="10"/>
        <rFont val="宋体"/>
        <family val="3"/>
        <charset val="134"/>
      </rPr>
      <t>期末未收回原件函证可靠性验证</t>
    </r>
  </si>
  <si>
    <r>
      <rPr>
        <b/>
        <sz val="10"/>
        <rFont val="宋体"/>
        <family val="3"/>
        <charset val="134"/>
      </rPr>
      <t>回函可靠性结论</t>
    </r>
  </si>
  <si>
    <r>
      <rPr>
        <b/>
        <sz val="10"/>
        <rFont val="宋体"/>
        <family val="3"/>
        <charset val="134"/>
      </rPr>
      <t>被函证者身份确认（注</t>
    </r>
    <r>
      <rPr>
        <b/>
        <sz val="10"/>
        <rFont val="Arial Narrow"/>
        <family val="2"/>
      </rPr>
      <t>1</t>
    </r>
    <r>
      <rPr>
        <b/>
        <sz val="10"/>
        <rFont val="宋体"/>
        <family val="3"/>
        <charset val="134"/>
      </rPr>
      <t>）</t>
    </r>
  </si>
  <si>
    <r>
      <rPr>
        <b/>
        <sz val="10"/>
        <rFont val="宋体"/>
        <family val="3"/>
        <charset val="134"/>
      </rPr>
      <t>发函及回函传真信息及验证</t>
    </r>
  </si>
  <si>
    <r>
      <rPr>
        <b/>
        <sz val="10"/>
        <rFont val="宋体"/>
        <family val="3"/>
        <charset val="134"/>
      </rPr>
      <t>发函邮箱</t>
    </r>
  </si>
  <si>
    <r>
      <rPr>
        <b/>
        <sz val="10"/>
        <rFont val="宋体"/>
        <family val="3"/>
        <charset val="134"/>
      </rPr>
      <t>回函邮箱</t>
    </r>
  </si>
  <si>
    <r>
      <rPr>
        <b/>
        <sz val="10"/>
        <rFont val="宋体"/>
        <family val="3"/>
        <charset val="134"/>
      </rPr>
      <t>邮箱可靠性验证（注</t>
    </r>
    <r>
      <rPr>
        <b/>
        <sz val="10"/>
        <rFont val="Arial Narrow"/>
        <family val="2"/>
      </rPr>
      <t>2</t>
    </r>
    <r>
      <rPr>
        <b/>
        <sz val="10"/>
        <rFont val="宋体"/>
        <family val="3"/>
        <charset val="134"/>
      </rPr>
      <t>）</t>
    </r>
  </si>
  <si>
    <r>
      <rPr>
        <b/>
        <sz val="10"/>
        <rFont val="宋体"/>
        <family val="3"/>
        <charset val="134"/>
      </rPr>
      <t>是否致电被函证者确认</t>
    </r>
  </si>
  <si>
    <r>
      <rPr>
        <b/>
        <sz val="10"/>
        <rFont val="宋体"/>
        <family val="3"/>
        <charset val="134"/>
      </rPr>
      <t>对函证信息可靠性的考虑（注</t>
    </r>
    <r>
      <rPr>
        <b/>
        <sz val="10"/>
        <rFont val="Arial Narrow"/>
        <family val="2"/>
      </rPr>
      <t>3</t>
    </r>
    <r>
      <rPr>
        <b/>
        <sz val="10"/>
        <rFont val="宋体"/>
        <family val="3"/>
        <charset val="134"/>
      </rPr>
      <t>）</t>
    </r>
  </si>
  <si>
    <t>审计结论：</t>
  </si>
  <si>
    <t>提示：对以电子形式收到的回函（如传真或电子邮件），由于回函者的身份及其授权情况很难确定，对回函的更改也难以发觉，因此可靠性存在风险。注册会计师和</t>
  </si>
  <si>
    <t>回函者采用一定的程序为电子形式的回函创造安全环境，可以降低该风险。</t>
  </si>
  <si>
    <t xml:space="preserve">注1：回函者的身份确认
</t>
  </si>
  <si>
    <t xml:space="preserve">1、需确定回函者是否属于被询证者或由被询证者授权回函的人员，回函者对所函证信息是否知情、是否具有客观性。
</t>
  </si>
  <si>
    <t>2、身份确认方式：（1）获取回函者名片；（2）可通过被询证者的网站或其他公开网站核对回函者的姓名和身份信息；（3）将回函者的信息与被审计单位持有的相关信息</t>
  </si>
  <si>
    <t xml:space="preserve">（例如客户或供应商清单、相关销售或采购合同、被审计单位收到或开具的增值税发票等）中的联系人信息进行核对。
</t>
  </si>
  <si>
    <t>注2：回函邮箱的可靠性验证</t>
  </si>
  <si>
    <r>
      <rPr>
        <sz val="12"/>
        <color rgb="FF0000FF"/>
        <rFont val="宋体"/>
        <family val="3"/>
        <charset val="134"/>
      </rPr>
      <t>采用电子邮件方式收到回函的控制要点详见函证技术提示</t>
    </r>
    <r>
      <rPr>
        <sz val="12"/>
        <color rgb="FF0000FF"/>
        <rFont val="Arial Narrow"/>
        <family val="2"/>
      </rPr>
      <t>4</t>
    </r>
    <r>
      <rPr>
        <sz val="12"/>
        <color rgb="FF0000FF"/>
        <rFont val="宋体"/>
        <family val="3"/>
        <charset val="134"/>
      </rPr>
      <t>号，链接为：</t>
    </r>
    <r>
      <rPr>
        <sz val="12"/>
        <color rgb="FF0000FF"/>
        <rFont val="Arial Narrow"/>
        <family val="2"/>
      </rPr>
      <t>https://www.gt-china.com.cn/article_view.php?id=9691</t>
    </r>
    <r>
      <rPr>
        <sz val="12"/>
        <color rgb="FF0000FF"/>
        <rFont val="宋体"/>
        <family val="3"/>
        <charset val="134"/>
      </rPr>
      <t>；</t>
    </r>
  </si>
  <si>
    <t>1、从私人电子信箱发送的回函不可靠。</t>
  </si>
  <si>
    <t>2、邮箱验证方式：（1）验证回函邮箱是否为回函者所在单位的工作邮箱（如后缀），验证公司邮箱发送的回函中电子数码签名的可靠性；（2）通过电话联系被询证者，确定</t>
  </si>
  <si>
    <t>被询证者是否发送了回函，是否授权回函者回函。</t>
  </si>
  <si>
    <t>2、电子签名：按照《电子签名法》要求，核查相关平台是否经国务院信息产业主管部门核准，并获取充分适当的审计证据，如相关平台的认证证书、境内核准情况等，在必要时，</t>
  </si>
  <si>
    <t>可能还需要对相关平台的安全可靠性进行专门评价。</t>
  </si>
  <si>
    <t>注3：函证信息可靠性的考虑</t>
  </si>
  <si>
    <t>1、为了降低被询证者对所列示的信息不验证是否正确就予以回函确认的风险，注册会计师可以选择在询证函中不列明账户余额（或其他信息），而是要求被询证者填列有关信息</t>
  </si>
  <si>
    <t>或进一步提供信息。</t>
  </si>
  <si>
    <r>
      <rPr>
        <sz val="12"/>
        <color rgb="FF0000FF"/>
        <rFont val="Arial Narrow"/>
        <family val="2"/>
      </rPr>
      <t>2</t>
    </r>
    <r>
      <rPr>
        <sz val="12"/>
        <color rgb="FF0000FF"/>
        <rFont val="宋体"/>
        <family val="3"/>
        <charset val="134"/>
      </rPr>
      <t>、询证函应增加不可编辑的水印、不易复制的特定标识；收到回函后检查是否为发出的函件，是否存在篡改迹象，印章（如有）是否与其他文书一致。</t>
    </r>
  </si>
  <si>
    <r>
      <rPr>
        <b/>
        <sz val="12"/>
        <color indexed="8"/>
        <rFont val="宋体"/>
        <family val="3"/>
        <charset val="134"/>
      </rPr>
      <t>致同会计师事务所</t>
    </r>
  </si>
  <si>
    <t xml:space="preserve">   索引号：</t>
  </si>
  <si>
    <t xml:space="preserve">   页    次：</t>
  </si>
  <si>
    <t xml:space="preserve">                              </t>
  </si>
  <si>
    <r>
      <rPr>
        <b/>
        <sz val="10"/>
        <rFont val="宋体"/>
        <family val="3"/>
        <charset val="134"/>
      </rPr>
      <t>与函证程序有关的舞弊风险迹象</t>
    </r>
  </si>
  <si>
    <r>
      <rPr>
        <b/>
        <sz val="10"/>
        <rFont val="宋体"/>
        <family val="3"/>
        <charset val="134"/>
      </rPr>
      <t>是否存在</t>
    </r>
  </si>
  <si>
    <r>
      <rPr>
        <b/>
        <sz val="10"/>
        <rFont val="宋体"/>
        <family val="3"/>
        <charset val="134"/>
      </rPr>
      <t>索引号或信息来源</t>
    </r>
  </si>
  <si>
    <r>
      <rPr>
        <b/>
        <sz val="10"/>
        <rFont val="宋体"/>
        <family val="3"/>
        <charset val="134"/>
      </rPr>
      <t>应对措施</t>
    </r>
  </si>
  <si>
    <r>
      <rPr>
        <sz val="11"/>
        <color rgb="FF0000FF"/>
        <rFont val="宋体"/>
        <family val="3"/>
        <charset val="134"/>
      </rPr>
      <t>例如：银行函证未回函；与以前年度相比，回函率异常偏高或回函率重大变动；向被审计单位债权人发送的询证函回函率很低；</t>
    </r>
  </si>
  <si>
    <r>
      <rPr>
        <sz val="11"/>
        <color rgb="FF0000FF"/>
        <rFont val="宋体"/>
        <family val="3"/>
        <charset val="134"/>
      </rPr>
      <t>例如：被审计单位及其管理层能够对被询证者施加重大影响以使其向注册会计师提供虚假或误导信息（如被审计单位是被询证者唯一或重要的客户或供应商）；被询证者既是被审计单位资产的保管人又是资产的管理者。</t>
    </r>
  </si>
  <si>
    <r>
      <rPr>
        <sz val="10"/>
        <rFont val="宋体"/>
        <family val="3"/>
        <charset val="134"/>
      </rPr>
      <t>汇总上述所有已发现的舞弊迹象，在</t>
    </r>
    <r>
      <rPr>
        <sz val="10"/>
        <rFont val="Arial Narrow"/>
        <family val="2"/>
      </rPr>
      <t>“</t>
    </r>
    <r>
      <rPr>
        <sz val="10"/>
        <rFont val="宋体"/>
        <family val="3"/>
        <charset val="134"/>
      </rPr>
      <t>汇总识别的风险因素</t>
    </r>
    <r>
      <rPr>
        <sz val="10"/>
        <rFont val="Arial Narrow"/>
        <family val="2"/>
      </rPr>
      <t>”</t>
    </r>
    <r>
      <rPr>
        <sz val="10"/>
        <rFont val="宋体"/>
        <family val="3"/>
        <charset val="134"/>
      </rPr>
      <t>中记录并区分财务报表层次的风险和认定层次的风险，制订初步的应对措施。</t>
    </r>
  </si>
  <si>
    <t>B50</t>
  </si>
  <si>
    <r>
      <rPr>
        <sz val="10"/>
        <color rgb="FF0000FF"/>
        <rFont val="宋体"/>
        <family val="3"/>
        <charset val="134"/>
      </rPr>
      <t xml:space="preserve">编制说明：
1、本底稿系根据《中国注册会计师审计准则问题解答第2号——函证》的要求，对执行函证程序过程中需要关注的舞弊风险迹象厘定。在进行了解时，应考虑上述表格中列示的项目，但考虑内容不限于这些内容。
2、在记录了解的内容时，如果涉及到多个项目，可以综合考虑并予以记录。
3、通过访谈、询问等程序获知上述信息的，应注明被调查人姓名、职位、相关的信息来源及相关工作底稿（若有）索引。 
</t>
    </r>
    <r>
      <rPr>
        <b/>
        <sz val="10"/>
        <color rgb="FF0000FF"/>
        <rFont val="宋体"/>
        <family val="3"/>
        <charset val="134"/>
      </rPr>
      <t>4、上述内容如果项目组的回答为“是”，应说明初步的审计应对措施计划，并在总体审计策略和具体审计计划中体现对所涉及的舞弊风险等重大错报风险评估结果的影响。</t>
    </r>
  </si>
  <si>
    <r>
      <rPr>
        <sz val="10"/>
        <rFont val="宋体"/>
        <family val="3"/>
        <charset val="134"/>
      </rPr>
      <t>被审计单位：</t>
    </r>
    <r>
      <rPr>
        <sz val="10"/>
        <rFont val="Arial Narrow"/>
        <family val="2"/>
      </rPr>
      <t/>
    </r>
    <phoneticPr fontId="79" type="noConversion"/>
  </si>
  <si>
    <t>编制人：</t>
    <phoneticPr fontId="79" type="noConversion"/>
  </si>
  <si>
    <t>编制日期：</t>
    <phoneticPr fontId="79" type="noConversion"/>
  </si>
  <si>
    <t>复核人：</t>
    <phoneticPr fontId="79" type="noConversion"/>
  </si>
  <si>
    <t>复核日期：</t>
    <phoneticPr fontId="79" type="noConversion"/>
  </si>
  <si>
    <r>
      <t>以积极方式对</t>
    </r>
    <r>
      <rPr>
        <sz val="10"/>
        <color rgb="FFFF0000"/>
        <rFont val="宋体"/>
        <family val="3"/>
        <charset val="134"/>
      </rPr>
      <t>长期应付款、应付债券</t>
    </r>
    <r>
      <rPr>
        <sz val="10"/>
        <color theme="1"/>
        <rFont val="宋体"/>
        <family val="3"/>
        <charset val="134"/>
      </rPr>
      <t>进行函证。</t>
    </r>
    <phoneticPr fontId="79" type="noConversion"/>
  </si>
  <si>
    <t>L0-1/L0-3</t>
  </si>
  <si>
    <t>L0-1/L0-2</t>
  </si>
  <si>
    <t>L0-1/L0-2/L0-4</t>
  </si>
  <si>
    <t>L0-1/L0-6</t>
  </si>
  <si>
    <t>L0-1/L0-5</t>
  </si>
  <si>
    <r>
      <rPr>
        <sz val="10"/>
        <rFont val="宋体"/>
        <family val="3"/>
        <charset val="134"/>
      </rPr>
      <t>截止日：</t>
    </r>
    <r>
      <rPr>
        <sz val="10"/>
        <rFont val="Arial Narrow"/>
        <family val="2"/>
      </rPr>
      <t>202X</t>
    </r>
    <r>
      <rPr>
        <sz val="10"/>
        <rFont val="宋体"/>
        <family val="3"/>
        <charset val="134"/>
      </rPr>
      <t>年</t>
    </r>
    <r>
      <rPr>
        <sz val="10"/>
        <rFont val="Arial Narrow"/>
        <family val="2"/>
      </rPr>
      <t>12</t>
    </r>
    <r>
      <rPr>
        <sz val="10"/>
        <rFont val="宋体"/>
        <family val="3"/>
        <charset val="134"/>
      </rPr>
      <t>月</t>
    </r>
    <r>
      <rPr>
        <sz val="10"/>
        <rFont val="Arial Narrow"/>
        <family val="2"/>
      </rPr>
      <t>31</t>
    </r>
    <r>
      <rPr>
        <sz val="10"/>
        <rFont val="宋体"/>
        <family val="3"/>
        <charset val="134"/>
      </rPr>
      <t>日</t>
    </r>
  </si>
  <si>
    <t>关于工作底稿与审计程序索引号对应的说明</t>
    <phoneticPr fontId="69" type="noConversion"/>
  </si>
  <si>
    <r>
      <t>1.</t>
    </r>
    <r>
      <rPr>
        <b/>
        <sz val="12"/>
        <rFont val="宋体"/>
        <family val="3"/>
        <charset val="134"/>
      </rPr>
      <t>编制的审计工作底稿应与审计程序对应。</t>
    </r>
    <r>
      <rPr>
        <sz val="11"/>
        <color theme="1"/>
        <rFont val="等线"/>
        <family val="3"/>
        <charset val="134"/>
        <scheme val="minor"/>
      </rPr>
      <t>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r>
    <phoneticPr fontId="69" type="noConversion"/>
  </si>
  <si>
    <r>
      <t>2.</t>
    </r>
    <r>
      <rPr>
        <b/>
        <sz val="12"/>
        <rFont val="宋体"/>
        <family val="3"/>
        <charset val="134"/>
      </rPr>
      <t>获取的支持性证据应与审计底稿或程序对应。</t>
    </r>
    <r>
      <rPr>
        <sz val="11"/>
        <color theme="1"/>
        <rFont val="等线"/>
        <family val="3"/>
        <charset val="134"/>
        <scheme val="minor"/>
      </rPr>
      <t>审计项目组在完成底稿时获取的支持性证据应根据底稿索引号编制下一级按自然顺序排序的索引号（如</t>
    </r>
    <r>
      <rPr>
        <sz val="12"/>
        <rFont val="Arial Narrow"/>
        <family val="2"/>
      </rPr>
      <t>D1-2-1</t>
    </r>
    <r>
      <rPr>
        <sz val="11"/>
        <color theme="1"/>
        <rFont val="等线"/>
        <family val="3"/>
        <charset val="134"/>
        <scheme val="minor"/>
      </rPr>
      <t>、</t>
    </r>
    <r>
      <rPr>
        <sz val="12"/>
        <rFont val="Arial Narrow"/>
        <family val="2"/>
      </rPr>
      <t>D1-2-2</t>
    </r>
    <r>
      <rPr>
        <sz val="11"/>
        <color theme="1"/>
        <rFont val="等线"/>
        <family val="3"/>
        <charset val="134"/>
        <scheme val="minor"/>
      </rPr>
      <t>、</t>
    </r>
    <r>
      <rPr>
        <sz val="12"/>
        <rFont val="Arial Narrow"/>
        <family val="2"/>
      </rPr>
      <t>……</t>
    </r>
    <r>
      <rPr>
        <sz val="11"/>
        <color theme="1"/>
        <rFont val="等线"/>
        <family val="3"/>
        <charset val="134"/>
        <scheme val="minor"/>
      </rPr>
      <t>），并在底稿中说明引用的支持性证据、关联索引号。</t>
    </r>
    <phoneticPr fontId="69" type="noConversion"/>
  </si>
  <si>
    <r>
      <rPr>
        <b/>
        <sz val="12"/>
        <rFont val="Arial Narrow"/>
        <family val="2"/>
      </rPr>
      <t>3.</t>
    </r>
    <r>
      <rPr>
        <b/>
        <sz val="12"/>
        <rFont val="宋体"/>
        <family val="3"/>
        <charset val="134"/>
      </rPr>
      <t>工作底稿索引号的编码规则：</t>
    </r>
    <r>
      <rPr>
        <sz val="11"/>
        <color theme="1"/>
        <rFont val="等线"/>
        <family val="3"/>
        <charset val="134"/>
        <scheme val="minor"/>
      </rPr>
      <t>实质性程序索引号按循环从</t>
    </r>
    <r>
      <rPr>
        <sz val="12"/>
        <rFont val="Arial Narrow"/>
        <family val="2"/>
      </rPr>
      <t>“D”</t>
    </r>
    <r>
      <rPr>
        <sz val="11"/>
        <color theme="1"/>
        <rFont val="等线"/>
        <family val="3"/>
        <charset val="134"/>
        <scheme val="minor"/>
      </rPr>
      <t>到</t>
    </r>
    <r>
      <rPr>
        <sz val="12"/>
        <rFont val="Arial Narrow"/>
        <family val="2"/>
      </rPr>
      <t>“N”,</t>
    </r>
    <r>
      <rPr>
        <sz val="11"/>
        <color theme="1"/>
        <rFont val="等线"/>
        <family val="3"/>
        <charset val="134"/>
        <scheme val="minor"/>
      </rPr>
      <t>循环内账户以顺序号排列，模板中底稿索引号按账户顺序</t>
    </r>
    <r>
      <rPr>
        <sz val="12"/>
        <rFont val="Arial Narrow"/>
        <family val="2"/>
      </rPr>
      <t>+</t>
    </r>
    <r>
      <rPr>
        <sz val="11"/>
        <color theme="1"/>
        <rFont val="等线"/>
        <family val="3"/>
        <charset val="134"/>
        <scheme val="minor"/>
      </rPr>
      <t>自然数顺序（即模板中索引号按二级自然顺序排列，如</t>
    </r>
    <r>
      <rPr>
        <sz val="12"/>
        <rFont val="Arial Narrow"/>
        <family val="2"/>
      </rPr>
      <t>D1-1</t>
    </r>
    <r>
      <rPr>
        <sz val="11"/>
        <color theme="1"/>
        <rFont val="等线"/>
        <family val="3"/>
        <charset val="134"/>
        <scheme val="minor"/>
      </rPr>
      <t>、</t>
    </r>
    <r>
      <rPr>
        <sz val="12"/>
        <rFont val="Arial Narrow"/>
        <family val="2"/>
      </rPr>
      <t>D1-2</t>
    </r>
    <r>
      <rPr>
        <sz val="11"/>
        <color theme="1"/>
        <rFont val="等线"/>
        <family val="3"/>
        <charset val="134"/>
        <scheme val="minor"/>
      </rPr>
      <t>、</t>
    </r>
    <r>
      <rPr>
        <sz val="12"/>
        <rFont val="Arial Narrow"/>
        <family val="2"/>
      </rPr>
      <t>D1-3</t>
    </r>
    <r>
      <rPr>
        <sz val="11"/>
        <color theme="1"/>
        <rFont val="等线"/>
        <family val="3"/>
        <charset val="134"/>
        <scheme val="minor"/>
      </rPr>
      <t>、</t>
    </r>
    <r>
      <rPr>
        <sz val="12"/>
        <rFont val="Arial Narrow"/>
        <family val="2"/>
      </rPr>
      <t>……D1-N</t>
    </r>
    <r>
      <rPr>
        <sz val="11"/>
        <color theme="1"/>
        <rFont val="等线"/>
        <family val="3"/>
        <charset val="134"/>
        <scheme val="minor"/>
      </rPr>
      <t>）。</t>
    </r>
    <phoneticPr fontId="69" type="noConversion"/>
  </si>
  <si>
    <t>如果回函中存在未函证的其他信息，应考虑未函证信息的影响，并考虑实施进一步审计程序</t>
    <phoneticPr fontId="80" type="noConversion"/>
  </si>
  <si>
    <r>
      <rPr>
        <b/>
        <sz val="10"/>
        <rFont val="宋体"/>
        <family val="3"/>
        <charset val="134"/>
      </rPr>
      <t>审计说明：</t>
    </r>
    <r>
      <rPr>
        <sz val="10"/>
        <color rgb="FFFF0000"/>
        <rFont val="Arial Narrow"/>
        <family val="2"/>
      </rPr>
      <t>1.</t>
    </r>
    <r>
      <rPr>
        <sz val="10"/>
        <color rgb="FFFF0000"/>
        <rFont val="宋体"/>
        <family val="3"/>
        <charset val="134"/>
      </rPr>
      <t>采用电子函证方式的无需核对发函地址信息，无需核对回函发出地址、回函寄件人信息等；</t>
    </r>
    <phoneticPr fontId="79" type="noConversion"/>
  </si>
  <si>
    <r>
      <rPr>
        <sz val="10"/>
        <color rgb="FFFF0000"/>
        <rFont val="Arial Narrow"/>
        <family val="2"/>
      </rPr>
      <t>2.</t>
    </r>
    <r>
      <rPr>
        <sz val="10"/>
        <color rgb="FFFF0000"/>
        <rFont val="宋体"/>
        <family val="3"/>
        <charset val="134"/>
      </rPr>
      <t>采用电子函证方式的应记录并检查回函能够证明电子地址或身份的信息，关注被审计单位、注册会计师和被询证者在电子询证函平台操作的具体时间、回函经办人（如适用）、意见反馈等信息（如适用）</t>
    </r>
    <phoneticPr fontId="79" type="noConversion"/>
  </si>
  <si>
    <r>
      <rPr>
        <b/>
        <sz val="9"/>
        <rFont val="宋体"/>
        <family val="3"/>
        <charset val="134"/>
      </rPr>
      <t>合计</t>
    </r>
    <phoneticPr fontId="69" type="noConversion"/>
  </si>
  <si>
    <r>
      <rPr>
        <b/>
        <sz val="9"/>
        <rFont val="宋体"/>
        <family val="3"/>
        <charset val="134"/>
      </rPr>
      <t>合计</t>
    </r>
    <phoneticPr fontId="69" type="noConversion"/>
  </si>
  <si>
    <t>随机选样/系统选样/货币单元抽样/随意选样（非统计抽样适用）</t>
    <phoneticPr fontId="69" type="noConversion"/>
  </si>
  <si>
    <r>
      <t>1.</t>
    </r>
    <r>
      <rPr>
        <sz val="10"/>
        <rFont val="宋体"/>
        <family val="3"/>
        <charset val="134"/>
      </rPr>
      <t>管理层不允许寄发询证函；</t>
    </r>
    <phoneticPr fontId="80" type="noConversion"/>
  </si>
  <si>
    <r>
      <t>2.</t>
    </r>
    <r>
      <rPr>
        <sz val="10"/>
        <rFont val="宋体"/>
        <family val="3"/>
        <charset val="134"/>
      </rPr>
      <t>管理层过度热情配合函证程序；</t>
    </r>
    <phoneticPr fontId="80" type="noConversion"/>
  </si>
  <si>
    <r>
      <t>3.</t>
    </r>
    <r>
      <rPr>
        <sz val="10"/>
        <rFont val="宋体"/>
        <family val="3"/>
        <charset val="134"/>
      </rPr>
      <t>管理层试图干预、拦截、篡改询证函或回函，如坚持以特定的方式发送询证函；</t>
    </r>
    <phoneticPr fontId="69" type="noConversion"/>
  </si>
  <si>
    <r>
      <t>4.</t>
    </r>
    <r>
      <rPr>
        <sz val="10"/>
        <rFont val="宋体"/>
        <family val="3"/>
        <charset val="134"/>
      </rPr>
      <t>管理层提供的函证相关信息含糊、矛盾、不完整或有缺失；</t>
    </r>
    <phoneticPr fontId="80" type="noConversion"/>
  </si>
  <si>
    <r>
      <t>5.</t>
    </r>
    <r>
      <rPr>
        <sz val="10"/>
        <rFont val="宋体"/>
        <family val="3"/>
        <charset val="134"/>
      </rPr>
      <t>被询证者将回函寄至被审计单位，被审计单位将其转交注册会计师；</t>
    </r>
    <phoneticPr fontId="80" type="noConversion"/>
  </si>
  <si>
    <r>
      <t>6.</t>
    </r>
    <r>
      <rPr>
        <sz val="10"/>
        <rFont val="宋体"/>
        <family val="3"/>
        <charset val="134"/>
      </rPr>
      <t>注册会计师跟进访问被询证者，发现回函信息与被询证者记录不一致；</t>
    </r>
    <phoneticPr fontId="80" type="noConversion"/>
  </si>
  <si>
    <r>
      <t>7.</t>
    </r>
    <r>
      <rPr>
        <sz val="10"/>
        <rFont val="宋体"/>
        <family val="3"/>
        <charset val="134"/>
      </rPr>
      <t>从私人电子信箱发送的回函；</t>
    </r>
    <phoneticPr fontId="80" type="noConversion"/>
  </si>
  <si>
    <r>
      <t>8.</t>
    </r>
    <r>
      <rPr>
        <sz val="10"/>
        <rFont val="宋体"/>
        <family val="3"/>
        <charset val="134"/>
      </rPr>
      <t>收到同一日期发回的、相同笔迹的多份回函；</t>
    </r>
    <phoneticPr fontId="80" type="noConversion"/>
  </si>
  <si>
    <r>
      <t>9.</t>
    </r>
    <r>
      <rPr>
        <sz val="10"/>
        <rFont val="宋体"/>
        <family val="3"/>
        <charset val="134"/>
      </rPr>
      <t>收到的回函与发出的询证函不是同一份、不是原件；</t>
    </r>
    <phoneticPr fontId="80" type="noConversion"/>
  </si>
  <si>
    <r>
      <t>10.</t>
    </r>
    <r>
      <rPr>
        <sz val="10"/>
        <rFont val="宋体"/>
        <family val="3"/>
        <charset val="134"/>
      </rPr>
      <t>不同被询证者回函信封上的联系方式（地址、电话等）相同或相近；位于不同地址的多家被询证者的回函邮戳显示的发函地址相同；</t>
    </r>
    <phoneticPr fontId="80" type="noConversion"/>
  </si>
  <si>
    <r>
      <t>11.</t>
    </r>
    <r>
      <rPr>
        <sz val="10"/>
        <rFont val="宋体"/>
        <family val="3"/>
        <charset val="134"/>
      </rPr>
      <t>印章模糊不清难以核对，或印章存在明显瑕疵，或与被询证者不一致；</t>
    </r>
    <phoneticPr fontId="80" type="noConversion"/>
  </si>
  <si>
    <r>
      <t>12.</t>
    </r>
    <r>
      <rPr>
        <sz val="10"/>
        <rFont val="宋体"/>
        <family val="3"/>
        <charset val="134"/>
      </rPr>
      <t>收到不同被询证者用快递寄回的回函，但快递的交寄人或发件人是同一个人或是被审计单位的员工（或关联方），或者虽然寄件人名字不同，但手机号或其他联系方式相同，或者不同被询证者回函单号相连或相近；</t>
    </r>
    <phoneticPr fontId="80" type="noConversion"/>
  </si>
  <si>
    <r>
      <t>13.</t>
    </r>
    <r>
      <rPr>
        <sz val="10"/>
        <rFont val="宋体"/>
        <family val="3"/>
        <charset val="134"/>
      </rPr>
      <t>回函显示的发函地址与被审计单位记录的被询证者的地址不一致；</t>
    </r>
    <phoneticPr fontId="80" type="noConversion"/>
  </si>
  <si>
    <r>
      <t>14.</t>
    </r>
    <r>
      <rPr>
        <sz val="10"/>
        <rFont val="宋体"/>
        <family val="3"/>
        <charset val="134"/>
      </rPr>
      <t>不正常的回函率；</t>
    </r>
    <phoneticPr fontId="80" type="noConversion"/>
  </si>
  <si>
    <r>
      <t>16.</t>
    </r>
    <r>
      <rPr>
        <sz val="10"/>
        <rFont val="宋体"/>
        <family val="3"/>
        <charset val="134"/>
      </rPr>
      <t>管理层不愿意提高函证所涉及信息（如抵押、担保等信息）的披露质量，使财务报表更为完整透明，但又不能提供合理解释；</t>
    </r>
    <phoneticPr fontId="80" type="noConversion"/>
  </si>
  <si>
    <r>
      <t>17.</t>
    </r>
    <r>
      <rPr>
        <sz val="10"/>
        <color rgb="FFFF0000"/>
        <rFont val="宋体"/>
        <family val="3"/>
        <charset val="134"/>
      </rPr>
      <t>回函印章与以前期间收到的回函印章不一致</t>
    </r>
    <phoneticPr fontId="80" type="noConversion"/>
  </si>
  <si>
    <r>
      <t>18.</t>
    </r>
    <r>
      <rPr>
        <sz val="10"/>
        <color rgb="FFFF0000"/>
        <rFont val="宋体"/>
        <family val="3"/>
        <charset val="134"/>
      </rPr>
      <t>回函中包含免责或其他限制性条款</t>
    </r>
    <phoneticPr fontId="80" type="noConversion"/>
  </si>
  <si>
    <t>……</t>
    <phoneticPr fontId="80" type="noConversion"/>
  </si>
  <si>
    <t>审计说明：</t>
    <phoneticPr fontId="69" type="noConversion"/>
  </si>
  <si>
    <t>审计结论：</t>
    <phoneticPr fontId="69" type="noConversion"/>
  </si>
  <si>
    <t>应将将执行可靠性验证确认过程的审计人员姓名及日期、获得被询证者电话的方式、被询证者联络人员姓名及所属部门、沟通的过程及其结果等内容清晰地记录在审计工作底稿中</t>
    <phoneticPr fontId="79" type="noConversion"/>
  </si>
  <si>
    <r>
      <t>15.</t>
    </r>
    <r>
      <rPr>
        <sz val="10"/>
        <rFont val="宋体"/>
        <family val="3"/>
        <charset val="134"/>
      </rPr>
      <t>被询证者缺乏独立性；配合被审计单位，向注册会计师提供不真实或不准确的回函信息，隐瞒相关事实和情况；</t>
    </r>
    <phoneticPr fontId="80" type="noConversion"/>
  </si>
  <si>
    <r>
      <t>19.</t>
    </r>
    <r>
      <rPr>
        <sz val="10"/>
        <color rgb="FFFF0000"/>
        <rFont val="宋体"/>
        <family val="3"/>
        <charset val="134"/>
      </rPr>
      <t>第三方对函证信息有误的询证函作出与函证信息相符的回函，或对前后两次函证信息有差异的询证函均作出信息相符的回函。</t>
    </r>
    <phoneticPr fontId="80" type="noConversion"/>
  </si>
  <si>
    <t>收到的回函应为被询证者书面答复，可以采取纸质、电子或其它介质等形式：
（1）确认与发出的询证函是否为同一份、是否为原件；
（2）检查回函发出地址、快递物流信息，核实回函地址是否与发函收件地址一致，比对回函印章和签字，确认回函的真实性；
（3）检查函证信息是否相符，对回函不符的询证函，查明不符事项的原因确定是否存在错报，考虑是否存在舞弊的可能性；</t>
    <phoneticPr fontId="69" type="noConversion"/>
  </si>
  <si>
    <r>
      <t>2</t>
    </r>
    <r>
      <rPr>
        <b/>
        <sz val="10"/>
        <rFont val="宋体"/>
        <family val="3"/>
        <charset val="134"/>
      </rPr>
      <t>、收到回函</t>
    </r>
    <phoneticPr fontId="69" type="noConversion"/>
  </si>
  <si>
    <t>回函发出地址（含物流信息中的地址）</t>
    <phoneticPr fontId="69" type="noConversion"/>
  </si>
  <si>
    <t>提示：</t>
    <phoneticPr fontId="80" type="noConversion"/>
  </si>
  <si>
    <t>通过跟函收到的回函应了解被询证者处理函证的通常流程和人员，确认处理询证函人员的身份和处理询证函的权限，如索要名片、观察员工卡或姓名牌等；</t>
    <phoneticPr fontId="80" type="noConversion"/>
  </si>
  <si>
    <t>观察处理询证函的人员是否按照正常流程认真处理询证函，例如，该人员是否在其计算机系统或相关记录中核对相关信息。</t>
    <phoneticPr fontId="80" type="noConversion"/>
  </si>
  <si>
    <t>审计说明：</t>
    <phoneticPr fontId="69" type="noConversion"/>
  </si>
  <si>
    <r>
      <t>3</t>
    </r>
    <r>
      <rPr>
        <sz val="10"/>
        <rFont val="宋体"/>
        <family val="3"/>
        <charset val="134"/>
      </rPr>
      <t>、对以传真或电子邮件形式收到的回函的可靠性的考虑（</t>
    </r>
    <r>
      <rPr>
        <sz val="10"/>
        <rFont val="Arial Narrow"/>
        <family val="2"/>
      </rPr>
      <t>L0-6</t>
    </r>
    <r>
      <rPr>
        <sz val="10"/>
        <rFont val="宋体"/>
        <family val="3"/>
        <charset val="134"/>
      </rPr>
      <t>）</t>
    </r>
    <phoneticPr fontId="7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</si>
</sst>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 #,##0.00_ ;_ * \-#,##0.00_ ;_ * &quot;-&quot;??_ ;_ @_ "/>
    <numFmt numFmtId="176" formatCode="_([$€-2]* #,##0.00_);_([$€-2]* \(#,##0.00\);_([$€-2]* &quot;-&quot;??_)"/>
  </numFmts>
  <fonts count="83" x14ac:knownFonts="1">
    <font>
      <sz val="11"/>
      <color theme="1"/>
      <name val="等线"/>
      <charset val="134"/>
      <scheme val="minor"/>
    </font>
    <font>
      <sz val="11"/>
      <color theme="1"/>
      <name val="Arial Narrow"/>
      <family val="2"/>
    </font>
    <font>
      <b/>
      <sz val="12"/>
      <color indexed="8"/>
      <name val="Arial Narrow"/>
      <family val="2"/>
    </font>
    <font>
      <b/>
      <sz val="14"/>
      <color indexed="8"/>
      <name val="宋体"/>
      <family val="3"/>
      <charset val="134"/>
    </font>
    <font>
      <b/>
      <sz val="14"/>
      <color indexed="8"/>
      <name val="Arial Narrow"/>
      <family val="2"/>
    </font>
    <font>
      <sz val="10"/>
      <name val="Arial Narrow"/>
      <family val="2"/>
    </font>
    <font>
      <sz val="10"/>
      <color indexed="8"/>
      <name val="Arial Narrow"/>
      <family val="2"/>
    </font>
    <font>
      <b/>
      <sz val="10"/>
      <name val="Arial Narrow"/>
      <family val="2"/>
    </font>
    <font>
      <sz val="10"/>
      <name val="宋体"/>
      <family val="3"/>
      <charset val="134"/>
    </font>
    <font>
      <sz val="10"/>
      <color rgb="FFFF0000"/>
      <name val="Arial Narrow"/>
      <family val="2"/>
    </font>
    <font>
      <sz val="10"/>
      <color rgb="FF0000FF"/>
      <name val="宋体"/>
      <family val="3"/>
      <charset val="134"/>
    </font>
    <font>
      <sz val="10"/>
      <color rgb="FF0000FF"/>
      <name val="Arial Narrow"/>
      <family val="2"/>
    </font>
    <font>
      <u/>
      <sz val="12"/>
      <color indexed="12"/>
      <name val="宋体"/>
      <family val="3"/>
      <charset val="134"/>
    </font>
    <font>
      <sz val="10"/>
      <color indexed="12"/>
      <name val="Arial Narrow"/>
      <family val="2"/>
    </font>
    <font>
      <sz val="11"/>
      <color rgb="FF0000FF"/>
      <name val="Arial Narrow"/>
      <family val="2"/>
    </font>
    <font>
      <sz val="12"/>
      <name val="Arial Narrow"/>
      <family val="2"/>
    </font>
    <font>
      <b/>
      <sz val="12"/>
      <name val="Arial Narrow"/>
      <family val="2"/>
    </font>
    <font>
      <b/>
      <sz val="14"/>
      <name val="宋体"/>
      <family val="3"/>
      <charset val="134"/>
    </font>
    <font>
      <b/>
      <sz val="14"/>
      <name val="Arial Narrow"/>
      <family val="2"/>
    </font>
    <font>
      <b/>
      <sz val="10"/>
      <name val="宋体"/>
      <family val="3"/>
      <charset val="134"/>
    </font>
    <font>
      <b/>
      <sz val="11"/>
      <color rgb="FF0000FF"/>
      <name val="宋体"/>
      <family val="3"/>
      <charset val="134"/>
    </font>
    <font>
      <b/>
      <sz val="10"/>
      <color rgb="FF0000FF"/>
      <name val="宋体"/>
      <family val="3"/>
      <charset val="134"/>
    </font>
    <font>
      <sz val="12"/>
      <color rgb="FF0000FF"/>
      <name val="宋体"/>
      <family val="3"/>
      <charset val="134"/>
    </font>
    <font>
      <b/>
      <sz val="12"/>
      <color rgb="FF0000FF"/>
      <name val="宋体"/>
      <family val="3"/>
      <charset val="134"/>
    </font>
    <font>
      <sz val="12"/>
      <color rgb="FF0000FF"/>
      <name val="Arial Narrow"/>
      <family val="2"/>
    </font>
    <font>
      <b/>
      <sz val="9"/>
      <color rgb="FF000000"/>
      <name val="Arial Narrow"/>
      <family val="2"/>
    </font>
    <font>
      <sz val="9"/>
      <color rgb="FF000000"/>
      <name val="Arial Narrow"/>
      <family val="2"/>
    </font>
    <font>
      <b/>
      <i/>
      <sz val="10"/>
      <name val="Arial Narrow"/>
      <family val="2"/>
    </font>
    <font>
      <i/>
      <sz val="10"/>
      <name val="Arial Narrow"/>
      <family val="2"/>
    </font>
    <font>
      <u/>
      <sz val="10"/>
      <name val="Arial Narrow"/>
      <family val="2"/>
    </font>
    <font>
      <sz val="10"/>
      <color indexed="12"/>
      <name val="宋体"/>
      <family val="3"/>
      <charset val="134"/>
    </font>
    <font>
      <i/>
      <u/>
      <sz val="10"/>
      <color indexed="12"/>
      <name val="Arial Narrow"/>
      <family val="2"/>
    </font>
    <font>
      <b/>
      <sz val="9"/>
      <name val="Arial Narrow"/>
      <family val="2"/>
    </font>
    <font>
      <b/>
      <sz val="9"/>
      <name val="宋体"/>
      <family val="3"/>
      <charset val="134"/>
    </font>
    <font>
      <sz val="9"/>
      <name val="Arial Narrow"/>
      <family val="2"/>
    </font>
    <font>
      <sz val="12"/>
      <name val="宋体"/>
      <family val="3"/>
      <charset val="134"/>
    </font>
    <font>
      <sz val="10"/>
      <name val="宋体"/>
      <family val="3"/>
      <charset val="134"/>
    </font>
    <font>
      <u/>
      <sz val="11"/>
      <color indexed="12"/>
      <name val="宋体"/>
      <family val="3"/>
      <charset val="134"/>
    </font>
    <font>
      <b/>
      <sz val="10"/>
      <color rgb="FF0000FF"/>
      <name val="Arial Narrow"/>
      <family val="2"/>
    </font>
    <font>
      <i/>
      <sz val="10"/>
      <color indexed="12"/>
      <name val="Arial Narrow"/>
      <family val="2"/>
    </font>
    <font>
      <sz val="10"/>
      <color theme="1"/>
      <name val="Arial Narrow"/>
      <family val="2"/>
    </font>
    <font>
      <sz val="10"/>
      <color theme="1"/>
      <name val="宋体"/>
      <family val="3"/>
      <charset val="134"/>
    </font>
    <font>
      <u/>
      <sz val="12"/>
      <color indexed="12"/>
      <name val="Arial Narrow"/>
      <family val="2"/>
    </font>
    <font>
      <b/>
      <sz val="10"/>
      <color theme="1"/>
      <name val="Arial Narrow"/>
      <family val="2"/>
    </font>
    <font>
      <u/>
      <sz val="10"/>
      <color indexed="12"/>
      <name val="Arial Narrow"/>
      <family val="2"/>
    </font>
    <font>
      <b/>
      <sz val="10"/>
      <color indexed="12"/>
      <name val="宋体"/>
      <family val="3"/>
      <charset val="134"/>
    </font>
    <font>
      <b/>
      <sz val="10"/>
      <color indexed="12"/>
      <name val="Arial Narrow"/>
      <family val="2"/>
    </font>
    <font>
      <b/>
      <sz val="12"/>
      <name val="宋体"/>
      <family val="3"/>
      <charset val="134"/>
    </font>
    <font>
      <b/>
      <sz val="10"/>
      <color indexed="10"/>
      <name val="宋体"/>
      <family val="3"/>
      <charset val="134"/>
    </font>
    <font>
      <b/>
      <sz val="11"/>
      <color theme="1"/>
      <name val="Arial Narrow"/>
      <family val="2"/>
    </font>
    <font>
      <sz val="12"/>
      <color indexed="12"/>
      <name val="Arial Narrow"/>
      <family val="2"/>
    </font>
    <font>
      <b/>
      <sz val="10"/>
      <color rgb="FFFF0000"/>
      <name val="Arial Narrow"/>
      <family val="2"/>
    </font>
    <font>
      <b/>
      <sz val="10"/>
      <color theme="0" tint="-0.499984740745262"/>
      <name val="Arial Narrow"/>
      <family val="2"/>
    </font>
    <font>
      <b/>
      <sz val="10"/>
      <color rgb="FF0000FF"/>
      <name val="宋体"/>
      <family val="3"/>
      <charset val="134"/>
    </font>
    <font>
      <b/>
      <sz val="10"/>
      <color theme="0" tint="-0.499984740745262"/>
      <name val="宋体"/>
      <family val="3"/>
      <charset val="134"/>
    </font>
    <font>
      <sz val="12"/>
      <name val="Arial"/>
      <family val="2"/>
    </font>
    <font>
      <sz val="10"/>
      <name val="Arial"/>
      <family val="2"/>
    </font>
    <font>
      <sz val="10.5"/>
      <name val="Arial"/>
      <family val="2"/>
    </font>
    <font>
      <sz val="10.5"/>
      <name val="宋体"/>
      <family val="3"/>
      <charset val="134"/>
    </font>
    <font>
      <sz val="10.5"/>
      <name val="Times New Roman"/>
      <family val="1"/>
    </font>
    <font>
      <sz val="12"/>
      <name val="Times New Roman"/>
      <family val="1"/>
    </font>
    <font>
      <sz val="10"/>
      <color indexed="8"/>
      <name val="Arial"/>
      <family val="2"/>
    </font>
    <font>
      <i/>
      <sz val="10"/>
      <color rgb="FFFF0000"/>
      <name val="Arial Narrow"/>
      <family val="2"/>
    </font>
    <font>
      <i/>
      <sz val="10"/>
      <color rgb="FFFF0000"/>
      <name val="宋体"/>
      <family val="3"/>
      <charset val="134"/>
    </font>
    <font>
      <sz val="10"/>
      <color rgb="FFFF0000"/>
      <name val="宋体"/>
      <family val="3"/>
      <charset val="134"/>
    </font>
    <font>
      <i/>
      <sz val="10"/>
      <name val="宋体"/>
      <family val="3"/>
      <charset val="134"/>
    </font>
    <font>
      <b/>
      <sz val="9"/>
      <color rgb="FF000000"/>
      <name val="宋体"/>
      <family val="3"/>
      <charset val="134"/>
    </font>
    <font>
      <b/>
      <sz val="10"/>
      <color rgb="FFFF0000"/>
      <name val="宋体"/>
      <family val="3"/>
      <charset val="134"/>
    </font>
    <font>
      <u/>
      <sz val="10"/>
      <color rgb="FF0000FF"/>
      <name val="宋体"/>
      <family val="3"/>
      <charset val="134"/>
    </font>
    <font>
      <sz val="9"/>
      <name val="宋体"/>
      <family val="3"/>
      <charset val="134"/>
    </font>
    <font>
      <sz val="11"/>
      <color rgb="FF0000FF"/>
      <name val="宋体"/>
      <family val="3"/>
      <charset val="134"/>
    </font>
    <font>
      <b/>
      <sz val="14"/>
      <color rgb="FFFF0000"/>
      <name val="宋体"/>
      <family val="3"/>
      <charset val="134"/>
    </font>
    <font>
      <b/>
      <sz val="10"/>
      <color indexed="8"/>
      <name val="宋体"/>
      <family val="3"/>
      <charset val="134"/>
    </font>
    <font>
      <b/>
      <sz val="10"/>
      <color indexed="8"/>
      <name val="Arial Narrow"/>
      <family val="2"/>
    </font>
    <font>
      <b/>
      <sz val="10"/>
      <color indexed="10"/>
      <name val="Arial Narrow"/>
      <family val="2"/>
    </font>
    <font>
      <b/>
      <sz val="10"/>
      <color theme="1"/>
      <name val="宋体"/>
      <family val="3"/>
      <charset val="134"/>
    </font>
    <font>
      <u/>
      <sz val="10"/>
      <color indexed="10"/>
      <name val="宋体"/>
      <family val="3"/>
      <charset val="134"/>
    </font>
    <font>
      <b/>
      <sz val="12"/>
      <color indexed="8"/>
      <name val="宋体"/>
      <family val="3"/>
      <charset val="134"/>
    </font>
    <font>
      <sz val="11"/>
      <color theme="1"/>
      <name val="等线"/>
      <family val="3"/>
      <charset val="134"/>
      <scheme val="minor"/>
    </font>
    <font>
      <sz val="9"/>
      <name val="等线"/>
      <family val="3"/>
      <charset val="134"/>
      <scheme val="minor"/>
    </font>
    <font>
      <sz val="9"/>
      <name val="等线"/>
      <family val="2"/>
      <charset val="134"/>
      <scheme val="minor"/>
    </font>
    <font>
      <b/>
      <sz val="9"/>
      <color indexed="81"/>
      <name val="宋体"/>
      <family val="3"/>
      <charset val="134"/>
    </font>
    <font>
      <sz val="9"/>
      <color indexed="81"/>
      <name val="宋体"/>
      <family val="3"/>
      <charset val="134"/>
    </font>
  </fonts>
  <fills count="10">
    <fill>
      <patternFill patternType="none"/>
    </fill>
    <fill>
      <patternFill patternType="gray125"/>
    </fill>
    <fill>
      <patternFill patternType="solid">
        <fgColor rgb="FFE4DFEC"/>
        <bgColor indexed="64"/>
      </patternFill>
    </fill>
    <fill>
      <patternFill patternType="solid">
        <fgColor indexed="9"/>
        <bgColor indexed="64"/>
      </patternFill>
    </fill>
    <fill>
      <patternFill patternType="solid">
        <fgColor theme="2" tint="-9.9978637043366805E-2"/>
        <bgColor indexed="64"/>
      </patternFill>
    </fill>
    <fill>
      <patternFill patternType="solid">
        <fgColor rgb="FFE4DFEC"/>
        <bgColor rgb="FFB7DEE8"/>
      </patternFill>
    </fill>
    <fill>
      <patternFill patternType="solid">
        <fgColor rgb="FFFFFF00"/>
        <bgColor indexed="64"/>
      </patternFill>
    </fill>
    <fill>
      <patternFill patternType="solid">
        <fgColor rgb="FFFF0000"/>
        <bgColor indexed="64"/>
      </patternFill>
    </fill>
    <fill>
      <patternFill patternType="solid">
        <fgColor theme="0" tint="-0.14996795556505021"/>
        <bgColor indexed="64"/>
      </patternFill>
    </fill>
    <fill>
      <patternFill patternType="solid">
        <fgColor indexed="14"/>
        <bgColor indexed="64"/>
      </patternFill>
    </fill>
  </fills>
  <borders count="15">
    <border>
      <left/>
      <right/>
      <top/>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right/>
      <top style="hair">
        <color auto="1"/>
      </top>
      <bottom/>
      <diagonal/>
    </border>
    <border>
      <left style="hair">
        <color auto="1"/>
      </left>
      <right style="hair">
        <color auto="1"/>
      </right>
      <top style="hair">
        <color auto="1"/>
      </top>
      <bottom/>
      <diagonal/>
    </border>
    <border>
      <left style="hair">
        <color auto="1"/>
      </left>
      <right style="hair">
        <color auto="1"/>
      </right>
      <top/>
      <bottom style="hair">
        <color auto="1"/>
      </bottom>
      <diagonal/>
    </border>
    <border>
      <left style="hair">
        <color auto="1"/>
      </left>
      <right/>
      <top/>
      <bottom/>
      <diagonal/>
    </border>
    <border>
      <left/>
      <right style="hair">
        <color auto="1"/>
      </right>
      <top/>
      <bottom/>
      <diagonal/>
    </border>
    <border>
      <left style="hair">
        <color auto="1"/>
      </left>
      <right/>
      <top/>
      <bottom style="hair">
        <color auto="1"/>
      </bottom>
      <diagonal/>
    </border>
    <border>
      <left/>
      <right/>
      <top/>
      <bottom style="hair">
        <color auto="1"/>
      </bottom>
      <diagonal/>
    </border>
    <border>
      <left/>
      <right style="hair">
        <color auto="1"/>
      </right>
      <top/>
      <bottom style="hair">
        <color auto="1"/>
      </bottom>
      <diagonal/>
    </border>
    <border>
      <left style="hair">
        <color auto="1"/>
      </left>
      <right style="hair">
        <color auto="1"/>
      </right>
      <top/>
      <bottom/>
      <diagonal/>
    </border>
    <border>
      <left style="thin">
        <color auto="1"/>
      </left>
      <right style="thin">
        <color auto="1"/>
      </right>
      <top style="thin">
        <color auto="1"/>
      </top>
      <bottom style="thin">
        <color auto="1"/>
      </bottom>
      <diagonal/>
    </border>
  </borders>
  <cellStyleXfs count="23">
    <xf numFmtId="0" fontId="0" fillId="0" borderId="0">
      <alignment vertical="center"/>
    </xf>
    <xf numFmtId="43" fontId="35" fillId="0" borderId="0" applyFont="0" applyFill="0" applyBorder="0" applyAlignment="0" applyProtection="0">
      <alignment vertical="center"/>
    </xf>
    <xf numFmtId="9" fontId="35" fillId="0" borderId="0" applyFont="0" applyFill="0" applyBorder="0" applyAlignment="0" applyProtection="0">
      <alignment vertical="center"/>
    </xf>
    <xf numFmtId="0" fontId="12" fillId="0" borderId="0" applyNumberFormat="0" applyFill="0" applyBorder="0" applyAlignment="0" applyProtection="0">
      <alignment vertical="top"/>
      <protection locked="0"/>
    </xf>
    <xf numFmtId="0" fontId="8" fillId="0" borderId="0"/>
    <xf numFmtId="9" fontId="35" fillId="0" borderId="0" applyFont="0" applyFill="0" applyBorder="0" applyAlignment="0" applyProtection="0"/>
    <xf numFmtId="0" fontId="35" fillId="0" borderId="0">
      <protection locked="0"/>
    </xf>
    <xf numFmtId="0" fontId="78" fillId="0" borderId="0"/>
    <xf numFmtId="0" fontId="35" fillId="0" borderId="0">
      <alignment vertical="center"/>
    </xf>
    <xf numFmtId="0" fontId="35" fillId="0" borderId="0">
      <protection locked="0"/>
    </xf>
    <xf numFmtId="0" fontId="35" fillId="0" borderId="0">
      <protection locked="0"/>
    </xf>
    <xf numFmtId="0" fontId="78" fillId="0" borderId="0">
      <alignment vertical="center"/>
    </xf>
    <xf numFmtId="176" fontId="78" fillId="0" borderId="0">
      <alignment vertical="center"/>
    </xf>
    <xf numFmtId="0" fontId="60" fillId="0" borderId="0"/>
    <xf numFmtId="0" fontId="35" fillId="0" borderId="0">
      <alignment vertical="center"/>
    </xf>
    <xf numFmtId="176" fontId="35" fillId="0" borderId="0">
      <alignment vertical="center"/>
    </xf>
    <xf numFmtId="0" fontId="60" fillId="0" borderId="0">
      <alignment vertical="center" shrinkToFit="1"/>
    </xf>
    <xf numFmtId="0" fontId="61" fillId="0" borderId="0">
      <alignment vertical="top"/>
    </xf>
    <xf numFmtId="0" fontId="35" fillId="0" borderId="0"/>
    <xf numFmtId="0" fontId="35" fillId="0" borderId="0" applyFill="0" applyBorder="0"/>
    <xf numFmtId="43" fontId="35" fillId="0" borderId="0" applyFont="0" applyFill="0" applyBorder="0" applyAlignment="0" applyProtection="0"/>
    <xf numFmtId="43" fontId="35" fillId="0" borderId="0" applyFont="0" applyFill="0" applyBorder="0" applyAlignment="0" applyProtection="0">
      <alignment vertical="center"/>
    </xf>
    <xf numFmtId="0" fontId="35" fillId="0" borderId="0">
      <alignment vertical="center"/>
    </xf>
  </cellStyleXfs>
  <cellXfs count="432">
    <xf numFmtId="0" fontId="0" fillId="0" borderId="0" xfId="0">
      <alignment vertical="center"/>
    </xf>
    <xf numFmtId="0" fontId="1" fillId="0" borderId="0" xfId="0" applyFont="1">
      <alignment vertical="center"/>
    </xf>
    <xf numFmtId="0" fontId="0" fillId="0" borderId="0" xfId="0" applyAlignment="1">
      <alignment horizontal="center" vertical="center"/>
    </xf>
    <xf numFmtId="0" fontId="5" fillId="0" borderId="0" xfId="13" applyFont="1" applyFill="1" applyBorder="1" applyAlignment="1">
      <alignment horizontal="left" vertical="center"/>
    </xf>
    <xf numFmtId="0" fontId="5" fillId="0" borderId="0" xfId="8" applyFont="1" applyFill="1" applyBorder="1" applyAlignment="1">
      <alignment vertical="center"/>
    </xf>
    <xf numFmtId="0" fontId="5" fillId="0" borderId="0" xfId="8" applyFont="1" applyFill="1" applyBorder="1" applyAlignment="1">
      <alignment horizontal="center" vertical="center"/>
    </xf>
    <xf numFmtId="0" fontId="5" fillId="0" borderId="0" xfId="8" applyFont="1" applyFill="1" applyBorder="1" applyAlignment="1">
      <alignment horizontal="right" vertical="center"/>
    </xf>
    <xf numFmtId="0" fontId="6" fillId="0" borderId="0" xfId="13" applyFont="1" applyFill="1" applyBorder="1" applyAlignment="1">
      <alignment horizontal="left" vertical="center"/>
    </xf>
    <xf numFmtId="0" fontId="7" fillId="2" borderId="1" xfId="8" applyFont="1" applyFill="1" applyBorder="1" applyAlignment="1">
      <alignment horizontal="center" vertical="center" wrapText="1"/>
    </xf>
    <xf numFmtId="0" fontId="8" fillId="3" borderId="1" xfId="8" applyFont="1" applyFill="1" applyBorder="1" applyAlignment="1">
      <alignment horizontal="center" vertical="center"/>
    </xf>
    <xf numFmtId="0" fontId="8" fillId="3" borderId="1" xfId="8" applyFont="1" applyFill="1" applyBorder="1">
      <alignment vertical="center"/>
    </xf>
    <xf numFmtId="0" fontId="5" fillId="3" borderId="1" xfId="8" applyFont="1" applyFill="1" applyBorder="1" applyAlignment="1">
      <alignment horizontal="center" vertical="center"/>
    </xf>
    <xf numFmtId="0" fontId="7" fillId="0" borderId="5" xfId="9" applyFont="1" applyBorder="1" applyAlignment="1">
      <alignment vertical="center"/>
      <protection locked="0"/>
    </xf>
    <xf numFmtId="0" fontId="7" fillId="0" borderId="5" xfId="9" applyFont="1" applyBorder="1" applyAlignment="1">
      <alignment horizontal="center" vertical="center"/>
      <protection locked="0"/>
    </xf>
    <xf numFmtId="0" fontId="5" fillId="3" borderId="0" xfId="8" applyFont="1" applyFill="1" applyBorder="1" applyAlignment="1">
      <alignment vertical="center" wrapText="1"/>
    </xf>
    <xf numFmtId="0" fontId="5" fillId="3" borderId="0" xfId="8" applyFont="1" applyFill="1" applyBorder="1" applyAlignment="1">
      <alignment horizontal="center" vertical="center" wrapText="1"/>
    </xf>
    <xf numFmtId="176" fontId="12" fillId="0" borderId="0" xfId="3" applyNumberFormat="1" applyFill="1" applyAlignment="1" applyProtection="1">
      <alignment vertical="center"/>
    </xf>
    <xf numFmtId="0" fontId="13" fillId="0" borderId="0" xfId="3" applyFont="1" applyFill="1" applyBorder="1" applyAlignment="1" applyProtection="1">
      <alignment vertical="center"/>
    </xf>
    <xf numFmtId="0" fontId="8" fillId="0" borderId="0" xfId="8" applyFont="1" applyFill="1" applyBorder="1" applyAlignment="1">
      <alignment vertical="center"/>
    </xf>
    <xf numFmtId="0" fontId="14" fillId="0" borderId="0" xfId="0" applyFont="1">
      <alignment vertical="center"/>
    </xf>
    <xf numFmtId="0" fontId="7" fillId="0" borderId="0" xfId="14" applyFont="1" applyAlignment="1">
      <alignment vertical="center"/>
    </xf>
    <xf numFmtId="0" fontId="7" fillId="0" borderId="0" xfId="9" applyFont="1" applyAlignment="1">
      <alignment vertical="center"/>
      <protection locked="0"/>
    </xf>
    <xf numFmtId="0" fontId="5" fillId="0" borderId="0" xfId="9" applyFont="1" applyAlignment="1">
      <alignment vertical="center"/>
      <protection locked="0"/>
    </xf>
    <xf numFmtId="0" fontId="15" fillId="0" borderId="0" xfId="11" applyFont="1" applyFill="1" applyAlignment="1">
      <alignment vertical="center"/>
    </xf>
    <xf numFmtId="0" fontId="15" fillId="0" borderId="0" xfId="11" applyFont="1" applyFill="1">
      <alignment vertical="center"/>
    </xf>
    <xf numFmtId="43" fontId="5" fillId="0" borderId="0" xfId="19" applyNumberFormat="1" applyFont="1" applyBorder="1" applyAlignment="1">
      <alignment vertical="center"/>
    </xf>
    <xf numFmtId="0" fontId="5" fillId="0" borderId="0" xfId="11" applyFont="1" applyBorder="1" applyAlignment="1" applyProtection="1">
      <alignment vertical="center"/>
      <protection locked="0"/>
    </xf>
    <xf numFmtId="0" fontId="7" fillId="2" borderId="1" xfId="11" applyFont="1" applyFill="1" applyBorder="1" applyAlignment="1">
      <alignment horizontal="center" vertical="center" wrapText="1"/>
    </xf>
    <xf numFmtId="0" fontId="5" fillId="0" borderId="1" xfId="11" applyFont="1" applyFill="1" applyBorder="1" applyAlignment="1">
      <alignment horizontal="center" vertical="center"/>
    </xf>
    <xf numFmtId="0" fontId="5" fillId="0" borderId="1" xfId="11" applyFont="1" applyFill="1" applyBorder="1" applyAlignment="1">
      <alignment horizontal="left" vertical="center"/>
    </xf>
    <xf numFmtId="49" fontId="5" fillId="0" borderId="1" xfId="11" applyNumberFormat="1" applyFont="1" applyBorder="1" applyAlignment="1" applyProtection="1">
      <alignment horizontal="justify" vertical="center"/>
      <protection locked="0"/>
    </xf>
    <xf numFmtId="0" fontId="19" fillId="0" borderId="0" xfId="9" applyFont="1" applyBorder="1" applyAlignment="1">
      <alignment vertical="center"/>
      <protection locked="0"/>
    </xf>
    <xf numFmtId="0" fontId="5" fillId="0" borderId="0" xfId="11" applyFont="1" applyFill="1" applyAlignment="1">
      <alignment vertical="center"/>
    </xf>
    <xf numFmtId="0" fontId="10" fillId="0" borderId="0" xfId="9" applyFont="1" applyBorder="1" applyAlignment="1">
      <alignment vertical="center"/>
      <protection locked="0"/>
    </xf>
    <xf numFmtId="0" fontId="5" fillId="0" borderId="0" xfId="9" applyFont="1" applyBorder="1" applyAlignment="1">
      <alignment vertical="center"/>
      <protection locked="0"/>
    </xf>
    <xf numFmtId="0" fontId="20" fillId="0" borderId="0" xfId="11" applyFont="1" applyFill="1" applyAlignment="1">
      <alignment vertical="center"/>
    </xf>
    <xf numFmtId="0" fontId="21" fillId="0" borderId="0" xfId="11" applyFont="1" applyFill="1" applyAlignment="1">
      <alignment vertical="center"/>
    </xf>
    <xf numFmtId="0" fontId="22" fillId="0" borderId="0" xfId="11" applyFont="1" applyFill="1" applyAlignment="1">
      <alignment vertical="center"/>
    </xf>
    <xf numFmtId="0" fontId="23" fillId="0" borderId="0" xfId="11" applyFont="1" applyFill="1" applyAlignment="1">
      <alignment vertical="center"/>
    </xf>
    <xf numFmtId="0" fontId="24" fillId="0" borderId="0" xfId="11" applyFont="1" applyFill="1" applyAlignment="1">
      <alignment vertical="center"/>
    </xf>
    <xf numFmtId="0" fontId="5" fillId="0" borderId="0" xfId="9" applyFont="1" applyBorder="1" applyAlignment="1">
      <alignment horizontal="justify" vertical="center" wrapText="1"/>
      <protection locked="0"/>
    </xf>
    <xf numFmtId="0" fontId="8" fillId="0" borderId="0" xfId="9" applyFont="1" applyBorder="1" applyAlignment="1">
      <alignment vertical="center"/>
      <protection locked="0"/>
    </xf>
    <xf numFmtId="0" fontId="13" fillId="0" borderId="0" xfId="3" applyFont="1" applyBorder="1" applyAlignment="1">
      <alignment vertical="center"/>
      <protection locked="0"/>
    </xf>
    <xf numFmtId="0" fontId="8" fillId="0" borderId="0" xfId="9" applyFont="1" applyBorder="1" applyAlignment="1">
      <alignment horizontal="justify" vertical="center" wrapText="1"/>
      <protection locked="0"/>
    </xf>
    <xf numFmtId="0" fontId="24" fillId="0" borderId="0" xfId="11" applyFont="1" applyFill="1">
      <alignment vertical="center"/>
    </xf>
    <xf numFmtId="49" fontId="5" fillId="0" borderId="1" xfId="11" applyNumberFormat="1" applyFont="1" applyBorder="1" applyAlignment="1" applyProtection="1">
      <alignment horizontal="center" vertical="center"/>
      <protection locked="0"/>
    </xf>
    <xf numFmtId="0" fontId="22" fillId="0" borderId="0" xfId="11" applyFont="1" applyFill="1">
      <alignment vertical="center"/>
    </xf>
    <xf numFmtId="0" fontId="16" fillId="0" borderId="0" xfId="14" applyFont="1" applyBorder="1" applyAlignment="1">
      <alignment vertical="center"/>
    </xf>
    <xf numFmtId="0" fontId="16" fillId="0" borderId="0" xfId="6" applyFont="1" applyBorder="1" applyAlignment="1">
      <alignment vertical="center"/>
      <protection locked="0"/>
    </xf>
    <xf numFmtId="0" fontId="5" fillId="0" borderId="0" xfId="6" applyFont="1" applyBorder="1" applyAlignment="1">
      <alignment vertical="center"/>
      <protection locked="0"/>
    </xf>
    <xf numFmtId="0" fontId="5" fillId="0" borderId="0" xfId="18" applyFont="1" applyAlignment="1" applyProtection="1">
      <alignment vertical="center"/>
      <protection locked="0"/>
    </xf>
    <xf numFmtId="0" fontId="5" fillId="0" borderId="0" xfId="0" applyFont="1" applyProtection="1">
      <alignment vertical="center"/>
      <protection locked="0"/>
    </xf>
    <xf numFmtId="0" fontId="15" fillId="0" borderId="0" xfId="6" applyFont="1" applyBorder="1" applyAlignment="1">
      <alignment vertical="center"/>
      <protection locked="0"/>
    </xf>
    <xf numFmtId="0" fontId="16" fillId="0" borderId="0" xfId="6" applyFont="1" applyBorder="1" applyAlignment="1">
      <alignment horizontal="center" vertical="center"/>
      <protection locked="0"/>
    </xf>
    <xf numFmtId="0" fontId="7" fillId="0" borderId="0" xfId="18" applyFont="1" applyAlignment="1">
      <alignment vertical="center"/>
    </xf>
    <xf numFmtId="0" fontId="5" fillId="0" borderId="0" xfId="18" applyFont="1" applyBorder="1" applyAlignment="1">
      <alignment horizontal="left" vertical="center"/>
    </xf>
    <xf numFmtId="0" fontId="11" fillId="0" borderId="0" xfId="18" applyFont="1" applyBorder="1" applyAlignment="1">
      <alignment horizontal="left" vertical="center"/>
    </xf>
    <xf numFmtId="0" fontId="5" fillId="0" borderId="0" xfId="11" applyFont="1" applyBorder="1" applyAlignment="1" applyProtection="1">
      <protection locked="0"/>
    </xf>
    <xf numFmtId="0" fontId="7" fillId="0" borderId="0" xfId="18" applyFont="1" applyAlignment="1">
      <alignment horizontal="left" vertical="center"/>
    </xf>
    <xf numFmtId="0" fontId="5" fillId="0" borderId="0" xfId="18" applyFont="1" applyAlignment="1">
      <alignment vertical="center"/>
    </xf>
    <xf numFmtId="0" fontId="25" fillId="5" borderId="1" xfId="9" applyFont="1" applyFill="1" applyBorder="1" applyAlignment="1" applyProtection="1">
      <alignment horizontal="center" vertical="center" wrapText="1"/>
    </xf>
    <xf numFmtId="43" fontId="25" fillId="5" borderId="1" xfId="9" applyNumberFormat="1" applyFont="1" applyFill="1" applyBorder="1" applyAlignment="1" applyProtection="1">
      <alignment horizontal="center" vertical="center" wrapText="1"/>
    </xf>
    <xf numFmtId="0" fontId="26" fillId="0" borderId="1" xfId="9" applyFont="1" applyBorder="1" applyAlignment="1" applyProtection="1">
      <alignment vertical="center" wrapText="1"/>
    </xf>
    <xf numFmtId="43" fontId="26" fillId="0" borderId="1" xfId="21" applyFont="1" applyFill="1" applyBorder="1" applyAlignment="1" applyProtection="1">
      <alignment vertical="center" wrapText="1"/>
    </xf>
    <xf numFmtId="43" fontId="26" fillId="0" borderId="1" xfId="21" applyFont="1" applyFill="1" applyBorder="1" applyAlignment="1" applyProtection="1">
      <alignment horizontal="center" vertical="center" wrapText="1"/>
    </xf>
    <xf numFmtId="43" fontId="26" fillId="2" borderId="1" xfId="21" applyFont="1" applyFill="1" applyBorder="1" applyAlignment="1" applyProtection="1">
      <alignment horizontal="center" vertical="center" wrapText="1"/>
    </xf>
    <xf numFmtId="0" fontId="7" fillId="0" borderId="0" xfId="16" applyFont="1" applyAlignment="1">
      <alignment vertical="center"/>
    </xf>
    <xf numFmtId="0" fontId="5" fillId="0" borderId="0" xfId="16" applyFont="1" applyAlignment="1">
      <alignment vertical="center"/>
    </xf>
    <xf numFmtId="43" fontId="5" fillId="0" borderId="0" xfId="21" applyFont="1" applyFill="1" applyBorder="1" applyAlignment="1">
      <alignment vertical="center" shrinkToFit="1"/>
    </xf>
    <xf numFmtId="0" fontId="7" fillId="2" borderId="1" xfId="16" applyFont="1" applyFill="1" applyBorder="1" applyAlignment="1">
      <alignment horizontal="centerContinuous" vertical="center"/>
    </xf>
    <xf numFmtId="43" fontId="7" fillId="2" borderId="1" xfId="21" applyFont="1" applyFill="1" applyBorder="1" applyAlignment="1">
      <alignment horizontal="centerContinuous" vertical="center" shrinkToFit="1"/>
    </xf>
    <xf numFmtId="0" fontId="5" fillId="0" borderId="1" xfId="16" applyFont="1" applyBorder="1" applyAlignment="1">
      <alignment horizontal="center" vertical="center"/>
    </xf>
    <xf numFmtId="14" fontId="5" fillId="0" borderId="1" xfId="16" applyNumberFormat="1" applyFont="1" applyBorder="1" applyAlignment="1">
      <alignment vertical="center"/>
    </xf>
    <xf numFmtId="43" fontId="8" fillId="0" borderId="1" xfId="21" applyFont="1" applyFill="1" applyBorder="1" applyAlignment="1">
      <alignment vertical="center" shrinkToFit="1"/>
    </xf>
    <xf numFmtId="43" fontId="5" fillId="0" borderId="1" xfId="21" applyFont="1" applyFill="1" applyBorder="1" applyAlignment="1">
      <alignment vertical="center" shrinkToFit="1"/>
    </xf>
    <xf numFmtId="0" fontId="5" fillId="0" borderId="1" xfId="16" applyFont="1" applyBorder="1" applyAlignment="1">
      <alignment vertical="center"/>
    </xf>
    <xf numFmtId="14" fontId="5" fillId="0" borderId="0" xfId="16" applyNumberFormat="1" applyFont="1" applyAlignment="1">
      <alignment vertical="center"/>
    </xf>
    <xf numFmtId="14" fontId="7" fillId="2" borderId="1" xfId="16" applyNumberFormat="1" applyFont="1" applyFill="1" applyBorder="1" applyAlignment="1">
      <alignment horizontal="centerContinuous" vertical="center"/>
    </xf>
    <xf numFmtId="0" fontId="7" fillId="2" borderId="1" xfId="16" applyFont="1" applyFill="1" applyBorder="1" applyAlignment="1">
      <alignment horizontal="center" vertical="center"/>
    </xf>
    <xf numFmtId="14" fontId="7" fillId="2" borderId="1" xfId="16" applyNumberFormat="1" applyFont="1" applyFill="1" applyBorder="1" applyAlignment="1">
      <alignment horizontal="center" vertical="center"/>
    </xf>
    <xf numFmtId="0" fontId="7" fillId="2" borderId="1" xfId="16" applyFont="1" applyFill="1" applyBorder="1" applyAlignment="1">
      <alignment horizontal="center" vertical="center" wrapText="1"/>
    </xf>
    <xf numFmtId="14" fontId="7" fillId="0" borderId="0" xfId="16" applyNumberFormat="1" applyFont="1" applyAlignment="1">
      <alignment vertical="center"/>
    </xf>
    <xf numFmtId="0" fontId="9" fillId="0" borderId="0" xfId="16" applyFont="1" applyAlignment="1">
      <alignment vertical="center"/>
    </xf>
    <xf numFmtId="0" fontId="9" fillId="2" borderId="0" xfId="16" applyFont="1" applyFill="1" applyAlignment="1">
      <alignment vertical="center"/>
    </xf>
    <xf numFmtId="14" fontId="27" fillId="0" borderId="0" xfId="16" applyNumberFormat="1" applyFont="1" applyAlignment="1">
      <alignment vertical="center"/>
    </xf>
    <xf numFmtId="0" fontId="5" fillId="0" borderId="0" xfId="16" applyFont="1" applyAlignment="1">
      <alignment horizontal="center" vertical="center"/>
    </xf>
    <xf numFmtId="14" fontId="28" fillId="0" borderId="0" xfId="16" applyNumberFormat="1" applyFont="1" applyAlignment="1">
      <alignment vertical="center"/>
    </xf>
    <xf numFmtId="0" fontId="15" fillId="0" borderId="0" xfId="9" applyFont="1" applyAlignment="1">
      <alignment vertical="center"/>
      <protection locked="0"/>
    </xf>
    <xf numFmtId="0" fontId="5" fillId="0" borderId="0" xfId="9" applyFont="1" applyAlignment="1">
      <alignment horizontal="left" vertical="center"/>
      <protection locked="0"/>
    </xf>
    <xf numFmtId="43" fontId="29" fillId="0" borderId="0" xfId="9" applyNumberFormat="1" applyFont="1" applyAlignment="1">
      <alignment horizontal="left" vertical="center"/>
      <protection locked="0"/>
    </xf>
    <xf numFmtId="0" fontId="21" fillId="0" borderId="0" xfId="6" applyFont="1" applyBorder="1" applyAlignment="1">
      <alignment vertical="center"/>
      <protection locked="0"/>
    </xf>
    <xf numFmtId="0" fontId="30" fillId="0" borderId="0" xfId="6" applyFont="1" applyBorder="1" applyAlignment="1">
      <alignment vertical="center"/>
      <protection locked="0"/>
    </xf>
    <xf numFmtId="0" fontId="13" fillId="0" borderId="0" xfId="6" applyFont="1" applyBorder="1" applyAlignment="1">
      <alignment vertical="center"/>
      <protection locked="0"/>
    </xf>
    <xf numFmtId="0" fontId="13" fillId="0" borderId="0" xfId="6" applyFont="1" applyBorder="1" applyAlignment="1">
      <alignment horizontal="left"/>
      <protection locked="0"/>
    </xf>
    <xf numFmtId="0" fontId="17" fillId="0" borderId="0" xfId="6" applyFont="1" applyBorder="1" applyAlignment="1">
      <alignment vertical="center"/>
      <protection locked="0"/>
    </xf>
    <xf numFmtId="0" fontId="31" fillId="0" borderId="0" xfId="3" applyFont="1" applyBorder="1" applyAlignment="1" applyProtection="1">
      <alignment vertical="center"/>
      <protection locked="0"/>
    </xf>
    <xf numFmtId="0" fontId="5" fillId="0" borderId="0" xfId="6" applyFont="1" applyBorder="1" applyAlignment="1">
      <alignment horizontal="justify" vertical="center" wrapText="1"/>
      <protection locked="0"/>
    </xf>
    <xf numFmtId="0" fontId="16" fillId="0" borderId="0" xfId="14" applyFont="1" applyAlignment="1">
      <alignment vertical="center"/>
    </xf>
    <xf numFmtId="0" fontId="16" fillId="0" borderId="0" xfId="6" applyFont="1" applyAlignment="1">
      <alignment vertical="center"/>
      <protection locked="0"/>
    </xf>
    <xf numFmtId="0" fontId="5" fillId="0" borderId="0" xfId="6" applyFont="1" applyAlignment="1">
      <alignment vertical="center"/>
      <protection locked="0"/>
    </xf>
    <xf numFmtId="0" fontId="15" fillId="0" borderId="0" xfId="6" applyFont="1" applyAlignment="1">
      <alignment vertical="center"/>
      <protection locked="0"/>
    </xf>
    <xf numFmtId="0" fontId="15" fillId="0" borderId="0" xfId="6" applyFont="1" applyAlignment="1">
      <alignment horizontal="center" vertical="center"/>
      <protection locked="0"/>
    </xf>
    <xf numFmtId="0" fontId="5" fillId="0" borderId="0" xfId="6" applyFont="1" applyAlignment="1">
      <alignment vertical="center" wrapText="1"/>
      <protection locked="0"/>
    </xf>
    <xf numFmtId="0" fontId="5" fillId="0" borderId="0" xfId="6" applyFont="1" applyBorder="1" applyAlignment="1">
      <alignment horizontal="right" vertical="center"/>
      <protection locked="0"/>
    </xf>
    <xf numFmtId="14" fontId="5" fillId="0" borderId="0" xfId="6" applyNumberFormat="1" applyFont="1" applyBorder="1" applyAlignment="1">
      <alignment horizontal="center" vertical="center"/>
      <protection locked="0"/>
    </xf>
    <xf numFmtId="0" fontId="34" fillId="2" borderId="1" xfId="4" applyFont="1" applyFill="1" applyBorder="1" applyAlignment="1">
      <alignment horizontal="center" vertical="center"/>
    </xf>
    <xf numFmtId="43" fontId="34" fillId="0" borderId="1" xfId="1" applyFont="1" applyFill="1" applyBorder="1" applyAlignment="1">
      <alignment vertical="center"/>
    </xf>
    <xf numFmtId="0" fontId="34" fillId="2" borderId="1" xfId="4" applyFont="1" applyFill="1" applyBorder="1" applyAlignment="1">
      <alignment vertical="center"/>
    </xf>
    <xf numFmtId="43" fontId="34" fillId="2" borderId="1" xfId="1" applyFont="1" applyFill="1" applyBorder="1" applyAlignment="1">
      <alignment vertical="center"/>
    </xf>
    <xf numFmtId="0" fontId="34" fillId="2" borderId="1" xfId="4" applyFont="1" applyFill="1" applyBorder="1" applyAlignment="1">
      <alignment horizontal="center" vertical="center" wrapText="1"/>
    </xf>
    <xf numFmtId="43" fontId="34" fillId="2" borderId="1" xfId="1" applyFont="1" applyFill="1" applyBorder="1" applyAlignment="1">
      <alignment horizontal="center" vertical="center" wrapText="1"/>
    </xf>
    <xf numFmtId="14" fontId="34" fillId="0" borderId="1" xfId="4" applyNumberFormat="1" applyFont="1" applyFill="1" applyBorder="1" applyAlignment="1">
      <alignment horizontal="center" vertical="center"/>
    </xf>
    <xf numFmtId="0" fontId="34" fillId="0" borderId="1" xfId="4" applyFont="1" applyFill="1" applyBorder="1" applyAlignment="1">
      <alignment horizontal="center" vertical="center"/>
    </xf>
    <xf numFmtId="0" fontId="7" fillId="0" borderId="8" xfId="6" applyFont="1" applyBorder="1" applyAlignment="1">
      <alignment vertical="center"/>
      <protection locked="0"/>
    </xf>
    <xf numFmtId="0" fontId="5" fillId="0" borderId="0" xfId="6" applyFont="1" applyBorder="1" applyAlignment="1">
      <alignment vertical="center" wrapText="1"/>
      <protection locked="0"/>
    </xf>
    <xf numFmtId="0" fontId="5" fillId="0" borderId="0" xfId="6" applyFont="1" applyBorder="1" applyAlignment="1">
      <alignment horizontal="center" vertical="center"/>
      <protection locked="0"/>
    </xf>
    <xf numFmtId="14" fontId="5" fillId="0" borderId="9" xfId="6" applyNumberFormat="1" applyFont="1" applyBorder="1" applyAlignment="1">
      <alignment horizontal="center" vertical="center"/>
      <protection locked="0"/>
    </xf>
    <xf numFmtId="0" fontId="5" fillId="0" borderId="10" xfId="6" applyFont="1" applyFill="1" applyBorder="1" applyAlignment="1">
      <alignment horizontal="left" vertical="center"/>
      <protection locked="0"/>
    </xf>
    <xf numFmtId="0" fontId="5" fillId="0" borderId="11" xfId="6" applyFont="1" applyFill="1" applyBorder="1" applyAlignment="1">
      <alignment horizontal="left" vertical="center"/>
      <protection locked="0"/>
    </xf>
    <xf numFmtId="0" fontId="5" fillId="0" borderId="11" xfId="6" applyFont="1" applyFill="1" applyBorder="1" applyAlignment="1">
      <alignment horizontal="center" vertical="center"/>
      <protection locked="0"/>
    </xf>
    <xf numFmtId="0" fontId="5" fillId="0" borderId="12" xfId="6" applyFont="1" applyFill="1" applyBorder="1" applyAlignment="1">
      <alignment horizontal="center" vertical="center"/>
      <protection locked="0"/>
    </xf>
    <xf numFmtId="0" fontId="5" fillId="0" borderId="0" xfId="6" applyFont="1" applyAlignment="1">
      <alignment horizontal="center" vertical="center"/>
      <protection locked="0"/>
    </xf>
    <xf numFmtId="0" fontId="11" fillId="6" borderId="0" xfId="6" applyFont="1" applyFill="1" applyBorder="1" applyAlignment="1">
      <alignment horizontal="left" vertical="center"/>
      <protection locked="0"/>
    </xf>
    <xf numFmtId="0" fontId="35" fillId="0" borderId="0" xfId="6" applyAlignment="1">
      <alignment vertical="center"/>
      <protection locked="0"/>
    </xf>
    <xf numFmtId="43" fontId="5" fillId="0" borderId="0" xfId="19" applyNumberFormat="1" applyFont="1" applyBorder="1" applyAlignment="1">
      <alignment horizontal="right" vertical="center"/>
    </xf>
    <xf numFmtId="0" fontId="7" fillId="2" borderId="6" xfId="6" applyFont="1" applyFill="1" applyBorder="1" applyAlignment="1">
      <alignment horizontal="center" vertical="center" wrapText="1"/>
      <protection locked="0"/>
    </xf>
    <xf numFmtId="0" fontId="7" fillId="2" borderId="6" xfId="6" applyFont="1" applyFill="1" applyBorder="1" applyAlignment="1">
      <alignment horizontal="center" vertical="center"/>
      <protection locked="0"/>
    </xf>
    <xf numFmtId="0" fontId="7" fillId="2" borderId="6" xfId="6" applyFont="1" applyFill="1" applyBorder="1" applyAlignment="1" applyProtection="1">
      <alignment horizontal="center" vertical="center" wrapText="1"/>
      <protection locked="0"/>
    </xf>
    <xf numFmtId="0" fontId="7" fillId="2" borderId="1" xfId="6" applyFont="1" applyFill="1" applyBorder="1" applyAlignment="1">
      <alignment horizontal="center" vertical="center"/>
      <protection locked="0"/>
    </xf>
    <xf numFmtId="0" fontId="7" fillId="2" borderId="1" xfId="6" applyFont="1" applyFill="1" applyBorder="1" applyAlignment="1">
      <alignment horizontal="center" vertical="center" wrapText="1"/>
      <protection locked="0"/>
    </xf>
    <xf numFmtId="0" fontId="5" fillId="0" borderId="1" xfId="6" applyFont="1" applyBorder="1" applyAlignment="1">
      <alignment vertical="center"/>
      <protection locked="0"/>
    </xf>
    <xf numFmtId="0" fontId="36" fillId="0" borderId="1" xfId="6" applyFont="1" applyBorder="1" applyAlignment="1">
      <alignment vertical="center"/>
      <protection locked="0"/>
    </xf>
    <xf numFmtId="43" fontId="5" fillId="0" borderId="1" xfId="1" applyFont="1" applyBorder="1" applyAlignment="1" applyProtection="1">
      <alignment vertical="center"/>
      <protection locked="0"/>
    </xf>
    <xf numFmtId="43" fontId="5" fillId="2" borderId="1" xfId="1" applyFont="1" applyFill="1" applyBorder="1" applyAlignment="1" applyProtection="1">
      <alignment vertical="center"/>
      <protection locked="0"/>
    </xf>
    <xf numFmtId="0" fontId="8" fillId="0" borderId="1" xfId="6" applyFont="1" applyBorder="1" applyAlignment="1">
      <alignment vertical="center"/>
      <protection locked="0"/>
    </xf>
    <xf numFmtId="0" fontId="5" fillId="2" borderId="1" xfId="6" applyFont="1" applyFill="1" applyBorder="1" applyAlignment="1">
      <alignment vertical="center"/>
      <protection locked="0"/>
    </xf>
    <xf numFmtId="0" fontId="5" fillId="0" borderId="1" xfId="6" applyFont="1" applyBorder="1" applyAlignment="1">
      <alignment horizontal="center" vertical="center"/>
      <protection locked="0"/>
    </xf>
    <xf numFmtId="0" fontId="5" fillId="2" borderId="1" xfId="6" applyFont="1" applyFill="1" applyBorder="1" applyAlignment="1">
      <alignment horizontal="center" vertical="center"/>
      <protection locked="0"/>
    </xf>
    <xf numFmtId="0" fontId="7" fillId="0" borderId="0" xfId="14" applyFont="1" applyBorder="1" applyAlignment="1">
      <alignment vertical="center"/>
    </xf>
    <xf numFmtId="0" fontId="7" fillId="0" borderId="0" xfId="9" applyFont="1" applyBorder="1" applyAlignment="1">
      <alignment vertical="center"/>
      <protection locked="0"/>
    </xf>
    <xf numFmtId="0" fontId="5" fillId="7" borderId="0" xfId="9" applyFont="1" applyFill="1" applyBorder="1" applyAlignment="1">
      <alignment vertical="center"/>
      <protection locked="0"/>
    </xf>
    <xf numFmtId="176" fontId="37" fillId="0" borderId="0" xfId="3" applyNumberFormat="1" applyFont="1" applyFill="1" applyAlignment="1" applyProtection="1">
      <alignment vertical="center"/>
    </xf>
    <xf numFmtId="0" fontId="5" fillId="0" borderId="0" xfId="9" applyFont="1" applyBorder="1">
      <protection locked="0"/>
    </xf>
    <xf numFmtId="0" fontId="8" fillId="0" borderId="0" xfId="9" applyFont="1" applyBorder="1" applyAlignment="1">
      <alignment horizontal="right" vertical="center"/>
      <protection locked="0"/>
    </xf>
    <xf numFmtId="0" fontId="13" fillId="0" borderId="0" xfId="3" applyFont="1" applyBorder="1" applyAlignment="1">
      <alignment horizontal="justify" vertical="center" wrapText="1"/>
      <protection locked="0"/>
    </xf>
    <xf numFmtId="0" fontId="5" fillId="0" borderId="0" xfId="9" applyFont="1" applyBorder="1" applyAlignment="1">
      <alignment horizontal="right" vertical="center"/>
      <protection locked="0"/>
    </xf>
    <xf numFmtId="0" fontId="38" fillId="0" borderId="0" xfId="9" applyFont="1" applyBorder="1" applyAlignment="1">
      <alignment vertical="center"/>
      <protection locked="0"/>
    </xf>
    <xf numFmtId="0" fontId="11" fillId="0" borderId="0" xfId="9" applyFont="1" applyBorder="1" applyAlignment="1">
      <alignment vertical="center"/>
      <protection locked="0"/>
    </xf>
    <xf numFmtId="0" fontId="39" fillId="0" borderId="0" xfId="9" applyFont="1" applyBorder="1" applyAlignment="1">
      <alignment vertical="center"/>
      <protection locked="0"/>
    </xf>
    <xf numFmtId="0" fontId="13" fillId="0" borderId="0" xfId="9" applyFont="1" applyBorder="1" applyAlignment="1">
      <alignment vertical="center"/>
      <protection locked="0"/>
    </xf>
    <xf numFmtId="0" fontId="16" fillId="0" borderId="0" xfId="7" applyFont="1" applyAlignment="1" applyProtection="1">
      <alignment vertical="center"/>
      <protection locked="0"/>
    </xf>
    <xf numFmtId="0" fontId="5" fillId="0" borderId="0" xfId="7" applyFont="1" applyAlignment="1" applyProtection="1">
      <alignment vertical="center"/>
      <protection locked="0"/>
    </xf>
    <xf numFmtId="0" fontId="40" fillId="0" borderId="0" xfId="7" applyFont="1"/>
    <xf numFmtId="0" fontId="41" fillId="0" borderId="0" xfId="7" applyFont="1" applyAlignment="1">
      <alignment horizontal="left" vertical="center"/>
    </xf>
    <xf numFmtId="0" fontId="1" fillId="0" borderId="0" xfId="7" applyFont="1"/>
    <xf numFmtId="0" fontId="1" fillId="0" borderId="0" xfId="7" applyFont="1" applyBorder="1"/>
    <xf numFmtId="49" fontId="5" fillId="0" borderId="0" xfId="19" applyNumberFormat="1" applyFont="1" applyBorder="1" applyAlignment="1">
      <alignment vertical="center"/>
    </xf>
    <xf numFmtId="0" fontId="19" fillId="2" borderId="1" xfId="17" applyFont="1" applyFill="1" applyBorder="1" applyAlignment="1">
      <alignment horizontal="center" vertical="center" wrapText="1"/>
    </xf>
    <xf numFmtId="0" fontId="7" fillId="2" borderId="1" xfId="17" applyFont="1" applyFill="1" applyBorder="1" applyAlignment="1">
      <alignment horizontal="center" vertical="center" wrapText="1"/>
    </xf>
    <xf numFmtId="0" fontId="40" fillId="0" borderId="1" xfId="7" applyFont="1" applyBorder="1" applyAlignment="1" applyProtection="1">
      <alignment horizontal="left" vertical="center"/>
    </xf>
    <xf numFmtId="0" fontId="41" fillId="0" borderId="1" xfId="7" applyFont="1" applyBorder="1" applyAlignment="1" applyProtection="1">
      <alignment horizontal="left" vertical="center"/>
    </xf>
    <xf numFmtId="0" fontId="42" fillId="0" borderId="1" xfId="3" applyFont="1" applyBorder="1" applyAlignment="1" applyProtection="1">
      <alignment horizontal="left" vertical="center"/>
    </xf>
    <xf numFmtId="0" fontId="40" fillId="0" borderId="1" xfId="7" applyFont="1" applyBorder="1" applyAlignment="1">
      <alignment horizontal="left" vertical="center"/>
    </xf>
    <xf numFmtId="0" fontId="41" fillId="0" borderId="1" xfId="7" applyFont="1" applyBorder="1" applyAlignment="1">
      <alignment horizontal="left" vertical="center"/>
    </xf>
    <xf numFmtId="0" fontId="19" fillId="0" borderId="1" xfId="17" applyFont="1" applyFill="1" applyBorder="1" applyAlignment="1">
      <alignment horizontal="left" vertical="center" wrapText="1"/>
    </xf>
    <xf numFmtId="0" fontId="41" fillId="0" borderId="1" xfId="7" applyFont="1" applyBorder="1" applyAlignment="1">
      <alignment horizontal="left" vertical="center" wrapText="1"/>
    </xf>
    <xf numFmtId="0" fontId="43" fillId="0" borderId="1" xfId="7" applyFont="1" applyBorder="1" applyAlignment="1">
      <alignment horizontal="left" vertical="center" wrapText="1"/>
    </xf>
    <xf numFmtId="0" fontId="19" fillId="0" borderId="1" xfId="17" applyFont="1" applyFill="1" applyBorder="1" applyAlignment="1">
      <alignment horizontal="left" vertical="center"/>
    </xf>
    <xf numFmtId="49" fontId="7" fillId="0" borderId="1" xfId="17" applyNumberFormat="1" applyFont="1" applyFill="1" applyBorder="1" applyAlignment="1">
      <alignment horizontal="left" vertical="center"/>
    </xf>
    <xf numFmtId="0" fontId="5" fillId="0" borderId="1" xfId="17" applyFont="1" applyFill="1" applyBorder="1" applyAlignment="1">
      <alignment horizontal="left" vertical="center"/>
    </xf>
    <xf numFmtId="0" fontId="38" fillId="0" borderId="0" xfId="7" applyFont="1"/>
    <xf numFmtId="0" fontId="11" fillId="0" borderId="0" xfId="7" applyFont="1"/>
    <xf numFmtId="0" fontId="40" fillId="0" borderId="0" xfId="7" applyFont="1" applyAlignment="1">
      <alignment horizontal="left" wrapText="1"/>
    </xf>
    <xf numFmtId="0" fontId="10" fillId="0" borderId="0" xfId="7" applyFont="1"/>
    <xf numFmtId="0" fontId="16" fillId="0" borderId="0" xfId="7" applyFont="1" applyAlignment="1" applyProtection="1">
      <alignment horizontal="centerContinuous" vertical="center"/>
      <protection locked="0"/>
    </xf>
    <xf numFmtId="0" fontId="17" fillId="0" borderId="0" xfId="7" applyFont="1" applyAlignment="1" applyProtection="1">
      <alignment horizontal="centerContinuous" vertical="center"/>
      <protection locked="0"/>
    </xf>
    <xf numFmtId="43" fontId="8" fillId="0" borderId="0" xfId="19" applyNumberFormat="1" applyFont="1" applyBorder="1" applyAlignment="1">
      <alignment horizontal="right" vertical="center"/>
    </xf>
    <xf numFmtId="43" fontId="44" fillId="0" borderId="0" xfId="3" applyNumberFormat="1" applyFont="1" applyBorder="1" applyAlignment="1" applyProtection="1">
      <alignment vertical="center"/>
    </xf>
    <xf numFmtId="49" fontId="8" fillId="0" borderId="1" xfId="11" applyNumberFormat="1" applyFont="1" applyBorder="1" applyAlignment="1" applyProtection="1">
      <alignment horizontal="center" vertical="center"/>
      <protection locked="0"/>
    </xf>
    <xf numFmtId="0" fontId="8" fillId="0" borderId="1" xfId="6" applyFont="1" applyBorder="1" applyAlignment="1" applyProtection="1">
      <alignment horizontal="left" vertical="center" wrapText="1"/>
      <protection locked="0"/>
    </xf>
    <xf numFmtId="0" fontId="7" fillId="0" borderId="1" xfId="17" applyFont="1" applyFill="1" applyBorder="1" applyAlignment="1">
      <alignment horizontal="left" vertical="center"/>
    </xf>
    <xf numFmtId="43" fontId="13" fillId="0" borderId="0" xfId="3" applyNumberFormat="1" applyFont="1" applyBorder="1" applyAlignment="1" applyProtection="1">
      <alignment vertical="center"/>
    </xf>
    <xf numFmtId="0" fontId="5" fillId="0" borderId="0" xfId="7" applyFont="1" applyBorder="1" applyAlignment="1" applyProtection="1">
      <alignment vertical="center"/>
      <protection locked="0"/>
    </xf>
    <xf numFmtId="49" fontId="19" fillId="2" borderId="1" xfId="17" applyNumberFormat="1" applyFont="1" applyFill="1" applyBorder="1" applyAlignment="1">
      <alignment horizontal="center" vertical="center"/>
    </xf>
    <xf numFmtId="0" fontId="40" fillId="0" borderId="1" xfId="7" applyFont="1" applyBorder="1" applyAlignment="1" applyProtection="1">
      <alignment horizontal="center" vertical="center"/>
    </xf>
    <xf numFmtId="0" fontId="41" fillId="0" borderId="1" xfId="7" applyFont="1" applyBorder="1" applyAlignment="1" applyProtection="1">
      <alignment horizontal="center" vertical="center"/>
    </xf>
    <xf numFmtId="0" fontId="40" fillId="0" borderId="1" xfId="7" applyFont="1" applyBorder="1" applyAlignment="1">
      <alignment horizontal="center" vertical="center"/>
    </xf>
    <xf numFmtId="0" fontId="41" fillId="0" borderId="1" xfId="7" applyFont="1" applyBorder="1" applyAlignment="1">
      <alignment horizontal="center" vertical="center"/>
    </xf>
    <xf numFmtId="0" fontId="7" fillId="0" borderId="1" xfId="17" applyFont="1" applyFill="1" applyBorder="1" applyAlignment="1">
      <alignment horizontal="center" vertical="center"/>
    </xf>
    <xf numFmtId="0" fontId="40" fillId="0" borderId="0" xfId="7" applyFont="1" applyBorder="1"/>
    <xf numFmtId="0" fontId="19" fillId="0" borderId="0" xfId="7" applyFont="1" applyAlignment="1" applyProtection="1">
      <alignment vertical="center"/>
      <protection locked="0"/>
    </xf>
    <xf numFmtId="49" fontId="7" fillId="2" borderId="1" xfId="17" applyNumberFormat="1" applyFont="1" applyFill="1" applyBorder="1" applyAlignment="1">
      <alignment horizontal="center" vertical="center"/>
    </xf>
    <xf numFmtId="0" fontId="7" fillId="2" borderId="1" xfId="17" applyFont="1" applyFill="1" applyBorder="1" applyAlignment="1">
      <alignment horizontal="center" vertical="center"/>
    </xf>
    <xf numFmtId="0" fontId="7" fillId="0" borderId="0" xfId="6" applyFont="1" applyAlignment="1" applyProtection="1">
      <alignment vertical="center"/>
      <protection locked="0"/>
    </xf>
    <xf numFmtId="0" fontId="5" fillId="0" borderId="0" xfId="6" applyFont="1" applyAlignment="1" applyProtection="1">
      <alignment vertical="center"/>
      <protection locked="0"/>
    </xf>
    <xf numFmtId="0" fontId="13" fillId="0" borderId="0" xfId="6" applyFont="1" applyAlignment="1">
      <alignment vertical="center"/>
      <protection locked="0"/>
    </xf>
    <xf numFmtId="0" fontId="15" fillId="0" borderId="0" xfId="6" applyFont="1" applyFill="1" applyAlignment="1">
      <alignment vertical="center"/>
      <protection locked="0"/>
    </xf>
    <xf numFmtId="0" fontId="5" fillId="0" borderId="0" xfId="6" applyFont="1" applyFill="1" applyAlignment="1">
      <alignment vertical="center"/>
      <protection locked="0"/>
    </xf>
    <xf numFmtId="0" fontId="5" fillId="0" borderId="1" xfId="6" applyFont="1" applyBorder="1" applyAlignment="1" applyProtection="1">
      <alignment horizontal="center" vertical="center" wrapText="1"/>
      <protection locked="0"/>
    </xf>
    <xf numFmtId="0" fontId="5" fillId="0" borderId="1" xfId="6" applyFont="1" applyBorder="1" applyAlignment="1" applyProtection="1">
      <alignment horizontal="left" vertical="center" wrapText="1"/>
      <protection locked="0"/>
    </xf>
    <xf numFmtId="43" fontId="5" fillId="2" borderId="1" xfId="6" applyNumberFormat="1" applyFont="1" applyFill="1" applyBorder="1" applyAlignment="1" applyProtection="1">
      <alignment horizontal="left" vertical="center" wrapText="1"/>
      <protection locked="0"/>
    </xf>
    <xf numFmtId="43" fontId="8" fillId="0" borderId="1" xfId="6" applyNumberFormat="1" applyFont="1" applyFill="1" applyBorder="1" applyAlignment="1" applyProtection="1">
      <alignment horizontal="left" vertical="center" wrapText="1"/>
      <protection locked="0"/>
    </xf>
    <xf numFmtId="43" fontId="5" fillId="0" borderId="1" xfId="1" applyFont="1" applyFill="1" applyBorder="1" applyAlignment="1" applyProtection="1">
      <alignment horizontal="left" vertical="center" wrapText="1"/>
      <protection locked="0"/>
    </xf>
    <xf numFmtId="14" fontId="5" fillId="0" borderId="1" xfId="6" applyNumberFormat="1" applyFont="1" applyBorder="1" applyAlignment="1" applyProtection="1">
      <alignment horizontal="center" vertical="center" wrapText="1"/>
      <protection locked="0"/>
    </xf>
    <xf numFmtId="43" fontId="5" fillId="0" borderId="1" xfId="6" applyNumberFormat="1" applyFont="1" applyFill="1" applyBorder="1" applyAlignment="1" applyProtection="1">
      <alignment horizontal="left" vertical="center" wrapText="1"/>
      <protection locked="0"/>
    </xf>
    <xf numFmtId="0" fontId="5" fillId="0" borderId="0" xfId="6" applyFont="1" applyFill="1" applyBorder="1" applyAlignment="1" applyProtection="1">
      <alignment horizontal="left" vertical="center"/>
      <protection locked="0"/>
    </xf>
    <xf numFmtId="0" fontId="19" fillId="0" borderId="5" xfId="6" applyFont="1" applyFill="1" applyBorder="1" applyAlignment="1" applyProtection="1">
      <alignment vertical="center"/>
      <protection locked="0"/>
    </xf>
    <xf numFmtId="0" fontId="5" fillId="0" borderId="5" xfId="6" applyFont="1" applyFill="1" applyBorder="1" applyAlignment="1" applyProtection="1">
      <alignment vertical="center"/>
      <protection locked="0"/>
    </xf>
    <xf numFmtId="0" fontId="5" fillId="0" borderId="5" xfId="6" applyFont="1" applyFill="1" applyBorder="1" applyAlignment="1" applyProtection="1">
      <alignment horizontal="left" vertical="center"/>
      <protection locked="0"/>
    </xf>
    <xf numFmtId="43" fontId="5" fillId="0" borderId="5" xfId="6" applyNumberFormat="1" applyFont="1" applyFill="1" applyBorder="1" applyAlignment="1" applyProtection="1">
      <alignment horizontal="left" vertical="center" wrapText="1"/>
      <protection locked="0"/>
    </xf>
    <xf numFmtId="43" fontId="5" fillId="0" borderId="5" xfId="6" applyNumberFormat="1" applyFont="1" applyBorder="1" applyAlignment="1" applyProtection="1">
      <alignment horizontal="left" vertical="center" wrapText="1"/>
      <protection locked="0"/>
    </xf>
    <xf numFmtId="0" fontId="8" fillId="2" borderId="1" xfId="6" applyFont="1" applyFill="1" applyBorder="1" applyAlignment="1" applyProtection="1">
      <alignment horizontal="center" vertical="center"/>
      <protection locked="0"/>
    </xf>
    <xf numFmtId="0" fontId="5" fillId="0" borderId="0" xfId="6" applyFont="1" applyBorder="1" applyAlignment="1" applyProtection="1">
      <alignment vertical="center"/>
      <protection locked="0"/>
    </xf>
    <xf numFmtId="0" fontId="5" fillId="2" borderId="1" xfId="6" applyFont="1" applyFill="1" applyBorder="1" applyAlignment="1" applyProtection="1">
      <alignment vertical="center"/>
      <protection locked="0"/>
    </xf>
    <xf numFmtId="43" fontId="5" fillId="0" borderId="1" xfId="1" applyFont="1" applyFill="1" applyBorder="1" applyAlignment="1" applyProtection="1">
      <alignment horizontal="left" vertical="center"/>
      <protection locked="0"/>
    </xf>
    <xf numFmtId="43" fontId="5" fillId="2" borderId="1" xfId="1" applyFont="1" applyFill="1" applyBorder="1" applyAlignment="1" applyProtection="1">
      <alignment horizontal="left" vertical="center"/>
      <protection locked="0"/>
    </xf>
    <xf numFmtId="10" fontId="5" fillId="2" borderId="1" xfId="2" applyNumberFormat="1" applyFont="1" applyFill="1" applyBorder="1" applyAlignment="1" applyProtection="1">
      <alignment horizontal="right" vertical="center"/>
      <protection locked="0"/>
    </xf>
    <xf numFmtId="0" fontId="8" fillId="2" borderId="1" xfId="6" applyFont="1" applyFill="1" applyBorder="1" applyAlignment="1" applyProtection="1">
      <alignment vertical="center"/>
      <protection locked="0"/>
    </xf>
    <xf numFmtId="0" fontId="7" fillId="0" borderId="0" xfId="6" applyFont="1" applyBorder="1" applyAlignment="1" applyProtection="1">
      <alignment horizontal="left" vertical="center"/>
      <protection locked="0"/>
    </xf>
    <xf numFmtId="0" fontId="5" fillId="2" borderId="1" xfId="6" applyFont="1" applyFill="1" applyBorder="1" applyAlignment="1" applyProtection="1">
      <alignment horizontal="left" vertical="center"/>
      <protection locked="0"/>
    </xf>
    <xf numFmtId="0" fontId="7" fillId="2" borderId="1" xfId="6" applyFont="1" applyFill="1" applyBorder="1" applyAlignment="1" applyProtection="1">
      <alignment horizontal="left" vertical="center"/>
      <protection locked="0"/>
    </xf>
    <xf numFmtId="0" fontId="7" fillId="0" borderId="0" xfId="6" applyFont="1" applyFill="1" applyBorder="1" applyAlignment="1" applyProtection="1">
      <alignment horizontal="left" vertical="center"/>
      <protection locked="0"/>
    </xf>
    <xf numFmtId="0" fontId="19" fillId="0" borderId="0" xfId="6" applyFont="1" applyBorder="1" applyAlignment="1" applyProtection="1">
      <alignment vertical="center"/>
      <protection locked="0"/>
    </xf>
    <xf numFmtId="0" fontId="5" fillId="0" borderId="0" xfId="6" applyFont="1" applyFill="1" applyBorder="1" applyAlignment="1" applyProtection="1">
      <alignment vertical="center"/>
      <protection locked="0"/>
    </xf>
    <xf numFmtId="0" fontId="7" fillId="0" borderId="0" xfId="6" applyFont="1" applyBorder="1" applyAlignment="1" applyProtection="1">
      <alignment vertical="center"/>
      <protection locked="0"/>
    </xf>
    <xf numFmtId="0" fontId="5" fillId="0" borderId="0" xfId="6" applyFont="1" applyFill="1" applyBorder="1" applyAlignment="1">
      <alignment vertical="center"/>
      <protection locked="0"/>
    </xf>
    <xf numFmtId="0" fontId="10" fillId="0" borderId="0" xfId="6" applyFont="1" applyBorder="1" applyAlignment="1">
      <alignment vertical="center"/>
      <protection locked="0"/>
    </xf>
    <xf numFmtId="0" fontId="19" fillId="0" borderId="0" xfId="6" applyFont="1" applyAlignment="1">
      <alignment vertical="center" wrapText="1"/>
      <protection locked="0"/>
    </xf>
    <xf numFmtId="0" fontId="5" fillId="0" borderId="0" xfId="6" applyFont="1" applyFill="1" applyAlignment="1">
      <alignment vertical="center" wrapText="1"/>
      <protection locked="0"/>
    </xf>
    <xf numFmtId="0" fontId="45" fillId="0" borderId="0" xfId="6" applyFont="1" applyAlignment="1" applyProtection="1">
      <alignment vertical="center"/>
      <protection locked="0"/>
    </xf>
    <xf numFmtId="0" fontId="46" fillId="0" borderId="0" xfId="9" applyFont="1" applyAlignment="1">
      <alignment vertical="center"/>
      <protection locked="0"/>
    </xf>
    <xf numFmtId="0" fontId="15" fillId="0" borderId="0" xfId="6" applyFont="1" applyAlignment="1" applyProtection="1">
      <alignment vertical="center"/>
      <protection locked="0"/>
    </xf>
    <xf numFmtId="0" fontId="13" fillId="0" borderId="0" xfId="9" applyFont="1" applyAlignment="1">
      <alignment vertical="center"/>
      <protection locked="0"/>
    </xf>
    <xf numFmtId="0" fontId="46" fillId="0" borderId="0" xfId="6" applyFont="1" applyAlignment="1" applyProtection="1">
      <alignment vertical="center"/>
      <protection locked="0"/>
    </xf>
    <xf numFmtId="0" fontId="13" fillId="0" borderId="0" xfId="6" applyFont="1" applyAlignment="1" applyProtection="1">
      <alignment vertical="center"/>
      <protection locked="0"/>
    </xf>
    <xf numFmtId="0" fontId="13" fillId="0" borderId="0" xfId="6" applyFont="1" applyFill="1" applyAlignment="1">
      <alignment vertical="center"/>
      <protection locked="0"/>
    </xf>
    <xf numFmtId="0" fontId="13" fillId="0" borderId="0" xfId="6" applyFont="1" applyAlignment="1" applyProtection="1">
      <protection locked="0"/>
    </xf>
    <xf numFmtId="43" fontId="5" fillId="0" borderId="1" xfId="6" applyNumberFormat="1" applyFont="1" applyBorder="1" applyAlignment="1" applyProtection="1">
      <alignment horizontal="center" vertical="center" wrapText="1"/>
      <protection locked="0"/>
    </xf>
    <xf numFmtId="43" fontId="5" fillId="2" borderId="1" xfId="6" applyNumberFormat="1" applyFont="1" applyFill="1" applyBorder="1" applyAlignment="1" applyProtection="1">
      <alignment horizontal="center" vertical="center" wrapText="1"/>
      <protection locked="0"/>
    </xf>
    <xf numFmtId="43" fontId="5" fillId="0" borderId="1" xfId="6" applyNumberFormat="1" applyFont="1" applyFill="1" applyBorder="1" applyAlignment="1" applyProtection="1">
      <alignment horizontal="center" vertical="center" wrapText="1"/>
      <protection locked="0"/>
    </xf>
    <xf numFmtId="43" fontId="19" fillId="0" borderId="5" xfId="6" applyNumberFormat="1" applyFont="1" applyBorder="1" applyAlignment="1" applyProtection="1">
      <alignment horizontal="left" vertical="center" wrapText="1"/>
      <protection locked="0"/>
    </xf>
    <xf numFmtId="0" fontId="7" fillId="0" borderId="0" xfId="6" applyFont="1" applyBorder="1" applyAlignment="1" applyProtection="1">
      <alignment horizontal="center" vertical="center" wrapText="1"/>
      <protection locked="0"/>
    </xf>
    <xf numFmtId="0" fontId="8" fillId="0" borderId="0" xfId="18" applyFont="1" applyAlignment="1">
      <alignment horizontal="left" vertical="center"/>
    </xf>
    <xf numFmtId="0" fontId="10" fillId="0" borderId="0" xfId="18" applyFont="1" applyAlignment="1">
      <alignment horizontal="left" vertical="center"/>
    </xf>
    <xf numFmtId="0" fontId="5" fillId="0" borderId="0" xfId="18" applyFont="1" applyAlignment="1">
      <alignment horizontal="left" vertical="center"/>
    </xf>
    <xf numFmtId="0" fontId="11" fillId="0" borderId="0" xfId="18" applyFont="1" applyAlignment="1">
      <alignment horizontal="left" vertical="center"/>
    </xf>
    <xf numFmtId="0" fontId="1" fillId="0" borderId="0" xfId="0" applyFont="1" applyAlignment="1" applyProtection="1">
      <protection locked="0"/>
    </xf>
    <xf numFmtId="43" fontId="5" fillId="0" borderId="0" xfId="6" applyNumberFormat="1" applyFont="1" applyBorder="1" applyAlignment="1" applyProtection="1">
      <alignment horizontal="left" vertical="center" wrapText="1"/>
      <protection locked="0"/>
    </xf>
    <xf numFmtId="0" fontId="11" fillId="0" borderId="0" xfId="6" applyFont="1" applyAlignment="1">
      <alignment horizontal="left" vertical="center"/>
      <protection locked="0"/>
    </xf>
    <xf numFmtId="0" fontId="5" fillId="0" borderId="0" xfId="6" applyFont="1" applyAlignment="1">
      <alignment horizontal="right" vertical="center"/>
      <protection locked="0"/>
    </xf>
    <xf numFmtId="0" fontId="13" fillId="0" borderId="0" xfId="3" applyFont="1" applyAlignment="1">
      <alignment vertical="center"/>
      <protection locked="0"/>
    </xf>
    <xf numFmtId="0" fontId="5" fillId="0" borderId="0" xfId="6" applyFont="1" applyAlignment="1">
      <alignment horizontal="left" vertical="center"/>
      <protection locked="0"/>
    </xf>
    <xf numFmtId="43" fontId="5" fillId="0" borderId="1" xfId="1" applyFont="1" applyBorder="1" applyAlignment="1" applyProtection="1">
      <alignment vertical="center" wrapText="1"/>
      <protection locked="0"/>
    </xf>
    <xf numFmtId="43" fontId="5" fillId="2" borderId="1" xfId="1" applyFont="1" applyFill="1" applyBorder="1" applyAlignment="1" applyProtection="1">
      <alignment horizontal="center" vertical="center" wrapText="1"/>
      <protection locked="0"/>
    </xf>
    <xf numFmtId="43" fontId="8" fillId="0" borderId="1" xfId="6" applyNumberFormat="1" applyFont="1" applyBorder="1" applyAlignment="1" applyProtection="1">
      <alignment horizontal="left" vertical="center" wrapText="1"/>
      <protection locked="0"/>
    </xf>
    <xf numFmtId="43" fontId="5" fillId="0" borderId="1" xfId="6" applyNumberFormat="1" applyFont="1" applyBorder="1" applyAlignment="1" applyProtection="1">
      <alignment horizontal="left" vertical="center" wrapText="1"/>
      <protection locked="0"/>
    </xf>
    <xf numFmtId="0" fontId="19" fillId="0" borderId="0" xfId="6" applyFont="1" applyBorder="1" applyAlignment="1" applyProtection="1">
      <alignment horizontal="left" vertical="center"/>
      <protection locked="0"/>
    </xf>
    <xf numFmtId="0" fontId="5" fillId="0" borderId="5" xfId="6" applyFont="1" applyBorder="1" applyAlignment="1" applyProtection="1">
      <alignment vertical="center"/>
      <protection locked="0"/>
    </xf>
    <xf numFmtId="0" fontId="13" fillId="0" borderId="0" xfId="6" applyFont="1" applyBorder="1" applyAlignment="1" applyProtection="1">
      <alignment horizontal="left" vertical="center"/>
      <protection locked="0"/>
    </xf>
    <xf numFmtId="0" fontId="10" fillId="0" borderId="0" xfId="6" applyFont="1" applyBorder="1" applyAlignment="1" applyProtection="1">
      <alignment vertical="center"/>
      <protection locked="0"/>
    </xf>
    <xf numFmtId="0" fontId="19" fillId="0" borderId="0" xfId="6" applyFont="1" applyAlignment="1">
      <alignment vertical="center"/>
      <protection locked="0"/>
    </xf>
    <xf numFmtId="176" fontId="12" fillId="0" borderId="0" xfId="3" applyNumberFormat="1" applyFont="1" applyFill="1" applyAlignment="1" applyProtection="1">
      <alignment vertical="center"/>
    </xf>
    <xf numFmtId="0" fontId="47" fillId="0" borderId="0" xfId="6" applyFont="1" applyAlignment="1">
      <alignment vertical="center"/>
      <protection locked="0"/>
    </xf>
    <xf numFmtId="43" fontId="5" fillId="0" borderId="1" xfId="1" applyFont="1" applyFill="1" applyBorder="1" applyAlignment="1" applyProtection="1">
      <alignment horizontal="right" vertical="center" wrapText="1"/>
      <protection locked="0"/>
    </xf>
    <xf numFmtId="43" fontId="5" fillId="0" borderId="1" xfId="1" applyFont="1" applyBorder="1" applyAlignment="1" applyProtection="1">
      <alignment horizontal="right" vertical="center" wrapText="1"/>
      <protection locked="0"/>
    </xf>
    <xf numFmtId="0" fontId="11" fillId="0" borderId="0" xfId="6" applyFont="1" applyBorder="1" applyAlignment="1" applyProtection="1">
      <alignment vertical="center"/>
      <protection locked="0"/>
    </xf>
    <xf numFmtId="0" fontId="13" fillId="0" borderId="0" xfId="6" applyFont="1" applyBorder="1" applyAlignment="1" applyProtection="1">
      <alignment horizontal="right" vertical="center"/>
      <protection locked="0"/>
    </xf>
    <xf numFmtId="0" fontId="46" fillId="0" borderId="0" xfId="6" applyFont="1" applyAlignment="1" applyProtection="1">
      <alignment horizontal="left"/>
      <protection locked="0"/>
    </xf>
    <xf numFmtId="0" fontId="13" fillId="0" borderId="0" xfId="6" applyFont="1" applyAlignment="1" applyProtection="1">
      <alignment horizontal="right"/>
      <protection locked="0"/>
    </xf>
    <xf numFmtId="0" fontId="48" fillId="0" borderId="0" xfId="6" applyFont="1" applyAlignment="1">
      <alignment vertical="center"/>
      <protection locked="0"/>
    </xf>
    <xf numFmtId="176" fontId="49" fillId="0" borderId="0" xfId="12" applyFont="1" applyFill="1">
      <alignment vertical="center"/>
    </xf>
    <xf numFmtId="176" fontId="1" fillId="0" borderId="0" xfId="12" applyFont="1" applyFill="1">
      <alignment vertical="center"/>
    </xf>
    <xf numFmtId="176" fontId="1" fillId="0" borderId="0" xfId="12" applyFont="1" applyFill="1" applyAlignment="1">
      <alignment vertical="center" wrapText="1"/>
    </xf>
    <xf numFmtId="176" fontId="40" fillId="0" borderId="0" xfId="12" applyFont="1" applyFill="1">
      <alignment vertical="center"/>
    </xf>
    <xf numFmtId="176" fontId="5" fillId="0" borderId="0" xfId="12" applyFont="1" applyFill="1" applyBorder="1" applyAlignment="1" applyProtection="1">
      <alignment vertical="center"/>
      <protection locked="0"/>
    </xf>
    <xf numFmtId="0" fontId="5" fillId="0" borderId="0" xfId="10" applyFont="1" applyFill="1" applyBorder="1" applyAlignment="1">
      <alignment horizontal="left" vertical="center"/>
      <protection locked="0"/>
    </xf>
    <xf numFmtId="176" fontId="50" fillId="0" borderId="0" xfId="3" applyNumberFormat="1" applyFont="1" applyFill="1" applyBorder="1" applyAlignment="1" applyProtection="1">
      <alignment vertical="center" wrapText="1"/>
      <protection locked="0"/>
    </xf>
    <xf numFmtId="176" fontId="51" fillId="0" borderId="0" xfId="12" applyFont="1" applyFill="1" applyAlignment="1" applyProtection="1">
      <alignment horizontal="center" vertical="center"/>
      <protection locked="0"/>
    </xf>
    <xf numFmtId="176" fontId="52" fillId="8" borderId="0" xfId="12" applyFont="1" applyFill="1" applyAlignment="1" applyProtection="1">
      <alignment horizontal="center" vertical="center"/>
      <protection locked="0"/>
    </xf>
    <xf numFmtId="49" fontId="5" fillId="0" borderId="1" xfId="12" applyNumberFormat="1" applyFont="1" applyFill="1" applyBorder="1" applyAlignment="1" applyProtection="1">
      <alignment horizontal="center" vertical="center"/>
      <protection locked="0"/>
    </xf>
    <xf numFmtId="176" fontId="41" fillId="0" borderId="1" xfId="12" applyFont="1" applyFill="1" applyBorder="1" applyAlignment="1">
      <alignment horizontal="center" vertical="center" wrapText="1"/>
    </xf>
    <xf numFmtId="176" fontId="53" fillId="0" borderId="0" xfId="12" applyFont="1" applyFill="1" applyAlignment="1" applyProtection="1">
      <alignment horizontal="left" vertical="center"/>
      <protection locked="0"/>
    </xf>
    <xf numFmtId="176" fontId="52" fillId="8" borderId="0" xfId="12" applyFont="1" applyFill="1" applyAlignment="1" applyProtection="1">
      <alignment horizontal="left" vertical="center"/>
      <protection locked="0"/>
    </xf>
    <xf numFmtId="176" fontId="41" fillId="0" borderId="1" xfId="12" applyFont="1" applyBorder="1" applyAlignment="1">
      <alignment horizontal="center" vertical="center" wrapText="1"/>
    </xf>
    <xf numFmtId="176" fontId="51" fillId="0" borderId="0" xfId="12" applyFont="1" applyFill="1" applyAlignment="1" applyProtection="1">
      <alignment vertical="center"/>
      <protection locked="0"/>
    </xf>
    <xf numFmtId="176" fontId="51" fillId="8" borderId="0" xfId="12" applyFont="1" applyFill="1" applyAlignment="1" applyProtection="1">
      <alignment horizontal="left" vertical="center"/>
      <protection locked="0"/>
    </xf>
    <xf numFmtId="176" fontId="11" fillId="0" borderId="0" xfId="12" applyFont="1" applyFill="1" applyAlignment="1" applyProtection="1">
      <alignment horizontal="left" vertical="center"/>
      <protection locked="0"/>
    </xf>
    <xf numFmtId="176" fontId="54" fillId="8" borderId="0" xfId="12" applyFont="1" applyFill="1" applyAlignment="1" applyProtection="1">
      <alignment horizontal="center" vertical="center"/>
      <protection locked="0"/>
    </xf>
    <xf numFmtId="0" fontId="55" fillId="0" borderId="0" xfId="6" applyFont="1">
      <protection locked="0"/>
    </xf>
    <xf numFmtId="0" fontId="56" fillId="0" borderId="0" xfId="6" applyFont="1">
      <protection locked="0"/>
    </xf>
    <xf numFmtId="0" fontId="35" fillId="0" borderId="0" xfId="6">
      <protection locked="0"/>
    </xf>
    <xf numFmtId="0" fontId="55" fillId="0" borderId="0" xfId="6" applyFont="1" applyAlignment="1">
      <alignment vertical="center"/>
      <protection locked="0"/>
    </xf>
    <xf numFmtId="0" fontId="5" fillId="9" borderId="0" xfId="6" applyFont="1" applyFill="1" applyBorder="1" applyAlignment="1">
      <alignment horizontal="justify" vertical="center" wrapText="1"/>
      <protection locked="0"/>
    </xf>
    <xf numFmtId="0" fontId="57" fillId="0" borderId="0" xfId="6" applyFont="1" applyBorder="1" applyAlignment="1">
      <alignment horizontal="justify" wrapText="1"/>
      <protection locked="0"/>
    </xf>
    <xf numFmtId="0" fontId="58" fillId="0" borderId="0" xfId="6" applyFont="1" applyBorder="1" applyAlignment="1">
      <alignment horizontal="justify" wrapText="1"/>
      <protection locked="0"/>
    </xf>
    <xf numFmtId="0" fontId="35" fillId="0" borderId="0" xfId="6" applyFont="1" applyAlignment="1">
      <alignment horizontal="center" vertical="center"/>
      <protection locked="0"/>
    </xf>
    <xf numFmtId="0" fontId="58" fillId="0" borderId="0" xfId="6" applyFont="1" applyBorder="1" applyAlignment="1">
      <alignment horizontal="justify" vertical="top" wrapText="1"/>
      <protection locked="0"/>
    </xf>
    <xf numFmtId="0" fontId="8" fillId="9" borderId="0" xfId="6" applyFont="1" applyFill="1" applyBorder="1" applyAlignment="1" applyProtection="1">
      <alignment horizontal="justify" vertical="center" wrapText="1"/>
      <protection locked="0"/>
    </xf>
    <xf numFmtId="0" fontId="55" fillId="0" borderId="14" xfId="6" applyFont="1" applyBorder="1" applyAlignment="1">
      <alignment horizontal="center" vertical="center" wrapText="1"/>
      <protection locked="0"/>
    </xf>
    <xf numFmtId="0" fontId="12" fillId="0" borderId="14" xfId="3" applyBorder="1" applyAlignment="1">
      <alignment vertical="center"/>
      <protection locked="0"/>
    </xf>
    <xf numFmtId="0" fontId="55" fillId="0" borderId="0" xfId="6" applyFont="1" applyBorder="1">
      <protection locked="0"/>
    </xf>
    <xf numFmtId="0" fontId="59" fillId="0" borderId="0" xfId="6" applyFont="1" applyBorder="1" applyAlignment="1">
      <alignment horizontal="justify" wrapText="1"/>
      <protection locked="0"/>
    </xf>
    <xf numFmtId="0" fontId="35" fillId="0" borderId="0" xfId="6" applyBorder="1">
      <protection locked="0"/>
    </xf>
    <xf numFmtId="0" fontId="7" fillId="0" borderId="0" xfId="9" applyFont="1" applyBorder="1" applyAlignment="1">
      <alignment horizontal="center" vertical="center"/>
      <protection locked="0"/>
    </xf>
    <xf numFmtId="0" fontId="17" fillId="0" borderId="0" xfId="0" applyFont="1" applyAlignment="1" applyProtection="1">
      <alignment horizontal="center" vertical="center"/>
      <protection locked="0"/>
    </xf>
    <xf numFmtId="0" fontId="10" fillId="0" borderId="0" xfId="6" applyFont="1" applyAlignment="1" applyProtection="1">
      <alignment vertical="center"/>
      <protection locked="0"/>
    </xf>
    <xf numFmtId="0" fontId="64" fillId="0" borderId="0" xfId="7" applyFont="1" applyBorder="1" applyAlignment="1">
      <alignment horizontal="left" vertical="center"/>
    </xf>
    <xf numFmtId="0" fontId="40" fillId="0" borderId="5" xfId="7" applyFont="1" applyBorder="1" applyAlignment="1">
      <alignment horizontal="left" vertical="center"/>
    </xf>
    <xf numFmtId="0" fontId="19" fillId="0" borderId="5" xfId="17" applyFont="1" applyFill="1" applyBorder="1" applyAlignment="1">
      <alignment horizontal="left" vertical="center" wrapText="1"/>
    </xf>
    <xf numFmtId="0" fontId="8" fillId="0" borderId="5" xfId="6" applyFont="1" applyBorder="1" applyAlignment="1" applyProtection="1">
      <alignment horizontal="left" vertical="center" wrapText="1"/>
      <protection locked="0"/>
    </xf>
    <xf numFmtId="49" fontId="8" fillId="0" borderId="5" xfId="11" applyNumberFormat="1" applyFont="1" applyBorder="1" applyAlignment="1" applyProtection="1">
      <alignment horizontal="center" vertical="center"/>
      <protection locked="0"/>
    </xf>
    <xf numFmtId="0" fontId="19" fillId="0" borderId="5" xfId="17" applyFont="1" applyFill="1" applyBorder="1" applyAlignment="1">
      <alignment horizontal="left" vertical="center"/>
    </xf>
    <xf numFmtId="0" fontId="7" fillId="0" borderId="5" xfId="17" applyFont="1" applyFill="1" applyBorder="1" applyAlignment="1">
      <alignment horizontal="left" vertical="center"/>
    </xf>
    <xf numFmtId="0" fontId="7" fillId="0" borderId="5" xfId="17" applyFont="1" applyFill="1" applyBorder="1" applyAlignment="1">
      <alignment horizontal="center" vertical="center"/>
    </xf>
    <xf numFmtId="0" fontId="41" fillId="0" borderId="5" xfId="7" applyFont="1" applyBorder="1" applyAlignment="1">
      <alignment horizontal="center" vertical="center"/>
    </xf>
    <xf numFmtId="0" fontId="41" fillId="0" borderId="5" xfId="7" applyFont="1" applyBorder="1" applyAlignment="1">
      <alignment horizontal="left" vertical="center"/>
    </xf>
    <xf numFmtId="0" fontId="41" fillId="0" borderId="5" xfId="7" applyFont="1" applyBorder="1" applyAlignment="1" applyProtection="1">
      <alignment horizontal="center" vertical="center"/>
    </xf>
    <xf numFmtId="0" fontId="40" fillId="0" borderId="0" xfId="7" applyFont="1" applyBorder="1" applyAlignment="1">
      <alignment horizontal="left" vertical="center"/>
    </xf>
    <xf numFmtId="0" fontId="19" fillId="0" borderId="0" xfId="17" applyFont="1" applyFill="1" applyBorder="1" applyAlignment="1">
      <alignment horizontal="left" vertical="center" wrapText="1"/>
    </xf>
    <xf numFmtId="0" fontId="8" fillId="0" borderId="0" xfId="6" applyFont="1" applyBorder="1" applyAlignment="1" applyProtection="1">
      <alignment horizontal="left" vertical="center" wrapText="1"/>
      <protection locked="0"/>
    </xf>
    <xf numFmtId="49" fontId="8" fillId="0" borderId="0" xfId="11" applyNumberFormat="1" applyFont="1" applyBorder="1" applyAlignment="1" applyProtection="1">
      <alignment horizontal="center" vertical="center"/>
      <protection locked="0"/>
    </xf>
    <xf numFmtId="0" fontId="19" fillId="0" borderId="0" xfId="17" applyFont="1" applyFill="1" applyBorder="1" applyAlignment="1">
      <alignment horizontal="left" vertical="center"/>
    </xf>
    <xf numFmtId="0" fontId="7" fillId="0" borderId="0" xfId="17" applyFont="1" applyFill="1" applyBorder="1" applyAlignment="1">
      <alignment horizontal="left" vertical="center"/>
    </xf>
    <xf numFmtId="0" fontId="7" fillId="0" borderId="0" xfId="17" applyFont="1" applyFill="1" applyBorder="1" applyAlignment="1">
      <alignment horizontal="center" vertical="center"/>
    </xf>
    <xf numFmtId="0" fontId="41" fillId="0" borderId="0" xfId="7" applyFont="1" applyBorder="1" applyAlignment="1">
      <alignment horizontal="center" vertical="center"/>
    </xf>
    <xf numFmtId="0" fontId="41" fillId="0" borderId="0" xfId="7" applyFont="1" applyBorder="1" applyAlignment="1">
      <alignment horizontal="left" vertical="center"/>
    </xf>
    <xf numFmtId="0" fontId="41" fillId="0" borderId="0" xfId="7" applyFont="1" applyBorder="1" applyAlignment="1" applyProtection="1">
      <alignment horizontal="center" vertical="center"/>
    </xf>
    <xf numFmtId="0" fontId="5" fillId="0" borderId="0" xfId="9" applyFont="1" applyFill="1" applyBorder="1" applyAlignment="1">
      <alignment vertical="center"/>
      <protection locked="0"/>
    </xf>
    <xf numFmtId="0" fontId="8" fillId="0" borderId="0" xfId="9" applyFont="1" applyFill="1" applyBorder="1" applyAlignment="1">
      <alignment vertical="center"/>
      <protection locked="0"/>
    </xf>
    <xf numFmtId="0" fontId="19" fillId="0" borderId="1" xfId="9" applyFont="1" applyFill="1" applyBorder="1" applyAlignment="1">
      <alignment vertical="center"/>
      <protection locked="0"/>
    </xf>
    <xf numFmtId="0" fontId="5" fillId="0" borderId="1" xfId="9" applyFont="1" applyFill="1" applyBorder="1" applyAlignment="1">
      <alignment vertical="center"/>
      <protection locked="0"/>
    </xf>
    <xf numFmtId="0" fontId="5" fillId="0" borderId="1" xfId="6" applyFont="1" applyFill="1" applyBorder="1" applyAlignment="1" applyProtection="1">
      <alignment horizontal="center" vertical="center" wrapText="1"/>
      <protection locked="0"/>
    </xf>
    <xf numFmtId="0" fontId="32" fillId="2" borderId="1" xfId="6" applyNumberFormat="1" applyFont="1" applyFill="1" applyBorder="1" applyAlignment="1" applyProtection="1">
      <alignment horizontal="center" vertical="center" wrapText="1"/>
    </xf>
    <xf numFmtId="14" fontId="5" fillId="2" borderId="1" xfId="16" applyNumberFormat="1" applyFont="1" applyFill="1" applyBorder="1" applyAlignment="1">
      <alignment vertical="center"/>
    </xf>
    <xf numFmtId="43" fontId="8" fillId="2" borderId="1" xfId="21" applyFont="1" applyFill="1" applyBorder="1" applyAlignment="1">
      <alignment vertical="center" shrinkToFit="1"/>
    </xf>
    <xf numFmtId="0" fontId="5" fillId="2" borderId="1" xfId="16" applyFont="1" applyFill="1" applyBorder="1" applyAlignment="1">
      <alignment vertical="center"/>
    </xf>
    <xf numFmtId="0" fontId="5" fillId="2" borderId="0" xfId="0" applyFont="1" applyFill="1" applyProtection="1">
      <alignment vertical="center"/>
      <protection locked="0"/>
    </xf>
    <xf numFmtId="14" fontId="7" fillId="2" borderId="1" xfId="16" applyNumberFormat="1" applyFont="1" applyFill="1" applyBorder="1" applyAlignment="1">
      <alignment vertical="center"/>
    </xf>
    <xf numFmtId="43" fontId="19" fillId="2" borderId="1" xfId="21" applyFont="1" applyFill="1" applyBorder="1" applyAlignment="1">
      <alignment vertical="center" shrinkToFit="1"/>
    </xf>
    <xf numFmtId="43" fontId="7" fillId="2" borderId="1" xfId="21" applyFont="1" applyFill="1" applyBorder="1" applyAlignment="1">
      <alignment vertical="center" shrinkToFit="1"/>
    </xf>
    <xf numFmtId="0" fontId="7" fillId="2" borderId="1" xfId="16" applyFont="1" applyFill="1" applyBorder="1" applyAlignment="1">
      <alignment vertical="center"/>
    </xf>
    <xf numFmtId="0" fontId="7" fillId="2" borderId="0" xfId="0" applyFont="1" applyFill="1" applyProtection="1">
      <alignment vertical="center"/>
      <protection locked="0"/>
    </xf>
    <xf numFmtId="0" fontId="19" fillId="0" borderId="5" xfId="9" applyFont="1" applyBorder="1" applyAlignment="1">
      <alignment vertical="center"/>
      <protection locked="0"/>
    </xf>
    <xf numFmtId="0" fontId="35" fillId="0" borderId="14" xfId="3" applyFont="1" applyBorder="1" applyAlignment="1">
      <alignment horizontal="center" vertical="center"/>
      <protection locked="0"/>
    </xf>
    <xf numFmtId="0" fontId="45" fillId="0" borderId="0" xfId="9" applyFont="1" applyBorder="1" applyAlignment="1">
      <alignment vertical="center"/>
      <protection locked="0"/>
    </xf>
    <xf numFmtId="0" fontId="30" fillId="0" borderId="0" xfId="9" applyFont="1" applyBorder="1" applyAlignment="1">
      <alignment vertical="center"/>
      <protection locked="0"/>
    </xf>
    <xf numFmtId="0" fontId="16" fillId="0" borderId="0" xfId="0" applyFont="1" applyAlignment="1" applyProtection="1">
      <alignment horizontal="left" vertical="center" wrapText="1"/>
      <protection locked="0"/>
    </xf>
    <xf numFmtId="0" fontId="15" fillId="0" borderId="0" xfId="0" applyFont="1" applyAlignment="1" applyProtection="1">
      <alignment horizontal="left" vertical="center" wrapText="1"/>
      <protection locked="0"/>
    </xf>
    <xf numFmtId="176" fontId="41" fillId="0" borderId="2" xfId="12" applyFont="1" applyFill="1" applyBorder="1" applyAlignment="1">
      <alignment horizontal="left" vertical="center" wrapText="1"/>
    </xf>
    <xf numFmtId="176" fontId="41" fillId="0" borderId="4" xfId="12" applyFont="1" applyFill="1" applyBorder="1" applyAlignment="1">
      <alignment horizontal="left" vertical="center" wrapText="1"/>
    </xf>
    <xf numFmtId="176" fontId="5" fillId="0" borderId="2" xfId="12" applyFont="1" applyFill="1" applyBorder="1" applyAlignment="1">
      <alignment horizontal="center" vertical="center" wrapText="1"/>
    </xf>
    <xf numFmtId="176" fontId="5" fillId="0" borderId="4" xfId="12" applyFont="1" applyFill="1" applyBorder="1" applyAlignment="1">
      <alignment horizontal="center" vertical="center" wrapText="1"/>
    </xf>
    <xf numFmtId="176" fontId="41" fillId="0" borderId="1" xfId="12" applyFont="1" applyFill="1" applyBorder="1" applyAlignment="1">
      <alignment vertical="center" wrapText="1"/>
    </xf>
    <xf numFmtId="176" fontId="40" fillId="0" borderId="1" xfId="12" applyFont="1" applyFill="1" applyBorder="1" applyAlignment="1">
      <alignment vertical="center" wrapText="1"/>
    </xf>
    <xf numFmtId="176" fontId="5" fillId="0" borderId="1" xfId="12" applyFont="1" applyFill="1" applyBorder="1" applyAlignment="1">
      <alignment horizontal="center" vertical="center" wrapText="1"/>
    </xf>
    <xf numFmtId="176" fontId="41" fillId="0" borderId="1" xfId="12" applyFont="1" applyFill="1" applyBorder="1" applyAlignment="1">
      <alignment horizontal="left" vertical="center" wrapText="1"/>
    </xf>
    <xf numFmtId="176" fontId="16" fillId="0" borderId="0" xfId="15" applyFont="1" applyFill="1" applyAlignment="1">
      <alignment horizontal="center" vertical="center"/>
    </xf>
    <xf numFmtId="176" fontId="17" fillId="0" borderId="0" xfId="15" applyFont="1" applyFill="1" applyAlignment="1">
      <alignment horizontal="center" vertical="center"/>
    </xf>
    <xf numFmtId="176" fontId="18" fillId="0" borderId="0" xfId="15" applyFont="1" applyFill="1" applyAlignment="1">
      <alignment horizontal="center" vertical="center"/>
    </xf>
    <xf numFmtId="49" fontId="19" fillId="2" borderId="1" xfId="12" applyNumberFormat="1" applyFont="1" applyFill="1" applyBorder="1" applyAlignment="1" applyProtection="1">
      <alignment horizontal="center" vertical="center"/>
      <protection locked="0"/>
    </xf>
    <xf numFmtId="176" fontId="19" fillId="2" borderId="1" xfId="12" applyFont="1" applyFill="1" applyBorder="1" applyAlignment="1" applyProtection="1">
      <alignment horizontal="center" vertical="center" wrapText="1"/>
      <protection locked="0"/>
    </xf>
    <xf numFmtId="176" fontId="7" fillId="2" borderId="1" xfId="12" applyFont="1" applyFill="1" applyBorder="1" applyAlignment="1" applyProtection="1">
      <alignment horizontal="center" vertical="center" wrapText="1"/>
      <protection locked="0"/>
    </xf>
    <xf numFmtId="0" fontId="7" fillId="2" borderId="1" xfId="6" applyFont="1" applyFill="1" applyBorder="1" applyAlignment="1" applyProtection="1">
      <alignment horizontal="center" vertical="center" wrapText="1"/>
      <protection locked="0"/>
    </xf>
    <xf numFmtId="0" fontId="7" fillId="2" borderId="6" xfId="6" applyFont="1" applyFill="1" applyBorder="1" applyAlignment="1" applyProtection="1">
      <alignment horizontal="center" vertical="center" wrapText="1"/>
      <protection locked="0"/>
    </xf>
    <xf numFmtId="0" fontId="7" fillId="2" borderId="7" xfId="6" applyFont="1" applyFill="1" applyBorder="1" applyAlignment="1" applyProtection="1">
      <alignment horizontal="center" vertical="center" wrapText="1"/>
      <protection locked="0"/>
    </xf>
    <xf numFmtId="0" fontId="5" fillId="2" borderId="1" xfId="6" applyFont="1" applyFill="1" applyBorder="1" applyAlignment="1" applyProtection="1">
      <alignment horizontal="center" vertical="center"/>
      <protection locked="0"/>
    </xf>
    <xf numFmtId="0" fontId="7" fillId="2" borderId="13" xfId="6" applyFont="1" applyFill="1" applyBorder="1" applyAlignment="1" applyProtection="1">
      <alignment horizontal="center" vertical="center" wrapText="1"/>
      <protection locked="0"/>
    </xf>
    <xf numFmtId="0" fontId="19" fillId="2" borderId="6" xfId="6" applyFont="1" applyFill="1" applyBorder="1" applyAlignment="1" applyProtection="1">
      <alignment horizontal="center" vertical="center" wrapText="1"/>
      <protection locked="0"/>
    </xf>
    <xf numFmtId="0" fontId="16" fillId="0" borderId="0" xfId="6" applyFont="1" applyAlignment="1">
      <alignment horizontal="center" vertical="center"/>
      <protection locked="0"/>
    </xf>
    <xf numFmtId="0" fontId="17" fillId="0" borderId="0" xfId="6" applyFont="1" applyAlignment="1">
      <alignment horizontal="center" vertical="center"/>
      <protection locked="0"/>
    </xf>
    <xf numFmtId="0" fontId="7" fillId="2" borderId="2" xfId="6" applyFont="1" applyFill="1" applyBorder="1" applyAlignment="1" applyProtection="1">
      <alignment horizontal="center" vertical="center" wrapText="1"/>
      <protection locked="0"/>
    </xf>
    <xf numFmtId="0" fontId="7" fillId="2" borderId="3" xfId="6" applyFont="1" applyFill="1" applyBorder="1" applyAlignment="1" applyProtection="1">
      <alignment horizontal="center" vertical="center" wrapText="1"/>
      <protection locked="0"/>
    </xf>
    <xf numFmtId="0" fontId="7" fillId="2" borderId="2" xfId="6" applyFont="1" applyFill="1" applyBorder="1" applyAlignment="1" applyProtection="1">
      <alignment horizontal="center" vertical="center"/>
      <protection locked="0"/>
    </xf>
    <xf numFmtId="0" fontId="7" fillId="2" borderId="3" xfId="6" applyFont="1" applyFill="1" applyBorder="1" applyAlignment="1" applyProtection="1">
      <alignment horizontal="center" vertical="center"/>
      <protection locked="0"/>
    </xf>
    <xf numFmtId="0" fontId="7" fillId="2" borderId="4" xfId="6" applyFont="1" applyFill="1" applyBorder="1" applyAlignment="1" applyProtection="1">
      <alignment horizontal="center" vertical="center"/>
      <protection locked="0"/>
    </xf>
    <xf numFmtId="0" fontId="7" fillId="2" borderId="1" xfId="6" applyFont="1" applyFill="1" applyBorder="1" applyAlignment="1">
      <alignment horizontal="center" vertical="center"/>
      <protection locked="0"/>
    </xf>
    <xf numFmtId="0" fontId="7" fillId="2" borderId="4" xfId="6" applyFont="1" applyFill="1" applyBorder="1" applyAlignment="1" applyProtection="1">
      <alignment horizontal="center" vertical="center" wrapText="1"/>
      <protection locked="0"/>
    </xf>
    <xf numFmtId="0" fontId="64" fillId="0" borderId="5" xfId="7" applyFont="1" applyBorder="1" applyAlignment="1">
      <alignment horizontal="left" vertical="center"/>
    </xf>
    <xf numFmtId="0" fontId="43" fillId="2" borderId="1" xfId="7" applyFont="1" applyFill="1" applyBorder="1" applyAlignment="1" applyProtection="1">
      <alignment horizontal="center" vertical="center" wrapText="1"/>
    </xf>
    <xf numFmtId="0" fontId="19" fillId="2" borderId="2" xfId="17" applyFont="1" applyFill="1" applyBorder="1" applyAlignment="1">
      <alignment horizontal="center" vertical="center" wrapText="1"/>
    </xf>
    <xf numFmtId="0" fontId="19" fillId="2" borderId="3" xfId="17" applyFont="1" applyFill="1" applyBorder="1" applyAlignment="1">
      <alignment horizontal="center" vertical="center" wrapText="1"/>
    </xf>
    <xf numFmtId="0" fontId="19" fillId="2" borderId="4" xfId="17" applyFont="1" applyFill="1" applyBorder="1" applyAlignment="1">
      <alignment horizontal="center" vertical="center" wrapText="1"/>
    </xf>
    <xf numFmtId="0" fontId="7" fillId="2" borderId="2" xfId="17" applyFont="1" applyFill="1" applyBorder="1" applyAlignment="1">
      <alignment horizontal="center" vertical="center"/>
    </xf>
    <xf numFmtId="0" fontId="7" fillId="2" borderId="3" xfId="17" applyFont="1" applyFill="1" applyBorder="1" applyAlignment="1">
      <alignment horizontal="center" vertical="center"/>
    </xf>
    <xf numFmtId="0" fontId="7" fillId="2" borderId="4" xfId="17" applyFont="1" applyFill="1" applyBorder="1" applyAlignment="1">
      <alignment horizontal="center" vertical="center"/>
    </xf>
    <xf numFmtId="0" fontId="7" fillId="2" borderId="1" xfId="7" applyFont="1" applyFill="1" applyBorder="1" applyAlignment="1" applyProtection="1">
      <alignment horizontal="center" vertical="center" wrapText="1"/>
    </xf>
    <xf numFmtId="0" fontId="7" fillId="2" borderId="1" xfId="17" applyFont="1" applyFill="1" applyBorder="1" applyAlignment="1">
      <alignment horizontal="center" vertical="center" wrapText="1"/>
    </xf>
    <xf numFmtId="0" fontId="16" fillId="0" borderId="0" xfId="7" applyFont="1" applyAlignment="1" applyProtection="1">
      <alignment horizontal="center" vertical="center"/>
      <protection locked="0"/>
    </xf>
    <xf numFmtId="0" fontId="17" fillId="0" borderId="0" xfId="7" applyFont="1" applyAlignment="1" applyProtection="1">
      <alignment horizontal="center" vertical="center"/>
      <protection locked="0"/>
    </xf>
    <xf numFmtId="0" fontId="16" fillId="0" borderId="0" xfId="9" applyFont="1" applyBorder="1" applyAlignment="1">
      <alignment horizontal="center" vertical="center"/>
      <protection locked="0"/>
    </xf>
    <xf numFmtId="0" fontId="17" fillId="0" borderId="0" xfId="9" applyFont="1" applyBorder="1" applyAlignment="1">
      <alignment horizontal="center" vertical="center"/>
      <protection locked="0"/>
    </xf>
    <xf numFmtId="0" fontId="18" fillId="0" borderId="0" xfId="9" applyFont="1" applyBorder="1" applyAlignment="1">
      <alignment horizontal="center" vertical="center"/>
      <protection locked="0"/>
    </xf>
    <xf numFmtId="0" fontId="7" fillId="0" borderId="0" xfId="9" applyFont="1" applyBorder="1" applyAlignment="1">
      <alignment horizontal="center" vertical="center"/>
      <protection locked="0"/>
    </xf>
    <xf numFmtId="0" fontId="18" fillId="0" borderId="0" xfId="6" applyFont="1" applyAlignment="1">
      <alignment horizontal="center" vertical="center"/>
      <protection locked="0"/>
    </xf>
    <xf numFmtId="0" fontId="34" fillId="2" borderId="1" xfId="4" applyFont="1" applyFill="1" applyBorder="1" applyAlignment="1">
      <alignment horizontal="left" vertical="center"/>
    </xf>
    <xf numFmtId="0" fontId="32" fillId="2" borderId="1" xfId="4" applyFont="1" applyFill="1" applyBorder="1" applyAlignment="1">
      <alignment horizontal="center" vertical="center"/>
    </xf>
    <xf numFmtId="0" fontId="33" fillId="2" borderId="6" xfId="4" applyFont="1" applyFill="1" applyBorder="1" applyAlignment="1">
      <alignment horizontal="center" vertical="center"/>
    </xf>
    <xf numFmtId="0" fontId="33" fillId="2" borderId="7" xfId="4" applyFont="1" applyFill="1" applyBorder="1" applyAlignment="1">
      <alignment horizontal="center" vertical="center"/>
    </xf>
    <xf numFmtId="0" fontId="34" fillId="2" borderId="1" xfId="4" applyFont="1" applyFill="1" applyBorder="1" applyAlignment="1">
      <alignment horizontal="center" vertical="center"/>
    </xf>
    <xf numFmtId="0" fontId="7" fillId="2" borderId="1" xfId="16" applyFont="1" applyFill="1" applyBorder="1" applyAlignment="1">
      <alignment horizontal="center" vertical="center" wrapText="1"/>
    </xf>
    <xf numFmtId="0" fontId="16" fillId="0" borderId="0" xfId="6" applyFont="1" applyBorder="1" applyAlignment="1">
      <alignment horizontal="center" vertical="center"/>
      <protection locked="0"/>
    </xf>
    <xf numFmtId="0" fontId="17" fillId="0" borderId="0" xfId="6" applyFont="1" applyBorder="1" applyAlignment="1">
      <alignment horizontal="center" vertical="center"/>
      <protection locked="0"/>
    </xf>
    <xf numFmtId="43" fontId="7" fillId="2" borderId="1" xfId="21" applyFont="1" applyFill="1" applyBorder="1" applyAlignment="1">
      <alignment horizontal="center" vertical="center" shrinkToFit="1"/>
    </xf>
    <xf numFmtId="0" fontId="16" fillId="0" borderId="0" xfId="9" applyFont="1" applyAlignment="1">
      <alignment horizontal="center" vertical="center"/>
      <protection locked="0"/>
    </xf>
    <xf numFmtId="0" fontId="17" fillId="0" borderId="0" xfId="9" applyFont="1" applyAlignment="1">
      <alignment horizontal="center" vertical="center"/>
      <protection locked="0"/>
    </xf>
    <xf numFmtId="0" fontId="18" fillId="0" borderId="0" xfId="9" applyFont="1" applyAlignment="1">
      <alignment horizontal="center" vertical="center"/>
      <protection locked="0"/>
    </xf>
    <xf numFmtId="0" fontId="7" fillId="2" borderId="2" xfId="11" applyFont="1" applyFill="1" applyBorder="1" applyAlignment="1">
      <alignment horizontal="center" vertical="center"/>
    </xf>
    <xf numFmtId="0" fontId="7" fillId="2" borderId="3" xfId="11" applyFont="1" applyFill="1" applyBorder="1" applyAlignment="1">
      <alignment horizontal="center" vertical="center"/>
    </xf>
    <xf numFmtId="0" fontId="7" fillId="2" borderId="4" xfId="11" applyFont="1" applyFill="1" applyBorder="1" applyAlignment="1">
      <alignment horizontal="center" vertical="center"/>
    </xf>
    <xf numFmtId="0" fontId="5" fillId="0" borderId="0" xfId="11" applyFont="1" applyFill="1" applyAlignment="1">
      <alignment horizontal="left" vertical="center"/>
    </xf>
    <xf numFmtId="0" fontId="7" fillId="2" borderId="1" xfId="11" applyFont="1" applyFill="1" applyBorder="1" applyAlignment="1">
      <alignment horizontal="center" vertical="center" wrapText="1"/>
    </xf>
    <xf numFmtId="0" fontId="7" fillId="2" borderId="6" xfId="11" applyFont="1" applyFill="1" applyBorder="1" applyAlignment="1">
      <alignment horizontal="center" vertical="center" wrapText="1"/>
    </xf>
    <xf numFmtId="0" fontId="7" fillId="2" borderId="7" xfId="11" applyFont="1" applyFill="1" applyBorder="1" applyAlignment="1">
      <alignment horizontal="center" vertical="center" wrapText="1"/>
    </xf>
    <xf numFmtId="0" fontId="5" fillId="3" borderId="2" xfId="8" applyFont="1" applyFill="1" applyBorder="1" applyAlignment="1">
      <alignment horizontal="left" vertical="center" wrapText="1"/>
    </xf>
    <xf numFmtId="0" fontId="5" fillId="3" borderId="3" xfId="8" applyFont="1" applyFill="1" applyBorder="1" applyAlignment="1">
      <alignment horizontal="left" vertical="center" wrapText="1"/>
    </xf>
    <xf numFmtId="0" fontId="5" fillId="3" borderId="4" xfId="8" applyFont="1" applyFill="1" applyBorder="1" applyAlignment="1">
      <alignment horizontal="left" vertical="center" wrapText="1"/>
    </xf>
    <xf numFmtId="0" fontId="10" fillId="4" borderId="0" xfId="8" applyFont="1" applyFill="1" applyBorder="1" applyAlignment="1">
      <alignment horizontal="left" vertical="top" wrapText="1"/>
    </xf>
    <xf numFmtId="0" fontId="11" fillId="4" borderId="0" xfId="8" applyFont="1" applyFill="1" applyBorder="1" applyAlignment="1">
      <alignment horizontal="left" vertical="top" wrapText="1"/>
    </xf>
    <xf numFmtId="0" fontId="5" fillId="2" borderId="2" xfId="22" applyFont="1" applyFill="1" applyBorder="1" applyAlignment="1">
      <alignment horizontal="left" vertical="center" wrapText="1"/>
    </xf>
    <xf numFmtId="0" fontId="5" fillId="2" borderId="3" xfId="22" applyFont="1" applyFill="1" applyBorder="1" applyAlignment="1">
      <alignment horizontal="left" vertical="center" wrapText="1"/>
    </xf>
    <xf numFmtId="0" fontId="5" fillId="2" borderId="4" xfId="22" applyFont="1" applyFill="1" applyBorder="1" applyAlignment="1">
      <alignment horizontal="left" vertical="center" wrapText="1"/>
    </xf>
    <xf numFmtId="0" fontId="9" fillId="3" borderId="2" xfId="22" applyFont="1" applyFill="1" applyBorder="1" applyAlignment="1">
      <alignment horizontal="left" vertical="center" wrapText="1"/>
    </xf>
    <xf numFmtId="0" fontId="9" fillId="3" borderId="3" xfId="22" applyFont="1" applyFill="1" applyBorder="1" applyAlignment="1">
      <alignment horizontal="left" vertical="center" wrapText="1"/>
    </xf>
    <xf numFmtId="0" fontId="9" fillId="3" borderId="4" xfId="22" applyFont="1" applyFill="1" applyBorder="1" applyAlignment="1">
      <alignment horizontal="left" vertical="center" wrapText="1"/>
    </xf>
    <xf numFmtId="0" fontId="5" fillId="3" borderId="2" xfId="22" applyFont="1" applyFill="1" applyBorder="1" applyAlignment="1">
      <alignment horizontal="left" vertical="center" wrapText="1"/>
    </xf>
    <xf numFmtId="0" fontId="5" fillId="3" borderId="3" xfId="22" applyFont="1" applyFill="1" applyBorder="1" applyAlignment="1">
      <alignment horizontal="left" vertical="center" wrapText="1"/>
    </xf>
    <xf numFmtId="0" fontId="5" fillId="3" borderId="4" xfId="22" applyFont="1" applyFill="1" applyBorder="1" applyAlignment="1">
      <alignment horizontal="left" vertical="center" wrapText="1"/>
    </xf>
    <xf numFmtId="0" fontId="2" fillId="0" borderId="0" xfId="8" applyFont="1" applyFill="1" applyBorder="1" applyAlignment="1">
      <alignment horizontal="center" vertical="center"/>
    </xf>
    <xf numFmtId="0" fontId="3" fillId="0" borderId="0" xfId="8" applyFont="1" applyFill="1" applyBorder="1" applyAlignment="1">
      <alignment horizontal="center" vertical="center" wrapText="1"/>
    </xf>
    <xf numFmtId="0" fontId="4" fillId="0" borderId="0" xfId="8" applyFont="1" applyFill="1" applyBorder="1" applyAlignment="1">
      <alignment horizontal="center" vertical="center"/>
    </xf>
    <xf numFmtId="0" fontId="7" fillId="2" borderId="1" xfId="8" applyFont="1" applyFill="1" applyBorder="1" applyAlignment="1">
      <alignment horizontal="center" vertical="center" wrapText="1"/>
    </xf>
    <xf numFmtId="0" fontId="5" fillId="2" borderId="1" xfId="22" applyFont="1" applyFill="1" applyBorder="1" applyAlignment="1">
      <alignment horizontal="left" vertical="center" wrapText="1"/>
    </xf>
  </cellXfs>
  <cellStyles count="23">
    <cellStyle name="Normal 3" xfId="4"/>
    <cellStyle name="百分比" xfId="2" builtinId="5"/>
    <cellStyle name="百分比 2" xfId="5"/>
    <cellStyle name="常规" xfId="0" builtinId="0"/>
    <cellStyle name="常规 2" xfId="6"/>
    <cellStyle name="常规 2 2" xfId="7"/>
    <cellStyle name="常规 2 3" xfId="8"/>
    <cellStyle name="常规 2 3 3" xfId="22"/>
    <cellStyle name="常规 2 8" xfId="9"/>
    <cellStyle name="常规 3" xfId="10"/>
    <cellStyle name="常规 6" xfId="11"/>
    <cellStyle name="常规 7" xfId="12"/>
    <cellStyle name="常规_B2.9审计风险评估" xfId="13"/>
    <cellStyle name="常规_Book1" xfId="14"/>
    <cellStyle name="常规_Book1 2" xfId="15"/>
    <cellStyle name="常规_WOOKSHEET2" xfId="16"/>
    <cellStyle name="常规_非关联方函证信息" xfId="17"/>
    <cellStyle name="常规_进一步审计程序--销售与收款循环" xfId="18"/>
    <cellStyle name="常规_新审定表" xfId="19"/>
    <cellStyle name="超链接" xfId="3" builtinId="8"/>
    <cellStyle name="千位分隔" xfId="1" builtinId="3"/>
    <cellStyle name="千位分隔 2" xfId="20"/>
    <cellStyle name="千位分隔 2 3" xfId="21"/>
  </cellStyles>
  <dxfs count="0"/>
  <tableStyles count="0" defaultTableStyle="TableStyleMedium2" defaultPivotStyle="PivotStyleLight16"/>
  <colors>
    <mruColors>
      <color rgb="FFE4DFEC"/>
      <color rgb="FF0000FF"/>
      <color rgb="FFF9FB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H20"/>
  <sheetViews>
    <sheetView tabSelected="1" workbookViewId="0"/>
  </sheetViews>
  <sheetFormatPr defaultColWidth="8.88671875" defaultRowHeight="20.100000000000001" customHeight="1" x14ac:dyDescent="0.25"/>
  <cols>
    <col min="1" max="1" width="86.21875" style="288" customWidth="1"/>
    <col min="2" max="2" width="2.21875" style="288" customWidth="1"/>
    <col min="3" max="3" width="2.33203125" style="288" customWidth="1"/>
    <col min="4" max="4" width="6.77734375" style="289" customWidth="1"/>
    <col min="5" max="5" width="40.33203125" style="289" customWidth="1"/>
    <col min="6" max="6" width="22.77734375" style="289" customWidth="1"/>
    <col min="7" max="7" width="18.6640625" style="290" customWidth="1"/>
    <col min="8" max="16384" width="8.88671875" style="290"/>
  </cols>
  <sheetData>
    <row r="1" spans="1:8" s="123" customFormat="1" ht="20.100000000000001" customHeight="1" x14ac:dyDescent="0.25">
      <c r="A1" s="262" t="s">
        <v>0</v>
      </c>
      <c r="B1" s="291"/>
      <c r="C1" s="291"/>
    </row>
    <row r="2" spans="1:8" ht="20.100000000000001" customHeight="1" x14ac:dyDescent="0.25">
      <c r="A2" s="292" t="s">
        <v>362</v>
      </c>
      <c r="B2" s="293"/>
      <c r="C2" s="293"/>
      <c r="G2" s="294"/>
      <c r="H2" s="294"/>
    </row>
    <row r="3" spans="1:8" ht="20.100000000000001" customHeight="1" x14ac:dyDescent="0.25">
      <c r="A3" s="292" t="s">
        <v>373</v>
      </c>
      <c r="B3" s="293"/>
      <c r="C3" s="293"/>
      <c r="D3" s="295" t="s">
        <v>1</v>
      </c>
      <c r="E3" s="295" t="s">
        <v>2</v>
      </c>
      <c r="F3" s="295" t="s">
        <v>3</v>
      </c>
      <c r="G3" s="294"/>
      <c r="H3" s="296"/>
    </row>
    <row r="4" spans="1:8" ht="20.100000000000001" customHeight="1" x14ac:dyDescent="0.25">
      <c r="A4" s="297" t="s">
        <v>363</v>
      </c>
      <c r="B4" s="293"/>
      <c r="C4" s="293"/>
      <c r="D4" s="298">
        <v>1</v>
      </c>
      <c r="E4" s="299" t="s">
        <v>4</v>
      </c>
      <c r="F4" s="343" t="s">
        <v>5</v>
      </c>
      <c r="G4" s="294"/>
      <c r="H4" s="296"/>
    </row>
    <row r="5" spans="1:8" ht="20.100000000000001" customHeight="1" x14ac:dyDescent="0.25">
      <c r="A5" s="297" t="s">
        <v>364</v>
      </c>
      <c r="B5" s="300"/>
      <c r="C5" s="300"/>
      <c r="D5" s="298">
        <f>D4+1</f>
        <v>2</v>
      </c>
      <c r="E5" s="299" t="s">
        <v>6</v>
      </c>
      <c r="F5" s="343" t="s">
        <v>7</v>
      </c>
      <c r="H5" s="301"/>
    </row>
    <row r="6" spans="1:8" ht="20.100000000000001" customHeight="1" x14ac:dyDescent="0.25">
      <c r="A6" s="297" t="s">
        <v>365</v>
      </c>
      <c r="D6" s="298">
        <f t="shared" ref="D6:D11" si="0">D5+1</f>
        <v>3</v>
      </c>
      <c r="E6" s="299" t="s">
        <v>8</v>
      </c>
      <c r="F6" s="343" t="s">
        <v>9</v>
      </c>
      <c r="H6" s="302"/>
    </row>
    <row r="7" spans="1:8" ht="20.100000000000001" customHeight="1" x14ac:dyDescent="0.25">
      <c r="A7" s="297" t="s">
        <v>366</v>
      </c>
      <c r="D7" s="298">
        <f t="shared" si="0"/>
        <v>4</v>
      </c>
      <c r="E7" s="299" t="s">
        <v>10</v>
      </c>
      <c r="F7" s="343" t="s">
        <v>11</v>
      </c>
    </row>
    <row r="8" spans="1:8" ht="20.100000000000001" customHeight="1" x14ac:dyDescent="0.25">
      <c r="A8" s="297"/>
      <c r="D8" s="298">
        <f t="shared" si="0"/>
        <v>5</v>
      </c>
      <c r="E8" s="299" t="s">
        <v>12</v>
      </c>
      <c r="F8" s="343" t="s">
        <v>13</v>
      </c>
    </row>
    <row r="9" spans="1:8" ht="20.100000000000001" customHeight="1" x14ac:dyDescent="0.25">
      <c r="D9" s="298">
        <f t="shared" si="0"/>
        <v>6</v>
      </c>
      <c r="E9" s="299" t="s">
        <v>14</v>
      </c>
      <c r="F9" s="343" t="s">
        <v>15</v>
      </c>
    </row>
    <row r="10" spans="1:8" ht="20.100000000000001" customHeight="1" x14ac:dyDescent="0.25">
      <c r="A10" s="304" t="s">
        <v>374</v>
      </c>
      <c r="D10" s="298">
        <f t="shared" si="0"/>
        <v>7</v>
      </c>
      <c r="E10" s="299" t="s">
        <v>16</v>
      </c>
      <c r="F10" s="343" t="s">
        <v>17</v>
      </c>
    </row>
    <row r="11" spans="1:8" ht="20.100000000000001" customHeight="1" x14ac:dyDescent="0.25">
      <c r="A11" s="346" t="s">
        <v>375</v>
      </c>
      <c r="D11" s="298">
        <f t="shared" si="0"/>
        <v>8</v>
      </c>
      <c r="E11" s="299" t="s">
        <v>18</v>
      </c>
      <c r="F11" s="343" t="s">
        <v>19</v>
      </c>
    </row>
    <row r="12" spans="1:8" ht="20.100000000000001" customHeight="1" x14ac:dyDescent="0.25">
      <c r="A12" s="346"/>
    </row>
    <row r="13" spans="1:8" ht="20.100000000000001" customHeight="1" x14ac:dyDescent="0.25">
      <c r="A13" s="346"/>
    </row>
    <row r="14" spans="1:8" ht="20.100000000000001" customHeight="1" x14ac:dyDescent="0.25">
      <c r="A14" s="346"/>
    </row>
    <row r="15" spans="1:8" ht="20.100000000000001" customHeight="1" x14ac:dyDescent="0.25">
      <c r="A15" s="346" t="s">
        <v>376</v>
      </c>
    </row>
    <row r="16" spans="1:8" ht="20.100000000000001" customHeight="1" x14ac:dyDescent="0.25">
      <c r="A16" s="346"/>
    </row>
    <row r="17" spans="1:1" ht="20.100000000000001" customHeight="1" x14ac:dyDescent="0.25">
      <c r="A17" s="346"/>
    </row>
    <row r="18" spans="1:1" ht="20.100000000000001" customHeight="1" x14ac:dyDescent="0.25">
      <c r="A18" s="347" t="s">
        <v>377</v>
      </c>
    </row>
    <row r="19" spans="1:1" ht="20.100000000000001" customHeight="1" x14ac:dyDescent="0.25">
      <c r="A19" s="347"/>
    </row>
    <row r="20" spans="1:1" ht="20.100000000000001" customHeight="1" x14ac:dyDescent="0.25">
      <c r="A20" s="347"/>
    </row>
  </sheetData>
  <mergeCells count="3">
    <mergeCell ref="A11:A14"/>
    <mergeCell ref="A15:A17"/>
    <mergeCell ref="A18:A20"/>
  </mergeCells>
  <phoneticPr fontId="79" type="noConversion"/>
  <hyperlinks>
    <hyperlink ref="E5" location="'函证结果汇总表L0-1'!A1" display="函证结果汇总表"/>
    <hyperlink ref="E6" location="'核实被函证单位信息L0-2'!A1" display="核实被函证单位信息"/>
    <hyperlink ref="E10" location="'邮件传真回函可靠性验证L0-6'!A1" display="邮件传真回函可靠性验证"/>
    <hyperlink ref="E9" location="'长期应付款替代程序L0-5'!A1" display="长期应付款替代程序检查表"/>
    <hyperlink ref="E7" location="'跟函函证过程控制L0-3'!A1" display="跟函函证过程控制"/>
    <hyperlink ref="E4" location="函证程序表F0A!A1" display="函证程序表"/>
    <hyperlink ref="E8" location="'函证差异调节表L0-4'!A1" display="函证差异调节表"/>
    <hyperlink ref="E11" location="'函证程序舞弊风险评价表L0-7'!A1" display="函证程序舞弊风险评价表"/>
    <hyperlink ref="F4" location="函证程序表F0A!A1" display="L0A"/>
    <hyperlink ref="F5" location="'函证结果汇总表F0-1'!A1" display="L0-1"/>
    <hyperlink ref="F6" location="'核实被函证单位信息F0-2'!A1" display="L0-2"/>
    <hyperlink ref="F7" location="'跟函函证过程控制F0-3'!A1" display="L0-3"/>
    <hyperlink ref="F8" location="'函证差异调节表F0-4'!A1" display="L0-4"/>
    <hyperlink ref="F9" location="'预付及采购替代程序F0-5'!A1" display="L0-5"/>
    <hyperlink ref="F10" location="'跟函函证过程控制F0-3'!A1" display="L0-6"/>
    <hyperlink ref="F11" location="'函证差异调节表F0-4'!A1" display="L0-7"/>
  </hyperlinks>
  <pageMargins left="0.75" right="0.75" top="1" bottom="1" header="0.5" footer="0.5"/>
  <pageSetup paperSize="9" orientation="portrait" horizontalDpi="1200" verticalDpi="120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J22"/>
  <sheetViews>
    <sheetView view="pageBreakPreview" zoomScale="99" zoomScaleNormal="115" workbookViewId="0">
      <selection sqref="A1:F1"/>
    </sheetView>
  </sheetViews>
  <sheetFormatPr defaultColWidth="10" defaultRowHeight="13.8" x14ac:dyDescent="0.25"/>
  <cols>
    <col min="1" max="1" width="5.77734375" style="271" customWidth="1"/>
    <col min="2" max="2" width="58.109375" style="271" customWidth="1"/>
    <col min="3" max="3" width="17.33203125" style="271" customWidth="1"/>
    <col min="4" max="4" width="21" style="271" customWidth="1"/>
    <col min="5" max="5" width="8.109375" style="271" customWidth="1"/>
    <col min="6" max="6" width="6.33203125" style="272" customWidth="1"/>
    <col min="7" max="7" width="16.33203125" style="273" customWidth="1"/>
    <col min="8" max="8" width="14.109375" style="273" customWidth="1"/>
    <col min="9" max="16384" width="10" style="271"/>
  </cols>
  <sheetData>
    <row r="1" spans="1:10" ht="19.95" customHeight="1" x14ac:dyDescent="0.25">
      <c r="A1" s="356" t="s">
        <v>20</v>
      </c>
      <c r="B1" s="356"/>
      <c r="C1" s="356"/>
      <c r="D1" s="356"/>
      <c r="E1" s="356"/>
      <c r="F1" s="356"/>
    </row>
    <row r="2" spans="1:10" ht="19.95" customHeight="1" x14ac:dyDescent="0.25">
      <c r="A2" s="357" t="s">
        <v>21</v>
      </c>
      <c r="B2" s="358"/>
      <c r="C2" s="358"/>
      <c r="D2" s="358"/>
      <c r="E2" s="358"/>
      <c r="F2" s="358"/>
      <c r="G2" s="16"/>
    </row>
    <row r="3" spans="1:10" ht="19.95" customHeight="1" x14ac:dyDescent="0.25">
      <c r="A3" s="274" t="str">
        <f>底稿目录!A2</f>
        <v>被审计单位：</v>
      </c>
      <c r="B3" s="274"/>
      <c r="C3" s="275" t="str">
        <f>底稿目录!A4</f>
        <v>编制人：</v>
      </c>
      <c r="D3" s="274" t="str">
        <f>底稿目录!A5</f>
        <v>编制日期：</v>
      </c>
      <c r="E3" s="274" t="s">
        <v>22</v>
      </c>
      <c r="F3" s="276" t="str">
        <f>底稿目录!F4</f>
        <v>L0A</v>
      </c>
    </row>
    <row r="4" spans="1:10" ht="19.95" customHeight="1" x14ac:dyDescent="0.25">
      <c r="A4" s="274" t="str">
        <f>底稿目录!A3</f>
        <v>截止日：202X年12月31日</v>
      </c>
      <c r="B4" s="274"/>
      <c r="C4" s="275" t="str">
        <f>底稿目录!A6</f>
        <v>复核人：</v>
      </c>
      <c r="D4" s="274" t="str">
        <f>底稿目录!A7</f>
        <v>复核日期：</v>
      </c>
      <c r="E4" s="274" t="s">
        <v>23</v>
      </c>
    </row>
    <row r="5" spans="1:10" ht="12" customHeight="1" x14ac:dyDescent="0.25">
      <c r="A5" s="359" t="s">
        <v>1</v>
      </c>
      <c r="B5" s="360" t="s">
        <v>24</v>
      </c>
      <c r="C5" s="360"/>
      <c r="D5" s="360" t="s">
        <v>25</v>
      </c>
      <c r="E5" s="360" t="s">
        <v>26</v>
      </c>
      <c r="F5" s="361"/>
      <c r="G5" s="277"/>
      <c r="H5" s="278"/>
      <c r="I5" s="278"/>
      <c r="J5" s="278"/>
    </row>
    <row r="6" spans="1:10" ht="12" customHeight="1" x14ac:dyDescent="0.25">
      <c r="A6" s="359"/>
      <c r="B6" s="360"/>
      <c r="C6" s="360"/>
      <c r="D6" s="360"/>
      <c r="E6" s="361"/>
      <c r="F6" s="361"/>
      <c r="G6" s="277"/>
      <c r="H6" s="278"/>
      <c r="I6" s="278"/>
      <c r="J6" s="278"/>
    </row>
    <row r="7" spans="1:10" ht="24" customHeight="1" x14ac:dyDescent="0.25">
      <c r="A7" s="279" t="s">
        <v>27</v>
      </c>
      <c r="B7" s="352" t="s">
        <v>367</v>
      </c>
      <c r="C7" s="353"/>
      <c r="D7" s="280" t="s">
        <v>28</v>
      </c>
      <c r="E7" s="354" t="s">
        <v>7</v>
      </c>
      <c r="F7" s="354"/>
      <c r="G7" s="281" t="s">
        <v>29</v>
      </c>
      <c r="H7" s="282"/>
      <c r="I7" s="278"/>
      <c r="J7" s="278"/>
    </row>
    <row r="8" spans="1:10" ht="54" customHeight="1" x14ac:dyDescent="0.25">
      <c r="A8" s="279" t="s">
        <v>30</v>
      </c>
      <c r="B8" s="352" t="s">
        <v>31</v>
      </c>
      <c r="C8" s="353"/>
      <c r="D8" s="283" t="s">
        <v>32</v>
      </c>
      <c r="E8" s="354" t="s">
        <v>7</v>
      </c>
      <c r="F8" s="354"/>
      <c r="G8" s="277"/>
      <c r="H8" s="282"/>
      <c r="I8" s="278"/>
      <c r="J8" s="278"/>
    </row>
    <row r="9" spans="1:10" ht="51" customHeight="1" x14ac:dyDescent="0.25">
      <c r="A9" s="279" t="s">
        <v>33</v>
      </c>
      <c r="B9" s="352" t="s">
        <v>34</v>
      </c>
      <c r="C9" s="353"/>
      <c r="D9" s="280" t="s">
        <v>28</v>
      </c>
      <c r="E9" s="354" t="s">
        <v>9</v>
      </c>
      <c r="F9" s="354"/>
      <c r="G9" s="277"/>
      <c r="H9" s="282"/>
      <c r="I9" s="278"/>
      <c r="J9" s="278"/>
    </row>
    <row r="10" spans="1:10" ht="37.799999999999997" customHeight="1" x14ac:dyDescent="0.25">
      <c r="A10" s="279" t="s">
        <v>35</v>
      </c>
      <c r="B10" s="352" t="s">
        <v>36</v>
      </c>
      <c r="C10" s="353"/>
      <c r="D10" s="280" t="s">
        <v>28</v>
      </c>
      <c r="E10" s="354" t="s">
        <v>368</v>
      </c>
      <c r="F10" s="354"/>
      <c r="G10" s="277"/>
      <c r="H10" s="282"/>
      <c r="I10" s="278"/>
      <c r="J10" s="278"/>
    </row>
    <row r="11" spans="1:10" ht="30.6" customHeight="1" x14ac:dyDescent="0.25">
      <c r="A11" s="279" t="s">
        <v>37</v>
      </c>
      <c r="B11" s="355" t="s">
        <v>38</v>
      </c>
      <c r="C11" s="355"/>
      <c r="D11" s="280" t="s">
        <v>28</v>
      </c>
      <c r="E11" s="354" t="s">
        <v>369</v>
      </c>
      <c r="F11" s="354"/>
      <c r="G11" s="277"/>
      <c r="H11" s="282"/>
      <c r="I11" s="278"/>
      <c r="J11" s="278"/>
    </row>
    <row r="12" spans="1:10" ht="73.8" customHeight="1" x14ac:dyDescent="0.25">
      <c r="A12" s="279" t="s">
        <v>39</v>
      </c>
      <c r="B12" s="352" t="s">
        <v>407</v>
      </c>
      <c r="C12" s="353"/>
      <c r="D12" s="280" t="s">
        <v>28</v>
      </c>
      <c r="E12" s="354" t="s">
        <v>370</v>
      </c>
      <c r="F12" s="354"/>
      <c r="G12" s="277"/>
      <c r="H12" s="282"/>
      <c r="I12" s="278"/>
      <c r="J12" s="278"/>
    </row>
    <row r="13" spans="1:10" s="270" customFormat="1" ht="31.8" customHeight="1" x14ac:dyDescent="0.25">
      <c r="A13" s="279" t="s">
        <v>40</v>
      </c>
      <c r="B13" s="352" t="s">
        <v>41</v>
      </c>
      <c r="C13" s="353"/>
      <c r="D13" s="280" t="s">
        <v>42</v>
      </c>
      <c r="E13" s="354" t="s">
        <v>371</v>
      </c>
      <c r="F13" s="354"/>
      <c r="G13" s="284"/>
      <c r="H13" s="285"/>
      <c r="I13" s="287"/>
      <c r="J13" s="278"/>
    </row>
    <row r="14" spans="1:10" ht="32.4" customHeight="1" x14ac:dyDescent="0.25">
      <c r="A14" s="279" t="s">
        <v>43</v>
      </c>
      <c r="B14" s="352" t="s">
        <v>44</v>
      </c>
      <c r="C14" s="353"/>
      <c r="D14" s="280" t="s">
        <v>42</v>
      </c>
      <c r="E14" s="354"/>
      <c r="F14" s="354"/>
      <c r="G14" s="286" t="s">
        <v>45</v>
      </c>
      <c r="H14" s="282"/>
      <c r="I14" s="278"/>
      <c r="J14" s="278"/>
    </row>
    <row r="15" spans="1:10" ht="39.75" customHeight="1" x14ac:dyDescent="0.25">
      <c r="A15" s="279" t="s">
        <v>46</v>
      </c>
      <c r="B15" s="352" t="s">
        <v>47</v>
      </c>
      <c r="C15" s="353"/>
      <c r="D15" s="280" t="s">
        <v>28</v>
      </c>
      <c r="E15" s="354" t="s">
        <v>369</v>
      </c>
      <c r="F15" s="354"/>
      <c r="G15" s="277"/>
      <c r="H15" s="282"/>
      <c r="I15" s="282"/>
      <c r="J15" s="278"/>
    </row>
    <row r="16" spans="1:10" ht="58.2" customHeight="1" x14ac:dyDescent="0.25">
      <c r="A16" s="279" t="s">
        <v>48</v>
      </c>
      <c r="B16" s="352" t="s">
        <v>50</v>
      </c>
      <c r="C16" s="353"/>
      <c r="D16" s="280" t="s">
        <v>28</v>
      </c>
      <c r="E16" s="354" t="s">
        <v>372</v>
      </c>
      <c r="F16" s="354"/>
      <c r="G16" s="277"/>
      <c r="H16" s="282"/>
      <c r="I16" s="282"/>
      <c r="J16" s="278"/>
    </row>
    <row r="17" spans="1:10" ht="31.2" customHeight="1" x14ac:dyDescent="0.25">
      <c r="A17" s="279" t="s">
        <v>49</v>
      </c>
      <c r="B17" s="348" t="s">
        <v>52</v>
      </c>
      <c r="C17" s="349"/>
      <c r="D17" s="280" t="s">
        <v>28</v>
      </c>
      <c r="E17" s="350" t="s">
        <v>19</v>
      </c>
      <c r="F17" s="351"/>
      <c r="G17" s="277"/>
      <c r="H17" s="282"/>
      <c r="I17" s="278"/>
      <c r="J17" s="278"/>
    </row>
    <row r="18" spans="1:10" ht="42" customHeight="1" x14ac:dyDescent="0.25">
      <c r="A18" s="279" t="s">
        <v>51</v>
      </c>
      <c r="B18" s="348" t="s">
        <v>53</v>
      </c>
      <c r="C18" s="349"/>
      <c r="D18" s="280" t="s">
        <v>28</v>
      </c>
      <c r="E18" s="350"/>
      <c r="F18" s="351"/>
      <c r="G18" s="277"/>
      <c r="H18" s="282"/>
      <c r="I18" s="278"/>
      <c r="J18" s="278"/>
    </row>
    <row r="19" spans="1:10" ht="22.05" customHeight="1" x14ac:dyDescent="0.25">
      <c r="A19" s="279"/>
      <c r="B19" s="352"/>
      <c r="C19" s="353"/>
      <c r="D19" s="280"/>
      <c r="E19" s="354"/>
      <c r="F19" s="354"/>
      <c r="G19" s="277"/>
      <c r="H19" s="282"/>
      <c r="I19" s="278"/>
      <c r="J19" s="278"/>
    </row>
    <row r="22" spans="1:10" x14ac:dyDescent="0.25">
      <c r="A22" s="282"/>
    </row>
  </sheetData>
  <mergeCells count="32">
    <mergeCell ref="A1:F1"/>
    <mergeCell ref="A2:F2"/>
    <mergeCell ref="B7:C7"/>
    <mergeCell ref="E7:F7"/>
    <mergeCell ref="B8:C8"/>
    <mergeCell ref="E8:F8"/>
    <mergeCell ref="A5:A6"/>
    <mergeCell ref="D5:D6"/>
    <mergeCell ref="B5:C6"/>
    <mergeCell ref="E5:F6"/>
    <mergeCell ref="B9:C9"/>
    <mergeCell ref="E9:F9"/>
    <mergeCell ref="B10:C10"/>
    <mergeCell ref="E10:F10"/>
    <mergeCell ref="B11:C11"/>
    <mergeCell ref="E11:F11"/>
    <mergeCell ref="B12:C12"/>
    <mergeCell ref="E12:F12"/>
    <mergeCell ref="B13:C13"/>
    <mergeCell ref="E13:F13"/>
    <mergeCell ref="B14:C14"/>
    <mergeCell ref="E14:F14"/>
    <mergeCell ref="B18:C18"/>
    <mergeCell ref="E18:F18"/>
    <mergeCell ref="B19:C19"/>
    <mergeCell ref="E19:F19"/>
    <mergeCell ref="B15:C15"/>
    <mergeCell ref="E15:F15"/>
    <mergeCell ref="E16:F16"/>
    <mergeCell ref="B16:C16"/>
    <mergeCell ref="B17:C17"/>
    <mergeCell ref="E17:F17"/>
  </mergeCells>
  <phoneticPr fontId="79" type="noConversion"/>
  <hyperlinks>
    <hyperlink ref="F3" location="底稿目录!A1" display="=底稿目录!F4"/>
  </hyperlinks>
  <printOptions horizontalCentered="1"/>
  <pageMargins left="0.47244094488188998" right="0.31496062992126" top="0.511811023622047" bottom="0.39370078740157499" header="0.47244094488188998" footer="0.23622047244094499"/>
  <pageSetup paperSize="9" scale="70" fitToHeight="100" orientation="portrait" blackAndWhite="1" cellComments="atEnd" r:id="rId1"/>
  <headerFooter alignWithMargins="0">
    <oddFooter>&amp;C&amp;P/&amp;N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G69"/>
  <sheetViews>
    <sheetView view="pageBreakPreview" zoomScale="99" zoomScaleNormal="115" workbookViewId="0">
      <selection sqref="A1:R1"/>
    </sheetView>
  </sheetViews>
  <sheetFormatPr defaultColWidth="10" defaultRowHeight="15.6" x14ac:dyDescent="0.25"/>
  <cols>
    <col min="1" max="1" width="5" style="100" customWidth="1"/>
    <col min="2" max="2" width="9.6640625" style="100" customWidth="1"/>
    <col min="3" max="3" width="11.6640625" style="100" customWidth="1"/>
    <col min="4" max="4" width="24.33203125" style="100" customWidth="1"/>
    <col min="5" max="5" width="11.33203125" style="196" customWidth="1"/>
    <col min="6" max="6" width="13.44140625" style="196" customWidth="1"/>
    <col min="7" max="7" width="10.77734375" style="100" customWidth="1"/>
    <col min="8" max="8" width="12.44140625" style="100" customWidth="1"/>
    <col min="9" max="9" width="17.44140625" style="100" customWidth="1"/>
    <col min="10" max="10" width="20" style="100" customWidth="1"/>
    <col min="11" max="11" width="6.77734375" style="100" customWidth="1"/>
    <col min="12" max="12" width="6.33203125" style="100" customWidth="1"/>
    <col min="13" max="13" width="13.33203125" style="100" customWidth="1"/>
    <col min="14" max="14" width="6" style="100" customWidth="1"/>
    <col min="15" max="15" width="8.5546875" style="100" customWidth="1"/>
    <col min="16" max="16" width="15.33203125" style="100" customWidth="1"/>
    <col min="17" max="17" width="24.109375" style="100" customWidth="1"/>
    <col min="18" max="18" width="10.77734375" style="100" customWidth="1"/>
    <col min="19" max="21" width="12.88671875" style="100" customWidth="1"/>
    <col min="22" max="22" width="8.88671875" style="100" customWidth="1"/>
    <col min="23" max="23" width="19.33203125" style="100" customWidth="1"/>
    <col min="24" max="24" width="6.77734375" style="100" customWidth="1"/>
    <col min="25" max="25" width="12.21875" style="100" customWidth="1"/>
    <col min="26" max="26" width="11.33203125" style="100" customWidth="1"/>
    <col min="27" max="27" width="8.44140625" style="100" customWidth="1"/>
    <col min="28" max="28" width="12.109375" style="100" customWidth="1"/>
    <col min="29" max="16384" width="10" style="100"/>
  </cols>
  <sheetData>
    <row r="1" spans="1:33" s="97" customFormat="1" ht="19.95" customHeight="1" x14ac:dyDescent="0.25">
      <c r="A1" s="368" t="s">
        <v>20</v>
      </c>
      <c r="B1" s="368"/>
      <c r="C1" s="368"/>
      <c r="D1" s="368"/>
      <c r="E1" s="368"/>
      <c r="F1" s="368"/>
      <c r="G1" s="368"/>
      <c r="H1" s="368"/>
      <c r="I1" s="368"/>
      <c r="J1" s="368"/>
      <c r="K1" s="368"/>
      <c r="L1" s="368"/>
      <c r="M1" s="368"/>
      <c r="N1" s="368"/>
      <c r="O1" s="368"/>
      <c r="P1" s="368"/>
      <c r="Q1" s="368"/>
      <c r="R1" s="368"/>
      <c r="S1" s="368" t="s">
        <v>20</v>
      </c>
      <c r="T1" s="368"/>
      <c r="U1" s="368"/>
      <c r="V1" s="368"/>
      <c r="W1" s="368"/>
      <c r="X1" s="368"/>
      <c r="Y1" s="368"/>
      <c r="Z1" s="368"/>
      <c r="AA1" s="368"/>
      <c r="AB1" s="368"/>
      <c r="AC1" s="260"/>
      <c r="AD1" s="260"/>
      <c r="AE1" s="260"/>
      <c r="AF1" s="260"/>
      <c r="AG1" s="260"/>
    </row>
    <row r="2" spans="1:33" s="98" customFormat="1" ht="19.95" customHeight="1" x14ac:dyDescent="0.25">
      <c r="A2" s="369" t="s">
        <v>54</v>
      </c>
      <c r="B2" s="369"/>
      <c r="C2" s="369"/>
      <c r="D2" s="369"/>
      <c r="E2" s="369"/>
      <c r="F2" s="369"/>
      <c r="G2" s="369"/>
      <c r="H2" s="369"/>
      <c r="I2" s="369"/>
      <c r="J2" s="369"/>
      <c r="K2" s="369"/>
      <c r="L2" s="369"/>
      <c r="M2" s="369"/>
      <c r="N2" s="369"/>
      <c r="O2" s="369"/>
      <c r="P2" s="369"/>
      <c r="Q2" s="369"/>
      <c r="R2" s="369"/>
      <c r="S2" s="369" t="s">
        <v>54</v>
      </c>
      <c r="T2" s="369"/>
      <c r="U2" s="369"/>
      <c r="V2" s="369"/>
      <c r="W2" s="369"/>
      <c r="X2" s="369"/>
      <c r="Y2" s="369"/>
      <c r="Z2" s="369"/>
      <c r="AA2" s="369"/>
      <c r="AB2" s="369"/>
      <c r="AC2" s="261"/>
      <c r="AD2" s="262"/>
      <c r="AE2" s="262"/>
      <c r="AF2" s="262"/>
      <c r="AG2" s="262"/>
    </row>
    <row r="3" spans="1:33" s="99" customFormat="1" ht="19.95" customHeight="1" x14ac:dyDescent="0.25">
      <c r="A3" s="25" t="str">
        <f>底稿目录!A2</f>
        <v>被审计单位：</v>
      </c>
      <c r="B3" s="25"/>
      <c r="E3" s="197"/>
      <c r="F3" s="25" t="str">
        <f>底稿目录!A4</f>
        <v>编制人：</v>
      </c>
      <c r="J3" s="99" t="str">
        <f>底稿目录!A5</f>
        <v>编制日期：</v>
      </c>
      <c r="L3" s="25"/>
      <c r="M3" s="25"/>
      <c r="N3" s="25"/>
      <c r="Q3" s="249" t="s">
        <v>55</v>
      </c>
      <c r="R3" s="250" t="str">
        <f>底稿目录!F5</f>
        <v>L0-1</v>
      </c>
      <c r="S3" s="99" t="str">
        <f>底稿目录!A2</f>
        <v>被审计单位：</v>
      </c>
      <c r="V3" s="99" t="str">
        <f>底稿目录!A4</f>
        <v>编制人：</v>
      </c>
      <c r="X3" s="251"/>
      <c r="Y3" s="99" t="str">
        <f>底稿目录!A5</f>
        <v>编制日期：</v>
      </c>
      <c r="AA3" s="99" t="s">
        <v>22</v>
      </c>
      <c r="AB3" s="250" t="str">
        <f>底稿目录!F5</f>
        <v>L0-1</v>
      </c>
    </row>
    <row r="4" spans="1:33" s="99" customFormat="1" ht="19.95" customHeight="1" x14ac:dyDescent="0.25">
      <c r="A4" s="25" t="str">
        <f>底稿目录!A3</f>
        <v>截止日：202X年12月31日</v>
      </c>
      <c r="B4" s="156"/>
      <c r="E4" s="197"/>
      <c r="F4" s="25" t="str">
        <f>底稿目录!A6</f>
        <v>复核人：</v>
      </c>
      <c r="J4" s="99" t="str">
        <f>底稿目录!A7</f>
        <v>复核日期：</v>
      </c>
      <c r="L4" s="25"/>
      <c r="M4" s="156"/>
      <c r="N4" s="156"/>
      <c r="Q4" s="249" t="s">
        <v>56</v>
      </c>
      <c r="S4" s="99" t="str">
        <f>底稿目录!A3</f>
        <v>截止日：202X年12月31日</v>
      </c>
      <c r="V4" s="99" t="str">
        <f>底稿目录!A6</f>
        <v>复核人：</v>
      </c>
      <c r="X4" s="251"/>
      <c r="Y4" s="99" t="str">
        <f>底稿目录!A7</f>
        <v>复核日期：</v>
      </c>
      <c r="AA4" s="99" t="s">
        <v>57</v>
      </c>
      <c r="AB4" s="49"/>
    </row>
    <row r="5" spans="1:33" s="193" customFormat="1" ht="19.95" customHeight="1" x14ac:dyDescent="0.25">
      <c r="A5" s="363" t="s">
        <v>58</v>
      </c>
      <c r="B5" s="367" t="s">
        <v>59</v>
      </c>
      <c r="C5" s="370" t="s">
        <v>60</v>
      </c>
      <c r="D5" s="371"/>
      <c r="E5" s="371"/>
      <c r="F5" s="371"/>
      <c r="G5" s="372" t="s">
        <v>61</v>
      </c>
      <c r="H5" s="373"/>
      <c r="I5" s="373"/>
      <c r="J5" s="373"/>
      <c r="K5" s="374"/>
      <c r="L5" s="375" t="s">
        <v>408</v>
      </c>
      <c r="M5" s="375"/>
      <c r="N5" s="375"/>
      <c r="O5" s="375"/>
      <c r="P5" s="375"/>
      <c r="Q5" s="375"/>
      <c r="R5" s="375"/>
      <c r="S5" s="370" t="s">
        <v>62</v>
      </c>
      <c r="T5" s="371"/>
      <c r="U5" s="371"/>
      <c r="V5" s="371"/>
      <c r="W5" s="376"/>
      <c r="X5" s="370" t="s">
        <v>63</v>
      </c>
      <c r="Y5" s="371"/>
      <c r="Z5" s="371"/>
      <c r="AA5" s="376"/>
      <c r="AB5" s="362" t="s">
        <v>64</v>
      </c>
    </row>
    <row r="6" spans="1:33" s="193" customFormat="1" ht="19.95" customHeight="1" x14ac:dyDescent="0.25">
      <c r="A6" s="366"/>
      <c r="B6" s="366"/>
      <c r="C6" s="362" t="s">
        <v>65</v>
      </c>
      <c r="D6" s="362" t="s">
        <v>66</v>
      </c>
      <c r="E6" s="363" t="s">
        <v>67</v>
      </c>
      <c r="F6" s="363" t="s">
        <v>68</v>
      </c>
      <c r="G6" s="362" t="s">
        <v>69</v>
      </c>
      <c r="H6" s="362" t="s">
        <v>70</v>
      </c>
      <c r="I6" s="362" t="s">
        <v>71</v>
      </c>
      <c r="J6" s="362" t="s">
        <v>72</v>
      </c>
      <c r="K6" s="362" t="s">
        <v>73</v>
      </c>
      <c r="L6" s="362" t="s">
        <v>74</v>
      </c>
      <c r="M6" s="362" t="s">
        <v>75</v>
      </c>
      <c r="N6" s="362" t="s">
        <v>76</v>
      </c>
      <c r="O6" s="362" t="s">
        <v>77</v>
      </c>
      <c r="P6" s="362" t="s">
        <v>78</v>
      </c>
      <c r="Q6" s="362" t="s">
        <v>79</v>
      </c>
      <c r="R6" s="362" t="s">
        <v>80</v>
      </c>
      <c r="S6" s="363" t="s">
        <v>81</v>
      </c>
      <c r="T6" s="363" t="s">
        <v>82</v>
      </c>
      <c r="U6" s="363" t="s">
        <v>83</v>
      </c>
      <c r="V6" s="362" t="s">
        <v>84</v>
      </c>
      <c r="W6" s="362" t="s">
        <v>85</v>
      </c>
      <c r="X6" s="363" t="s">
        <v>86</v>
      </c>
      <c r="Y6" s="362" t="s">
        <v>87</v>
      </c>
      <c r="Z6" s="362" t="s">
        <v>88</v>
      </c>
      <c r="AA6" s="362" t="s">
        <v>89</v>
      </c>
      <c r="AB6" s="362"/>
    </row>
    <row r="7" spans="1:33" s="193" customFormat="1" ht="19.95" customHeight="1" x14ac:dyDescent="0.25">
      <c r="A7" s="364"/>
      <c r="B7" s="364"/>
      <c r="C7" s="362"/>
      <c r="D7" s="362"/>
      <c r="E7" s="364"/>
      <c r="F7" s="364"/>
      <c r="G7" s="362"/>
      <c r="H7" s="362" t="s">
        <v>70</v>
      </c>
      <c r="I7" s="362"/>
      <c r="J7" s="362"/>
      <c r="K7" s="362"/>
      <c r="L7" s="362"/>
      <c r="M7" s="362"/>
      <c r="N7" s="362"/>
      <c r="O7" s="362"/>
      <c r="P7" s="362"/>
      <c r="Q7" s="362"/>
      <c r="R7" s="362"/>
      <c r="S7" s="364"/>
      <c r="T7" s="364"/>
      <c r="U7" s="364"/>
      <c r="V7" s="362"/>
      <c r="W7" s="362"/>
      <c r="X7" s="364"/>
      <c r="Y7" s="362"/>
      <c r="Z7" s="362"/>
      <c r="AA7" s="362"/>
      <c r="AB7" s="362"/>
    </row>
    <row r="8" spans="1:33" s="194" customFormat="1" ht="19.95" customHeight="1" x14ac:dyDescent="0.25">
      <c r="A8" s="198">
        <v>1</v>
      </c>
      <c r="B8" s="199"/>
      <c r="C8" s="199"/>
      <c r="D8" s="200" t="e">
        <f>VLOOKUP(B8,'核实被函证单位信息L0-2'!A:AL,2,0)</f>
        <v>#N/A</v>
      </c>
      <c r="E8" s="201"/>
      <c r="F8" s="202"/>
      <c r="G8" s="200" t="e">
        <f>VLOOKUP(B8,'核实被函证单位信息L0-2'!A:AL,3,0)</f>
        <v>#N/A</v>
      </c>
      <c r="H8" s="203"/>
      <c r="I8" s="237"/>
      <c r="J8" s="200" t="e">
        <f>VLOOKUP(B8,'核实被函证单位信息L0-2'!A:AL,4,0)</f>
        <v>#N/A</v>
      </c>
      <c r="K8" s="238" t="e">
        <f>VLOOKUP(B8,'核实被函证单位信息L0-2'!A:AL,10,0)</f>
        <v>#N/A</v>
      </c>
      <c r="L8" s="239"/>
      <c r="M8" s="238" t="e">
        <f>VLOOKUP(B8,'核实被函证单位信息L0-2'!A:AL,16,0)</f>
        <v>#N/A</v>
      </c>
      <c r="N8" s="239"/>
      <c r="O8" s="203"/>
      <c r="P8" s="198"/>
      <c r="Q8" s="200" t="e">
        <f>VLOOKUP(B8,'核实被函证单位信息L0-2'!A:AL,19,0)</f>
        <v>#N/A</v>
      </c>
      <c r="R8" s="238" t="e">
        <f>VLOOKUP(B8,'核实被函证单位信息L0-2'!A:AL,22,0)</f>
        <v>#N/A</v>
      </c>
      <c r="S8" s="252"/>
      <c r="T8" s="253" t="str">
        <f t="shared" ref="T8:T27" si="0">IF(L8="√",S8-F8,"未回函")</f>
        <v>未回函</v>
      </c>
      <c r="U8" s="252"/>
      <c r="V8" s="237"/>
      <c r="W8" s="254"/>
      <c r="X8" s="239"/>
      <c r="Y8" s="263"/>
      <c r="Z8" s="264"/>
      <c r="AA8" s="198"/>
      <c r="AB8" s="179"/>
    </row>
    <row r="9" spans="1:33" s="194" customFormat="1" ht="19.95" customHeight="1" x14ac:dyDescent="0.25">
      <c r="A9" s="198">
        <v>2</v>
      </c>
      <c r="B9" s="199"/>
      <c r="C9" s="199"/>
      <c r="D9" s="200" t="e">
        <f>VLOOKUP(B9,'核实被函证单位信息L0-2'!A:AL,2,0)</f>
        <v>#N/A</v>
      </c>
      <c r="E9" s="201"/>
      <c r="F9" s="202"/>
      <c r="G9" s="200" t="e">
        <f>VLOOKUP(B9,'核实被函证单位信息L0-2'!A:AL,3,0)</f>
        <v>#N/A</v>
      </c>
      <c r="H9" s="203"/>
      <c r="I9" s="237"/>
      <c r="J9" s="200" t="e">
        <f>VLOOKUP(B9,'核实被函证单位信息L0-2'!A:AL,4,0)</f>
        <v>#N/A</v>
      </c>
      <c r="K9" s="238" t="e">
        <f>VLOOKUP(B9,'核实被函证单位信息L0-2'!A:AL,10,0)</f>
        <v>#N/A</v>
      </c>
      <c r="L9" s="239"/>
      <c r="M9" s="238" t="e">
        <f>VLOOKUP(B9,'核实被函证单位信息L0-2'!A:AL,16,0)</f>
        <v>#N/A</v>
      </c>
      <c r="N9" s="239"/>
      <c r="O9" s="203"/>
      <c r="P9" s="198"/>
      <c r="Q9" s="200" t="e">
        <f>VLOOKUP(B9,'核实被函证单位信息L0-2'!A:AL,19,0)</f>
        <v>#N/A</v>
      </c>
      <c r="R9" s="238" t="e">
        <f>VLOOKUP(B9,'核实被函证单位信息L0-2'!A:AL,22,0)</f>
        <v>#N/A</v>
      </c>
      <c r="S9" s="252"/>
      <c r="T9" s="253" t="str">
        <f t="shared" si="0"/>
        <v>未回函</v>
      </c>
      <c r="U9" s="252"/>
      <c r="V9" s="237"/>
      <c r="W9" s="255"/>
      <c r="X9" s="239"/>
      <c r="Y9" s="263"/>
      <c r="Z9" s="264"/>
      <c r="AA9" s="198"/>
      <c r="AB9" s="199"/>
    </row>
    <row r="10" spans="1:33" s="194" customFormat="1" ht="19.95" customHeight="1" x14ac:dyDescent="0.25">
      <c r="A10" s="198">
        <v>3</v>
      </c>
      <c r="B10" s="199"/>
      <c r="C10" s="199"/>
      <c r="D10" s="200" t="e">
        <f>VLOOKUP(B10,'核实被函证单位信息L0-2'!A:AL,2,0)</f>
        <v>#N/A</v>
      </c>
      <c r="E10" s="201"/>
      <c r="F10" s="202"/>
      <c r="G10" s="200" t="e">
        <f>VLOOKUP(B10,'核实被函证单位信息L0-2'!A:AL,3,0)</f>
        <v>#N/A</v>
      </c>
      <c r="H10" s="203"/>
      <c r="I10" s="237"/>
      <c r="J10" s="200" t="e">
        <f>VLOOKUP(B10,'核实被函证单位信息L0-2'!A:AL,4,0)</f>
        <v>#N/A</v>
      </c>
      <c r="K10" s="238" t="e">
        <f>VLOOKUP(B10,'核实被函证单位信息L0-2'!A:AL,10,0)</f>
        <v>#N/A</v>
      </c>
      <c r="L10" s="239"/>
      <c r="M10" s="238" t="e">
        <f>VLOOKUP(B10,'核实被函证单位信息L0-2'!A:AL,16,0)</f>
        <v>#N/A</v>
      </c>
      <c r="N10" s="239"/>
      <c r="O10" s="203"/>
      <c r="P10" s="198"/>
      <c r="Q10" s="200" t="e">
        <f>VLOOKUP(B10,'核实被函证单位信息L0-2'!A:AL,19,0)</f>
        <v>#N/A</v>
      </c>
      <c r="R10" s="238" t="e">
        <f>VLOOKUP(B10,'核实被函证单位信息L0-2'!A:AL,22,0)</f>
        <v>#N/A</v>
      </c>
      <c r="S10" s="252"/>
      <c r="T10" s="253" t="str">
        <f t="shared" si="0"/>
        <v>未回函</v>
      </c>
      <c r="U10" s="252"/>
      <c r="V10" s="237"/>
      <c r="W10" s="255"/>
      <c r="X10" s="239"/>
      <c r="Y10" s="263"/>
      <c r="Z10" s="264"/>
      <c r="AA10" s="198"/>
      <c r="AB10" s="199"/>
    </row>
    <row r="11" spans="1:33" s="194" customFormat="1" ht="19.95" customHeight="1" x14ac:dyDescent="0.25">
      <c r="A11" s="198">
        <v>4</v>
      </c>
      <c r="B11" s="199"/>
      <c r="C11" s="199"/>
      <c r="D11" s="200" t="e">
        <f>VLOOKUP(B11,'核实被函证单位信息L0-2'!A:AL,2,0)</f>
        <v>#N/A</v>
      </c>
      <c r="E11" s="201"/>
      <c r="F11" s="202"/>
      <c r="G11" s="200" t="e">
        <f>VLOOKUP(B11,'核实被函证单位信息L0-2'!A:AL,3,0)</f>
        <v>#N/A</v>
      </c>
      <c r="H11" s="203"/>
      <c r="I11" s="237"/>
      <c r="J11" s="200" t="e">
        <f>VLOOKUP(B11,'核实被函证单位信息L0-2'!A:AL,4,0)</f>
        <v>#N/A</v>
      </c>
      <c r="K11" s="238" t="e">
        <f>VLOOKUP(B11,'核实被函证单位信息L0-2'!A:AL,10,0)</f>
        <v>#N/A</v>
      </c>
      <c r="L11" s="239"/>
      <c r="M11" s="238" t="e">
        <f>VLOOKUP(B11,'核实被函证单位信息L0-2'!A:AL,16,0)</f>
        <v>#N/A</v>
      </c>
      <c r="N11" s="239"/>
      <c r="O11" s="203"/>
      <c r="P11" s="198"/>
      <c r="Q11" s="200" t="e">
        <f>VLOOKUP(B11,'核实被函证单位信息L0-2'!A:AL,19,0)</f>
        <v>#N/A</v>
      </c>
      <c r="R11" s="238" t="e">
        <f>VLOOKUP(B11,'核实被函证单位信息L0-2'!A:AL,22,0)</f>
        <v>#N/A</v>
      </c>
      <c r="S11" s="252"/>
      <c r="T11" s="253" t="str">
        <f t="shared" si="0"/>
        <v>未回函</v>
      </c>
      <c r="U11" s="252"/>
      <c r="V11" s="237"/>
      <c r="W11" s="255"/>
      <c r="X11" s="239"/>
      <c r="Y11" s="263"/>
      <c r="Z11" s="264"/>
      <c r="AA11" s="198"/>
      <c r="AB11" s="199"/>
    </row>
    <row r="12" spans="1:33" s="194" customFormat="1" ht="19.95" customHeight="1" x14ac:dyDescent="0.25">
      <c r="A12" s="198">
        <v>5</v>
      </c>
      <c r="B12" s="199"/>
      <c r="C12" s="199"/>
      <c r="D12" s="200" t="e">
        <f>VLOOKUP(B12,'核实被函证单位信息L0-2'!A:AL,2,0)</f>
        <v>#N/A</v>
      </c>
      <c r="E12" s="201"/>
      <c r="F12" s="202"/>
      <c r="G12" s="200" t="e">
        <f>VLOOKUP(B12,'核实被函证单位信息L0-2'!A:AL,3,0)</f>
        <v>#N/A</v>
      </c>
      <c r="H12" s="203"/>
      <c r="I12" s="237"/>
      <c r="J12" s="200" t="e">
        <f>VLOOKUP(B12,'核实被函证单位信息L0-2'!A:AL,4,0)</f>
        <v>#N/A</v>
      </c>
      <c r="K12" s="238" t="e">
        <f>VLOOKUP(B12,'核实被函证单位信息L0-2'!A:AL,10,0)</f>
        <v>#N/A</v>
      </c>
      <c r="L12" s="239"/>
      <c r="M12" s="238" t="e">
        <f>VLOOKUP(B12,'核实被函证单位信息L0-2'!A:AL,16,0)</f>
        <v>#N/A</v>
      </c>
      <c r="N12" s="239"/>
      <c r="O12" s="203"/>
      <c r="P12" s="198"/>
      <c r="Q12" s="200" t="e">
        <f>VLOOKUP(B12,'核实被函证单位信息L0-2'!A:AL,19,0)</f>
        <v>#N/A</v>
      </c>
      <c r="R12" s="238" t="e">
        <f>VLOOKUP(B12,'核实被函证单位信息L0-2'!A:AL,22,0)</f>
        <v>#N/A</v>
      </c>
      <c r="S12" s="252"/>
      <c r="T12" s="253" t="str">
        <f t="shared" si="0"/>
        <v>未回函</v>
      </c>
      <c r="U12" s="252"/>
      <c r="V12" s="237"/>
      <c r="W12" s="255"/>
      <c r="X12" s="239"/>
      <c r="Y12" s="263"/>
      <c r="Z12" s="264"/>
      <c r="AA12" s="198"/>
      <c r="AB12" s="199"/>
    </row>
    <row r="13" spans="1:33" s="194" customFormat="1" ht="19.95" customHeight="1" x14ac:dyDescent="0.25">
      <c r="A13" s="198">
        <v>6</v>
      </c>
      <c r="B13" s="199"/>
      <c r="C13" s="199"/>
      <c r="D13" s="200" t="e">
        <f>VLOOKUP(B13,'核实被函证单位信息L0-2'!A:AL,2,0)</f>
        <v>#N/A</v>
      </c>
      <c r="E13" s="201"/>
      <c r="F13" s="202"/>
      <c r="G13" s="200" t="e">
        <f>VLOOKUP(B13,'核实被函证单位信息L0-2'!A:AL,3,0)</f>
        <v>#N/A</v>
      </c>
      <c r="H13" s="203"/>
      <c r="I13" s="237"/>
      <c r="J13" s="200" t="e">
        <f>VLOOKUP(B13,'核实被函证单位信息L0-2'!A:AL,4,0)</f>
        <v>#N/A</v>
      </c>
      <c r="K13" s="238" t="e">
        <f>VLOOKUP(B13,'核实被函证单位信息L0-2'!A:AL,10,0)</f>
        <v>#N/A</v>
      </c>
      <c r="L13" s="239"/>
      <c r="M13" s="238" t="e">
        <f>VLOOKUP(B13,'核实被函证单位信息L0-2'!A:AL,16,0)</f>
        <v>#N/A</v>
      </c>
      <c r="N13" s="239"/>
      <c r="O13" s="203"/>
      <c r="P13" s="198"/>
      <c r="Q13" s="200" t="e">
        <f>VLOOKUP(B13,'核实被函证单位信息L0-2'!A:AL,19,0)</f>
        <v>#N/A</v>
      </c>
      <c r="R13" s="238" t="e">
        <f>VLOOKUP(B13,'核实被函证单位信息L0-2'!A:AL,22,0)</f>
        <v>#N/A</v>
      </c>
      <c r="S13" s="252"/>
      <c r="T13" s="253" t="str">
        <f t="shared" si="0"/>
        <v>未回函</v>
      </c>
      <c r="U13" s="252"/>
      <c r="V13" s="237"/>
      <c r="W13" s="255"/>
      <c r="X13" s="239"/>
      <c r="Y13" s="263"/>
      <c r="Z13" s="264"/>
      <c r="AA13" s="198"/>
      <c r="AB13" s="199"/>
    </row>
    <row r="14" spans="1:33" s="194" customFormat="1" ht="19.95" customHeight="1" x14ac:dyDescent="0.25">
      <c r="A14" s="198">
        <v>7</v>
      </c>
      <c r="B14" s="199"/>
      <c r="C14" s="199"/>
      <c r="D14" s="200" t="e">
        <f>VLOOKUP(B14,'核实被函证单位信息L0-2'!A:AL,2,0)</f>
        <v>#N/A</v>
      </c>
      <c r="E14" s="204"/>
      <c r="F14" s="202"/>
      <c r="G14" s="200" t="e">
        <f>VLOOKUP(B14,'核实被函证单位信息L0-2'!A:AL,3,0)</f>
        <v>#N/A</v>
      </c>
      <c r="H14" s="203"/>
      <c r="I14" s="237"/>
      <c r="J14" s="200" t="e">
        <f>VLOOKUP(B14,'核实被函证单位信息L0-2'!A:AL,4,0)</f>
        <v>#N/A</v>
      </c>
      <c r="K14" s="238" t="e">
        <f>VLOOKUP(B14,'核实被函证单位信息L0-2'!A:AL,10,0)</f>
        <v>#N/A</v>
      </c>
      <c r="L14" s="239"/>
      <c r="M14" s="238" t="e">
        <f>VLOOKUP(B14,'核实被函证单位信息L0-2'!A:AL,16,0)</f>
        <v>#N/A</v>
      </c>
      <c r="N14" s="239"/>
      <c r="O14" s="203"/>
      <c r="P14" s="198"/>
      <c r="Q14" s="200" t="e">
        <f>VLOOKUP(B14,'核实被函证单位信息L0-2'!A:AL,19,0)</f>
        <v>#N/A</v>
      </c>
      <c r="R14" s="238" t="e">
        <f>VLOOKUP(B14,'核实被函证单位信息L0-2'!A:AL,22,0)</f>
        <v>#N/A</v>
      </c>
      <c r="S14" s="252"/>
      <c r="T14" s="253" t="str">
        <f t="shared" si="0"/>
        <v>未回函</v>
      </c>
      <c r="U14" s="252"/>
      <c r="V14" s="237"/>
      <c r="W14" s="255"/>
      <c r="X14" s="239"/>
      <c r="Y14" s="263"/>
      <c r="Z14" s="264"/>
      <c r="AA14" s="198"/>
      <c r="AB14" s="199"/>
    </row>
    <row r="15" spans="1:33" s="194" customFormat="1" ht="19.95" customHeight="1" x14ac:dyDescent="0.25">
      <c r="A15" s="198">
        <v>8</v>
      </c>
      <c r="B15" s="199"/>
      <c r="C15" s="199"/>
      <c r="D15" s="200" t="e">
        <f>VLOOKUP(B15,'核实被函证单位信息L0-2'!A:AL,2,0)</f>
        <v>#N/A</v>
      </c>
      <c r="E15" s="204"/>
      <c r="F15" s="202"/>
      <c r="G15" s="200" t="e">
        <f>VLOOKUP(B15,'核实被函证单位信息L0-2'!A:AL,3,0)</f>
        <v>#N/A</v>
      </c>
      <c r="H15" s="203"/>
      <c r="I15" s="237"/>
      <c r="J15" s="200" t="e">
        <f>VLOOKUP(B15,'核实被函证单位信息L0-2'!A:AL,4,0)</f>
        <v>#N/A</v>
      </c>
      <c r="K15" s="238" t="e">
        <f>VLOOKUP(B15,'核实被函证单位信息L0-2'!A:AL,10,0)</f>
        <v>#N/A</v>
      </c>
      <c r="L15" s="239"/>
      <c r="M15" s="238" t="e">
        <f>VLOOKUP(B15,'核实被函证单位信息L0-2'!A:AL,16,0)</f>
        <v>#N/A</v>
      </c>
      <c r="N15" s="239"/>
      <c r="O15" s="203"/>
      <c r="P15" s="198"/>
      <c r="Q15" s="200" t="e">
        <f>VLOOKUP(B15,'核实被函证单位信息L0-2'!A:AL,19,0)</f>
        <v>#N/A</v>
      </c>
      <c r="R15" s="238" t="e">
        <f>VLOOKUP(B15,'核实被函证单位信息L0-2'!A:AL,22,0)</f>
        <v>#N/A</v>
      </c>
      <c r="S15" s="252"/>
      <c r="T15" s="253" t="str">
        <f t="shared" si="0"/>
        <v>未回函</v>
      </c>
      <c r="U15" s="252"/>
      <c r="V15" s="237"/>
      <c r="W15" s="255"/>
      <c r="X15" s="239"/>
      <c r="Y15" s="263"/>
      <c r="Z15" s="264"/>
      <c r="AA15" s="198"/>
      <c r="AB15" s="199"/>
    </row>
    <row r="16" spans="1:33" s="194" customFormat="1" ht="19.95" customHeight="1" x14ac:dyDescent="0.25">
      <c r="A16" s="198">
        <v>9</v>
      </c>
      <c r="B16" s="199"/>
      <c r="C16" s="199"/>
      <c r="D16" s="200" t="e">
        <f>VLOOKUP(B16,'核实被函证单位信息L0-2'!A:AL,2,0)</f>
        <v>#N/A</v>
      </c>
      <c r="E16" s="204"/>
      <c r="F16" s="202"/>
      <c r="G16" s="200" t="e">
        <f>VLOOKUP(B16,'核实被函证单位信息L0-2'!A:AL,3,0)</f>
        <v>#N/A</v>
      </c>
      <c r="H16" s="203"/>
      <c r="I16" s="237"/>
      <c r="J16" s="200" t="e">
        <f>VLOOKUP(B16,'核实被函证单位信息L0-2'!A:AL,4,0)</f>
        <v>#N/A</v>
      </c>
      <c r="K16" s="238" t="e">
        <f>VLOOKUP(B16,'核实被函证单位信息L0-2'!A:AL,10,0)</f>
        <v>#N/A</v>
      </c>
      <c r="L16" s="239"/>
      <c r="M16" s="238" t="e">
        <f>VLOOKUP(B16,'核实被函证单位信息L0-2'!A:AL,16,0)</f>
        <v>#N/A</v>
      </c>
      <c r="N16" s="239"/>
      <c r="O16" s="203"/>
      <c r="P16" s="198"/>
      <c r="Q16" s="200" t="e">
        <f>VLOOKUP(B16,'核实被函证单位信息L0-2'!A:AL,19,0)</f>
        <v>#N/A</v>
      </c>
      <c r="R16" s="238" t="e">
        <f>VLOOKUP(B16,'核实被函证单位信息L0-2'!A:AL,22,0)</f>
        <v>#N/A</v>
      </c>
      <c r="S16" s="252"/>
      <c r="T16" s="253" t="str">
        <f t="shared" si="0"/>
        <v>未回函</v>
      </c>
      <c r="U16" s="252"/>
      <c r="V16" s="237"/>
      <c r="W16" s="255"/>
      <c r="X16" s="239"/>
      <c r="Y16" s="263"/>
      <c r="Z16" s="264"/>
      <c r="AA16" s="198"/>
      <c r="AB16" s="199"/>
    </row>
    <row r="17" spans="1:28" s="194" customFormat="1" ht="19.95" customHeight="1" x14ac:dyDescent="0.25">
      <c r="A17" s="198">
        <v>10</v>
      </c>
      <c r="B17" s="199"/>
      <c r="C17" s="199"/>
      <c r="D17" s="200" t="e">
        <f>VLOOKUP(B17,'核实被函证单位信息L0-2'!A:AL,2,0)</f>
        <v>#N/A</v>
      </c>
      <c r="E17" s="204"/>
      <c r="F17" s="202"/>
      <c r="G17" s="200" t="e">
        <f>VLOOKUP(B17,'核实被函证单位信息L0-2'!A:AL,3,0)</f>
        <v>#N/A</v>
      </c>
      <c r="H17" s="203"/>
      <c r="I17" s="237"/>
      <c r="J17" s="200" t="e">
        <f>VLOOKUP(B17,'核实被函证单位信息L0-2'!A:AL,4,0)</f>
        <v>#N/A</v>
      </c>
      <c r="K17" s="238" t="e">
        <f>VLOOKUP(B17,'核实被函证单位信息L0-2'!A:AL,10,0)</f>
        <v>#N/A</v>
      </c>
      <c r="L17" s="239"/>
      <c r="M17" s="238" t="e">
        <f>VLOOKUP(B17,'核实被函证单位信息L0-2'!A:AL,16,0)</f>
        <v>#N/A</v>
      </c>
      <c r="N17" s="239"/>
      <c r="O17" s="203"/>
      <c r="P17" s="198"/>
      <c r="Q17" s="200" t="e">
        <f>VLOOKUP(B17,'核实被函证单位信息L0-2'!A:AL,19,0)</f>
        <v>#N/A</v>
      </c>
      <c r="R17" s="238" t="e">
        <f>VLOOKUP(B17,'核实被函证单位信息L0-2'!A:AL,22,0)</f>
        <v>#N/A</v>
      </c>
      <c r="S17" s="252"/>
      <c r="T17" s="253" t="str">
        <f t="shared" si="0"/>
        <v>未回函</v>
      </c>
      <c r="U17" s="252"/>
      <c r="V17" s="237"/>
      <c r="W17" s="255"/>
      <c r="X17" s="239"/>
      <c r="Y17" s="263"/>
      <c r="Z17" s="264"/>
      <c r="AA17" s="198"/>
      <c r="AB17" s="199"/>
    </row>
    <row r="18" spans="1:28" s="194" customFormat="1" ht="19.95" customHeight="1" x14ac:dyDescent="0.25">
      <c r="A18" s="198">
        <v>11</v>
      </c>
      <c r="B18" s="199"/>
      <c r="C18" s="199"/>
      <c r="D18" s="200" t="e">
        <f>VLOOKUP(B18,'核实被函证单位信息L0-2'!A:AL,2,0)</f>
        <v>#N/A</v>
      </c>
      <c r="E18" s="204"/>
      <c r="F18" s="202"/>
      <c r="G18" s="200" t="e">
        <f>VLOOKUP(B18,'核实被函证单位信息L0-2'!A:AL,3,0)</f>
        <v>#N/A</v>
      </c>
      <c r="H18" s="203"/>
      <c r="I18" s="237"/>
      <c r="J18" s="200" t="e">
        <f>VLOOKUP(B18,'核实被函证单位信息L0-2'!A:AL,4,0)</f>
        <v>#N/A</v>
      </c>
      <c r="K18" s="238" t="e">
        <f>VLOOKUP(B18,'核实被函证单位信息L0-2'!A:AL,10,0)</f>
        <v>#N/A</v>
      </c>
      <c r="L18" s="239"/>
      <c r="M18" s="238" t="e">
        <f>VLOOKUP(B18,'核实被函证单位信息L0-2'!A:AL,16,0)</f>
        <v>#N/A</v>
      </c>
      <c r="N18" s="239"/>
      <c r="O18" s="203"/>
      <c r="P18" s="198"/>
      <c r="Q18" s="200" t="e">
        <f>VLOOKUP(B18,'核实被函证单位信息L0-2'!A:AL,19,0)</f>
        <v>#N/A</v>
      </c>
      <c r="R18" s="238" t="e">
        <f>VLOOKUP(B18,'核实被函证单位信息L0-2'!A:AL,22,0)</f>
        <v>#N/A</v>
      </c>
      <c r="S18" s="252"/>
      <c r="T18" s="253" t="str">
        <f t="shared" si="0"/>
        <v>未回函</v>
      </c>
      <c r="U18" s="252"/>
      <c r="V18" s="237"/>
      <c r="W18" s="255"/>
      <c r="X18" s="239"/>
      <c r="Y18" s="263"/>
      <c r="Z18" s="264"/>
      <c r="AA18" s="198"/>
      <c r="AB18" s="199"/>
    </row>
    <row r="19" spans="1:28" s="194" customFormat="1" ht="19.95" customHeight="1" x14ac:dyDescent="0.25">
      <c r="A19" s="198">
        <v>12</v>
      </c>
      <c r="B19" s="199"/>
      <c r="C19" s="199"/>
      <c r="D19" s="200" t="e">
        <f>VLOOKUP(B19,'核实被函证单位信息L0-2'!A:AL,2,0)</f>
        <v>#N/A</v>
      </c>
      <c r="E19" s="204"/>
      <c r="F19" s="202"/>
      <c r="G19" s="200" t="e">
        <f>VLOOKUP(B19,'核实被函证单位信息L0-2'!A:AL,3,0)</f>
        <v>#N/A</v>
      </c>
      <c r="H19" s="203"/>
      <c r="I19" s="237"/>
      <c r="J19" s="200" t="e">
        <f>VLOOKUP(B19,'核实被函证单位信息L0-2'!A:AL,4,0)</f>
        <v>#N/A</v>
      </c>
      <c r="K19" s="238" t="e">
        <f>VLOOKUP(B19,'核实被函证单位信息L0-2'!A:AL,10,0)</f>
        <v>#N/A</v>
      </c>
      <c r="L19" s="239"/>
      <c r="M19" s="238" t="e">
        <f>VLOOKUP(B19,'核实被函证单位信息L0-2'!A:AL,16,0)</f>
        <v>#N/A</v>
      </c>
      <c r="N19" s="239"/>
      <c r="O19" s="203"/>
      <c r="P19" s="198"/>
      <c r="Q19" s="200" t="e">
        <f>VLOOKUP(B19,'核实被函证单位信息L0-2'!A:AL,19,0)</f>
        <v>#N/A</v>
      </c>
      <c r="R19" s="238" t="e">
        <f>VLOOKUP(B19,'核实被函证单位信息L0-2'!A:AL,22,0)</f>
        <v>#N/A</v>
      </c>
      <c r="S19" s="252"/>
      <c r="T19" s="253" t="str">
        <f t="shared" si="0"/>
        <v>未回函</v>
      </c>
      <c r="U19" s="252"/>
      <c r="V19" s="237"/>
      <c r="W19" s="255"/>
      <c r="X19" s="239"/>
      <c r="Y19" s="263"/>
      <c r="Z19" s="264"/>
      <c r="AA19" s="198"/>
      <c r="AB19" s="199"/>
    </row>
    <row r="20" spans="1:28" s="194" customFormat="1" ht="19.95" customHeight="1" x14ac:dyDescent="0.25">
      <c r="A20" s="198">
        <v>13</v>
      </c>
      <c r="B20" s="199"/>
      <c r="C20" s="199"/>
      <c r="D20" s="200" t="e">
        <f>VLOOKUP(B20,'核实被函证单位信息L0-2'!A:AL,2,0)</f>
        <v>#N/A</v>
      </c>
      <c r="E20" s="204"/>
      <c r="F20" s="202"/>
      <c r="G20" s="200" t="e">
        <f>VLOOKUP(B20,'核实被函证单位信息L0-2'!A:AL,3,0)</f>
        <v>#N/A</v>
      </c>
      <c r="H20" s="203"/>
      <c r="I20" s="237"/>
      <c r="J20" s="200" t="e">
        <f>VLOOKUP(B20,'核实被函证单位信息L0-2'!A:AL,4,0)</f>
        <v>#N/A</v>
      </c>
      <c r="K20" s="238" t="e">
        <f>VLOOKUP(B20,'核实被函证单位信息L0-2'!A:AL,10,0)</f>
        <v>#N/A</v>
      </c>
      <c r="L20" s="239"/>
      <c r="M20" s="238" t="e">
        <f>VLOOKUP(B20,'核实被函证单位信息L0-2'!A:AL,16,0)</f>
        <v>#N/A</v>
      </c>
      <c r="N20" s="239"/>
      <c r="O20" s="203"/>
      <c r="P20" s="198"/>
      <c r="Q20" s="200" t="e">
        <f>VLOOKUP(B20,'核实被函证单位信息L0-2'!A:AL,19,0)</f>
        <v>#N/A</v>
      </c>
      <c r="R20" s="238" t="e">
        <f>VLOOKUP(B20,'核实被函证单位信息L0-2'!A:AL,22,0)</f>
        <v>#N/A</v>
      </c>
      <c r="S20" s="252"/>
      <c r="T20" s="253" t="str">
        <f t="shared" si="0"/>
        <v>未回函</v>
      </c>
      <c r="U20" s="252"/>
      <c r="V20" s="237"/>
      <c r="W20" s="255"/>
      <c r="X20" s="239"/>
      <c r="Y20" s="263"/>
      <c r="Z20" s="264"/>
      <c r="AA20" s="198"/>
      <c r="AB20" s="199"/>
    </row>
    <row r="21" spans="1:28" s="194" customFormat="1" ht="19.95" customHeight="1" x14ac:dyDescent="0.25">
      <c r="A21" s="198">
        <v>14</v>
      </c>
      <c r="B21" s="199"/>
      <c r="C21" s="199"/>
      <c r="D21" s="200" t="e">
        <f>VLOOKUP(B21,'核实被函证单位信息L0-2'!A:AL,2,0)</f>
        <v>#N/A</v>
      </c>
      <c r="E21" s="204"/>
      <c r="F21" s="202"/>
      <c r="G21" s="200" t="e">
        <f>VLOOKUP(B21,'核实被函证单位信息L0-2'!A:AL,3,0)</f>
        <v>#N/A</v>
      </c>
      <c r="H21" s="203"/>
      <c r="I21" s="237"/>
      <c r="J21" s="200" t="e">
        <f>VLOOKUP(B21,'核实被函证单位信息L0-2'!A:AL,4,0)</f>
        <v>#N/A</v>
      </c>
      <c r="K21" s="238" t="e">
        <f>VLOOKUP(B21,'核实被函证单位信息L0-2'!A:AL,10,0)</f>
        <v>#N/A</v>
      </c>
      <c r="L21" s="239"/>
      <c r="M21" s="238" t="e">
        <f>VLOOKUP(B21,'核实被函证单位信息L0-2'!A:AL,16,0)</f>
        <v>#N/A</v>
      </c>
      <c r="N21" s="239"/>
      <c r="O21" s="203"/>
      <c r="P21" s="198"/>
      <c r="Q21" s="200" t="e">
        <f>VLOOKUP(B21,'核实被函证单位信息L0-2'!A:AL,19,0)</f>
        <v>#N/A</v>
      </c>
      <c r="R21" s="238" t="e">
        <f>VLOOKUP(B21,'核实被函证单位信息L0-2'!A:AL,22,0)</f>
        <v>#N/A</v>
      </c>
      <c r="S21" s="252"/>
      <c r="T21" s="253" t="str">
        <f t="shared" si="0"/>
        <v>未回函</v>
      </c>
      <c r="U21" s="252"/>
      <c r="V21" s="237"/>
      <c r="W21" s="255"/>
      <c r="X21" s="239"/>
      <c r="Y21" s="263"/>
      <c r="Z21" s="264"/>
      <c r="AA21" s="198"/>
      <c r="AB21" s="199"/>
    </row>
    <row r="22" spans="1:28" s="194" customFormat="1" ht="19.95" customHeight="1" x14ac:dyDescent="0.25">
      <c r="A22" s="198">
        <v>15</v>
      </c>
      <c r="B22" s="199"/>
      <c r="C22" s="199"/>
      <c r="D22" s="200" t="e">
        <f>VLOOKUP(B22,'核实被函证单位信息L0-2'!A:AL,2,0)</f>
        <v>#N/A</v>
      </c>
      <c r="E22" s="204"/>
      <c r="F22" s="202"/>
      <c r="G22" s="200" t="e">
        <f>VLOOKUP(B22,'核实被函证单位信息L0-2'!A:AL,3,0)</f>
        <v>#N/A</v>
      </c>
      <c r="H22" s="203"/>
      <c r="I22" s="237"/>
      <c r="J22" s="200" t="e">
        <f>VLOOKUP(B22,'核实被函证单位信息L0-2'!A:AL,4,0)</f>
        <v>#N/A</v>
      </c>
      <c r="K22" s="238" t="e">
        <f>VLOOKUP(B22,'核实被函证单位信息L0-2'!A:AL,10,0)</f>
        <v>#N/A</v>
      </c>
      <c r="L22" s="239"/>
      <c r="M22" s="238" t="e">
        <f>VLOOKUP(B22,'核实被函证单位信息L0-2'!A:AL,16,0)</f>
        <v>#N/A</v>
      </c>
      <c r="N22" s="239"/>
      <c r="O22" s="203"/>
      <c r="P22" s="198"/>
      <c r="Q22" s="200" t="e">
        <f>VLOOKUP(B22,'核实被函证单位信息L0-2'!A:AL,19,0)</f>
        <v>#N/A</v>
      </c>
      <c r="R22" s="238" t="e">
        <f>VLOOKUP(B22,'核实被函证单位信息L0-2'!A:AL,22,0)</f>
        <v>#N/A</v>
      </c>
      <c r="S22" s="252"/>
      <c r="T22" s="253" t="str">
        <f t="shared" si="0"/>
        <v>未回函</v>
      </c>
      <c r="U22" s="252"/>
      <c r="V22" s="237"/>
      <c r="W22" s="255"/>
      <c r="X22" s="239"/>
      <c r="Y22" s="263"/>
      <c r="Z22" s="264"/>
      <c r="AA22" s="198"/>
      <c r="AB22" s="199"/>
    </row>
    <row r="23" spans="1:28" s="194" customFormat="1" ht="19.95" customHeight="1" x14ac:dyDescent="0.25">
      <c r="A23" s="198">
        <v>16</v>
      </c>
      <c r="B23" s="199"/>
      <c r="C23" s="199"/>
      <c r="D23" s="200" t="e">
        <f>VLOOKUP(B23,'核实被函证单位信息L0-2'!A:AL,2,0)</f>
        <v>#N/A</v>
      </c>
      <c r="E23" s="204"/>
      <c r="F23" s="202"/>
      <c r="G23" s="200" t="e">
        <f>VLOOKUP(B23,'核实被函证单位信息L0-2'!A:AL,3,0)</f>
        <v>#N/A</v>
      </c>
      <c r="H23" s="203"/>
      <c r="I23" s="237"/>
      <c r="J23" s="200" t="e">
        <f>VLOOKUP(B23,'核实被函证单位信息L0-2'!A:AL,4,0)</f>
        <v>#N/A</v>
      </c>
      <c r="K23" s="238" t="e">
        <f>VLOOKUP(B23,'核实被函证单位信息L0-2'!A:AL,10,0)</f>
        <v>#N/A</v>
      </c>
      <c r="L23" s="239"/>
      <c r="M23" s="238" t="e">
        <f>VLOOKUP(B23,'核实被函证单位信息L0-2'!A:AL,16,0)</f>
        <v>#N/A</v>
      </c>
      <c r="N23" s="239"/>
      <c r="O23" s="203"/>
      <c r="P23" s="198"/>
      <c r="Q23" s="200" t="e">
        <f>VLOOKUP(B23,'核实被函证单位信息L0-2'!A:AL,19,0)</f>
        <v>#N/A</v>
      </c>
      <c r="R23" s="238" t="e">
        <f>VLOOKUP(B23,'核实被函证单位信息L0-2'!A:AL,22,0)</f>
        <v>#N/A</v>
      </c>
      <c r="S23" s="252"/>
      <c r="T23" s="253" t="str">
        <f t="shared" si="0"/>
        <v>未回函</v>
      </c>
      <c r="U23" s="252"/>
      <c r="V23" s="237"/>
      <c r="W23" s="255"/>
      <c r="X23" s="239"/>
      <c r="Y23" s="263"/>
      <c r="Z23" s="264"/>
      <c r="AA23" s="198"/>
      <c r="AB23" s="199"/>
    </row>
    <row r="24" spans="1:28" s="194" customFormat="1" ht="19.95" customHeight="1" x14ac:dyDescent="0.25">
      <c r="A24" s="198">
        <v>17</v>
      </c>
      <c r="B24" s="199"/>
      <c r="C24" s="199"/>
      <c r="D24" s="200" t="e">
        <f>VLOOKUP(B24,'核实被函证单位信息L0-2'!A:AL,2,0)</f>
        <v>#N/A</v>
      </c>
      <c r="E24" s="204"/>
      <c r="F24" s="202"/>
      <c r="G24" s="200" t="e">
        <f>VLOOKUP(B24,'核实被函证单位信息L0-2'!A:AL,3,0)</f>
        <v>#N/A</v>
      </c>
      <c r="H24" s="203"/>
      <c r="I24" s="237"/>
      <c r="J24" s="200" t="e">
        <f>VLOOKUP(B24,'核实被函证单位信息L0-2'!A:AL,4,0)</f>
        <v>#N/A</v>
      </c>
      <c r="K24" s="238" t="e">
        <f>VLOOKUP(B24,'核实被函证单位信息L0-2'!A:AL,10,0)</f>
        <v>#N/A</v>
      </c>
      <c r="L24" s="239"/>
      <c r="M24" s="238" t="e">
        <f>VLOOKUP(B24,'核实被函证单位信息L0-2'!A:AL,16,0)</f>
        <v>#N/A</v>
      </c>
      <c r="N24" s="239"/>
      <c r="O24" s="203"/>
      <c r="P24" s="198"/>
      <c r="Q24" s="200" t="e">
        <f>VLOOKUP(B24,'核实被函证单位信息L0-2'!A:AL,19,0)</f>
        <v>#N/A</v>
      </c>
      <c r="R24" s="238" t="e">
        <f>VLOOKUP(B24,'核实被函证单位信息L0-2'!A:AL,22,0)</f>
        <v>#N/A</v>
      </c>
      <c r="S24" s="252"/>
      <c r="T24" s="253" t="str">
        <f t="shared" si="0"/>
        <v>未回函</v>
      </c>
      <c r="U24" s="252"/>
      <c r="V24" s="237"/>
      <c r="W24" s="255"/>
      <c r="X24" s="239"/>
      <c r="Y24" s="263"/>
      <c r="Z24" s="264"/>
      <c r="AA24" s="198"/>
      <c r="AB24" s="199"/>
    </row>
    <row r="25" spans="1:28" s="194" customFormat="1" ht="19.95" customHeight="1" x14ac:dyDescent="0.25">
      <c r="A25" s="198">
        <v>18</v>
      </c>
      <c r="B25" s="199"/>
      <c r="C25" s="199"/>
      <c r="D25" s="200" t="e">
        <f>VLOOKUP(B25,'核实被函证单位信息L0-2'!A:AL,2,0)</f>
        <v>#N/A</v>
      </c>
      <c r="E25" s="204"/>
      <c r="F25" s="202"/>
      <c r="G25" s="200" t="e">
        <f>VLOOKUP(B25,'核实被函证单位信息L0-2'!A:AL,3,0)</f>
        <v>#N/A</v>
      </c>
      <c r="H25" s="203"/>
      <c r="I25" s="237"/>
      <c r="J25" s="200" t="e">
        <f>VLOOKUP(B25,'核实被函证单位信息L0-2'!A:AL,4,0)</f>
        <v>#N/A</v>
      </c>
      <c r="K25" s="238" t="e">
        <f>VLOOKUP(B25,'核实被函证单位信息L0-2'!A:AL,10,0)</f>
        <v>#N/A</v>
      </c>
      <c r="L25" s="239"/>
      <c r="M25" s="238" t="e">
        <f>VLOOKUP(B25,'核实被函证单位信息L0-2'!A:AL,16,0)</f>
        <v>#N/A</v>
      </c>
      <c r="N25" s="239"/>
      <c r="O25" s="203"/>
      <c r="P25" s="198"/>
      <c r="Q25" s="200" t="e">
        <f>VLOOKUP(B25,'核实被函证单位信息L0-2'!A:AL,19,0)</f>
        <v>#N/A</v>
      </c>
      <c r="R25" s="238" t="e">
        <f>VLOOKUP(B25,'核实被函证单位信息L0-2'!A:AL,22,0)</f>
        <v>#N/A</v>
      </c>
      <c r="S25" s="252"/>
      <c r="T25" s="253" t="str">
        <f t="shared" si="0"/>
        <v>未回函</v>
      </c>
      <c r="U25" s="252"/>
      <c r="V25" s="237"/>
      <c r="W25" s="255"/>
      <c r="X25" s="239"/>
      <c r="Y25" s="263"/>
      <c r="Z25" s="264"/>
      <c r="AA25" s="198"/>
      <c r="AB25" s="199"/>
    </row>
    <row r="26" spans="1:28" s="194" customFormat="1" ht="19.95" customHeight="1" x14ac:dyDescent="0.25">
      <c r="A26" s="198">
        <v>19</v>
      </c>
      <c r="B26" s="199"/>
      <c r="C26" s="199"/>
      <c r="D26" s="200" t="e">
        <f>VLOOKUP(B26,'核实被函证单位信息L0-2'!A:AL,2,0)</f>
        <v>#N/A</v>
      </c>
      <c r="E26" s="204"/>
      <c r="F26" s="202"/>
      <c r="G26" s="200" t="e">
        <f>VLOOKUP(B26,'核实被函证单位信息L0-2'!A:AL,3,0)</f>
        <v>#N/A</v>
      </c>
      <c r="H26" s="203"/>
      <c r="I26" s="237"/>
      <c r="J26" s="200" t="e">
        <f>VLOOKUP(B26,'核实被函证单位信息L0-2'!A:AL,4,0)</f>
        <v>#N/A</v>
      </c>
      <c r="K26" s="238" t="e">
        <f>VLOOKUP(B26,'核实被函证单位信息L0-2'!A:AL,10,0)</f>
        <v>#N/A</v>
      </c>
      <c r="L26" s="239"/>
      <c r="M26" s="238" t="e">
        <f>VLOOKUP(B26,'核实被函证单位信息L0-2'!A:AL,16,0)</f>
        <v>#N/A</v>
      </c>
      <c r="N26" s="239"/>
      <c r="O26" s="203"/>
      <c r="P26" s="198"/>
      <c r="Q26" s="200" t="e">
        <f>VLOOKUP(B26,'核实被函证单位信息L0-2'!A:AL,19,0)</f>
        <v>#N/A</v>
      </c>
      <c r="R26" s="238" t="e">
        <f>VLOOKUP(B26,'核实被函证单位信息L0-2'!A:AL,22,0)</f>
        <v>#N/A</v>
      </c>
      <c r="S26" s="252"/>
      <c r="T26" s="253" t="str">
        <f t="shared" si="0"/>
        <v>未回函</v>
      </c>
      <c r="U26" s="252"/>
      <c r="V26" s="237"/>
      <c r="W26" s="255"/>
      <c r="X26" s="239"/>
      <c r="Y26" s="263"/>
      <c r="Z26" s="264"/>
      <c r="AA26" s="198"/>
      <c r="AB26" s="199"/>
    </row>
    <row r="27" spans="1:28" s="194" customFormat="1" ht="19.95" customHeight="1" x14ac:dyDescent="0.25">
      <c r="A27" s="198">
        <v>20</v>
      </c>
      <c r="B27" s="199"/>
      <c r="C27" s="199"/>
      <c r="D27" s="200" t="e">
        <f>VLOOKUP(B27,'核实被函证单位信息L0-2'!A:AL,2,0)</f>
        <v>#N/A</v>
      </c>
      <c r="E27" s="204"/>
      <c r="F27" s="202"/>
      <c r="G27" s="200" t="e">
        <f>VLOOKUP(B27,'核实被函证单位信息L0-2'!A:AL,3,0)</f>
        <v>#N/A</v>
      </c>
      <c r="H27" s="203"/>
      <c r="I27" s="237"/>
      <c r="J27" s="200" t="e">
        <f>VLOOKUP(B27,'核实被函证单位信息L0-2'!A:AL,4,0)</f>
        <v>#N/A</v>
      </c>
      <c r="K27" s="238" t="e">
        <f>VLOOKUP(B27,'核实被函证单位信息L0-2'!A:AL,10,0)</f>
        <v>#N/A</v>
      </c>
      <c r="L27" s="239"/>
      <c r="M27" s="238" t="e">
        <f>VLOOKUP(B27,'核实被函证单位信息L0-2'!A:AL,16,0)</f>
        <v>#N/A</v>
      </c>
      <c r="N27" s="239"/>
      <c r="O27" s="203"/>
      <c r="P27" s="198"/>
      <c r="Q27" s="200" t="e">
        <f>VLOOKUP(B27,'核实被函证单位信息L0-2'!A:AL,19,0)</f>
        <v>#N/A</v>
      </c>
      <c r="R27" s="238" t="e">
        <f>VLOOKUP(B27,'核实被函证单位信息L0-2'!A:AL,22,0)</f>
        <v>#N/A</v>
      </c>
      <c r="S27" s="252"/>
      <c r="T27" s="253" t="str">
        <f t="shared" si="0"/>
        <v>未回函</v>
      </c>
      <c r="U27" s="252"/>
      <c r="V27" s="237"/>
      <c r="W27" s="255"/>
      <c r="X27" s="239"/>
      <c r="Y27" s="263"/>
      <c r="Z27" s="264"/>
      <c r="AA27" s="198"/>
      <c r="AB27" s="199"/>
    </row>
    <row r="28" spans="1:28" s="194" customFormat="1" ht="19.95" customHeight="1" x14ac:dyDescent="0.25">
      <c r="A28" s="205"/>
      <c r="B28" s="205"/>
      <c r="C28" s="206" t="s">
        <v>90</v>
      </c>
      <c r="D28" s="207"/>
      <c r="E28" s="208"/>
      <c r="F28" s="208"/>
      <c r="G28" s="209"/>
      <c r="H28" s="210"/>
      <c r="I28" s="210"/>
      <c r="J28" s="240" t="s">
        <v>91</v>
      </c>
      <c r="K28" s="210"/>
      <c r="L28" s="218"/>
      <c r="M28" s="218"/>
      <c r="N28" s="218"/>
      <c r="O28" s="218"/>
      <c r="P28" s="218"/>
      <c r="Q28" s="218"/>
      <c r="R28" s="212"/>
      <c r="S28" s="256" t="s">
        <v>92</v>
      </c>
      <c r="T28" s="257"/>
      <c r="U28" s="257"/>
      <c r="V28" s="257"/>
      <c r="W28" s="257"/>
      <c r="X28" s="218"/>
      <c r="Y28" s="257"/>
      <c r="Z28" s="257"/>
      <c r="AA28" s="257"/>
      <c r="AB28" s="257"/>
    </row>
    <row r="29" spans="1:28" s="194" customFormat="1" ht="19.95" customHeight="1" x14ac:dyDescent="0.25">
      <c r="A29" s="205"/>
      <c r="B29" s="205"/>
      <c r="C29" s="365" t="s">
        <v>93</v>
      </c>
      <c r="D29" s="365"/>
      <c r="E29" s="211" t="s">
        <v>94</v>
      </c>
      <c r="F29" s="211" t="s">
        <v>95</v>
      </c>
      <c r="G29" s="212"/>
      <c r="H29" s="212"/>
      <c r="I29" s="241"/>
      <c r="J29" s="242" t="s">
        <v>96</v>
      </c>
      <c r="K29" s="243" t="s">
        <v>97</v>
      </c>
      <c r="L29" s="244"/>
      <c r="M29" s="245"/>
      <c r="N29" s="246"/>
      <c r="O29" s="246"/>
      <c r="P29" s="244"/>
      <c r="Q29" s="244"/>
      <c r="R29" s="245"/>
      <c r="S29" s="212" t="s">
        <v>98</v>
      </c>
      <c r="T29" s="212"/>
      <c r="U29" s="212"/>
      <c r="V29" s="212"/>
      <c r="W29" s="212" t="s">
        <v>99</v>
      </c>
      <c r="X29" s="212"/>
      <c r="Y29" s="212"/>
      <c r="Z29" s="99"/>
      <c r="AA29" s="212"/>
      <c r="AB29" s="212"/>
    </row>
    <row r="30" spans="1:28" s="194" customFormat="1" ht="19.95" customHeight="1" x14ac:dyDescent="0.25">
      <c r="A30" s="205"/>
      <c r="B30" s="205"/>
      <c r="C30" s="213" t="s">
        <v>100</v>
      </c>
      <c r="D30" s="213"/>
      <c r="E30" s="214"/>
      <c r="F30" s="214"/>
      <c r="G30" s="212"/>
      <c r="H30" s="212"/>
      <c r="I30" s="247"/>
      <c r="J30" s="242" t="s">
        <v>101</v>
      </c>
      <c r="K30" s="243" t="s">
        <v>102</v>
      </c>
      <c r="L30" s="244"/>
      <c r="M30" s="245"/>
      <c r="N30" s="246"/>
      <c r="O30" s="246"/>
      <c r="P30" s="244"/>
      <c r="Q30" s="244"/>
      <c r="R30" s="245"/>
      <c r="S30" s="99"/>
      <c r="T30" s="258"/>
      <c r="U30" s="258"/>
      <c r="V30" s="258"/>
      <c r="W30" s="259" t="s">
        <v>103</v>
      </c>
      <c r="X30" s="99"/>
      <c r="Y30" s="258"/>
      <c r="Z30" s="265"/>
      <c r="AA30" s="212"/>
      <c r="AB30" s="266"/>
    </row>
    <row r="31" spans="1:28" s="194" customFormat="1" ht="19.95" customHeight="1" x14ac:dyDescent="0.25">
      <c r="A31" s="205"/>
      <c r="B31" s="205"/>
      <c r="C31" s="213" t="s">
        <v>104</v>
      </c>
      <c r="D31" s="213"/>
      <c r="E31" s="215">
        <f>SUMIF(E8:E27,E29,F8:F27)</f>
        <v>0</v>
      </c>
      <c r="F31" s="215">
        <f>SUMIF(E8:E27,F29,F8:F27)</f>
        <v>0</v>
      </c>
      <c r="G31" s="212"/>
      <c r="H31" s="212"/>
      <c r="I31" s="247"/>
      <c r="J31" s="242" t="s">
        <v>105</v>
      </c>
      <c r="K31" s="243" t="s">
        <v>106</v>
      </c>
      <c r="L31" s="244"/>
      <c r="M31" s="245"/>
      <c r="N31" s="246"/>
      <c r="O31" s="246"/>
      <c r="P31" s="244"/>
      <c r="Q31" s="244"/>
      <c r="R31" s="245"/>
      <c r="S31" s="99"/>
      <c r="T31" s="258"/>
      <c r="U31" s="258"/>
      <c r="V31" s="258"/>
      <c r="W31" s="259" t="s">
        <v>107</v>
      </c>
      <c r="X31" s="99"/>
      <c r="Y31" s="258"/>
      <c r="Z31" s="265"/>
      <c r="AA31" s="212"/>
      <c r="AB31" s="266"/>
    </row>
    <row r="32" spans="1:28" s="194" customFormat="1" ht="19.95" customHeight="1" x14ac:dyDescent="0.25">
      <c r="A32" s="205"/>
      <c r="B32" s="205"/>
      <c r="C32" s="213" t="s">
        <v>108</v>
      </c>
      <c r="D32" s="213"/>
      <c r="E32" s="216">
        <f>IF(ISERROR(E31/E30),0,E31/E30)</f>
        <v>0</v>
      </c>
      <c r="F32" s="216">
        <f t="shared" ref="F32" si="1">IF(ISERROR(F31/F30),0,F31/F30)</f>
        <v>0</v>
      </c>
      <c r="G32" s="212"/>
      <c r="H32" s="212"/>
      <c r="I32" s="247"/>
      <c r="J32" s="242" t="s">
        <v>109</v>
      </c>
      <c r="K32" s="243" t="s">
        <v>110</v>
      </c>
      <c r="L32" s="243"/>
      <c r="M32" s="243"/>
      <c r="N32" s="246"/>
      <c r="O32" s="246"/>
      <c r="P32" s="244"/>
      <c r="Q32" s="244"/>
      <c r="R32" s="245"/>
      <c r="S32" s="99"/>
      <c r="T32" s="212"/>
      <c r="U32" s="212"/>
      <c r="V32" s="212"/>
      <c r="X32" s="99"/>
      <c r="Y32" s="258"/>
      <c r="Z32" s="265"/>
      <c r="AA32" s="212"/>
      <c r="AB32" s="266"/>
    </row>
    <row r="33" spans="1:28" s="194" customFormat="1" ht="19.95" customHeight="1" x14ac:dyDescent="0.25">
      <c r="A33" s="205"/>
      <c r="B33" s="205"/>
      <c r="C33" s="217" t="s">
        <v>111</v>
      </c>
      <c r="D33" s="213"/>
      <c r="E33" s="215">
        <f>SUMIF(E8:E27,E29,U8:U27)</f>
        <v>0</v>
      </c>
      <c r="F33" s="215">
        <f>SUMIF(E8:E27,F29,U8:U27)</f>
        <v>0</v>
      </c>
      <c r="G33" s="212"/>
      <c r="H33" s="212"/>
      <c r="I33" s="241"/>
      <c r="K33" s="243" t="s">
        <v>112</v>
      </c>
      <c r="M33" s="212"/>
      <c r="N33" s="246"/>
      <c r="O33" s="246"/>
      <c r="P33" s="244"/>
      <c r="Q33" s="245"/>
      <c r="R33" s="246"/>
      <c r="S33" s="212" t="s">
        <v>414</v>
      </c>
      <c r="T33" s="258"/>
      <c r="U33" s="258"/>
      <c r="V33" s="258"/>
      <c r="X33" s="99"/>
      <c r="Y33" s="212"/>
      <c r="Z33" s="265"/>
      <c r="AA33" s="212"/>
      <c r="AB33" s="212"/>
    </row>
    <row r="34" spans="1:28" s="194" customFormat="1" ht="19.95" customHeight="1" x14ac:dyDescent="0.25">
      <c r="A34" s="205"/>
      <c r="B34" s="205"/>
      <c r="C34" s="213" t="s">
        <v>113</v>
      </c>
      <c r="D34" s="213"/>
      <c r="E34" s="216">
        <f>IF(ISERROR(E33/E31),0,E33/E31)</f>
        <v>0</v>
      </c>
      <c r="F34" s="216">
        <f t="shared" ref="F34" si="2">IF(ISERROR(F33/F31),0,F33/F31)</f>
        <v>0</v>
      </c>
      <c r="G34" s="212"/>
      <c r="H34" s="212"/>
      <c r="I34" s="247"/>
      <c r="J34" s="242" t="s">
        <v>114</v>
      </c>
      <c r="K34" s="243" t="s">
        <v>115</v>
      </c>
      <c r="L34" s="248"/>
      <c r="M34" s="212"/>
      <c r="N34" s="212"/>
      <c r="O34" s="212"/>
      <c r="P34" s="212"/>
      <c r="Q34" s="212"/>
      <c r="R34" s="212"/>
      <c r="S34" s="212" t="s">
        <v>116</v>
      </c>
      <c r="T34" s="258"/>
      <c r="U34" s="258"/>
      <c r="V34" s="258"/>
      <c r="W34" s="258"/>
      <c r="X34" s="212"/>
      <c r="Y34" s="258"/>
      <c r="Z34" s="212"/>
      <c r="AA34" s="212"/>
      <c r="AB34" s="266"/>
    </row>
    <row r="35" spans="1:28" s="194" customFormat="1" ht="19.95" customHeight="1" x14ac:dyDescent="0.25">
      <c r="A35" s="205"/>
      <c r="B35" s="205"/>
      <c r="C35" s="213" t="s">
        <v>117</v>
      </c>
      <c r="D35" s="213"/>
      <c r="E35" s="216">
        <f>IF(ISERROR(E33/E30),0,E33/E30)</f>
        <v>0</v>
      </c>
      <c r="F35" s="216">
        <f>IF(ISERROR(F33/F30),0,F33/F30)</f>
        <v>0</v>
      </c>
      <c r="G35" s="212"/>
      <c r="H35" s="212"/>
      <c r="I35" s="247"/>
      <c r="J35" s="242" t="s">
        <v>118</v>
      </c>
      <c r="K35" s="243" t="s">
        <v>119</v>
      </c>
      <c r="L35" s="248"/>
      <c r="M35" s="212"/>
      <c r="N35" s="212"/>
      <c r="O35" s="212"/>
      <c r="P35" s="212"/>
      <c r="Q35" s="99"/>
      <c r="R35" s="212"/>
      <c r="S35" s="305" t="s">
        <v>378</v>
      </c>
      <c r="T35" s="49"/>
      <c r="U35" s="49"/>
      <c r="V35" s="49"/>
      <c r="X35" s="99"/>
      <c r="Y35" s="258"/>
      <c r="Z35" s="258"/>
      <c r="AA35" s="212"/>
      <c r="AB35" s="266"/>
    </row>
    <row r="36" spans="1:28" s="194" customFormat="1" ht="19.95" customHeight="1" x14ac:dyDescent="0.25">
      <c r="A36" s="205"/>
      <c r="B36" s="205"/>
      <c r="C36" s="217" t="s">
        <v>120</v>
      </c>
      <c r="D36" s="213"/>
      <c r="E36" s="215">
        <f>SUMIF(E8:E27,E29,Y8:Y27)</f>
        <v>0</v>
      </c>
      <c r="F36" s="215">
        <f>SUMIF(E8:E27,F29,Y8:Y27)</f>
        <v>0</v>
      </c>
      <c r="G36" s="212"/>
      <c r="H36" s="212"/>
      <c r="I36" s="247"/>
      <c r="J36" s="247"/>
      <c r="K36" s="243" t="s">
        <v>121</v>
      </c>
      <c r="L36" s="99"/>
      <c r="M36" s="212"/>
      <c r="N36" s="212"/>
      <c r="O36" s="212"/>
      <c r="P36" s="212"/>
      <c r="Q36" s="99"/>
      <c r="R36" s="212"/>
      <c r="S36" s="212" t="s">
        <v>122</v>
      </c>
      <c r="T36" s="212"/>
      <c r="U36" s="99"/>
      <c r="V36" s="258"/>
      <c r="W36" s="258"/>
      <c r="X36" s="99"/>
      <c r="Y36" s="258"/>
      <c r="Z36" s="258"/>
      <c r="AA36" s="212"/>
      <c r="AB36" s="266"/>
    </row>
    <row r="37" spans="1:28" s="99" customFormat="1" ht="19.95" customHeight="1" x14ac:dyDescent="0.25">
      <c r="A37" s="218"/>
      <c r="B37" s="218"/>
      <c r="C37" s="219" t="s">
        <v>123</v>
      </c>
      <c r="D37" s="220"/>
      <c r="E37" s="216" t="e">
        <f>(E36+E33)/E30</f>
        <v>#DIV/0!</v>
      </c>
      <c r="F37" s="216" t="e">
        <f t="shared" ref="F37" si="3">(F36+F33)/F30</f>
        <v>#DIV/0!</v>
      </c>
      <c r="G37" s="212"/>
      <c r="H37" s="212"/>
      <c r="I37" s="224"/>
      <c r="J37" s="224"/>
      <c r="L37" s="212"/>
      <c r="M37" s="212"/>
      <c r="N37" s="212"/>
      <c r="O37" s="212"/>
      <c r="P37" s="212"/>
      <c r="Q37" s="212"/>
      <c r="R37" s="212"/>
      <c r="S37" s="212"/>
      <c r="T37" s="212"/>
      <c r="V37" s="49"/>
      <c r="W37" s="49"/>
      <c r="X37" s="212"/>
      <c r="Y37" s="49"/>
      <c r="Z37" s="49"/>
      <c r="AA37" s="49"/>
      <c r="AB37" s="49"/>
    </row>
    <row r="38" spans="1:28" s="99" customFormat="1" ht="19.95" customHeight="1" x14ac:dyDescent="0.25">
      <c r="A38" s="218"/>
      <c r="B38" s="218"/>
      <c r="C38" s="218"/>
      <c r="D38" s="218"/>
      <c r="E38" s="221"/>
      <c r="F38" s="221"/>
      <c r="G38" s="212"/>
      <c r="H38" s="212"/>
      <c r="I38" s="224"/>
      <c r="J38" s="224"/>
      <c r="K38" s="224"/>
      <c r="L38" s="212"/>
      <c r="M38" s="212"/>
      <c r="N38" s="212"/>
      <c r="O38" s="212"/>
      <c r="P38" s="212"/>
      <c r="Q38" s="212"/>
      <c r="R38" s="212"/>
      <c r="T38" s="212"/>
      <c r="V38" s="49"/>
      <c r="W38" s="49"/>
      <c r="X38" s="212"/>
      <c r="Y38" s="49"/>
      <c r="Z38" s="49"/>
      <c r="AA38" s="49"/>
      <c r="AB38" s="49"/>
    </row>
    <row r="39" spans="1:28" s="99" customFormat="1" ht="19.95" customHeight="1" x14ac:dyDescent="0.25">
      <c r="A39" s="212"/>
      <c r="B39" s="212"/>
      <c r="C39" s="222" t="s">
        <v>124</v>
      </c>
      <c r="D39" s="212"/>
      <c r="E39" s="223"/>
      <c r="F39" s="223"/>
      <c r="G39" s="212"/>
      <c r="J39" s="49"/>
      <c r="K39" s="49"/>
      <c r="L39" s="212"/>
      <c r="M39" s="212"/>
      <c r="N39" s="212"/>
      <c r="O39" s="212"/>
      <c r="P39" s="212"/>
      <c r="Q39" s="212"/>
      <c r="R39" s="224"/>
      <c r="S39" s="49"/>
      <c r="T39" s="49"/>
      <c r="U39" s="49"/>
      <c r="V39" s="49"/>
      <c r="W39" s="49"/>
      <c r="X39" s="49"/>
      <c r="Y39" s="49"/>
      <c r="Z39" s="49"/>
      <c r="AA39" s="49"/>
      <c r="AB39" s="49"/>
    </row>
    <row r="40" spans="1:28" s="99" customFormat="1" ht="19.95" customHeight="1" x14ac:dyDescent="0.25">
      <c r="A40" s="224"/>
      <c r="B40" s="212"/>
      <c r="C40" s="224"/>
      <c r="D40" s="212"/>
      <c r="E40" s="223"/>
      <c r="F40" s="223"/>
      <c r="G40" s="212"/>
      <c r="H40" s="212"/>
      <c r="I40" s="212"/>
      <c r="J40" s="212"/>
      <c r="K40" s="212"/>
      <c r="L40" s="212"/>
      <c r="M40" s="212"/>
      <c r="N40" s="212"/>
      <c r="O40" s="212"/>
      <c r="P40" s="212"/>
      <c r="Q40" s="212"/>
      <c r="R40" s="49"/>
      <c r="S40" s="49"/>
      <c r="T40" s="49"/>
      <c r="U40" s="49"/>
      <c r="V40" s="49"/>
      <c r="W40" s="49"/>
      <c r="X40" s="49"/>
      <c r="Y40" s="49"/>
      <c r="Z40" s="49"/>
      <c r="AA40" s="49"/>
      <c r="AB40" s="49"/>
    </row>
    <row r="41" spans="1:28" s="99" customFormat="1" ht="19.95" customHeight="1" x14ac:dyDescent="0.25">
      <c r="A41" s="49"/>
      <c r="B41" s="49"/>
      <c r="C41" s="49"/>
      <c r="D41" s="49"/>
      <c r="E41" s="225"/>
      <c r="F41" s="225"/>
      <c r="G41" s="49"/>
      <c r="H41" s="49"/>
      <c r="I41" s="49"/>
      <c r="J41" s="49"/>
      <c r="K41" s="49"/>
      <c r="L41" s="49"/>
      <c r="M41" s="49"/>
      <c r="N41" s="49"/>
      <c r="O41" s="49"/>
      <c r="P41" s="49"/>
      <c r="Q41" s="49"/>
      <c r="R41" s="49"/>
      <c r="S41" s="49"/>
      <c r="T41" s="49"/>
      <c r="U41" s="49"/>
      <c r="V41" s="49"/>
      <c r="W41" s="49"/>
      <c r="X41" s="49"/>
      <c r="Y41" s="49"/>
      <c r="Z41" s="49"/>
      <c r="AA41" s="49"/>
      <c r="AB41" s="49"/>
    </row>
    <row r="42" spans="1:28" s="99" customFormat="1" ht="18" customHeight="1" x14ac:dyDescent="0.25">
      <c r="A42" s="226" t="s">
        <v>125</v>
      </c>
      <c r="B42" s="49"/>
      <c r="C42" s="49"/>
      <c r="D42" s="49"/>
      <c r="E42" s="225"/>
      <c r="F42" s="225"/>
      <c r="G42" s="49"/>
      <c r="H42" s="49"/>
      <c r="I42" s="49"/>
      <c r="J42" s="49"/>
      <c r="K42" s="49"/>
      <c r="L42" s="49"/>
      <c r="M42" s="49"/>
      <c r="N42" s="49"/>
      <c r="O42" s="49"/>
      <c r="P42" s="49"/>
      <c r="Q42" s="49"/>
      <c r="R42" s="49"/>
    </row>
    <row r="43" spans="1:28" s="99" customFormat="1" ht="19.5" customHeight="1" x14ac:dyDescent="0.25">
      <c r="A43" s="227"/>
      <c r="B43" s="102"/>
      <c r="C43" s="102"/>
      <c r="D43" s="102"/>
      <c r="E43" s="228"/>
      <c r="F43" s="228"/>
      <c r="G43" s="102"/>
      <c r="H43" s="102"/>
      <c r="I43" s="102"/>
      <c r="J43" s="102"/>
      <c r="K43" s="102"/>
      <c r="L43" s="102"/>
      <c r="M43" s="102"/>
      <c r="N43" s="102"/>
      <c r="O43" s="102"/>
      <c r="P43" s="102"/>
      <c r="Q43" s="102"/>
      <c r="R43" s="102"/>
    </row>
    <row r="44" spans="1:28" s="99" customFormat="1" ht="18" customHeight="1" x14ac:dyDescent="0.25">
      <c r="A44" s="229" t="s">
        <v>126</v>
      </c>
      <c r="B44" s="194"/>
      <c r="C44" s="194"/>
      <c r="E44" s="197"/>
      <c r="F44" s="197"/>
    </row>
    <row r="45" spans="1:28" s="99" customFormat="1" ht="18" customHeight="1" x14ac:dyDescent="0.25">
      <c r="A45" s="230" t="s">
        <v>127</v>
      </c>
      <c r="B45" s="231"/>
      <c r="C45" s="231"/>
      <c r="E45" s="197"/>
      <c r="F45" s="197"/>
    </row>
    <row r="46" spans="1:28" s="99" customFormat="1" ht="18" customHeight="1" x14ac:dyDescent="0.25">
      <c r="A46" s="232" t="s">
        <v>128</v>
      </c>
      <c r="B46" s="231"/>
      <c r="C46" s="231"/>
      <c r="E46" s="197"/>
      <c r="F46" s="197"/>
    </row>
    <row r="47" spans="1:28" s="99" customFormat="1" ht="18" customHeight="1" x14ac:dyDescent="0.25">
      <c r="A47" s="232" t="s">
        <v>129</v>
      </c>
      <c r="B47" s="231"/>
      <c r="C47" s="231"/>
      <c r="E47" s="197"/>
      <c r="F47" s="197"/>
    </row>
    <row r="48" spans="1:28" s="99" customFormat="1" ht="18" customHeight="1" x14ac:dyDescent="0.25">
      <c r="A48" s="232" t="s">
        <v>130</v>
      </c>
      <c r="B48" s="231"/>
      <c r="C48" s="231"/>
      <c r="E48" s="197"/>
      <c r="F48" s="197"/>
    </row>
    <row r="49" spans="1:6" s="99" customFormat="1" ht="18" customHeight="1" x14ac:dyDescent="0.25">
      <c r="A49" s="232" t="s">
        <v>131</v>
      </c>
      <c r="B49" s="231"/>
      <c r="C49" s="231"/>
      <c r="E49" s="197"/>
      <c r="F49" s="197"/>
    </row>
    <row r="50" spans="1:6" s="99" customFormat="1" ht="18" customHeight="1" x14ac:dyDescent="0.25">
      <c r="A50" s="232" t="s">
        <v>132</v>
      </c>
      <c r="B50" s="231"/>
      <c r="C50" s="231"/>
      <c r="E50" s="197"/>
      <c r="F50" s="197"/>
    </row>
    <row r="51" spans="1:6" s="99" customFormat="1" ht="18" customHeight="1" x14ac:dyDescent="0.25">
      <c r="A51" s="232" t="s">
        <v>133</v>
      </c>
      <c r="B51" s="231"/>
      <c r="C51" s="231"/>
      <c r="E51" s="197"/>
      <c r="F51" s="197"/>
    </row>
    <row r="52" spans="1:6" s="99" customFormat="1" ht="18" customHeight="1" x14ac:dyDescent="0.25">
      <c r="A52" s="232" t="s">
        <v>134</v>
      </c>
      <c r="B52" s="231"/>
      <c r="C52" s="231"/>
      <c r="E52" s="197"/>
      <c r="F52" s="197"/>
    </row>
    <row r="53" spans="1:6" s="99" customFormat="1" ht="18" customHeight="1" x14ac:dyDescent="0.25">
      <c r="A53" s="232" t="s">
        <v>135</v>
      </c>
      <c r="B53" s="231"/>
      <c r="C53" s="231"/>
      <c r="E53" s="197"/>
      <c r="F53" s="197"/>
    </row>
    <row r="54" spans="1:6" s="99" customFormat="1" ht="18" customHeight="1" x14ac:dyDescent="0.25">
      <c r="A54" s="233" t="s">
        <v>136</v>
      </c>
      <c r="B54" s="194"/>
      <c r="C54" s="194"/>
      <c r="E54" s="197"/>
      <c r="F54" s="197"/>
    </row>
    <row r="55" spans="1:6" s="99" customFormat="1" ht="18" customHeight="1" x14ac:dyDescent="0.25">
      <c r="A55" s="194"/>
      <c r="B55" s="234" t="s">
        <v>137</v>
      </c>
      <c r="C55" s="234"/>
      <c r="E55" s="197"/>
      <c r="F55" s="197"/>
    </row>
    <row r="56" spans="1:6" s="99" customFormat="1" ht="18" customHeight="1" x14ac:dyDescent="0.25">
      <c r="A56" s="194"/>
      <c r="B56" s="234" t="s">
        <v>138</v>
      </c>
      <c r="C56" s="234"/>
      <c r="E56" s="197"/>
      <c r="F56" s="197"/>
    </row>
    <row r="57" spans="1:6" s="195" customFormat="1" ht="18" customHeight="1" x14ac:dyDescent="0.25">
      <c r="A57" s="194"/>
      <c r="B57" s="234" t="s">
        <v>139</v>
      </c>
      <c r="C57" s="234"/>
      <c r="E57" s="235"/>
      <c r="F57" s="235"/>
    </row>
    <row r="58" spans="1:6" s="195" customFormat="1" ht="18" customHeight="1" x14ac:dyDescent="0.25">
      <c r="A58" s="194"/>
      <c r="B58" s="234" t="s">
        <v>140</v>
      </c>
      <c r="C58" s="234"/>
      <c r="E58" s="235"/>
      <c r="F58" s="235"/>
    </row>
    <row r="59" spans="1:6" s="195" customFormat="1" ht="18" customHeight="1" x14ac:dyDescent="0.25">
      <c r="A59" s="194"/>
      <c r="B59" s="234" t="s">
        <v>141</v>
      </c>
      <c r="C59" s="234"/>
      <c r="E59" s="235"/>
      <c r="F59" s="235"/>
    </row>
    <row r="60" spans="1:6" s="195" customFormat="1" ht="18" customHeight="1" x14ac:dyDescent="0.25">
      <c r="A60" s="194"/>
      <c r="B60" s="234" t="s">
        <v>142</v>
      </c>
      <c r="C60" s="234"/>
      <c r="E60" s="235"/>
      <c r="F60" s="235"/>
    </row>
    <row r="61" spans="1:6" s="195" customFormat="1" ht="18" customHeight="1" x14ac:dyDescent="0.25">
      <c r="A61" s="194"/>
      <c r="B61" s="234" t="s">
        <v>143</v>
      </c>
      <c r="C61" s="234"/>
      <c r="E61" s="235"/>
      <c r="F61" s="235"/>
    </row>
    <row r="62" spans="1:6" s="195" customFormat="1" ht="18" customHeight="1" x14ac:dyDescent="0.25">
      <c r="A62" s="194"/>
      <c r="B62" s="234" t="s">
        <v>144</v>
      </c>
      <c r="C62" s="234"/>
      <c r="E62" s="235"/>
      <c r="F62" s="235"/>
    </row>
    <row r="63" spans="1:6" s="99" customFormat="1" ht="13.8" x14ac:dyDescent="0.25">
      <c r="A63" s="233" t="s">
        <v>145</v>
      </c>
      <c r="B63" s="234"/>
      <c r="C63" s="234"/>
      <c r="E63" s="197"/>
      <c r="F63" s="197"/>
    </row>
    <row r="64" spans="1:6" x14ac:dyDescent="0.3">
      <c r="A64" s="236" t="s">
        <v>146</v>
      </c>
      <c r="B64" s="236"/>
      <c r="C64" s="236"/>
    </row>
    <row r="65" spans="1:3" x14ac:dyDescent="0.3">
      <c r="A65" s="267" t="s">
        <v>147</v>
      </c>
      <c r="B65" s="236"/>
      <c r="C65" s="236"/>
    </row>
    <row r="66" spans="1:3" x14ac:dyDescent="0.3">
      <c r="A66" s="268" t="s">
        <v>148</v>
      </c>
      <c r="B66" s="236" t="s">
        <v>149</v>
      </c>
      <c r="C66" s="236"/>
    </row>
    <row r="67" spans="1:3" x14ac:dyDescent="0.3">
      <c r="A67" s="268" t="s">
        <v>150</v>
      </c>
      <c r="B67" s="236" t="s">
        <v>151</v>
      </c>
      <c r="C67" s="236"/>
    </row>
    <row r="68" spans="1:3" x14ac:dyDescent="0.3">
      <c r="A68" s="268" t="s">
        <v>152</v>
      </c>
      <c r="B68" s="236" t="s">
        <v>153</v>
      </c>
      <c r="C68" s="236"/>
    </row>
    <row r="69" spans="1:3" x14ac:dyDescent="0.25">
      <c r="A69" s="269" t="s">
        <v>154</v>
      </c>
    </row>
  </sheetData>
  <mergeCells count="38">
    <mergeCell ref="A1:R1"/>
    <mergeCell ref="S1:AB1"/>
    <mergeCell ref="A2:R2"/>
    <mergeCell ref="S2:AB2"/>
    <mergeCell ref="C5:F5"/>
    <mergeCell ref="G5:K5"/>
    <mergeCell ref="L5:R5"/>
    <mergeCell ref="S5:W5"/>
    <mergeCell ref="X5:AA5"/>
    <mergeCell ref="C29:D29"/>
    <mergeCell ref="A5:A7"/>
    <mergeCell ref="B5:B7"/>
    <mergeCell ref="C6:C7"/>
    <mergeCell ref="D6:D7"/>
    <mergeCell ref="E6:E7"/>
    <mergeCell ref="F6:F7"/>
    <mergeCell ref="G6:G7"/>
    <mergeCell ref="H6:H7"/>
    <mergeCell ref="I6:I7"/>
    <mergeCell ref="J6:J7"/>
    <mergeCell ref="K6:K7"/>
    <mergeCell ref="L6:L7"/>
    <mergeCell ref="M6:M7"/>
    <mergeCell ref="N6:N7"/>
    <mergeCell ref="O6:O7"/>
    <mergeCell ref="P6:P7"/>
    <mergeCell ref="Q6:Q7"/>
    <mergeCell ref="R6:R7"/>
    <mergeCell ref="S6:S7"/>
    <mergeCell ref="Y6:Y7"/>
    <mergeCell ref="Z6:Z7"/>
    <mergeCell ref="AA6:AA7"/>
    <mergeCell ref="AB5:AB7"/>
    <mergeCell ref="T6:T7"/>
    <mergeCell ref="U6:U7"/>
    <mergeCell ref="V6:V7"/>
    <mergeCell ref="W6:W7"/>
    <mergeCell ref="X6:X7"/>
  </mergeCells>
  <phoneticPr fontId="79" type="noConversion"/>
  <dataValidations count="5">
    <dataValidation type="list" allowBlank="1" showInputMessage="1" showErrorMessage="1" sqref="Q33">
      <formula1>#REF!</formula1>
    </dataValidation>
    <dataValidation type="list" allowBlank="1" showInputMessage="1" showErrorMessage="1" sqref="C8:C27 JF8:JF27 TB8:TB27 ACX8:ACX27 AMT8:AMT27 AWP8:AWP27 BGL8:BGL27 BQH8:BQH27 CAD8:CAD27 CJZ8:CJZ27 CTV8:CTV27 DDR8:DDR27 DNN8:DNN27 DXJ8:DXJ27 EHF8:EHF27 ERB8:ERB27 FAX8:FAX27 FKT8:FKT27 FUP8:FUP27 GEL8:GEL27 GOH8:GOH27 GYD8:GYD27 HHZ8:HHZ27 HRV8:HRV27 IBR8:IBR27 ILN8:ILN27 IVJ8:IVJ27 JFF8:JFF27 JPB8:JPB27 JYX8:JYX27 KIT8:KIT27 KSP8:KSP27 LCL8:LCL27 LMH8:LMH27 LWD8:LWD27 MFZ8:MFZ27 MPV8:MPV27 MZR8:MZR27 NJN8:NJN27 NTJ8:NTJ27 ODF8:ODF27 ONB8:ONB27 OWX8:OWX27 PGT8:PGT27 PQP8:PQP27 QAL8:QAL27 QKH8:QKH27 QUD8:QUD27 RDZ8:RDZ27 RNV8:RNV27 RXR8:RXR27 SHN8:SHN27 SRJ8:SRJ27 TBF8:TBF27 TLB8:TLB27 TUX8:TUX27 UET8:UET27 UOP8:UOP27 UYL8:UYL27 VIH8:VIH27 VSD8:VSD27 WBZ8:WBZ27 WLV8:WLV27 WVR8:WVR27">
      <formula1>"A. 大额,B.异常,C.余额为0,D.账龄长,E.随机"</formula1>
    </dataValidation>
    <dataValidation type="list" allowBlank="1" showInputMessage="1" showErrorMessage="1" sqref="L8:L27 N8:N27 X8:X27 JI8:JI27 JM8:JM27 JV8:JV27 TE8:TE27 TI8:TI27 TR8:TR27 ADA8:ADA27 ADE8:ADE27 ADN8:ADN27 AMW8:AMW27 ANA8:ANA27 ANJ8:ANJ27 AWS8:AWS27 AWW8:AWW27 AXF8:AXF27 BGO8:BGO27 BGS8:BGS27 BHB8:BHB27 BQK8:BQK27 BQO8:BQO27 BQX8:BQX27 CAG8:CAG27 CAK8:CAK27 CAT8:CAT27 CKC8:CKC27 CKG8:CKG27 CKP8:CKP27 CTY8:CTY27 CUC8:CUC27 CUL8:CUL27 DDU8:DDU27 DDY8:DDY27 DEH8:DEH27 DNQ8:DNQ27 DNU8:DNU27 DOD8:DOD27 DXM8:DXM27 DXQ8:DXQ27 DXZ8:DXZ27 EHI8:EHI27 EHM8:EHM27 EHV8:EHV27 ERE8:ERE27 ERI8:ERI27 ERR8:ERR27 FBA8:FBA27 FBE8:FBE27 FBN8:FBN27 FKW8:FKW27 FLA8:FLA27 FLJ8:FLJ27 FUS8:FUS27 FUW8:FUW27 FVF8:FVF27 GEO8:GEO27 GES8:GES27 GFB8:GFB27 GOK8:GOK27 GOO8:GOO27 GOX8:GOX27 GYG8:GYG27 GYK8:GYK27 GYT8:GYT27 HIC8:HIC27 HIG8:HIG27 HIP8:HIP27 HRY8:HRY27 HSC8:HSC27 HSL8:HSL27 IBU8:IBU27 IBY8:IBY27 ICH8:ICH27 ILQ8:ILQ27 ILU8:ILU27 IMD8:IMD27 IVM8:IVM27 IVQ8:IVQ27 IVZ8:IVZ27 JFI8:JFI27 JFM8:JFM27 JFV8:JFV27 JPE8:JPE27 JPI8:JPI27 JPR8:JPR27 JZA8:JZA27 JZE8:JZE27 JZN8:JZN27 KIW8:KIW27 KJA8:KJA27 KJJ8:KJJ27 KSS8:KSS27 KSW8:KSW27 KTF8:KTF27 LCO8:LCO27 LCS8:LCS27 LDB8:LDB27 LMK8:LMK27 LMO8:LMO27 LMX8:LMX27 LWG8:LWG27 LWK8:LWK27 LWT8:LWT27 MGC8:MGC27 MGG8:MGG27 MGP8:MGP27 MPY8:MPY27 MQC8:MQC27 MQL8:MQL27 MZU8:MZU27 MZY8:MZY27 NAH8:NAH27 NJQ8:NJQ27 NJU8:NJU27 NKD8:NKD27 NTM8:NTM27 NTQ8:NTQ27 NTZ8:NTZ27 ODI8:ODI27 ODM8:ODM27 ODV8:ODV27 ONE8:ONE27 ONI8:ONI27 ONR8:ONR27 OXA8:OXA27 OXE8:OXE27 OXN8:OXN27 PGW8:PGW27 PHA8:PHA27 PHJ8:PHJ27 PQS8:PQS27 PQW8:PQW27 PRF8:PRF27 QAO8:QAO27 QAS8:QAS27 QBB8:QBB27 QKK8:QKK27 QKO8:QKO27 QKX8:QKX27 QUG8:QUG27 QUK8:QUK27 QUT8:QUT27 REC8:REC27 REG8:REG27 REP8:REP27 RNY8:RNY27 ROC8:ROC27 ROL8:ROL27 RXU8:RXU27 RXY8:RXY27 RYH8:RYH27 SHQ8:SHQ27 SHU8:SHU27 SID8:SID27 SRM8:SRM27 SRQ8:SRQ27 SRZ8:SRZ27 TBI8:TBI27 TBM8:TBM27 TBV8:TBV27 TLE8:TLE27 TLI8:TLI27 TLR8:TLR27 TVA8:TVA27 TVE8:TVE27 TVN8:TVN27 UEW8:UEW27 UFA8:UFA27 UFJ8:UFJ27 UOS8:UOS27 UOW8:UOW27 UPF8:UPF27 UYO8:UYO27 UYS8:UYS27 UZB8:UZB27 VIK8:VIK27 VIO8:VIO27 VIX8:VIX27 VSG8:VSG27 VSK8:VSK27 VST8:VST27 WCC8:WCC27 WCG8:WCG27 WCP8:WCP27 WLY8:WLY27 WMC8:WMC27 WML8:WML27 WVU8:WVU27 WVY8:WVY27 WWH8:WWH27">
      <formula1>"√,×"</formula1>
    </dataValidation>
    <dataValidation type="list" allowBlank="1" showInputMessage="1" showErrorMessage="1" sqref="JK8:JL27 TG8:TH27 ADC8:ADD27 AMY8:AMZ27 AWU8:AWV27 BGQ8:BGR27 BQM8:BQN27 CAI8:CAJ27 CKE8:CKF27 CUA8:CUB27 DDW8:DDX27 DNS8:DNT27 DXO8:DXP27 EHK8:EHL27 ERG8:ERH27 FBC8:FBD27 FKY8:FKZ27 FUU8:FUV27 GEQ8:GER27 GOM8:GON27 GYI8:GYJ27 HIE8:HIF27 HSA8:HSB27 IBW8:IBX27 ILS8:ILT27 IVO8:IVP27 JFK8:JFL27 JPG8:JPH27 JZC8:JZD27 KIY8:KIZ27 KSU8:KSV27 LCQ8:LCR27 LMM8:LMN27 LWI8:LWJ27 MGE8:MGF27 MQA8:MQB27 MZW8:MZX27 NJS8:NJT27 NTO8:NTP27 ODK8:ODL27 ONG8:ONH27 OXC8:OXD27 PGY8:PGZ27 PQU8:PQV27 QAQ8:QAR27 QKM8:QKN27 QUI8:QUJ27 REE8:REF27 ROA8:ROB27 RXW8:RXX27 SHS8:SHT27 SRO8:SRP27 TBK8:TBL27 TLG8:TLH27 TVC8:TVD27 UEY8:UEZ27 UOU8:UOV27 UYQ8:UYR27 VIM8:VIN27 VSI8:VSJ27 WCE8:WCF27 WMA8:WMB27 WVW8:WVX27">
      <formula1>"跟函,邮寄,电邮,其他"</formula1>
    </dataValidation>
    <dataValidation type="list" allowBlank="1" showInputMessage="1" showErrorMessage="1" sqref="JN8:JP27 ANB8:AND27 BQP8:BQR27 CUD8:CUF27 DXR8:DXT27 FBF8:FBH27 GET8:GEV27 HIH8:HIJ27 ILV8:ILX27 JPJ8:JPL27 KSX8:KSZ27 LWL8:LWN27 MZZ8:NAB27 ODN8:ODP27 PHB8:PHD27 QKP8:QKR27 ROD8:ROF27 SRR8:SRT27 TVF8:TVH27 UYT8:UYV27 WCH8:WCJ27 TJ8:TL27 AWX8:AWZ27 CAL8:CAN27 DDZ8:DEB27 EHN8:EHP27 FLB8:FLD27 GOP8:GOR27 HSD8:HSF27 IVR8:IVT27 JZF8:JZH27 LCT8:LCV27 MGH8:MGJ27 NJV8:NJX27 ONJ8:ONL27 PQX8:PQZ27 QUL8:QUN27 RXZ8:RYB27 TBN8:TBP27 UFB8:UFD27 VIP8:VIR27 WMD8:WMF27 ADF8:ADH27 BGT8:BGV27 CKH8:CKJ27 DNV8:DNX27 ERJ8:ERL27 FUX8:FUZ27 GYL8:GYN27 IBZ8:ICB27 JFN8:JFP27 KJB8:KJD27 LMP8:LMR27 MQD8:MQF27 NTR8:NTT27 OXF8:OXH27 QAT8:QAV27 REH8:REJ27 SHV8:SHX27 TLJ8:TLL27 UOX8:UOZ27 VSL8:VSN27 WVZ8:WWB27">
      <formula1>"纸质原件,传真件,电子邮件,其他介质"</formula1>
    </dataValidation>
  </dataValidations>
  <hyperlinks>
    <hyperlink ref="R3" location="底稿目录!A1" display="=底稿目录!F5"/>
    <hyperlink ref="AB3" location="底稿目录!A1" display="=底稿目录!F5"/>
  </hyperlinks>
  <printOptions horizontalCentered="1"/>
  <pageMargins left="0.59055118110236204" right="0.43307086614173201" top="0.55118110236220497" bottom="0.511811023622047" header="0.31496062992126" footer="0.31496062992126"/>
  <pageSetup paperSize="9" scale="56" fitToHeight="5" orientation="landscape" blackAndWhite="1" cellComments="atEnd" r:id="rId1"/>
  <headerFooter>
    <oddFooter>&amp;C&amp;P/&amp;N</oddFooter>
  </headerFooter>
  <colBreaks count="1" manualBreakCount="1">
    <brk id="18" max="40" man="1"/>
  </col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AN40"/>
  <sheetViews>
    <sheetView view="pageBreakPreview" zoomScale="85" zoomScaleNormal="100" workbookViewId="0">
      <pane xSplit="2" ySplit="6" topLeftCell="C7" activePane="bottomRight" state="frozen"/>
      <selection pane="topRight"/>
      <selection pane="bottomLeft"/>
      <selection pane="bottomRight" sqref="A1:N1"/>
    </sheetView>
  </sheetViews>
  <sheetFormatPr defaultColWidth="10" defaultRowHeight="13.8" x14ac:dyDescent="0.25"/>
  <cols>
    <col min="1" max="1" width="8.5546875" style="154" customWidth="1"/>
    <col min="2" max="2" width="24.6640625" style="154" customWidth="1"/>
    <col min="3" max="3" width="10.6640625" style="154" customWidth="1"/>
    <col min="4" max="4" width="24.77734375" style="154" customWidth="1"/>
    <col min="5" max="5" width="10.6640625" style="154" customWidth="1"/>
    <col min="6" max="6" width="10" style="154"/>
    <col min="7" max="7" width="12.77734375" style="154" customWidth="1"/>
    <col min="8" max="8" width="15.44140625" style="154" customWidth="1"/>
    <col min="9" max="9" width="21.5546875" style="154" customWidth="1"/>
    <col min="10" max="10" width="9.88671875" style="154" customWidth="1"/>
    <col min="11" max="11" width="16.44140625" style="154" customWidth="1"/>
    <col min="12" max="12" width="13.44140625" style="154" customWidth="1"/>
    <col min="13" max="13" width="11.6640625" style="154" customWidth="1"/>
    <col min="14" max="14" width="8.77734375" style="154" customWidth="1"/>
    <col min="15" max="15" width="12.77734375" style="154" customWidth="1"/>
    <col min="16" max="16" width="11.6640625" style="154" customWidth="1"/>
    <col min="17" max="17" width="6.77734375" style="154" customWidth="1"/>
    <col min="18" max="18" width="7.5546875" style="154" customWidth="1"/>
    <col min="19" max="19" width="20.77734375" style="154" customWidth="1"/>
    <col min="20" max="20" width="11.6640625" style="154" customWidth="1"/>
    <col min="21" max="21" width="13.44140625" style="154" customWidth="1"/>
    <col min="22" max="22" width="9.88671875" style="154" customWidth="1"/>
    <col min="23" max="23" width="10.33203125" style="154" customWidth="1"/>
    <col min="24" max="24" width="11.21875" style="154" customWidth="1"/>
    <col min="25" max="25" width="16.5546875" style="154" customWidth="1"/>
    <col min="26" max="26" width="10.6640625" style="154" customWidth="1"/>
    <col min="27" max="27" width="10.88671875" style="154" customWidth="1"/>
    <col min="28" max="28" width="10" style="154" customWidth="1"/>
    <col min="29" max="29" width="13.44140625" style="154" customWidth="1"/>
    <col min="30" max="30" width="10.109375" style="155" customWidth="1"/>
    <col min="31" max="31" width="12.21875" style="154" customWidth="1"/>
    <col min="32" max="32" width="34.88671875" style="154" customWidth="1"/>
    <col min="33" max="33" width="12.77734375" style="154" customWidth="1"/>
    <col min="34" max="34" width="10" style="154"/>
    <col min="35" max="35" width="16.44140625" style="154" customWidth="1"/>
    <col min="36" max="37" width="10" style="154"/>
    <col min="38" max="38" width="10.33203125" style="154" customWidth="1"/>
    <col min="39" max="16384" width="10" style="154"/>
  </cols>
  <sheetData>
    <row r="1" spans="1:40" s="97" customFormat="1" ht="19.95" customHeight="1" x14ac:dyDescent="0.25">
      <c r="A1" s="387" t="s">
        <v>20</v>
      </c>
      <c r="B1" s="387"/>
      <c r="C1" s="387"/>
      <c r="D1" s="387"/>
      <c r="E1" s="387"/>
      <c r="F1" s="387"/>
      <c r="G1" s="387"/>
      <c r="H1" s="387"/>
      <c r="I1" s="387"/>
      <c r="J1" s="387"/>
      <c r="K1" s="387"/>
      <c r="L1" s="387"/>
      <c r="M1" s="387"/>
      <c r="N1" s="387"/>
      <c r="O1" s="174"/>
      <c r="P1" s="387" t="s">
        <v>20</v>
      </c>
      <c r="Q1" s="387"/>
      <c r="R1" s="387"/>
      <c r="S1" s="387"/>
      <c r="T1" s="387"/>
      <c r="U1" s="387"/>
      <c r="V1" s="387"/>
      <c r="W1" s="387"/>
      <c r="X1" s="387"/>
      <c r="Y1" s="387"/>
      <c r="Z1" s="387"/>
      <c r="AA1" s="387"/>
      <c r="AB1" s="387" t="s">
        <v>20</v>
      </c>
      <c r="AC1" s="387"/>
      <c r="AD1" s="387"/>
      <c r="AE1" s="387"/>
      <c r="AF1" s="387"/>
      <c r="AG1" s="387"/>
      <c r="AH1" s="387"/>
      <c r="AI1" s="387"/>
      <c r="AJ1" s="387"/>
      <c r="AK1" s="387"/>
      <c r="AL1" s="387"/>
      <c r="AM1" s="190"/>
      <c r="AN1" s="190"/>
    </row>
    <row r="2" spans="1:40" s="150" customFormat="1" ht="19.95" customHeight="1" x14ac:dyDescent="0.25">
      <c r="A2" s="388" t="s">
        <v>8</v>
      </c>
      <c r="B2" s="388"/>
      <c r="C2" s="388"/>
      <c r="D2" s="388"/>
      <c r="E2" s="388"/>
      <c r="F2" s="388"/>
      <c r="G2" s="388"/>
      <c r="H2" s="388"/>
      <c r="I2" s="388"/>
      <c r="J2" s="388"/>
      <c r="K2" s="388"/>
      <c r="L2" s="388"/>
      <c r="M2" s="388"/>
      <c r="N2" s="388"/>
      <c r="O2" s="175"/>
      <c r="P2" s="388" t="s">
        <v>8</v>
      </c>
      <c r="Q2" s="388"/>
      <c r="R2" s="388"/>
      <c r="S2" s="388"/>
      <c r="T2" s="388"/>
      <c r="U2" s="388"/>
      <c r="V2" s="388"/>
      <c r="W2" s="388"/>
      <c r="X2" s="388"/>
      <c r="Y2" s="388"/>
      <c r="Z2" s="388"/>
      <c r="AA2" s="388"/>
      <c r="AB2" s="388" t="s">
        <v>8</v>
      </c>
      <c r="AC2" s="388"/>
      <c r="AD2" s="388"/>
      <c r="AE2" s="388"/>
      <c r="AF2" s="388"/>
      <c r="AG2" s="388"/>
      <c r="AH2" s="388"/>
      <c r="AI2" s="388"/>
      <c r="AJ2" s="388"/>
      <c r="AK2" s="388"/>
      <c r="AL2" s="388"/>
      <c r="AM2" s="16"/>
    </row>
    <row r="3" spans="1:40" s="151" customFormat="1" ht="19.95" customHeight="1" x14ac:dyDescent="0.25">
      <c r="A3" s="25" t="str">
        <f>底稿目录!A2</f>
        <v>被审计单位：</v>
      </c>
      <c r="C3" s="25"/>
      <c r="F3" s="25" t="str">
        <f>底稿目录!A4</f>
        <v>编制人：</v>
      </c>
      <c r="I3" s="25"/>
      <c r="J3" s="25"/>
      <c r="K3" s="25" t="str">
        <f>底稿目录!A5</f>
        <v>编制日期：</v>
      </c>
      <c r="L3" s="25"/>
      <c r="M3" s="25"/>
      <c r="N3" s="176" t="s">
        <v>55</v>
      </c>
      <c r="O3" s="177" t="str">
        <f>底稿目录!F6</f>
        <v>L0-2</v>
      </c>
      <c r="P3" s="25"/>
      <c r="Q3" s="25"/>
      <c r="R3" s="25"/>
      <c r="S3" s="25"/>
      <c r="T3" s="25" t="str">
        <f>底稿目录!A4</f>
        <v>编制人：</v>
      </c>
      <c r="U3" s="25"/>
      <c r="V3" s="25"/>
      <c r="W3" s="25" t="str">
        <f>底稿目录!A5</f>
        <v>编制日期：</v>
      </c>
      <c r="X3" s="25"/>
      <c r="Y3" s="25"/>
      <c r="Z3" s="25" t="s">
        <v>55</v>
      </c>
      <c r="AA3" s="181" t="str">
        <f>底稿目录!F6</f>
        <v>L0-2</v>
      </c>
      <c r="AB3" s="182"/>
      <c r="AC3" s="182"/>
      <c r="AE3" s="151" t="str">
        <f>底稿目录!A4</f>
        <v>编制人：</v>
      </c>
      <c r="AH3" s="151" t="str">
        <f>底稿目录!A5</f>
        <v>编制日期：</v>
      </c>
      <c r="AK3" s="25" t="s">
        <v>55</v>
      </c>
      <c r="AL3" s="181" t="str">
        <f>底稿目录!F6</f>
        <v>L0-2</v>
      </c>
    </row>
    <row r="4" spans="1:40" s="151" customFormat="1" ht="19.95" customHeight="1" x14ac:dyDescent="0.25">
      <c r="A4" s="25" t="str">
        <f>底稿目录!A3</f>
        <v>截止日：202X年12月31日</v>
      </c>
      <c r="C4" s="156"/>
      <c r="F4" s="25" t="str">
        <f>底稿目录!A6</f>
        <v>复核人：</v>
      </c>
      <c r="I4" s="25"/>
      <c r="J4" s="25"/>
      <c r="K4" s="25" t="str">
        <f>底稿目录!A7</f>
        <v>复核日期：</v>
      </c>
      <c r="L4" s="25"/>
      <c r="M4" s="25"/>
      <c r="N4" s="176" t="s">
        <v>155</v>
      </c>
      <c r="O4" s="25"/>
      <c r="P4" s="25"/>
      <c r="Q4" s="25"/>
      <c r="R4" s="25"/>
      <c r="S4" s="25"/>
      <c r="T4" s="25" t="str">
        <f>底稿目录!A6</f>
        <v>复核人：</v>
      </c>
      <c r="U4" s="25"/>
      <c r="V4" s="25"/>
      <c r="W4" s="25" t="str">
        <f>底稿目录!A7</f>
        <v>复核日期：</v>
      </c>
      <c r="X4" s="25"/>
      <c r="Y4" s="25"/>
      <c r="Z4" s="25" t="s">
        <v>155</v>
      </c>
      <c r="AA4" s="25"/>
      <c r="AB4" s="182"/>
      <c r="AC4" s="182"/>
      <c r="AD4" s="182"/>
      <c r="AE4" s="151" t="str">
        <f>底稿目录!A6</f>
        <v>复核人：</v>
      </c>
      <c r="AH4" s="151" t="str">
        <f>底稿目录!A7</f>
        <v>复核日期：</v>
      </c>
      <c r="AK4" s="25" t="s">
        <v>155</v>
      </c>
      <c r="AL4" s="25"/>
    </row>
    <row r="5" spans="1:40" s="152" customFormat="1" ht="22.8" customHeight="1" x14ac:dyDescent="0.3">
      <c r="A5" s="385" t="s">
        <v>156</v>
      </c>
      <c r="B5" s="379" t="s">
        <v>157</v>
      </c>
      <c r="C5" s="380"/>
      <c r="D5" s="380"/>
      <c r="E5" s="380"/>
      <c r="F5" s="380"/>
      <c r="G5" s="380"/>
      <c r="H5" s="380"/>
      <c r="I5" s="380"/>
      <c r="J5" s="380"/>
      <c r="K5" s="380"/>
      <c r="L5" s="380"/>
      <c r="M5" s="380"/>
      <c r="N5" s="380"/>
      <c r="O5" s="381"/>
      <c r="P5" s="379" t="s">
        <v>158</v>
      </c>
      <c r="Q5" s="380"/>
      <c r="R5" s="380"/>
      <c r="S5" s="380"/>
      <c r="T5" s="380"/>
      <c r="U5" s="380"/>
      <c r="V5" s="380"/>
      <c r="W5" s="380"/>
      <c r="X5" s="380"/>
      <c r="Y5" s="380"/>
      <c r="Z5" s="380"/>
      <c r="AA5" s="381"/>
      <c r="AB5" s="378" t="s">
        <v>159</v>
      </c>
      <c r="AC5" s="386" t="s">
        <v>160</v>
      </c>
      <c r="AD5" s="386" t="s">
        <v>161</v>
      </c>
      <c r="AE5" s="378" t="s">
        <v>162</v>
      </c>
      <c r="AF5" s="382" t="s">
        <v>163</v>
      </c>
      <c r="AG5" s="383"/>
      <c r="AH5" s="383"/>
      <c r="AI5" s="383"/>
      <c r="AJ5" s="383"/>
      <c r="AK5" s="384"/>
      <c r="AL5" s="378" t="s">
        <v>164</v>
      </c>
    </row>
    <row r="6" spans="1:40" s="152" customFormat="1" ht="51" customHeight="1" x14ac:dyDescent="0.3">
      <c r="A6" s="385"/>
      <c r="B6" s="157" t="s">
        <v>165</v>
      </c>
      <c r="C6" s="157" t="s">
        <v>166</v>
      </c>
      <c r="D6" s="157" t="s">
        <v>167</v>
      </c>
      <c r="E6" s="157" t="s">
        <v>168</v>
      </c>
      <c r="F6" s="158" t="s">
        <v>169</v>
      </c>
      <c r="G6" s="158" t="s">
        <v>170</v>
      </c>
      <c r="H6" s="157" t="s">
        <v>171</v>
      </c>
      <c r="I6" s="157" t="s">
        <v>172</v>
      </c>
      <c r="J6" s="157" t="s">
        <v>173</v>
      </c>
      <c r="K6" s="157" t="s">
        <v>174</v>
      </c>
      <c r="L6" s="157" t="s">
        <v>175</v>
      </c>
      <c r="M6" s="157" t="s">
        <v>176</v>
      </c>
      <c r="N6" s="157" t="s">
        <v>177</v>
      </c>
      <c r="O6" s="157" t="s">
        <v>178</v>
      </c>
      <c r="P6" s="157" t="s">
        <v>179</v>
      </c>
      <c r="Q6" s="157" t="s">
        <v>180</v>
      </c>
      <c r="R6" s="157" t="s">
        <v>181</v>
      </c>
      <c r="S6" s="157" t="s">
        <v>409</v>
      </c>
      <c r="T6" s="157" t="s">
        <v>182</v>
      </c>
      <c r="U6" s="157" t="s">
        <v>183</v>
      </c>
      <c r="V6" s="157" t="s">
        <v>184</v>
      </c>
      <c r="W6" s="157" t="s">
        <v>185</v>
      </c>
      <c r="X6" s="157" t="s">
        <v>186</v>
      </c>
      <c r="Y6" s="157" t="s">
        <v>187</v>
      </c>
      <c r="Z6" s="157" t="s">
        <v>188</v>
      </c>
      <c r="AA6" s="157" t="s">
        <v>189</v>
      </c>
      <c r="AB6" s="378"/>
      <c r="AC6" s="386"/>
      <c r="AD6" s="386"/>
      <c r="AE6" s="378"/>
      <c r="AF6" s="183" t="s">
        <v>190</v>
      </c>
      <c r="AG6" s="191" t="s">
        <v>191</v>
      </c>
      <c r="AH6" s="192" t="s">
        <v>169</v>
      </c>
      <c r="AI6" s="192" t="s">
        <v>170</v>
      </c>
      <c r="AJ6" s="192" t="s">
        <v>192</v>
      </c>
      <c r="AK6" s="157" t="s">
        <v>193</v>
      </c>
      <c r="AL6" s="378"/>
    </row>
    <row r="7" spans="1:40" s="153" customFormat="1" ht="19.95" customHeight="1" x14ac:dyDescent="0.25">
      <c r="A7" s="159"/>
      <c r="B7" s="160"/>
      <c r="C7" s="160"/>
      <c r="D7" s="160"/>
      <c r="E7" s="159"/>
      <c r="F7" s="160"/>
      <c r="G7" s="159"/>
      <c r="H7" s="161"/>
      <c r="I7" s="160"/>
      <c r="J7" s="178"/>
      <c r="K7" s="160"/>
      <c r="L7" s="160"/>
      <c r="M7" s="159"/>
      <c r="N7" s="178"/>
      <c r="O7" s="160"/>
      <c r="P7" s="179"/>
      <c r="Q7" s="178"/>
      <c r="R7" s="178"/>
      <c r="S7" s="160"/>
      <c r="T7" s="160"/>
      <c r="U7" s="159"/>
      <c r="V7" s="178"/>
      <c r="W7" s="178"/>
      <c r="X7" s="178"/>
      <c r="Y7" s="160"/>
      <c r="Z7" s="184"/>
      <c r="AA7" s="159"/>
      <c r="AB7" s="185"/>
      <c r="AC7" s="160"/>
      <c r="AD7" s="185"/>
      <c r="AE7" s="185"/>
      <c r="AF7" s="160"/>
      <c r="AG7" s="159"/>
      <c r="AH7" s="160"/>
      <c r="AI7" s="159"/>
      <c r="AJ7" s="159"/>
      <c r="AK7" s="185"/>
      <c r="AL7" s="185"/>
    </row>
    <row r="8" spans="1:40" s="153" customFormat="1" ht="19.95" customHeight="1" x14ac:dyDescent="0.25">
      <c r="A8" s="159"/>
      <c r="B8" s="160"/>
      <c r="C8" s="160"/>
      <c r="D8" s="160"/>
      <c r="E8" s="159"/>
      <c r="F8" s="160"/>
      <c r="G8" s="159"/>
      <c r="H8" s="159"/>
      <c r="I8" s="160"/>
      <c r="J8" s="178"/>
      <c r="K8" s="160"/>
      <c r="L8" s="160"/>
      <c r="M8" s="159"/>
      <c r="N8" s="178"/>
      <c r="O8" s="160"/>
      <c r="P8" s="179"/>
      <c r="Q8" s="178"/>
      <c r="R8" s="178"/>
      <c r="S8" s="160"/>
      <c r="T8" s="160"/>
      <c r="U8" s="159"/>
      <c r="V8" s="178"/>
      <c r="W8" s="178"/>
      <c r="X8" s="178"/>
      <c r="Y8" s="160"/>
      <c r="Z8" s="184"/>
      <c r="AA8" s="159"/>
      <c r="AB8" s="185"/>
      <c r="AC8" s="160"/>
      <c r="AD8" s="185"/>
      <c r="AE8" s="185"/>
      <c r="AF8" s="160"/>
      <c r="AG8" s="159"/>
      <c r="AH8" s="160"/>
      <c r="AI8" s="159"/>
      <c r="AJ8" s="159"/>
      <c r="AK8" s="185"/>
      <c r="AL8" s="185"/>
    </row>
    <row r="9" spans="1:40" s="153" customFormat="1" ht="19.95" customHeight="1" x14ac:dyDescent="0.25">
      <c r="A9" s="159"/>
      <c r="B9" s="160"/>
      <c r="C9" s="160"/>
      <c r="D9" s="160"/>
      <c r="E9" s="159"/>
      <c r="F9" s="160"/>
      <c r="G9" s="159"/>
      <c r="H9" s="159"/>
      <c r="I9" s="160"/>
      <c r="J9" s="178"/>
      <c r="K9" s="160"/>
      <c r="L9" s="160"/>
      <c r="M9" s="159"/>
      <c r="N9" s="178"/>
      <c r="O9" s="160"/>
      <c r="P9" s="179"/>
      <c r="Q9" s="178"/>
      <c r="R9" s="178"/>
      <c r="S9" s="160"/>
      <c r="T9" s="160"/>
      <c r="U9" s="159"/>
      <c r="V9" s="178"/>
      <c r="W9" s="178"/>
      <c r="X9" s="178"/>
      <c r="Y9" s="160"/>
      <c r="Z9" s="184"/>
      <c r="AA9" s="159"/>
      <c r="AB9" s="185"/>
      <c r="AC9" s="160"/>
      <c r="AD9" s="185"/>
      <c r="AE9" s="185"/>
      <c r="AF9" s="160"/>
      <c r="AG9" s="159"/>
      <c r="AH9" s="160"/>
      <c r="AI9" s="159"/>
      <c r="AJ9" s="159"/>
      <c r="AK9" s="185"/>
      <c r="AL9" s="185"/>
    </row>
    <row r="10" spans="1:40" s="153" customFormat="1" ht="19.95" customHeight="1" x14ac:dyDescent="0.25">
      <c r="A10" s="159"/>
      <c r="B10" s="160"/>
      <c r="C10" s="160"/>
      <c r="D10" s="160"/>
      <c r="E10" s="159"/>
      <c r="F10" s="160"/>
      <c r="G10" s="159"/>
      <c r="H10" s="159"/>
      <c r="I10" s="160"/>
      <c r="J10" s="178"/>
      <c r="K10" s="160"/>
      <c r="L10" s="160"/>
      <c r="M10" s="159"/>
      <c r="N10" s="178"/>
      <c r="O10" s="160"/>
      <c r="P10" s="179"/>
      <c r="Q10" s="178"/>
      <c r="R10" s="178"/>
      <c r="S10" s="160"/>
      <c r="T10" s="160"/>
      <c r="U10" s="159"/>
      <c r="V10" s="178"/>
      <c r="W10" s="178"/>
      <c r="X10" s="178"/>
      <c r="Y10" s="160"/>
      <c r="Z10" s="184"/>
      <c r="AA10" s="159"/>
      <c r="AB10" s="185"/>
      <c r="AC10" s="160"/>
      <c r="AD10" s="185"/>
      <c r="AE10" s="185"/>
      <c r="AF10" s="160"/>
      <c r="AG10" s="159"/>
      <c r="AH10" s="160"/>
      <c r="AI10" s="159"/>
      <c r="AJ10" s="159"/>
      <c r="AK10" s="185"/>
      <c r="AL10" s="185"/>
    </row>
    <row r="11" spans="1:40" s="153" customFormat="1" ht="19.95" customHeight="1" x14ac:dyDescent="0.25">
      <c r="A11" s="159"/>
      <c r="B11" s="160"/>
      <c r="C11" s="160"/>
      <c r="D11" s="160"/>
      <c r="E11" s="159"/>
      <c r="F11" s="160"/>
      <c r="G11" s="159"/>
      <c r="H11" s="159"/>
      <c r="I11" s="160"/>
      <c r="J11" s="178"/>
      <c r="K11" s="160"/>
      <c r="L11" s="160"/>
      <c r="M11" s="159"/>
      <c r="N11" s="178"/>
      <c r="O11" s="160"/>
      <c r="P11" s="179"/>
      <c r="Q11" s="178"/>
      <c r="R11" s="178"/>
      <c r="S11" s="160"/>
      <c r="T11" s="160"/>
      <c r="U11" s="159"/>
      <c r="V11" s="178"/>
      <c r="W11" s="178"/>
      <c r="X11" s="178"/>
      <c r="Y11" s="160"/>
      <c r="Z11" s="184"/>
      <c r="AA11" s="159"/>
      <c r="AB11" s="185"/>
      <c r="AC11" s="160"/>
      <c r="AD11" s="185"/>
      <c r="AE11" s="185"/>
      <c r="AF11" s="160"/>
      <c r="AG11" s="159"/>
      <c r="AH11" s="160"/>
      <c r="AI11" s="159"/>
      <c r="AJ11" s="159"/>
      <c r="AK11" s="185"/>
      <c r="AL11" s="185"/>
    </row>
    <row r="12" spans="1:40" s="153" customFormat="1" ht="19.95" customHeight="1" x14ac:dyDescent="0.25">
      <c r="A12" s="159"/>
      <c r="B12" s="160"/>
      <c r="C12" s="160"/>
      <c r="D12" s="160"/>
      <c r="E12" s="159"/>
      <c r="F12" s="160"/>
      <c r="G12" s="159"/>
      <c r="H12" s="159"/>
      <c r="I12" s="160"/>
      <c r="J12" s="178"/>
      <c r="K12" s="160"/>
      <c r="L12" s="160"/>
      <c r="M12" s="159"/>
      <c r="N12" s="178"/>
      <c r="O12" s="160"/>
      <c r="P12" s="179"/>
      <c r="Q12" s="178"/>
      <c r="R12" s="178"/>
      <c r="S12" s="160"/>
      <c r="T12" s="160"/>
      <c r="U12" s="159"/>
      <c r="V12" s="178"/>
      <c r="W12" s="178"/>
      <c r="X12" s="178"/>
      <c r="Y12" s="160"/>
      <c r="Z12" s="184"/>
      <c r="AA12" s="159"/>
      <c r="AB12" s="185"/>
      <c r="AC12" s="160"/>
      <c r="AD12" s="185"/>
      <c r="AE12" s="185"/>
      <c r="AF12" s="160"/>
      <c r="AG12" s="159"/>
      <c r="AH12" s="160"/>
      <c r="AI12" s="159"/>
      <c r="AJ12" s="159"/>
      <c r="AK12" s="185"/>
      <c r="AL12" s="185"/>
    </row>
    <row r="13" spans="1:40" s="153" customFormat="1" ht="19.95" customHeight="1" x14ac:dyDescent="0.25">
      <c r="A13" s="159"/>
      <c r="B13" s="160"/>
      <c r="C13" s="160"/>
      <c r="D13" s="160"/>
      <c r="E13" s="159"/>
      <c r="F13" s="160"/>
      <c r="G13" s="159"/>
      <c r="H13" s="159"/>
      <c r="I13" s="160"/>
      <c r="J13" s="178"/>
      <c r="K13" s="160"/>
      <c r="L13" s="160"/>
      <c r="M13" s="159"/>
      <c r="N13" s="178"/>
      <c r="O13" s="160"/>
      <c r="P13" s="179"/>
      <c r="Q13" s="178"/>
      <c r="R13" s="178"/>
      <c r="S13" s="160"/>
      <c r="T13" s="160"/>
      <c r="U13" s="159"/>
      <c r="V13" s="178"/>
      <c r="W13" s="178"/>
      <c r="X13" s="178"/>
      <c r="Y13" s="160"/>
      <c r="Z13" s="184"/>
      <c r="AA13" s="159"/>
      <c r="AB13" s="185"/>
      <c r="AC13" s="160"/>
      <c r="AD13" s="185"/>
      <c r="AE13" s="185"/>
      <c r="AF13" s="160"/>
      <c r="AG13" s="159"/>
      <c r="AH13" s="160"/>
      <c r="AI13" s="159"/>
      <c r="AJ13" s="159"/>
      <c r="AK13" s="185"/>
      <c r="AL13" s="185"/>
    </row>
    <row r="14" spans="1:40" s="153" customFormat="1" ht="19.95" customHeight="1" x14ac:dyDescent="0.25">
      <c r="A14" s="159"/>
      <c r="B14" s="160"/>
      <c r="C14" s="160"/>
      <c r="D14" s="160"/>
      <c r="E14" s="159"/>
      <c r="F14" s="160"/>
      <c r="G14" s="159"/>
      <c r="H14" s="159"/>
      <c r="I14" s="160"/>
      <c r="J14" s="178"/>
      <c r="K14" s="160"/>
      <c r="L14" s="160"/>
      <c r="M14" s="159"/>
      <c r="N14" s="178"/>
      <c r="O14" s="160"/>
      <c r="P14" s="179"/>
      <c r="Q14" s="178"/>
      <c r="R14" s="178"/>
      <c r="S14" s="160"/>
      <c r="T14" s="160"/>
      <c r="U14" s="159"/>
      <c r="V14" s="178"/>
      <c r="W14" s="178"/>
      <c r="X14" s="178"/>
      <c r="Y14" s="160"/>
      <c r="Z14" s="184"/>
      <c r="AA14" s="159"/>
      <c r="AB14" s="185"/>
      <c r="AC14" s="160"/>
      <c r="AD14" s="185"/>
      <c r="AE14" s="185"/>
      <c r="AF14" s="160"/>
      <c r="AG14" s="159"/>
      <c r="AH14" s="160"/>
      <c r="AI14" s="159"/>
      <c r="AJ14" s="159"/>
      <c r="AK14" s="185"/>
      <c r="AL14" s="185"/>
    </row>
    <row r="15" spans="1:40" s="153" customFormat="1" ht="19.95" customHeight="1" x14ac:dyDescent="0.25">
      <c r="A15" s="159"/>
      <c r="B15" s="160"/>
      <c r="C15" s="160"/>
      <c r="D15" s="160"/>
      <c r="E15" s="159"/>
      <c r="F15" s="160"/>
      <c r="G15" s="159"/>
      <c r="H15" s="159"/>
      <c r="I15" s="160"/>
      <c r="J15" s="178"/>
      <c r="K15" s="160"/>
      <c r="L15" s="160"/>
      <c r="M15" s="159"/>
      <c r="N15" s="178"/>
      <c r="O15" s="160"/>
      <c r="P15" s="179"/>
      <c r="Q15" s="178"/>
      <c r="R15" s="178"/>
      <c r="S15" s="160"/>
      <c r="T15" s="160"/>
      <c r="U15" s="159"/>
      <c r="V15" s="178"/>
      <c r="W15" s="178"/>
      <c r="X15" s="178"/>
      <c r="Y15" s="160"/>
      <c r="Z15" s="184"/>
      <c r="AA15" s="159"/>
      <c r="AB15" s="185"/>
      <c r="AC15" s="160"/>
      <c r="AD15" s="185"/>
      <c r="AE15" s="185"/>
      <c r="AF15" s="160"/>
      <c r="AG15" s="159"/>
      <c r="AH15" s="160"/>
      <c r="AI15" s="159"/>
      <c r="AJ15" s="159"/>
      <c r="AK15" s="185"/>
      <c r="AL15" s="185"/>
    </row>
    <row r="16" spans="1:40" s="153" customFormat="1" ht="19.95" customHeight="1" x14ac:dyDescent="0.25">
      <c r="A16" s="159"/>
      <c r="B16" s="160"/>
      <c r="C16" s="160"/>
      <c r="D16" s="160"/>
      <c r="E16" s="159"/>
      <c r="F16" s="160"/>
      <c r="G16" s="159"/>
      <c r="H16" s="159"/>
      <c r="I16" s="160"/>
      <c r="J16" s="178"/>
      <c r="K16" s="160"/>
      <c r="L16" s="160"/>
      <c r="M16" s="159"/>
      <c r="N16" s="178"/>
      <c r="O16" s="160"/>
      <c r="P16" s="179"/>
      <c r="Q16" s="178"/>
      <c r="R16" s="178"/>
      <c r="S16" s="160"/>
      <c r="T16" s="160"/>
      <c r="U16" s="159"/>
      <c r="V16" s="178"/>
      <c r="W16" s="178"/>
      <c r="X16" s="178"/>
      <c r="Y16" s="160"/>
      <c r="Z16" s="184"/>
      <c r="AA16" s="159"/>
      <c r="AB16" s="185"/>
      <c r="AC16" s="160"/>
      <c r="AD16" s="185"/>
      <c r="AE16" s="185"/>
      <c r="AF16" s="160"/>
      <c r="AG16" s="159"/>
      <c r="AH16" s="160"/>
      <c r="AI16" s="159"/>
      <c r="AJ16" s="159"/>
      <c r="AK16" s="185"/>
      <c r="AL16" s="185"/>
    </row>
    <row r="17" spans="1:38" s="153" customFormat="1" ht="19.95" customHeight="1" x14ac:dyDescent="0.25">
      <c r="A17" s="159"/>
      <c r="B17" s="160"/>
      <c r="C17" s="160"/>
      <c r="D17" s="160"/>
      <c r="E17" s="159"/>
      <c r="F17" s="160"/>
      <c r="G17" s="159"/>
      <c r="H17" s="159"/>
      <c r="I17" s="160"/>
      <c r="J17" s="178"/>
      <c r="K17" s="160"/>
      <c r="L17" s="160"/>
      <c r="M17" s="159"/>
      <c r="N17" s="178"/>
      <c r="O17" s="160"/>
      <c r="P17" s="179"/>
      <c r="Q17" s="178"/>
      <c r="R17" s="178"/>
      <c r="S17" s="160"/>
      <c r="T17" s="160"/>
      <c r="U17" s="159"/>
      <c r="V17" s="178"/>
      <c r="W17" s="178"/>
      <c r="X17" s="178"/>
      <c r="Y17" s="160"/>
      <c r="Z17" s="184"/>
      <c r="AA17" s="159"/>
      <c r="AB17" s="185"/>
      <c r="AC17" s="160"/>
      <c r="AD17" s="185"/>
      <c r="AE17" s="185"/>
      <c r="AF17" s="160"/>
      <c r="AG17" s="159"/>
      <c r="AH17" s="160"/>
      <c r="AI17" s="159"/>
      <c r="AJ17" s="159"/>
      <c r="AK17" s="185"/>
      <c r="AL17" s="185"/>
    </row>
    <row r="18" spans="1:38" s="153" customFormat="1" ht="19.95" customHeight="1" x14ac:dyDescent="0.25">
      <c r="A18" s="159"/>
      <c r="B18" s="160"/>
      <c r="C18" s="160"/>
      <c r="D18" s="160"/>
      <c r="E18" s="159"/>
      <c r="F18" s="160"/>
      <c r="G18" s="159"/>
      <c r="H18" s="159"/>
      <c r="I18" s="160"/>
      <c r="J18" s="178"/>
      <c r="K18" s="160"/>
      <c r="L18" s="160"/>
      <c r="M18" s="159"/>
      <c r="N18" s="178"/>
      <c r="O18" s="160"/>
      <c r="P18" s="179"/>
      <c r="Q18" s="178"/>
      <c r="R18" s="178"/>
      <c r="S18" s="160"/>
      <c r="T18" s="160"/>
      <c r="U18" s="159"/>
      <c r="V18" s="178"/>
      <c r="W18" s="178"/>
      <c r="X18" s="178"/>
      <c r="Y18" s="160"/>
      <c r="Z18" s="184"/>
      <c r="AA18" s="159"/>
      <c r="AB18" s="185"/>
      <c r="AC18" s="160"/>
      <c r="AD18" s="185"/>
      <c r="AE18" s="185"/>
      <c r="AF18" s="160"/>
      <c r="AG18" s="159"/>
      <c r="AH18" s="160"/>
      <c r="AI18" s="159"/>
      <c r="AJ18" s="159"/>
      <c r="AK18" s="185"/>
      <c r="AL18" s="185"/>
    </row>
    <row r="19" spans="1:38" s="153" customFormat="1" ht="19.95" customHeight="1" x14ac:dyDescent="0.25">
      <c r="A19" s="159"/>
      <c r="B19" s="160"/>
      <c r="C19" s="160"/>
      <c r="D19" s="160"/>
      <c r="E19" s="159"/>
      <c r="F19" s="160"/>
      <c r="G19" s="159"/>
      <c r="H19" s="159"/>
      <c r="I19" s="160"/>
      <c r="J19" s="178"/>
      <c r="K19" s="160"/>
      <c r="L19" s="160"/>
      <c r="M19" s="159"/>
      <c r="N19" s="178"/>
      <c r="O19" s="160"/>
      <c r="P19" s="179"/>
      <c r="Q19" s="178"/>
      <c r="R19" s="178"/>
      <c r="S19" s="160"/>
      <c r="T19" s="160"/>
      <c r="U19" s="159"/>
      <c r="V19" s="178"/>
      <c r="W19" s="178"/>
      <c r="X19" s="178"/>
      <c r="Y19" s="160"/>
      <c r="Z19" s="184"/>
      <c r="AA19" s="159"/>
      <c r="AB19" s="185"/>
      <c r="AC19" s="160"/>
      <c r="AD19" s="185"/>
      <c r="AE19" s="185"/>
      <c r="AF19" s="160"/>
      <c r="AG19" s="159"/>
      <c r="AH19" s="160"/>
      <c r="AI19" s="159"/>
      <c r="AJ19" s="159"/>
      <c r="AK19" s="185"/>
      <c r="AL19" s="185"/>
    </row>
    <row r="20" spans="1:38" s="153" customFormat="1" ht="19.95" customHeight="1" x14ac:dyDescent="0.25">
      <c r="A20" s="159"/>
      <c r="B20" s="160"/>
      <c r="C20" s="160"/>
      <c r="D20" s="160"/>
      <c r="E20" s="159"/>
      <c r="F20" s="160"/>
      <c r="G20" s="159"/>
      <c r="H20" s="159"/>
      <c r="I20" s="160"/>
      <c r="J20" s="178"/>
      <c r="K20" s="160"/>
      <c r="L20" s="160"/>
      <c r="M20" s="159"/>
      <c r="N20" s="178"/>
      <c r="O20" s="160"/>
      <c r="P20" s="179"/>
      <c r="Q20" s="178"/>
      <c r="R20" s="178"/>
      <c r="S20" s="160"/>
      <c r="T20" s="160"/>
      <c r="U20" s="159"/>
      <c r="V20" s="178"/>
      <c r="W20" s="178"/>
      <c r="X20" s="178"/>
      <c r="Y20" s="160"/>
      <c r="Z20" s="184"/>
      <c r="AA20" s="159"/>
      <c r="AB20" s="185"/>
      <c r="AC20" s="160"/>
      <c r="AD20" s="185"/>
      <c r="AE20" s="185"/>
      <c r="AF20" s="160"/>
      <c r="AG20" s="159"/>
      <c r="AH20" s="160"/>
      <c r="AI20" s="159"/>
      <c r="AJ20" s="159"/>
      <c r="AK20" s="185"/>
      <c r="AL20" s="185"/>
    </row>
    <row r="21" spans="1:38" s="153" customFormat="1" ht="19.95" customHeight="1" x14ac:dyDescent="0.25">
      <c r="A21" s="159"/>
      <c r="B21" s="160"/>
      <c r="C21" s="160"/>
      <c r="D21" s="160"/>
      <c r="E21" s="159"/>
      <c r="F21" s="160"/>
      <c r="G21" s="159"/>
      <c r="H21" s="159"/>
      <c r="I21" s="160"/>
      <c r="J21" s="178"/>
      <c r="K21" s="160"/>
      <c r="L21" s="160"/>
      <c r="M21" s="159"/>
      <c r="N21" s="178"/>
      <c r="O21" s="160"/>
      <c r="P21" s="179"/>
      <c r="Q21" s="178"/>
      <c r="R21" s="178"/>
      <c r="S21" s="160"/>
      <c r="T21" s="160"/>
      <c r="U21" s="159"/>
      <c r="V21" s="178"/>
      <c r="W21" s="178"/>
      <c r="X21" s="178"/>
      <c r="Y21" s="160"/>
      <c r="Z21" s="184"/>
      <c r="AA21" s="159"/>
      <c r="AB21" s="185"/>
      <c r="AC21" s="160"/>
      <c r="AD21" s="185"/>
      <c r="AE21" s="185"/>
      <c r="AF21" s="160"/>
      <c r="AG21" s="159"/>
      <c r="AH21" s="160"/>
      <c r="AI21" s="159"/>
      <c r="AJ21" s="159"/>
      <c r="AK21" s="185"/>
      <c r="AL21" s="185"/>
    </row>
    <row r="22" spans="1:38" s="153" customFormat="1" ht="19.95" customHeight="1" x14ac:dyDescent="0.25">
      <c r="A22" s="162"/>
      <c r="B22" s="163"/>
      <c r="C22" s="160"/>
      <c r="D22" s="163"/>
      <c r="E22" s="162"/>
      <c r="F22" s="163"/>
      <c r="G22" s="162"/>
      <c r="H22" s="162"/>
      <c r="I22" s="163"/>
      <c r="J22" s="178"/>
      <c r="K22" s="163"/>
      <c r="L22" s="160"/>
      <c r="M22" s="162"/>
      <c r="N22" s="178"/>
      <c r="O22" s="163"/>
      <c r="P22" s="179"/>
      <c r="Q22" s="178"/>
      <c r="R22" s="178"/>
      <c r="S22" s="163"/>
      <c r="T22" s="163"/>
      <c r="U22" s="162"/>
      <c r="V22" s="178"/>
      <c r="W22" s="178"/>
      <c r="X22" s="178"/>
      <c r="Y22" s="163"/>
      <c r="Z22" s="186"/>
      <c r="AA22" s="162"/>
      <c r="AB22" s="187"/>
      <c r="AC22" s="163"/>
      <c r="AD22" s="187"/>
      <c r="AE22" s="185"/>
      <c r="AF22" s="163"/>
      <c r="AG22" s="162"/>
      <c r="AH22" s="163"/>
      <c r="AI22" s="162"/>
      <c r="AJ22" s="162"/>
      <c r="AK22" s="185"/>
      <c r="AL22" s="187"/>
    </row>
    <row r="23" spans="1:38" s="153" customFormat="1" ht="19.95" customHeight="1" x14ac:dyDescent="0.25">
      <c r="A23" s="162"/>
      <c r="B23" s="163"/>
      <c r="C23" s="160"/>
      <c r="D23" s="163"/>
      <c r="E23" s="162"/>
      <c r="F23" s="163"/>
      <c r="G23" s="162"/>
      <c r="H23" s="162"/>
      <c r="I23" s="163"/>
      <c r="J23" s="178"/>
      <c r="K23" s="163"/>
      <c r="L23" s="160"/>
      <c r="M23" s="162"/>
      <c r="N23" s="178"/>
      <c r="O23" s="163"/>
      <c r="P23" s="179"/>
      <c r="Q23" s="178"/>
      <c r="R23" s="178"/>
      <c r="S23" s="163"/>
      <c r="T23" s="163"/>
      <c r="U23" s="162"/>
      <c r="V23" s="178"/>
      <c r="W23" s="178"/>
      <c r="X23" s="178"/>
      <c r="Y23" s="163"/>
      <c r="Z23" s="186"/>
      <c r="AA23" s="162"/>
      <c r="AB23" s="187"/>
      <c r="AC23" s="163"/>
      <c r="AD23" s="187"/>
      <c r="AE23" s="185"/>
      <c r="AF23" s="163"/>
      <c r="AG23" s="162"/>
      <c r="AH23" s="163"/>
      <c r="AI23" s="162"/>
      <c r="AJ23" s="162"/>
      <c r="AK23" s="185"/>
      <c r="AL23" s="187"/>
    </row>
    <row r="24" spans="1:38" s="153" customFormat="1" ht="19.95" customHeight="1" x14ac:dyDescent="0.25">
      <c r="A24" s="162"/>
      <c r="B24" s="164"/>
      <c r="C24" s="160"/>
      <c r="D24" s="165"/>
      <c r="E24" s="166"/>
      <c r="F24" s="167"/>
      <c r="G24" s="168"/>
      <c r="H24" s="169"/>
      <c r="I24" s="167"/>
      <c r="J24" s="178"/>
      <c r="K24" s="167"/>
      <c r="L24" s="160"/>
      <c r="M24" s="180"/>
      <c r="N24" s="178"/>
      <c r="O24" s="167"/>
      <c r="P24" s="179"/>
      <c r="Q24" s="178"/>
      <c r="R24" s="178"/>
      <c r="S24" s="167"/>
      <c r="T24" s="167"/>
      <c r="U24" s="180"/>
      <c r="V24" s="178"/>
      <c r="W24" s="178"/>
      <c r="X24" s="178"/>
      <c r="Y24" s="167"/>
      <c r="Z24" s="188"/>
      <c r="AA24" s="180"/>
      <c r="AB24" s="187"/>
      <c r="AC24" s="163"/>
      <c r="AD24" s="187"/>
      <c r="AE24" s="185"/>
      <c r="AF24" s="163"/>
      <c r="AG24" s="162"/>
      <c r="AH24" s="163"/>
      <c r="AI24" s="162"/>
      <c r="AJ24" s="162"/>
      <c r="AK24" s="185"/>
      <c r="AL24" s="187"/>
    </row>
    <row r="25" spans="1:38" s="153" customFormat="1" ht="19.95" customHeight="1" x14ac:dyDescent="0.25">
      <c r="A25" s="307"/>
      <c r="B25" s="308"/>
      <c r="C25" s="377" t="s">
        <v>379</v>
      </c>
      <c r="D25" s="377"/>
      <c r="E25" s="377"/>
      <c r="F25" s="377"/>
      <c r="G25" s="377"/>
      <c r="H25" s="377"/>
      <c r="I25" s="377"/>
      <c r="J25" s="377"/>
      <c r="K25" s="377"/>
      <c r="L25" s="377"/>
      <c r="M25" s="377"/>
      <c r="N25" s="377"/>
      <c r="O25" s="377"/>
      <c r="P25" s="309"/>
      <c r="Q25" s="310"/>
      <c r="R25" s="310"/>
      <c r="S25" s="311"/>
      <c r="T25" s="311"/>
      <c r="U25" s="312"/>
      <c r="V25" s="310"/>
      <c r="W25" s="310"/>
      <c r="X25" s="310"/>
      <c r="Y25" s="311"/>
      <c r="Z25" s="313"/>
      <c r="AA25" s="312"/>
      <c r="AB25" s="314"/>
      <c r="AC25" s="315"/>
      <c r="AD25" s="314"/>
      <c r="AE25" s="316"/>
      <c r="AF25" s="315"/>
      <c r="AG25" s="307"/>
      <c r="AH25" s="315"/>
      <c r="AI25" s="307"/>
      <c r="AJ25" s="307"/>
      <c r="AK25" s="316"/>
      <c r="AL25" s="314"/>
    </row>
    <row r="26" spans="1:38" s="153" customFormat="1" ht="19.95" customHeight="1" x14ac:dyDescent="0.25">
      <c r="A26" s="317"/>
      <c r="B26" s="318"/>
      <c r="C26" s="306" t="s">
        <v>380</v>
      </c>
      <c r="D26" s="306"/>
      <c r="E26" s="306"/>
      <c r="F26" s="306"/>
      <c r="G26" s="306"/>
      <c r="H26" s="306"/>
      <c r="I26" s="306"/>
      <c r="J26" s="306"/>
      <c r="K26" s="306"/>
      <c r="L26" s="306"/>
      <c r="M26" s="306"/>
      <c r="N26" s="306"/>
      <c r="O26" s="306"/>
      <c r="P26" s="319"/>
      <c r="Q26" s="320"/>
      <c r="R26" s="320"/>
      <c r="S26" s="321"/>
      <c r="T26" s="321"/>
      <c r="U26" s="322"/>
      <c r="V26" s="320"/>
      <c r="W26" s="320"/>
      <c r="X26" s="320"/>
      <c r="Y26" s="321"/>
      <c r="Z26" s="323"/>
      <c r="AA26" s="322"/>
      <c r="AB26" s="324"/>
      <c r="AC26" s="325"/>
      <c r="AD26" s="324"/>
      <c r="AE26" s="326"/>
      <c r="AF26" s="325"/>
      <c r="AG26" s="317"/>
      <c r="AH26" s="325"/>
      <c r="AI26" s="317"/>
      <c r="AJ26" s="317"/>
      <c r="AK26" s="326"/>
      <c r="AL26" s="324"/>
    </row>
    <row r="27" spans="1:38" s="152" customFormat="1" ht="17.25" customHeight="1" x14ac:dyDescent="0.3">
      <c r="A27" s="170" t="s">
        <v>194</v>
      </c>
      <c r="AD27" s="189"/>
    </row>
    <row r="28" spans="1:38" s="152" customFormat="1" ht="17.25" customHeight="1" x14ac:dyDescent="0.3">
      <c r="A28" s="171" t="s">
        <v>195</v>
      </c>
      <c r="AD28" s="189"/>
    </row>
    <row r="29" spans="1:38" s="152" customFormat="1" ht="17.25" customHeight="1" x14ac:dyDescent="0.3">
      <c r="A29" s="171" t="s">
        <v>196</v>
      </c>
      <c r="AD29" s="189"/>
    </row>
    <row r="30" spans="1:38" s="152" customFormat="1" ht="17.25" customHeight="1" x14ac:dyDescent="0.3">
      <c r="A30" s="171" t="s">
        <v>197</v>
      </c>
      <c r="AD30" s="189"/>
    </row>
    <row r="31" spans="1:38" s="152" customFormat="1" ht="17.25" customHeight="1" x14ac:dyDescent="0.3">
      <c r="A31" s="171" t="s">
        <v>198</v>
      </c>
      <c r="AD31" s="189"/>
    </row>
    <row r="32" spans="1:38" s="152" customFormat="1" ht="17.25" customHeight="1" x14ac:dyDescent="0.3">
      <c r="A32" s="171" t="s">
        <v>199</v>
      </c>
      <c r="AD32" s="189"/>
    </row>
    <row r="33" spans="1:30" s="152" customFormat="1" ht="17.25" customHeight="1" x14ac:dyDescent="0.3">
      <c r="A33" s="170" t="s">
        <v>200</v>
      </c>
      <c r="AD33" s="189"/>
    </row>
    <row r="34" spans="1:30" ht="17.25" customHeight="1" x14ac:dyDescent="0.3">
      <c r="A34" s="171" t="s">
        <v>201</v>
      </c>
    </row>
    <row r="35" spans="1:30" ht="17.25" customHeight="1" x14ac:dyDescent="0.3">
      <c r="A35" s="170" t="s">
        <v>202</v>
      </c>
    </row>
    <row r="36" spans="1:30" ht="17.25" customHeight="1" x14ac:dyDescent="0.3">
      <c r="A36" s="171" t="s">
        <v>203</v>
      </c>
    </row>
    <row r="37" spans="1:30" ht="17.25" customHeight="1" x14ac:dyDescent="0.3">
      <c r="A37" s="170" t="s">
        <v>204</v>
      </c>
    </row>
    <row r="38" spans="1:30" ht="17.25" customHeight="1" x14ac:dyDescent="0.3">
      <c r="A38" s="170" t="s">
        <v>205</v>
      </c>
      <c r="B38" s="172"/>
      <c r="C38" s="172"/>
      <c r="D38" s="172"/>
      <c r="E38" s="172"/>
      <c r="F38" s="172"/>
      <c r="G38" s="172"/>
      <c r="H38" s="172"/>
      <c r="I38" s="172"/>
      <c r="J38" s="172"/>
      <c r="K38" s="172"/>
      <c r="L38" s="172"/>
      <c r="M38" s="172"/>
      <c r="N38" s="172"/>
      <c r="O38" s="172"/>
      <c r="P38" s="172"/>
      <c r="Q38" s="172"/>
      <c r="R38" s="172"/>
      <c r="S38" s="172"/>
      <c r="T38" s="172"/>
      <c r="U38" s="172"/>
      <c r="V38" s="172"/>
      <c r="W38" s="172"/>
      <c r="X38" s="172"/>
      <c r="Y38" s="172"/>
      <c r="Z38" s="172"/>
      <c r="AA38" s="172"/>
    </row>
    <row r="39" spans="1:30" ht="14.4" x14ac:dyDescent="0.3">
      <c r="A39" s="170" t="s">
        <v>206</v>
      </c>
      <c r="B39" s="172"/>
      <c r="C39" s="172"/>
      <c r="D39" s="172"/>
      <c r="E39" s="172"/>
      <c r="F39" s="172"/>
      <c r="G39" s="172"/>
      <c r="H39" s="172"/>
      <c r="I39" s="172"/>
      <c r="J39" s="172"/>
      <c r="K39" s="172"/>
      <c r="L39" s="172"/>
      <c r="M39" s="172"/>
      <c r="N39" s="172"/>
      <c r="O39" s="172"/>
      <c r="P39" s="172"/>
      <c r="Q39" s="172"/>
      <c r="R39" s="172"/>
      <c r="S39" s="172"/>
      <c r="T39" s="172"/>
      <c r="U39" s="172"/>
      <c r="V39" s="172"/>
      <c r="W39" s="172"/>
      <c r="X39" s="172"/>
      <c r="Y39" s="172"/>
      <c r="Z39" s="172"/>
      <c r="AA39" s="172"/>
    </row>
    <row r="40" spans="1:30" x14ac:dyDescent="0.25">
      <c r="A40" s="173" t="s">
        <v>207</v>
      </c>
    </row>
  </sheetData>
  <mergeCells count="16">
    <mergeCell ref="A1:N1"/>
    <mergeCell ref="P1:AA1"/>
    <mergeCell ref="AB1:AL1"/>
    <mergeCell ref="A2:N2"/>
    <mergeCell ref="P2:AA2"/>
    <mergeCell ref="AB2:AL2"/>
    <mergeCell ref="A5:A6"/>
    <mergeCell ref="AB5:AB6"/>
    <mergeCell ref="AC5:AC6"/>
    <mergeCell ref="AD5:AD6"/>
    <mergeCell ref="AE5:AE6"/>
    <mergeCell ref="C25:O25"/>
    <mergeCell ref="AL5:AL6"/>
    <mergeCell ref="B5:O5"/>
    <mergeCell ref="P5:AA5"/>
    <mergeCell ref="AF5:AK5"/>
  </mergeCells>
  <phoneticPr fontId="79" type="noConversion"/>
  <dataValidations count="5">
    <dataValidation type="list" allowBlank="1" showInputMessage="1" showErrorMessage="1" sqref="C7:C24">
      <formula1>"邮寄,跟函,电子函证,其他"</formula1>
    </dataValidation>
    <dataValidation type="list" allowBlank="1" showInputMessage="1" showErrorMessage="1" sqref="N7:N24 V7:X26 AD7:AD21 AE7:AE26 AK7:AK26 Q7:R26 J7:J24">
      <formula1>"是,否"</formula1>
    </dataValidation>
    <dataValidation type="list" allowBlank="1" showInputMessage="1" showErrorMessage="1" sqref="L7:L24">
      <formula1>"发票/合同地址核实,电话核实,官网/公告查询,地图查询,邮件确认,其他方式"</formula1>
    </dataValidation>
    <dataValidation type="list" allowBlank="1" showInputMessage="1" showErrorMessage="1" sqref="P7:P26">
      <formula1>"纸质原件,电子函证,其他介质"</formula1>
    </dataValidation>
    <dataValidation type="list" allowBlank="1" showInputMessage="1" showErrorMessage="1" sqref="AB7:AB21 AL7:AL21">
      <formula1>"送抵,退回"</formula1>
    </dataValidation>
  </dataValidations>
  <hyperlinks>
    <hyperlink ref="AL3" location="底稿目录!A1" display="=底稿目录!F6"/>
  </hyperlinks>
  <printOptions horizontalCentered="1"/>
  <pageMargins left="0.39370078740157499" right="0.39370078740157499" top="0.74803149606299202" bottom="0.74803149606299202" header="0.31496062992126" footer="0.31496062992126"/>
  <pageSetup paperSize="8" scale="80" fitToWidth="0" fitToHeight="0" orientation="landscape" blackAndWhite="1" r:id="rId1"/>
  <headerFooter>
    <oddFooter>&amp;C&amp;P/&amp;N</oddFooter>
  </headerFooter>
  <colBreaks count="2" manualBreakCount="2">
    <brk id="15" max="1048575" man="1"/>
    <brk id="27" max="20"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pageSetUpPr fitToPage="1"/>
  </sheetPr>
  <dimension ref="A1:R37"/>
  <sheetViews>
    <sheetView view="pageBreakPreview" zoomScale="98" zoomScaleNormal="100" workbookViewId="0">
      <selection sqref="A1:F1"/>
    </sheetView>
  </sheetViews>
  <sheetFormatPr defaultColWidth="10" defaultRowHeight="13.8" x14ac:dyDescent="0.25"/>
  <cols>
    <col min="1" max="1" width="22.5546875" style="34" customWidth="1"/>
    <col min="2" max="6" width="20.5546875" style="34" customWidth="1"/>
    <col min="7" max="16384" width="10" style="34"/>
  </cols>
  <sheetData>
    <row r="1" spans="1:18" s="138" customFormat="1" ht="19.95" customHeight="1" x14ac:dyDescent="0.25">
      <c r="A1" s="389" t="s">
        <v>20</v>
      </c>
      <c r="B1" s="389"/>
      <c r="C1" s="389"/>
      <c r="D1" s="389"/>
      <c r="E1" s="389"/>
      <c r="F1" s="389"/>
      <c r="G1" s="139"/>
      <c r="H1" s="139"/>
      <c r="I1" s="139"/>
      <c r="J1" s="139"/>
      <c r="K1" s="139"/>
      <c r="L1" s="139"/>
      <c r="M1" s="139"/>
      <c r="N1" s="139"/>
      <c r="O1" s="139"/>
      <c r="P1" s="139"/>
      <c r="Q1" s="139"/>
      <c r="R1" s="139"/>
    </row>
    <row r="2" spans="1:18" s="139" customFormat="1" ht="19.95" customHeight="1" x14ac:dyDescent="0.25">
      <c r="A2" s="390" t="s">
        <v>10</v>
      </c>
      <c r="B2" s="391"/>
      <c r="C2" s="391"/>
      <c r="D2" s="391"/>
      <c r="E2" s="391"/>
      <c r="F2" s="391"/>
      <c r="G2" s="141"/>
    </row>
    <row r="3" spans="1:18" ht="19.95" customHeight="1" x14ac:dyDescent="0.3">
      <c r="A3" s="34" t="str">
        <f>底稿目录!A2</f>
        <v>被审计单位：</v>
      </c>
      <c r="B3" s="142"/>
      <c r="C3" s="34" t="str">
        <f>底稿目录!A4</f>
        <v>编制人：</v>
      </c>
      <c r="D3" s="34" t="str">
        <f>底稿目录!A5</f>
        <v>编制日期：</v>
      </c>
      <c r="E3" s="143" t="s">
        <v>55</v>
      </c>
      <c r="F3" s="144" t="str">
        <f>底稿目录!F7</f>
        <v>L0-3</v>
      </c>
      <c r="I3" s="40"/>
      <c r="J3" s="40"/>
      <c r="K3" s="40"/>
      <c r="L3" s="40"/>
    </row>
    <row r="4" spans="1:18" ht="19.95" customHeight="1" x14ac:dyDescent="0.3">
      <c r="A4" s="34" t="str">
        <f>底稿目录!A3</f>
        <v>截止日：202X年12月31日</v>
      </c>
      <c r="B4" s="142"/>
      <c r="C4" s="34" t="str">
        <f>底稿目录!A6</f>
        <v>复核人：</v>
      </c>
      <c r="D4" s="34" t="str">
        <f>底稿目录!A7</f>
        <v>复核日期：</v>
      </c>
      <c r="E4" s="145" t="s">
        <v>208</v>
      </c>
      <c r="F4" s="40"/>
      <c r="I4" s="40"/>
      <c r="J4" s="40"/>
      <c r="K4" s="40"/>
      <c r="L4" s="40"/>
    </row>
    <row r="5" spans="1:18" ht="19.95" customHeight="1" x14ac:dyDescent="0.25">
      <c r="A5" s="392" t="s">
        <v>209</v>
      </c>
      <c r="B5" s="392"/>
      <c r="C5" s="392"/>
      <c r="D5" s="392"/>
      <c r="E5" s="392"/>
      <c r="F5" s="392"/>
    </row>
    <row r="6" spans="1:18" ht="19.95" customHeight="1" x14ac:dyDescent="0.25">
      <c r="A6" s="146" t="s">
        <v>210</v>
      </c>
    </row>
    <row r="7" spans="1:18" ht="19.95" customHeight="1" x14ac:dyDescent="0.25">
      <c r="A7" s="147" t="s">
        <v>211</v>
      </c>
    </row>
    <row r="8" spans="1:18" ht="19.95" customHeight="1" x14ac:dyDescent="0.25">
      <c r="A8" s="147" t="s">
        <v>212</v>
      </c>
    </row>
    <row r="9" spans="1:18" ht="19.95" customHeight="1" x14ac:dyDescent="0.25">
      <c r="A9" s="147" t="s">
        <v>213</v>
      </c>
    </row>
    <row r="10" spans="1:18" ht="19.95" customHeight="1" x14ac:dyDescent="0.25">
      <c r="A10" s="34" t="s">
        <v>214</v>
      </c>
    </row>
    <row r="11" spans="1:18" ht="19.95" customHeight="1" x14ac:dyDescent="0.25">
      <c r="A11" s="34" t="s">
        <v>215</v>
      </c>
    </row>
    <row r="12" spans="1:18" ht="19.95" customHeight="1" x14ac:dyDescent="0.25">
      <c r="A12" s="34" t="s">
        <v>216</v>
      </c>
    </row>
    <row r="13" spans="1:18" ht="19.95" customHeight="1" x14ac:dyDescent="0.25">
      <c r="A13" s="34" t="s">
        <v>217</v>
      </c>
    </row>
    <row r="14" spans="1:18" ht="19.95" customHeight="1" x14ac:dyDescent="0.25">
      <c r="A14" s="147" t="s">
        <v>218</v>
      </c>
    </row>
    <row r="15" spans="1:18" ht="19.95" customHeight="1" x14ac:dyDescent="0.25">
      <c r="A15" s="34" t="s">
        <v>219</v>
      </c>
    </row>
    <row r="16" spans="1:18" ht="19.95" customHeight="1" x14ac:dyDescent="0.25">
      <c r="A16" s="34" t="s">
        <v>220</v>
      </c>
    </row>
    <row r="17" spans="1:6" ht="19.95" customHeight="1" x14ac:dyDescent="0.25">
      <c r="A17" s="34" t="s">
        <v>221</v>
      </c>
    </row>
    <row r="18" spans="1:6" ht="19.95" customHeight="1" x14ac:dyDescent="0.25">
      <c r="A18" s="34" t="s">
        <v>222</v>
      </c>
    </row>
    <row r="19" spans="1:6" ht="19.95" customHeight="1" x14ac:dyDescent="0.25">
      <c r="A19" s="34" t="s">
        <v>223</v>
      </c>
    </row>
    <row r="20" spans="1:6" ht="19.95" customHeight="1" x14ac:dyDescent="0.25">
      <c r="A20" s="34" t="s">
        <v>224</v>
      </c>
    </row>
    <row r="21" spans="1:6" ht="19.95" customHeight="1" x14ac:dyDescent="0.25">
      <c r="A21" s="34" t="s">
        <v>225</v>
      </c>
    </row>
    <row r="22" spans="1:6" ht="19.95" customHeight="1" x14ac:dyDescent="0.25"/>
    <row r="23" spans="1:6" s="140" customFormat="1" ht="19.95" customHeight="1" x14ac:dyDescent="0.25">
      <c r="A23" s="329" t="s">
        <v>226</v>
      </c>
      <c r="B23" s="330"/>
      <c r="C23" s="331"/>
      <c r="D23" s="327"/>
      <c r="E23" s="327"/>
      <c r="F23" s="327"/>
    </row>
    <row r="24" spans="1:6" s="140" customFormat="1" ht="19.95" customHeight="1" x14ac:dyDescent="0.25">
      <c r="A24" s="329" t="s">
        <v>227</v>
      </c>
      <c r="B24" s="330"/>
      <c r="C24" s="331"/>
      <c r="D24" s="327"/>
      <c r="E24" s="327"/>
      <c r="F24" s="327"/>
    </row>
    <row r="25" spans="1:6" s="140" customFormat="1" ht="19.95" customHeight="1" x14ac:dyDescent="0.25">
      <c r="A25" s="329" t="s">
        <v>228</v>
      </c>
      <c r="B25" s="330"/>
      <c r="C25" s="331"/>
      <c r="D25" s="327"/>
      <c r="E25" s="327"/>
      <c r="F25" s="327"/>
    </row>
    <row r="26" spans="1:6" ht="19.95" customHeight="1" x14ac:dyDescent="0.25">
      <c r="A26" s="328"/>
      <c r="B26" s="327"/>
      <c r="C26" s="327"/>
      <c r="D26" s="327"/>
      <c r="E26" s="327"/>
      <c r="F26" s="327"/>
    </row>
    <row r="27" spans="1:6" ht="19.95" customHeight="1" x14ac:dyDescent="0.25">
      <c r="A27" s="139" t="s">
        <v>229</v>
      </c>
    </row>
    <row r="28" spans="1:6" x14ac:dyDescent="0.25">
      <c r="A28" s="148"/>
    </row>
    <row r="29" spans="1:6" x14ac:dyDescent="0.25">
      <c r="A29" s="344" t="s">
        <v>410</v>
      </c>
    </row>
    <row r="30" spans="1:6" x14ac:dyDescent="0.25">
      <c r="A30" s="345" t="s">
        <v>411</v>
      </c>
    </row>
    <row r="31" spans="1:6" x14ac:dyDescent="0.25">
      <c r="A31" s="345" t="s">
        <v>412</v>
      </c>
    </row>
    <row r="32" spans="1:6" x14ac:dyDescent="0.25">
      <c r="A32" s="149"/>
    </row>
    <row r="33" spans="1:1" x14ac:dyDescent="0.25">
      <c r="A33" s="149"/>
    </row>
    <row r="34" spans="1:1" x14ac:dyDescent="0.25">
      <c r="A34" s="149"/>
    </row>
    <row r="35" spans="1:1" x14ac:dyDescent="0.25">
      <c r="A35" s="149"/>
    </row>
    <row r="36" spans="1:1" x14ac:dyDescent="0.25">
      <c r="A36" s="149"/>
    </row>
    <row r="37" spans="1:1" x14ac:dyDescent="0.25">
      <c r="A37" s="149"/>
    </row>
  </sheetData>
  <mergeCells count="3">
    <mergeCell ref="A1:F1"/>
    <mergeCell ref="A2:F2"/>
    <mergeCell ref="A5:F5"/>
  </mergeCells>
  <phoneticPr fontId="79" type="noConversion"/>
  <dataValidations count="1">
    <dataValidation type="list" allowBlank="1" showInputMessage="1" showErrorMessage="1" sqref="C23:C25">
      <formula1>"是,否"</formula1>
    </dataValidation>
  </dataValidations>
  <hyperlinks>
    <hyperlink ref="A14" location="_ftn1" display="*若被函证单位无法即时确认函证，而要求跟函人员将函证留下，待确认后再寄回事务所相关办公室则考虑使用以下内容"/>
    <hyperlink ref="F3" location="底稿目录!A1" display="=底稿目录!F7"/>
  </hyperlinks>
  <pageMargins left="0.70866141732283505" right="0.70866141732283505" top="0.74803149606299202" bottom="0.74803149606299202" header="0.31496062992126" footer="0.31496062992126"/>
  <pageSetup paperSize="9" orientation="landscape" blackAndWhite="1" r:id="rId1"/>
  <headerFooter>
    <oddFooter>&amp;C&amp;P/&amp;N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O21"/>
  <sheetViews>
    <sheetView view="pageBreakPreview" zoomScaleNormal="100" workbookViewId="0">
      <selection sqref="A1:I1"/>
    </sheetView>
  </sheetViews>
  <sheetFormatPr defaultColWidth="10" defaultRowHeight="15.6" x14ac:dyDescent="0.25"/>
  <cols>
    <col min="1" max="1" width="12.6640625" style="123" customWidth="1"/>
    <col min="2" max="2" width="19.109375" style="123" customWidth="1"/>
    <col min="3" max="3" width="10.44140625" style="123" customWidth="1"/>
    <col min="4" max="6" width="12.88671875" style="123" customWidth="1"/>
    <col min="7" max="7" width="15.77734375" style="123" customWidth="1"/>
    <col min="8" max="8" width="14.88671875" style="123" customWidth="1"/>
    <col min="9" max="9" width="10.5546875" style="123" customWidth="1"/>
    <col min="10" max="16384" width="10" style="123"/>
  </cols>
  <sheetData>
    <row r="1" spans="1:15" s="97" customFormat="1" ht="19.95" customHeight="1" x14ac:dyDescent="0.25">
      <c r="A1" s="368" t="s">
        <v>20</v>
      </c>
      <c r="B1" s="368"/>
      <c r="C1" s="368"/>
      <c r="D1" s="368"/>
      <c r="E1" s="368"/>
      <c r="F1" s="368"/>
      <c r="G1" s="368"/>
      <c r="H1" s="368"/>
      <c r="I1" s="368"/>
      <c r="J1" s="98"/>
      <c r="K1" s="98"/>
      <c r="L1" s="98"/>
      <c r="M1" s="98"/>
      <c r="N1" s="98"/>
      <c r="O1" s="98"/>
    </row>
    <row r="2" spans="1:15" s="98" customFormat="1" ht="19.95" customHeight="1" x14ac:dyDescent="0.25">
      <c r="A2" s="369" t="s">
        <v>230</v>
      </c>
      <c r="B2" s="369"/>
      <c r="C2" s="369"/>
      <c r="D2" s="393"/>
      <c r="E2" s="393"/>
      <c r="F2" s="393"/>
      <c r="G2" s="393"/>
      <c r="H2" s="393"/>
      <c r="I2" s="393"/>
      <c r="J2" s="16"/>
    </row>
    <row r="3" spans="1:15" s="99" customFormat="1" ht="19.95" customHeight="1" x14ac:dyDescent="0.25">
      <c r="A3" s="25" t="str">
        <f>底稿目录!A2</f>
        <v>被审计单位：</v>
      </c>
      <c r="B3" s="25"/>
      <c r="C3" s="25"/>
      <c r="D3" s="25" t="str">
        <f>底稿目录!A4</f>
        <v>编制人：</v>
      </c>
      <c r="F3" s="25" t="str">
        <f>底稿目录!A5</f>
        <v>编制日期：</v>
      </c>
      <c r="H3" s="124" t="s">
        <v>22</v>
      </c>
      <c r="I3" s="42" t="str">
        <f>底稿目录!F8</f>
        <v>L0-4</v>
      </c>
      <c r="J3" s="49"/>
      <c r="K3" s="49"/>
      <c r="L3" s="96"/>
    </row>
    <row r="4" spans="1:15" s="99" customFormat="1" ht="19.95" customHeight="1" x14ac:dyDescent="0.25">
      <c r="A4" s="25" t="str">
        <f>底稿目录!A3</f>
        <v>截止日：202X年12月31日</v>
      </c>
      <c r="B4" s="25"/>
      <c r="C4" s="25"/>
      <c r="D4" s="25" t="str">
        <f>底稿目录!A6</f>
        <v>复核人：</v>
      </c>
      <c r="F4" s="25" t="str">
        <f>底稿目录!A7</f>
        <v>复核日期：</v>
      </c>
      <c r="H4" s="124" t="s">
        <v>56</v>
      </c>
      <c r="I4" s="49"/>
      <c r="J4" s="49"/>
      <c r="K4" s="49"/>
      <c r="L4" s="96"/>
    </row>
    <row r="5" spans="1:15" s="101" customFormat="1" ht="19.95" customHeight="1" x14ac:dyDescent="0.25">
      <c r="A5" s="125" t="s">
        <v>231</v>
      </c>
      <c r="B5" s="126" t="s">
        <v>66</v>
      </c>
      <c r="C5" s="127" t="s">
        <v>67</v>
      </c>
      <c r="D5" s="128" t="s">
        <v>232</v>
      </c>
      <c r="E5" s="128" t="s">
        <v>81</v>
      </c>
      <c r="F5" s="128" t="s">
        <v>82</v>
      </c>
      <c r="G5" s="129" t="s">
        <v>233</v>
      </c>
      <c r="H5" s="129" t="s">
        <v>234</v>
      </c>
      <c r="I5" s="125" t="s">
        <v>235</v>
      </c>
    </row>
    <row r="6" spans="1:15" s="99" customFormat="1" ht="19.95" customHeight="1" x14ac:dyDescent="0.25">
      <c r="A6" s="130"/>
      <c r="B6" s="130"/>
      <c r="C6" s="131"/>
      <c r="D6" s="132"/>
      <c r="E6" s="132"/>
      <c r="F6" s="133">
        <f>E6-D6</f>
        <v>0</v>
      </c>
      <c r="G6" s="130"/>
      <c r="H6" s="130"/>
      <c r="I6" s="136"/>
    </row>
    <row r="7" spans="1:15" s="99" customFormat="1" ht="19.95" customHeight="1" x14ac:dyDescent="0.25">
      <c r="A7" s="130"/>
      <c r="B7" s="130"/>
      <c r="C7" s="134"/>
      <c r="D7" s="132"/>
      <c r="E7" s="132"/>
      <c r="F7" s="133">
        <f>E7-D7</f>
        <v>0</v>
      </c>
      <c r="G7" s="130"/>
      <c r="H7" s="130"/>
      <c r="I7" s="136"/>
    </row>
    <row r="8" spans="1:15" s="99" customFormat="1" ht="19.95" customHeight="1" x14ac:dyDescent="0.25">
      <c r="A8" s="130"/>
      <c r="B8" s="130"/>
      <c r="C8" s="130"/>
      <c r="D8" s="132"/>
      <c r="E8" s="132"/>
      <c r="F8" s="133">
        <f>E8-D8</f>
        <v>0</v>
      </c>
      <c r="G8" s="130"/>
      <c r="H8" s="130"/>
      <c r="I8" s="136"/>
    </row>
    <row r="9" spans="1:15" s="99" customFormat="1" ht="19.95" customHeight="1" x14ac:dyDescent="0.25">
      <c r="A9" s="130"/>
      <c r="B9" s="130"/>
      <c r="C9" s="130"/>
      <c r="D9" s="132"/>
      <c r="E9" s="132"/>
      <c r="F9" s="133">
        <f t="shared" ref="F9:F20" si="0">E9-D9</f>
        <v>0</v>
      </c>
      <c r="G9" s="130"/>
      <c r="H9" s="130"/>
      <c r="I9" s="136"/>
    </row>
    <row r="10" spans="1:15" s="99" customFormat="1" ht="19.95" customHeight="1" x14ac:dyDescent="0.25">
      <c r="A10" s="130"/>
      <c r="B10" s="130"/>
      <c r="C10" s="130"/>
      <c r="D10" s="132"/>
      <c r="E10" s="132"/>
      <c r="F10" s="133">
        <f t="shared" si="0"/>
        <v>0</v>
      </c>
      <c r="G10" s="130"/>
      <c r="H10" s="130"/>
      <c r="I10" s="136"/>
    </row>
    <row r="11" spans="1:15" s="99" customFormat="1" ht="19.95" customHeight="1" x14ac:dyDescent="0.25">
      <c r="A11" s="130"/>
      <c r="B11" s="130"/>
      <c r="C11" s="130"/>
      <c r="D11" s="132"/>
      <c r="E11" s="132"/>
      <c r="F11" s="133">
        <f t="shared" si="0"/>
        <v>0</v>
      </c>
      <c r="G11" s="130"/>
      <c r="H11" s="130"/>
      <c r="I11" s="136"/>
    </row>
    <row r="12" spans="1:15" s="99" customFormat="1" ht="19.95" customHeight="1" x14ac:dyDescent="0.25">
      <c r="A12" s="130"/>
      <c r="B12" s="130"/>
      <c r="C12" s="130"/>
      <c r="D12" s="132"/>
      <c r="E12" s="132"/>
      <c r="F12" s="133">
        <f t="shared" si="0"/>
        <v>0</v>
      </c>
      <c r="G12" s="130"/>
      <c r="H12" s="130"/>
      <c r="I12" s="136"/>
    </row>
    <row r="13" spans="1:15" s="99" customFormat="1" ht="19.95" customHeight="1" x14ac:dyDescent="0.25">
      <c r="A13" s="130"/>
      <c r="B13" s="130"/>
      <c r="C13" s="130"/>
      <c r="D13" s="132"/>
      <c r="E13" s="132"/>
      <c r="F13" s="133">
        <f t="shared" si="0"/>
        <v>0</v>
      </c>
      <c r="G13" s="130"/>
      <c r="H13" s="130"/>
      <c r="I13" s="136"/>
    </row>
    <row r="14" spans="1:15" s="99" customFormat="1" ht="19.95" customHeight="1" x14ac:dyDescent="0.25">
      <c r="A14" s="130"/>
      <c r="B14" s="130"/>
      <c r="C14" s="130"/>
      <c r="D14" s="132"/>
      <c r="E14" s="132"/>
      <c r="F14" s="133">
        <f t="shared" si="0"/>
        <v>0</v>
      </c>
      <c r="G14" s="130"/>
      <c r="H14" s="130"/>
      <c r="I14" s="136"/>
    </row>
    <row r="15" spans="1:15" s="99" customFormat="1" ht="19.95" customHeight="1" x14ac:dyDescent="0.25">
      <c r="A15" s="130"/>
      <c r="B15" s="130"/>
      <c r="C15" s="130"/>
      <c r="D15" s="132"/>
      <c r="E15" s="132"/>
      <c r="F15" s="133">
        <f t="shared" si="0"/>
        <v>0</v>
      </c>
      <c r="G15" s="130"/>
      <c r="H15" s="130"/>
      <c r="I15" s="136"/>
    </row>
    <row r="16" spans="1:15" s="99" customFormat="1" ht="19.95" customHeight="1" x14ac:dyDescent="0.25">
      <c r="A16" s="130"/>
      <c r="B16" s="130"/>
      <c r="C16" s="130"/>
      <c r="D16" s="132"/>
      <c r="E16" s="132"/>
      <c r="F16" s="133">
        <f t="shared" si="0"/>
        <v>0</v>
      </c>
      <c r="G16" s="130"/>
      <c r="H16" s="130"/>
      <c r="I16" s="136"/>
    </row>
    <row r="17" spans="1:9" s="99" customFormat="1" ht="19.95" customHeight="1" x14ac:dyDescent="0.25">
      <c r="A17" s="130"/>
      <c r="B17" s="130"/>
      <c r="C17" s="130"/>
      <c r="D17" s="132"/>
      <c r="E17" s="132"/>
      <c r="F17" s="133">
        <f t="shared" si="0"/>
        <v>0</v>
      </c>
      <c r="G17" s="130"/>
      <c r="H17" s="130"/>
      <c r="I17" s="136"/>
    </row>
    <row r="18" spans="1:9" s="99" customFormat="1" ht="19.95" customHeight="1" x14ac:dyDescent="0.25">
      <c r="A18" s="130"/>
      <c r="B18" s="130"/>
      <c r="C18" s="130"/>
      <c r="D18" s="132"/>
      <c r="E18" s="132"/>
      <c r="F18" s="133">
        <f t="shared" si="0"/>
        <v>0</v>
      </c>
      <c r="G18" s="130"/>
      <c r="H18" s="130"/>
      <c r="I18" s="136"/>
    </row>
    <row r="19" spans="1:9" s="99" customFormat="1" ht="19.95" customHeight="1" x14ac:dyDescent="0.25">
      <c r="A19" s="130"/>
      <c r="B19" s="130"/>
      <c r="C19" s="130"/>
      <c r="D19" s="132"/>
      <c r="E19" s="132"/>
      <c r="F19" s="133">
        <f t="shared" si="0"/>
        <v>0</v>
      </c>
      <c r="G19" s="130"/>
      <c r="H19" s="130"/>
      <c r="I19" s="136"/>
    </row>
    <row r="20" spans="1:9" s="99" customFormat="1" ht="19.95" customHeight="1" x14ac:dyDescent="0.25">
      <c r="A20" s="130"/>
      <c r="B20" s="130"/>
      <c r="C20" s="130"/>
      <c r="D20" s="132"/>
      <c r="E20" s="132"/>
      <c r="F20" s="133">
        <f t="shared" si="0"/>
        <v>0</v>
      </c>
      <c r="G20" s="130"/>
      <c r="H20" s="130"/>
      <c r="I20" s="136"/>
    </row>
    <row r="21" spans="1:9" s="99" customFormat="1" ht="19.95" customHeight="1" x14ac:dyDescent="0.25">
      <c r="A21" s="128" t="s">
        <v>236</v>
      </c>
      <c r="B21" s="128"/>
      <c r="C21" s="128"/>
      <c r="D21" s="133">
        <f t="shared" ref="D21:F21" si="1">SUM(D6:D20)</f>
        <v>0</v>
      </c>
      <c r="E21" s="133">
        <f t="shared" si="1"/>
        <v>0</v>
      </c>
      <c r="F21" s="133">
        <f t="shared" si="1"/>
        <v>0</v>
      </c>
      <c r="G21" s="135"/>
      <c r="H21" s="135"/>
      <c r="I21" s="137"/>
    </row>
  </sheetData>
  <mergeCells count="2">
    <mergeCell ref="A1:I1"/>
    <mergeCell ref="A2:I2"/>
  </mergeCells>
  <phoneticPr fontId="79" type="noConversion"/>
  <hyperlinks>
    <hyperlink ref="I3" location="底稿目录!A1" display="=底稿目录!F8"/>
  </hyperlinks>
  <pageMargins left="0.70866141732283505" right="0.70866141732283505" top="0.74803149606299202" bottom="0.74803149606299202" header="0.31496062992126" footer="0.31496062992126"/>
  <pageSetup paperSize="9" scale="70" fitToHeight="0" orientation="portrait" blackAndWhite="1" r:id="rId1"/>
  <headerFooter>
    <oddFooter>&amp;C&amp;P/&amp;N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O39"/>
  <sheetViews>
    <sheetView view="pageBreakPreview" topLeftCell="A19" zoomScaleNormal="130" workbookViewId="0">
      <selection activeCell="B9" sqref="B9"/>
    </sheetView>
  </sheetViews>
  <sheetFormatPr defaultColWidth="10" defaultRowHeight="15.6" x14ac:dyDescent="0.25"/>
  <cols>
    <col min="1" max="1" width="7" style="100" customWidth="1"/>
    <col min="2" max="2" width="14.21875" style="100" customWidth="1"/>
    <col min="3" max="3" width="17.109375" style="100" customWidth="1"/>
    <col min="4" max="4" width="17.44140625" style="100" customWidth="1"/>
    <col min="5" max="5" width="18.21875" style="100" customWidth="1"/>
    <col min="6" max="6" width="10.88671875" style="101" customWidth="1"/>
    <col min="7" max="7" width="8.88671875" style="101" customWidth="1"/>
    <col min="8" max="16384" width="10" style="100"/>
  </cols>
  <sheetData>
    <row r="1" spans="1:15" s="97" customFormat="1" ht="19.95" customHeight="1" x14ac:dyDescent="0.25">
      <c r="A1" s="368" t="s">
        <v>20</v>
      </c>
      <c r="B1" s="368"/>
      <c r="C1" s="368"/>
      <c r="D1" s="368"/>
      <c r="E1" s="368"/>
      <c r="F1" s="368"/>
      <c r="G1" s="368"/>
      <c r="H1" s="98"/>
      <c r="I1" s="98"/>
      <c r="J1" s="98"/>
      <c r="K1" s="98"/>
      <c r="L1" s="98"/>
      <c r="M1" s="98"/>
      <c r="N1" s="98"/>
      <c r="O1" s="98"/>
    </row>
    <row r="2" spans="1:15" s="98" customFormat="1" ht="19.95" customHeight="1" x14ac:dyDescent="0.25">
      <c r="A2" s="369" t="s">
        <v>237</v>
      </c>
      <c r="B2" s="369"/>
      <c r="C2" s="369"/>
      <c r="D2" s="369"/>
      <c r="E2" s="369"/>
      <c r="F2" s="369"/>
      <c r="G2" s="369"/>
    </row>
    <row r="3" spans="1:15" s="99" customFormat="1" ht="19.95" customHeight="1" x14ac:dyDescent="0.25">
      <c r="A3" s="49" t="str">
        <f>底稿目录!A2</f>
        <v>被审计单位：</v>
      </c>
      <c r="B3" s="102"/>
      <c r="D3" s="49" t="str">
        <f>底稿目录!A4</f>
        <v>编制人：</v>
      </c>
      <c r="E3" s="49" t="str">
        <f>底稿目录!A5</f>
        <v>编制日期：</v>
      </c>
      <c r="F3" s="103" t="s">
        <v>22</v>
      </c>
      <c r="G3" s="104"/>
      <c r="H3" s="49"/>
      <c r="I3" s="49"/>
      <c r="J3" s="49"/>
      <c r="K3" s="49"/>
      <c r="L3" s="96"/>
    </row>
    <row r="4" spans="1:15" s="99" customFormat="1" ht="19.95" customHeight="1" x14ac:dyDescent="0.25">
      <c r="A4" s="49" t="str">
        <f>底稿目录!A3</f>
        <v>截止日：202X年12月31日</v>
      </c>
      <c r="B4" s="102"/>
      <c r="D4" s="49" t="str">
        <f>底稿目录!A6</f>
        <v>复核人：</v>
      </c>
      <c r="E4" s="49" t="str">
        <f>底稿目录!A7</f>
        <v>复核日期：</v>
      </c>
      <c r="F4" s="103" t="s">
        <v>56</v>
      </c>
      <c r="G4" s="104"/>
      <c r="H4" s="49"/>
      <c r="I4" s="49"/>
      <c r="J4" s="49"/>
      <c r="K4" s="49"/>
      <c r="L4" s="96"/>
    </row>
    <row r="5" spans="1:15" s="99" customFormat="1" ht="19.95" customHeight="1" x14ac:dyDescent="0.25">
      <c r="A5" s="395" t="s">
        <v>238</v>
      </c>
      <c r="B5" s="395" t="s">
        <v>239</v>
      </c>
      <c r="C5" s="395"/>
      <c r="D5" s="395"/>
      <c r="E5" s="395" t="s">
        <v>240</v>
      </c>
      <c r="F5" s="396" t="s">
        <v>3</v>
      </c>
      <c r="G5" s="395" t="s">
        <v>241</v>
      </c>
      <c r="H5" s="49"/>
      <c r="I5" s="49"/>
      <c r="J5" s="49"/>
      <c r="K5" s="49"/>
      <c r="L5" s="96"/>
    </row>
    <row r="6" spans="1:15" s="99" customFormat="1" ht="19.95" customHeight="1" x14ac:dyDescent="0.25">
      <c r="A6" s="395"/>
      <c r="B6" s="395"/>
      <c r="C6" s="395"/>
      <c r="D6" s="395"/>
      <c r="E6" s="395"/>
      <c r="F6" s="397"/>
      <c r="G6" s="395"/>
      <c r="H6" s="49"/>
      <c r="I6" s="49"/>
      <c r="J6" s="49"/>
      <c r="K6" s="49"/>
      <c r="L6" s="96"/>
    </row>
    <row r="7" spans="1:15" s="99" customFormat="1" ht="19.95" customHeight="1" x14ac:dyDescent="0.25">
      <c r="A7" s="105" t="s">
        <v>242</v>
      </c>
      <c r="B7" s="398" t="s">
        <v>243</v>
      </c>
      <c r="C7" s="398"/>
      <c r="D7" s="398"/>
      <c r="E7" s="106">
        <v>1</v>
      </c>
      <c r="F7" s="105"/>
      <c r="G7" s="105"/>
      <c r="H7" s="49"/>
      <c r="I7" s="49"/>
      <c r="J7" s="49"/>
      <c r="K7" s="49"/>
      <c r="L7" s="96"/>
    </row>
    <row r="8" spans="1:15" s="99" customFormat="1" ht="19.95" customHeight="1" x14ac:dyDescent="0.25">
      <c r="A8" s="105" t="s">
        <v>244</v>
      </c>
      <c r="B8" s="107" t="s">
        <v>245</v>
      </c>
      <c r="C8" s="107"/>
      <c r="D8" s="107"/>
      <c r="E8" s="108">
        <f>SUM(E10:E12)</f>
        <v>1234</v>
      </c>
      <c r="F8" s="105"/>
      <c r="G8" s="105"/>
      <c r="H8" s="49"/>
      <c r="I8" s="49"/>
      <c r="J8" s="49"/>
      <c r="K8" s="49"/>
      <c r="L8" s="96"/>
    </row>
    <row r="9" spans="1:15" s="99" customFormat="1" ht="19.95" customHeight="1" x14ac:dyDescent="0.25">
      <c r="A9" s="109"/>
      <c r="B9" s="109" t="s">
        <v>246</v>
      </c>
      <c r="C9" s="109" t="s">
        <v>247</v>
      </c>
      <c r="D9" s="109" t="s">
        <v>248</v>
      </c>
      <c r="E9" s="110"/>
      <c r="F9" s="109"/>
      <c r="G9" s="109"/>
      <c r="H9" s="49"/>
      <c r="I9" s="49"/>
      <c r="J9" s="49"/>
      <c r="K9" s="49"/>
      <c r="L9" s="96"/>
    </row>
    <row r="10" spans="1:15" s="99" customFormat="1" ht="19.95" customHeight="1" x14ac:dyDescent="0.25">
      <c r="A10" s="105">
        <v>1</v>
      </c>
      <c r="B10" s="111">
        <v>45752</v>
      </c>
      <c r="C10" s="111">
        <v>45752</v>
      </c>
      <c r="D10" s="112">
        <v>1234</v>
      </c>
      <c r="E10" s="106">
        <v>1234</v>
      </c>
      <c r="F10" s="112">
        <v>123</v>
      </c>
      <c r="G10" s="112"/>
      <c r="H10" s="49"/>
      <c r="I10" s="49"/>
      <c r="J10" s="49"/>
      <c r="K10" s="49"/>
      <c r="L10" s="96"/>
    </row>
    <row r="11" spans="1:15" s="99" customFormat="1" ht="19.95" customHeight="1" x14ac:dyDescent="0.25">
      <c r="A11" s="105">
        <v>2</v>
      </c>
      <c r="B11" s="111"/>
      <c r="C11" s="111"/>
      <c r="D11" s="112"/>
      <c r="E11" s="106"/>
      <c r="F11" s="112"/>
      <c r="G11" s="112"/>
      <c r="H11" s="49"/>
      <c r="I11" s="49"/>
      <c r="J11" s="49"/>
      <c r="K11" s="49"/>
      <c r="L11" s="96"/>
    </row>
    <row r="12" spans="1:15" s="99" customFormat="1" ht="19.95" customHeight="1" x14ac:dyDescent="0.25">
      <c r="A12" s="105" t="s">
        <v>249</v>
      </c>
      <c r="B12" s="111"/>
      <c r="C12" s="111"/>
      <c r="D12" s="112"/>
      <c r="E12" s="106"/>
      <c r="F12" s="112"/>
      <c r="G12" s="112"/>
      <c r="H12" s="49"/>
      <c r="I12" s="49"/>
      <c r="J12" s="49"/>
      <c r="K12" s="49"/>
      <c r="L12" s="96"/>
    </row>
    <row r="13" spans="1:15" s="99" customFormat="1" ht="19.95" customHeight="1" x14ac:dyDescent="0.25">
      <c r="A13" s="105" t="s">
        <v>250</v>
      </c>
      <c r="B13" s="107" t="s">
        <v>251</v>
      </c>
      <c r="C13" s="107"/>
      <c r="D13" s="107"/>
      <c r="E13" s="108">
        <f>SUM(E15:E17)</f>
        <v>1234</v>
      </c>
      <c r="F13" s="105"/>
      <c r="G13" s="105"/>
      <c r="H13" s="49"/>
      <c r="I13" s="49"/>
      <c r="J13" s="49"/>
      <c r="K13" s="49"/>
      <c r="L13" s="96"/>
    </row>
    <row r="14" spans="1:15" s="99" customFormat="1" ht="19.95" customHeight="1" x14ac:dyDescent="0.25">
      <c r="A14" s="109"/>
      <c r="B14" s="109" t="s">
        <v>252</v>
      </c>
      <c r="C14" s="109" t="s">
        <v>253</v>
      </c>
      <c r="D14" s="109" t="s">
        <v>248</v>
      </c>
      <c r="E14" s="110"/>
      <c r="F14" s="109"/>
      <c r="G14" s="109"/>
      <c r="H14" s="49"/>
      <c r="I14" s="49"/>
      <c r="J14" s="49"/>
      <c r="K14" s="49"/>
      <c r="L14" s="96"/>
    </row>
    <row r="15" spans="1:15" s="99" customFormat="1" ht="19.95" customHeight="1" x14ac:dyDescent="0.25">
      <c r="A15" s="105">
        <v>1</v>
      </c>
      <c r="B15" s="111">
        <v>45752</v>
      </c>
      <c r="C15" s="111">
        <v>45752</v>
      </c>
      <c r="D15" s="112">
        <v>1234</v>
      </c>
      <c r="E15" s="106">
        <v>1234</v>
      </c>
      <c r="F15" s="112">
        <v>123</v>
      </c>
      <c r="G15" s="112"/>
      <c r="H15" s="49"/>
      <c r="I15" s="49"/>
      <c r="J15" s="49"/>
      <c r="K15" s="49"/>
      <c r="L15" s="96"/>
    </row>
    <row r="16" spans="1:15" s="99" customFormat="1" ht="19.95" customHeight="1" x14ac:dyDescent="0.25">
      <c r="A16" s="105">
        <v>2</v>
      </c>
      <c r="B16" s="111"/>
      <c r="C16" s="111"/>
      <c r="D16" s="112"/>
      <c r="E16" s="106"/>
      <c r="F16" s="112"/>
      <c r="G16" s="112"/>
      <c r="H16" s="49"/>
      <c r="I16" s="49"/>
      <c r="J16" s="49"/>
      <c r="K16" s="49"/>
      <c r="L16" s="96"/>
    </row>
    <row r="17" spans="1:12" s="99" customFormat="1" ht="19.95" customHeight="1" x14ac:dyDescent="0.25">
      <c r="A17" s="105" t="s">
        <v>249</v>
      </c>
      <c r="B17" s="111"/>
      <c r="C17" s="111"/>
      <c r="D17" s="112"/>
      <c r="E17" s="106"/>
      <c r="F17" s="112"/>
      <c r="G17" s="112"/>
      <c r="H17" s="49"/>
      <c r="I17" s="49"/>
      <c r="J17" s="49"/>
      <c r="K17" s="49"/>
      <c r="L17" s="96"/>
    </row>
    <row r="18" spans="1:12" s="99" customFormat="1" ht="19.95" customHeight="1" x14ac:dyDescent="0.25">
      <c r="A18" s="105" t="s">
        <v>254</v>
      </c>
      <c r="B18" s="394" t="s">
        <v>255</v>
      </c>
      <c r="C18" s="394"/>
      <c r="D18" s="394"/>
      <c r="E18" s="108">
        <f>E7+E8-E13</f>
        <v>1</v>
      </c>
      <c r="F18" s="105"/>
      <c r="G18" s="105"/>
      <c r="H18" s="49"/>
      <c r="I18" s="49"/>
      <c r="J18" s="49"/>
      <c r="K18" s="49"/>
      <c r="L18" s="96"/>
    </row>
    <row r="19" spans="1:12" s="99" customFormat="1" ht="19.95" customHeight="1" x14ac:dyDescent="0.25">
      <c r="A19" s="105" t="s">
        <v>256</v>
      </c>
      <c r="B19" s="398" t="s">
        <v>257</v>
      </c>
      <c r="C19" s="398"/>
      <c r="D19" s="398"/>
      <c r="E19" s="106"/>
      <c r="F19" s="105"/>
      <c r="G19" s="105"/>
      <c r="H19" s="49"/>
      <c r="I19" s="49"/>
      <c r="J19" s="49"/>
      <c r="K19" s="49"/>
      <c r="L19" s="96"/>
    </row>
    <row r="20" spans="1:12" s="99" customFormat="1" ht="19.95" customHeight="1" x14ac:dyDescent="0.25">
      <c r="A20" s="105" t="s">
        <v>258</v>
      </c>
      <c r="B20" s="107" t="s">
        <v>259</v>
      </c>
      <c r="C20" s="107"/>
      <c r="D20" s="107"/>
      <c r="E20" s="108">
        <f>SUM(E22:E24)</f>
        <v>1234</v>
      </c>
      <c r="F20" s="105"/>
      <c r="G20" s="105"/>
      <c r="H20" s="49"/>
      <c r="I20" s="49"/>
      <c r="J20" s="49"/>
      <c r="K20" s="49"/>
      <c r="L20" s="96"/>
    </row>
    <row r="21" spans="1:12" s="99" customFormat="1" ht="19.95" customHeight="1" x14ac:dyDescent="0.25">
      <c r="A21" s="109"/>
      <c r="B21" s="109" t="s">
        <v>246</v>
      </c>
      <c r="C21" s="109" t="s">
        <v>247</v>
      </c>
      <c r="D21" s="109" t="s">
        <v>248</v>
      </c>
      <c r="E21" s="110"/>
      <c r="F21" s="109"/>
      <c r="G21" s="109"/>
      <c r="H21" s="49"/>
      <c r="I21" s="49"/>
      <c r="J21" s="49"/>
      <c r="K21" s="49"/>
      <c r="L21" s="96"/>
    </row>
    <row r="22" spans="1:12" s="99" customFormat="1" ht="19.95" customHeight="1" x14ac:dyDescent="0.25">
      <c r="A22" s="105">
        <v>1</v>
      </c>
      <c r="B22" s="111">
        <v>45752</v>
      </c>
      <c r="C22" s="111">
        <v>45752</v>
      </c>
      <c r="D22" s="112">
        <v>1234</v>
      </c>
      <c r="E22" s="106">
        <v>1234</v>
      </c>
      <c r="F22" s="112">
        <v>123</v>
      </c>
      <c r="G22" s="112"/>
      <c r="H22" s="49"/>
      <c r="I22" s="49"/>
      <c r="J22" s="49"/>
      <c r="K22" s="49"/>
      <c r="L22" s="96"/>
    </row>
    <row r="23" spans="1:12" s="99" customFormat="1" ht="19.95" customHeight="1" x14ac:dyDescent="0.25">
      <c r="A23" s="105">
        <v>2</v>
      </c>
      <c r="B23" s="111"/>
      <c r="C23" s="111"/>
      <c r="D23" s="112"/>
      <c r="E23" s="106"/>
      <c r="F23" s="112"/>
      <c r="G23" s="112"/>
      <c r="H23" s="49"/>
      <c r="I23" s="49"/>
      <c r="J23" s="49"/>
      <c r="K23" s="49"/>
      <c r="L23" s="96"/>
    </row>
    <row r="24" spans="1:12" s="99" customFormat="1" ht="19.95" customHeight="1" x14ac:dyDescent="0.25">
      <c r="A24" s="105" t="s">
        <v>249</v>
      </c>
      <c r="B24" s="111"/>
      <c r="C24" s="111"/>
      <c r="D24" s="112"/>
      <c r="E24" s="106"/>
      <c r="F24" s="112"/>
      <c r="G24" s="112"/>
      <c r="H24" s="49"/>
      <c r="I24" s="49"/>
      <c r="J24" s="49"/>
      <c r="K24" s="49"/>
      <c r="L24" s="96"/>
    </row>
    <row r="25" spans="1:12" s="99" customFormat="1" ht="19.95" customHeight="1" x14ac:dyDescent="0.25">
      <c r="A25" s="105" t="s">
        <v>260</v>
      </c>
      <c r="B25" s="107" t="s">
        <v>261</v>
      </c>
      <c r="C25" s="107"/>
      <c r="D25" s="107"/>
      <c r="E25" s="108">
        <f>SUM(E27:E29)</f>
        <v>1234</v>
      </c>
      <c r="F25" s="105"/>
      <c r="G25" s="105"/>
      <c r="H25" s="49"/>
      <c r="I25" s="49"/>
      <c r="J25" s="49"/>
      <c r="K25" s="49"/>
      <c r="L25" s="96"/>
    </row>
    <row r="26" spans="1:12" s="99" customFormat="1" ht="19.95" customHeight="1" x14ac:dyDescent="0.25">
      <c r="A26" s="109"/>
      <c r="B26" s="109" t="s">
        <v>252</v>
      </c>
      <c r="C26" s="109" t="s">
        <v>253</v>
      </c>
      <c r="D26" s="109" t="s">
        <v>248</v>
      </c>
      <c r="E26" s="110"/>
      <c r="F26" s="109"/>
      <c r="G26" s="109"/>
      <c r="H26" s="49"/>
      <c r="I26" s="49"/>
      <c r="J26" s="49"/>
      <c r="K26" s="49"/>
      <c r="L26" s="96"/>
    </row>
    <row r="27" spans="1:12" s="99" customFormat="1" ht="19.95" customHeight="1" x14ac:dyDescent="0.25">
      <c r="A27" s="105">
        <v>1</v>
      </c>
      <c r="B27" s="111">
        <v>45752</v>
      </c>
      <c r="C27" s="111">
        <v>45752</v>
      </c>
      <c r="D27" s="112">
        <v>1234</v>
      </c>
      <c r="E27" s="106">
        <v>1234</v>
      </c>
      <c r="F27" s="112">
        <v>123</v>
      </c>
      <c r="G27" s="112"/>
      <c r="H27" s="49"/>
      <c r="I27" s="49"/>
      <c r="J27" s="49"/>
      <c r="K27" s="49"/>
      <c r="L27" s="96"/>
    </row>
    <row r="28" spans="1:12" s="99" customFormat="1" ht="19.95" customHeight="1" x14ac:dyDescent="0.25">
      <c r="A28" s="105">
        <v>2</v>
      </c>
      <c r="B28" s="111"/>
      <c r="C28" s="111"/>
      <c r="D28" s="112"/>
      <c r="E28" s="106"/>
      <c r="F28" s="112"/>
      <c r="G28" s="112"/>
      <c r="H28" s="49"/>
      <c r="I28" s="49"/>
      <c r="J28" s="49"/>
      <c r="K28" s="49"/>
      <c r="L28" s="96"/>
    </row>
    <row r="29" spans="1:12" s="99" customFormat="1" ht="19.95" customHeight="1" x14ac:dyDescent="0.25">
      <c r="A29" s="105" t="s">
        <v>249</v>
      </c>
      <c r="B29" s="111"/>
      <c r="C29" s="111"/>
      <c r="D29" s="112"/>
      <c r="E29" s="106"/>
      <c r="F29" s="112"/>
      <c r="G29" s="112"/>
      <c r="H29" s="49"/>
      <c r="I29" s="49"/>
      <c r="J29" s="49"/>
      <c r="K29" s="49"/>
      <c r="L29" s="96"/>
    </row>
    <row r="30" spans="1:12" s="99" customFormat="1" ht="19.95" customHeight="1" x14ac:dyDescent="0.25">
      <c r="A30" s="105" t="s">
        <v>262</v>
      </c>
      <c r="B30" s="394" t="s">
        <v>263</v>
      </c>
      <c r="C30" s="394"/>
      <c r="D30" s="394"/>
      <c r="E30" s="108">
        <f>E19+E20-E25</f>
        <v>0</v>
      </c>
      <c r="F30" s="105"/>
      <c r="G30" s="105"/>
      <c r="H30" s="49"/>
      <c r="I30" s="49"/>
      <c r="J30" s="49"/>
      <c r="K30" s="49"/>
      <c r="L30" s="96"/>
    </row>
    <row r="31" spans="1:12" s="99" customFormat="1" ht="19.95" customHeight="1" x14ac:dyDescent="0.25">
      <c r="A31" s="105" t="s">
        <v>264</v>
      </c>
      <c r="B31" s="394" t="s">
        <v>265</v>
      </c>
      <c r="C31" s="394"/>
      <c r="D31" s="394"/>
      <c r="E31" s="108">
        <f>E30-E18</f>
        <v>-1</v>
      </c>
      <c r="F31" s="105"/>
      <c r="G31" s="105"/>
      <c r="H31" s="49"/>
      <c r="I31" s="49"/>
      <c r="J31" s="49"/>
      <c r="K31" s="49"/>
      <c r="L31" s="96"/>
    </row>
    <row r="32" spans="1:12" s="99" customFormat="1" ht="19.95" customHeight="1" x14ac:dyDescent="0.25">
      <c r="A32" s="113" t="s">
        <v>266</v>
      </c>
      <c r="B32" s="114"/>
      <c r="C32" s="49"/>
      <c r="D32" s="49"/>
      <c r="E32" s="49"/>
      <c r="F32" s="115"/>
      <c r="G32" s="116"/>
      <c r="H32" s="49"/>
      <c r="I32" s="49"/>
      <c r="J32" s="49"/>
      <c r="K32" s="49"/>
      <c r="L32" s="96"/>
    </row>
    <row r="33" spans="1:7" ht="19.95" customHeight="1" x14ac:dyDescent="0.25">
      <c r="A33" s="117"/>
      <c r="B33" s="118"/>
      <c r="C33" s="118"/>
      <c r="D33" s="118"/>
      <c r="E33" s="118"/>
      <c r="F33" s="119"/>
      <c r="G33" s="120"/>
    </row>
    <row r="34" spans="1:7" x14ac:dyDescent="0.25">
      <c r="A34" s="99"/>
      <c r="B34" s="99"/>
      <c r="C34" s="99"/>
      <c r="D34" s="99"/>
      <c r="E34" s="99"/>
      <c r="F34" s="121"/>
      <c r="G34" s="121"/>
    </row>
    <row r="35" spans="1:7" x14ac:dyDescent="0.25">
      <c r="A35" s="122"/>
      <c r="B35" s="99"/>
      <c r="C35" s="99"/>
      <c r="D35" s="99"/>
      <c r="E35" s="99"/>
      <c r="F35" s="121"/>
      <c r="G35" s="121"/>
    </row>
    <row r="36" spans="1:7" x14ac:dyDescent="0.25">
      <c r="A36" s="99"/>
      <c r="B36" s="99"/>
      <c r="C36" s="99"/>
      <c r="D36" s="99"/>
      <c r="E36" s="99"/>
      <c r="F36" s="121"/>
      <c r="G36" s="121"/>
    </row>
    <row r="37" spans="1:7" x14ac:dyDescent="0.25">
      <c r="A37" s="99"/>
      <c r="B37" s="99"/>
      <c r="C37" s="99"/>
      <c r="D37" s="99"/>
      <c r="E37" s="99"/>
      <c r="F37" s="121"/>
      <c r="G37" s="121"/>
    </row>
    <row r="38" spans="1:7" x14ac:dyDescent="0.25">
      <c r="A38" s="99"/>
      <c r="B38" s="99"/>
      <c r="C38" s="99"/>
      <c r="D38" s="99"/>
      <c r="E38" s="99"/>
      <c r="F38" s="121"/>
      <c r="G38" s="121"/>
    </row>
    <row r="39" spans="1:7" x14ac:dyDescent="0.25">
      <c r="A39" s="99"/>
      <c r="B39" s="99"/>
      <c r="C39" s="99"/>
      <c r="D39" s="99"/>
      <c r="E39" s="99"/>
      <c r="F39" s="121"/>
      <c r="G39" s="121"/>
    </row>
  </sheetData>
  <mergeCells count="12">
    <mergeCell ref="A1:G1"/>
    <mergeCell ref="A2:G2"/>
    <mergeCell ref="B7:D7"/>
    <mergeCell ref="B18:D18"/>
    <mergeCell ref="B19:D19"/>
    <mergeCell ref="G5:G6"/>
    <mergeCell ref="B30:D30"/>
    <mergeCell ref="B31:D31"/>
    <mergeCell ref="A5:A6"/>
    <mergeCell ref="E5:E6"/>
    <mergeCell ref="F5:F6"/>
    <mergeCell ref="B5:D6"/>
  </mergeCells>
  <phoneticPr fontId="79" type="noConversion"/>
  <dataValidations count="1">
    <dataValidation type="list" allowBlank="1" showInputMessage="1" showErrorMessage="1" sqref="G10:G12 G15:G17 G22:G24 G27:G29">
      <formula1>"是,否"</formula1>
    </dataValidation>
  </dataValidations>
  <printOptions horizontalCentered="1"/>
  <pageMargins left="0.70866141732283505" right="0.35433070866141703" top="0.74803149606299202" bottom="0.511811023622047" header="0.31496062992126" footer="0.31496062992126"/>
  <pageSetup paperSize="9" scale="88" fitToHeight="5" orientation="portrait" blackAndWhite="1" r:id="rId1"/>
  <headerFooter>
    <oddFooter>&amp;C&amp;P/&amp;N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AB59"/>
  <sheetViews>
    <sheetView view="pageBreakPreview" zoomScaleNormal="115" workbookViewId="0">
      <selection sqref="A1:N1"/>
    </sheetView>
  </sheetViews>
  <sheetFormatPr defaultColWidth="10" defaultRowHeight="15.6" x14ac:dyDescent="0.25"/>
  <cols>
    <col min="1" max="1" width="10.109375" style="52" customWidth="1"/>
    <col min="2" max="2" width="11.33203125" style="52" customWidth="1"/>
    <col min="3" max="3" width="13.109375" style="52" customWidth="1"/>
    <col min="4" max="4" width="10.21875" style="52" customWidth="1"/>
    <col min="5" max="5" width="10.44140625" style="52" customWidth="1"/>
    <col min="6" max="6" width="10.77734375" style="52" customWidth="1"/>
    <col min="7" max="7" width="11.5546875" style="52" customWidth="1"/>
    <col min="8" max="8" width="10.5546875" style="52" customWidth="1"/>
    <col min="9" max="9" width="12.44140625" style="52" customWidth="1"/>
    <col min="10" max="10" width="11.33203125" style="52" customWidth="1"/>
    <col min="11" max="11" width="13.77734375" style="52" customWidth="1"/>
    <col min="12" max="12" width="11.77734375" style="52" customWidth="1"/>
    <col min="13" max="15" width="10" style="52"/>
    <col min="16" max="16" width="7.77734375" style="52" customWidth="1"/>
    <col min="17" max="17" width="8.44140625" style="52" customWidth="1"/>
    <col min="18" max="18" width="7.33203125" style="52" customWidth="1"/>
    <col min="19" max="19" width="8.88671875" style="52" customWidth="1"/>
    <col min="20" max="20" width="10.21875" style="52" customWidth="1"/>
    <col min="21" max="21" width="6.6640625" style="52" customWidth="1"/>
    <col min="22" max="22" width="5.21875" style="52" customWidth="1"/>
    <col min="23" max="23" width="9.6640625" style="52" customWidth="1"/>
    <col min="24" max="24" width="4" style="52" customWidth="1"/>
    <col min="25" max="16384" width="10" style="52"/>
  </cols>
  <sheetData>
    <row r="1" spans="1:28" s="47" customFormat="1" ht="19.95" customHeight="1" x14ac:dyDescent="0.25">
      <c r="A1" s="400" t="s">
        <v>20</v>
      </c>
      <c r="B1" s="400"/>
      <c r="C1" s="400"/>
      <c r="D1" s="400"/>
      <c r="E1" s="400"/>
      <c r="F1" s="400"/>
      <c r="G1" s="400"/>
      <c r="H1" s="400"/>
      <c r="I1" s="400"/>
      <c r="J1" s="400"/>
      <c r="K1" s="400"/>
      <c r="L1" s="400"/>
      <c r="M1" s="400"/>
      <c r="N1" s="400"/>
      <c r="O1" s="48"/>
      <c r="P1" s="48"/>
      <c r="Q1" s="48"/>
      <c r="R1" s="48"/>
      <c r="S1" s="49"/>
      <c r="T1" s="49"/>
      <c r="U1" s="49"/>
      <c r="V1" s="49"/>
      <c r="W1" s="49"/>
      <c r="X1" s="53"/>
      <c r="Y1" s="48"/>
      <c r="Z1" s="48"/>
      <c r="AA1" s="48"/>
      <c r="AB1" s="48"/>
    </row>
    <row r="2" spans="1:28" s="48" customFormat="1" ht="19.95" customHeight="1" x14ac:dyDescent="0.25">
      <c r="A2" s="401" t="s">
        <v>267</v>
      </c>
      <c r="B2" s="401"/>
      <c r="C2" s="401"/>
      <c r="D2" s="401"/>
      <c r="E2" s="401"/>
      <c r="F2" s="401"/>
      <c r="G2" s="401"/>
      <c r="H2" s="401"/>
      <c r="I2" s="401"/>
      <c r="J2" s="401"/>
      <c r="K2" s="401"/>
      <c r="L2" s="401"/>
      <c r="M2" s="401"/>
      <c r="N2" s="401"/>
      <c r="O2" s="94"/>
      <c r="P2" s="94"/>
      <c r="Q2" s="94"/>
      <c r="R2" s="94"/>
      <c r="S2" s="16"/>
      <c r="T2" s="49"/>
      <c r="U2" s="49"/>
      <c r="V2" s="49"/>
      <c r="W2" s="49"/>
      <c r="X2" s="53"/>
    </row>
    <row r="3" spans="1:28" s="49" customFormat="1" ht="19.95" customHeight="1" x14ac:dyDescent="0.25">
      <c r="A3" s="25" t="str">
        <f>底稿目录!A2</f>
        <v>被审计单位：</v>
      </c>
      <c r="E3" s="25" t="str">
        <f>底稿目录!A4</f>
        <v>编制人：</v>
      </c>
      <c r="J3" s="25" t="str">
        <f>底稿目录!A5</f>
        <v>编制日期：</v>
      </c>
      <c r="M3" s="25" t="s">
        <v>55</v>
      </c>
      <c r="N3" s="42" t="str">
        <f>底稿目录!F9</f>
        <v>L0-5</v>
      </c>
      <c r="U3" s="96"/>
    </row>
    <row r="4" spans="1:28" s="49" customFormat="1" ht="19.95" customHeight="1" x14ac:dyDescent="0.25">
      <c r="A4" s="25" t="str">
        <f>底稿目录!A3</f>
        <v>截止日：202X年12月31日</v>
      </c>
      <c r="E4" s="25" t="str">
        <f>底稿目录!A6</f>
        <v>复核人：</v>
      </c>
      <c r="J4" s="25" t="str">
        <f>底稿目录!A7</f>
        <v>复核日期：</v>
      </c>
      <c r="M4" s="25" t="s">
        <v>268</v>
      </c>
      <c r="U4" s="96"/>
    </row>
    <row r="5" spans="1:28" s="50" customFormat="1" ht="20.100000000000001" customHeight="1" x14ac:dyDescent="0.25">
      <c r="A5" s="54" t="s">
        <v>269</v>
      </c>
      <c r="B5" s="54"/>
      <c r="C5" s="54"/>
      <c r="D5" s="54"/>
      <c r="E5" s="54"/>
      <c r="F5" s="54"/>
      <c r="G5" s="54"/>
      <c r="H5" s="54"/>
      <c r="I5" s="54"/>
      <c r="J5" s="54"/>
    </row>
    <row r="6" spans="1:28" s="50" customFormat="1" ht="20.100000000000001" customHeight="1" x14ac:dyDescent="0.3">
      <c r="A6" s="55" t="s">
        <v>270</v>
      </c>
      <c r="B6" s="56" t="s">
        <v>271</v>
      </c>
      <c r="C6" s="57"/>
      <c r="D6" s="57"/>
      <c r="E6" s="57"/>
      <c r="F6" s="55"/>
      <c r="G6" s="55" t="s">
        <v>272</v>
      </c>
      <c r="H6" s="56" t="s">
        <v>273</v>
      </c>
      <c r="I6" s="57"/>
      <c r="J6" s="59"/>
    </row>
    <row r="7" spans="1:28" s="50" customFormat="1" ht="20.100000000000001" customHeight="1" x14ac:dyDescent="0.3">
      <c r="A7" s="55" t="s">
        <v>274</v>
      </c>
      <c r="B7" s="56" t="s">
        <v>275</v>
      </c>
      <c r="C7" s="57"/>
      <c r="D7" s="57"/>
      <c r="E7" s="57"/>
      <c r="F7" s="55"/>
      <c r="G7" s="55" t="s">
        <v>276</v>
      </c>
      <c r="H7" s="56" t="s">
        <v>277</v>
      </c>
      <c r="I7" s="56" t="s">
        <v>278</v>
      </c>
      <c r="J7" s="59"/>
      <c r="L7" s="95"/>
    </row>
    <row r="8" spans="1:28" s="50" customFormat="1" ht="20.100000000000001" customHeight="1" x14ac:dyDescent="0.3">
      <c r="A8" s="55" t="s">
        <v>279</v>
      </c>
      <c r="B8" s="243" t="s">
        <v>383</v>
      </c>
      <c r="C8" s="57"/>
      <c r="D8" s="57"/>
      <c r="E8" s="57"/>
      <c r="F8" s="55"/>
      <c r="G8" s="55" t="s">
        <v>280</v>
      </c>
      <c r="H8" s="56" t="s">
        <v>281</v>
      </c>
      <c r="I8" s="57"/>
      <c r="J8" s="59"/>
      <c r="L8" s="95"/>
    </row>
    <row r="9" spans="1:28" s="50" customFormat="1" ht="20.100000000000001" customHeight="1" x14ac:dyDescent="0.25">
      <c r="A9" s="58" t="s">
        <v>282</v>
      </c>
      <c r="B9" s="59"/>
      <c r="C9" s="59"/>
      <c r="D9" s="59"/>
      <c r="E9" s="59"/>
      <c r="F9" s="59"/>
      <c r="G9" s="59"/>
      <c r="H9" s="59"/>
      <c r="I9" s="59"/>
      <c r="J9" s="59"/>
      <c r="L9" s="95"/>
    </row>
    <row r="10" spans="1:28" s="50" customFormat="1" ht="19.95" customHeight="1" x14ac:dyDescent="0.25">
      <c r="A10" s="60" t="s">
        <v>283</v>
      </c>
      <c r="B10" s="60" t="s">
        <v>284</v>
      </c>
      <c r="C10" s="61" t="s">
        <v>285</v>
      </c>
      <c r="D10" s="61" t="s">
        <v>286</v>
      </c>
      <c r="E10" s="61" t="s">
        <v>287</v>
      </c>
      <c r="F10" s="59"/>
      <c r="G10" s="59"/>
      <c r="H10" s="59"/>
      <c r="I10" s="59"/>
      <c r="J10" s="59"/>
      <c r="L10" s="95"/>
    </row>
    <row r="11" spans="1:28" s="50" customFormat="1" ht="19.95" customHeight="1" x14ac:dyDescent="0.25">
      <c r="A11" s="62"/>
      <c r="B11" s="63"/>
      <c r="C11" s="64"/>
      <c r="D11" s="64"/>
      <c r="E11" s="65">
        <f>B11+D11-C11</f>
        <v>0</v>
      </c>
      <c r="F11" s="59"/>
      <c r="G11" s="59"/>
      <c r="H11" s="59"/>
      <c r="I11" s="59"/>
      <c r="J11" s="59"/>
      <c r="L11" s="95"/>
    </row>
    <row r="12" spans="1:28" s="50" customFormat="1" ht="20.100000000000001" customHeight="1" x14ac:dyDescent="0.25">
      <c r="A12" s="54"/>
      <c r="C12" s="54"/>
      <c r="D12" s="54"/>
      <c r="E12" s="54"/>
      <c r="F12" s="54"/>
      <c r="G12" s="54"/>
      <c r="H12" s="54"/>
      <c r="I12" s="54"/>
      <c r="J12" s="54"/>
    </row>
    <row r="13" spans="1:28" s="51" customFormat="1" ht="20.100000000000001" customHeight="1" x14ac:dyDescent="0.25">
      <c r="A13" s="66" t="s">
        <v>288</v>
      </c>
      <c r="B13" s="67"/>
      <c r="C13" s="67"/>
      <c r="D13" s="67"/>
      <c r="E13" s="67"/>
      <c r="F13" s="67"/>
      <c r="G13" s="68"/>
      <c r="H13" s="67"/>
      <c r="I13" s="67"/>
      <c r="J13" s="67"/>
      <c r="K13" s="67"/>
      <c r="L13" s="67"/>
      <c r="M13" s="67"/>
      <c r="N13" s="67"/>
    </row>
    <row r="14" spans="1:28" s="51" customFormat="1" ht="20.100000000000001" customHeight="1" x14ac:dyDescent="0.25">
      <c r="A14" s="69" t="s">
        <v>289</v>
      </c>
      <c r="B14" s="69"/>
      <c r="C14" s="69"/>
      <c r="D14" s="69"/>
      <c r="E14" s="69"/>
      <c r="F14" s="70" t="s">
        <v>290</v>
      </c>
      <c r="G14" s="69"/>
      <c r="H14" s="69"/>
      <c r="I14" s="69"/>
      <c r="J14" s="70" t="s">
        <v>291</v>
      </c>
      <c r="K14" s="70"/>
      <c r="L14" s="70"/>
      <c r="M14" s="70"/>
      <c r="N14" s="399" t="s">
        <v>292</v>
      </c>
    </row>
    <row r="15" spans="1:28" s="51" customFormat="1" ht="20.100000000000001" customHeight="1" x14ac:dyDescent="0.25">
      <c r="A15" s="60" t="s">
        <v>293</v>
      </c>
      <c r="B15" s="60" t="s">
        <v>294</v>
      </c>
      <c r="C15" s="60" t="s">
        <v>295</v>
      </c>
      <c r="D15" s="60" t="s">
        <v>296</v>
      </c>
      <c r="E15" s="60" t="s">
        <v>297</v>
      </c>
      <c r="F15" s="60" t="s">
        <v>298</v>
      </c>
      <c r="G15" s="60" t="s">
        <v>299</v>
      </c>
      <c r="H15" s="60" t="s">
        <v>300</v>
      </c>
      <c r="I15" s="60" t="s">
        <v>301</v>
      </c>
      <c r="J15" s="60" t="s">
        <v>298</v>
      </c>
      <c r="K15" s="60" t="s">
        <v>299</v>
      </c>
      <c r="L15" s="60" t="s">
        <v>300</v>
      </c>
      <c r="M15" s="60" t="s">
        <v>301</v>
      </c>
      <c r="N15" s="399"/>
    </row>
    <row r="16" spans="1:28" s="51" customFormat="1" ht="20.100000000000001" customHeight="1" x14ac:dyDescent="0.25">
      <c r="A16" s="71"/>
      <c r="B16" s="72"/>
      <c r="C16" s="73"/>
      <c r="D16" s="73"/>
      <c r="E16" s="74"/>
      <c r="F16" s="75"/>
      <c r="G16" s="73"/>
      <c r="H16" s="73"/>
      <c r="I16" s="73"/>
      <c r="J16" s="75"/>
      <c r="K16" s="73"/>
      <c r="L16" s="73"/>
      <c r="M16" s="73"/>
      <c r="N16" s="73"/>
    </row>
    <row r="17" spans="1:14" s="51" customFormat="1" ht="20.100000000000001" customHeight="1" x14ac:dyDescent="0.25">
      <c r="A17" s="71"/>
      <c r="B17" s="72"/>
      <c r="C17" s="73"/>
      <c r="D17" s="73"/>
      <c r="E17" s="74"/>
      <c r="F17" s="75"/>
      <c r="G17" s="73"/>
      <c r="H17" s="73"/>
      <c r="I17" s="73"/>
      <c r="J17" s="75"/>
      <c r="K17" s="73"/>
      <c r="L17" s="73"/>
      <c r="M17" s="73"/>
      <c r="N17" s="73"/>
    </row>
    <row r="18" spans="1:14" s="51" customFormat="1" ht="20.100000000000001" customHeight="1" x14ac:dyDescent="0.25">
      <c r="A18" s="71"/>
      <c r="B18" s="72"/>
      <c r="C18" s="73"/>
      <c r="D18" s="73"/>
      <c r="E18" s="74"/>
      <c r="F18" s="75"/>
      <c r="G18" s="73"/>
      <c r="H18" s="73"/>
      <c r="I18" s="73"/>
      <c r="J18" s="75"/>
      <c r="K18" s="73"/>
      <c r="L18" s="73"/>
      <c r="M18" s="73"/>
      <c r="N18" s="73"/>
    </row>
    <row r="19" spans="1:14" s="341" customFormat="1" ht="20.100000000000001" customHeight="1" x14ac:dyDescent="0.25">
      <c r="A19" s="332" t="s">
        <v>381</v>
      </c>
      <c r="B19" s="337"/>
      <c r="C19" s="338"/>
      <c r="D19" s="338"/>
      <c r="E19" s="339">
        <f>SUM(E16:E18)</f>
        <v>0</v>
      </c>
      <c r="F19" s="340"/>
      <c r="G19" s="338"/>
      <c r="H19" s="338"/>
      <c r="I19" s="338"/>
      <c r="J19" s="340"/>
      <c r="K19" s="338"/>
      <c r="L19" s="338"/>
      <c r="M19" s="338"/>
      <c r="N19" s="338"/>
    </row>
    <row r="20" spans="1:14" s="51" customFormat="1" ht="20.100000000000001" customHeight="1" x14ac:dyDescent="0.25">
      <c r="A20" s="66" t="s">
        <v>302</v>
      </c>
      <c r="B20" s="76"/>
      <c r="C20" s="67"/>
      <c r="D20" s="67"/>
      <c r="E20" s="67"/>
      <c r="F20" s="67"/>
      <c r="G20" s="68"/>
      <c r="H20" s="67"/>
      <c r="I20" s="67"/>
      <c r="J20" s="67"/>
      <c r="K20" s="67"/>
      <c r="L20" s="67"/>
      <c r="M20" s="67"/>
      <c r="N20" s="67"/>
    </row>
    <row r="21" spans="1:14" s="51" customFormat="1" ht="20.100000000000001" customHeight="1" x14ac:dyDescent="0.25">
      <c r="A21" s="69" t="s">
        <v>289</v>
      </c>
      <c r="B21" s="77"/>
      <c r="C21" s="69"/>
      <c r="D21" s="69"/>
      <c r="E21" s="69"/>
      <c r="F21" s="402" t="s">
        <v>290</v>
      </c>
      <c r="G21" s="402"/>
      <c r="H21" s="402"/>
      <c r="I21" s="402"/>
      <c r="J21" s="70" t="s">
        <v>291</v>
      </c>
      <c r="K21" s="70"/>
      <c r="L21" s="70"/>
      <c r="M21" s="70"/>
      <c r="N21" s="399" t="s">
        <v>292</v>
      </c>
    </row>
    <row r="22" spans="1:14" s="51" customFormat="1" ht="20.100000000000001" customHeight="1" x14ac:dyDescent="0.25">
      <c r="A22" s="78" t="s">
        <v>293</v>
      </c>
      <c r="B22" s="79" t="s">
        <v>303</v>
      </c>
      <c r="C22" s="78" t="s">
        <v>295</v>
      </c>
      <c r="D22" s="78" t="s">
        <v>304</v>
      </c>
      <c r="E22" s="78" t="s">
        <v>305</v>
      </c>
      <c r="F22" s="80" t="s">
        <v>298</v>
      </c>
      <c r="G22" s="80" t="s">
        <v>299</v>
      </c>
      <c r="H22" s="80" t="s">
        <v>300</v>
      </c>
      <c r="I22" s="80" t="s">
        <v>301</v>
      </c>
      <c r="J22" s="80" t="s">
        <v>298</v>
      </c>
      <c r="K22" s="80" t="s">
        <v>299</v>
      </c>
      <c r="L22" s="80" t="s">
        <v>300</v>
      </c>
      <c r="M22" s="80" t="s">
        <v>301</v>
      </c>
      <c r="N22" s="399"/>
    </row>
    <row r="23" spans="1:14" s="51" customFormat="1" ht="20.100000000000001" customHeight="1" x14ac:dyDescent="0.25">
      <c r="A23" s="71"/>
      <c r="B23" s="72"/>
      <c r="C23" s="73"/>
      <c r="D23" s="73"/>
      <c r="E23" s="74"/>
      <c r="F23" s="75"/>
      <c r="G23" s="73"/>
      <c r="H23" s="73"/>
      <c r="I23" s="73"/>
      <c r="J23" s="75"/>
      <c r="K23" s="73"/>
      <c r="L23" s="73"/>
      <c r="M23" s="73"/>
      <c r="N23" s="73"/>
    </row>
    <row r="24" spans="1:14" s="51" customFormat="1" ht="20.100000000000001" customHeight="1" x14ac:dyDescent="0.25">
      <c r="A24" s="71"/>
      <c r="B24" s="72"/>
      <c r="C24" s="73"/>
      <c r="D24" s="73"/>
      <c r="E24" s="74"/>
      <c r="F24" s="75"/>
      <c r="G24" s="73"/>
      <c r="H24" s="73"/>
      <c r="I24" s="73"/>
      <c r="J24" s="75"/>
      <c r="K24" s="73"/>
      <c r="L24" s="73"/>
      <c r="M24" s="73"/>
      <c r="N24" s="73"/>
    </row>
    <row r="25" spans="1:14" s="51" customFormat="1" ht="20.100000000000001" customHeight="1" x14ac:dyDescent="0.25">
      <c r="A25" s="71"/>
      <c r="B25" s="72"/>
      <c r="C25" s="73"/>
      <c r="D25" s="73"/>
      <c r="E25" s="74"/>
      <c r="F25" s="75"/>
      <c r="G25" s="73"/>
      <c r="H25" s="73"/>
      <c r="I25" s="73"/>
      <c r="J25" s="75"/>
      <c r="K25" s="73"/>
      <c r="L25" s="73"/>
      <c r="M25" s="73"/>
      <c r="N25" s="73"/>
    </row>
    <row r="26" spans="1:14" s="336" customFormat="1" ht="20.100000000000001" customHeight="1" x14ac:dyDescent="0.25">
      <c r="A26" s="332" t="s">
        <v>381</v>
      </c>
      <c r="B26" s="333"/>
      <c r="C26" s="334"/>
      <c r="D26" s="334"/>
      <c r="E26" s="339">
        <f>SUM(E23:E25)</f>
        <v>0</v>
      </c>
      <c r="F26" s="335"/>
      <c r="G26" s="334"/>
      <c r="H26" s="334"/>
      <c r="I26" s="334"/>
      <c r="J26" s="335"/>
      <c r="K26" s="334"/>
      <c r="L26" s="334"/>
      <c r="M26" s="334"/>
      <c r="N26" s="334"/>
    </row>
    <row r="27" spans="1:14" s="51" customFormat="1" ht="20.100000000000001" customHeight="1" x14ac:dyDescent="0.25">
      <c r="A27" s="66" t="s">
        <v>306</v>
      </c>
      <c r="B27" s="81"/>
      <c r="C27" s="67"/>
      <c r="D27" s="82"/>
      <c r="E27" s="83" t="s">
        <v>307</v>
      </c>
      <c r="F27" s="67"/>
      <c r="G27" s="68"/>
      <c r="H27" s="67"/>
      <c r="I27" s="67"/>
      <c r="J27" s="67"/>
      <c r="K27" s="67"/>
      <c r="L27" s="67"/>
      <c r="M27" s="67"/>
      <c r="N27" s="67"/>
    </row>
    <row r="28" spans="1:14" s="51" customFormat="1" ht="20.100000000000001" customHeight="1" x14ac:dyDescent="0.25">
      <c r="A28" s="66" t="s">
        <v>308</v>
      </c>
      <c r="B28" s="84"/>
      <c r="C28" s="67"/>
      <c r="D28" s="67"/>
      <c r="E28" s="85"/>
      <c r="F28" s="67"/>
      <c r="G28" s="67"/>
      <c r="H28" s="67"/>
      <c r="I28" s="67"/>
      <c r="J28" s="67"/>
      <c r="K28" s="67"/>
      <c r="L28" s="67"/>
      <c r="M28" s="67"/>
      <c r="N28" s="67"/>
    </row>
    <row r="29" spans="1:14" s="51" customFormat="1" ht="20.100000000000001" customHeight="1" x14ac:dyDescent="0.25">
      <c r="A29" s="67" t="s">
        <v>309</v>
      </c>
      <c r="B29" s="86"/>
      <c r="C29" s="67"/>
      <c r="D29" s="67"/>
      <c r="E29" s="85"/>
      <c r="F29" s="67"/>
      <c r="G29" s="67"/>
      <c r="H29" s="67"/>
      <c r="I29" s="67"/>
      <c r="J29" s="67"/>
      <c r="K29" s="67"/>
      <c r="L29" s="67"/>
      <c r="M29" s="67"/>
      <c r="N29" s="67"/>
    </row>
    <row r="30" spans="1:14" s="51" customFormat="1" ht="20.100000000000001" customHeight="1" x14ac:dyDescent="0.25">
      <c r="A30" s="69" t="s">
        <v>289</v>
      </c>
      <c r="B30" s="77"/>
      <c r="C30" s="69"/>
      <c r="D30" s="69"/>
      <c r="E30" s="69"/>
      <c r="F30" s="70" t="s">
        <v>290</v>
      </c>
      <c r="G30" s="69"/>
      <c r="H30" s="69"/>
      <c r="I30" s="69"/>
      <c r="J30" s="70" t="s">
        <v>291</v>
      </c>
      <c r="K30" s="70"/>
      <c r="L30" s="70"/>
      <c r="M30" s="70"/>
      <c r="N30" s="399" t="s">
        <v>292</v>
      </c>
    </row>
    <row r="31" spans="1:14" s="51" customFormat="1" ht="20.100000000000001" customHeight="1" x14ac:dyDescent="0.25">
      <c r="A31" s="78" t="s">
        <v>293</v>
      </c>
      <c r="B31" s="79" t="s">
        <v>294</v>
      </c>
      <c r="C31" s="78" t="s">
        <v>295</v>
      </c>
      <c r="D31" s="78" t="s">
        <v>296</v>
      </c>
      <c r="E31" s="78" t="s">
        <v>310</v>
      </c>
      <c r="F31" s="80" t="s">
        <v>298</v>
      </c>
      <c r="G31" s="80" t="s">
        <v>299</v>
      </c>
      <c r="H31" s="80" t="s">
        <v>300</v>
      </c>
      <c r="I31" s="80" t="s">
        <v>301</v>
      </c>
      <c r="J31" s="80" t="s">
        <v>298</v>
      </c>
      <c r="K31" s="80" t="s">
        <v>299</v>
      </c>
      <c r="L31" s="80" t="s">
        <v>300</v>
      </c>
      <c r="M31" s="80" t="s">
        <v>301</v>
      </c>
      <c r="N31" s="399"/>
    </row>
    <row r="32" spans="1:14" s="51" customFormat="1" ht="20.100000000000001" customHeight="1" x14ac:dyDescent="0.25">
      <c r="A32" s="71"/>
      <c r="B32" s="72"/>
      <c r="C32" s="73"/>
      <c r="D32" s="73"/>
      <c r="E32" s="74"/>
      <c r="F32" s="75"/>
      <c r="G32" s="73"/>
      <c r="H32" s="73"/>
      <c r="I32" s="73"/>
      <c r="J32" s="75"/>
      <c r="K32" s="73"/>
      <c r="L32" s="73"/>
      <c r="M32" s="73"/>
      <c r="N32" s="73"/>
    </row>
    <row r="33" spans="1:14" s="51" customFormat="1" ht="20.100000000000001" customHeight="1" x14ac:dyDescent="0.25">
      <c r="A33" s="71"/>
      <c r="B33" s="72"/>
      <c r="C33" s="73"/>
      <c r="D33" s="73"/>
      <c r="E33" s="74"/>
      <c r="F33" s="75"/>
      <c r="G33" s="73"/>
      <c r="H33" s="73"/>
      <c r="I33" s="73"/>
      <c r="J33" s="75"/>
      <c r="K33" s="73"/>
      <c r="L33" s="73"/>
      <c r="M33" s="73"/>
      <c r="N33" s="73"/>
    </row>
    <row r="34" spans="1:14" s="51" customFormat="1" ht="20.100000000000001" customHeight="1" x14ac:dyDescent="0.25">
      <c r="A34" s="71"/>
      <c r="B34" s="72"/>
      <c r="C34" s="73"/>
      <c r="D34" s="73"/>
      <c r="E34" s="74"/>
      <c r="F34" s="75"/>
      <c r="G34" s="73"/>
      <c r="H34" s="73"/>
      <c r="I34" s="73"/>
      <c r="J34" s="75"/>
      <c r="K34" s="73"/>
      <c r="L34" s="73"/>
      <c r="M34" s="73"/>
      <c r="N34" s="73"/>
    </row>
    <row r="35" spans="1:14" s="51" customFormat="1" ht="20.100000000000001" customHeight="1" x14ac:dyDescent="0.25">
      <c r="A35" s="71"/>
      <c r="B35" s="72"/>
      <c r="C35" s="73"/>
      <c r="D35" s="73"/>
      <c r="E35" s="74"/>
      <c r="F35" s="75"/>
      <c r="G35" s="73"/>
      <c r="H35" s="73"/>
      <c r="I35" s="73"/>
      <c r="J35" s="75"/>
      <c r="K35" s="73"/>
      <c r="L35" s="73"/>
      <c r="M35" s="73"/>
      <c r="N35" s="73"/>
    </row>
    <row r="36" spans="1:14" s="336" customFormat="1" ht="20.100000000000001" customHeight="1" x14ac:dyDescent="0.25">
      <c r="A36" s="332" t="s">
        <v>381</v>
      </c>
      <c r="B36" s="333"/>
      <c r="C36" s="334"/>
      <c r="D36" s="334"/>
      <c r="E36" s="339">
        <f>SUM(E32:E35)</f>
        <v>0</v>
      </c>
      <c r="F36" s="335"/>
      <c r="G36" s="334"/>
      <c r="H36" s="334"/>
      <c r="I36" s="334"/>
      <c r="J36" s="335"/>
      <c r="K36" s="334"/>
      <c r="L36" s="334"/>
      <c r="M36" s="334"/>
      <c r="N36" s="334"/>
    </row>
    <row r="37" spans="1:14" s="51" customFormat="1" ht="20.100000000000001" customHeight="1" x14ac:dyDescent="0.25">
      <c r="A37" s="67" t="s">
        <v>311</v>
      </c>
      <c r="B37" s="86"/>
      <c r="C37" s="67"/>
      <c r="D37" s="67"/>
      <c r="E37" s="85"/>
      <c r="F37" s="67"/>
      <c r="G37" s="67"/>
      <c r="H37" s="67"/>
      <c r="I37" s="67"/>
      <c r="J37" s="67"/>
      <c r="K37" s="67"/>
      <c r="L37" s="67"/>
      <c r="M37" s="67"/>
      <c r="N37" s="67"/>
    </row>
    <row r="38" spans="1:14" s="51" customFormat="1" ht="20.100000000000001" customHeight="1" x14ac:dyDescent="0.25">
      <c r="A38" s="69" t="s">
        <v>289</v>
      </c>
      <c r="B38" s="77"/>
      <c r="C38" s="69"/>
      <c r="D38" s="69"/>
      <c r="E38" s="69"/>
      <c r="F38" s="70" t="s">
        <v>290</v>
      </c>
      <c r="G38" s="69"/>
      <c r="H38" s="69"/>
      <c r="I38" s="69"/>
      <c r="J38" s="70" t="s">
        <v>291</v>
      </c>
      <c r="K38" s="70"/>
      <c r="L38" s="70"/>
      <c r="M38" s="70"/>
      <c r="N38" s="399" t="s">
        <v>292</v>
      </c>
    </row>
    <row r="39" spans="1:14" s="51" customFormat="1" ht="20.100000000000001" customHeight="1" x14ac:dyDescent="0.25">
      <c r="A39" s="78" t="s">
        <v>293</v>
      </c>
      <c r="B39" s="79" t="s">
        <v>303</v>
      </c>
      <c r="C39" s="78" t="s">
        <v>295</v>
      </c>
      <c r="D39" s="78" t="s">
        <v>304</v>
      </c>
      <c r="E39" s="78" t="s">
        <v>305</v>
      </c>
      <c r="F39" s="80" t="s">
        <v>298</v>
      </c>
      <c r="G39" s="80" t="s">
        <v>299</v>
      </c>
      <c r="H39" s="80" t="s">
        <v>300</v>
      </c>
      <c r="I39" s="80" t="s">
        <v>301</v>
      </c>
      <c r="J39" s="80" t="s">
        <v>298</v>
      </c>
      <c r="K39" s="80" t="s">
        <v>299</v>
      </c>
      <c r="L39" s="80" t="s">
        <v>300</v>
      </c>
      <c r="M39" s="80" t="s">
        <v>301</v>
      </c>
      <c r="N39" s="399"/>
    </row>
    <row r="40" spans="1:14" s="51" customFormat="1" ht="20.100000000000001" customHeight="1" x14ac:dyDescent="0.25">
      <c r="A40" s="71"/>
      <c r="B40" s="72"/>
      <c r="C40" s="73"/>
      <c r="D40" s="73"/>
      <c r="E40" s="74"/>
      <c r="F40" s="75"/>
      <c r="G40" s="73"/>
      <c r="H40" s="73"/>
      <c r="I40" s="73"/>
      <c r="J40" s="75"/>
      <c r="K40" s="73"/>
      <c r="L40" s="73"/>
      <c r="M40" s="73"/>
      <c r="N40" s="73"/>
    </row>
    <row r="41" spans="1:14" s="51" customFormat="1" ht="20.100000000000001" customHeight="1" x14ac:dyDescent="0.25">
      <c r="A41" s="71"/>
      <c r="B41" s="72"/>
      <c r="C41" s="73"/>
      <c r="D41" s="73"/>
      <c r="E41" s="74"/>
      <c r="F41" s="75"/>
      <c r="G41" s="73"/>
      <c r="H41" s="73"/>
      <c r="I41" s="73"/>
      <c r="J41" s="75"/>
      <c r="K41" s="73"/>
      <c r="L41" s="73"/>
      <c r="M41" s="73"/>
      <c r="N41" s="73"/>
    </row>
    <row r="42" spans="1:14" s="51" customFormat="1" ht="20.100000000000001" customHeight="1" x14ac:dyDescent="0.25">
      <c r="A42" s="71"/>
      <c r="B42" s="72"/>
      <c r="C42" s="73"/>
      <c r="D42" s="73"/>
      <c r="E42" s="74"/>
      <c r="F42" s="75"/>
      <c r="G42" s="73"/>
      <c r="H42" s="73"/>
      <c r="I42" s="73"/>
      <c r="J42" s="75"/>
      <c r="K42" s="73"/>
      <c r="L42" s="73"/>
      <c r="M42" s="73"/>
      <c r="N42" s="73"/>
    </row>
    <row r="43" spans="1:14" s="51" customFormat="1" ht="20.100000000000001" customHeight="1" x14ac:dyDescent="0.25">
      <c r="A43" s="71"/>
      <c r="B43" s="72"/>
      <c r="C43" s="73"/>
      <c r="D43" s="73"/>
      <c r="E43" s="74"/>
      <c r="F43" s="75"/>
      <c r="G43" s="73"/>
      <c r="H43" s="73"/>
      <c r="I43" s="73"/>
      <c r="J43" s="75"/>
      <c r="K43" s="73"/>
      <c r="L43" s="73"/>
      <c r="M43" s="73"/>
      <c r="N43" s="73"/>
    </row>
    <row r="44" spans="1:14" s="341" customFormat="1" ht="20.100000000000001" customHeight="1" x14ac:dyDescent="0.25">
      <c r="A44" s="332" t="s">
        <v>382</v>
      </c>
      <c r="B44" s="337"/>
      <c r="C44" s="338"/>
      <c r="D44" s="338"/>
      <c r="E44" s="339">
        <f>SUM(E40:E43)</f>
        <v>0</v>
      </c>
      <c r="F44" s="340"/>
      <c r="G44" s="338"/>
      <c r="H44" s="338"/>
      <c r="I44" s="338"/>
      <c r="J44" s="340"/>
      <c r="K44" s="338"/>
      <c r="L44" s="338"/>
      <c r="M44" s="338"/>
      <c r="N44" s="338"/>
    </row>
    <row r="45" spans="1:14" s="51" customFormat="1" ht="20.100000000000001" customHeight="1" x14ac:dyDescent="0.25">
      <c r="A45" s="58" t="s">
        <v>312</v>
      </c>
      <c r="B45" s="58"/>
      <c r="C45" s="58"/>
      <c r="D45" s="58"/>
      <c r="E45" s="58"/>
      <c r="F45" s="58"/>
      <c r="G45" s="58"/>
      <c r="H45" s="58"/>
      <c r="I45" s="58"/>
      <c r="J45" s="87"/>
      <c r="K45" s="87"/>
      <c r="L45" s="87"/>
      <c r="M45" s="87"/>
      <c r="N45" s="87"/>
    </row>
    <row r="46" spans="1:14" s="51" customFormat="1" ht="20.100000000000001" customHeight="1" x14ac:dyDescent="0.25">
      <c r="A46" s="87"/>
      <c r="B46" s="22"/>
      <c r="C46" s="22"/>
      <c r="D46" s="88"/>
      <c r="E46" s="22"/>
      <c r="F46" s="89"/>
      <c r="G46" s="89"/>
      <c r="H46" s="87"/>
      <c r="I46" s="88"/>
      <c r="J46" s="87"/>
      <c r="K46" s="89"/>
      <c r="L46" s="89"/>
      <c r="M46" s="87"/>
      <c r="N46" s="87"/>
    </row>
    <row r="47" spans="1:14" s="51" customFormat="1" ht="20.100000000000001" customHeight="1" x14ac:dyDescent="0.25">
      <c r="A47" s="87"/>
      <c r="B47" s="22"/>
      <c r="C47" s="88"/>
      <c r="D47" s="88"/>
      <c r="E47" s="88"/>
      <c r="F47" s="88"/>
      <c r="G47" s="88"/>
      <c r="H47" s="87"/>
      <c r="I47" s="87"/>
      <c r="J47" s="87"/>
      <c r="K47" s="87"/>
      <c r="L47" s="87"/>
      <c r="M47" s="87"/>
      <c r="N47" s="87"/>
    </row>
    <row r="48" spans="1:14" s="51" customFormat="1" ht="20.100000000000001" customHeight="1" x14ac:dyDescent="0.25">
      <c r="A48" s="87"/>
      <c r="B48" s="22"/>
      <c r="C48" s="22"/>
      <c r="D48" s="88"/>
      <c r="E48" s="88"/>
      <c r="F48" s="88"/>
      <c r="G48" s="88"/>
      <c r="H48" s="87"/>
      <c r="I48" s="87"/>
      <c r="J48" s="87"/>
      <c r="K48" s="87"/>
      <c r="L48" s="87"/>
      <c r="M48" s="87"/>
      <c r="N48" s="87"/>
    </row>
    <row r="49" spans="1:14" s="51" customFormat="1" ht="20.100000000000001" customHeight="1" x14ac:dyDescent="0.25">
      <c r="A49" s="58" t="s">
        <v>313</v>
      </c>
      <c r="B49" s="58"/>
      <c r="C49" s="58"/>
      <c r="D49" s="58"/>
      <c r="E49" s="58"/>
      <c r="F49" s="58"/>
      <c r="G49" s="58"/>
      <c r="H49" s="58"/>
      <c r="I49" s="58"/>
      <c r="J49" s="87"/>
      <c r="K49" s="87"/>
      <c r="L49" s="87"/>
      <c r="M49" s="87"/>
      <c r="N49" s="87"/>
    </row>
    <row r="50" spans="1:14" s="51" customFormat="1" ht="20.100000000000001" customHeight="1" x14ac:dyDescent="0.25">
      <c r="A50" s="87"/>
      <c r="B50" s="87"/>
      <c r="C50" s="87"/>
      <c r="D50" s="87"/>
      <c r="E50" s="87"/>
      <c r="F50" s="87"/>
      <c r="G50" s="87"/>
      <c r="H50" s="87"/>
      <c r="I50" s="87"/>
      <c r="J50" s="87"/>
      <c r="K50" s="87"/>
      <c r="L50" s="87"/>
      <c r="M50" s="87"/>
      <c r="N50" s="87"/>
    </row>
    <row r="51" spans="1:14" ht="20.100000000000001" customHeight="1" x14ac:dyDescent="0.25"/>
    <row r="52" spans="1:14" ht="20.100000000000001" customHeight="1" x14ac:dyDescent="0.25"/>
    <row r="53" spans="1:14" ht="20.100000000000001" customHeight="1" x14ac:dyDescent="0.25">
      <c r="A53" s="90" t="s">
        <v>314</v>
      </c>
    </row>
    <row r="54" spans="1:14" x14ac:dyDescent="0.25">
      <c r="A54" s="91" t="s">
        <v>315</v>
      </c>
    </row>
    <row r="55" spans="1:14" x14ac:dyDescent="0.25">
      <c r="A55" s="91" t="s">
        <v>316</v>
      </c>
    </row>
    <row r="56" spans="1:14" x14ac:dyDescent="0.25">
      <c r="A56" s="91" t="s">
        <v>317</v>
      </c>
    </row>
    <row r="57" spans="1:14" x14ac:dyDescent="0.25">
      <c r="A57" s="91"/>
    </row>
    <row r="58" spans="1:14" x14ac:dyDescent="0.25">
      <c r="A58" s="92"/>
    </row>
    <row r="59" spans="1:14" x14ac:dyDescent="0.3">
      <c r="A59" s="93"/>
    </row>
  </sheetData>
  <mergeCells count="7">
    <mergeCell ref="N30:N31"/>
    <mergeCell ref="N38:N39"/>
    <mergeCell ref="A1:N1"/>
    <mergeCell ref="A2:N2"/>
    <mergeCell ref="F21:I21"/>
    <mergeCell ref="N14:N15"/>
    <mergeCell ref="N21:N22"/>
  </mergeCells>
  <phoneticPr fontId="79" type="noConversion"/>
  <dataValidations count="2">
    <dataValidation type="list" allowBlank="1" sqref="A15 A22 A31 A39">
      <formula1>"a,b,c,d,e,f,g,h,I,j,k,l,m,n,o,p,q,r,s,t,u,v,w,x,y,z"</formula1>
    </dataValidation>
    <dataValidation type="list" allowBlank="1" showInputMessage="1" showErrorMessage="1" sqref="E27">
      <formula1>"请选择,是,否"</formula1>
    </dataValidation>
  </dataValidations>
  <hyperlinks>
    <hyperlink ref="N3" location="底稿目录!A1" display="=底稿目录!F9"/>
  </hyperlinks>
  <printOptions horizontalCentered="1"/>
  <pageMargins left="0.35433070866141703" right="0.31496062992126" top="0.511811023622047" bottom="0.47244094488188998" header="0.31496062992126" footer="0.31496062992126"/>
  <pageSetup paperSize="9" scale="75" fitToHeight="10" orientation="landscape" blackAndWhite="1" cellComments="atEnd" r:id="rId1"/>
  <headerFooter>
    <oddFooter>&amp;C&amp;P/&amp;N</oddFooter>
  </headerFooter>
  <rowBreaks count="1" manualBreakCount="1">
    <brk id="37" max="13" man="1"/>
  </rowBreak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5"/>
  <dimension ref="A1:T40"/>
  <sheetViews>
    <sheetView view="pageBreakPreview" zoomScaleNormal="100" workbookViewId="0">
      <selection sqref="A1:N1"/>
    </sheetView>
  </sheetViews>
  <sheetFormatPr defaultColWidth="9" defaultRowHeight="15.6" x14ac:dyDescent="0.25"/>
  <cols>
    <col min="1" max="1" width="8.5546875" style="24" customWidth="1"/>
    <col min="2" max="2" width="10.44140625" style="24" customWidth="1"/>
    <col min="3" max="3" width="23.88671875" style="24" customWidth="1"/>
    <col min="4" max="4" width="10.77734375" style="24" customWidth="1"/>
    <col min="5" max="5" width="10" style="24" customWidth="1"/>
    <col min="6" max="6" width="7.21875" style="24" customWidth="1"/>
    <col min="7" max="7" width="17.33203125" style="24" customWidth="1"/>
    <col min="8" max="8" width="15.77734375" style="24" customWidth="1"/>
    <col min="9" max="9" width="16.33203125" style="24" customWidth="1"/>
    <col min="10" max="10" width="15.77734375" style="24" customWidth="1"/>
    <col min="11" max="11" width="14.88671875" style="24" customWidth="1"/>
    <col min="12" max="12" width="9.5546875" style="24" customWidth="1"/>
    <col min="13" max="13" width="11.21875" style="24" customWidth="1"/>
    <col min="14" max="14" width="10.6640625" style="24" customWidth="1"/>
    <col min="15" max="258" width="8.88671875" style="24"/>
    <col min="259" max="259" width="8.5546875" style="24" customWidth="1"/>
    <col min="260" max="260" width="15.33203125" style="24" customWidth="1"/>
    <col min="261" max="261" width="18.5546875" style="24" customWidth="1"/>
    <col min="262" max="262" width="8.88671875" style="24" customWidth="1"/>
    <col min="263" max="263" width="10" style="24" customWidth="1"/>
    <col min="264" max="265" width="11.77734375" style="24" customWidth="1"/>
    <col min="266" max="266" width="22.44140625" style="24" customWidth="1"/>
    <col min="267" max="267" width="13.6640625" style="24" customWidth="1"/>
    <col min="268" max="268" width="13.5546875" style="24" customWidth="1"/>
    <col min="269" max="269" width="12" style="24" customWidth="1"/>
    <col min="270" max="270" width="19.109375" style="24" customWidth="1"/>
    <col min="271" max="514" width="8.88671875" style="24"/>
    <col min="515" max="515" width="8.5546875" style="24" customWidth="1"/>
    <col min="516" max="516" width="15.33203125" style="24" customWidth="1"/>
    <col min="517" max="517" width="18.5546875" style="24" customWidth="1"/>
    <col min="518" max="518" width="8.88671875" style="24" customWidth="1"/>
    <col min="519" max="519" width="10" style="24" customWidth="1"/>
    <col min="520" max="521" width="11.77734375" style="24" customWidth="1"/>
    <col min="522" max="522" width="22.44140625" style="24" customWidth="1"/>
    <col min="523" max="523" width="13.6640625" style="24" customWidth="1"/>
    <col min="524" max="524" width="13.5546875" style="24" customWidth="1"/>
    <col min="525" max="525" width="12" style="24" customWidth="1"/>
    <col min="526" max="526" width="19.109375" style="24" customWidth="1"/>
    <col min="527" max="770" width="8.88671875" style="24"/>
    <col min="771" max="771" width="8.5546875" style="24" customWidth="1"/>
    <col min="772" max="772" width="15.33203125" style="24" customWidth="1"/>
    <col min="773" max="773" width="18.5546875" style="24" customWidth="1"/>
    <col min="774" max="774" width="8.88671875" style="24" customWidth="1"/>
    <col min="775" max="775" width="10" style="24" customWidth="1"/>
    <col min="776" max="777" width="11.77734375" style="24" customWidth="1"/>
    <col min="778" max="778" width="22.44140625" style="24" customWidth="1"/>
    <col min="779" max="779" width="13.6640625" style="24" customWidth="1"/>
    <col min="780" max="780" width="13.5546875" style="24" customWidth="1"/>
    <col min="781" max="781" width="12" style="24" customWidth="1"/>
    <col min="782" max="782" width="19.109375" style="24" customWidth="1"/>
    <col min="783" max="1026" width="8.88671875" style="24"/>
    <col min="1027" max="1027" width="8.5546875" style="24" customWidth="1"/>
    <col min="1028" max="1028" width="15.33203125" style="24" customWidth="1"/>
    <col min="1029" max="1029" width="18.5546875" style="24" customWidth="1"/>
    <col min="1030" max="1030" width="8.88671875" style="24" customWidth="1"/>
    <col min="1031" max="1031" width="10" style="24" customWidth="1"/>
    <col min="1032" max="1033" width="11.77734375" style="24" customWidth="1"/>
    <col min="1034" max="1034" width="22.44140625" style="24" customWidth="1"/>
    <col min="1035" max="1035" width="13.6640625" style="24" customWidth="1"/>
    <col min="1036" max="1036" width="13.5546875" style="24" customWidth="1"/>
    <col min="1037" max="1037" width="12" style="24" customWidth="1"/>
    <col min="1038" max="1038" width="19.109375" style="24" customWidth="1"/>
    <col min="1039" max="1282" width="8.88671875" style="24"/>
    <col min="1283" max="1283" width="8.5546875" style="24" customWidth="1"/>
    <col min="1284" max="1284" width="15.33203125" style="24" customWidth="1"/>
    <col min="1285" max="1285" width="18.5546875" style="24" customWidth="1"/>
    <col min="1286" max="1286" width="8.88671875" style="24" customWidth="1"/>
    <col min="1287" max="1287" width="10" style="24" customWidth="1"/>
    <col min="1288" max="1289" width="11.77734375" style="24" customWidth="1"/>
    <col min="1290" max="1290" width="22.44140625" style="24" customWidth="1"/>
    <col min="1291" max="1291" width="13.6640625" style="24" customWidth="1"/>
    <col min="1292" max="1292" width="13.5546875" style="24" customWidth="1"/>
    <col min="1293" max="1293" width="12" style="24" customWidth="1"/>
    <col min="1294" max="1294" width="19.109375" style="24" customWidth="1"/>
    <col min="1295" max="1538" width="8.88671875" style="24"/>
    <col min="1539" max="1539" width="8.5546875" style="24" customWidth="1"/>
    <col min="1540" max="1540" width="15.33203125" style="24" customWidth="1"/>
    <col min="1541" max="1541" width="18.5546875" style="24" customWidth="1"/>
    <col min="1542" max="1542" width="8.88671875" style="24" customWidth="1"/>
    <col min="1543" max="1543" width="10" style="24" customWidth="1"/>
    <col min="1544" max="1545" width="11.77734375" style="24" customWidth="1"/>
    <col min="1546" max="1546" width="22.44140625" style="24" customWidth="1"/>
    <col min="1547" max="1547" width="13.6640625" style="24" customWidth="1"/>
    <col min="1548" max="1548" width="13.5546875" style="24" customWidth="1"/>
    <col min="1549" max="1549" width="12" style="24" customWidth="1"/>
    <col min="1550" max="1550" width="19.109375" style="24" customWidth="1"/>
    <col min="1551" max="1794" width="8.88671875" style="24"/>
    <col min="1795" max="1795" width="8.5546875" style="24" customWidth="1"/>
    <col min="1796" max="1796" width="15.33203125" style="24" customWidth="1"/>
    <col min="1797" max="1797" width="18.5546875" style="24" customWidth="1"/>
    <col min="1798" max="1798" width="8.88671875" style="24" customWidth="1"/>
    <col min="1799" max="1799" width="10" style="24" customWidth="1"/>
    <col min="1800" max="1801" width="11.77734375" style="24" customWidth="1"/>
    <col min="1802" max="1802" width="22.44140625" style="24" customWidth="1"/>
    <col min="1803" max="1803" width="13.6640625" style="24" customWidth="1"/>
    <col min="1804" max="1804" width="13.5546875" style="24" customWidth="1"/>
    <col min="1805" max="1805" width="12" style="24" customWidth="1"/>
    <col min="1806" max="1806" width="19.109375" style="24" customWidth="1"/>
    <col min="1807" max="2050" width="8.88671875" style="24"/>
    <col min="2051" max="2051" width="8.5546875" style="24" customWidth="1"/>
    <col min="2052" max="2052" width="15.33203125" style="24" customWidth="1"/>
    <col min="2053" max="2053" width="18.5546875" style="24" customWidth="1"/>
    <col min="2054" max="2054" width="8.88671875" style="24" customWidth="1"/>
    <col min="2055" max="2055" width="10" style="24" customWidth="1"/>
    <col min="2056" max="2057" width="11.77734375" style="24" customWidth="1"/>
    <col min="2058" max="2058" width="22.44140625" style="24" customWidth="1"/>
    <col min="2059" max="2059" width="13.6640625" style="24" customWidth="1"/>
    <col min="2060" max="2060" width="13.5546875" style="24" customWidth="1"/>
    <col min="2061" max="2061" width="12" style="24" customWidth="1"/>
    <col min="2062" max="2062" width="19.109375" style="24" customWidth="1"/>
    <col min="2063" max="2306" width="8.88671875" style="24"/>
    <col min="2307" max="2307" width="8.5546875" style="24" customWidth="1"/>
    <col min="2308" max="2308" width="15.33203125" style="24" customWidth="1"/>
    <col min="2309" max="2309" width="18.5546875" style="24" customWidth="1"/>
    <col min="2310" max="2310" width="8.88671875" style="24" customWidth="1"/>
    <col min="2311" max="2311" width="10" style="24" customWidth="1"/>
    <col min="2312" max="2313" width="11.77734375" style="24" customWidth="1"/>
    <col min="2314" max="2314" width="22.44140625" style="24" customWidth="1"/>
    <col min="2315" max="2315" width="13.6640625" style="24" customWidth="1"/>
    <col min="2316" max="2316" width="13.5546875" style="24" customWidth="1"/>
    <col min="2317" max="2317" width="12" style="24" customWidth="1"/>
    <col min="2318" max="2318" width="19.109375" style="24" customWidth="1"/>
    <col min="2319" max="2562" width="8.88671875" style="24"/>
    <col min="2563" max="2563" width="8.5546875" style="24" customWidth="1"/>
    <col min="2564" max="2564" width="15.33203125" style="24" customWidth="1"/>
    <col min="2565" max="2565" width="18.5546875" style="24" customWidth="1"/>
    <col min="2566" max="2566" width="8.88671875" style="24" customWidth="1"/>
    <col min="2567" max="2567" width="10" style="24" customWidth="1"/>
    <col min="2568" max="2569" width="11.77734375" style="24" customWidth="1"/>
    <col min="2570" max="2570" width="22.44140625" style="24" customWidth="1"/>
    <col min="2571" max="2571" width="13.6640625" style="24" customWidth="1"/>
    <col min="2572" max="2572" width="13.5546875" style="24" customWidth="1"/>
    <col min="2573" max="2573" width="12" style="24" customWidth="1"/>
    <col min="2574" max="2574" width="19.109375" style="24" customWidth="1"/>
    <col min="2575" max="2818" width="8.88671875" style="24"/>
    <col min="2819" max="2819" width="8.5546875" style="24" customWidth="1"/>
    <col min="2820" max="2820" width="15.33203125" style="24" customWidth="1"/>
    <col min="2821" max="2821" width="18.5546875" style="24" customWidth="1"/>
    <col min="2822" max="2822" width="8.88671875" style="24" customWidth="1"/>
    <col min="2823" max="2823" width="10" style="24" customWidth="1"/>
    <col min="2824" max="2825" width="11.77734375" style="24" customWidth="1"/>
    <col min="2826" max="2826" width="22.44140625" style="24" customWidth="1"/>
    <col min="2827" max="2827" width="13.6640625" style="24" customWidth="1"/>
    <col min="2828" max="2828" width="13.5546875" style="24" customWidth="1"/>
    <col min="2829" max="2829" width="12" style="24" customWidth="1"/>
    <col min="2830" max="2830" width="19.109375" style="24" customWidth="1"/>
    <col min="2831" max="3074" width="8.88671875" style="24"/>
    <col min="3075" max="3075" width="8.5546875" style="24" customWidth="1"/>
    <col min="3076" max="3076" width="15.33203125" style="24" customWidth="1"/>
    <col min="3077" max="3077" width="18.5546875" style="24" customWidth="1"/>
    <col min="3078" max="3078" width="8.88671875" style="24" customWidth="1"/>
    <col min="3079" max="3079" width="10" style="24" customWidth="1"/>
    <col min="3080" max="3081" width="11.77734375" style="24" customWidth="1"/>
    <col min="3082" max="3082" width="22.44140625" style="24" customWidth="1"/>
    <col min="3083" max="3083" width="13.6640625" style="24" customWidth="1"/>
    <col min="3084" max="3084" width="13.5546875" style="24" customWidth="1"/>
    <col min="3085" max="3085" width="12" style="24" customWidth="1"/>
    <col min="3086" max="3086" width="19.109375" style="24" customWidth="1"/>
    <col min="3087" max="3330" width="8.88671875" style="24"/>
    <col min="3331" max="3331" width="8.5546875" style="24" customWidth="1"/>
    <col min="3332" max="3332" width="15.33203125" style="24" customWidth="1"/>
    <col min="3333" max="3333" width="18.5546875" style="24" customWidth="1"/>
    <col min="3334" max="3334" width="8.88671875" style="24" customWidth="1"/>
    <col min="3335" max="3335" width="10" style="24" customWidth="1"/>
    <col min="3336" max="3337" width="11.77734375" style="24" customWidth="1"/>
    <col min="3338" max="3338" width="22.44140625" style="24" customWidth="1"/>
    <col min="3339" max="3339" width="13.6640625" style="24" customWidth="1"/>
    <col min="3340" max="3340" width="13.5546875" style="24" customWidth="1"/>
    <col min="3341" max="3341" width="12" style="24" customWidth="1"/>
    <col min="3342" max="3342" width="19.109375" style="24" customWidth="1"/>
    <col min="3343" max="3586" width="8.88671875" style="24"/>
    <col min="3587" max="3587" width="8.5546875" style="24" customWidth="1"/>
    <col min="3588" max="3588" width="15.33203125" style="24" customWidth="1"/>
    <col min="3589" max="3589" width="18.5546875" style="24" customWidth="1"/>
    <col min="3590" max="3590" width="8.88671875" style="24" customWidth="1"/>
    <col min="3591" max="3591" width="10" style="24" customWidth="1"/>
    <col min="3592" max="3593" width="11.77734375" style="24" customWidth="1"/>
    <col min="3594" max="3594" width="22.44140625" style="24" customWidth="1"/>
    <col min="3595" max="3595" width="13.6640625" style="24" customWidth="1"/>
    <col min="3596" max="3596" width="13.5546875" style="24" customWidth="1"/>
    <col min="3597" max="3597" width="12" style="24" customWidth="1"/>
    <col min="3598" max="3598" width="19.109375" style="24" customWidth="1"/>
    <col min="3599" max="3842" width="8.88671875" style="24"/>
    <col min="3843" max="3843" width="8.5546875" style="24" customWidth="1"/>
    <col min="3844" max="3844" width="15.33203125" style="24" customWidth="1"/>
    <col min="3845" max="3845" width="18.5546875" style="24" customWidth="1"/>
    <col min="3846" max="3846" width="8.88671875" style="24" customWidth="1"/>
    <col min="3847" max="3847" width="10" style="24" customWidth="1"/>
    <col min="3848" max="3849" width="11.77734375" style="24" customWidth="1"/>
    <col min="3850" max="3850" width="22.44140625" style="24" customWidth="1"/>
    <col min="3851" max="3851" width="13.6640625" style="24" customWidth="1"/>
    <col min="3852" max="3852" width="13.5546875" style="24" customWidth="1"/>
    <col min="3853" max="3853" width="12" style="24" customWidth="1"/>
    <col min="3854" max="3854" width="19.109375" style="24" customWidth="1"/>
    <col min="3855" max="4098" width="8.88671875" style="24"/>
    <col min="4099" max="4099" width="8.5546875" style="24" customWidth="1"/>
    <col min="4100" max="4100" width="15.33203125" style="24" customWidth="1"/>
    <col min="4101" max="4101" width="18.5546875" style="24" customWidth="1"/>
    <col min="4102" max="4102" width="8.88671875" style="24" customWidth="1"/>
    <col min="4103" max="4103" width="10" style="24" customWidth="1"/>
    <col min="4104" max="4105" width="11.77734375" style="24" customWidth="1"/>
    <col min="4106" max="4106" width="22.44140625" style="24" customWidth="1"/>
    <col min="4107" max="4107" width="13.6640625" style="24" customWidth="1"/>
    <col min="4108" max="4108" width="13.5546875" style="24" customWidth="1"/>
    <col min="4109" max="4109" width="12" style="24" customWidth="1"/>
    <col min="4110" max="4110" width="19.109375" style="24" customWidth="1"/>
    <col min="4111" max="4354" width="8.88671875" style="24"/>
    <col min="4355" max="4355" width="8.5546875" style="24" customWidth="1"/>
    <col min="4356" max="4356" width="15.33203125" style="24" customWidth="1"/>
    <col min="4357" max="4357" width="18.5546875" style="24" customWidth="1"/>
    <col min="4358" max="4358" width="8.88671875" style="24" customWidth="1"/>
    <col min="4359" max="4359" width="10" style="24" customWidth="1"/>
    <col min="4360" max="4361" width="11.77734375" style="24" customWidth="1"/>
    <col min="4362" max="4362" width="22.44140625" style="24" customWidth="1"/>
    <col min="4363" max="4363" width="13.6640625" style="24" customWidth="1"/>
    <col min="4364" max="4364" width="13.5546875" style="24" customWidth="1"/>
    <col min="4365" max="4365" width="12" style="24" customWidth="1"/>
    <col min="4366" max="4366" width="19.109375" style="24" customWidth="1"/>
    <col min="4367" max="4610" width="8.88671875" style="24"/>
    <col min="4611" max="4611" width="8.5546875" style="24" customWidth="1"/>
    <col min="4612" max="4612" width="15.33203125" style="24" customWidth="1"/>
    <col min="4613" max="4613" width="18.5546875" style="24" customWidth="1"/>
    <col min="4614" max="4614" width="8.88671875" style="24" customWidth="1"/>
    <col min="4615" max="4615" width="10" style="24" customWidth="1"/>
    <col min="4616" max="4617" width="11.77734375" style="24" customWidth="1"/>
    <col min="4618" max="4618" width="22.44140625" style="24" customWidth="1"/>
    <col min="4619" max="4619" width="13.6640625" style="24" customWidth="1"/>
    <col min="4620" max="4620" width="13.5546875" style="24" customWidth="1"/>
    <col min="4621" max="4621" width="12" style="24" customWidth="1"/>
    <col min="4622" max="4622" width="19.109375" style="24" customWidth="1"/>
    <col min="4623" max="4866" width="8.88671875" style="24"/>
    <col min="4867" max="4867" width="8.5546875" style="24" customWidth="1"/>
    <col min="4868" max="4868" width="15.33203125" style="24" customWidth="1"/>
    <col min="4869" max="4869" width="18.5546875" style="24" customWidth="1"/>
    <col min="4870" max="4870" width="8.88671875" style="24" customWidth="1"/>
    <col min="4871" max="4871" width="10" style="24" customWidth="1"/>
    <col min="4872" max="4873" width="11.77734375" style="24" customWidth="1"/>
    <col min="4874" max="4874" width="22.44140625" style="24" customWidth="1"/>
    <col min="4875" max="4875" width="13.6640625" style="24" customWidth="1"/>
    <col min="4876" max="4876" width="13.5546875" style="24" customWidth="1"/>
    <col min="4877" max="4877" width="12" style="24" customWidth="1"/>
    <col min="4878" max="4878" width="19.109375" style="24" customWidth="1"/>
    <col min="4879" max="5122" width="8.88671875" style="24"/>
    <col min="5123" max="5123" width="8.5546875" style="24" customWidth="1"/>
    <col min="5124" max="5124" width="15.33203125" style="24" customWidth="1"/>
    <col min="5125" max="5125" width="18.5546875" style="24" customWidth="1"/>
    <col min="5126" max="5126" width="8.88671875" style="24" customWidth="1"/>
    <col min="5127" max="5127" width="10" style="24" customWidth="1"/>
    <col min="5128" max="5129" width="11.77734375" style="24" customWidth="1"/>
    <col min="5130" max="5130" width="22.44140625" style="24" customWidth="1"/>
    <col min="5131" max="5131" width="13.6640625" style="24" customWidth="1"/>
    <col min="5132" max="5132" width="13.5546875" style="24" customWidth="1"/>
    <col min="5133" max="5133" width="12" style="24" customWidth="1"/>
    <col min="5134" max="5134" width="19.109375" style="24" customWidth="1"/>
    <col min="5135" max="5378" width="8.88671875" style="24"/>
    <col min="5379" max="5379" width="8.5546875" style="24" customWidth="1"/>
    <col min="5380" max="5380" width="15.33203125" style="24" customWidth="1"/>
    <col min="5381" max="5381" width="18.5546875" style="24" customWidth="1"/>
    <col min="5382" max="5382" width="8.88671875" style="24" customWidth="1"/>
    <col min="5383" max="5383" width="10" style="24" customWidth="1"/>
    <col min="5384" max="5385" width="11.77734375" style="24" customWidth="1"/>
    <col min="5386" max="5386" width="22.44140625" style="24" customWidth="1"/>
    <col min="5387" max="5387" width="13.6640625" style="24" customWidth="1"/>
    <col min="5388" max="5388" width="13.5546875" style="24" customWidth="1"/>
    <col min="5389" max="5389" width="12" style="24" customWidth="1"/>
    <col min="5390" max="5390" width="19.109375" style="24" customWidth="1"/>
    <col min="5391" max="5634" width="8.88671875" style="24"/>
    <col min="5635" max="5635" width="8.5546875" style="24" customWidth="1"/>
    <col min="5636" max="5636" width="15.33203125" style="24" customWidth="1"/>
    <col min="5637" max="5637" width="18.5546875" style="24" customWidth="1"/>
    <col min="5638" max="5638" width="8.88671875" style="24" customWidth="1"/>
    <col min="5639" max="5639" width="10" style="24" customWidth="1"/>
    <col min="5640" max="5641" width="11.77734375" style="24" customWidth="1"/>
    <col min="5642" max="5642" width="22.44140625" style="24" customWidth="1"/>
    <col min="5643" max="5643" width="13.6640625" style="24" customWidth="1"/>
    <col min="5644" max="5644" width="13.5546875" style="24" customWidth="1"/>
    <col min="5645" max="5645" width="12" style="24" customWidth="1"/>
    <col min="5646" max="5646" width="19.109375" style="24" customWidth="1"/>
    <col min="5647" max="5890" width="8.88671875" style="24"/>
    <col min="5891" max="5891" width="8.5546875" style="24" customWidth="1"/>
    <col min="5892" max="5892" width="15.33203125" style="24" customWidth="1"/>
    <col min="5893" max="5893" width="18.5546875" style="24" customWidth="1"/>
    <col min="5894" max="5894" width="8.88671875" style="24" customWidth="1"/>
    <col min="5895" max="5895" width="10" style="24" customWidth="1"/>
    <col min="5896" max="5897" width="11.77734375" style="24" customWidth="1"/>
    <col min="5898" max="5898" width="22.44140625" style="24" customWidth="1"/>
    <col min="5899" max="5899" width="13.6640625" style="24" customWidth="1"/>
    <col min="5900" max="5900" width="13.5546875" style="24" customWidth="1"/>
    <col min="5901" max="5901" width="12" style="24" customWidth="1"/>
    <col min="5902" max="5902" width="19.109375" style="24" customWidth="1"/>
    <col min="5903" max="6146" width="8.88671875" style="24"/>
    <col min="6147" max="6147" width="8.5546875" style="24" customWidth="1"/>
    <col min="6148" max="6148" width="15.33203125" style="24" customWidth="1"/>
    <col min="6149" max="6149" width="18.5546875" style="24" customWidth="1"/>
    <col min="6150" max="6150" width="8.88671875" style="24" customWidth="1"/>
    <col min="6151" max="6151" width="10" style="24" customWidth="1"/>
    <col min="6152" max="6153" width="11.77734375" style="24" customWidth="1"/>
    <col min="6154" max="6154" width="22.44140625" style="24" customWidth="1"/>
    <col min="6155" max="6155" width="13.6640625" style="24" customWidth="1"/>
    <col min="6156" max="6156" width="13.5546875" style="24" customWidth="1"/>
    <col min="6157" max="6157" width="12" style="24" customWidth="1"/>
    <col min="6158" max="6158" width="19.109375" style="24" customWidth="1"/>
    <col min="6159" max="6402" width="8.88671875" style="24"/>
    <col min="6403" max="6403" width="8.5546875" style="24" customWidth="1"/>
    <col min="6404" max="6404" width="15.33203125" style="24" customWidth="1"/>
    <col min="6405" max="6405" width="18.5546875" style="24" customWidth="1"/>
    <col min="6406" max="6406" width="8.88671875" style="24" customWidth="1"/>
    <col min="6407" max="6407" width="10" style="24" customWidth="1"/>
    <col min="6408" max="6409" width="11.77734375" style="24" customWidth="1"/>
    <col min="6410" max="6410" width="22.44140625" style="24" customWidth="1"/>
    <col min="6411" max="6411" width="13.6640625" style="24" customWidth="1"/>
    <col min="6412" max="6412" width="13.5546875" style="24" customWidth="1"/>
    <col min="6413" max="6413" width="12" style="24" customWidth="1"/>
    <col min="6414" max="6414" width="19.109375" style="24" customWidth="1"/>
    <col min="6415" max="6658" width="8.88671875" style="24"/>
    <col min="6659" max="6659" width="8.5546875" style="24" customWidth="1"/>
    <col min="6660" max="6660" width="15.33203125" style="24" customWidth="1"/>
    <col min="6661" max="6661" width="18.5546875" style="24" customWidth="1"/>
    <col min="6662" max="6662" width="8.88671875" style="24" customWidth="1"/>
    <col min="6663" max="6663" width="10" style="24" customWidth="1"/>
    <col min="6664" max="6665" width="11.77734375" style="24" customWidth="1"/>
    <col min="6666" max="6666" width="22.44140625" style="24" customWidth="1"/>
    <col min="6667" max="6667" width="13.6640625" style="24" customWidth="1"/>
    <col min="6668" max="6668" width="13.5546875" style="24" customWidth="1"/>
    <col min="6669" max="6669" width="12" style="24" customWidth="1"/>
    <col min="6670" max="6670" width="19.109375" style="24" customWidth="1"/>
    <col min="6671" max="6914" width="8.88671875" style="24"/>
    <col min="6915" max="6915" width="8.5546875" style="24" customWidth="1"/>
    <col min="6916" max="6916" width="15.33203125" style="24" customWidth="1"/>
    <col min="6917" max="6917" width="18.5546875" style="24" customWidth="1"/>
    <col min="6918" max="6918" width="8.88671875" style="24" customWidth="1"/>
    <col min="6919" max="6919" width="10" style="24" customWidth="1"/>
    <col min="6920" max="6921" width="11.77734375" style="24" customWidth="1"/>
    <col min="6922" max="6922" width="22.44140625" style="24" customWidth="1"/>
    <col min="6923" max="6923" width="13.6640625" style="24" customWidth="1"/>
    <col min="6924" max="6924" width="13.5546875" style="24" customWidth="1"/>
    <col min="6925" max="6925" width="12" style="24" customWidth="1"/>
    <col min="6926" max="6926" width="19.109375" style="24" customWidth="1"/>
    <col min="6927" max="7170" width="8.88671875" style="24"/>
    <col min="7171" max="7171" width="8.5546875" style="24" customWidth="1"/>
    <col min="7172" max="7172" width="15.33203125" style="24" customWidth="1"/>
    <col min="7173" max="7173" width="18.5546875" style="24" customWidth="1"/>
    <col min="7174" max="7174" width="8.88671875" style="24" customWidth="1"/>
    <col min="7175" max="7175" width="10" style="24" customWidth="1"/>
    <col min="7176" max="7177" width="11.77734375" style="24" customWidth="1"/>
    <col min="7178" max="7178" width="22.44140625" style="24" customWidth="1"/>
    <col min="7179" max="7179" width="13.6640625" style="24" customWidth="1"/>
    <col min="7180" max="7180" width="13.5546875" style="24" customWidth="1"/>
    <col min="7181" max="7181" width="12" style="24" customWidth="1"/>
    <col min="7182" max="7182" width="19.109375" style="24" customWidth="1"/>
    <col min="7183" max="7426" width="8.88671875" style="24"/>
    <col min="7427" max="7427" width="8.5546875" style="24" customWidth="1"/>
    <col min="7428" max="7428" width="15.33203125" style="24" customWidth="1"/>
    <col min="7429" max="7429" width="18.5546875" style="24" customWidth="1"/>
    <col min="7430" max="7430" width="8.88671875" style="24" customWidth="1"/>
    <col min="7431" max="7431" width="10" style="24" customWidth="1"/>
    <col min="7432" max="7433" width="11.77734375" style="24" customWidth="1"/>
    <col min="7434" max="7434" width="22.44140625" style="24" customWidth="1"/>
    <col min="7435" max="7435" width="13.6640625" style="24" customWidth="1"/>
    <col min="7436" max="7436" width="13.5546875" style="24" customWidth="1"/>
    <col min="7437" max="7437" width="12" style="24" customWidth="1"/>
    <col min="7438" max="7438" width="19.109375" style="24" customWidth="1"/>
    <col min="7439" max="7682" width="8.88671875" style="24"/>
    <col min="7683" max="7683" width="8.5546875" style="24" customWidth="1"/>
    <col min="7684" max="7684" width="15.33203125" style="24" customWidth="1"/>
    <col min="7685" max="7685" width="18.5546875" style="24" customWidth="1"/>
    <col min="7686" max="7686" width="8.88671875" style="24" customWidth="1"/>
    <col min="7687" max="7687" width="10" style="24" customWidth="1"/>
    <col min="7688" max="7689" width="11.77734375" style="24" customWidth="1"/>
    <col min="7690" max="7690" width="22.44140625" style="24" customWidth="1"/>
    <col min="7691" max="7691" width="13.6640625" style="24" customWidth="1"/>
    <col min="7692" max="7692" width="13.5546875" style="24" customWidth="1"/>
    <col min="7693" max="7693" width="12" style="24" customWidth="1"/>
    <col min="7694" max="7694" width="19.109375" style="24" customWidth="1"/>
    <col min="7695" max="7938" width="8.88671875" style="24"/>
    <col min="7939" max="7939" width="8.5546875" style="24" customWidth="1"/>
    <col min="7940" max="7940" width="15.33203125" style="24" customWidth="1"/>
    <col min="7941" max="7941" width="18.5546875" style="24" customWidth="1"/>
    <col min="7942" max="7942" width="8.88671875" style="24" customWidth="1"/>
    <col min="7943" max="7943" width="10" style="24" customWidth="1"/>
    <col min="7944" max="7945" width="11.77734375" style="24" customWidth="1"/>
    <col min="7946" max="7946" width="22.44140625" style="24" customWidth="1"/>
    <col min="7947" max="7947" width="13.6640625" style="24" customWidth="1"/>
    <col min="7948" max="7948" width="13.5546875" style="24" customWidth="1"/>
    <col min="7949" max="7949" width="12" style="24" customWidth="1"/>
    <col min="7950" max="7950" width="19.109375" style="24" customWidth="1"/>
    <col min="7951" max="8194" width="8.88671875" style="24"/>
    <col min="8195" max="8195" width="8.5546875" style="24" customWidth="1"/>
    <col min="8196" max="8196" width="15.33203125" style="24" customWidth="1"/>
    <col min="8197" max="8197" width="18.5546875" style="24" customWidth="1"/>
    <col min="8198" max="8198" width="8.88671875" style="24" customWidth="1"/>
    <col min="8199" max="8199" width="10" style="24" customWidth="1"/>
    <col min="8200" max="8201" width="11.77734375" style="24" customWidth="1"/>
    <col min="8202" max="8202" width="22.44140625" style="24" customWidth="1"/>
    <col min="8203" max="8203" width="13.6640625" style="24" customWidth="1"/>
    <col min="8204" max="8204" width="13.5546875" style="24" customWidth="1"/>
    <col min="8205" max="8205" width="12" style="24" customWidth="1"/>
    <col min="8206" max="8206" width="19.109375" style="24" customWidth="1"/>
    <col min="8207" max="8450" width="8.88671875" style="24"/>
    <col min="8451" max="8451" width="8.5546875" style="24" customWidth="1"/>
    <col min="8452" max="8452" width="15.33203125" style="24" customWidth="1"/>
    <col min="8453" max="8453" width="18.5546875" style="24" customWidth="1"/>
    <col min="8454" max="8454" width="8.88671875" style="24" customWidth="1"/>
    <col min="8455" max="8455" width="10" style="24" customWidth="1"/>
    <col min="8456" max="8457" width="11.77734375" style="24" customWidth="1"/>
    <col min="8458" max="8458" width="22.44140625" style="24" customWidth="1"/>
    <col min="8459" max="8459" width="13.6640625" style="24" customWidth="1"/>
    <col min="8460" max="8460" width="13.5546875" style="24" customWidth="1"/>
    <col min="8461" max="8461" width="12" style="24" customWidth="1"/>
    <col min="8462" max="8462" width="19.109375" style="24" customWidth="1"/>
    <col min="8463" max="8706" width="8.88671875" style="24"/>
    <col min="8707" max="8707" width="8.5546875" style="24" customWidth="1"/>
    <col min="8708" max="8708" width="15.33203125" style="24" customWidth="1"/>
    <col min="8709" max="8709" width="18.5546875" style="24" customWidth="1"/>
    <col min="8710" max="8710" width="8.88671875" style="24" customWidth="1"/>
    <col min="8711" max="8711" width="10" style="24" customWidth="1"/>
    <col min="8712" max="8713" width="11.77734375" style="24" customWidth="1"/>
    <col min="8714" max="8714" width="22.44140625" style="24" customWidth="1"/>
    <col min="8715" max="8715" width="13.6640625" style="24" customWidth="1"/>
    <col min="8716" max="8716" width="13.5546875" style="24" customWidth="1"/>
    <col min="8717" max="8717" width="12" style="24" customWidth="1"/>
    <col min="8718" max="8718" width="19.109375" style="24" customWidth="1"/>
    <col min="8719" max="8962" width="8.88671875" style="24"/>
    <col min="8963" max="8963" width="8.5546875" style="24" customWidth="1"/>
    <col min="8964" max="8964" width="15.33203125" style="24" customWidth="1"/>
    <col min="8965" max="8965" width="18.5546875" style="24" customWidth="1"/>
    <col min="8966" max="8966" width="8.88671875" style="24" customWidth="1"/>
    <col min="8967" max="8967" width="10" style="24" customWidth="1"/>
    <col min="8968" max="8969" width="11.77734375" style="24" customWidth="1"/>
    <col min="8970" max="8970" width="22.44140625" style="24" customWidth="1"/>
    <col min="8971" max="8971" width="13.6640625" style="24" customWidth="1"/>
    <col min="8972" max="8972" width="13.5546875" style="24" customWidth="1"/>
    <col min="8973" max="8973" width="12" style="24" customWidth="1"/>
    <col min="8974" max="8974" width="19.109375" style="24" customWidth="1"/>
    <col min="8975" max="9218" width="8.88671875" style="24"/>
    <col min="9219" max="9219" width="8.5546875" style="24" customWidth="1"/>
    <col min="9220" max="9220" width="15.33203125" style="24" customWidth="1"/>
    <col min="9221" max="9221" width="18.5546875" style="24" customWidth="1"/>
    <col min="9222" max="9222" width="8.88671875" style="24" customWidth="1"/>
    <col min="9223" max="9223" width="10" style="24" customWidth="1"/>
    <col min="9224" max="9225" width="11.77734375" style="24" customWidth="1"/>
    <col min="9226" max="9226" width="22.44140625" style="24" customWidth="1"/>
    <col min="9227" max="9227" width="13.6640625" style="24" customWidth="1"/>
    <col min="9228" max="9228" width="13.5546875" style="24" customWidth="1"/>
    <col min="9229" max="9229" width="12" style="24" customWidth="1"/>
    <col min="9230" max="9230" width="19.109375" style="24" customWidth="1"/>
    <col min="9231" max="9474" width="8.88671875" style="24"/>
    <col min="9475" max="9475" width="8.5546875" style="24" customWidth="1"/>
    <col min="9476" max="9476" width="15.33203125" style="24" customWidth="1"/>
    <col min="9477" max="9477" width="18.5546875" style="24" customWidth="1"/>
    <col min="9478" max="9478" width="8.88671875" style="24" customWidth="1"/>
    <col min="9479" max="9479" width="10" style="24" customWidth="1"/>
    <col min="9480" max="9481" width="11.77734375" style="24" customWidth="1"/>
    <col min="9482" max="9482" width="22.44140625" style="24" customWidth="1"/>
    <col min="9483" max="9483" width="13.6640625" style="24" customWidth="1"/>
    <col min="9484" max="9484" width="13.5546875" style="24" customWidth="1"/>
    <col min="9485" max="9485" width="12" style="24" customWidth="1"/>
    <col min="9486" max="9486" width="19.109375" style="24" customWidth="1"/>
    <col min="9487" max="9730" width="8.88671875" style="24"/>
    <col min="9731" max="9731" width="8.5546875" style="24" customWidth="1"/>
    <col min="9732" max="9732" width="15.33203125" style="24" customWidth="1"/>
    <col min="9733" max="9733" width="18.5546875" style="24" customWidth="1"/>
    <col min="9734" max="9734" width="8.88671875" style="24" customWidth="1"/>
    <col min="9735" max="9735" width="10" style="24" customWidth="1"/>
    <col min="9736" max="9737" width="11.77734375" style="24" customWidth="1"/>
    <col min="9738" max="9738" width="22.44140625" style="24" customWidth="1"/>
    <col min="9739" max="9739" width="13.6640625" style="24" customWidth="1"/>
    <col min="9740" max="9740" width="13.5546875" style="24" customWidth="1"/>
    <col min="9741" max="9741" width="12" style="24" customWidth="1"/>
    <col min="9742" max="9742" width="19.109375" style="24" customWidth="1"/>
    <col min="9743" max="9986" width="8.88671875" style="24"/>
    <col min="9987" max="9987" width="8.5546875" style="24" customWidth="1"/>
    <col min="9988" max="9988" width="15.33203125" style="24" customWidth="1"/>
    <col min="9989" max="9989" width="18.5546875" style="24" customWidth="1"/>
    <col min="9990" max="9990" width="8.88671875" style="24" customWidth="1"/>
    <col min="9991" max="9991" width="10" style="24" customWidth="1"/>
    <col min="9992" max="9993" width="11.77734375" style="24" customWidth="1"/>
    <col min="9994" max="9994" width="22.44140625" style="24" customWidth="1"/>
    <col min="9995" max="9995" width="13.6640625" style="24" customWidth="1"/>
    <col min="9996" max="9996" width="13.5546875" style="24" customWidth="1"/>
    <col min="9997" max="9997" width="12" style="24" customWidth="1"/>
    <col min="9998" max="9998" width="19.109375" style="24" customWidth="1"/>
    <col min="9999" max="10242" width="8.88671875" style="24"/>
    <col min="10243" max="10243" width="8.5546875" style="24" customWidth="1"/>
    <col min="10244" max="10244" width="15.33203125" style="24" customWidth="1"/>
    <col min="10245" max="10245" width="18.5546875" style="24" customWidth="1"/>
    <col min="10246" max="10246" width="8.88671875" style="24" customWidth="1"/>
    <col min="10247" max="10247" width="10" style="24" customWidth="1"/>
    <col min="10248" max="10249" width="11.77734375" style="24" customWidth="1"/>
    <col min="10250" max="10250" width="22.44140625" style="24" customWidth="1"/>
    <col min="10251" max="10251" width="13.6640625" style="24" customWidth="1"/>
    <col min="10252" max="10252" width="13.5546875" style="24" customWidth="1"/>
    <col min="10253" max="10253" width="12" style="24" customWidth="1"/>
    <col min="10254" max="10254" width="19.109375" style="24" customWidth="1"/>
    <col min="10255" max="10498" width="8.88671875" style="24"/>
    <col min="10499" max="10499" width="8.5546875" style="24" customWidth="1"/>
    <col min="10500" max="10500" width="15.33203125" style="24" customWidth="1"/>
    <col min="10501" max="10501" width="18.5546875" style="24" customWidth="1"/>
    <col min="10502" max="10502" width="8.88671875" style="24" customWidth="1"/>
    <col min="10503" max="10503" width="10" style="24" customWidth="1"/>
    <col min="10504" max="10505" width="11.77734375" style="24" customWidth="1"/>
    <col min="10506" max="10506" width="22.44140625" style="24" customWidth="1"/>
    <col min="10507" max="10507" width="13.6640625" style="24" customWidth="1"/>
    <col min="10508" max="10508" width="13.5546875" style="24" customWidth="1"/>
    <col min="10509" max="10509" width="12" style="24" customWidth="1"/>
    <col min="10510" max="10510" width="19.109375" style="24" customWidth="1"/>
    <col min="10511" max="10754" width="8.88671875" style="24"/>
    <col min="10755" max="10755" width="8.5546875" style="24" customWidth="1"/>
    <col min="10756" max="10756" width="15.33203125" style="24" customWidth="1"/>
    <col min="10757" max="10757" width="18.5546875" style="24" customWidth="1"/>
    <col min="10758" max="10758" width="8.88671875" style="24" customWidth="1"/>
    <col min="10759" max="10759" width="10" style="24" customWidth="1"/>
    <col min="10760" max="10761" width="11.77734375" style="24" customWidth="1"/>
    <col min="10762" max="10762" width="22.44140625" style="24" customWidth="1"/>
    <col min="10763" max="10763" width="13.6640625" style="24" customWidth="1"/>
    <col min="10764" max="10764" width="13.5546875" style="24" customWidth="1"/>
    <col min="10765" max="10765" width="12" style="24" customWidth="1"/>
    <col min="10766" max="10766" width="19.109375" style="24" customWidth="1"/>
    <col min="10767" max="11010" width="8.88671875" style="24"/>
    <col min="11011" max="11011" width="8.5546875" style="24" customWidth="1"/>
    <col min="11012" max="11012" width="15.33203125" style="24" customWidth="1"/>
    <col min="11013" max="11013" width="18.5546875" style="24" customWidth="1"/>
    <col min="11014" max="11014" width="8.88671875" style="24" customWidth="1"/>
    <col min="11015" max="11015" width="10" style="24" customWidth="1"/>
    <col min="11016" max="11017" width="11.77734375" style="24" customWidth="1"/>
    <col min="11018" max="11018" width="22.44140625" style="24" customWidth="1"/>
    <col min="11019" max="11019" width="13.6640625" style="24" customWidth="1"/>
    <col min="11020" max="11020" width="13.5546875" style="24" customWidth="1"/>
    <col min="11021" max="11021" width="12" style="24" customWidth="1"/>
    <col min="11022" max="11022" width="19.109375" style="24" customWidth="1"/>
    <col min="11023" max="11266" width="8.88671875" style="24"/>
    <col min="11267" max="11267" width="8.5546875" style="24" customWidth="1"/>
    <col min="11268" max="11268" width="15.33203125" style="24" customWidth="1"/>
    <col min="11269" max="11269" width="18.5546875" style="24" customWidth="1"/>
    <col min="11270" max="11270" width="8.88671875" style="24" customWidth="1"/>
    <col min="11271" max="11271" width="10" style="24" customWidth="1"/>
    <col min="11272" max="11273" width="11.77734375" style="24" customWidth="1"/>
    <col min="11274" max="11274" width="22.44140625" style="24" customWidth="1"/>
    <col min="11275" max="11275" width="13.6640625" style="24" customWidth="1"/>
    <col min="11276" max="11276" width="13.5546875" style="24" customWidth="1"/>
    <col min="11277" max="11277" width="12" style="24" customWidth="1"/>
    <col min="11278" max="11278" width="19.109375" style="24" customWidth="1"/>
    <col min="11279" max="11522" width="8.88671875" style="24"/>
    <col min="11523" max="11523" width="8.5546875" style="24" customWidth="1"/>
    <col min="11524" max="11524" width="15.33203125" style="24" customWidth="1"/>
    <col min="11525" max="11525" width="18.5546875" style="24" customWidth="1"/>
    <col min="11526" max="11526" width="8.88671875" style="24" customWidth="1"/>
    <col min="11527" max="11527" width="10" style="24" customWidth="1"/>
    <col min="11528" max="11529" width="11.77734375" style="24" customWidth="1"/>
    <col min="11530" max="11530" width="22.44140625" style="24" customWidth="1"/>
    <col min="11531" max="11531" width="13.6640625" style="24" customWidth="1"/>
    <col min="11532" max="11532" width="13.5546875" style="24" customWidth="1"/>
    <col min="11533" max="11533" width="12" style="24" customWidth="1"/>
    <col min="11534" max="11534" width="19.109375" style="24" customWidth="1"/>
    <col min="11535" max="11778" width="8.88671875" style="24"/>
    <col min="11779" max="11779" width="8.5546875" style="24" customWidth="1"/>
    <col min="11780" max="11780" width="15.33203125" style="24" customWidth="1"/>
    <col min="11781" max="11781" width="18.5546875" style="24" customWidth="1"/>
    <col min="11782" max="11782" width="8.88671875" style="24" customWidth="1"/>
    <col min="11783" max="11783" width="10" style="24" customWidth="1"/>
    <col min="11784" max="11785" width="11.77734375" style="24" customWidth="1"/>
    <col min="11786" max="11786" width="22.44140625" style="24" customWidth="1"/>
    <col min="11787" max="11787" width="13.6640625" style="24" customWidth="1"/>
    <col min="11788" max="11788" width="13.5546875" style="24" customWidth="1"/>
    <col min="11789" max="11789" width="12" style="24" customWidth="1"/>
    <col min="11790" max="11790" width="19.109375" style="24" customWidth="1"/>
    <col min="11791" max="12034" width="8.88671875" style="24"/>
    <col min="12035" max="12035" width="8.5546875" style="24" customWidth="1"/>
    <col min="12036" max="12036" width="15.33203125" style="24" customWidth="1"/>
    <col min="12037" max="12037" width="18.5546875" style="24" customWidth="1"/>
    <col min="12038" max="12038" width="8.88671875" style="24" customWidth="1"/>
    <col min="12039" max="12039" width="10" style="24" customWidth="1"/>
    <col min="12040" max="12041" width="11.77734375" style="24" customWidth="1"/>
    <col min="12042" max="12042" width="22.44140625" style="24" customWidth="1"/>
    <col min="12043" max="12043" width="13.6640625" style="24" customWidth="1"/>
    <col min="12044" max="12044" width="13.5546875" style="24" customWidth="1"/>
    <col min="12045" max="12045" width="12" style="24" customWidth="1"/>
    <col min="12046" max="12046" width="19.109375" style="24" customWidth="1"/>
    <col min="12047" max="12290" width="8.88671875" style="24"/>
    <col min="12291" max="12291" width="8.5546875" style="24" customWidth="1"/>
    <col min="12292" max="12292" width="15.33203125" style="24" customWidth="1"/>
    <col min="12293" max="12293" width="18.5546875" style="24" customWidth="1"/>
    <col min="12294" max="12294" width="8.88671875" style="24" customWidth="1"/>
    <col min="12295" max="12295" width="10" style="24" customWidth="1"/>
    <col min="12296" max="12297" width="11.77734375" style="24" customWidth="1"/>
    <col min="12298" max="12298" width="22.44140625" style="24" customWidth="1"/>
    <col min="12299" max="12299" width="13.6640625" style="24" customWidth="1"/>
    <col min="12300" max="12300" width="13.5546875" style="24" customWidth="1"/>
    <col min="12301" max="12301" width="12" style="24" customWidth="1"/>
    <col min="12302" max="12302" width="19.109375" style="24" customWidth="1"/>
    <col min="12303" max="12546" width="8.88671875" style="24"/>
    <col min="12547" max="12547" width="8.5546875" style="24" customWidth="1"/>
    <col min="12548" max="12548" width="15.33203125" style="24" customWidth="1"/>
    <col min="12549" max="12549" width="18.5546875" style="24" customWidth="1"/>
    <col min="12550" max="12550" width="8.88671875" style="24" customWidth="1"/>
    <col min="12551" max="12551" width="10" style="24" customWidth="1"/>
    <col min="12552" max="12553" width="11.77734375" style="24" customWidth="1"/>
    <col min="12554" max="12554" width="22.44140625" style="24" customWidth="1"/>
    <col min="12555" max="12555" width="13.6640625" style="24" customWidth="1"/>
    <col min="12556" max="12556" width="13.5546875" style="24" customWidth="1"/>
    <col min="12557" max="12557" width="12" style="24" customWidth="1"/>
    <col min="12558" max="12558" width="19.109375" style="24" customWidth="1"/>
    <col min="12559" max="12802" width="8.88671875" style="24"/>
    <col min="12803" max="12803" width="8.5546875" style="24" customWidth="1"/>
    <col min="12804" max="12804" width="15.33203125" style="24" customWidth="1"/>
    <col min="12805" max="12805" width="18.5546875" style="24" customWidth="1"/>
    <col min="12806" max="12806" width="8.88671875" style="24" customWidth="1"/>
    <col min="12807" max="12807" width="10" style="24" customWidth="1"/>
    <col min="12808" max="12809" width="11.77734375" style="24" customWidth="1"/>
    <col min="12810" max="12810" width="22.44140625" style="24" customWidth="1"/>
    <col min="12811" max="12811" width="13.6640625" style="24" customWidth="1"/>
    <col min="12812" max="12812" width="13.5546875" style="24" customWidth="1"/>
    <col min="12813" max="12813" width="12" style="24" customWidth="1"/>
    <col min="12814" max="12814" width="19.109375" style="24" customWidth="1"/>
    <col min="12815" max="13058" width="8.88671875" style="24"/>
    <col min="13059" max="13059" width="8.5546875" style="24" customWidth="1"/>
    <col min="13060" max="13060" width="15.33203125" style="24" customWidth="1"/>
    <col min="13061" max="13061" width="18.5546875" style="24" customWidth="1"/>
    <col min="13062" max="13062" width="8.88671875" style="24" customWidth="1"/>
    <col min="13063" max="13063" width="10" style="24" customWidth="1"/>
    <col min="13064" max="13065" width="11.77734375" style="24" customWidth="1"/>
    <col min="13066" max="13066" width="22.44140625" style="24" customWidth="1"/>
    <col min="13067" max="13067" width="13.6640625" style="24" customWidth="1"/>
    <col min="13068" max="13068" width="13.5546875" style="24" customWidth="1"/>
    <col min="13069" max="13069" width="12" style="24" customWidth="1"/>
    <col min="13070" max="13070" width="19.109375" style="24" customWidth="1"/>
    <col min="13071" max="13314" width="8.88671875" style="24"/>
    <col min="13315" max="13315" width="8.5546875" style="24" customWidth="1"/>
    <col min="13316" max="13316" width="15.33203125" style="24" customWidth="1"/>
    <col min="13317" max="13317" width="18.5546875" style="24" customWidth="1"/>
    <col min="13318" max="13318" width="8.88671875" style="24" customWidth="1"/>
    <col min="13319" max="13319" width="10" style="24" customWidth="1"/>
    <col min="13320" max="13321" width="11.77734375" style="24" customWidth="1"/>
    <col min="13322" max="13322" width="22.44140625" style="24" customWidth="1"/>
    <col min="13323" max="13323" width="13.6640625" style="24" customWidth="1"/>
    <col min="13324" max="13324" width="13.5546875" style="24" customWidth="1"/>
    <col min="13325" max="13325" width="12" style="24" customWidth="1"/>
    <col min="13326" max="13326" width="19.109375" style="24" customWidth="1"/>
    <col min="13327" max="13570" width="8.88671875" style="24"/>
    <col min="13571" max="13571" width="8.5546875" style="24" customWidth="1"/>
    <col min="13572" max="13572" width="15.33203125" style="24" customWidth="1"/>
    <col min="13573" max="13573" width="18.5546875" style="24" customWidth="1"/>
    <col min="13574" max="13574" width="8.88671875" style="24" customWidth="1"/>
    <col min="13575" max="13575" width="10" style="24" customWidth="1"/>
    <col min="13576" max="13577" width="11.77734375" style="24" customWidth="1"/>
    <col min="13578" max="13578" width="22.44140625" style="24" customWidth="1"/>
    <col min="13579" max="13579" width="13.6640625" style="24" customWidth="1"/>
    <col min="13580" max="13580" width="13.5546875" style="24" customWidth="1"/>
    <col min="13581" max="13581" width="12" style="24" customWidth="1"/>
    <col min="13582" max="13582" width="19.109375" style="24" customWidth="1"/>
    <col min="13583" max="13826" width="8.88671875" style="24"/>
    <col min="13827" max="13827" width="8.5546875" style="24" customWidth="1"/>
    <col min="13828" max="13828" width="15.33203125" style="24" customWidth="1"/>
    <col min="13829" max="13829" width="18.5546875" style="24" customWidth="1"/>
    <col min="13830" max="13830" width="8.88671875" style="24" customWidth="1"/>
    <col min="13831" max="13831" width="10" style="24" customWidth="1"/>
    <col min="13832" max="13833" width="11.77734375" style="24" customWidth="1"/>
    <col min="13834" max="13834" width="22.44140625" style="24" customWidth="1"/>
    <col min="13835" max="13835" width="13.6640625" style="24" customWidth="1"/>
    <col min="13836" max="13836" width="13.5546875" style="24" customWidth="1"/>
    <col min="13837" max="13837" width="12" style="24" customWidth="1"/>
    <col min="13838" max="13838" width="19.109375" style="24" customWidth="1"/>
    <col min="13839" max="14082" width="8.88671875" style="24"/>
    <col min="14083" max="14083" width="8.5546875" style="24" customWidth="1"/>
    <col min="14084" max="14084" width="15.33203125" style="24" customWidth="1"/>
    <col min="14085" max="14085" width="18.5546875" style="24" customWidth="1"/>
    <col min="14086" max="14086" width="8.88671875" style="24" customWidth="1"/>
    <col min="14087" max="14087" width="10" style="24" customWidth="1"/>
    <col min="14088" max="14089" width="11.77734375" style="24" customWidth="1"/>
    <col min="14090" max="14090" width="22.44140625" style="24" customWidth="1"/>
    <col min="14091" max="14091" width="13.6640625" style="24" customWidth="1"/>
    <col min="14092" max="14092" width="13.5546875" style="24" customWidth="1"/>
    <col min="14093" max="14093" width="12" style="24" customWidth="1"/>
    <col min="14094" max="14094" width="19.109375" style="24" customWidth="1"/>
    <col min="14095" max="14338" width="8.88671875" style="24"/>
    <col min="14339" max="14339" width="8.5546875" style="24" customWidth="1"/>
    <col min="14340" max="14340" width="15.33203125" style="24" customWidth="1"/>
    <col min="14341" max="14341" width="18.5546875" style="24" customWidth="1"/>
    <col min="14342" max="14342" width="8.88671875" style="24" customWidth="1"/>
    <col min="14343" max="14343" width="10" style="24" customWidth="1"/>
    <col min="14344" max="14345" width="11.77734375" style="24" customWidth="1"/>
    <col min="14346" max="14346" width="22.44140625" style="24" customWidth="1"/>
    <col min="14347" max="14347" width="13.6640625" style="24" customWidth="1"/>
    <col min="14348" max="14348" width="13.5546875" style="24" customWidth="1"/>
    <col min="14349" max="14349" width="12" style="24" customWidth="1"/>
    <col min="14350" max="14350" width="19.109375" style="24" customWidth="1"/>
    <col min="14351" max="14594" width="8.88671875" style="24"/>
    <col min="14595" max="14595" width="8.5546875" style="24" customWidth="1"/>
    <col min="14596" max="14596" width="15.33203125" style="24" customWidth="1"/>
    <col min="14597" max="14597" width="18.5546875" style="24" customWidth="1"/>
    <col min="14598" max="14598" width="8.88671875" style="24" customWidth="1"/>
    <col min="14599" max="14599" width="10" style="24" customWidth="1"/>
    <col min="14600" max="14601" width="11.77734375" style="24" customWidth="1"/>
    <col min="14602" max="14602" width="22.44140625" style="24" customWidth="1"/>
    <col min="14603" max="14603" width="13.6640625" style="24" customWidth="1"/>
    <col min="14604" max="14604" width="13.5546875" style="24" customWidth="1"/>
    <col min="14605" max="14605" width="12" style="24" customWidth="1"/>
    <col min="14606" max="14606" width="19.109375" style="24" customWidth="1"/>
    <col min="14607" max="14850" width="8.88671875" style="24"/>
    <col min="14851" max="14851" width="8.5546875" style="24" customWidth="1"/>
    <col min="14852" max="14852" width="15.33203125" style="24" customWidth="1"/>
    <col min="14853" max="14853" width="18.5546875" style="24" customWidth="1"/>
    <col min="14854" max="14854" width="8.88671875" style="24" customWidth="1"/>
    <col min="14855" max="14855" width="10" style="24" customWidth="1"/>
    <col min="14856" max="14857" width="11.77734375" style="24" customWidth="1"/>
    <col min="14858" max="14858" width="22.44140625" style="24" customWidth="1"/>
    <col min="14859" max="14859" width="13.6640625" style="24" customWidth="1"/>
    <col min="14860" max="14860" width="13.5546875" style="24" customWidth="1"/>
    <col min="14861" max="14861" width="12" style="24" customWidth="1"/>
    <col min="14862" max="14862" width="19.109375" style="24" customWidth="1"/>
    <col min="14863" max="15106" width="8.88671875" style="24"/>
    <col min="15107" max="15107" width="8.5546875" style="24" customWidth="1"/>
    <col min="15108" max="15108" width="15.33203125" style="24" customWidth="1"/>
    <col min="15109" max="15109" width="18.5546875" style="24" customWidth="1"/>
    <col min="15110" max="15110" width="8.88671875" style="24" customWidth="1"/>
    <col min="15111" max="15111" width="10" style="24" customWidth="1"/>
    <col min="15112" max="15113" width="11.77734375" style="24" customWidth="1"/>
    <col min="15114" max="15114" width="22.44140625" style="24" customWidth="1"/>
    <col min="15115" max="15115" width="13.6640625" style="24" customWidth="1"/>
    <col min="15116" max="15116" width="13.5546875" style="24" customWidth="1"/>
    <col min="15117" max="15117" width="12" style="24" customWidth="1"/>
    <col min="15118" max="15118" width="19.109375" style="24" customWidth="1"/>
    <col min="15119" max="15362" width="8.88671875" style="24"/>
    <col min="15363" max="15363" width="8.5546875" style="24" customWidth="1"/>
    <col min="15364" max="15364" width="15.33203125" style="24" customWidth="1"/>
    <col min="15365" max="15365" width="18.5546875" style="24" customWidth="1"/>
    <col min="15366" max="15366" width="8.88671875" style="24" customWidth="1"/>
    <col min="15367" max="15367" width="10" style="24" customWidth="1"/>
    <col min="15368" max="15369" width="11.77734375" style="24" customWidth="1"/>
    <col min="15370" max="15370" width="22.44140625" style="24" customWidth="1"/>
    <col min="15371" max="15371" width="13.6640625" style="24" customWidth="1"/>
    <col min="15372" max="15372" width="13.5546875" style="24" customWidth="1"/>
    <col min="15373" max="15373" width="12" style="24" customWidth="1"/>
    <col min="15374" max="15374" width="19.109375" style="24" customWidth="1"/>
    <col min="15375" max="15618" width="8.88671875" style="24"/>
    <col min="15619" max="15619" width="8.5546875" style="24" customWidth="1"/>
    <col min="15620" max="15620" width="15.33203125" style="24" customWidth="1"/>
    <col min="15621" max="15621" width="18.5546875" style="24" customWidth="1"/>
    <col min="15622" max="15622" width="8.88671875" style="24" customWidth="1"/>
    <col min="15623" max="15623" width="10" style="24" customWidth="1"/>
    <col min="15624" max="15625" width="11.77734375" style="24" customWidth="1"/>
    <col min="15626" max="15626" width="22.44140625" style="24" customWidth="1"/>
    <col min="15627" max="15627" width="13.6640625" style="24" customWidth="1"/>
    <col min="15628" max="15628" width="13.5546875" style="24" customWidth="1"/>
    <col min="15629" max="15629" width="12" style="24" customWidth="1"/>
    <col min="15630" max="15630" width="19.109375" style="24" customWidth="1"/>
    <col min="15631" max="15874" width="8.88671875" style="24"/>
    <col min="15875" max="15875" width="8.5546875" style="24" customWidth="1"/>
    <col min="15876" max="15876" width="15.33203125" style="24" customWidth="1"/>
    <col min="15877" max="15877" width="18.5546875" style="24" customWidth="1"/>
    <col min="15878" max="15878" width="8.88671875" style="24" customWidth="1"/>
    <col min="15879" max="15879" width="10" style="24" customWidth="1"/>
    <col min="15880" max="15881" width="11.77734375" style="24" customWidth="1"/>
    <col min="15882" max="15882" width="22.44140625" style="24" customWidth="1"/>
    <col min="15883" max="15883" width="13.6640625" style="24" customWidth="1"/>
    <col min="15884" max="15884" width="13.5546875" style="24" customWidth="1"/>
    <col min="15885" max="15885" width="12" style="24" customWidth="1"/>
    <col min="15886" max="15886" width="19.109375" style="24" customWidth="1"/>
    <col min="15887" max="16130" width="8.88671875" style="24"/>
    <col min="16131" max="16131" width="8.5546875" style="24" customWidth="1"/>
    <col min="16132" max="16132" width="15.33203125" style="24" customWidth="1"/>
    <col min="16133" max="16133" width="18.5546875" style="24" customWidth="1"/>
    <col min="16134" max="16134" width="8.88671875" style="24" customWidth="1"/>
    <col min="16135" max="16135" width="10" style="24" customWidth="1"/>
    <col min="16136" max="16137" width="11.77734375" style="24" customWidth="1"/>
    <col min="16138" max="16138" width="22.44140625" style="24" customWidth="1"/>
    <col min="16139" max="16139" width="13.6640625" style="24" customWidth="1"/>
    <col min="16140" max="16140" width="13.5546875" style="24" customWidth="1"/>
    <col min="16141" max="16141" width="12" style="24" customWidth="1"/>
    <col min="16142" max="16142" width="19.109375" style="24" customWidth="1"/>
    <col min="16143" max="16381" width="8.88671875" style="24"/>
    <col min="16382" max="16384" width="10" style="24" customWidth="1"/>
  </cols>
  <sheetData>
    <row r="1" spans="1:20" s="20" customFormat="1" ht="19.95" customHeight="1" x14ac:dyDescent="0.25">
      <c r="A1" s="403" t="s">
        <v>20</v>
      </c>
      <c r="B1" s="403"/>
      <c r="C1" s="403"/>
      <c r="D1" s="403"/>
      <c r="E1" s="403"/>
      <c r="F1" s="403"/>
      <c r="G1" s="403"/>
      <c r="H1" s="403"/>
      <c r="I1" s="403"/>
      <c r="J1" s="403"/>
      <c r="K1" s="403"/>
      <c r="L1" s="403"/>
      <c r="M1" s="403"/>
      <c r="N1" s="403"/>
      <c r="O1" s="21"/>
      <c r="P1" s="21"/>
      <c r="Q1" s="21"/>
      <c r="R1" s="21"/>
      <c r="S1" s="21"/>
      <c r="T1" s="21"/>
    </row>
    <row r="2" spans="1:20" s="21" customFormat="1" ht="19.95" customHeight="1" x14ac:dyDescent="0.25">
      <c r="A2" s="404" t="s">
        <v>318</v>
      </c>
      <c r="B2" s="405"/>
      <c r="C2" s="405"/>
      <c r="D2" s="405"/>
      <c r="E2" s="405"/>
      <c r="F2" s="405"/>
      <c r="G2" s="405"/>
      <c r="H2" s="405"/>
      <c r="I2" s="405"/>
      <c r="J2" s="405"/>
      <c r="K2" s="405"/>
      <c r="L2" s="405"/>
      <c r="M2" s="405"/>
      <c r="N2" s="405"/>
      <c r="O2" s="16"/>
    </row>
    <row r="3" spans="1:20" s="22" customFormat="1" ht="19.95" customHeight="1" x14ac:dyDescent="0.25">
      <c r="A3" s="25" t="str">
        <f>底稿目录!A2</f>
        <v>被审计单位：</v>
      </c>
      <c r="E3" s="26" t="str">
        <f>底稿目录!A4</f>
        <v>编制人：</v>
      </c>
      <c r="H3" s="26" t="str">
        <f>底稿目录!A5</f>
        <v>编制日期：</v>
      </c>
      <c r="I3" s="26"/>
      <c r="J3" s="26"/>
      <c r="L3" s="40"/>
      <c r="M3" s="41" t="s">
        <v>55</v>
      </c>
      <c r="N3" s="42" t="str">
        <f>底稿目录!F10</f>
        <v>L0-6</v>
      </c>
    </row>
    <row r="4" spans="1:20" s="22" customFormat="1" ht="19.95" customHeight="1" x14ac:dyDescent="0.25">
      <c r="A4" s="25" t="str">
        <f>底稿目录!A3</f>
        <v>截止日：202X年12月31日</v>
      </c>
      <c r="E4" s="26" t="str">
        <f>底稿目录!A6</f>
        <v>复核人：</v>
      </c>
      <c r="H4" s="26" t="str">
        <f>底稿目录!A7</f>
        <v>复核日期：</v>
      </c>
      <c r="I4" s="26"/>
      <c r="J4" s="26"/>
      <c r="L4" s="40"/>
      <c r="M4" s="43" t="s">
        <v>155</v>
      </c>
      <c r="N4" s="40"/>
    </row>
    <row r="5" spans="1:20" ht="19.95" customHeight="1" x14ac:dyDescent="0.25">
      <c r="A5" s="410" t="s">
        <v>58</v>
      </c>
      <c r="B5" s="410" t="s">
        <v>319</v>
      </c>
      <c r="C5" s="410" t="s">
        <v>66</v>
      </c>
      <c r="D5" s="411" t="s">
        <v>75</v>
      </c>
      <c r="E5" s="411" t="s">
        <v>320</v>
      </c>
      <c r="F5" s="411" t="s">
        <v>321</v>
      </c>
      <c r="G5" s="406" t="s">
        <v>322</v>
      </c>
      <c r="H5" s="407"/>
      <c r="I5" s="407"/>
      <c r="J5" s="407"/>
      <c r="K5" s="407"/>
      <c r="L5" s="407"/>
      <c r="M5" s="408"/>
      <c r="N5" s="410" t="s">
        <v>323</v>
      </c>
    </row>
    <row r="6" spans="1:20" ht="37.799999999999997" customHeight="1" x14ac:dyDescent="0.25">
      <c r="A6" s="410"/>
      <c r="B6" s="410"/>
      <c r="C6" s="410"/>
      <c r="D6" s="412"/>
      <c r="E6" s="412"/>
      <c r="F6" s="412"/>
      <c r="G6" s="27" t="s">
        <v>324</v>
      </c>
      <c r="H6" s="27" t="s">
        <v>325</v>
      </c>
      <c r="I6" s="27" t="s">
        <v>326</v>
      </c>
      <c r="J6" s="27" t="s">
        <v>327</v>
      </c>
      <c r="K6" s="27" t="s">
        <v>328</v>
      </c>
      <c r="L6" s="27" t="s">
        <v>329</v>
      </c>
      <c r="M6" s="27" t="s">
        <v>330</v>
      </c>
      <c r="N6" s="410"/>
      <c r="O6" s="44"/>
    </row>
    <row r="7" spans="1:20" ht="19.95" customHeight="1" x14ac:dyDescent="0.25">
      <c r="A7" s="28">
        <v>1</v>
      </c>
      <c r="B7" s="29"/>
      <c r="C7" s="29"/>
      <c r="D7" s="28"/>
      <c r="E7" s="28"/>
      <c r="F7" s="28"/>
      <c r="G7" s="30"/>
      <c r="H7" s="30"/>
      <c r="I7" s="30"/>
      <c r="J7" s="30"/>
      <c r="K7" s="30"/>
      <c r="L7" s="45"/>
      <c r="M7" s="30"/>
      <c r="N7" s="28"/>
    </row>
    <row r="8" spans="1:20" ht="19.95" customHeight="1" x14ac:dyDescent="0.25">
      <c r="A8" s="28">
        <v>2</v>
      </c>
      <c r="B8" s="29"/>
      <c r="C8" s="29"/>
      <c r="D8" s="28"/>
      <c r="E8" s="28"/>
      <c r="F8" s="28"/>
      <c r="G8" s="30"/>
      <c r="H8" s="30"/>
      <c r="I8" s="30"/>
      <c r="J8" s="30"/>
      <c r="K8" s="30"/>
      <c r="L8" s="45"/>
      <c r="M8" s="30"/>
      <c r="N8" s="28"/>
    </row>
    <row r="9" spans="1:20" ht="19.95" customHeight="1" x14ac:dyDescent="0.25">
      <c r="A9" s="28">
        <v>3</v>
      </c>
      <c r="B9" s="29"/>
      <c r="C9" s="29"/>
      <c r="D9" s="28"/>
      <c r="E9" s="28"/>
      <c r="F9" s="28"/>
      <c r="G9" s="30"/>
      <c r="H9" s="30"/>
      <c r="I9" s="30"/>
      <c r="J9" s="30"/>
      <c r="K9" s="30"/>
      <c r="L9" s="45"/>
      <c r="M9" s="30"/>
      <c r="N9" s="28"/>
    </row>
    <row r="10" spans="1:20" ht="19.95" customHeight="1" x14ac:dyDescent="0.25">
      <c r="A10" s="28">
        <v>4</v>
      </c>
      <c r="B10" s="29"/>
      <c r="C10" s="29"/>
      <c r="D10" s="28"/>
      <c r="E10" s="28"/>
      <c r="F10" s="28"/>
      <c r="G10" s="30"/>
      <c r="H10" s="30"/>
      <c r="I10" s="30"/>
      <c r="J10" s="30"/>
      <c r="K10" s="30"/>
      <c r="L10" s="45"/>
      <c r="M10" s="30"/>
      <c r="N10" s="28"/>
    </row>
    <row r="11" spans="1:20" ht="19.95" customHeight="1" x14ac:dyDescent="0.25">
      <c r="A11" s="28">
        <v>5</v>
      </c>
      <c r="B11" s="29"/>
      <c r="C11" s="29"/>
      <c r="D11" s="28"/>
      <c r="E11" s="28"/>
      <c r="F11" s="28"/>
      <c r="G11" s="30"/>
      <c r="H11" s="30"/>
      <c r="I11" s="30"/>
      <c r="J11" s="30"/>
      <c r="K11" s="30"/>
      <c r="L11" s="45"/>
      <c r="M11" s="30"/>
      <c r="N11" s="28"/>
    </row>
    <row r="12" spans="1:20" ht="19.95" customHeight="1" x14ac:dyDescent="0.25">
      <c r="A12" s="28">
        <v>6</v>
      </c>
      <c r="B12" s="29"/>
      <c r="C12" s="29"/>
      <c r="D12" s="28"/>
      <c r="E12" s="28"/>
      <c r="F12" s="28"/>
      <c r="G12" s="30"/>
      <c r="H12" s="30"/>
      <c r="I12" s="30"/>
      <c r="J12" s="30"/>
      <c r="K12" s="30"/>
      <c r="L12" s="45"/>
      <c r="M12" s="30"/>
      <c r="N12" s="28"/>
    </row>
    <row r="13" spans="1:20" ht="19.95" customHeight="1" x14ac:dyDescent="0.25">
      <c r="A13" s="28">
        <v>7</v>
      </c>
      <c r="B13" s="29"/>
      <c r="C13" s="29"/>
      <c r="D13" s="28"/>
      <c r="E13" s="28"/>
      <c r="F13" s="28"/>
      <c r="G13" s="30"/>
      <c r="H13" s="30"/>
      <c r="I13" s="30"/>
      <c r="J13" s="30"/>
      <c r="K13" s="30"/>
      <c r="L13" s="45"/>
      <c r="M13" s="30"/>
      <c r="N13" s="28"/>
    </row>
    <row r="14" spans="1:20" ht="19.95" customHeight="1" x14ac:dyDescent="0.25">
      <c r="A14" s="28">
        <v>8</v>
      </c>
      <c r="B14" s="29"/>
      <c r="C14" s="29"/>
      <c r="D14" s="28"/>
      <c r="E14" s="28"/>
      <c r="F14" s="28"/>
      <c r="G14" s="30"/>
      <c r="H14" s="30"/>
      <c r="I14" s="30"/>
      <c r="J14" s="30"/>
      <c r="K14" s="30"/>
      <c r="L14" s="45"/>
      <c r="M14" s="30"/>
      <c r="N14" s="28"/>
    </row>
    <row r="15" spans="1:20" ht="19.95" customHeight="1" x14ac:dyDescent="0.25">
      <c r="A15" s="28">
        <v>9</v>
      </c>
      <c r="B15" s="29"/>
      <c r="C15" s="29"/>
      <c r="D15" s="28"/>
      <c r="E15" s="28"/>
      <c r="F15" s="28"/>
      <c r="G15" s="30"/>
      <c r="H15" s="30"/>
      <c r="I15" s="30"/>
      <c r="J15" s="30"/>
      <c r="K15" s="30"/>
      <c r="L15" s="45"/>
      <c r="M15" s="30"/>
      <c r="N15" s="28"/>
    </row>
    <row r="16" spans="1:20" ht="19.95" customHeight="1" x14ac:dyDescent="0.25">
      <c r="A16" s="28">
        <v>10</v>
      </c>
      <c r="B16" s="29"/>
      <c r="C16" s="29"/>
      <c r="D16" s="28"/>
      <c r="E16" s="28"/>
      <c r="F16" s="28"/>
      <c r="G16" s="30"/>
      <c r="H16" s="30"/>
      <c r="I16" s="30"/>
      <c r="J16" s="30"/>
      <c r="K16" s="30"/>
      <c r="L16" s="45"/>
      <c r="M16" s="30"/>
      <c r="N16" s="28"/>
    </row>
    <row r="17" spans="1:15" ht="19.95" customHeight="1" x14ac:dyDescent="0.25">
      <c r="A17" s="31" t="s">
        <v>413</v>
      </c>
      <c r="B17" s="32"/>
      <c r="C17" s="32"/>
      <c r="D17" s="32"/>
      <c r="E17" s="32"/>
      <c r="F17" s="32"/>
      <c r="G17" s="32"/>
      <c r="H17" s="32"/>
      <c r="I17" s="32"/>
      <c r="J17" s="32"/>
      <c r="K17" s="32"/>
      <c r="L17" s="32"/>
      <c r="M17" s="32"/>
      <c r="N17" s="32"/>
      <c r="O17" s="46"/>
    </row>
    <row r="18" spans="1:15" ht="19.95" customHeight="1" x14ac:dyDescent="0.25">
      <c r="A18" s="33" t="s">
        <v>404</v>
      </c>
      <c r="B18" s="32"/>
      <c r="C18" s="32"/>
      <c r="D18" s="32"/>
      <c r="E18" s="32"/>
      <c r="F18" s="32"/>
      <c r="G18" s="32"/>
      <c r="H18" s="32"/>
      <c r="I18" s="32"/>
      <c r="J18" s="32"/>
      <c r="K18" s="32"/>
      <c r="L18" s="32"/>
      <c r="M18" s="32"/>
      <c r="N18" s="32"/>
      <c r="O18" s="44"/>
    </row>
    <row r="19" spans="1:15" ht="19.95" customHeight="1" x14ac:dyDescent="0.25">
      <c r="A19" s="34"/>
      <c r="B19" s="32"/>
      <c r="C19" s="32"/>
      <c r="D19" s="32"/>
      <c r="E19" s="32"/>
      <c r="F19" s="32"/>
      <c r="G19" s="32"/>
      <c r="H19" s="32"/>
      <c r="I19" s="32"/>
      <c r="J19" s="32"/>
      <c r="K19" s="32"/>
      <c r="L19" s="32"/>
      <c r="M19" s="32"/>
      <c r="N19" s="32"/>
    </row>
    <row r="20" spans="1:15" ht="19.95" customHeight="1" x14ac:dyDescent="0.25">
      <c r="A20" s="31" t="s">
        <v>331</v>
      </c>
      <c r="B20" s="32"/>
      <c r="C20" s="32"/>
      <c r="D20" s="32"/>
      <c r="E20" s="32"/>
      <c r="F20" s="32"/>
      <c r="G20" s="32"/>
      <c r="H20" s="32"/>
      <c r="I20" s="32"/>
      <c r="J20" s="32"/>
      <c r="K20" s="32"/>
      <c r="L20" s="32"/>
      <c r="M20" s="32"/>
      <c r="N20" s="32"/>
    </row>
    <row r="21" spans="1:15" ht="19.95" customHeight="1" x14ac:dyDescent="0.25">
      <c r="A21" s="32"/>
      <c r="B21" s="32"/>
      <c r="C21" s="32"/>
      <c r="D21" s="32"/>
      <c r="E21" s="32"/>
      <c r="F21" s="32"/>
      <c r="G21" s="32"/>
      <c r="H21" s="32"/>
      <c r="I21" s="32"/>
      <c r="J21" s="32"/>
      <c r="K21" s="32"/>
      <c r="L21" s="32"/>
      <c r="M21" s="32"/>
      <c r="N21" s="32"/>
    </row>
    <row r="22" spans="1:15" ht="19.95" customHeight="1" x14ac:dyDescent="0.25">
      <c r="A22" s="409"/>
      <c r="B22" s="409"/>
      <c r="C22" s="409"/>
      <c r="D22" s="409"/>
      <c r="E22" s="409"/>
      <c r="F22" s="409"/>
      <c r="G22" s="409"/>
      <c r="H22" s="409"/>
      <c r="I22" s="409"/>
      <c r="J22" s="409"/>
      <c r="K22" s="409"/>
      <c r="L22" s="409"/>
      <c r="M22" s="409"/>
      <c r="N22" s="409"/>
    </row>
    <row r="23" spans="1:15" ht="18" customHeight="1" x14ac:dyDescent="0.25">
      <c r="A23" s="35" t="s">
        <v>332</v>
      </c>
      <c r="B23" s="32"/>
      <c r="C23" s="32"/>
      <c r="D23" s="32"/>
      <c r="E23" s="32"/>
      <c r="F23" s="32"/>
      <c r="G23" s="32"/>
      <c r="H23" s="32"/>
      <c r="I23" s="32"/>
      <c r="J23" s="32"/>
      <c r="K23" s="32"/>
      <c r="L23" s="32"/>
      <c r="M23" s="32"/>
      <c r="N23" s="32"/>
    </row>
    <row r="24" spans="1:15" ht="18" customHeight="1" x14ac:dyDescent="0.25">
      <c r="A24" s="35" t="s">
        <v>333</v>
      </c>
      <c r="B24" s="32"/>
      <c r="C24" s="32"/>
      <c r="D24" s="32"/>
      <c r="E24" s="32"/>
      <c r="F24" s="32"/>
      <c r="G24" s="32"/>
      <c r="H24" s="32"/>
      <c r="I24" s="32"/>
      <c r="J24" s="32"/>
      <c r="K24" s="32"/>
      <c r="L24" s="32"/>
      <c r="M24" s="32"/>
      <c r="N24" s="32"/>
    </row>
    <row r="25" spans="1:15" ht="18" customHeight="1" x14ac:dyDescent="0.25">
      <c r="A25" s="36" t="s">
        <v>334</v>
      </c>
      <c r="B25" s="32"/>
      <c r="C25" s="32"/>
      <c r="D25" s="32"/>
      <c r="E25" s="32"/>
      <c r="F25" s="32"/>
      <c r="G25" s="32"/>
      <c r="H25" s="32"/>
      <c r="I25" s="32"/>
      <c r="J25" s="32"/>
      <c r="K25" s="32"/>
      <c r="L25" s="32"/>
      <c r="M25" s="32"/>
      <c r="N25" s="32"/>
    </row>
    <row r="26" spans="1:15" ht="18" customHeight="1" x14ac:dyDescent="0.25">
      <c r="A26" s="37" t="s">
        <v>335</v>
      </c>
    </row>
    <row r="27" spans="1:15" s="23" customFormat="1" ht="18" customHeight="1" x14ac:dyDescent="0.25">
      <c r="A27" s="37" t="s">
        <v>336</v>
      </c>
    </row>
    <row r="28" spans="1:15" s="23" customFormat="1" ht="18" customHeight="1" x14ac:dyDescent="0.25">
      <c r="A28" s="37" t="s">
        <v>337</v>
      </c>
    </row>
    <row r="29" spans="1:15" s="23" customFormat="1" ht="18" customHeight="1" x14ac:dyDescent="0.25">
      <c r="A29" s="38" t="s">
        <v>338</v>
      </c>
      <c r="D29" s="39" t="s">
        <v>339</v>
      </c>
    </row>
    <row r="30" spans="1:15" s="23" customFormat="1" ht="18" customHeight="1" x14ac:dyDescent="0.25">
      <c r="A30" s="37" t="s">
        <v>340</v>
      </c>
    </row>
    <row r="31" spans="1:15" s="23" customFormat="1" ht="18" customHeight="1" x14ac:dyDescent="0.25">
      <c r="A31" s="37" t="s">
        <v>341</v>
      </c>
    </row>
    <row r="32" spans="1:15" s="23" customFormat="1" ht="18" customHeight="1" x14ac:dyDescent="0.25">
      <c r="A32" s="37" t="s">
        <v>342</v>
      </c>
    </row>
    <row r="33" spans="1:1" s="23" customFormat="1" ht="18" customHeight="1" x14ac:dyDescent="0.25">
      <c r="A33" s="37" t="s">
        <v>343</v>
      </c>
    </row>
    <row r="34" spans="1:1" s="23" customFormat="1" ht="18" customHeight="1" x14ac:dyDescent="0.25">
      <c r="A34" s="37" t="s">
        <v>344</v>
      </c>
    </row>
    <row r="35" spans="1:1" s="23" customFormat="1" ht="18" customHeight="1" x14ac:dyDescent="0.25">
      <c r="A35" s="38" t="s">
        <v>345</v>
      </c>
    </row>
    <row r="36" spans="1:1" s="23" customFormat="1" ht="18" customHeight="1" x14ac:dyDescent="0.25">
      <c r="A36" s="37" t="s">
        <v>346</v>
      </c>
    </row>
    <row r="37" spans="1:1" s="23" customFormat="1" ht="18" customHeight="1" x14ac:dyDescent="0.25">
      <c r="A37" s="37" t="s">
        <v>347</v>
      </c>
    </row>
    <row r="38" spans="1:1" s="23" customFormat="1" ht="18" customHeight="1" x14ac:dyDescent="0.25">
      <c r="A38" s="39" t="s">
        <v>348</v>
      </c>
    </row>
    <row r="39" spans="1:1" s="23" customFormat="1" x14ac:dyDescent="0.25">
      <c r="A39" s="39"/>
    </row>
    <row r="40" spans="1:1" s="23" customFormat="1" x14ac:dyDescent="0.25"/>
  </sheetData>
  <mergeCells count="11">
    <mergeCell ref="A1:N1"/>
    <mergeCell ref="A2:N2"/>
    <mergeCell ref="G5:M5"/>
    <mergeCell ref="A22:N22"/>
    <mergeCell ref="A5:A6"/>
    <mergeCell ref="B5:B6"/>
    <mergeCell ref="C5:C6"/>
    <mergeCell ref="D5:D6"/>
    <mergeCell ref="E5:E6"/>
    <mergeCell ref="F5:F6"/>
    <mergeCell ref="N5:N6"/>
  </mergeCells>
  <phoneticPr fontId="79" type="noConversion"/>
  <dataValidations count="2">
    <dataValidation type="list" allowBlank="1" showInputMessage="1" showErrorMessage="1" sqref="D7:D16">
      <formula1>"传真,电子邮件"</formula1>
    </dataValidation>
    <dataValidation type="list" allowBlank="1" showInputMessage="1" showErrorMessage="1" sqref="L7:L16 E7:F16">
      <formula1>"是,否"</formula1>
    </dataValidation>
  </dataValidations>
  <hyperlinks>
    <hyperlink ref="N3" location="底稿目录!A1" display="=底稿目录!F10"/>
  </hyperlinks>
  <pageMargins left="0.70866141732283505" right="0.70866141732283505" top="0.74803149606299202" bottom="0.74803149606299202" header="0.31496062992126" footer="0.31496062992126"/>
  <pageSetup paperSize="9" scale="70" orientation="landscape" blackAndWhite="1" r:id="rId1"/>
  <headerFooter>
    <oddFooter>&amp;C&amp;P/&amp;N</oddFooter>
  </headerFooter>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1"/>
  <sheetViews>
    <sheetView view="pageBreakPreview" zoomScaleNormal="100" workbookViewId="0">
      <selection activeCell="I3" sqref="I3"/>
    </sheetView>
  </sheetViews>
  <sheetFormatPr defaultColWidth="9" defaultRowHeight="13.8" x14ac:dyDescent="0.25"/>
  <cols>
    <col min="3" max="3" width="14.44140625" customWidth="1"/>
    <col min="6" max="6" width="18" customWidth="1"/>
    <col min="7" max="7" width="10.77734375" style="2" customWidth="1"/>
    <col min="8" max="8" width="19.21875" customWidth="1"/>
    <col min="9" max="9" width="47.21875" customWidth="1"/>
  </cols>
  <sheetData>
    <row r="1" spans="1:10" ht="19.95" customHeight="1" x14ac:dyDescent="0.25">
      <c r="A1" s="427" t="s">
        <v>349</v>
      </c>
      <c r="B1" s="427"/>
      <c r="C1" s="427"/>
      <c r="D1" s="427"/>
      <c r="E1" s="427"/>
      <c r="F1" s="427"/>
      <c r="G1" s="427"/>
      <c r="H1" s="427"/>
      <c r="I1" s="427"/>
    </row>
    <row r="2" spans="1:10" ht="19.95" customHeight="1" x14ac:dyDescent="0.25">
      <c r="A2" s="428" t="s">
        <v>18</v>
      </c>
      <c r="B2" s="429"/>
      <c r="C2" s="429"/>
      <c r="D2" s="429"/>
      <c r="E2" s="429"/>
      <c r="F2" s="429"/>
      <c r="G2" s="429"/>
      <c r="H2" s="429"/>
      <c r="I2" s="429"/>
      <c r="J2" s="16"/>
    </row>
    <row r="3" spans="1:10" ht="19.95" customHeight="1" x14ac:dyDescent="0.25">
      <c r="A3" s="3" t="str">
        <f>底稿目录!A2</f>
        <v>被审计单位：</v>
      </c>
      <c r="B3" s="4"/>
      <c r="C3" s="5"/>
      <c r="D3" s="4" t="str">
        <f>底稿目录!A4</f>
        <v>编制人：</v>
      </c>
      <c r="F3" s="4" t="str">
        <f>底稿目录!A5</f>
        <v>编制日期：</v>
      </c>
      <c r="H3" s="6" t="s">
        <v>350</v>
      </c>
      <c r="I3" s="17" t="str">
        <f>底稿目录!F11</f>
        <v>L0-7</v>
      </c>
    </row>
    <row r="4" spans="1:10" ht="19.95" customHeight="1" x14ac:dyDescent="0.25">
      <c r="A4" s="7" t="str">
        <f>底稿目录!A3</f>
        <v>截止日：202X年12月31日</v>
      </c>
      <c r="B4" s="4"/>
      <c r="C4" s="5"/>
      <c r="D4" s="4" t="str">
        <f>底稿目录!A6</f>
        <v>复核人：</v>
      </c>
      <c r="F4" s="4" t="str">
        <f>底稿目录!A7</f>
        <v>复核日期：</v>
      </c>
      <c r="H4" s="6" t="s">
        <v>351</v>
      </c>
      <c r="I4" s="18" t="s">
        <v>352</v>
      </c>
    </row>
    <row r="5" spans="1:10" s="1" customFormat="1" ht="19.95" customHeight="1" x14ac:dyDescent="0.25">
      <c r="A5" s="430" t="s">
        <v>353</v>
      </c>
      <c r="B5" s="430"/>
      <c r="C5" s="430"/>
      <c r="D5" s="430"/>
      <c r="E5" s="430"/>
      <c r="F5" s="430"/>
      <c r="G5" s="8" t="s">
        <v>354</v>
      </c>
      <c r="H5" s="8" t="s">
        <v>355</v>
      </c>
      <c r="I5" s="8" t="s">
        <v>356</v>
      </c>
    </row>
    <row r="6" spans="1:10" s="1" customFormat="1" ht="19.95" customHeight="1" x14ac:dyDescent="0.25">
      <c r="A6" s="431" t="s">
        <v>384</v>
      </c>
      <c r="B6" s="431"/>
      <c r="C6" s="431"/>
      <c r="D6" s="431"/>
      <c r="E6" s="431"/>
      <c r="F6" s="431"/>
      <c r="G6" s="9"/>
      <c r="H6" s="10"/>
      <c r="I6" s="10"/>
    </row>
    <row r="7" spans="1:10" s="1" customFormat="1" ht="19.95" customHeight="1" x14ac:dyDescent="0.25">
      <c r="A7" s="418" t="s">
        <v>385</v>
      </c>
      <c r="B7" s="419"/>
      <c r="C7" s="419"/>
      <c r="D7" s="419"/>
      <c r="E7" s="419"/>
      <c r="F7" s="420"/>
      <c r="G7" s="9"/>
      <c r="H7" s="10"/>
      <c r="I7" s="10"/>
    </row>
    <row r="8" spans="1:10" s="1" customFormat="1" ht="19.95" customHeight="1" x14ac:dyDescent="0.25">
      <c r="A8" s="418" t="s">
        <v>386</v>
      </c>
      <c r="B8" s="419"/>
      <c r="C8" s="419"/>
      <c r="D8" s="419"/>
      <c r="E8" s="419"/>
      <c r="F8" s="420"/>
      <c r="G8" s="9"/>
      <c r="H8" s="10"/>
      <c r="I8" s="10"/>
    </row>
    <row r="9" spans="1:10" s="1" customFormat="1" ht="19.95" customHeight="1" x14ac:dyDescent="0.25">
      <c r="A9" s="418" t="s">
        <v>387</v>
      </c>
      <c r="B9" s="419"/>
      <c r="C9" s="419"/>
      <c r="D9" s="419"/>
      <c r="E9" s="419"/>
      <c r="F9" s="420"/>
      <c r="G9" s="9"/>
      <c r="H9" s="10"/>
      <c r="I9" s="10"/>
    </row>
    <row r="10" spans="1:10" s="1" customFormat="1" ht="19.95" customHeight="1" x14ac:dyDescent="0.25">
      <c r="A10" s="418" t="s">
        <v>388</v>
      </c>
      <c r="B10" s="419"/>
      <c r="C10" s="419"/>
      <c r="D10" s="419"/>
      <c r="E10" s="419"/>
      <c r="F10" s="420"/>
      <c r="G10" s="9"/>
      <c r="H10" s="10"/>
      <c r="I10" s="10"/>
    </row>
    <row r="11" spans="1:10" s="1" customFormat="1" ht="19.95" customHeight="1" x14ac:dyDescent="0.25">
      <c r="A11" s="418" t="s">
        <v>389</v>
      </c>
      <c r="B11" s="419"/>
      <c r="C11" s="419"/>
      <c r="D11" s="419"/>
      <c r="E11" s="419"/>
      <c r="F11" s="420"/>
      <c r="G11" s="9"/>
      <c r="H11" s="10"/>
      <c r="I11" s="10"/>
    </row>
    <row r="12" spans="1:10" s="1" customFormat="1" ht="19.95" customHeight="1" x14ac:dyDescent="0.25">
      <c r="A12" s="418" t="s">
        <v>390</v>
      </c>
      <c r="B12" s="419"/>
      <c r="C12" s="419"/>
      <c r="D12" s="419"/>
      <c r="E12" s="419"/>
      <c r="F12" s="420"/>
      <c r="G12" s="9"/>
      <c r="H12" s="10"/>
      <c r="I12" s="10"/>
    </row>
    <row r="13" spans="1:10" s="1" customFormat="1" ht="19.95" customHeight="1" x14ac:dyDescent="0.25">
      <c r="A13" s="418" t="s">
        <v>391</v>
      </c>
      <c r="B13" s="419"/>
      <c r="C13" s="419"/>
      <c r="D13" s="419"/>
      <c r="E13" s="419"/>
      <c r="F13" s="420"/>
      <c r="G13" s="9"/>
      <c r="H13" s="10"/>
      <c r="I13" s="10"/>
    </row>
    <row r="14" spans="1:10" s="1" customFormat="1" ht="19.95" customHeight="1" x14ac:dyDescent="0.25">
      <c r="A14" s="418" t="s">
        <v>392</v>
      </c>
      <c r="B14" s="419"/>
      <c r="C14" s="419"/>
      <c r="D14" s="419"/>
      <c r="E14" s="419"/>
      <c r="F14" s="420"/>
      <c r="G14" s="9"/>
      <c r="H14" s="10"/>
      <c r="I14" s="10"/>
    </row>
    <row r="15" spans="1:10" s="1" customFormat="1" ht="31.8" customHeight="1" x14ac:dyDescent="0.25">
      <c r="A15" s="418" t="s">
        <v>393</v>
      </c>
      <c r="B15" s="419"/>
      <c r="C15" s="419"/>
      <c r="D15" s="419"/>
      <c r="E15" s="419"/>
      <c r="F15" s="420"/>
      <c r="G15" s="9"/>
      <c r="H15" s="10"/>
      <c r="I15" s="10"/>
    </row>
    <row r="16" spans="1:10" s="1" customFormat="1" ht="19.95" customHeight="1" x14ac:dyDescent="0.25">
      <c r="A16" s="418" t="s">
        <v>394</v>
      </c>
      <c r="B16" s="419"/>
      <c r="C16" s="419"/>
      <c r="D16" s="419"/>
      <c r="E16" s="419"/>
      <c r="F16" s="420"/>
      <c r="G16" s="9"/>
      <c r="H16" s="10"/>
      <c r="I16" s="10"/>
    </row>
    <row r="17" spans="1:10" s="1" customFormat="1" ht="43.2" customHeight="1" x14ac:dyDescent="0.25">
      <c r="A17" s="418" t="s">
        <v>395</v>
      </c>
      <c r="B17" s="419"/>
      <c r="C17" s="419"/>
      <c r="D17" s="419"/>
      <c r="E17" s="419"/>
      <c r="F17" s="420"/>
      <c r="G17" s="9"/>
      <c r="H17" s="10"/>
      <c r="I17" s="10"/>
    </row>
    <row r="18" spans="1:10" s="1" customFormat="1" ht="19.95" customHeight="1" x14ac:dyDescent="0.25">
      <c r="A18" s="418" t="s">
        <v>396</v>
      </c>
      <c r="B18" s="419"/>
      <c r="C18" s="419"/>
      <c r="D18" s="419"/>
      <c r="E18" s="419"/>
      <c r="F18" s="420"/>
      <c r="G18" s="9"/>
      <c r="H18" s="10"/>
      <c r="I18" s="10"/>
    </row>
    <row r="19" spans="1:10" s="1" customFormat="1" ht="19.95" customHeight="1" x14ac:dyDescent="0.25">
      <c r="A19" s="418" t="s">
        <v>397</v>
      </c>
      <c r="B19" s="419"/>
      <c r="C19" s="419"/>
      <c r="D19" s="419"/>
      <c r="E19" s="419"/>
      <c r="F19" s="420"/>
      <c r="G19" s="9"/>
      <c r="H19" s="10"/>
      <c r="I19" s="10"/>
      <c r="J19" s="19" t="s">
        <v>357</v>
      </c>
    </row>
    <row r="20" spans="1:10" s="1" customFormat="1" ht="31.2" customHeight="1" x14ac:dyDescent="0.25">
      <c r="A20" s="418" t="s">
        <v>405</v>
      </c>
      <c r="B20" s="419"/>
      <c r="C20" s="419"/>
      <c r="D20" s="419"/>
      <c r="E20" s="419"/>
      <c r="F20" s="420"/>
      <c r="G20" s="9"/>
      <c r="H20" s="10"/>
      <c r="I20" s="10"/>
      <c r="J20" s="19" t="s">
        <v>358</v>
      </c>
    </row>
    <row r="21" spans="1:10" s="1" customFormat="1" ht="32.4" customHeight="1" x14ac:dyDescent="0.25">
      <c r="A21" s="418" t="s">
        <v>398</v>
      </c>
      <c r="B21" s="419"/>
      <c r="C21" s="419"/>
      <c r="D21" s="419"/>
      <c r="E21" s="419"/>
      <c r="F21" s="420"/>
      <c r="G21" s="9"/>
      <c r="H21" s="10"/>
      <c r="I21" s="10"/>
    </row>
    <row r="22" spans="1:10" s="1" customFormat="1" ht="19.95" customHeight="1" x14ac:dyDescent="0.25">
      <c r="A22" s="421" t="s">
        <v>399</v>
      </c>
      <c r="B22" s="422"/>
      <c r="C22" s="422"/>
      <c r="D22" s="422"/>
      <c r="E22" s="422"/>
      <c r="F22" s="423"/>
      <c r="G22" s="9"/>
      <c r="H22" s="10"/>
      <c r="I22" s="10"/>
    </row>
    <row r="23" spans="1:10" s="1" customFormat="1" ht="19.95" customHeight="1" x14ac:dyDescent="0.25">
      <c r="A23" s="421" t="s">
        <v>400</v>
      </c>
      <c r="B23" s="422"/>
      <c r="C23" s="422"/>
      <c r="D23" s="422"/>
      <c r="E23" s="422"/>
      <c r="F23" s="423"/>
      <c r="G23" s="9"/>
      <c r="H23" s="10"/>
      <c r="I23" s="10"/>
    </row>
    <row r="24" spans="1:10" s="1" customFormat="1" ht="27.6" customHeight="1" x14ac:dyDescent="0.25">
      <c r="A24" s="421" t="s">
        <v>406</v>
      </c>
      <c r="B24" s="422"/>
      <c r="C24" s="422"/>
      <c r="D24" s="422"/>
      <c r="E24" s="422"/>
      <c r="F24" s="423"/>
      <c r="G24" s="9"/>
      <c r="H24" s="10"/>
      <c r="I24" s="10"/>
    </row>
    <row r="25" spans="1:10" s="1" customFormat="1" ht="19.95" customHeight="1" x14ac:dyDescent="0.25">
      <c r="A25" s="424" t="s">
        <v>401</v>
      </c>
      <c r="B25" s="425"/>
      <c r="C25" s="425"/>
      <c r="D25" s="425"/>
      <c r="E25" s="425"/>
      <c r="F25" s="426"/>
      <c r="G25" s="9"/>
      <c r="H25" s="10"/>
      <c r="I25" s="10"/>
    </row>
    <row r="26" spans="1:10" s="1" customFormat="1" ht="28.8" customHeight="1" x14ac:dyDescent="0.25">
      <c r="A26" s="413" t="s">
        <v>359</v>
      </c>
      <c r="B26" s="414"/>
      <c r="C26" s="414"/>
      <c r="D26" s="414"/>
      <c r="E26" s="414"/>
      <c r="F26" s="415"/>
      <c r="G26" s="9"/>
      <c r="H26" s="11" t="s">
        <v>360</v>
      </c>
      <c r="I26" s="10"/>
    </row>
    <row r="27" spans="1:10" s="1" customFormat="1" ht="19.95" customHeight="1" x14ac:dyDescent="0.25">
      <c r="A27" s="342" t="s">
        <v>402</v>
      </c>
      <c r="B27" s="12"/>
      <c r="C27" s="12"/>
      <c r="D27" s="12"/>
      <c r="E27" s="12"/>
      <c r="F27" s="12"/>
      <c r="G27" s="13"/>
      <c r="H27" s="12"/>
      <c r="I27" s="12"/>
    </row>
    <row r="28" spans="1:10" s="1" customFormat="1" ht="19.95" customHeight="1" x14ac:dyDescent="0.25">
      <c r="A28" s="31"/>
      <c r="B28" s="139"/>
      <c r="C28" s="139"/>
      <c r="D28" s="139"/>
      <c r="E28" s="139"/>
      <c r="F28" s="139"/>
      <c r="G28" s="303"/>
      <c r="H28" s="139"/>
      <c r="I28" s="139"/>
    </row>
    <row r="29" spans="1:10" s="1" customFormat="1" ht="19.95" customHeight="1" x14ac:dyDescent="0.25">
      <c r="A29" s="31" t="s">
        <v>403</v>
      </c>
      <c r="B29" s="139"/>
      <c r="C29" s="139"/>
      <c r="D29" s="139"/>
      <c r="E29" s="139"/>
      <c r="F29" s="139"/>
      <c r="G29" s="303"/>
      <c r="H29" s="139"/>
      <c r="I29" s="139"/>
    </row>
    <row r="30" spans="1:10" s="1" customFormat="1" ht="19.95" customHeight="1" x14ac:dyDescent="0.25">
      <c r="A30" s="14"/>
      <c r="B30" s="14"/>
      <c r="C30" s="14"/>
      <c r="D30" s="14"/>
      <c r="E30" s="14"/>
      <c r="F30" s="14"/>
      <c r="G30" s="15"/>
      <c r="H30" s="14"/>
      <c r="I30" s="14"/>
    </row>
    <row r="31" spans="1:10" ht="108.6" customHeight="1" x14ac:dyDescent="0.25">
      <c r="A31" s="416" t="s">
        <v>361</v>
      </c>
      <c r="B31" s="417"/>
      <c r="C31" s="417"/>
      <c r="D31" s="417"/>
      <c r="E31" s="417"/>
      <c r="F31" s="417"/>
      <c r="G31" s="417"/>
      <c r="H31" s="417"/>
      <c r="I31" s="417"/>
    </row>
  </sheetData>
  <mergeCells count="25">
    <mergeCell ref="A1:I1"/>
    <mergeCell ref="A2:I2"/>
    <mergeCell ref="A5:F5"/>
    <mergeCell ref="A6:F6"/>
    <mergeCell ref="A7:F7"/>
    <mergeCell ref="A8:F8"/>
    <mergeCell ref="A9:F9"/>
    <mergeCell ref="A10:F10"/>
    <mergeCell ref="A11:F11"/>
    <mergeCell ref="A12:F12"/>
    <mergeCell ref="A13:F13"/>
    <mergeCell ref="A15:F15"/>
    <mergeCell ref="A16:F16"/>
    <mergeCell ref="A17:F17"/>
    <mergeCell ref="A18:F18"/>
    <mergeCell ref="A14:F14"/>
    <mergeCell ref="A26:F26"/>
    <mergeCell ref="A31:I31"/>
    <mergeCell ref="A19:F19"/>
    <mergeCell ref="A20:F20"/>
    <mergeCell ref="A21:F21"/>
    <mergeCell ref="A22:F22"/>
    <mergeCell ref="A25:F25"/>
    <mergeCell ref="A23:F23"/>
    <mergeCell ref="A24:F24"/>
  </mergeCells>
  <phoneticPr fontId="79" type="noConversion"/>
  <dataValidations count="1">
    <dataValidation type="list" allowBlank="1" showInputMessage="1" showErrorMessage="1" sqref="G6:G26">
      <formula1>"是,否"</formula1>
    </dataValidation>
  </dataValidations>
  <hyperlinks>
    <hyperlink ref="I3" location="底稿目录!A1" display="=底稿目录!F11"/>
  </hyperlinks>
  <pageMargins left="0.70866141732283472" right="0.70866141732283472" top="0.74803149606299213" bottom="0.74803149606299213" header="0.31496062992125984" footer="0.31496062992125984"/>
  <pageSetup paperSize="9" scale="80" orientation="landscape" blackAndWhite="1" r:id="rId1"/>
  <headerFooter>
    <oddFooter>&amp;C&amp;P/&amp;N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10</vt:i4>
      </vt:variant>
      <vt:variant>
        <vt:lpstr>命名范围</vt:lpstr>
      </vt:variant>
      <vt:variant>
        <vt:i4>14</vt:i4>
      </vt:variant>
    </vt:vector>
  </HeadingPairs>
  <TitlesOfParts>
    <vt:vector size="24" baseType="lpstr">
      <vt:lpstr>底稿目录</vt:lpstr>
      <vt:lpstr>函证程序表F0A</vt:lpstr>
      <vt:lpstr>函证结果汇总表L0-1</vt:lpstr>
      <vt:lpstr>核实被函证单位信息L0-2</vt:lpstr>
      <vt:lpstr>跟函函证过程控制L0-3</vt:lpstr>
      <vt:lpstr>函证差异调节表L0-4</vt:lpstr>
      <vt:lpstr>函证差异检查表（示例）</vt:lpstr>
      <vt:lpstr>长期应付款替代程序L0-5</vt:lpstr>
      <vt:lpstr>邮件传真回函可靠性验证L0-6</vt:lpstr>
      <vt:lpstr>函证程序舞弊风险评价表L0-7</vt:lpstr>
      <vt:lpstr>函证程序表F0A!_FilterDatabase</vt:lpstr>
      <vt:lpstr>'函证结果汇总表L0-1'!_FilterDatabase</vt:lpstr>
      <vt:lpstr>'跟函函证过程控制L0-3'!Print_Area</vt:lpstr>
      <vt:lpstr>'函证差异调节表L0-4'!Print_Area</vt:lpstr>
      <vt:lpstr>'函证差异检查表（示例）'!Print_Area</vt:lpstr>
      <vt:lpstr>函证程序表F0A!Print_Area</vt:lpstr>
      <vt:lpstr>'函证程序舞弊风险评价表L0-7'!Print_Area</vt:lpstr>
      <vt:lpstr>'函证结果汇总表L0-1'!Print_Area</vt:lpstr>
      <vt:lpstr>'核实被函证单位信息L0-2'!Print_Area</vt:lpstr>
      <vt:lpstr>'邮件传真回函可靠性验证L0-6'!Print_Area</vt:lpstr>
      <vt:lpstr>'长期应付款替代程序L0-5'!Print_Area</vt:lpstr>
      <vt:lpstr>函证程序表F0A!Print_Titles</vt:lpstr>
      <vt:lpstr>'函证结果汇总表L0-1'!Print_Titles</vt:lpstr>
      <vt:lpstr>'核实被函证单位信息L0-2'!Print_Titles</vt:lpstr>
    </vt:vector>
  </TitlesOfParts>
  <Company>Organization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用户</dc:creator>
  <cp:lastModifiedBy>何先琴</cp:lastModifiedBy>
  <cp:lastPrinted>2025-10-29T07:51:48Z</cp:lastPrinted>
  <dcterms:created xsi:type="dcterms:W3CDTF">2025-06-20T07:24:00Z</dcterms:created>
  <dcterms:modified xsi:type="dcterms:W3CDTF">2025-11-05T07:41:08Z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8416CF8667834A80AD087478383D6663_12</vt:lpwstr>
  </property>
  <property fmtid="{D5CDD505-2E9C-101B-9397-08002B2CF9AE}" pid="3" name="KSOProductBuildVer">
    <vt:lpwstr>2052-12.1.0.22529</vt:lpwstr>
  </property>
</Properties>
</file>