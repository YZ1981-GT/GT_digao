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I 无形资产循环 修订10.23\"/>
    </mc:Choice>
  </mc:AlternateContent>
  <bookViews>
    <workbookView xWindow="0" yWindow="0" windowWidth="20748" windowHeight="9696" tabRatio="859"/>
  </bookViews>
  <sheets>
    <sheet name="底稿目录" sheetId="8" r:id="rId1"/>
    <sheet name="开发支出实质性程序I2A" sheetId="22" r:id="rId2"/>
    <sheet name="审定表I2-1" sheetId="5" r:id="rId3"/>
    <sheet name="附注披露（上市公司）" sheetId="11" r:id="rId4"/>
    <sheet name="附注披露（国有企业）" sheetId="9" r:id="rId5"/>
    <sheet name="明细表I2-2" sheetId="6" r:id="rId6"/>
    <sheet name="调整分录汇总I2-3" sheetId="21" r:id="rId7"/>
    <sheet name="会计政策检查I2-4" sheetId="24" r:id="rId8"/>
    <sheet name="实质性分析I2-5" sheetId="31" r:id="rId9"/>
    <sheet name="研发项目资本化时点判断I2-6" sheetId="25" r:id="rId10"/>
    <sheet name="研发项目构成明细表I2-7" sheetId="26" r:id="rId11"/>
    <sheet name="研发材料投入检查表I2-8" sheetId="27" r:id="rId12"/>
    <sheet name="研发人员认定检查表I2-9" sheetId="28" r:id="rId13"/>
    <sheet name="研发人员工时检查表I2-10" sheetId="29" r:id="rId14"/>
    <sheet name="委外研发检查表I2-11" sheetId="30" r:id="rId15"/>
    <sheet name="针对性检查表I2-12" sheetId="7" r:id="rId16"/>
    <sheet name="截止性测试（账到单据）I2-13" sheetId="23" r:id="rId17"/>
    <sheet name="截止性测试（单据到账）I2-14" sheetId="17" r:id="rId18"/>
    <sheet name="减值准备测试表I2-15" sheetId="18" r:id="rId19"/>
    <sheet name="可收回金额测试I2-16" sheetId="19" r:id="rId20"/>
    <sheet name="GT_Custom" sheetId="10" state="hidden" r:id="rId21"/>
  </sheets>
  <externalReferences>
    <externalReference r:id="rId22"/>
  </externalReferences>
  <definedNames>
    <definedName name="_xlnm.Print_Area" localSheetId="6">'调整分录汇总I2-3'!$A$1:$J$23</definedName>
    <definedName name="_xlnm.Print_Area" localSheetId="3">'附注披露（上市公司）'!$A$1:$G$58</definedName>
    <definedName name="_xlnm.Print_Area" localSheetId="18">'减值准备测试表I2-15'!$A$1:$M$22</definedName>
    <definedName name="_xlnm.Print_Area" localSheetId="17">'截止性测试（单据到账）I2-14'!$A$1:$J$40</definedName>
    <definedName name="_xlnm.Print_Area" localSheetId="16">'截止性测试（账到单据）I2-13'!$A$1:$J$40</definedName>
    <definedName name="_xlnm.Print_Area" localSheetId="1">开发支出实质性程序I2A!$A$1:$I$34</definedName>
    <definedName name="_xlnm.Print_Area" localSheetId="19">'可收回金额测试I2-16'!$A$1:$O$30</definedName>
    <definedName name="_xlnm.Print_Area" localSheetId="5">'明细表I2-2'!$A$1:$T$30</definedName>
    <definedName name="_xlnm.Print_Area" localSheetId="2">'审定表I2-1'!$A$1:$J$22</definedName>
    <definedName name="_xlnm.Print_Area" localSheetId="14">'委外研发检查表I2-11'!$A$1:$V$28</definedName>
    <definedName name="_xlnm.Print_Area" localSheetId="11">'研发材料投入检查表I2-8'!$A$1:$Q$39</definedName>
    <definedName name="_xlnm.Print_Area" localSheetId="13">'研发人员工时检查表I2-10'!$A$1:$J$22</definedName>
    <definedName name="_xlnm.Print_Area" localSheetId="12">'研发人员认定检查表I2-9'!$A$1:$P$26</definedName>
    <definedName name="_xlnm.Print_Area" localSheetId="10">'研发项目构成明细表I2-7'!$A$1:$BA$26</definedName>
    <definedName name="_xlnm.Print_Area" localSheetId="9">'研发项目资本化时点判断I2-6'!$A$1:$U$23</definedName>
    <definedName name="_xlnm.Print_Area" localSheetId="15">'针对性检查表I2-12'!$A$1:$Q$34</definedName>
    <definedName name="_xlnm.Print_Titles" localSheetId="1">开发支出实质性程序I2A!$15:$16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1" l="1"/>
  <c r="F3" i="31"/>
  <c r="C4" i="31"/>
  <c r="C3" i="31"/>
  <c r="A4" i="31"/>
  <c r="A3" i="31"/>
  <c r="K3" i="31"/>
  <c r="E19" i="31" l="1"/>
  <c r="H18" i="31"/>
  <c r="E17" i="31"/>
  <c r="G17" i="31" s="1"/>
  <c r="G16" i="31"/>
  <c r="F16" i="31"/>
  <c r="B16" i="31"/>
  <c r="D16" i="31" s="1"/>
  <c r="I16" i="31" s="1"/>
  <c r="A16" i="31"/>
  <c r="G15" i="31"/>
  <c r="F15" i="31"/>
  <c r="B15" i="31"/>
  <c r="D15" i="31" s="1"/>
  <c r="I15" i="31" s="1"/>
  <c r="A15" i="31"/>
  <c r="G14" i="31"/>
  <c r="F14" i="31"/>
  <c r="B14" i="31"/>
  <c r="D14" i="31" s="1"/>
  <c r="I14" i="31" s="1"/>
  <c r="A14" i="31"/>
  <c r="G13" i="31"/>
  <c r="F13" i="31"/>
  <c r="B13" i="31"/>
  <c r="C13" i="31" s="1"/>
  <c r="A13" i="31"/>
  <c r="G12" i="31"/>
  <c r="F12" i="31"/>
  <c r="B12" i="31"/>
  <c r="D12" i="31" s="1"/>
  <c r="I12" i="31" s="1"/>
  <c r="A12" i="31"/>
  <c r="G11" i="31"/>
  <c r="F11" i="31"/>
  <c r="B11" i="31"/>
  <c r="D11" i="31" s="1"/>
  <c r="I11" i="31" s="1"/>
  <c r="A11" i="31"/>
  <c r="G10" i="31"/>
  <c r="B10" i="31"/>
  <c r="H10" i="31" s="1"/>
  <c r="A10" i="31"/>
  <c r="B17" i="31" l="1"/>
  <c r="D17" i="31" s="1"/>
  <c r="I17" i="31" s="1"/>
  <c r="C16" i="31"/>
  <c r="F10" i="31"/>
  <c r="F17" i="31"/>
  <c r="C10" i="31"/>
  <c r="C17" i="31"/>
  <c r="C12" i="31"/>
  <c r="C14" i="31"/>
  <c r="D10" i="31"/>
  <c r="I10" i="31" s="1"/>
  <c r="D13" i="31"/>
  <c r="I13" i="31" s="1"/>
  <c r="H11" i="31"/>
  <c r="H12" i="31"/>
  <c r="H13" i="31"/>
  <c r="H14" i="31"/>
  <c r="H15" i="31"/>
  <c r="H16" i="31"/>
  <c r="H17" i="31"/>
  <c r="B19" i="31"/>
  <c r="B23" i="31" s="1"/>
  <c r="C11" i="31"/>
  <c r="C15" i="31"/>
  <c r="J3" i="17"/>
  <c r="J3" i="23"/>
  <c r="O22" i="30" l="1"/>
  <c r="G32" i="27"/>
  <c r="G33" i="27"/>
  <c r="G31" i="27"/>
  <c r="AC14" i="26"/>
  <c r="AD14" i="26"/>
  <c r="AT14" i="26" s="1"/>
  <c r="AE14" i="26"/>
  <c r="AF14" i="26"/>
  <c r="AV14" i="26" s="1"/>
  <c r="AG14" i="26"/>
  <c r="AW14" i="26" s="1"/>
  <c r="AH14" i="26"/>
  <c r="AI14" i="26"/>
  <c r="AY14" i="26" s="1"/>
  <c r="AJ14" i="26"/>
  <c r="AZ14" i="26" s="1"/>
  <c r="AC15" i="26"/>
  <c r="AS15" i="26" s="1"/>
  <c r="AD15" i="26"/>
  <c r="AT15" i="26" s="1"/>
  <c r="AE15" i="26"/>
  <c r="AU15" i="26" s="1"/>
  <c r="AF15" i="26"/>
  <c r="AV15" i="26" s="1"/>
  <c r="AG15" i="26"/>
  <c r="AW15" i="26" s="1"/>
  <c r="AH15" i="26"/>
  <c r="AX15" i="26" s="1"/>
  <c r="AI15" i="26"/>
  <c r="AY15" i="26" s="1"/>
  <c r="AJ15" i="26"/>
  <c r="AZ15" i="26" s="1"/>
  <c r="AC16" i="26"/>
  <c r="AS16" i="26" s="1"/>
  <c r="AD16" i="26"/>
  <c r="AT16" i="26" s="1"/>
  <c r="AE16" i="26"/>
  <c r="AU16" i="26" s="1"/>
  <c r="AF16" i="26"/>
  <c r="AV16" i="26" s="1"/>
  <c r="AG16" i="26"/>
  <c r="AW16" i="26" s="1"/>
  <c r="AH16" i="26"/>
  <c r="AX16" i="26" s="1"/>
  <c r="AI16" i="26"/>
  <c r="AY16" i="26" s="1"/>
  <c r="AJ16" i="26"/>
  <c r="AZ16" i="26" s="1"/>
  <c r="AC17" i="26"/>
  <c r="AS17" i="26" s="1"/>
  <c r="AD17" i="26"/>
  <c r="AT17" i="26" s="1"/>
  <c r="AE17" i="26"/>
  <c r="AU17" i="26" s="1"/>
  <c r="AF17" i="26"/>
  <c r="AV17" i="26" s="1"/>
  <c r="AG17" i="26"/>
  <c r="AH17" i="26"/>
  <c r="AX17" i="26" s="1"/>
  <c r="AI17" i="26"/>
  <c r="AY17" i="26" s="1"/>
  <c r="AJ17" i="26"/>
  <c r="AZ17" i="26" s="1"/>
  <c r="F21" i="26"/>
  <c r="G21" i="26"/>
  <c r="H21" i="26"/>
  <c r="I21" i="26"/>
  <c r="J21" i="26"/>
  <c r="K21" i="26"/>
  <c r="L21" i="26"/>
  <c r="M21" i="26"/>
  <c r="N21" i="26"/>
  <c r="O21" i="26"/>
  <c r="P21" i="26"/>
  <c r="Q21" i="26"/>
  <c r="R21" i="26"/>
  <c r="S21" i="26"/>
  <c r="T21" i="26"/>
  <c r="U21" i="26"/>
  <c r="V21" i="26"/>
  <c r="W21" i="26"/>
  <c r="X21" i="26"/>
  <c r="Y21" i="26"/>
  <c r="Z21" i="26"/>
  <c r="AA21" i="26"/>
  <c r="AB21" i="26"/>
  <c r="AK21" i="26"/>
  <c r="AL21" i="26"/>
  <c r="AM21" i="26"/>
  <c r="AN21" i="26"/>
  <c r="AO21" i="26"/>
  <c r="AP21" i="26"/>
  <c r="AQ21" i="26"/>
  <c r="AR21" i="26"/>
  <c r="E21" i="26"/>
  <c r="AX14" i="26" l="1"/>
  <c r="AW17" i="26"/>
  <c r="AU14" i="26"/>
  <c r="AS14" i="26"/>
  <c r="Q16" i="25"/>
  <c r="M4" i="30" l="1"/>
  <c r="M3" i="30"/>
  <c r="F4" i="29"/>
  <c r="F3" i="29"/>
  <c r="I4" i="28"/>
  <c r="I3" i="28"/>
  <c r="J4" i="27"/>
  <c r="J3" i="27"/>
  <c r="AC4" i="26"/>
  <c r="AC3" i="26"/>
  <c r="O4" i="25"/>
  <c r="O3" i="25"/>
  <c r="G4" i="24"/>
  <c r="G3" i="24"/>
  <c r="E4" i="18"/>
  <c r="E3" i="18"/>
  <c r="G4" i="30"/>
  <c r="G3" i="30"/>
  <c r="D4" i="29"/>
  <c r="D3" i="29"/>
  <c r="E4" i="28"/>
  <c r="E3" i="28"/>
  <c r="F4" i="27"/>
  <c r="F3" i="27"/>
  <c r="O4" i="26"/>
  <c r="O3" i="26"/>
  <c r="J4" i="25"/>
  <c r="J3" i="25"/>
  <c r="B4" i="24"/>
  <c r="B3" i="24"/>
  <c r="A4" i="22"/>
  <c r="A3" i="22"/>
  <c r="A4" i="18"/>
  <c r="A3" i="18"/>
  <c r="A4" i="30"/>
  <c r="A3" i="30"/>
  <c r="A4" i="29"/>
  <c r="A3" i="29"/>
  <c r="A4" i="28"/>
  <c r="A3" i="28"/>
  <c r="A4" i="27"/>
  <c r="A3" i="27"/>
  <c r="A4" i="26"/>
  <c r="A3" i="26"/>
  <c r="A4" i="25"/>
  <c r="A3" i="25"/>
  <c r="A4" i="24"/>
  <c r="A3" i="24"/>
  <c r="Q3" i="7"/>
  <c r="O3" i="19"/>
  <c r="M3" i="18"/>
  <c r="V3" i="30"/>
  <c r="J3" i="29"/>
  <c r="P3" i="28"/>
  <c r="Q3" i="27"/>
  <c r="BA3" i="26"/>
  <c r="U3" i="25"/>
  <c r="K3" i="24"/>
  <c r="J3" i="21"/>
  <c r="T3" i="6"/>
  <c r="J3" i="5"/>
  <c r="I3" i="22"/>
  <c r="O21" i="30"/>
  <c r="O23" i="30" s="1"/>
  <c r="AJ20" i="26"/>
  <c r="AZ20" i="26" s="1"/>
  <c r="AI20" i="26"/>
  <c r="AY20" i="26" s="1"/>
  <c r="AH20" i="26"/>
  <c r="AX20" i="26" s="1"/>
  <c r="AG20" i="26"/>
  <c r="AW20" i="26" s="1"/>
  <c r="AF20" i="26"/>
  <c r="AV20" i="26" s="1"/>
  <c r="AE20" i="26"/>
  <c r="AU20" i="26" s="1"/>
  <c r="AD20" i="26"/>
  <c r="AT20" i="26" s="1"/>
  <c r="AC20" i="26"/>
  <c r="AS20" i="26" s="1"/>
  <c r="AJ19" i="26"/>
  <c r="AZ19" i="26" s="1"/>
  <c r="AI19" i="26"/>
  <c r="AY19" i="26" s="1"/>
  <c r="AH19" i="26"/>
  <c r="AX19" i="26" s="1"/>
  <c r="AG19" i="26"/>
  <c r="AW19" i="26" s="1"/>
  <c r="AF19" i="26"/>
  <c r="AV19" i="26" s="1"/>
  <c r="AE19" i="26"/>
  <c r="AU19" i="26" s="1"/>
  <c r="AD19" i="26"/>
  <c r="AT19" i="26" s="1"/>
  <c r="AC19" i="26"/>
  <c r="AS19" i="26" s="1"/>
  <c r="AJ18" i="26"/>
  <c r="AZ18" i="26" s="1"/>
  <c r="AI18" i="26"/>
  <c r="AY18" i="26" s="1"/>
  <c r="AH18" i="26"/>
  <c r="AX18" i="26" s="1"/>
  <c r="AG18" i="26"/>
  <c r="AW18" i="26" s="1"/>
  <c r="AF18" i="26"/>
  <c r="AV18" i="26" s="1"/>
  <c r="AE18" i="26"/>
  <c r="AU18" i="26" s="1"/>
  <c r="AD18" i="26"/>
  <c r="AT18" i="26" s="1"/>
  <c r="AC18" i="26"/>
  <c r="AS18" i="26" s="1"/>
  <c r="AJ13" i="26"/>
  <c r="AZ13" i="26" s="1"/>
  <c r="AI13" i="26"/>
  <c r="AY13" i="26" s="1"/>
  <c r="AH13" i="26"/>
  <c r="AX13" i="26" s="1"/>
  <c r="AG13" i="26"/>
  <c r="AW13" i="26" s="1"/>
  <c r="AF13" i="26"/>
  <c r="AV13" i="26" s="1"/>
  <c r="AE13" i="26"/>
  <c r="AU13" i="26" s="1"/>
  <c r="AD13" i="26"/>
  <c r="AT13" i="26" s="1"/>
  <c r="AC13" i="26"/>
  <c r="AS13" i="26" s="1"/>
  <c r="AJ12" i="26"/>
  <c r="AI12" i="26"/>
  <c r="AH12" i="26"/>
  <c r="AG12" i="26"/>
  <c r="AF12" i="26"/>
  <c r="AE12" i="26"/>
  <c r="AD12" i="26"/>
  <c r="AC12" i="26"/>
  <c r="D16" i="25"/>
  <c r="C16" i="25"/>
  <c r="B16" i="25"/>
  <c r="AT12" i="26" l="1"/>
  <c r="AT21" i="26" s="1"/>
  <c r="AD21" i="26"/>
  <c r="AU12" i="26"/>
  <c r="AU21" i="26" s="1"/>
  <c r="AE21" i="26"/>
  <c r="AW12" i="26"/>
  <c r="AW21" i="26" s="1"/>
  <c r="AG21" i="26"/>
  <c r="AX12" i="26"/>
  <c r="AX21" i="26" s="1"/>
  <c r="AH21" i="26"/>
  <c r="AV12" i="26"/>
  <c r="AV21" i="26" s="1"/>
  <c r="AF21" i="26"/>
  <c r="AY12" i="26"/>
  <c r="AY21" i="26" s="1"/>
  <c r="AI21" i="26"/>
  <c r="AZ12" i="26"/>
  <c r="AZ21" i="26" s="1"/>
  <c r="AJ21" i="26"/>
  <c r="AS12" i="26"/>
  <c r="AS21" i="26" s="1"/>
  <c r="AC21" i="26"/>
  <c r="N23" i="19"/>
  <c r="K23" i="19"/>
  <c r="J23" i="19"/>
  <c r="I23" i="19"/>
  <c r="N20" i="19"/>
  <c r="G20" i="19"/>
  <c r="F20" i="19"/>
  <c r="E20" i="19"/>
  <c r="D20" i="19"/>
  <c r="C20" i="19"/>
  <c r="B20" i="19"/>
  <c r="G19" i="19"/>
  <c r="F19" i="19"/>
  <c r="E19" i="19"/>
  <c r="D19" i="19"/>
  <c r="C19" i="19"/>
  <c r="B19" i="19"/>
  <c r="G18" i="19"/>
  <c r="N14" i="19"/>
  <c r="M14" i="19"/>
  <c r="L14" i="19"/>
  <c r="K14" i="19"/>
  <c r="J14" i="19"/>
  <c r="I14" i="19"/>
  <c r="H14" i="19"/>
  <c r="F14" i="19"/>
  <c r="D14" i="19"/>
  <c r="B14" i="19"/>
  <c r="N13" i="19"/>
  <c r="M13" i="19"/>
  <c r="N12" i="19"/>
  <c r="M12" i="19"/>
  <c r="N11" i="19"/>
  <c r="M11" i="19"/>
  <c r="J4" i="19"/>
  <c r="E4" i="19"/>
  <c r="A4" i="19"/>
  <c r="J3" i="19"/>
  <c r="E3" i="19"/>
  <c r="A3" i="19"/>
  <c r="K18" i="18"/>
  <c r="J18" i="18"/>
  <c r="I18" i="18"/>
  <c r="H18" i="18"/>
  <c r="G18" i="18"/>
  <c r="F18" i="18"/>
  <c r="E18" i="18"/>
  <c r="K17" i="18"/>
  <c r="I17" i="18"/>
  <c r="H17" i="18"/>
  <c r="K16" i="18"/>
  <c r="I16" i="18"/>
  <c r="H16" i="18"/>
  <c r="K15" i="18"/>
  <c r="I15" i="18"/>
  <c r="H15" i="18"/>
  <c r="K14" i="18"/>
  <c r="I14" i="18"/>
  <c r="H14" i="18"/>
  <c r="K13" i="18"/>
  <c r="I13" i="18"/>
  <c r="H13" i="18"/>
  <c r="K12" i="18"/>
  <c r="I12" i="18"/>
  <c r="H12" i="18"/>
  <c r="K11" i="18"/>
  <c r="I11" i="18"/>
  <c r="H11" i="18"/>
  <c r="I4" i="18"/>
  <c r="I3" i="18"/>
  <c r="F4" i="23"/>
  <c r="D4" i="23"/>
  <c r="A4" i="23"/>
  <c r="F3" i="23"/>
  <c r="D3" i="23"/>
  <c r="A3" i="23"/>
  <c r="F4" i="17"/>
  <c r="D4" i="17"/>
  <c r="A4" i="17"/>
  <c r="F3" i="17"/>
  <c r="D3" i="17"/>
  <c r="A3" i="17"/>
  <c r="I4" i="7"/>
  <c r="F4" i="7"/>
  <c r="A4" i="7"/>
  <c r="I3" i="7"/>
  <c r="F3" i="7"/>
  <c r="A3" i="7"/>
  <c r="F4" i="21"/>
  <c r="C4" i="21"/>
  <c r="A4" i="21"/>
  <c r="F3" i="21"/>
  <c r="C3" i="21"/>
  <c r="A3" i="21"/>
  <c r="R23" i="6"/>
  <c r="P23" i="6"/>
  <c r="O23" i="6"/>
  <c r="N23" i="6"/>
  <c r="M23" i="6"/>
  <c r="L23" i="6"/>
  <c r="K23" i="6"/>
  <c r="J23" i="6"/>
  <c r="I23" i="6"/>
  <c r="H23" i="6"/>
  <c r="G23" i="6"/>
  <c r="F23" i="6"/>
  <c r="E23" i="6"/>
  <c r="C23" i="6"/>
  <c r="B23" i="6"/>
  <c r="R22" i="6"/>
  <c r="P22" i="6"/>
  <c r="O22" i="6"/>
  <c r="N22" i="6"/>
  <c r="M22" i="6"/>
  <c r="L22" i="6"/>
  <c r="G22" i="6"/>
  <c r="R21" i="6"/>
  <c r="P21" i="6"/>
  <c r="O21" i="6"/>
  <c r="N21" i="6"/>
  <c r="M21" i="6"/>
  <c r="L21" i="6"/>
  <c r="G21" i="6"/>
  <c r="R20" i="6"/>
  <c r="P20" i="6"/>
  <c r="O20" i="6"/>
  <c r="N20" i="6"/>
  <c r="M20" i="6"/>
  <c r="L20" i="6"/>
  <c r="G20" i="6"/>
  <c r="R19" i="6"/>
  <c r="P19" i="6"/>
  <c r="O19" i="6"/>
  <c r="N19" i="6"/>
  <c r="M19" i="6"/>
  <c r="L19" i="6"/>
  <c r="G19" i="6"/>
  <c r="R18" i="6"/>
  <c r="P18" i="6"/>
  <c r="O18" i="6"/>
  <c r="N18" i="6"/>
  <c r="M18" i="6"/>
  <c r="L18" i="6"/>
  <c r="G18" i="6"/>
  <c r="R17" i="6"/>
  <c r="P17" i="6"/>
  <c r="O17" i="6"/>
  <c r="N17" i="6"/>
  <c r="M17" i="6"/>
  <c r="L17" i="6"/>
  <c r="G17" i="6"/>
  <c r="R16" i="6"/>
  <c r="P16" i="6"/>
  <c r="O16" i="6"/>
  <c r="N16" i="6"/>
  <c r="M16" i="6"/>
  <c r="L16" i="6"/>
  <c r="G16" i="6"/>
  <c r="R15" i="6"/>
  <c r="P15" i="6"/>
  <c r="O15" i="6"/>
  <c r="N15" i="6"/>
  <c r="M15" i="6"/>
  <c r="L15" i="6"/>
  <c r="G15" i="6"/>
  <c r="R14" i="6"/>
  <c r="P14" i="6"/>
  <c r="O14" i="6"/>
  <c r="N14" i="6"/>
  <c r="M14" i="6"/>
  <c r="L14" i="6"/>
  <c r="G14" i="6"/>
  <c r="R13" i="6"/>
  <c r="P13" i="6"/>
  <c r="O13" i="6"/>
  <c r="N13" i="6"/>
  <c r="M13" i="6"/>
  <c r="L13" i="6"/>
  <c r="G13" i="6"/>
  <c r="L4" i="6"/>
  <c r="H4" i="6"/>
  <c r="A4" i="6"/>
  <c r="L3" i="6"/>
  <c r="H3" i="6"/>
  <c r="A3" i="6"/>
  <c r="G17" i="9"/>
  <c r="F17" i="9"/>
  <c r="E17" i="9"/>
  <c r="D17" i="9"/>
  <c r="C17" i="9"/>
  <c r="B17" i="9"/>
  <c r="H16" i="9"/>
  <c r="F16" i="9"/>
  <c r="E16" i="9"/>
  <c r="D16" i="9"/>
  <c r="C16" i="9"/>
  <c r="B16" i="9"/>
  <c r="A16" i="9"/>
  <c r="H15" i="9"/>
  <c r="F15" i="9"/>
  <c r="E15" i="9"/>
  <c r="D15" i="9"/>
  <c r="C15" i="9"/>
  <c r="B15" i="9"/>
  <c r="A15" i="9"/>
  <c r="H14" i="9"/>
  <c r="F14" i="9"/>
  <c r="E14" i="9"/>
  <c r="D14" i="9"/>
  <c r="C14" i="9"/>
  <c r="B14" i="9"/>
  <c r="A14" i="9"/>
  <c r="H13" i="9"/>
  <c r="F13" i="9"/>
  <c r="E13" i="9"/>
  <c r="D13" i="9"/>
  <c r="C13" i="9"/>
  <c r="B13" i="9"/>
  <c r="A13" i="9"/>
  <c r="H12" i="9"/>
  <c r="F12" i="9"/>
  <c r="E12" i="9"/>
  <c r="D12" i="9"/>
  <c r="C12" i="9"/>
  <c r="B12" i="9"/>
  <c r="A12" i="9"/>
  <c r="H11" i="9"/>
  <c r="F11" i="9"/>
  <c r="E11" i="9"/>
  <c r="D11" i="9"/>
  <c r="C11" i="9"/>
  <c r="B11" i="9"/>
  <c r="A11" i="9"/>
  <c r="H10" i="9"/>
  <c r="F10" i="9"/>
  <c r="E10" i="9"/>
  <c r="D10" i="9"/>
  <c r="C10" i="9"/>
  <c r="B10" i="9"/>
  <c r="A10" i="9"/>
  <c r="H9" i="9"/>
  <c r="F9" i="9"/>
  <c r="E9" i="9"/>
  <c r="D9" i="9"/>
  <c r="C9" i="9"/>
  <c r="B9" i="9"/>
  <c r="A9" i="9"/>
  <c r="H8" i="9"/>
  <c r="H17" i="9" s="1"/>
  <c r="F8" i="9"/>
  <c r="E8" i="9"/>
  <c r="D8" i="9"/>
  <c r="C8" i="9"/>
  <c r="B8" i="9"/>
  <c r="A8" i="9"/>
  <c r="E4" i="9"/>
  <c r="C4" i="9"/>
  <c r="A4" i="9"/>
  <c r="E3" i="9"/>
  <c r="C3" i="9"/>
  <c r="A3" i="9"/>
  <c r="D39" i="11"/>
  <c r="C39" i="11"/>
  <c r="B39" i="11"/>
  <c r="A39" i="11"/>
  <c r="D38" i="11"/>
  <c r="C38" i="11"/>
  <c r="B38" i="11"/>
  <c r="A38" i="11"/>
  <c r="D37" i="11"/>
  <c r="C37" i="11"/>
  <c r="B37" i="11"/>
  <c r="A37" i="11"/>
  <c r="D36" i="11"/>
  <c r="C36" i="11"/>
  <c r="B36" i="11"/>
  <c r="A36" i="11"/>
  <c r="D35" i="11"/>
  <c r="D40" i="11" s="1"/>
  <c r="C35" i="11"/>
  <c r="C40" i="11" s="1"/>
  <c r="B35" i="11"/>
  <c r="B40" i="11" s="1"/>
  <c r="A35" i="11"/>
  <c r="F31" i="11"/>
  <c r="E31" i="11"/>
  <c r="D31" i="11"/>
  <c r="C31" i="11"/>
  <c r="B31" i="11"/>
  <c r="G30" i="11"/>
  <c r="F30" i="11"/>
  <c r="E30" i="11"/>
  <c r="D30" i="11"/>
  <c r="C30" i="11"/>
  <c r="B30" i="11"/>
  <c r="A30" i="11"/>
  <c r="G29" i="11"/>
  <c r="F29" i="11"/>
  <c r="E29" i="11"/>
  <c r="D29" i="11"/>
  <c r="C29" i="11"/>
  <c r="B29" i="11"/>
  <c r="A29" i="11"/>
  <c r="G28" i="11"/>
  <c r="F28" i="11"/>
  <c r="E28" i="11"/>
  <c r="D28" i="11"/>
  <c r="C28" i="11"/>
  <c r="B28" i="11"/>
  <c r="A28" i="11"/>
  <c r="G27" i="11"/>
  <c r="F27" i="11"/>
  <c r="E27" i="11"/>
  <c r="D27" i="11"/>
  <c r="C27" i="11"/>
  <c r="B27" i="11"/>
  <c r="A27" i="11"/>
  <c r="G26" i="11"/>
  <c r="F26" i="11"/>
  <c r="E26" i="11"/>
  <c r="D26" i="11"/>
  <c r="C26" i="11"/>
  <c r="B26" i="11"/>
  <c r="A26" i="11"/>
  <c r="G25" i="11"/>
  <c r="F25" i="11"/>
  <c r="E25" i="11"/>
  <c r="D25" i="11"/>
  <c r="C25" i="11"/>
  <c r="B25" i="11"/>
  <c r="A25" i="11"/>
  <c r="G24" i="11"/>
  <c r="F24" i="11"/>
  <c r="E24" i="11"/>
  <c r="D24" i="11"/>
  <c r="C24" i="11"/>
  <c r="B24" i="11"/>
  <c r="A24" i="11"/>
  <c r="G23" i="11"/>
  <c r="F23" i="11"/>
  <c r="E23" i="11"/>
  <c r="D23" i="11"/>
  <c r="C23" i="11"/>
  <c r="B23" i="11"/>
  <c r="A23" i="11"/>
  <c r="G22" i="11"/>
  <c r="G31" i="11" s="1"/>
  <c r="F22" i="11"/>
  <c r="E22" i="11"/>
  <c r="D22" i="11"/>
  <c r="C22" i="11"/>
  <c r="B22" i="11"/>
  <c r="A22" i="11"/>
  <c r="E4" i="11"/>
  <c r="C4" i="11"/>
  <c r="A4" i="11"/>
  <c r="E3" i="11"/>
  <c r="C3" i="11"/>
  <c r="A3" i="11"/>
  <c r="G15" i="5"/>
  <c r="C15" i="5"/>
  <c r="H13" i="5"/>
  <c r="G13" i="5"/>
  <c r="F13" i="5"/>
  <c r="F15" i="5" s="1"/>
  <c r="E13" i="5"/>
  <c r="E15" i="5" s="1"/>
  <c r="D13" i="5"/>
  <c r="D15" i="5" s="1"/>
  <c r="C13" i="5"/>
  <c r="B13" i="5"/>
  <c r="B15" i="5" s="1"/>
  <c r="H12" i="5"/>
  <c r="I12" i="5" s="1"/>
  <c r="G12" i="5"/>
  <c r="F12" i="5"/>
  <c r="E12" i="5"/>
  <c r="D12" i="5"/>
  <c r="C12" i="5"/>
  <c r="B12" i="5"/>
  <c r="A12" i="5"/>
  <c r="I11" i="5"/>
  <c r="H11" i="5"/>
  <c r="G11" i="5"/>
  <c r="F11" i="5"/>
  <c r="E11" i="5"/>
  <c r="D11" i="5"/>
  <c r="C11" i="5"/>
  <c r="B11" i="5"/>
  <c r="A11" i="5"/>
  <c r="H10" i="5"/>
  <c r="I10" i="5" s="1"/>
  <c r="G10" i="5"/>
  <c r="F10" i="5"/>
  <c r="E10" i="5"/>
  <c r="D10" i="5"/>
  <c r="C10" i="5"/>
  <c r="B10" i="5"/>
  <c r="A10" i="5"/>
  <c r="I9" i="5"/>
  <c r="H9" i="5"/>
  <c r="G9" i="5"/>
  <c r="F9" i="5"/>
  <c r="E9" i="5"/>
  <c r="D9" i="5"/>
  <c r="C9" i="5"/>
  <c r="B9" i="5"/>
  <c r="A9" i="5"/>
  <c r="H8" i="5"/>
  <c r="I8" i="5" s="1"/>
  <c r="G8" i="5"/>
  <c r="F8" i="5"/>
  <c r="E8" i="5"/>
  <c r="D8" i="5"/>
  <c r="C8" i="5"/>
  <c r="B8" i="5"/>
  <c r="A8" i="5"/>
  <c r="H7" i="5"/>
  <c r="I7" i="5" s="1"/>
  <c r="G7" i="5"/>
  <c r="F7" i="5"/>
  <c r="E7" i="5"/>
  <c r="D7" i="5"/>
  <c r="C7" i="5"/>
  <c r="B7" i="5"/>
  <c r="A7" i="5"/>
  <c r="G4" i="5"/>
  <c r="D4" i="5"/>
  <c r="A4" i="5"/>
  <c r="G3" i="5"/>
  <c r="D3" i="5"/>
  <c r="A3" i="5"/>
  <c r="E4" i="22"/>
  <c r="C4" i="22"/>
  <c r="E3" i="22"/>
  <c r="C3" i="22"/>
  <c r="I13" i="5"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U9" authorId="0" shapeId="0">
      <text>
        <r>
          <rPr>
            <b/>
            <sz val="9"/>
            <rFont val="宋体"/>
            <family val="3"/>
            <charset val="134"/>
            <scheme val="minor"/>
          </rPr>
          <t>作者:</t>
        </r>
        <r>
          <rPr>
            <sz val="9"/>
            <rFont val="宋体"/>
            <family val="3"/>
            <charset val="134"/>
            <scheme val="minor"/>
          </rPr>
          <t xml:space="preserve">
采用成本法确认收入的业务如工程施工项目，可删除本期减少金额，将期末余额修改为累计金额</t>
        </r>
      </text>
    </comment>
    <comment ref="E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 ref="M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 ref="U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 ref="AC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 ref="AK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 ref="AS10" authorId="0" shapeId="0">
      <text>
        <r>
          <rPr>
            <b/>
            <sz val="9"/>
            <rFont val="宋体"/>
            <family val="3"/>
            <charset val="134"/>
            <scheme val="minor"/>
          </rPr>
          <t>作者:</t>
        </r>
        <r>
          <rPr>
            <sz val="9"/>
            <rFont val="宋体"/>
            <family val="3"/>
            <charset val="134"/>
            <scheme val="minor"/>
          </rPr>
          <t xml:space="preserve">
可根据企业情况设置不同的明细项目</t>
        </r>
      </text>
    </comment>
  </commentList>
</comments>
</file>

<file path=xl/comments3.xml><?xml version="1.0" encoding="utf-8"?>
<comments xmlns="http://schemas.openxmlformats.org/spreadsheetml/2006/main">
  <authors>
    <author>Windows 用户</author>
  </authors>
  <commentList>
    <comment ref="K15" authorId="0" shapeId="0">
      <text>
        <r>
          <rPr>
            <b/>
            <sz val="9"/>
            <color indexed="81"/>
            <rFont val="宋体"/>
            <family val="3"/>
            <charset val="134"/>
          </rPr>
          <t>Windows 用户:</t>
        </r>
        <r>
          <rPr>
            <sz val="9"/>
            <color indexed="81"/>
            <rFont val="宋体"/>
            <family val="3"/>
            <charset val="134"/>
          </rPr>
          <t xml:space="preserve">
重点检查领用人员是否为该项目研发人员</t>
        </r>
      </text>
    </comment>
  </commentList>
</comments>
</file>

<file path=xl/sharedStrings.xml><?xml version="1.0" encoding="utf-8"?>
<sst xmlns="http://schemas.openxmlformats.org/spreadsheetml/2006/main" count="1041" uniqueCount="704">
  <si>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</si>
  <si>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</si>
  <si>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</si>
  <si>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</si>
  <si>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</si>
  <si>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</si>
  <si>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开发支出实质性程序</t>
  </si>
  <si>
    <t>I2A</t>
  </si>
  <si>
    <t>开发支出审定表</t>
  </si>
  <si>
    <t>I2-1</t>
  </si>
  <si>
    <t>开发支出附注披露表（上市公司）</t>
  </si>
  <si>
    <t>开发支出附注披露表（国有企业）</t>
  </si>
  <si>
    <t>开发支出明细表</t>
  </si>
  <si>
    <t>I2-2</t>
  </si>
  <si>
    <t>调整分录汇总</t>
  </si>
  <si>
    <t>I2-3</t>
  </si>
  <si>
    <t>备选</t>
  </si>
  <si>
    <t>I2-4</t>
  </si>
  <si>
    <t>I2-5</t>
  </si>
  <si>
    <t>针对性检查表</t>
  </si>
  <si>
    <t>I2-6</t>
  </si>
  <si>
    <t>I2-7</t>
  </si>
  <si>
    <t>I2-8</t>
  </si>
  <si>
    <t>减值准备测试表</t>
  </si>
  <si>
    <t>可收回金额测试</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</si>
  <si>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</si>
  <si>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</si>
  <si>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一、本账户涉及的科目</t>
  </si>
  <si>
    <t>开发支出</t>
  </si>
  <si>
    <t>二、审计目标与认定的对应关系</t>
  </si>
  <si>
    <t>审计目标</t>
  </si>
  <si>
    <t>财务报表的认定　</t>
  </si>
  <si>
    <t>完整性</t>
  </si>
  <si>
    <t>列报</t>
  </si>
  <si>
    <t>序号</t>
  </si>
  <si>
    <t>程序分类</t>
  </si>
  <si>
    <t>财务报表的认定</t>
  </si>
  <si>
    <t>底稿索引号</t>
  </si>
  <si>
    <t>1</t>
  </si>
  <si>
    <t>获取或编制开发支出明细表，复核加计是否正确，并与总账数和明细账合计数核对是否相符，编制审定表，结合开发支出报表数核对是否相符。</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</si>
  <si>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</si>
  <si>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</si>
  <si>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</si>
  <si>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</si>
  <si>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sz val="10"/>
        <color indexed="8"/>
        <rFont val="宋体"/>
        <family val="3"/>
        <charset val="134"/>
      </rPr>
      <t>常规</t>
    </r>
    <r>
      <rPr>
        <b/>
        <sz val="10"/>
        <color indexed="8"/>
        <rFont val="宋体"/>
        <family val="3"/>
        <charset val="134"/>
      </rPr>
      <t>★</t>
    </r>
  </si>
  <si>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</si>
  <si>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t>3</t>
  </si>
  <si>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</si>
  <si>
    <t>4</t>
  </si>
  <si>
    <t>5</t>
  </si>
  <si>
    <t>7</t>
  </si>
  <si>
    <t>针对存在减值迹象的开发支出，考虑执行下列程序：
（1）获取开发支出的减值明细表；
（2）记录对开发支出可能造成减值的事件或环境变化；
（3）复核用于减值测试的资产分组的合理性；
（4）关注并复核公司确定的减值测试方法与模型是否恰当；关注并复核公司进行减值测试所依据的基础数据是否准确、所选取的关键参数是否恰当，评价所采用的关键假设、所作出的重大估计和判断、所选取的价值类型是否合理，分析减值测试方法与价值类型是否匹配；
（5）取得相关的资产现金流分析。确定相关资产的预测的未来现金流量是合理的；如果现金流量预测表明，资产的账面价值无法收回，获得企业对资产组的公允价值的分析；评价每个评估专家的资质和工作（是否第三方或客户员工），并对完成“专家资质”和“专家工作”的审计程序。确定是否需要在审计项目组中增加一个估值专家，以帮助对公允价值/可收回金额的计算进行评价。
（6）比预期所估计减值准备和已记录的金额，调查所有重大差异；
（7）确定潜在减值是否恰当。
（8）确定上期确认的长期资产减值准备在本期的变动是否适当。</t>
  </si>
  <si>
    <t>8</t>
  </si>
  <si>
    <t>检查开发支出是否已按企业会计准则或其他适用的规定在财务报表中做出恰当列报和披露。</t>
  </si>
  <si>
    <t>存在</t>
  </si>
  <si>
    <t>权利和义务</t>
  </si>
  <si>
    <t>6</t>
  </si>
  <si>
    <t>致同会计师事务所</t>
  </si>
  <si>
    <r>
      <rPr>
        <sz val="10"/>
        <color indexed="8"/>
        <rFont val="宋体"/>
        <family val="3"/>
        <charset val="134"/>
      </rPr>
      <t>索引号：</t>
    </r>
  </si>
  <si>
    <r>
      <rPr>
        <b/>
        <sz val="10"/>
        <color indexed="8"/>
        <rFont val="宋体"/>
        <family val="3"/>
        <charset val="134"/>
      </rPr>
      <t>项目</t>
    </r>
  </si>
  <si>
    <r>
      <rPr>
        <b/>
        <sz val="10"/>
        <rFont val="宋体"/>
        <family val="3"/>
        <charset val="134"/>
      </rPr>
      <t>期初数</t>
    </r>
  </si>
  <si>
    <r>
      <rPr>
        <b/>
        <sz val="10"/>
        <rFont val="宋体"/>
        <family val="3"/>
        <charset val="134"/>
      </rPr>
      <t>期末数</t>
    </r>
  </si>
  <si>
    <r>
      <rPr>
        <b/>
        <sz val="10"/>
        <color indexed="8"/>
        <rFont val="宋体"/>
        <family val="3"/>
        <charset val="134"/>
      </rPr>
      <t>本期审定数与上期
审定数的比较</t>
    </r>
  </si>
  <si>
    <r>
      <rPr>
        <b/>
        <sz val="10"/>
        <color indexed="8"/>
        <rFont val="宋体"/>
        <family val="3"/>
        <charset val="134"/>
      </rPr>
      <t>原因分析</t>
    </r>
  </si>
  <si>
    <r>
      <rPr>
        <b/>
        <sz val="10"/>
        <rFont val="宋体"/>
        <family val="3"/>
        <charset val="134"/>
      </rPr>
      <t>未审数</t>
    </r>
  </si>
  <si>
    <r>
      <rPr>
        <b/>
        <sz val="10"/>
        <rFont val="宋体"/>
        <family val="3"/>
        <charset val="134"/>
      </rPr>
      <t>账项调整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</si>
  <si>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</si>
  <si>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</si>
  <si>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</si>
  <si>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r>
      <rPr>
        <b/>
        <sz val="10"/>
        <color indexed="8"/>
        <rFont val="宋体"/>
        <family val="3"/>
        <charset val="134"/>
      </rPr>
      <t>合计</t>
    </r>
  </si>
  <si>
    <r>
      <rPr>
        <b/>
        <sz val="10"/>
        <color indexed="8"/>
        <rFont val="Arial Narrow"/>
        <family val="2"/>
      </rPr>
      <t>TB</t>
    </r>
    <r>
      <rPr>
        <b/>
        <sz val="10"/>
        <color rgb="FF000000"/>
        <rFont val="宋体"/>
        <family val="3"/>
        <charset val="134"/>
      </rPr>
      <t>数据：</t>
    </r>
  </si>
  <si>
    <r>
      <rPr>
        <b/>
        <sz val="10"/>
        <color rgb="FF000000"/>
        <rFont val="宋体"/>
        <family val="3"/>
        <charset val="134"/>
      </rPr>
      <t>差异</t>
    </r>
  </si>
  <si>
    <r>
      <rPr>
        <b/>
        <sz val="10"/>
        <color indexed="8"/>
        <rFont val="Arial Narrow"/>
        <family val="2"/>
      </rPr>
      <t>1</t>
    </r>
    <r>
      <rPr>
        <b/>
        <sz val="10"/>
        <color indexed="8"/>
        <rFont val="宋体"/>
        <family val="3"/>
        <charset val="134"/>
      </rPr>
      <t>、审计说明：</t>
    </r>
  </si>
  <si>
    <r>
      <rPr>
        <b/>
        <sz val="10"/>
        <color indexed="8"/>
        <rFont val="Arial Narrow"/>
        <family val="2"/>
      </rPr>
      <t>2</t>
    </r>
    <r>
      <rPr>
        <b/>
        <sz val="10"/>
        <color indexed="8"/>
        <rFont val="宋体"/>
        <family val="3"/>
        <charset val="134"/>
      </rPr>
      <t>、审计结论：</t>
    </r>
  </si>
  <si>
    <t>提示：</t>
  </si>
  <si>
    <t>重大事项说明（如适用，根据1131号等审计准则和指南的要求编制，说明涉及事项内容、应对措施、审计结论或解决方法，以及可能对审计报告的影响）</t>
  </si>
  <si>
    <t>A、风险评估结果和内控了解、测试情况（不适用则说明：不存在重大错报风险。)</t>
  </si>
  <si>
    <t>(识别和实际评估的重大错报风险、尤其识特别风险，以及对内控了解和控制测试情况〔采用综合方案时〕）；</t>
  </si>
  <si>
    <t>（提示：a、收入科目应当假定存在舞弊的特别风险，如不存在，应说明理由）</t>
  </si>
  <si>
    <t>b、涉及特别风险时，应当重点说明有关事项、应当措施、结果〔可索引有关底稿〕。特别风险涉及的事项包括但不限于：</t>
  </si>
  <si>
    <t>(1)舞弊风险（如1141准则的示例）；(2)重大非常规交易（如企业购并、债务重组、非货币性资产交换、重大或有事项、持续经营、违反法律法规等）；</t>
  </si>
  <si>
    <t>(3)重大关联交易；(4)重大判断事项（如重大会计估计、会计政策及其变更）；(5)重大复杂交易；(6)仅通过实质性程序无法应对的重大错报风险（如日常交易采用高度自动化处理）等等）)</t>
  </si>
  <si>
    <t>B、发现的重大不符事项（如适用）</t>
  </si>
  <si>
    <t>（按调整事项，逐笔概述调整原因及对本科目的调整金额，并说明相关底稿的索引号〔即具体事项内容和调整分录，见经索引的本科目或相关科目的检查表或测算表〕）；</t>
  </si>
  <si>
    <t>页次：</t>
  </si>
  <si>
    <t>研发支出</t>
  </si>
  <si>
    <t>（按费用性质披露研发支出本期发生额、上期发生额，包括费用化研发支出和资本化研发支出。（15号文第二十六条））</t>
  </si>
  <si>
    <t>项  目</t>
  </si>
  <si>
    <t>本期发生额</t>
  </si>
  <si>
    <t>上期发生额</t>
  </si>
  <si>
    <t>费用化金额</t>
  </si>
  <si>
    <t>资本化金额</t>
  </si>
  <si>
    <t>人工费</t>
  </si>
  <si>
    <t>材料费</t>
  </si>
  <si>
    <t>水电燃气费</t>
  </si>
  <si>
    <t>折旧费</t>
  </si>
  <si>
    <t>无形资产摊销</t>
  </si>
  <si>
    <t>外购在研项目</t>
  </si>
  <si>
    <t>……</t>
  </si>
  <si>
    <t>合  计</t>
  </si>
  <si>
    <t>【提示：根据财会〔2019〕6号，“研发费用”项目，反映企业进行研究与开发过程中发生的费用化支出，以及计入管理费用的自行开发无形资产的摊销。】</t>
  </si>
  <si>
    <t>【费用化金额列请与研发费用对应，资本化金额请与开发支出对应。】</t>
  </si>
  <si>
    <r>
      <rPr>
        <b/>
        <sz val="10"/>
        <color rgb="FF000000"/>
        <rFont val="宋体"/>
        <family val="3"/>
        <charset val="134"/>
        <scheme val="minor"/>
      </rPr>
      <t>项</t>
    </r>
    <r>
      <rPr>
        <b/>
        <sz val="10"/>
        <color indexed="8"/>
        <rFont val="宋体"/>
        <family val="3"/>
        <charset val="134"/>
        <scheme val="minor"/>
      </rPr>
      <t xml:space="preserve">  目</t>
    </r>
  </si>
  <si>
    <t>期初数</t>
  </si>
  <si>
    <t>本期增加</t>
  </si>
  <si>
    <t>本期减少</t>
  </si>
  <si>
    <t>期末数</t>
  </si>
  <si>
    <t>内部开发支出</t>
  </si>
  <si>
    <t>其他增加</t>
  </si>
  <si>
    <t>确认为无形资产</t>
  </si>
  <si>
    <t>计入当期损益</t>
  </si>
  <si>
    <r>
      <rPr>
        <b/>
        <sz val="10"/>
        <color rgb="FF000000"/>
        <rFont val="宋体"/>
        <family val="3"/>
        <charset val="134"/>
        <scheme val="minor"/>
      </rPr>
      <t>合</t>
    </r>
    <r>
      <rPr>
        <b/>
        <sz val="10"/>
        <color indexed="8"/>
        <rFont val="宋体"/>
        <family val="3"/>
        <charset val="134"/>
        <scheme val="minor"/>
      </rPr>
      <t xml:space="preserve">  计</t>
    </r>
  </si>
  <si>
    <t>【增减变动因素可根据实际情况自行添加】</t>
  </si>
  <si>
    <t>续：</t>
  </si>
  <si>
    <t>资本化开始时点</t>
  </si>
  <si>
    <t>资本化的具体依据</t>
  </si>
  <si>
    <t>截至期末的研发进度</t>
  </si>
  <si>
    <r>
      <rPr>
        <sz val="10"/>
        <color indexed="8"/>
        <rFont val="宋体"/>
        <family val="3"/>
        <charset val="134"/>
        <scheme val="minor"/>
      </rPr>
      <t>说明：</t>
    </r>
    <r>
      <rPr>
        <sz val="10"/>
        <color indexed="12"/>
        <rFont val="宋体"/>
        <family val="3"/>
        <charset val="134"/>
        <scheme val="minor"/>
      </rPr>
      <t>（披露上述项目的资本化开始时点、资本化的具体依据、截至期末的研发进度等。）</t>
    </r>
  </si>
  <si>
    <t>（尚未达到可使用状态的无形资产（开发支出），说明减值测试结果（每年进行减值测试）。</t>
  </si>
  <si>
    <t>【提示：证监会《2020年上市公司年报会计监管报告》指出个别上市公司对于内部研究开发项目，以前年度将相关支出确认为开发支出，报告期公司进行战略调整，暂缓相关研究开发项目，因而将开发支出累计发生余额转入当期管理费用。上市公司应判断以前年度相关支出是否满足资本化条件，对于不满足资本化条件的，应按照《企业会计准则第28号——会计政策、会计估计变更和差错更正》相关规定进行会计处理。若以前年度相关支出满足资本化条件，上市公司应按照资产减值准则的规定</t>
  </si>
  <si>
    <t>（1）重要的资本化研发项目</t>
  </si>
  <si>
    <t>（对于重要的资本化研发项目，应结合研发进度、预计完成时间、预计经济利益产生方式等情况，分项说明开始资本化的时点和具体依据。分项列示开发支出减值准备的期初余额、期末余额和本期增减变动情况，以及减值测试情况。（15号文第二十七条））</t>
  </si>
  <si>
    <t>研发进度</t>
  </si>
  <si>
    <t>预计完成时间</t>
  </si>
  <si>
    <t>预计经济利益产生方式</t>
  </si>
  <si>
    <t>开始资本化的时点</t>
  </si>
  <si>
    <t>开始资本化的具体依据</t>
  </si>
  <si>
    <t>（2）开发支出减值准备</t>
  </si>
  <si>
    <t>期初余额</t>
  </si>
  <si>
    <t>本期计提</t>
  </si>
  <si>
    <t>期末余额</t>
  </si>
  <si>
    <t>（说明减值测试情况。）</t>
  </si>
  <si>
    <t>【提示：证监会《2020年上市公司年报会计监管报告》指出个别上市公司对于内部研究开发项目，以前年度将相关支出确认为开发支出，报告期公司进行战略调整，暂缓相关研究开发项目，因而将开发支出累计发生余额转入当期管理费用。上市公司应判断以前年度相关支出是否满足资本化条件，对于不满足资本化条件的，应按照《企业会计准则第28号——会计政策、会计估计变更和差错更正》相关规定进行会计处理。若以前年度相关支出满足资本化条件，上市公司应按照资产减值准则的规定，对已资本化的开发支出恰当计提减值损失，而非转入管理费用。】</t>
  </si>
  <si>
    <t>2、外购在研项目</t>
  </si>
  <si>
    <t>（本期存在重要外购在研项目的，应结合预期产生经济利益的方式等情况，分项说明外购在研项目资本化或费用化的判断标准和具体依据。（15号文第二十八条））</t>
  </si>
  <si>
    <t xml:space="preserve"> 项  目 </t>
  </si>
  <si>
    <t xml:space="preserve"> 期初余额 </t>
  </si>
  <si>
    <t xml:space="preserve"> 本期增加 </t>
  </si>
  <si>
    <t xml:space="preserve"> 本期减少 </t>
  </si>
  <si>
    <r>
      <rPr>
        <b/>
        <sz val="10"/>
        <color rgb="FF000000"/>
        <rFont val="宋体"/>
        <family val="3"/>
        <charset val="134"/>
        <scheme val="minor"/>
      </rPr>
      <t xml:space="preserve"> </t>
    </r>
    <r>
      <rPr>
        <b/>
        <sz val="10"/>
        <color indexed="8"/>
        <rFont val="宋体"/>
        <family val="3"/>
        <charset val="134"/>
        <scheme val="minor"/>
      </rPr>
      <t xml:space="preserve">期末余额 </t>
    </r>
  </si>
  <si>
    <t xml:space="preserve"> 内部开发支出 </t>
  </si>
  <si>
    <t xml:space="preserve"> 其他 </t>
  </si>
  <si>
    <t xml:space="preserve"> 确认为无形资产 </t>
  </si>
  <si>
    <t xml:space="preserve"> 转入当期损益 </t>
  </si>
  <si>
    <r>
      <rPr>
        <b/>
        <sz val="10"/>
        <color rgb="FF000000"/>
        <rFont val="宋体"/>
        <family val="3"/>
        <charset val="134"/>
        <scheme val="minor"/>
      </rPr>
      <t xml:space="preserve"> </t>
    </r>
    <r>
      <rPr>
        <b/>
        <sz val="10"/>
        <color indexed="8"/>
        <rFont val="宋体"/>
        <family val="3"/>
        <charset val="134"/>
        <scheme val="minor"/>
      </rPr>
      <t xml:space="preserve">其他 </t>
    </r>
  </si>
  <si>
    <r>
      <rPr>
        <b/>
        <sz val="10"/>
        <color indexed="8"/>
        <rFont val="宋体"/>
        <family val="3"/>
        <charset val="134"/>
      </rPr>
      <t>一、审计目标</t>
    </r>
    <r>
      <rPr>
        <b/>
        <sz val="10"/>
        <color indexed="8"/>
        <rFont val="Arial Narrow"/>
        <family val="2"/>
      </rPr>
      <t>:</t>
    </r>
  </si>
  <si>
    <r>
      <rPr>
        <sz val="10"/>
        <rFont val="Arial Narrow"/>
        <family val="2"/>
      </rPr>
      <t xml:space="preserve">3. </t>
    </r>
    <r>
      <rPr>
        <sz val="10"/>
        <rFont val="宋体"/>
        <family val="3"/>
        <charset val="134"/>
      </rPr>
      <t>与开发支出有关的金额及其他数据已恰当记录，相关披露已得到恰当计量和描述</t>
    </r>
  </si>
  <si>
    <r>
      <rPr>
        <b/>
        <sz val="10"/>
        <rFont val="宋体"/>
        <family val="3"/>
        <charset val="134"/>
      </rPr>
      <t>二、审计过程：</t>
    </r>
  </si>
  <si>
    <r>
      <rPr>
        <b/>
        <sz val="10"/>
        <color indexed="8"/>
        <rFont val="宋体"/>
        <family val="3"/>
        <charset val="134"/>
      </rPr>
      <t>研究开发项目名称</t>
    </r>
  </si>
  <si>
    <t>未审数</t>
  </si>
  <si>
    <t>期初调整</t>
  </si>
  <si>
    <t>账项调整</t>
  </si>
  <si>
    <t>审定数</t>
  </si>
  <si>
    <t>差异</t>
  </si>
  <si>
    <r>
      <rPr>
        <b/>
        <sz val="10"/>
        <color indexed="8"/>
        <rFont val="宋体"/>
        <family val="3"/>
        <charset val="134"/>
      </rPr>
      <t>本期减少</t>
    </r>
  </si>
  <si>
    <r>
      <rPr>
        <b/>
        <sz val="10"/>
        <color indexed="8"/>
        <rFont val="宋体"/>
        <family val="3"/>
        <charset val="134"/>
      </rPr>
      <t>本期增加</t>
    </r>
  </si>
  <si>
    <t>金额</t>
  </si>
  <si>
    <t>增加方式</t>
  </si>
  <si>
    <r>
      <rPr>
        <b/>
        <sz val="10"/>
        <color indexed="8"/>
        <rFont val="宋体"/>
        <family val="3"/>
        <charset val="134"/>
      </rPr>
      <t>计入当期损益</t>
    </r>
  </si>
  <si>
    <r>
      <rPr>
        <sz val="10"/>
        <color rgb="FFFF0000"/>
        <rFont val="宋体"/>
        <family val="3"/>
        <charset val="134"/>
      </rPr>
      <t>课题</t>
    </r>
  </si>
  <si>
    <r>
      <rPr>
        <sz val="10"/>
        <color rgb="FFFF0000"/>
        <rFont val="宋体"/>
        <family val="3"/>
        <charset val="134"/>
      </rPr>
      <t>课题</t>
    </r>
    <r>
      <rPr>
        <sz val="10"/>
        <color rgb="FFFF0000"/>
        <rFont val="Arial Narrow"/>
        <family val="2"/>
      </rPr>
      <t>1</t>
    </r>
  </si>
  <si>
    <r>
      <rPr>
        <sz val="10"/>
        <color rgb="FFFF0000"/>
        <rFont val="宋体"/>
        <family val="3"/>
        <charset val="134"/>
      </rPr>
      <t>课题</t>
    </r>
    <r>
      <rPr>
        <sz val="10"/>
        <color rgb="FFFF0000"/>
        <rFont val="Arial Narrow"/>
        <family val="2"/>
      </rPr>
      <t>2</t>
    </r>
  </si>
  <si>
    <r>
      <rPr>
        <sz val="10"/>
        <color rgb="FFFF0000"/>
        <rFont val="宋体"/>
        <family val="3"/>
        <charset val="134"/>
      </rPr>
      <t>课题</t>
    </r>
    <r>
      <rPr>
        <sz val="10"/>
        <color rgb="FFFF0000"/>
        <rFont val="Arial Narrow"/>
        <family val="2"/>
      </rPr>
      <t>3</t>
    </r>
  </si>
  <si>
    <t>数据资源</t>
  </si>
  <si>
    <t>合计</t>
  </si>
  <si>
    <t>三、审计说明：</t>
  </si>
  <si>
    <t>四、审计结论：</t>
  </si>
  <si>
    <t>编制说明：</t>
  </si>
  <si>
    <t>1、本科目核算企业进行研究与开发无形资产过程中发生的各项支出。</t>
  </si>
  <si>
    <r>
      <rPr>
        <sz val="10"/>
        <color rgb="FF0000FF"/>
        <rFont val="宋体"/>
        <family val="3"/>
        <charset val="134"/>
      </rPr>
      <t>本科目可按研究开发项目，分别</t>
    </r>
    <r>
      <rPr>
        <sz val="10"/>
        <color rgb="FF0000FF"/>
        <rFont val="Arial Narrow"/>
        <family val="2"/>
      </rPr>
      <t>“</t>
    </r>
    <r>
      <rPr>
        <sz val="10"/>
        <color rgb="FF0000FF"/>
        <rFont val="宋体"/>
        <family val="3"/>
        <charset val="134"/>
      </rPr>
      <t>费用化支出</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资本化支出</t>
    </r>
    <r>
      <rPr>
        <sz val="10"/>
        <color rgb="FF0000FF"/>
        <rFont val="Arial Narrow"/>
        <family val="2"/>
      </rPr>
      <t>”</t>
    </r>
    <r>
      <rPr>
        <sz val="10"/>
        <color rgb="FF0000FF"/>
        <rFont val="宋体"/>
        <family val="3"/>
        <charset val="134"/>
      </rPr>
      <t>进行明细核算。</t>
    </r>
  </si>
  <si>
    <t>期（月）末，应将本科目归集的费用化支出金额转入“管理费用”科目，借记“管理费用”科目，贷记本科目（费用化支出）。</t>
  </si>
  <si>
    <t>研发费用核算时，应从开发支出的贷方转出，不能直接列支在损益中。</t>
  </si>
  <si>
    <t>2、本工作底稿应列入开发支出的每一明细账户，经审核后，作为本底稿附件。</t>
  </si>
  <si>
    <t>3、备注栏可填写项目内容及异常情况说明。</t>
  </si>
  <si>
    <t>开发支出调整分录汇总表</t>
  </si>
  <si>
    <t>调整事项说明</t>
  </si>
  <si>
    <t>类别（报表调整/账项调整/其他）</t>
  </si>
  <si>
    <t>报表项目</t>
  </si>
  <si>
    <t>科目名称</t>
  </si>
  <si>
    <t>附注项目</t>
  </si>
  <si>
    <t>借方调整金额</t>
  </si>
  <si>
    <t>贷方调整金额</t>
  </si>
  <si>
    <t>索引</t>
  </si>
  <si>
    <t>备注</t>
  </si>
  <si>
    <t>【注：本底稿适用于调整分录较多、较复杂的项目，且仅列示与本报表项目相关的审计调整。项目组可根据项目实际情况选择是否使用该底稿。】</t>
  </si>
  <si>
    <t>索引号：</t>
  </si>
  <si>
    <t>开（研）发支出针对性检查表</t>
  </si>
  <si>
    <r>
      <rPr>
        <b/>
        <sz val="10"/>
        <color indexed="8"/>
        <rFont val="宋体"/>
        <family val="3"/>
        <charset val="134"/>
      </rPr>
      <t>一、测试目标：</t>
    </r>
  </si>
  <si>
    <r>
      <rPr>
        <sz val="10"/>
        <color indexed="8"/>
        <rFont val="Arial Narrow"/>
        <family val="2"/>
      </rPr>
      <t>1.</t>
    </r>
    <r>
      <rPr>
        <sz val="10"/>
        <color indexed="8"/>
        <rFont val="宋体"/>
        <family val="3"/>
        <charset val="134"/>
      </rPr>
      <t>通过针对性测试，验证开（研）发支出的存在</t>
    </r>
    <r>
      <rPr>
        <sz val="10"/>
        <color indexed="8"/>
        <rFont val="Arial Narrow"/>
        <family val="2"/>
      </rPr>
      <t>/</t>
    </r>
    <r>
      <rPr>
        <sz val="10"/>
        <color indexed="8"/>
        <rFont val="宋体"/>
        <family val="3"/>
        <charset val="134"/>
      </rPr>
      <t>发生、所有权、计价和分摊。</t>
    </r>
  </si>
  <si>
    <r>
      <rPr>
        <sz val="10"/>
        <color indexed="8"/>
        <rFont val="Arial Narrow"/>
        <family val="2"/>
      </rPr>
      <t xml:space="preserve">2. </t>
    </r>
    <r>
      <rPr>
        <sz val="10"/>
        <color indexed="8"/>
        <rFont val="宋体"/>
        <family val="3"/>
        <charset val="134"/>
      </rPr>
      <t>检查人工费（研发人员）、材料费、制造费用分摊、委托研发等开发支出费用的真实性。</t>
    </r>
  </si>
  <si>
    <r>
      <rPr>
        <b/>
        <sz val="10"/>
        <color indexed="8"/>
        <rFont val="宋体"/>
        <family val="3"/>
        <charset val="134"/>
      </rPr>
      <t>二、样本选取标准与规模：</t>
    </r>
  </si>
  <si>
    <t>测试总体：</t>
  </si>
  <si>
    <t>如贷方发生额所有凭证共XX笔金额XX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</si>
  <si>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</si>
  <si>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</si>
  <si>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</si>
  <si>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</si>
  <si>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</si>
  <si>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</si>
  <si>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</si>
  <si>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</si>
  <si>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</si>
  <si>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使用IDEA（XX抽样工具）选择XX数量、金额XX的样本进行测试，抽样工具中的样本选择过程和结果见&lt;XX&gt;底稿</t>
  </si>
  <si>
    <r>
      <rPr>
        <b/>
        <sz val="10"/>
        <color indexed="8"/>
        <rFont val="宋体"/>
        <family val="3"/>
        <charset val="134"/>
      </rPr>
      <t>三、测试：</t>
    </r>
  </si>
  <si>
    <r>
      <rPr>
        <b/>
        <sz val="10"/>
        <color indexed="8"/>
        <rFont val="宋体"/>
        <family val="3"/>
        <charset val="134"/>
      </rPr>
      <t>四、审计说明：</t>
    </r>
  </si>
  <si>
    <r>
      <rPr>
        <b/>
        <sz val="10"/>
        <color indexed="8"/>
        <rFont val="宋体"/>
        <family val="3"/>
        <charset val="134"/>
      </rPr>
      <t>五、审计结论：</t>
    </r>
  </si>
  <si>
    <t>开发支出截止测试</t>
  </si>
  <si>
    <t>一、审计目标：</t>
  </si>
  <si>
    <t>确认开发支出已记录于正确的会计期间。</t>
  </si>
  <si>
    <t>二、样本选取标准与规模：</t>
  </si>
  <si>
    <t>1.抽取资产负债表日前（______）天、后（______）天，且金额大于______元的支出凭单等与开发支出记账凭证核对确认开发支出是否记入了恰当的期间；</t>
  </si>
  <si>
    <t>2.对于首次承接的客户，执行前期期末的截止性测试。（适用于首次承接）</t>
  </si>
  <si>
    <t>三、测试：</t>
  </si>
  <si>
    <t>支出凭单</t>
  </si>
  <si>
    <t>记账凭证</t>
  </si>
  <si>
    <t>是否跨期</t>
  </si>
  <si>
    <t>跨期金额</t>
  </si>
  <si>
    <t>凭单编号</t>
  </si>
  <si>
    <t>凭单日期</t>
  </si>
  <si>
    <t>日期</t>
  </si>
  <si>
    <t>凭证号</t>
  </si>
  <si>
    <t>摘要</t>
  </si>
  <si>
    <r>
      <rPr>
        <b/>
        <sz val="10"/>
        <rFont val="Arial Narrow"/>
        <family val="2"/>
      </rPr>
      <t>——————</t>
    </r>
    <r>
      <rPr>
        <b/>
        <sz val="10"/>
        <rFont val="宋体"/>
        <family val="3"/>
        <charset val="134"/>
      </rPr>
      <t>截止日期：</t>
    </r>
    <r>
      <rPr>
        <b/>
        <sz val="10"/>
        <rFont val="Arial Narrow"/>
        <family val="2"/>
      </rPr>
      <t>20XX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微软雅黑"/>
        <family val="2"/>
        <charset val="134"/>
      </rPr>
      <t>——————</t>
    </r>
  </si>
  <si>
    <t>四、审计说明：</t>
  </si>
  <si>
    <t>五、审计结论</t>
  </si>
  <si>
    <t>提示：如果存在跨期舞弊风险或者所检查样本中发现有跨期的，应扩大测试期间和样本，甚至可以考虑将截止测试期间延长至审计报告日。同时考虑是否存在内控缺陷。</t>
  </si>
  <si>
    <t>1.获取资产负债表日前（______）天、后（______）天，且金额大于______元的开发支出记账凭证与支出凭单等核对确认开发支出是否记入了恰当的期间；</t>
  </si>
  <si>
    <t>编号</t>
  </si>
  <si>
    <t>检查期末开发支出应计提的减值准备是否合理。</t>
  </si>
  <si>
    <t>开发支出项目名称</t>
  </si>
  <si>
    <t>是否存在减值迹象</t>
  </si>
  <si>
    <t>减值迹象描述
①</t>
  </si>
  <si>
    <t>是否进行减值测试</t>
  </si>
  <si>
    <t>账面价值</t>
  </si>
  <si>
    <t>可收回金额</t>
  </si>
  <si>
    <t>期末应计提的减值金额（当⑤＜①）</t>
  </si>
  <si>
    <t>期末账面已计提的减值准备</t>
  </si>
  <si>
    <t>本期应补提
或冲回的减值准备</t>
  </si>
  <si>
    <r>
      <rPr>
        <b/>
        <sz val="10"/>
        <color indexed="8"/>
        <rFont val="宋体"/>
        <family val="3"/>
        <charset val="134"/>
      </rPr>
      <t>工作底稿索引号</t>
    </r>
  </si>
  <si>
    <t>公允价值减处置费用的净额</t>
  </si>
  <si>
    <t>预计未来现金流量现值</t>
  </si>
  <si>
    <t>可收回金额（③、④较高者）</t>
  </si>
  <si>
    <t>期末已计提
减值准备</t>
  </si>
  <si>
    <t>②</t>
  </si>
  <si>
    <t>③</t>
  </si>
  <si>
    <t>④</t>
  </si>
  <si>
    <t>⑤</t>
  </si>
  <si>
    <t>⑥＝⑤－①</t>
  </si>
  <si>
    <t>⑦</t>
  </si>
  <si>
    <t>⑧=⑥-⑦</t>
  </si>
  <si>
    <t>注册会计师可以考虑实施以下审计程序：</t>
  </si>
  <si>
    <r>
      <rPr>
        <sz val="10"/>
        <color rgb="FF0000FF"/>
        <rFont val="宋体"/>
        <family val="3"/>
        <charset val="134"/>
      </rPr>
      <t>（</t>
    </r>
    <r>
      <rPr>
        <sz val="10"/>
        <color rgb="FF0000FF"/>
        <rFont val="Arial Narrow"/>
        <family val="2"/>
      </rPr>
      <t>1</t>
    </r>
    <r>
      <rPr>
        <sz val="10"/>
        <color rgb="FF0000FF"/>
        <rFont val="宋体"/>
        <family val="3"/>
        <charset val="134"/>
      </rPr>
      <t>）检查被审计单位对于开发支出减值测试的方法及相关会计处理是否符合相关企业会计准则的要求并保持一贯性。</t>
    </r>
  </si>
  <si>
    <r>
      <rPr>
        <sz val="10"/>
        <color rgb="FF0000FF"/>
        <rFont val="宋体"/>
        <family val="3"/>
        <charset val="134"/>
      </rPr>
      <t>（</t>
    </r>
    <r>
      <rPr>
        <sz val="10"/>
        <color rgb="FF0000FF"/>
        <rFont val="Arial Narrow"/>
        <family val="2"/>
      </rPr>
      <t>2</t>
    </r>
    <r>
      <rPr>
        <sz val="10"/>
        <color rgb="FF0000FF"/>
        <rFont val="宋体"/>
        <family val="3"/>
        <charset val="134"/>
      </rPr>
      <t>）通过询问管理层对相关开发项目商业应用分析，并查阅与相关开发项目相关产品的市场研究报告，了解相关产品的市场状况及后续经营计划，评价管理层对开发支出是否存在减值的判断过程的恰当性。</t>
    </r>
  </si>
  <si>
    <r>
      <rPr>
        <sz val="10"/>
        <color rgb="FF0000FF"/>
        <rFont val="宋体"/>
        <family val="3"/>
        <charset val="134"/>
      </rPr>
      <t>（</t>
    </r>
    <r>
      <rPr>
        <sz val="10"/>
        <color rgb="FF0000FF"/>
        <rFont val="Arial Narrow"/>
        <family val="2"/>
      </rPr>
      <t>3</t>
    </r>
    <r>
      <rPr>
        <sz val="10"/>
        <color rgb="FF0000FF"/>
        <rFont val="宋体"/>
        <family val="3"/>
        <charset val="134"/>
      </rPr>
      <t>）通过对比历史业绩、管理层预测、可获得的可比公司和外部市场的数据，评价管理层在减值测试中采用的关键假设和判断的合理性。</t>
    </r>
  </si>
  <si>
    <r>
      <rPr>
        <sz val="10"/>
        <color rgb="FF0000FF"/>
        <rFont val="宋体"/>
        <family val="3"/>
        <charset val="134"/>
      </rPr>
      <t>（</t>
    </r>
    <r>
      <rPr>
        <sz val="10"/>
        <color rgb="FF0000FF"/>
        <rFont val="Arial Narrow"/>
        <family val="2"/>
      </rPr>
      <t>4</t>
    </r>
    <r>
      <rPr>
        <sz val="10"/>
        <color rgb="FF0000FF"/>
        <rFont val="宋体"/>
        <family val="3"/>
        <charset val="134"/>
      </rPr>
      <t>）利用专家的工作，协助评估管理层使用的减值测试模型及使用的关键假设以及参数的合理性，包括折现率等。如果管理层执行减值测试时涉及利用专家的工作，注册会计师需评价与管理层的专家工作相关内控的设计和执行情况</t>
    </r>
    <r>
      <rPr>
        <sz val="10"/>
        <color rgb="FF0000FF"/>
        <rFont val="Arial Narrow"/>
        <family val="2"/>
      </rPr>
      <t>,</t>
    </r>
    <r>
      <rPr>
        <sz val="10"/>
        <color rgb="FF0000FF"/>
        <rFont val="宋体"/>
        <family val="3"/>
        <charset val="134"/>
      </rPr>
      <t>，并按照《中国注册会计师审计准则第</t>
    </r>
    <r>
      <rPr>
        <sz val="10"/>
        <color rgb="FF0000FF"/>
        <rFont val="Arial Narrow"/>
        <family val="2"/>
      </rPr>
      <t>1301</t>
    </r>
    <r>
      <rPr>
        <sz val="10"/>
        <color rgb="FF0000FF"/>
        <rFont val="宋体"/>
        <family val="3"/>
        <charset val="134"/>
      </rPr>
      <t>号</t>
    </r>
    <r>
      <rPr>
        <sz val="10"/>
        <color rgb="FF0000FF"/>
        <rFont val="Arial Narrow"/>
        <family val="2"/>
      </rPr>
      <t>——</t>
    </r>
    <r>
      <rPr>
        <sz val="10"/>
        <color rgb="FF0000FF"/>
        <rFont val="宋体"/>
        <family val="3"/>
        <charset val="134"/>
      </rPr>
      <t>审计证据》的要求，评价管理层的专家的胜任能力、专业素质和客观性。</t>
    </r>
  </si>
  <si>
    <r>
      <rPr>
        <sz val="10"/>
        <color rgb="FF0000FF"/>
        <rFont val="宋体"/>
        <family val="3"/>
        <charset val="134"/>
      </rPr>
      <t>（</t>
    </r>
    <r>
      <rPr>
        <sz val="10"/>
        <color rgb="FF0000FF"/>
        <rFont val="Arial Narrow"/>
        <family val="2"/>
      </rPr>
      <t>5</t>
    </r>
    <r>
      <rPr>
        <sz val="10"/>
        <color rgb="FF0000FF"/>
        <rFont val="宋体"/>
        <family val="3"/>
        <charset val="134"/>
      </rPr>
      <t>）通过将管理层在上年计算预计未来现金流量现值时采用的估计与本年实际情况进行比较，考虑管理层预测结果的准确性，并就识别出的任何重大差异向管理层询问原因，同时考虑相关因素是否已在本年度的预测中予以考虑。</t>
    </r>
  </si>
  <si>
    <r>
      <rPr>
        <sz val="10"/>
        <color rgb="FF0000FF"/>
        <rFont val="宋体"/>
        <family val="3"/>
        <charset val="134"/>
      </rPr>
      <t>同时，《中国注册会计师审计准则第</t>
    </r>
    <r>
      <rPr>
        <sz val="10"/>
        <color rgb="FF0000FF"/>
        <rFont val="Arial Narrow"/>
        <family val="2"/>
      </rPr>
      <t>1321</t>
    </r>
    <r>
      <rPr>
        <sz val="10"/>
        <color rgb="FF0000FF"/>
        <rFont val="宋体"/>
        <family val="3"/>
        <charset val="134"/>
      </rPr>
      <t>号</t>
    </r>
    <r>
      <rPr>
        <sz val="10"/>
        <color rgb="FF0000FF"/>
        <rFont val="Arial Narrow"/>
        <family val="2"/>
      </rPr>
      <t>——</t>
    </r>
    <r>
      <rPr>
        <sz val="10"/>
        <color rgb="FF0000FF"/>
        <rFont val="宋体"/>
        <family val="3"/>
        <charset val="134"/>
      </rPr>
      <t>审计会计估计（包括公允价值会计估计）和相关披露》及其应用指南对于注册会计师如何应对相关会计估计的不确定性导致的财务报表重大错报风险给出了指引。</t>
    </r>
  </si>
  <si>
    <t>检查开发支出本期应计提的减值准备是否合理。</t>
  </si>
  <si>
    <r>
      <rPr>
        <b/>
        <sz val="10"/>
        <color indexed="8"/>
        <rFont val="宋体"/>
        <family val="3"/>
        <charset val="134"/>
      </rPr>
      <t>（一）资产的公允价值减去处置费用后的净额</t>
    </r>
  </si>
  <si>
    <r>
      <rPr>
        <b/>
        <sz val="10"/>
        <color indexed="8"/>
        <rFont val="宋体"/>
        <family val="3"/>
        <charset val="134"/>
      </rPr>
      <t>项目名称</t>
    </r>
  </si>
  <si>
    <r>
      <rPr>
        <b/>
        <sz val="10"/>
        <color indexed="8"/>
        <rFont val="宋体"/>
        <family val="3"/>
        <charset val="134"/>
      </rPr>
      <t>公允价值</t>
    </r>
  </si>
  <si>
    <r>
      <rPr>
        <b/>
        <sz val="10"/>
        <color indexed="8"/>
        <rFont val="宋体"/>
        <family val="3"/>
        <charset val="134"/>
      </rPr>
      <t>处置费用（资产处置的直接归属费用）</t>
    </r>
  </si>
  <si>
    <r>
      <rPr>
        <b/>
        <sz val="10"/>
        <color indexed="8"/>
        <rFont val="宋体"/>
        <family val="3"/>
        <charset val="134"/>
      </rPr>
      <t>公允价值</t>
    </r>
    <r>
      <rPr>
        <b/>
        <sz val="10"/>
        <color indexed="8"/>
        <rFont val="Arial Narrow"/>
        <family val="2"/>
      </rPr>
      <t>-</t>
    </r>
    <r>
      <rPr>
        <b/>
        <sz val="10"/>
        <color indexed="8"/>
        <rFont val="宋体"/>
        <family val="3"/>
        <charset val="134"/>
      </rPr>
      <t>处置费用</t>
    </r>
  </si>
  <si>
    <r>
      <rPr>
        <b/>
        <sz val="10"/>
        <color indexed="8"/>
        <rFont val="宋体"/>
        <family val="3"/>
        <charset val="134"/>
      </rPr>
      <t>销售协议价格</t>
    </r>
  </si>
  <si>
    <r>
      <rPr>
        <b/>
        <sz val="10"/>
        <color indexed="8"/>
        <rFont val="宋体"/>
        <family val="3"/>
        <charset val="134"/>
      </rPr>
      <t>说明</t>
    </r>
  </si>
  <si>
    <r>
      <rPr>
        <b/>
        <sz val="10"/>
        <color indexed="8"/>
        <rFont val="宋体"/>
        <family val="3"/>
        <charset val="134"/>
      </rPr>
      <t>资产活跃市场价格</t>
    </r>
  </si>
  <si>
    <r>
      <rPr>
        <b/>
        <sz val="10"/>
        <color indexed="8"/>
        <rFont val="宋体"/>
        <family val="3"/>
        <charset val="134"/>
      </rPr>
      <t>估计价格</t>
    </r>
  </si>
  <si>
    <r>
      <rPr>
        <b/>
        <sz val="10"/>
        <color indexed="8"/>
        <rFont val="宋体"/>
        <family val="3"/>
        <charset val="134"/>
      </rPr>
      <t>法律费用</t>
    </r>
  </si>
  <si>
    <r>
      <rPr>
        <b/>
        <sz val="10"/>
        <color indexed="8"/>
        <rFont val="宋体"/>
        <family val="3"/>
        <charset val="134"/>
      </rPr>
      <t>相关税费</t>
    </r>
  </si>
  <si>
    <r>
      <rPr>
        <b/>
        <sz val="10"/>
        <color indexed="8"/>
        <rFont val="宋体"/>
        <family val="3"/>
        <charset val="134"/>
      </rPr>
      <t>搬运费</t>
    </r>
  </si>
  <si>
    <r>
      <rPr>
        <b/>
        <sz val="10"/>
        <color indexed="8"/>
        <rFont val="宋体"/>
        <family val="3"/>
        <charset val="134"/>
      </rPr>
      <t>直接费用</t>
    </r>
  </si>
  <si>
    <r>
      <rPr>
        <b/>
        <sz val="10"/>
        <color indexed="8"/>
        <rFont val="宋体"/>
        <family val="3"/>
        <charset val="134"/>
      </rPr>
      <t>其他费用</t>
    </r>
  </si>
  <si>
    <r>
      <rPr>
        <b/>
        <sz val="10"/>
        <color indexed="8"/>
        <rFont val="宋体"/>
        <family val="3"/>
        <charset val="134"/>
      </rPr>
      <t>处置费用合计</t>
    </r>
  </si>
  <si>
    <r>
      <rPr>
        <b/>
        <sz val="10"/>
        <color indexed="8"/>
        <rFont val="宋体"/>
        <family val="3"/>
        <charset val="134"/>
      </rPr>
      <t>（二）资产预计未来现金流量的现值</t>
    </r>
  </si>
  <si>
    <r>
      <rPr>
        <b/>
        <sz val="10"/>
        <color indexed="8"/>
        <rFont val="宋体"/>
        <family val="3"/>
        <charset val="134"/>
      </rPr>
      <t>预计未来现金流量</t>
    </r>
  </si>
  <si>
    <r>
      <rPr>
        <b/>
        <sz val="10"/>
        <color indexed="8"/>
        <rFont val="宋体"/>
        <family val="3"/>
        <charset val="134"/>
      </rPr>
      <t>预算或者预测期</t>
    </r>
  </si>
  <si>
    <r>
      <rPr>
        <b/>
        <sz val="10"/>
        <color indexed="8"/>
        <rFont val="宋体"/>
        <family val="3"/>
        <charset val="134"/>
      </rPr>
      <t>以后年度</t>
    </r>
  </si>
  <si>
    <r>
      <rPr>
        <b/>
        <sz val="10"/>
        <color indexed="8"/>
        <rFont val="宋体"/>
        <family val="3"/>
        <charset val="134"/>
      </rPr>
      <t>行业的长期平均增长率</t>
    </r>
  </si>
  <si>
    <r>
      <rPr>
        <b/>
        <sz val="10"/>
        <color indexed="8"/>
        <rFont val="宋体"/>
        <family val="3"/>
        <charset val="134"/>
      </rPr>
      <t>市场长期平均增长率</t>
    </r>
  </si>
  <si>
    <r>
      <rPr>
        <b/>
        <sz val="10"/>
        <color indexed="8"/>
        <rFont val="宋体"/>
        <family val="3"/>
        <charset val="134"/>
      </rPr>
      <t>所在国家或地区的长期平均增长率</t>
    </r>
  </si>
  <si>
    <r>
      <rPr>
        <b/>
        <sz val="10"/>
        <color indexed="8"/>
        <rFont val="宋体"/>
        <family val="3"/>
        <charset val="134"/>
      </rPr>
      <t>增长率确定依据</t>
    </r>
  </si>
  <si>
    <r>
      <rPr>
        <b/>
        <sz val="10"/>
        <color indexed="8"/>
        <rFont val="宋体"/>
        <family val="3"/>
        <charset val="134"/>
      </rPr>
      <t>预计未来现金流量的现值</t>
    </r>
  </si>
  <si>
    <r>
      <rPr>
        <b/>
        <sz val="10"/>
        <color indexed="8"/>
        <rFont val="宋体"/>
        <family val="3"/>
        <charset val="134"/>
      </rPr>
      <t>第一年</t>
    </r>
  </si>
  <si>
    <r>
      <rPr>
        <b/>
        <sz val="10"/>
        <color indexed="8"/>
        <rFont val="宋体"/>
        <family val="3"/>
        <charset val="134"/>
      </rPr>
      <t>第二年</t>
    </r>
  </si>
  <si>
    <r>
      <rPr>
        <b/>
        <sz val="10"/>
        <color indexed="8"/>
        <rFont val="宋体"/>
        <family val="3"/>
        <charset val="134"/>
      </rPr>
      <t>第三年</t>
    </r>
  </si>
  <si>
    <r>
      <rPr>
        <b/>
        <sz val="10"/>
        <color indexed="8"/>
        <rFont val="宋体"/>
        <family val="3"/>
        <charset val="134"/>
      </rPr>
      <t>第四年</t>
    </r>
  </si>
  <si>
    <r>
      <rPr>
        <b/>
        <sz val="10"/>
        <color indexed="8"/>
        <rFont val="宋体"/>
        <family val="3"/>
        <charset val="134"/>
      </rPr>
      <t>第五年</t>
    </r>
  </si>
  <si>
    <r>
      <rPr>
        <b/>
        <sz val="10"/>
        <color indexed="8"/>
        <rFont val="宋体"/>
        <family val="3"/>
        <charset val="134"/>
      </rPr>
      <t>基数</t>
    </r>
  </si>
  <si>
    <r>
      <rPr>
        <b/>
        <sz val="10"/>
        <color indexed="8"/>
        <rFont val="宋体"/>
        <family val="3"/>
        <charset val="134"/>
      </rPr>
      <t>增长率</t>
    </r>
  </si>
  <si>
    <r>
      <rPr>
        <sz val="10"/>
        <color indexed="8"/>
        <rFont val="宋体"/>
        <family val="3"/>
        <charset val="134"/>
      </rPr>
      <t>预计未来现金净流量</t>
    </r>
  </si>
  <si>
    <r>
      <rPr>
        <sz val="10"/>
        <color indexed="8"/>
        <rFont val="宋体"/>
        <family val="3"/>
        <charset val="134"/>
      </rPr>
      <t>折现系数</t>
    </r>
  </si>
  <si>
    <r>
      <rPr>
        <sz val="10"/>
        <color rgb="FF0000FF"/>
        <rFont val="宋体"/>
        <family val="3"/>
        <charset val="134"/>
      </rPr>
      <t>（企业管理层如能证明递增的增长率是合理的，可以以递增的增长率为基础。）</t>
    </r>
  </si>
  <si>
    <r>
      <rPr>
        <sz val="10"/>
        <color indexed="8"/>
        <rFont val="宋体"/>
        <family val="3"/>
        <charset val="134"/>
      </rPr>
      <t>现值</t>
    </r>
  </si>
  <si>
    <r>
      <rPr>
        <sz val="10"/>
        <color rgb="FF0000FF"/>
        <rFont val="宋体"/>
        <family val="3"/>
        <charset val="134"/>
      </rPr>
      <t>（建立在预算或者预测基础上的预计现金流量最多涵盖</t>
    </r>
    <r>
      <rPr>
        <sz val="10"/>
        <color rgb="FF0000FF"/>
        <rFont val="Arial Narrow"/>
        <family val="2"/>
      </rPr>
      <t>5</t>
    </r>
    <r>
      <rPr>
        <sz val="10"/>
        <color rgb="FF0000FF"/>
        <rFont val="宋体"/>
        <family val="3"/>
        <charset val="134"/>
      </rPr>
      <t>年。）</t>
    </r>
  </si>
  <si>
    <r>
      <rPr>
        <b/>
        <sz val="10"/>
        <color indexed="8"/>
        <rFont val="宋体"/>
        <family val="3"/>
        <charset val="134"/>
      </rPr>
      <t>折现率</t>
    </r>
  </si>
  <si>
    <r>
      <rPr>
        <b/>
        <sz val="10"/>
        <color indexed="8"/>
        <rFont val="宋体"/>
        <family val="3"/>
        <charset val="134"/>
      </rPr>
      <t>所得税率适用税率</t>
    </r>
  </si>
  <si>
    <r>
      <rPr>
        <b/>
        <sz val="10"/>
        <color indexed="8"/>
        <rFont val="宋体"/>
        <family val="3"/>
        <charset val="134"/>
      </rPr>
      <t>债务总额</t>
    </r>
  </si>
  <si>
    <r>
      <rPr>
        <b/>
        <sz val="10"/>
        <color indexed="8"/>
        <rFont val="宋体"/>
        <family val="3"/>
        <charset val="134"/>
      </rPr>
      <t>资本总额</t>
    </r>
  </si>
  <si>
    <r>
      <rPr>
        <b/>
        <sz val="10"/>
        <color indexed="8"/>
        <rFont val="宋体"/>
        <family val="3"/>
        <charset val="134"/>
      </rPr>
      <t>债务成本</t>
    </r>
    <r>
      <rPr>
        <b/>
        <sz val="10"/>
        <color indexed="8"/>
        <rFont val="Arial Narrow"/>
        <family val="2"/>
      </rPr>
      <t>Kd</t>
    </r>
  </si>
  <si>
    <r>
      <rPr>
        <b/>
        <sz val="10"/>
        <color indexed="8"/>
        <rFont val="宋体"/>
        <family val="3"/>
        <charset val="134"/>
      </rPr>
      <t>无风险报酬率</t>
    </r>
    <r>
      <rPr>
        <b/>
        <sz val="10"/>
        <color indexed="8"/>
        <rFont val="Arial Narrow"/>
        <family val="2"/>
      </rPr>
      <t>Rf</t>
    </r>
  </si>
  <si>
    <r>
      <rPr>
        <b/>
        <sz val="10"/>
        <color indexed="8"/>
        <rFont val="Arial Narrow"/>
        <family val="2"/>
      </rPr>
      <t>β</t>
    </r>
    <r>
      <rPr>
        <b/>
        <sz val="10"/>
        <color indexed="8"/>
        <rFont val="宋体"/>
        <family val="3"/>
        <charset val="134"/>
      </rPr>
      <t>系数</t>
    </r>
  </si>
  <si>
    <r>
      <rPr>
        <b/>
        <sz val="10"/>
        <color indexed="8"/>
        <rFont val="宋体"/>
        <family val="3"/>
        <charset val="134"/>
      </rPr>
      <t>平均风险股票必要报酬率</t>
    </r>
    <r>
      <rPr>
        <b/>
        <sz val="10"/>
        <color indexed="8"/>
        <rFont val="Arial Narrow"/>
        <family val="2"/>
      </rPr>
      <t>Rm</t>
    </r>
  </si>
  <si>
    <r>
      <rPr>
        <b/>
        <sz val="10"/>
        <color indexed="8"/>
        <rFont val="宋体"/>
        <family val="3"/>
        <charset val="134"/>
      </rPr>
      <t>资本成本</t>
    </r>
    <r>
      <rPr>
        <b/>
        <sz val="10"/>
        <color indexed="8"/>
        <rFont val="Arial Narrow"/>
        <family val="2"/>
      </rPr>
      <t>Ke</t>
    </r>
  </si>
  <si>
    <r>
      <rPr>
        <b/>
        <sz val="10"/>
        <color indexed="8"/>
        <rFont val="宋体"/>
        <family val="3"/>
        <charset val="134"/>
      </rPr>
      <t>折现率</t>
    </r>
    <r>
      <rPr>
        <b/>
        <sz val="10"/>
        <color indexed="8"/>
        <rFont val="Arial Narrow"/>
        <family val="2"/>
      </rPr>
      <t>(</t>
    </r>
    <r>
      <rPr>
        <b/>
        <sz val="10"/>
        <color indexed="8"/>
        <rFont val="宋体"/>
        <family val="3"/>
        <charset val="134"/>
      </rPr>
      <t>税后</t>
    </r>
    <r>
      <rPr>
        <b/>
        <sz val="10"/>
        <color indexed="8"/>
        <rFont val="Arial Narrow"/>
        <family val="2"/>
      </rPr>
      <t>)</t>
    </r>
  </si>
  <si>
    <r>
      <rPr>
        <b/>
        <sz val="10"/>
        <color indexed="8"/>
        <rFont val="宋体"/>
        <family val="3"/>
        <charset val="134"/>
      </rPr>
      <t>折现率</t>
    </r>
    <r>
      <rPr>
        <b/>
        <sz val="10"/>
        <color indexed="8"/>
        <rFont val="Arial Narrow"/>
        <family val="2"/>
      </rPr>
      <t>(</t>
    </r>
    <r>
      <rPr>
        <b/>
        <sz val="10"/>
        <color indexed="8"/>
        <rFont val="宋体"/>
        <family val="3"/>
        <charset val="134"/>
      </rPr>
      <t>税前</t>
    </r>
    <r>
      <rPr>
        <b/>
        <sz val="10"/>
        <color indexed="8"/>
        <rFont val="Arial Narrow"/>
        <family val="2"/>
      </rPr>
      <t>)</t>
    </r>
  </si>
  <si>
    <r>
      <rPr>
        <b/>
        <sz val="10"/>
        <color indexed="8"/>
        <rFont val="宋体"/>
        <family val="3"/>
        <charset val="134"/>
      </rPr>
      <t>税后折税前调整说明</t>
    </r>
  </si>
  <si>
    <r>
      <rPr>
        <b/>
        <sz val="10"/>
        <color indexed="8"/>
        <rFont val="宋体"/>
        <family val="3"/>
        <charset val="134"/>
      </rPr>
      <t>可收回金额</t>
    </r>
  </si>
  <si>
    <r>
      <rPr>
        <b/>
        <sz val="10"/>
        <color indexed="8"/>
        <rFont val="宋体"/>
        <family val="3"/>
        <charset val="134"/>
      </rPr>
      <t>税率调整</t>
    </r>
  </si>
  <si>
    <r>
      <rPr>
        <b/>
        <sz val="10"/>
        <color indexed="8"/>
        <rFont val="宋体"/>
        <family val="3"/>
        <charset val="134"/>
      </rPr>
      <t>调整说明</t>
    </r>
  </si>
  <si>
    <r>
      <rPr>
        <sz val="10"/>
        <color indexed="8"/>
        <rFont val="宋体"/>
        <family val="3"/>
        <charset val="134"/>
      </rPr>
      <t>加权平均资金成本</t>
    </r>
  </si>
  <si>
    <r>
      <rPr>
        <sz val="10"/>
        <color indexed="8"/>
        <rFont val="宋体"/>
        <family val="3"/>
        <charset val="134"/>
      </rPr>
      <t>编制说明：</t>
    </r>
  </si>
  <si>
    <r>
      <rPr>
        <sz val="10"/>
        <color indexed="8"/>
        <rFont val="Arial Narrow"/>
        <family val="2"/>
      </rPr>
      <t>1</t>
    </r>
    <r>
      <rPr>
        <sz val="10"/>
        <color indexed="8"/>
        <rFont val="宋体"/>
        <family val="3"/>
        <charset val="134"/>
      </rPr>
      <t>、可收回金额应当根据资产的公允价值减去处置费用后的净额与资产预计未来现金流量的现值两者之间较高者确定。</t>
    </r>
  </si>
  <si>
    <r>
      <rPr>
        <sz val="10"/>
        <color indexed="8"/>
        <rFont val="Arial Narrow"/>
        <family val="2"/>
      </rPr>
      <t>2</t>
    </r>
    <r>
      <rPr>
        <sz val="10"/>
        <color indexed="8"/>
        <rFont val="宋体"/>
        <family val="3"/>
        <charset val="134"/>
      </rPr>
      <t>、资产的公允价值减去处置费用后的净额，应当根据公平交易中销售协议价格减去可直接归属于该资产处置费用的金额确定。不存在销售协议但存在资产活跃市场的，</t>
    </r>
  </si>
  <si>
    <r>
      <rPr>
        <sz val="10"/>
        <color indexed="8"/>
        <rFont val="宋体"/>
        <family val="3"/>
        <charset val="134"/>
      </rPr>
      <t>应当按照该资产的市场价格减去处置费用后的金额确定。资产的市场价格通常应当根据资产的买方出价确定。在不存在销售协议和资产活跃市场的情况下，应当</t>
    </r>
  </si>
  <si>
    <r>
      <rPr>
        <sz val="10"/>
        <color indexed="8"/>
        <rFont val="宋体"/>
        <family val="3"/>
        <charset val="134"/>
      </rPr>
      <t>以可获取的最佳信息为基础，估计资产的公允价值减去处置费用后的净额，该净额可以参考同行业类似资产的最近交易价格或者结果进行估计。企业按照上述规定</t>
    </r>
  </si>
  <si>
    <r>
      <rPr>
        <sz val="10"/>
        <color indexed="8"/>
        <rFont val="宋体"/>
        <family val="3"/>
        <charset val="134"/>
      </rPr>
      <t>仍然无法可靠估计资产的公允价值减去处置费用后的净额的，应当以该资产预计未来现金流量的现值作为其可收回金额。</t>
    </r>
  </si>
  <si>
    <r>
      <rPr>
        <sz val="10"/>
        <color indexed="8"/>
        <rFont val="Arial Narrow"/>
        <family val="2"/>
      </rPr>
      <t>3</t>
    </r>
    <r>
      <rPr>
        <sz val="10"/>
        <color indexed="8"/>
        <rFont val="宋体"/>
        <family val="3"/>
        <charset val="134"/>
      </rPr>
      <t>、处置费用包括与资产处置有关的法律费用、相关税费、搬运费以及为使资产达到可销售状态所发生的直接费用等。</t>
    </r>
  </si>
  <si>
    <r>
      <rPr>
        <sz val="10"/>
        <color indexed="8"/>
        <rFont val="Arial Narrow"/>
        <family val="2"/>
      </rPr>
      <t>4</t>
    </r>
    <r>
      <rPr>
        <sz val="10"/>
        <color indexed="8"/>
        <rFont val="宋体"/>
        <family val="3"/>
        <charset val="134"/>
      </rPr>
      <t>、资产预计未来现金流量的现值，应当按照资产在持续使用过程中和最终处置时所产生的预计未来现金流量，选择恰当的折现率对其进行折现后的金额加以确定。</t>
    </r>
  </si>
  <si>
    <r>
      <rPr>
        <sz val="10"/>
        <color indexed="8"/>
        <rFont val="Arial Narrow"/>
        <family val="2"/>
      </rPr>
      <t>5</t>
    </r>
    <r>
      <rPr>
        <sz val="10"/>
        <color indexed="8"/>
        <rFont val="宋体"/>
        <family val="3"/>
        <charset val="134"/>
      </rPr>
      <t>、预计资产的未来现金流量，应当以经企业管理层批准的最近财务预算或者预测数据，以及该预算或者预测期之后年份稳定的或者递减的增长率为基础。</t>
    </r>
  </si>
  <si>
    <r>
      <rPr>
        <sz val="10"/>
        <color indexed="8"/>
        <rFont val="宋体"/>
        <family val="3"/>
        <charset val="134"/>
      </rPr>
      <t>预计的资产未来现金流量应当包括下列各项：</t>
    </r>
  </si>
  <si>
    <r>
      <rPr>
        <sz val="10"/>
        <color indexed="8"/>
        <rFont val="宋体"/>
        <family val="3"/>
        <charset val="134"/>
      </rPr>
      <t>（一）资产持续使用过程中预计产生的现金流入。</t>
    </r>
  </si>
  <si>
    <r>
      <rPr>
        <sz val="10"/>
        <color indexed="8"/>
        <rFont val="宋体"/>
        <family val="3"/>
        <charset val="134"/>
      </rPr>
      <t>（二）为实现资产持续使用过程中产生的现金流入所必需的预计现金流出（包括为使资产达到预定可使用状态所发生的现金流出）。该现金流出应当是可直接归属</t>
    </r>
  </si>
  <si>
    <r>
      <rPr>
        <sz val="10"/>
        <color indexed="8"/>
        <rFont val="宋体"/>
        <family val="3"/>
        <charset val="134"/>
      </rPr>
      <t>于或者可通过合理和一致的基础分配到资产中的现金流出。</t>
    </r>
  </si>
  <si>
    <r>
      <rPr>
        <sz val="10"/>
        <color indexed="8"/>
        <rFont val="宋体"/>
        <family val="3"/>
        <charset val="134"/>
      </rPr>
      <t>（三）资产使用寿命结束时，处置资产所收到或者支付的净现金流量。该现金流量应当是在公平交易中，熟悉情况的交易双方自愿进行交易时，企业预期可从资产的</t>
    </r>
  </si>
  <si>
    <r>
      <rPr>
        <sz val="10"/>
        <color indexed="8"/>
        <rFont val="宋体"/>
        <family val="3"/>
        <charset val="134"/>
      </rPr>
      <t>处置中获取或者支付的、减去预计处置费用后的金额。</t>
    </r>
  </si>
  <si>
    <r>
      <rPr>
        <sz val="10"/>
        <color indexed="8"/>
        <rFont val="Arial Narrow"/>
        <family val="2"/>
      </rPr>
      <t>6</t>
    </r>
    <r>
      <rPr>
        <sz val="10"/>
        <color indexed="8"/>
        <rFont val="宋体"/>
        <family val="3"/>
        <charset val="134"/>
      </rPr>
      <t>、折现率是反映当前市场货币时间价值和资产特定风险的税前利率。该折现率是企业在购置或者投资资产时所要求的必要报酬率。</t>
    </r>
  </si>
  <si>
    <r>
      <rPr>
        <sz val="10"/>
        <color indexed="8"/>
        <rFont val="宋体"/>
        <family val="3"/>
        <charset val="134"/>
      </rPr>
      <t>折现率的确定通常应当以该资产的市场利率为依据。无法从市场获得的，可以使用替代利率估计折现率。</t>
    </r>
  </si>
  <si>
    <r>
      <rPr>
        <sz val="10"/>
        <color indexed="8"/>
        <rFont val="宋体"/>
        <family val="3"/>
        <charset val="134"/>
      </rPr>
      <t>加权平均资金成本（税后）</t>
    </r>
    <r>
      <rPr>
        <sz val="10"/>
        <color indexed="8"/>
        <rFont val="Arial Narrow"/>
        <family val="2"/>
      </rPr>
      <t>:</t>
    </r>
  </si>
  <si>
    <t>C1</t>
  </si>
  <si>
    <t>Custom 1</t>
  </si>
  <si>
    <t>C2</t>
  </si>
  <si>
    <t>Custom 2</t>
  </si>
  <si>
    <t>C3</t>
  </si>
  <si>
    <t>Custom 3</t>
  </si>
  <si>
    <t>C4</t>
  </si>
  <si>
    <t>Custom 4</t>
  </si>
  <si>
    <t>C5</t>
  </si>
  <si>
    <t>Custom 5</t>
  </si>
  <si>
    <t>C6</t>
  </si>
  <si>
    <t>Custom 6</t>
  </si>
  <si>
    <t>C7</t>
  </si>
  <si>
    <t>Custom 7</t>
  </si>
  <si>
    <t>C8</t>
  </si>
  <si>
    <t>Custom 8</t>
  </si>
  <si>
    <r>
      <t>2.</t>
    </r>
    <r>
      <rPr>
        <sz val="10"/>
        <rFont val="宋体"/>
        <family val="3"/>
        <charset val="134"/>
      </rPr>
      <t>所有应当记录的开发支出均已记录，所有应当包括在财务报表中的相关披露均已包括；</t>
    </r>
  </si>
  <si>
    <r>
      <t>1.</t>
    </r>
    <r>
      <rPr>
        <sz val="10"/>
        <rFont val="宋体"/>
        <family val="3"/>
        <charset val="134"/>
      </rPr>
      <t>资产负债表中记录的开发支出已发生，且与被审计单位有关，已记录于恰当的账户；</t>
    </r>
    <r>
      <rPr>
        <sz val="10"/>
        <rFont val="Arial Narrow"/>
        <family val="2"/>
      </rPr>
      <t/>
    </r>
    <phoneticPr fontId="116" type="noConversion"/>
  </si>
  <si>
    <t>开发支出的截止测试：
（1）获取资产负债表日前后若干天、一定金额以上的会计记录，与相关支出凭单等信息核对，确定开发支出是否记入了恰当的期间。
（2）获取资产负债表日前后若干天、一定金额以上的相关支出凭单等，与会计记录信息核对，确定是否存在开发支出跨期。</t>
    <phoneticPr fontId="116" type="noConversion"/>
  </si>
  <si>
    <r>
      <t xml:space="preserve">A. </t>
    </r>
    <r>
      <rPr>
        <sz val="10"/>
        <rFont val="宋体"/>
        <family val="3"/>
        <charset val="134"/>
      </rPr>
      <t>资产负债表中记录的开发支出是存在的，且已经记录在恰当的账户中</t>
    </r>
    <phoneticPr fontId="116" type="noConversion"/>
  </si>
  <si>
    <r>
      <t xml:space="preserve">B. </t>
    </r>
    <r>
      <rPr>
        <sz val="10"/>
        <rFont val="宋体"/>
        <family val="3"/>
        <charset val="134"/>
      </rPr>
      <t>所有应记录的开发支出均已记录，所有应当包括在财务报表中的相关披露均已包括</t>
    </r>
    <phoneticPr fontId="116" type="noConversion"/>
  </si>
  <si>
    <t>准确性、计价和分摊</t>
  </si>
  <si>
    <t>权利和
义务</t>
  </si>
  <si>
    <t>根据评估的舞弊风险等因素增加的审计程序。</t>
  </si>
  <si>
    <t>IPO/上市/新三板/重组/舞弊应对</t>
  </si>
  <si>
    <t>I2-1
/I2-2</t>
    <phoneticPr fontId="116" type="noConversion"/>
  </si>
  <si>
    <r>
      <t>对期初余额的审计，取得开发支出期初余额明细表复核加计是否正确，与总账、明细账合计数是否相符，检查上期开发支出在本期结转情况，执行期初截止性测试以及其他必要追加的审计程序。</t>
    </r>
    <r>
      <rPr>
        <sz val="10"/>
        <color indexed="10"/>
        <rFont val="宋体"/>
        <family val="2"/>
      </rPr>
      <t>（适用于首次承接）</t>
    </r>
    <phoneticPr fontId="116" type="noConversion"/>
  </si>
  <si>
    <r>
      <t>A1-1/</t>
    </r>
    <r>
      <rPr>
        <sz val="10"/>
        <color indexed="10"/>
        <rFont val="Arial Narrow"/>
        <family val="2"/>
      </rPr>
      <t>A1-15 /A1-16</t>
    </r>
  </si>
  <si>
    <t>三、计划实施的实质性程序</t>
    <phoneticPr fontId="121" type="noConversion"/>
  </si>
  <si>
    <r>
      <rPr>
        <sz val="10"/>
        <color theme="1"/>
        <rFont val="宋体"/>
        <family val="3"/>
        <charset val="134"/>
      </rPr>
      <t>√</t>
    </r>
    <phoneticPr fontId="121" type="noConversion"/>
  </si>
  <si>
    <r>
      <rPr>
        <b/>
        <sz val="10"/>
        <color theme="1"/>
        <rFont val="宋体"/>
        <family val="3"/>
        <charset val="134"/>
      </rPr>
      <t>√</t>
    </r>
    <phoneticPr fontId="121" type="noConversion"/>
  </si>
  <si>
    <r>
      <rPr>
        <b/>
        <sz val="10"/>
        <rFont val="宋体"/>
        <family val="3"/>
        <charset val="134"/>
      </rPr>
      <t>√</t>
    </r>
    <phoneticPr fontId="121" type="noConversion"/>
  </si>
  <si>
    <r>
      <rPr>
        <sz val="10"/>
        <rFont val="宋体"/>
        <family val="3"/>
        <charset val="134"/>
      </rPr>
      <t>√</t>
    </r>
    <phoneticPr fontId="121" type="noConversion"/>
  </si>
  <si>
    <t>支持性文件</t>
  </si>
  <si>
    <t>核对内容</t>
  </si>
  <si>
    <t>索引号</t>
  </si>
  <si>
    <t>是否异常</t>
  </si>
  <si>
    <t>备注说明</t>
  </si>
  <si>
    <t>凭证编号</t>
  </si>
  <si>
    <t>业务内容</t>
  </si>
  <si>
    <t>对方科目</t>
  </si>
  <si>
    <t>对方明细科目</t>
  </si>
  <si>
    <t>借方金额</t>
  </si>
  <si>
    <t>贷方金额</t>
  </si>
  <si>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</si>
  <si>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开发支出项目明细</t>
    <phoneticPr fontId="116" type="noConversion"/>
  </si>
  <si>
    <r>
      <t xml:space="preserve">C. </t>
    </r>
    <r>
      <rPr>
        <sz val="10"/>
        <rFont val="宋体"/>
        <family val="3"/>
        <charset val="134"/>
      </rPr>
      <t>记录的开发支出由被审计单位拥有或控制</t>
    </r>
    <phoneticPr fontId="116" type="noConversion"/>
  </si>
  <si>
    <r>
      <t xml:space="preserve">D. </t>
    </r>
    <r>
      <rPr>
        <sz val="10"/>
        <rFont val="宋体"/>
        <family val="3"/>
        <charset val="134"/>
      </rPr>
      <t>开发支出以恰当的金额包括在财务报表中，与之相关的计价或分摊调整已恰当记录，相关披露已得到恰当计量和描述</t>
    </r>
    <r>
      <rPr>
        <sz val="10"/>
        <rFont val="Arial"/>
        <family val="2"/>
      </rPr>
      <t xml:space="preserve"> </t>
    </r>
    <phoneticPr fontId="116" type="noConversion"/>
  </si>
  <si>
    <r>
      <t xml:space="preserve">E. </t>
    </r>
    <r>
      <rPr>
        <sz val="10"/>
        <rFont val="宋体"/>
        <family val="3"/>
        <charset val="134"/>
      </rPr>
      <t>开发支出已被恰当地汇总或分解且表述清楚，相关披露在按照企业会计准则的编制基础下是相关的、可理解的</t>
    </r>
    <phoneticPr fontId="116" type="noConversion"/>
  </si>
  <si>
    <r>
      <rPr>
        <sz val="10"/>
        <rFont val="宋体"/>
        <family val="3"/>
        <charset val="134"/>
      </rPr>
      <t>被审计单位：</t>
    </r>
    <r>
      <rPr>
        <sz val="10"/>
        <rFont val="Arial Narrow"/>
        <family val="2"/>
      </rPr>
      <t/>
    </r>
    <phoneticPr fontId="116" type="noConversion"/>
  </si>
  <si>
    <t>编制人：</t>
    <phoneticPr fontId="116" type="noConversion"/>
  </si>
  <si>
    <t>编制日期：</t>
    <phoneticPr fontId="116" type="noConversion"/>
  </si>
  <si>
    <t>复核人：</t>
    <phoneticPr fontId="116" type="noConversion"/>
  </si>
  <si>
    <t>复核日期：</t>
    <phoneticPr fontId="116" type="noConversion"/>
  </si>
  <si>
    <r>
      <rPr>
        <b/>
        <sz val="10"/>
        <color indexed="8"/>
        <rFont val="宋体"/>
        <family val="3"/>
        <charset val="134"/>
      </rPr>
      <t>计入无形资产</t>
    </r>
    <r>
      <rPr>
        <b/>
        <sz val="10"/>
        <color rgb="FFFF0000"/>
        <rFont val="宋体"/>
        <family val="3"/>
        <charset val="134"/>
      </rPr>
      <t>/存货</t>
    </r>
    <phoneticPr fontId="116" type="noConversion"/>
  </si>
  <si>
    <r>
      <t>计入无形资产</t>
    </r>
    <r>
      <rPr>
        <b/>
        <sz val="10"/>
        <color rgb="FFFF0000"/>
        <rFont val="宋体"/>
        <family val="3"/>
        <charset val="134"/>
      </rPr>
      <t>/存货</t>
    </r>
    <phoneticPr fontId="116" type="noConversion"/>
  </si>
  <si>
    <r>
      <t>无形资产</t>
    </r>
    <r>
      <rPr>
        <b/>
        <sz val="10"/>
        <color rgb="FFFF0000"/>
        <rFont val="宋体"/>
        <family val="3"/>
        <charset val="134"/>
      </rPr>
      <t>/存货</t>
    </r>
    <r>
      <rPr>
        <b/>
        <sz val="10"/>
        <color indexed="8"/>
        <rFont val="宋体"/>
        <family val="3"/>
        <charset val="134"/>
      </rPr>
      <t>科目记录期末审定数</t>
    </r>
    <phoneticPr fontId="116" type="noConversion"/>
  </si>
  <si>
    <t>会计政策检查</t>
    <phoneticPr fontId="116" type="noConversion"/>
  </si>
  <si>
    <t>一、审计目标</t>
    <phoneticPr fontId="116" type="noConversion"/>
  </si>
  <si>
    <r>
      <t>与</t>
    </r>
    <r>
      <rPr>
        <sz val="10"/>
        <color rgb="FFFF0000"/>
        <rFont val="宋体"/>
        <family val="3"/>
        <charset val="134"/>
        <scheme val="minor"/>
      </rPr>
      <t>研发费用/开发支出</t>
    </r>
    <r>
      <rPr>
        <sz val="10"/>
        <color theme="1"/>
        <rFont val="宋体"/>
        <family val="3"/>
        <charset val="134"/>
        <scheme val="minor"/>
      </rPr>
      <t>有关的金额及其他数据已恰当记录，相关披露已得到恰当计量和描述</t>
    </r>
    <phoneticPr fontId="116" type="noConversion"/>
  </si>
  <si>
    <t>二、审计过程</t>
    <phoneticPr fontId="116" type="noConversion"/>
  </si>
  <si>
    <t>1.访谈XX公司管理层XXX，了解XX公司业务类型、研发项目流程、研发模式，针对不同业务或模式，检查会计政策的合理性及与前期的一致性</t>
    <phoneticPr fontId="116" type="noConversion"/>
  </si>
  <si>
    <t>2.……</t>
    <phoneticPr fontId="116" type="noConversion"/>
  </si>
  <si>
    <t>（一）研发流程</t>
    <phoneticPr fontId="126" type="noConversion"/>
  </si>
  <si>
    <t>1.立项报告</t>
    <phoneticPr fontId="126" type="noConversion"/>
  </si>
  <si>
    <t>2.可行性研究</t>
    <phoneticPr fontId="126" type="noConversion"/>
  </si>
  <si>
    <t>3.技术路线图及创新点</t>
    <phoneticPr fontId="126" type="noConversion"/>
  </si>
  <si>
    <t>4.实验记录</t>
    <phoneticPr fontId="126" type="noConversion"/>
  </si>
  <si>
    <t>5.结题报告</t>
    <phoneticPr fontId="126" type="noConversion"/>
  </si>
  <si>
    <t>6.研发场地、设备使用情况检查</t>
    <phoneticPr fontId="116" type="noConversion"/>
  </si>
  <si>
    <t>7.……</t>
    <phoneticPr fontId="126" type="noConversion"/>
  </si>
  <si>
    <t>（二）会计政策</t>
    <phoneticPr fontId="121" type="noConversion"/>
  </si>
  <si>
    <t>（1）研发费用/开发支出会计政策（包括研发费用归集、资本化时点、非全时研发人员工时分摊、高新认定及加计扣除等）</t>
    <phoneticPr fontId="116" type="noConversion"/>
  </si>
  <si>
    <t>（2）同行业相关政策</t>
    <phoneticPr fontId="116" type="noConversion"/>
  </si>
  <si>
    <t>（3）合理性分析</t>
    <phoneticPr fontId="116" type="noConversion"/>
  </si>
  <si>
    <t xml:space="preserve">通过研发项目检查&lt;  &gt;,XX公司XX会计政策是合理的，理由如下： </t>
    <phoneticPr fontId="116" type="noConversion"/>
  </si>
  <si>
    <t>①……</t>
    <phoneticPr fontId="116" type="noConversion"/>
  </si>
  <si>
    <t>三、审计说明</t>
    <phoneticPr fontId="116" type="noConversion"/>
  </si>
  <si>
    <t>四、审计结论</t>
    <phoneticPr fontId="116" type="noConversion"/>
  </si>
  <si>
    <t>被审计单位研发费用/开发支出会计政策和会计估计与企业会计准则的规定一致，反映了被审计单位经济业务的实际情况，与同行业公司相比不存在显</t>
    <phoneticPr fontId="121" type="noConversion"/>
  </si>
  <si>
    <t>著差异，且得到一贯性地执行。</t>
  </si>
  <si>
    <t>研发项目资本化时点判断</t>
    <phoneticPr fontId="116" type="noConversion"/>
  </si>
  <si>
    <r>
      <t>1.</t>
    </r>
    <r>
      <rPr>
        <sz val="10"/>
        <rFont val="宋体"/>
        <family val="3"/>
        <charset val="134"/>
      </rPr>
      <t>检查研发支出资本化的会计政策是否符合会计准则要求，是否符合研发业务特点，是否符合行业惯例；</t>
    </r>
    <phoneticPr fontId="116" type="noConversion"/>
  </si>
  <si>
    <r>
      <t>2.</t>
    </r>
    <r>
      <rPr>
        <sz val="10"/>
        <rFont val="宋体"/>
        <family val="3"/>
        <charset val="134"/>
      </rPr>
      <t>检查研究阶段和开发阶段界定时点是否合理，开发完成时点的界定是否合理；</t>
    </r>
    <phoneticPr fontId="116" type="noConversion"/>
  </si>
  <si>
    <r>
      <rPr>
        <b/>
        <sz val="10"/>
        <rFont val="宋体"/>
        <family val="3"/>
        <charset val="134"/>
      </rPr>
      <t>研发项目名称</t>
    </r>
    <phoneticPr fontId="116" type="noConversion"/>
  </si>
  <si>
    <r>
      <rPr>
        <b/>
        <sz val="10"/>
        <rFont val="宋体"/>
        <family val="3"/>
        <charset val="134"/>
      </rPr>
      <t>开发支出总额</t>
    </r>
  </si>
  <si>
    <r>
      <rPr>
        <b/>
        <sz val="10"/>
        <rFont val="宋体"/>
        <family val="3"/>
        <charset val="134"/>
      </rPr>
      <t>研发项目具体内容</t>
    </r>
    <phoneticPr fontId="116" type="noConversion"/>
  </si>
  <si>
    <t>研发项目预算</t>
    <phoneticPr fontId="116" type="noConversion"/>
  </si>
  <si>
    <t>研发人员构成</t>
    <phoneticPr fontId="116" type="noConversion"/>
  </si>
  <si>
    <r>
      <rPr>
        <b/>
        <sz val="10"/>
        <rFont val="宋体"/>
        <family val="3"/>
        <charset val="134"/>
      </rPr>
      <t>资本化开始的时点</t>
    </r>
  </si>
  <si>
    <r>
      <rPr>
        <b/>
        <sz val="10"/>
        <rFont val="宋体"/>
        <family val="3"/>
        <charset val="134"/>
      </rPr>
      <t>资本化的具体依据</t>
    </r>
  </si>
  <si>
    <r>
      <rPr>
        <b/>
        <sz val="10"/>
        <rFont val="宋体"/>
        <family val="3"/>
        <charset val="134"/>
      </rPr>
      <t>开发阶段支出资本化确认为无形资产，必须同时满足下列条件</t>
    </r>
  </si>
  <si>
    <r>
      <rPr>
        <b/>
        <sz val="10"/>
        <rFont val="宋体"/>
        <family val="3"/>
        <charset val="134"/>
      </rPr>
      <t>确认为无形资产金额</t>
    </r>
  </si>
  <si>
    <r>
      <rPr>
        <b/>
        <sz val="10"/>
        <rFont val="宋体"/>
        <family val="3"/>
        <charset val="134"/>
      </rPr>
      <t>是否与无形资产明细勾稽一致</t>
    </r>
  </si>
  <si>
    <r>
      <rPr>
        <b/>
        <sz val="10"/>
        <rFont val="宋体"/>
        <family val="3"/>
        <charset val="134"/>
      </rPr>
      <t>截至期末的研发进度</t>
    </r>
  </si>
  <si>
    <t>支持性证据</t>
    <phoneticPr fontId="116" type="noConversion"/>
  </si>
  <si>
    <r>
      <rPr>
        <b/>
        <sz val="10"/>
        <rFont val="宋体"/>
        <family val="3"/>
        <charset val="134"/>
      </rPr>
      <t>索引</t>
    </r>
  </si>
  <si>
    <t>开发支出资本化判断示例：</t>
    <phoneticPr fontId="116" type="noConversion"/>
  </si>
  <si>
    <r>
      <rPr>
        <b/>
        <sz val="10"/>
        <rFont val="宋体"/>
        <family val="3"/>
        <charset val="134"/>
      </rPr>
      <t>研究阶段</t>
    </r>
    <phoneticPr fontId="116" type="noConversion"/>
  </si>
  <si>
    <r>
      <rPr>
        <b/>
        <sz val="10"/>
        <rFont val="宋体"/>
        <family val="3"/>
        <charset val="134"/>
      </rPr>
      <t>开发阶段</t>
    </r>
    <phoneticPr fontId="116" type="noConversion"/>
  </si>
  <si>
    <t>直接材料</t>
    <phoneticPr fontId="116" type="noConversion"/>
  </si>
  <si>
    <t>直接人工</t>
    <phoneticPr fontId="116" type="noConversion"/>
  </si>
  <si>
    <t>……</t>
    <phoneticPr fontId="116" type="noConversion"/>
  </si>
  <si>
    <t>其他费用</t>
    <phoneticPr fontId="116" type="noConversion"/>
  </si>
  <si>
    <r>
      <rPr>
        <b/>
        <sz val="10"/>
        <rFont val="宋体"/>
        <family val="3"/>
        <charset val="134"/>
      </rPr>
      <t>使用和出售在技术上的可行性</t>
    </r>
  </si>
  <si>
    <r>
      <rPr>
        <b/>
        <sz val="10"/>
        <rFont val="宋体"/>
        <family val="3"/>
        <charset val="134"/>
      </rPr>
      <t>是否存在使用和出售该资产的意图</t>
    </r>
  </si>
  <si>
    <r>
      <rPr>
        <b/>
        <sz val="10"/>
        <rFont val="宋体"/>
        <family val="3"/>
        <charset val="134"/>
      </rPr>
      <t>是否存在市场和内部使用需求</t>
    </r>
  </si>
  <si>
    <r>
      <rPr>
        <b/>
        <sz val="10"/>
        <rFont val="宋体"/>
        <family val="3"/>
        <charset val="134"/>
      </rPr>
      <t>是否有足够的技术、财力支持完成无形资产的开发</t>
    </r>
  </si>
  <si>
    <r>
      <rPr>
        <b/>
        <sz val="10"/>
        <rFont val="宋体"/>
        <family val="3"/>
        <charset val="134"/>
      </rPr>
      <t>无形资产的开发支出是否单独核算并可靠计量</t>
    </r>
  </si>
  <si>
    <t>开发支出资本化的条件</t>
  </si>
  <si>
    <t>条件分析</t>
  </si>
  <si>
    <t>具体情形</t>
  </si>
  <si>
    <t>开发是指在进行商业性生产或使用前，将研究成果或其他知识应用于某项计划或设计，以生产出新的或具有实质性改进的材料、装置、产品等。</t>
    <phoneticPr fontId="116" type="noConversion"/>
  </si>
  <si>
    <r>
      <t>为获取并理解新的科学或技术知识而进行的独创性的</t>
    </r>
    <r>
      <rPr>
        <b/>
        <sz val="10.5"/>
        <color rgb="FF0000FF"/>
        <rFont val="仿宋_GB2312"/>
        <family val="3"/>
        <charset val="134"/>
      </rPr>
      <t>有计划调查属于研究</t>
    </r>
    <r>
      <rPr>
        <sz val="10.5"/>
        <color rgb="FF0000FF"/>
        <rFont val="仿宋_GB2312"/>
        <family val="3"/>
        <charset val="134"/>
      </rPr>
      <t>，不是开发。</t>
    </r>
    <phoneticPr fontId="116" type="noConversion"/>
  </si>
  <si>
    <r>
      <t>开发活动的例子：生产前或使用前的</t>
    </r>
    <r>
      <rPr>
        <b/>
        <sz val="10.5"/>
        <color rgb="FF0000FF"/>
        <rFont val="宋体"/>
        <family val="3"/>
        <charset val="134"/>
      </rPr>
      <t>原型和模型</t>
    </r>
    <r>
      <rPr>
        <sz val="10.5"/>
        <color rgb="FF0000FF"/>
        <rFont val="宋体"/>
        <family val="3"/>
        <charset val="134"/>
      </rPr>
      <t>的设计、建造和测试；含新技术的工具、夹具、模具和冲模的设计；不具有商业性生产经济规模的</t>
    </r>
    <r>
      <rPr>
        <b/>
        <sz val="10.5"/>
        <color rgb="FF0000FF"/>
        <rFont val="宋体"/>
        <family val="3"/>
        <charset val="134"/>
      </rPr>
      <t>试生产设施</t>
    </r>
    <r>
      <rPr>
        <sz val="10.5"/>
        <color rgb="FF0000FF"/>
        <rFont val="宋体"/>
        <family val="3"/>
        <charset val="134"/>
      </rPr>
      <t>的设计、建造和运营；新的或改造的材料、设备、产品、工序、系统或服务所选定的替代品的设计、建造和测试等。</t>
    </r>
    <phoneticPr fontId="116" type="noConversion"/>
  </si>
  <si>
    <t>同时满足下列条件的，开发阶段的支出才能确认为无形资产：</t>
  </si>
  <si>
    <r>
      <t>开发阶段应当是已完成研究阶段的工作，在很大程度上</t>
    </r>
    <r>
      <rPr>
        <b/>
        <sz val="10.5"/>
        <color rgb="FF0000FF"/>
        <rFont val="仿宋_GB2312"/>
        <family val="3"/>
        <charset val="134"/>
      </rPr>
      <t>具备了形成一项新产品或新技术的基本条件</t>
    </r>
    <r>
      <rPr>
        <sz val="10.5"/>
        <color rgb="FF0000FF"/>
        <rFont val="仿宋_GB2312"/>
        <family val="3"/>
        <charset val="134"/>
      </rPr>
      <t>。</t>
    </r>
    <phoneticPr fontId="116" type="noConversion"/>
  </si>
  <si>
    <t>游戏策划、创意等项目策划阶段与项目立项阶段属于研究阶段；项目计划阶段、项目实施与执行阶段和项目验收阶段属于开发阶段。【研究阶段起点为游戏策划，终点为立项评审通过；开发阶段的起点为项目开发计划，终点为项目相关测试完成后可进入商业运营。】</t>
  </si>
  <si>
    <t>（a）完成该无形资产以使其能够使用或出售在技术上具有可行性；</t>
  </si>
  <si>
    <t>以目前阶段的成果为基础，不存在技术上的障碍或其他不确定性。</t>
  </si>
  <si>
    <t xml:space="preserve">已经完成了全部计划、设计和测试等使资产能够达到设计规划书中的功能、特征和技术所必需的活动；
经过专家鉴定。
开发新药物或疫苗的主体在获得监管机构最终批准之前通常不能将开发支出资本化，因为在此之前不能证明完成项目的技术可行性。
</t>
    <phoneticPr fontId="116" type="noConversion"/>
  </si>
  <si>
    <t>（b）具有完成该无形资产并使用或出售的意图；</t>
  </si>
  <si>
    <t>能够说明开发无形资产的目的</t>
  </si>
  <si>
    <t>自用或出售</t>
    <phoneticPr fontId="116" type="noConversion"/>
  </si>
  <si>
    <t>（c）无形资产产生经济利益的方式；</t>
  </si>
  <si>
    <t>包括能够证明运用该无形资产生产的产品存在市场或无形资产自身存在市场，无形资产将在内部使用的，应当证明其有用性。</t>
  </si>
  <si>
    <t xml:space="preserve">对运用该无形资产生产产品的市场情况进行可靠预计，以证明所生产的产品存在市场并能够带来经济利益；
能够证明市场上存在对该无形资产的需求。
【基于谨慎性原则一般将商业化程度低的游戏研究开发支出计入费用化】
</t>
    <phoneticPr fontId="116" type="noConversion"/>
  </si>
  <si>
    <r>
      <rPr>
        <b/>
        <sz val="10"/>
        <rFont val="宋体"/>
        <family val="3"/>
        <charset val="134"/>
      </rPr>
      <t>合计</t>
    </r>
  </si>
  <si>
    <t>（d）有足够的技术、财务资源和其他资源支持，以完成该无形资产的开发，并有能力使用或出售该无形资产；</t>
  </si>
  <si>
    <t xml:space="preserve">为完成该项无形资产开发具有技术上的可靠性，有足够的技术支持和技术能力；
财务资源和其他资源支持；
能够证明企业获取在开发过程中所需的技术、财务和其他资源，以及企业获得这些资源的相关计划等；
有能力使用或出售该无形资产以取得收益。
</t>
    <phoneticPr fontId="116" type="noConversion"/>
  </si>
  <si>
    <t>自有资金不足以提供支持的，应能够证明存在外部其他方面的资金支持。</t>
  </si>
  <si>
    <t>（e）归属于该无形资产开发阶段的支出能够可靠地计量。</t>
  </si>
  <si>
    <t xml:space="preserve">对研究开发的支出应当单独核算，比如，直接发生的研发人员工资、材料费，以及相关设备折旧费等。
同时从事多项研究开发活动的，所发生的支出应当按照合理的标准在各项研究开发活动之间进行分配；无法合理分配的，应当计入当期损益
</t>
    <phoneticPr fontId="116" type="noConversion"/>
  </si>
  <si>
    <t>可辨认，并且可归属于特定产品或项目。</t>
  </si>
  <si>
    <r>
      <rPr>
        <b/>
        <sz val="10"/>
        <rFont val="宋体"/>
        <family val="3"/>
        <charset val="134"/>
      </rPr>
      <t>三、审计说明：</t>
    </r>
  </si>
  <si>
    <r>
      <rPr>
        <b/>
        <sz val="10"/>
        <rFont val="宋体"/>
        <family val="3"/>
        <charset val="134"/>
      </rPr>
      <t>四、审计结论：</t>
    </r>
  </si>
  <si>
    <t>一、企业内部研究开发项目研究阶段的支出，应当于发生时计入当期损益。</t>
  </si>
  <si>
    <t>二、企业内部研究开发项目开发阶段的支出，同时满足下列条件的，才能确认为无形资产：</t>
  </si>
  <si>
    <t>（一）完成该无形资产以使其能够使用或出售在技术上具有可行性；</t>
  </si>
  <si>
    <t>（二）具有完成该无形资产并使用或出售的意图；</t>
  </si>
  <si>
    <t>（三）无形资产产生经济利益的方式，包括能够证明运用该无形资产生产的产品存在市场或无形资产自身存在市场，无形资产将在内部使用的，应当证明其有用性；</t>
  </si>
  <si>
    <t>（四）有足够的技术、财务资源和其他资源支持，以完成该无形资产的开发，并有能力使用或出售该无形资产；</t>
  </si>
  <si>
    <t>（五）归属于该无形资产开发阶段的支出能够可靠地计量。</t>
  </si>
  <si>
    <t>三、当研究开发项目发生了同时满足上述列示的五大条件的开发阶段支出，且该研究开发项目尚未完成时本科目可以留有余额。</t>
  </si>
  <si>
    <t>注册会计师可以考虑执行以下审计程序：</t>
  </si>
  <si>
    <r>
      <t>（</t>
    </r>
    <r>
      <rPr>
        <sz val="10"/>
        <color indexed="12"/>
        <rFont val="Arial Narrow"/>
        <family val="2"/>
      </rPr>
      <t>1</t>
    </r>
    <r>
      <rPr>
        <sz val="10"/>
        <color indexed="12"/>
        <rFont val="宋体"/>
        <family val="3"/>
        <charset val="134"/>
      </rPr>
      <t>）了解研发支出相关的内部控制并执行运行有效性测试，包括有关研发支出列支的政策、用途和范围的规定、研发支出的审批、研究阶段与开发阶段的划分、确定资本化条件的审批等。</t>
    </r>
  </si>
  <si>
    <r>
      <t>（</t>
    </r>
    <r>
      <rPr>
        <sz val="10"/>
        <color indexed="12"/>
        <rFont val="Arial Narrow"/>
        <family val="2"/>
      </rPr>
      <t>2</t>
    </r>
    <r>
      <rPr>
        <sz val="10"/>
        <color indexed="12"/>
        <rFont val="宋体"/>
        <family val="3"/>
        <charset val="134"/>
      </rPr>
      <t>）参考可获得的同行业可比信息，对比被审计单位研发费用资本化的具体时点、对于研发费用资本化的会计政策与同行业可比公司的会计政策是否存在重大差异及其原因，分析被审计单位资本化时点的合理性，开发支出资本化政策及执行情况是否符合行业惯例、产品特点等实际情况。</t>
    </r>
  </si>
  <si>
    <r>
      <t>（</t>
    </r>
    <r>
      <rPr>
        <sz val="10"/>
        <color indexed="12"/>
        <rFont val="Arial Narrow"/>
        <family val="2"/>
      </rPr>
      <t>3</t>
    </r>
    <r>
      <rPr>
        <sz val="10"/>
        <color indexed="12"/>
        <rFont val="宋体"/>
        <family val="3"/>
        <charset val="134"/>
      </rPr>
      <t>）了解同行业类似项目的开发流程。分析被审计单位研发费用资本化是否与研发活动的流程相联系，是否遵循了正常研发活动的周期及行业惯例，并一贯运用。</t>
    </r>
  </si>
  <si>
    <r>
      <t>（</t>
    </r>
    <r>
      <rPr>
        <sz val="10"/>
        <color indexed="12"/>
        <rFont val="Arial Narrow"/>
        <family val="2"/>
      </rPr>
      <t>4</t>
    </r>
    <r>
      <rPr>
        <sz val="10"/>
        <color indexed="12"/>
        <rFont val="宋体"/>
        <family val="3"/>
        <charset val="134"/>
      </rPr>
      <t>）询问管理层及相关研发人员，了解研发支出资本化项目的具体研究内容和开发的过程、项目进度的关键时点及阶段性成果等情况。</t>
    </r>
  </si>
  <si>
    <r>
      <t>（</t>
    </r>
    <r>
      <rPr>
        <sz val="10"/>
        <color indexed="12"/>
        <rFont val="Arial Narrow"/>
        <family val="2"/>
      </rPr>
      <t>5</t>
    </r>
    <r>
      <rPr>
        <sz val="10"/>
        <color indexed="12"/>
        <rFont val="宋体"/>
        <family val="3"/>
        <charset val="134"/>
      </rPr>
      <t>）检查研发立项文件、研发工作计划、标志性成果报告及管理层评审记录等支持性文件，检查研发支出资本化项目是否己进入开发阶段。</t>
    </r>
  </si>
  <si>
    <r>
      <t>（</t>
    </r>
    <r>
      <rPr>
        <sz val="10"/>
        <color indexed="12"/>
        <rFont val="Arial Narrow"/>
        <family val="2"/>
      </rPr>
      <t>6</t>
    </r>
    <r>
      <rPr>
        <sz val="10"/>
        <color indexed="12"/>
        <rFont val="宋体"/>
        <family val="3"/>
        <charset val="134"/>
      </rPr>
      <t>）检查与研发项目相关的书面文件，例如，项目论证文件、立项报告、相关可行性报告、管理层批准的项目开发预算、评审报告、内部通过立项的董事会决议和外部批文或证书、外部专家报告以及新产品的销售合同等关键研发节点的内外部证据，评价管理层对研发项目在使用或出售在技术上具有可行性的分析合理性。</t>
    </r>
  </si>
  <si>
    <r>
      <t>（</t>
    </r>
    <r>
      <rPr>
        <sz val="10"/>
        <color indexed="12"/>
        <rFont val="Arial Narrow"/>
        <family val="2"/>
      </rPr>
      <t>7</t>
    </r>
    <r>
      <rPr>
        <sz val="10"/>
        <color indexed="12"/>
        <rFont val="宋体"/>
        <family val="3"/>
        <charset val="134"/>
      </rPr>
      <t>）通过与管理层讨论相关技术的商业应用，并通过收集相关市场信息，了解对管理层开发项目预期经济利益的分析，评价管理层是否具有完成该无形资产并使用或出售的意图。如适用，将已开发的无形资产可用于商业用途的时间与在手合同、合作协议等进行比较，分析运用研发项目形成的无形资产所生产的产品是否存在相应市场。</t>
    </r>
  </si>
  <si>
    <r>
      <t>（</t>
    </r>
    <r>
      <rPr>
        <sz val="10"/>
        <color indexed="12"/>
        <rFont val="Arial Narrow"/>
        <family val="2"/>
      </rPr>
      <t>8</t>
    </r>
    <r>
      <rPr>
        <sz val="10"/>
        <color indexed="12"/>
        <rFont val="宋体"/>
        <family val="3"/>
        <charset val="134"/>
      </rPr>
      <t>）询问管理层或研发部门有关被审计单位的资金来源及研发项目后续发展，评估管理层对于开发项目及后续生产提供的资金以及技术资源支持计划的合理性。</t>
    </r>
  </si>
  <si>
    <r>
      <t>（</t>
    </r>
    <r>
      <rPr>
        <sz val="10"/>
        <color indexed="12"/>
        <rFont val="Arial Narrow"/>
        <family val="2"/>
      </rPr>
      <t>9</t>
    </r>
    <r>
      <rPr>
        <sz val="10"/>
        <color indexed="12"/>
        <rFont val="宋体"/>
        <family val="3"/>
        <charset val="134"/>
      </rPr>
      <t>）询问管理层是否存在已被评估为不（或尚未）满足无形资产确认条件的任何相关项目。获取管理层的详细分析，并评价该分析是否符合被审计单位的会计政策。</t>
    </r>
  </si>
  <si>
    <r>
      <t>（</t>
    </r>
    <r>
      <rPr>
        <sz val="10"/>
        <color indexed="12"/>
        <rFont val="Arial Narrow"/>
        <family val="2"/>
      </rPr>
      <t>10</t>
    </r>
    <r>
      <rPr>
        <sz val="10"/>
        <color indexed="12"/>
        <rFont val="宋体"/>
        <family val="3"/>
        <charset val="134"/>
      </rPr>
      <t>）获取被审计单位研发项目清单以及费用归集明细，检查研发支出的支持性文件，例如，合同、发票、单据、时间表和人工成本费率等，关注研发支出的成本费用归集范围是否恰当，研发支出的发生是否真实，是否与相关研发活动相关。</t>
    </r>
  </si>
  <si>
    <t>致同会计师事务所</t>
    <phoneticPr fontId="116" type="noConversion"/>
  </si>
  <si>
    <t>研发项目构成明细表</t>
    <phoneticPr fontId="116" type="noConversion"/>
  </si>
  <si>
    <r>
      <t>1.</t>
    </r>
    <r>
      <rPr>
        <sz val="10"/>
        <rFont val="宋体"/>
        <family val="3"/>
        <charset val="134"/>
      </rPr>
      <t>所有应当记录的</t>
    </r>
    <r>
      <rPr>
        <sz val="10"/>
        <color rgb="FFFF0000"/>
        <rFont val="宋体"/>
        <family val="3"/>
        <charset val="134"/>
      </rPr>
      <t>开发支出</t>
    </r>
    <r>
      <rPr>
        <sz val="10"/>
        <color rgb="FFFF0000"/>
        <rFont val="Arial Narrow"/>
        <family val="2"/>
      </rPr>
      <t>/</t>
    </r>
    <r>
      <rPr>
        <sz val="10"/>
        <color rgb="FFFF0000"/>
        <rFont val="宋体"/>
        <family val="3"/>
        <charset val="134"/>
      </rPr>
      <t>研发费用</t>
    </r>
    <r>
      <rPr>
        <sz val="10"/>
        <rFont val="宋体"/>
        <family val="3"/>
        <charset val="134"/>
      </rPr>
      <t>均已记录，所有应当包括在财务报表中的相关披露均已包括；</t>
    </r>
    <phoneticPr fontId="116" type="noConversion"/>
  </si>
  <si>
    <r>
      <t>2.</t>
    </r>
    <r>
      <rPr>
        <sz val="10"/>
        <rFont val="宋体"/>
        <family val="3"/>
        <charset val="134"/>
      </rPr>
      <t>与</t>
    </r>
    <r>
      <rPr>
        <sz val="10"/>
        <color rgb="FFFF0000"/>
        <rFont val="宋体"/>
        <family val="3"/>
        <charset val="134"/>
      </rPr>
      <t>开发支出</t>
    </r>
    <r>
      <rPr>
        <sz val="10"/>
        <color rgb="FFFF0000"/>
        <rFont val="Arial Narrow"/>
        <family val="2"/>
      </rPr>
      <t>/</t>
    </r>
    <r>
      <rPr>
        <sz val="10"/>
        <color rgb="FFFF0000"/>
        <rFont val="宋体"/>
        <family val="3"/>
        <charset val="134"/>
      </rPr>
      <t>研发费用</t>
    </r>
    <r>
      <rPr>
        <sz val="10"/>
        <rFont val="宋体"/>
        <family val="3"/>
        <charset val="134"/>
      </rPr>
      <t>有关的金额及其他数据已恰当记录，相关披露已得到恰当计量和描述。</t>
    </r>
    <phoneticPr fontId="116" type="noConversion"/>
  </si>
  <si>
    <t>项目编码</t>
    <phoneticPr fontId="116" type="noConversion"/>
  </si>
  <si>
    <t>项目名称</t>
    <phoneticPr fontId="116" type="noConversion"/>
  </si>
  <si>
    <t>研发项目起止时间</t>
    <phoneticPr fontId="116" type="noConversion"/>
  </si>
  <si>
    <t>项目阶段</t>
    <phoneticPr fontId="116" type="noConversion"/>
  </si>
  <si>
    <t>账面期初余额</t>
  </si>
  <si>
    <t>账面本期增加金额</t>
  </si>
  <si>
    <t>账面本期减少金额</t>
  </si>
  <si>
    <t>账面期末余额</t>
  </si>
  <si>
    <t>审计调整</t>
  </si>
  <si>
    <t>期末审定金额</t>
  </si>
  <si>
    <t>直接材料</t>
  </si>
  <si>
    <t>直接人工</t>
  </si>
  <si>
    <t>折旧与摊销</t>
  </si>
  <si>
    <t>能耗</t>
  </si>
  <si>
    <t>委外研发费</t>
  </si>
  <si>
    <t>其他费用</t>
  </si>
  <si>
    <t>小计</t>
  </si>
  <si>
    <t>资本化金额</t>
    <phoneticPr fontId="116" type="noConversion"/>
  </si>
  <si>
    <t>费用化金额</t>
    <phoneticPr fontId="116" type="noConversion"/>
  </si>
  <si>
    <t>费用化金额</t>
    <phoneticPr fontId="116" type="noConversion"/>
  </si>
  <si>
    <t>研发材料投入检查表</t>
    <phoneticPr fontId="116" type="noConversion"/>
  </si>
  <si>
    <r>
      <rPr>
        <sz val="10"/>
        <rFont val="Arial Narrow"/>
        <family val="2"/>
      </rPr>
      <t>1.</t>
    </r>
    <r>
      <rPr>
        <sz val="10"/>
        <rFont val="宋体"/>
        <family val="3"/>
        <charset val="134"/>
      </rPr>
      <t>利润表中记录的研发费用已发生，且与被审计单位有关，已记录于恰当的账户。</t>
    </r>
    <r>
      <rPr>
        <sz val="10"/>
        <rFont val="Arial Narrow"/>
        <family val="2"/>
      </rPr>
      <t xml:space="preserve"> </t>
    </r>
  </si>
  <si>
    <r>
      <rPr>
        <sz val="10"/>
        <rFont val="Arial Narrow"/>
        <family val="2"/>
      </rPr>
      <t>2.</t>
    </r>
    <r>
      <rPr>
        <sz val="10"/>
        <rFont val="宋体"/>
        <family val="3"/>
        <charset val="134"/>
      </rPr>
      <t>与研发费用有关的金额及其他数据已恰当记录，相关披露已得到恰当计量和描述。</t>
    </r>
  </si>
  <si>
    <r>
      <t>如</t>
    </r>
    <r>
      <rPr>
        <sz val="10"/>
        <color rgb="FFFF0000"/>
        <rFont val="宋体"/>
        <family val="3"/>
        <charset val="134"/>
      </rPr>
      <t>研发费用-研发材料借方</t>
    </r>
    <r>
      <rPr>
        <sz val="10"/>
        <color indexed="12"/>
        <rFont val="宋体"/>
        <family val="3"/>
        <charset val="134"/>
      </rPr>
      <t>发生额所有凭证共XX笔金额XX</t>
    </r>
    <phoneticPr fontId="116" type="noConversion"/>
  </si>
  <si>
    <t>三、审计过程：</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</si>
  <si>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1" type="noConversion"/>
  </si>
  <si>
    <r>
      <rPr>
        <b/>
        <sz val="10"/>
        <color indexed="8"/>
        <rFont val="宋体"/>
        <family val="3"/>
        <charset val="134"/>
      </rPr>
      <t>出库单</t>
    </r>
    <r>
      <rPr>
        <b/>
        <sz val="10"/>
        <color indexed="8"/>
        <rFont val="Arial Narrow"/>
        <family val="2"/>
      </rPr>
      <t>/</t>
    </r>
    <r>
      <rPr>
        <b/>
        <sz val="10"/>
        <color indexed="8"/>
        <rFont val="宋体"/>
        <family val="3"/>
        <charset val="134"/>
      </rPr>
      <t>领料单</t>
    </r>
  </si>
  <si>
    <t>项目名称</t>
    <phoneticPr fontId="116" type="noConversion"/>
  </si>
  <si>
    <t>存货名称</t>
  </si>
  <si>
    <t>单位</t>
  </si>
  <si>
    <t>数量</t>
  </si>
  <si>
    <t>借方金额</t>
    <phoneticPr fontId="116" type="noConversion"/>
  </si>
  <si>
    <r>
      <rPr>
        <b/>
        <sz val="10"/>
        <color indexed="8"/>
        <rFont val="宋体"/>
        <family val="3"/>
        <charset val="134"/>
      </rPr>
      <t>日期</t>
    </r>
    <r>
      <rPr>
        <b/>
        <sz val="10"/>
        <color indexed="8"/>
        <rFont val="Arial Narrow"/>
        <family val="2"/>
      </rPr>
      <t>/</t>
    </r>
    <r>
      <rPr>
        <b/>
        <sz val="10"/>
        <color indexed="8"/>
        <rFont val="宋体"/>
        <family val="3"/>
        <charset val="134"/>
      </rPr>
      <t>编号</t>
    </r>
  </si>
  <si>
    <t>领用人员</t>
    <phoneticPr fontId="116" type="noConversion"/>
  </si>
  <si>
    <t>领用部门</t>
  </si>
  <si>
    <t>研发项目</t>
    <phoneticPr fontId="116" type="noConversion"/>
  </si>
  <si>
    <t>五、审计结论：</t>
  </si>
  <si>
    <t>致同会计师事务所</t>
    <phoneticPr fontId="116" type="noConversion"/>
  </si>
  <si>
    <t>研发人员认定检查表</t>
    <phoneticPr fontId="116" type="noConversion"/>
  </si>
  <si>
    <t>姓名</t>
  </si>
  <si>
    <t>性别</t>
  </si>
  <si>
    <t>年龄</t>
  </si>
  <si>
    <t>学历</t>
  </si>
  <si>
    <t>毕业院校</t>
  </si>
  <si>
    <t>所学专业</t>
  </si>
  <si>
    <t>职称</t>
  </si>
  <si>
    <t>职务</t>
  </si>
  <si>
    <t>部门</t>
  </si>
  <si>
    <t>人员类别</t>
    <phoneticPr fontId="116" type="noConversion"/>
  </si>
  <si>
    <t>入职日期</t>
  </si>
  <si>
    <t>聘用形式</t>
  </si>
  <si>
    <t>…</t>
  </si>
  <si>
    <t>附件索引号</t>
  </si>
  <si>
    <t>研发人员指直接从事研发活动的人员以及与研发活动密切相关的管理人员和直接服务人员。主要包括：在研发部门及相关职能部门中直接从事研发项目的专业人员；具有相关技术知识和经验，在专业人员指导下参与研发活动的技术人员；参与研发活动的技工等。发行人应准确、合理认定研发人员，不得将与研发活动无直接关系的人员，如从事后勤服务的文秘、前台、餐饮、安保等人员，认定为研发人员。</t>
  </si>
  <si>
    <t>1.关于非全时研发人员</t>
  </si>
  <si>
    <t>对于既从事研发活动又从事非研发活动的人员，当期研发工时占比低于50%的，原则上不应认定为研发人员。如将其认定为研发人员，发行人应结合该人员对研发活动的实际贡献等，审慎论证认定的合理性。</t>
  </si>
  <si>
    <t>2.从事定制化产品研发生产或提供受托研发服务（以下简称受托研发）的人员</t>
  </si>
  <si>
    <t>发行人与客户签订合同，为客户提供受托研发，除有充分证据表明履约过程中形成发行人能够控制的并预期能给发行人带来收益的研发成果外，原则上单纯从事受托研发的人员不能认定为研发人员。</t>
  </si>
  <si>
    <t>3.关于研发人员聘用形式</t>
  </si>
  <si>
    <t>研发人员原则上应为与发行人签订劳动合同的人员。劳务派遣人员原则上不能认定为研发人员。发行人将签订其他形式合同的人员认定为研发人员的，应当结合相关人员的专业背景、工作内容、未签订劳动合同的原因等，审慎论证认定的合理性。研发人员聘用形式的计算口径，应与按照《公开发行证券的公司信息披露内容与格式准则第57号——招股说明书》第四十二条披露的员工人数口径一致。</t>
  </si>
  <si>
    <t>研发人员工时检查表</t>
    <phoneticPr fontId="116" type="noConversion"/>
  </si>
  <si>
    <t>项目名称</t>
  </si>
  <si>
    <t>项目号</t>
  </si>
  <si>
    <t>项目起止时间</t>
  </si>
  <si>
    <t>研发人员姓名</t>
  </si>
  <si>
    <t>研发工时</t>
  </si>
  <si>
    <t>研发工时分配依据</t>
  </si>
  <si>
    <t>研发薪酬计提</t>
  </si>
  <si>
    <t>ABC</t>
  </si>
  <si>
    <t>A20001</t>
  </si>
  <si>
    <t>20XX.X-20XX.XX</t>
  </si>
  <si>
    <t>AXX</t>
  </si>
  <si>
    <t>BXX</t>
  </si>
  <si>
    <t>CXX</t>
  </si>
  <si>
    <t>DEF</t>
  </si>
  <si>
    <t>A20002</t>
  </si>
  <si>
    <t>DXX</t>
  </si>
  <si>
    <t>EXX</t>
  </si>
  <si>
    <t>FXX</t>
  </si>
  <si>
    <t>公开发行证券的公司发行人存在非全时研发人员的，应能够清晰统计相关人员从事不同职能的工时情况，按照企业会计准则的规定将属于从事研发活动的薪酬准确、合理分摊计入研发支出。发行人将股份支付费用计入研发支出的，应具有明确合理的依据，不存在利用股份支付调节研发投入指标的情形。</t>
  </si>
  <si>
    <t>致同会计师事务所</t>
    <phoneticPr fontId="116" type="noConversion"/>
  </si>
  <si>
    <t>委外研发检查表</t>
    <phoneticPr fontId="116"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</si>
  <si>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1" type="noConversion"/>
  </si>
  <si>
    <t>研发项目</t>
    <phoneticPr fontId="116" type="noConversion"/>
  </si>
  <si>
    <t>委外研发原因</t>
    <phoneticPr fontId="116" type="noConversion"/>
  </si>
  <si>
    <t>销售订单/销售合同</t>
  </si>
  <si>
    <t>受托方基本信息</t>
    <phoneticPr fontId="116" type="noConversion"/>
  </si>
  <si>
    <t>研发项目验收单据</t>
    <phoneticPr fontId="116" type="noConversion"/>
  </si>
  <si>
    <t>索引号</t>
    <phoneticPr fontId="116" type="noConversion"/>
  </si>
  <si>
    <t>合同号</t>
    <phoneticPr fontId="116" type="noConversion"/>
  </si>
  <si>
    <t>受托方</t>
    <phoneticPr fontId="116" type="noConversion"/>
  </si>
  <si>
    <t>研发内容</t>
    <phoneticPr fontId="116" type="noConversion"/>
  </si>
  <si>
    <t>研发成果知识产权归属</t>
    <phoneticPr fontId="116" type="noConversion"/>
  </si>
  <si>
    <t>资质</t>
  </si>
  <si>
    <t>注册资本</t>
    <phoneticPr fontId="116" type="noConversion"/>
  </si>
  <si>
    <t>参保人数</t>
    <phoneticPr fontId="116" type="noConversion"/>
  </si>
  <si>
    <t>……</t>
    <phoneticPr fontId="116" type="noConversion"/>
  </si>
  <si>
    <t>业务内容</t>
    <phoneticPr fontId="116" type="noConversion"/>
  </si>
  <si>
    <t>金额</t>
    <phoneticPr fontId="116" type="noConversion"/>
  </si>
  <si>
    <t>会计政策检查</t>
  </si>
  <si>
    <t>研发项目资本化时点判断</t>
  </si>
  <si>
    <t>研发项目构成明细表</t>
  </si>
  <si>
    <t>研发材料投入检查表</t>
  </si>
  <si>
    <t>研发人员认定检查表</t>
  </si>
  <si>
    <t>研发人员工时检查表</t>
  </si>
  <si>
    <t>委外研发检查表</t>
  </si>
  <si>
    <t>I2-9</t>
  </si>
  <si>
    <t>I2-10</t>
  </si>
  <si>
    <t>I2-11</t>
  </si>
  <si>
    <t>I2-12</t>
  </si>
  <si>
    <t>I2-13</t>
  </si>
  <si>
    <t>I2-14</t>
  </si>
  <si>
    <t>I2-15</t>
  </si>
  <si>
    <t>页  次：</t>
  </si>
  <si>
    <t>页    次：</t>
  </si>
  <si>
    <t>I2-4</t>
    <phoneticPr fontId="116" type="noConversion"/>
  </si>
  <si>
    <t>I2-5</t>
    <phoneticPr fontId="116" type="noConversion"/>
  </si>
  <si>
    <t>对于研发人员认定，根据具体情况，需要检查的支持性文件包括但不限于：
（1）获取研发人员花名册、劳动合同、工作职责、工时记录，核实研发人员身份真实性；
（2）核实研发人员专业背景和工作经历是否与发行人研发活动相匹配等情形，重点关注相关人员是否具备从事研发活动的能力，是否真正从事研发活动并作出实际贡献，是否属于发行人研发工作所需的必要人员，发行人研发人员数量和占比是否符合行业特点；
（3）核实研发人员学历、专业、从业和任职年限、全时与非全时分布等是否符合行业特点；研发人员普遍任职年限较短的，应关注原因及对发行人研发能力的影响；研发人员主要由非全时人员或未签订劳动合同人员构成的，应关注其合理性。</t>
    <phoneticPr fontId="116" type="noConversion"/>
  </si>
  <si>
    <t>对于研发工时，根据具体情况，需要检查的支持性文件包括但不限于：
（1）获取研发人员工资计提表，检查研发人员认定、工时统计、薪酬分摊是否准确合理；
（2）检查研发人员考勤记录等，验证其是否真实参与研发活动；
（3）结合应付职工薪酬审计，将薪酬计提与支付记录、社保缴纳记录等进行核对；
（4）检查是否存在非研发人员（如高管）薪酬计入研发费用，若存在，检查其工时记录及分摊的合理性。</t>
    <phoneticPr fontId="116" type="noConversion"/>
  </si>
  <si>
    <t>对于委托研发，根据具体情况，需要检查的支持性文件包括但不限于：
（1）检查委托开发合同，关注研发成果所有权归属，判断支出应计入研发费用还是营业成本；
（2）检查付款审批记录、发票、验收证明等支持性文件；
（3）对受托方执行函证程序，确认交易真实性、金额准确性。</t>
    <phoneticPr fontId="116" type="noConversion"/>
  </si>
  <si>
    <t>对于存在委外研发、在研发过程中产出的产品或副产品、按照客户需求进行定制化研发、履行定制化研发合同过程中发生的研发支出、承担由国家或指定方拨付款项的研发项目等情形，重点核查相关会计处理是否符合《企业会计准则》相关规定。</t>
    <phoneticPr fontId="116" type="noConversion"/>
  </si>
  <si>
    <t>备选</t>
    <phoneticPr fontId="116" type="noConversion"/>
  </si>
  <si>
    <t>9</t>
  </si>
  <si>
    <t>10</t>
  </si>
  <si>
    <t>11</t>
  </si>
  <si>
    <t>12</t>
  </si>
  <si>
    <t>13</t>
  </si>
  <si>
    <t>14</t>
  </si>
  <si>
    <t>15</t>
  </si>
  <si>
    <t>16</t>
  </si>
  <si>
    <r>
      <t>关注会计政策、会计估计合理性、一贯性，关注其是否利用会计政策和会计估计及其变更操纵利润</t>
    </r>
    <r>
      <rPr>
        <sz val="10"/>
        <color indexed="8"/>
        <rFont val="宋体"/>
        <family val="3"/>
        <charset val="134"/>
      </rPr>
      <t>。
（1）检查研发支出资本化的会计政策是否符合会计准则要求，是否符合研发业务特点，是否符合行业惯例；检查研究阶段和开发阶段界定时点是否合理，开发完成的时点的界定是否合理；
（2）将被审计单位本期的会计政策、会计估计与前期进行对比，分析其是否前后一致。对于存在会计政策、会计估计变更的情形，判断是否合理，会计处理是否正确；
（3）与同行业其他公司的会计政策、会计估计进行对比，关注其是否利用会计政策和会计估计变更操纵利润。</t>
    </r>
    <phoneticPr fontId="116"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</si>
  <si>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21" type="noConversion"/>
  </si>
  <si>
    <t>关于工作底稿与审计程序索引号对应的说明</t>
    <phoneticPr fontId="121"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</si>
  <si>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1"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</si>
  <si>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121"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</si>
  <si>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121" type="noConversion"/>
  </si>
  <si>
    <t>无需打印</t>
    <phoneticPr fontId="121" type="noConversion"/>
  </si>
  <si>
    <t>无需打印</t>
    <phoneticPr fontId="121" type="noConversion"/>
  </si>
  <si>
    <t>根据被审计单位实际情况和风险评估情况裁剪、修改或增加审计程序</t>
    <phoneticPr fontId="121" type="noConversion"/>
  </si>
  <si>
    <t>审计程序</t>
    <phoneticPr fontId="126" type="noConversion"/>
  </si>
  <si>
    <t>T1
/</t>
    <phoneticPr fontId="116" type="noConversion"/>
  </si>
  <si>
    <t>对于研发项目资本化时点的判断，根据具体情况，需要检查的支持性文件包括但不限于：
（1）获取有关协议和董事会纪要、可行性研究报告等文件，检查企业研发活动的立项情况，确定研发项目处于研究阶段还是开发阶段；
（2）关注资本化的条件和依据，检查研究阶段和开发阶段界定时点是否合理，开发完成的时点的界定是否合理；检查开发阶段的支出资本化，是否满足准则规定的“五个条件”，并获取通过研发活动明显增强盈利能力、明显改善资产质量的证据（如研发形成专利，开发出新的产品，产品档次明显提升等）；对于确实无法区分研究阶段的支出和开发阶段的支出，检查是否将其所发生的研发支出全部费用化。</t>
    <phoneticPr fontId="116" type="noConversion"/>
  </si>
  <si>
    <t>检查本期减少开发支出的记账凭证和相关支持性文件，结合研发费用科目的审计，检查费用化的结转处理是否正确；检查结转无形资产依据是否充分，结合无形资产科目审计检查已经在用或已经达到预定用途的研究开发项目是否已结转至相关资产项目。</t>
    <phoneticPr fontId="116" type="noConversion"/>
  </si>
  <si>
    <t>取得或编制研发项目支出构成明细表，判断研发支出构成是否合理。</t>
    <phoneticPr fontId="116" type="noConversion"/>
  </si>
  <si>
    <t>I2-6</t>
    <phoneticPr fontId="116" type="noConversion"/>
  </si>
  <si>
    <t>17</t>
  </si>
  <si>
    <t>对于研发材料投入，根据具体情况，需要检查的支持性文件包括但不限于：
（1）获取研发领料单，检查其审批流程是否完整、领用部门是否为研发部门；
（2）抽取样本检查领料单与研发项目的对应关系，验证其合理性；
（3）检查研发材料实际使用情况，是否存在挪用于生产或其他用途；
（4）研发形成产品或副产品的，检查其成本是否已从研发费用中转出。</t>
    <phoneticPr fontId="116" type="noConversion"/>
  </si>
  <si>
    <t>合计</t>
    <phoneticPr fontId="116" type="noConversion"/>
  </si>
  <si>
    <t>随机选样/系统选样/货币单元抽样/随意选样（非统计抽样适用）</t>
    <phoneticPr fontId="121" type="noConversion"/>
  </si>
  <si>
    <t>本期发生额</t>
    <phoneticPr fontId="116" type="noConversion"/>
  </si>
  <si>
    <t>检查比例</t>
    <phoneticPr fontId="116" type="noConversion"/>
  </si>
  <si>
    <t>重点检查领用人员是否为该项目研发人员、出库单中研发项目是否与账面一致等</t>
    <phoneticPr fontId="116" type="noConversion"/>
  </si>
  <si>
    <t>【检查要素根据实际情况自行增减】</t>
    <phoneticPr fontId="116" type="noConversion"/>
  </si>
  <si>
    <t>测试原因：大额（）关联方（）大额交易频繁（）异常（）其他（）</t>
    <phoneticPr fontId="121" type="noConversion"/>
  </si>
  <si>
    <t>随机选样/系统选样/货币单元抽样/随意选样（非统计抽样适用）</t>
    <phoneticPr fontId="121" type="noConversion"/>
  </si>
  <si>
    <t>减值准备测试表-可收回金额</t>
  </si>
  <si>
    <t>检查本期新增其他开发支出的记账凭证和相关支持性文件，关注资本化支出范围是否合理，对应当资本化的支出划分是否正确。</t>
    <phoneticPr fontId="116" type="noConversion"/>
  </si>
  <si>
    <t>截止性测试（账到单据）</t>
    <phoneticPr fontId="116" type="noConversion"/>
  </si>
  <si>
    <t>截止性测试（单据到账）</t>
    <phoneticPr fontId="116" type="noConversion"/>
  </si>
  <si>
    <t>是否全时参与该研发项目</t>
    <phoneticPr fontId="116" type="noConversion"/>
  </si>
  <si>
    <t>实质性分析</t>
  </si>
  <si>
    <r>
      <rPr>
        <b/>
        <sz val="10"/>
        <rFont val="宋体"/>
        <family val="3"/>
        <charset val="134"/>
      </rPr>
      <t>（一）研发费用构成分析表</t>
    </r>
  </si>
  <si>
    <r>
      <rPr>
        <b/>
        <sz val="10"/>
        <rFont val="宋体"/>
        <family val="3"/>
        <charset val="134"/>
      </rPr>
      <t>项目</t>
    </r>
  </si>
  <si>
    <r>
      <rPr>
        <b/>
        <sz val="10"/>
        <rFont val="宋体"/>
        <family val="3"/>
        <charset val="134"/>
      </rPr>
      <t>本期合计</t>
    </r>
  </si>
  <si>
    <r>
      <rPr>
        <b/>
        <sz val="10"/>
        <rFont val="宋体"/>
        <family val="3"/>
        <charset val="134"/>
      </rPr>
      <t>结构比</t>
    </r>
  </si>
  <si>
    <r>
      <rPr>
        <b/>
        <sz val="10"/>
        <rFont val="宋体"/>
        <family val="3"/>
        <charset val="134"/>
      </rPr>
      <t>占主营业务收入比率</t>
    </r>
  </si>
  <si>
    <r>
      <rPr>
        <b/>
        <sz val="10"/>
        <rFont val="宋体"/>
        <family val="3"/>
        <charset val="134"/>
      </rPr>
      <t>上年同期</t>
    </r>
  </si>
  <si>
    <r>
      <rPr>
        <b/>
        <sz val="10"/>
        <rFont val="宋体"/>
        <family val="3"/>
        <charset val="134"/>
      </rPr>
      <t>增长比例</t>
    </r>
  </si>
  <si>
    <r>
      <rPr>
        <b/>
        <sz val="10"/>
        <rFont val="宋体"/>
        <family val="3"/>
        <charset val="134"/>
      </rPr>
      <t>占主营业务收入比率变动</t>
    </r>
  </si>
  <si>
    <r>
      <rPr>
        <b/>
        <sz val="10"/>
        <rFont val="宋体"/>
        <family val="3"/>
        <charset val="134"/>
      </rPr>
      <t>变动分析</t>
    </r>
  </si>
  <si>
    <r>
      <rPr>
        <sz val="10"/>
        <rFont val="宋体"/>
        <family val="3"/>
        <charset val="134"/>
      </rPr>
      <t>主营业务收入</t>
    </r>
  </si>
  <si>
    <r>
      <rPr>
        <sz val="10"/>
        <rFont val="宋体"/>
        <family val="3"/>
        <charset val="134"/>
      </rPr>
      <t>研发费用占主营业务收入比率</t>
    </r>
  </si>
  <si>
    <r>
      <rPr>
        <b/>
        <sz val="10"/>
        <rFont val="宋体"/>
        <family val="3"/>
        <charset val="134"/>
      </rPr>
      <t>（二）费用指标分析表（与同行业数据比较）</t>
    </r>
  </si>
  <si>
    <t>指标</t>
  </si>
  <si>
    <t>本期</t>
  </si>
  <si>
    <r>
      <rPr>
        <b/>
        <sz val="10"/>
        <rFont val="宋体"/>
        <family val="3"/>
        <charset val="134"/>
      </rPr>
      <t>行业公司</t>
    </r>
    <r>
      <rPr>
        <b/>
        <sz val="10"/>
        <rFont val="Arial Narrow"/>
        <family val="2"/>
      </rPr>
      <t>A</t>
    </r>
  </si>
  <si>
    <r>
      <rPr>
        <b/>
        <sz val="10"/>
        <rFont val="宋体"/>
        <family val="3"/>
        <charset val="134"/>
      </rPr>
      <t>行业公司</t>
    </r>
    <r>
      <rPr>
        <b/>
        <sz val="10"/>
        <rFont val="Arial Narrow"/>
        <family val="2"/>
      </rPr>
      <t>B</t>
    </r>
  </si>
  <si>
    <r>
      <rPr>
        <b/>
        <sz val="10"/>
        <rFont val="宋体"/>
        <family val="3"/>
        <charset val="134"/>
      </rPr>
      <t>行业公司</t>
    </r>
    <r>
      <rPr>
        <b/>
        <sz val="10"/>
        <rFont val="Arial Narrow"/>
        <family val="2"/>
      </rPr>
      <t>C</t>
    </r>
  </si>
  <si>
    <r>
      <rPr>
        <b/>
        <sz val="10"/>
        <rFont val="宋体"/>
        <family val="3"/>
        <charset val="134"/>
      </rPr>
      <t>比较分析</t>
    </r>
  </si>
  <si>
    <t>（三）人均费用指标同期对比分析表</t>
    <phoneticPr fontId="116" type="noConversion"/>
  </si>
  <si>
    <t>本期</t>
    <phoneticPr fontId="116" type="noConversion"/>
  </si>
  <si>
    <t>上期</t>
    <phoneticPr fontId="116" type="noConversion"/>
  </si>
  <si>
    <t>两期对比分析</t>
    <phoneticPr fontId="116" type="noConversion"/>
  </si>
  <si>
    <t>研发人员总数</t>
    <phoneticPr fontId="116" type="noConversion"/>
  </si>
  <si>
    <t>研发人员人均薪酬</t>
    <phoneticPr fontId="116" type="noConversion"/>
  </si>
  <si>
    <t>人均研发经费</t>
    <phoneticPr fontId="116" type="noConversion"/>
  </si>
  <si>
    <t>人均材料</t>
    <phoneticPr fontId="116" type="noConversion"/>
  </si>
  <si>
    <t>…</t>
    <phoneticPr fontId="116" type="noConversion"/>
  </si>
  <si>
    <t>研发人员人均薪酬</t>
    <phoneticPr fontId="116" type="noConversion"/>
  </si>
  <si>
    <t>人均材料</t>
    <phoneticPr fontId="116" type="noConversion"/>
  </si>
  <si>
    <t>（四）人均费用指标同行业对比分析表</t>
    <phoneticPr fontId="116" type="noConversion"/>
  </si>
  <si>
    <t>公司名称</t>
    <phoneticPr fontId="116" type="noConversion"/>
  </si>
  <si>
    <t>研发人员总数</t>
    <phoneticPr fontId="116" type="noConversion"/>
  </si>
  <si>
    <t>同行业对比分析</t>
    <phoneticPr fontId="116" type="noConversion"/>
  </si>
  <si>
    <t>本公司</t>
    <phoneticPr fontId="116" type="noConversion"/>
  </si>
  <si>
    <r>
      <rPr>
        <sz val="10"/>
        <color rgb="FFFF0000"/>
        <rFont val="宋体"/>
        <family val="3"/>
        <charset val="134"/>
      </rPr>
      <t>可比公司</t>
    </r>
    <r>
      <rPr>
        <sz val="10"/>
        <color rgb="FFFF0000"/>
        <rFont val="Arial Narrow"/>
        <family val="2"/>
      </rPr>
      <t>1</t>
    </r>
    <phoneticPr fontId="116" type="noConversion"/>
  </si>
  <si>
    <r>
      <rPr>
        <sz val="10"/>
        <color rgb="FFFF0000"/>
        <rFont val="宋体"/>
        <family val="3"/>
        <charset val="134"/>
      </rPr>
      <t>可比公司</t>
    </r>
    <r>
      <rPr>
        <sz val="10"/>
        <color rgb="FFFF0000"/>
        <rFont val="Arial Narrow"/>
        <family val="2"/>
      </rPr>
      <t>2</t>
    </r>
    <r>
      <rPr>
        <sz val="11"/>
        <color theme="1"/>
        <rFont val="宋体"/>
        <family val="2"/>
        <charset val="134"/>
        <scheme val="minor"/>
      </rPr>
      <t/>
    </r>
  </si>
  <si>
    <r>
      <rPr>
        <sz val="10"/>
        <color rgb="FFFF0000"/>
        <rFont val="宋体"/>
        <family val="3"/>
        <charset val="134"/>
      </rPr>
      <t>可比公司</t>
    </r>
    <r>
      <rPr>
        <sz val="10"/>
        <color rgb="FFFF0000"/>
        <rFont val="Arial Narrow"/>
        <family val="2"/>
      </rPr>
      <t>3</t>
    </r>
    <r>
      <rPr>
        <sz val="11"/>
        <color theme="1"/>
        <rFont val="宋体"/>
        <family val="2"/>
        <charset val="134"/>
        <scheme val="minor"/>
      </rPr>
      <t/>
    </r>
  </si>
  <si>
    <r>
      <t>1.</t>
    </r>
    <r>
      <rPr>
        <b/>
        <sz val="10"/>
        <rFont val="宋体"/>
        <family val="3"/>
        <charset val="134"/>
      </rPr>
      <t>费用各项目近两年比重变动较大的原因：</t>
    </r>
    <phoneticPr fontId="116" type="noConversion"/>
  </si>
  <si>
    <r>
      <rPr>
        <b/>
        <sz val="10"/>
        <rFont val="Arial Narrow"/>
        <family val="2"/>
      </rPr>
      <t>2.</t>
    </r>
    <r>
      <rPr>
        <b/>
        <sz val="10"/>
        <rFont val="宋体"/>
        <family val="3"/>
        <charset val="134"/>
      </rPr>
      <t>与上年同期数据相比，费用指标异常的原因：</t>
    </r>
  </si>
  <si>
    <t>a.</t>
  </si>
  <si>
    <t>b.</t>
  </si>
  <si>
    <r>
      <rPr>
        <b/>
        <sz val="10"/>
        <rFont val="Arial Narrow"/>
        <family val="2"/>
      </rPr>
      <t>3.</t>
    </r>
    <r>
      <rPr>
        <b/>
        <sz val="10"/>
        <rFont val="宋体"/>
        <family val="3"/>
        <charset val="134"/>
      </rPr>
      <t>与同行业数据相比，费用指标异常的原因：</t>
    </r>
  </si>
  <si>
    <r>
      <rPr>
        <b/>
        <sz val="10"/>
        <rFont val="Arial Narrow"/>
        <family val="2"/>
      </rPr>
      <t>4.</t>
    </r>
    <r>
      <rPr>
        <b/>
        <sz val="10"/>
        <rFont val="宋体"/>
        <family val="3"/>
        <charset val="134"/>
      </rPr>
      <t>与预算金额及其他非财务数据相比，费用指标异常的原因：</t>
    </r>
  </si>
  <si>
    <r>
      <t>5.</t>
    </r>
    <r>
      <rPr>
        <b/>
        <sz val="10"/>
        <rFont val="宋体"/>
        <family val="3"/>
        <charset val="134"/>
      </rPr>
      <t>人均费用指标异常的原因：</t>
    </r>
    <phoneticPr fontId="116" type="noConversion"/>
  </si>
  <si>
    <t>实质性分析</t>
    <phoneticPr fontId="116" type="noConversion"/>
  </si>
  <si>
    <t>I2-16</t>
  </si>
  <si>
    <r>
      <t>实施分析性程序：
（</t>
    </r>
    <r>
      <rPr>
        <sz val="10"/>
        <rFont val="Arial Narrow"/>
        <family val="2"/>
      </rPr>
      <t>1</t>
    </r>
    <r>
      <rPr>
        <sz val="10"/>
        <rFont val="宋体"/>
        <family val="3"/>
        <charset val="134"/>
      </rPr>
      <t>）将本期明细表与上期审定数据、本期各明细项目占主营业务收入的比重与上年同期的占比进行比较，分析两期波动的原因及合理性；
（</t>
    </r>
    <r>
      <rPr>
        <sz val="10"/>
        <rFont val="Arial Narrow"/>
        <family val="2"/>
      </rPr>
      <t>2</t>
    </r>
    <r>
      <rPr>
        <sz val="10"/>
        <rFont val="宋体"/>
        <family val="3"/>
        <charset val="134"/>
      </rPr>
      <t>）计算各类费用增长率，与主营业务收入增长率进行比较，并与同行业公司进行比较，分析总体合理性；
（</t>
    </r>
    <r>
      <rPr>
        <sz val="10"/>
        <rFont val="Arial Narrow"/>
        <family val="2"/>
      </rPr>
      <t>3</t>
    </r>
    <r>
      <rPr>
        <sz val="10"/>
        <rFont val="宋体"/>
        <family val="3"/>
        <charset val="134"/>
      </rPr>
      <t>）分析明细中是否存在不符合往年常态的项目，不符合企业经营状况，存在异常变动的项目，检查相关支持性文件；
（</t>
    </r>
    <r>
      <rPr>
        <sz val="10"/>
        <rFont val="Arial Narrow"/>
        <family val="2"/>
      </rPr>
      <t>4</t>
    </r>
    <r>
      <rPr>
        <sz val="10"/>
        <rFont val="宋体"/>
        <family val="3"/>
        <charset val="134"/>
      </rPr>
      <t>）计算人均经费、平均薪酬等，与上年同期数据进行比较，并与同行业公司进行比较；
（</t>
    </r>
    <r>
      <rPr>
        <sz val="10"/>
        <rFont val="Arial Narrow"/>
        <family val="2"/>
      </rPr>
      <t>5</t>
    </r>
    <r>
      <rPr>
        <sz val="10"/>
        <rFont val="宋体"/>
        <family val="3"/>
        <charset val="134"/>
      </rPr>
      <t>）将费用实际金额与预算金额进行比较，对具体费用项目与相关财务数据及非财务数据的匹配性进行测试。</t>
    </r>
    <phoneticPr fontId="116" type="noConversion"/>
  </si>
  <si>
    <t>18</t>
  </si>
  <si>
    <t>I2-7</t>
    <phoneticPr fontId="116" type="noConversion"/>
  </si>
  <si>
    <t>I2-8</t>
    <phoneticPr fontId="116" type="noConversion"/>
  </si>
  <si>
    <t>I2-9</t>
    <phoneticPr fontId="116" type="noConversion"/>
  </si>
  <si>
    <t>I2-10</t>
    <phoneticPr fontId="116" type="noConversion"/>
  </si>
  <si>
    <t>I2-11</t>
    <phoneticPr fontId="116" type="noConversion"/>
  </si>
  <si>
    <t>I2-12</t>
    <phoneticPr fontId="116" type="noConversion"/>
  </si>
  <si>
    <t>I2-13
/I2-14</t>
    <phoneticPr fontId="116" type="noConversion"/>
  </si>
  <si>
    <t>I2-15
/I2-16</t>
    <phoneticPr fontId="1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</si>
</sst>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8" formatCode="0.00_);[Red]\(0.00\)"/>
    <numFmt numFmtId="209" formatCode="_ * #,##0.0000_ ;_ * \-#,##0.0000_ ;_ * &quot;-&quot;??_ ;_ @_ "/>
    <numFmt numFmtId="210" formatCode="#,##0.00_ "/>
    <numFmt numFmtId="211" formatCode="#,##0_ "/>
  </numFmts>
  <fonts count="146">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0"/>
      <color theme="1"/>
      <name val="宋体"/>
      <family val="3"/>
      <charset val="134"/>
      <scheme val="minor"/>
    </font>
    <font>
      <sz val="10"/>
      <color rgb="FF000000"/>
      <name val="宋体"/>
      <family val="3"/>
      <charset val="134"/>
      <scheme val="minor"/>
    </font>
    <font>
      <b/>
      <sz val="10"/>
      <color indexed="8"/>
      <name val="Arial Narrow"/>
      <family val="2"/>
    </font>
    <font>
      <b/>
      <sz val="12"/>
      <color indexed="8"/>
      <name val="Arial Narrow"/>
      <family val="2"/>
    </font>
    <font>
      <sz val="10"/>
      <name val="Arial Narrow"/>
      <family val="2"/>
    </font>
    <font>
      <sz val="10"/>
      <color indexed="8"/>
      <name val="Arial Narrow"/>
      <family val="2"/>
    </font>
    <font>
      <b/>
      <u/>
      <sz val="10"/>
      <color indexed="10"/>
      <name val="Arial Narrow"/>
      <family val="2"/>
    </font>
    <font>
      <sz val="10"/>
      <name val="宋体"/>
      <family val="3"/>
      <charset val="134"/>
    </font>
    <font>
      <b/>
      <sz val="10"/>
      <name val="Arial Narrow"/>
      <family val="2"/>
    </font>
    <font>
      <i/>
      <sz val="10"/>
      <color rgb="FFFF0000"/>
      <name val="Arial Narrow"/>
      <family val="2"/>
    </font>
    <font>
      <sz val="10"/>
      <color rgb="FF0000FF"/>
      <name val="Arial Narrow"/>
      <family val="2"/>
    </font>
    <font>
      <b/>
      <sz val="10"/>
      <color indexed="8"/>
      <name val="宋体"/>
      <family val="3"/>
      <charset val="134"/>
    </font>
    <font>
      <b/>
      <sz val="10"/>
      <name val="宋体"/>
      <family val="3"/>
      <charset val="134"/>
    </font>
    <font>
      <u/>
      <sz val="11"/>
      <color theme="10"/>
      <name val="宋体"/>
      <family val="3"/>
      <charset val="134"/>
    </font>
    <font>
      <b/>
      <sz val="10"/>
      <color indexed="10"/>
      <name val="Arial Narrow"/>
      <family val="2"/>
    </font>
    <font>
      <sz val="12"/>
      <name val="宋体"/>
      <family val="3"/>
      <charset val="134"/>
    </font>
    <font>
      <b/>
      <sz val="12"/>
      <color indexed="8"/>
      <name val="宋体"/>
      <family val="3"/>
      <charset val="134"/>
    </font>
    <font>
      <sz val="10"/>
      <color rgb="FF0000FF"/>
      <name val="宋体"/>
      <family val="3"/>
      <charset val="134"/>
    </font>
    <font>
      <sz val="12"/>
      <name val="Arial Narrow"/>
      <family val="2"/>
    </font>
    <font>
      <sz val="10"/>
      <color indexed="12"/>
      <name val="Arial Narrow"/>
      <family val="2"/>
    </font>
    <font>
      <b/>
      <sz val="12"/>
      <name val="宋体"/>
      <family val="3"/>
      <charset val="134"/>
    </font>
    <font>
      <b/>
      <sz val="12"/>
      <name val="Arial Narrow"/>
      <family val="2"/>
    </font>
    <font>
      <sz val="9"/>
      <color indexed="8"/>
      <name val="宋体"/>
      <family val="3"/>
      <charset val="134"/>
    </font>
    <font>
      <sz val="10"/>
      <color indexed="10"/>
      <name val="宋体"/>
      <family val="3"/>
      <charset val="134"/>
    </font>
    <font>
      <sz val="10"/>
      <color rgb="FF3333FF"/>
      <name val="宋体"/>
      <family val="3"/>
      <charset val="134"/>
    </font>
    <font>
      <i/>
      <sz val="10"/>
      <color indexed="12"/>
      <name val="宋体"/>
      <family val="3"/>
      <charset val="134"/>
    </font>
    <font>
      <sz val="10"/>
      <color indexed="12"/>
      <name val="宋体"/>
      <family val="3"/>
      <charset val="134"/>
    </font>
    <font>
      <b/>
      <sz val="10"/>
      <color indexed="12"/>
      <name val="宋体"/>
      <family val="3"/>
      <charset val="134"/>
    </font>
    <font>
      <sz val="10"/>
      <color indexed="8"/>
      <name val="宋体"/>
      <family val="3"/>
      <charset val="134"/>
    </font>
    <font>
      <sz val="12"/>
      <color indexed="12"/>
      <name val="宋体"/>
      <family val="3"/>
      <charset val="134"/>
    </font>
    <font>
      <sz val="11"/>
      <color theme="1"/>
      <name val="宋体"/>
      <family val="3"/>
      <charset val="134"/>
      <scheme val="minor"/>
    </font>
    <font>
      <b/>
      <sz val="10"/>
      <color theme="1"/>
      <name val="宋体"/>
      <family val="3"/>
      <charset val="134"/>
    </font>
    <font>
      <sz val="10"/>
      <color rgb="FFFF0000"/>
      <name val="宋体"/>
      <family val="3"/>
      <charset val="134"/>
    </font>
    <font>
      <sz val="10"/>
      <name val="宋体"/>
      <family val="3"/>
      <charset val="134"/>
      <scheme val="minor"/>
    </font>
    <font>
      <sz val="10"/>
      <color rgb="FF0000FF"/>
      <name val="宋体"/>
      <family val="3"/>
      <charset val="134"/>
      <scheme val="minor"/>
    </font>
    <font>
      <b/>
      <sz val="10"/>
      <color rgb="FFE92841"/>
      <name val="Arial Narrow"/>
      <family val="2"/>
    </font>
    <font>
      <i/>
      <u/>
      <sz val="10"/>
      <color indexed="12"/>
      <name val="Arial Narrow"/>
      <family val="2"/>
    </font>
    <font>
      <u/>
      <sz val="10"/>
      <name val="Arial Narrow"/>
      <family val="2"/>
    </font>
    <font>
      <sz val="10"/>
      <color indexed="12"/>
      <name val="宋体"/>
      <family val="3"/>
      <charset val="134"/>
      <scheme val="minor"/>
    </font>
    <font>
      <b/>
      <sz val="10"/>
      <color rgb="FFFF0000"/>
      <name val="宋体"/>
      <family val="3"/>
      <charset val="134"/>
    </font>
    <font>
      <sz val="10"/>
      <color rgb="FFFF0000"/>
      <name val="Arial Narrow"/>
      <family val="2"/>
    </font>
    <font>
      <i/>
      <sz val="10"/>
      <color rgb="FFFF0000"/>
      <name val="宋体"/>
      <family val="3"/>
      <charset val="134"/>
    </font>
    <font>
      <sz val="10"/>
      <color indexed="8"/>
      <name val="宋体"/>
      <family val="3"/>
      <charset val="134"/>
      <scheme val="minor"/>
    </font>
    <font>
      <b/>
      <sz val="10"/>
      <color rgb="FF000000"/>
      <name val="宋体"/>
      <family val="3"/>
      <charset val="134"/>
      <scheme val="minor"/>
    </font>
    <font>
      <sz val="10"/>
      <color theme="3" tint="0.39991454817346722"/>
      <name val="宋体"/>
      <family val="3"/>
      <charset val="134"/>
      <scheme val="minor"/>
    </font>
    <font>
      <sz val="10"/>
      <color rgb="FF000000"/>
      <name val="Arial Narrow"/>
      <family val="2"/>
    </font>
    <font>
      <b/>
      <sz val="10"/>
      <color rgb="FF000000"/>
      <name val="Arial Narrow"/>
      <family val="2"/>
    </font>
    <font>
      <b/>
      <sz val="10"/>
      <color indexed="10"/>
      <name val="宋体"/>
      <family val="3"/>
      <charset val="134"/>
      <scheme val="minor"/>
    </font>
    <font>
      <b/>
      <sz val="10"/>
      <color theme="1"/>
      <name val="宋体"/>
      <family val="3"/>
      <charset val="134"/>
      <scheme val="minor"/>
    </font>
    <font>
      <sz val="10"/>
      <color rgb="FFFF0000"/>
      <name val="宋体"/>
      <family val="3"/>
      <charset val="134"/>
      <scheme val="minor"/>
    </font>
    <font>
      <b/>
      <sz val="10"/>
      <color rgb="FFFF0000"/>
      <name val="Arial Narrow"/>
      <family val="2"/>
    </font>
    <font>
      <b/>
      <sz val="10"/>
      <name val="Arial"/>
      <family val="2"/>
    </font>
    <font>
      <sz val="10"/>
      <name val="Arial"/>
      <family val="2"/>
    </font>
    <font>
      <sz val="10"/>
      <color theme="1"/>
      <name val="Arial Narrow"/>
      <family val="2"/>
    </font>
    <font>
      <b/>
      <sz val="10"/>
      <color rgb="FF000000"/>
      <name val="宋体"/>
      <family val="3"/>
      <charset val="134"/>
    </font>
    <font>
      <sz val="10"/>
      <color theme="1"/>
      <name val="宋体"/>
      <family val="3"/>
      <charset val="134"/>
    </font>
    <font>
      <sz val="10"/>
      <color rgb="FF000000"/>
      <name val="宋体"/>
      <family val="3"/>
      <charset val="134"/>
    </font>
    <font>
      <b/>
      <sz val="10"/>
      <color theme="1"/>
      <name val="Arial Narrow"/>
      <family val="2"/>
    </font>
    <font>
      <sz val="11"/>
      <color indexed="8"/>
      <name val="宋体"/>
      <family val="3"/>
      <charset val="134"/>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1"/>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8"/>
      <name val="Century Schoolbook"/>
      <family val="1"/>
    </font>
    <font>
      <sz val="10"/>
      <color indexed="8"/>
      <name val="Tahoma"/>
      <family val="2"/>
    </font>
    <font>
      <sz val="12"/>
      <name val="Times New Roman"/>
      <family val="1"/>
    </font>
    <font>
      <u/>
      <sz val="10"/>
      <color indexed="12"/>
      <name val="宋体"/>
      <family val="3"/>
      <charset val="134"/>
    </font>
    <font>
      <u/>
      <sz val="12"/>
      <color indexed="12"/>
      <name val="宋体"/>
      <family val="3"/>
      <charset val="134"/>
    </font>
    <font>
      <sz val="11"/>
      <name val="蹈框"/>
      <charset val="134"/>
    </font>
    <font>
      <sz val="11"/>
      <name val="ＭＳ Ｐゴシック"/>
      <family val="2"/>
    </font>
    <font>
      <sz val="12"/>
      <name val="바탕체"/>
      <family val="3"/>
    </font>
    <font>
      <b/>
      <sz val="10"/>
      <name val="微软雅黑"/>
      <family val="2"/>
      <charset val="134"/>
    </font>
    <font>
      <b/>
      <sz val="10"/>
      <color indexed="8"/>
      <name val="宋体"/>
      <family val="3"/>
      <charset val="134"/>
      <scheme val="minor"/>
    </font>
    <font>
      <sz val="9"/>
      <name val="宋体"/>
      <family val="3"/>
      <charset val="134"/>
      <scheme val="minor"/>
    </font>
    <font>
      <sz val="10"/>
      <color indexed="8"/>
      <name val="宋体"/>
      <family val="2"/>
    </font>
    <font>
      <sz val="10"/>
      <color indexed="10"/>
      <name val="宋体"/>
      <family val="2"/>
    </font>
    <font>
      <sz val="10"/>
      <name val="宋体"/>
      <family val="2"/>
    </font>
    <font>
      <sz val="10"/>
      <color indexed="10"/>
      <name val="Arial Narrow"/>
      <family val="2"/>
    </font>
    <font>
      <sz val="9"/>
      <name val="宋体"/>
      <family val="3"/>
      <charset val="134"/>
    </font>
    <font>
      <b/>
      <sz val="10"/>
      <name val="宋体"/>
      <family val="2"/>
    </font>
    <font>
      <b/>
      <sz val="10"/>
      <color indexed="10"/>
      <name val="宋体"/>
      <family val="2"/>
    </font>
    <font>
      <b/>
      <sz val="12"/>
      <color indexed="8"/>
      <name val="宋体"/>
      <family val="3"/>
      <charset val="134"/>
      <scheme val="minor"/>
    </font>
    <font>
      <b/>
      <sz val="14"/>
      <color indexed="8"/>
      <name val="宋体"/>
      <family val="3"/>
      <charset val="134"/>
    </font>
    <font>
      <sz val="9"/>
      <name val="宋体"/>
      <family val="2"/>
      <charset val="134"/>
      <scheme val="minor"/>
    </font>
    <font>
      <b/>
      <sz val="10.5"/>
      <color rgb="FF0000FF"/>
      <name val="仿宋_GB2312"/>
      <family val="3"/>
      <charset val="134"/>
    </font>
    <font>
      <sz val="10.5"/>
      <color rgb="FF0000FF"/>
      <name val="仿宋_GB2312"/>
      <family val="3"/>
      <charset val="134"/>
    </font>
    <font>
      <b/>
      <sz val="10.5"/>
      <color rgb="FF0000FF"/>
      <name val="宋体"/>
      <family val="3"/>
      <charset val="134"/>
    </font>
    <font>
      <sz val="10.5"/>
      <color rgb="FF0000FF"/>
      <name val="宋体"/>
      <family val="3"/>
      <charset val="134"/>
    </font>
    <font>
      <b/>
      <sz val="9"/>
      <name val="宋体"/>
      <family val="3"/>
      <charset val="134"/>
    </font>
    <font>
      <b/>
      <sz val="9"/>
      <name val="宋体"/>
      <family val="2"/>
    </font>
    <font>
      <sz val="9"/>
      <name val="Arial Narrow"/>
      <family val="2"/>
    </font>
    <font>
      <sz val="9"/>
      <name val="宋体"/>
      <family val="2"/>
    </font>
    <font>
      <sz val="9"/>
      <color rgb="FFFF0000"/>
      <name val="Arial Narrow"/>
      <family val="2"/>
    </font>
    <font>
      <b/>
      <sz val="9"/>
      <name val="宋体"/>
      <family val="3"/>
      <charset val="134"/>
      <scheme val="minor"/>
    </font>
    <font>
      <b/>
      <sz val="14"/>
      <name val="宋体"/>
      <family val="3"/>
      <charset val="134"/>
    </font>
    <font>
      <b/>
      <sz val="10"/>
      <color indexed="10"/>
      <name val="宋体"/>
      <family val="3"/>
      <charset val="134"/>
    </font>
    <font>
      <b/>
      <sz val="9"/>
      <name val="Arial Narrow"/>
      <family val="2"/>
    </font>
    <font>
      <b/>
      <sz val="9"/>
      <color indexed="81"/>
      <name val="宋体"/>
      <family val="3"/>
      <charset val="134"/>
    </font>
    <font>
      <sz val="9"/>
      <color indexed="81"/>
      <name val="宋体"/>
      <family val="3"/>
      <charset val="134"/>
    </font>
    <font>
      <sz val="11"/>
      <color theme="1"/>
      <name val="宋体"/>
      <family val="3"/>
      <charset val="134"/>
    </font>
    <font>
      <b/>
      <sz val="14"/>
      <color indexed="8"/>
      <name val="Arial Narrow"/>
      <family val="2"/>
    </font>
    <font>
      <b/>
      <sz val="9"/>
      <color rgb="FFFF0000"/>
      <name val="Arial Narrow"/>
      <family val="2"/>
    </font>
    <font>
      <sz val="10"/>
      <color theme="10"/>
      <name val="Arial Narrow"/>
      <family val="2"/>
    </font>
  </fonts>
  <fills count="33">
    <fill>
      <patternFill patternType="none"/>
    </fill>
    <fill>
      <patternFill patternType="gray125"/>
    </fill>
    <fill>
      <patternFill patternType="solid">
        <fgColor theme="7" tint="0.79992065187536243"/>
        <bgColor indexed="64"/>
      </patternFill>
    </fill>
    <fill>
      <patternFill patternType="solid">
        <fgColor rgb="FFE4DFEC"/>
        <bgColor indexed="64"/>
      </patternFill>
    </fill>
    <fill>
      <patternFill patternType="solid">
        <fgColor indexed="22"/>
        <bgColor indexed="64"/>
      </patternFill>
    </fill>
    <fill>
      <patternFill patternType="solid">
        <fgColor rgb="FF92D050"/>
        <bgColor indexed="64"/>
      </patternFill>
    </fill>
    <fill>
      <patternFill patternType="solid">
        <fgColor rgb="FFD9D9D9"/>
        <bgColor indexed="64"/>
      </patternFill>
    </fill>
    <fill>
      <patternFill patternType="solid">
        <fgColor rgb="FFFF00FF"/>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7" tint="0.79998168889431442"/>
        <bgColor indexed="64"/>
      </patternFill>
    </fill>
    <fill>
      <patternFill patternType="solid">
        <fgColor rgb="FFC0C0C0"/>
        <bgColor indexed="64"/>
      </patternFill>
    </fill>
  </fills>
  <borders count="35">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auto="1"/>
      </top>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right/>
      <top/>
      <bottom style="hair">
        <color auto="1"/>
      </bottom>
      <diagonal/>
    </border>
    <border>
      <left style="hair">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199">
    <xf numFmtId="0" fontId="0" fillId="0" borderId="0">
      <alignment vertical="center"/>
    </xf>
    <xf numFmtId="43" fontId="62" fillId="0" borderId="0" applyFont="0" applyFill="0" applyBorder="0" applyAlignment="0" applyProtection="0">
      <alignment vertical="center"/>
    </xf>
    <xf numFmtId="9" fontId="34" fillId="0" borderId="0" applyFont="0" applyFill="0" applyBorder="0" applyAlignment="0" applyProtection="0">
      <alignment vertical="center"/>
    </xf>
    <xf numFmtId="0" fontId="17" fillId="0" borderId="0" applyNumberFormat="0" applyFill="0" applyBorder="0" applyAlignment="0" applyProtection="0">
      <alignment vertical="top"/>
      <protection locked="0"/>
    </xf>
    <xf numFmtId="0" fontId="56" fillId="0" borderId="0"/>
    <xf numFmtId="0" fontId="56" fillId="0" borderId="0"/>
    <xf numFmtId="0" fontId="56" fillId="0" borderId="0"/>
    <xf numFmtId="0" fontId="56" fillId="0" borderId="0"/>
    <xf numFmtId="49" fontId="63" fillId="0" borderId="0" applyProtection="0">
      <alignment horizontal="left"/>
    </xf>
    <xf numFmtId="0" fontId="64" fillId="0" borderId="0">
      <alignment vertical="top"/>
      <protection locked="0"/>
    </xf>
    <xf numFmtId="0" fontId="64" fillId="0" borderId="0">
      <alignment vertical="top"/>
      <protection locked="0"/>
    </xf>
    <xf numFmtId="0" fontId="64" fillId="0" borderId="0">
      <alignment vertical="top"/>
      <protection locked="0"/>
    </xf>
    <xf numFmtId="0" fontId="64" fillId="0" borderId="0">
      <alignment vertical="top"/>
    </xf>
    <xf numFmtId="0" fontId="64" fillId="0" borderId="0">
      <alignment vertical="top"/>
    </xf>
    <xf numFmtId="0" fontId="64" fillId="0" borderId="0">
      <alignment vertical="top"/>
      <protection locked="0"/>
    </xf>
    <xf numFmtId="0" fontId="64" fillId="0" borderId="0">
      <alignment vertical="top"/>
    </xf>
    <xf numFmtId="0" fontId="64" fillId="0" borderId="0">
      <alignment vertical="top"/>
    </xf>
    <xf numFmtId="0" fontId="64" fillId="0" borderId="0">
      <alignment vertical="top"/>
      <protection locked="0"/>
    </xf>
    <xf numFmtId="0" fontId="64" fillId="0" borderId="0">
      <alignment vertical="top"/>
      <protection locked="0"/>
    </xf>
    <xf numFmtId="0" fontId="64" fillId="0" borderId="0">
      <alignment vertical="top"/>
      <protection locked="0"/>
    </xf>
    <xf numFmtId="0" fontId="64" fillId="0" borderId="0">
      <alignment vertical="top"/>
    </xf>
    <xf numFmtId="0" fontId="64" fillId="0" borderId="0">
      <alignment vertical="top"/>
    </xf>
    <xf numFmtId="0" fontId="64" fillId="0" borderId="0">
      <alignment vertical="top"/>
      <protection locked="0"/>
    </xf>
    <xf numFmtId="0" fontId="64" fillId="0" borderId="0">
      <alignment vertical="top"/>
    </xf>
    <xf numFmtId="0" fontId="64" fillId="0" borderId="0">
      <alignment vertical="top"/>
    </xf>
    <xf numFmtId="0" fontId="64" fillId="0" borderId="0">
      <alignment vertical="top"/>
    </xf>
    <xf numFmtId="0" fontId="64" fillId="0" borderId="0">
      <alignment vertical="top"/>
      <protection locked="0"/>
    </xf>
    <xf numFmtId="0" fontId="64" fillId="0" borderId="0">
      <alignment vertical="top"/>
    </xf>
    <xf numFmtId="0" fontId="64" fillId="0" borderId="0">
      <alignment vertical="top"/>
      <protection locked="0"/>
    </xf>
    <xf numFmtId="0" fontId="64" fillId="0" borderId="0">
      <alignment vertical="top"/>
      <protection locked="0"/>
    </xf>
    <xf numFmtId="0" fontId="64" fillId="0" borderId="0">
      <alignment vertical="top"/>
      <protection locked="0"/>
    </xf>
    <xf numFmtId="0" fontId="64" fillId="0" borderId="0">
      <alignment vertical="top"/>
    </xf>
    <xf numFmtId="0" fontId="64" fillId="0" borderId="0">
      <alignment vertical="top"/>
    </xf>
    <xf numFmtId="0" fontId="64" fillId="0" borderId="0">
      <alignment vertical="top"/>
    </xf>
    <xf numFmtId="0" fontId="64" fillId="0" borderId="0">
      <alignment vertical="top"/>
    </xf>
    <xf numFmtId="0" fontId="64" fillId="0" borderId="0">
      <alignment vertical="top"/>
      <protection locked="0"/>
    </xf>
    <xf numFmtId="0" fontId="64" fillId="0" borderId="0">
      <alignment vertical="top"/>
      <protection locked="0"/>
    </xf>
    <xf numFmtId="0" fontId="64" fillId="0" borderId="0">
      <alignment vertical="top"/>
    </xf>
    <xf numFmtId="0" fontId="64" fillId="0" borderId="0">
      <alignment vertical="top"/>
      <protection locked="0"/>
    </xf>
    <xf numFmtId="176" fontId="63" fillId="0" borderId="0" applyFill="0" applyBorder="0" applyProtection="0">
      <alignment horizontal="right"/>
    </xf>
    <xf numFmtId="177" fontId="63" fillId="0" borderId="0" applyFill="0" applyBorder="0" applyProtection="0">
      <alignment horizontal="right"/>
    </xf>
    <xf numFmtId="178" fontId="65" fillId="0" borderId="0" applyFill="0" applyBorder="0" applyProtection="0">
      <alignment horizontal="center"/>
    </xf>
    <xf numFmtId="179" fontId="65" fillId="0" borderId="0" applyFill="0" applyBorder="0" applyProtection="0">
      <alignment horizontal="center"/>
    </xf>
    <xf numFmtId="180" fontId="66" fillId="0" borderId="0" applyFill="0" applyBorder="0" applyProtection="0">
      <alignment horizontal="right"/>
    </xf>
    <xf numFmtId="181" fontId="63" fillId="0" borderId="0" applyFill="0" applyBorder="0" applyProtection="0">
      <alignment horizontal="right"/>
    </xf>
    <xf numFmtId="182" fontId="63" fillId="0" borderId="0" applyFill="0" applyBorder="0" applyProtection="0">
      <alignment horizontal="right"/>
    </xf>
    <xf numFmtId="183" fontId="63" fillId="0" borderId="0" applyFill="0" applyBorder="0" applyProtection="0">
      <alignment horizontal="right"/>
    </xf>
    <xf numFmtId="184" fontId="63" fillId="0" borderId="0" applyFill="0" applyBorder="0" applyProtection="0">
      <alignment horizontal="right"/>
    </xf>
    <xf numFmtId="185" fontId="67" fillId="0" borderId="0" applyFont="0" applyFill="0" applyBorder="0" applyAlignment="0" applyProtection="0"/>
    <xf numFmtId="186" fontId="67" fillId="0" borderId="0" applyFont="0" applyFill="0" applyBorder="0" applyAlignment="0" applyProtection="0"/>
    <xf numFmtId="10" fontId="67" fillId="0" borderId="0" applyFont="0" applyFill="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1" borderId="0" applyNumberFormat="0" applyBorder="0" applyAlignment="0" applyProtection="0"/>
    <xf numFmtId="0" fontId="68" fillId="12"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8" fillId="18" borderId="0" applyNumberFormat="0" applyBorder="0" applyAlignment="0" applyProtection="0"/>
    <xf numFmtId="0" fontId="69" fillId="19"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2" borderId="0" applyNumberFormat="0" applyBorder="0" applyAlignment="0" applyProtection="0"/>
    <xf numFmtId="0" fontId="69" fillId="23"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6" borderId="0" applyNumberFormat="0" applyBorder="0" applyAlignment="0" applyProtection="0"/>
    <xf numFmtId="0" fontId="70" fillId="10" borderId="0" applyNumberFormat="0" applyBorder="0" applyAlignment="0" applyProtection="0"/>
    <xf numFmtId="3" fontId="71" fillId="0" borderId="0"/>
    <xf numFmtId="187" fontId="72" fillId="0" borderId="16" applyAlignment="0" applyProtection="0"/>
    <xf numFmtId="188" fontId="64" fillId="0" borderId="0" applyFill="0" applyBorder="0" applyAlignment="0"/>
    <xf numFmtId="0" fontId="73" fillId="4" borderId="17" applyNumberFormat="0" applyAlignment="0" applyProtection="0"/>
    <xf numFmtId="0" fontId="74" fillId="27" borderId="18" applyNumberFormat="0" applyAlignment="0" applyProtection="0"/>
    <xf numFmtId="0" fontId="75" fillId="0" borderId="14" applyNumberFormat="0" applyFill="0" applyProtection="0">
      <alignment horizontal="center"/>
    </xf>
    <xf numFmtId="0" fontId="76" fillId="0" borderId="19">
      <alignment horizontal="center"/>
    </xf>
    <xf numFmtId="189" fontId="56" fillId="0" borderId="0"/>
    <xf numFmtId="189" fontId="56" fillId="0" borderId="0"/>
    <xf numFmtId="189" fontId="56" fillId="0" borderId="0"/>
    <xf numFmtId="189" fontId="56" fillId="0" borderId="0"/>
    <xf numFmtId="189" fontId="56" fillId="0" borderId="0"/>
    <xf numFmtId="189" fontId="56" fillId="0" borderId="0"/>
    <xf numFmtId="189" fontId="56" fillId="0" borderId="0"/>
    <xf numFmtId="189" fontId="56" fillId="0" borderId="0"/>
    <xf numFmtId="38" fontId="77" fillId="0" borderId="0" applyFont="0" applyFill="0" applyBorder="0" applyAlignment="0" applyProtection="0"/>
    <xf numFmtId="37" fontId="67" fillId="0" borderId="0" applyFont="0" applyFill="0" applyBorder="0" applyAlignment="0" applyProtection="0"/>
    <xf numFmtId="190" fontId="67" fillId="0" borderId="0" applyFont="0" applyFill="0" applyBorder="0" applyAlignment="0" applyProtection="0"/>
    <xf numFmtId="39" fontId="67" fillId="0" borderId="0" applyFont="0" applyFill="0" applyBorder="0" applyAlignment="0" applyProtection="0"/>
    <xf numFmtId="40" fontId="77" fillId="0" borderId="0" applyFont="0" applyFill="0" applyBorder="0" applyAlignment="0" applyProtection="0"/>
    <xf numFmtId="191" fontId="19" fillId="0" borderId="0" applyFont="0" applyFill="0" applyBorder="0" applyAlignment="0" applyProtection="0"/>
    <xf numFmtId="187" fontId="67" fillId="0" borderId="0" applyFont="0" applyFill="0" applyBorder="0" applyAlignment="0" applyProtection="0"/>
    <xf numFmtId="192" fontId="67" fillId="0" borderId="0" applyFont="0" applyFill="0" applyBorder="0" applyAlignment="0" applyProtection="0"/>
    <xf numFmtId="193" fontId="19" fillId="0" borderId="0" applyFont="0" applyFill="0" applyBorder="0" applyAlignment="0" applyProtection="0"/>
    <xf numFmtId="41" fontId="56" fillId="0" borderId="0" applyFont="0" applyFill="0" applyBorder="0" applyAlignment="0" applyProtection="0"/>
    <xf numFmtId="43" fontId="56" fillId="0" borderId="0" applyFont="0" applyFill="0" applyBorder="0" applyAlignment="0" applyProtection="0"/>
    <xf numFmtId="0" fontId="78" fillId="0" borderId="0">
      <alignment horizontal="left"/>
    </xf>
    <xf numFmtId="0" fontId="79" fillId="28" borderId="15"/>
    <xf numFmtId="194" fontId="63" fillId="0" borderId="0" applyFont="0" applyFill="0" applyBorder="0" applyAlignment="0" applyProtection="0"/>
    <xf numFmtId="0" fontId="80" fillId="0" borderId="0" applyNumberFormat="0" applyFill="0" applyBorder="0" applyAlignment="0" applyProtection="0"/>
    <xf numFmtId="194" fontId="81" fillId="0" borderId="0" applyNumberFormat="0" applyFill="0" applyBorder="0" applyAlignment="0" applyProtection="0">
      <alignment vertical="top"/>
      <protection locked="0"/>
    </xf>
    <xf numFmtId="0" fontId="82" fillId="11" borderId="0" applyNumberFormat="0" applyBorder="0" applyAlignment="0" applyProtection="0"/>
    <xf numFmtId="38" fontId="79" fillId="4" borderId="0" applyNumberFormat="0" applyBorder="0" applyAlignment="0" applyProtection="0"/>
    <xf numFmtId="0" fontId="83" fillId="0" borderId="11" applyNumberFormat="0" applyAlignment="0" applyProtection="0">
      <alignment horizontal="left" vertical="center"/>
    </xf>
    <xf numFmtId="0" fontId="83" fillId="0" borderId="20">
      <alignment horizontal="left" vertical="center"/>
    </xf>
    <xf numFmtId="14" fontId="55" fillId="13" borderId="10">
      <alignment horizontal="center" vertical="center" wrapText="1"/>
    </xf>
    <xf numFmtId="0" fontId="84" fillId="0" borderId="21" applyNumberFormat="0" applyFill="0" applyAlignment="0" applyProtection="0"/>
    <xf numFmtId="0" fontId="85" fillId="0" borderId="22" applyNumberFormat="0" applyFill="0" applyAlignment="0" applyProtection="0"/>
    <xf numFmtId="0" fontId="86" fillId="0" borderId="23" applyNumberFormat="0" applyFill="0" applyAlignment="0" applyProtection="0"/>
    <xf numFmtId="0" fontId="86" fillId="0" borderId="0" applyNumberFormat="0" applyFill="0" applyBorder="0" applyAlignment="0" applyProtection="0"/>
    <xf numFmtId="194" fontId="87" fillId="0" borderId="0" applyNumberFormat="0" applyFill="0" applyBorder="0" applyAlignment="0" applyProtection="0">
      <alignment vertical="top"/>
      <protection locked="0"/>
    </xf>
    <xf numFmtId="0" fontId="88" fillId="14" borderId="17" applyNumberFormat="0" applyAlignment="0" applyProtection="0"/>
    <xf numFmtId="10" fontId="79" fillId="29" borderId="15" applyNumberFormat="0" applyBorder="0" applyAlignment="0" applyProtection="0"/>
    <xf numFmtId="0" fontId="63" fillId="0" borderId="0" applyNumberFormat="0" applyFont="0" applyFill="0" applyBorder="0" applyProtection="0">
      <alignment horizontal="left" vertical="center"/>
    </xf>
    <xf numFmtId="0" fontId="89" fillId="0" borderId="24" applyNumberFormat="0" applyFill="0" applyAlignment="0" applyProtection="0"/>
    <xf numFmtId="41" fontId="56" fillId="0" borderId="0" applyFont="0" applyFill="0" applyBorder="0" applyAlignment="0" applyProtection="0"/>
    <xf numFmtId="43" fontId="56" fillId="0" borderId="0" applyFont="0" applyFill="0" applyBorder="0" applyAlignment="0" applyProtection="0"/>
    <xf numFmtId="195" fontId="19" fillId="0" borderId="0" applyFont="0" applyFill="0" applyBorder="0" applyAlignment="0" applyProtection="0"/>
    <xf numFmtId="196" fontId="19" fillId="0" borderId="0" applyFont="0" applyFill="0" applyBorder="0" applyAlignment="0" applyProtection="0"/>
    <xf numFmtId="197" fontId="56" fillId="0" borderId="0" applyFont="0" applyFill="0" applyBorder="0" applyAlignment="0" applyProtection="0"/>
    <xf numFmtId="198" fontId="56" fillId="0" borderId="0" applyFont="0" applyFill="0" applyBorder="0" applyAlignment="0" applyProtection="0"/>
    <xf numFmtId="199" fontId="56" fillId="0" borderId="0" applyFont="0" applyFill="0" applyBorder="0" applyAlignment="0" applyProtection="0"/>
    <xf numFmtId="200" fontId="19" fillId="0" borderId="0" applyFont="0" applyFill="0" applyBorder="0" applyAlignment="0" applyProtection="0"/>
    <xf numFmtId="0" fontId="90" fillId="30" borderId="0" applyNumberFormat="0" applyBorder="0" applyAlignment="0" applyProtection="0"/>
    <xf numFmtId="37" fontId="91" fillId="0" borderId="0"/>
    <xf numFmtId="194" fontId="92" fillId="0" borderId="0"/>
    <xf numFmtId="201" fontId="19" fillId="0" borderId="0"/>
    <xf numFmtId="0" fontId="77" fillId="0" borderId="0"/>
    <xf numFmtId="0" fontId="93" fillId="0" borderId="0"/>
    <xf numFmtId="0" fontId="56" fillId="29" borderId="25" applyNumberFormat="0" applyFont="0" applyAlignment="0" applyProtection="0"/>
    <xf numFmtId="0" fontId="94" fillId="4" borderId="26" applyNumberFormat="0" applyAlignment="0" applyProtection="0"/>
    <xf numFmtId="202" fontId="56" fillId="0" borderId="0" applyFont="0" applyFill="0" applyBorder="0" applyAlignment="0" applyProtection="0"/>
    <xf numFmtId="10" fontId="56" fillId="0" borderId="0" applyFont="0" applyFill="0" applyBorder="0" applyAlignment="0" applyProtection="0"/>
    <xf numFmtId="0" fontId="79" fillId="4" borderId="15"/>
    <xf numFmtId="4" fontId="78" fillId="0" borderId="0">
      <alignment horizontal="right"/>
    </xf>
    <xf numFmtId="3" fontId="95" fillId="0" borderId="0"/>
    <xf numFmtId="4" fontId="96" fillId="0" borderId="0">
      <alignment horizontal="right"/>
    </xf>
    <xf numFmtId="0" fontId="97" fillId="0" borderId="0">
      <alignment horizontal="left"/>
    </xf>
    <xf numFmtId="0" fontId="98" fillId="0" borderId="15">
      <alignment horizontal="center"/>
    </xf>
    <xf numFmtId="0" fontId="98" fillId="0" borderId="0">
      <alignment horizontal="center" vertical="center"/>
    </xf>
    <xf numFmtId="0" fontId="99" fillId="0" borderId="0" applyNumberFormat="0" applyFill="0">
      <alignment horizontal="left" vertical="center"/>
    </xf>
    <xf numFmtId="0" fontId="100" fillId="0" borderId="0" applyFill="0" applyBorder="0" applyProtection="0">
      <alignment horizontal="left" vertical="top"/>
    </xf>
    <xf numFmtId="0" fontId="101" fillId="0" borderId="0">
      <alignment horizontal="center"/>
    </xf>
    <xf numFmtId="0" fontId="102" fillId="0" borderId="27" applyNumberFormat="0" applyFill="0" applyAlignment="0" applyProtection="0"/>
    <xf numFmtId="0" fontId="103" fillId="0" borderId="0" applyNumberFormat="0" applyFill="0" applyBorder="0" applyAlignment="0" applyProtection="0"/>
    <xf numFmtId="0" fontId="104" fillId="0" borderId="0" applyNumberFormat="0" applyFont="0" applyFill="0" applyBorder="0" applyProtection="0">
      <alignment horizontal="center" vertical="center" wrapText="1"/>
    </xf>
    <xf numFmtId="9" fontId="105" fillId="0" borderId="0" applyFont="0" applyFill="0" applyBorder="0" applyAlignment="0" applyProtection="0"/>
    <xf numFmtId="9" fontId="19" fillId="0" borderId="0" applyFont="0" applyFill="0" applyBorder="0" applyAlignment="0" applyProtection="0"/>
    <xf numFmtId="4" fontId="106" fillId="0" borderId="0">
      <alignment horizontal="right"/>
    </xf>
    <xf numFmtId="194" fontId="34" fillId="0" borderId="0">
      <alignment vertical="center"/>
    </xf>
    <xf numFmtId="0" fontId="19" fillId="0" borderId="0">
      <protection locked="0"/>
    </xf>
    <xf numFmtId="0" fontId="34" fillId="0" borderId="0"/>
    <xf numFmtId="0" fontId="19" fillId="0" borderId="0">
      <protection locked="0"/>
    </xf>
    <xf numFmtId="0" fontId="19" fillId="0" borderId="0">
      <protection locked="0"/>
    </xf>
    <xf numFmtId="194" fontId="34" fillId="0" borderId="0">
      <alignment vertical="center"/>
    </xf>
    <xf numFmtId="194" fontId="19" fillId="0" borderId="0"/>
    <xf numFmtId="194" fontId="107" fillId="0" borderId="0">
      <alignment vertical="center"/>
    </xf>
    <xf numFmtId="194" fontId="62" fillId="0" borderId="0">
      <alignment vertical="center"/>
    </xf>
    <xf numFmtId="0" fontId="19" fillId="0" borderId="0">
      <alignment vertical="center"/>
    </xf>
    <xf numFmtId="0" fontId="108" fillId="0" borderId="0"/>
    <xf numFmtId="0" fontId="19" fillId="0" borderId="0"/>
    <xf numFmtId="0" fontId="19" fillId="0" borderId="0" applyFill="0" applyBorder="0"/>
    <xf numFmtId="0" fontId="19" fillId="0" borderId="0">
      <alignment vertical="center"/>
    </xf>
    <xf numFmtId="0" fontId="109" fillId="0" borderId="0" applyNumberFormat="0" applyFill="0" applyBorder="0" applyAlignment="0" applyProtection="0">
      <alignment vertical="top"/>
      <protection locked="0"/>
    </xf>
    <xf numFmtId="194" fontId="110"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194" fontId="17" fillId="0" borderId="0" applyNumberFormat="0" applyFill="0" applyBorder="0" applyAlignment="0" applyProtection="0">
      <alignment vertical="center"/>
    </xf>
    <xf numFmtId="0" fontId="110" fillId="0" borderId="0" applyNumberFormat="0" applyFill="0" applyBorder="0" applyAlignment="0" applyProtection="0">
      <alignment vertical="top"/>
      <protection locked="0"/>
    </xf>
    <xf numFmtId="0" fontId="72" fillId="0" borderId="0" applyNumberFormat="0" applyFill="0" applyBorder="0" applyAlignment="0" applyProtection="0"/>
    <xf numFmtId="4" fontId="104" fillId="0" borderId="0" applyFont="0" applyFill="0" applyBorder="0" applyAlignment="0" applyProtection="0"/>
    <xf numFmtId="41" fontId="56" fillId="0" borderId="0" applyFont="0" applyFill="0" applyBorder="0" applyAlignment="0" applyProtection="0"/>
    <xf numFmtId="203" fontId="108" fillId="0" borderId="0" applyFont="0" applyFill="0" applyBorder="0" applyAlignment="0" applyProtection="0"/>
    <xf numFmtId="204" fontId="19" fillId="0" borderId="0" applyFont="0" applyFill="0" applyBorder="0" applyAlignment="0" applyProtection="0"/>
    <xf numFmtId="205" fontId="108" fillId="0" borderId="0" applyFont="0" applyFill="0" applyBorder="0" applyAlignment="0" applyProtection="0"/>
    <xf numFmtId="206" fontId="108" fillId="0" borderId="0" applyFont="0" applyFill="0" applyBorder="0" applyAlignment="0" applyProtection="0"/>
    <xf numFmtId="0" fontId="63" fillId="0" borderId="0"/>
    <xf numFmtId="41" fontId="63" fillId="0" borderId="0" applyFont="0" applyFill="0" applyBorder="0" applyAlignment="0" applyProtection="0"/>
    <xf numFmtId="43" fontId="63"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11" fillId="0" borderId="0"/>
    <xf numFmtId="198" fontId="56" fillId="0" borderId="0" applyFont="0" applyFill="0" applyBorder="0" applyAlignment="0" applyProtection="0"/>
    <xf numFmtId="207" fontId="104" fillId="0" borderId="0" applyFont="0" applyFill="0" applyBorder="0" applyAlignment="0" applyProtection="0"/>
    <xf numFmtId="194" fontId="64" fillId="0" borderId="0">
      <alignment vertical="top"/>
    </xf>
    <xf numFmtId="38" fontId="112" fillId="0" borderId="0" applyFont="0" applyFill="0" applyBorder="0" applyAlignment="0" applyProtection="0"/>
    <xf numFmtId="40" fontId="112" fillId="0" borderId="0" applyFont="0" applyFill="0" applyBorder="0" applyAlignment="0" applyProtection="0"/>
    <xf numFmtId="0" fontId="112" fillId="0" borderId="0" applyFont="0" applyFill="0" applyBorder="0" applyAlignment="0" applyProtection="0"/>
    <xf numFmtId="0" fontId="112" fillId="0" borderId="0" applyFont="0" applyFill="0" applyBorder="0" applyAlignment="0" applyProtection="0"/>
    <xf numFmtId="0" fontId="113" fillId="0" borderId="0"/>
    <xf numFmtId="194" fontId="19" fillId="0" borderId="0">
      <protection locked="0"/>
    </xf>
    <xf numFmtId="194" fontId="3" fillId="0" borderId="0">
      <alignment vertical="center"/>
    </xf>
    <xf numFmtId="0" fontId="34" fillId="0" borderId="0">
      <alignment vertical="center"/>
    </xf>
    <xf numFmtId="194" fontId="2" fillId="0" borderId="0">
      <alignment vertical="center"/>
    </xf>
  </cellStyleXfs>
  <cellXfs count="596">
    <xf numFmtId="0" fontId="0" fillId="0" borderId="0" xfId="0">
      <alignment vertical="center"/>
    </xf>
    <xf numFmtId="0" fontId="6" fillId="0" borderId="0" xfId="0" applyFont="1">
      <alignment vertical="center"/>
    </xf>
    <xf numFmtId="0" fontId="7" fillId="0" borderId="0" xfId="0" applyFont="1">
      <alignment vertical="center"/>
    </xf>
    <xf numFmtId="0" fontId="8" fillId="0" borderId="0" xfId="0" applyFont="1" applyProtection="1">
      <alignment vertical="center"/>
      <protection locked="0"/>
    </xf>
    <xf numFmtId="0" fontId="6" fillId="0" borderId="0" xfId="0" applyFont="1" applyAlignment="1">
      <alignment horizontal="center" vertical="center" wrapText="1"/>
    </xf>
    <xf numFmtId="0" fontId="6" fillId="0" borderId="0" xfId="0" applyFont="1" applyAlignment="1">
      <alignment horizontal="center" vertical="center"/>
    </xf>
    <xf numFmtId="0" fontId="9" fillId="0" borderId="0" xfId="0" applyFont="1">
      <alignment vertical="center"/>
    </xf>
    <xf numFmtId="194" fontId="6" fillId="0" borderId="0" xfId="155" applyFont="1">
      <alignment vertical="center"/>
    </xf>
    <xf numFmtId="194" fontId="10" fillId="0" borderId="0" xfId="155" applyFont="1" applyAlignment="1">
      <alignment horizontal="center"/>
    </xf>
    <xf numFmtId="0" fontId="8" fillId="0" borderId="0" xfId="168" applyFont="1">
      <alignment vertical="center"/>
    </xf>
    <xf numFmtId="194" fontId="11" fillId="0" borderId="0" xfId="155" applyFont="1">
      <alignment vertical="center"/>
    </xf>
    <xf numFmtId="194" fontId="12" fillId="0" borderId="0" xfId="155" applyFont="1" applyAlignment="1">
      <alignment horizontal="left" vertical="center"/>
    </xf>
    <xf numFmtId="194" fontId="8" fillId="0" borderId="0" xfId="155" applyFont="1" applyProtection="1">
      <alignment vertical="center"/>
      <protection locked="0"/>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9" fillId="0" borderId="1" xfId="0" applyFont="1" applyBorder="1">
      <alignment vertical="center"/>
    </xf>
    <xf numFmtId="43" fontId="13" fillId="0" borderId="1" xfId="1" applyFont="1" applyBorder="1">
      <alignment vertical="center"/>
    </xf>
    <xf numFmtId="0" fontId="13" fillId="0" borderId="1" xfId="0" applyFont="1" applyBorder="1">
      <alignment vertical="center"/>
    </xf>
    <xf numFmtId="43" fontId="9" fillId="0" borderId="1" xfId="1" applyFont="1" applyBorder="1">
      <alignment vertical="center"/>
    </xf>
    <xf numFmtId="43" fontId="8" fillId="2" borderId="1" xfId="1" applyFont="1" applyFill="1" applyBorder="1" applyAlignment="1">
      <alignment horizontal="right" vertical="center" wrapText="1"/>
    </xf>
    <xf numFmtId="0" fontId="6" fillId="0" borderId="1" xfId="0" applyFont="1" applyBorder="1">
      <alignment vertical="center"/>
    </xf>
    <xf numFmtId="0" fontId="14" fillId="0" borderId="1" xfId="0" applyFont="1" applyBorder="1">
      <alignment vertical="center"/>
    </xf>
    <xf numFmtId="10" fontId="8" fillId="2" borderId="1" xfId="2" applyNumberFormat="1" applyFont="1" applyFill="1" applyBorder="1" applyAlignment="1">
      <alignment horizontal="right" vertical="center" wrapText="1"/>
    </xf>
    <xf numFmtId="0" fontId="15" fillId="0" borderId="0" xfId="0" applyFont="1">
      <alignment vertical="center"/>
    </xf>
    <xf numFmtId="0" fontId="16" fillId="0" borderId="0" xfId="0" applyFont="1" applyProtection="1">
      <alignment vertical="center"/>
      <protection locked="0"/>
    </xf>
    <xf numFmtId="14" fontId="9" fillId="0" borderId="0" xfId="0" applyNumberFormat="1" applyFont="1">
      <alignment vertical="center"/>
    </xf>
    <xf numFmtId="0" fontId="17" fillId="0" borderId="0" xfId="3" applyAlignment="1" applyProtection="1">
      <alignment vertical="center"/>
    </xf>
    <xf numFmtId="0" fontId="18" fillId="0" borderId="0" xfId="0" applyFont="1">
      <alignment vertical="center"/>
    </xf>
    <xf numFmtId="0" fontId="11" fillId="0" borderId="0" xfId="0" applyFont="1" applyProtection="1">
      <alignment vertical="center"/>
      <protection locked="0"/>
    </xf>
    <xf numFmtId="49" fontId="11" fillId="0" borderId="0" xfId="0" applyNumberFormat="1" applyFont="1" applyProtection="1">
      <alignment vertical="center"/>
      <protection locked="0"/>
    </xf>
    <xf numFmtId="0" fontId="19" fillId="0" borderId="0" xfId="159">
      <protection locked="0"/>
    </xf>
    <xf numFmtId="208" fontId="13" fillId="0" borderId="1" xfId="0" applyNumberFormat="1" applyFont="1" applyBorder="1">
      <alignment vertical="center"/>
    </xf>
    <xf numFmtId="208" fontId="13" fillId="0" borderId="1" xfId="1" applyNumberFormat="1" applyFont="1" applyBorder="1">
      <alignment vertical="center"/>
    </xf>
    <xf numFmtId="9" fontId="8" fillId="2" borderId="1" xfId="2" applyFont="1" applyFill="1" applyBorder="1" applyAlignment="1">
      <alignment horizontal="right" vertical="center" wrapText="1"/>
    </xf>
    <xf numFmtId="0" fontId="11" fillId="0" borderId="0" xfId="0" applyFont="1" applyAlignment="1" applyProtection="1">
      <alignment horizontal="right" vertical="center"/>
      <protection locked="0"/>
    </xf>
    <xf numFmtId="0" fontId="16" fillId="2" borderId="1" xfId="0" applyFont="1" applyFill="1" applyBorder="1" applyAlignment="1" applyProtection="1">
      <alignment horizontal="center" vertical="center" wrapText="1"/>
      <protection locked="0"/>
    </xf>
    <xf numFmtId="43" fontId="9" fillId="0" borderId="1" xfId="1" applyFont="1" applyFill="1" applyBorder="1">
      <alignment vertical="center"/>
    </xf>
    <xf numFmtId="49" fontId="9" fillId="0" borderId="1" xfId="0" applyNumberFormat="1" applyFont="1" applyBorder="1">
      <alignment vertical="center"/>
    </xf>
    <xf numFmtId="0" fontId="16" fillId="0" borderId="8" xfId="0" applyFont="1" applyBorder="1" applyProtection="1">
      <alignment vertical="center"/>
      <protection locked="0"/>
    </xf>
    <xf numFmtId="0" fontId="21" fillId="0" borderId="0" xfId="0" applyFont="1">
      <alignment vertical="center"/>
    </xf>
    <xf numFmtId="43" fontId="8" fillId="0" borderId="1" xfId="1" applyFont="1" applyFill="1" applyBorder="1" applyAlignment="1">
      <alignment horizontal="right" vertical="center" wrapText="1"/>
    </xf>
    <xf numFmtId="0" fontId="8" fillId="0" borderId="0" xfId="164" applyFont="1">
      <alignment vertical="center"/>
    </xf>
    <xf numFmtId="0" fontId="22" fillId="0" borderId="0" xfId="164" applyFont="1">
      <alignment vertical="center"/>
    </xf>
    <xf numFmtId="0" fontId="8" fillId="0" borderId="0" xfId="166" applyFont="1" applyAlignment="1" applyProtection="1">
      <alignment vertical="center"/>
      <protection locked="0"/>
    </xf>
    <xf numFmtId="0" fontId="23" fillId="0" borderId="0" xfId="156" applyFont="1" applyAlignment="1">
      <alignment vertical="center"/>
      <protection locked="0"/>
    </xf>
    <xf numFmtId="0" fontId="23" fillId="0" borderId="0" xfId="156" applyFont="1">
      <protection locked="0"/>
    </xf>
    <xf numFmtId="0" fontId="8" fillId="0" borderId="0" xfId="156" applyFont="1" applyAlignment="1">
      <alignment vertical="center"/>
      <protection locked="0"/>
    </xf>
    <xf numFmtId="0" fontId="11" fillId="0" borderId="0" xfId="156" applyFont="1" applyAlignment="1">
      <alignment vertical="center"/>
      <protection locked="0"/>
    </xf>
    <xf numFmtId="14" fontId="11" fillId="0" borderId="0" xfId="156" applyNumberFormat="1" applyFont="1" applyAlignment="1">
      <alignment vertical="center"/>
      <protection locked="0"/>
    </xf>
    <xf numFmtId="0" fontId="16" fillId="0" borderId="0" xfId="166" applyFont="1" applyAlignment="1">
      <alignment vertical="center"/>
    </xf>
    <xf numFmtId="0" fontId="12" fillId="0" borderId="0" xfId="166" applyFont="1" applyAlignment="1">
      <alignment vertical="center"/>
    </xf>
    <xf numFmtId="0" fontId="26" fillId="0" borderId="0" xfId="0" applyNumberFormat="1" applyFont="1" applyFill="1" applyBorder="1" applyAlignment="1" applyProtection="1">
      <alignment horizontal="left" vertical="center"/>
    </xf>
    <xf numFmtId="0" fontId="26" fillId="0" borderId="0" xfId="0" applyFont="1" applyAlignment="1">
      <alignment horizontal="left" vertical="center"/>
    </xf>
    <xf numFmtId="0" fontId="8" fillId="0" borderId="0" xfId="156" applyFont="1" applyAlignment="1" applyProtection="1">
      <alignment horizontal="right" vertical="center"/>
    </xf>
    <xf numFmtId="0" fontId="11" fillId="0" borderId="0" xfId="156" applyFont="1" applyAlignment="1" applyProtection="1">
      <alignment vertical="center"/>
    </xf>
    <xf numFmtId="194" fontId="27" fillId="0" borderId="0" xfId="0" applyNumberFormat="1" applyFont="1" applyFill="1" applyBorder="1" applyAlignment="1" applyProtection="1">
      <alignment horizontal="left" vertical="center"/>
    </xf>
    <xf numFmtId="0" fontId="27" fillId="0" borderId="0" xfId="0" applyNumberFormat="1" applyFont="1" applyFill="1" applyBorder="1" applyAlignment="1" applyProtection="1">
      <alignment horizontal="left" vertical="center"/>
    </xf>
    <xf numFmtId="0" fontId="23" fillId="0" borderId="0" xfId="166" applyFont="1" applyAlignment="1" applyProtection="1">
      <alignment horizontal="center" vertical="center"/>
      <protection hidden="1"/>
    </xf>
    <xf numFmtId="0" fontId="8" fillId="0" borderId="0" xfId="166" applyFont="1" applyAlignment="1" applyProtection="1">
      <alignment horizontal="left" vertical="center"/>
      <protection hidden="1"/>
    </xf>
    <xf numFmtId="0" fontId="23" fillId="0" borderId="0" xfId="166" applyFont="1" applyAlignment="1" applyProtection="1">
      <alignment horizontal="left" vertical="center"/>
      <protection locked="0"/>
    </xf>
    <xf numFmtId="0" fontId="16" fillId="3" borderId="1" xfId="0" applyNumberFormat="1" applyFont="1" applyFill="1" applyBorder="1" applyAlignment="1" applyProtection="1">
      <alignment horizontal="center" vertical="center"/>
      <protection locked="0"/>
    </xf>
    <xf numFmtId="0" fontId="8" fillId="0" borderId="1" xfId="156" applyFont="1" applyBorder="1" applyAlignment="1">
      <alignment horizontal="center" vertical="center"/>
      <protection locked="0"/>
    </xf>
    <xf numFmtId="43" fontId="8" fillId="0" borderId="1" xfId="156" applyNumberFormat="1" applyFont="1" applyBorder="1" applyAlignment="1">
      <alignment horizontal="center" vertical="center"/>
      <protection locked="0"/>
    </xf>
    <xf numFmtId="0" fontId="8" fillId="0" borderId="1" xfId="156" applyFont="1" applyBorder="1" applyAlignment="1">
      <alignment vertical="center"/>
      <protection locked="0"/>
    </xf>
    <xf numFmtId="43" fontId="8" fillId="0" borderId="1" xfId="156" applyNumberFormat="1" applyFont="1" applyBorder="1" applyAlignment="1">
      <alignment vertical="center"/>
      <protection locked="0"/>
    </xf>
    <xf numFmtId="0" fontId="12" fillId="2" borderId="3" xfId="156" applyFont="1" applyFill="1" applyBorder="1" applyAlignment="1">
      <alignment horizontal="centerContinuous" vertical="center"/>
      <protection locked="0"/>
    </xf>
    <xf numFmtId="0" fontId="12" fillId="2" borderId="4" xfId="156" applyFont="1" applyFill="1" applyBorder="1" applyAlignment="1">
      <alignment horizontal="centerContinuous" vertical="center"/>
      <protection locked="0"/>
    </xf>
    <xf numFmtId="0" fontId="8" fillId="0" borderId="1" xfId="156" applyFont="1" applyBorder="1" applyAlignment="1">
      <alignment horizontal="justify" vertical="center"/>
      <protection locked="0"/>
    </xf>
    <xf numFmtId="0" fontId="16" fillId="0" borderId="0" xfId="156" applyFont="1" applyAlignment="1">
      <alignment vertical="center"/>
      <protection locked="0"/>
    </xf>
    <xf numFmtId="0" fontId="28" fillId="0" borderId="0" xfId="166" applyFont="1" applyAlignment="1">
      <alignment vertical="center"/>
    </xf>
    <xf numFmtId="0" fontId="29" fillId="0" borderId="0" xfId="156" applyFont="1" applyAlignment="1">
      <alignment vertical="center"/>
      <protection locked="0"/>
    </xf>
    <xf numFmtId="0" fontId="30" fillId="0" borderId="0" xfId="156" applyFont="1" applyAlignment="1">
      <alignment vertical="center"/>
      <protection locked="0"/>
    </xf>
    <xf numFmtId="0" fontId="31" fillId="0" borderId="0" xfId="156" applyFont="1" applyAlignment="1">
      <alignment horizontal="left"/>
      <protection locked="0"/>
    </xf>
    <xf numFmtId="0" fontId="23" fillId="0" borderId="0" xfId="156" applyFont="1" applyAlignment="1">
      <alignment horizontal="right"/>
      <protection locked="0"/>
    </xf>
    <xf numFmtId="0" fontId="30" fillId="0" borderId="0" xfId="156" applyFont="1">
      <protection locked="0"/>
    </xf>
    <xf numFmtId="0" fontId="11" fillId="0" borderId="0" xfId="156" applyFont="1" applyAlignment="1">
      <alignment horizontal="left" vertical="center"/>
      <protection locked="0"/>
    </xf>
    <xf numFmtId="0" fontId="8" fillId="0" borderId="1" xfId="156" applyFont="1" applyBorder="1" applyAlignment="1">
      <alignment horizontal="center" vertical="center" wrapText="1"/>
      <protection locked="0"/>
    </xf>
    <xf numFmtId="0" fontId="12" fillId="2" borderId="5" xfId="156" applyFont="1" applyFill="1" applyBorder="1" applyAlignment="1">
      <alignment horizontal="centerContinuous" vertical="center"/>
      <protection locked="0"/>
    </xf>
    <xf numFmtId="0" fontId="12" fillId="2" borderId="1" xfId="156" applyFont="1" applyFill="1" applyBorder="1" applyAlignment="1">
      <alignment horizontal="centerContinuous" vertical="center"/>
      <protection locked="0"/>
    </xf>
    <xf numFmtId="0" fontId="8" fillId="0" borderId="0" xfId="0" applyNumberFormat="1" applyFont="1" applyFill="1" applyBorder="1" applyAlignment="1" applyProtection="1">
      <alignment vertical="center"/>
      <protection locked="0"/>
    </xf>
    <xf numFmtId="0" fontId="11" fillId="0" borderId="0" xfId="0" applyNumberFormat="1" applyFont="1" applyFill="1" applyBorder="1" applyAlignment="1" applyProtection="1">
      <alignment horizontal="left" vertical="center"/>
    </xf>
    <xf numFmtId="0" fontId="30" fillId="0" borderId="0" xfId="0" applyNumberFormat="1" applyFont="1" applyFill="1" applyBorder="1" applyAlignment="1" applyProtection="1">
      <alignment horizontal="left" vertical="center"/>
    </xf>
    <xf numFmtId="0" fontId="19" fillId="0" borderId="0" xfId="0" applyNumberFormat="1" applyFont="1" applyFill="1" applyBorder="1" applyAlignment="1" applyProtection="1">
      <protection locked="0"/>
    </xf>
    <xf numFmtId="14" fontId="32" fillId="0" borderId="0" xfId="0" applyNumberFormat="1" applyFont="1">
      <alignment vertical="center"/>
    </xf>
    <xf numFmtId="0" fontId="16" fillId="0" borderId="0" xfId="0" applyNumberFormat="1" applyFont="1" applyFill="1" applyBorder="1" applyAlignment="1" applyProtection="1">
      <alignment vertical="center"/>
      <protection locked="0"/>
    </xf>
    <xf numFmtId="0" fontId="23" fillId="0" borderId="0" xfId="0" applyNumberFormat="1" applyFont="1" applyFill="1" applyBorder="1" applyAlignment="1" applyProtection="1">
      <protection locked="0"/>
    </xf>
    <xf numFmtId="0" fontId="33" fillId="0" borderId="0" xfId="0" applyNumberFormat="1" applyFont="1" applyFill="1" applyBorder="1" applyAlignment="1" applyProtection="1">
      <protection locked="0"/>
    </xf>
    <xf numFmtId="0" fontId="6" fillId="0" borderId="0" xfId="156" applyFont="1" applyAlignment="1" applyProtection="1">
      <alignment vertical="center"/>
    </xf>
    <xf numFmtId="0" fontId="8" fillId="0" borderId="0" xfId="0" applyNumberFormat="1" applyFont="1" applyFill="1" applyBorder="1" applyAlignment="1" applyProtection="1">
      <alignment vertical="center"/>
    </xf>
    <xf numFmtId="0" fontId="12" fillId="0" borderId="0" xfId="156" applyFont="1" applyAlignment="1" applyProtection="1">
      <alignment horizontal="left" vertical="center"/>
    </xf>
    <xf numFmtId="43" fontId="9" fillId="2" borderId="1" xfId="1" applyFont="1" applyFill="1" applyBorder="1" applyAlignment="1">
      <alignment horizontal="right" vertical="center"/>
    </xf>
    <xf numFmtId="0" fontId="19" fillId="0" borderId="0" xfId="158" applyAlignment="1">
      <alignment wrapText="1"/>
      <protection locked="0"/>
    </xf>
    <xf numFmtId="0" fontId="19" fillId="0" borderId="0" xfId="158">
      <protection locked="0"/>
    </xf>
    <xf numFmtId="0" fontId="32" fillId="0" borderId="0" xfId="0" applyFont="1">
      <alignment vertical="center"/>
    </xf>
    <xf numFmtId="0" fontId="15" fillId="2" borderId="1" xfId="158" applyFont="1" applyFill="1" applyBorder="1" applyAlignment="1" applyProtection="1">
      <alignment vertical="center" wrapText="1"/>
    </xf>
    <xf numFmtId="0" fontId="15" fillId="3" borderId="1" xfId="0" applyNumberFormat="1" applyFont="1" applyFill="1" applyBorder="1" applyAlignment="1" applyProtection="1">
      <alignment horizontal="center" vertical="center" wrapText="1"/>
    </xf>
    <xf numFmtId="194" fontId="16" fillId="2" borderId="1" xfId="161" applyFont="1" applyFill="1" applyBorder="1" applyAlignment="1" applyProtection="1">
      <alignment horizontal="center" vertical="center" wrapText="1"/>
      <protection locked="0"/>
    </xf>
    <xf numFmtId="194" fontId="39" fillId="2" borderId="1" xfId="161" applyFont="1" applyFill="1" applyBorder="1" applyAlignment="1" applyProtection="1">
      <alignment horizontal="center" vertical="center" wrapText="1"/>
      <protection locked="0"/>
    </xf>
    <xf numFmtId="0" fontId="32" fillId="0" borderId="1" xfId="158" applyFont="1" applyBorder="1" applyAlignment="1" applyProtection="1">
      <alignment vertical="center"/>
    </xf>
    <xf numFmtId="0" fontId="11" fillId="0" borderId="1" xfId="158" applyFont="1" applyBorder="1" applyAlignment="1" applyProtection="1">
      <alignment vertical="center"/>
    </xf>
    <xf numFmtId="0" fontId="36" fillId="0" borderId="1" xfId="158" applyFont="1" applyBorder="1" applyAlignment="1" applyProtection="1">
      <alignment horizontal="left" vertical="center" indent="1"/>
    </xf>
    <xf numFmtId="0" fontId="6" fillId="0" borderId="1" xfId="158" applyFont="1" applyBorder="1" applyAlignment="1" applyProtection="1">
      <alignment horizontal="center" vertical="center"/>
    </xf>
    <xf numFmtId="43" fontId="12" fillId="0" borderId="8" xfId="167" applyNumberFormat="1" applyFont="1" applyBorder="1" applyAlignment="1">
      <alignment horizontal="left" vertical="center"/>
    </xf>
    <xf numFmtId="43" fontId="8" fillId="0" borderId="8" xfId="167" applyNumberFormat="1" applyFont="1" applyBorder="1" applyAlignment="1">
      <alignment horizontal="left" vertical="center"/>
    </xf>
    <xf numFmtId="43" fontId="40" fillId="0" borderId="8" xfId="173" applyNumberFormat="1" applyFont="1" applyBorder="1" applyAlignment="1" applyProtection="1">
      <alignment horizontal="center" vertical="center"/>
    </xf>
    <xf numFmtId="0" fontId="8" fillId="0" borderId="0" xfId="165" applyFont="1" applyAlignment="1">
      <alignment vertical="center"/>
    </xf>
    <xf numFmtId="9" fontId="41" fillId="0" borderId="0" xfId="153" applyFont="1" applyBorder="1" applyAlignment="1">
      <alignment horizontal="left" vertical="center"/>
    </xf>
    <xf numFmtId="0" fontId="8" fillId="0" borderId="0" xfId="165" applyFont="1" applyAlignment="1">
      <alignment horizontal="left" vertical="center"/>
    </xf>
    <xf numFmtId="10" fontId="41" fillId="0" borderId="0" xfId="153" applyNumberFormat="1" applyFont="1" applyBorder="1" applyAlignment="1">
      <alignment horizontal="left" vertical="center"/>
    </xf>
    <xf numFmtId="0" fontId="12" fillId="0" borderId="0" xfId="165" applyFont="1" applyAlignment="1">
      <alignment vertical="center"/>
    </xf>
    <xf numFmtId="0" fontId="8" fillId="0" borderId="0" xfId="0" applyNumberFormat="1" applyFont="1" applyFill="1" applyBorder="1" applyAlignment="1" applyProtection="1">
      <alignment horizontal="right" vertical="center"/>
      <protection locked="0"/>
    </xf>
    <xf numFmtId="0" fontId="46" fillId="0" borderId="0" xfId="0" applyFont="1">
      <alignment vertical="center"/>
    </xf>
    <xf numFmtId="0" fontId="46" fillId="0" borderId="0" xfId="0" applyFont="1" applyAlignment="1">
      <alignment horizontal="justify" vertical="center"/>
    </xf>
    <xf numFmtId="0" fontId="47" fillId="0" borderId="10" xfId="0" applyFont="1" applyBorder="1" applyAlignment="1">
      <alignment horizontal="center" vertical="center" wrapText="1"/>
    </xf>
    <xf numFmtId="0" fontId="48" fillId="0" borderId="0" xfId="0" applyFont="1" applyAlignment="1">
      <alignment horizontal="justify" vertical="center" wrapText="1"/>
    </xf>
    <xf numFmtId="43" fontId="49" fillId="0" borderId="0" xfId="0" applyNumberFormat="1" applyFont="1" applyAlignment="1">
      <alignment horizontal="right" vertical="center" wrapText="1"/>
    </xf>
    <xf numFmtId="0" fontId="47" fillId="0" borderId="11" xfId="0" applyFont="1" applyBorder="1" applyAlignment="1">
      <alignment horizontal="justify" vertical="center" wrapText="1"/>
    </xf>
    <xf numFmtId="43" fontId="50" fillId="0" borderId="11" xfId="0" applyNumberFormat="1" applyFont="1" applyBorder="1" applyAlignment="1">
      <alignment horizontal="right" vertical="center" wrapText="1"/>
    </xf>
    <xf numFmtId="0" fontId="4" fillId="5" borderId="0" xfId="0" applyFont="1" applyFill="1">
      <alignment vertical="center"/>
    </xf>
    <xf numFmtId="0" fontId="4" fillId="5" borderId="0" xfId="0" applyFont="1" applyFill="1" applyAlignment="1">
      <alignment horizontal="right" vertical="center" wrapText="1"/>
    </xf>
    <xf numFmtId="0" fontId="4" fillId="5" borderId="10" xfId="0" applyFont="1" applyFill="1" applyBorder="1" applyAlignment="1">
      <alignment horizontal="right" vertical="center" wrapText="1"/>
    </xf>
    <xf numFmtId="43" fontId="53" fillId="0" borderId="0" xfId="1" applyFont="1" applyAlignment="1">
      <alignment horizontal="justify" vertical="center" wrapText="1"/>
    </xf>
    <xf numFmtId="43" fontId="5" fillId="0" borderId="0" xfId="0" applyNumberFormat="1" applyFont="1" applyAlignment="1">
      <alignment horizontal="right" vertical="center" wrapText="1"/>
    </xf>
    <xf numFmtId="49" fontId="53" fillId="0" borderId="0" xfId="1" applyNumberFormat="1" applyFont="1" applyAlignment="1">
      <alignment horizontal="justify" vertical="center" wrapText="1"/>
    </xf>
    <xf numFmtId="49" fontId="53" fillId="0" borderId="10" xfId="1" applyNumberFormat="1" applyFont="1" applyBorder="1" applyAlignment="1">
      <alignment horizontal="justify" vertical="center" wrapText="1"/>
    </xf>
    <xf numFmtId="0" fontId="47" fillId="0" borderId="10" xfId="0" applyFont="1" applyBorder="1" applyAlignment="1">
      <alignment horizontal="justify" vertical="center" wrapText="1"/>
    </xf>
    <xf numFmtId="43" fontId="47" fillId="0" borderId="11" xfId="0" applyNumberFormat="1" applyFont="1" applyBorder="1" applyAlignment="1">
      <alignment horizontal="right" vertical="center" wrapText="1"/>
    </xf>
    <xf numFmtId="0" fontId="38" fillId="0" borderId="0" xfId="0" applyFont="1" applyAlignment="1">
      <alignment horizontal="left" vertical="center"/>
    </xf>
    <xf numFmtId="0" fontId="5" fillId="0" borderId="0" xfId="0" applyFont="1" applyAlignment="1">
      <alignment horizontal="justify" vertical="center" wrapText="1"/>
    </xf>
    <xf numFmtId="43" fontId="5" fillId="0" borderId="0" xfId="0" applyNumberFormat="1" applyFont="1" applyAlignment="1">
      <alignment horizontal="justify" vertical="center" wrapText="1"/>
    </xf>
    <xf numFmtId="43" fontId="5" fillId="0" borderId="11" xfId="0" applyNumberFormat="1" applyFont="1" applyBorder="1" applyAlignment="1">
      <alignment horizontal="justify" vertical="center" wrapText="1"/>
    </xf>
    <xf numFmtId="0" fontId="46" fillId="0" borderId="0" xfId="0" applyFont="1" applyAlignment="1">
      <alignment horizontal="left" vertical="center"/>
    </xf>
    <xf numFmtId="0" fontId="4" fillId="5" borderId="0" xfId="0" applyFont="1" applyFill="1" applyAlignment="1">
      <alignment horizontal="justify" vertical="center"/>
    </xf>
    <xf numFmtId="0" fontId="46" fillId="5" borderId="0" xfId="0" applyFont="1" applyFill="1">
      <alignment vertical="center"/>
    </xf>
    <xf numFmtId="0" fontId="47" fillId="5" borderId="11" xfId="0" applyFont="1" applyFill="1" applyBorder="1" applyAlignment="1">
      <alignment horizontal="justify" vertical="center" wrapText="1"/>
    </xf>
    <xf numFmtId="0" fontId="47" fillId="5" borderId="11" xfId="0" applyFont="1" applyFill="1" applyBorder="1" applyAlignment="1">
      <alignment horizontal="right" vertical="center" wrapText="1"/>
    </xf>
    <xf numFmtId="0" fontId="47" fillId="5" borderId="11" xfId="0" applyFont="1" applyFill="1" applyBorder="1" applyAlignment="1">
      <alignment horizontal="center" vertical="center" wrapText="1"/>
    </xf>
    <xf numFmtId="0" fontId="4" fillId="5" borderId="0" xfId="0" applyFont="1" applyFill="1" applyAlignment="1">
      <alignment horizontal="justify" vertical="center" wrapText="1"/>
    </xf>
    <xf numFmtId="0" fontId="4" fillId="5" borderId="10" xfId="0" applyFont="1" applyFill="1" applyBorder="1" applyAlignment="1">
      <alignment horizontal="justify" vertical="center" wrapText="1"/>
    </xf>
    <xf numFmtId="0" fontId="38" fillId="5" borderId="0" xfId="0" applyFont="1" applyFill="1" applyAlignment="1">
      <alignment horizontal="justify" vertical="center"/>
    </xf>
    <xf numFmtId="0" fontId="38" fillId="5" borderId="0" xfId="0" applyFont="1" applyFill="1">
      <alignment vertical="center"/>
    </xf>
    <xf numFmtId="194" fontId="6" fillId="2" borderId="1" xfId="159" applyNumberFormat="1" applyFont="1" applyFill="1" applyBorder="1" applyAlignment="1">
      <alignment horizontal="center" vertical="center" wrapText="1"/>
      <protection locked="0"/>
    </xf>
    <xf numFmtId="194" fontId="12" fillId="2" borderId="1" xfId="160" applyFont="1" applyFill="1" applyBorder="1" applyAlignment="1" applyProtection="1">
      <alignment horizontal="center" vertical="center" wrapText="1"/>
      <protection locked="0"/>
    </xf>
    <xf numFmtId="194" fontId="12" fillId="2" borderId="1" xfId="159" applyNumberFormat="1" applyFont="1" applyFill="1" applyBorder="1" applyAlignment="1">
      <alignment horizontal="center" vertical="center"/>
      <protection locked="0"/>
    </xf>
    <xf numFmtId="43" fontId="44" fillId="0" borderId="1" xfId="1" applyFont="1" applyBorder="1">
      <alignment vertical="center"/>
    </xf>
    <xf numFmtId="0" fontId="54" fillId="0" borderId="0" xfId="0" applyFont="1" applyFill="1">
      <alignment vertical="center"/>
    </xf>
    <xf numFmtId="0" fontId="31" fillId="0" borderId="0" xfId="0" applyNumberFormat="1" applyFont="1" applyFill="1" applyBorder="1" applyAlignment="1" applyProtection="1">
      <alignment vertical="center"/>
    </xf>
    <xf numFmtId="0" fontId="30" fillId="0" borderId="0" xfId="0" applyNumberFormat="1" applyFont="1" applyFill="1" applyBorder="1" applyAlignment="1" applyProtection="1">
      <alignment vertical="center"/>
    </xf>
    <xf numFmtId="43" fontId="9" fillId="0" borderId="1" xfId="0" applyNumberFormat="1" applyFont="1" applyBorder="1">
      <alignment vertical="center"/>
    </xf>
    <xf numFmtId="194" fontId="8" fillId="0" borderId="0" xfId="162" applyFont="1" applyProtection="1">
      <alignment vertical="center"/>
      <protection locked="0"/>
    </xf>
    <xf numFmtId="194" fontId="9" fillId="0" borderId="0" xfId="162" applyFont="1">
      <alignment vertical="center"/>
    </xf>
    <xf numFmtId="194" fontId="8" fillId="0" borderId="0" xfId="162" applyFont="1">
      <alignment vertical="center"/>
    </xf>
    <xf numFmtId="194" fontId="11" fillId="0" borderId="0" xfId="162" applyFont="1" applyAlignment="1" applyProtection="1">
      <alignment horizontal="left" vertical="center"/>
      <protection locked="0"/>
    </xf>
    <xf numFmtId="194" fontId="8" fillId="0" borderId="0" xfId="162" applyFont="1" applyAlignment="1">
      <alignment horizontal="right" vertical="center"/>
    </xf>
    <xf numFmtId="0" fontId="32" fillId="0" borderId="0" xfId="0" applyNumberFormat="1" applyFont="1" applyFill="1" applyBorder="1" applyAlignment="1" applyProtection="1">
      <alignment vertical="center"/>
    </xf>
    <xf numFmtId="49" fontId="16" fillId="0" borderId="0" xfId="0" applyNumberFormat="1" applyFont="1" applyFill="1" applyBorder="1" applyAlignment="1" applyProtection="1">
      <alignment horizontal="left" vertical="center"/>
      <protection locked="0"/>
    </xf>
    <xf numFmtId="194" fontId="12" fillId="0" borderId="0" xfId="0" applyNumberFormat="1" applyFont="1" applyFill="1" applyBorder="1" applyAlignment="1" applyProtection="1">
      <alignment horizontal="justify" vertical="center"/>
      <protection locked="0"/>
    </xf>
    <xf numFmtId="194" fontId="8" fillId="0" borderId="0" xfId="0" applyNumberFormat="1" applyFont="1" applyFill="1" applyBorder="1" applyAlignment="1" applyProtection="1">
      <alignment vertical="center"/>
      <protection locked="0"/>
    </xf>
    <xf numFmtId="194" fontId="56" fillId="0" borderId="0" xfId="0" applyNumberFormat="1" applyFont="1" applyFill="1" applyBorder="1" applyAlignment="1" applyProtection="1">
      <alignment horizontal="center" vertical="center" wrapText="1"/>
      <protection locked="0"/>
    </xf>
    <xf numFmtId="49" fontId="8" fillId="0" borderId="1" xfId="0" applyNumberFormat="1" applyFont="1" applyFill="1" applyBorder="1" applyAlignment="1" applyProtection="1">
      <alignment horizontal="center" vertical="center"/>
      <protection locked="0"/>
    </xf>
    <xf numFmtId="194" fontId="32" fillId="0" borderId="1" xfId="0" applyNumberFormat="1" applyFont="1" applyFill="1" applyBorder="1" applyAlignment="1" applyProtection="1">
      <alignment vertical="center" wrapText="1"/>
    </xf>
    <xf numFmtId="194" fontId="32" fillId="0" borderId="1" xfId="0" applyNumberFormat="1" applyFont="1" applyFill="1" applyBorder="1" applyAlignment="1" applyProtection="1">
      <alignment horizontal="center" vertical="center" wrapText="1"/>
    </xf>
    <xf numFmtId="194" fontId="15" fillId="0" borderId="1" xfId="0" applyNumberFormat="1" applyFont="1" applyFill="1" applyBorder="1" applyAlignment="1" applyProtection="1">
      <alignment horizontal="center" vertical="center" wrapText="1"/>
    </xf>
    <xf numFmtId="194" fontId="9" fillId="0" borderId="1" xfId="0" applyNumberFormat="1" applyFont="1" applyFill="1" applyBorder="1" applyAlignment="1" applyProtection="1">
      <alignment horizontal="center" vertical="center" wrapText="1"/>
    </xf>
    <xf numFmtId="194" fontId="60" fillId="0" borderId="1" xfId="0" applyNumberFormat="1" applyFont="1" applyFill="1" applyBorder="1" applyAlignment="1" applyProtection="1">
      <alignment vertical="center" wrapText="1"/>
    </xf>
    <xf numFmtId="194" fontId="32" fillId="0" borderId="6" xfId="0" applyNumberFormat="1" applyFont="1" applyFill="1" applyBorder="1" applyAlignment="1" applyProtection="1">
      <alignment vertical="center" wrapText="1"/>
    </xf>
    <xf numFmtId="0" fontId="11" fillId="0" borderId="1" xfId="0" applyNumberFormat="1" applyFont="1" applyFill="1" applyBorder="1" applyAlignment="1" applyProtection="1">
      <alignment horizontal="justify" vertical="center" wrapText="1"/>
      <protection locked="0"/>
    </xf>
    <xf numFmtId="0" fontId="32" fillId="0" borderId="1" xfId="0" applyNumberFormat="1"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center" vertical="center" wrapText="1"/>
      <protection locked="0"/>
    </xf>
    <xf numFmtId="0" fontId="16" fillId="0" borderId="1" xfId="0" applyNumberFormat="1" applyFont="1" applyFill="1" applyBorder="1" applyAlignment="1" applyProtection="1">
      <alignment horizontal="center" vertical="center" wrapText="1"/>
      <protection locked="0"/>
    </xf>
    <xf numFmtId="194" fontId="8" fillId="0" borderId="1" xfId="0" applyNumberFormat="1" applyFont="1" applyFill="1" applyBorder="1" applyAlignment="1" applyProtection="1">
      <alignment horizontal="center" vertical="center" wrapText="1"/>
    </xf>
    <xf numFmtId="0" fontId="7"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center" vertical="center"/>
    </xf>
    <xf numFmtId="0" fontId="25" fillId="0" borderId="0" xfId="0" applyFont="1" applyProtection="1">
      <alignment vertical="center"/>
      <protection locked="0"/>
    </xf>
    <xf numFmtId="0" fontId="8" fillId="7" borderId="0" xfId="0" applyNumberFormat="1" applyFont="1" applyFill="1" applyBorder="1" applyAlignment="1" applyProtection="1">
      <alignment horizontal="justify" vertical="center" wrapText="1"/>
      <protection locked="0"/>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9" fillId="0" borderId="15" xfId="0" applyFont="1" applyBorder="1" applyAlignment="1">
      <alignment horizontal="center" vertical="center"/>
    </xf>
    <xf numFmtId="0" fontId="17" fillId="0" borderId="15" xfId="3" applyBorder="1" applyAlignment="1" applyProtection="1">
      <alignment vertical="center"/>
    </xf>
    <xf numFmtId="0" fontId="9" fillId="0" borderId="15" xfId="0" applyFont="1" applyBorder="1">
      <alignment vertical="center"/>
    </xf>
    <xf numFmtId="0" fontId="6" fillId="0" borderId="15" xfId="0" applyFont="1" applyBorder="1">
      <alignment vertical="center"/>
    </xf>
    <xf numFmtId="0" fontId="8" fillId="0" borderId="0" xfId="0" applyNumberFormat="1" applyFont="1" applyFill="1" applyBorder="1" applyAlignment="1" applyProtection="1">
      <alignment vertical="center"/>
      <protection locked="0"/>
    </xf>
    <xf numFmtId="194" fontId="44" fillId="0" borderId="1" xfId="0" applyNumberFormat="1" applyFont="1" applyFill="1" applyBorder="1" applyAlignment="1" applyProtection="1">
      <alignment horizontal="center" vertical="center" wrapText="1"/>
    </xf>
    <xf numFmtId="0" fontId="16" fillId="3" borderId="28" xfId="0" applyNumberFormat="1" applyFont="1" applyFill="1" applyBorder="1" applyAlignment="1" applyProtection="1">
      <alignment horizontal="center" vertical="center"/>
      <protection locked="0"/>
    </xf>
    <xf numFmtId="0" fontId="16" fillId="3" borderId="28" xfId="0" applyNumberFormat="1" applyFont="1" applyFill="1" applyBorder="1" applyAlignment="1" applyProtection="1">
      <alignment horizontal="center" vertical="center" wrapText="1"/>
      <protection locked="0"/>
    </xf>
    <xf numFmtId="194" fontId="117" fillId="0" borderId="30" xfId="0" applyNumberFormat="1" applyFont="1" applyFill="1" applyBorder="1" applyAlignment="1" applyProtection="1">
      <alignment vertical="center" wrapText="1"/>
    </xf>
    <xf numFmtId="0" fontId="32" fillId="0" borderId="30" xfId="0" applyNumberFormat="1" applyFont="1" applyFill="1" applyBorder="1" applyAlignment="1" applyProtection="1">
      <alignment horizontal="center" vertical="center" wrapText="1"/>
    </xf>
    <xf numFmtId="194" fontId="9" fillId="0" borderId="30" xfId="0" applyNumberFormat="1" applyFont="1" applyFill="1" applyBorder="1" applyAlignment="1" applyProtection="1">
      <alignment horizontal="center" vertical="center" wrapText="1"/>
    </xf>
    <xf numFmtId="194" fontId="8" fillId="0" borderId="30" xfId="0" applyNumberFormat="1" applyFont="1" applyFill="1" applyBorder="1" applyAlignment="1" applyProtection="1">
      <alignment horizontal="center" vertical="center" wrapText="1"/>
    </xf>
    <xf numFmtId="0" fontId="119" fillId="0" borderId="31" xfId="0" applyNumberFormat="1" applyFont="1" applyFill="1" applyBorder="1" applyAlignment="1" applyProtection="1">
      <alignment vertical="center" wrapText="1"/>
    </xf>
    <xf numFmtId="194" fontId="8" fillId="0" borderId="31" xfId="0" applyNumberFormat="1" applyFont="1" applyFill="1" applyBorder="1" applyAlignment="1" applyProtection="1">
      <alignment horizontal="center" vertical="center" wrapText="1"/>
    </xf>
    <xf numFmtId="194" fontId="57" fillId="0" borderId="31" xfId="195" applyFont="1" applyFill="1" applyBorder="1" applyAlignment="1" applyProtection="1">
      <alignment horizontal="center" vertical="center" wrapText="1"/>
    </xf>
    <xf numFmtId="194" fontId="61" fillId="0" borderId="31" xfId="195" applyFont="1" applyFill="1" applyBorder="1" applyAlignment="1" applyProtection="1">
      <alignment horizontal="center" vertical="center" wrapText="1"/>
    </xf>
    <xf numFmtId="194" fontId="8" fillId="0" borderId="29" xfId="163" applyFont="1" applyFill="1" applyBorder="1" applyAlignment="1" applyProtection="1">
      <alignment horizontal="center" vertical="center"/>
      <protection locked="0"/>
    </xf>
    <xf numFmtId="194" fontId="8" fillId="0" borderId="31" xfId="196" applyFont="1" applyFill="1" applyBorder="1" applyAlignment="1" applyProtection="1">
      <alignment horizontal="center" vertical="center"/>
      <protection locked="0"/>
    </xf>
    <xf numFmtId="194" fontId="12" fillId="0" borderId="31" xfId="195" applyFont="1" applyFill="1" applyBorder="1" applyAlignment="1" applyProtection="1">
      <alignment horizontal="center" vertical="center"/>
      <protection locked="0"/>
    </xf>
    <xf numFmtId="194" fontId="8" fillId="0" borderId="31" xfId="195" applyFont="1" applyFill="1" applyBorder="1" applyAlignment="1" applyProtection="1">
      <alignment horizontal="center" vertical="center"/>
      <protection locked="0"/>
    </xf>
    <xf numFmtId="194" fontId="8" fillId="0" borderId="31" xfId="196" applyFont="1" applyFill="1" applyBorder="1" applyAlignment="1" applyProtection="1">
      <alignment horizontal="center" vertical="center" wrapText="1"/>
      <protection locked="0"/>
    </xf>
    <xf numFmtId="194" fontId="12" fillId="0" borderId="31" xfId="162" applyFont="1" applyFill="1" applyBorder="1" applyAlignment="1" applyProtection="1">
      <alignment horizontal="center" vertical="center" wrapText="1"/>
      <protection locked="0"/>
    </xf>
    <xf numFmtId="194" fontId="8" fillId="0" borderId="31" xfId="162" applyFont="1" applyFill="1" applyBorder="1" applyAlignment="1" applyProtection="1">
      <alignment horizontal="center" vertical="center" wrapText="1"/>
      <protection locked="0"/>
    </xf>
    <xf numFmtId="194" fontId="32" fillId="0" borderId="31" xfId="0" applyNumberFormat="1" applyFont="1" applyFill="1" applyBorder="1" applyAlignment="1" applyProtection="1">
      <alignment horizontal="center" vertical="center" wrapText="1"/>
    </xf>
    <xf numFmtId="194" fontId="15" fillId="0" borderId="31" xfId="0" applyNumberFormat="1" applyFont="1" applyFill="1" applyBorder="1" applyAlignment="1" applyProtection="1">
      <alignment horizontal="center" vertical="center" wrapText="1"/>
    </xf>
    <xf numFmtId="0" fontId="6" fillId="31" borderId="1" xfId="0" applyFont="1" applyFill="1" applyBorder="1" applyAlignment="1">
      <alignment horizontal="center" vertical="center"/>
    </xf>
    <xf numFmtId="0" fontId="6" fillId="31" borderId="1" xfId="0" applyFont="1" applyFill="1" applyBorder="1">
      <alignment vertical="center"/>
    </xf>
    <xf numFmtId="43" fontId="8" fillId="31" borderId="1" xfId="1" applyFont="1" applyFill="1" applyBorder="1" applyAlignment="1">
      <alignment horizontal="right" vertical="center" wrapText="1"/>
    </xf>
    <xf numFmtId="0" fontId="9" fillId="0" borderId="31" xfId="0" applyFont="1" applyBorder="1">
      <alignment vertical="center"/>
    </xf>
    <xf numFmtId="194" fontId="123" fillId="0" borderId="0" xfId="0" applyNumberFormat="1" applyFont="1" applyFill="1" applyBorder="1" applyAlignment="1" applyProtection="1">
      <alignment horizontal="left" vertical="center"/>
      <protection locked="0"/>
    </xf>
    <xf numFmtId="194" fontId="16" fillId="3" borderId="34" xfId="0" applyNumberFormat="1" applyFont="1" applyFill="1" applyBorder="1" applyAlignment="1" applyProtection="1">
      <alignment horizontal="center" vertical="center"/>
    </xf>
    <xf numFmtId="194" fontId="16" fillId="3" borderId="31" xfId="0" applyNumberFormat="1" applyFont="1" applyFill="1" applyBorder="1" applyAlignment="1" applyProtection="1">
      <alignment horizontal="center" vertical="center"/>
      <protection locked="0"/>
    </xf>
    <xf numFmtId="194" fontId="16" fillId="3" borderId="31" xfId="0" applyNumberFormat="1" applyFont="1" applyFill="1" applyBorder="1" applyAlignment="1" applyProtection="1">
      <alignment horizontal="center" vertical="center" wrapText="1"/>
      <protection locked="0"/>
    </xf>
    <xf numFmtId="0" fontId="12" fillId="3" borderId="31" xfId="0" applyNumberFormat="1" applyFont="1" applyFill="1" applyBorder="1" applyAlignment="1" applyProtection="1">
      <alignment horizontal="center" vertical="center"/>
      <protection locked="0"/>
    </xf>
    <xf numFmtId="0" fontId="11" fillId="7" borderId="0" xfId="0" applyNumberFormat="1" applyFont="1" applyFill="1" applyBorder="1" applyAlignment="1" applyProtection="1">
      <alignment horizontal="justify" vertical="center" wrapText="1"/>
      <protection locked="0"/>
    </xf>
    <xf numFmtId="0" fontId="34" fillId="0" borderId="0" xfId="197">
      <alignment vertical="center"/>
    </xf>
    <xf numFmtId="0" fontId="9" fillId="0" borderId="0" xfId="197" applyFont="1">
      <alignment vertical="center"/>
    </xf>
    <xf numFmtId="14" fontId="9" fillId="0" borderId="0" xfId="197" applyNumberFormat="1" applyFont="1">
      <alignment vertical="center"/>
    </xf>
    <xf numFmtId="0" fontId="4" fillId="0" borderId="0" xfId="197" applyFont="1">
      <alignment vertical="center"/>
    </xf>
    <xf numFmtId="0" fontId="53" fillId="0" borderId="0" xfId="197" applyFont="1">
      <alignment vertical="center"/>
    </xf>
    <xf numFmtId="0" fontId="6" fillId="0" borderId="0" xfId="197" applyFont="1" applyAlignment="1">
      <alignment vertical="center"/>
    </xf>
    <xf numFmtId="0" fontId="6" fillId="0" borderId="0" xfId="197" applyFont="1">
      <alignment vertical="center"/>
    </xf>
    <xf numFmtId="0" fontId="7" fillId="0" borderId="0" xfId="197" applyFont="1" applyAlignment="1">
      <alignment vertical="center"/>
    </xf>
    <xf numFmtId="0" fontId="7" fillId="0" borderId="0" xfId="197" applyFont="1">
      <alignment vertical="center"/>
    </xf>
    <xf numFmtId="0" fontId="18" fillId="0" borderId="0" xfId="197" applyFont="1">
      <alignment vertical="center"/>
    </xf>
    <xf numFmtId="0" fontId="8" fillId="0" borderId="0" xfId="197" applyFont="1" applyProtection="1">
      <alignment vertical="center"/>
      <protection locked="0"/>
    </xf>
    <xf numFmtId="0" fontId="8" fillId="0" borderId="0" xfId="197" applyFont="1" applyAlignment="1" applyProtection="1">
      <alignment horizontal="right" vertical="center"/>
      <protection locked="0"/>
    </xf>
    <xf numFmtId="194" fontId="8" fillId="0" borderId="0" xfId="197" applyNumberFormat="1" applyFont="1" applyFill="1" applyBorder="1" applyAlignment="1" applyProtection="1">
      <alignment vertical="center"/>
    </xf>
    <xf numFmtId="194" fontId="8" fillId="0" borderId="0" xfId="197" applyNumberFormat="1" applyFont="1" applyFill="1" applyBorder="1" applyAlignment="1" applyProtection="1">
      <alignment vertical="center"/>
      <protection locked="0"/>
    </xf>
    <xf numFmtId="194" fontId="8" fillId="0" borderId="0" xfId="197" applyNumberFormat="1" applyFont="1" applyFill="1" applyBorder="1" applyAlignment="1" applyProtection="1">
      <alignment vertical="center" wrapText="1"/>
      <protection locked="0"/>
    </xf>
    <xf numFmtId="0" fontId="31" fillId="0" borderId="0" xfId="197" applyNumberFormat="1" applyFont="1" applyFill="1" applyBorder="1" applyAlignment="1" applyProtection="1">
      <alignment vertical="center"/>
    </xf>
    <xf numFmtId="0" fontId="6" fillId="0" borderId="0" xfId="197" applyNumberFormat="1" applyFont="1" applyFill="1" applyBorder="1" applyAlignment="1" applyProtection="1">
      <alignment horizontal="center" vertical="center"/>
    </xf>
    <xf numFmtId="0" fontId="12" fillId="3" borderId="34" xfId="197" applyNumberFormat="1" applyFont="1" applyFill="1" applyBorder="1" applyAlignment="1" applyProtection="1">
      <alignment horizontal="center" vertical="center"/>
      <protection locked="0"/>
    </xf>
    <xf numFmtId="0" fontId="16" fillId="3" borderId="34" xfId="197" applyNumberFormat="1" applyFont="1" applyFill="1" applyBorder="1" applyAlignment="1" applyProtection="1">
      <alignment vertical="center"/>
      <protection locked="0"/>
    </xf>
    <xf numFmtId="0" fontId="16" fillId="3" borderId="34" xfId="197" applyNumberFormat="1" applyFont="1" applyFill="1" applyBorder="1" applyAlignment="1" applyProtection="1">
      <alignment vertical="center" wrapText="1"/>
      <protection locked="0"/>
    </xf>
    <xf numFmtId="0" fontId="12" fillId="3" borderId="34" xfId="197" applyNumberFormat="1" applyFont="1" applyFill="1" applyBorder="1" applyAlignment="1" applyProtection="1">
      <alignment horizontal="center" vertical="center" wrapText="1"/>
      <protection locked="0"/>
    </xf>
    <xf numFmtId="0" fontId="8" fillId="0" borderId="34" xfId="197" applyNumberFormat="1" applyFont="1" applyFill="1" applyBorder="1" applyAlignment="1" applyProtection="1">
      <alignment horizontal="center"/>
      <protection locked="0"/>
    </xf>
    <xf numFmtId="43" fontId="8" fillId="0" borderId="34" xfId="197" applyNumberFormat="1" applyFont="1" applyFill="1" applyBorder="1" applyAlignment="1" applyProtection="1">
      <alignment horizontal="right" vertical="center" shrinkToFit="1"/>
      <protection locked="0"/>
    </xf>
    <xf numFmtId="43" fontId="9" fillId="0" borderId="34" xfId="197" applyNumberFormat="1" applyFont="1" applyFill="1" applyBorder="1" applyAlignment="1" applyProtection="1">
      <alignment vertical="center"/>
    </xf>
    <xf numFmtId="43" fontId="9" fillId="0" borderId="34" xfId="197" applyNumberFormat="1" applyFont="1" applyFill="1" applyBorder="1" applyAlignment="1" applyProtection="1">
      <alignment horizontal="center" vertical="center"/>
    </xf>
    <xf numFmtId="0" fontId="30" fillId="0" borderId="0" xfId="197" applyNumberFormat="1" applyFont="1" applyFill="1" applyBorder="1" applyAlignment="1" applyProtection="1">
      <alignment vertical="center" wrapText="1"/>
    </xf>
    <xf numFmtId="0" fontId="9" fillId="0" borderId="0" xfId="197" applyNumberFormat="1" applyFont="1" applyFill="1" applyBorder="1" applyAlignment="1" applyProtection="1">
      <alignment vertical="center"/>
    </xf>
    <xf numFmtId="43" fontId="9" fillId="3" borderId="34" xfId="197" applyNumberFormat="1" applyFont="1" applyFill="1" applyBorder="1" applyAlignment="1" applyProtection="1">
      <alignment horizontal="right" vertical="center"/>
    </xf>
    <xf numFmtId="0" fontId="57" fillId="0" borderId="0" xfId="197" applyFont="1">
      <alignment vertical="center"/>
    </xf>
    <xf numFmtId="0" fontId="12" fillId="0" borderId="0" xfId="197" applyFont="1" applyBorder="1" applyProtection="1">
      <alignment vertical="center"/>
      <protection locked="0"/>
    </xf>
    <xf numFmtId="0" fontId="12" fillId="0" borderId="0" xfId="197" applyFont="1" applyProtection="1">
      <alignment vertical="center"/>
      <protection locked="0"/>
    </xf>
    <xf numFmtId="0" fontId="14" fillId="0" borderId="0" xfId="197" applyFont="1">
      <alignment vertical="center"/>
    </xf>
    <xf numFmtId="0" fontId="30" fillId="0" borderId="0" xfId="197" applyNumberFormat="1" applyFont="1" applyFill="1" applyBorder="1" applyAlignment="1" applyProtection="1">
      <alignment vertical="center"/>
    </xf>
    <xf numFmtId="0" fontId="30" fillId="32" borderId="0" xfId="197" applyNumberFormat="1" applyFont="1" applyFill="1" applyBorder="1" applyAlignment="1" applyProtection="1">
      <alignment horizontal="left" vertical="center"/>
    </xf>
    <xf numFmtId="0" fontId="11" fillId="0" borderId="0" xfId="197" applyFont="1" applyProtection="1">
      <alignment vertical="center"/>
      <protection locked="0"/>
    </xf>
    <xf numFmtId="0" fontId="11" fillId="0" borderId="0" xfId="197" applyFont="1" applyAlignment="1" applyProtection="1">
      <alignment horizontal="right" vertical="center"/>
      <protection locked="0"/>
    </xf>
    <xf numFmtId="194" fontId="11" fillId="0" borderId="0" xfId="197" applyNumberFormat="1" applyFont="1" applyFill="1" applyBorder="1" applyAlignment="1" applyProtection="1">
      <alignment vertical="center"/>
    </xf>
    <xf numFmtId="0" fontId="19" fillId="0" borderId="0" xfId="197" applyNumberFormat="1" applyFont="1" applyFill="1" applyBorder="1" applyAlignment="1" applyProtection="1">
      <protection locked="0"/>
    </xf>
    <xf numFmtId="0" fontId="19" fillId="0" borderId="0" xfId="197" applyNumberFormat="1" applyFont="1" applyFill="1" applyBorder="1" applyAlignment="1" applyProtection="1">
      <alignment wrapText="1"/>
      <protection locked="0"/>
    </xf>
    <xf numFmtId="0" fontId="131" fillId="3" borderId="34" xfId="197" applyNumberFormat="1" applyFont="1" applyFill="1" applyBorder="1" applyAlignment="1" applyProtection="1">
      <alignment horizontal="center" vertical="center" wrapText="1"/>
      <protection locked="0"/>
    </xf>
    <xf numFmtId="43" fontId="132" fillId="3" borderId="7" xfId="197" applyNumberFormat="1" applyFont="1" applyFill="1" applyBorder="1" applyAlignment="1" applyProtection="1">
      <alignment horizontal="center" vertical="center" shrinkToFit="1"/>
    </xf>
    <xf numFmtId="0" fontId="133" fillId="0" borderId="34" xfId="197" applyNumberFormat="1" applyFont="1" applyFill="1" applyBorder="1" applyAlignment="1" applyProtection="1">
      <alignment horizontal="left" vertical="center"/>
      <protection locked="0"/>
    </xf>
    <xf numFmtId="0" fontId="134" fillId="0" borderId="34" xfId="197" applyNumberFormat="1" applyFont="1" applyFill="1" applyBorder="1" applyAlignment="1" applyProtection="1">
      <alignment vertical="center"/>
      <protection locked="0"/>
    </xf>
    <xf numFmtId="0" fontId="133" fillId="0" borderId="34" xfId="197" applyNumberFormat="1" applyFont="1" applyFill="1" applyBorder="1" applyAlignment="1" applyProtection="1">
      <alignment vertical="center"/>
      <protection locked="0"/>
    </xf>
    <xf numFmtId="0" fontId="135" fillId="0" borderId="34" xfId="197" applyNumberFormat="1" applyFont="1" applyFill="1" applyBorder="1" applyAlignment="1" applyProtection="1">
      <alignment vertical="center"/>
      <protection locked="0"/>
    </xf>
    <xf numFmtId="43" fontId="133" fillId="0" borderId="34" xfId="197" applyNumberFormat="1" applyFont="1" applyFill="1" applyBorder="1" applyAlignment="1" applyProtection="1">
      <alignment vertical="center"/>
      <protection locked="0"/>
    </xf>
    <xf numFmtId="43" fontId="133" fillId="3" borderId="34" xfId="197" applyNumberFormat="1" applyFont="1" applyFill="1" applyBorder="1" applyAlignment="1" applyProtection="1">
      <alignment vertical="center"/>
      <protection locked="0"/>
    </xf>
    <xf numFmtId="210" fontId="133" fillId="0" borderId="34" xfId="197" applyNumberFormat="1" applyFont="1" applyFill="1" applyBorder="1" applyAlignment="1" applyProtection="1">
      <alignment vertical="center"/>
      <protection locked="0"/>
    </xf>
    <xf numFmtId="0" fontId="22" fillId="0" borderId="0" xfId="197" applyNumberFormat="1" applyFont="1" applyFill="1" applyBorder="1" applyAlignment="1" applyProtection="1">
      <protection locked="0"/>
    </xf>
    <xf numFmtId="0" fontId="16" fillId="0" borderId="0" xfId="197" applyFont="1" applyProtection="1">
      <alignment vertical="center"/>
      <protection locked="0"/>
    </xf>
    <xf numFmtId="194" fontId="6" fillId="0" borderId="0" xfId="197" applyNumberFormat="1" applyFont="1" applyFill="1" applyBorder="1" applyAlignment="1" applyProtection="1">
      <alignment vertical="center"/>
    </xf>
    <xf numFmtId="194" fontId="10" fillId="0" borderId="0" xfId="197" applyNumberFormat="1" applyFont="1" applyFill="1" applyBorder="1" applyAlignment="1" applyProtection="1">
      <alignment horizontal="center"/>
    </xf>
    <xf numFmtId="0" fontId="16" fillId="0" borderId="0" xfId="197" applyNumberFormat="1" applyFont="1" applyFill="1" applyBorder="1" applyAlignment="1" applyProtection="1">
      <alignment horizontal="left" vertical="center"/>
    </xf>
    <xf numFmtId="0" fontId="11" fillId="0" borderId="0" xfId="197" applyNumberFormat="1" applyFont="1" applyFill="1" applyBorder="1" applyAlignment="1" applyProtection="1">
      <alignment horizontal="left" vertical="center"/>
    </xf>
    <xf numFmtId="0" fontId="30" fillId="0" borderId="0" xfId="197" applyNumberFormat="1" applyFont="1" applyFill="1" applyBorder="1" applyAlignment="1" applyProtection="1">
      <alignment horizontal="left" vertical="center"/>
    </xf>
    <xf numFmtId="194" fontId="16" fillId="0" borderId="0" xfId="197" applyNumberFormat="1" applyFont="1" applyFill="1" applyBorder="1" applyAlignment="1" applyProtection="1">
      <alignment horizontal="left" vertical="center"/>
    </xf>
    <xf numFmtId="194" fontId="44" fillId="0" borderId="0" xfId="163" applyFont="1" applyFill="1" applyBorder="1" applyAlignment="1" applyProtection="1">
      <alignment horizontal="left" vertical="center"/>
      <protection locked="0"/>
    </xf>
    <xf numFmtId="0" fontId="16" fillId="0" borderId="0" xfId="197" applyNumberFormat="1" applyFont="1" applyFill="1" applyBorder="1" applyAlignment="1" applyProtection="1">
      <alignment vertical="center"/>
      <protection locked="0"/>
    </xf>
    <xf numFmtId="0" fontId="23" fillId="0" borderId="0" xfId="197" applyNumberFormat="1" applyFont="1" applyFill="1" applyBorder="1" applyAlignment="1" applyProtection="1">
      <protection locked="0"/>
    </xf>
    <xf numFmtId="0" fontId="33" fillId="0" borderId="0" xfId="197" applyNumberFormat="1" applyFont="1" applyFill="1" applyBorder="1" applyAlignment="1" applyProtection="1">
      <protection locked="0"/>
    </xf>
    <xf numFmtId="194" fontId="22" fillId="0" borderId="0" xfId="197" applyNumberFormat="1" applyFont="1" applyFill="1" applyBorder="1" applyAlignment="1" applyProtection="1">
      <alignment vertical="center"/>
    </xf>
    <xf numFmtId="194" fontId="8" fillId="0" borderId="0" xfId="197" applyNumberFormat="1" applyFont="1" applyFill="1" applyBorder="1" applyAlignment="1" applyProtection="1">
      <alignment horizontal="right" vertical="center"/>
      <protection locked="0"/>
    </xf>
    <xf numFmtId="194" fontId="8" fillId="0" borderId="0" xfId="197" applyNumberFormat="1" applyFont="1" applyFill="1" applyBorder="1" applyAlignment="1" applyProtection="1">
      <alignment horizontal="justify" vertical="center" wrapText="1"/>
      <protection locked="0"/>
    </xf>
    <xf numFmtId="194" fontId="12" fillId="0" borderId="0" xfId="197" applyNumberFormat="1" applyFont="1" applyFill="1" applyBorder="1" applyAlignment="1" applyProtection="1">
      <alignment horizontal="left" vertical="center"/>
    </xf>
    <xf numFmtId="43" fontId="30" fillId="0" borderId="0" xfId="197" applyNumberFormat="1" applyFont="1" applyFill="1" applyBorder="1" applyAlignment="1" applyProtection="1">
      <alignment vertical="center"/>
    </xf>
    <xf numFmtId="0" fontId="142" fillId="0" borderId="0" xfId="197" applyFont="1">
      <alignment vertical="center"/>
    </xf>
    <xf numFmtId="211" fontId="120" fillId="0" borderId="34" xfId="197" applyNumberFormat="1" applyFont="1" applyFill="1" applyBorder="1" applyAlignment="1" applyProtection="1">
      <alignment horizontal="left" vertical="center" shrinkToFit="1"/>
    </xf>
    <xf numFmtId="43" fontId="9" fillId="0" borderId="34" xfId="197" applyNumberFormat="1" applyFont="1" applyFill="1" applyBorder="1" applyAlignment="1" applyProtection="1">
      <alignment horizontal="right" vertical="center"/>
    </xf>
    <xf numFmtId="10" fontId="9" fillId="0" borderId="34" xfId="197" applyNumberFormat="1" applyFont="1" applyFill="1" applyBorder="1" applyAlignment="1" applyProtection="1">
      <alignment horizontal="right" vertical="center"/>
    </xf>
    <xf numFmtId="43" fontId="8" fillId="0" borderId="34" xfId="197" applyNumberFormat="1" applyFont="1" applyFill="1" applyBorder="1" applyAlignment="1" applyProtection="1">
      <alignment vertical="center"/>
    </xf>
    <xf numFmtId="43" fontId="120" fillId="0" borderId="34" xfId="1" applyFont="1" applyFill="1" applyBorder="1" applyAlignment="1" applyProtection="1">
      <alignment horizontal="left" vertical="center" shrinkToFit="1"/>
    </xf>
    <xf numFmtId="194" fontId="8" fillId="0" borderId="0" xfId="197" applyNumberFormat="1" applyFont="1" applyFill="1" applyBorder="1" applyAlignment="1" applyProtection="1">
      <alignment horizontal="left" vertical="center"/>
      <protection locked="0"/>
    </xf>
    <xf numFmtId="211" fontId="44" fillId="0" borderId="34" xfId="197" applyNumberFormat="1" applyFont="1" applyFill="1" applyBorder="1" applyAlignment="1" applyProtection="1">
      <alignment horizontal="center" vertical="center" shrinkToFit="1"/>
    </xf>
    <xf numFmtId="43" fontId="11" fillId="0" borderId="34" xfId="1" applyFont="1" applyFill="1" applyBorder="1" applyAlignment="1" applyProtection="1">
      <alignment horizontal="center" vertical="center" shrinkToFit="1"/>
    </xf>
    <xf numFmtId="43" fontId="30" fillId="0" borderId="0" xfId="197" applyNumberFormat="1" applyFont="1" applyFill="1" applyBorder="1" applyAlignment="1" applyProtection="1">
      <alignment vertical="center" wrapText="1"/>
    </xf>
    <xf numFmtId="194" fontId="16" fillId="3" borderId="34" xfId="197" applyNumberFormat="1" applyFont="1" applyFill="1" applyBorder="1" applyAlignment="1" applyProtection="1">
      <alignment horizontal="center" vertical="center" wrapText="1"/>
      <protection locked="0"/>
    </xf>
    <xf numFmtId="194" fontId="43" fillId="3" borderId="34" xfId="197" applyNumberFormat="1" applyFont="1" applyFill="1" applyBorder="1" applyAlignment="1" applyProtection="1">
      <alignment horizontal="center" vertical="center" wrapText="1"/>
      <protection locked="0"/>
    </xf>
    <xf numFmtId="0" fontId="43" fillId="3" borderId="34" xfId="197" applyNumberFormat="1" applyFont="1" applyFill="1" applyBorder="1" applyAlignment="1" applyProtection="1">
      <alignment horizontal="center" vertical="center" wrapText="1"/>
      <protection locked="0"/>
    </xf>
    <xf numFmtId="211" fontId="120" fillId="0" borderId="34" xfId="197" applyNumberFormat="1" applyFont="1" applyFill="1" applyBorder="1" applyAlignment="1" applyProtection="1">
      <alignment horizontal="center" vertical="center" shrinkToFit="1"/>
    </xf>
    <xf numFmtId="0" fontId="43" fillId="0" borderId="0" xfId="197" applyFont="1" applyFill="1" applyProtection="1">
      <alignment vertical="center"/>
      <protection locked="0"/>
    </xf>
    <xf numFmtId="0" fontId="46" fillId="0" borderId="0" xfId="0" applyFont="1" applyFill="1" applyAlignment="1">
      <alignment horizontal="justify" vertical="center"/>
    </xf>
    <xf numFmtId="0" fontId="4" fillId="0" borderId="0" xfId="0" applyFont="1" applyFill="1">
      <alignment vertical="center"/>
    </xf>
    <xf numFmtId="14" fontId="46" fillId="0" borderId="0" xfId="0" applyNumberFormat="1" applyFont="1" applyFill="1">
      <alignment vertical="center"/>
    </xf>
    <xf numFmtId="0" fontId="51" fillId="0" borderId="0" xfId="0" applyFont="1" applyFill="1">
      <alignment vertical="center"/>
    </xf>
    <xf numFmtId="0" fontId="38" fillId="0" borderId="0" xfId="0" applyFont="1" applyFill="1" applyAlignment="1">
      <alignment horizontal="left" vertical="center"/>
    </xf>
    <xf numFmtId="0" fontId="47" fillId="0" borderId="10" xfId="0" applyFont="1" applyFill="1" applyBorder="1" applyAlignment="1">
      <alignment horizontal="right" vertical="center" wrapText="1"/>
    </xf>
    <xf numFmtId="0" fontId="53" fillId="0" borderId="0" xfId="0" applyFont="1" applyFill="1" applyAlignment="1">
      <alignment horizontal="justify" vertical="center" wrapText="1"/>
    </xf>
    <xf numFmtId="0" fontId="4" fillId="0" borderId="0" xfId="0" applyFont="1" applyFill="1" applyAlignment="1">
      <alignment horizontal="right" vertical="center" wrapText="1"/>
    </xf>
    <xf numFmtId="0" fontId="53" fillId="0" borderId="10" xfId="0" applyFont="1" applyFill="1" applyBorder="1" applyAlignment="1">
      <alignment horizontal="justify" vertical="center" wrapText="1"/>
    </xf>
    <xf numFmtId="0" fontId="4" fillId="0" borderId="10" xfId="0" applyFont="1" applyFill="1" applyBorder="1" applyAlignment="1">
      <alignment horizontal="right" vertical="center" wrapText="1"/>
    </xf>
    <xf numFmtId="0" fontId="52" fillId="0" borderId="10" xfId="0" applyFont="1" applyFill="1" applyBorder="1" applyAlignment="1">
      <alignment horizontal="justify" vertical="center" wrapText="1"/>
    </xf>
    <xf numFmtId="0" fontId="52" fillId="0" borderId="10" xfId="0" applyFont="1" applyFill="1" applyBorder="1" applyAlignment="1">
      <alignment horizontal="right" vertical="center" wrapText="1"/>
    </xf>
    <xf numFmtId="0" fontId="11" fillId="0" borderId="0" xfId="156" applyFont="1" applyAlignment="1">
      <alignment vertical="center" wrapText="1"/>
      <protection locked="0"/>
    </xf>
    <xf numFmtId="0" fontId="11" fillId="0" borderId="0" xfId="168" applyFont="1">
      <alignment vertical="center"/>
    </xf>
    <xf numFmtId="0" fontId="15" fillId="0" borderId="0" xfId="0" applyFont="1" applyAlignment="1">
      <alignment vertical="center"/>
    </xf>
    <xf numFmtId="0" fontId="20" fillId="0" borderId="0" xfId="0" applyFont="1" applyAlignment="1">
      <alignment vertical="center"/>
    </xf>
    <xf numFmtId="0" fontId="138" fillId="0" borderId="0" xfId="0" applyFont="1">
      <alignment vertical="center"/>
    </xf>
    <xf numFmtId="14" fontId="46" fillId="0" borderId="0" xfId="0" applyNumberFormat="1" applyFont="1">
      <alignment vertical="center"/>
    </xf>
    <xf numFmtId="0" fontId="51" fillId="0" borderId="0" xfId="0" applyFont="1">
      <alignment vertical="center"/>
    </xf>
    <xf numFmtId="0" fontId="32" fillId="0" borderId="0" xfId="197" applyFont="1">
      <alignment vertical="center"/>
    </xf>
    <xf numFmtId="14" fontId="32" fillId="0" borderId="0" xfId="197" applyNumberFormat="1" applyFont="1">
      <alignment vertical="center"/>
    </xf>
    <xf numFmtId="194" fontId="11" fillId="0" borderId="0" xfId="162" applyFont="1" applyAlignment="1">
      <alignment horizontal="left" vertical="center"/>
    </xf>
    <xf numFmtId="194" fontId="11" fillId="0" borderId="0" xfId="197" applyNumberFormat="1" applyFont="1" applyFill="1" applyBorder="1" applyAlignment="1" applyProtection="1">
      <alignment vertical="center"/>
      <protection locked="0"/>
    </xf>
    <xf numFmtId="0" fontId="11" fillId="0" borderId="0" xfId="162" applyNumberFormat="1" applyFont="1" applyAlignment="1">
      <alignment horizontal="left" vertical="center"/>
    </xf>
    <xf numFmtId="0" fontId="11" fillId="0" borderId="0" xfId="197" applyNumberFormat="1" applyFont="1" applyFill="1" applyBorder="1" applyAlignment="1" applyProtection="1">
      <alignment horizontal="left" vertical="center"/>
      <protection locked="0"/>
    </xf>
    <xf numFmtId="0" fontId="37" fillId="0" borderId="0" xfId="156" applyFont="1" applyAlignment="1">
      <alignment vertical="center"/>
      <protection locked="0"/>
    </xf>
    <xf numFmtId="0" fontId="46" fillId="0" borderId="0" xfId="197" applyFont="1">
      <alignment vertical="center"/>
    </xf>
    <xf numFmtId="14" fontId="46" fillId="0" borderId="0" xfId="197" applyNumberFormat="1" applyFont="1">
      <alignment vertical="center"/>
    </xf>
    <xf numFmtId="194" fontId="37" fillId="0" borderId="0" xfId="197" applyNumberFormat="1" applyFont="1" applyFill="1" applyBorder="1" applyAlignment="1" applyProtection="1">
      <alignment vertical="center"/>
      <protection locked="0"/>
    </xf>
    <xf numFmtId="194" fontId="37" fillId="0" borderId="0" xfId="162" applyFont="1" applyAlignment="1">
      <alignment horizontal="left" vertical="center"/>
    </xf>
    <xf numFmtId="0" fontId="37" fillId="0" borderId="0" xfId="162" applyNumberFormat="1" applyFont="1" applyAlignment="1">
      <alignment horizontal="left" vertical="center"/>
    </xf>
    <xf numFmtId="0" fontId="37" fillId="0" borderId="0" xfId="197" applyNumberFormat="1" applyFont="1" applyFill="1" applyBorder="1" applyAlignment="1" applyProtection="1">
      <alignment horizontal="left" vertical="center"/>
      <protection locked="0"/>
    </xf>
    <xf numFmtId="0" fontId="138" fillId="0" borderId="0" xfId="197" applyFont="1">
      <alignment vertical="center"/>
    </xf>
    <xf numFmtId="0" fontId="138" fillId="0" borderId="0" xfId="197" applyFont="1" applyAlignment="1">
      <alignment horizontal="left" vertical="center"/>
    </xf>
    <xf numFmtId="0" fontId="19" fillId="0" borderId="0" xfId="158" applyFont="1">
      <protection locked="0"/>
    </xf>
    <xf numFmtId="43" fontId="11" fillId="0" borderId="0" xfId="167" applyNumberFormat="1" applyFont="1" applyBorder="1" applyAlignment="1">
      <alignment vertical="center"/>
    </xf>
    <xf numFmtId="194" fontId="138" fillId="0" borderId="0" xfId="160" applyFont="1">
      <alignment vertical="center"/>
    </xf>
    <xf numFmtId="14" fontId="60" fillId="0" borderId="0" xfId="0" applyNumberFormat="1" applyFont="1">
      <alignment vertical="center"/>
    </xf>
    <xf numFmtId="194" fontId="12" fillId="0" borderId="0" xfId="162" applyFont="1" applyAlignment="1">
      <alignment vertical="center"/>
    </xf>
    <xf numFmtId="194" fontId="25" fillId="0" borderId="0" xfId="162" applyFont="1" applyAlignment="1">
      <alignment vertical="center"/>
    </xf>
    <xf numFmtId="0" fontId="16" fillId="3" borderId="34" xfId="197" applyNumberFormat="1" applyFont="1" applyFill="1" applyBorder="1" applyAlignment="1" applyProtection="1">
      <alignment horizontal="center" vertical="center" wrapText="1"/>
      <protection locked="0"/>
    </xf>
    <xf numFmtId="0" fontId="16" fillId="3" borderId="34" xfId="197" applyNumberFormat="1" applyFont="1" applyFill="1" applyBorder="1" applyAlignment="1" applyProtection="1">
      <alignment horizontal="center" vertical="center"/>
      <protection locked="0"/>
    </xf>
    <xf numFmtId="0" fontId="15" fillId="3" borderId="34" xfId="197" applyNumberFormat="1" applyFont="1" applyFill="1" applyBorder="1" applyAlignment="1" applyProtection="1">
      <alignment horizontal="center" vertical="center" wrapText="1"/>
    </xf>
    <xf numFmtId="0" fontId="16" fillId="3" borderId="34" xfId="197" applyNumberFormat="1" applyFont="1" applyFill="1" applyBorder="1" applyAlignment="1" applyProtection="1">
      <alignment horizontal="center" vertical="center" wrapText="1"/>
    </xf>
    <xf numFmtId="194" fontId="16" fillId="3" borderId="2" xfId="197" applyNumberFormat="1" applyFont="1" applyFill="1" applyBorder="1" applyAlignment="1" applyProtection="1">
      <alignment horizontal="center" vertical="center" wrapText="1"/>
      <protection locked="0"/>
    </xf>
    <xf numFmtId="0" fontId="9" fillId="0" borderId="1" xfId="0" applyFont="1" applyBorder="1">
      <alignment vertical="center"/>
    </xf>
    <xf numFmtId="194" fontId="32" fillId="0" borderId="34" xfId="0" applyNumberFormat="1" applyFont="1" applyFill="1" applyBorder="1" applyAlignment="1" applyProtection="1">
      <alignment horizontal="center" vertical="center" wrapText="1"/>
    </xf>
    <xf numFmtId="194" fontId="15" fillId="0" borderId="34" xfId="0" applyNumberFormat="1" applyFont="1" applyFill="1" applyBorder="1" applyAlignment="1" applyProtection="1">
      <alignment horizontal="center" vertical="center" wrapText="1"/>
    </xf>
    <xf numFmtId="194" fontId="11" fillId="0" borderId="34" xfId="0" applyNumberFormat="1" applyFont="1" applyFill="1" applyBorder="1" applyAlignment="1" applyProtection="1">
      <alignment horizontal="left" vertical="center" wrapText="1"/>
      <protection locked="0"/>
    </xf>
    <xf numFmtId="194" fontId="11" fillId="0" borderId="34" xfId="0" applyNumberFormat="1" applyFont="1" applyFill="1" applyBorder="1" applyAlignment="1" applyProtection="1">
      <alignment horizontal="center" vertical="center" wrapText="1"/>
      <protection locked="0"/>
    </xf>
    <xf numFmtId="194" fontId="16" fillId="0" borderId="34" xfId="0" applyNumberFormat="1" applyFont="1" applyFill="1" applyBorder="1" applyAlignment="1" applyProtection="1">
      <alignment horizontal="center" vertical="center" wrapText="1"/>
      <protection locked="0"/>
    </xf>
    <xf numFmtId="194" fontId="8" fillId="0" borderId="34" xfId="0" applyNumberFormat="1" applyFont="1" applyFill="1" applyBorder="1" applyAlignment="1" applyProtection="1">
      <alignment horizontal="center" vertical="center" wrapText="1"/>
      <protection locked="0"/>
    </xf>
    <xf numFmtId="194" fontId="57" fillId="0" borderId="1" xfId="0" applyNumberFormat="1" applyFont="1" applyFill="1" applyBorder="1" applyAlignment="1" applyProtection="1">
      <alignment horizontal="center" vertical="center" wrapText="1"/>
    </xf>
    <xf numFmtId="0" fontId="8" fillId="8" borderId="0" xfId="0" applyFont="1" applyFill="1" applyBorder="1" applyAlignment="1" applyProtection="1">
      <alignment horizontal="justify" vertical="center" wrapText="1"/>
      <protection locked="0"/>
    </xf>
    <xf numFmtId="0" fontId="137" fillId="0" borderId="0" xfId="0" applyFont="1" applyAlignment="1" applyProtection="1">
      <alignment horizontal="center" vertical="center"/>
      <protection locked="0"/>
    </xf>
    <xf numFmtId="0" fontId="0" fillId="0" borderId="0" xfId="0" applyAlignment="1" applyProtection="1">
      <protection locked="0"/>
    </xf>
    <xf numFmtId="194" fontId="21" fillId="0" borderId="0" xfId="198" applyFont="1" applyFill="1" applyAlignment="1">
      <alignment horizontal="left" vertical="center"/>
    </xf>
    <xf numFmtId="0" fontId="6" fillId="31" borderId="0" xfId="0" applyFont="1" applyFill="1">
      <alignment vertical="center"/>
    </xf>
    <xf numFmtId="0" fontId="6" fillId="2" borderId="34" xfId="0" applyFont="1" applyFill="1" applyBorder="1" applyAlignment="1">
      <alignment horizontal="center" vertical="center"/>
    </xf>
    <xf numFmtId="43" fontId="9" fillId="2" borderId="34" xfId="1" applyFont="1" applyFill="1" applyBorder="1" applyAlignment="1">
      <alignment horizontal="right" vertical="center"/>
    </xf>
    <xf numFmtId="43" fontId="8" fillId="2" borderId="34" xfId="1" applyFont="1" applyFill="1" applyBorder="1" applyAlignment="1">
      <alignment horizontal="right" vertical="center" wrapText="1"/>
    </xf>
    <xf numFmtId="10" fontId="8" fillId="2" borderId="34" xfId="2" applyNumberFormat="1" applyFont="1" applyFill="1" applyBorder="1" applyAlignment="1">
      <alignment horizontal="right" vertical="center" wrapText="1"/>
    </xf>
    <xf numFmtId="43" fontId="9" fillId="0" borderId="34" xfId="0" applyNumberFormat="1" applyFont="1" applyBorder="1">
      <alignment vertical="center"/>
    </xf>
    <xf numFmtId="0" fontId="6" fillId="0" borderId="34" xfId="0" applyFont="1" applyBorder="1" applyAlignment="1">
      <alignment horizontal="center" vertical="center"/>
    </xf>
    <xf numFmtId="0" fontId="9" fillId="0" borderId="34" xfId="0" applyFont="1" applyBorder="1">
      <alignment vertical="center"/>
    </xf>
    <xf numFmtId="0" fontId="50" fillId="31" borderId="34" xfId="0" applyFont="1" applyFill="1" applyBorder="1" applyAlignment="1">
      <alignment horizontal="center" vertical="center"/>
    </xf>
    <xf numFmtId="209" fontId="9" fillId="31" borderId="34" xfId="1" applyNumberFormat="1" applyFont="1" applyFill="1" applyBorder="1" applyAlignment="1">
      <alignment horizontal="right" vertical="center"/>
    </xf>
    <xf numFmtId="43" fontId="9" fillId="31" borderId="34" xfId="0" applyNumberFormat="1" applyFont="1" applyFill="1" applyBorder="1">
      <alignment vertical="center"/>
    </xf>
    <xf numFmtId="194" fontId="15" fillId="2" borderId="34" xfId="160" applyFont="1" applyFill="1" applyBorder="1" applyAlignment="1" applyProtection="1">
      <alignment horizontal="center" vertical="center"/>
      <protection locked="0"/>
    </xf>
    <xf numFmtId="0" fontId="15" fillId="2" borderId="34" xfId="0" applyFont="1" applyFill="1" applyBorder="1" applyAlignment="1">
      <alignment horizontal="center" vertical="center" wrapText="1"/>
    </xf>
    <xf numFmtId="0" fontId="43" fillId="2" borderId="34"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44" fillId="0" borderId="34" xfId="0" applyFont="1" applyBorder="1">
      <alignment vertical="center"/>
    </xf>
    <xf numFmtId="43" fontId="9" fillId="0" borderId="34" xfId="1" applyFont="1" applyBorder="1">
      <alignment vertical="center"/>
    </xf>
    <xf numFmtId="43" fontId="45" fillId="0" borderId="34" xfId="1" applyFont="1" applyFill="1" applyBorder="1">
      <alignment vertical="center"/>
    </xf>
    <xf numFmtId="43" fontId="9" fillId="0" borderId="34" xfId="1" applyFont="1" applyFill="1" applyBorder="1">
      <alignment vertical="center"/>
    </xf>
    <xf numFmtId="43" fontId="9" fillId="0" borderId="34" xfId="1" applyFont="1" applyFill="1" applyBorder="1" applyAlignment="1">
      <alignment horizontal="right" vertical="center"/>
    </xf>
    <xf numFmtId="0" fontId="6" fillId="0" borderId="34" xfId="0" applyFont="1" applyBorder="1">
      <alignment vertical="center"/>
    </xf>
    <xf numFmtId="0" fontId="15" fillId="2" borderId="34" xfId="0" applyFont="1" applyFill="1" applyBorder="1" applyAlignment="1">
      <alignment horizontal="center" vertical="center"/>
    </xf>
    <xf numFmtId="43" fontId="139" fillId="31" borderId="34" xfId="197" applyNumberFormat="1" applyFont="1" applyFill="1" applyBorder="1" applyAlignment="1" applyProtection="1">
      <alignment vertical="center"/>
      <protection locked="0"/>
    </xf>
    <xf numFmtId="0" fontId="131" fillId="31" borderId="34" xfId="197" applyNumberFormat="1" applyFont="1" applyFill="1" applyBorder="1" applyAlignment="1" applyProtection="1">
      <alignment horizontal="right" vertical="center"/>
      <protection locked="0"/>
    </xf>
    <xf numFmtId="0" fontId="139" fillId="31" borderId="34" xfId="197" applyNumberFormat="1" applyFont="1" applyFill="1" applyBorder="1" applyAlignment="1" applyProtection="1">
      <alignment vertical="center"/>
      <protection locked="0"/>
    </xf>
    <xf numFmtId="0" fontId="144" fillId="31" borderId="34" xfId="197" applyNumberFormat="1" applyFont="1" applyFill="1" applyBorder="1" applyAlignment="1" applyProtection="1">
      <alignment vertical="center"/>
      <protection locked="0"/>
    </xf>
    <xf numFmtId="210" fontId="139" fillId="31" borderId="34" xfId="197" applyNumberFormat="1" applyFont="1" applyFill="1" applyBorder="1" applyAlignment="1" applyProtection="1">
      <alignment vertical="center"/>
      <protection locked="0"/>
    </xf>
    <xf numFmtId="0" fontId="25" fillId="31" borderId="0" xfId="197" applyNumberFormat="1" applyFont="1" applyFill="1" applyBorder="1" applyAlignment="1" applyProtection="1">
      <protection locked="0"/>
    </xf>
    <xf numFmtId="0" fontId="21" fillId="0" borderId="0" xfId="166" applyFont="1" applyAlignment="1">
      <alignment horizontal="left" vertical="center"/>
    </xf>
    <xf numFmtId="0" fontId="4" fillId="0" borderId="0" xfId="197" applyFont="1" applyFill="1">
      <alignment vertical="center"/>
    </xf>
    <xf numFmtId="0" fontId="8" fillId="0" borderId="34" xfId="197" applyNumberFormat="1" applyFont="1" applyFill="1" applyBorder="1" applyAlignment="1" applyProtection="1">
      <alignment horizontal="left" vertical="center" wrapText="1"/>
    </xf>
    <xf numFmtId="0" fontId="11" fillId="0" borderId="34" xfId="197" applyNumberFormat="1" applyFont="1" applyFill="1" applyBorder="1" applyAlignment="1" applyProtection="1">
      <alignment horizontal="left" vertical="center" wrapText="1"/>
    </xf>
    <xf numFmtId="43" fontId="8" fillId="0" borderId="34" xfId="197" applyNumberFormat="1" applyFont="1" applyFill="1" applyBorder="1" applyAlignment="1" applyProtection="1">
      <alignment horizontal="right" vertical="center" shrinkToFit="1"/>
    </xf>
    <xf numFmtId="43" fontId="8" fillId="0" borderId="34" xfId="1" applyFont="1" applyFill="1" applyBorder="1" applyAlignment="1" applyProtection="1">
      <alignment horizontal="right" vertical="center" shrinkToFit="1"/>
    </xf>
    <xf numFmtId="0" fontId="8" fillId="0" borderId="34" xfId="197" applyNumberFormat="1" applyFont="1" applyFill="1" applyBorder="1" applyAlignment="1" applyProtection="1">
      <alignment horizontal="center" vertical="center" wrapText="1"/>
    </xf>
    <xf numFmtId="43" fontId="8" fillId="0" borderId="34" xfId="197" applyNumberFormat="1" applyFont="1" applyFill="1" applyBorder="1" applyAlignment="1" applyProtection="1">
      <alignment horizontal="center" vertical="center" wrapText="1"/>
    </xf>
    <xf numFmtId="0" fontId="8" fillId="0" borderId="34" xfId="197" applyNumberFormat="1" applyFont="1" applyFill="1" applyBorder="1" applyAlignment="1" applyProtection="1">
      <alignment horizontal="center" vertical="center" shrinkToFit="1"/>
    </xf>
    <xf numFmtId="49" fontId="11" fillId="0" borderId="34" xfId="197" applyNumberFormat="1" applyFont="1" applyFill="1" applyBorder="1" applyAlignment="1" applyProtection="1">
      <alignment horizontal="center" vertical="center" wrapText="1"/>
    </xf>
    <xf numFmtId="49" fontId="8" fillId="0" borderId="34" xfId="197" applyNumberFormat="1" applyFont="1" applyFill="1" applyBorder="1" applyAlignment="1" applyProtection="1">
      <alignment horizontal="center" vertical="center" wrapText="1"/>
    </xf>
    <xf numFmtId="43" fontId="8" fillId="0" borderId="34" xfId="1" applyFont="1" applyFill="1" applyBorder="1" applyAlignment="1" applyProtection="1">
      <alignment horizontal="left" vertical="center" wrapText="1"/>
    </xf>
    <xf numFmtId="49" fontId="8" fillId="0" borderId="34" xfId="197" applyNumberFormat="1" applyFont="1" applyFill="1" applyBorder="1" applyAlignment="1" applyProtection="1">
      <alignment horizontal="left" vertical="center" wrapText="1"/>
    </xf>
    <xf numFmtId="0" fontId="12" fillId="31" borderId="34" xfId="197" applyNumberFormat="1" applyFont="1" applyFill="1" applyBorder="1" applyAlignment="1" applyProtection="1">
      <alignment horizontal="center" vertical="center" wrapText="1"/>
    </xf>
    <xf numFmtId="49" fontId="12" fillId="31" borderId="34" xfId="197" applyNumberFormat="1" applyFont="1" applyFill="1" applyBorder="1" applyAlignment="1" applyProtection="1">
      <alignment horizontal="left" vertical="center" wrapText="1"/>
    </xf>
    <xf numFmtId="43" fontId="12" fillId="31" borderId="34" xfId="197" applyNumberFormat="1" applyFont="1" applyFill="1" applyBorder="1" applyAlignment="1" applyProtection="1">
      <alignment horizontal="left" vertical="center" wrapText="1"/>
    </xf>
    <xf numFmtId="43" fontId="12" fillId="31" borderId="34" xfId="197" applyNumberFormat="1" applyFont="1" applyFill="1" applyBorder="1" applyAlignment="1" applyProtection="1">
      <alignment horizontal="right" vertical="center" shrinkToFit="1"/>
    </xf>
    <xf numFmtId="49" fontId="12" fillId="31" borderId="34" xfId="197" applyNumberFormat="1" applyFont="1" applyFill="1" applyBorder="1" applyAlignment="1" applyProtection="1">
      <alignment horizontal="center" vertical="center" wrapText="1"/>
    </xf>
    <xf numFmtId="10" fontId="12" fillId="31" borderId="34" xfId="2" applyNumberFormat="1" applyFont="1" applyFill="1" applyBorder="1" applyAlignment="1" applyProtection="1">
      <alignment horizontal="right" vertical="center" wrapText="1"/>
    </xf>
    <xf numFmtId="0" fontId="4" fillId="0" borderId="34" xfId="197" applyFont="1" applyFill="1" applyBorder="1">
      <alignment vertical="center"/>
    </xf>
    <xf numFmtId="0" fontId="4" fillId="0" borderId="34" xfId="197" applyFont="1" applyBorder="1">
      <alignment vertical="center"/>
    </xf>
    <xf numFmtId="0" fontId="11" fillId="0" borderId="34" xfId="197" applyNumberFormat="1" applyFont="1" applyFill="1" applyBorder="1" applyAlignment="1" applyProtection="1">
      <protection locked="0"/>
    </xf>
    <xf numFmtId="10" fontId="44" fillId="0" borderId="34" xfId="197" applyNumberFormat="1" applyFont="1" applyFill="1" applyBorder="1" applyAlignment="1" applyProtection="1">
      <alignment horizontal="center" vertical="center"/>
    </xf>
    <xf numFmtId="0" fontId="34" fillId="0" borderId="34" xfId="197" applyBorder="1">
      <alignment vertical="center"/>
    </xf>
    <xf numFmtId="11" fontId="9" fillId="0" borderId="34" xfId="197" applyNumberFormat="1" applyFont="1" applyFill="1" applyBorder="1" applyAlignment="1" applyProtection="1">
      <alignment horizontal="center" vertical="center"/>
    </xf>
    <xf numFmtId="0" fontId="16" fillId="31" borderId="34" xfId="197" applyNumberFormat="1" applyFont="1" applyFill="1" applyBorder="1" applyAlignment="1" applyProtection="1">
      <alignment horizontal="center" vertical="center" wrapText="1"/>
      <protection locked="0"/>
    </xf>
    <xf numFmtId="43" fontId="12" fillId="31" borderId="34" xfId="1" applyFont="1" applyFill="1" applyBorder="1" applyAlignment="1" applyProtection="1">
      <alignment horizontal="center" vertical="center" wrapText="1"/>
      <protection locked="0"/>
    </xf>
    <xf numFmtId="43" fontId="120" fillId="31" borderId="34" xfId="1" applyFont="1" applyFill="1" applyBorder="1" applyAlignment="1" applyProtection="1">
      <alignment horizontal="left" vertical="center" shrinkToFit="1"/>
    </xf>
    <xf numFmtId="43" fontId="9" fillId="31" borderId="34" xfId="197" applyNumberFormat="1" applyFont="1" applyFill="1" applyBorder="1" applyAlignment="1" applyProtection="1">
      <alignment horizontal="right" vertical="center"/>
    </xf>
    <xf numFmtId="10" fontId="9" fillId="31" borderId="34" xfId="197" applyNumberFormat="1" applyFont="1" applyFill="1" applyBorder="1" applyAlignment="1" applyProtection="1">
      <alignment horizontal="right" vertical="center"/>
    </xf>
    <xf numFmtId="0" fontId="34" fillId="31" borderId="34" xfId="197" applyFill="1" applyBorder="1">
      <alignment vertical="center"/>
    </xf>
    <xf numFmtId="43" fontId="8" fillId="31" borderId="34" xfId="197" applyNumberFormat="1" applyFont="1" applyFill="1" applyBorder="1" applyAlignment="1" applyProtection="1">
      <alignment vertical="center"/>
    </xf>
    <xf numFmtId="10" fontId="120" fillId="31" borderId="34" xfId="2" applyNumberFormat="1" applyFont="1" applyFill="1" applyBorder="1" applyAlignment="1" applyProtection="1">
      <alignment horizontal="right" vertical="center" shrinkToFit="1"/>
    </xf>
    <xf numFmtId="210" fontId="9" fillId="0" borderId="34" xfId="1" applyNumberFormat="1" applyFont="1" applyFill="1" applyBorder="1" applyAlignment="1" applyProtection="1">
      <alignment horizontal="right" vertical="center"/>
    </xf>
    <xf numFmtId="210" fontId="120" fillId="0" borderId="34" xfId="1" applyNumberFormat="1" applyFont="1" applyFill="1" applyBorder="1" applyAlignment="1" applyProtection="1">
      <alignment horizontal="center" vertical="center" shrinkToFit="1"/>
    </xf>
    <xf numFmtId="210" fontId="120" fillId="0" borderId="34" xfId="1" applyNumberFormat="1" applyFont="1" applyFill="1" applyBorder="1" applyAlignment="1" applyProtection="1">
      <alignment horizontal="left" vertical="center" shrinkToFit="1"/>
    </xf>
    <xf numFmtId="0" fontId="11" fillId="0" borderId="0" xfId="166" applyFont="1" applyBorder="1" applyAlignment="1">
      <alignment vertical="center"/>
    </xf>
    <xf numFmtId="0" fontId="8" fillId="0" borderId="34" xfId="156" applyFont="1" applyBorder="1" applyAlignment="1">
      <alignment horizontal="center" vertical="center"/>
      <protection locked="0"/>
    </xf>
    <xf numFmtId="43" fontId="8" fillId="0" borderId="34" xfId="156" applyNumberFormat="1" applyFont="1" applyBorder="1" applyAlignment="1">
      <alignment horizontal="center" vertical="center"/>
      <protection locked="0"/>
    </xf>
    <xf numFmtId="0" fontId="8" fillId="0" borderId="34" xfId="156" applyFont="1" applyBorder="1" applyAlignment="1">
      <alignment horizontal="center" vertical="center" wrapText="1"/>
      <protection locked="0"/>
    </xf>
    <xf numFmtId="0" fontId="8" fillId="0" borderId="34" xfId="156" applyFont="1" applyBorder="1" applyAlignment="1">
      <alignment vertical="center"/>
      <protection locked="0"/>
    </xf>
    <xf numFmtId="0" fontId="145" fillId="0" borderId="0" xfId="3" applyFont="1" applyAlignment="1">
      <alignment horizontal="left" vertical="center"/>
      <protection locked="0"/>
    </xf>
    <xf numFmtId="0" fontId="7" fillId="0" borderId="0" xfId="0" applyFont="1" applyAlignment="1">
      <alignment horizontal="center" vertical="center"/>
    </xf>
    <xf numFmtId="0" fontId="25" fillId="0" borderId="0" xfId="0" applyFont="1" applyAlignment="1" applyProtection="1">
      <alignment horizontal="left" vertical="center" wrapText="1"/>
      <protection locked="0"/>
    </xf>
    <xf numFmtId="0" fontId="22" fillId="0" borderId="0" xfId="0" applyFont="1" applyAlignment="1" applyProtection="1">
      <alignment horizontal="left" vertical="center" wrapText="1"/>
      <protection locked="0"/>
    </xf>
    <xf numFmtId="0" fontId="11" fillId="0" borderId="34" xfId="0" applyNumberFormat="1" applyFont="1" applyFill="1" applyBorder="1" applyAlignment="1" applyProtection="1">
      <alignment horizontal="center" vertical="center" wrapText="1"/>
      <protection locked="0"/>
    </xf>
    <xf numFmtId="0" fontId="56" fillId="0" borderId="34" xfId="0" applyNumberFormat="1" applyFont="1" applyFill="1" applyBorder="1" applyAlignment="1" applyProtection="1">
      <alignment horizontal="left" vertical="center" wrapText="1"/>
      <protection locked="0"/>
    </xf>
    <xf numFmtId="194" fontId="16" fillId="31" borderId="34" xfId="0" applyNumberFormat="1" applyFont="1" applyFill="1" applyBorder="1" applyAlignment="1" applyProtection="1">
      <alignment horizontal="center" vertical="center" wrapText="1"/>
      <protection locked="0"/>
    </xf>
    <xf numFmtId="194" fontId="24" fillId="0" borderId="0" xfId="162" applyFont="1" applyAlignment="1">
      <alignment horizontal="center" vertical="center"/>
    </xf>
    <xf numFmtId="194" fontId="137" fillId="0" borderId="0" xfId="162" applyFont="1" applyAlignment="1">
      <alignment horizontal="center" vertical="center"/>
    </xf>
    <xf numFmtId="194" fontId="30" fillId="6" borderId="13" xfId="0" applyNumberFormat="1" applyFont="1" applyFill="1" applyBorder="1" applyAlignment="1" applyProtection="1">
      <alignment horizontal="left" vertical="top" wrapText="1"/>
      <protection locked="0"/>
    </xf>
    <xf numFmtId="194" fontId="30" fillId="6" borderId="0" xfId="0" applyNumberFormat="1" applyFont="1" applyFill="1" applyBorder="1" applyAlignment="1" applyProtection="1">
      <alignment horizontal="left" vertical="top" wrapText="1"/>
      <protection locked="0"/>
    </xf>
    <xf numFmtId="49" fontId="16" fillId="3" borderId="2" xfId="0" applyNumberFormat="1" applyFont="1" applyFill="1" applyBorder="1" applyAlignment="1" applyProtection="1">
      <alignment horizontal="center" vertical="center"/>
      <protection locked="0"/>
    </xf>
    <xf numFmtId="49" fontId="16" fillId="3" borderId="7" xfId="0" applyNumberFormat="1" applyFont="1" applyFill="1" applyBorder="1" applyAlignment="1" applyProtection="1">
      <alignment horizontal="center" vertical="center"/>
      <protection locked="0"/>
    </xf>
    <xf numFmtId="194" fontId="16" fillId="31" borderId="34" xfId="195" applyFont="1" applyFill="1" applyBorder="1" applyAlignment="1" applyProtection="1">
      <alignment horizontal="center" vertical="center" wrapText="1"/>
      <protection locked="0"/>
    </xf>
    <xf numFmtId="194" fontId="16" fillId="3" borderId="2" xfId="0" applyNumberFormat="1" applyFont="1" applyFill="1" applyBorder="1" applyAlignment="1" applyProtection="1">
      <alignment horizontal="center" vertical="center" wrapText="1"/>
      <protection locked="0"/>
    </xf>
    <xf numFmtId="194" fontId="16" fillId="3" borderId="7" xfId="0" applyNumberFormat="1" applyFont="1" applyFill="1" applyBorder="1" applyAlignment="1" applyProtection="1">
      <alignment horizontal="center" vertical="center" wrapText="1"/>
      <protection locked="0"/>
    </xf>
    <xf numFmtId="194" fontId="16" fillId="0" borderId="12" xfId="195" applyFont="1" applyFill="1" applyBorder="1" applyAlignment="1" applyProtection="1">
      <alignment horizontal="left" vertical="center" wrapText="1"/>
      <protection locked="0"/>
    </xf>
    <xf numFmtId="194" fontId="16" fillId="3" borderId="3" xfId="0" applyNumberFormat="1" applyFont="1" applyFill="1" applyBorder="1" applyAlignment="1" applyProtection="1">
      <alignment horizontal="center" vertical="center"/>
      <protection locked="0"/>
    </xf>
    <xf numFmtId="194" fontId="16" fillId="3" borderId="4" xfId="0" applyNumberFormat="1" applyFont="1" applyFill="1" applyBorder="1" applyAlignment="1" applyProtection="1">
      <alignment horizontal="center" vertical="center"/>
      <protection locked="0"/>
    </xf>
    <xf numFmtId="194" fontId="16" fillId="3" borderId="5" xfId="0" applyNumberFormat="1" applyFont="1" applyFill="1" applyBorder="1" applyAlignment="1" applyProtection="1">
      <alignment horizontal="center" vertical="center"/>
      <protection locked="0"/>
    </xf>
    <xf numFmtId="0" fontId="20" fillId="0" borderId="0" xfId="0" applyFont="1" applyAlignment="1">
      <alignment horizontal="center" vertical="center"/>
    </xf>
    <xf numFmtId="0" fontId="125" fillId="0" borderId="0" xfId="0" applyFont="1" applyAlignment="1">
      <alignment horizontal="center" vertical="center"/>
    </xf>
    <xf numFmtId="0" fontId="143" fillId="0" borderId="0" xfId="0" applyFont="1" applyAlignment="1">
      <alignment horizontal="center" vertical="center"/>
    </xf>
    <xf numFmtId="194" fontId="12" fillId="2" borderId="3" xfId="160" applyFont="1" applyFill="1" applyBorder="1" applyAlignment="1" applyProtection="1">
      <alignment horizontal="center" vertical="center" wrapText="1"/>
      <protection locked="0"/>
    </xf>
    <xf numFmtId="194" fontId="12" fillId="2" borderId="4" xfId="160" applyFont="1" applyFill="1" applyBorder="1" applyAlignment="1" applyProtection="1">
      <alignment horizontal="center" vertical="center" wrapText="1"/>
      <protection locked="0"/>
    </xf>
    <xf numFmtId="194" fontId="12" fillId="2" borderId="5" xfId="160" applyFont="1" applyFill="1" applyBorder="1" applyAlignment="1" applyProtection="1">
      <alignment horizontal="center" vertical="center" wrapText="1"/>
      <protection locked="0"/>
    </xf>
    <xf numFmtId="194" fontId="6" fillId="2" borderId="1" xfId="159" applyNumberFormat="1" applyFont="1" applyFill="1" applyBorder="1" applyAlignment="1">
      <alignment horizontal="center" vertical="center" wrapText="1"/>
      <protection locked="0"/>
    </xf>
    <xf numFmtId="0" fontId="12" fillId="2" borderId="1" xfId="159" applyFont="1" applyFill="1" applyBorder="1" applyAlignment="1">
      <alignment horizontal="center" vertical="center" wrapText="1"/>
      <protection locked="0"/>
    </xf>
    <xf numFmtId="0" fontId="6" fillId="2" borderId="1" xfId="0" applyFont="1" applyFill="1" applyBorder="1" applyAlignment="1">
      <alignment horizontal="center" vertical="center"/>
    </xf>
    <xf numFmtId="0" fontId="6" fillId="2" borderId="1" xfId="0" applyFont="1" applyFill="1" applyBorder="1">
      <alignment vertical="center"/>
    </xf>
    <xf numFmtId="0" fontId="9" fillId="2" borderId="1" xfId="0" applyFont="1" applyFill="1" applyBorder="1">
      <alignment vertical="center"/>
    </xf>
    <xf numFmtId="0" fontId="6" fillId="0" borderId="0" xfId="0" applyFont="1" applyAlignment="1">
      <alignment horizontal="center" vertical="center"/>
    </xf>
    <xf numFmtId="0" fontId="47" fillId="0" borderId="9" xfId="0" applyFont="1" applyFill="1" applyBorder="1" applyAlignment="1">
      <alignment horizontal="center" vertical="center" wrapText="1"/>
    </xf>
    <xf numFmtId="0" fontId="47" fillId="0" borderId="9" xfId="0" applyFont="1" applyBorder="1" applyAlignment="1">
      <alignment horizontal="center" vertical="center" wrapText="1"/>
    </xf>
    <xf numFmtId="0" fontId="38" fillId="0" borderId="0" xfId="0" applyFont="1" applyAlignment="1">
      <alignment horizontal="left" vertical="center" wrapText="1"/>
    </xf>
    <xf numFmtId="0" fontId="38" fillId="5" borderId="0" xfId="0" applyFont="1" applyFill="1" applyAlignment="1">
      <alignment horizontal="left" vertical="center" wrapText="1"/>
    </xf>
    <xf numFmtId="0" fontId="52" fillId="0" borderId="9" xfId="0" applyFont="1" applyFill="1" applyBorder="1" applyAlignment="1">
      <alignment horizontal="justify" vertical="center" wrapText="1"/>
    </xf>
    <xf numFmtId="0" fontId="52" fillId="0" borderId="10" xfId="0" applyFont="1" applyFill="1" applyBorder="1" applyAlignment="1">
      <alignment horizontal="justify" vertical="center" wrapText="1"/>
    </xf>
    <xf numFmtId="0" fontId="47" fillId="0" borderId="10" xfId="0" applyFont="1" applyBorder="1" applyAlignment="1">
      <alignment horizontal="center" vertical="center" wrapText="1"/>
    </xf>
    <xf numFmtId="0" fontId="15" fillId="0" borderId="0" xfId="0" applyFont="1" applyAlignment="1">
      <alignment horizontal="center" vertical="center"/>
    </xf>
    <xf numFmtId="0" fontId="15" fillId="2" borderId="34" xfId="0" applyFont="1" applyFill="1" applyBorder="1" applyAlignment="1">
      <alignment horizontal="center" vertical="center"/>
    </xf>
    <xf numFmtId="194" fontId="15" fillId="2" borderId="34" xfId="160" applyFont="1" applyFill="1" applyBorder="1" applyAlignment="1" applyProtection="1">
      <alignment horizontal="center" vertical="center"/>
      <protection locked="0"/>
    </xf>
    <xf numFmtId="194" fontId="6" fillId="2" borderId="34" xfId="160" applyFont="1" applyFill="1" applyBorder="1" applyAlignment="1" applyProtection="1">
      <alignment horizontal="center" vertical="center"/>
      <protection locked="0"/>
    </xf>
    <xf numFmtId="0" fontId="6" fillId="2" borderId="34" xfId="0" applyFont="1" applyFill="1" applyBorder="1" applyAlignment="1">
      <alignment horizontal="center" vertical="center"/>
    </xf>
    <xf numFmtId="0" fontId="6" fillId="2" borderId="34" xfId="0" applyFont="1" applyFill="1" applyBorder="1" applyAlignment="1">
      <alignment horizontal="center" vertical="center" wrapText="1"/>
    </xf>
    <xf numFmtId="0" fontId="15" fillId="2" borderId="34" xfId="0" applyFont="1" applyFill="1" applyBorder="1" applyAlignment="1">
      <alignment horizontal="center" vertical="center" wrapText="1"/>
    </xf>
    <xf numFmtId="43" fontId="24" fillId="0" borderId="0" xfId="167" applyNumberFormat="1" applyFont="1" applyBorder="1" applyAlignment="1">
      <alignment horizontal="center" vertical="center"/>
    </xf>
    <xf numFmtId="43" fontId="137" fillId="0" borderId="0" xfId="167" applyNumberFormat="1" applyFont="1" applyBorder="1" applyAlignment="1">
      <alignment horizontal="center" vertical="center"/>
    </xf>
    <xf numFmtId="0" fontId="42" fillId="0" borderId="0" xfId="158" applyFont="1" applyAlignment="1">
      <alignment horizontal="left" vertical="center" wrapText="1"/>
      <protection locked="0"/>
    </xf>
    <xf numFmtId="0" fontId="37" fillId="0" borderId="0" xfId="158" applyFont="1" applyAlignment="1">
      <alignment horizontal="left" vertical="center" wrapText="1"/>
      <protection locked="0"/>
    </xf>
    <xf numFmtId="0" fontId="124" fillId="0" borderId="0" xfId="197" applyFont="1" applyAlignment="1">
      <alignment horizontal="center" vertical="center"/>
    </xf>
    <xf numFmtId="0" fontId="125" fillId="0" borderId="0" xfId="197" applyFont="1" applyAlignment="1">
      <alignment horizontal="center" vertical="center"/>
    </xf>
    <xf numFmtId="0" fontId="20" fillId="0" borderId="0" xfId="197" applyFont="1" applyAlignment="1">
      <alignment horizontal="center" vertical="center"/>
    </xf>
    <xf numFmtId="0" fontId="12" fillId="3" borderId="34" xfId="197" applyNumberFormat="1" applyFont="1" applyFill="1" applyBorder="1" applyAlignment="1" applyProtection="1">
      <alignment horizontal="center" vertical="center" wrapText="1"/>
      <protection locked="0"/>
    </xf>
    <xf numFmtId="0" fontId="12" fillId="3" borderId="34" xfId="197" applyNumberFormat="1" applyFont="1" applyFill="1" applyBorder="1" applyAlignment="1" applyProtection="1">
      <alignment horizontal="center" vertical="center"/>
      <protection locked="0"/>
    </xf>
    <xf numFmtId="0" fontId="16" fillId="3" borderId="34" xfId="197" applyNumberFormat="1" applyFont="1" applyFill="1" applyBorder="1" applyAlignment="1" applyProtection="1">
      <alignment horizontal="center" vertical="center"/>
      <protection locked="0"/>
    </xf>
    <xf numFmtId="0" fontId="16" fillId="3" borderId="34" xfId="197" applyNumberFormat="1" applyFont="1" applyFill="1" applyBorder="1" applyAlignment="1" applyProtection="1">
      <alignment horizontal="center" vertical="center" wrapText="1"/>
      <protection locked="0"/>
    </xf>
    <xf numFmtId="0" fontId="131" fillId="3" borderId="2" xfId="197" applyNumberFormat="1" applyFont="1" applyFill="1" applyBorder="1" applyAlignment="1" applyProtection="1">
      <alignment horizontal="center" vertical="center" wrapText="1"/>
      <protection locked="0"/>
    </xf>
    <xf numFmtId="0" fontId="131" fillId="3" borderId="7" xfId="197" applyNumberFormat="1" applyFont="1" applyFill="1" applyBorder="1" applyAlignment="1" applyProtection="1">
      <alignment horizontal="center" vertical="center" wrapText="1"/>
      <protection locked="0"/>
    </xf>
    <xf numFmtId="0" fontId="131" fillId="3" borderId="3" xfId="197" applyNumberFormat="1" applyFont="1" applyFill="1" applyBorder="1" applyAlignment="1" applyProtection="1">
      <alignment horizontal="center" vertical="center" wrapText="1"/>
      <protection locked="0"/>
    </xf>
    <xf numFmtId="0" fontId="131" fillId="3" borderId="29" xfId="197" applyNumberFormat="1" applyFont="1" applyFill="1" applyBorder="1" applyAlignment="1" applyProtection="1">
      <alignment horizontal="center" vertical="center" wrapText="1"/>
      <protection locked="0"/>
    </xf>
    <xf numFmtId="0" fontId="7" fillId="0" borderId="0" xfId="197" applyFont="1" applyAlignment="1">
      <alignment horizontal="center" vertical="center"/>
    </xf>
    <xf numFmtId="0" fontId="131" fillId="3" borderId="2" xfId="197" applyNumberFormat="1" applyFont="1" applyFill="1" applyBorder="1" applyAlignment="1" applyProtection="1">
      <alignment horizontal="center" vertical="center" wrapText="1" shrinkToFit="1"/>
    </xf>
    <xf numFmtId="0" fontId="131" fillId="3" borderId="6" xfId="197" applyNumberFormat="1" applyFont="1" applyFill="1" applyBorder="1" applyAlignment="1" applyProtection="1">
      <alignment horizontal="center" vertical="center" wrapText="1" shrinkToFit="1"/>
    </xf>
    <xf numFmtId="0" fontId="131" fillId="3" borderId="7" xfId="197" applyNumberFormat="1" applyFont="1" applyFill="1" applyBorder="1" applyAlignment="1" applyProtection="1">
      <alignment horizontal="center" vertical="center" wrapText="1" shrinkToFit="1"/>
    </xf>
    <xf numFmtId="43" fontId="131" fillId="3" borderId="3" xfId="197" applyNumberFormat="1" applyFont="1" applyFill="1" applyBorder="1" applyAlignment="1" applyProtection="1">
      <alignment horizontal="center" vertical="center" shrinkToFit="1"/>
    </xf>
    <xf numFmtId="43" fontId="131" fillId="3" borderId="4" xfId="197" applyNumberFormat="1" applyFont="1" applyFill="1" applyBorder="1" applyAlignment="1" applyProtection="1">
      <alignment horizontal="center" vertical="center" shrinkToFit="1"/>
    </xf>
    <xf numFmtId="43" fontId="131" fillId="3" borderId="29" xfId="197" applyNumberFormat="1" applyFont="1" applyFill="1" applyBorder="1" applyAlignment="1" applyProtection="1">
      <alignment horizontal="center" vertical="center" shrinkToFit="1"/>
    </xf>
    <xf numFmtId="0" fontId="131" fillId="3" borderId="3" xfId="197" applyNumberFormat="1" applyFont="1" applyFill="1" applyBorder="1" applyAlignment="1" applyProtection="1">
      <alignment horizontal="center" vertical="center" wrapText="1" shrinkToFit="1"/>
    </xf>
    <xf numFmtId="0" fontId="131" fillId="3" borderId="4" xfId="197" applyNumberFormat="1" applyFont="1" applyFill="1" applyBorder="1" applyAlignment="1" applyProtection="1">
      <alignment horizontal="center" vertical="center" wrapText="1" shrinkToFit="1"/>
    </xf>
    <xf numFmtId="0" fontId="131" fillId="3" borderId="29" xfId="197" applyNumberFormat="1" applyFont="1" applyFill="1" applyBorder="1" applyAlignment="1" applyProtection="1">
      <alignment horizontal="center" vertical="center" wrapText="1" shrinkToFit="1"/>
    </xf>
    <xf numFmtId="43" fontId="132" fillId="3" borderId="2" xfId="197" applyNumberFormat="1" applyFont="1" applyFill="1" applyBorder="1" applyAlignment="1" applyProtection="1">
      <alignment horizontal="center" vertical="center" shrinkToFit="1"/>
    </xf>
    <xf numFmtId="43" fontId="132" fillId="3" borderId="7" xfId="197" applyNumberFormat="1" applyFont="1" applyFill="1" applyBorder="1" applyAlignment="1" applyProtection="1">
      <alignment horizontal="center" vertical="center" shrinkToFit="1"/>
    </xf>
    <xf numFmtId="0" fontId="16" fillId="31" borderId="34" xfId="197" applyNumberFormat="1" applyFont="1" applyFill="1" applyBorder="1" applyAlignment="1" applyProtection="1">
      <alignment horizontal="center" vertical="center" wrapText="1"/>
    </xf>
    <xf numFmtId="194" fontId="24" fillId="0" borderId="0" xfId="197" applyNumberFormat="1" applyFont="1" applyFill="1" applyBorder="1" applyAlignment="1" applyProtection="1">
      <alignment horizontal="center" vertical="center"/>
    </xf>
    <xf numFmtId="194" fontId="137" fillId="0" borderId="0" xfId="197" applyNumberFormat="1" applyFont="1" applyFill="1" applyBorder="1" applyAlignment="1" applyProtection="1">
      <alignment horizontal="center" vertical="center"/>
    </xf>
    <xf numFmtId="0" fontId="131" fillId="3" borderId="34" xfId="197" applyNumberFormat="1" applyFont="1" applyFill="1" applyBorder="1" applyAlignment="1" applyProtection="1">
      <alignment horizontal="center" vertical="center" wrapText="1"/>
    </xf>
    <xf numFmtId="0" fontId="15" fillId="3" borderId="34" xfId="197" applyNumberFormat="1" applyFont="1" applyFill="1" applyBorder="1" applyAlignment="1" applyProtection="1">
      <alignment horizontal="center" vertical="center" wrapText="1"/>
    </xf>
    <xf numFmtId="0" fontId="138" fillId="3" borderId="34" xfId="197" applyNumberFormat="1" applyFont="1" applyFill="1" applyBorder="1" applyAlignment="1" applyProtection="1">
      <alignment horizontal="center" vertical="center" wrapText="1"/>
    </xf>
    <xf numFmtId="0" fontId="16" fillId="3" borderId="34" xfId="197" applyNumberFormat="1" applyFont="1" applyFill="1" applyBorder="1" applyAlignment="1" applyProtection="1">
      <alignment horizontal="center" vertical="center" wrapText="1"/>
    </xf>
    <xf numFmtId="43" fontId="30" fillId="0" borderId="0" xfId="197" applyNumberFormat="1" applyFont="1" applyFill="1" applyBorder="1" applyAlignment="1" applyProtection="1">
      <alignment horizontal="left" vertical="center" wrapText="1"/>
    </xf>
    <xf numFmtId="43" fontId="44" fillId="0" borderId="2" xfId="197" applyNumberFormat="1" applyFont="1" applyFill="1" applyBorder="1" applyAlignment="1" applyProtection="1">
      <alignment horizontal="center" vertical="center"/>
    </xf>
    <xf numFmtId="43" fontId="44" fillId="0" borderId="6" xfId="197" applyNumberFormat="1" applyFont="1" applyFill="1" applyBorder="1" applyAlignment="1" applyProtection="1">
      <alignment horizontal="center" vertical="center"/>
    </xf>
    <xf numFmtId="43" fontId="44" fillId="0" borderId="7" xfId="197" applyNumberFormat="1" applyFont="1" applyFill="1" applyBorder="1" applyAlignment="1" applyProtection="1">
      <alignment horizontal="center" vertical="center"/>
    </xf>
    <xf numFmtId="11" fontId="44" fillId="0" borderId="2" xfId="197" applyNumberFormat="1" applyFont="1" applyFill="1" applyBorder="1" applyAlignment="1" applyProtection="1">
      <alignment horizontal="center" vertical="center"/>
    </xf>
    <xf numFmtId="11" fontId="44" fillId="0" borderId="6" xfId="197" applyNumberFormat="1" applyFont="1" applyFill="1" applyBorder="1" applyAlignment="1" applyProtection="1">
      <alignment horizontal="center" vertical="center"/>
    </xf>
    <xf numFmtId="11" fontId="44" fillId="0" borderId="7" xfId="197" applyNumberFormat="1" applyFont="1" applyFill="1" applyBorder="1" applyAlignment="1" applyProtection="1">
      <alignment horizontal="center" vertical="center"/>
    </xf>
    <xf numFmtId="194" fontId="16" fillId="3" borderId="34" xfId="197" applyNumberFormat="1" applyFont="1" applyFill="1" applyBorder="1" applyAlignment="1" applyProtection="1">
      <alignment horizontal="center" vertical="center" wrapText="1"/>
      <protection locked="0"/>
    </xf>
    <xf numFmtId="0" fontId="43" fillId="3" borderId="34" xfId="197" applyNumberFormat="1" applyFont="1" applyFill="1" applyBorder="1" applyAlignment="1" applyProtection="1">
      <alignment horizontal="center" vertical="center" wrapText="1"/>
      <protection locked="0"/>
    </xf>
    <xf numFmtId="194" fontId="16" fillId="3" borderId="32" xfId="0" applyNumberFormat="1" applyFont="1" applyFill="1" applyBorder="1" applyAlignment="1" applyProtection="1">
      <alignment horizontal="center" vertical="center"/>
      <protection locked="0"/>
    </xf>
    <xf numFmtId="194" fontId="16" fillId="3" borderId="33" xfId="0" applyNumberFormat="1" applyFont="1" applyFill="1" applyBorder="1" applyAlignment="1" applyProtection="1">
      <alignment horizontal="center" vertical="center"/>
      <protection locked="0"/>
    </xf>
    <xf numFmtId="194" fontId="16" fillId="3" borderId="33" xfId="0" applyNumberFormat="1" applyFont="1" applyFill="1" applyBorder="1" applyAlignment="1" applyProtection="1">
      <alignment horizontal="center" vertical="center" wrapText="1"/>
      <protection locked="0"/>
    </xf>
    <xf numFmtId="194" fontId="11" fillId="0" borderId="31" xfId="0" applyNumberFormat="1" applyFont="1" applyFill="1" applyBorder="1" applyAlignment="1" applyProtection="1">
      <alignment horizontal="center"/>
      <protection locked="0"/>
    </xf>
    <xf numFmtId="194" fontId="122" fillId="3" borderId="33" xfId="0" applyNumberFormat="1" applyFont="1" applyFill="1" applyBorder="1" applyAlignment="1" applyProtection="1">
      <alignment horizontal="center" vertical="center"/>
      <protection locked="0"/>
    </xf>
    <xf numFmtId="194" fontId="16" fillId="3" borderId="33" xfId="0" applyNumberFormat="1" applyFont="1" applyFill="1" applyBorder="1" applyAlignment="1" applyProtection="1">
      <alignment horizontal="center" vertical="center" wrapText="1"/>
    </xf>
    <xf numFmtId="0" fontId="21" fillId="0" borderId="0" xfId="166" applyFont="1" applyAlignment="1">
      <alignment horizontal="left" vertical="center" wrapText="1"/>
    </xf>
    <xf numFmtId="0" fontId="24" fillId="0" borderId="0" xfId="164" applyFont="1" applyAlignment="1">
      <alignment horizontal="center" vertical="center"/>
    </xf>
    <xf numFmtId="0" fontId="137" fillId="0" borderId="0" xfId="164" applyFont="1" applyAlignment="1">
      <alignment horizontal="center" vertical="center" wrapText="1"/>
    </xf>
    <xf numFmtId="0" fontId="16" fillId="3" borderId="2" xfId="0" applyNumberFormat="1" applyFont="1" applyFill="1" applyBorder="1" applyAlignment="1" applyProtection="1">
      <alignment horizontal="center" vertical="center" wrapText="1"/>
      <protection locked="0"/>
    </xf>
    <xf numFmtId="0" fontId="12" fillId="0" borderId="0" xfId="0" applyNumberFormat="1" applyFont="1" applyFill="1" applyBorder="1" applyAlignment="1" applyProtection="1">
      <alignment vertical="center"/>
      <protection locked="0"/>
    </xf>
    <xf numFmtId="0" fontId="16" fillId="3" borderId="3" xfId="0" applyNumberFormat="1" applyFont="1" applyFill="1" applyBorder="1" applyAlignment="1" applyProtection="1">
      <alignment horizontal="center" vertical="center"/>
      <protection locked="0"/>
    </xf>
    <xf numFmtId="0" fontId="16" fillId="3" borderId="4" xfId="0" applyNumberFormat="1" applyFont="1" applyFill="1" applyBorder="1" applyAlignment="1" applyProtection="1">
      <alignment horizontal="center" vertical="center"/>
      <protection locked="0"/>
    </xf>
    <xf numFmtId="0" fontId="16" fillId="3" borderId="5" xfId="0" applyNumberFormat="1" applyFont="1" applyFill="1" applyBorder="1" applyAlignment="1" applyProtection="1">
      <alignment horizontal="center" vertical="center"/>
      <protection locked="0"/>
    </xf>
    <xf numFmtId="0" fontId="16" fillId="3" borderId="2" xfId="0" applyNumberFormat="1" applyFont="1" applyFill="1" applyBorder="1" applyAlignment="1" applyProtection="1">
      <alignment horizontal="center" vertical="center"/>
      <protection locked="0"/>
    </xf>
    <xf numFmtId="0" fontId="8" fillId="0" borderId="0" xfId="0" applyNumberFormat="1" applyFont="1" applyFill="1" applyBorder="1" applyAlignment="1" applyProtection="1">
      <alignment vertical="center"/>
      <protection locked="0"/>
    </xf>
    <xf numFmtId="0" fontId="16" fillId="2" borderId="3" xfId="0" applyFont="1" applyFill="1" applyBorder="1" applyAlignment="1" applyProtection="1">
      <alignment horizontal="center" vertical="center" wrapText="1"/>
      <protection locked="0"/>
    </xf>
    <xf numFmtId="0" fontId="16" fillId="2" borderId="4" xfId="0" applyFont="1" applyFill="1" applyBorder="1" applyAlignment="1" applyProtection="1">
      <alignment horizontal="center" vertical="center" wrapText="1"/>
      <protection locked="0"/>
    </xf>
    <xf numFmtId="0" fontId="16" fillId="2" borderId="5" xfId="0" applyFont="1" applyFill="1" applyBorder="1" applyAlignment="1" applyProtection="1">
      <alignment horizontal="center" vertical="center" wrapText="1"/>
      <protection locked="0"/>
    </xf>
    <xf numFmtId="0" fontId="15"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6"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horizontal="center" vertical="center" wrapText="1"/>
      <protection locked="0"/>
    </xf>
    <xf numFmtId="0" fontId="16" fillId="2" borderId="2" xfId="0" applyFont="1" applyFill="1" applyBorder="1" applyAlignment="1" applyProtection="1">
      <alignment horizontal="center" vertical="center" wrapText="1"/>
      <protection locked="0"/>
    </xf>
    <xf numFmtId="0" fontId="16" fillId="2" borderId="7" xfId="0" applyFont="1" applyFill="1" applyBorder="1" applyAlignment="1" applyProtection="1">
      <alignment horizontal="center" vertical="center" wrapText="1"/>
      <protection locked="0"/>
    </xf>
    <xf numFmtId="0" fontId="6" fillId="2" borderId="1" xfId="0" applyFont="1" applyFill="1" applyBorder="1" applyAlignment="1">
      <alignment horizontal="center" vertical="center" wrapText="1"/>
    </xf>
    <xf numFmtId="0" fontId="9" fillId="0" borderId="1" xfId="0" applyFont="1" applyBorder="1">
      <alignment vertical="center"/>
    </xf>
    <xf numFmtId="194" fontId="8" fillId="0" borderId="0" xfId="162" applyFont="1" applyAlignment="1">
      <alignment horizontal="left" vertical="center"/>
    </xf>
    <xf numFmtId="0" fontId="145" fillId="0" borderId="0" xfId="3" applyFont="1" applyAlignment="1">
      <alignment vertical="center"/>
      <protection locked="0"/>
    </xf>
    <xf numFmtId="0" fontId="8" fillId="0" borderId="0" xfId="162" applyNumberFormat="1" applyFont="1">
      <alignment vertical="center"/>
    </xf>
    <xf numFmtId="0" fontId="8" fillId="0" borderId="0" xfId="162" applyNumberFormat="1" applyFont="1" applyAlignment="1">
      <alignment horizontal="left" vertical="center"/>
    </xf>
    <xf numFmtId="0" fontId="8" fillId="0" borderId="0" xfId="197" applyNumberFormat="1" applyFont="1" applyFill="1" applyBorder="1" applyAlignment="1" applyProtection="1">
      <alignment horizontal="left" vertical="center"/>
      <protection locked="0"/>
    </xf>
    <xf numFmtId="194" fontId="12" fillId="0" borderId="0" xfId="197" applyNumberFormat="1" applyFont="1" applyFill="1" applyBorder="1" applyAlignment="1" applyProtection="1">
      <alignment vertical="center"/>
      <protection locked="0"/>
    </xf>
    <xf numFmtId="194" fontId="12" fillId="3" borderId="34" xfId="197" applyNumberFormat="1" applyFont="1" applyFill="1" applyBorder="1" applyAlignment="1" applyProtection="1">
      <alignment horizontal="center" vertical="center" wrapText="1"/>
      <protection locked="0"/>
    </xf>
    <xf numFmtId="194" fontId="12" fillId="3" borderId="2" xfId="197" applyNumberFormat="1" applyFont="1" applyFill="1" applyBorder="1" applyAlignment="1" applyProtection="1">
      <alignment horizontal="center" vertical="center" wrapText="1"/>
      <protection locked="0"/>
    </xf>
    <xf numFmtId="194" fontId="12" fillId="0" borderId="0" xfId="197" applyNumberFormat="1" applyFont="1" applyFill="1" applyBorder="1" applyAlignment="1" applyProtection="1">
      <alignment horizontal="center" vertical="center" wrapText="1"/>
      <protection locked="0"/>
    </xf>
    <xf numFmtId="10" fontId="9" fillId="3" borderId="34" xfId="197" applyNumberFormat="1" applyFont="1" applyFill="1" applyBorder="1" applyAlignment="1" applyProtection="1">
      <alignment horizontal="right" vertical="center"/>
    </xf>
    <xf numFmtId="194" fontId="12" fillId="3" borderId="34" xfId="197" applyNumberFormat="1" applyFont="1" applyFill="1" applyBorder="1" applyAlignment="1" applyProtection="1">
      <alignment horizontal="center" vertical="center"/>
      <protection locked="0"/>
    </xf>
    <xf numFmtId="43" fontId="6" fillId="3" borderId="34" xfId="197" applyNumberFormat="1" applyFont="1" applyFill="1" applyBorder="1" applyAlignment="1" applyProtection="1">
      <alignment horizontal="right" vertical="center"/>
    </xf>
    <xf numFmtId="10" fontId="6" fillId="3" borderId="34" xfId="197" applyNumberFormat="1" applyFont="1" applyFill="1" applyBorder="1" applyAlignment="1" applyProtection="1">
      <alignment horizontal="right" vertical="center"/>
    </xf>
    <xf numFmtId="43" fontId="12" fillId="0" borderId="34" xfId="197" applyNumberFormat="1" applyFont="1" applyFill="1" applyBorder="1" applyAlignment="1" applyProtection="1">
      <alignment vertical="center"/>
    </xf>
    <xf numFmtId="211" fontId="8" fillId="0" borderId="34" xfId="197" applyNumberFormat="1" applyFont="1" applyFill="1" applyBorder="1" applyAlignment="1" applyProtection="1">
      <alignment horizontal="left" vertical="center" shrinkToFit="1"/>
    </xf>
    <xf numFmtId="186" fontId="8" fillId="0" borderId="34" xfId="197" applyNumberFormat="1" applyFont="1" applyFill="1" applyBorder="1" applyAlignment="1" applyProtection="1">
      <alignment horizontal="center" vertical="center"/>
    </xf>
    <xf numFmtId="186" fontId="12" fillId="0" borderId="34" xfId="197" applyNumberFormat="1" applyFont="1" applyFill="1" applyBorder="1" applyAlignment="1" applyProtection="1">
      <alignment horizontal="center" vertical="center"/>
    </xf>
    <xf numFmtId="211" fontId="8" fillId="0" borderId="34" xfId="197" applyNumberFormat="1" applyFont="1" applyFill="1" applyBorder="1" applyAlignment="1" applyProtection="1">
      <alignment horizontal="left" vertical="center" wrapText="1" shrinkToFit="1"/>
    </xf>
    <xf numFmtId="211" fontId="8" fillId="0" borderId="0" xfId="197" applyNumberFormat="1" applyFont="1" applyFill="1" applyBorder="1" applyAlignment="1" applyProtection="1">
      <alignment horizontal="left" vertical="center" shrinkToFit="1"/>
    </xf>
    <xf numFmtId="10" fontId="9" fillId="0" borderId="0" xfId="197" applyNumberFormat="1" applyFont="1" applyFill="1" applyBorder="1" applyAlignment="1" applyProtection="1">
      <alignment horizontal="right" vertical="center"/>
    </xf>
    <xf numFmtId="186" fontId="8" fillId="0" borderId="0" xfId="197" applyNumberFormat="1" applyFont="1" applyFill="1" applyBorder="1" applyAlignment="1" applyProtection="1">
      <alignment horizontal="center" vertical="center"/>
    </xf>
    <xf numFmtId="186" fontId="12" fillId="0" borderId="0" xfId="197" applyNumberFormat="1" applyFont="1" applyFill="1" applyBorder="1" applyAlignment="1" applyProtection="1">
      <alignment horizontal="center" vertical="center"/>
    </xf>
    <xf numFmtId="43" fontId="8" fillId="0" borderId="0" xfId="197" applyNumberFormat="1" applyFont="1" applyFill="1" applyBorder="1" applyAlignment="1" applyProtection="1">
      <alignment vertical="center"/>
    </xf>
    <xf numFmtId="194" fontId="12" fillId="0" borderId="0" xfId="197" applyNumberFormat="1" applyFont="1" applyFill="1" applyBorder="1" applyAlignment="1" applyProtection="1">
      <alignment horizontal="left" vertical="center"/>
      <protection locked="0"/>
    </xf>
    <xf numFmtId="43" fontId="12" fillId="0" borderId="0" xfId="197" applyNumberFormat="1" applyFont="1" applyFill="1" applyBorder="1" applyAlignment="1" applyProtection="1">
      <alignment vertical="center"/>
    </xf>
    <xf numFmtId="194" fontId="16" fillId="3" borderId="34" xfId="197" applyNumberFormat="1" applyFont="1" applyFill="1" applyBorder="1" applyAlignment="1" applyProtection="1">
      <alignment horizontal="center" vertical="center"/>
      <protection locked="0"/>
    </xf>
    <xf numFmtId="43" fontId="16" fillId="3" borderId="34" xfId="197" applyNumberFormat="1" applyFont="1" applyFill="1" applyBorder="1" applyAlignment="1" applyProtection="1">
      <alignment horizontal="center" vertical="center"/>
    </xf>
    <xf numFmtId="186" fontId="12" fillId="3" borderId="34" xfId="197" applyNumberFormat="1" applyFont="1" applyFill="1" applyBorder="1" applyAlignment="1" applyProtection="1">
      <alignment horizontal="center" vertical="center"/>
    </xf>
    <xf numFmtId="194" fontId="8" fillId="0" borderId="0" xfId="197" applyNumberFormat="1" applyFont="1" applyFill="1" applyBorder="1" applyAlignment="1" applyProtection="1">
      <alignment horizontal="center" vertical="center"/>
      <protection locked="0"/>
    </xf>
    <xf numFmtId="186" fontId="12" fillId="0" borderId="34" xfId="197" applyNumberFormat="1" applyFont="1" applyFill="1" applyBorder="1" applyAlignment="1" applyProtection="1">
      <alignment vertical="center"/>
    </xf>
    <xf numFmtId="186" fontId="12" fillId="0" borderId="0" xfId="197" applyNumberFormat="1" applyFont="1" applyFill="1" applyBorder="1" applyAlignment="1" applyProtection="1">
      <alignment vertical="center"/>
    </xf>
    <xf numFmtId="194" fontId="16" fillId="0" borderId="0" xfId="197" applyNumberFormat="1" applyFont="1" applyFill="1" applyBorder="1" applyAlignment="1" applyProtection="1">
      <alignment horizontal="left" vertical="center"/>
      <protection locked="0"/>
    </xf>
    <xf numFmtId="186" fontId="43" fillId="0" borderId="0" xfId="197" applyNumberFormat="1" applyFont="1" applyFill="1" applyBorder="1" applyAlignment="1" applyProtection="1">
      <alignment horizontal="center" vertical="center"/>
    </xf>
    <xf numFmtId="186" fontId="54" fillId="0" borderId="0" xfId="197" applyNumberFormat="1" applyFont="1" applyFill="1" applyBorder="1" applyAlignment="1" applyProtection="1">
      <alignment vertical="center"/>
    </xf>
    <xf numFmtId="194" fontId="44" fillId="0" borderId="0" xfId="197" applyNumberFormat="1" applyFont="1" applyFill="1" applyBorder="1" applyAlignment="1" applyProtection="1">
      <alignment vertical="center"/>
      <protection locked="0"/>
    </xf>
    <xf numFmtId="186" fontId="16" fillId="3" borderId="3" xfId="197" applyNumberFormat="1" applyFont="1" applyFill="1" applyBorder="1" applyAlignment="1" applyProtection="1">
      <alignment horizontal="center" vertical="center"/>
    </xf>
    <xf numFmtId="186" fontId="16" fillId="3" borderId="4" xfId="197" applyNumberFormat="1" applyFont="1" applyFill="1" applyBorder="1" applyAlignment="1" applyProtection="1">
      <alignment horizontal="center" vertical="center"/>
    </xf>
    <xf numFmtId="186" fontId="16" fillId="3" borderId="29" xfId="197" applyNumberFormat="1" applyFont="1" applyFill="1" applyBorder="1" applyAlignment="1" applyProtection="1">
      <alignment horizontal="center" vertical="center"/>
    </xf>
    <xf numFmtId="186" fontId="16" fillId="3" borderId="2" xfId="197" applyNumberFormat="1" applyFont="1" applyFill="1" applyBorder="1" applyAlignment="1" applyProtection="1">
      <alignment horizontal="center" vertical="center" wrapText="1"/>
    </xf>
    <xf numFmtId="43" fontId="16" fillId="3" borderId="34" xfId="197" applyNumberFormat="1" applyFont="1" applyFill="1" applyBorder="1" applyAlignment="1" applyProtection="1">
      <alignment horizontal="center" vertical="center" wrapText="1"/>
    </xf>
    <xf numFmtId="186" fontId="16" fillId="3" borderId="34" xfId="197" applyNumberFormat="1" applyFont="1" applyFill="1" applyBorder="1" applyAlignment="1" applyProtection="1">
      <alignment horizontal="center" vertical="center" wrapText="1"/>
    </xf>
    <xf numFmtId="186" fontId="16" fillId="3" borderId="34" xfId="197" applyNumberFormat="1" applyFont="1" applyFill="1" applyBorder="1" applyAlignment="1" applyProtection="1">
      <alignment horizontal="center" vertical="center"/>
    </xf>
    <xf numFmtId="186" fontId="54" fillId="3" borderId="34" xfId="197" applyNumberFormat="1" applyFont="1" applyFill="1" applyBorder="1" applyAlignment="1" applyProtection="1">
      <alignment horizontal="center" vertical="center"/>
    </xf>
    <xf numFmtId="186" fontId="16" fillId="3" borderId="7" xfId="197" applyNumberFormat="1" applyFont="1" applyFill="1" applyBorder="1" applyAlignment="1" applyProtection="1">
      <alignment horizontal="center" vertical="center" wrapText="1"/>
    </xf>
    <xf numFmtId="211" fontId="36" fillId="0" borderId="34" xfId="197" applyNumberFormat="1" applyFont="1" applyFill="1" applyBorder="1" applyAlignment="1" applyProtection="1">
      <alignment horizontal="left" vertical="center" shrinkToFit="1"/>
    </xf>
    <xf numFmtId="194" fontId="8" fillId="0" borderId="34" xfId="197" applyNumberFormat="1" applyFont="1" applyFill="1" applyBorder="1" applyAlignment="1" applyProtection="1">
      <alignment vertical="center"/>
      <protection locked="0"/>
    </xf>
    <xf numFmtId="211" fontId="44" fillId="0" borderId="34" xfId="197" applyNumberFormat="1" applyFont="1" applyFill="1" applyBorder="1" applyAlignment="1" applyProtection="1">
      <alignment horizontal="left" vertical="center" shrinkToFit="1"/>
    </xf>
    <xf numFmtId="211" fontId="44" fillId="0" borderId="0" xfId="197" applyNumberFormat="1" applyFont="1" applyFill="1" applyBorder="1" applyAlignment="1" applyProtection="1">
      <alignment horizontal="left" vertical="center" shrinkToFit="1"/>
    </xf>
    <xf numFmtId="43" fontId="44" fillId="0" borderId="34" xfId="197" applyNumberFormat="1" applyFont="1" applyFill="1" applyBorder="1" applyAlignment="1" applyProtection="1">
      <alignment vertical="center"/>
    </xf>
    <xf numFmtId="186" fontId="54" fillId="0" borderId="34" xfId="197" applyNumberFormat="1" applyFont="1" applyFill="1" applyBorder="1" applyAlignment="1" applyProtection="1">
      <alignment horizontal="center" vertical="center"/>
    </xf>
    <xf numFmtId="43" fontId="54" fillId="0" borderId="34" xfId="197" applyNumberFormat="1" applyFont="1" applyFill="1" applyBorder="1" applyAlignment="1" applyProtection="1">
      <alignment vertical="center"/>
    </xf>
    <xf numFmtId="186" fontId="54" fillId="0" borderId="34" xfId="197" applyNumberFormat="1" applyFont="1" applyFill="1" applyBorder="1" applyAlignment="1" applyProtection="1">
      <alignment vertical="center"/>
    </xf>
    <xf numFmtId="43" fontId="44" fillId="0" borderId="0" xfId="197" applyNumberFormat="1" applyFont="1" applyFill="1" applyBorder="1" applyAlignment="1" applyProtection="1">
      <alignment vertical="center"/>
    </xf>
    <xf numFmtId="186" fontId="54" fillId="0" borderId="0" xfId="197" applyNumberFormat="1" applyFont="1" applyFill="1" applyBorder="1" applyAlignment="1" applyProtection="1">
      <alignment horizontal="center" vertical="center"/>
    </xf>
    <xf numFmtId="43" fontId="54" fillId="0" borderId="0" xfId="197" applyNumberFormat="1" applyFont="1" applyFill="1" applyBorder="1" applyAlignment="1" applyProtection="1">
      <alignment vertical="center"/>
    </xf>
    <xf numFmtId="194" fontId="43" fillId="0" borderId="0" xfId="197" applyNumberFormat="1" applyFont="1" applyFill="1" applyBorder="1" applyAlignment="1" applyProtection="1">
      <alignment horizontal="left" vertical="center"/>
      <protection locked="0"/>
    </xf>
    <xf numFmtId="194" fontId="22" fillId="0" borderId="0" xfId="197" applyNumberFormat="1" applyFont="1" applyFill="1" applyBorder="1" applyAlignment="1" applyProtection="1">
      <alignment vertical="center"/>
      <protection locked="0"/>
    </xf>
    <xf numFmtId="194" fontId="9" fillId="0" borderId="34" xfId="0" applyNumberFormat="1" applyFont="1" applyFill="1" applyBorder="1" applyAlignment="1" applyProtection="1">
      <alignment horizontal="center" vertical="center" wrapText="1"/>
    </xf>
  </cellXfs>
  <cellStyles count="199">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Calc Currency (0)" xfId="78"/>
    <cellStyle name="Calculation" xfId="79"/>
    <cellStyle name="Check Cell" xfId="80"/>
    <cellStyle name="Col Heads" xfId="81"/>
    <cellStyle name="Column_Title" xfId="82"/>
    <cellStyle name="Comma  - Style1" xfId="83"/>
    <cellStyle name="Comma  - Style2" xfId="84"/>
    <cellStyle name="Comma  - Style3" xfId="85"/>
    <cellStyle name="Comma  - Style4" xfId="86"/>
    <cellStyle name="Comma  - Style5" xfId="87"/>
    <cellStyle name="Comma  - Style6" xfId="88"/>
    <cellStyle name="Comma  - Style7" xfId="89"/>
    <cellStyle name="Comma  - Style8" xfId="90"/>
    <cellStyle name="Comma [0]_ rislugp" xfId="91"/>
    <cellStyle name="Comma,0" xfId="92"/>
    <cellStyle name="Comma,1" xfId="93"/>
    <cellStyle name="Comma,2" xfId="94"/>
    <cellStyle name="Comma_ rislugp" xfId="95"/>
    <cellStyle name="Currency [0]_ rislugp" xfId="96"/>
    <cellStyle name="Currency,0" xfId="97"/>
    <cellStyle name="Currency,2" xfId="98"/>
    <cellStyle name="Currency_ rislugp" xfId="99"/>
    <cellStyle name="Dezimal [0]_laroux" xfId="100"/>
    <cellStyle name="Dezimal_laroux" xfId="101"/>
    <cellStyle name="entry" xfId="102"/>
    <cellStyle name="entry box" xfId="103"/>
    <cellStyle name="Euro" xfId="104"/>
    <cellStyle name="Explanatory Text" xfId="105"/>
    <cellStyle name="Followed Hyperlink_AheadBehind.xls Chart 23" xfId="106"/>
    <cellStyle name="Good" xfId="107"/>
    <cellStyle name="Grey" xfId="108"/>
    <cellStyle name="Header1" xfId="109"/>
    <cellStyle name="Header2" xfId="110"/>
    <cellStyle name="Heading" xfId="111"/>
    <cellStyle name="Heading 1" xfId="112"/>
    <cellStyle name="Heading 2" xfId="113"/>
    <cellStyle name="Heading 3" xfId="114"/>
    <cellStyle name="Heading 4" xfId="115"/>
    <cellStyle name="Hyperlink_AheadBehind.xls Chart 23" xfId="116"/>
    <cellStyle name="Input" xfId="117"/>
    <cellStyle name="Input [yellow]" xfId="118"/>
    <cellStyle name="left" xfId="119"/>
    <cellStyle name="Linked Cell" xfId="120"/>
    <cellStyle name="Millares [0]_laroux" xfId="121"/>
    <cellStyle name="Millares_laroux" xfId="122"/>
    <cellStyle name="Milliers [0]_laroux" xfId="123"/>
    <cellStyle name="Milliers_laroux" xfId="124"/>
    <cellStyle name="Moneda [0]_laroux" xfId="125"/>
    <cellStyle name="Moneda_laroux" xfId="126"/>
    <cellStyle name="Mon閠aire [0]_laroux" xfId="127"/>
    <cellStyle name="Mon閠aire_laroux" xfId="128"/>
    <cellStyle name="Neutral" xfId="129"/>
    <cellStyle name="no dec" xfId="130"/>
    <cellStyle name="Non défini" xfId="131"/>
    <cellStyle name="Normal - Style1" xfId="132"/>
    <cellStyle name="Normal_ rislugp" xfId="133"/>
    <cellStyle name="Normalny_Arkusz1" xfId="134"/>
    <cellStyle name="Note" xfId="135"/>
    <cellStyle name="Output" xfId="136"/>
    <cellStyle name="Percent (0)" xfId="137"/>
    <cellStyle name="Percent [2]" xfId="138"/>
    <cellStyle name="Prefilled" xfId="139"/>
    <cellStyle name="price" xfId="140"/>
    <cellStyle name="Red" xfId="141"/>
    <cellStyle name="revised" xfId="142"/>
    <cellStyle name="section" xfId="143"/>
    <cellStyle name="style" xfId="144"/>
    <cellStyle name="style1" xfId="145"/>
    <cellStyle name="style2" xfId="146"/>
    <cellStyle name="Tickmark" xfId="147"/>
    <cellStyle name="title" xfId="148"/>
    <cellStyle name="Total" xfId="149"/>
    <cellStyle name="Warning Text" xfId="150"/>
    <cellStyle name="wrap" xfId="151"/>
    <cellStyle name="パーセント_laroux" xfId="152"/>
    <cellStyle name="百分比" xfId="2" builtinId="5"/>
    <cellStyle name="百分比 2" xfId="153"/>
    <cellStyle name="標準_１１月価格表" xfId="154"/>
    <cellStyle name="常规" xfId="0" builtinId="0"/>
    <cellStyle name="常规 11 5" xfId="198"/>
    <cellStyle name="常规 2" xfId="155"/>
    <cellStyle name="常规 2 2" xfId="156"/>
    <cellStyle name="常规 2 3" xfId="157"/>
    <cellStyle name="常规 2 8" xfId="158"/>
    <cellStyle name="常规 3" xfId="159"/>
    <cellStyle name="常规 4" xfId="160"/>
    <cellStyle name="常规 4 2" xfId="161"/>
    <cellStyle name="常规 5" xfId="162"/>
    <cellStyle name="常规 6" xfId="163"/>
    <cellStyle name="常规 7" xfId="195"/>
    <cellStyle name="常规 7 2" xfId="196"/>
    <cellStyle name="常规 8" xfId="197"/>
    <cellStyle name="常规_Book1" xfId="164"/>
    <cellStyle name="常规_c-资产类" xfId="165"/>
    <cellStyle name="常规_进一步审计程序--销售与收款循环" xfId="166"/>
    <cellStyle name="常规_新审定表" xfId="167"/>
    <cellStyle name="常规_制造费用" xfId="168"/>
    <cellStyle name="超级链接_B4-1审计项目工时预算与控制表(集团)" xfId="169"/>
    <cellStyle name="超链接" xfId="3" builtinId="8"/>
    <cellStyle name="超链接 2" xfId="170"/>
    <cellStyle name="超链接 2 2" xfId="171"/>
    <cellStyle name="超链接 3" xfId="172"/>
    <cellStyle name="超链接 3 2" xfId="173"/>
    <cellStyle name="分级显示行_1_4附件二凯旋评估表" xfId="174"/>
    <cellStyle name="桁区切り [0.00]_１１月価格表" xfId="175"/>
    <cellStyle name="桁区切り_１１月価格表" xfId="176"/>
    <cellStyle name="霓付 [0]_97MBO" xfId="177"/>
    <cellStyle name="霓付_97MBO" xfId="178"/>
    <cellStyle name="烹拳 [0]_97MBO" xfId="179"/>
    <cellStyle name="烹拳_97MBO" xfId="180"/>
    <cellStyle name="普通_ 白土" xfId="181"/>
    <cellStyle name="千分位[0]_ 白土" xfId="182"/>
    <cellStyle name="千分位_ 白土" xfId="183"/>
    <cellStyle name="千位[0]_97汇总" xfId="184"/>
    <cellStyle name="千位_97汇总" xfId="185"/>
    <cellStyle name="千位分隔" xfId="1" builtinId="3"/>
    <cellStyle name="钎霖_laroux" xfId="186"/>
    <cellStyle name="通貨 [0.00]_１１月価格表" xfId="187"/>
    <cellStyle name="通貨_１１月価格表" xfId="188"/>
    <cellStyle name="样式 1" xfId="189"/>
    <cellStyle name="콤마 [0]_BOILER-CO1" xfId="190"/>
    <cellStyle name="콤마_BOILER-CO1" xfId="191"/>
    <cellStyle name="통화 [0]_BOILER-CO1" xfId="192"/>
    <cellStyle name="통화_BOILER-CO1" xfId="193"/>
    <cellStyle name="표준_0N-HANDLING " xfId="194"/>
  </cellStyles>
  <dxfs count="1">
    <dxf>
      <font>
        <color rgb="FFFF0000"/>
      </font>
      <numFmt numFmtId="212" formatCode="0.00_ "/>
    </dxf>
  </dxfs>
  <tableStyles count="0" defaultTableStyle="TableStyleMedium9" defaultPivotStyle="PivotStyleLight16"/>
  <colors>
    <mruColors>
      <color rgb="FF0000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6%20&#30740;&#21457;&#36153;&#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研发费用实质性程序 I6A"/>
      <sheetName val="附注披露（上市公司）"/>
      <sheetName val="附注披露（国有企业）"/>
      <sheetName val="审定表I6-1"/>
      <sheetName val="明细表I6-2"/>
      <sheetName val="调整分录汇总I6-3"/>
      <sheetName val="其他针对性检查表I6-4"/>
      <sheetName val="截止性测试（账到单据）I6-5"/>
      <sheetName val="截止性测试（单据到账）I6-6"/>
      <sheetName val="GT_Custom"/>
    </sheetNames>
    <sheetDataSet>
      <sheetData sheetId="0"/>
      <sheetData sheetId="1" refreshError="1"/>
      <sheetData sheetId="2" refreshError="1"/>
      <sheetData sheetId="3" refreshError="1"/>
      <sheetData sheetId="4" refreshError="1"/>
      <sheetData sheetId="5">
        <row r="9">
          <cell r="A9" t="str">
            <v>人工费</v>
          </cell>
          <cell r="Q9">
            <v>0</v>
          </cell>
        </row>
        <row r="10">
          <cell r="A10" t="str">
            <v>材料费</v>
          </cell>
          <cell r="Q10">
            <v>0</v>
          </cell>
        </row>
        <row r="11">
          <cell r="A11" t="str">
            <v>制造费用分摊</v>
          </cell>
          <cell r="Q11">
            <v>0</v>
          </cell>
        </row>
        <row r="12">
          <cell r="A12" t="str">
            <v>无形资产摊销</v>
          </cell>
          <cell r="Q12">
            <v>0</v>
          </cell>
        </row>
        <row r="13">
          <cell r="Q13">
            <v>0</v>
          </cell>
        </row>
        <row r="14">
          <cell r="Q14">
            <v>0</v>
          </cell>
        </row>
        <row r="15">
          <cell r="Q15">
            <v>0</v>
          </cell>
        </row>
      </sheetData>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workbookViewId="0"/>
  </sheetViews>
  <sheetFormatPr defaultColWidth="9" defaultRowHeight="18" customHeight="1"/>
  <cols>
    <col min="1" max="1" width="86.5546875" style="6" customWidth="1"/>
    <col min="2" max="2" width="9" style="173"/>
    <col min="3" max="3" width="32.109375" style="6" customWidth="1"/>
    <col min="4" max="4" width="9" style="173"/>
    <col min="5" max="5" width="16.109375" style="6" customWidth="1"/>
    <col min="6" max="6" width="11.33203125" style="6" customWidth="1"/>
    <col min="7" max="16384" width="9" style="6"/>
  </cols>
  <sheetData>
    <row r="1" spans="1:6" s="171" customFormat="1" ht="18" customHeight="1">
      <c r="A1" s="174" t="s">
        <v>0</v>
      </c>
      <c r="B1" s="420" t="s">
        <v>1</v>
      </c>
      <c r="C1" s="420"/>
      <c r="D1" s="420"/>
      <c r="E1" s="420"/>
    </row>
    <row r="2" spans="1:6" s="172" customFormat="1" ht="18" customHeight="1">
      <c r="A2" s="175" t="s">
        <v>377</v>
      </c>
      <c r="B2" s="176"/>
      <c r="C2" s="176"/>
      <c r="D2" s="176"/>
      <c r="E2" s="176"/>
    </row>
    <row r="3" spans="1:6" s="5" customFormat="1" ht="18" customHeight="1">
      <c r="A3" s="346" t="s">
        <v>618</v>
      </c>
      <c r="B3" s="177" t="s">
        <v>2</v>
      </c>
      <c r="C3" s="177" t="s">
        <v>3</v>
      </c>
      <c r="D3" s="177" t="s">
        <v>4</v>
      </c>
      <c r="E3" s="177" t="s">
        <v>5</v>
      </c>
    </row>
    <row r="4" spans="1:6" ht="18" customHeight="1">
      <c r="A4" s="212" t="s">
        <v>378</v>
      </c>
      <c r="B4" s="178">
        <v>1</v>
      </c>
      <c r="C4" s="179" t="s">
        <v>6</v>
      </c>
      <c r="D4" s="178" t="s">
        <v>7</v>
      </c>
      <c r="E4" s="180"/>
    </row>
    <row r="5" spans="1:6" ht="18" customHeight="1">
      <c r="A5" s="212" t="s">
        <v>379</v>
      </c>
      <c r="B5" s="178">
        <v>2</v>
      </c>
      <c r="C5" s="179" t="s">
        <v>8</v>
      </c>
      <c r="D5" s="178" t="s">
        <v>9</v>
      </c>
      <c r="E5" s="181"/>
    </row>
    <row r="6" spans="1:6" ht="18" customHeight="1">
      <c r="A6" s="212" t="s">
        <v>380</v>
      </c>
      <c r="B6" s="178">
        <v>3</v>
      </c>
      <c r="C6" s="179" t="s">
        <v>10</v>
      </c>
      <c r="D6" s="178"/>
      <c r="E6" s="180"/>
      <c r="F6" s="348" t="s">
        <v>623</v>
      </c>
    </row>
    <row r="7" spans="1:6" ht="18" customHeight="1">
      <c r="A7" s="212" t="s">
        <v>381</v>
      </c>
      <c r="B7" s="178">
        <v>4</v>
      </c>
      <c r="C7" s="179" t="s">
        <v>11</v>
      </c>
      <c r="D7" s="178"/>
      <c r="E7" s="180"/>
      <c r="F7" s="348" t="s">
        <v>624</v>
      </c>
    </row>
    <row r="8" spans="1:6" ht="18" customHeight="1">
      <c r="B8" s="178">
        <v>5</v>
      </c>
      <c r="C8" s="179" t="s">
        <v>12</v>
      </c>
      <c r="D8" s="178" t="s">
        <v>13</v>
      </c>
      <c r="E8" s="180"/>
    </row>
    <row r="9" spans="1:6" ht="18" customHeight="1">
      <c r="B9" s="178">
        <v>6</v>
      </c>
      <c r="C9" s="179" t="s">
        <v>14</v>
      </c>
      <c r="D9" s="178" t="s">
        <v>15</v>
      </c>
      <c r="E9" s="180" t="s">
        <v>16</v>
      </c>
    </row>
    <row r="10" spans="1:6" ht="18" customHeight="1">
      <c r="A10" s="347" t="s">
        <v>619</v>
      </c>
      <c r="B10" s="178">
        <v>7</v>
      </c>
      <c r="C10" s="179" t="s">
        <v>586</v>
      </c>
      <c r="D10" s="178" t="s">
        <v>17</v>
      </c>
      <c r="E10" s="180"/>
    </row>
    <row r="11" spans="1:6" ht="18" customHeight="1">
      <c r="A11" s="421" t="s">
        <v>620</v>
      </c>
      <c r="B11" s="178">
        <v>8</v>
      </c>
      <c r="C11" s="179" t="s">
        <v>692</v>
      </c>
      <c r="D11" s="178" t="s">
        <v>18</v>
      </c>
      <c r="E11" s="180"/>
    </row>
    <row r="12" spans="1:6" ht="18" customHeight="1">
      <c r="A12" s="421"/>
      <c r="B12" s="178">
        <v>9</v>
      </c>
      <c r="C12" s="179" t="s">
        <v>587</v>
      </c>
      <c r="D12" s="178" t="s">
        <v>20</v>
      </c>
      <c r="E12" s="180"/>
    </row>
    <row r="13" spans="1:6" ht="18" customHeight="1">
      <c r="A13" s="421"/>
      <c r="B13" s="178">
        <v>10</v>
      </c>
      <c r="C13" s="179" t="s">
        <v>588</v>
      </c>
      <c r="D13" s="178" t="s">
        <v>21</v>
      </c>
      <c r="E13" s="180"/>
    </row>
    <row r="14" spans="1:6" ht="18" customHeight="1">
      <c r="A14" s="421"/>
      <c r="B14" s="178">
        <v>11</v>
      </c>
      <c r="C14" s="179" t="s">
        <v>589</v>
      </c>
      <c r="D14" s="178" t="s">
        <v>22</v>
      </c>
      <c r="E14" s="180"/>
    </row>
    <row r="15" spans="1:6" ht="18" customHeight="1">
      <c r="A15" s="421" t="s">
        <v>621</v>
      </c>
      <c r="B15" s="178">
        <v>12</v>
      </c>
      <c r="C15" s="179" t="s">
        <v>590</v>
      </c>
      <c r="D15" s="178" t="s">
        <v>593</v>
      </c>
      <c r="E15" s="180"/>
    </row>
    <row r="16" spans="1:6" ht="18" customHeight="1">
      <c r="A16" s="421"/>
      <c r="B16" s="178">
        <v>13</v>
      </c>
      <c r="C16" s="179" t="s">
        <v>591</v>
      </c>
      <c r="D16" s="178" t="s">
        <v>594</v>
      </c>
      <c r="E16" s="180"/>
    </row>
    <row r="17" spans="1:5" ht="18" customHeight="1">
      <c r="A17" s="421"/>
      <c r="B17" s="178">
        <v>14</v>
      </c>
      <c r="C17" s="179" t="s">
        <v>592</v>
      </c>
      <c r="D17" s="178" t="s">
        <v>595</v>
      </c>
      <c r="E17" s="180"/>
    </row>
    <row r="18" spans="1:5" ht="18" customHeight="1">
      <c r="A18" s="422" t="s">
        <v>622</v>
      </c>
      <c r="B18" s="178">
        <v>15</v>
      </c>
      <c r="C18" s="179" t="s">
        <v>19</v>
      </c>
      <c r="D18" s="178" t="s">
        <v>596</v>
      </c>
      <c r="E18" s="180"/>
    </row>
    <row r="19" spans="1:5" ht="18" customHeight="1">
      <c r="A19" s="422"/>
      <c r="B19" s="178">
        <v>16</v>
      </c>
      <c r="C19" s="179" t="s">
        <v>644</v>
      </c>
      <c r="D19" s="178" t="s">
        <v>597</v>
      </c>
      <c r="E19" s="180"/>
    </row>
    <row r="20" spans="1:5" ht="18" customHeight="1">
      <c r="A20" s="422"/>
      <c r="B20" s="178">
        <v>17</v>
      </c>
      <c r="C20" s="179" t="s">
        <v>645</v>
      </c>
      <c r="D20" s="178" t="s">
        <v>598</v>
      </c>
      <c r="E20" s="180"/>
    </row>
    <row r="21" spans="1:5" ht="18" customHeight="1">
      <c r="B21" s="178">
        <v>18</v>
      </c>
      <c r="C21" s="179" t="s">
        <v>23</v>
      </c>
      <c r="D21" s="178" t="s">
        <v>599</v>
      </c>
      <c r="E21" s="180"/>
    </row>
    <row r="22" spans="1:5" ht="18" customHeight="1">
      <c r="B22" s="178">
        <v>19</v>
      </c>
      <c r="C22" s="179" t="s">
        <v>24</v>
      </c>
      <c r="D22" s="178" t="s">
        <v>693</v>
      </c>
      <c r="E22" s="180"/>
    </row>
  </sheetData>
  <mergeCells count="4">
    <mergeCell ref="B1:E1"/>
    <mergeCell ref="A11:A14"/>
    <mergeCell ref="A15:A17"/>
    <mergeCell ref="A18:A20"/>
  </mergeCells>
  <phoneticPr fontId="116" type="noConversion"/>
  <hyperlinks>
    <hyperlink ref="C5" location="'审定表I2-1'!A1" display="开发支出审定表"/>
    <hyperlink ref="C8" location="'明细表I2-2'!A1" display="开发支出明细表"/>
    <hyperlink ref="C6" location="'附注披露（上市公司）'!A1" display="开发支出附注披露表（上市公司）"/>
    <hyperlink ref="C7" location="'附注披露（国有企业）'!A1" display="开发支出附注披露表（国有企业）"/>
    <hyperlink ref="C21" location="'减值准备测试表I2-15'!A1" display="减值准备测试表"/>
    <hyperlink ref="C22" location="'可收回金额测试I2-16'!A1" display="可收回金额测试"/>
    <hyperlink ref="C4" location="开发支出实质性程序I2A!A1" display="开发支出实质性程序"/>
    <hyperlink ref="C9" location="'调整分录汇总I2-3'!A1" display="调整分录汇总"/>
    <hyperlink ref="C19" location="'截止性测试（账到单据）I2-13'!A1" display="截止性测试（账到单据）"/>
    <hyperlink ref="C20" location="'截止性测试（单据到账）I2-14'!A1" display="截止性测试（单据到账）"/>
    <hyperlink ref="C10" location="'会计政策检查I2-4'!A1" display="会计政策检查"/>
    <hyperlink ref="C12" location="'研发项目资本化时点判断I2-6'!A1" display="研发项目资本化时点判断"/>
    <hyperlink ref="C13" location="'研发项目构成明细表I2-7'!A1" display="研发项目构成明细表"/>
    <hyperlink ref="C14" location="'研发材料投入检查表I2-8'!A1" display="研发材料投入检查表"/>
    <hyperlink ref="C15" location="'研发人员认定检查表I2-9'!A1" display="研发人员认定检查表"/>
    <hyperlink ref="C16" location="'研发人员工时检查表I2-10'!A1" display="研发人员工时检查表"/>
    <hyperlink ref="C17" location="'委外研发检查表I2-11'!A1" display="委外研发检查表"/>
    <hyperlink ref="C18" location="'针对性检查表I2-12'!A1" display="针对性检查表"/>
    <hyperlink ref="C11" location="'实质性分析I6-5'!A1" display="实质性分析"/>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P34"/>
  <sheetViews>
    <sheetView view="pageBreakPreview" topLeftCell="A19" zoomScaleNormal="100" workbookViewId="0">
      <selection activeCell="B21" sqref="B21"/>
    </sheetView>
  </sheetViews>
  <sheetFormatPr defaultColWidth="9" defaultRowHeight="19.95" customHeight="1"/>
  <cols>
    <col min="1" max="1" width="5.33203125" customWidth="1"/>
    <col min="2" max="2" width="71.21875" customWidth="1"/>
    <col min="3" max="3" width="11.44140625" customWidth="1"/>
    <col min="4" max="4" width="5.5546875" customWidth="1"/>
    <col min="5" max="5" width="6.21875" customWidth="1"/>
    <col min="6" max="6" width="6.33203125" customWidth="1"/>
    <col min="7" max="7" width="7.77734375" customWidth="1"/>
    <col min="8" max="8" width="5.109375" customWidth="1"/>
    <col min="9" max="9" width="7.88671875" customWidth="1"/>
    <col min="10" max="10" width="70.33203125" customWidth="1"/>
  </cols>
  <sheetData>
    <row r="1" spans="1:11" ht="19.95" customHeight="1">
      <c r="A1" s="426" t="s">
        <v>57</v>
      </c>
      <c r="B1" s="426"/>
      <c r="C1" s="426"/>
      <c r="D1" s="426"/>
      <c r="E1" s="426"/>
      <c r="F1" s="426"/>
      <c r="G1" s="426"/>
      <c r="H1" s="426"/>
      <c r="I1" s="426"/>
      <c r="J1" s="331"/>
      <c r="K1" s="331"/>
    </row>
    <row r="2" spans="1:11" ht="19.95" customHeight="1">
      <c r="A2" s="427" t="s">
        <v>6</v>
      </c>
      <c r="B2" s="427"/>
      <c r="C2" s="427"/>
      <c r="D2" s="427"/>
      <c r="E2" s="427"/>
      <c r="F2" s="427"/>
      <c r="G2" s="427"/>
      <c r="H2" s="427"/>
      <c r="I2" s="427"/>
      <c r="J2" s="332"/>
      <c r="K2" s="332"/>
    </row>
    <row r="3" spans="1:11" ht="19.95" customHeight="1">
      <c r="A3" s="152" t="str">
        <f>底稿目录!A2</f>
        <v>被审计单位：</v>
      </c>
      <c r="B3" s="149"/>
      <c r="C3" s="152" t="str">
        <f>底稿目录!A4</f>
        <v>编制人：</v>
      </c>
      <c r="D3" s="150"/>
      <c r="E3" s="152" t="str">
        <f>底稿目录!A5</f>
        <v>编制日期：</v>
      </c>
      <c r="H3" s="153" t="s">
        <v>25</v>
      </c>
      <c r="I3" s="419" t="str">
        <f>底稿目录!D4</f>
        <v>I2A</v>
      </c>
    </row>
    <row r="4" spans="1:11" ht="19.95" customHeight="1">
      <c r="A4" s="152" t="str">
        <f>底稿目录!A3</f>
        <v>截止日：202X年12月31日</v>
      </c>
      <c r="B4" s="149"/>
      <c r="C4" s="152" t="str">
        <f>底稿目录!A6</f>
        <v>复核人：</v>
      </c>
      <c r="D4" s="150"/>
      <c r="E4" s="152" t="str">
        <f>底稿目录!A7</f>
        <v>复核日期：</v>
      </c>
      <c r="H4" s="153" t="s">
        <v>26</v>
      </c>
      <c r="K4" s="151"/>
    </row>
    <row r="5" spans="1:11" ht="19.95" customHeight="1">
      <c r="A5" s="84" t="s">
        <v>27</v>
      </c>
    </row>
    <row r="6" spans="1:11" ht="19.95" customHeight="1">
      <c r="A6" s="154" t="s">
        <v>28</v>
      </c>
    </row>
    <row r="7" spans="1:11" ht="19.95" customHeight="1">
      <c r="A7" s="155" t="s">
        <v>29</v>
      </c>
      <c r="B7" s="156"/>
      <c r="C7" s="157"/>
      <c r="D7" s="157"/>
    </row>
    <row r="8" spans="1:11" ht="19.95" customHeight="1">
      <c r="A8" s="425" t="s">
        <v>30</v>
      </c>
      <c r="B8" s="425"/>
      <c r="C8" s="425"/>
      <c r="D8" s="425"/>
      <c r="E8" s="425"/>
      <c r="F8" s="425"/>
      <c r="G8" s="425" t="s">
        <v>31</v>
      </c>
      <c r="H8" s="425"/>
      <c r="I8" s="425"/>
    </row>
    <row r="9" spans="1:11" ht="19.95" customHeight="1">
      <c r="A9" s="424" t="s">
        <v>347</v>
      </c>
      <c r="B9" s="424"/>
      <c r="C9" s="424"/>
      <c r="D9" s="424"/>
      <c r="E9" s="424"/>
      <c r="F9" s="424"/>
      <c r="G9" s="423" t="s">
        <v>54</v>
      </c>
      <c r="H9" s="423"/>
      <c r="I9" s="423"/>
    </row>
    <row r="10" spans="1:11" ht="19.95" customHeight="1">
      <c r="A10" s="424" t="s">
        <v>348</v>
      </c>
      <c r="B10" s="424"/>
      <c r="C10" s="424"/>
      <c r="D10" s="424"/>
      <c r="E10" s="424"/>
      <c r="F10" s="424"/>
      <c r="G10" s="423" t="s">
        <v>32</v>
      </c>
      <c r="H10" s="423"/>
      <c r="I10" s="423"/>
    </row>
    <row r="11" spans="1:11" ht="19.95" customHeight="1">
      <c r="A11" s="424" t="s">
        <v>374</v>
      </c>
      <c r="B11" s="424"/>
      <c r="C11" s="424"/>
      <c r="D11" s="424"/>
      <c r="E11" s="424"/>
      <c r="F11" s="424"/>
      <c r="G11" s="423" t="s">
        <v>55</v>
      </c>
      <c r="H11" s="423"/>
      <c r="I11" s="423"/>
    </row>
    <row r="12" spans="1:11" ht="19.95" customHeight="1">
      <c r="A12" s="424" t="s">
        <v>375</v>
      </c>
      <c r="B12" s="424"/>
      <c r="C12" s="424"/>
      <c r="D12" s="424"/>
      <c r="E12" s="424"/>
      <c r="F12" s="424"/>
      <c r="G12" s="423" t="s">
        <v>349</v>
      </c>
      <c r="H12" s="423"/>
      <c r="I12" s="423"/>
    </row>
    <row r="13" spans="1:11" ht="19.95" customHeight="1">
      <c r="A13" s="424" t="s">
        <v>376</v>
      </c>
      <c r="B13" s="424"/>
      <c r="C13" s="424"/>
      <c r="D13" s="424"/>
      <c r="E13" s="424"/>
      <c r="F13" s="424"/>
      <c r="G13" s="423" t="s">
        <v>33</v>
      </c>
      <c r="H13" s="423"/>
      <c r="I13" s="423"/>
    </row>
    <row r="14" spans="1:11" ht="19.95" customHeight="1">
      <c r="A14" s="435" t="s">
        <v>356</v>
      </c>
      <c r="B14" s="435"/>
      <c r="C14" s="158"/>
      <c r="D14" s="158"/>
      <c r="E14" s="158"/>
      <c r="F14" s="158"/>
      <c r="G14" s="158"/>
      <c r="H14" s="158"/>
      <c r="I14" s="158"/>
    </row>
    <row r="15" spans="1:11" ht="19.95" customHeight="1">
      <c r="A15" s="430" t="s">
        <v>34</v>
      </c>
      <c r="B15" s="432" t="s">
        <v>626</v>
      </c>
      <c r="C15" s="433" t="s">
        <v>35</v>
      </c>
      <c r="D15" s="436" t="s">
        <v>36</v>
      </c>
      <c r="E15" s="437"/>
      <c r="F15" s="437"/>
      <c r="G15" s="437"/>
      <c r="H15" s="438"/>
      <c r="I15" s="433" t="s">
        <v>37</v>
      </c>
    </row>
    <row r="16" spans="1:11" ht="36" customHeight="1">
      <c r="A16" s="431"/>
      <c r="B16" s="432"/>
      <c r="C16" s="434"/>
      <c r="D16" s="184" t="s">
        <v>54</v>
      </c>
      <c r="E16" s="184" t="s">
        <v>32</v>
      </c>
      <c r="F16" s="185" t="s">
        <v>350</v>
      </c>
      <c r="G16" s="185" t="s">
        <v>349</v>
      </c>
      <c r="H16" s="185" t="s">
        <v>33</v>
      </c>
      <c r="I16" s="434"/>
      <c r="J16" s="349" t="s">
        <v>625</v>
      </c>
    </row>
    <row r="17" spans="1:16" ht="43.05" customHeight="1">
      <c r="A17" s="159" t="s">
        <v>38</v>
      </c>
      <c r="B17" s="160" t="s">
        <v>39</v>
      </c>
      <c r="C17" s="161" t="s">
        <v>40</v>
      </c>
      <c r="D17" s="192" t="s">
        <v>357</v>
      </c>
      <c r="E17" s="192" t="s">
        <v>357</v>
      </c>
      <c r="F17" s="192"/>
      <c r="G17" s="193" t="s">
        <v>358</v>
      </c>
      <c r="H17" s="194"/>
      <c r="I17" s="170" t="s">
        <v>353</v>
      </c>
    </row>
    <row r="18" spans="1:16" ht="36">
      <c r="A18" s="159" t="s">
        <v>42</v>
      </c>
      <c r="B18" s="160" t="s">
        <v>43</v>
      </c>
      <c r="C18" s="161" t="s">
        <v>44</v>
      </c>
      <c r="D18" s="195"/>
      <c r="E18" s="196" t="s">
        <v>359</v>
      </c>
      <c r="F18" s="195"/>
      <c r="G18" s="197" t="s">
        <v>360</v>
      </c>
      <c r="H18" s="198"/>
      <c r="I18" s="183" t="s">
        <v>627</v>
      </c>
      <c r="J18" s="428" t="s">
        <v>45</v>
      </c>
      <c r="K18" s="429"/>
      <c r="L18" s="429"/>
      <c r="M18" s="429"/>
      <c r="N18" s="429"/>
      <c r="O18" s="429"/>
      <c r="P18" s="429"/>
    </row>
    <row r="19" spans="1:16" ht="43.8" customHeight="1">
      <c r="A19" s="159" t="s">
        <v>46</v>
      </c>
      <c r="B19" s="190" t="s">
        <v>354</v>
      </c>
      <c r="C19" s="161" t="s">
        <v>16</v>
      </c>
      <c r="D19" s="199" t="s">
        <v>359</v>
      </c>
      <c r="E19" s="200" t="s">
        <v>360</v>
      </c>
      <c r="F19" s="200" t="s">
        <v>360</v>
      </c>
      <c r="G19" s="200" t="s">
        <v>360</v>
      </c>
      <c r="H19" s="200"/>
      <c r="I19" s="170"/>
      <c r="J19" s="428" t="s">
        <v>47</v>
      </c>
      <c r="K19" s="429"/>
      <c r="L19" s="429"/>
      <c r="M19" s="429"/>
      <c r="N19" s="429"/>
      <c r="O19" s="429"/>
      <c r="P19" s="429"/>
    </row>
    <row r="20" spans="1:16" ht="114" customHeight="1">
      <c r="A20" s="159" t="s">
        <v>48</v>
      </c>
      <c r="B20" s="160" t="s">
        <v>617</v>
      </c>
      <c r="C20" s="161" t="s">
        <v>40</v>
      </c>
      <c r="D20" s="201" t="s">
        <v>41</v>
      </c>
      <c r="E20" s="201" t="s">
        <v>41</v>
      </c>
      <c r="F20" s="202"/>
      <c r="G20" s="202" t="s">
        <v>41</v>
      </c>
      <c r="H20" s="163"/>
      <c r="I20" s="345" t="s">
        <v>602</v>
      </c>
    </row>
    <row r="21" spans="1:16" ht="147.6" customHeight="1">
      <c r="A21" s="159" t="s">
        <v>49</v>
      </c>
      <c r="B21" s="341" t="s">
        <v>694</v>
      </c>
      <c r="C21" s="161" t="s">
        <v>40</v>
      </c>
      <c r="D21" s="201" t="s">
        <v>41</v>
      </c>
      <c r="E21" s="201" t="s">
        <v>41</v>
      </c>
      <c r="F21" s="340"/>
      <c r="G21" s="202" t="s">
        <v>41</v>
      </c>
      <c r="H21" s="595"/>
      <c r="I21" s="344" t="s">
        <v>603</v>
      </c>
    </row>
    <row r="22" spans="1:16" ht="121.2" customHeight="1">
      <c r="A22" s="159" t="s">
        <v>56</v>
      </c>
      <c r="B22" s="341" t="s">
        <v>628</v>
      </c>
      <c r="C22" s="342" t="s">
        <v>40</v>
      </c>
      <c r="D22" s="340" t="s">
        <v>41</v>
      </c>
      <c r="E22" s="339" t="s">
        <v>41</v>
      </c>
      <c r="F22" s="343" t="s">
        <v>41</v>
      </c>
      <c r="G22" s="342" t="s">
        <v>41</v>
      </c>
      <c r="H22" s="342"/>
      <c r="I22" s="344" t="s">
        <v>631</v>
      </c>
    </row>
    <row r="23" spans="1:16" ht="28.2" customHeight="1">
      <c r="A23" s="159" t="s">
        <v>50</v>
      </c>
      <c r="B23" s="341" t="s">
        <v>630</v>
      </c>
      <c r="C23" s="342" t="s">
        <v>40</v>
      </c>
      <c r="D23" s="340" t="s">
        <v>41</v>
      </c>
      <c r="E23" s="339"/>
      <c r="F23" s="343"/>
      <c r="G23" s="342" t="s">
        <v>41</v>
      </c>
      <c r="H23" s="342"/>
      <c r="I23" s="344" t="s">
        <v>696</v>
      </c>
    </row>
    <row r="24" spans="1:16" ht="67.8" customHeight="1">
      <c r="A24" s="159" t="s">
        <v>52</v>
      </c>
      <c r="B24" s="341" t="s">
        <v>633</v>
      </c>
      <c r="C24" s="342" t="s">
        <v>40</v>
      </c>
      <c r="D24" s="340" t="s">
        <v>41</v>
      </c>
      <c r="E24" s="339" t="s">
        <v>41</v>
      </c>
      <c r="F24" s="342" t="s">
        <v>41</v>
      </c>
      <c r="G24" s="342" t="s">
        <v>41</v>
      </c>
      <c r="H24" s="342"/>
      <c r="I24" s="344" t="s">
        <v>697</v>
      </c>
    </row>
    <row r="25" spans="1:16" ht="133.80000000000001" customHeight="1">
      <c r="A25" s="159" t="s">
        <v>609</v>
      </c>
      <c r="B25" s="341" t="s">
        <v>604</v>
      </c>
      <c r="C25" s="342" t="s">
        <v>40</v>
      </c>
      <c r="D25" s="340" t="s">
        <v>41</v>
      </c>
      <c r="E25" s="339" t="s">
        <v>41</v>
      </c>
      <c r="F25" s="342" t="s">
        <v>41</v>
      </c>
      <c r="G25" s="342" t="s">
        <v>41</v>
      </c>
      <c r="H25" s="342"/>
      <c r="I25" s="344" t="s">
        <v>698</v>
      </c>
    </row>
    <row r="26" spans="1:16" ht="92.4" customHeight="1">
      <c r="A26" s="159" t="s">
        <v>610</v>
      </c>
      <c r="B26" s="341" t="s">
        <v>605</v>
      </c>
      <c r="C26" s="342" t="s">
        <v>40</v>
      </c>
      <c r="D26" s="340" t="s">
        <v>41</v>
      </c>
      <c r="E26" s="339" t="s">
        <v>41</v>
      </c>
      <c r="F26" s="342" t="s">
        <v>41</v>
      </c>
      <c r="G26" s="342" t="s">
        <v>41</v>
      </c>
      <c r="H26" s="342"/>
      <c r="I26" s="344" t="s">
        <v>699</v>
      </c>
    </row>
    <row r="27" spans="1:16" ht="69.599999999999994" customHeight="1">
      <c r="A27" s="159" t="s">
        <v>611</v>
      </c>
      <c r="B27" s="341" t="s">
        <v>606</v>
      </c>
      <c r="C27" s="342" t="s">
        <v>40</v>
      </c>
      <c r="D27" s="340" t="s">
        <v>41</v>
      </c>
      <c r="E27" s="339" t="s">
        <v>41</v>
      </c>
      <c r="F27" s="343" t="s">
        <v>41</v>
      </c>
      <c r="G27" s="342" t="s">
        <v>41</v>
      </c>
      <c r="H27" s="342"/>
      <c r="I27" s="344" t="s">
        <v>700</v>
      </c>
    </row>
    <row r="28" spans="1:16" ht="52.8" customHeight="1">
      <c r="A28" s="159" t="s">
        <v>612</v>
      </c>
      <c r="B28" s="341" t="s">
        <v>607</v>
      </c>
      <c r="C28" s="342" t="s">
        <v>608</v>
      </c>
      <c r="D28" s="339" t="s">
        <v>41</v>
      </c>
      <c r="E28" s="342"/>
      <c r="F28" s="343" t="s">
        <v>41</v>
      </c>
      <c r="G28" s="342"/>
      <c r="H28" s="342"/>
      <c r="I28" s="344"/>
    </row>
    <row r="29" spans="1:16" ht="43.8" customHeight="1">
      <c r="A29" s="159" t="s">
        <v>613</v>
      </c>
      <c r="B29" s="164" t="s">
        <v>643</v>
      </c>
      <c r="C29" s="161" t="s">
        <v>40</v>
      </c>
      <c r="D29" s="202" t="s">
        <v>41</v>
      </c>
      <c r="E29" s="201"/>
      <c r="F29" s="161" t="s">
        <v>41</v>
      </c>
      <c r="G29" s="162" t="s">
        <v>41</v>
      </c>
      <c r="H29" s="163"/>
      <c r="I29" s="345" t="s">
        <v>701</v>
      </c>
    </row>
    <row r="30" spans="1:16" ht="49.8" customHeight="1">
      <c r="A30" s="159" t="s">
        <v>614</v>
      </c>
      <c r="B30" s="165" t="s">
        <v>629</v>
      </c>
      <c r="C30" s="161" t="s">
        <v>40</v>
      </c>
      <c r="D30" s="162" t="s">
        <v>41</v>
      </c>
      <c r="E30" s="161" t="s">
        <v>41</v>
      </c>
      <c r="F30" s="161" t="s">
        <v>41</v>
      </c>
      <c r="G30" s="161" t="s">
        <v>41</v>
      </c>
      <c r="H30" s="163"/>
      <c r="I30" s="345" t="s">
        <v>701</v>
      </c>
    </row>
    <row r="31" spans="1:16" ht="65.400000000000006" customHeight="1">
      <c r="A31" s="159" t="s">
        <v>615</v>
      </c>
      <c r="B31" s="166" t="s">
        <v>346</v>
      </c>
      <c r="C31" s="167" t="s">
        <v>40</v>
      </c>
      <c r="D31" s="168"/>
      <c r="E31" s="168"/>
      <c r="F31" s="168"/>
      <c r="G31" s="169" t="s">
        <v>41</v>
      </c>
      <c r="H31" s="168"/>
      <c r="I31" s="168" t="s">
        <v>702</v>
      </c>
    </row>
    <row r="32" spans="1:16" ht="199.8" customHeight="1">
      <c r="A32" s="159" t="s">
        <v>616</v>
      </c>
      <c r="B32" s="165" t="s">
        <v>51</v>
      </c>
      <c r="C32" s="161" t="s">
        <v>40</v>
      </c>
      <c r="D32" s="162"/>
      <c r="E32" s="161"/>
      <c r="F32" s="163"/>
      <c r="G32" s="162" t="s">
        <v>41</v>
      </c>
      <c r="H32" s="163"/>
      <c r="I32" s="168" t="s">
        <v>703</v>
      </c>
    </row>
    <row r="33" spans="1:9" ht="36">
      <c r="A33" s="159" t="s">
        <v>632</v>
      </c>
      <c r="B33" s="186" t="s">
        <v>351</v>
      </c>
      <c r="C33" s="187" t="s">
        <v>352</v>
      </c>
      <c r="D33" s="188"/>
      <c r="E33" s="188"/>
      <c r="F33" s="188"/>
      <c r="G33" s="188"/>
      <c r="H33" s="188"/>
      <c r="I33" s="189"/>
    </row>
    <row r="34" spans="1:9" ht="27.6">
      <c r="A34" s="159" t="s">
        <v>695</v>
      </c>
      <c r="B34" s="160" t="s">
        <v>53</v>
      </c>
      <c r="C34" s="161" t="s">
        <v>40</v>
      </c>
      <c r="D34" s="163"/>
      <c r="E34" s="163"/>
      <c r="F34" s="163"/>
      <c r="G34" s="163"/>
      <c r="H34" s="162" t="s">
        <v>41</v>
      </c>
      <c r="I34" s="191" t="s">
        <v>355</v>
      </c>
    </row>
  </sheetData>
  <mergeCells count="22">
    <mergeCell ref="A1:I1"/>
    <mergeCell ref="A2:I2"/>
    <mergeCell ref="G13:I13"/>
    <mergeCell ref="J19:P19"/>
    <mergeCell ref="A15:A16"/>
    <mergeCell ref="B15:B16"/>
    <mergeCell ref="C15:C16"/>
    <mergeCell ref="I15:I16"/>
    <mergeCell ref="A14:B14"/>
    <mergeCell ref="D15:H15"/>
    <mergeCell ref="J18:P18"/>
    <mergeCell ref="A13:F13"/>
    <mergeCell ref="G8:I8"/>
    <mergeCell ref="G9:I9"/>
    <mergeCell ref="G10:I10"/>
    <mergeCell ref="G11:I11"/>
    <mergeCell ref="G12:I12"/>
    <mergeCell ref="A10:F10"/>
    <mergeCell ref="A11:F11"/>
    <mergeCell ref="A12:F12"/>
    <mergeCell ref="A8:F8"/>
    <mergeCell ref="A9:F9"/>
  </mergeCells>
  <phoneticPr fontId="116" type="noConversion"/>
  <hyperlinks>
    <hyperlink ref="I3" location="底稿目录!D5" display="I2A"/>
  </hyperlinks>
  <pageMargins left="0.70866141732283472" right="0.70866141732283472" top="0.74803149606299213" bottom="0.74803149606299213" header="0.31496062992125984" footer="0.31496062992125984"/>
  <pageSetup paperSize="9" scale="70" orientation="portrait" blackAndWhite="1"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32"/>
  <sheetViews>
    <sheetView view="pageBreakPreview" zoomScaleNormal="85" workbookViewId="0">
      <selection sqref="A1:J1"/>
    </sheetView>
  </sheetViews>
  <sheetFormatPr defaultColWidth="9" defaultRowHeight="18" customHeight="1"/>
  <cols>
    <col min="1" max="1" width="15.6640625" style="6" customWidth="1"/>
    <col min="2" max="7" width="10.44140625" style="6" customWidth="1"/>
    <col min="8" max="8" width="11.6640625" style="6" customWidth="1"/>
    <col min="9" max="10" width="10.109375" style="6" customWidth="1"/>
    <col min="11" max="16384" width="9" style="6"/>
  </cols>
  <sheetData>
    <row r="1" spans="1:10" s="1" customFormat="1" ht="20.100000000000001" customHeight="1">
      <c r="A1" s="439" t="s">
        <v>57</v>
      </c>
      <c r="B1" s="420"/>
      <c r="C1" s="420"/>
      <c r="D1" s="420"/>
      <c r="E1" s="420"/>
      <c r="F1" s="420"/>
      <c r="G1" s="420"/>
      <c r="H1" s="420"/>
      <c r="I1" s="420"/>
      <c r="J1" s="420"/>
    </row>
    <row r="2" spans="1:10" s="2" customFormat="1" ht="24.9" customHeight="1">
      <c r="A2" s="440" t="s">
        <v>8</v>
      </c>
      <c r="B2" s="441"/>
      <c r="C2" s="441"/>
      <c r="D2" s="441"/>
      <c r="E2" s="441"/>
      <c r="F2" s="441"/>
      <c r="G2" s="441"/>
      <c r="H2" s="441"/>
      <c r="I2" s="441"/>
      <c r="J2" s="441"/>
    </row>
    <row r="3" spans="1:10" s="93" customFormat="1" ht="20.100000000000001" customHeight="1">
      <c r="A3" s="93" t="str">
        <f>底稿目录!A2</f>
        <v>被审计单位：</v>
      </c>
      <c r="D3" s="93" t="str">
        <f>底稿目录!A4</f>
        <v>编制人：</v>
      </c>
      <c r="G3" s="83" t="str">
        <f>底稿目录!A5</f>
        <v>编制日期：</v>
      </c>
      <c r="I3" s="83" t="s">
        <v>185</v>
      </c>
      <c r="J3" s="419" t="str">
        <f>底稿目录!D5</f>
        <v>I2-1</v>
      </c>
    </row>
    <row r="4" spans="1:10" s="93" customFormat="1" ht="20.100000000000001" customHeight="1">
      <c r="A4" s="93" t="str">
        <f>底稿目录!A3</f>
        <v>截止日：202X年12月31日</v>
      </c>
      <c r="D4" s="93" t="str">
        <f>底稿目录!A6</f>
        <v>复核人：</v>
      </c>
      <c r="G4" s="330" t="str">
        <f>底稿目录!A7</f>
        <v>复核日期：</v>
      </c>
      <c r="I4" s="83" t="s">
        <v>84</v>
      </c>
      <c r="J4" s="309"/>
    </row>
    <row r="5" spans="1:10" s="5" customFormat="1" ht="32.25" customHeight="1">
      <c r="A5" s="447" t="s">
        <v>59</v>
      </c>
      <c r="B5" s="442" t="s">
        <v>60</v>
      </c>
      <c r="C5" s="443"/>
      <c r="D5" s="444"/>
      <c r="E5" s="442" t="s">
        <v>61</v>
      </c>
      <c r="F5" s="443"/>
      <c r="G5" s="444"/>
      <c r="H5" s="445" t="s">
        <v>62</v>
      </c>
      <c r="I5" s="446"/>
      <c r="J5" s="447" t="s">
        <v>63</v>
      </c>
    </row>
    <row r="6" spans="1:10" s="5" customFormat="1" ht="20.100000000000001" customHeight="1">
      <c r="A6" s="448"/>
      <c r="B6" s="142" t="s">
        <v>64</v>
      </c>
      <c r="C6" s="142" t="s">
        <v>65</v>
      </c>
      <c r="D6" s="142" t="s">
        <v>66</v>
      </c>
      <c r="E6" s="142" t="s">
        <v>64</v>
      </c>
      <c r="F6" s="142" t="s">
        <v>65</v>
      </c>
      <c r="G6" s="142" t="s">
        <v>66</v>
      </c>
      <c r="H6" s="143" t="s">
        <v>67</v>
      </c>
      <c r="I6" s="141" t="s">
        <v>68</v>
      </c>
      <c r="J6" s="449"/>
    </row>
    <row r="7" spans="1:10" s="5" customFormat="1" ht="20.100000000000001" customHeight="1">
      <c r="A7" s="144" t="str">
        <f>'明细表I2-2'!A13</f>
        <v>课题</v>
      </c>
      <c r="B7" s="90">
        <f>'明细表I2-2'!B13</f>
        <v>0</v>
      </c>
      <c r="C7" s="90">
        <f>'明细表I2-2'!H13</f>
        <v>0</v>
      </c>
      <c r="D7" s="90">
        <f>'明细表I2-2'!L13</f>
        <v>0</v>
      </c>
      <c r="E7" s="90">
        <f>'明细表I2-2'!G13</f>
        <v>0</v>
      </c>
      <c r="F7" s="90">
        <f>'明细表I2-2'!H13+'明细表I2-2'!I13-'明细表I2-2'!J13-'明细表I2-2'!K13</f>
        <v>0</v>
      </c>
      <c r="G7" s="90">
        <f>'明细表I2-2'!P13</f>
        <v>0</v>
      </c>
      <c r="H7" s="19">
        <f t="shared" ref="H7:H13" si="0">G7-D7</f>
        <v>0</v>
      </c>
      <c r="I7" s="22">
        <f t="shared" ref="I7:I13" si="1">IF(AND(D7=0,H7=0),0,IF(AND(D7=0,H7&gt;0),1,H7/D7))</f>
        <v>0</v>
      </c>
      <c r="J7" s="20"/>
    </row>
    <row r="8" spans="1:10" ht="20.100000000000001" customHeight="1">
      <c r="A8" s="144" t="str">
        <f>'明细表I2-2'!A14</f>
        <v>课题1</v>
      </c>
      <c r="B8" s="90">
        <f>'明细表I2-2'!B14</f>
        <v>0</v>
      </c>
      <c r="C8" s="90">
        <f>'明细表I2-2'!H14</f>
        <v>0</v>
      </c>
      <c r="D8" s="90">
        <f>'明细表I2-2'!L14</f>
        <v>0</v>
      </c>
      <c r="E8" s="90">
        <f>'明细表I2-2'!G14</f>
        <v>0</v>
      </c>
      <c r="F8" s="90">
        <f>'明细表I2-2'!H14+'明细表I2-2'!I14-'明细表I2-2'!J14-'明细表I2-2'!K14</f>
        <v>0</v>
      </c>
      <c r="G8" s="90">
        <f>'明细表I2-2'!P14</f>
        <v>0</v>
      </c>
      <c r="H8" s="19">
        <f t="shared" si="0"/>
        <v>0</v>
      </c>
      <c r="I8" s="22">
        <f t="shared" si="1"/>
        <v>0</v>
      </c>
      <c r="J8" s="148"/>
    </row>
    <row r="9" spans="1:10" ht="20.100000000000001" customHeight="1">
      <c r="A9" s="144" t="str">
        <f>'明细表I2-2'!A15</f>
        <v>课题2</v>
      </c>
      <c r="B9" s="90">
        <f>'明细表I2-2'!B15</f>
        <v>0</v>
      </c>
      <c r="C9" s="90">
        <f>'明细表I2-2'!H15</f>
        <v>0</v>
      </c>
      <c r="D9" s="90">
        <f>'明细表I2-2'!L15</f>
        <v>0</v>
      </c>
      <c r="E9" s="90">
        <f>'明细表I2-2'!G15</f>
        <v>0</v>
      </c>
      <c r="F9" s="90">
        <f>'明细表I2-2'!H15+'明细表I2-2'!I15-'明细表I2-2'!J15-'明细表I2-2'!K15</f>
        <v>0</v>
      </c>
      <c r="G9" s="90">
        <f>'明细表I2-2'!P15</f>
        <v>0</v>
      </c>
      <c r="H9" s="19">
        <f t="shared" si="0"/>
        <v>0</v>
      </c>
      <c r="I9" s="22">
        <f t="shared" si="1"/>
        <v>0</v>
      </c>
      <c r="J9" s="148"/>
    </row>
    <row r="10" spans="1:10" ht="20.100000000000001" customHeight="1">
      <c r="A10" s="144" t="str">
        <f>'明细表I2-2'!A16</f>
        <v>课题3</v>
      </c>
      <c r="B10" s="90">
        <f>'明细表I2-2'!B16</f>
        <v>0</v>
      </c>
      <c r="C10" s="90">
        <f>'明细表I2-2'!H16</f>
        <v>0</v>
      </c>
      <c r="D10" s="90">
        <f>'明细表I2-2'!L16</f>
        <v>0</v>
      </c>
      <c r="E10" s="90">
        <f>'明细表I2-2'!G16</f>
        <v>0</v>
      </c>
      <c r="F10" s="90">
        <f>'明细表I2-2'!H16+'明细表I2-2'!I16-'明细表I2-2'!J16-'明细表I2-2'!K16</f>
        <v>0</v>
      </c>
      <c r="G10" s="90">
        <f>'明细表I2-2'!P16</f>
        <v>0</v>
      </c>
      <c r="H10" s="19">
        <f t="shared" si="0"/>
        <v>0</v>
      </c>
      <c r="I10" s="22">
        <f t="shared" si="1"/>
        <v>0</v>
      </c>
      <c r="J10" s="148"/>
    </row>
    <row r="11" spans="1:10" ht="20.100000000000001" customHeight="1">
      <c r="A11" s="144" t="str">
        <f>'明细表I2-2'!A17</f>
        <v>数据资源</v>
      </c>
      <c r="B11" s="90">
        <f>'明细表I2-2'!B17</f>
        <v>0</v>
      </c>
      <c r="C11" s="90">
        <f>'明细表I2-2'!H17</f>
        <v>0</v>
      </c>
      <c r="D11" s="90">
        <f>'明细表I2-2'!L17</f>
        <v>0</v>
      </c>
      <c r="E11" s="90">
        <f>'明细表I2-2'!G17</f>
        <v>0</v>
      </c>
      <c r="F11" s="90">
        <f>'明细表I2-2'!H17+'明细表I2-2'!I17-'明细表I2-2'!J17-'明细表I2-2'!K17</f>
        <v>0</v>
      </c>
      <c r="G11" s="90">
        <f>'明细表I2-2'!P17</f>
        <v>0</v>
      </c>
      <c r="H11" s="19">
        <f t="shared" si="0"/>
        <v>0</v>
      </c>
      <c r="I11" s="22">
        <f t="shared" si="1"/>
        <v>0</v>
      </c>
      <c r="J11" s="148"/>
    </row>
    <row r="12" spans="1:10" ht="20.100000000000001" customHeight="1">
      <c r="A12" s="144" t="str">
        <f>'明细表I2-2'!A18</f>
        <v>……</v>
      </c>
      <c r="B12" s="90">
        <f>'明细表I2-2'!B18</f>
        <v>0</v>
      </c>
      <c r="C12" s="90">
        <f>'明细表I2-2'!H18</f>
        <v>0</v>
      </c>
      <c r="D12" s="90">
        <f>'明细表I2-2'!L18</f>
        <v>0</v>
      </c>
      <c r="E12" s="90">
        <f>'明细表I2-2'!G18</f>
        <v>0</v>
      </c>
      <c r="F12" s="90">
        <f>'明细表I2-2'!H18+'明细表I2-2'!I18-'明细表I2-2'!J18-'明细表I2-2'!K18</f>
        <v>0</v>
      </c>
      <c r="G12" s="90">
        <f>'明细表I2-2'!P18</f>
        <v>0</v>
      </c>
      <c r="H12" s="19">
        <f t="shared" si="0"/>
        <v>0</v>
      </c>
      <c r="I12" s="22">
        <f t="shared" si="1"/>
        <v>0</v>
      </c>
      <c r="J12" s="148"/>
    </row>
    <row r="13" spans="1:10" s="1" customFormat="1" ht="20.100000000000001" customHeight="1">
      <c r="A13" s="351" t="s">
        <v>69</v>
      </c>
      <c r="B13" s="352">
        <f t="shared" ref="B13:G13" si="2">SUM(B7:B12)</f>
        <v>0</v>
      </c>
      <c r="C13" s="352">
        <f t="shared" si="2"/>
        <v>0</v>
      </c>
      <c r="D13" s="352">
        <f t="shared" si="2"/>
        <v>0</v>
      </c>
      <c r="E13" s="352">
        <f t="shared" si="2"/>
        <v>0</v>
      </c>
      <c r="F13" s="352">
        <f t="shared" si="2"/>
        <v>0</v>
      </c>
      <c r="G13" s="352">
        <f t="shared" si="2"/>
        <v>0</v>
      </c>
      <c r="H13" s="353">
        <f t="shared" si="0"/>
        <v>0</v>
      </c>
      <c r="I13" s="354">
        <f t="shared" si="1"/>
        <v>0</v>
      </c>
      <c r="J13" s="355"/>
    </row>
    <row r="14" spans="1:10" s="1" customFormat="1" ht="20.100000000000001" customHeight="1">
      <c r="A14" s="356" t="s">
        <v>70</v>
      </c>
      <c r="B14" s="357"/>
      <c r="C14" s="357"/>
      <c r="D14" s="357"/>
      <c r="E14" s="357"/>
      <c r="F14" s="357"/>
      <c r="G14" s="357"/>
      <c r="H14" s="355"/>
      <c r="I14" s="355"/>
      <c r="J14" s="355"/>
    </row>
    <row r="15" spans="1:10" s="350" customFormat="1" ht="20.100000000000001" customHeight="1">
      <c r="A15" s="358" t="s">
        <v>71</v>
      </c>
      <c r="B15" s="359">
        <f>B13-B14</f>
        <v>0</v>
      </c>
      <c r="C15" s="359">
        <f t="shared" ref="C15:G15" si="3">C13-C14</f>
        <v>0</v>
      </c>
      <c r="D15" s="359">
        <f t="shared" si="3"/>
        <v>0</v>
      </c>
      <c r="E15" s="359">
        <f t="shared" si="3"/>
        <v>0</v>
      </c>
      <c r="F15" s="359">
        <f t="shared" si="3"/>
        <v>0</v>
      </c>
      <c r="G15" s="359">
        <f t="shared" si="3"/>
        <v>0</v>
      </c>
      <c r="H15" s="360"/>
      <c r="I15" s="360"/>
      <c r="J15" s="360"/>
    </row>
    <row r="17" spans="1:3" s="1" customFormat="1" ht="18" customHeight="1">
      <c r="A17" s="1" t="s">
        <v>72</v>
      </c>
    </row>
    <row r="18" spans="1:3" s="1" customFormat="1" ht="18" customHeight="1"/>
    <row r="19" spans="1:3" s="1" customFormat="1" ht="18" customHeight="1"/>
    <row r="20" spans="1:3" s="1" customFormat="1" ht="18" customHeight="1">
      <c r="A20" s="1" t="s">
        <v>73</v>
      </c>
      <c r="C20" s="145"/>
    </row>
    <row r="23" spans="1:3" ht="18" customHeight="1">
      <c r="A23" s="146" t="s">
        <v>74</v>
      </c>
    </row>
    <row r="24" spans="1:3" ht="18" customHeight="1">
      <c r="A24" s="147" t="s">
        <v>75</v>
      </c>
    </row>
    <row r="25" spans="1:3" ht="18" customHeight="1">
      <c r="A25" s="147" t="s">
        <v>76</v>
      </c>
    </row>
    <row r="26" spans="1:3" ht="18" customHeight="1">
      <c r="A26" s="147" t="s">
        <v>77</v>
      </c>
    </row>
    <row r="27" spans="1:3" ht="18" customHeight="1">
      <c r="A27" s="147" t="s">
        <v>78</v>
      </c>
    </row>
    <row r="28" spans="1:3" ht="18" customHeight="1">
      <c r="A28" s="147" t="s">
        <v>79</v>
      </c>
    </row>
    <row r="29" spans="1:3" ht="18" customHeight="1">
      <c r="A29" s="147" t="s">
        <v>80</v>
      </c>
    </row>
    <row r="30" spans="1:3" ht="18" customHeight="1">
      <c r="A30" s="147" t="s">
        <v>81</v>
      </c>
    </row>
    <row r="31" spans="1:3" ht="18" customHeight="1">
      <c r="A31" s="147" t="s">
        <v>82</v>
      </c>
    </row>
    <row r="32" spans="1:3" ht="18" customHeight="1">
      <c r="A32" s="147" t="s">
        <v>83</v>
      </c>
    </row>
  </sheetData>
  <mergeCells count="7">
    <mergeCell ref="A1:J1"/>
    <mergeCell ref="A2:J2"/>
    <mergeCell ref="B5:D5"/>
    <mergeCell ref="E5:G5"/>
    <mergeCell ref="H5:I5"/>
    <mergeCell ref="A5:A6"/>
    <mergeCell ref="J5:J6"/>
  </mergeCells>
  <phoneticPr fontId="116" type="noConversion"/>
  <conditionalFormatting sqref="B15:G15">
    <cfRule type="cellIs" dxfId="0" priority="1" operator="notEqual">
      <formula>0</formula>
    </cfRule>
  </conditionalFormatting>
  <dataValidations count="1">
    <dataValidation type="list" allowBlank="1" showInputMessage="1" showErrorMessage="1" sqref="C20">
      <formula1>$B$26:$B$28</formula1>
    </dataValidation>
  </dataValidations>
  <hyperlinks>
    <hyperlink ref="J3" location="底稿目录!D6" display="I2-1"/>
  </hyperlinks>
  <printOptions horizontalCentered="1"/>
  <pageMargins left="0.59055118110236204" right="0.31496062992126" top="0.78740157480314998" bottom="0.39370078740157499" header="0.511811023622047" footer="0.31496062992126"/>
  <pageSetup paperSize="9" fitToHeight="4"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58"/>
  <sheetViews>
    <sheetView view="pageBreakPreview" zoomScaleNormal="100" workbookViewId="0">
      <selection sqref="A1:G1"/>
    </sheetView>
  </sheetViews>
  <sheetFormatPr defaultColWidth="9" defaultRowHeight="18" customHeight="1"/>
  <cols>
    <col min="1" max="1" width="22.33203125" style="6" customWidth="1"/>
    <col min="2" max="2" width="14.6640625" style="6" customWidth="1"/>
    <col min="3" max="3" width="13.77734375" style="6" customWidth="1"/>
    <col min="4" max="4" width="12.44140625" style="6" customWidth="1"/>
    <col min="5" max="5" width="16.77734375" style="6" customWidth="1"/>
    <col min="6" max="6" width="14.6640625" style="6" customWidth="1"/>
    <col min="7" max="16384" width="9" style="6"/>
  </cols>
  <sheetData>
    <row r="1" spans="1:7" s="1" customFormat="1" ht="20.100000000000001" customHeight="1">
      <c r="A1" s="450" t="s">
        <v>57</v>
      </c>
      <c r="B1" s="450"/>
      <c r="C1" s="450"/>
      <c r="D1" s="450"/>
      <c r="E1" s="450"/>
      <c r="F1" s="450"/>
      <c r="G1" s="450"/>
    </row>
    <row r="2" spans="1:7" s="2" customFormat="1" ht="24.9" customHeight="1">
      <c r="A2" s="439" t="s">
        <v>10</v>
      </c>
      <c r="B2" s="439"/>
      <c r="C2" s="439"/>
      <c r="D2" s="439"/>
      <c r="E2" s="439"/>
      <c r="F2" s="439"/>
      <c r="G2" s="439"/>
    </row>
    <row r="3" spans="1:7" s="93" customFormat="1" ht="20.100000000000001" customHeight="1">
      <c r="A3" s="93" t="str">
        <f>底稿目录!A2</f>
        <v>被审计单位：</v>
      </c>
      <c r="C3" s="93" t="str">
        <f>底稿目录!A4</f>
        <v>编制人：</v>
      </c>
      <c r="E3" s="83" t="str">
        <f>底稿目录!A5</f>
        <v>编制日期：</v>
      </c>
      <c r="F3" s="83" t="s">
        <v>185</v>
      </c>
      <c r="G3" s="309"/>
    </row>
    <row r="4" spans="1:7" s="93" customFormat="1" ht="20.100000000000001" customHeight="1">
      <c r="A4" s="93" t="str">
        <f>底稿目录!A3</f>
        <v>截止日：202X年12月31日</v>
      </c>
      <c r="C4" s="93" t="str">
        <f>底稿目录!A6</f>
        <v>复核人：</v>
      </c>
      <c r="E4" s="83" t="str">
        <f>底稿目录!A7</f>
        <v>复核日期：</v>
      </c>
      <c r="F4" s="83" t="s">
        <v>84</v>
      </c>
      <c r="G4" s="309"/>
    </row>
    <row r="5" spans="1:7" ht="20.100000000000001" customHeight="1">
      <c r="A5" s="293" t="s">
        <v>85</v>
      </c>
      <c r="B5" s="294"/>
      <c r="C5" s="294"/>
      <c r="D5" s="294"/>
      <c r="E5" s="294"/>
      <c r="F5" s="295"/>
      <c r="G5" s="296"/>
    </row>
    <row r="6" spans="1:7" ht="20.100000000000001" customHeight="1">
      <c r="A6" s="297" t="s">
        <v>86</v>
      </c>
      <c r="B6" s="294"/>
      <c r="C6" s="294"/>
      <c r="D6" s="294"/>
      <c r="E6" s="294"/>
      <c r="F6" s="295"/>
      <c r="G6" s="296"/>
    </row>
    <row r="7" spans="1:7" ht="20.100000000000001" customHeight="1">
      <c r="A7" s="455" t="s">
        <v>87</v>
      </c>
      <c r="B7" s="451" t="s">
        <v>88</v>
      </c>
      <c r="C7" s="451"/>
      <c r="D7" s="451" t="s">
        <v>89</v>
      </c>
      <c r="E7" s="451"/>
      <c r="F7" s="295"/>
      <c r="G7" s="296"/>
    </row>
    <row r="8" spans="1:7" ht="20.100000000000001" customHeight="1">
      <c r="A8" s="456"/>
      <c r="B8" s="298" t="s">
        <v>90</v>
      </c>
      <c r="C8" s="298" t="s">
        <v>91</v>
      </c>
      <c r="D8" s="298" t="s">
        <v>90</v>
      </c>
      <c r="E8" s="298" t="s">
        <v>91</v>
      </c>
      <c r="F8" s="295"/>
      <c r="G8" s="296"/>
    </row>
    <row r="9" spans="1:7" ht="20.100000000000001" customHeight="1">
      <c r="A9" s="299" t="s">
        <v>92</v>
      </c>
      <c r="B9" s="300"/>
      <c r="C9" s="300"/>
      <c r="D9" s="300"/>
      <c r="E9" s="300"/>
      <c r="F9" s="295"/>
      <c r="G9" s="296"/>
    </row>
    <row r="10" spans="1:7" ht="20.100000000000001" customHeight="1">
      <c r="A10" s="299" t="s">
        <v>93</v>
      </c>
      <c r="B10" s="300"/>
      <c r="C10" s="300"/>
      <c r="D10" s="300"/>
      <c r="E10" s="300"/>
      <c r="F10" s="295"/>
      <c r="G10" s="296"/>
    </row>
    <row r="11" spans="1:7" ht="20.100000000000001" customHeight="1">
      <c r="A11" s="299" t="s">
        <v>94</v>
      </c>
      <c r="B11" s="300"/>
      <c r="C11" s="300"/>
      <c r="D11" s="300"/>
      <c r="E11" s="300"/>
      <c r="F11" s="295"/>
      <c r="G11" s="296"/>
    </row>
    <row r="12" spans="1:7" ht="20.100000000000001" customHeight="1">
      <c r="A12" s="299" t="s">
        <v>95</v>
      </c>
      <c r="B12" s="300"/>
      <c r="C12" s="300"/>
      <c r="D12" s="300"/>
      <c r="E12" s="300"/>
      <c r="F12" s="295"/>
      <c r="G12" s="296"/>
    </row>
    <row r="13" spans="1:7" ht="20.100000000000001" customHeight="1">
      <c r="A13" s="299" t="s">
        <v>96</v>
      </c>
      <c r="B13" s="300"/>
      <c r="C13" s="300"/>
      <c r="D13" s="300"/>
      <c r="E13" s="300"/>
      <c r="F13" s="295"/>
      <c r="G13" s="296"/>
    </row>
    <row r="14" spans="1:7" ht="20.100000000000001" customHeight="1">
      <c r="A14" s="299" t="s">
        <v>97</v>
      </c>
      <c r="B14" s="300"/>
      <c r="C14" s="300"/>
      <c r="D14" s="300"/>
      <c r="E14" s="300"/>
      <c r="F14" s="295"/>
      <c r="G14" s="296"/>
    </row>
    <row r="15" spans="1:7" ht="20.100000000000001" customHeight="1">
      <c r="A15" s="301" t="s">
        <v>98</v>
      </c>
      <c r="B15" s="302"/>
      <c r="C15" s="302"/>
      <c r="D15" s="302"/>
      <c r="E15" s="302"/>
      <c r="F15" s="295"/>
      <c r="G15" s="296"/>
    </row>
    <row r="16" spans="1:7" ht="20.100000000000001" customHeight="1">
      <c r="A16" s="303" t="s">
        <v>99</v>
      </c>
      <c r="B16" s="304"/>
      <c r="C16" s="304"/>
      <c r="D16" s="304"/>
      <c r="E16" s="304"/>
      <c r="F16" s="295"/>
      <c r="G16" s="296"/>
    </row>
    <row r="17" spans="1:7" ht="20.100000000000001" customHeight="1">
      <c r="A17" s="297" t="s">
        <v>100</v>
      </c>
      <c r="B17" s="294"/>
      <c r="C17" s="294"/>
      <c r="D17" s="294"/>
      <c r="E17" s="294"/>
      <c r="F17" s="295"/>
      <c r="G17" s="296"/>
    </row>
    <row r="18" spans="1:7" ht="20.100000000000001" customHeight="1">
      <c r="A18" s="297" t="s">
        <v>101</v>
      </c>
      <c r="B18" s="294"/>
      <c r="C18" s="294"/>
      <c r="D18" s="294"/>
      <c r="E18" s="294"/>
      <c r="F18" s="295"/>
      <c r="G18" s="296"/>
    </row>
    <row r="19" spans="1:7" s="111" customFormat="1" ht="20.100000000000001" customHeight="1">
      <c r="A19" s="112" t="s">
        <v>28</v>
      </c>
    </row>
    <row r="20" spans="1:7" s="111" customFormat="1" ht="20.100000000000001" customHeight="1">
      <c r="A20" s="452" t="s">
        <v>102</v>
      </c>
      <c r="B20" s="452" t="s">
        <v>103</v>
      </c>
      <c r="C20" s="452" t="s">
        <v>104</v>
      </c>
      <c r="D20" s="452"/>
      <c r="E20" s="452" t="s">
        <v>105</v>
      </c>
      <c r="F20" s="452"/>
      <c r="G20" s="452" t="s">
        <v>106</v>
      </c>
    </row>
    <row r="21" spans="1:7" s="111" customFormat="1" ht="20.100000000000001" customHeight="1">
      <c r="A21" s="457"/>
      <c r="B21" s="457"/>
      <c r="C21" s="113" t="s">
        <v>107</v>
      </c>
      <c r="D21" s="113" t="s">
        <v>108</v>
      </c>
      <c r="E21" s="113" t="s">
        <v>109</v>
      </c>
      <c r="F21" s="113" t="s">
        <v>110</v>
      </c>
      <c r="G21" s="457"/>
    </row>
    <row r="22" spans="1:7" s="111" customFormat="1" ht="20.100000000000001" customHeight="1">
      <c r="A22" s="121" t="str">
        <f>'明细表I2-2'!A13</f>
        <v>课题</v>
      </c>
      <c r="B22" s="122">
        <f>'明细表I2-2'!L13</f>
        <v>0</v>
      </c>
      <c r="C22" s="122">
        <f>IF('明细表I2-2'!$D13="内部开发支出",'明细表I2-2'!$M13,0)</f>
        <v>0</v>
      </c>
      <c r="D22" s="122">
        <f>IF('明细表I2-2'!$D13="其他增加",'明细表I2-2'!$M13,0)</f>
        <v>0</v>
      </c>
      <c r="E22" s="122">
        <f>'明细表I2-2'!N13</f>
        <v>0</v>
      </c>
      <c r="F22" s="122">
        <f>'明细表I2-2'!O13</f>
        <v>0</v>
      </c>
      <c r="G22" s="122">
        <f>B22+C22+D22-E22-F22</f>
        <v>0</v>
      </c>
    </row>
    <row r="23" spans="1:7" s="111" customFormat="1" ht="20.100000000000001" customHeight="1">
      <c r="A23" s="121" t="str">
        <f>'明细表I2-2'!A14</f>
        <v>课题1</v>
      </c>
      <c r="B23" s="122">
        <f>'明细表I2-2'!L14</f>
        <v>0</v>
      </c>
      <c r="C23" s="122">
        <f>IF('明细表I2-2'!$D14="内部开发支出",'明细表I2-2'!$M14,0)</f>
        <v>0</v>
      </c>
      <c r="D23" s="122">
        <f>IF('明细表I2-2'!$D14="其他增加",'明细表I2-2'!$M14,0)</f>
        <v>0</v>
      </c>
      <c r="E23" s="122">
        <f>'明细表I2-2'!N14</f>
        <v>0</v>
      </c>
      <c r="F23" s="122">
        <f>'明细表I2-2'!O14</f>
        <v>0</v>
      </c>
      <c r="G23" s="122">
        <f t="shared" ref="G23:G30" si="0">B23+C23+D23-E23-F23</f>
        <v>0</v>
      </c>
    </row>
    <row r="24" spans="1:7" s="111" customFormat="1" ht="20.100000000000001" customHeight="1">
      <c r="A24" s="121" t="str">
        <f>'明细表I2-2'!A15</f>
        <v>课题2</v>
      </c>
      <c r="B24" s="122">
        <f>'明细表I2-2'!L15</f>
        <v>0</v>
      </c>
      <c r="C24" s="122">
        <f>IF('明细表I2-2'!$D15="内部开发支出",'明细表I2-2'!$M15,0)</f>
        <v>0</v>
      </c>
      <c r="D24" s="122">
        <f>IF('明细表I2-2'!$D15="其他增加",'明细表I2-2'!$M15,0)</f>
        <v>0</v>
      </c>
      <c r="E24" s="122">
        <f>'明细表I2-2'!N15</f>
        <v>0</v>
      </c>
      <c r="F24" s="122">
        <f>'明细表I2-2'!O15</f>
        <v>0</v>
      </c>
      <c r="G24" s="122">
        <f t="shared" si="0"/>
        <v>0</v>
      </c>
    </row>
    <row r="25" spans="1:7" s="111" customFormat="1" ht="20.100000000000001" customHeight="1">
      <c r="A25" s="121" t="str">
        <f>'明细表I2-2'!A16</f>
        <v>课题3</v>
      </c>
      <c r="B25" s="122">
        <f>'明细表I2-2'!L16</f>
        <v>0</v>
      </c>
      <c r="C25" s="122">
        <f>IF('明细表I2-2'!$D16="内部开发支出",'明细表I2-2'!$M16,0)</f>
        <v>0</v>
      </c>
      <c r="D25" s="122">
        <f>IF('明细表I2-2'!$D16="其他增加",'明细表I2-2'!$M16,0)</f>
        <v>0</v>
      </c>
      <c r="E25" s="122">
        <f>'明细表I2-2'!N16</f>
        <v>0</v>
      </c>
      <c r="F25" s="122">
        <f>'明细表I2-2'!O16</f>
        <v>0</v>
      </c>
      <c r="G25" s="122">
        <f t="shared" si="0"/>
        <v>0</v>
      </c>
    </row>
    <row r="26" spans="1:7" s="111" customFormat="1" ht="20.100000000000001" customHeight="1">
      <c r="A26" s="121" t="str">
        <f>'明细表I2-2'!A17</f>
        <v>数据资源</v>
      </c>
      <c r="B26" s="122">
        <f>'明细表I2-2'!L17</f>
        <v>0</v>
      </c>
      <c r="C26" s="122">
        <f>IF('明细表I2-2'!$D17="内部开发支出",'明细表I2-2'!$M17,0)</f>
        <v>0</v>
      </c>
      <c r="D26" s="122">
        <f>IF('明细表I2-2'!$D17="其他增加",'明细表I2-2'!$M17,0)</f>
        <v>0</v>
      </c>
      <c r="E26" s="122">
        <f>'明细表I2-2'!N17</f>
        <v>0</v>
      </c>
      <c r="F26" s="122">
        <f>'明细表I2-2'!O17</f>
        <v>0</v>
      </c>
      <c r="G26" s="122">
        <f t="shared" si="0"/>
        <v>0</v>
      </c>
    </row>
    <row r="27" spans="1:7" s="111" customFormat="1" ht="20.100000000000001" customHeight="1">
      <c r="A27" s="121" t="str">
        <f>'明细表I2-2'!A18</f>
        <v>……</v>
      </c>
      <c r="B27" s="122">
        <f>'明细表I2-2'!L18</f>
        <v>0</v>
      </c>
      <c r="C27" s="122">
        <f>IF('明细表I2-2'!$D18="内部开发支出",'明细表I2-2'!$M18,0)</f>
        <v>0</v>
      </c>
      <c r="D27" s="122">
        <f>IF('明细表I2-2'!$D18="其他增加",'明细表I2-2'!$M18,0)</f>
        <v>0</v>
      </c>
      <c r="E27" s="122">
        <f>'明细表I2-2'!N18</f>
        <v>0</v>
      </c>
      <c r="F27" s="122">
        <f>'明细表I2-2'!O18</f>
        <v>0</v>
      </c>
      <c r="G27" s="122">
        <f t="shared" si="0"/>
        <v>0</v>
      </c>
    </row>
    <row r="28" spans="1:7" s="111" customFormat="1" ht="20.100000000000001" customHeight="1">
      <c r="A28" s="123">
        <f>'明细表I2-2'!A19</f>
        <v>0</v>
      </c>
      <c r="B28" s="122">
        <f>'明细表I2-2'!L19</f>
        <v>0</v>
      </c>
      <c r="C28" s="122">
        <f>IF('明细表I2-2'!$D19="内部开发支出",'明细表I2-2'!$M19,0)</f>
        <v>0</v>
      </c>
      <c r="D28" s="122">
        <f>IF('明细表I2-2'!$D19="其他增加",'明细表I2-2'!$M19,0)</f>
        <v>0</v>
      </c>
      <c r="E28" s="122">
        <f>'明细表I2-2'!N19</f>
        <v>0</v>
      </c>
      <c r="F28" s="122">
        <f>'明细表I2-2'!O19</f>
        <v>0</v>
      </c>
      <c r="G28" s="122">
        <f t="shared" si="0"/>
        <v>0</v>
      </c>
    </row>
    <row r="29" spans="1:7" s="111" customFormat="1" ht="20.100000000000001" customHeight="1">
      <c r="A29" s="123">
        <f>'明细表I2-2'!A20</f>
        <v>0</v>
      </c>
      <c r="B29" s="122">
        <f>'明细表I2-2'!L20</f>
        <v>0</v>
      </c>
      <c r="C29" s="122">
        <f>IF('明细表I2-2'!$D20="内部开发支出",'明细表I2-2'!$M20,0)</f>
        <v>0</v>
      </c>
      <c r="D29" s="122">
        <f>IF('明细表I2-2'!$D20="其他增加",'明细表I2-2'!$M20,0)</f>
        <v>0</v>
      </c>
      <c r="E29" s="122">
        <f>'明细表I2-2'!N20</f>
        <v>0</v>
      </c>
      <c r="F29" s="122">
        <f>'明细表I2-2'!O20</f>
        <v>0</v>
      </c>
      <c r="G29" s="122">
        <f t="shared" si="0"/>
        <v>0</v>
      </c>
    </row>
    <row r="30" spans="1:7" s="111" customFormat="1" ht="20.100000000000001" customHeight="1">
      <c r="A30" s="124">
        <f>'明细表I2-2'!A21</f>
        <v>0</v>
      </c>
      <c r="B30" s="122">
        <f>'明细表I2-2'!L21</f>
        <v>0</v>
      </c>
      <c r="C30" s="122">
        <f>IF('明细表I2-2'!$D21="内部开发支出",'明细表I2-2'!$M21,0)</f>
        <v>0</v>
      </c>
      <c r="D30" s="122">
        <f>IF('明细表I2-2'!$D21="其他增加",'明细表I2-2'!$M21,0)</f>
        <v>0</v>
      </c>
      <c r="E30" s="122">
        <f>'明细表I2-2'!N21</f>
        <v>0</v>
      </c>
      <c r="F30" s="122">
        <f>'明细表I2-2'!O21</f>
        <v>0</v>
      </c>
      <c r="G30" s="122">
        <f t="shared" si="0"/>
        <v>0</v>
      </c>
    </row>
    <row r="31" spans="1:7" s="111" customFormat="1" ht="20.100000000000001" customHeight="1">
      <c r="A31" s="125" t="s">
        <v>111</v>
      </c>
      <c r="B31" s="126">
        <f>SUM(B22:B30)</f>
        <v>0</v>
      </c>
      <c r="C31" s="126">
        <f t="shared" ref="C31:G31" si="1">SUM(C22:C30)</f>
        <v>0</v>
      </c>
      <c r="D31" s="126">
        <f t="shared" si="1"/>
        <v>0</v>
      </c>
      <c r="E31" s="126">
        <f t="shared" si="1"/>
        <v>0</v>
      </c>
      <c r="F31" s="126">
        <f t="shared" si="1"/>
        <v>0</v>
      </c>
      <c r="G31" s="126">
        <f t="shared" si="1"/>
        <v>0</v>
      </c>
    </row>
    <row r="32" spans="1:7" s="111" customFormat="1" ht="20.100000000000001" customHeight="1">
      <c r="A32" s="127" t="s">
        <v>112</v>
      </c>
    </row>
    <row r="33" spans="1:7" s="111" customFormat="1" ht="20.100000000000001" customHeight="1">
      <c r="A33" s="112" t="s">
        <v>113</v>
      </c>
    </row>
    <row r="34" spans="1:7" s="111" customFormat="1" ht="33.75" customHeight="1">
      <c r="A34" s="116" t="s">
        <v>102</v>
      </c>
      <c r="B34" s="116" t="s">
        <v>114</v>
      </c>
      <c r="C34" s="116" t="s">
        <v>115</v>
      </c>
      <c r="D34" s="116" t="s">
        <v>116</v>
      </c>
    </row>
    <row r="35" spans="1:7" s="111" customFormat="1" ht="20.100000000000001" customHeight="1">
      <c r="A35" s="128" t="e">
        <f>#REF!</f>
        <v>#REF!</v>
      </c>
      <c r="B35" s="129" t="e">
        <f>#REF!</f>
        <v>#REF!</v>
      </c>
      <c r="C35" s="129" t="e">
        <f>#REF!</f>
        <v>#REF!</v>
      </c>
      <c r="D35" s="129" t="e">
        <f>#REF!</f>
        <v>#REF!</v>
      </c>
    </row>
    <row r="36" spans="1:7" s="111" customFormat="1" ht="20.100000000000001" customHeight="1">
      <c r="A36" s="128" t="e">
        <f>#REF!</f>
        <v>#REF!</v>
      </c>
      <c r="B36" s="129" t="e">
        <f>#REF!</f>
        <v>#REF!</v>
      </c>
      <c r="C36" s="129" t="e">
        <f>#REF!</f>
        <v>#REF!</v>
      </c>
      <c r="D36" s="129" t="e">
        <f>#REF!</f>
        <v>#REF!</v>
      </c>
    </row>
    <row r="37" spans="1:7" s="111" customFormat="1" ht="20.100000000000001" customHeight="1">
      <c r="A37" s="128" t="e">
        <f>#REF!</f>
        <v>#REF!</v>
      </c>
      <c r="B37" s="129" t="e">
        <f>#REF!</f>
        <v>#REF!</v>
      </c>
      <c r="C37" s="129" t="e">
        <f>#REF!</f>
        <v>#REF!</v>
      </c>
      <c r="D37" s="129" t="e">
        <f>#REF!</f>
        <v>#REF!</v>
      </c>
    </row>
    <row r="38" spans="1:7" s="111" customFormat="1" ht="20.100000000000001" customHeight="1">
      <c r="A38" s="128" t="e">
        <f>#REF!</f>
        <v>#REF!</v>
      </c>
      <c r="B38" s="129" t="e">
        <f>#REF!</f>
        <v>#REF!</v>
      </c>
      <c r="C38" s="129" t="e">
        <f>#REF!</f>
        <v>#REF!</v>
      </c>
      <c r="D38" s="129" t="e">
        <f>#REF!</f>
        <v>#REF!</v>
      </c>
    </row>
    <row r="39" spans="1:7" s="111" customFormat="1" ht="20.100000000000001" customHeight="1">
      <c r="A39" s="128" t="e">
        <f>#REF!</f>
        <v>#REF!</v>
      </c>
      <c r="B39" s="129" t="e">
        <f>#REF!</f>
        <v>#REF!</v>
      </c>
      <c r="C39" s="129" t="e">
        <f>#REF!</f>
        <v>#REF!</v>
      </c>
      <c r="D39" s="129" t="e">
        <f>#REF!</f>
        <v>#REF!</v>
      </c>
    </row>
    <row r="40" spans="1:7" s="111" customFormat="1" ht="20.100000000000001" customHeight="1">
      <c r="A40" s="116" t="s">
        <v>111</v>
      </c>
      <c r="B40" s="130" t="e">
        <f>SUM(B35:B39)</f>
        <v>#REF!</v>
      </c>
      <c r="C40" s="130" t="e">
        <f t="shared" ref="C40:D40" si="2">SUM(C35:C39)</f>
        <v>#REF!</v>
      </c>
      <c r="D40" s="130" t="e">
        <f t="shared" si="2"/>
        <v>#REF!</v>
      </c>
    </row>
    <row r="41" spans="1:7" s="111" customFormat="1" ht="20.100000000000001" customHeight="1">
      <c r="A41" s="131" t="s">
        <v>117</v>
      </c>
    </row>
    <row r="42" spans="1:7" s="111" customFormat="1" ht="18" customHeight="1">
      <c r="A42" s="127" t="s">
        <v>118</v>
      </c>
    </row>
    <row r="43" spans="1:7" s="111" customFormat="1" ht="54.75" customHeight="1">
      <c r="A43" s="453" t="s">
        <v>119</v>
      </c>
      <c r="B43" s="453"/>
      <c r="C43" s="453"/>
      <c r="D43" s="453"/>
      <c r="E43" s="453"/>
      <c r="F43" s="453"/>
      <c r="G43" s="453"/>
    </row>
    <row r="44" spans="1:7" s="111" customFormat="1" ht="18" customHeight="1">
      <c r="A44" s="132" t="s">
        <v>120</v>
      </c>
      <c r="B44" s="118"/>
      <c r="C44" s="118"/>
      <c r="D44" s="118"/>
      <c r="E44" s="118"/>
      <c r="F44" s="118"/>
      <c r="G44" s="133"/>
    </row>
    <row r="45" spans="1:7" ht="29.25" customHeight="1">
      <c r="A45" s="454" t="s">
        <v>121</v>
      </c>
      <c r="B45" s="454"/>
      <c r="C45" s="454"/>
      <c r="D45" s="454"/>
      <c r="E45" s="454"/>
      <c r="F45" s="454"/>
      <c r="G45" s="454"/>
    </row>
    <row r="46" spans="1:7" ht="26.25" customHeight="1">
      <c r="A46" s="134" t="s">
        <v>87</v>
      </c>
      <c r="B46" s="135" t="s">
        <v>122</v>
      </c>
      <c r="C46" s="135" t="s">
        <v>123</v>
      </c>
      <c r="D46" s="136" t="s">
        <v>124</v>
      </c>
      <c r="E46" s="135" t="s">
        <v>125</v>
      </c>
      <c r="F46" s="136" t="s">
        <v>126</v>
      </c>
      <c r="G46" s="133"/>
    </row>
    <row r="47" spans="1:7" ht="18" customHeight="1">
      <c r="A47" s="137"/>
      <c r="B47" s="119"/>
      <c r="C47" s="119"/>
      <c r="D47" s="119"/>
      <c r="E47" s="119"/>
      <c r="F47" s="119"/>
      <c r="G47" s="133"/>
    </row>
    <row r="48" spans="1:7" ht="18" customHeight="1">
      <c r="A48" s="137"/>
      <c r="B48" s="119"/>
      <c r="C48" s="119"/>
      <c r="D48" s="119"/>
      <c r="E48" s="119"/>
      <c r="F48" s="119"/>
      <c r="G48" s="133"/>
    </row>
    <row r="49" spans="1:7" ht="18" customHeight="1">
      <c r="A49" s="138"/>
      <c r="B49" s="120"/>
      <c r="C49" s="120"/>
      <c r="D49" s="120"/>
      <c r="E49" s="120"/>
      <c r="F49" s="120"/>
      <c r="G49" s="133"/>
    </row>
    <row r="50" spans="1:7" ht="18" customHeight="1">
      <c r="A50" s="132" t="s">
        <v>127</v>
      </c>
      <c r="B50" s="118"/>
      <c r="C50" s="118"/>
      <c r="D50" s="118"/>
      <c r="E50" s="118"/>
      <c r="F50" s="118"/>
      <c r="G50" s="133"/>
    </row>
    <row r="51" spans="1:7" ht="18" customHeight="1">
      <c r="A51" s="134" t="s">
        <v>87</v>
      </c>
      <c r="B51" s="135" t="s">
        <v>128</v>
      </c>
      <c r="C51" s="135" t="s">
        <v>129</v>
      </c>
      <c r="D51" s="135" t="s">
        <v>105</v>
      </c>
      <c r="E51" s="135" t="s">
        <v>130</v>
      </c>
      <c r="F51" s="118"/>
      <c r="G51" s="133"/>
    </row>
    <row r="52" spans="1:7" ht="18" customHeight="1">
      <c r="A52" s="137"/>
      <c r="B52" s="119"/>
      <c r="C52" s="119"/>
      <c r="D52" s="119"/>
      <c r="E52" s="119"/>
      <c r="F52" s="118"/>
      <c r="G52" s="133"/>
    </row>
    <row r="53" spans="1:7" ht="18" customHeight="1">
      <c r="A53" s="137"/>
      <c r="B53" s="119"/>
      <c r="C53" s="119"/>
      <c r="D53" s="119"/>
      <c r="E53" s="119"/>
      <c r="F53" s="118"/>
      <c r="G53" s="133"/>
    </row>
    <row r="54" spans="1:7" ht="18" customHeight="1">
      <c r="A54" s="138"/>
      <c r="B54" s="120"/>
      <c r="C54" s="120"/>
      <c r="D54" s="120"/>
      <c r="E54" s="120"/>
      <c r="F54" s="118"/>
      <c r="G54" s="133"/>
    </row>
    <row r="55" spans="1:7" ht="18" customHeight="1">
      <c r="A55" s="139" t="s">
        <v>131</v>
      </c>
      <c r="B55" s="118"/>
      <c r="C55" s="118"/>
      <c r="D55" s="118"/>
      <c r="E55" s="118"/>
      <c r="F55" s="118"/>
      <c r="G55" s="133"/>
    </row>
    <row r="56" spans="1:7" ht="18" customHeight="1">
      <c r="A56" s="139" t="s">
        <v>132</v>
      </c>
      <c r="B56" s="118"/>
      <c r="C56" s="118"/>
      <c r="D56" s="118"/>
      <c r="E56" s="118"/>
      <c r="F56" s="118"/>
      <c r="G56" s="133"/>
    </row>
    <row r="57" spans="1:7" ht="18" customHeight="1">
      <c r="A57" s="132" t="s">
        <v>133</v>
      </c>
      <c r="B57" s="118"/>
      <c r="C57" s="118"/>
      <c r="D57" s="118"/>
      <c r="E57" s="118"/>
      <c r="F57" s="118"/>
      <c r="G57" s="133"/>
    </row>
    <row r="58" spans="1:7" ht="18" customHeight="1">
      <c r="A58" s="140" t="s">
        <v>134</v>
      </c>
      <c r="B58" s="118"/>
      <c r="C58" s="118"/>
      <c r="D58" s="118"/>
      <c r="E58" s="118"/>
      <c r="F58" s="118"/>
      <c r="G58" s="133"/>
    </row>
  </sheetData>
  <mergeCells count="12">
    <mergeCell ref="A43:G43"/>
    <mergeCell ref="A45:G45"/>
    <mergeCell ref="A7:A8"/>
    <mergeCell ref="A20:A21"/>
    <mergeCell ref="B20:B21"/>
    <mergeCell ref="G20:G21"/>
    <mergeCell ref="A1:G1"/>
    <mergeCell ref="A2:G2"/>
    <mergeCell ref="B7:C7"/>
    <mergeCell ref="D7:E7"/>
    <mergeCell ref="C20:D20"/>
    <mergeCell ref="E20:F20"/>
  </mergeCells>
  <phoneticPr fontId="116" type="noConversion"/>
  <printOptions horizontalCentered="1"/>
  <pageMargins left="0.70866141732283505" right="0.70866141732283505" top="0.74803149606299202" bottom="0.74803149606299202" header="0.31496062992126" footer="0.31496062992126"/>
  <pageSetup paperSize="9" scale="7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17"/>
  <sheetViews>
    <sheetView view="pageBreakPreview" zoomScaleNormal="100" workbookViewId="0">
      <selection sqref="A1:H1"/>
    </sheetView>
  </sheetViews>
  <sheetFormatPr defaultColWidth="9" defaultRowHeight="18" customHeight="1"/>
  <cols>
    <col min="1" max="1" width="20.6640625" style="6" customWidth="1"/>
    <col min="2" max="2" width="14.6640625" style="6" customWidth="1"/>
    <col min="3" max="3" width="19" style="6" customWidth="1"/>
    <col min="4" max="4" width="14.6640625" style="6" customWidth="1"/>
    <col min="5" max="5" width="18.6640625" style="6" customWidth="1"/>
    <col min="6" max="6" width="19" style="6" customWidth="1"/>
    <col min="7" max="7" width="9" style="6"/>
    <col min="8" max="8" width="21.6640625" style="6" customWidth="1"/>
    <col min="9" max="16384" width="9" style="6"/>
  </cols>
  <sheetData>
    <row r="1" spans="1:8" s="1" customFormat="1" ht="20.100000000000001" customHeight="1">
      <c r="A1" s="458" t="s">
        <v>57</v>
      </c>
      <c r="B1" s="458"/>
      <c r="C1" s="458"/>
      <c r="D1" s="458"/>
      <c r="E1" s="458"/>
      <c r="F1" s="458"/>
      <c r="G1" s="458"/>
      <c r="H1" s="458"/>
    </row>
    <row r="2" spans="1:8" s="2" customFormat="1" ht="24.9" customHeight="1">
      <c r="A2" s="439" t="s">
        <v>11</v>
      </c>
      <c r="B2" s="439"/>
      <c r="C2" s="439"/>
      <c r="D2" s="439"/>
      <c r="E2" s="439"/>
      <c r="F2" s="439"/>
      <c r="G2" s="439"/>
      <c r="H2" s="439"/>
    </row>
    <row r="3" spans="1:8" ht="20.100000000000001" customHeight="1">
      <c r="A3" s="6" t="str">
        <f>底稿目录!A2</f>
        <v>被审计单位：</v>
      </c>
      <c r="C3" s="6" t="str">
        <f>底稿目录!A4</f>
        <v>编制人：</v>
      </c>
      <c r="E3" s="25" t="str">
        <f>底稿目录!A5</f>
        <v>编制日期：</v>
      </c>
      <c r="G3" s="25" t="s">
        <v>58</v>
      </c>
      <c r="H3" s="27"/>
    </row>
    <row r="4" spans="1:8" ht="20.100000000000001" customHeight="1">
      <c r="A4" s="6" t="str">
        <f>底稿目录!A3</f>
        <v>截止日：202X年12月31日</v>
      </c>
      <c r="C4" s="6" t="str">
        <f>底稿目录!A6</f>
        <v>复核人：</v>
      </c>
      <c r="E4" s="25" t="str">
        <f>底稿目录!A7</f>
        <v>复核日期：</v>
      </c>
      <c r="G4" s="25" t="s">
        <v>84</v>
      </c>
      <c r="H4" s="27"/>
    </row>
    <row r="5" spans="1:8" s="111" customFormat="1" ht="20.100000000000001" customHeight="1">
      <c r="A5" s="112" t="s">
        <v>28</v>
      </c>
    </row>
    <row r="6" spans="1:8" s="111" customFormat="1" ht="20.100000000000001" customHeight="1">
      <c r="A6" s="452" t="s">
        <v>135</v>
      </c>
      <c r="B6" s="452" t="s">
        <v>136</v>
      </c>
      <c r="C6" s="452" t="s">
        <v>137</v>
      </c>
      <c r="D6" s="452"/>
      <c r="E6" s="452" t="s">
        <v>138</v>
      </c>
      <c r="F6" s="452"/>
      <c r="G6" s="452"/>
      <c r="H6" s="452" t="s">
        <v>139</v>
      </c>
    </row>
    <row r="7" spans="1:8" s="111" customFormat="1" ht="20.100000000000001" customHeight="1">
      <c r="A7" s="457"/>
      <c r="B7" s="457"/>
      <c r="C7" s="113" t="s">
        <v>140</v>
      </c>
      <c r="D7" s="113" t="s">
        <v>141</v>
      </c>
      <c r="E7" s="113" t="s">
        <v>142</v>
      </c>
      <c r="F7" s="113" t="s">
        <v>143</v>
      </c>
      <c r="G7" s="113" t="s">
        <v>144</v>
      </c>
      <c r="H7" s="457"/>
    </row>
    <row r="8" spans="1:8" s="111" customFormat="1" ht="20.100000000000001" customHeight="1">
      <c r="A8" s="114" t="str">
        <f>'明细表I2-2'!A13</f>
        <v>课题</v>
      </c>
      <c r="B8" s="115">
        <f>'明细表I2-2'!L13</f>
        <v>0</v>
      </c>
      <c r="C8" s="115">
        <f>IF('明细表I2-2'!$D13="内部开发支出",'明细表I2-2'!$M13,0)</f>
        <v>0</v>
      </c>
      <c r="D8" s="115">
        <f>IF('明细表I2-2'!$D13="其他增加",'明细表I2-2'!$M13,0)</f>
        <v>0</v>
      </c>
      <c r="E8" s="115">
        <f>'明细表I2-2'!N13</f>
        <v>0</v>
      </c>
      <c r="F8" s="115">
        <f>'明细表I2-2'!O13</f>
        <v>0</v>
      </c>
      <c r="G8" s="6"/>
      <c r="H8" s="115">
        <f>B8+C8+D8-E8-F8-G8</f>
        <v>0</v>
      </c>
    </row>
    <row r="9" spans="1:8" s="111" customFormat="1" ht="20.100000000000001" customHeight="1">
      <c r="A9" s="114" t="str">
        <f>'明细表I2-2'!A14</f>
        <v>课题1</v>
      </c>
      <c r="B9" s="115">
        <f>'明细表I2-2'!L14</f>
        <v>0</v>
      </c>
      <c r="C9" s="115">
        <f>IF('明细表I2-2'!$D14="内部开发支出",'明细表I2-2'!$M14,0)</f>
        <v>0</v>
      </c>
      <c r="D9" s="115">
        <f>IF('明细表I2-2'!$D14="其他增加",'明细表I2-2'!$M14,0)</f>
        <v>0</v>
      </c>
      <c r="E9" s="115">
        <f>'明细表I2-2'!N14</f>
        <v>0</v>
      </c>
      <c r="F9" s="115">
        <f>'明细表I2-2'!O14</f>
        <v>0</v>
      </c>
      <c r="G9" s="6"/>
      <c r="H9" s="115">
        <f t="shared" ref="H9:H16" si="0">B9+C9+D9-E9-F9-G9</f>
        <v>0</v>
      </c>
    </row>
    <row r="10" spans="1:8" s="111" customFormat="1" ht="20.100000000000001" customHeight="1">
      <c r="A10" s="114" t="str">
        <f>'明细表I2-2'!A15</f>
        <v>课题2</v>
      </c>
      <c r="B10" s="115">
        <f>'明细表I2-2'!L15</f>
        <v>0</v>
      </c>
      <c r="C10" s="115">
        <f>IF('明细表I2-2'!$D15="内部开发支出",'明细表I2-2'!$M15,0)</f>
        <v>0</v>
      </c>
      <c r="D10" s="115">
        <f>IF('明细表I2-2'!$D15="其他增加",'明细表I2-2'!$M15,0)</f>
        <v>0</v>
      </c>
      <c r="E10" s="115">
        <f>'明细表I2-2'!N15</f>
        <v>0</v>
      </c>
      <c r="F10" s="115">
        <f>'明细表I2-2'!O15</f>
        <v>0</v>
      </c>
      <c r="G10" s="6"/>
      <c r="H10" s="115">
        <f t="shared" si="0"/>
        <v>0</v>
      </c>
    </row>
    <row r="11" spans="1:8" s="111" customFormat="1" ht="20.100000000000001" customHeight="1">
      <c r="A11" s="114" t="str">
        <f>'明细表I2-2'!A16</f>
        <v>课题3</v>
      </c>
      <c r="B11" s="115">
        <f>'明细表I2-2'!L16</f>
        <v>0</v>
      </c>
      <c r="C11" s="115">
        <f>IF('明细表I2-2'!$D16="内部开发支出",'明细表I2-2'!$M16,0)</f>
        <v>0</v>
      </c>
      <c r="D11" s="115">
        <f>IF('明细表I2-2'!$D16="其他增加",'明细表I2-2'!$M16,0)</f>
        <v>0</v>
      </c>
      <c r="E11" s="115">
        <f>'明细表I2-2'!N16</f>
        <v>0</v>
      </c>
      <c r="F11" s="115">
        <f>'明细表I2-2'!O16</f>
        <v>0</v>
      </c>
      <c r="G11" s="6"/>
      <c r="H11" s="115">
        <f t="shared" si="0"/>
        <v>0</v>
      </c>
    </row>
    <row r="12" spans="1:8" s="111" customFormat="1" ht="20.100000000000001" customHeight="1">
      <c r="A12" s="114" t="str">
        <f>'明细表I2-2'!A17</f>
        <v>数据资源</v>
      </c>
      <c r="B12" s="115">
        <f>'明细表I2-2'!L17</f>
        <v>0</v>
      </c>
      <c r="C12" s="115">
        <f>IF('明细表I2-2'!$D17="内部开发支出",'明细表I2-2'!$M17,0)</f>
        <v>0</v>
      </c>
      <c r="D12" s="115">
        <f>IF('明细表I2-2'!$D17="其他增加",'明细表I2-2'!$M17,0)</f>
        <v>0</v>
      </c>
      <c r="E12" s="115">
        <f>'明细表I2-2'!N17</f>
        <v>0</v>
      </c>
      <c r="F12" s="115">
        <f>'明细表I2-2'!O17</f>
        <v>0</v>
      </c>
      <c r="G12" s="6"/>
      <c r="H12" s="115">
        <f t="shared" si="0"/>
        <v>0</v>
      </c>
    </row>
    <row r="13" spans="1:8" s="111" customFormat="1" ht="20.100000000000001" customHeight="1">
      <c r="A13" s="114" t="str">
        <f>'明细表I2-2'!A18</f>
        <v>……</v>
      </c>
      <c r="B13" s="115">
        <f>'明细表I2-2'!L18</f>
        <v>0</v>
      </c>
      <c r="C13" s="115">
        <f>IF('明细表I2-2'!$D18="内部开发支出",'明细表I2-2'!$M18,0)</f>
        <v>0</v>
      </c>
      <c r="D13" s="115">
        <f>IF('明细表I2-2'!$D18="其他增加",'明细表I2-2'!$M18,0)</f>
        <v>0</v>
      </c>
      <c r="E13" s="115">
        <f>'明细表I2-2'!N18</f>
        <v>0</v>
      </c>
      <c r="F13" s="115">
        <f>'明细表I2-2'!O18</f>
        <v>0</v>
      </c>
      <c r="G13" s="6"/>
      <c r="H13" s="115">
        <f t="shared" si="0"/>
        <v>0</v>
      </c>
    </row>
    <row r="14" spans="1:8" s="111" customFormat="1" ht="20.100000000000001" customHeight="1">
      <c r="A14" s="114">
        <f>'明细表I2-2'!A19</f>
        <v>0</v>
      </c>
      <c r="B14" s="115">
        <f>'明细表I2-2'!L19</f>
        <v>0</v>
      </c>
      <c r="C14" s="115">
        <f>IF('明细表I2-2'!$D19="内部开发支出",'明细表I2-2'!$M19,0)</f>
        <v>0</v>
      </c>
      <c r="D14" s="115">
        <f>IF('明细表I2-2'!$D19="其他增加",'明细表I2-2'!$M19,0)</f>
        <v>0</v>
      </c>
      <c r="E14" s="115">
        <f>'明细表I2-2'!N19</f>
        <v>0</v>
      </c>
      <c r="F14" s="115">
        <f>'明细表I2-2'!O19</f>
        <v>0</v>
      </c>
      <c r="G14" s="6"/>
      <c r="H14" s="115">
        <f t="shared" si="0"/>
        <v>0</v>
      </c>
    </row>
    <row r="15" spans="1:8" s="111" customFormat="1" ht="20.100000000000001" customHeight="1">
      <c r="A15" s="114">
        <f>'明细表I2-2'!A20</f>
        <v>0</v>
      </c>
      <c r="B15" s="115">
        <f>'明细表I2-2'!L20</f>
        <v>0</v>
      </c>
      <c r="C15" s="115">
        <f>IF('明细表I2-2'!$D20="内部开发支出",'明细表I2-2'!$M20,0)</f>
        <v>0</v>
      </c>
      <c r="D15" s="115">
        <f>IF('明细表I2-2'!$D20="其他增加",'明细表I2-2'!$M20,0)</f>
        <v>0</v>
      </c>
      <c r="E15" s="115">
        <f>'明细表I2-2'!N20</f>
        <v>0</v>
      </c>
      <c r="F15" s="115">
        <f>'明细表I2-2'!O20</f>
        <v>0</v>
      </c>
      <c r="G15" s="6"/>
      <c r="H15" s="115">
        <f t="shared" si="0"/>
        <v>0</v>
      </c>
    </row>
    <row r="16" spans="1:8" s="111" customFormat="1" ht="20.100000000000001" customHeight="1">
      <c r="A16" s="114">
        <f>'明细表I2-2'!A21</f>
        <v>0</v>
      </c>
      <c r="B16" s="115">
        <f>'明细表I2-2'!L21</f>
        <v>0</v>
      </c>
      <c r="C16" s="115">
        <f>IF('明细表I2-2'!$D21="内部开发支出",'明细表I2-2'!$M21,0)</f>
        <v>0</v>
      </c>
      <c r="D16" s="115">
        <f>IF('明细表I2-2'!$D21="其他增加",'明细表I2-2'!$M21,0)</f>
        <v>0</v>
      </c>
      <c r="E16" s="115">
        <f>'明细表I2-2'!N21</f>
        <v>0</v>
      </c>
      <c r="F16" s="115">
        <f>'明细表I2-2'!O21</f>
        <v>0</v>
      </c>
      <c r="G16" s="115"/>
      <c r="H16" s="115">
        <f t="shared" si="0"/>
        <v>0</v>
      </c>
    </row>
    <row r="17" spans="1:8" s="111" customFormat="1" ht="20.100000000000001" customHeight="1">
      <c r="A17" s="116" t="s">
        <v>111</v>
      </c>
      <c r="B17" s="117">
        <f>SUM(B8:B16)</f>
        <v>0</v>
      </c>
      <c r="C17" s="117">
        <f>SUM(C8:C16)</f>
        <v>0</v>
      </c>
      <c r="D17" s="117">
        <f>SUM(D8:D16)</f>
        <v>0</v>
      </c>
      <c r="E17" s="117">
        <f t="shared" ref="E17:H17" si="1">SUM(E8:E16)</f>
        <v>0</v>
      </c>
      <c r="F17" s="117">
        <f t="shared" si="1"/>
        <v>0</v>
      </c>
      <c r="G17" s="117">
        <f t="shared" si="1"/>
        <v>0</v>
      </c>
      <c r="H17" s="117">
        <f t="shared" si="1"/>
        <v>0</v>
      </c>
    </row>
  </sheetData>
  <mergeCells count="7">
    <mergeCell ref="A1:H1"/>
    <mergeCell ref="A2:H2"/>
    <mergeCell ref="H6:H7"/>
    <mergeCell ref="C6:D6"/>
    <mergeCell ref="E6:G6"/>
    <mergeCell ref="A6:A7"/>
    <mergeCell ref="B6:B7"/>
  </mergeCells>
  <phoneticPr fontId="116" type="noConversion"/>
  <pageMargins left="0.70866141732283505" right="0.70866141732283505" top="0.74803149606299202" bottom="0.74803149606299202" header="0.31496062992126" footer="0.31496062992126"/>
  <pageSetup paperSize="9" scale="64"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I51"/>
  <sheetViews>
    <sheetView view="pageBreakPreview" topLeftCell="A7" zoomScaleNormal="100" workbookViewId="0">
      <selection activeCell="A2" sqref="A2:T2"/>
    </sheetView>
  </sheetViews>
  <sheetFormatPr defaultColWidth="9" defaultRowHeight="18" customHeight="1"/>
  <cols>
    <col min="1" max="1" width="11.5546875" style="6" customWidth="1"/>
    <col min="2" max="4" width="8.6640625" style="6" customWidth="1"/>
    <col min="5" max="5" width="10.77734375" style="6" customWidth="1"/>
    <col min="6" max="9" width="8.6640625" style="6" customWidth="1"/>
    <col min="10" max="10" width="11.21875" style="6" customWidth="1"/>
    <col min="11" max="13" width="8.6640625" style="6" customWidth="1"/>
    <col min="14" max="14" width="10" style="6" customWidth="1"/>
    <col min="15" max="16" width="8.6640625" style="6" customWidth="1"/>
    <col min="17" max="17" width="12" style="6" customWidth="1"/>
    <col min="18" max="18" width="10.88671875" style="6" customWidth="1"/>
    <col min="19" max="19" width="9.44140625" style="6" customWidth="1"/>
    <col min="20" max="20" width="9.77734375" style="6" customWidth="1"/>
    <col min="21" max="16384" width="9" style="6"/>
  </cols>
  <sheetData>
    <row r="1" spans="1:61" s="1" customFormat="1" ht="20.100000000000001" customHeight="1">
      <c r="A1" s="439" t="s">
        <v>57</v>
      </c>
      <c r="B1" s="439"/>
      <c r="C1" s="439"/>
      <c r="D1" s="439"/>
      <c r="E1" s="439"/>
      <c r="F1" s="439"/>
      <c r="G1" s="439"/>
      <c r="H1" s="439"/>
      <c r="I1" s="439"/>
      <c r="J1" s="439"/>
      <c r="K1" s="439"/>
      <c r="L1" s="439"/>
      <c r="M1" s="439"/>
      <c r="N1" s="439"/>
      <c r="O1" s="439"/>
      <c r="P1" s="439"/>
      <c r="Q1" s="439"/>
      <c r="R1" s="439"/>
      <c r="S1" s="439"/>
      <c r="T1" s="439"/>
    </row>
    <row r="2" spans="1:61" s="2" customFormat="1" ht="24.9" customHeight="1">
      <c r="A2" s="440" t="s">
        <v>12</v>
      </c>
      <c r="B2" s="440"/>
      <c r="C2" s="440"/>
      <c r="D2" s="440"/>
      <c r="E2" s="440"/>
      <c r="F2" s="440"/>
      <c r="G2" s="440"/>
      <c r="H2" s="440"/>
      <c r="I2" s="440"/>
      <c r="J2" s="440"/>
      <c r="K2" s="440"/>
      <c r="L2" s="440"/>
      <c r="M2" s="440"/>
      <c r="N2" s="440"/>
      <c r="O2" s="440"/>
      <c r="P2" s="440"/>
      <c r="Q2" s="440"/>
      <c r="R2" s="440"/>
      <c r="S2" s="440"/>
      <c r="T2" s="440"/>
    </row>
    <row r="3" spans="1:61" s="93" customFormat="1" ht="20.100000000000001" customHeight="1">
      <c r="A3" s="93" t="str">
        <f>底稿目录!A2</f>
        <v>被审计单位：</v>
      </c>
      <c r="H3" s="93" t="str">
        <f>底稿目录!A4</f>
        <v>编制人：</v>
      </c>
      <c r="L3" s="83" t="str">
        <f>底稿目录!A5</f>
        <v>编制日期：</v>
      </c>
      <c r="S3" s="93" t="s">
        <v>185</v>
      </c>
      <c r="T3" s="419" t="str">
        <f>底稿目录!D8</f>
        <v>I2-2</v>
      </c>
    </row>
    <row r="4" spans="1:61" s="93" customFormat="1" ht="20.100000000000001" customHeight="1">
      <c r="A4" s="93" t="str">
        <f>底稿目录!A3</f>
        <v>截止日：202X年12月31日</v>
      </c>
      <c r="H4" s="93" t="str">
        <f>底稿目录!A6</f>
        <v>复核人：</v>
      </c>
      <c r="L4" s="83" t="str">
        <f>底稿目录!A7</f>
        <v>复核日期：</v>
      </c>
      <c r="S4" s="93" t="s">
        <v>84</v>
      </c>
      <c r="T4" s="309"/>
    </row>
    <row r="5" spans="1:61" s="3" customFormat="1" ht="20.100000000000001" customHeight="1">
      <c r="A5" s="87" t="s">
        <v>145</v>
      </c>
      <c r="C5" s="9"/>
      <c r="D5" s="9"/>
      <c r="G5" s="28"/>
      <c r="H5" s="28"/>
      <c r="I5" s="28"/>
      <c r="J5" s="28"/>
      <c r="K5" s="28"/>
      <c r="M5" s="9"/>
      <c r="P5" s="28"/>
      <c r="Q5" s="28"/>
      <c r="R5" s="28"/>
      <c r="S5" s="28"/>
      <c r="T5" s="30"/>
      <c r="W5" s="28"/>
      <c r="AC5" s="87"/>
      <c r="AE5" s="34"/>
      <c r="AF5" s="34"/>
      <c r="AG5" s="34"/>
      <c r="AH5" s="34"/>
      <c r="AI5" s="34"/>
      <c r="AJ5" s="34"/>
      <c r="AS5" s="87"/>
      <c r="BI5" s="87"/>
    </row>
    <row r="6" spans="1:61" s="79" customFormat="1" ht="20.100000000000001" customHeight="1">
      <c r="A6" s="88" t="s">
        <v>345</v>
      </c>
      <c r="K6" s="110"/>
      <c r="L6" s="110"/>
      <c r="M6" s="110"/>
    </row>
    <row r="7" spans="1:61" s="182" customFormat="1" ht="20.100000000000001" customHeight="1">
      <c r="A7" s="88" t="s">
        <v>344</v>
      </c>
      <c r="K7" s="110"/>
      <c r="L7" s="110"/>
      <c r="M7" s="110"/>
    </row>
    <row r="8" spans="1:61" s="79" customFormat="1" ht="20.100000000000001" customHeight="1">
      <c r="A8" s="88" t="s">
        <v>146</v>
      </c>
      <c r="K8" s="110"/>
      <c r="L8" s="110"/>
      <c r="M8" s="110"/>
    </row>
    <row r="9" spans="1:61" s="3" customFormat="1" ht="20.100000000000001" customHeight="1">
      <c r="A9" s="89" t="s">
        <v>147</v>
      </c>
      <c r="C9" s="9"/>
      <c r="D9" s="9"/>
      <c r="G9" s="28"/>
      <c r="H9" s="28"/>
      <c r="I9" s="28"/>
      <c r="J9" s="28"/>
      <c r="K9" s="28"/>
      <c r="M9" s="9"/>
      <c r="P9" s="28"/>
      <c r="Q9" s="28"/>
      <c r="R9" s="28"/>
      <c r="S9" s="28"/>
      <c r="T9" s="30"/>
      <c r="W9" s="28"/>
      <c r="AC9" s="89"/>
      <c r="AE9" s="34"/>
      <c r="AF9" s="34"/>
      <c r="AG9" s="34"/>
      <c r="AH9" s="34"/>
      <c r="AI9" s="34"/>
      <c r="AJ9" s="34"/>
      <c r="AS9" s="89"/>
      <c r="BI9" s="89"/>
    </row>
    <row r="10" spans="1:61" s="5" customFormat="1" ht="20.100000000000001" customHeight="1">
      <c r="A10" s="463" t="s">
        <v>148</v>
      </c>
      <c r="B10" s="459" t="s">
        <v>149</v>
      </c>
      <c r="C10" s="459"/>
      <c r="D10" s="459"/>
      <c r="E10" s="459"/>
      <c r="F10" s="459"/>
      <c r="G10" s="459"/>
      <c r="H10" s="361" t="s">
        <v>150</v>
      </c>
      <c r="I10" s="460" t="s">
        <v>151</v>
      </c>
      <c r="J10" s="460"/>
      <c r="K10" s="461"/>
      <c r="L10" s="459" t="s">
        <v>152</v>
      </c>
      <c r="M10" s="459"/>
      <c r="N10" s="459"/>
      <c r="O10" s="459"/>
      <c r="P10" s="459"/>
      <c r="Q10" s="464" t="s">
        <v>384</v>
      </c>
      <c r="R10" s="459" t="s">
        <v>153</v>
      </c>
      <c r="S10" s="464" t="s">
        <v>116</v>
      </c>
      <c r="T10" s="462" t="s">
        <v>5</v>
      </c>
    </row>
    <row r="11" spans="1:61" s="5" customFormat="1" ht="20.100000000000001" customHeight="1">
      <c r="A11" s="463"/>
      <c r="B11" s="459" t="s">
        <v>103</v>
      </c>
      <c r="C11" s="459" t="s">
        <v>104</v>
      </c>
      <c r="D11" s="459"/>
      <c r="E11" s="462" t="s">
        <v>154</v>
      </c>
      <c r="F11" s="462"/>
      <c r="G11" s="459" t="s">
        <v>106</v>
      </c>
      <c r="H11" s="460" t="s">
        <v>151</v>
      </c>
      <c r="I11" s="461" t="s">
        <v>155</v>
      </c>
      <c r="J11" s="461" t="s">
        <v>154</v>
      </c>
      <c r="K11" s="461"/>
      <c r="L11" s="459" t="s">
        <v>103</v>
      </c>
      <c r="M11" s="459" t="s">
        <v>104</v>
      </c>
      <c r="N11" s="462" t="s">
        <v>154</v>
      </c>
      <c r="O11" s="462"/>
      <c r="P11" s="459" t="s">
        <v>106</v>
      </c>
      <c r="Q11" s="464"/>
      <c r="R11" s="459"/>
      <c r="S11" s="464"/>
      <c r="T11" s="462"/>
    </row>
    <row r="12" spans="1:61" s="4" customFormat="1" ht="38.549999999999997" customHeight="1">
      <c r="A12" s="463"/>
      <c r="B12" s="462"/>
      <c r="C12" s="362" t="s">
        <v>156</v>
      </c>
      <c r="D12" s="363" t="s">
        <v>157</v>
      </c>
      <c r="E12" s="362" t="s">
        <v>382</v>
      </c>
      <c r="F12" s="364" t="s">
        <v>158</v>
      </c>
      <c r="G12" s="462"/>
      <c r="H12" s="460"/>
      <c r="I12" s="461"/>
      <c r="J12" s="362" t="s">
        <v>382</v>
      </c>
      <c r="K12" s="364" t="s">
        <v>158</v>
      </c>
      <c r="L12" s="462"/>
      <c r="M12" s="462"/>
      <c r="N12" s="362" t="s">
        <v>383</v>
      </c>
      <c r="O12" s="364" t="s">
        <v>158</v>
      </c>
      <c r="P12" s="462"/>
      <c r="Q12" s="464"/>
      <c r="R12" s="459"/>
      <c r="S12" s="464"/>
      <c r="T12" s="462"/>
    </row>
    <row r="13" spans="1:61" ht="20.100000000000001" customHeight="1">
      <c r="A13" s="365" t="s">
        <v>159</v>
      </c>
      <c r="B13" s="366"/>
      <c r="C13" s="366"/>
      <c r="D13" s="367"/>
      <c r="E13" s="366"/>
      <c r="F13" s="366"/>
      <c r="G13" s="352">
        <f t="shared" ref="G13:G22" si="0">B13+C13-E13-F13</f>
        <v>0</v>
      </c>
      <c r="H13" s="368"/>
      <c r="I13" s="368"/>
      <c r="J13" s="368"/>
      <c r="K13" s="368"/>
      <c r="L13" s="352">
        <f t="shared" ref="L13:L22" si="1">B13+H13</f>
        <v>0</v>
      </c>
      <c r="M13" s="352">
        <f t="shared" ref="M13:M22" si="2">C13+I13</f>
        <v>0</v>
      </c>
      <c r="N13" s="352">
        <f t="shared" ref="N13:N22" si="3">E13+J13</f>
        <v>0</v>
      </c>
      <c r="O13" s="352">
        <f t="shared" ref="O13:O22" si="4">F13+K13</f>
        <v>0</v>
      </c>
      <c r="P13" s="352">
        <f t="shared" ref="P13:P22" si="5">L13+M13-N13-O13</f>
        <v>0</v>
      </c>
      <c r="Q13" s="369"/>
      <c r="R13" s="352">
        <f>P13-Q13</f>
        <v>0</v>
      </c>
      <c r="S13" s="357"/>
      <c r="T13" s="357"/>
    </row>
    <row r="14" spans="1:61" ht="20.100000000000001" customHeight="1">
      <c r="A14" s="365" t="s">
        <v>160</v>
      </c>
      <c r="B14" s="366"/>
      <c r="C14" s="366"/>
      <c r="D14" s="367"/>
      <c r="E14" s="366"/>
      <c r="F14" s="366"/>
      <c r="G14" s="352">
        <f t="shared" si="0"/>
        <v>0</v>
      </c>
      <c r="H14" s="368"/>
      <c r="I14" s="368"/>
      <c r="J14" s="368"/>
      <c r="K14" s="368"/>
      <c r="L14" s="352">
        <f t="shared" si="1"/>
        <v>0</v>
      </c>
      <c r="M14" s="352">
        <f t="shared" si="2"/>
        <v>0</v>
      </c>
      <c r="N14" s="352">
        <f t="shared" si="3"/>
        <v>0</v>
      </c>
      <c r="O14" s="352">
        <f t="shared" si="4"/>
        <v>0</v>
      </c>
      <c r="P14" s="352">
        <f t="shared" si="5"/>
        <v>0</v>
      </c>
      <c r="Q14" s="369"/>
      <c r="R14" s="352">
        <f t="shared" ref="R14:R23" si="6">P14-Q14</f>
        <v>0</v>
      </c>
      <c r="S14" s="357"/>
      <c r="T14" s="357"/>
    </row>
    <row r="15" spans="1:61" ht="20.100000000000001" customHeight="1">
      <c r="A15" s="365" t="s">
        <v>161</v>
      </c>
      <c r="B15" s="366"/>
      <c r="C15" s="366"/>
      <c r="D15" s="367"/>
      <c r="E15" s="366"/>
      <c r="F15" s="366"/>
      <c r="G15" s="352">
        <f t="shared" si="0"/>
        <v>0</v>
      </c>
      <c r="H15" s="368"/>
      <c r="I15" s="368"/>
      <c r="J15" s="368"/>
      <c r="K15" s="368"/>
      <c r="L15" s="352">
        <f t="shared" si="1"/>
        <v>0</v>
      </c>
      <c r="M15" s="352">
        <f t="shared" si="2"/>
        <v>0</v>
      </c>
      <c r="N15" s="352">
        <f t="shared" si="3"/>
        <v>0</v>
      </c>
      <c r="O15" s="352">
        <f t="shared" si="4"/>
        <v>0</v>
      </c>
      <c r="P15" s="352">
        <f t="shared" si="5"/>
        <v>0</v>
      </c>
      <c r="Q15" s="369"/>
      <c r="R15" s="352">
        <f t="shared" si="6"/>
        <v>0</v>
      </c>
      <c r="S15" s="357"/>
      <c r="T15" s="357"/>
    </row>
    <row r="16" spans="1:61" ht="20.100000000000001" customHeight="1">
      <c r="A16" s="365" t="s">
        <v>162</v>
      </c>
      <c r="B16" s="366"/>
      <c r="C16" s="366"/>
      <c r="D16" s="367"/>
      <c r="E16" s="366"/>
      <c r="F16" s="366"/>
      <c r="G16" s="352">
        <f t="shared" si="0"/>
        <v>0</v>
      </c>
      <c r="H16" s="368"/>
      <c r="I16" s="368"/>
      <c r="J16" s="368"/>
      <c r="K16" s="368"/>
      <c r="L16" s="352">
        <f t="shared" si="1"/>
        <v>0</v>
      </c>
      <c r="M16" s="352">
        <f t="shared" si="2"/>
        <v>0</v>
      </c>
      <c r="N16" s="352">
        <f t="shared" si="3"/>
        <v>0</v>
      </c>
      <c r="O16" s="352">
        <f t="shared" si="4"/>
        <v>0</v>
      </c>
      <c r="P16" s="352">
        <f t="shared" si="5"/>
        <v>0</v>
      </c>
      <c r="Q16" s="369"/>
      <c r="R16" s="352">
        <f t="shared" si="6"/>
        <v>0</v>
      </c>
      <c r="S16" s="357"/>
      <c r="T16" s="357"/>
    </row>
    <row r="17" spans="1:20" ht="20.100000000000001" customHeight="1">
      <c r="A17" s="365" t="s">
        <v>163</v>
      </c>
      <c r="B17" s="366"/>
      <c r="C17" s="366"/>
      <c r="D17" s="367"/>
      <c r="E17" s="366"/>
      <c r="F17" s="366"/>
      <c r="G17" s="352">
        <f t="shared" si="0"/>
        <v>0</v>
      </c>
      <c r="H17" s="368"/>
      <c r="I17" s="368"/>
      <c r="J17" s="368"/>
      <c r="K17" s="368"/>
      <c r="L17" s="352">
        <f t="shared" si="1"/>
        <v>0</v>
      </c>
      <c r="M17" s="352">
        <f t="shared" si="2"/>
        <v>0</v>
      </c>
      <c r="N17" s="352">
        <f t="shared" si="3"/>
        <v>0</v>
      </c>
      <c r="O17" s="352">
        <f t="shared" si="4"/>
        <v>0</v>
      </c>
      <c r="P17" s="352">
        <f t="shared" si="5"/>
        <v>0</v>
      </c>
      <c r="Q17" s="369"/>
      <c r="R17" s="352">
        <f t="shared" si="6"/>
        <v>0</v>
      </c>
      <c r="S17" s="357"/>
      <c r="T17" s="357"/>
    </row>
    <row r="18" spans="1:20" ht="20.100000000000001" customHeight="1">
      <c r="A18" s="365" t="s">
        <v>98</v>
      </c>
      <c r="B18" s="366"/>
      <c r="C18" s="366"/>
      <c r="D18" s="367"/>
      <c r="E18" s="366"/>
      <c r="F18" s="366"/>
      <c r="G18" s="352">
        <f t="shared" si="0"/>
        <v>0</v>
      </c>
      <c r="H18" s="368"/>
      <c r="I18" s="368"/>
      <c r="J18" s="368"/>
      <c r="K18" s="368"/>
      <c r="L18" s="352">
        <f t="shared" si="1"/>
        <v>0</v>
      </c>
      <c r="M18" s="352">
        <f t="shared" si="2"/>
        <v>0</v>
      </c>
      <c r="N18" s="352">
        <f t="shared" si="3"/>
        <v>0</v>
      </c>
      <c r="O18" s="352">
        <f t="shared" si="4"/>
        <v>0</v>
      </c>
      <c r="P18" s="352">
        <f t="shared" si="5"/>
        <v>0</v>
      </c>
      <c r="Q18" s="369"/>
      <c r="R18" s="352">
        <f t="shared" si="6"/>
        <v>0</v>
      </c>
      <c r="S18" s="357"/>
      <c r="T18" s="357"/>
    </row>
    <row r="19" spans="1:20" ht="20.100000000000001" customHeight="1">
      <c r="A19" s="357"/>
      <c r="B19" s="366"/>
      <c r="C19" s="366"/>
      <c r="D19" s="367"/>
      <c r="E19" s="366"/>
      <c r="F19" s="366"/>
      <c r="G19" s="352">
        <f t="shared" si="0"/>
        <v>0</v>
      </c>
      <c r="H19" s="368"/>
      <c r="I19" s="368"/>
      <c r="J19" s="368"/>
      <c r="K19" s="368"/>
      <c r="L19" s="352">
        <f t="shared" si="1"/>
        <v>0</v>
      </c>
      <c r="M19" s="352">
        <f t="shared" si="2"/>
        <v>0</v>
      </c>
      <c r="N19" s="352">
        <f t="shared" si="3"/>
        <v>0</v>
      </c>
      <c r="O19" s="352">
        <f t="shared" si="4"/>
        <v>0</v>
      </c>
      <c r="P19" s="352">
        <f t="shared" si="5"/>
        <v>0</v>
      </c>
      <c r="Q19" s="369"/>
      <c r="R19" s="352">
        <f t="shared" si="6"/>
        <v>0</v>
      </c>
      <c r="S19" s="357"/>
      <c r="T19" s="357"/>
    </row>
    <row r="20" spans="1:20" ht="20.100000000000001" customHeight="1">
      <c r="A20" s="357"/>
      <c r="B20" s="366"/>
      <c r="C20" s="366"/>
      <c r="D20" s="367"/>
      <c r="E20" s="366"/>
      <c r="F20" s="366"/>
      <c r="G20" s="352">
        <f t="shared" si="0"/>
        <v>0</v>
      </c>
      <c r="H20" s="368"/>
      <c r="I20" s="368"/>
      <c r="J20" s="368"/>
      <c r="K20" s="368"/>
      <c r="L20" s="352">
        <f t="shared" si="1"/>
        <v>0</v>
      </c>
      <c r="M20" s="352">
        <f t="shared" si="2"/>
        <v>0</v>
      </c>
      <c r="N20" s="352">
        <f t="shared" si="3"/>
        <v>0</v>
      </c>
      <c r="O20" s="352">
        <f t="shared" si="4"/>
        <v>0</v>
      </c>
      <c r="P20" s="352">
        <f t="shared" si="5"/>
        <v>0</v>
      </c>
      <c r="Q20" s="369"/>
      <c r="R20" s="352">
        <f t="shared" si="6"/>
        <v>0</v>
      </c>
      <c r="S20" s="357"/>
      <c r="T20" s="357"/>
    </row>
    <row r="21" spans="1:20" ht="20.100000000000001" customHeight="1">
      <c r="A21" s="357"/>
      <c r="B21" s="366"/>
      <c r="C21" s="366"/>
      <c r="D21" s="367"/>
      <c r="E21" s="366"/>
      <c r="F21" s="366"/>
      <c r="G21" s="352">
        <f t="shared" si="0"/>
        <v>0</v>
      </c>
      <c r="H21" s="368"/>
      <c r="I21" s="368"/>
      <c r="J21" s="368"/>
      <c r="K21" s="368"/>
      <c r="L21" s="352">
        <f t="shared" si="1"/>
        <v>0</v>
      </c>
      <c r="M21" s="352">
        <f t="shared" si="2"/>
        <v>0</v>
      </c>
      <c r="N21" s="352">
        <f t="shared" si="3"/>
        <v>0</v>
      </c>
      <c r="O21" s="352">
        <f t="shared" si="4"/>
        <v>0</v>
      </c>
      <c r="P21" s="352">
        <f t="shared" si="5"/>
        <v>0</v>
      </c>
      <c r="Q21" s="369"/>
      <c r="R21" s="352">
        <f t="shared" si="6"/>
        <v>0</v>
      </c>
      <c r="S21" s="357"/>
      <c r="T21" s="357"/>
    </row>
    <row r="22" spans="1:20" ht="20.100000000000001" customHeight="1">
      <c r="A22" s="357"/>
      <c r="B22" s="366"/>
      <c r="C22" s="366"/>
      <c r="D22" s="367"/>
      <c r="E22" s="366"/>
      <c r="F22" s="366"/>
      <c r="G22" s="352">
        <f t="shared" si="0"/>
        <v>0</v>
      </c>
      <c r="H22" s="368"/>
      <c r="I22" s="368"/>
      <c r="J22" s="368"/>
      <c r="K22" s="368"/>
      <c r="L22" s="352">
        <f t="shared" si="1"/>
        <v>0</v>
      </c>
      <c r="M22" s="352">
        <f t="shared" si="2"/>
        <v>0</v>
      </c>
      <c r="N22" s="352">
        <f t="shared" si="3"/>
        <v>0</v>
      </c>
      <c r="O22" s="352">
        <f t="shared" si="4"/>
        <v>0</v>
      </c>
      <c r="P22" s="352">
        <f t="shared" si="5"/>
        <v>0</v>
      </c>
      <c r="Q22" s="369"/>
      <c r="R22" s="352">
        <f t="shared" si="6"/>
        <v>0</v>
      </c>
      <c r="S22" s="357"/>
      <c r="T22" s="357"/>
    </row>
    <row r="23" spans="1:20" s="1" customFormat="1" ht="20.100000000000001" customHeight="1">
      <c r="A23" s="371" t="s">
        <v>164</v>
      </c>
      <c r="B23" s="352">
        <f>SUM(B13:B22)</f>
        <v>0</v>
      </c>
      <c r="C23" s="352">
        <f>SUM(C13:C22)</f>
        <v>0</v>
      </c>
      <c r="D23" s="352"/>
      <c r="E23" s="352">
        <f t="shared" ref="E23:P23" si="7">SUM(E13:E22)</f>
        <v>0</v>
      </c>
      <c r="F23" s="352">
        <f t="shared" si="7"/>
        <v>0</v>
      </c>
      <c r="G23" s="352">
        <f t="shared" si="7"/>
        <v>0</v>
      </c>
      <c r="H23" s="352">
        <f t="shared" si="7"/>
        <v>0</v>
      </c>
      <c r="I23" s="352">
        <f t="shared" si="7"/>
        <v>0</v>
      </c>
      <c r="J23" s="352">
        <f t="shared" si="7"/>
        <v>0</v>
      </c>
      <c r="K23" s="352">
        <f t="shared" si="7"/>
        <v>0</v>
      </c>
      <c r="L23" s="352">
        <f t="shared" si="7"/>
        <v>0</v>
      </c>
      <c r="M23" s="352">
        <f t="shared" si="7"/>
        <v>0</v>
      </c>
      <c r="N23" s="352">
        <f t="shared" si="7"/>
        <v>0</v>
      </c>
      <c r="O23" s="352">
        <f t="shared" si="7"/>
        <v>0</v>
      </c>
      <c r="P23" s="352">
        <f t="shared" si="7"/>
        <v>0</v>
      </c>
      <c r="Q23" s="369"/>
      <c r="R23" s="352">
        <f t="shared" si="6"/>
        <v>0</v>
      </c>
      <c r="S23" s="370"/>
      <c r="T23" s="370"/>
    </row>
    <row r="24" spans="1:20" s="1" customFormat="1" ht="20.100000000000001" customHeight="1">
      <c r="A24" s="24" t="s">
        <v>165</v>
      </c>
    </row>
    <row r="25" spans="1:20" ht="20.100000000000001" customHeight="1">
      <c r="A25" s="3"/>
    </row>
    <row r="26" spans="1:20" ht="20.100000000000001" customHeight="1">
      <c r="A26" s="3"/>
    </row>
    <row r="27" spans="1:20" ht="20.100000000000001" customHeight="1">
      <c r="A27" s="24" t="s">
        <v>166</v>
      </c>
    </row>
    <row r="28" spans="1:20" ht="20.100000000000001" customHeight="1"/>
    <row r="29" spans="1:20" ht="20.100000000000001" customHeight="1"/>
    <row r="30" spans="1:20" ht="20.100000000000001" customHeight="1"/>
    <row r="32" spans="1:20" ht="18" customHeight="1">
      <c r="A32" s="39" t="s">
        <v>167</v>
      </c>
    </row>
    <row r="33" spans="1:1" ht="18" customHeight="1">
      <c r="A33" s="39" t="s">
        <v>168</v>
      </c>
    </row>
    <row r="34" spans="1:1" ht="18" customHeight="1">
      <c r="A34" s="39" t="s">
        <v>169</v>
      </c>
    </row>
    <row r="35" spans="1:1" ht="18" customHeight="1">
      <c r="A35" s="39" t="s">
        <v>170</v>
      </c>
    </row>
    <row r="36" spans="1:1" ht="18" customHeight="1">
      <c r="A36" s="39" t="s">
        <v>171</v>
      </c>
    </row>
    <row r="37" spans="1:1" ht="18" customHeight="1">
      <c r="A37" s="39" t="s">
        <v>172</v>
      </c>
    </row>
    <row r="38" spans="1:1" ht="18" customHeight="1">
      <c r="A38" s="39" t="s">
        <v>173</v>
      </c>
    </row>
    <row r="40" spans="1:1" ht="18" customHeight="1">
      <c r="A40" s="39"/>
    </row>
    <row r="41" spans="1:1" ht="18" customHeight="1">
      <c r="A41" s="39"/>
    </row>
    <row r="42" spans="1:1" ht="18" customHeight="1">
      <c r="A42" s="39"/>
    </row>
    <row r="43" spans="1:1" ht="18" customHeight="1">
      <c r="A43" s="39"/>
    </row>
    <row r="44" spans="1:1" ht="18" customHeight="1">
      <c r="A44" s="39"/>
    </row>
    <row r="45" spans="1:1" ht="18" customHeight="1">
      <c r="A45" s="39"/>
    </row>
    <row r="46" spans="1:1" ht="18" customHeight="1">
      <c r="A46" s="39"/>
    </row>
    <row r="47" spans="1:1" ht="18" customHeight="1">
      <c r="A47" s="39"/>
    </row>
    <row r="48" spans="1:1" ht="18" customHeight="1">
      <c r="A48" s="39"/>
    </row>
    <row r="49" spans="1:1" ht="18" customHeight="1">
      <c r="A49" s="39"/>
    </row>
    <row r="50" spans="1:1" ht="18" customHeight="1">
      <c r="A50" s="39"/>
    </row>
    <row r="51" spans="1:1" ht="18" customHeight="1">
      <c r="A51" s="39"/>
    </row>
  </sheetData>
  <mergeCells count="21">
    <mergeCell ref="P11:P12"/>
    <mergeCell ref="Q10:Q12"/>
    <mergeCell ref="R10:R12"/>
    <mergeCell ref="S10:S12"/>
    <mergeCell ref="T10:T12"/>
    <mergeCell ref="C11:D11"/>
    <mergeCell ref="E11:F11"/>
    <mergeCell ref="J11:K11"/>
    <mergeCell ref="N11:O11"/>
    <mergeCell ref="A10:A12"/>
    <mergeCell ref="B11:B12"/>
    <mergeCell ref="G11:G12"/>
    <mergeCell ref="H11:H12"/>
    <mergeCell ref="I11:I12"/>
    <mergeCell ref="L11:L12"/>
    <mergeCell ref="M11:M12"/>
    <mergeCell ref="A1:T1"/>
    <mergeCell ref="A2:T2"/>
    <mergeCell ref="B10:G10"/>
    <mergeCell ref="I10:K10"/>
    <mergeCell ref="L10:P10"/>
  </mergeCells>
  <phoneticPr fontId="116" type="noConversion"/>
  <dataValidations count="1">
    <dataValidation type="list" allowBlank="1" showInputMessage="1" showErrorMessage="1" prompt="如要修改下列框的选项，单击“数据-数据有效性-设置-序列-来源”。" sqref="D13:D22">
      <formula1>"内部开发支出,其他增加"</formula1>
    </dataValidation>
  </dataValidations>
  <hyperlinks>
    <hyperlink ref="T3" location="底稿目录!D8" display="I2-2"/>
  </hyperlinks>
  <printOptions horizontalCentered="1"/>
  <pageMargins left="0.59055118110236204" right="0.59055118110236204" top="0.78740157480314998" bottom="0.39370078740157499" header="0.511811023622047" footer="0.31496062992126"/>
  <pageSetup paperSize="9" scale="72" fitToHeight="4" orientation="landscape"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5"/>
  <sheetViews>
    <sheetView view="pageBreakPreview" zoomScaleNormal="100" workbookViewId="0">
      <selection sqref="A1:J1"/>
    </sheetView>
  </sheetViews>
  <sheetFormatPr defaultColWidth="8.88671875" defaultRowHeight="19.95" customHeight="1"/>
  <cols>
    <col min="1" max="1" width="23" style="92" customWidth="1"/>
    <col min="2" max="2" width="23.44140625" style="92" customWidth="1"/>
    <col min="3" max="3" width="8.88671875" style="92" customWidth="1"/>
    <col min="4" max="16384" width="8.88671875" style="92"/>
  </cols>
  <sheetData>
    <row r="1" spans="1:10" ht="19.95" customHeight="1">
      <c r="A1" s="465" t="s">
        <v>57</v>
      </c>
      <c r="B1" s="465"/>
      <c r="C1" s="465"/>
      <c r="D1" s="465"/>
      <c r="E1" s="465"/>
      <c r="F1" s="465"/>
      <c r="G1" s="465"/>
      <c r="H1" s="465"/>
      <c r="I1" s="465"/>
      <c r="J1" s="465"/>
    </row>
    <row r="2" spans="1:10" ht="19.95" customHeight="1">
      <c r="A2" s="466" t="s">
        <v>174</v>
      </c>
      <c r="B2" s="466"/>
      <c r="C2" s="466"/>
      <c r="D2" s="466"/>
      <c r="E2" s="466"/>
      <c r="F2" s="466"/>
      <c r="G2" s="466"/>
      <c r="H2" s="466"/>
      <c r="I2" s="466"/>
      <c r="J2" s="466"/>
    </row>
    <row r="3" spans="1:10" s="327" customFormat="1" ht="19.95" customHeight="1">
      <c r="A3" s="93" t="str">
        <f>底稿目录!A2</f>
        <v>被审计单位：</v>
      </c>
      <c r="B3" s="93"/>
      <c r="C3" s="93" t="str">
        <f>底稿目录!A4</f>
        <v>编制人：</v>
      </c>
      <c r="E3" s="93"/>
      <c r="F3" s="83" t="str">
        <f>底稿目录!A5</f>
        <v>编制日期：</v>
      </c>
      <c r="H3" s="328"/>
      <c r="I3" s="83" t="s">
        <v>185</v>
      </c>
      <c r="J3" s="419" t="str">
        <f>底稿目录!D9</f>
        <v>I2-3</v>
      </c>
    </row>
    <row r="4" spans="1:10" s="327" customFormat="1" ht="19.95" customHeight="1">
      <c r="A4" s="93" t="str">
        <f>底稿目录!A3</f>
        <v>截止日：202X年12月31日</v>
      </c>
      <c r="B4" s="93"/>
      <c r="C4" s="93" t="str">
        <f>底稿目录!A6</f>
        <v>复核人：</v>
      </c>
      <c r="E4" s="93"/>
      <c r="F4" s="83" t="str">
        <f>底稿目录!A7</f>
        <v>复核日期：</v>
      </c>
      <c r="H4" s="328"/>
      <c r="I4" s="83" t="s">
        <v>84</v>
      </c>
      <c r="J4" s="329"/>
    </row>
    <row r="5" spans="1:10" s="91" customFormat="1" ht="24">
      <c r="A5" s="94" t="s">
        <v>175</v>
      </c>
      <c r="B5" s="94" t="s">
        <v>176</v>
      </c>
      <c r="C5" s="95" t="s">
        <v>177</v>
      </c>
      <c r="D5" s="96" t="s">
        <v>178</v>
      </c>
      <c r="E5" s="96" t="s">
        <v>179</v>
      </c>
      <c r="F5" s="97" t="s">
        <v>98</v>
      </c>
      <c r="G5" s="96" t="s">
        <v>180</v>
      </c>
      <c r="H5" s="96" t="s">
        <v>181</v>
      </c>
      <c r="I5" s="96" t="s">
        <v>182</v>
      </c>
      <c r="J5" s="96" t="s">
        <v>183</v>
      </c>
    </row>
    <row r="6" spans="1:10" ht="19.95" customHeight="1">
      <c r="A6" s="98"/>
      <c r="B6" s="98"/>
      <c r="C6" s="98"/>
      <c r="D6" s="98"/>
      <c r="E6" s="98"/>
      <c r="F6" s="98"/>
      <c r="G6" s="98"/>
      <c r="H6" s="98"/>
      <c r="I6" s="98"/>
      <c r="J6" s="98"/>
    </row>
    <row r="7" spans="1:10" ht="19.95" customHeight="1">
      <c r="A7" s="99"/>
      <c r="B7" s="98"/>
      <c r="C7" s="98"/>
      <c r="D7" s="98"/>
      <c r="E7" s="98"/>
      <c r="F7" s="98"/>
      <c r="G7" s="98"/>
      <c r="H7" s="98"/>
      <c r="I7" s="98"/>
      <c r="J7" s="98"/>
    </row>
    <row r="8" spans="1:10" ht="19.95" customHeight="1">
      <c r="A8" s="100"/>
      <c r="B8" s="98"/>
      <c r="C8" s="98"/>
      <c r="D8" s="98"/>
      <c r="E8" s="98"/>
      <c r="F8" s="98"/>
      <c r="G8" s="98"/>
      <c r="H8" s="98"/>
      <c r="I8" s="98"/>
      <c r="J8" s="98"/>
    </row>
    <row r="9" spans="1:10" ht="19.95" customHeight="1">
      <c r="A9" s="100"/>
      <c r="B9" s="98"/>
      <c r="C9" s="98"/>
      <c r="D9" s="98"/>
      <c r="E9" s="98"/>
      <c r="F9" s="98"/>
      <c r="G9" s="98"/>
      <c r="H9" s="98"/>
      <c r="I9" s="98"/>
      <c r="J9" s="98"/>
    </row>
    <row r="10" spans="1:10" ht="19.95" customHeight="1">
      <c r="A10" s="100"/>
      <c r="B10" s="98"/>
      <c r="C10" s="98"/>
      <c r="D10" s="98"/>
      <c r="E10" s="98"/>
      <c r="F10" s="98"/>
      <c r="G10" s="98"/>
      <c r="H10" s="98"/>
      <c r="I10" s="98"/>
      <c r="J10" s="98"/>
    </row>
    <row r="11" spans="1:10" ht="19.95" customHeight="1">
      <c r="A11" s="101"/>
      <c r="B11" s="98"/>
      <c r="C11" s="98"/>
      <c r="D11" s="98"/>
      <c r="E11" s="98"/>
      <c r="F11" s="98"/>
      <c r="G11" s="98"/>
      <c r="H11" s="98"/>
      <c r="I11" s="98"/>
      <c r="J11" s="98"/>
    </row>
    <row r="12" spans="1:10" ht="19.95" customHeight="1">
      <c r="A12" s="100"/>
      <c r="B12" s="98"/>
      <c r="C12" s="98"/>
      <c r="D12" s="98"/>
      <c r="E12" s="98"/>
      <c r="F12" s="98"/>
      <c r="G12" s="98"/>
      <c r="H12" s="98"/>
      <c r="I12" s="98"/>
      <c r="J12" s="98"/>
    </row>
    <row r="13" spans="1:10" ht="19.95" customHeight="1">
      <c r="A13" s="100"/>
      <c r="B13" s="98"/>
      <c r="C13" s="98"/>
      <c r="D13" s="98"/>
      <c r="E13" s="98"/>
      <c r="F13" s="98"/>
      <c r="G13" s="98"/>
      <c r="H13" s="98"/>
      <c r="I13" s="98"/>
      <c r="J13" s="98"/>
    </row>
    <row r="14" spans="1:10" ht="19.95" customHeight="1">
      <c r="A14" s="100"/>
      <c r="B14" s="98"/>
      <c r="C14" s="98"/>
      <c r="D14" s="98"/>
      <c r="E14" s="98"/>
      <c r="F14" s="98"/>
      <c r="G14" s="98"/>
      <c r="H14" s="98"/>
      <c r="I14" s="98"/>
      <c r="J14" s="98"/>
    </row>
    <row r="15" spans="1:10" ht="19.95" customHeight="1">
      <c r="A15" s="100"/>
      <c r="B15" s="98"/>
      <c r="C15" s="98"/>
      <c r="D15" s="98"/>
      <c r="E15" s="98"/>
      <c r="F15" s="98"/>
      <c r="G15" s="98"/>
      <c r="H15" s="98"/>
      <c r="I15" s="98"/>
      <c r="J15" s="98"/>
    </row>
    <row r="16" spans="1:10" ht="19.95" customHeight="1">
      <c r="A16" s="100"/>
      <c r="B16" s="98"/>
      <c r="C16" s="98"/>
      <c r="D16" s="98"/>
      <c r="E16" s="98"/>
      <c r="F16" s="98"/>
      <c r="G16" s="98"/>
      <c r="H16" s="98"/>
      <c r="I16" s="98"/>
      <c r="J16" s="98"/>
    </row>
    <row r="17" spans="1:10" ht="19.95" customHeight="1">
      <c r="A17" s="100"/>
      <c r="B17" s="98"/>
      <c r="C17" s="98"/>
      <c r="D17" s="98"/>
      <c r="E17" s="98"/>
      <c r="F17" s="98"/>
      <c r="G17" s="98"/>
      <c r="H17" s="98"/>
      <c r="I17" s="98"/>
      <c r="J17" s="98"/>
    </row>
    <row r="18" spans="1:10" ht="19.95" customHeight="1">
      <c r="A18" s="100"/>
      <c r="B18" s="98"/>
      <c r="C18" s="98"/>
      <c r="D18" s="98"/>
      <c r="E18" s="98"/>
      <c r="F18" s="98"/>
      <c r="G18" s="98"/>
      <c r="H18" s="98"/>
      <c r="I18" s="98"/>
      <c r="J18" s="98"/>
    </row>
    <row r="19" spans="1:10" ht="19.95" customHeight="1">
      <c r="A19" s="100"/>
      <c r="B19" s="98"/>
      <c r="C19" s="98"/>
      <c r="D19" s="98"/>
      <c r="E19" s="98"/>
      <c r="F19" s="98"/>
      <c r="G19" s="98"/>
      <c r="H19" s="98"/>
      <c r="I19" s="98"/>
      <c r="J19" s="98"/>
    </row>
    <row r="20" spans="1:10" ht="19.95" customHeight="1">
      <c r="A20" s="100"/>
      <c r="B20" s="98"/>
      <c r="C20" s="98"/>
      <c r="D20" s="98"/>
      <c r="E20" s="98"/>
      <c r="F20" s="98"/>
      <c r="G20" s="98"/>
      <c r="H20" s="98"/>
      <c r="I20" s="98"/>
      <c r="J20" s="98"/>
    </row>
    <row r="21" spans="1:10" ht="19.95" customHeight="1">
      <c r="A21" s="102"/>
      <c r="B21" s="102"/>
      <c r="C21" s="102"/>
      <c r="D21" s="103"/>
      <c r="E21" s="103"/>
      <c r="F21" s="103"/>
      <c r="G21" s="104"/>
      <c r="H21" s="104"/>
      <c r="I21" s="103"/>
      <c r="J21" s="109"/>
    </row>
    <row r="22" spans="1:10" ht="19.95" customHeight="1">
      <c r="A22" s="105"/>
      <c r="B22" s="105"/>
      <c r="C22" s="105"/>
      <c r="D22" s="105"/>
      <c r="E22" s="106"/>
      <c r="F22" s="107"/>
      <c r="G22" s="108"/>
      <c r="H22" s="108"/>
      <c r="I22" s="108"/>
      <c r="J22" s="108"/>
    </row>
    <row r="25" spans="1:10" ht="15.6">
      <c r="A25" s="467" t="s">
        <v>184</v>
      </c>
      <c r="B25" s="468"/>
      <c r="C25" s="468"/>
      <c r="D25" s="468"/>
      <c r="E25" s="468"/>
      <c r="F25" s="468"/>
      <c r="G25" s="468"/>
      <c r="H25" s="468"/>
      <c r="I25" s="468"/>
      <c r="J25" s="468"/>
    </row>
  </sheetData>
  <mergeCells count="3">
    <mergeCell ref="A1:J1"/>
    <mergeCell ref="A2:J2"/>
    <mergeCell ref="A25:J25"/>
  </mergeCells>
  <phoneticPr fontId="116" type="noConversion"/>
  <dataValidations count="1">
    <dataValidation type="list" allowBlank="1" showInputMessage="1" showErrorMessage="1" sqref="B6:B20">
      <formula1>"账项调整,报表调整,其他"</formula1>
    </dataValidation>
  </dataValidations>
  <hyperlinks>
    <hyperlink ref="J3" location="底稿目录!D9" display="I2-3"/>
  </hyperlinks>
  <pageMargins left="0.70866141732283472" right="0.70866141732283472" top="0.74803149606299213" bottom="0.74803149606299213" header="0.31496062992125984" footer="0.31496062992125984"/>
  <pageSetup paperSize="9" scale="75" orientation="portrait" blackAndWhite="1"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37"/>
  <sheetViews>
    <sheetView view="pageBreakPreview" zoomScaleNormal="100" zoomScaleSheetLayoutView="100" workbookViewId="0">
      <selection sqref="A1:L1"/>
    </sheetView>
  </sheetViews>
  <sheetFormatPr defaultColWidth="8.77734375" defaultRowHeight="14.4"/>
  <cols>
    <col min="1" max="1" width="24.21875" style="213" customWidth="1"/>
    <col min="2" max="16384" width="8.77734375" style="213"/>
  </cols>
  <sheetData>
    <row r="1" spans="1:12" ht="19.95" customHeight="1">
      <c r="A1" s="469" t="s">
        <v>57</v>
      </c>
      <c r="B1" s="469"/>
      <c r="C1" s="469"/>
      <c r="D1" s="469"/>
      <c r="E1" s="469"/>
      <c r="F1" s="469"/>
      <c r="G1" s="469"/>
      <c r="H1" s="469"/>
      <c r="I1" s="469"/>
      <c r="J1" s="469"/>
      <c r="K1" s="469"/>
      <c r="L1" s="469"/>
    </row>
    <row r="2" spans="1:12" ht="19.95" customHeight="1">
      <c r="A2" s="470" t="s">
        <v>385</v>
      </c>
      <c r="B2" s="470"/>
      <c r="C2" s="470"/>
      <c r="D2" s="470"/>
      <c r="E2" s="470"/>
      <c r="F2" s="470"/>
      <c r="G2" s="470"/>
      <c r="H2" s="470"/>
      <c r="I2" s="470"/>
      <c r="J2" s="470"/>
      <c r="K2" s="470"/>
      <c r="L2" s="470"/>
    </row>
    <row r="3" spans="1:12" s="278" customFormat="1" ht="19.95" customHeight="1">
      <c r="A3" s="93" t="str">
        <f>底稿目录!A2</f>
        <v>被审计单位：</v>
      </c>
      <c r="B3" s="312" t="str">
        <f>底稿目录!$A$4</f>
        <v>编制人：</v>
      </c>
      <c r="C3" s="312"/>
      <c r="D3" s="312"/>
      <c r="F3" s="312"/>
      <c r="G3" s="313" t="str">
        <f>底稿目录!$A$5</f>
        <v>编制日期：</v>
      </c>
      <c r="H3" s="312"/>
      <c r="I3" s="312"/>
      <c r="J3" s="313" t="s">
        <v>185</v>
      </c>
      <c r="K3" s="419" t="str">
        <f>底稿目录!D10</f>
        <v>I2-4</v>
      </c>
    </row>
    <row r="4" spans="1:12" s="278" customFormat="1" ht="19.95" customHeight="1">
      <c r="A4" s="93" t="str">
        <f>底稿目录!A3</f>
        <v>截止日：202X年12月31日</v>
      </c>
      <c r="B4" s="312" t="str">
        <f>底稿目录!$A$6</f>
        <v>复核人：</v>
      </c>
      <c r="C4" s="312"/>
      <c r="D4" s="312"/>
      <c r="F4" s="312"/>
      <c r="G4" s="313" t="str">
        <f>底稿目录!$A$7</f>
        <v>复核日期：</v>
      </c>
      <c r="H4" s="312"/>
      <c r="I4" s="312"/>
      <c r="J4" s="313" t="s">
        <v>84</v>
      </c>
      <c r="K4" s="326"/>
    </row>
    <row r="5" spans="1:12" s="216" customFormat="1" ht="19.95" customHeight="1">
      <c r="A5" s="216" t="s">
        <v>386</v>
      </c>
    </row>
    <row r="6" spans="1:12" s="216" customFormat="1" ht="19.95" customHeight="1">
      <c r="A6" s="216" t="s">
        <v>387</v>
      </c>
    </row>
    <row r="7" spans="1:12" s="216" customFormat="1" ht="19.95" customHeight="1">
      <c r="A7" s="216" t="s">
        <v>388</v>
      </c>
    </row>
    <row r="8" spans="1:12" s="216" customFormat="1" ht="19.95" customHeight="1">
      <c r="A8" s="216" t="s">
        <v>389</v>
      </c>
    </row>
    <row r="9" spans="1:12" s="216" customFormat="1" ht="19.95" customHeight="1">
      <c r="A9" s="216" t="s">
        <v>390</v>
      </c>
    </row>
    <row r="10" spans="1:12" s="216" customFormat="1" ht="19.95" customHeight="1">
      <c r="A10" s="216" t="s">
        <v>391</v>
      </c>
    </row>
    <row r="11" spans="1:12" s="216" customFormat="1" ht="19.95" customHeight="1">
      <c r="A11" s="217" t="s">
        <v>392</v>
      </c>
    </row>
    <row r="12" spans="1:12" s="216" customFormat="1" ht="19.95" customHeight="1">
      <c r="A12" s="217" t="s">
        <v>393</v>
      </c>
    </row>
    <row r="13" spans="1:12" s="216" customFormat="1" ht="19.95" customHeight="1">
      <c r="A13" s="217" t="s">
        <v>394</v>
      </c>
    </row>
    <row r="14" spans="1:12" s="216" customFormat="1" ht="19.95" customHeight="1">
      <c r="A14" s="217" t="s">
        <v>395</v>
      </c>
    </row>
    <row r="15" spans="1:12" s="216" customFormat="1" ht="19.95" customHeight="1">
      <c r="A15" s="217" t="s">
        <v>396</v>
      </c>
    </row>
    <row r="16" spans="1:12" s="216" customFormat="1" ht="19.95" customHeight="1">
      <c r="A16" s="217" t="s">
        <v>397</v>
      </c>
    </row>
    <row r="17" spans="1:2" s="216" customFormat="1" ht="19.95" customHeight="1">
      <c r="A17" s="217" t="s">
        <v>398</v>
      </c>
    </row>
    <row r="18" spans="1:2" s="216" customFormat="1" ht="19.95" customHeight="1">
      <c r="A18" s="216" t="s">
        <v>399</v>
      </c>
    </row>
    <row r="19" spans="1:2" s="216" customFormat="1" ht="19.95" customHeight="1">
      <c r="A19" s="216" t="s">
        <v>400</v>
      </c>
    </row>
    <row r="20" spans="1:2" s="216" customFormat="1" ht="19.95" customHeight="1">
      <c r="B20" s="419"/>
    </row>
    <row r="21" spans="1:2" s="216" customFormat="1" ht="19.95" customHeight="1"/>
    <row r="22" spans="1:2" s="216" customFormat="1" ht="19.95" customHeight="1"/>
    <row r="23" spans="1:2" s="216" customFormat="1" ht="19.95" customHeight="1">
      <c r="A23" s="216" t="s">
        <v>401</v>
      </c>
    </row>
    <row r="24" spans="1:2" s="216" customFormat="1" ht="19.95" customHeight="1"/>
    <row r="25" spans="1:2" s="216" customFormat="1" ht="19.95" customHeight="1"/>
    <row r="26" spans="1:2" s="216" customFormat="1" ht="19.95" customHeight="1"/>
    <row r="27" spans="1:2" s="216" customFormat="1" ht="19.95" customHeight="1">
      <c r="A27" s="216" t="s">
        <v>402</v>
      </c>
    </row>
    <row r="28" spans="1:2" s="216" customFormat="1" ht="19.95" customHeight="1">
      <c r="A28" s="217" t="s">
        <v>403</v>
      </c>
    </row>
    <row r="29" spans="1:2" s="216" customFormat="1" ht="19.95" customHeight="1">
      <c r="A29" s="217" t="s">
        <v>404</v>
      </c>
    </row>
    <row r="30" spans="1:2" s="216" customFormat="1" ht="19.95" customHeight="1"/>
    <row r="31" spans="1:2" s="216" customFormat="1" ht="19.95" customHeight="1">
      <c r="A31" s="216" t="s">
        <v>405</v>
      </c>
    </row>
    <row r="32" spans="1:2" s="216" customFormat="1" ht="19.95" customHeight="1"/>
    <row r="33" spans="1:1" s="216" customFormat="1" ht="19.95" customHeight="1"/>
    <row r="34" spans="1:1" s="216" customFormat="1" ht="19.95" customHeight="1"/>
    <row r="35" spans="1:1" s="216" customFormat="1" ht="19.95" customHeight="1">
      <c r="A35" s="216" t="s">
        <v>406</v>
      </c>
    </row>
    <row r="36" spans="1:1" s="216" customFormat="1" ht="19.95" customHeight="1">
      <c r="A36" s="217" t="s">
        <v>407</v>
      </c>
    </row>
    <row r="37" spans="1:1" s="216" customFormat="1" ht="19.95" customHeight="1">
      <c r="A37" s="217" t="s">
        <v>408</v>
      </c>
    </row>
  </sheetData>
  <mergeCells count="2">
    <mergeCell ref="A1:L1"/>
    <mergeCell ref="A2:L2"/>
  </mergeCells>
  <phoneticPr fontId="116" type="noConversion"/>
  <hyperlinks>
    <hyperlink ref="K3" location="底稿目录!A1" display="I7-1"/>
  </hyperlinks>
  <pageMargins left="0.70866141732283472" right="0.70866141732283472" top="0.74803149606299213" bottom="0.74803149606299213" header="0.31496062992125984" footer="0.31496062992125984"/>
  <pageSetup paperSize="9" scale="70" orientation="portrait"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61"/>
  <sheetViews>
    <sheetView view="pageBreakPreview" zoomScaleNormal="100" workbookViewId="0">
      <selection activeCell="N13" sqref="N13"/>
    </sheetView>
  </sheetViews>
  <sheetFormatPr defaultColWidth="8.77734375" defaultRowHeight="15.6"/>
  <cols>
    <col min="1" max="11" width="11.6640625" style="594" customWidth="1"/>
    <col min="12" max="16384" width="8.77734375" style="594"/>
  </cols>
  <sheetData>
    <row r="1" spans="1:16" s="273" customFormat="1" ht="19.95" customHeight="1">
      <c r="A1" s="493" t="s">
        <v>57</v>
      </c>
      <c r="B1" s="493"/>
      <c r="C1" s="493"/>
      <c r="D1" s="493"/>
      <c r="E1" s="493"/>
      <c r="F1" s="493"/>
      <c r="G1" s="493"/>
      <c r="H1" s="493"/>
      <c r="I1" s="493"/>
      <c r="J1" s="493"/>
    </row>
    <row r="2" spans="1:16" s="273" customFormat="1" ht="19.95" customHeight="1">
      <c r="A2" s="494" t="s">
        <v>647</v>
      </c>
      <c r="B2" s="494"/>
      <c r="C2" s="494"/>
      <c r="D2" s="494"/>
      <c r="E2" s="494"/>
      <c r="F2" s="494"/>
      <c r="G2" s="494"/>
      <c r="H2" s="494"/>
      <c r="I2" s="494"/>
      <c r="J2" s="494"/>
    </row>
    <row r="3" spans="1:16" s="226" customFormat="1" ht="19.95" customHeight="1">
      <c r="A3" s="47" t="str">
        <f>底稿目录!A2</f>
        <v>被审计单位：</v>
      </c>
      <c r="B3" s="47"/>
      <c r="C3" s="47" t="str">
        <f>底稿目录!A4</f>
        <v>编制人：</v>
      </c>
      <c r="D3" s="47"/>
      <c r="E3" s="47"/>
      <c r="F3" s="47" t="str">
        <f>底稿目录!A5</f>
        <v>编制日期：</v>
      </c>
      <c r="G3" s="47"/>
      <c r="H3" s="151"/>
      <c r="J3" s="538" t="s">
        <v>25</v>
      </c>
      <c r="K3" s="539" t="str">
        <f>底稿目录!D11</f>
        <v>I2-5</v>
      </c>
    </row>
    <row r="4" spans="1:16" s="226" customFormat="1" ht="19.95" customHeight="1">
      <c r="A4" s="47" t="str">
        <f>底稿目录!A3</f>
        <v>截止日：202X年12月31日</v>
      </c>
      <c r="B4" s="47"/>
      <c r="C4" s="47" t="str">
        <f>底稿目录!A6</f>
        <v>复核人：</v>
      </c>
      <c r="D4" s="47"/>
      <c r="E4" s="47"/>
      <c r="F4" s="47" t="str">
        <f>底稿目录!A7</f>
        <v>复核日期：</v>
      </c>
      <c r="G4" s="47"/>
      <c r="H4" s="540"/>
      <c r="J4" s="541" t="s">
        <v>26</v>
      </c>
      <c r="K4" s="542"/>
    </row>
    <row r="5" spans="1:16" s="226" customFormat="1" ht="19.95" customHeight="1">
      <c r="A5" s="263" t="s">
        <v>145</v>
      </c>
      <c r="B5" s="264"/>
      <c r="H5" s="227"/>
      <c r="I5" s="227"/>
      <c r="M5" s="274"/>
      <c r="P5" s="275"/>
    </row>
    <row r="6" spans="1:16" s="226" customFormat="1" ht="19.95" customHeight="1">
      <c r="A6" s="225" t="s">
        <v>508</v>
      </c>
      <c r="F6" s="226" t="s">
        <v>509</v>
      </c>
      <c r="H6" s="227"/>
      <c r="I6" s="227"/>
      <c r="M6" s="274"/>
      <c r="P6" s="275"/>
    </row>
    <row r="7" spans="1:16" s="226" customFormat="1" ht="19.95" customHeight="1">
      <c r="A7" s="276" t="s">
        <v>147</v>
      </c>
      <c r="H7" s="225"/>
      <c r="I7" s="225"/>
      <c r="M7" s="274"/>
      <c r="P7" s="275"/>
    </row>
    <row r="8" spans="1:16" s="226" customFormat="1" ht="19.95" customHeight="1">
      <c r="A8" s="543" t="s">
        <v>648</v>
      </c>
    </row>
    <row r="9" spans="1:16" s="546" customFormat="1" ht="36">
      <c r="A9" s="544" t="s">
        <v>649</v>
      </c>
      <c r="B9" s="544" t="s">
        <v>650</v>
      </c>
      <c r="C9" s="544" t="s">
        <v>651</v>
      </c>
      <c r="D9" s="545" t="s">
        <v>652</v>
      </c>
      <c r="E9" s="544" t="s">
        <v>653</v>
      </c>
      <c r="F9" s="544" t="s">
        <v>651</v>
      </c>
      <c r="G9" s="545" t="s">
        <v>652</v>
      </c>
      <c r="H9" s="544" t="s">
        <v>654</v>
      </c>
      <c r="I9" s="544" t="s">
        <v>655</v>
      </c>
      <c r="J9" s="544" t="s">
        <v>656</v>
      </c>
    </row>
    <row r="10" spans="1:16" s="226" customFormat="1" ht="19.95" customHeight="1">
      <c r="A10" s="279" t="str">
        <f>'[1]明细表I6-2'!A9</f>
        <v>人工费</v>
      </c>
      <c r="B10" s="240">
        <f>'[1]明细表I6-2'!Q9</f>
        <v>0</v>
      </c>
      <c r="C10" s="547">
        <f t="shared" ref="C10:C17" si="0">IF(B10=0,0,B10/$B$17)</f>
        <v>0</v>
      </c>
      <c r="D10" s="547">
        <f t="shared" ref="D10:D17" si="1">IF(B10=0,0,B10/$B$18)</f>
        <v>0</v>
      </c>
      <c r="E10" s="240">
        <v>6</v>
      </c>
      <c r="F10" s="547">
        <f t="shared" ref="F10:F17" si="2">IF(E10=0,0,E10/$E$17)</f>
        <v>1</v>
      </c>
      <c r="G10" s="547" t="e">
        <f t="shared" ref="G10:G17" si="3">IF(E10=0,0,E10/$E$18)</f>
        <v>#DIV/0!</v>
      </c>
      <c r="H10" s="547">
        <f t="shared" ref="H10:H18" si="4">IF(AND(E10=0,B10&gt;0),1,IF(AND(E10=0,B10=0),0,(B10-E10)/E10))</f>
        <v>-1</v>
      </c>
      <c r="I10" s="547" t="e">
        <f t="shared" ref="I10:I17" si="5">D10-G10</f>
        <v>#DIV/0!</v>
      </c>
      <c r="J10" s="282"/>
    </row>
    <row r="11" spans="1:16" s="226" customFormat="1" ht="19.95" customHeight="1">
      <c r="A11" s="279" t="str">
        <f>'[1]明细表I6-2'!A10</f>
        <v>材料费</v>
      </c>
      <c r="B11" s="240">
        <f>'[1]明细表I6-2'!Q10</f>
        <v>0</v>
      </c>
      <c r="C11" s="547">
        <f t="shared" si="0"/>
        <v>0</v>
      </c>
      <c r="D11" s="547">
        <f t="shared" si="1"/>
        <v>0</v>
      </c>
      <c r="E11" s="240">
        <v>0</v>
      </c>
      <c r="F11" s="547">
        <f t="shared" si="2"/>
        <v>0</v>
      </c>
      <c r="G11" s="547">
        <f t="shared" si="3"/>
        <v>0</v>
      </c>
      <c r="H11" s="547">
        <f t="shared" si="4"/>
        <v>0</v>
      </c>
      <c r="I11" s="547">
        <f t="shared" si="5"/>
        <v>0</v>
      </c>
      <c r="J11" s="282"/>
    </row>
    <row r="12" spans="1:16" s="226" customFormat="1" ht="19.95" customHeight="1">
      <c r="A12" s="279" t="str">
        <f>'[1]明细表I6-2'!A11</f>
        <v>制造费用分摊</v>
      </c>
      <c r="B12" s="240">
        <f>'[1]明细表I6-2'!Q11</f>
        <v>0</v>
      </c>
      <c r="C12" s="547">
        <f t="shared" si="0"/>
        <v>0</v>
      </c>
      <c r="D12" s="547">
        <f t="shared" si="1"/>
        <v>0</v>
      </c>
      <c r="E12" s="240">
        <v>0</v>
      </c>
      <c r="F12" s="547">
        <f t="shared" si="2"/>
        <v>0</v>
      </c>
      <c r="G12" s="547">
        <f t="shared" si="3"/>
        <v>0</v>
      </c>
      <c r="H12" s="547">
        <f t="shared" si="4"/>
        <v>0</v>
      </c>
      <c r="I12" s="547">
        <f t="shared" si="5"/>
        <v>0</v>
      </c>
      <c r="J12" s="282"/>
    </row>
    <row r="13" spans="1:16" s="226" customFormat="1" ht="19.95" customHeight="1">
      <c r="A13" s="279" t="str">
        <f>'[1]明细表I6-2'!A12</f>
        <v>无形资产摊销</v>
      </c>
      <c r="B13" s="240">
        <f>'[1]明细表I6-2'!Q12</f>
        <v>0</v>
      </c>
      <c r="C13" s="547">
        <f t="shared" si="0"/>
        <v>0</v>
      </c>
      <c r="D13" s="547">
        <f t="shared" si="1"/>
        <v>0</v>
      </c>
      <c r="E13" s="240">
        <v>0</v>
      </c>
      <c r="F13" s="547">
        <f t="shared" si="2"/>
        <v>0</v>
      </c>
      <c r="G13" s="547">
        <f t="shared" si="3"/>
        <v>0</v>
      </c>
      <c r="H13" s="547">
        <f t="shared" si="4"/>
        <v>0</v>
      </c>
      <c r="I13" s="547">
        <f t="shared" si="5"/>
        <v>0</v>
      </c>
      <c r="J13" s="282"/>
    </row>
    <row r="14" spans="1:16" s="226" customFormat="1" ht="19.95" customHeight="1">
      <c r="A14" s="283">
        <f>'[1]明细表I6-2'!A13</f>
        <v>0</v>
      </c>
      <c r="B14" s="240">
        <f>'[1]明细表I6-2'!Q13</f>
        <v>0</v>
      </c>
      <c r="C14" s="547">
        <f t="shared" si="0"/>
        <v>0</v>
      </c>
      <c r="D14" s="547">
        <f t="shared" si="1"/>
        <v>0</v>
      </c>
      <c r="E14" s="240">
        <v>0</v>
      </c>
      <c r="F14" s="547">
        <f t="shared" si="2"/>
        <v>0</v>
      </c>
      <c r="G14" s="547">
        <f t="shared" si="3"/>
        <v>0</v>
      </c>
      <c r="H14" s="547">
        <f t="shared" si="4"/>
        <v>0</v>
      </c>
      <c r="I14" s="547">
        <f t="shared" si="5"/>
        <v>0</v>
      </c>
      <c r="J14" s="282"/>
    </row>
    <row r="15" spans="1:16" s="226" customFormat="1" ht="19.95" customHeight="1">
      <c r="A15" s="283">
        <f>'[1]明细表I6-2'!A14</f>
        <v>0</v>
      </c>
      <c r="B15" s="240">
        <f>'[1]明细表I6-2'!Q14</f>
        <v>0</v>
      </c>
      <c r="C15" s="547">
        <f t="shared" si="0"/>
        <v>0</v>
      </c>
      <c r="D15" s="547">
        <f t="shared" si="1"/>
        <v>0</v>
      </c>
      <c r="E15" s="240">
        <v>0</v>
      </c>
      <c r="F15" s="547">
        <f t="shared" si="2"/>
        <v>0</v>
      </c>
      <c r="G15" s="547">
        <f t="shared" si="3"/>
        <v>0</v>
      </c>
      <c r="H15" s="547">
        <f t="shared" si="4"/>
        <v>0</v>
      </c>
      <c r="I15" s="547">
        <f t="shared" si="5"/>
        <v>0</v>
      </c>
      <c r="J15" s="282"/>
    </row>
    <row r="16" spans="1:16" s="226" customFormat="1" ht="19.95" customHeight="1">
      <c r="A16" s="283">
        <f>'[1]明细表I6-2'!A15</f>
        <v>0</v>
      </c>
      <c r="B16" s="240">
        <f>'[1]明细表I6-2'!Q15</f>
        <v>0</v>
      </c>
      <c r="C16" s="547">
        <f t="shared" si="0"/>
        <v>0</v>
      </c>
      <c r="D16" s="547">
        <f t="shared" si="1"/>
        <v>0</v>
      </c>
      <c r="E16" s="240">
        <v>0</v>
      </c>
      <c r="F16" s="547">
        <f t="shared" si="2"/>
        <v>0</v>
      </c>
      <c r="G16" s="547">
        <f t="shared" si="3"/>
        <v>0</v>
      </c>
      <c r="H16" s="547">
        <f t="shared" si="4"/>
        <v>0</v>
      </c>
      <c r="I16" s="547">
        <f t="shared" si="5"/>
        <v>0</v>
      </c>
      <c r="J16" s="282"/>
    </row>
    <row r="17" spans="1:11" s="226" customFormat="1" ht="19.95" customHeight="1">
      <c r="A17" s="548" t="s">
        <v>455</v>
      </c>
      <c r="B17" s="549">
        <f>SUM(B10:B16)</f>
        <v>0</v>
      </c>
      <c r="C17" s="550">
        <f t="shared" si="0"/>
        <v>0</v>
      </c>
      <c r="D17" s="550">
        <f t="shared" si="1"/>
        <v>0</v>
      </c>
      <c r="E17" s="549">
        <f>SUM(E10:E16)</f>
        <v>6</v>
      </c>
      <c r="F17" s="550">
        <f t="shared" si="2"/>
        <v>1</v>
      </c>
      <c r="G17" s="550" t="e">
        <f t="shared" si="3"/>
        <v>#DIV/0!</v>
      </c>
      <c r="H17" s="550">
        <f t="shared" si="4"/>
        <v>-1</v>
      </c>
      <c r="I17" s="550" t="e">
        <f t="shared" si="5"/>
        <v>#DIV/0!</v>
      </c>
      <c r="J17" s="551"/>
    </row>
    <row r="18" spans="1:11" s="226" customFormat="1" ht="19.95" customHeight="1">
      <c r="A18" s="552" t="s">
        <v>657</v>
      </c>
      <c r="B18" s="551"/>
      <c r="C18" s="553"/>
      <c r="D18" s="553"/>
      <c r="E18" s="551"/>
      <c r="F18" s="553"/>
      <c r="G18" s="553"/>
      <c r="H18" s="547">
        <f t="shared" si="4"/>
        <v>0</v>
      </c>
      <c r="I18" s="554"/>
      <c r="J18" s="282"/>
    </row>
    <row r="19" spans="1:11" s="226" customFormat="1" ht="30" customHeight="1">
      <c r="A19" s="555" t="s">
        <v>658</v>
      </c>
      <c r="B19" s="547" t="e">
        <f>B17/B18</f>
        <v>#DIV/0!</v>
      </c>
      <c r="C19" s="553"/>
      <c r="D19" s="553"/>
      <c r="E19" s="547" t="e">
        <f>E17/E18</f>
        <v>#DIV/0!</v>
      </c>
      <c r="F19" s="553"/>
      <c r="G19" s="553"/>
      <c r="H19" s="554"/>
      <c r="I19" s="554"/>
      <c r="J19" s="282"/>
    </row>
    <row r="20" spans="1:11" s="226" customFormat="1" ht="19.95" customHeight="1">
      <c r="A20" s="556"/>
      <c r="B20" s="557"/>
      <c r="C20" s="558"/>
      <c r="D20" s="558"/>
      <c r="E20" s="557"/>
      <c r="F20" s="558"/>
      <c r="G20" s="558"/>
      <c r="H20" s="559"/>
      <c r="I20" s="559"/>
      <c r="J20" s="560"/>
    </row>
    <row r="21" spans="1:11" s="226" customFormat="1" ht="19.95" customHeight="1">
      <c r="A21" s="561" t="s">
        <v>659</v>
      </c>
      <c r="B21" s="562"/>
      <c r="C21" s="559"/>
      <c r="D21" s="559"/>
      <c r="E21" s="562"/>
      <c r="F21" s="559"/>
      <c r="G21" s="559"/>
      <c r="H21" s="559"/>
      <c r="I21" s="559"/>
      <c r="J21" s="559"/>
    </row>
    <row r="22" spans="1:11" s="566" customFormat="1" ht="19.95" customHeight="1">
      <c r="A22" s="563" t="s">
        <v>660</v>
      </c>
      <c r="B22" s="564" t="s">
        <v>661</v>
      </c>
      <c r="C22" s="565" t="s">
        <v>662</v>
      </c>
      <c r="D22" s="565" t="s">
        <v>663</v>
      </c>
      <c r="E22" s="565" t="s">
        <v>664</v>
      </c>
      <c r="F22" s="565" t="s">
        <v>665</v>
      </c>
    </row>
    <row r="23" spans="1:11" s="226" customFormat="1" ht="33.6" customHeight="1">
      <c r="A23" s="555" t="s">
        <v>658</v>
      </c>
      <c r="B23" s="282" t="e">
        <f>B19</f>
        <v>#DIV/0!</v>
      </c>
      <c r="C23" s="554"/>
      <c r="D23" s="551"/>
      <c r="E23" s="554"/>
      <c r="F23" s="567"/>
    </row>
    <row r="24" spans="1:11" s="226" customFormat="1" ht="19.95" customHeight="1">
      <c r="A24" s="556"/>
      <c r="B24" s="562"/>
      <c r="C24" s="559"/>
      <c r="D24" s="562"/>
      <c r="E24" s="559"/>
      <c r="F24" s="568"/>
    </row>
    <row r="25" spans="1:11" s="226" customFormat="1" ht="19.95" customHeight="1">
      <c r="A25" s="569" t="s">
        <v>666</v>
      </c>
      <c r="B25" s="562"/>
      <c r="C25" s="559"/>
      <c r="D25" s="562"/>
      <c r="E25" s="570"/>
      <c r="F25" s="571"/>
      <c r="G25" s="572"/>
      <c r="H25" s="572"/>
      <c r="I25" s="570"/>
    </row>
    <row r="26" spans="1:11" s="226" customFormat="1" ht="13.95" customHeight="1">
      <c r="A26" s="573" t="s">
        <v>667</v>
      </c>
      <c r="B26" s="574"/>
      <c r="C26" s="574"/>
      <c r="D26" s="574"/>
      <c r="E26" s="575"/>
      <c r="F26" s="573" t="s">
        <v>668</v>
      </c>
      <c r="G26" s="574"/>
      <c r="H26" s="574"/>
      <c r="I26" s="574"/>
      <c r="J26" s="575"/>
      <c r="K26" s="576" t="s">
        <v>669</v>
      </c>
    </row>
    <row r="27" spans="1:11" s="226" customFormat="1" ht="24">
      <c r="A27" s="577" t="s">
        <v>670</v>
      </c>
      <c r="B27" s="578" t="s">
        <v>671</v>
      </c>
      <c r="C27" s="579" t="s">
        <v>672</v>
      </c>
      <c r="D27" s="579" t="s">
        <v>673</v>
      </c>
      <c r="E27" s="580" t="s">
        <v>674</v>
      </c>
      <c r="F27" s="577" t="s">
        <v>670</v>
      </c>
      <c r="G27" s="578" t="s">
        <v>675</v>
      </c>
      <c r="H27" s="579" t="s">
        <v>672</v>
      </c>
      <c r="I27" s="579" t="s">
        <v>676</v>
      </c>
      <c r="J27" s="580" t="s">
        <v>674</v>
      </c>
      <c r="K27" s="581"/>
    </row>
    <row r="28" spans="1:11" s="226" customFormat="1" ht="20.55" customHeight="1">
      <c r="A28" s="582"/>
      <c r="B28" s="282"/>
      <c r="C28" s="554"/>
      <c r="D28" s="551"/>
      <c r="E28" s="554"/>
      <c r="F28" s="567"/>
      <c r="G28" s="583"/>
      <c r="H28" s="583"/>
      <c r="I28" s="583"/>
      <c r="J28" s="583"/>
      <c r="K28" s="583"/>
    </row>
    <row r="29" spans="1:11" s="226" customFormat="1" ht="20.55" customHeight="1">
      <c r="A29" s="584"/>
      <c r="B29" s="282"/>
      <c r="C29" s="554"/>
      <c r="D29" s="551"/>
      <c r="E29" s="554"/>
      <c r="F29" s="567"/>
      <c r="G29" s="583"/>
      <c r="H29" s="583"/>
      <c r="I29" s="583"/>
      <c r="J29" s="583"/>
      <c r="K29" s="583"/>
    </row>
    <row r="30" spans="1:11" s="226" customFormat="1" ht="20.55" customHeight="1">
      <c r="A30" s="585"/>
      <c r="B30" s="560"/>
      <c r="C30" s="559"/>
      <c r="D30" s="562"/>
      <c r="E30" s="559"/>
      <c r="F30" s="568"/>
    </row>
    <row r="31" spans="1:11" s="226" customFormat="1" ht="20.55" customHeight="1">
      <c r="A31" s="569" t="s">
        <v>677</v>
      </c>
      <c r="B31" s="562"/>
      <c r="C31" s="559"/>
      <c r="D31" s="562"/>
      <c r="E31" s="559"/>
      <c r="F31" s="568"/>
    </row>
    <row r="32" spans="1:11" s="226" customFormat="1" ht="24">
      <c r="A32" s="563" t="s">
        <v>678</v>
      </c>
      <c r="B32" s="577" t="s">
        <v>679</v>
      </c>
      <c r="C32" s="578" t="s">
        <v>675</v>
      </c>
      <c r="D32" s="579" t="s">
        <v>672</v>
      </c>
      <c r="E32" s="580" t="s">
        <v>674</v>
      </c>
      <c r="F32" s="578" t="s">
        <v>680</v>
      </c>
    </row>
    <row r="33" spans="1:10" s="226" customFormat="1" ht="20.55" customHeight="1">
      <c r="A33" s="582" t="s">
        <v>681</v>
      </c>
      <c r="B33" s="586"/>
      <c r="C33" s="587"/>
      <c r="D33" s="588"/>
      <c r="E33" s="587"/>
      <c r="F33" s="589"/>
    </row>
    <row r="34" spans="1:10" s="226" customFormat="1" ht="20.55" customHeight="1">
      <c r="A34" s="584" t="s">
        <v>682</v>
      </c>
      <c r="B34" s="586"/>
      <c r="C34" s="587"/>
      <c r="D34" s="588"/>
      <c r="E34" s="587"/>
      <c r="F34" s="589"/>
    </row>
    <row r="35" spans="1:10" s="226" customFormat="1" ht="19.95" customHeight="1">
      <c r="A35" s="584" t="s">
        <v>683</v>
      </c>
      <c r="B35" s="586"/>
      <c r="C35" s="587"/>
      <c r="D35" s="588"/>
      <c r="E35" s="587"/>
      <c r="F35" s="589"/>
    </row>
    <row r="36" spans="1:10" s="226" customFormat="1" ht="19.95" customHeight="1">
      <c r="A36" s="584" t="s">
        <v>684</v>
      </c>
      <c r="B36" s="586"/>
      <c r="C36" s="587"/>
      <c r="D36" s="588"/>
      <c r="E36" s="587"/>
      <c r="F36" s="589"/>
    </row>
    <row r="37" spans="1:10" s="226" customFormat="1" ht="19.95" customHeight="1">
      <c r="A37" s="585"/>
      <c r="B37" s="590"/>
      <c r="C37" s="591"/>
      <c r="D37" s="592"/>
      <c r="E37" s="591"/>
      <c r="F37" s="571"/>
      <c r="G37" s="572"/>
      <c r="H37" s="572"/>
    </row>
    <row r="38" spans="1:10" s="226" customFormat="1" ht="19.95" customHeight="1">
      <c r="A38" s="556"/>
      <c r="B38" s="560"/>
      <c r="C38" s="559"/>
      <c r="D38" s="562"/>
      <c r="E38" s="559"/>
      <c r="F38" s="568"/>
    </row>
    <row r="39" spans="1:10" s="226" customFormat="1" ht="19.95" customHeight="1">
      <c r="A39" s="543" t="s">
        <v>462</v>
      </c>
      <c r="B39" s="562"/>
      <c r="C39" s="559"/>
      <c r="D39" s="559"/>
      <c r="E39" s="562"/>
      <c r="F39" s="559"/>
      <c r="G39" s="559"/>
      <c r="H39" s="559"/>
      <c r="I39" s="559"/>
      <c r="J39" s="559"/>
    </row>
    <row r="40" spans="1:10" s="226" customFormat="1" ht="19.95" customHeight="1">
      <c r="A40" s="543" t="s">
        <v>685</v>
      </c>
      <c r="B40" s="562"/>
      <c r="C40" s="559"/>
      <c r="D40" s="559"/>
      <c r="E40" s="561" t="s">
        <v>686</v>
      </c>
      <c r="F40" s="559"/>
      <c r="G40" s="559"/>
      <c r="H40" s="559"/>
      <c r="I40" s="559"/>
      <c r="J40" s="559"/>
    </row>
    <row r="41" spans="1:10" s="226" customFormat="1" ht="19.95" customHeight="1">
      <c r="A41" s="284" t="s">
        <v>687</v>
      </c>
      <c r="B41" s="560"/>
      <c r="C41" s="559"/>
      <c r="D41" s="559"/>
      <c r="E41" s="284" t="s">
        <v>687</v>
      </c>
      <c r="F41" s="559"/>
      <c r="G41" s="559"/>
      <c r="H41" s="559"/>
      <c r="I41" s="559"/>
      <c r="J41" s="559"/>
    </row>
    <row r="42" spans="1:10" s="226" customFormat="1" ht="19.95" customHeight="1">
      <c r="A42" s="284" t="s">
        <v>688</v>
      </c>
      <c r="B42" s="560"/>
      <c r="C42" s="559"/>
      <c r="D42" s="559"/>
      <c r="E42" s="284" t="s">
        <v>688</v>
      </c>
      <c r="F42" s="559"/>
      <c r="G42" s="559"/>
      <c r="H42" s="559"/>
      <c r="I42" s="559"/>
      <c r="J42" s="559"/>
    </row>
    <row r="43" spans="1:10" s="226" customFormat="1" ht="19.95" customHeight="1">
      <c r="A43" s="561" t="s">
        <v>689</v>
      </c>
      <c r="B43" s="560"/>
      <c r="C43" s="559"/>
      <c r="D43" s="559"/>
      <c r="E43" s="561" t="s">
        <v>690</v>
      </c>
      <c r="F43" s="559"/>
      <c r="G43" s="559"/>
      <c r="H43" s="559"/>
      <c r="I43" s="559"/>
      <c r="J43" s="559"/>
    </row>
    <row r="44" spans="1:10" s="226" customFormat="1" ht="19.95" customHeight="1">
      <c r="A44" s="284" t="s">
        <v>687</v>
      </c>
      <c r="B44" s="562"/>
      <c r="E44" s="284" t="s">
        <v>687</v>
      </c>
    </row>
    <row r="45" spans="1:10" s="226" customFormat="1" ht="19.95" customHeight="1">
      <c r="A45" s="284" t="s">
        <v>688</v>
      </c>
      <c r="B45" s="562"/>
      <c r="E45" s="284" t="s">
        <v>688</v>
      </c>
    </row>
    <row r="46" spans="1:10" s="226" customFormat="1" ht="19.95" customHeight="1">
      <c r="A46" s="561" t="s">
        <v>691</v>
      </c>
      <c r="B46" s="562"/>
      <c r="E46" s="593"/>
    </row>
    <row r="47" spans="1:10" s="226" customFormat="1" ht="19.95" customHeight="1">
      <c r="A47" s="284" t="s">
        <v>687</v>
      </c>
      <c r="B47" s="562"/>
      <c r="E47" s="284"/>
    </row>
    <row r="48" spans="1:10" s="226" customFormat="1" ht="19.95" customHeight="1">
      <c r="A48" s="284" t="s">
        <v>688</v>
      </c>
      <c r="B48" s="562"/>
      <c r="E48" s="284"/>
    </row>
    <row r="49" spans="1:1" s="226" customFormat="1" ht="19.95" customHeight="1"/>
    <row r="50" spans="1:1" s="226" customFormat="1" ht="19.95" customHeight="1">
      <c r="A50" s="543" t="s">
        <v>463</v>
      </c>
    </row>
    <row r="51" spans="1:1" s="226" customFormat="1" ht="19.95" customHeight="1">
      <c r="A51" s="543"/>
    </row>
    <row r="52" spans="1:1" s="226" customFormat="1" ht="13.8"/>
    <row r="53" spans="1:1" s="226" customFormat="1" ht="13.8"/>
    <row r="54" spans="1:1" s="226" customFormat="1" ht="13.8"/>
    <row r="55" spans="1:1" s="226" customFormat="1" ht="13.8"/>
    <row r="56" spans="1:1" s="226" customFormat="1" ht="13.8"/>
    <row r="57" spans="1:1" s="226" customFormat="1" ht="13.8"/>
    <row r="58" spans="1:1" s="226" customFormat="1" ht="13.8"/>
    <row r="59" spans="1:1" s="226" customFormat="1" ht="13.8"/>
    <row r="60" spans="1:1" s="226" customFormat="1" ht="13.8"/>
    <row r="61" spans="1:1" s="226" customFormat="1" ht="13.8"/>
  </sheetData>
  <mergeCells count="5">
    <mergeCell ref="A1:J1"/>
    <mergeCell ref="A2:J2"/>
    <mergeCell ref="A26:E26"/>
    <mergeCell ref="F26:J26"/>
    <mergeCell ref="K26:K27"/>
  </mergeCells>
  <phoneticPr fontId="116" type="noConversion"/>
  <hyperlinks>
    <hyperlink ref="K3" location="底稿目录!A1" display="I7-5"/>
  </hyperlinks>
  <pageMargins left="0.70866141732283472" right="0.70866141732283472" top="0.74803149606299213" bottom="0.74803149606299213" header="0.31496062992125984" footer="0.31496062992125984"/>
  <pageSetup paperSize="9" scale="63"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N45"/>
  <sheetViews>
    <sheetView view="pageBreakPreview" topLeftCell="E1" zoomScaleNormal="100" zoomScaleSheetLayoutView="100" workbookViewId="0">
      <selection activeCell="U3" sqref="U3"/>
    </sheetView>
  </sheetViews>
  <sheetFormatPr defaultColWidth="8.77734375" defaultRowHeight="14.4"/>
  <cols>
    <col min="1" max="1" width="8.77734375" style="213"/>
    <col min="2" max="2" width="11.21875" style="213" customWidth="1"/>
    <col min="3" max="3" width="12.109375" style="213" customWidth="1"/>
    <col min="4" max="4" width="9.77734375" style="213" customWidth="1"/>
    <col min="5" max="9" width="10.5546875" style="213" customWidth="1"/>
    <col min="10" max="11" width="8.77734375" style="213"/>
    <col min="12" max="14" width="10.6640625" style="213" customWidth="1"/>
    <col min="15" max="15" width="16" style="213" customWidth="1"/>
    <col min="16" max="16" width="14.6640625" style="213" customWidth="1"/>
    <col min="17" max="17" width="10.109375" style="213" customWidth="1"/>
    <col min="18" max="18" width="10.33203125" style="213" customWidth="1"/>
    <col min="19" max="21" width="8.77734375" style="213"/>
    <col min="22" max="22" width="58.21875" style="213" customWidth="1"/>
    <col min="23" max="23" width="51.5546875" style="213" customWidth="1"/>
    <col min="24" max="24" width="87.44140625" style="213" customWidth="1"/>
    <col min="25" max="16384" width="8.77734375" style="213"/>
  </cols>
  <sheetData>
    <row r="1" spans="1:66" s="219" customFormat="1" ht="19.95" customHeight="1">
      <c r="A1" s="471" t="s">
        <v>57</v>
      </c>
      <c r="B1" s="471"/>
      <c r="C1" s="471"/>
      <c r="D1" s="471"/>
      <c r="E1" s="471"/>
      <c r="F1" s="471"/>
      <c r="G1" s="471"/>
      <c r="H1" s="471"/>
      <c r="I1" s="471"/>
      <c r="J1" s="471"/>
      <c r="K1" s="471"/>
      <c r="L1" s="471"/>
      <c r="M1" s="471"/>
      <c r="N1" s="471"/>
      <c r="O1" s="471"/>
      <c r="P1" s="471"/>
      <c r="Q1" s="471"/>
      <c r="R1" s="471"/>
      <c r="S1" s="471"/>
      <c r="T1" s="471"/>
      <c r="U1" s="471"/>
      <c r="V1" s="218"/>
      <c r="W1" s="218"/>
      <c r="X1" s="218"/>
      <c r="Y1" s="218"/>
      <c r="Z1" s="218"/>
      <c r="AA1" s="218"/>
    </row>
    <row r="2" spans="1:66" s="221" customFormat="1" ht="19.95" customHeight="1">
      <c r="A2" s="470" t="s">
        <v>409</v>
      </c>
      <c r="B2" s="470"/>
      <c r="C2" s="470"/>
      <c r="D2" s="470"/>
      <c r="E2" s="470"/>
      <c r="F2" s="470"/>
      <c r="G2" s="470"/>
      <c r="H2" s="470"/>
      <c r="I2" s="470"/>
      <c r="J2" s="470"/>
      <c r="K2" s="470"/>
      <c r="L2" s="470"/>
      <c r="M2" s="470"/>
      <c r="N2" s="470"/>
      <c r="O2" s="470"/>
      <c r="P2" s="470"/>
      <c r="Q2" s="470"/>
      <c r="R2" s="470"/>
      <c r="S2" s="470"/>
      <c r="T2" s="470"/>
      <c r="U2" s="470"/>
      <c r="V2" s="220"/>
      <c r="W2" s="220"/>
      <c r="X2" s="220"/>
      <c r="Y2" s="220"/>
      <c r="Z2" s="220"/>
      <c r="AA2" s="220"/>
    </row>
    <row r="3" spans="1:66" s="312" customFormat="1" ht="19.95" customHeight="1">
      <c r="A3" s="93" t="str">
        <f>底稿目录!A2</f>
        <v>被审计单位：</v>
      </c>
      <c r="B3" s="47"/>
      <c r="C3" s="47"/>
      <c r="D3" s="47"/>
      <c r="H3" s="47"/>
      <c r="I3" s="47"/>
      <c r="J3" s="312" t="str">
        <f>底稿目录!$A$4</f>
        <v>编制人：</v>
      </c>
      <c r="M3" s="47"/>
      <c r="N3" s="47"/>
      <c r="O3" s="313" t="str">
        <f>底稿目录!$A$5</f>
        <v>编制日期：</v>
      </c>
      <c r="T3" s="312" t="s">
        <v>185</v>
      </c>
      <c r="U3" s="419" t="str">
        <f>底稿目录!D12</f>
        <v>I2-6</v>
      </c>
    </row>
    <row r="4" spans="1:66" s="312" customFormat="1" ht="19.95" customHeight="1">
      <c r="A4" s="93" t="str">
        <f>底稿目录!A3</f>
        <v>截止日：202X年12月31日</v>
      </c>
      <c r="B4" s="47"/>
      <c r="C4" s="47"/>
      <c r="D4" s="47"/>
      <c r="H4" s="47"/>
      <c r="I4" s="47"/>
      <c r="J4" s="312" t="str">
        <f>底稿目录!$A$6</f>
        <v>复核人：</v>
      </c>
      <c r="M4" s="47"/>
      <c r="N4" s="47"/>
      <c r="O4" s="313" t="str">
        <f>底稿目录!$A$7</f>
        <v>复核日期：</v>
      </c>
      <c r="T4" s="312" t="s">
        <v>84</v>
      </c>
      <c r="U4" s="47"/>
      <c r="AA4" s="325"/>
    </row>
    <row r="5" spans="1:66" s="223" customFormat="1" ht="19.95" customHeight="1">
      <c r="A5" s="87" t="s">
        <v>145</v>
      </c>
      <c r="C5" s="9"/>
      <c r="D5" s="9"/>
      <c r="AH5" s="87"/>
      <c r="AJ5" s="224"/>
      <c r="AK5" s="224"/>
      <c r="AL5" s="224"/>
      <c r="AM5" s="224"/>
      <c r="AN5" s="224"/>
      <c r="AO5" s="224"/>
      <c r="AX5" s="87"/>
      <c r="BN5" s="87"/>
    </row>
    <row r="6" spans="1:66" s="223" customFormat="1" ht="19.95" customHeight="1">
      <c r="A6" s="225" t="s">
        <v>410</v>
      </c>
      <c r="B6" s="225"/>
      <c r="C6" s="226"/>
      <c r="D6" s="226"/>
      <c r="E6" s="227"/>
      <c r="F6" s="227"/>
      <c r="G6" s="227"/>
      <c r="H6" s="227"/>
      <c r="I6" s="227"/>
      <c r="J6" s="226"/>
      <c r="K6" s="226"/>
      <c r="L6" s="226"/>
      <c r="M6" s="225"/>
      <c r="N6" s="225"/>
      <c r="O6" s="225"/>
      <c r="P6" s="225"/>
      <c r="Q6" s="225"/>
      <c r="R6" s="225"/>
      <c r="S6" s="225"/>
      <c r="T6" s="225"/>
      <c r="U6" s="226"/>
      <c r="AH6" s="87"/>
      <c r="AJ6" s="224"/>
      <c r="AK6" s="224"/>
      <c r="AL6" s="224"/>
      <c r="AM6" s="224"/>
      <c r="AN6" s="224"/>
      <c r="AO6" s="224"/>
      <c r="AX6" s="87"/>
      <c r="BN6" s="87"/>
    </row>
    <row r="7" spans="1:66" s="223" customFormat="1" ht="19.95" customHeight="1">
      <c r="A7" s="225" t="s">
        <v>411</v>
      </c>
      <c r="B7" s="225"/>
      <c r="C7" s="226"/>
      <c r="D7" s="226"/>
      <c r="E7" s="227"/>
      <c r="F7" s="227"/>
      <c r="G7" s="227"/>
      <c r="H7" s="227"/>
      <c r="I7" s="227"/>
      <c r="J7" s="226"/>
      <c r="K7" s="226"/>
      <c r="L7" s="226"/>
      <c r="M7" s="225"/>
      <c r="N7" s="225"/>
      <c r="O7" s="225"/>
      <c r="P7" s="225"/>
      <c r="Q7" s="225"/>
      <c r="R7" s="225"/>
      <c r="S7" s="225"/>
      <c r="T7" s="225"/>
      <c r="U7" s="226"/>
      <c r="AH7" s="87"/>
      <c r="AJ7" s="224"/>
      <c r="AK7" s="224"/>
      <c r="AL7" s="224"/>
      <c r="AM7" s="224"/>
      <c r="AN7" s="224"/>
      <c r="AO7" s="224"/>
      <c r="AX7" s="87"/>
      <c r="BN7" s="87"/>
    </row>
    <row r="8" spans="1:66" s="223" customFormat="1" ht="19.95" customHeight="1">
      <c r="A8" s="89" t="s">
        <v>147</v>
      </c>
      <c r="C8" s="9"/>
      <c r="D8" s="9"/>
      <c r="AH8" s="89"/>
      <c r="AJ8" s="224"/>
      <c r="AK8" s="224"/>
      <c r="AL8" s="224"/>
      <c r="AM8" s="224"/>
      <c r="AN8" s="224"/>
      <c r="AO8" s="224"/>
      <c r="AX8" s="89"/>
      <c r="BN8" s="89"/>
    </row>
    <row r="9" spans="1:66" s="229" customFormat="1" ht="19.95" customHeight="1">
      <c r="A9" s="472" t="s">
        <v>412</v>
      </c>
      <c r="B9" s="473" t="s">
        <v>413</v>
      </c>
      <c r="C9" s="473"/>
      <c r="D9" s="472" t="s">
        <v>414</v>
      </c>
      <c r="E9" s="474" t="s">
        <v>415</v>
      </c>
      <c r="F9" s="474"/>
      <c r="G9" s="474"/>
      <c r="H9" s="473"/>
      <c r="I9" s="475" t="s">
        <v>416</v>
      </c>
      <c r="J9" s="472" t="s">
        <v>417</v>
      </c>
      <c r="K9" s="472" t="s">
        <v>418</v>
      </c>
      <c r="L9" s="473" t="s">
        <v>419</v>
      </c>
      <c r="M9" s="473"/>
      <c r="N9" s="473"/>
      <c r="O9" s="473"/>
      <c r="P9" s="473"/>
      <c r="Q9" s="472" t="s">
        <v>420</v>
      </c>
      <c r="R9" s="472" t="s">
        <v>421</v>
      </c>
      <c r="S9" s="472" t="s">
        <v>422</v>
      </c>
      <c r="T9" s="475" t="s">
        <v>423</v>
      </c>
      <c r="U9" s="473" t="s">
        <v>424</v>
      </c>
      <c r="V9" s="228" t="s">
        <v>425</v>
      </c>
    </row>
    <row r="10" spans="1:66" s="229" customFormat="1" ht="48">
      <c r="A10" s="472"/>
      <c r="B10" s="230" t="s">
        <v>426</v>
      </c>
      <c r="C10" s="230" t="s">
        <v>427</v>
      </c>
      <c r="D10" s="472"/>
      <c r="E10" s="231" t="s">
        <v>428</v>
      </c>
      <c r="F10" s="231" t="s">
        <v>429</v>
      </c>
      <c r="G10" s="231" t="s">
        <v>430</v>
      </c>
      <c r="H10" s="232" t="s">
        <v>431</v>
      </c>
      <c r="I10" s="472"/>
      <c r="J10" s="472"/>
      <c r="K10" s="472"/>
      <c r="L10" s="233" t="s">
        <v>432</v>
      </c>
      <c r="M10" s="233" t="s">
        <v>433</v>
      </c>
      <c r="N10" s="233" t="s">
        <v>434</v>
      </c>
      <c r="O10" s="233" t="s">
        <v>435</v>
      </c>
      <c r="P10" s="233" t="s">
        <v>436</v>
      </c>
      <c r="Q10" s="472"/>
      <c r="R10" s="472"/>
      <c r="S10" s="472"/>
      <c r="T10" s="472"/>
      <c r="U10" s="473"/>
      <c r="V10" s="228" t="s">
        <v>437</v>
      </c>
      <c r="W10" s="228" t="s">
        <v>438</v>
      </c>
      <c r="X10" s="228" t="s">
        <v>439</v>
      </c>
    </row>
    <row r="11" spans="1:66" s="239" customFormat="1" ht="19.95" customHeight="1">
      <c r="A11" s="234"/>
      <c r="B11" s="235"/>
      <c r="C11" s="235"/>
      <c r="D11" s="236"/>
      <c r="E11" s="237"/>
      <c r="F11" s="237"/>
      <c r="G11" s="237"/>
      <c r="H11" s="237"/>
      <c r="I11" s="237"/>
      <c r="J11" s="236"/>
      <c r="K11" s="236"/>
      <c r="L11" s="237"/>
      <c r="M11" s="237"/>
      <c r="N11" s="237"/>
      <c r="O11" s="237"/>
      <c r="P11" s="237"/>
      <c r="Q11" s="237"/>
      <c r="R11" s="237"/>
      <c r="S11" s="236"/>
      <c r="T11" s="236"/>
      <c r="U11" s="236"/>
      <c r="V11" s="238" t="s">
        <v>440</v>
      </c>
      <c r="W11" s="238" t="s">
        <v>441</v>
      </c>
      <c r="X11" s="238" t="s">
        <v>442</v>
      </c>
    </row>
    <row r="12" spans="1:66" s="239" customFormat="1" ht="19.95" customHeight="1">
      <c r="A12" s="234"/>
      <c r="B12" s="235"/>
      <c r="C12" s="235"/>
      <c r="D12" s="236"/>
      <c r="E12" s="237"/>
      <c r="F12" s="237"/>
      <c r="G12" s="237"/>
      <c r="H12" s="237"/>
      <c r="I12" s="237"/>
      <c r="J12" s="236"/>
      <c r="K12" s="236"/>
      <c r="L12" s="237"/>
      <c r="M12" s="237"/>
      <c r="N12" s="237"/>
      <c r="O12" s="237"/>
      <c r="P12" s="237"/>
      <c r="Q12" s="237"/>
      <c r="R12" s="237"/>
      <c r="S12" s="236"/>
      <c r="T12" s="236"/>
      <c r="U12" s="236"/>
      <c r="V12" s="238" t="s">
        <v>443</v>
      </c>
      <c r="W12" s="238" t="s">
        <v>444</v>
      </c>
      <c r="X12" s="238" t="s">
        <v>445</v>
      </c>
    </row>
    <row r="13" spans="1:66" s="239" customFormat="1" ht="19.95" customHeight="1">
      <c r="A13" s="234"/>
      <c r="B13" s="235"/>
      <c r="C13" s="235"/>
      <c r="D13" s="236"/>
      <c r="E13" s="237"/>
      <c r="F13" s="237"/>
      <c r="G13" s="237"/>
      <c r="H13" s="237"/>
      <c r="I13" s="237"/>
      <c r="J13" s="236"/>
      <c r="K13" s="236"/>
      <c r="L13" s="237"/>
      <c r="M13" s="237"/>
      <c r="N13" s="237"/>
      <c r="O13" s="237"/>
      <c r="P13" s="237"/>
      <c r="Q13" s="237"/>
      <c r="R13" s="237"/>
      <c r="S13" s="236"/>
      <c r="T13" s="236"/>
      <c r="U13" s="236"/>
      <c r="V13" s="238" t="s">
        <v>446</v>
      </c>
      <c r="W13" s="238" t="s">
        <v>447</v>
      </c>
      <c r="X13" s="238" t="s">
        <v>448</v>
      </c>
    </row>
    <row r="14" spans="1:66" s="239" customFormat="1" ht="19.95" customHeight="1">
      <c r="A14" s="234"/>
      <c r="B14" s="235"/>
      <c r="C14" s="235"/>
      <c r="D14" s="236"/>
      <c r="E14" s="237"/>
      <c r="F14" s="237"/>
      <c r="G14" s="237"/>
      <c r="H14" s="237"/>
      <c r="I14" s="237"/>
      <c r="J14" s="236"/>
      <c r="K14" s="236"/>
      <c r="L14" s="237"/>
      <c r="M14" s="237"/>
      <c r="N14" s="237"/>
      <c r="O14" s="237"/>
      <c r="P14" s="237"/>
      <c r="Q14" s="237"/>
      <c r="R14" s="237"/>
      <c r="S14" s="236"/>
      <c r="T14" s="236"/>
      <c r="U14" s="236"/>
      <c r="V14" s="238" t="s">
        <v>449</v>
      </c>
      <c r="W14" s="238" t="s">
        <v>450</v>
      </c>
      <c r="X14" s="238" t="s">
        <v>451</v>
      </c>
    </row>
    <row r="15" spans="1:66" s="239" customFormat="1" ht="19.95" customHeight="1">
      <c r="A15" s="234"/>
      <c r="B15" s="235"/>
      <c r="C15" s="235"/>
      <c r="D15" s="236"/>
      <c r="E15" s="237"/>
      <c r="F15" s="237"/>
      <c r="G15" s="237"/>
      <c r="H15" s="237"/>
      <c r="I15" s="237"/>
      <c r="J15" s="236"/>
      <c r="K15" s="236"/>
      <c r="L15" s="237"/>
      <c r="M15" s="237"/>
      <c r="N15" s="237"/>
      <c r="O15" s="237"/>
      <c r="P15" s="237"/>
      <c r="Q15" s="237"/>
      <c r="R15" s="237"/>
      <c r="S15" s="236"/>
      <c r="T15" s="236"/>
      <c r="U15" s="236"/>
      <c r="V15" s="238" t="s">
        <v>452</v>
      </c>
      <c r="W15" s="238" t="s">
        <v>453</v>
      </c>
      <c r="X15" s="238" t="s">
        <v>454</v>
      </c>
    </row>
    <row r="16" spans="1:66" s="239" customFormat="1" ht="19.95" customHeight="1">
      <c r="A16" s="230" t="s">
        <v>455</v>
      </c>
      <c r="B16" s="240">
        <f>SUM(B11:B15)</f>
        <v>0</v>
      </c>
      <c r="C16" s="240">
        <f>SUM(C11:C15)</f>
        <v>0</v>
      </c>
      <c r="D16" s="240">
        <f>SUM(D11:D15)</f>
        <v>0</v>
      </c>
      <c r="E16" s="240"/>
      <c r="F16" s="240"/>
      <c r="G16" s="240"/>
      <c r="H16" s="240"/>
      <c r="I16" s="240"/>
      <c r="J16" s="240"/>
      <c r="K16" s="240"/>
      <c r="L16" s="240"/>
      <c r="M16" s="240"/>
      <c r="N16" s="240"/>
      <c r="O16" s="240"/>
      <c r="P16" s="240"/>
      <c r="Q16" s="240">
        <f>SUM(Q11:Q15)</f>
        <v>0</v>
      </c>
      <c r="R16" s="240"/>
      <c r="S16" s="240"/>
      <c r="T16" s="240"/>
      <c r="U16" s="240"/>
      <c r="V16" s="238" t="s">
        <v>456</v>
      </c>
      <c r="W16" s="238" t="s">
        <v>457</v>
      </c>
      <c r="X16" s="238" t="s">
        <v>458</v>
      </c>
    </row>
    <row r="17" spans="1:24" s="241" customFormat="1" ht="19.95" customHeight="1">
      <c r="V17" s="238" t="s">
        <v>459</v>
      </c>
      <c r="W17" s="238" t="s">
        <v>460</v>
      </c>
      <c r="X17" s="238" t="s">
        <v>461</v>
      </c>
    </row>
    <row r="18" spans="1:24" s="241" customFormat="1" ht="19.95" customHeight="1">
      <c r="A18" s="242" t="s">
        <v>462</v>
      </c>
    </row>
    <row r="19" spans="1:24" s="241" customFormat="1" ht="19.95" customHeight="1"/>
    <row r="20" spans="1:24" s="241" customFormat="1" ht="19.95" customHeight="1"/>
    <row r="21" spans="1:24" s="241" customFormat="1" ht="19.95" customHeight="1">
      <c r="A21" s="243" t="s">
        <v>463</v>
      </c>
    </row>
    <row r="22" spans="1:24" s="241" customFormat="1" ht="19.95" customHeight="1"/>
    <row r="23" spans="1:24" s="241" customFormat="1" ht="19.95" customHeight="1"/>
    <row r="24" spans="1:24" ht="40.950000000000003" customHeight="1">
      <c r="A24" s="244"/>
    </row>
    <row r="25" spans="1:24">
      <c r="A25" s="245" t="s">
        <v>167</v>
      </c>
    </row>
    <row r="26" spans="1:24">
      <c r="A26" s="245" t="s">
        <v>464</v>
      </c>
    </row>
    <row r="27" spans="1:24">
      <c r="A27" s="245" t="s">
        <v>465</v>
      </c>
    </row>
    <row r="28" spans="1:24">
      <c r="A28" s="245" t="s">
        <v>466</v>
      </c>
    </row>
    <row r="29" spans="1:24">
      <c r="A29" s="245" t="s">
        <v>467</v>
      </c>
    </row>
    <row r="30" spans="1:24">
      <c r="A30" s="245" t="s">
        <v>468</v>
      </c>
    </row>
    <row r="31" spans="1:24">
      <c r="A31" s="245" t="s">
        <v>469</v>
      </c>
    </row>
    <row r="32" spans="1:24">
      <c r="A32" s="245" t="s">
        <v>470</v>
      </c>
    </row>
    <row r="33" spans="1:1">
      <c r="A33" s="245" t="s">
        <v>471</v>
      </c>
    </row>
    <row r="34" spans="1:1">
      <c r="A34" s="246" t="s">
        <v>74</v>
      </c>
    </row>
    <row r="35" spans="1:1">
      <c r="A35" s="245" t="s">
        <v>472</v>
      </c>
    </row>
    <row r="36" spans="1:1">
      <c r="A36" s="245" t="s">
        <v>473</v>
      </c>
    </row>
    <row r="37" spans="1:1">
      <c r="A37" s="245" t="s">
        <v>474</v>
      </c>
    </row>
    <row r="38" spans="1:1">
      <c r="A38" s="245" t="s">
        <v>475</v>
      </c>
    </row>
    <row r="39" spans="1:1">
      <c r="A39" s="245" t="s">
        <v>476</v>
      </c>
    </row>
    <row r="40" spans="1:1">
      <c r="A40" s="245" t="s">
        <v>477</v>
      </c>
    </row>
    <row r="41" spans="1:1">
      <c r="A41" s="245" t="s">
        <v>478</v>
      </c>
    </row>
    <row r="42" spans="1:1">
      <c r="A42" s="245" t="s">
        <v>479</v>
      </c>
    </row>
    <row r="43" spans="1:1">
      <c r="A43" s="245" t="s">
        <v>480</v>
      </c>
    </row>
    <row r="44" spans="1:1">
      <c r="A44" s="245" t="s">
        <v>481</v>
      </c>
    </row>
    <row r="45" spans="1:1">
      <c r="A45" s="245" t="s">
        <v>482</v>
      </c>
    </row>
  </sheetData>
  <mergeCells count="15">
    <mergeCell ref="A1:U1"/>
    <mergeCell ref="A2:U2"/>
    <mergeCell ref="A9:A10"/>
    <mergeCell ref="B9:C9"/>
    <mergeCell ref="D9:D10"/>
    <mergeCell ref="E9:H9"/>
    <mergeCell ref="I9:I10"/>
    <mergeCell ref="J9:J10"/>
    <mergeCell ref="K9:K10"/>
    <mergeCell ref="L9:P9"/>
    <mergeCell ref="Q9:Q10"/>
    <mergeCell ref="R9:R10"/>
    <mergeCell ref="S9:S10"/>
    <mergeCell ref="T9:T10"/>
    <mergeCell ref="U9:U10"/>
  </mergeCells>
  <phoneticPr fontId="116" type="noConversion"/>
  <hyperlinks>
    <hyperlink ref="U3" location="底稿目录!A1" display="I7-3"/>
  </hyperlinks>
  <pageMargins left="0.70866141732283472" right="0.70866141732283472" top="0.74803149606299213" bottom="0.74803149606299213" header="0.31496062992125984" footer="0.31496062992125984"/>
  <pageSetup paperSize="9" scale="58"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U25"/>
  <sheetViews>
    <sheetView view="pageBreakPreview" zoomScaleNormal="100" zoomScaleSheetLayoutView="100" workbookViewId="0">
      <selection sqref="A1:BA1"/>
    </sheetView>
  </sheetViews>
  <sheetFormatPr defaultColWidth="8.77734375" defaultRowHeight="19.95" customHeight="1"/>
  <cols>
    <col min="1" max="53" width="5.88671875" style="213" customWidth="1"/>
    <col min="54" max="16384" width="8.77734375" style="213"/>
  </cols>
  <sheetData>
    <row r="1" spans="1:73" s="219" customFormat="1" ht="19.95" customHeight="1">
      <c r="A1" s="471" t="s">
        <v>483</v>
      </c>
      <c r="B1" s="480"/>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c r="AS1" s="480"/>
      <c r="AT1" s="480"/>
      <c r="AU1" s="480"/>
      <c r="AV1" s="480"/>
      <c r="AW1" s="480"/>
      <c r="AX1" s="480"/>
      <c r="AY1" s="480"/>
      <c r="AZ1" s="480"/>
      <c r="BA1" s="480"/>
    </row>
    <row r="2" spans="1:73" s="221" customFormat="1" ht="19.95" customHeight="1">
      <c r="A2" s="470" t="s">
        <v>484</v>
      </c>
      <c r="B2" s="470"/>
      <c r="C2" s="470"/>
      <c r="D2" s="470"/>
      <c r="E2" s="470"/>
      <c r="F2" s="470"/>
      <c r="G2" s="470"/>
      <c r="H2" s="470"/>
      <c r="I2" s="470"/>
      <c r="J2" s="470"/>
      <c r="K2" s="470"/>
      <c r="L2" s="470"/>
      <c r="M2" s="470"/>
      <c r="N2" s="470"/>
      <c r="O2" s="470"/>
      <c r="P2" s="470"/>
      <c r="Q2" s="470"/>
      <c r="R2" s="470"/>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c r="AS2" s="470"/>
      <c r="AT2" s="470"/>
      <c r="AU2" s="470"/>
      <c r="AV2" s="470"/>
      <c r="AW2" s="470"/>
      <c r="AX2" s="470"/>
      <c r="AY2" s="470"/>
      <c r="AZ2" s="470"/>
      <c r="BA2" s="470"/>
    </row>
    <row r="3" spans="1:73" s="214" customFormat="1" ht="19.95" customHeight="1">
      <c r="A3" s="6" t="str">
        <f>底稿目录!A2</f>
        <v>被审计单位：</v>
      </c>
      <c r="B3" s="47"/>
      <c r="E3" s="47"/>
      <c r="F3" s="47"/>
      <c r="L3" s="47"/>
      <c r="M3" s="47"/>
      <c r="O3" s="214" t="str">
        <f>底稿目录!$A$4</f>
        <v>编制人：</v>
      </c>
      <c r="P3" s="26"/>
      <c r="Q3" s="26"/>
      <c r="AC3" s="215" t="str">
        <f>底稿目录!$A$5</f>
        <v>编制日期：</v>
      </c>
      <c r="AZ3" s="214" t="s">
        <v>58</v>
      </c>
      <c r="BA3" s="419" t="str">
        <f>底稿目录!D13</f>
        <v>I2-7</v>
      </c>
    </row>
    <row r="4" spans="1:73" s="214" customFormat="1" ht="19.95" customHeight="1">
      <c r="A4" s="6" t="str">
        <f>底稿目录!A3</f>
        <v>截止日：202X年12月31日</v>
      </c>
      <c r="B4" s="47"/>
      <c r="E4" s="47"/>
      <c r="F4" s="47"/>
      <c r="L4" s="47"/>
      <c r="M4" s="47"/>
      <c r="O4" s="214" t="str">
        <f>底稿目录!$A$6</f>
        <v>复核人：</v>
      </c>
      <c r="Z4" s="222"/>
      <c r="AA4" s="222"/>
      <c r="AC4" s="215" t="str">
        <f>底稿目录!$A$7</f>
        <v>复核日期：</v>
      </c>
      <c r="AZ4" s="214" t="s">
        <v>84</v>
      </c>
    </row>
    <row r="5" spans="1:73" s="223" customFormat="1" ht="19.95" customHeight="1">
      <c r="A5" s="87" t="s">
        <v>145</v>
      </c>
      <c r="C5" s="9"/>
      <c r="D5" s="9"/>
      <c r="G5" s="247"/>
      <c r="H5" s="247"/>
      <c r="I5" s="247"/>
      <c r="J5" s="247"/>
      <c r="K5" s="247"/>
      <c r="L5" s="247"/>
      <c r="M5" s="247"/>
      <c r="N5" s="247"/>
      <c r="O5" s="247"/>
      <c r="P5" s="247"/>
      <c r="Q5" s="247"/>
      <c r="R5" s="247"/>
      <c r="S5" s="247"/>
      <c r="T5" s="247"/>
      <c r="AB5" s="247"/>
      <c r="AK5" s="248"/>
      <c r="AL5" s="248"/>
      <c r="AM5" s="248"/>
      <c r="AN5" s="248"/>
      <c r="AO5" s="248"/>
      <c r="AP5" s="248"/>
      <c r="AQ5" s="248"/>
      <c r="AR5" s="248"/>
      <c r="AS5" s="248"/>
      <c r="BE5" s="87"/>
      <c r="BU5" s="87"/>
    </row>
    <row r="6" spans="1:73" s="223" customFormat="1" ht="19.95" customHeight="1">
      <c r="A6" s="225" t="s">
        <v>485</v>
      </c>
      <c r="B6" s="249"/>
      <c r="C6" s="226"/>
      <c r="D6" s="226"/>
      <c r="E6" s="226"/>
      <c r="F6" s="227"/>
      <c r="G6" s="226"/>
      <c r="H6" s="226"/>
      <c r="I6" s="226"/>
      <c r="J6" s="226"/>
      <c r="K6" s="226"/>
      <c r="L6" s="226"/>
      <c r="M6" s="226"/>
      <c r="O6" s="226"/>
      <c r="P6" s="226"/>
      <c r="Q6" s="226"/>
      <c r="R6" s="247"/>
      <c r="S6" s="247"/>
      <c r="T6" s="247"/>
      <c r="AB6" s="247"/>
      <c r="AK6" s="248"/>
      <c r="AL6" s="248"/>
      <c r="AM6" s="248"/>
      <c r="AN6" s="248"/>
      <c r="AO6" s="248"/>
      <c r="AP6" s="248"/>
      <c r="AQ6" s="248"/>
      <c r="AR6" s="248"/>
      <c r="AS6" s="248"/>
      <c r="BE6" s="87"/>
      <c r="BU6" s="87"/>
    </row>
    <row r="7" spans="1:73" s="223" customFormat="1" ht="19.95" customHeight="1">
      <c r="A7" s="225" t="s">
        <v>486</v>
      </c>
      <c r="B7" s="249"/>
      <c r="C7" s="226"/>
      <c r="D7" s="226"/>
      <c r="E7" s="226"/>
      <c r="F7" s="227"/>
      <c r="G7" s="226"/>
      <c r="H7" s="226"/>
      <c r="I7" s="226"/>
      <c r="J7" s="226"/>
      <c r="K7" s="226"/>
      <c r="L7" s="226"/>
      <c r="M7" s="226"/>
      <c r="N7" s="225"/>
      <c r="O7" s="226"/>
      <c r="P7" s="226"/>
      <c r="Q7" s="226"/>
      <c r="R7" s="247"/>
      <c r="S7" s="247"/>
      <c r="T7" s="247"/>
      <c r="AB7" s="247"/>
      <c r="AK7" s="248"/>
      <c r="AL7" s="248"/>
      <c r="AM7" s="248"/>
      <c r="AN7" s="248"/>
      <c r="AO7" s="248"/>
      <c r="AP7" s="248"/>
      <c r="AQ7" s="248"/>
      <c r="AR7" s="248"/>
      <c r="AS7" s="248"/>
      <c r="BE7" s="87"/>
      <c r="BU7" s="87"/>
    </row>
    <row r="8" spans="1:73" s="223" customFormat="1" ht="19.95" customHeight="1">
      <c r="A8" s="89" t="s">
        <v>147</v>
      </c>
      <c r="C8" s="9"/>
      <c r="D8" s="9"/>
      <c r="G8" s="247"/>
      <c r="H8" s="247"/>
      <c r="I8" s="247"/>
      <c r="J8" s="247"/>
      <c r="K8" s="247"/>
      <c r="L8" s="247"/>
      <c r="M8" s="247"/>
      <c r="N8" s="247"/>
      <c r="O8" s="247"/>
      <c r="P8" s="247"/>
      <c r="Q8" s="247"/>
      <c r="R8" s="247"/>
      <c r="S8" s="247"/>
      <c r="T8" s="247"/>
      <c r="AB8" s="247"/>
      <c r="AK8" s="248"/>
      <c r="AL8" s="248"/>
      <c r="AM8" s="248"/>
      <c r="AN8" s="248"/>
      <c r="AO8" s="248"/>
      <c r="AP8" s="248"/>
      <c r="AQ8" s="248"/>
      <c r="AR8" s="248"/>
      <c r="AS8" s="248"/>
      <c r="BE8" s="89"/>
      <c r="BU8" s="89"/>
    </row>
    <row r="9" spans="1:73" s="250" customFormat="1" ht="19.95" customHeight="1">
      <c r="A9" s="481" t="s">
        <v>487</v>
      </c>
      <c r="B9" s="481" t="s">
        <v>488</v>
      </c>
      <c r="C9" s="481" t="s">
        <v>489</v>
      </c>
      <c r="D9" s="481" t="s">
        <v>490</v>
      </c>
      <c r="E9" s="484" t="s">
        <v>491</v>
      </c>
      <c r="F9" s="485"/>
      <c r="G9" s="485"/>
      <c r="H9" s="485"/>
      <c r="I9" s="485"/>
      <c r="J9" s="485"/>
      <c r="K9" s="485"/>
      <c r="L9" s="486"/>
      <c r="M9" s="484" t="s">
        <v>492</v>
      </c>
      <c r="N9" s="485"/>
      <c r="O9" s="485"/>
      <c r="P9" s="485"/>
      <c r="Q9" s="485"/>
      <c r="R9" s="485"/>
      <c r="S9" s="485"/>
      <c r="T9" s="486"/>
      <c r="U9" s="484" t="s">
        <v>493</v>
      </c>
      <c r="V9" s="485"/>
      <c r="W9" s="485"/>
      <c r="X9" s="485"/>
      <c r="Y9" s="485"/>
      <c r="Z9" s="485"/>
      <c r="AA9" s="485"/>
      <c r="AB9" s="486"/>
      <c r="AC9" s="484" t="s">
        <v>494</v>
      </c>
      <c r="AD9" s="485"/>
      <c r="AE9" s="485"/>
      <c r="AF9" s="485"/>
      <c r="AG9" s="485"/>
      <c r="AH9" s="485"/>
      <c r="AI9" s="485"/>
      <c r="AJ9" s="486"/>
      <c r="AK9" s="487" t="s">
        <v>495</v>
      </c>
      <c r="AL9" s="488"/>
      <c r="AM9" s="488"/>
      <c r="AN9" s="488"/>
      <c r="AO9" s="488"/>
      <c r="AP9" s="488"/>
      <c r="AQ9" s="488"/>
      <c r="AR9" s="489"/>
      <c r="AS9" s="487" t="s">
        <v>496</v>
      </c>
      <c r="AT9" s="488"/>
      <c r="AU9" s="488"/>
      <c r="AV9" s="488"/>
      <c r="AW9" s="488"/>
      <c r="AX9" s="488"/>
      <c r="AY9" s="488"/>
      <c r="AZ9" s="489"/>
      <c r="BA9" s="490" t="s">
        <v>183</v>
      </c>
    </row>
    <row r="10" spans="1:73" s="251" customFormat="1" ht="27" customHeight="1">
      <c r="A10" s="482"/>
      <c r="B10" s="482"/>
      <c r="C10" s="482"/>
      <c r="D10" s="482" t="s">
        <v>490</v>
      </c>
      <c r="E10" s="476" t="s">
        <v>497</v>
      </c>
      <c r="F10" s="476" t="s">
        <v>498</v>
      </c>
      <c r="G10" s="476" t="s">
        <v>499</v>
      </c>
      <c r="H10" s="476" t="s">
        <v>500</v>
      </c>
      <c r="I10" s="476" t="s">
        <v>501</v>
      </c>
      <c r="J10" s="476" t="s">
        <v>502</v>
      </c>
      <c r="K10" s="478" t="s">
        <v>503</v>
      </c>
      <c r="L10" s="479"/>
      <c r="M10" s="476" t="s">
        <v>497</v>
      </c>
      <c r="N10" s="476" t="s">
        <v>498</v>
      </c>
      <c r="O10" s="476" t="s">
        <v>499</v>
      </c>
      <c r="P10" s="476" t="s">
        <v>500</v>
      </c>
      <c r="Q10" s="476" t="s">
        <v>501</v>
      </c>
      <c r="R10" s="476" t="s">
        <v>502</v>
      </c>
      <c r="S10" s="478" t="s">
        <v>503</v>
      </c>
      <c r="T10" s="479"/>
      <c r="U10" s="476" t="s">
        <v>497</v>
      </c>
      <c r="V10" s="476" t="s">
        <v>498</v>
      </c>
      <c r="W10" s="476" t="s">
        <v>499</v>
      </c>
      <c r="X10" s="476" t="s">
        <v>500</v>
      </c>
      <c r="Y10" s="476" t="s">
        <v>501</v>
      </c>
      <c r="Z10" s="476" t="s">
        <v>502</v>
      </c>
      <c r="AA10" s="478" t="s">
        <v>503</v>
      </c>
      <c r="AB10" s="479"/>
      <c r="AC10" s="476" t="s">
        <v>497</v>
      </c>
      <c r="AD10" s="476" t="s">
        <v>498</v>
      </c>
      <c r="AE10" s="476" t="s">
        <v>499</v>
      </c>
      <c r="AF10" s="476" t="s">
        <v>500</v>
      </c>
      <c r="AG10" s="476" t="s">
        <v>501</v>
      </c>
      <c r="AH10" s="476" t="s">
        <v>502</v>
      </c>
      <c r="AI10" s="478" t="s">
        <v>503</v>
      </c>
      <c r="AJ10" s="479"/>
      <c r="AK10" s="476" t="s">
        <v>497</v>
      </c>
      <c r="AL10" s="476" t="s">
        <v>498</v>
      </c>
      <c r="AM10" s="476" t="s">
        <v>499</v>
      </c>
      <c r="AN10" s="476" t="s">
        <v>500</v>
      </c>
      <c r="AO10" s="476" t="s">
        <v>501</v>
      </c>
      <c r="AP10" s="476" t="s">
        <v>502</v>
      </c>
      <c r="AQ10" s="478" t="s">
        <v>503</v>
      </c>
      <c r="AR10" s="479"/>
      <c r="AS10" s="476" t="s">
        <v>497</v>
      </c>
      <c r="AT10" s="476" t="s">
        <v>498</v>
      </c>
      <c r="AU10" s="476" t="s">
        <v>499</v>
      </c>
      <c r="AV10" s="476" t="s">
        <v>500</v>
      </c>
      <c r="AW10" s="476" t="s">
        <v>501</v>
      </c>
      <c r="AX10" s="476" t="s">
        <v>502</v>
      </c>
      <c r="AY10" s="478" t="s">
        <v>503</v>
      </c>
      <c r="AZ10" s="479"/>
      <c r="BA10" s="491"/>
    </row>
    <row r="11" spans="1:73" s="251" customFormat="1" ht="32.4">
      <c r="A11" s="483"/>
      <c r="B11" s="483"/>
      <c r="C11" s="483"/>
      <c r="D11" s="483"/>
      <c r="E11" s="477"/>
      <c r="F11" s="477"/>
      <c r="G11" s="477"/>
      <c r="H11" s="477"/>
      <c r="I11" s="477"/>
      <c r="J11" s="477"/>
      <c r="K11" s="252" t="s">
        <v>504</v>
      </c>
      <c r="L11" s="252" t="s">
        <v>505</v>
      </c>
      <c r="M11" s="477"/>
      <c r="N11" s="477"/>
      <c r="O11" s="477"/>
      <c r="P11" s="477"/>
      <c r="Q11" s="477"/>
      <c r="R11" s="477"/>
      <c r="S11" s="252" t="s">
        <v>504</v>
      </c>
      <c r="T11" s="252" t="s">
        <v>505</v>
      </c>
      <c r="U11" s="477"/>
      <c r="V11" s="477"/>
      <c r="W11" s="477"/>
      <c r="X11" s="477"/>
      <c r="Y11" s="477"/>
      <c r="Z11" s="477"/>
      <c r="AA11" s="252" t="s">
        <v>504</v>
      </c>
      <c r="AB11" s="252" t="s">
        <v>505</v>
      </c>
      <c r="AC11" s="477"/>
      <c r="AD11" s="477"/>
      <c r="AE11" s="477"/>
      <c r="AF11" s="477"/>
      <c r="AG11" s="477"/>
      <c r="AH11" s="477"/>
      <c r="AI11" s="252" t="s">
        <v>504</v>
      </c>
      <c r="AJ11" s="252" t="s">
        <v>505</v>
      </c>
      <c r="AK11" s="477"/>
      <c r="AL11" s="477"/>
      <c r="AM11" s="477"/>
      <c r="AN11" s="477"/>
      <c r="AO11" s="477"/>
      <c r="AP11" s="477"/>
      <c r="AQ11" s="252" t="s">
        <v>504</v>
      </c>
      <c r="AR11" s="252" t="s">
        <v>505</v>
      </c>
      <c r="AS11" s="477"/>
      <c r="AT11" s="477"/>
      <c r="AU11" s="477"/>
      <c r="AV11" s="477"/>
      <c r="AW11" s="477"/>
      <c r="AX11" s="477"/>
      <c r="AY11" s="252" t="s">
        <v>504</v>
      </c>
      <c r="AZ11" s="252" t="s">
        <v>506</v>
      </c>
      <c r="BA11" s="253"/>
    </row>
    <row r="12" spans="1:73" s="261" customFormat="1" ht="19.95" customHeight="1">
      <c r="A12" s="254"/>
      <c r="B12" s="255"/>
      <c r="C12" s="256"/>
      <c r="D12" s="257"/>
      <c r="E12" s="258"/>
      <c r="F12" s="258"/>
      <c r="G12" s="258"/>
      <c r="H12" s="258"/>
      <c r="I12" s="258"/>
      <c r="J12" s="258"/>
      <c r="K12" s="258"/>
      <c r="L12" s="258"/>
      <c r="M12" s="258"/>
      <c r="N12" s="258"/>
      <c r="O12" s="258"/>
      <c r="P12" s="258"/>
      <c r="Q12" s="258"/>
      <c r="R12" s="258"/>
      <c r="S12" s="258"/>
      <c r="T12" s="258"/>
      <c r="U12" s="258"/>
      <c r="V12" s="258"/>
      <c r="W12" s="258"/>
      <c r="X12" s="258"/>
      <c r="Y12" s="258"/>
      <c r="Z12" s="258"/>
      <c r="AA12" s="258"/>
      <c r="AB12" s="258"/>
      <c r="AC12" s="259">
        <f t="shared" ref="AC12:AJ20" si="0">E12+M12-U12</f>
        <v>0</v>
      </c>
      <c r="AD12" s="259">
        <f t="shared" si="0"/>
        <v>0</v>
      </c>
      <c r="AE12" s="259">
        <f t="shared" si="0"/>
        <v>0</v>
      </c>
      <c r="AF12" s="259">
        <f t="shared" si="0"/>
        <v>0</v>
      </c>
      <c r="AG12" s="259">
        <f t="shared" si="0"/>
        <v>0</v>
      </c>
      <c r="AH12" s="259">
        <f t="shared" si="0"/>
        <v>0</v>
      </c>
      <c r="AI12" s="259">
        <f t="shared" si="0"/>
        <v>0</v>
      </c>
      <c r="AJ12" s="259">
        <f t="shared" si="0"/>
        <v>0</v>
      </c>
      <c r="AK12" s="258"/>
      <c r="AL12" s="258"/>
      <c r="AM12" s="258"/>
      <c r="AN12" s="258"/>
      <c r="AO12" s="258"/>
      <c r="AP12" s="258"/>
      <c r="AQ12" s="258"/>
      <c r="AR12" s="258"/>
      <c r="AS12" s="259">
        <f>AC12+AK12</f>
        <v>0</v>
      </c>
      <c r="AT12" s="259">
        <f t="shared" ref="AT12:AZ20" si="1">AD12+AL12</f>
        <v>0</v>
      </c>
      <c r="AU12" s="259">
        <f t="shared" si="1"/>
        <v>0</v>
      </c>
      <c r="AV12" s="259">
        <f t="shared" si="1"/>
        <v>0</v>
      </c>
      <c r="AW12" s="259">
        <f t="shared" si="1"/>
        <v>0</v>
      </c>
      <c r="AX12" s="259">
        <f t="shared" si="1"/>
        <v>0</v>
      </c>
      <c r="AY12" s="259">
        <f t="shared" si="1"/>
        <v>0</v>
      </c>
      <c r="AZ12" s="259">
        <f t="shared" si="1"/>
        <v>0</v>
      </c>
      <c r="BA12" s="260"/>
    </row>
    <row r="13" spans="1:73" s="261" customFormat="1" ht="19.95" customHeight="1">
      <c r="A13" s="254"/>
      <c r="B13" s="256"/>
      <c r="C13" s="256"/>
      <c r="D13" s="257"/>
      <c r="E13" s="258"/>
      <c r="F13" s="258"/>
      <c r="G13" s="258"/>
      <c r="H13" s="258"/>
      <c r="I13" s="258"/>
      <c r="J13" s="258"/>
      <c r="K13" s="258"/>
      <c r="L13" s="258"/>
      <c r="M13" s="258"/>
      <c r="N13" s="258"/>
      <c r="O13" s="258"/>
      <c r="P13" s="258"/>
      <c r="Q13" s="258"/>
      <c r="R13" s="258"/>
      <c r="S13" s="258"/>
      <c r="T13" s="258"/>
      <c r="U13" s="258"/>
      <c r="V13" s="258"/>
      <c r="W13" s="258"/>
      <c r="X13" s="258"/>
      <c r="Y13" s="258"/>
      <c r="Z13" s="258"/>
      <c r="AA13" s="258"/>
      <c r="AB13" s="258"/>
      <c r="AC13" s="259">
        <f t="shared" si="0"/>
        <v>0</v>
      </c>
      <c r="AD13" s="259">
        <f t="shared" si="0"/>
        <v>0</v>
      </c>
      <c r="AE13" s="259">
        <f t="shared" si="0"/>
        <v>0</v>
      </c>
      <c r="AF13" s="259">
        <f t="shared" si="0"/>
        <v>0</v>
      </c>
      <c r="AG13" s="259">
        <f t="shared" si="0"/>
        <v>0</v>
      </c>
      <c r="AH13" s="259">
        <f t="shared" si="0"/>
        <v>0</v>
      </c>
      <c r="AI13" s="259">
        <f t="shared" si="0"/>
        <v>0</v>
      </c>
      <c r="AJ13" s="259">
        <f t="shared" si="0"/>
        <v>0</v>
      </c>
      <c r="AK13" s="258"/>
      <c r="AL13" s="258"/>
      <c r="AM13" s="258"/>
      <c r="AN13" s="258"/>
      <c r="AO13" s="258"/>
      <c r="AP13" s="258"/>
      <c r="AQ13" s="258"/>
      <c r="AR13" s="258"/>
      <c r="AS13" s="259">
        <f t="shared" ref="AS13:AS20" si="2">AC13+AK13</f>
        <v>0</v>
      </c>
      <c r="AT13" s="259">
        <f t="shared" si="1"/>
        <v>0</v>
      </c>
      <c r="AU13" s="259">
        <f t="shared" si="1"/>
        <v>0</v>
      </c>
      <c r="AV13" s="259">
        <f t="shared" si="1"/>
        <v>0</v>
      </c>
      <c r="AW13" s="259">
        <f t="shared" si="1"/>
        <v>0</v>
      </c>
      <c r="AX13" s="259">
        <f t="shared" si="1"/>
        <v>0</v>
      </c>
      <c r="AY13" s="259">
        <f t="shared" si="1"/>
        <v>0</v>
      </c>
      <c r="AZ13" s="259">
        <f t="shared" si="1"/>
        <v>0</v>
      </c>
      <c r="BA13" s="260"/>
    </row>
    <row r="14" spans="1:73" s="261" customFormat="1" ht="19.95" customHeight="1">
      <c r="A14" s="254"/>
      <c r="B14" s="256"/>
      <c r="C14" s="256"/>
      <c r="D14" s="257"/>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9">
        <f t="shared" ref="AC14:AC17" si="3">E14+M14-U14</f>
        <v>0</v>
      </c>
      <c r="AD14" s="259">
        <f t="shared" ref="AD14:AD17" si="4">F14+N14-V14</f>
        <v>0</v>
      </c>
      <c r="AE14" s="259">
        <f t="shared" ref="AE14:AE17" si="5">G14+O14-W14</f>
        <v>0</v>
      </c>
      <c r="AF14" s="259">
        <f t="shared" ref="AF14:AF17" si="6">H14+P14-X14</f>
        <v>0</v>
      </c>
      <c r="AG14" s="259">
        <f t="shared" ref="AG14:AG17" si="7">I14+Q14-Y14</f>
        <v>0</v>
      </c>
      <c r="AH14" s="259">
        <f t="shared" ref="AH14:AH17" si="8">J14+R14-Z14</f>
        <v>0</v>
      </c>
      <c r="AI14" s="259">
        <f t="shared" ref="AI14:AI17" si="9">K14+S14-AA14</f>
        <v>0</v>
      </c>
      <c r="AJ14" s="259">
        <f t="shared" ref="AJ14:AJ17" si="10">L14+T14-AB14</f>
        <v>0</v>
      </c>
      <c r="AK14" s="258"/>
      <c r="AL14" s="258"/>
      <c r="AM14" s="258"/>
      <c r="AN14" s="258"/>
      <c r="AO14" s="258"/>
      <c r="AP14" s="258"/>
      <c r="AQ14" s="258"/>
      <c r="AR14" s="258"/>
      <c r="AS14" s="259">
        <f t="shared" ref="AS14:AS17" si="11">AC14+AK14</f>
        <v>0</v>
      </c>
      <c r="AT14" s="259">
        <f t="shared" ref="AT14:AT17" si="12">AD14+AL14</f>
        <v>0</v>
      </c>
      <c r="AU14" s="259">
        <f t="shared" ref="AU14:AU17" si="13">AE14+AM14</f>
        <v>0</v>
      </c>
      <c r="AV14" s="259">
        <f t="shared" ref="AV14:AV17" si="14">AF14+AN14</f>
        <v>0</v>
      </c>
      <c r="AW14" s="259">
        <f t="shared" ref="AW14:AW17" si="15">AG14+AO14</f>
        <v>0</v>
      </c>
      <c r="AX14" s="259">
        <f t="shared" ref="AX14:AX17" si="16">AH14+AP14</f>
        <v>0</v>
      </c>
      <c r="AY14" s="259">
        <f t="shared" ref="AY14:AY17" si="17">AI14+AQ14</f>
        <v>0</v>
      </c>
      <c r="AZ14" s="259">
        <f t="shared" ref="AZ14:AZ17" si="18">AJ14+AR14</f>
        <v>0</v>
      </c>
      <c r="BA14" s="260"/>
    </row>
    <row r="15" spans="1:73" s="261" customFormat="1" ht="19.95" customHeight="1">
      <c r="A15" s="254"/>
      <c r="B15" s="256"/>
      <c r="C15" s="256"/>
      <c r="D15" s="257"/>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9">
        <f t="shared" si="3"/>
        <v>0</v>
      </c>
      <c r="AD15" s="259">
        <f t="shared" si="4"/>
        <v>0</v>
      </c>
      <c r="AE15" s="259">
        <f t="shared" si="5"/>
        <v>0</v>
      </c>
      <c r="AF15" s="259">
        <f t="shared" si="6"/>
        <v>0</v>
      </c>
      <c r="AG15" s="259">
        <f t="shared" si="7"/>
        <v>0</v>
      </c>
      <c r="AH15" s="259">
        <f t="shared" si="8"/>
        <v>0</v>
      </c>
      <c r="AI15" s="259">
        <f t="shared" si="9"/>
        <v>0</v>
      </c>
      <c r="AJ15" s="259">
        <f t="shared" si="10"/>
        <v>0</v>
      </c>
      <c r="AK15" s="258"/>
      <c r="AL15" s="258"/>
      <c r="AM15" s="258"/>
      <c r="AN15" s="258"/>
      <c r="AO15" s="258"/>
      <c r="AP15" s="258"/>
      <c r="AQ15" s="258"/>
      <c r="AR15" s="258"/>
      <c r="AS15" s="259">
        <f t="shared" si="11"/>
        <v>0</v>
      </c>
      <c r="AT15" s="259">
        <f t="shared" si="12"/>
        <v>0</v>
      </c>
      <c r="AU15" s="259">
        <f t="shared" si="13"/>
        <v>0</v>
      </c>
      <c r="AV15" s="259">
        <f t="shared" si="14"/>
        <v>0</v>
      </c>
      <c r="AW15" s="259">
        <f t="shared" si="15"/>
        <v>0</v>
      </c>
      <c r="AX15" s="259">
        <f t="shared" si="16"/>
        <v>0</v>
      </c>
      <c r="AY15" s="259">
        <f t="shared" si="17"/>
        <v>0</v>
      </c>
      <c r="AZ15" s="259">
        <f t="shared" si="18"/>
        <v>0</v>
      </c>
      <c r="BA15" s="260"/>
    </row>
    <row r="16" spans="1:73" s="261" customFormat="1" ht="19.95" customHeight="1">
      <c r="A16" s="254"/>
      <c r="B16" s="256"/>
      <c r="C16" s="256"/>
      <c r="D16" s="257"/>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9">
        <f t="shared" si="3"/>
        <v>0</v>
      </c>
      <c r="AD16" s="259">
        <f t="shared" si="4"/>
        <v>0</v>
      </c>
      <c r="AE16" s="259">
        <f t="shared" si="5"/>
        <v>0</v>
      </c>
      <c r="AF16" s="259">
        <f t="shared" si="6"/>
        <v>0</v>
      </c>
      <c r="AG16" s="259">
        <f t="shared" si="7"/>
        <v>0</v>
      </c>
      <c r="AH16" s="259">
        <f t="shared" si="8"/>
        <v>0</v>
      </c>
      <c r="AI16" s="259">
        <f t="shared" si="9"/>
        <v>0</v>
      </c>
      <c r="AJ16" s="259">
        <f t="shared" si="10"/>
        <v>0</v>
      </c>
      <c r="AK16" s="258"/>
      <c r="AL16" s="258"/>
      <c r="AM16" s="258"/>
      <c r="AN16" s="258"/>
      <c r="AO16" s="258"/>
      <c r="AP16" s="258"/>
      <c r="AQ16" s="258"/>
      <c r="AR16" s="258"/>
      <c r="AS16" s="259">
        <f t="shared" si="11"/>
        <v>0</v>
      </c>
      <c r="AT16" s="259">
        <f t="shared" si="12"/>
        <v>0</v>
      </c>
      <c r="AU16" s="259">
        <f t="shared" si="13"/>
        <v>0</v>
      </c>
      <c r="AV16" s="259">
        <f t="shared" si="14"/>
        <v>0</v>
      </c>
      <c r="AW16" s="259">
        <f t="shared" si="15"/>
        <v>0</v>
      </c>
      <c r="AX16" s="259">
        <f t="shared" si="16"/>
        <v>0</v>
      </c>
      <c r="AY16" s="259">
        <f t="shared" si="17"/>
        <v>0</v>
      </c>
      <c r="AZ16" s="259">
        <f t="shared" si="18"/>
        <v>0</v>
      </c>
      <c r="BA16" s="260"/>
    </row>
    <row r="17" spans="1:53" s="261" customFormat="1" ht="19.95" customHeight="1">
      <c r="A17" s="254"/>
      <c r="B17" s="256"/>
      <c r="C17" s="256"/>
      <c r="D17" s="257"/>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8"/>
      <c r="AC17" s="259">
        <f t="shared" si="3"/>
        <v>0</v>
      </c>
      <c r="AD17" s="259">
        <f t="shared" si="4"/>
        <v>0</v>
      </c>
      <c r="AE17" s="259">
        <f t="shared" si="5"/>
        <v>0</v>
      </c>
      <c r="AF17" s="259">
        <f t="shared" si="6"/>
        <v>0</v>
      </c>
      <c r="AG17" s="259">
        <f t="shared" si="7"/>
        <v>0</v>
      </c>
      <c r="AH17" s="259">
        <f t="shared" si="8"/>
        <v>0</v>
      </c>
      <c r="AI17" s="259">
        <f t="shared" si="9"/>
        <v>0</v>
      </c>
      <c r="AJ17" s="259">
        <f t="shared" si="10"/>
        <v>0</v>
      </c>
      <c r="AK17" s="258"/>
      <c r="AL17" s="258"/>
      <c r="AM17" s="258"/>
      <c r="AN17" s="258"/>
      <c r="AO17" s="258"/>
      <c r="AP17" s="258"/>
      <c r="AQ17" s="258"/>
      <c r="AR17" s="258"/>
      <c r="AS17" s="259">
        <f t="shared" si="11"/>
        <v>0</v>
      </c>
      <c r="AT17" s="259">
        <f t="shared" si="12"/>
        <v>0</v>
      </c>
      <c r="AU17" s="259">
        <f t="shared" si="13"/>
        <v>0</v>
      </c>
      <c r="AV17" s="259">
        <f t="shared" si="14"/>
        <v>0</v>
      </c>
      <c r="AW17" s="259">
        <f t="shared" si="15"/>
        <v>0</v>
      </c>
      <c r="AX17" s="259">
        <f t="shared" si="16"/>
        <v>0</v>
      </c>
      <c r="AY17" s="259">
        <f t="shared" si="17"/>
        <v>0</v>
      </c>
      <c r="AZ17" s="259">
        <f t="shared" si="18"/>
        <v>0</v>
      </c>
      <c r="BA17" s="260"/>
    </row>
    <row r="18" spans="1:53" s="261" customFormat="1" ht="19.95" customHeight="1">
      <c r="A18" s="254"/>
      <c r="B18" s="256"/>
      <c r="C18" s="256"/>
      <c r="D18" s="257"/>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9">
        <f t="shared" si="0"/>
        <v>0</v>
      </c>
      <c r="AD18" s="259">
        <f t="shared" si="0"/>
        <v>0</v>
      </c>
      <c r="AE18" s="259">
        <f t="shared" si="0"/>
        <v>0</v>
      </c>
      <c r="AF18" s="259">
        <f t="shared" si="0"/>
        <v>0</v>
      </c>
      <c r="AG18" s="259">
        <f t="shared" si="0"/>
        <v>0</v>
      </c>
      <c r="AH18" s="259">
        <f t="shared" si="0"/>
        <v>0</v>
      </c>
      <c r="AI18" s="259">
        <f t="shared" si="0"/>
        <v>0</v>
      </c>
      <c r="AJ18" s="259">
        <f t="shared" si="0"/>
        <v>0</v>
      </c>
      <c r="AK18" s="258"/>
      <c r="AL18" s="258"/>
      <c r="AM18" s="258"/>
      <c r="AN18" s="258"/>
      <c r="AO18" s="258"/>
      <c r="AP18" s="258"/>
      <c r="AQ18" s="258"/>
      <c r="AR18" s="258"/>
      <c r="AS18" s="259">
        <f t="shared" si="2"/>
        <v>0</v>
      </c>
      <c r="AT18" s="259">
        <f t="shared" si="1"/>
        <v>0</v>
      </c>
      <c r="AU18" s="259">
        <f t="shared" si="1"/>
        <v>0</v>
      </c>
      <c r="AV18" s="259">
        <f t="shared" si="1"/>
        <v>0</v>
      </c>
      <c r="AW18" s="259">
        <f t="shared" si="1"/>
        <v>0</v>
      </c>
      <c r="AX18" s="259">
        <f t="shared" si="1"/>
        <v>0</v>
      </c>
      <c r="AY18" s="259">
        <f t="shared" si="1"/>
        <v>0</v>
      </c>
      <c r="AZ18" s="259">
        <f t="shared" si="1"/>
        <v>0</v>
      </c>
      <c r="BA18" s="260"/>
    </row>
    <row r="19" spans="1:53" s="261" customFormat="1" ht="19.95" customHeight="1">
      <c r="A19" s="254"/>
      <c r="B19" s="256"/>
      <c r="C19" s="256"/>
      <c r="D19" s="257"/>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9">
        <f t="shared" si="0"/>
        <v>0</v>
      </c>
      <c r="AD19" s="259">
        <f t="shared" si="0"/>
        <v>0</v>
      </c>
      <c r="AE19" s="259">
        <f t="shared" si="0"/>
        <v>0</v>
      </c>
      <c r="AF19" s="259">
        <f t="shared" si="0"/>
        <v>0</v>
      </c>
      <c r="AG19" s="259">
        <f t="shared" si="0"/>
        <v>0</v>
      </c>
      <c r="AH19" s="259">
        <f t="shared" si="0"/>
        <v>0</v>
      </c>
      <c r="AI19" s="259">
        <f t="shared" si="0"/>
        <v>0</v>
      </c>
      <c r="AJ19" s="259">
        <f t="shared" si="0"/>
        <v>0</v>
      </c>
      <c r="AK19" s="258"/>
      <c r="AL19" s="258"/>
      <c r="AM19" s="258"/>
      <c r="AN19" s="258"/>
      <c r="AO19" s="258"/>
      <c r="AP19" s="258"/>
      <c r="AQ19" s="258"/>
      <c r="AR19" s="258"/>
      <c r="AS19" s="259">
        <f t="shared" si="2"/>
        <v>0</v>
      </c>
      <c r="AT19" s="259">
        <f t="shared" si="1"/>
        <v>0</v>
      </c>
      <c r="AU19" s="259">
        <f t="shared" si="1"/>
        <v>0</v>
      </c>
      <c r="AV19" s="259">
        <f t="shared" si="1"/>
        <v>0</v>
      </c>
      <c r="AW19" s="259">
        <f t="shared" si="1"/>
        <v>0</v>
      </c>
      <c r="AX19" s="259">
        <f t="shared" si="1"/>
        <v>0</v>
      </c>
      <c r="AY19" s="259">
        <f t="shared" si="1"/>
        <v>0</v>
      </c>
      <c r="AZ19" s="259">
        <f t="shared" si="1"/>
        <v>0</v>
      </c>
      <c r="BA19" s="260"/>
    </row>
    <row r="20" spans="1:53" s="261" customFormat="1" ht="19.95" customHeight="1">
      <c r="A20" s="254"/>
      <c r="B20" s="256"/>
      <c r="C20" s="256"/>
      <c r="D20" s="257"/>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9">
        <f t="shared" si="0"/>
        <v>0</v>
      </c>
      <c r="AD20" s="259">
        <f t="shared" si="0"/>
        <v>0</v>
      </c>
      <c r="AE20" s="259">
        <f t="shared" si="0"/>
        <v>0</v>
      </c>
      <c r="AF20" s="259">
        <f t="shared" si="0"/>
        <v>0</v>
      </c>
      <c r="AG20" s="259">
        <f t="shared" si="0"/>
        <v>0</v>
      </c>
      <c r="AH20" s="259">
        <f t="shared" si="0"/>
        <v>0</v>
      </c>
      <c r="AI20" s="259">
        <f t="shared" si="0"/>
        <v>0</v>
      </c>
      <c r="AJ20" s="259">
        <f t="shared" si="0"/>
        <v>0</v>
      </c>
      <c r="AK20" s="258"/>
      <c r="AL20" s="258"/>
      <c r="AM20" s="258"/>
      <c r="AN20" s="258"/>
      <c r="AO20" s="258"/>
      <c r="AP20" s="258"/>
      <c r="AQ20" s="258"/>
      <c r="AR20" s="258"/>
      <c r="AS20" s="259">
        <f t="shared" si="2"/>
        <v>0</v>
      </c>
      <c r="AT20" s="259">
        <f t="shared" si="1"/>
        <v>0</v>
      </c>
      <c r="AU20" s="259">
        <f t="shared" si="1"/>
        <v>0</v>
      </c>
      <c r="AV20" s="259">
        <f t="shared" si="1"/>
        <v>0</v>
      </c>
      <c r="AW20" s="259">
        <f t="shared" si="1"/>
        <v>0</v>
      </c>
      <c r="AX20" s="259">
        <f t="shared" si="1"/>
        <v>0</v>
      </c>
      <c r="AY20" s="259">
        <f t="shared" si="1"/>
        <v>0</v>
      </c>
      <c r="AZ20" s="259">
        <f t="shared" si="1"/>
        <v>0</v>
      </c>
      <c r="BA20" s="260"/>
    </row>
    <row r="21" spans="1:53" s="377" customFormat="1" ht="19.95" customHeight="1">
      <c r="A21" s="373" t="s">
        <v>634</v>
      </c>
      <c r="B21" s="374"/>
      <c r="C21" s="374"/>
      <c r="D21" s="375"/>
      <c r="E21" s="372">
        <f>SUM(E12:E20)</f>
        <v>0</v>
      </c>
      <c r="F21" s="372">
        <f t="shared" ref="F21:AZ21" si="19">SUM(F12:F20)</f>
        <v>0</v>
      </c>
      <c r="G21" s="372">
        <f t="shared" si="19"/>
        <v>0</v>
      </c>
      <c r="H21" s="372">
        <f t="shared" si="19"/>
        <v>0</v>
      </c>
      <c r="I21" s="372">
        <f t="shared" si="19"/>
        <v>0</v>
      </c>
      <c r="J21" s="372">
        <f t="shared" si="19"/>
        <v>0</v>
      </c>
      <c r="K21" s="372">
        <f t="shared" si="19"/>
        <v>0</v>
      </c>
      <c r="L21" s="372">
        <f t="shared" si="19"/>
        <v>0</v>
      </c>
      <c r="M21" s="372">
        <f t="shared" si="19"/>
        <v>0</v>
      </c>
      <c r="N21" s="372">
        <f t="shared" si="19"/>
        <v>0</v>
      </c>
      <c r="O21" s="372">
        <f t="shared" si="19"/>
        <v>0</v>
      </c>
      <c r="P21" s="372">
        <f t="shared" si="19"/>
        <v>0</v>
      </c>
      <c r="Q21" s="372">
        <f t="shared" si="19"/>
        <v>0</v>
      </c>
      <c r="R21" s="372">
        <f t="shared" si="19"/>
        <v>0</v>
      </c>
      <c r="S21" s="372">
        <f t="shared" si="19"/>
        <v>0</v>
      </c>
      <c r="T21" s="372">
        <f t="shared" si="19"/>
        <v>0</v>
      </c>
      <c r="U21" s="372">
        <f t="shared" si="19"/>
        <v>0</v>
      </c>
      <c r="V21" s="372">
        <f t="shared" si="19"/>
        <v>0</v>
      </c>
      <c r="W21" s="372">
        <f t="shared" si="19"/>
        <v>0</v>
      </c>
      <c r="X21" s="372">
        <f t="shared" si="19"/>
        <v>0</v>
      </c>
      <c r="Y21" s="372">
        <f t="shared" si="19"/>
        <v>0</v>
      </c>
      <c r="Z21" s="372">
        <f t="shared" si="19"/>
        <v>0</v>
      </c>
      <c r="AA21" s="372">
        <f t="shared" si="19"/>
        <v>0</v>
      </c>
      <c r="AB21" s="372">
        <f t="shared" si="19"/>
        <v>0</v>
      </c>
      <c r="AC21" s="372">
        <f t="shared" si="19"/>
        <v>0</v>
      </c>
      <c r="AD21" s="372">
        <f t="shared" si="19"/>
        <v>0</v>
      </c>
      <c r="AE21" s="372">
        <f t="shared" si="19"/>
        <v>0</v>
      </c>
      <c r="AF21" s="372">
        <f t="shared" si="19"/>
        <v>0</v>
      </c>
      <c r="AG21" s="372">
        <f t="shared" si="19"/>
        <v>0</v>
      </c>
      <c r="AH21" s="372">
        <f t="shared" si="19"/>
        <v>0</v>
      </c>
      <c r="AI21" s="372">
        <f t="shared" si="19"/>
        <v>0</v>
      </c>
      <c r="AJ21" s="372">
        <f t="shared" si="19"/>
        <v>0</v>
      </c>
      <c r="AK21" s="372">
        <f t="shared" si="19"/>
        <v>0</v>
      </c>
      <c r="AL21" s="372">
        <f t="shared" si="19"/>
        <v>0</v>
      </c>
      <c r="AM21" s="372">
        <f t="shared" si="19"/>
        <v>0</v>
      </c>
      <c r="AN21" s="372">
        <f t="shared" si="19"/>
        <v>0</v>
      </c>
      <c r="AO21" s="372">
        <f t="shared" si="19"/>
        <v>0</v>
      </c>
      <c r="AP21" s="372">
        <f t="shared" si="19"/>
        <v>0</v>
      </c>
      <c r="AQ21" s="372">
        <f t="shared" si="19"/>
        <v>0</v>
      </c>
      <c r="AR21" s="372">
        <f t="shared" si="19"/>
        <v>0</v>
      </c>
      <c r="AS21" s="372">
        <f t="shared" si="19"/>
        <v>0</v>
      </c>
      <c r="AT21" s="372">
        <f t="shared" si="19"/>
        <v>0</v>
      </c>
      <c r="AU21" s="372">
        <f t="shared" si="19"/>
        <v>0</v>
      </c>
      <c r="AV21" s="372">
        <f t="shared" si="19"/>
        <v>0</v>
      </c>
      <c r="AW21" s="372">
        <f t="shared" si="19"/>
        <v>0</v>
      </c>
      <c r="AX21" s="372">
        <f t="shared" si="19"/>
        <v>0</v>
      </c>
      <c r="AY21" s="372">
        <f t="shared" si="19"/>
        <v>0</v>
      </c>
      <c r="AZ21" s="372">
        <f t="shared" si="19"/>
        <v>0</v>
      </c>
      <c r="BA21" s="376"/>
    </row>
    <row r="22" spans="1:53" ht="19.95" customHeight="1">
      <c r="A22" s="262" t="s">
        <v>165</v>
      </c>
    </row>
    <row r="23" spans="1:53" ht="19.95" customHeight="1">
      <c r="A23" s="223"/>
    </row>
    <row r="24" spans="1:53" ht="19.95" customHeight="1">
      <c r="A24" s="223"/>
    </row>
    <row r="25" spans="1:53" ht="19.95" customHeight="1">
      <c r="A25" s="262" t="s">
        <v>166</v>
      </c>
    </row>
  </sheetData>
  <mergeCells count="55">
    <mergeCell ref="A1:BA1"/>
    <mergeCell ref="A2:BA2"/>
    <mergeCell ref="A9:A11"/>
    <mergeCell ref="B9:B11"/>
    <mergeCell ref="C9:C11"/>
    <mergeCell ref="D9:D11"/>
    <mergeCell ref="E9:L9"/>
    <mergeCell ref="M9:T9"/>
    <mergeCell ref="U9:AB9"/>
    <mergeCell ref="AC9:AJ9"/>
    <mergeCell ref="R10:R11"/>
    <mergeCell ref="AK9:AR9"/>
    <mergeCell ref="AS9:AZ9"/>
    <mergeCell ref="BA9:BA10"/>
    <mergeCell ref="E10:E11"/>
    <mergeCell ref="F10:F11"/>
    <mergeCell ref="G10:G11"/>
    <mergeCell ref="H10:H11"/>
    <mergeCell ref="I10:I11"/>
    <mergeCell ref="J10:J11"/>
    <mergeCell ref="K10:L10"/>
    <mergeCell ref="M10:M11"/>
    <mergeCell ref="N10:N11"/>
    <mergeCell ref="O10:O11"/>
    <mergeCell ref="P10:P11"/>
    <mergeCell ref="Q10:Q11"/>
    <mergeCell ref="AF10:AF11"/>
    <mergeCell ref="S10:T10"/>
    <mergeCell ref="U10:U11"/>
    <mergeCell ref="V10:V11"/>
    <mergeCell ref="W10:W11"/>
    <mergeCell ref="X10:X11"/>
    <mergeCell ref="Y10:Y11"/>
    <mergeCell ref="Z10:Z11"/>
    <mergeCell ref="AA10:AB10"/>
    <mergeCell ref="AC10:AC11"/>
    <mergeCell ref="AD10:AD11"/>
    <mergeCell ref="AE10:AE11"/>
    <mergeCell ref="AT10:AT11"/>
    <mergeCell ref="AG10:AG11"/>
    <mergeCell ref="AH10:AH11"/>
    <mergeCell ref="AI10:AJ10"/>
    <mergeCell ref="AK10:AK11"/>
    <mergeCell ref="AL10:AL11"/>
    <mergeCell ref="AM10:AM11"/>
    <mergeCell ref="AN10:AN11"/>
    <mergeCell ref="AO10:AO11"/>
    <mergeCell ref="AP10:AP11"/>
    <mergeCell ref="AQ10:AR10"/>
    <mergeCell ref="AS10:AS11"/>
    <mergeCell ref="AU10:AU11"/>
    <mergeCell ref="AV10:AV11"/>
    <mergeCell ref="AW10:AW11"/>
    <mergeCell ref="AX10:AX11"/>
    <mergeCell ref="AY10:AZ10"/>
  </mergeCells>
  <phoneticPr fontId="116" type="noConversion"/>
  <dataValidations count="1">
    <dataValidation type="list" allowBlank="1" showInputMessage="1" showErrorMessage="1" sqref="D12:D21">
      <formula1>"研究阶段,开发阶段"</formula1>
    </dataValidation>
  </dataValidations>
  <hyperlinks>
    <hyperlink ref="BA3" location="底稿目录!A1" display="I7-3"/>
  </hyperlinks>
  <pageMargins left="0.70866141732283472" right="0.70866141732283472" top="0.74803149606299213" bottom="0.74803149606299213" header="0.31496062992125984" footer="0.31496062992125984"/>
  <pageSetup paperSize="9" scale="42" orientation="landscape" blackAndWhite="1" r:id="rId1"/>
  <headerFooter>
    <oddFooter>&amp;C&amp;P/&amp;N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R38"/>
  <sheetViews>
    <sheetView view="pageBreakPreview" zoomScaleNormal="100" workbookViewId="0">
      <selection activeCell="S10" sqref="S10"/>
    </sheetView>
  </sheetViews>
  <sheetFormatPr defaultColWidth="9" defaultRowHeight="19.95" customHeight="1"/>
  <cols>
    <col min="1" max="1" width="9" style="213"/>
    <col min="2" max="2" width="8.6640625" style="213" customWidth="1"/>
    <col min="3" max="11" width="12.6640625" style="213" customWidth="1"/>
    <col min="12" max="12" width="9" style="213"/>
    <col min="13" max="13" width="9.77734375" style="213" customWidth="1"/>
    <col min="14" max="16384" width="9" style="213"/>
  </cols>
  <sheetData>
    <row r="1" spans="1:18" ht="19.95" customHeight="1">
      <c r="A1" s="493" t="s">
        <v>57</v>
      </c>
      <c r="B1" s="493"/>
      <c r="C1" s="493"/>
      <c r="D1" s="493"/>
      <c r="E1" s="493"/>
      <c r="F1" s="493"/>
      <c r="G1" s="493"/>
      <c r="H1" s="493"/>
      <c r="I1" s="493"/>
      <c r="J1" s="493"/>
      <c r="K1" s="493"/>
      <c r="L1" s="493"/>
      <c r="M1" s="493"/>
      <c r="N1" s="493"/>
      <c r="O1" s="493"/>
      <c r="P1" s="493"/>
      <c r="Q1" s="493"/>
    </row>
    <row r="2" spans="1:18" ht="19.95" customHeight="1">
      <c r="A2" s="494" t="s">
        <v>507</v>
      </c>
      <c r="B2" s="494"/>
      <c r="C2" s="494"/>
      <c r="D2" s="494"/>
      <c r="E2" s="494"/>
      <c r="F2" s="494"/>
      <c r="G2" s="494"/>
      <c r="H2" s="494"/>
      <c r="I2" s="494"/>
      <c r="J2" s="494"/>
      <c r="K2" s="494"/>
      <c r="L2" s="494"/>
      <c r="M2" s="494"/>
      <c r="N2" s="494"/>
      <c r="O2" s="494"/>
      <c r="P2" s="494"/>
      <c r="Q2" s="494"/>
    </row>
    <row r="3" spans="1:18" s="278" customFormat="1" ht="19.95" customHeight="1">
      <c r="A3" s="93" t="str">
        <f>底稿目录!A2</f>
        <v>被审计单位：</v>
      </c>
      <c r="C3" s="47"/>
      <c r="D3" s="47"/>
      <c r="E3" s="47"/>
      <c r="F3" s="312" t="str">
        <f>底稿目录!$A$4</f>
        <v>编制人：</v>
      </c>
      <c r="G3" s="47"/>
      <c r="H3" s="47"/>
      <c r="I3" s="47"/>
      <c r="J3" s="313" t="str">
        <f>底稿目录!$A$5</f>
        <v>编制日期：</v>
      </c>
      <c r="K3" s="47"/>
      <c r="L3" s="47"/>
      <c r="M3" s="47"/>
      <c r="N3" s="315"/>
      <c r="P3" s="314" t="s">
        <v>185</v>
      </c>
      <c r="Q3" s="419" t="str">
        <f>底稿目录!D14</f>
        <v>I2-8</v>
      </c>
    </row>
    <row r="4" spans="1:18" s="278" customFormat="1" ht="19.95" customHeight="1">
      <c r="A4" s="93" t="str">
        <f>底稿目录!A3</f>
        <v>截止日：202X年12月31日</v>
      </c>
      <c r="C4" s="47"/>
      <c r="D4" s="47"/>
      <c r="E4" s="47"/>
      <c r="F4" s="312" t="str">
        <f>底稿目录!$A$6</f>
        <v>复核人：</v>
      </c>
      <c r="G4" s="47"/>
      <c r="H4" s="47"/>
      <c r="I4" s="47"/>
      <c r="J4" s="313" t="str">
        <f>底稿目录!$A$7</f>
        <v>复核日期：</v>
      </c>
      <c r="K4" s="47"/>
      <c r="L4" s="47"/>
      <c r="M4" s="47"/>
      <c r="N4" s="315"/>
      <c r="P4" s="316" t="s">
        <v>601</v>
      </c>
      <c r="Q4" s="317"/>
    </row>
    <row r="5" spans="1:18" ht="19.95" customHeight="1">
      <c r="A5" s="263" t="s">
        <v>145</v>
      </c>
      <c r="C5" s="264"/>
      <c r="D5" s="264"/>
      <c r="E5" s="226"/>
      <c r="F5" s="226"/>
      <c r="G5" s="226"/>
      <c r="H5" s="226"/>
      <c r="I5" s="227"/>
      <c r="J5" s="226"/>
      <c r="K5" s="226"/>
      <c r="L5" s="226"/>
      <c r="M5" s="226"/>
      <c r="N5" s="226"/>
    </row>
    <row r="6" spans="1:18" ht="19.95" customHeight="1">
      <c r="A6" s="225" t="s">
        <v>508</v>
      </c>
      <c r="C6" s="226"/>
      <c r="D6" s="226"/>
      <c r="E6" s="226"/>
      <c r="F6" s="226"/>
      <c r="G6" s="226"/>
      <c r="H6" s="226"/>
      <c r="I6" s="227"/>
      <c r="J6" s="226"/>
      <c r="K6" s="226"/>
      <c r="L6" s="226"/>
      <c r="M6" s="226"/>
      <c r="N6" s="226"/>
    </row>
    <row r="7" spans="1:18" ht="19.95" customHeight="1">
      <c r="A7" s="226" t="s">
        <v>509</v>
      </c>
      <c r="C7" s="226"/>
      <c r="D7" s="226"/>
      <c r="E7" s="226"/>
      <c r="F7" s="226"/>
      <c r="G7" s="226"/>
      <c r="H7" s="226"/>
      <c r="I7" s="227"/>
      <c r="J7" s="226"/>
      <c r="K7" s="226"/>
      <c r="L7" s="226"/>
      <c r="M7" s="226"/>
      <c r="N7" s="226"/>
    </row>
    <row r="8" spans="1:18" ht="19.95" customHeight="1">
      <c r="A8" s="265" t="s">
        <v>209</v>
      </c>
      <c r="C8" s="250"/>
      <c r="D8" s="250"/>
      <c r="E8" s="250"/>
      <c r="F8" s="250"/>
      <c r="G8" s="250"/>
      <c r="H8" s="250"/>
      <c r="I8" s="250"/>
      <c r="J8" s="250"/>
      <c r="K8" s="250"/>
      <c r="L8" s="250"/>
      <c r="M8" s="250"/>
      <c r="N8" s="250"/>
      <c r="O8" s="250"/>
      <c r="P8" s="250"/>
    </row>
    <row r="9" spans="1:18" ht="19.95" customHeight="1">
      <c r="A9" s="266" t="s">
        <v>191</v>
      </c>
      <c r="B9" s="267" t="s">
        <v>510</v>
      </c>
      <c r="D9" s="250"/>
      <c r="E9" s="250"/>
      <c r="F9" s="250"/>
      <c r="G9" s="266" t="s">
        <v>193</v>
      </c>
      <c r="H9" s="267" t="s">
        <v>194</v>
      </c>
      <c r="I9" s="250"/>
      <c r="J9" s="250"/>
      <c r="K9" s="250"/>
      <c r="L9" s="250"/>
      <c r="M9" s="250"/>
      <c r="N9" s="250"/>
      <c r="O9" s="250"/>
      <c r="P9" s="250"/>
    </row>
    <row r="10" spans="1:18" ht="19.95" customHeight="1">
      <c r="A10" s="266" t="s">
        <v>195</v>
      </c>
      <c r="B10" s="267" t="s">
        <v>196</v>
      </c>
      <c r="D10" s="250"/>
      <c r="E10" s="250"/>
      <c r="F10" s="250"/>
      <c r="G10" s="266" t="s">
        <v>197</v>
      </c>
      <c r="H10" s="267"/>
      <c r="I10" s="267" t="s">
        <v>198</v>
      </c>
      <c r="J10" s="267" t="s">
        <v>199</v>
      </c>
      <c r="K10" s="267"/>
      <c r="L10" s="250"/>
      <c r="M10" s="250"/>
      <c r="N10" s="250"/>
      <c r="O10" s="250"/>
      <c r="P10" s="250"/>
    </row>
    <row r="11" spans="1:18" ht="19.95" customHeight="1">
      <c r="A11" s="266" t="s">
        <v>200</v>
      </c>
      <c r="B11" s="378" t="s">
        <v>635</v>
      </c>
      <c r="D11" s="250"/>
      <c r="E11" s="250"/>
      <c r="F11" s="250"/>
      <c r="G11" s="266" t="s">
        <v>201</v>
      </c>
      <c r="H11" s="267" t="s">
        <v>202</v>
      </c>
      <c r="I11" s="250"/>
      <c r="J11" s="250"/>
      <c r="K11" s="250"/>
      <c r="L11" s="250"/>
      <c r="M11" s="250"/>
      <c r="N11" s="250"/>
      <c r="O11" s="250"/>
      <c r="P11" s="250"/>
    </row>
    <row r="12" spans="1:18" ht="19.95" customHeight="1">
      <c r="A12" s="268" t="s">
        <v>511</v>
      </c>
      <c r="C12" s="226"/>
      <c r="D12" s="226"/>
      <c r="E12" s="226"/>
      <c r="F12" s="226"/>
      <c r="G12" s="226"/>
      <c r="H12" s="226"/>
      <c r="I12" s="225"/>
      <c r="L12" s="226"/>
      <c r="M12" s="226"/>
      <c r="N12" s="226"/>
    </row>
    <row r="13" spans="1:18" ht="19.95" customHeight="1">
      <c r="A13" s="269" t="s">
        <v>512</v>
      </c>
      <c r="C13" s="226"/>
      <c r="D13" s="226"/>
      <c r="E13" s="226"/>
      <c r="F13" s="226"/>
      <c r="G13" s="226"/>
      <c r="H13" s="226"/>
      <c r="I13" s="225"/>
      <c r="L13" s="226"/>
      <c r="M13" s="226"/>
      <c r="N13" s="226"/>
    </row>
    <row r="14" spans="1:18" ht="19.95" customHeight="1">
      <c r="A14" s="495" t="s">
        <v>214</v>
      </c>
      <c r="B14" s="495"/>
      <c r="C14" s="495"/>
      <c r="D14" s="495"/>
      <c r="E14" s="495"/>
      <c r="F14" s="495"/>
      <c r="G14" s="495"/>
      <c r="H14" s="495"/>
      <c r="I14" s="495"/>
      <c r="J14" s="496" t="s">
        <v>513</v>
      </c>
      <c r="K14" s="496"/>
      <c r="L14" s="496"/>
      <c r="M14" s="496"/>
      <c r="N14" s="496"/>
      <c r="O14" s="497" t="s">
        <v>98</v>
      </c>
      <c r="P14" s="495" t="s">
        <v>363</v>
      </c>
      <c r="Q14" s="498" t="s">
        <v>364</v>
      </c>
    </row>
    <row r="15" spans="1:18" ht="19.95" customHeight="1">
      <c r="A15" s="334" t="s">
        <v>514</v>
      </c>
      <c r="B15" s="334" t="s">
        <v>366</v>
      </c>
      <c r="C15" s="334" t="s">
        <v>367</v>
      </c>
      <c r="D15" s="334" t="s">
        <v>515</v>
      </c>
      <c r="E15" s="334" t="s">
        <v>516</v>
      </c>
      <c r="F15" s="334" t="s">
        <v>517</v>
      </c>
      <c r="G15" s="333" t="s">
        <v>518</v>
      </c>
      <c r="H15" s="334" t="s">
        <v>368</v>
      </c>
      <c r="I15" s="334" t="s">
        <v>369</v>
      </c>
      <c r="J15" s="335" t="s">
        <v>519</v>
      </c>
      <c r="K15" s="336" t="s">
        <v>520</v>
      </c>
      <c r="L15" s="336" t="s">
        <v>521</v>
      </c>
      <c r="M15" s="336" t="s">
        <v>522</v>
      </c>
      <c r="N15" s="336" t="s">
        <v>517</v>
      </c>
      <c r="O15" s="497"/>
      <c r="P15" s="495"/>
      <c r="Q15" s="498"/>
    </row>
    <row r="16" spans="1:18" s="216" customFormat="1" ht="19.95" customHeight="1">
      <c r="A16" s="397"/>
      <c r="B16" s="380"/>
      <c r="C16" s="381"/>
      <c r="D16" s="381"/>
      <c r="E16" s="381"/>
      <c r="F16" s="382"/>
      <c r="G16" s="383"/>
      <c r="H16" s="381"/>
      <c r="I16" s="381"/>
      <c r="J16" s="384"/>
      <c r="K16" s="384"/>
      <c r="L16" s="381"/>
      <c r="M16" s="381"/>
      <c r="N16" s="385"/>
      <c r="O16" s="384"/>
      <c r="P16" s="386"/>
      <c r="Q16" s="387"/>
      <c r="R16" s="267" t="s">
        <v>638</v>
      </c>
    </row>
    <row r="17" spans="1:18" s="216" customFormat="1" ht="19.95" customHeight="1">
      <c r="A17" s="397"/>
      <c r="B17" s="380"/>
      <c r="C17" s="381"/>
      <c r="D17" s="381"/>
      <c r="E17" s="381"/>
      <c r="F17" s="382"/>
      <c r="G17" s="383"/>
      <c r="H17" s="381"/>
      <c r="I17" s="381"/>
      <c r="J17" s="384"/>
      <c r="K17" s="384"/>
      <c r="L17" s="381"/>
      <c r="M17" s="381"/>
      <c r="N17" s="385"/>
      <c r="O17" s="384"/>
      <c r="P17" s="386"/>
      <c r="Q17" s="387"/>
      <c r="R17" s="267"/>
    </row>
    <row r="18" spans="1:18" s="216" customFormat="1" ht="19.95" customHeight="1">
      <c r="A18" s="397"/>
      <c r="B18" s="380"/>
      <c r="C18" s="381"/>
      <c r="D18" s="381"/>
      <c r="E18" s="381"/>
      <c r="F18" s="382"/>
      <c r="G18" s="383"/>
      <c r="H18" s="381"/>
      <c r="I18" s="381"/>
      <c r="J18" s="384"/>
      <c r="K18" s="384"/>
      <c r="L18" s="381"/>
      <c r="M18" s="381"/>
      <c r="N18" s="385"/>
      <c r="O18" s="384"/>
      <c r="P18" s="386"/>
      <c r="Q18" s="387"/>
      <c r="R18" s="267"/>
    </row>
    <row r="19" spans="1:18" s="216" customFormat="1" ht="19.95" customHeight="1">
      <c r="A19" s="397"/>
      <c r="B19" s="380"/>
      <c r="C19" s="381"/>
      <c r="D19" s="381"/>
      <c r="E19" s="381"/>
      <c r="F19" s="382"/>
      <c r="G19" s="383"/>
      <c r="H19" s="381"/>
      <c r="I19" s="381"/>
      <c r="J19" s="384"/>
      <c r="K19" s="384"/>
      <c r="L19" s="381"/>
      <c r="M19" s="381"/>
      <c r="N19" s="385"/>
      <c r="O19" s="384"/>
      <c r="P19" s="386"/>
      <c r="Q19" s="387"/>
      <c r="R19" s="267"/>
    </row>
    <row r="20" spans="1:18" s="216" customFormat="1" ht="19.95" customHeight="1">
      <c r="A20" s="397"/>
      <c r="B20" s="380"/>
      <c r="C20" s="381"/>
      <c r="D20" s="381"/>
      <c r="E20" s="381"/>
      <c r="F20" s="382"/>
      <c r="G20" s="383"/>
      <c r="H20" s="381"/>
      <c r="I20" s="381"/>
      <c r="J20" s="384"/>
      <c r="K20" s="384"/>
      <c r="L20" s="381"/>
      <c r="M20" s="381"/>
      <c r="N20" s="385"/>
      <c r="O20" s="384"/>
      <c r="P20" s="386"/>
      <c r="Q20" s="387"/>
      <c r="R20" s="267"/>
    </row>
    <row r="21" spans="1:18" s="216" customFormat="1" ht="19.95" customHeight="1">
      <c r="A21" s="397"/>
      <c r="B21" s="380"/>
      <c r="C21" s="381"/>
      <c r="D21" s="381"/>
      <c r="E21" s="381"/>
      <c r="F21" s="382"/>
      <c r="G21" s="383"/>
      <c r="H21" s="381"/>
      <c r="I21" s="381"/>
      <c r="J21" s="384"/>
      <c r="K21" s="384"/>
      <c r="L21" s="381"/>
      <c r="M21" s="381"/>
      <c r="N21" s="385"/>
      <c r="O21" s="384"/>
      <c r="P21" s="386"/>
      <c r="Q21" s="387"/>
      <c r="R21" s="267"/>
    </row>
    <row r="22" spans="1:18" s="216" customFormat="1" ht="19.95" customHeight="1">
      <c r="A22" s="397"/>
      <c r="B22" s="380"/>
      <c r="C22" s="381"/>
      <c r="D22" s="381"/>
      <c r="E22" s="381"/>
      <c r="F22" s="382"/>
      <c r="G22" s="383"/>
      <c r="H22" s="381"/>
      <c r="I22" s="381"/>
      <c r="J22" s="384"/>
      <c r="K22" s="384"/>
      <c r="L22" s="381"/>
      <c r="M22" s="381"/>
      <c r="N22" s="385"/>
      <c r="O22" s="384"/>
      <c r="P22" s="386"/>
      <c r="Q22" s="387"/>
      <c r="R22" s="267"/>
    </row>
    <row r="23" spans="1:18" s="216" customFormat="1" ht="19.95" customHeight="1">
      <c r="A23" s="397"/>
      <c r="B23" s="380"/>
      <c r="C23" s="381"/>
      <c r="D23" s="381"/>
      <c r="E23" s="381"/>
      <c r="F23" s="382"/>
      <c r="G23" s="383"/>
      <c r="H23" s="381"/>
      <c r="I23" s="381"/>
      <c r="J23" s="384"/>
      <c r="K23" s="384"/>
      <c r="L23" s="381"/>
      <c r="M23" s="381"/>
      <c r="N23" s="385"/>
      <c r="O23" s="384"/>
      <c r="P23" s="386"/>
      <c r="Q23" s="387"/>
      <c r="R23" s="267"/>
    </row>
    <row r="24" spans="1:18" s="216" customFormat="1" ht="19.95" customHeight="1">
      <c r="A24" s="397"/>
      <c r="B24" s="380"/>
      <c r="C24" s="381"/>
      <c r="D24" s="381"/>
      <c r="E24" s="381"/>
      <c r="F24" s="382"/>
      <c r="G24" s="383"/>
      <c r="H24" s="381"/>
      <c r="I24" s="381"/>
      <c r="J24" s="384"/>
      <c r="K24" s="384"/>
      <c r="L24" s="381"/>
      <c r="M24" s="381"/>
      <c r="N24" s="385"/>
      <c r="O24" s="384"/>
      <c r="P24" s="386"/>
      <c r="Q24" s="387"/>
      <c r="R24" s="267"/>
    </row>
    <row r="25" spans="1:18" s="216" customFormat="1" ht="19.95" customHeight="1">
      <c r="A25" s="397"/>
      <c r="B25" s="380"/>
      <c r="C25" s="381"/>
      <c r="D25" s="381"/>
      <c r="E25" s="381"/>
      <c r="F25" s="382"/>
      <c r="G25" s="383"/>
      <c r="H25" s="381"/>
      <c r="I25" s="381"/>
      <c r="J25" s="384"/>
      <c r="K25" s="384"/>
      <c r="L25" s="381"/>
      <c r="M25" s="381"/>
      <c r="N25" s="385"/>
      <c r="O25" s="384"/>
      <c r="P25" s="386"/>
      <c r="Q25" s="387"/>
      <c r="R25" s="267"/>
    </row>
    <row r="26" spans="1:18" s="216" customFormat="1" ht="20.55" customHeight="1">
      <c r="A26" s="397"/>
      <c r="B26" s="384"/>
      <c r="C26" s="384"/>
      <c r="D26" s="384"/>
      <c r="E26" s="388"/>
      <c r="F26" s="382"/>
      <c r="G26" s="389"/>
      <c r="H26" s="390"/>
      <c r="I26" s="390"/>
      <c r="J26" s="380"/>
      <c r="K26" s="380"/>
      <c r="L26" s="380"/>
      <c r="M26" s="380"/>
      <c r="N26" s="384"/>
      <c r="O26" s="380"/>
      <c r="P26" s="382"/>
      <c r="Q26" s="388"/>
    </row>
    <row r="27" spans="1:18" s="216" customFormat="1" ht="19.95" customHeight="1">
      <c r="A27" s="398"/>
      <c r="B27" s="384"/>
      <c r="C27" s="384"/>
      <c r="D27" s="384"/>
      <c r="E27" s="388"/>
      <c r="F27" s="382"/>
      <c r="G27" s="389"/>
      <c r="H27" s="390"/>
      <c r="I27" s="390"/>
      <c r="J27" s="380"/>
      <c r="K27" s="380"/>
      <c r="L27" s="380"/>
      <c r="M27" s="380"/>
      <c r="N27" s="384"/>
      <c r="O27" s="380"/>
      <c r="P27" s="382"/>
      <c r="Q27" s="388"/>
    </row>
    <row r="28" spans="1:18" s="216" customFormat="1" ht="19.95" customHeight="1">
      <c r="A28" s="398"/>
      <c r="B28" s="384"/>
      <c r="C28" s="384"/>
      <c r="D28" s="399"/>
      <c r="E28" s="384"/>
      <c r="F28" s="382"/>
      <c r="G28" s="389"/>
      <c r="H28" s="390"/>
      <c r="I28" s="390"/>
      <c r="J28" s="390"/>
      <c r="K28" s="390"/>
      <c r="L28" s="390"/>
      <c r="M28" s="390"/>
      <c r="N28" s="384"/>
      <c r="O28" s="390"/>
      <c r="P28" s="382"/>
      <c r="Q28" s="388"/>
    </row>
    <row r="29" spans="1:18" s="216" customFormat="1" ht="19.95" customHeight="1">
      <c r="A29" s="398"/>
      <c r="B29" s="384"/>
      <c r="C29" s="384"/>
      <c r="D29" s="384"/>
      <c r="E29" s="388"/>
      <c r="F29" s="382"/>
      <c r="G29" s="389"/>
      <c r="H29" s="390"/>
      <c r="I29" s="390"/>
      <c r="J29" s="390"/>
      <c r="K29" s="390"/>
      <c r="L29" s="390"/>
      <c r="M29" s="390"/>
      <c r="N29" s="384"/>
      <c r="O29" s="390"/>
      <c r="P29" s="382"/>
      <c r="Q29" s="388"/>
    </row>
    <row r="30" spans="1:18" s="216" customFormat="1" ht="19.95" customHeight="1">
      <c r="A30" s="398"/>
      <c r="B30" s="384"/>
      <c r="C30" s="384"/>
      <c r="D30" s="384"/>
      <c r="E30" s="388"/>
      <c r="F30" s="382"/>
      <c r="G30" s="389"/>
      <c r="H30" s="390"/>
      <c r="I30" s="390"/>
      <c r="J30" s="390"/>
      <c r="K30" s="390"/>
      <c r="L30" s="390"/>
      <c r="M30" s="390"/>
      <c r="N30" s="384"/>
      <c r="O30" s="390"/>
      <c r="P30" s="382"/>
      <c r="Q30" s="388"/>
    </row>
    <row r="31" spans="1:18" s="216" customFormat="1" ht="19.95" customHeight="1">
      <c r="A31" s="492" t="s">
        <v>164</v>
      </c>
      <c r="B31" s="492"/>
      <c r="C31" s="492"/>
      <c r="D31" s="391"/>
      <c r="E31" s="392"/>
      <c r="F31" s="392"/>
      <c r="G31" s="393">
        <f>SUM(G16:G30)</f>
        <v>0</v>
      </c>
      <c r="H31" s="392"/>
      <c r="I31" s="392"/>
      <c r="J31" s="394"/>
      <c r="K31" s="394"/>
      <c r="L31" s="394"/>
      <c r="M31" s="394"/>
      <c r="N31" s="394"/>
      <c r="O31" s="393"/>
      <c r="P31" s="394"/>
      <c r="Q31" s="395"/>
    </row>
    <row r="32" spans="1:18" s="216" customFormat="1" ht="19.95" customHeight="1">
      <c r="A32" s="492" t="s">
        <v>636</v>
      </c>
      <c r="B32" s="492"/>
      <c r="C32" s="492"/>
      <c r="D32" s="391"/>
      <c r="E32" s="392"/>
      <c r="F32" s="392"/>
      <c r="G32" s="393">
        <f>'研发项目构成明细表I2-7'!M21</f>
        <v>0</v>
      </c>
      <c r="H32" s="392"/>
      <c r="I32" s="392"/>
      <c r="J32" s="394"/>
      <c r="K32" s="394"/>
      <c r="L32" s="394"/>
      <c r="M32" s="394"/>
      <c r="N32" s="394"/>
      <c r="O32" s="393"/>
      <c r="P32" s="394"/>
      <c r="Q32" s="395"/>
    </row>
    <row r="33" spans="1:17" s="379" customFormat="1" ht="19.95" customHeight="1">
      <c r="A33" s="492" t="s">
        <v>637</v>
      </c>
      <c r="B33" s="492"/>
      <c r="C33" s="492"/>
      <c r="D33" s="391"/>
      <c r="E33" s="392"/>
      <c r="F33" s="392"/>
      <c r="G33" s="396" t="e">
        <f>G31/G32</f>
        <v>#DIV/0!</v>
      </c>
      <c r="H33" s="392"/>
      <c r="I33" s="392"/>
      <c r="J33" s="394"/>
      <c r="K33" s="394"/>
      <c r="L33" s="394"/>
      <c r="M33" s="394"/>
      <c r="N33" s="394"/>
      <c r="O33" s="393"/>
      <c r="P33" s="394"/>
      <c r="Q33" s="395"/>
    </row>
    <row r="34" spans="1:17" ht="19.95" customHeight="1">
      <c r="A34" s="262" t="s">
        <v>223</v>
      </c>
      <c r="J34" s="270"/>
      <c r="K34" s="270"/>
      <c r="L34" s="250"/>
      <c r="M34" s="250"/>
      <c r="N34" s="250"/>
      <c r="O34" s="250"/>
    </row>
    <row r="35" spans="1:17" ht="19.95" customHeight="1">
      <c r="A35" s="262"/>
      <c r="J35" s="271"/>
      <c r="K35" s="271"/>
      <c r="L35" s="272"/>
      <c r="M35" s="272"/>
      <c r="N35" s="271"/>
      <c r="O35" s="250"/>
    </row>
    <row r="36" spans="1:17" ht="19.95" customHeight="1">
      <c r="A36" s="262"/>
      <c r="J36" s="271"/>
      <c r="K36" s="271"/>
      <c r="L36" s="272"/>
      <c r="M36" s="272"/>
      <c r="N36" s="271"/>
      <c r="O36" s="250"/>
    </row>
    <row r="37" spans="1:17" ht="19.95" customHeight="1">
      <c r="A37" s="223"/>
      <c r="J37" s="271"/>
      <c r="K37" s="271"/>
      <c r="L37" s="272"/>
      <c r="M37" s="272"/>
      <c r="N37" s="272"/>
      <c r="O37" s="250"/>
    </row>
    <row r="38" spans="1:17" ht="19.95" customHeight="1">
      <c r="A38" s="262" t="s">
        <v>523</v>
      </c>
    </row>
  </sheetData>
  <mergeCells count="10">
    <mergeCell ref="A31:C31"/>
    <mergeCell ref="A32:C32"/>
    <mergeCell ref="A33:C33"/>
    <mergeCell ref="A1:Q1"/>
    <mergeCell ref="A2:Q2"/>
    <mergeCell ref="A14:I14"/>
    <mergeCell ref="J14:N14"/>
    <mergeCell ref="O14:O15"/>
    <mergeCell ref="P14:P15"/>
    <mergeCell ref="Q14:Q15"/>
  </mergeCells>
  <phoneticPr fontId="116" type="noConversion"/>
  <hyperlinks>
    <hyperlink ref="Q3" location="底稿目录!A1" display="I7-8"/>
  </hyperlinks>
  <pageMargins left="0.70866141732283472" right="0.70866141732283472" top="0.74803149606299213" bottom="0.74803149606299213" header="0.31496062992125984" footer="0.31496062992125984"/>
  <pageSetup paperSize="9" scale="71" fitToHeight="0" orientation="landscape" blackAndWhite="1" r:id="rId1"/>
  <headerFooter>
    <oddFooter>&amp;C&amp;P/&amp;N</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S34"/>
  <sheetViews>
    <sheetView view="pageBreakPreview" zoomScaleNormal="100" workbookViewId="0">
      <selection activeCell="Q14" sqref="Q14"/>
    </sheetView>
  </sheetViews>
  <sheetFormatPr defaultColWidth="9" defaultRowHeight="19.95" customHeight="1"/>
  <cols>
    <col min="1" max="1" width="5.33203125" style="213" customWidth="1"/>
    <col min="2" max="2" width="8.5546875" style="213" customWidth="1"/>
    <col min="3" max="4" width="7.6640625" style="213" customWidth="1"/>
    <col min="5" max="5" width="7.88671875" style="213" customWidth="1"/>
    <col min="6" max="6" width="18.33203125" style="213" customWidth="1"/>
    <col min="7" max="7" width="10.88671875" style="213" customWidth="1"/>
    <col min="8" max="8" width="13.6640625" style="213" customWidth="1"/>
    <col min="9" max="9" width="13" style="213" customWidth="1"/>
    <col min="10" max="10" width="11.44140625" style="213" customWidth="1"/>
    <col min="11" max="11" width="13.44140625" style="213" customWidth="1"/>
    <col min="12" max="12" width="11.44140625" style="213" customWidth="1"/>
    <col min="13" max="13" width="11.88671875" style="213" customWidth="1"/>
    <col min="14" max="14" width="12.21875" style="213" customWidth="1"/>
    <col min="15" max="16" width="10.6640625" style="213" customWidth="1"/>
    <col min="17" max="16384" width="9" style="213"/>
  </cols>
  <sheetData>
    <row r="1" spans="1:19" s="273" customFormat="1" ht="19.95" customHeight="1">
      <c r="A1" s="493" t="s">
        <v>524</v>
      </c>
      <c r="B1" s="493"/>
      <c r="C1" s="493"/>
      <c r="D1" s="493"/>
      <c r="E1" s="493"/>
      <c r="F1" s="493"/>
      <c r="G1" s="493"/>
      <c r="H1" s="493"/>
      <c r="I1" s="493"/>
      <c r="J1" s="493"/>
      <c r="K1" s="493"/>
      <c r="L1" s="493"/>
      <c r="M1" s="493"/>
      <c r="N1" s="493"/>
      <c r="O1" s="493"/>
      <c r="P1" s="493"/>
    </row>
    <row r="2" spans="1:19" s="273" customFormat="1" ht="19.95" customHeight="1">
      <c r="A2" s="494" t="s">
        <v>525</v>
      </c>
      <c r="B2" s="494"/>
      <c r="C2" s="494"/>
      <c r="D2" s="494"/>
      <c r="E2" s="494"/>
      <c r="F2" s="494"/>
      <c r="G2" s="494"/>
      <c r="H2" s="494"/>
      <c r="I2" s="494"/>
      <c r="J2" s="494"/>
      <c r="K2" s="494"/>
      <c r="L2" s="494"/>
      <c r="M2" s="494"/>
      <c r="N2" s="494"/>
      <c r="O2" s="494"/>
      <c r="P2" s="494"/>
    </row>
    <row r="3" spans="1:19" s="321" customFormat="1" ht="19.95" customHeight="1">
      <c r="A3" s="111" t="str">
        <f>底稿目录!A2</f>
        <v>被审计单位：</v>
      </c>
      <c r="B3" s="318"/>
      <c r="C3" s="318"/>
      <c r="D3" s="318"/>
      <c r="E3" s="319" t="str">
        <f>底稿目录!$A$4</f>
        <v>编制人：</v>
      </c>
      <c r="F3" s="318"/>
      <c r="G3" s="318"/>
      <c r="H3" s="318"/>
      <c r="I3" s="320" t="str">
        <f>底稿目录!$A$5</f>
        <v>编制日期：</v>
      </c>
      <c r="O3" s="322" t="s">
        <v>185</v>
      </c>
      <c r="P3" s="419" t="str">
        <f>底稿目录!D15</f>
        <v>I2-9</v>
      </c>
    </row>
    <row r="4" spans="1:19" s="321" customFormat="1" ht="19.95" customHeight="1">
      <c r="A4" s="111" t="str">
        <f>底稿目录!A3</f>
        <v>截止日：202X年12月31日</v>
      </c>
      <c r="B4" s="318"/>
      <c r="C4" s="318"/>
      <c r="D4" s="318"/>
      <c r="E4" s="319" t="str">
        <f>底稿目录!$A$6</f>
        <v>复核人：</v>
      </c>
      <c r="F4" s="318"/>
      <c r="G4" s="318"/>
      <c r="H4" s="318"/>
      <c r="I4" s="320" t="str">
        <f>底稿目录!$A$7</f>
        <v>复核日期：</v>
      </c>
      <c r="O4" s="323" t="s">
        <v>601</v>
      </c>
      <c r="P4" s="324"/>
    </row>
    <row r="5" spans="1:19" s="226" customFormat="1" ht="19.95" customHeight="1">
      <c r="A5" s="263" t="s">
        <v>145</v>
      </c>
      <c r="B5" s="264"/>
      <c r="H5" s="227"/>
      <c r="I5" s="227"/>
      <c r="P5" s="274"/>
      <c r="S5" s="275"/>
    </row>
    <row r="6" spans="1:19" s="226" customFormat="1" ht="19.95" customHeight="1">
      <c r="A6" s="225" t="s">
        <v>508</v>
      </c>
      <c r="H6" s="226" t="s">
        <v>509</v>
      </c>
      <c r="I6" s="227"/>
      <c r="P6" s="274"/>
      <c r="S6" s="275"/>
    </row>
    <row r="7" spans="1:19" s="226" customFormat="1" ht="19.95" customHeight="1">
      <c r="A7" s="276" t="s">
        <v>147</v>
      </c>
      <c r="H7" s="225"/>
      <c r="I7" s="225"/>
      <c r="P7" s="274"/>
      <c r="S7" s="275"/>
    </row>
    <row r="8" spans="1:19" s="278" customFormat="1" ht="36">
      <c r="A8" s="288" t="s">
        <v>34</v>
      </c>
      <c r="B8" s="288" t="s">
        <v>526</v>
      </c>
      <c r="C8" s="288" t="s">
        <v>527</v>
      </c>
      <c r="D8" s="337" t="s">
        <v>528</v>
      </c>
      <c r="E8" s="288" t="s">
        <v>529</v>
      </c>
      <c r="F8" s="288" t="s">
        <v>530</v>
      </c>
      <c r="G8" s="337" t="s">
        <v>531</v>
      </c>
      <c r="H8" s="288" t="s">
        <v>532</v>
      </c>
      <c r="I8" s="288" t="s">
        <v>533</v>
      </c>
      <c r="J8" s="288" t="s">
        <v>534</v>
      </c>
      <c r="K8" s="288" t="s">
        <v>535</v>
      </c>
      <c r="L8" s="288" t="s">
        <v>536</v>
      </c>
      <c r="M8" s="288" t="s">
        <v>537</v>
      </c>
      <c r="N8" s="288" t="s">
        <v>646</v>
      </c>
      <c r="O8" s="289" t="s">
        <v>538</v>
      </c>
      <c r="P8" s="288" t="s">
        <v>539</v>
      </c>
      <c r="Q8" s="277" t="s">
        <v>639</v>
      </c>
    </row>
    <row r="9" spans="1:19" ht="19.95" customHeight="1">
      <c r="A9" s="279"/>
      <c r="B9" s="280"/>
      <c r="C9" s="281"/>
      <c r="D9" s="281"/>
      <c r="E9" s="280"/>
      <c r="F9" s="281"/>
      <c r="G9" s="281"/>
      <c r="H9" s="281"/>
      <c r="I9" s="281"/>
      <c r="J9" s="282"/>
      <c r="K9" s="282"/>
      <c r="L9" s="282"/>
      <c r="M9" s="282"/>
      <c r="N9" s="282"/>
      <c r="O9" s="282"/>
      <c r="P9" s="282"/>
    </row>
    <row r="10" spans="1:19" ht="19.95" customHeight="1">
      <c r="A10" s="279"/>
      <c r="B10" s="280"/>
      <c r="C10" s="281"/>
      <c r="D10" s="281"/>
      <c r="E10" s="280"/>
      <c r="F10" s="281"/>
      <c r="G10" s="281"/>
      <c r="H10" s="281"/>
      <c r="I10" s="281"/>
      <c r="J10" s="282"/>
      <c r="K10" s="282"/>
      <c r="L10" s="282"/>
      <c r="M10" s="282"/>
      <c r="N10" s="282"/>
      <c r="O10" s="282"/>
      <c r="P10" s="282"/>
    </row>
    <row r="11" spans="1:19" ht="19.95" customHeight="1">
      <c r="A11" s="279"/>
      <c r="B11" s="280"/>
      <c r="C11" s="281"/>
      <c r="D11" s="281"/>
      <c r="E11" s="280"/>
      <c r="F11" s="281"/>
      <c r="G11" s="281"/>
      <c r="H11" s="281"/>
      <c r="I11" s="281"/>
      <c r="J11" s="282"/>
      <c r="K11" s="282"/>
      <c r="L11" s="282"/>
      <c r="M11" s="282"/>
      <c r="N11" s="282"/>
      <c r="O11" s="282"/>
      <c r="P11" s="282"/>
    </row>
    <row r="12" spans="1:19" ht="19.95" customHeight="1">
      <c r="A12" s="279"/>
      <c r="B12" s="280"/>
      <c r="C12" s="281"/>
      <c r="D12" s="281"/>
      <c r="E12" s="280"/>
      <c r="F12" s="281"/>
      <c r="G12" s="281"/>
      <c r="H12" s="281"/>
      <c r="I12" s="281"/>
      <c r="J12" s="282"/>
      <c r="K12" s="282"/>
      <c r="L12" s="282"/>
      <c r="M12" s="282"/>
      <c r="N12" s="282"/>
      <c r="O12" s="282"/>
      <c r="P12" s="282"/>
    </row>
    <row r="13" spans="1:19" ht="19.95" customHeight="1">
      <c r="A13" s="279"/>
      <c r="B13" s="280"/>
      <c r="C13" s="281"/>
      <c r="D13" s="281"/>
      <c r="E13" s="280"/>
      <c r="F13" s="281"/>
      <c r="G13" s="281"/>
      <c r="H13" s="281"/>
      <c r="I13" s="281"/>
      <c r="J13" s="282"/>
      <c r="K13" s="282"/>
      <c r="L13" s="282"/>
      <c r="M13" s="282"/>
      <c r="N13" s="282"/>
      <c r="O13" s="282"/>
      <c r="P13" s="282"/>
    </row>
    <row r="14" spans="1:19" ht="19.95" customHeight="1">
      <c r="A14" s="279"/>
      <c r="B14" s="280"/>
      <c r="C14" s="281"/>
      <c r="D14" s="281"/>
      <c r="E14" s="280"/>
      <c r="F14" s="281"/>
      <c r="G14" s="281"/>
      <c r="H14" s="281"/>
      <c r="I14" s="281"/>
      <c r="J14" s="282"/>
      <c r="K14" s="282"/>
      <c r="L14" s="282"/>
      <c r="M14" s="282"/>
      <c r="N14" s="282"/>
      <c r="O14" s="282"/>
      <c r="P14" s="282"/>
    </row>
    <row r="15" spans="1:19" ht="19.95" customHeight="1">
      <c r="A15" s="279"/>
      <c r="B15" s="280"/>
      <c r="C15" s="281"/>
      <c r="D15" s="281"/>
      <c r="E15" s="280"/>
      <c r="F15" s="281"/>
      <c r="G15" s="281"/>
      <c r="H15" s="281"/>
      <c r="I15" s="281"/>
      <c r="J15" s="282"/>
      <c r="K15" s="282"/>
      <c r="L15" s="282"/>
      <c r="M15" s="282"/>
      <c r="N15" s="282"/>
      <c r="O15" s="282"/>
      <c r="P15" s="282"/>
    </row>
    <row r="16" spans="1:19" ht="19.95" customHeight="1">
      <c r="A16" s="279"/>
      <c r="B16" s="280"/>
      <c r="C16" s="281"/>
      <c r="D16" s="281"/>
      <c r="E16" s="280"/>
      <c r="F16" s="281"/>
      <c r="G16" s="281"/>
      <c r="H16" s="281"/>
      <c r="I16" s="281"/>
      <c r="J16" s="282"/>
      <c r="K16" s="282"/>
      <c r="L16" s="282"/>
      <c r="M16" s="282"/>
      <c r="N16" s="282"/>
      <c r="O16" s="282"/>
      <c r="P16" s="282"/>
    </row>
    <row r="17" spans="1:16" ht="19.95" customHeight="1">
      <c r="A17" s="279"/>
      <c r="B17" s="280"/>
      <c r="C17" s="281"/>
      <c r="D17" s="281"/>
      <c r="E17" s="280"/>
      <c r="F17" s="281"/>
      <c r="G17" s="281"/>
      <c r="H17" s="281"/>
      <c r="I17" s="281"/>
      <c r="J17" s="282"/>
      <c r="K17" s="282"/>
      <c r="L17" s="282"/>
      <c r="M17" s="282"/>
      <c r="N17" s="282"/>
      <c r="O17" s="282"/>
      <c r="P17" s="282"/>
    </row>
    <row r="18" spans="1:16" ht="19.95" customHeight="1">
      <c r="A18" s="283"/>
      <c r="B18" s="280"/>
      <c r="C18" s="281"/>
      <c r="D18" s="281"/>
      <c r="E18" s="280"/>
      <c r="F18" s="281"/>
      <c r="G18" s="281"/>
      <c r="H18" s="281"/>
      <c r="I18" s="281"/>
      <c r="J18" s="282"/>
      <c r="K18" s="282"/>
      <c r="L18" s="282"/>
      <c r="M18" s="282"/>
      <c r="N18" s="282"/>
      <c r="O18" s="282"/>
      <c r="P18" s="282"/>
    </row>
    <row r="19" spans="1:16" ht="19.95" customHeight="1">
      <c r="A19" s="283"/>
      <c r="B19" s="280"/>
      <c r="C19" s="281"/>
      <c r="D19" s="281"/>
      <c r="E19" s="280"/>
      <c r="F19" s="281"/>
      <c r="G19" s="281"/>
      <c r="H19" s="281"/>
      <c r="I19" s="281"/>
      <c r="J19" s="282"/>
      <c r="K19" s="282"/>
      <c r="L19" s="282"/>
      <c r="M19" s="282"/>
      <c r="N19" s="282"/>
      <c r="O19" s="282"/>
      <c r="P19" s="282"/>
    </row>
    <row r="20" spans="1:16" ht="19.95" customHeight="1">
      <c r="A20" s="283"/>
      <c r="B20" s="280"/>
      <c r="C20" s="281"/>
      <c r="D20" s="281"/>
      <c r="E20" s="280"/>
      <c r="F20" s="281"/>
      <c r="G20" s="281"/>
      <c r="H20" s="281"/>
      <c r="I20" s="281"/>
      <c r="J20" s="282"/>
      <c r="K20" s="282"/>
      <c r="L20" s="282"/>
      <c r="M20" s="282"/>
      <c r="N20" s="282"/>
      <c r="O20" s="282"/>
      <c r="P20" s="282"/>
    </row>
    <row r="21" spans="1:16" ht="19.95" customHeight="1">
      <c r="A21" s="262" t="s">
        <v>165</v>
      </c>
    </row>
    <row r="22" spans="1:16" ht="19.95" customHeight="1">
      <c r="A22" s="223"/>
    </row>
    <row r="23" spans="1:16" ht="19.95" customHeight="1">
      <c r="A23" s="223"/>
    </row>
    <row r="24" spans="1:16" ht="19.95" customHeight="1">
      <c r="A24" s="262" t="s">
        <v>166</v>
      </c>
    </row>
    <row r="27" spans="1:16" ht="19.95" customHeight="1">
      <c r="A27" s="499" t="s">
        <v>167</v>
      </c>
      <c r="B27" s="499"/>
      <c r="C27" s="499"/>
      <c r="D27" s="499"/>
      <c r="E27" s="499"/>
      <c r="F27" s="499"/>
      <c r="G27" s="499"/>
      <c r="H27" s="499"/>
      <c r="I27" s="499"/>
      <c r="J27" s="499"/>
      <c r="K27" s="499"/>
      <c r="L27" s="499"/>
      <c r="M27" s="499"/>
      <c r="N27" s="499"/>
      <c r="O27" s="499"/>
      <c r="P27" s="499"/>
    </row>
    <row r="28" spans="1:16" ht="46.05" customHeight="1">
      <c r="A28" s="499" t="s">
        <v>540</v>
      </c>
      <c r="B28" s="499"/>
      <c r="C28" s="499"/>
      <c r="D28" s="499"/>
      <c r="E28" s="499"/>
      <c r="F28" s="499"/>
      <c r="G28" s="499"/>
      <c r="H28" s="499"/>
      <c r="I28" s="499"/>
      <c r="J28" s="499"/>
      <c r="K28" s="499"/>
      <c r="L28" s="499"/>
      <c r="M28" s="499"/>
      <c r="N28" s="499"/>
      <c r="O28" s="499"/>
      <c r="P28" s="499"/>
    </row>
    <row r="29" spans="1:16" ht="19.95" customHeight="1">
      <c r="A29" s="277" t="s">
        <v>541</v>
      </c>
    </row>
    <row r="30" spans="1:16" ht="19.95" customHeight="1">
      <c r="A30" s="277" t="s">
        <v>542</v>
      </c>
    </row>
    <row r="31" spans="1:16" ht="19.95" customHeight="1">
      <c r="A31" s="277" t="s">
        <v>543</v>
      </c>
    </row>
    <row r="32" spans="1:16" ht="19.95" customHeight="1">
      <c r="A32" s="277" t="s">
        <v>544</v>
      </c>
    </row>
    <row r="33" spans="1:16" ht="19.95" customHeight="1">
      <c r="A33" s="277" t="s">
        <v>545</v>
      </c>
    </row>
    <row r="34" spans="1:16" ht="47.55" customHeight="1">
      <c r="A34" s="499" t="s">
        <v>546</v>
      </c>
      <c r="B34" s="499"/>
      <c r="C34" s="499"/>
      <c r="D34" s="499"/>
      <c r="E34" s="499"/>
      <c r="F34" s="499"/>
      <c r="G34" s="499"/>
      <c r="H34" s="499"/>
      <c r="I34" s="499"/>
      <c r="J34" s="499"/>
      <c r="K34" s="499"/>
      <c r="L34" s="499"/>
      <c r="M34" s="499"/>
      <c r="N34" s="499"/>
      <c r="O34" s="499"/>
      <c r="P34" s="499"/>
    </row>
  </sheetData>
  <mergeCells count="5">
    <mergeCell ref="A1:P1"/>
    <mergeCell ref="A2:P2"/>
    <mergeCell ref="A27:P27"/>
    <mergeCell ref="A28:P28"/>
    <mergeCell ref="A34:P34"/>
  </mergeCells>
  <phoneticPr fontId="116" type="noConversion"/>
  <dataValidations count="2">
    <dataValidation type="list" allowBlank="1" showInputMessage="1" showErrorMessage="1" sqref="M9:M20">
      <formula1>"全职,兼职,劳务派遣,其他"</formula1>
    </dataValidation>
    <dataValidation type="list" allowBlank="1" showInputMessage="1" showErrorMessage="1" sqref="K9:L20 N9:N20">
      <formula1>"全时,非全时"</formula1>
    </dataValidation>
  </dataValidations>
  <hyperlinks>
    <hyperlink ref="P3" location="底稿目录!A1" display="I7-6"/>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O24"/>
  <sheetViews>
    <sheetView view="pageBreakPreview" zoomScaleNormal="100" workbookViewId="0">
      <selection activeCell="O16" sqref="O16"/>
    </sheetView>
  </sheetViews>
  <sheetFormatPr defaultColWidth="9" defaultRowHeight="19.95" customHeight="1"/>
  <cols>
    <col min="1" max="1" width="6.5546875" style="213" customWidth="1"/>
    <col min="2" max="2" width="11" style="213" customWidth="1"/>
    <col min="3" max="3" width="10.44140625" style="213" customWidth="1"/>
    <col min="4" max="4" width="14.6640625" style="213" customWidth="1"/>
    <col min="5" max="5" width="8.77734375" style="213" customWidth="1"/>
    <col min="6" max="6" width="10.44140625" style="213" customWidth="1"/>
    <col min="7" max="7" width="18.33203125" style="213" customWidth="1"/>
    <col min="8" max="8" width="15.88671875" style="213" customWidth="1"/>
    <col min="9" max="10" width="12.6640625" style="213" customWidth="1"/>
    <col min="11" max="16384" width="9" style="213"/>
  </cols>
  <sheetData>
    <row r="1" spans="1:13" s="273" customFormat="1" ht="19.95" customHeight="1">
      <c r="A1" s="493" t="s">
        <v>57</v>
      </c>
      <c r="B1" s="493"/>
      <c r="C1" s="493"/>
      <c r="D1" s="493"/>
      <c r="E1" s="493"/>
      <c r="F1" s="493"/>
      <c r="G1" s="493"/>
      <c r="H1" s="493"/>
      <c r="I1" s="493"/>
      <c r="J1" s="493"/>
    </row>
    <row r="2" spans="1:13" s="273" customFormat="1" ht="19.95" customHeight="1">
      <c r="A2" s="494" t="s">
        <v>547</v>
      </c>
      <c r="B2" s="494"/>
      <c r="C2" s="494"/>
      <c r="D2" s="494"/>
      <c r="E2" s="494"/>
      <c r="F2" s="494"/>
      <c r="G2" s="494"/>
      <c r="H2" s="494"/>
      <c r="I2" s="494"/>
      <c r="J2" s="494"/>
    </row>
    <row r="3" spans="1:13" s="315" customFormat="1" ht="19.95" customHeight="1">
      <c r="A3" s="93" t="str">
        <f>底稿目录!A2</f>
        <v>被审计单位：</v>
      </c>
      <c r="B3" s="47"/>
      <c r="C3" s="47"/>
      <c r="D3" s="312" t="str">
        <f>底稿目录!$A$4</f>
        <v>编制人：</v>
      </c>
      <c r="E3" s="47"/>
      <c r="F3" s="313" t="str">
        <f>底稿目录!$A$5</f>
        <v>编制日期：</v>
      </c>
      <c r="G3" s="47"/>
      <c r="H3" s="47"/>
      <c r="I3" s="314" t="s">
        <v>185</v>
      </c>
      <c r="J3" s="419" t="str">
        <f>底稿目录!D16</f>
        <v>I2-10</v>
      </c>
    </row>
    <row r="4" spans="1:13" s="315" customFormat="1" ht="19.95" customHeight="1">
      <c r="A4" s="93" t="str">
        <f>底稿目录!A3</f>
        <v>截止日：202X年12月31日</v>
      </c>
      <c r="B4" s="47"/>
      <c r="C4" s="47"/>
      <c r="D4" s="312" t="str">
        <f>底稿目录!$A$6</f>
        <v>复核人：</v>
      </c>
      <c r="E4" s="47"/>
      <c r="F4" s="313" t="str">
        <f>底稿目录!$A$7</f>
        <v>复核日期：</v>
      </c>
      <c r="G4" s="47"/>
      <c r="H4" s="47"/>
      <c r="I4" s="316" t="s">
        <v>601</v>
      </c>
      <c r="J4" s="317"/>
    </row>
    <row r="5" spans="1:13" s="226" customFormat="1" ht="19.95" customHeight="1">
      <c r="A5" s="263" t="s">
        <v>145</v>
      </c>
      <c r="B5" s="264"/>
      <c r="C5" s="264"/>
      <c r="I5" s="227"/>
      <c r="J5" s="284"/>
      <c r="M5" s="275"/>
    </row>
    <row r="6" spans="1:13" s="226" customFormat="1" ht="19.95" customHeight="1">
      <c r="A6" s="225" t="s">
        <v>508</v>
      </c>
      <c r="I6" s="227"/>
      <c r="M6" s="275"/>
    </row>
    <row r="7" spans="1:13" s="226" customFormat="1" ht="19.95" customHeight="1">
      <c r="A7" s="226" t="s">
        <v>509</v>
      </c>
      <c r="I7" s="227"/>
      <c r="M7" s="275"/>
    </row>
    <row r="8" spans="1:13" s="226" customFormat="1" ht="19.95" customHeight="1">
      <c r="A8" s="276" t="s">
        <v>147</v>
      </c>
      <c r="I8" s="225"/>
      <c r="M8" s="275"/>
    </row>
    <row r="9" spans="1:13" s="278" customFormat="1" ht="31.2" customHeight="1">
      <c r="A9" s="288" t="s">
        <v>34</v>
      </c>
      <c r="B9" s="288" t="s">
        <v>548</v>
      </c>
      <c r="C9" s="288" t="s">
        <v>549</v>
      </c>
      <c r="D9" s="288" t="s">
        <v>550</v>
      </c>
      <c r="E9" s="337" t="s">
        <v>551</v>
      </c>
      <c r="F9" s="288" t="s">
        <v>552</v>
      </c>
      <c r="G9" s="288" t="s">
        <v>553</v>
      </c>
      <c r="H9" s="288" t="s">
        <v>554</v>
      </c>
      <c r="I9" s="289" t="s">
        <v>538</v>
      </c>
      <c r="J9" s="288" t="s">
        <v>539</v>
      </c>
      <c r="K9" s="277" t="s">
        <v>639</v>
      </c>
    </row>
    <row r="10" spans="1:13" ht="19.95" customHeight="1">
      <c r="A10" s="285">
        <v>1</v>
      </c>
      <c r="B10" s="500" t="s">
        <v>555</v>
      </c>
      <c r="C10" s="503" t="s">
        <v>556</v>
      </c>
      <c r="D10" s="503" t="s">
        <v>557</v>
      </c>
      <c r="E10" s="400" t="s">
        <v>558</v>
      </c>
      <c r="F10" s="280"/>
      <c r="G10" s="280"/>
      <c r="H10" s="281"/>
      <c r="I10" s="281"/>
      <c r="J10" s="282"/>
    </row>
    <row r="11" spans="1:13" ht="19.95" customHeight="1">
      <c r="A11" s="285">
        <v>2</v>
      </c>
      <c r="B11" s="501"/>
      <c r="C11" s="504"/>
      <c r="D11" s="504" t="s">
        <v>557</v>
      </c>
      <c r="E11" s="400" t="s">
        <v>559</v>
      </c>
      <c r="F11" s="280"/>
      <c r="G11" s="280"/>
      <c r="H11" s="281"/>
      <c r="I11" s="281"/>
      <c r="J11" s="282"/>
    </row>
    <row r="12" spans="1:13" ht="19.95" customHeight="1">
      <c r="A12" s="285">
        <v>3</v>
      </c>
      <c r="B12" s="502"/>
      <c r="C12" s="505"/>
      <c r="D12" s="505" t="s">
        <v>557</v>
      </c>
      <c r="E12" s="400" t="s">
        <v>560</v>
      </c>
      <c r="F12" s="280"/>
      <c r="G12" s="280"/>
      <c r="H12" s="281"/>
      <c r="I12" s="281"/>
      <c r="J12" s="282"/>
    </row>
    <row r="13" spans="1:13" ht="19.95" customHeight="1">
      <c r="A13" s="285">
        <v>4</v>
      </c>
      <c r="B13" s="500" t="s">
        <v>561</v>
      </c>
      <c r="C13" s="503" t="s">
        <v>562</v>
      </c>
      <c r="D13" s="503" t="s">
        <v>557</v>
      </c>
      <c r="E13" s="400" t="s">
        <v>563</v>
      </c>
      <c r="F13" s="280"/>
      <c r="G13" s="280"/>
      <c r="H13" s="281"/>
      <c r="I13" s="281"/>
      <c r="J13" s="282"/>
    </row>
    <row r="14" spans="1:13" ht="19.95" customHeight="1">
      <c r="A14" s="285">
        <v>5</v>
      </c>
      <c r="B14" s="501"/>
      <c r="C14" s="504"/>
      <c r="D14" s="504" t="s">
        <v>557</v>
      </c>
      <c r="E14" s="400" t="s">
        <v>564</v>
      </c>
      <c r="F14" s="280"/>
      <c r="G14" s="280"/>
      <c r="H14" s="281"/>
      <c r="I14" s="281"/>
      <c r="J14" s="282"/>
    </row>
    <row r="15" spans="1:13" ht="19.95" customHeight="1">
      <c r="A15" s="285">
        <v>6</v>
      </c>
      <c r="B15" s="502"/>
      <c r="C15" s="505"/>
      <c r="D15" s="505" t="s">
        <v>557</v>
      </c>
      <c r="E15" s="400" t="s">
        <v>565</v>
      </c>
      <c r="F15" s="280"/>
      <c r="G15" s="280"/>
      <c r="H15" s="281"/>
      <c r="I15" s="281"/>
      <c r="J15" s="282"/>
    </row>
    <row r="16" spans="1:13" ht="19.95" customHeight="1">
      <c r="A16" s="286" t="s">
        <v>538</v>
      </c>
      <c r="B16" s="280"/>
      <c r="C16" s="280"/>
      <c r="D16" s="281"/>
      <c r="E16" s="281"/>
      <c r="F16" s="280"/>
      <c r="G16" s="280"/>
      <c r="H16" s="281"/>
      <c r="I16" s="281"/>
      <c r="J16" s="282"/>
    </row>
    <row r="17" spans="1:15" ht="19.95" customHeight="1">
      <c r="A17" s="262" t="s">
        <v>165</v>
      </c>
    </row>
    <row r="18" spans="1:15" ht="19.95" customHeight="1">
      <c r="A18" s="223"/>
    </row>
    <row r="19" spans="1:15" ht="19.95" customHeight="1">
      <c r="A19" s="223"/>
    </row>
    <row r="20" spans="1:15" ht="19.95" customHeight="1">
      <c r="A20" s="262" t="s">
        <v>166</v>
      </c>
    </row>
    <row r="23" spans="1:15" ht="19.95" customHeight="1">
      <c r="A23" s="499" t="s">
        <v>167</v>
      </c>
      <c r="B23" s="499"/>
      <c r="C23" s="499"/>
      <c r="D23" s="499"/>
      <c r="E23" s="499"/>
      <c r="F23" s="499"/>
      <c r="G23" s="499"/>
      <c r="H23" s="499"/>
      <c r="I23" s="499"/>
      <c r="J23" s="499"/>
      <c r="K23" s="499"/>
      <c r="L23" s="499"/>
      <c r="M23" s="499"/>
      <c r="N23" s="499"/>
      <c r="O23" s="499"/>
    </row>
    <row r="24" spans="1:15" ht="36" customHeight="1">
      <c r="A24" s="499" t="s">
        <v>566</v>
      </c>
      <c r="B24" s="499"/>
      <c r="C24" s="499"/>
      <c r="D24" s="499"/>
      <c r="E24" s="499"/>
      <c r="F24" s="499"/>
      <c r="G24" s="499"/>
      <c r="H24" s="499"/>
      <c r="I24" s="499"/>
      <c r="J24" s="499"/>
      <c r="K24" s="287"/>
      <c r="L24" s="287"/>
      <c r="M24" s="287"/>
      <c r="N24" s="287"/>
      <c r="O24" s="287"/>
    </row>
  </sheetData>
  <mergeCells count="10">
    <mergeCell ref="A23:O23"/>
    <mergeCell ref="A24:J24"/>
    <mergeCell ref="A1:J1"/>
    <mergeCell ref="A2:J2"/>
    <mergeCell ref="B10:B12"/>
    <mergeCell ref="C10:C12"/>
    <mergeCell ref="D10:D12"/>
    <mergeCell ref="B13:B15"/>
    <mergeCell ref="C13:C15"/>
    <mergeCell ref="D13:D15"/>
  </mergeCells>
  <phoneticPr fontId="116" type="noConversion"/>
  <hyperlinks>
    <hyperlink ref="J3" location="底稿目录!A1" display="I7-7"/>
  </hyperlinks>
  <pageMargins left="0.70866141732283472" right="0.70866141732283472" top="0.74803149606299213" bottom="0.74803149606299213" header="0.31496062992125984" footer="0.31496062992125984"/>
  <pageSetup paperSize="9" scale="68" orientation="portrait" blackAndWhite="1"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X26"/>
  <sheetViews>
    <sheetView view="pageBreakPreview" zoomScaleNormal="100" workbookViewId="0">
      <selection sqref="A1:V1"/>
    </sheetView>
  </sheetViews>
  <sheetFormatPr defaultColWidth="9" defaultRowHeight="19.95" customHeight="1"/>
  <cols>
    <col min="1" max="2" width="10.6640625" style="213" customWidth="1"/>
    <col min="3" max="3" width="7.77734375" style="213" customWidth="1"/>
    <col min="4" max="5" width="7" style="213" bestFit="1" customWidth="1"/>
    <col min="6" max="6" width="8.88671875" style="213" bestFit="1" customWidth="1"/>
    <col min="7" max="7" width="15" style="213" customWidth="1"/>
    <col min="8" max="8" width="5.109375" style="213" bestFit="1" customWidth="1"/>
    <col min="9" max="9" width="8.88671875" style="213" bestFit="1" customWidth="1"/>
    <col min="10" max="10" width="8.88671875" style="213" customWidth="1"/>
    <col min="11" max="11" width="5.109375" style="213" bestFit="1" customWidth="1"/>
    <col min="12" max="12" width="6.6640625" style="213" customWidth="1"/>
    <col min="13" max="13" width="8.88671875" style="213" customWidth="1"/>
    <col min="14" max="14" width="12.33203125" style="213" customWidth="1"/>
    <col min="15" max="15" width="11.109375" style="213" customWidth="1"/>
    <col min="16" max="17" width="6.6640625" style="213" customWidth="1"/>
    <col min="18" max="18" width="5.109375" style="213" bestFit="1" customWidth="1"/>
    <col min="19" max="20" width="6.6640625" style="213" customWidth="1"/>
    <col min="21" max="22" width="10.6640625" style="213" customWidth="1"/>
    <col min="23" max="16384" width="9" style="213"/>
  </cols>
  <sheetData>
    <row r="1" spans="1:24" ht="19.95" customHeight="1">
      <c r="A1" s="493" t="s">
        <v>567</v>
      </c>
      <c r="B1" s="493"/>
      <c r="C1" s="493"/>
      <c r="D1" s="493"/>
      <c r="E1" s="493"/>
      <c r="F1" s="493"/>
      <c r="G1" s="493"/>
      <c r="H1" s="493"/>
      <c r="I1" s="493"/>
      <c r="J1" s="493"/>
      <c r="K1" s="493"/>
      <c r="L1" s="493"/>
      <c r="M1" s="493"/>
      <c r="N1" s="493"/>
      <c r="O1" s="493"/>
      <c r="P1" s="493"/>
      <c r="Q1" s="493"/>
      <c r="R1" s="493"/>
      <c r="S1" s="493"/>
      <c r="T1" s="493"/>
      <c r="U1" s="493"/>
      <c r="V1" s="493"/>
      <c r="W1" s="273"/>
      <c r="X1" s="273"/>
    </row>
    <row r="2" spans="1:24" ht="19.95" customHeight="1">
      <c r="A2" s="494" t="s">
        <v>568</v>
      </c>
      <c r="B2" s="494"/>
      <c r="C2" s="494"/>
      <c r="D2" s="494"/>
      <c r="E2" s="494"/>
      <c r="F2" s="494"/>
      <c r="G2" s="494"/>
      <c r="H2" s="494"/>
      <c r="I2" s="494"/>
      <c r="J2" s="494"/>
      <c r="K2" s="494"/>
      <c r="L2" s="494"/>
      <c r="M2" s="494"/>
      <c r="N2" s="494"/>
      <c r="O2" s="494"/>
      <c r="P2" s="494"/>
      <c r="Q2" s="494"/>
      <c r="R2" s="494"/>
      <c r="S2" s="494"/>
      <c r="T2" s="494"/>
      <c r="U2" s="494"/>
      <c r="V2" s="494"/>
      <c r="W2" s="273"/>
      <c r="X2" s="273"/>
    </row>
    <row r="3" spans="1:24" s="278" customFormat="1" ht="19.95" customHeight="1">
      <c r="A3" s="93" t="str">
        <f>底稿目录!A2</f>
        <v>被审计单位：</v>
      </c>
      <c r="B3" s="47"/>
      <c r="C3" s="47"/>
      <c r="D3" s="47"/>
      <c r="E3" s="47"/>
      <c r="F3" s="47"/>
      <c r="G3" s="312" t="str">
        <f>底稿目录!$A$4</f>
        <v>编制人：</v>
      </c>
      <c r="H3" s="47"/>
      <c r="J3" s="47"/>
      <c r="K3" s="47"/>
      <c r="M3" s="313" t="str">
        <f>底稿目录!$A$5</f>
        <v>编制日期：</v>
      </c>
      <c r="N3" s="47"/>
      <c r="P3" s="47"/>
      <c r="Q3" s="47"/>
      <c r="U3" s="314" t="s">
        <v>185</v>
      </c>
      <c r="V3" s="419" t="str">
        <f>底稿目录!D17</f>
        <v>I2-11</v>
      </c>
      <c r="W3" s="315"/>
      <c r="X3" s="315"/>
    </row>
    <row r="4" spans="1:24" s="278" customFormat="1" ht="19.95" customHeight="1">
      <c r="A4" s="93" t="str">
        <f>底稿目录!A3</f>
        <v>截止日：202X年12月31日</v>
      </c>
      <c r="B4" s="47"/>
      <c r="C4" s="47"/>
      <c r="D4" s="47"/>
      <c r="E4" s="47"/>
      <c r="F4" s="47"/>
      <c r="G4" s="312" t="str">
        <f>底稿目录!$A$6</f>
        <v>复核人：</v>
      </c>
      <c r="H4" s="47"/>
      <c r="J4" s="47"/>
      <c r="K4" s="47"/>
      <c r="M4" s="313" t="str">
        <f>底稿目录!$A$7</f>
        <v>复核日期：</v>
      </c>
      <c r="N4" s="47"/>
      <c r="P4" s="47"/>
      <c r="Q4" s="47"/>
      <c r="U4" s="316" t="s">
        <v>601</v>
      </c>
      <c r="V4" s="317"/>
      <c r="W4" s="315"/>
      <c r="X4" s="315"/>
    </row>
    <row r="5" spans="1:24" ht="19.95" customHeight="1">
      <c r="A5" s="263" t="s">
        <v>145</v>
      </c>
      <c r="B5" s="263"/>
      <c r="C5" s="263"/>
      <c r="D5" s="263"/>
      <c r="E5" s="263"/>
      <c r="F5" s="263"/>
      <c r="G5" s="263"/>
      <c r="H5" s="263"/>
      <c r="I5" s="263"/>
      <c r="J5" s="263"/>
      <c r="K5" s="263"/>
      <c r="L5" s="263"/>
      <c r="M5" s="263"/>
      <c r="N5" s="263"/>
      <c r="O5" s="263"/>
      <c r="P5" s="264"/>
      <c r="Q5" s="264"/>
      <c r="R5" s="226"/>
      <c r="S5" s="226"/>
      <c r="T5" s="226"/>
      <c r="U5" s="227"/>
      <c r="V5" s="226"/>
      <c r="W5" s="226"/>
      <c r="X5" s="226"/>
    </row>
    <row r="6" spans="1:24" ht="19.95" customHeight="1">
      <c r="A6" s="225" t="s">
        <v>508</v>
      </c>
      <c r="B6" s="225"/>
      <c r="C6" s="225"/>
      <c r="D6" s="225"/>
      <c r="E6" s="225"/>
      <c r="F6" s="225"/>
      <c r="G6" s="225"/>
      <c r="H6" s="225"/>
      <c r="I6" s="225"/>
      <c r="J6" s="225"/>
      <c r="K6" s="225"/>
      <c r="L6" s="225"/>
      <c r="M6" s="225"/>
      <c r="N6" s="225"/>
      <c r="O6" s="225"/>
      <c r="P6" s="226"/>
      <c r="Q6" s="226"/>
      <c r="R6" s="226"/>
      <c r="S6" s="226"/>
      <c r="T6" s="226"/>
      <c r="U6" s="227"/>
      <c r="V6" s="226"/>
      <c r="W6" s="226"/>
      <c r="X6" s="226"/>
    </row>
    <row r="7" spans="1:24" ht="19.95" customHeight="1">
      <c r="A7" s="226" t="s">
        <v>509</v>
      </c>
      <c r="B7" s="226"/>
      <c r="C7" s="226"/>
      <c r="D7" s="226"/>
      <c r="E7" s="226"/>
      <c r="F7" s="226"/>
      <c r="G7" s="226"/>
      <c r="H7" s="226"/>
      <c r="I7" s="226"/>
      <c r="J7" s="226"/>
      <c r="K7" s="226"/>
      <c r="L7" s="226"/>
      <c r="M7" s="226"/>
      <c r="N7" s="226"/>
      <c r="O7" s="226"/>
      <c r="P7" s="226"/>
      <c r="Q7" s="226"/>
      <c r="R7" s="226"/>
      <c r="S7" s="226"/>
      <c r="T7" s="226"/>
      <c r="U7" s="227"/>
      <c r="V7" s="226"/>
      <c r="W7" s="226"/>
      <c r="X7" s="226"/>
    </row>
    <row r="8" spans="1:24" ht="19.95" customHeight="1">
      <c r="A8" s="276" t="s">
        <v>147</v>
      </c>
      <c r="B8" s="276"/>
      <c r="C8" s="414" t="s">
        <v>640</v>
      </c>
      <c r="D8" s="276"/>
      <c r="E8" s="276"/>
      <c r="F8" s="276"/>
      <c r="G8" s="276"/>
      <c r="H8" s="276"/>
      <c r="I8" s="276"/>
      <c r="J8" s="276"/>
      <c r="K8" s="276"/>
      <c r="L8" s="276"/>
      <c r="M8" s="276"/>
      <c r="N8" s="276"/>
      <c r="O8" s="276"/>
      <c r="P8" s="226"/>
      <c r="Q8" s="226"/>
      <c r="R8" s="226"/>
      <c r="S8" s="226"/>
      <c r="T8" s="226"/>
      <c r="U8" s="225"/>
      <c r="V8" s="226"/>
      <c r="W8" s="226"/>
      <c r="X8" s="226"/>
    </row>
    <row r="9" spans="1:24" ht="19.95" customHeight="1">
      <c r="A9" s="269" t="s">
        <v>569</v>
      </c>
      <c r="B9" s="269"/>
      <c r="C9" s="276"/>
      <c r="D9" s="276"/>
      <c r="E9" s="276"/>
      <c r="F9" s="276"/>
      <c r="G9" s="276"/>
      <c r="H9" s="276"/>
      <c r="I9" s="276"/>
      <c r="J9" s="276"/>
      <c r="K9" s="276"/>
      <c r="L9" s="276"/>
      <c r="M9" s="276"/>
      <c r="N9" s="276"/>
      <c r="O9" s="276"/>
      <c r="P9" s="226"/>
      <c r="Q9" s="226"/>
      <c r="R9" s="226"/>
      <c r="S9" s="226"/>
      <c r="T9" s="226"/>
      <c r="U9" s="225"/>
      <c r="V9" s="226"/>
      <c r="W9" s="226"/>
      <c r="X9" s="226"/>
    </row>
    <row r="10" spans="1:24" ht="19.95" customHeight="1">
      <c r="A10" s="506" t="s">
        <v>570</v>
      </c>
      <c r="B10" s="506" t="s">
        <v>571</v>
      </c>
      <c r="C10" s="475" t="s">
        <v>572</v>
      </c>
      <c r="D10" s="475"/>
      <c r="E10" s="475"/>
      <c r="F10" s="475"/>
      <c r="G10" s="475"/>
      <c r="H10" s="475" t="s">
        <v>573</v>
      </c>
      <c r="I10" s="475"/>
      <c r="J10" s="475"/>
      <c r="K10" s="475"/>
      <c r="L10" s="475" t="s">
        <v>214</v>
      </c>
      <c r="M10" s="475"/>
      <c r="N10" s="475"/>
      <c r="O10" s="475"/>
      <c r="P10" s="475" t="s">
        <v>574</v>
      </c>
      <c r="Q10" s="475"/>
      <c r="R10" s="475"/>
      <c r="S10" s="507" t="s">
        <v>98</v>
      </c>
      <c r="T10" s="507"/>
      <c r="U10" s="475" t="s">
        <v>364</v>
      </c>
      <c r="V10" s="475" t="s">
        <v>575</v>
      </c>
      <c r="W10" s="277" t="s">
        <v>639</v>
      </c>
      <c r="X10" s="278"/>
    </row>
    <row r="11" spans="1:24" ht="31.05" customHeight="1">
      <c r="A11" s="506"/>
      <c r="B11" s="506"/>
      <c r="C11" s="333" t="s">
        <v>219</v>
      </c>
      <c r="D11" s="333" t="s">
        <v>576</v>
      </c>
      <c r="E11" s="288" t="s">
        <v>577</v>
      </c>
      <c r="F11" s="288" t="s">
        <v>578</v>
      </c>
      <c r="G11" s="288" t="s">
        <v>579</v>
      </c>
      <c r="H11" s="333" t="s">
        <v>580</v>
      </c>
      <c r="I11" s="333" t="s">
        <v>581</v>
      </c>
      <c r="J11" s="333" t="s">
        <v>582</v>
      </c>
      <c r="K11" s="289" t="s">
        <v>583</v>
      </c>
      <c r="L11" s="333" t="s">
        <v>219</v>
      </c>
      <c r="M11" s="333" t="s">
        <v>227</v>
      </c>
      <c r="N11" s="333" t="s">
        <v>584</v>
      </c>
      <c r="O11" s="333" t="s">
        <v>585</v>
      </c>
      <c r="P11" s="333" t="s">
        <v>219</v>
      </c>
      <c r="Q11" s="333" t="s">
        <v>585</v>
      </c>
      <c r="R11" s="289" t="s">
        <v>583</v>
      </c>
      <c r="S11" s="290" t="s">
        <v>98</v>
      </c>
      <c r="T11" s="290" t="s">
        <v>98</v>
      </c>
      <c r="U11" s="475"/>
      <c r="V11" s="475"/>
      <c r="W11" s="277"/>
      <c r="X11" s="278"/>
    </row>
    <row r="12" spans="1:24" ht="19.95" customHeight="1">
      <c r="A12" s="281"/>
      <c r="B12" s="281"/>
      <c r="C12" s="281"/>
      <c r="D12" s="281"/>
      <c r="E12" s="281"/>
      <c r="F12" s="281"/>
      <c r="G12" s="281"/>
      <c r="H12" s="281"/>
      <c r="I12" s="281"/>
      <c r="J12" s="281"/>
      <c r="K12" s="281"/>
      <c r="L12" s="281"/>
      <c r="M12" s="281"/>
      <c r="N12" s="281"/>
      <c r="O12" s="411"/>
      <c r="P12" s="281"/>
      <c r="Q12" s="281"/>
      <c r="R12" s="281"/>
      <c r="S12" s="281"/>
      <c r="T12" s="281"/>
      <c r="U12" s="281"/>
      <c r="V12" s="401"/>
    </row>
    <row r="13" spans="1:24" ht="19.95" customHeight="1">
      <c r="A13" s="281"/>
      <c r="B13" s="281"/>
      <c r="C13" s="281"/>
      <c r="D13" s="281"/>
      <c r="E13" s="281"/>
      <c r="F13" s="281"/>
      <c r="G13" s="281"/>
      <c r="H13" s="281"/>
      <c r="I13" s="281"/>
      <c r="J13" s="281"/>
      <c r="K13" s="281"/>
      <c r="L13" s="281"/>
      <c r="M13" s="281"/>
      <c r="N13" s="281"/>
      <c r="O13" s="411"/>
      <c r="P13" s="281"/>
      <c r="Q13" s="281"/>
      <c r="R13" s="281"/>
      <c r="S13" s="281"/>
      <c r="T13" s="281"/>
      <c r="U13" s="281"/>
      <c r="V13" s="401"/>
    </row>
    <row r="14" spans="1:24" ht="19.95" customHeight="1">
      <c r="A14" s="281"/>
      <c r="B14" s="281"/>
      <c r="C14" s="281"/>
      <c r="D14" s="281"/>
      <c r="E14" s="281"/>
      <c r="F14" s="281"/>
      <c r="G14" s="281"/>
      <c r="H14" s="281"/>
      <c r="I14" s="281"/>
      <c r="J14" s="281"/>
      <c r="K14" s="281"/>
      <c r="L14" s="281"/>
      <c r="M14" s="281"/>
      <c r="N14" s="281"/>
      <c r="O14" s="411"/>
      <c r="P14" s="281"/>
      <c r="Q14" s="281"/>
      <c r="R14" s="281"/>
      <c r="S14" s="281"/>
      <c r="T14" s="281"/>
      <c r="U14" s="281"/>
      <c r="V14" s="401"/>
    </row>
    <row r="15" spans="1:24" ht="19.95" customHeight="1">
      <c r="A15" s="281"/>
      <c r="B15" s="281"/>
      <c r="C15" s="281"/>
      <c r="D15" s="281"/>
      <c r="E15" s="281"/>
      <c r="F15" s="281"/>
      <c r="G15" s="281"/>
      <c r="H15" s="281"/>
      <c r="I15" s="281"/>
      <c r="J15" s="281"/>
      <c r="K15" s="281"/>
      <c r="L15" s="281"/>
      <c r="M15" s="281"/>
      <c r="N15" s="281"/>
      <c r="O15" s="411"/>
      <c r="P15" s="281"/>
      <c r="Q15" s="281"/>
      <c r="R15" s="281"/>
      <c r="S15" s="281"/>
      <c r="T15" s="281"/>
      <c r="U15" s="281"/>
      <c r="V15" s="401"/>
    </row>
    <row r="16" spans="1:24" ht="19.95" customHeight="1">
      <c r="A16" s="281"/>
      <c r="B16" s="281"/>
      <c r="C16" s="281"/>
      <c r="D16" s="281"/>
      <c r="E16" s="281"/>
      <c r="F16" s="281"/>
      <c r="G16" s="281"/>
      <c r="H16" s="281"/>
      <c r="I16" s="281"/>
      <c r="J16" s="281"/>
      <c r="K16" s="281"/>
      <c r="L16" s="281"/>
      <c r="M16" s="281"/>
      <c r="N16" s="281"/>
      <c r="O16" s="411"/>
      <c r="P16" s="281"/>
      <c r="Q16" s="281"/>
      <c r="R16" s="281"/>
      <c r="S16" s="281"/>
      <c r="T16" s="281"/>
      <c r="U16" s="281"/>
      <c r="V16" s="401"/>
    </row>
    <row r="17" spans="1:22" ht="19.95" customHeight="1">
      <c r="A17" s="281"/>
      <c r="B17" s="281"/>
      <c r="C17" s="281"/>
      <c r="D17" s="281"/>
      <c r="E17" s="281"/>
      <c r="F17" s="281"/>
      <c r="G17" s="281"/>
      <c r="H17" s="281"/>
      <c r="I17" s="281"/>
      <c r="J17" s="281"/>
      <c r="K17" s="281"/>
      <c r="L17" s="281"/>
      <c r="M17" s="281"/>
      <c r="N17" s="281"/>
      <c r="O17" s="411"/>
      <c r="P17" s="281"/>
      <c r="Q17" s="281"/>
      <c r="R17" s="281"/>
      <c r="S17" s="281"/>
      <c r="T17" s="281"/>
      <c r="U17" s="281"/>
      <c r="V17" s="282"/>
    </row>
    <row r="18" spans="1:22" ht="19.95" customHeight="1">
      <c r="A18" s="291"/>
      <c r="B18" s="291"/>
      <c r="C18" s="291"/>
      <c r="D18" s="291"/>
      <c r="E18" s="291"/>
      <c r="F18" s="291"/>
      <c r="G18" s="291"/>
      <c r="H18" s="291"/>
      <c r="I18" s="291"/>
      <c r="J18" s="291"/>
      <c r="K18" s="291"/>
      <c r="L18" s="291"/>
      <c r="M18" s="291"/>
      <c r="N18" s="291"/>
      <c r="O18" s="412"/>
      <c r="P18" s="237"/>
      <c r="Q18" s="402"/>
      <c r="R18" s="402"/>
      <c r="S18" s="281"/>
      <c r="T18" s="280"/>
      <c r="U18" s="281"/>
      <c r="V18" s="282"/>
    </row>
    <row r="19" spans="1:22" ht="19.95" customHeight="1">
      <c r="A19" s="291"/>
      <c r="B19" s="291"/>
      <c r="C19" s="291"/>
      <c r="D19" s="291"/>
      <c r="E19" s="291"/>
      <c r="F19" s="291"/>
      <c r="G19" s="291"/>
      <c r="H19" s="291"/>
      <c r="I19" s="291"/>
      <c r="J19" s="291"/>
      <c r="K19" s="291"/>
      <c r="L19" s="291"/>
      <c r="M19" s="291"/>
      <c r="N19" s="291"/>
      <c r="O19" s="412"/>
      <c r="P19" s="237"/>
      <c r="Q19" s="402"/>
      <c r="R19" s="402"/>
      <c r="S19" s="281"/>
      <c r="T19" s="280"/>
      <c r="U19" s="281"/>
      <c r="V19" s="282"/>
    </row>
    <row r="20" spans="1:22" ht="19.95" customHeight="1">
      <c r="A20" s="283"/>
      <c r="B20" s="283"/>
      <c r="C20" s="283"/>
      <c r="D20" s="283"/>
      <c r="E20" s="283"/>
      <c r="F20" s="283"/>
      <c r="G20" s="283"/>
      <c r="H20" s="283"/>
      <c r="I20" s="283"/>
      <c r="J20" s="283"/>
      <c r="K20" s="283"/>
      <c r="L20" s="283"/>
      <c r="M20" s="283"/>
      <c r="N20" s="283"/>
      <c r="O20" s="413"/>
      <c r="P20" s="280"/>
      <c r="Q20" s="280"/>
      <c r="R20" s="281"/>
      <c r="S20" s="401"/>
      <c r="T20" s="281"/>
      <c r="U20" s="281"/>
      <c r="V20" s="282"/>
    </row>
    <row r="21" spans="1:22" ht="19.95" customHeight="1">
      <c r="A21" s="492" t="s">
        <v>164</v>
      </c>
      <c r="B21" s="492"/>
      <c r="C21" s="492"/>
      <c r="D21" s="403"/>
      <c r="E21" s="403"/>
      <c r="F21" s="403"/>
      <c r="G21" s="403"/>
      <c r="H21" s="403"/>
      <c r="I21" s="403"/>
      <c r="J21" s="403"/>
      <c r="K21" s="403"/>
      <c r="L21" s="403"/>
      <c r="M21" s="403"/>
      <c r="N21" s="403"/>
      <c r="O21" s="404">
        <f>SUM(O12:O20)</f>
        <v>0</v>
      </c>
      <c r="P21" s="403"/>
      <c r="Q21" s="403"/>
      <c r="R21" s="403"/>
      <c r="S21" s="403"/>
      <c r="T21" s="403"/>
      <c r="U21" s="403"/>
      <c r="V21" s="403"/>
    </row>
    <row r="22" spans="1:22" ht="19.95" customHeight="1">
      <c r="A22" s="492" t="s">
        <v>636</v>
      </c>
      <c r="B22" s="492"/>
      <c r="C22" s="492"/>
      <c r="D22" s="403"/>
      <c r="E22" s="403"/>
      <c r="F22" s="403"/>
      <c r="G22" s="403"/>
      <c r="H22" s="403"/>
      <c r="I22" s="403"/>
      <c r="J22" s="403"/>
      <c r="K22" s="403"/>
      <c r="L22" s="403"/>
      <c r="M22" s="403"/>
      <c r="N22" s="403"/>
      <c r="O22" s="404">
        <f>'研发项目构成明细表I2-7'!Q21</f>
        <v>0</v>
      </c>
      <c r="P22" s="403"/>
      <c r="Q22" s="403"/>
      <c r="R22" s="403"/>
      <c r="S22" s="403"/>
      <c r="T22" s="403"/>
      <c r="U22" s="403"/>
      <c r="V22" s="403"/>
    </row>
    <row r="23" spans="1:22" ht="19.95" customHeight="1">
      <c r="A23" s="492" t="s">
        <v>637</v>
      </c>
      <c r="B23" s="492"/>
      <c r="C23" s="492"/>
      <c r="D23" s="405"/>
      <c r="E23" s="405"/>
      <c r="F23" s="405"/>
      <c r="G23" s="405"/>
      <c r="H23" s="405"/>
      <c r="I23" s="405"/>
      <c r="J23" s="405"/>
      <c r="K23" s="405"/>
      <c r="L23" s="405"/>
      <c r="M23" s="405"/>
      <c r="N23" s="405"/>
      <c r="O23" s="410" t="e">
        <f>O21/O22</f>
        <v>#DIV/0!</v>
      </c>
      <c r="P23" s="406"/>
      <c r="Q23" s="406"/>
      <c r="R23" s="407"/>
      <c r="S23" s="408"/>
      <c r="T23" s="407"/>
      <c r="U23" s="407"/>
      <c r="V23" s="409"/>
    </row>
    <row r="24" spans="1:22" ht="19.95" customHeight="1">
      <c r="A24" s="262" t="s">
        <v>165</v>
      </c>
      <c r="B24" s="262"/>
      <c r="C24" s="262"/>
      <c r="D24" s="262"/>
      <c r="E24" s="262"/>
      <c r="F24" s="262"/>
      <c r="G24" s="262"/>
      <c r="H24" s="262"/>
      <c r="I24" s="262"/>
      <c r="J24" s="262"/>
      <c r="K24" s="262"/>
      <c r="L24" s="262"/>
      <c r="M24" s="262"/>
      <c r="N24" s="262"/>
      <c r="O24" s="292"/>
    </row>
    <row r="25" spans="1:22" ht="19.95" customHeight="1">
      <c r="A25" s="223"/>
      <c r="B25" s="223"/>
      <c r="C25" s="223"/>
      <c r="D25" s="223"/>
      <c r="E25" s="223"/>
      <c r="F25" s="223"/>
      <c r="G25" s="223"/>
      <c r="H25" s="223"/>
      <c r="I25" s="223"/>
      <c r="J25" s="223"/>
      <c r="K25" s="223"/>
      <c r="L25" s="223"/>
      <c r="M25" s="223"/>
      <c r="N25" s="223"/>
      <c r="O25" s="223"/>
    </row>
    <row r="26" spans="1:22" ht="19.95" customHeight="1">
      <c r="A26" s="262" t="s">
        <v>166</v>
      </c>
      <c r="B26" s="262"/>
      <c r="C26" s="262"/>
      <c r="D26" s="262"/>
      <c r="E26" s="262"/>
      <c r="F26" s="262"/>
      <c r="G26" s="262"/>
      <c r="H26" s="262"/>
      <c r="I26" s="262"/>
      <c r="J26" s="262"/>
      <c r="K26" s="262"/>
      <c r="L26" s="262"/>
      <c r="M26" s="262"/>
      <c r="N26" s="262"/>
      <c r="O26" s="262"/>
    </row>
  </sheetData>
  <mergeCells count="14">
    <mergeCell ref="A22:C22"/>
    <mergeCell ref="A23:C23"/>
    <mergeCell ref="V10:V11"/>
    <mergeCell ref="A1:V1"/>
    <mergeCell ref="A2:V2"/>
    <mergeCell ref="A10:A11"/>
    <mergeCell ref="B10:B11"/>
    <mergeCell ref="C10:G10"/>
    <mergeCell ref="H10:K10"/>
    <mergeCell ref="L10:O10"/>
    <mergeCell ref="P10:R10"/>
    <mergeCell ref="S10:T10"/>
    <mergeCell ref="U10:U11"/>
    <mergeCell ref="A21:C21"/>
  </mergeCells>
  <phoneticPr fontId="116" type="noConversion"/>
  <hyperlinks>
    <hyperlink ref="V3" location="底稿目录!A1" display="I7-9"/>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33"/>
  <sheetViews>
    <sheetView view="pageBreakPreview" zoomScaleNormal="100" workbookViewId="0">
      <selection activeCell="R16" sqref="R16"/>
    </sheetView>
  </sheetViews>
  <sheetFormatPr defaultColWidth="9" defaultRowHeight="19.95" customHeight="1"/>
  <cols>
    <col min="1" max="1" width="16.77734375" style="6" customWidth="1"/>
    <col min="2" max="2" width="9.33203125" style="6" customWidth="1"/>
    <col min="3" max="3" width="8.109375" style="6" customWidth="1"/>
    <col min="4" max="4" width="9" style="6"/>
    <col min="5" max="5" width="16" style="6" customWidth="1"/>
    <col min="6" max="9" width="12.6640625" style="6" customWidth="1"/>
    <col min="10" max="14" width="3.6640625" style="6" customWidth="1"/>
    <col min="15" max="15" width="7" style="6" bestFit="1" customWidth="1"/>
    <col min="16" max="16" width="10.21875" style="6" customWidth="1"/>
    <col min="17" max="17" width="10.77734375" style="6" customWidth="1"/>
    <col min="18" max="19" width="15.6640625" style="6" customWidth="1"/>
    <col min="20" max="16384" width="9" style="6"/>
  </cols>
  <sheetData>
    <row r="1" spans="1:19" s="1" customFormat="1" ht="19.95" customHeight="1">
      <c r="A1" s="439" t="s">
        <v>57</v>
      </c>
      <c r="B1" s="439"/>
      <c r="C1" s="439"/>
      <c r="D1" s="439"/>
      <c r="E1" s="439"/>
      <c r="F1" s="439"/>
      <c r="G1" s="439"/>
      <c r="H1" s="439"/>
      <c r="I1" s="439"/>
      <c r="J1" s="439"/>
      <c r="K1" s="439"/>
      <c r="L1" s="439"/>
      <c r="M1" s="439"/>
      <c r="N1" s="439"/>
      <c r="O1" s="439"/>
      <c r="P1" s="439"/>
      <c r="Q1" s="439"/>
      <c r="R1" s="307"/>
      <c r="S1" s="307"/>
    </row>
    <row r="2" spans="1:19" s="2" customFormat="1" ht="19.95" customHeight="1">
      <c r="A2" s="440" t="s">
        <v>186</v>
      </c>
      <c r="B2" s="440"/>
      <c r="C2" s="440"/>
      <c r="D2" s="440"/>
      <c r="E2" s="440"/>
      <c r="F2" s="440"/>
      <c r="G2" s="440"/>
      <c r="H2" s="440"/>
      <c r="I2" s="440"/>
      <c r="J2" s="440"/>
      <c r="K2" s="440"/>
      <c r="L2" s="440"/>
      <c r="M2" s="440"/>
      <c r="N2" s="440"/>
      <c r="O2" s="440"/>
      <c r="P2" s="440"/>
      <c r="Q2" s="440"/>
      <c r="R2" s="308"/>
      <c r="S2" s="308"/>
    </row>
    <row r="3" spans="1:19" s="111" customFormat="1" ht="19.95" customHeight="1">
      <c r="A3" s="111" t="str">
        <f>底稿目录!A2</f>
        <v>被审计单位：</v>
      </c>
      <c r="F3" s="111" t="str">
        <f>底稿目录!A4</f>
        <v>编制人：</v>
      </c>
      <c r="I3" s="310" t="str">
        <f>底稿目录!A5</f>
        <v>编制日期：</v>
      </c>
      <c r="J3" s="310"/>
      <c r="K3" s="310"/>
      <c r="L3" s="310"/>
      <c r="M3" s="310"/>
      <c r="N3" s="310"/>
      <c r="P3" s="310" t="s">
        <v>185</v>
      </c>
      <c r="Q3" s="419" t="str">
        <f>底稿目录!D18</f>
        <v>I2-12</v>
      </c>
    </row>
    <row r="4" spans="1:19" s="111" customFormat="1" ht="19.95" customHeight="1">
      <c r="A4" s="111" t="str">
        <f>底稿目录!A3</f>
        <v>截止日：202X年12月31日</v>
      </c>
      <c r="F4" s="111" t="str">
        <f>底稿目录!A6</f>
        <v>复核人：</v>
      </c>
      <c r="I4" s="310" t="str">
        <f>底稿目录!A7</f>
        <v>复核日期：</v>
      </c>
      <c r="J4" s="310"/>
      <c r="K4" s="310"/>
      <c r="L4" s="310"/>
      <c r="M4" s="310"/>
      <c r="N4" s="310"/>
      <c r="P4" s="310" t="s">
        <v>84</v>
      </c>
      <c r="Q4" s="311"/>
    </row>
    <row r="5" spans="1:19" s="1" customFormat="1" ht="19.95" customHeight="1">
      <c r="A5" s="1" t="s">
        <v>187</v>
      </c>
    </row>
    <row r="6" spans="1:19" s="1" customFormat="1" ht="19.95" customHeight="1">
      <c r="A6" s="6" t="s">
        <v>188</v>
      </c>
    </row>
    <row r="7" spans="1:19" s="1" customFormat="1" ht="19.95" customHeight="1">
      <c r="A7" s="6" t="s">
        <v>189</v>
      </c>
    </row>
    <row r="8" spans="1:19" s="1" customFormat="1" ht="19.95" customHeight="1">
      <c r="A8" s="1" t="s">
        <v>190</v>
      </c>
    </row>
    <row r="9" spans="1:19" s="1" customFormat="1" ht="19.95" customHeight="1">
      <c r="A9" s="80" t="s">
        <v>191</v>
      </c>
      <c r="B9" s="81" t="s">
        <v>192</v>
      </c>
      <c r="C9" s="82"/>
      <c r="D9" s="82"/>
      <c r="E9" s="82"/>
      <c r="F9" s="80" t="s">
        <v>193</v>
      </c>
      <c r="G9" s="81" t="s">
        <v>194</v>
      </c>
      <c r="H9" s="82"/>
      <c r="I9" s="82"/>
      <c r="J9" s="82"/>
      <c r="K9" s="82"/>
      <c r="L9" s="82"/>
      <c r="M9" s="82"/>
      <c r="N9" s="82"/>
      <c r="O9" s="82"/>
      <c r="P9" s="82"/>
      <c r="Q9" s="82"/>
      <c r="R9" s="82"/>
      <c r="S9" s="82"/>
    </row>
    <row r="10" spans="1:19" s="1" customFormat="1" ht="19.95" customHeight="1">
      <c r="A10" s="80" t="s">
        <v>195</v>
      </c>
      <c r="B10" s="81" t="s">
        <v>196</v>
      </c>
      <c r="C10" s="82"/>
      <c r="D10" s="82"/>
      <c r="E10" s="82"/>
      <c r="F10" s="80" t="s">
        <v>197</v>
      </c>
      <c r="G10" s="81"/>
      <c r="H10" s="81" t="s">
        <v>198</v>
      </c>
      <c r="I10" s="81" t="s">
        <v>199</v>
      </c>
      <c r="J10" s="81"/>
      <c r="K10" s="81"/>
      <c r="L10" s="81"/>
      <c r="M10" s="81"/>
      <c r="N10" s="81"/>
      <c r="O10" s="81"/>
      <c r="P10" s="81"/>
      <c r="Q10" s="82"/>
      <c r="R10" s="82"/>
      <c r="S10" s="82"/>
    </row>
    <row r="11" spans="1:19" s="1" customFormat="1" ht="19.95" customHeight="1">
      <c r="A11" s="80" t="s">
        <v>200</v>
      </c>
      <c r="B11" s="378" t="s">
        <v>641</v>
      </c>
      <c r="C11" s="82"/>
      <c r="D11" s="82"/>
      <c r="E11" s="82"/>
      <c r="F11" s="80" t="s">
        <v>201</v>
      </c>
      <c r="G11" s="81" t="s">
        <v>202</v>
      </c>
      <c r="H11" s="82"/>
      <c r="I11" s="82"/>
      <c r="J11" s="82"/>
      <c r="K11" s="82"/>
      <c r="L11" s="82"/>
      <c r="M11" s="82"/>
      <c r="N11" s="82"/>
      <c r="O11" s="82"/>
      <c r="P11" s="82"/>
      <c r="Q11" s="82"/>
      <c r="R11" s="82"/>
      <c r="S11" s="82"/>
    </row>
    <row r="12" spans="1:19" s="1" customFormat="1" ht="19.95" customHeight="1">
      <c r="A12" s="1" t="s">
        <v>203</v>
      </c>
    </row>
    <row r="13" spans="1:19" s="1" customFormat="1" ht="19.95" customHeight="1">
      <c r="A13" s="207" t="s">
        <v>372</v>
      </c>
    </row>
    <row r="14" spans="1:19" ht="19.95" customHeight="1">
      <c r="A14" s="508" t="s">
        <v>214</v>
      </c>
      <c r="B14" s="509"/>
      <c r="C14" s="509"/>
      <c r="D14" s="509"/>
      <c r="E14" s="509"/>
      <c r="F14" s="509"/>
      <c r="G14" s="509"/>
      <c r="H14" s="509"/>
      <c r="I14" s="510" t="s">
        <v>361</v>
      </c>
      <c r="J14" s="512" t="s">
        <v>362</v>
      </c>
      <c r="K14" s="512"/>
      <c r="L14" s="512"/>
      <c r="M14" s="512"/>
      <c r="N14" s="512"/>
      <c r="O14" s="513" t="s">
        <v>363</v>
      </c>
      <c r="P14" s="513" t="s">
        <v>364</v>
      </c>
      <c r="Q14" s="509" t="s">
        <v>365</v>
      </c>
      <c r="R14" s="1"/>
      <c r="S14" s="1"/>
    </row>
    <row r="15" spans="1:19" ht="19.95" customHeight="1">
      <c r="A15" s="208" t="s">
        <v>373</v>
      </c>
      <c r="B15" s="209" t="s">
        <v>219</v>
      </c>
      <c r="C15" s="209" t="s">
        <v>366</v>
      </c>
      <c r="D15" s="209" t="s">
        <v>367</v>
      </c>
      <c r="E15" s="209" t="s">
        <v>368</v>
      </c>
      <c r="F15" s="209" t="s">
        <v>369</v>
      </c>
      <c r="G15" s="210" t="s">
        <v>370</v>
      </c>
      <c r="H15" s="210" t="s">
        <v>371</v>
      </c>
      <c r="I15" s="511"/>
      <c r="J15" s="211">
        <v>1</v>
      </c>
      <c r="K15" s="211">
        <v>2</v>
      </c>
      <c r="L15" s="211">
        <v>3</v>
      </c>
      <c r="M15" s="211">
        <v>4</v>
      </c>
      <c r="N15" s="211">
        <v>5</v>
      </c>
      <c r="O15" s="511"/>
      <c r="P15" s="511"/>
      <c r="Q15" s="511"/>
      <c r="R15" s="1"/>
      <c r="S15" s="1"/>
    </row>
    <row r="16" spans="1:19" ht="19.95" customHeight="1">
      <c r="A16" s="15"/>
      <c r="B16" s="15"/>
      <c r="C16" s="15"/>
      <c r="D16" s="15"/>
      <c r="E16" s="15"/>
      <c r="F16" s="15"/>
      <c r="G16" s="15"/>
      <c r="H16" s="15"/>
      <c r="I16" s="15"/>
      <c r="J16" s="206"/>
      <c r="K16" s="206"/>
      <c r="L16" s="206"/>
      <c r="M16" s="206"/>
      <c r="N16" s="206"/>
      <c r="O16" s="206"/>
      <c r="P16" s="206"/>
      <c r="Q16" s="15"/>
      <c r="R16" s="1"/>
      <c r="S16" s="1"/>
    </row>
    <row r="17" spans="1:19" ht="19.95" customHeight="1">
      <c r="A17" s="15"/>
      <c r="B17" s="15"/>
      <c r="C17" s="15"/>
      <c r="D17" s="15"/>
      <c r="E17" s="15"/>
      <c r="F17" s="15"/>
      <c r="G17" s="15"/>
      <c r="H17" s="15"/>
      <c r="I17" s="15"/>
      <c r="J17" s="206"/>
      <c r="K17" s="206"/>
      <c r="L17" s="206"/>
      <c r="M17" s="206"/>
      <c r="N17" s="206"/>
      <c r="O17" s="206"/>
      <c r="P17" s="206"/>
      <c r="Q17" s="15"/>
      <c r="R17" s="1"/>
      <c r="S17" s="1"/>
    </row>
    <row r="18" spans="1:19" ht="19.95" customHeight="1">
      <c r="A18" s="15"/>
      <c r="B18" s="15"/>
      <c r="C18" s="15"/>
      <c r="D18" s="15"/>
      <c r="E18" s="338"/>
      <c r="F18" s="15"/>
      <c r="G18" s="15"/>
      <c r="H18" s="15"/>
      <c r="I18" s="15"/>
      <c r="J18" s="206"/>
      <c r="K18" s="206"/>
      <c r="L18" s="206"/>
      <c r="M18" s="206"/>
      <c r="N18" s="206"/>
      <c r="O18" s="206"/>
      <c r="P18" s="206"/>
      <c r="Q18" s="15"/>
      <c r="R18" s="1"/>
      <c r="S18" s="1"/>
    </row>
    <row r="19" spans="1:19" ht="19.95" customHeight="1">
      <c r="A19" s="357"/>
      <c r="B19" s="357"/>
      <c r="C19" s="357"/>
      <c r="D19" s="357"/>
      <c r="E19" s="338"/>
      <c r="F19" s="357"/>
      <c r="G19" s="357"/>
      <c r="H19" s="357"/>
      <c r="I19" s="357"/>
      <c r="J19" s="357"/>
      <c r="K19" s="357"/>
      <c r="L19" s="357"/>
      <c r="M19" s="357"/>
      <c r="N19" s="357"/>
      <c r="O19" s="357"/>
      <c r="P19" s="357"/>
      <c r="Q19" s="357"/>
      <c r="R19" s="1"/>
      <c r="S19" s="1"/>
    </row>
    <row r="20" spans="1:19" ht="19.95" customHeight="1">
      <c r="A20" s="357"/>
      <c r="B20" s="357"/>
      <c r="C20" s="357"/>
      <c r="D20" s="357"/>
      <c r="E20" s="338"/>
      <c r="F20" s="357"/>
      <c r="G20" s="357"/>
      <c r="H20" s="357"/>
      <c r="I20" s="357"/>
      <c r="J20" s="357"/>
      <c r="K20" s="357"/>
      <c r="L20" s="357"/>
      <c r="M20" s="357"/>
      <c r="N20" s="357"/>
      <c r="O20" s="357"/>
      <c r="P20" s="357"/>
      <c r="Q20" s="357"/>
      <c r="R20" s="1"/>
      <c r="S20" s="1"/>
    </row>
    <row r="21" spans="1:19" ht="19.95" customHeight="1">
      <c r="A21" s="357"/>
      <c r="B21" s="357"/>
      <c r="C21" s="357"/>
      <c r="D21" s="357"/>
      <c r="E21" s="338"/>
      <c r="F21" s="357"/>
      <c r="G21" s="357"/>
      <c r="H21" s="357"/>
      <c r="I21" s="357"/>
      <c r="J21" s="357"/>
      <c r="K21" s="357"/>
      <c r="L21" s="357"/>
      <c r="M21" s="357"/>
      <c r="N21" s="357"/>
      <c r="O21" s="357"/>
      <c r="P21" s="357"/>
      <c r="Q21" s="357"/>
      <c r="R21" s="1"/>
      <c r="S21" s="1"/>
    </row>
    <row r="22" spans="1:19" ht="19.95" customHeight="1">
      <c r="A22" s="357"/>
      <c r="B22" s="357"/>
      <c r="C22" s="357"/>
      <c r="D22" s="357"/>
      <c r="E22" s="338"/>
      <c r="F22" s="357"/>
      <c r="G22" s="357"/>
      <c r="H22" s="357"/>
      <c r="I22" s="357"/>
      <c r="J22" s="357"/>
      <c r="K22" s="357"/>
      <c r="L22" s="357"/>
      <c r="M22" s="357"/>
      <c r="N22" s="357"/>
      <c r="O22" s="357"/>
      <c r="P22" s="357"/>
      <c r="Q22" s="357"/>
      <c r="R22" s="1"/>
      <c r="S22" s="1"/>
    </row>
    <row r="23" spans="1:19" ht="19.95" customHeight="1">
      <c r="A23" s="357"/>
      <c r="B23" s="357"/>
      <c r="C23" s="357"/>
      <c r="D23" s="357"/>
      <c r="E23" s="338"/>
      <c r="F23" s="357"/>
      <c r="G23" s="357"/>
      <c r="H23" s="357"/>
      <c r="I23" s="357"/>
      <c r="J23" s="357"/>
      <c r="K23" s="357"/>
      <c r="L23" s="357"/>
      <c r="M23" s="357"/>
      <c r="N23" s="357"/>
      <c r="O23" s="357"/>
      <c r="P23" s="357"/>
      <c r="Q23" s="357"/>
      <c r="R23" s="1"/>
      <c r="S23" s="1"/>
    </row>
    <row r="24" spans="1:19" ht="19.95" customHeight="1">
      <c r="A24" s="357"/>
      <c r="B24" s="357"/>
      <c r="C24" s="357"/>
      <c r="D24" s="357"/>
      <c r="E24" s="338"/>
      <c r="F24" s="357"/>
      <c r="G24" s="357"/>
      <c r="H24" s="357"/>
      <c r="I24" s="357"/>
      <c r="J24" s="357"/>
      <c r="K24" s="357"/>
      <c r="L24" s="357"/>
      <c r="M24" s="357"/>
      <c r="N24" s="357"/>
      <c r="O24" s="357"/>
      <c r="P24" s="357"/>
      <c r="Q24" s="357"/>
      <c r="R24" s="1"/>
      <c r="S24" s="1"/>
    </row>
    <row r="25" spans="1:19" ht="19.95" customHeight="1">
      <c r="A25" s="15"/>
      <c r="B25" s="15"/>
      <c r="C25" s="15"/>
      <c r="D25" s="15"/>
      <c r="E25" s="15"/>
      <c r="F25" s="15"/>
      <c r="G25" s="15"/>
      <c r="H25" s="15"/>
      <c r="I25" s="15"/>
      <c r="J25" s="206"/>
      <c r="K25" s="206"/>
      <c r="L25" s="206"/>
      <c r="M25" s="206"/>
      <c r="N25" s="206"/>
      <c r="O25" s="206"/>
      <c r="P25" s="206"/>
      <c r="Q25" s="15"/>
      <c r="R25" s="1"/>
      <c r="S25" s="1"/>
    </row>
    <row r="26" spans="1:19" ht="19.95" customHeight="1">
      <c r="A26" s="15"/>
      <c r="B26" s="15"/>
      <c r="C26" s="15"/>
      <c r="D26" s="15"/>
      <c r="E26" s="15"/>
      <c r="F26" s="15"/>
      <c r="G26" s="15"/>
      <c r="H26" s="15"/>
      <c r="I26" s="15"/>
      <c r="J26" s="206"/>
      <c r="K26" s="206"/>
      <c r="L26" s="206"/>
      <c r="M26" s="206"/>
      <c r="N26" s="206"/>
      <c r="O26" s="206"/>
      <c r="P26" s="206"/>
      <c r="Q26" s="15"/>
      <c r="R26" s="1"/>
      <c r="S26" s="1"/>
    </row>
    <row r="27" spans="1:19" ht="19.95" customHeight="1">
      <c r="A27" s="15"/>
      <c r="B27" s="15"/>
      <c r="C27" s="15"/>
      <c r="D27" s="15"/>
      <c r="E27" s="15"/>
      <c r="F27" s="15"/>
      <c r="G27" s="15"/>
      <c r="H27" s="15"/>
      <c r="I27" s="15"/>
      <c r="J27" s="206"/>
      <c r="K27" s="206"/>
      <c r="L27" s="206"/>
      <c r="M27" s="206"/>
      <c r="N27" s="206"/>
      <c r="O27" s="206"/>
      <c r="P27" s="206"/>
      <c r="Q27" s="15"/>
      <c r="R27" s="1"/>
      <c r="S27" s="1"/>
    </row>
    <row r="28" spans="1:19" ht="19.95" customHeight="1">
      <c r="A28" s="15"/>
      <c r="B28" s="15"/>
      <c r="C28" s="15"/>
      <c r="D28" s="15"/>
      <c r="E28" s="15"/>
      <c r="F28" s="15"/>
      <c r="G28" s="15"/>
      <c r="H28" s="15"/>
      <c r="I28" s="15"/>
      <c r="J28" s="206"/>
      <c r="K28" s="206"/>
      <c r="L28" s="206"/>
      <c r="M28" s="206"/>
      <c r="N28" s="206"/>
      <c r="O28" s="206"/>
      <c r="P28" s="206"/>
      <c r="Q28" s="15"/>
      <c r="R28" s="1"/>
      <c r="S28" s="1"/>
    </row>
    <row r="29" spans="1:19" s="1" customFormat="1" ht="19.95" customHeight="1">
      <c r="A29" s="1" t="s">
        <v>204</v>
      </c>
      <c r="I29" s="84"/>
      <c r="J29" s="84"/>
      <c r="K29" s="84"/>
      <c r="L29" s="84"/>
      <c r="M29" s="84"/>
      <c r="N29" s="84"/>
      <c r="O29" s="84"/>
      <c r="P29" s="84"/>
    </row>
    <row r="30" spans="1:19" ht="19.95" customHeight="1">
      <c r="I30" s="85"/>
      <c r="J30" s="85"/>
      <c r="K30" s="85"/>
      <c r="L30" s="85"/>
      <c r="M30" s="85"/>
      <c r="N30" s="85"/>
      <c r="O30" s="85"/>
      <c r="P30" s="85"/>
      <c r="Q30" s="82"/>
      <c r="R30" s="85"/>
      <c r="S30" s="82"/>
    </row>
    <row r="31" spans="1:19" ht="19.95" customHeight="1">
      <c r="I31" s="85"/>
      <c r="J31" s="85"/>
      <c r="K31" s="85"/>
      <c r="L31" s="85"/>
      <c r="M31" s="85"/>
      <c r="N31" s="85"/>
      <c r="O31" s="85"/>
      <c r="P31" s="85"/>
      <c r="Q31" s="86"/>
      <c r="R31" s="85"/>
      <c r="S31" s="82"/>
    </row>
    <row r="32" spans="1:19" ht="19.95" customHeight="1">
      <c r="I32" s="85"/>
      <c r="J32" s="85"/>
      <c r="K32" s="85"/>
      <c r="L32" s="85"/>
      <c r="M32" s="85"/>
      <c r="N32" s="85"/>
      <c r="O32" s="85"/>
      <c r="P32" s="85"/>
      <c r="Q32" s="86"/>
      <c r="S32" s="82"/>
    </row>
    <row r="33" spans="1:19" ht="19.95" customHeight="1">
      <c r="A33" s="1" t="s">
        <v>205</v>
      </c>
      <c r="Q33" s="86"/>
      <c r="R33" s="86"/>
      <c r="S33" s="82"/>
    </row>
  </sheetData>
  <mergeCells count="8">
    <mergeCell ref="A1:Q1"/>
    <mergeCell ref="A2:Q2"/>
    <mergeCell ref="A14:H14"/>
    <mergeCell ref="I14:I15"/>
    <mergeCell ref="J14:N14"/>
    <mergeCell ref="O14:O15"/>
    <mergeCell ref="P14:P15"/>
    <mergeCell ref="Q14:Q15"/>
  </mergeCells>
  <phoneticPr fontId="116" type="noConversion"/>
  <dataValidations count="1">
    <dataValidation type="list" allowBlank="1" showInputMessage="1" showErrorMessage="1" sqref="C33">
      <formula1>$B$42:$B$44</formula1>
    </dataValidation>
  </dataValidations>
  <hyperlinks>
    <hyperlink ref="Q3" location="底稿目录!D12" display="I2-6"/>
  </hyperlinks>
  <printOptions horizontalCentered="1"/>
  <pageMargins left="0.59055118110236204" right="0.59055118110236204" top="0.78740157480314998" bottom="0.39370078740157499" header="0.511811023622047" footer="0.31496062992126"/>
  <pageSetup paperSize="9" scale="83" fitToHeight="4" orientation="landscape" blackAndWhite="1"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49"/>
  <sheetViews>
    <sheetView view="pageBreakPreview" zoomScaleNormal="100" workbookViewId="0">
      <selection sqref="A1:J1"/>
    </sheetView>
  </sheetViews>
  <sheetFormatPr defaultColWidth="9" defaultRowHeight="13.8"/>
  <cols>
    <col min="1" max="1" width="4.44140625" style="46" customWidth="1"/>
    <col min="2" max="2" width="20" style="46" customWidth="1"/>
    <col min="3" max="8" width="12.21875" style="46" customWidth="1"/>
    <col min="9" max="9" width="11.77734375" style="46" customWidth="1"/>
    <col min="10" max="16384" width="9" style="46"/>
  </cols>
  <sheetData>
    <row r="1" spans="1:10" s="41" customFormat="1" ht="20.100000000000001" customHeight="1">
      <c r="A1" s="515" t="s">
        <v>57</v>
      </c>
      <c r="B1" s="515"/>
      <c r="C1" s="515"/>
      <c r="D1" s="515"/>
      <c r="E1" s="515"/>
      <c r="F1" s="515"/>
      <c r="G1" s="515"/>
      <c r="H1" s="515"/>
      <c r="I1" s="515"/>
      <c r="J1" s="515"/>
    </row>
    <row r="2" spans="1:10" s="42" customFormat="1" ht="24.9" customHeight="1">
      <c r="A2" s="516" t="s">
        <v>206</v>
      </c>
      <c r="B2" s="516"/>
      <c r="C2" s="516"/>
      <c r="D2" s="516"/>
      <c r="E2" s="516"/>
      <c r="F2" s="516"/>
      <c r="G2" s="516"/>
      <c r="H2" s="516"/>
      <c r="I2" s="516"/>
      <c r="J2" s="516"/>
    </row>
    <row r="3" spans="1:10" s="47" customFormat="1" ht="20.100000000000001" customHeight="1">
      <c r="A3" s="47" t="str">
        <f>底稿目录!A2</f>
        <v>被审计单位：</v>
      </c>
      <c r="B3" s="305"/>
      <c r="D3" s="47" t="str">
        <f>底稿目录!A4</f>
        <v>编制人：</v>
      </c>
      <c r="E3" s="306"/>
      <c r="F3" s="48" t="str">
        <f>底稿目录!A5</f>
        <v>编制日期：</v>
      </c>
      <c r="G3" s="48"/>
      <c r="I3" s="75" t="s">
        <v>185</v>
      </c>
      <c r="J3" s="419" t="str">
        <f>底稿目录!D19</f>
        <v>I2-13</v>
      </c>
    </row>
    <row r="4" spans="1:10" s="47" customFormat="1" ht="20.100000000000001" customHeight="1">
      <c r="A4" s="47" t="str">
        <f>底稿目录!A3</f>
        <v>截止日：202X年12月31日</v>
      </c>
      <c r="B4" s="305"/>
      <c r="D4" s="47" t="str">
        <f>底稿目录!A6</f>
        <v>复核人：</v>
      </c>
      <c r="E4" s="306"/>
      <c r="F4" s="48" t="str">
        <f>底稿目录!A7</f>
        <v>复核日期：</v>
      </c>
      <c r="G4" s="48"/>
      <c r="I4" s="75" t="s">
        <v>600</v>
      </c>
      <c r="J4" s="75"/>
    </row>
    <row r="5" spans="1:10" s="43" customFormat="1" ht="20.100000000000001" customHeight="1">
      <c r="A5" s="49" t="s">
        <v>207</v>
      </c>
      <c r="B5" s="50"/>
      <c r="C5" s="50"/>
      <c r="D5" s="50"/>
      <c r="E5" s="50"/>
      <c r="F5" s="50"/>
      <c r="G5" s="50"/>
      <c r="H5" s="50"/>
      <c r="I5" s="50"/>
    </row>
    <row r="6" spans="1:10" s="43" customFormat="1" ht="20.100000000000001" customHeight="1">
      <c r="A6" s="51" t="s">
        <v>208</v>
      </c>
      <c r="B6" s="52"/>
      <c r="C6" s="53"/>
      <c r="D6" s="54"/>
      <c r="E6" s="53"/>
      <c r="F6" s="54"/>
      <c r="G6" s="53"/>
      <c r="H6" s="54"/>
      <c r="I6" s="53"/>
    </row>
    <row r="7" spans="1:10" s="43" customFormat="1" ht="20.100000000000001" customHeight="1">
      <c r="A7" s="49" t="s">
        <v>209</v>
      </c>
      <c r="B7" s="49"/>
      <c r="C7" s="49"/>
      <c r="D7" s="49"/>
      <c r="E7" s="49"/>
      <c r="F7" s="49"/>
      <c r="G7" s="49"/>
      <c r="H7" s="49"/>
      <c r="I7" s="49"/>
    </row>
    <row r="8" spans="1:10" s="43" customFormat="1" ht="20.100000000000001" customHeight="1">
      <c r="A8" s="55" t="s">
        <v>226</v>
      </c>
      <c r="B8" s="49"/>
      <c r="C8" s="49"/>
      <c r="D8" s="49"/>
      <c r="E8" s="49"/>
      <c r="F8" s="49"/>
      <c r="G8" s="49"/>
      <c r="H8" s="49"/>
      <c r="I8" s="49"/>
    </row>
    <row r="9" spans="1:10" s="43" customFormat="1" ht="20.100000000000001" customHeight="1">
      <c r="A9" s="56" t="s">
        <v>211</v>
      </c>
      <c r="B9" s="49"/>
      <c r="C9" s="49"/>
      <c r="D9" s="49"/>
      <c r="E9" s="49"/>
      <c r="F9" s="49"/>
      <c r="G9" s="49"/>
      <c r="H9" s="49"/>
      <c r="I9" s="49"/>
    </row>
    <row r="10" spans="1:10" s="43" customFormat="1" ht="32.4" customHeight="1">
      <c r="A10" s="514" t="s">
        <v>225</v>
      </c>
      <c r="B10" s="514"/>
      <c r="C10" s="514"/>
      <c r="D10" s="514"/>
      <c r="E10" s="514"/>
      <c r="F10" s="514"/>
      <c r="G10" s="514"/>
      <c r="H10" s="514"/>
      <c r="I10" s="514"/>
      <c r="J10" s="514"/>
    </row>
    <row r="11" spans="1:10" s="43" customFormat="1" ht="20.100000000000001" customHeight="1">
      <c r="A11" s="49" t="s">
        <v>212</v>
      </c>
      <c r="B11" s="57"/>
      <c r="C11" s="57"/>
      <c r="D11" s="58"/>
      <c r="E11" s="59"/>
    </row>
    <row r="12" spans="1:10" s="43" customFormat="1" ht="20.100000000000001" customHeight="1">
      <c r="A12" s="522" t="s">
        <v>34</v>
      </c>
      <c r="B12" s="519" t="s">
        <v>214</v>
      </c>
      <c r="C12" s="520"/>
      <c r="D12" s="520"/>
      <c r="E12" s="521"/>
      <c r="F12" s="519" t="s">
        <v>213</v>
      </c>
      <c r="G12" s="520"/>
      <c r="H12" s="521"/>
      <c r="I12" s="517" t="s">
        <v>215</v>
      </c>
      <c r="J12" s="517" t="s">
        <v>216</v>
      </c>
    </row>
    <row r="13" spans="1:10" s="43" customFormat="1" ht="20.100000000000001" customHeight="1">
      <c r="A13" s="518"/>
      <c r="B13" s="60" t="s">
        <v>219</v>
      </c>
      <c r="C13" s="60" t="s">
        <v>227</v>
      </c>
      <c r="D13" s="60" t="s">
        <v>156</v>
      </c>
      <c r="E13" s="60" t="s">
        <v>221</v>
      </c>
      <c r="F13" s="60" t="s">
        <v>217</v>
      </c>
      <c r="G13" s="60" t="s">
        <v>218</v>
      </c>
      <c r="H13" s="60" t="s">
        <v>156</v>
      </c>
      <c r="I13" s="518"/>
      <c r="J13" s="518"/>
    </row>
    <row r="14" spans="1:10" ht="20.100000000000001" customHeight="1">
      <c r="A14" s="61">
        <v>1</v>
      </c>
      <c r="B14" s="61"/>
      <c r="C14" s="61"/>
      <c r="D14" s="61"/>
      <c r="E14" s="62"/>
      <c r="F14" s="61"/>
      <c r="G14" s="61"/>
      <c r="H14" s="62"/>
      <c r="I14" s="76"/>
      <c r="J14" s="63"/>
    </row>
    <row r="15" spans="1:10" ht="20.100000000000001" customHeight="1">
      <c r="A15" s="415">
        <v>2</v>
      </c>
      <c r="B15" s="415"/>
      <c r="C15" s="415"/>
      <c r="D15" s="415"/>
      <c r="E15" s="416"/>
      <c r="F15" s="415"/>
      <c r="G15" s="415"/>
      <c r="H15" s="416"/>
      <c r="I15" s="417"/>
      <c r="J15" s="418"/>
    </row>
    <row r="16" spans="1:10" ht="20.100000000000001" customHeight="1">
      <c r="A16" s="61">
        <v>3</v>
      </c>
      <c r="B16" s="415"/>
      <c r="C16" s="415"/>
      <c r="D16" s="415"/>
      <c r="E16" s="416"/>
      <c r="F16" s="415"/>
      <c r="G16" s="415"/>
      <c r="H16" s="416"/>
      <c r="I16" s="417"/>
      <c r="J16" s="418"/>
    </row>
    <row r="17" spans="1:10" ht="20.100000000000001" customHeight="1">
      <c r="A17" s="415">
        <v>4</v>
      </c>
      <c r="B17" s="415"/>
      <c r="C17" s="415"/>
      <c r="D17" s="415"/>
      <c r="E17" s="416"/>
      <c r="F17" s="415"/>
      <c r="G17" s="415"/>
      <c r="H17" s="416"/>
      <c r="I17" s="417"/>
      <c r="J17" s="418"/>
    </row>
    <row r="18" spans="1:10" ht="20.100000000000001" customHeight="1">
      <c r="A18" s="61">
        <v>5</v>
      </c>
      <c r="B18" s="415"/>
      <c r="C18" s="415"/>
      <c r="D18" s="415"/>
      <c r="E18" s="416"/>
      <c r="F18" s="415"/>
      <c r="G18" s="415"/>
      <c r="H18" s="416"/>
      <c r="I18" s="417"/>
      <c r="J18" s="418"/>
    </row>
    <row r="19" spans="1:10" ht="20.100000000000001" customHeight="1">
      <c r="A19" s="415">
        <v>6</v>
      </c>
      <c r="B19" s="415"/>
      <c r="C19" s="415"/>
      <c r="D19" s="415"/>
      <c r="E19" s="416"/>
      <c r="F19" s="415"/>
      <c r="G19" s="415"/>
      <c r="H19" s="416"/>
      <c r="I19" s="417"/>
      <c r="J19" s="418"/>
    </row>
    <row r="20" spans="1:10" ht="20.100000000000001" customHeight="1">
      <c r="A20" s="61">
        <v>7</v>
      </c>
      <c r="B20" s="61"/>
      <c r="C20" s="61"/>
      <c r="D20" s="61"/>
      <c r="E20" s="62"/>
      <c r="F20" s="61"/>
      <c r="G20" s="61"/>
      <c r="H20" s="62"/>
      <c r="I20" s="76"/>
      <c r="J20" s="63"/>
    </row>
    <row r="21" spans="1:10" ht="20.100000000000001" customHeight="1">
      <c r="A21" s="415">
        <v>8</v>
      </c>
      <c r="B21" s="61"/>
      <c r="C21" s="61"/>
      <c r="D21" s="61"/>
      <c r="E21" s="62"/>
      <c r="F21" s="61"/>
      <c r="G21" s="61"/>
      <c r="H21" s="62"/>
      <c r="I21" s="76"/>
      <c r="J21" s="63"/>
    </row>
    <row r="22" spans="1:10" ht="20.100000000000001" customHeight="1">
      <c r="A22" s="61">
        <v>9</v>
      </c>
      <c r="B22" s="61"/>
      <c r="C22" s="61"/>
      <c r="D22" s="61"/>
      <c r="E22" s="62"/>
      <c r="G22" s="61"/>
      <c r="H22" s="62"/>
      <c r="I22" s="76"/>
      <c r="J22" s="63"/>
    </row>
    <row r="23" spans="1:10" ht="20.100000000000001" customHeight="1">
      <c r="A23" s="415">
        <v>10</v>
      </c>
      <c r="B23" s="63"/>
      <c r="C23" s="63"/>
      <c r="D23" s="63"/>
      <c r="E23" s="64"/>
      <c r="F23" s="63"/>
      <c r="G23" s="63"/>
      <c r="H23" s="64"/>
      <c r="I23" s="76"/>
      <c r="J23" s="63"/>
    </row>
    <row r="24" spans="1:10" ht="20.100000000000001" customHeight="1">
      <c r="A24" s="65" t="s">
        <v>222</v>
      </c>
      <c r="B24" s="66"/>
      <c r="C24" s="66"/>
      <c r="D24" s="66"/>
      <c r="E24" s="66"/>
      <c r="F24" s="66"/>
      <c r="G24" s="66"/>
      <c r="H24" s="66"/>
      <c r="I24" s="77"/>
      <c r="J24" s="78"/>
    </row>
    <row r="25" spans="1:10" ht="20.100000000000001" customHeight="1">
      <c r="A25" s="61">
        <v>1</v>
      </c>
      <c r="B25" s="61"/>
      <c r="C25" s="61"/>
      <c r="D25" s="61"/>
      <c r="E25" s="62"/>
      <c r="F25" s="61"/>
      <c r="G25" s="61"/>
      <c r="H25" s="62"/>
      <c r="I25" s="76"/>
      <c r="J25" s="63"/>
    </row>
    <row r="26" spans="1:10" ht="20.100000000000001" customHeight="1">
      <c r="A26" s="415">
        <v>2</v>
      </c>
      <c r="B26" s="415"/>
      <c r="C26" s="415"/>
      <c r="D26" s="415"/>
      <c r="E26" s="416"/>
      <c r="F26" s="415"/>
      <c r="G26" s="415"/>
      <c r="H26" s="416"/>
      <c r="I26" s="417"/>
      <c r="J26" s="418"/>
    </row>
    <row r="27" spans="1:10" ht="20.100000000000001" customHeight="1">
      <c r="A27" s="61">
        <v>3</v>
      </c>
      <c r="B27" s="415"/>
      <c r="C27" s="415"/>
      <c r="D27" s="415"/>
      <c r="E27" s="416"/>
      <c r="F27" s="415"/>
      <c r="G27" s="415"/>
      <c r="H27" s="416"/>
      <c r="I27" s="417"/>
      <c r="J27" s="418"/>
    </row>
    <row r="28" spans="1:10" ht="20.100000000000001" customHeight="1">
      <c r="A28" s="415">
        <v>4</v>
      </c>
      <c r="B28" s="415"/>
      <c r="C28" s="415"/>
      <c r="D28" s="415"/>
      <c r="E28" s="416"/>
      <c r="F28" s="415"/>
      <c r="G28" s="415"/>
      <c r="H28" s="416"/>
      <c r="I28" s="417"/>
      <c r="J28" s="418"/>
    </row>
    <row r="29" spans="1:10" ht="20.100000000000001" customHeight="1">
      <c r="A29" s="61">
        <v>5</v>
      </c>
      <c r="B29" s="415"/>
      <c r="C29" s="415"/>
      <c r="D29" s="415"/>
      <c r="E29" s="416"/>
      <c r="F29" s="415"/>
      <c r="G29" s="415"/>
      <c r="H29" s="416"/>
      <c r="I29" s="417"/>
      <c r="J29" s="418"/>
    </row>
    <row r="30" spans="1:10" ht="20.100000000000001" customHeight="1">
      <c r="A30" s="415">
        <v>6</v>
      </c>
      <c r="B30" s="415"/>
      <c r="C30" s="415"/>
      <c r="D30" s="415"/>
      <c r="E30" s="416"/>
      <c r="F30" s="415"/>
      <c r="G30" s="415"/>
      <c r="H30" s="416"/>
      <c r="I30" s="417"/>
      <c r="J30" s="418"/>
    </row>
    <row r="31" spans="1:10" ht="20.100000000000001" customHeight="1">
      <c r="A31" s="61">
        <v>7</v>
      </c>
      <c r="B31" s="61"/>
      <c r="C31" s="61"/>
      <c r="D31" s="61"/>
      <c r="E31" s="62"/>
      <c r="F31" s="61"/>
      <c r="G31" s="61"/>
      <c r="H31" s="62"/>
      <c r="I31" s="76"/>
      <c r="J31" s="63"/>
    </row>
    <row r="32" spans="1:10" ht="20.100000000000001" customHeight="1">
      <c r="A32" s="415">
        <v>8</v>
      </c>
      <c r="B32" s="61"/>
      <c r="C32" s="61"/>
      <c r="D32" s="61"/>
      <c r="E32" s="62"/>
      <c r="F32" s="61"/>
      <c r="G32" s="61"/>
      <c r="H32" s="62"/>
      <c r="I32" s="76"/>
      <c r="J32" s="63"/>
    </row>
    <row r="33" spans="1:10" ht="20.100000000000001" customHeight="1">
      <c r="A33" s="61">
        <v>9</v>
      </c>
      <c r="B33" s="67"/>
      <c r="C33" s="67"/>
      <c r="D33" s="67"/>
      <c r="E33" s="62"/>
      <c r="F33" s="67"/>
      <c r="G33" s="67"/>
      <c r="H33" s="62"/>
      <c r="I33" s="76"/>
      <c r="J33" s="63"/>
    </row>
    <row r="34" spans="1:10" ht="20.100000000000001" customHeight="1">
      <c r="A34" s="415">
        <v>10</v>
      </c>
      <c r="B34" s="67"/>
      <c r="C34" s="67"/>
      <c r="D34" s="67"/>
      <c r="E34" s="64"/>
      <c r="F34" s="67"/>
      <c r="G34" s="67"/>
      <c r="H34" s="64"/>
      <c r="I34" s="76"/>
      <c r="J34" s="63"/>
    </row>
    <row r="35" spans="1:10" ht="20.100000000000001" customHeight="1">
      <c r="A35" s="68" t="s">
        <v>223</v>
      </c>
    </row>
    <row r="36" spans="1:10" ht="20.100000000000001" customHeight="1"/>
    <row r="37" spans="1:10" ht="20.100000000000001" customHeight="1"/>
    <row r="38" spans="1:10" ht="20.100000000000001" customHeight="1">
      <c r="A38" s="68" t="s">
        <v>224</v>
      </c>
    </row>
    <row r="39" spans="1:10" ht="20.100000000000001" customHeight="1"/>
    <row r="40" spans="1:10" ht="20.100000000000001" customHeight="1"/>
    <row r="41" spans="1:10" ht="18" customHeight="1">
      <c r="A41" s="69" t="s">
        <v>225</v>
      </c>
    </row>
    <row r="42" spans="1:10" ht="18" customHeight="1">
      <c r="A42" s="70"/>
    </row>
    <row r="43" spans="1:10" ht="18" customHeight="1">
      <c r="A43" s="71"/>
    </row>
    <row r="44" spans="1:10" s="44" customFormat="1" ht="18" customHeight="1"/>
    <row r="45" spans="1:10" s="45" customFormat="1" ht="18" customHeight="1"/>
    <row r="46" spans="1:10" s="45" customFormat="1" ht="18" customHeight="1">
      <c r="A46" s="72"/>
    </row>
    <row r="47" spans="1:10" s="45" customFormat="1" ht="18" customHeight="1">
      <c r="A47" s="73"/>
      <c r="B47" s="74"/>
    </row>
    <row r="48" spans="1:10" s="45" customFormat="1" ht="18" customHeight="1">
      <c r="A48" s="73"/>
      <c r="B48" s="74"/>
    </row>
    <row r="49" spans="1:2" s="45" customFormat="1" ht="18" customHeight="1">
      <c r="A49" s="73"/>
      <c r="B49" s="74"/>
    </row>
  </sheetData>
  <mergeCells count="8">
    <mergeCell ref="A10:J10"/>
    <mergeCell ref="A1:J1"/>
    <mergeCell ref="A2:J2"/>
    <mergeCell ref="J12:J13"/>
    <mergeCell ref="B12:E12"/>
    <mergeCell ref="F12:H12"/>
    <mergeCell ref="A12:A13"/>
    <mergeCell ref="I12:I13"/>
  </mergeCells>
  <phoneticPr fontId="116" type="noConversion"/>
  <dataValidations count="1">
    <dataValidation type="list" allowBlank="1" showInputMessage="1" showErrorMessage="1" sqref="I14:I23 I25:I34">
      <formula1>"√,×"</formula1>
    </dataValidation>
  </dataValidations>
  <hyperlinks>
    <hyperlink ref="J3" location="底稿目录!D14" display="I2-8"/>
  </hyperlinks>
  <pageMargins left="0.70866141732283472" right="0.70866141732283472" top="0.74803149606299213" bottom="0.74803149606299213" header="0.31496062992125984" footer="0.31496062992125984"/>
  <pageSetup paperSize="9" scale="70" orientation="portrait" blackAndWhite="1"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J49"/>
  <sheetViews>
    <sheetView view="pageBreakPreview" zoomScaleNormal="100" workbookViewId="0">
      <selection sqref="A1:J1"/>
    </sheetView>
  </sheetViews>
  <sheetFormatPr defaultColWidth="9" defaultRowHeight="13.8"/>
  <cols>
    <col min="1" max="1" width="4.44140625" style="46" customWidth="1"/>
    <col min="2" max="2" width="20" style="46" customWidth="1"/>
    <col min="3" max="8" width="12.21875" style="46" customWidth="1"/>
    <col min="9" max="9" width="11.77734375" style="46" customWidth="1"/>
    <col min="10" max="16384" width="9" style="46"/>
  </cols>
  <sheetData>
    <row r="1" spans="1:10" s="41" customFormat="1" ht="20.100000000000001" customHeight="1">
      <c r="A1" s="515" t="s">
        <v>57</v>
      </c>
      <c r="B1" s="515"/>
      <c r="C1" s="515"/>
      <c r="D1" s="515"/>
      <c r="E1" s="515"/>
      <c r="F1" s="515"/>
      <c r="G1" s="515"/>
      <c r="H1" s="515"/>
      <c r="I1" s="515"/>
      <c r="J1" s="515"/>
    </row>
    <row r="2" spans="1:10" s="42" customFormat="1" ht="24.9" customHeight="1">
      <c r="A2" s="516" t="s">
        <v>206</v>
      </c>
      <c r="B2" s="516"/>
      <c r="C2" s="516"/>
      <c r="D2" s="516"/>
      <c r="E2" s="516"/>
      <c r="F2" s="516"/>
      <c r="G2" s="516"/>
      <c r="H2" s="516"/>
      <c r="I2" s="516"/>
      <c r="J2" s="516"/>
    </row>
    <row r="3" spans="1:10" s="47" customFormat="1" ht="20.100000000000001" customHeight="1">
      <c r="A3" s="47" t="str">
        <f>底稿目录!A2</f>
        <v>被审计单位：</v>
      </c>
      <c r="B3" s="305"/>
      <c r="D3" s="47" t="str">
        <f>底稿目录!A4</f>
        <v>编制人：</v>
      </c>
      <c r="E3" s="306"/>
      <c r="F3" s="48" t="str">
        <f>底稿目录!A5</f>
        <v>编制日期：</v>
      </c>
      <c r="G3" s="48"/>
      <c r="I3" s="75" t="s">
        <v>185</v>
      </c>
      <c r="J3" s="419" t="str">
        <f>底稿目录!D20</f>
        <v>I2-14</v>
      </c>
    </row>
    <row r="4" spans="1:10" s="47" customFormat="1" ht="20.100000000000001" customHeight="1">
      <c r="A4" s="47" t="str">
        <f>底稿目录!A3</f>
        <v>截止日：202X年12月31日</v>
      </c>
      <c r="B4" s="305"/>
      <c r="D4" s="47" t="str">
        <f>底稿目录!A6</f>
        <v>复核人：</v>
      </c>
      <c r="E4" s="306"/>
      <c r="F4" s="48" t="str">
        <f>底稿目录!A7</f>
        <v>复核日期：</v>
      </c>
      <c r="G4" s="48"/>
      <c r="I4" s="75" t="s">
        <v>600</v>
      </c>
      <c r="J4" s="75"/>
    </row>
    <row r="5" spans="1:10" s="43" customFormat="1" ht="20.100000000000001" customHeight="1">
      <c r="A5" s="49" t="s">
        <v>207</v>
      </c>
      <c r="B5" s="50"/>
      <c r="C5" s="50"/>
      <c r="D5" s="50"/>
      <c r="E5" s="50"/>
      <c r="F5" s="50"/>
      <c r="G5" s="50"/>
      <c r="H5" s="50"/>
      <c r="I5" s="50"/>
    </row>
    <row r="6" spans="1:10" s="43" customFormat="1" ht="20.100000000000001" customHeight="1">
      <c r="A6" s="51" t="s">
        <v>208</v>
      </c>
      <c r="B6" s="52"/>
      <c r="C6" s="53"/>
      <c r="D6" s="54"/>
      <c r="E6" s="53"/>
      <c r="F6" s="54"/>
      <c r="G6" s="53"/>
      <c r="H6" s="54"/>
      <c r="I6" s="53"/>
    </row>
    <row r="7" spans="1:10" s="43" customFormat="1" ht="20.100000000000001" customHeight="1">
      <c r="A7" s="49" t="s">
        <v>209</v>
      </c>
      <c r="B7" s="49"/>
      <c r="C7" s="49"/>
      <c r="D7" s="49"/>
      <c r="E7" s="49"/>
      <c r="F7" s="49"/>
      <c r="G7" s="49"/>
      <c r="H7" s="49"/>
      <c r="I7" s="49"/>
    </row>
    <row r="8" spans="1:10" s="43" customFormat="1" ht="20.100000000000001" customHeight="1">
      <c r="A8" s="56" t="s">
        <v>210</v>
      </c>
      <c r="B8" s="49"/>
      <c r="C8" s="49"/>
      <c r="D8" s="49"/>
      <c r="E8" s="49"/>
      <c r="F8" s="49"/>
      <c r="G8" s="49"/>
      <c r="H8" s="49"/>
      <c r="I8" s="49"/>
    </row>
    <row r="9" spans="1:10" s="43" customFormat="1" ht="20.100000000000001" customHeight="1">
      <c r="A9" s="56" t="s">
        <v>211</v>
      </c>
      <c r="B9" s="49"/>
      <c r="C9" s="49"/>
      <c r="D9" s="49"/>
      <c r="E9" s="49"/>
      <c r="F9" s="49"/>
      <c r="G9" s="49"/>
      <c r="H9" s="49"/>
      <c r="I9" s="49"/>
    </row>
    <row r="10" spans="1:10" s="43" customFormat="1" ht="33" customHeight="1">
      <c r="A10" s="514" t="s">
        <v>225</v>
      </c>
      <c r="B10" s="514"/>
      <c r="C10" s="514"/>
      <c r="D10" s="514"/>
      <c r="E10" s="514"/>
      <c r="F10" s="514"/>
      <c r="G10" s="514"/>
      <c r="H10" s="514"/>
      <c r="I10" s="514"/>
      <c r="J10" s="514"/>
    </row>
    <row r="11" spans="1:10" s="43" customFormat="1" ht="20.100000000000001" customHeight="1">
      <c r="A11" s="49" t="s">
        <v>212</v>
      </c>
      <c r="B11" s="57"/>
      <c r="C11" s="57"/>
      <c r="D11" s="58"/>
      <c r="E11" s="59"/>
    </row>
    <row r="12" spans="1:10" s="43" customFormat="1" ht="20.100000000000001" customHeight="1">
      <c r="A12" s="522" t="s">
        <v>34</v>
      </c>
      <c r="B12" s="519" t="s">
        <v>213</v>
      </c>
      <c r="C12" s="520"/>
      <c r="D12" s="521"/>
      <c r="E12" s="519" t="s">
        <v>214</v>
      </c>
      <c r="F12" s="520"/>
      <c r="G12" s="520"/>
      <c r="H12" s="521"/>
      <c r="I12" s="517" t="s">
        <v>215</v>
      </c>
      <c r="J12" s="517" t="s">
        <v>216</v>
      </c>
    </row>
    <row r="13" spans="1:10" s="43" customFormat="1" ht="20.100000000000001" customHeight="1">
      <c r="A13" s="523"/>
      <c r="B13" s="60" t="s">
        <v>217</v>
      </c>
      <c r="C13" s="60" t="s">
        <v>218</v>
      </c>
      <c r="D13" s="60" t="s">
        <v>156</v>
      </c>
      <c r="E13" s="60" t="s">
        <v>219</v>
      </c>
      <c r="F13" s="60" t="s">
        <v>220</v>
      </c>
      <c r="G13" s="60" t="s">
        <v>156</v>
      </c>
      <c r="H13" s="60" t="s">
        <v>221</v>
      </c>
      <c r="I13" s="523"/>
      <c r="J13" s="523"/>
    </row>
    <row r="14" spans="1:10" ht="20.100000000000001" customHeight="1">
      <c r="A14" s="61">
        <v>1</v>
      </c>
      <c r="B14" s="61"/>
      <c r="C14" s="61"/>
      <c r="D14" s="61"/>
      <c r="E14" s="62"/>
      <c r="F14" s="61"/>
      <c r="G14" s="61"/>
      <c r="H14" s="62"/>
      <c r="I14" s="76"/>
      <c r="J14" s="63"/>
    </row>
    <row r="15" spans="1:10" ht="20.100000000000001" customHeight="1">
      <c r="A15" s="61">
        <v>2</v>
      </c>
      <c r="B15" s="61"/>
      <c r="C15" s="61"/>
      <c r="D15" s="61"/>
      <c r="E15" s="62"/>
      <c r="F15" s="61"/>
      <c r="G15" s="61"/>
      <c r="H15" s="62"/>
      <c r="I15" s="76"/>
      <c r="J15" s="63"/>
    </row>
    <row r="16" spans="1:10" ht="20.100000000000001" customHeight="1">
      <c r="A16" s="61">
        <v>3</v>
      </c>
      <c r="B16" s="415"/>
      <c r="C16" s="415"/>
      <c r="D16" s="415"/>
      <c r="E16" s="416"/>
      <c r="F16" s="415"/>
      <c r="G16" s="415"/>
      <c r="H16" s="416"/>
      <c r="I16" s="417"/>
      <c r="J16" s="418"/>
    </row>
    <row r="17" spans="1:10" ht="20.100000000000001" customHeight="1">
      <c r="A17" s="61">
        <v>4</v>
      </c>
      <c r="B17" s="415"/>
      <c r="C17" s="415"/>
      <c r="D17" s="415"/>
      <c r="E17" s="416"/>
      <c r="F17" s="415"/>
      <c r="G17" s="415"/>
      <c r="H17" s="416"/>
      <c r="I17" s="417"/>
      <c r="J17" s="418"/>
    </row>
    <row r="18" spans="1:10" ht="20.100000000000001" customHeight="1">
      <c r="A18" s="61">
        <v>5</v>
      </c>
      <c r="B18" s="415"/>
      <c r="C18" s="415"/>
      <c r="D18" s="415"/>
      <c r="E18" s="416"/>
      <c r="F18" s="415"/>
      <c r="G18" s="415"/>
      <c r="H18" s="416"/>
      <c r="I18" s="417"/>
      <c r="J18" s="418"/>
    </row>
    <row r="19" spans="1:10" ht="20.100000000000001" customHeight="1">
      <c r="A19" s="61">
        <v>6</v>
      </c>
      <c r="B19" s="415"/>
      <c r="C19" s="415"/>
      <c r="D19" s="415"/>
      <c r="E19" s="416"/>
      <c r="F19" s="415"/>
      <c r="G19" s="415"/>
      <c r="H19" s="416"/>
      <c r="I19" s="417"/>
      <c r="J19" s="418"/>
    </row>
    <row r="20" spans="1:10" ht="20.100000000000001" customHeight="1">
      <c r="A20" s="61">
        <v>7</v>
      </c>
      <c r="B20" s="415"/>
      <c r="C20" s="415"/>
      <c r="D20" s="415"/>
      <c r="E20" s="416"/>
      <c r="F20" s="415"/>
      <c r="G20" s="415"/>
      <c r="H20" s="416"/>
      <c r="I20" s="417"/>
      <c r="J20" s="418"/>
    </row>
    <row r="21" spans="1:10" ht="20.100000000000001" customHeight="1">
      <c r="A21" s="61">
        <v>8</v>
      </c>
      <c r="B21" s="61"/>
      <c r="C21" s="61"/>
      <c r="D21" s="61"/>
      <c r="E21" s="62"/>
      <c r="F21" s="61"/>
      <c r="G21" s="61"/>
      <c r="H21" s="62"/>
      <c r="I21" s="76"/>
      <c r="J21" s="63"/>
    </row>
    <row r="22" spans="1:10" ht="20.100000000000001" customHeight="1">
      <c r="A22" s="61">
        <v>9</v>
      </c>
      <c r="B22" s="61"/>
      <c r="C22" s="61"/>
      <c r="D22" s="61"/>
      <c r="E22" s="62"/>
      <c r="F22" s="61"/>
      <c r="G22" s="61"/>
      <c r="H22" s="62"/>
      <c r="I22" s="76"/>
      <c r="J22" s="63"/>
    </row>
    <row r="23" spans="1:10" ht="20.100000000000001" customHeight="1">
      <c r="A23" s="61">
        <v>10</v>
      </c>
      <c r="B23" s="63"/>
      <c r="C23" s="63"/>
      <c r="D23" s="63"/>
      <c r="E23" s="64"/>
      <c r="F23" s="63"/>
      <c r="G23" s="63"/>
      <c r="H23" s="64"/>
      <c r="I23" s="76"/>
      <c r="J23" s="63"/>
    </row>
    <row r="24" spans="1:10" ht="20.100000000000001" customHeight="1">
      <c r="A24" s="65" t="s">
        <v>222</v>
      </c>
      <c r="B24" s="66"/>
      <c r="C24" s="66"/>
      <c r="D24" s="66"/>
      <c r="E24" s="66"/>
      <c r="F24" s="66"/>
      <c r="G24" s="66"/>
      <c r="H24" s="66"/>
      <c r="I24" s="77"/>
      <c r="J24" s="78"/>
    </row>
    <row r="25" spans="1:10" ht="20.100000000000001" customHeight="1">
      <c r="A25" s="61">
        <v>1</v>
      </c>
      <c r="B25" s="61"/>
      <c r="C25" s="61"/>
      <c r="D25" s="61"/>
      <c r="E25" s="62"/>
      <c r="F25" s="61"/>
      <c r="G25" s="61"/>
      <c r="H25" s="62"/>
      <c r="I25" s="76"/>
      <c r="J25" s="63"/>
    </row>
    <row r="26" spans="1:10" ht="20.100000000000001" customHeight="1">
      <c r="A26" s="415">
        <v>2</v>
      </c>
      <c r="B26" s="415"/>
      <c r="C26" s="415"/>
      <c r="D26" s="415"/>
      <c r="E26" s="416"/>
      <c r="F26" s="415"/>
      <c r="G26" s="415"/>
      <c r="H26" s="416"/>
      <c r="I26" s="417"/>
      <c r="J26" s="418"/>
    </row>
    <row r="27" spans="1:10" ht="20.100000000000001" customHeight="1">
      <c r="A27" s="61">
        <v>3</v>
      </c>
      <c r="B27" s="415"/>
      <c r="C27" s="415"/>
      <c r="D27" s="415"/>
      <c r="E27" s="416"/>
      <c r="F27" s="415"/>
      <c r="G27" s="415"/>
      <c r="H27" s="416"/>
      <c r="I27" s="417"/>
      <c r="J27" s="418"/>
    </row>
    <row r="28" spans="1:10" ht="20.100000000000001" customHeight="1">
      <c r="A28" s="415">
        <v>4</v>
      </c>
      <c r="B28" s="415"/>
      <c r="C28" s="415"/>
      <c r="D28" s="415"/>
      <c r="E28" s="416"/>
      <c r="F28" s="415"/>
      <c r="G28" s="415"/>
      <c r="H28" s="416"/>
      <c r="I28" s="417"/>
      <c r="J28" s="418"/>
    </row>
    <row r="29" spans="1:10" ht="20.100000000000001" customHeight="1">
      <c r="A29" s="61">
        <v>5</v>
      </c>
      <c r="B29" s="415"/>
      <c r="C29" s="415"/>
      <c r="D29" s="415"/>
      <c r="E29" s="416"/>
      <c r="F29" s="415"/>
      <c r="G29" s="415"/>
      <c r="H29" s="416"/>
      <c r="I29" s="417"/>
      <c r="J29" s="418"/>
    </row>
    <row r="30" spans="1:10" ht="20.100000000000001" customHeight="1">
      <c r="A30" s="415">
        <v>6</v>
      </c>
      <c r="B30" s="415"/>
      <c r="C30" s="415"/>
      <c r="D30" s="415"/>
      <c r="E30" s="416"/>
      <c r="F30" s="415"/>
      <c r="G30" s="415"/>
      <c r="H30" s="416"/>
      <c r="I30" s="417"/>
      <c r="J30" s="418"/>
    </row>
    <row r="31" spans="1:10" ht="20.100000000000001" customHeight="1">
      <c r="A31" s="61">
        <v>7</v>
      </c>
      <c r="B31" s="61"/>
      <c r="C31" s="61"/>
      <c r="D31" s="61"/>
      <c r="E31" s="62"/>
      <c r="F31" s="61"/>
      <c r="G31" s="61"/>
      <c r="H31" s="62"/>
      <c r="I31" s="76"/>
      <c r="J31" s="63"/>
    </row>
    <row r="32" spans="1:10" ht="20.100000000000001" customHeight="1">
      <c r="A32" s="415">
        <v>8</v>
      </c>
      <c r="B32" s="61"/>
      <c r="C32" s="61"/>
      <c r="D32" s="61"/>
      <c r="E32" s="62"/>
      <c r="F32" s="61"/>
      <c r="G32" s="61"/>
      <c r="H32" s="62"/>
      <c r="I32" s="76"/>
      <c r="J32" s="63"/>
    </row>
    <row r="33" spans="1:10" ht="20.100000000000001" customHeight="1">
      <c r="A33" s="61">
        <v>9</v>
      </c>
      <c r="B33" s="67"/>
      <c r="C33" s="67"/>
      <c r="D33" s="67"/>
      <c r="E33" s="62"/>
      <c r="F33" s="67"/>
      <c r="G33" s="67"/>
      <c r="H33" s="62"/>
      <c r="I33" s="76"/>
      <c r="J33" s="63"/>
    </row>
    <row r="34" spans="1:10" ht="20.100000000000001" customHeight="1">
      <c r="A34" s="415">
        <v>10</v>
      </c>
      <c r="B34" s="67"/>
      <c r="C34" s="67"/>
      <c r="D34" s="67"/>
      <c r="E34" s="64"/>
      <c r="F34" s="67"/>
      <c r="G34" s="67"/>
      <c r="H34" s="64"/>
      <c r="I34" s="76"/>
      <c r="J34" s="63"/>
    </row>
    <row r="35" spans="1:10" ht="20.100000000000001" customHeight="1">
      <c r="A35" s="68" t="s">
        <v>223</v>
      </c>
    </row>
    <row r="36" spans="1:10" ht="20.100000000000001" customHeight="1"/>
    <row r="37" spans="1:10" ht="20.100000000000001" customHeight="1"/>
    <row r="38" spans="1:10" ht="20.100000000000001" customHeight="1">
      <c r="A38" s="68" t="s">
        <v>224</v>
      </c>
    </row>
    <row r="39" spans="1:10" ht="20.100000000000001" customHeight="1"/>
    <row r="40" spans="1:10" ht="20.100000000000001" customHeight="1"/>
    <row r="41" spans="1:10" ht="18" customHeight="1">
      <c r="A41" s="69" t="s">
        <v>225</v>
      </c>
    </row>
    <row r="42" spans="1:10" ht="18" customHeight="1">
      <c r="A42" s="70"/>
    </row>
    <row r="43" spans="1:10" ht="18" customHeight="1">
      <c r="A43" s="71"/>
    </row>
    <row r="44" spans="1:10" s="44" customFormat="1" ht="18" customHeight="1"/>
    <row r="45" spans="1:10" s="45" customFormat="1" ht="18" customHeight="1"/>
    <row r="46" spans="1:10" s="45" customFormat="1" ht="18" customHeight="1">
      <c r="A46" s="72"/>
    </row>
    <row r="47" spans="1:10" s="45" customFormat="1" ht="18" customHeight="1">
      <c r="A47" s="73"/>
      <c r="B47" s="74"/>
    </row>
    <row r="48" spans="1:10" s="45" customFormat="1" ht="18" customHeight="1">
      <c r="A48" s="73"/>
      <c r="B48" s="74"/>
    </row>
    <row r="49" spans="1:2" s="45" customFormat="1" ht="18" customHeight="1">
      <c r="A49" s="73"/>
      <c r="B49" s="74"/>
    </row>
  </sheetData>
  <mergeCells count="8">
    <mergeCell ref="A10:J10"/>
    <mergeCell ref="A1:J1"/>
    <mergeCell ref="A2:J2"/>
    <mergeCell ref="J12:J13"/>
    <mergeCell ref="B12:D12"/>
    <mergeCell ref="E12:H12"/>
    <mergeCell ref="A12:A13"/>
    <mergeCell ref="I12:I13"/>
  </mergeCells>
  <phoneticPr fontId="116" type="noConversion"/>
  <dataValidations count="1">
    <dataValidation type="list" allowBlank="1" showInputMessage="1" showErrorMessage="1" sqref="I14:I23 I25:I34">
      <formula1>"√,×"</formula1>
    </dataValidation>
  </dataValidations>
  <hyperlinks>
    <hyperlink ref="J3" location="底稿目录!D13" display="I2-7"/>
  </hyperlinks>
  <pageMargins left="0.70866141732283505" right="0.70866141732283505" top="0.74803149606299202" bottom="0.74803149606299202" header="0.31496062992126" footer="0.31496062992126"/>
  <pageSetup paperSize="9" scale="75" orientation="portrait" blackAndWhite="1"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D30"/>
  <sheetViews>
    <sheetView view="pageBreakPreview" zoomScaleNormal="100" workbookViewId="0">
      <selection activeCell="M3" sqref="M3"/>
    </sheetView>
  </sheetViews>
  <sheetFormatPr defaultColWidth="9" defaultRowHeight="13.8"/>
  <cols>
    <col min="1" max="1" width="18.33203125" style="6" customWidth="1"/>
    <col min="2" max="3" width="12.33203125" style="6" customWidth="1"/>
    <col min="4" max="4" width="14.6640625" style="6" customWidth="1"/>
    <col min="5" max="5" width="11.44140625" style="6" customWidth="1"/>
    <col min="6" max="7" width="13.44140625" style="6" customWidth="1"/>
    <col min="8" max="8" width="14.21875" style="6" customWidth="1"/>
    <col min="9" max="13" width="14.6640625" style="6" customWidth="1"/>
    <col min="14" max="16384" width="9" style="6"/>
  </cols>
  <sheetData>
    <row r="1" spans="1:30" s="1" customFormat="1" ht="20.100000000000001" customHeight="1">
      <c r="A1" s="439" t="s">
        <v>57</v>
      </c>
      <c r="B1" s="439"/>
      <c r="C1" s="439"/>
      <c r="D1" s="439"/>
      <c r="E1" s="439"/>
      <c r="F1" s="439"/>
      <c r="G1" s="439"/>
      <c r="H1" s="439"/>
      <c r="I1" s="439"/>
      <c r="J1" s="439"/>
      <c r="K1" s="439"/>
      <c r="L1" s="439"/>
      <c r="M1" s="439"/>
    </row>
    <row r="2" spans="1:30" s="2" customFormat="1" ht="24.9" customHeight="1">
      <c r="A2" s="440" t="s">
        <v>23</v>
      </c>
      <c r="B2" s="440"/>
      <c r="C2" s="440"/>
      <c r="D2" s="440"/>
      <c r="E2" s="440"/>
      <c r="F2" s="440"/>
      <c r="G2" s="440"/>
      <c r="H2" s="440"/>
      <c r="I2" s="440"/>
      <c r="J2" s="440"/>
      <c r="K2" s="440"/>
      <c r="L2" s="440"/>
      <c r="M2" s="440"/>
    </row>
    <row r="3" spans="1:30" s="93" customFormat="1" ht="20.100000000000001" customHeight="1">
      <c r="A3" s="93" t="str">
        <f>底稿目录!A2</f>
        <v>被审计单位：</v>
      </c>
      <c r="E3" s="312" t="str">
        <f>底稿目录!$A$4</f>
        <v>编制人：</v>
      </c>
      <c r="I3" s="83" t="str">
        <f>底稿目录!A5</f>
        <v>编制日期：</v>
      </c>
      <c r="J3" s="83"/>
      <c r="L3" s="83" t="s">
        <v>185</v>
      </c>
      <c r="M3" s="419" t="str">
        <f>底稿目录!D21</f>
        <v>I2-15</v>
      </c>
    </row>
    <row r="4" spans="1:30" s="93" customFormat="1" ht="20.100000000000001" customHeight="1">
      <c r="A4" s="93" t="str">
        <f>底稿目录!A3</f>
        <v>截止日：202X年12月31日</v>
      </c>
      <c r="E4" s="312" t="str">
        <f>底稿目录!$A$6</f>
        <v>复核人：</v>
      </c>
      <c r="I4" s="83" t="str">
        <f>底稿目录!A7</f>
        <v>复核日期：</v>
      </c>
      <c r="J4" s="83"/>
      <c r="L4" s="83" t="s">
        <v>84</v>
      </c>
      <c r="M4" s="309"/>
    </row>
    <row r="5" spans="1:30" s="3" customFormat="1" ht="20.100000000000001" customHeight="1">
      <c r="A5" s="7" t="s">
        <v>145</v>
      </c>
      <c r="B5" s="8"/>
      <c r="C5" s="8"/>
      <c r="H5" s="9"/>
      <c r="L5" s="28"/>
      <c r="M5" s="29"/>
      <c r="N5" s="30"/>
      <c r="Q5" s="28"/>
      <c r="X5" s="34"/>
      <c r="Y5" s="34"/>
      <c r="Z5" s="34"/>
      <c r="AA5" s="34"/>
      <c r="AB5" s="34"/>
      <c r="AC5" s="34"/>
      <c r="AD5" s="34"/>
    </row>
    <row r="6" spans="1:30" s="3" customFormat="1" ht="20.100000000000001" customHeight="1">
      <c r="A6" s="10" t="s">
        <v>228</v>
      </c>
      <c r="B6" s="10"/>
      <c r="C6" s="10"/>
      <c r="H6" s="9"/>
      <c r="L6" s="28"/>
      <c r="M6" s="29"/>
      <c r="N6" s="30"/>
      <c r="Q6" s="28"/>
      <c r="X6" s="34"/>
      <c r="Y6" s="34"/>
      <c r="Z6" s="34"/>
      <c r="AA6" s="34"/>
      <c r="AB6" s="34"/>
      <c r="AC6" s="34"/>
      <c r="AD6" s="34"/>
    </row>
    <row r="7" spans="1:30" s="3" customFormat="1" ht="20.100000000000001" customHeight="1">
      <c r="A7" s="11" t="s">
        <v>147</v>
      </c>
      <c r="B7" s="12"/>
      <c r="C7" s="12"/>
      <c r="H7" s="9"/>
      <c r="L7" s="28"/>
      <c r="M7" s="29"/>
      <c r="N7" s="30"/>
      <c r="Q7" s="28"/>
      <c r="X7" s="34"/>
      <c r="Y7" s="34"/>
      <c r="Z7" s="34"/>
      <c r="AA7" s="34"/>
      <c r="AB7" s="34"/>
      <c r="AC7" s="34"/>
      <c r="AD7" s="34"/>
    </row>
    <row r="8" spans="1:30" s="4" customFormat="1" ht="20.100000000000001" customHeight="1">
      <c r="A8" s="527" t="s">
        <v>229</v>
      </c>
      <c r="B8" s="527" t="s">
        <v>230</v>
      </c>
      <c r="C8" s="527" t="s">
        <v>231</v>
      </c>
      <c r="D8" s="527" t="s">
        <v>232</v>
      </c>
      <c r="E8" s="532" t="s">
        <v>233</v>
      </c>
      <c r="F8" s="524" t="s">
        <v>234</v>
      </c>
      <c r="G8" s="525"/>
      <c r="H8" s="526"/>
      <c r="I8" s="534" t="s">
        <v>235</v>
      </c>
      <c r="J8" s="534" t="s">
        <v>236</v>
      </c>
      <c r="K8" s="534" t="s">
        <v>237</v>
      </c>
      <c r="L8" s="536" t="s">
        <v>238</v>
      </c>
      <c r="M8" s="536" t="s">
        <v>5</v>
      </c>
    </row>
    <row r="9" spans="1:30" s="5" customFormat="1" ht="28.5" customHeight="1">
      <c r="A9" s="528"/>
      <c r="B9" s="530"/>
      <c r="C9" s="530"/>
      <c r="D9" s="530"/>
      <c r="E9" s="533"/>
      <c r="F9" s="35" t="s">
        <v>239</v>
      </c>
      <c r="G9" s="35" t="s">
        <v>240</v>
      </c>
      <c r="H9" s="35" t="s">
        <v>241</v>
      </c>
      <c r="I9" s="535"/>
      <c r="J9" s="535" t="s">
        <v>242</v>
      </c>
      <c r="K9" s="535"/>
      <c r="L9" s="536"/>
      <c r="M9" s="536"/>
    </row>
    <row r="10" spans="1:30" s="5" customFormat="1" ht="20.100000000000001" customHeight="1">
      <c r="A10" s="529"/>
      <c r="B10" s="531"/>
      <c r="C10" s="531"/>
      <c r="D10" s="531"/>
      <c r="E10" s="35" t="s">
        <v>243</v>
      </c>
      <c r="F10" s="35" t="s">
        <v>244</v>
      </c>
      <c r="G10" s="35" t="s">
        <v>245</v>
      </c>
      <c r="H10" s="35" t="s">
        <v>246</v>
      </c>
      <c r="I10" s="35" t="s">
        <v>247</v>
      </c>
      <c r="J10" s="35" t="s">
        <v>248</v>
      </c>
      <c r="K10" s="35" t="s">
        <v>249</v>
      </c>
      <c r="L10" s="14"/>
      <c r="M10" s="14"/>
    </row>
    <row r="11" spans="1:30" ht="20.100000000000001" customHeight="1">
      <c r="A11" s="15"/>
      <c r="B11" s="36"/>
      <c r="C11" s="18"/>
      <c r="D11" s="36"/>
      <c r="E11" s="18"/>
      <c r="F11" s="18"/>
      <c r="G11" s="18"/>
      <c r="H11" s="19">
        <f>MAX(F11,G11)</f>
        <v>0</v>
      </c>
      <c r="I11" s="19">
        <f>IF(H11&gt;E11,0,E11-H11)</f>
        <v>0</v>
      </c>
      <c r="J11" s="40"/>
      <c r="K11" s="19">
        <f>I11-J11</f>
        <v>0</v>
      </c>
      <c r="L11" s="15"/>
      <c r="M11" s="15"/>
    </row>
    <row r="12" spans="1:30" ht="20.100000000000001" customHeight="1">
      <c r="A12" s="15"/>
      <c r="B12" s="36"/>
      <c r="C12" s="18"/>
      <c r="D12" s="36"/>
      <c r="E12" s="18"/>
      <c r="F12" s="18"/>
      <c r="G12" s="18"/>
      <c r="H12" s="19">
        <f t="shared" ref="H12:H17" si="0">MAX(F12,G12)</f>
        <v>0</v>
      </c>
      <c r="I12" s="19">
        <f t="shared" ref="I12:I17" si="1">IF(H12&gt;E12,0,E12-H12)</f>
        <v>0</v>
      </c>
      <c r="J12" s="40"/>
      <c r="K12" s="19">
        <f t="shared" ref="K12:K17" si="2">I12-J12</f>
        <v>0</v>
      </c>
      <c r="L12" s="15"/>
      <c r="M12" s="15"/>
    </row>
    <row r="13" spans="1:30" ht="20.100000000000001" customHeight="1">
      <c r="A13" s="15"/>
      <c r="B13" s="36"/>
      <c r="C13" s="18"/>
      <c r="D13" s="36"/>
      <c r="E13" s="18"/>
      <c r="F13" s="18"/>
      <c r="G13" s="18"/>
      <c r="H13" s="19">
        <f t="shared" si="0"/>
        <v>0</v>
      </c>
      <c r="I13" s="19">
        <f t="shared" si="1"/>
        <v>0</v>
      </c>
      <c r="J13" s="40"/>
      <c r="K13" s="19">
        <f t="shared" si="2"/>
        <v>0</v>
      </c>
      <c r="L13" s="15"/>
      <c r="M13" s="15"/>
    </row>
    <row r="14" spans="1:30" ht="20.100000000000001" customHeight="1">
      <c r="A14" s="15"/>
      <c r="B14" s="36"/>
      <c r="C14" s="18"/>
      <c r="D14" s="36"/>
      <c r="E14" s="18"/>
      <c r="F14" s="18"/>
      <c r="G14" s="18"/>
      <c r="H14" s="19">
        <f t="shared" si="0"/>
        <v>0</v>
      </c>
      <c r="I14" s="19">
        <f t="shared" si="1"/>
        <v>0</v>
      </c>
      <c r="J14" s="40"/>
      <c r="K14" s="19">
        <f t="shared" si="2"/>
        <v>0</v>
      </c>
      <c r="L14" s="15"/>
      <c r="M14" s="15"/>
    </row>
    <row r="15" spans="1:30" ht="20.100000000000001" customHeight="1">
      <c r="A15" s="15"/>
      <c r="B15" s="36"/>
      <c r="C15" s="18"/>
      <c r="D15" s="36"/>
      <c r="E15" s="18"/>
      <c r="F15" s="18"/>
      <c r="G15" s="18"/>
      <c r="H15" s="19">
        <f t="shared" si="0"/>
        <v>0</v>
      </c>
      <c r="I15" s="19">
        <f t="shared" si="1"/>
        <v>0</v>
      </c>
      <c r="J15" s="40"/>
      <c r="K15" s="19">
        <f t="shared" si="2"/>
        <v>0</v>
      </c>
      <c r="L15" s="15"/>
      <c r="M15" s="15"/>
    </row>
    <row r="16" spans="1:30" ht="20.100000000000001" customHeight="1">
      <c r="A16" s="15"/>
      <c r="B16" s="36"/>
      <c r="C16" s="18"/>
      <c r="D16" s="36"/>
      <c r="E16" s="18"/>
      <c r="F16" s="18"/>
      <c r="G16" s="18"/>
      <c r="H16" s="19">
        <f t="shared" si="0"/>
        <v>0</v>
      </c>
      <c r="I16" s="19">
        <f t="shared" si="1"/>
        <v>0</v>
      </c>
      <c r="J16" s="40"/>
      <c r="K16" s="19">
        <f t="shared" si="2"/>
        <v>0</v>
      </c>
      <c r="L16" s="15"/>
      <c r="M16" s="15"/>
    </row>
    <row r="17" spans="1:13" ht="20.100000000000001" customHeight="1">
      <c r="A17" s="37"/>
      <c r="B17" s="36"/>
      <c r="C17" s="18"/>
      <c r="D17" s="36"/>
      <c r="E17" s="18"/>
      <c r="F17" s="18"/>
      <c r="G17" s="18"/>
      <c r="H17" s="19">
        <f t="shared" si="0"/>
        <v>0</v>
      </c>
      <c r="I17" s="19">
        <f t="shared" si="1"/>
        <v>0</v>
      </c>
      <c r="J17" s="40"/>
      <c r="K17" s="19">
        <f t="shared" si="2"/>
        <v>0</v>
      </c>
      <c r="L17" s="15"/>
      <c r="M17" s="15"/>
    </row>
    <row r="18" spans="1:13" s="1" customFormat="1" ht="20.100000000000001" customHeight="1">
      <c r="A18" s="203" t="s">
        <v>164</v>
      </c>
      <c r="B18" s="204"/>
      <c r="C18" s="204"/>
      <c r="D18" s="204"/>
      <c r="E18" s="205">
        <f t="shared" ref="E18:K18" si="3">SUM(E11:E17)</f>
        <v>0</v>
      </c>
      <c r="F18" s="205">
        <f t="shared" si="3"/>
        <v>0</v>
      </c>
      <c r="G18" s="205">
        <f t="shared" si="3"/>
        <v>0</v>
      </c>
      <c r="H18" s="205">
        <f t="shared" si="3"/>
        <v>0</v>
      </c>
      <c r="I18" s="205">
        <f t="shared" si="3"/>
        <v>0</v>
      </c>
      <c r="J18" s="205">
        <f t="shared" si="3"/>
        <v>0</v>
      </c>
      <c r="K18" s="205">
        <f t="shared" si="3"/>
        <v>0</v>
      </c>
      <c r="L18" s="204"/>
      <c r="M18" s="204"/>
    </row>
    <row r="19" spans="1:13" s="1" customFormat="1" ht="20.100000000000001" customHeight="1">
      <c r="A19" s="38" t="s">
        <v>165</v>
      </c>
    </row>
    <row r="20" spans="1:13" ht="20.100000000000001" customHeight="1">
      <c r="A20" s="3"/>
    </row>
    <row r="21" spans="1:13" ht="20.100000000000001" customHeight="1">
      <c r="A21" s="24" t="s">
        <v>166</v>
      </c>
    </row>
    <row r="22" spans="1:13" ht="20.100000000000001" customHeight="1"/>
    <row r="23" spans="1:13" ht="18" customHeight="1">
      <c r="A23" s="39" t="s">
        <v>74</v>
      </c>
    </row>
    <row r="24" spans="1:13" ht="18" customHeight="1">
      <c r="A24" s="39" t="s">
        <v>250</v>
      </c>
    </row>
    <row r="25" spans="1:13" ht="18" customHeight="1">
      <c r="A25" s="39" t="s">
        <v>251</v>
      </c>
    </row>
    <row r="26" spans="1:13" ht="18" customHeight="1">
      <c r="A26" s="39" t="s">
        <v>252</v>
      </c>
    </row>
    <row r="27" spans="1:13" ht="18" customHeight="1">
      <c r="A27" s="39" t="s">
        <v>253</v>
      </c>
    </row>
    <row r="28" spans="1:13" ht="18" customHeight="1">
      <c r="A28" s="39" t="s">
        <v>254</v>
      </c>
    </row>
    <row r="29" spans="1:13">
      <c r="A29" s="39" t="s">
        <v>255</v>
      </c>
    </row>
    <row r="30" spans="1:13">
      <c r="A30" s="39" t="s">
        <v>256</v>
      </c>
    </row>
  </sheetData>
  <mergeCells count="13">
    <mergeCell ref="A1:M1"/>
    <mergeCell ref="A2:M2"/>
    <mergeCell ref="F8:H8"/>
    <mergeCell ref="A8:A10"/>
    <mergeCell ref="B8:B10"/>
    <mergeCell ref="C8:C10"/>
    <mergeCell ref="D8:D10"/>
    <mergeCell ref="E8:E9"/>
    <mergeCell ref="I8:I9"/>
    <mergeCell ref="J8:J9"/>
    <mergeCell ref="K8:K9"/>
    <mergeCell ref="L8:L9"/>
    <mergeCell ref="M8:M9"/>
  </mergeCells>
  <phoneticPr fontId="116" type="noConversion"/>
  <dataValidations count="2">
    <dataValidation type="list" allowBlank="1" showInputMessage="1" showErrorMessage="1" prompt="对于使用寿命有限的无形资产，逐项检查是否存在减值迹象，并作出详细记录；对于使用寿命不确定的无形资产，无论是否存在减值迹象，是否都进行减值测试；" sqref="B11:B17">
      <formula1>"√,×"</formula1>
    </dataValidation>
    <dataValidation type="list" allowBlank="1" showInputMessage="1" showErrorMessage="1" sqref="D11:D17">
      <formula1>"√,×"</formula1>
    </dataValidation>
  </dataValidations>
  <hyperlinks>
    <hyperlink ref="M3" location="底稿目录!D15" display="I2-9"/>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B74"/>
  <sheetViews>
    <sheetView view="pageBreakPreview" zoomScaleNormal="100" workbookViewId="0">
      <selection activeCell="O3" sqref="O3"/>
    </sheetView>
  </sheetViews>
  <sheetFormatPr defaultColWidth="9" defaultRowHeight="13.8"/>
  <cols>
    <col min="1" max="1" width="20.6640625" style="6" customWidth="1"/>
    <col min="2" max="15" width="10.6640625" style="6" customWidth="1"/>
    <col min="16" max="16384" width="9" style="6"/>
  </cols>
  <sheetData>
    <row r="1" spans="1:28" s="1" customFormat="1" ht="20.100000000000001" customHeight="1">
      <c r="A1" s="439" t="s">
        <v>57</v>
      </c>
      <c r="B1" s="439"/>
      <c r="C1" s="439"/>
      <c r="D1" s="439"/>
      <c r="E1" s="439"/>
      <c r="F1" s="439"/>
      <c r="G1" s="439"/>
      <c r="H1" s="439"/>
      <c r="I1" s="439"/>
      <c r="J1" s="439"/>
      <c r="K1" s="439"/>
      <c r="L1" s="439"/>
      <c r="M1" s="439"/>
      <c r="N1" s="439"/>
      <c r="O1" s="439"/>
    </row>
    <row r="2" spans="1:28" s="2" customFormat="1" ht="24.9" customHeight="1">
      <c r="A2" s="440" t="s">
        <v>642</v>
      </c>
      <c r="B2" s="440"/>
      <c r="C2" s="440"/>
      <c r="D2" s="440"/>
      <c r="E2" s="440"/>
      <c r="F2" s="440"/>
      <c r="G2" s="440"/>
      <c r="H2" s="440"/>
      <c r="I2" s="440"/>
      <c r="J2" s="440"/>
      <c r="K2" s="440"/>
      <c r="L2" s="440"/>
      <c r="M2" s="440"/>
      <c r="N2" s="440"/>
      <c r="O2" s="440"/>
    </row>
    <row r="3" spans="1:28" s="93" customFormat="1" ht="20.100000000000001" customHeight="1">
      <c r="A3" s="93" t="str">
        <f>底稿目录!A2</f>
        <v>被审计单位：</v>
      </c>
      <c r="E3" s="93" t="str">
        <f>底稿目录!A4</f>
        <v>编制人：</v>
      </c>
      <c r="J3" s="83" t="str">
        <f>底稿目录!A5</f>
        <v>编制日期：</v>
      </c>
      <c r="K3" s="83"/>
      <c r="N3" s="93" t="s">
        <v>185</v>
      </c>
      <c r="O3" s="419" t="str">
        <f>底稿目录!D22</f>
        <v>I2-16</v>
      </c>
    </row>
    <row r="4" spans="1:28" s="93" customFormat="1" ht="20.100000000000001" customHeight="1">
      <c r="A4" s="93" t="str">
        <f>底稿目录!A3</f>
        <v>截止日：202X年12月31日</v>
      </c>
      <c r="E4" s="93" t="str">
        <f>底稿目录!A6</f>
        <v>复核人：</v>
      </c>
      <c r="J4" s="83" t="str">
        <f>底稿目录!A7</f>
        <v>复核日期：</v>
      </c>
      <c r="K4" s="83"/>
      <c r="N4" s="93" t="s">
        <v>84</v>
      </c>
      <c r="O4" s="309"/>
    </row>
    <row r="5" spans="1:28" s="3" customFormat="1" ht="20.100000000000001" customHeight="1">
      <c r="A5" s="7" t="s">
        <v>145</v>
      </c>
      <c r="B5" s="8"/>
      <c r="G5" s="9"/>
      <c r="J5" s="28"/>
      <c r="K5" s="29"/>
      <c r="L5" s="30"/>
      <c r="O5" s="28"/>
      <c r="V5" s="34"/>
      <c r="W5" s="34"/>
      <c r="X5" s="34"/>
      <c r="Y5" s="34"/>
      <c r="Z5" s="34"/>
      <c r="AA5" s="34"/>
      <c r="AB5" s="34"/>
    </row>
    <row r="6" spans="1:28" s="3" customFormat="1" ht="20.100000000000001" customHeight="1">
      <c r="A6" s="10" t="s">
        <v>257</v>
      </c>
      <c r="G6" s="9"/>
      <c r="J6" s="28"/>
      <c r="K6" s="29"/>
      <c r="L6" s="30"/>
      <c r="O6" s="28"/>
      <c r="V6" s="34"/>
      <c r="W6" s="34"/>
      <c r="X6" s="34"/>
      <c r="Y6" s="34"/>
      <c r="Z6" s="34"/>
      <c r="AA6" s="34"/>
      <c r="AB6" s="34"/>
    </row>
    <row r="7" spans="1:28" s="3" customFormat="1" ht="20.100000000000001" customHeight="1">
      <c r="A7" s="11" t="s">
        <v>147</v>
      </c>
      <c r="B7" s="12"/>
      <c r="G7" s="9"/>
      <c r="J7" s="28"/>
      <c r="K7" s="29"/>
      <c r="L7" s="30"/>
      <c r="O7" s="28"/>
      <c r="V7" s="34"/>
      <c r="W7" s="34"/>
      <c r="X7" s="34"/>
      <c r="Y7" s="34"/>
      <c r="Z7" s="34"/>
      <c r="AA7" s="34"/>
      <c r="AB7" s="34"/>
    </row>
    <row r="8" spans="1:28" s="1" customFormat="1" ht="20.100000000000001" customHeight="1">
      <c r="A8" s="1" t="s">
        <v>258</v>
      </c>
    </row>
    <row r="9" spans="1:28" s="1" customFormat="1" ht="20.100000000000001" customHeight="1">
      <c r="A9" s="447" t="s">
        <v>259</v>
      </c>
      <c r="B9" s="447" t="s">
        <v>260</v>
      </c>
      <c r="C9" s="447"/>
      <c r="D9" s="447"/>
      <c r="E9" s="447"/>
      <c r="F9" s="447"/>
      <c r="G9" s="447"/>
      <c r="H9" s="447" t="s">
        <v>261</v>
      </c>
      <c r="I9" s="447"/>
      <c r="J9" s="447"/>
      <c r="K9" s="447"/>
      <c r="L9" s="447"/>
      <c r="M9" s="447"/>
      <c r="N9" s="536" t="s">
        <v>262</v>
      </c>
      <c r="O9" s="447" t="s">
        <v>5</v>
      </c>
    </row>
    <row r="10" spans="1:28" s="4" customFormat="1" ht="31.5" customHeight="1">
      <c r="A10" s="447"/>
      <c r="B10" s="14" t="s">
        <v>263</v>
      </c>
      <c r="C10" s="14" t="s">
        <v>264</v>
      </c>
      <c r="D10" s="14" t="s">
        <v>265</v>
      </c>
      <c r="E10" s="14" t="s">
        <v>264</v>
      </c>
      <c r="F10" s="14" t="s">
        <v>266</v>
      </c>
      <c r="G10" s="14" t="s">
        <v>264</v>
      </c>
      <c r="H10" s="14" t="s">
        <v>267</v>
      </c>
      <c r="I10" s="14" t="s">
        <v>268</v>
      </c>
      <c r="J10" s="14" t="s">
        <v>269</v>
      </c>
      <c r="K10" s="14" t="s">
        <v>270</v>
      </c>
      <c r="L10" s="14" t="s">
        <v>271</v>
      </c>
      <c r="M10" s="14" t="s">
        <v>272</v>
      </c>
      <c r="N10" s="536"/>
      <c r="O10" s="447"/>
    </row>
    <row r="11" spans="1:28" ht="20.100000000000001" customHeight="1">
      <c r="A11" s="15"/>
      <c r="B11" s="16">
        <v>1000</v>
      </c>
      <c r="C11" s="17"/>
      <c r="D11" s="16">
        <v>990</v>
      </c>
      <c r="E11" s="17"/>
      <c r="F11" s="16">
        <v>990</v>
      </c>
      <c r="G11" s="15"/>
      <c r="H11" s="16">
        <v>10</v>
      </c>
      <c r="I11" s="31">
        <v>20</v>
      </c>
      <c r="J11" s="32">
        <v>10</v>
      </c>
      <c r="K11" s="31">
        <v>10</v>
      </c>
      <c r="L11" s="32">
        <v>10</v>
      </c>
      <c r="M11" s="19">
        <f>SUM(H11:L11)</f>
        <v>60</v>
      </c>
      <c r="N11" s="19">
        <f>IF(B11&gt;0,B11,IF(D11&gt;0,D11,F11))-M11</f>
        <v>940</v>
      </c>
      <c r="O11" s="15"/>
    </row>
    <row r="12" spans="1:28" ht="20.100000000000001" customHeight="1">
      <c r="A12" s="15"/>
      <c r="B12" s="18"/>
      <c r="C12" s="15"/>
      <c r="D12" s="18"/>
      <c r="E12" s="15"/>
      <c r="F12" s="18"/>
      <c r="G12" s="15"/>
      <c r="H12" s="18"/>
      <c r="I12" s="18"/>
      <c r="J12" s="18"/>
      <c r="K12" s="18"/>
      <c r="L12" s="18"/>
      <c r="M12" s="19">
        <f>SUM(H12:L12)</f>
        <v>0</v>
      </c>
      <c r="N12" s="19">
        <f>IF(B12&gt;0,B12,IF(D12&gt;0,D12,F12))-M12</f>
        <v>0</v>
      </c>
      <c r="O12" s="15"/>
    </row>
    <row r="13" spans="1:28" ht="20.100000000000001" customHeight="1">
      <c r="A13" s="15"/>
      <c r="B13" s="18"/>
      <c r="C13" s="15"/>
      <c r="D13" s="18"/>
      <c r="E13" s="15"/>
      <c r="F13" s="18"/>
      <c r="G13" s="15"/>
      <c r="H13" s="18"/>
      <c r="I13" s="18"/>
      <c r="J13" s="18"/>
      <c r="K13" s="18"/>
      <c r="L13" s="18"/>
      <c r="M13" s="19">
        <f>SUM(H13:L13)</f>
        <v>0</v>
      </c>
      <c r="N13" s="19">
        <f>IF(B13&gt;0,B13,IF(D13&gt;0,D13,F13))-M13</f>
        <v>0</v>
      </c>
      <c r="O13" s="15"/>
    </row>
    <row r="14" spans="1:28" s="1" customFormat="1" ht="20.100000000000001" customHeight="1">
      <c r="A14" s="13" t="s">
        <v>164</v>
      </c>
      <c r="B14" s="19">
        <f>SUM(B11:B13)</f>
        <v>1000</v>
      </c>
      <c r="C14" s="20"/>
      <c r="D14" s="19">
        <f>SUM(D11:D13)</f>
        <v>990</v>
      </c>
      <c r="E14" s="20"/>
      <c r="F14" s="19">
        <f>SUM(F11:F13)</f>
        <v>990</v>
      </c>
      <c r="G14" s="20"/>
      <c r="H14" s="19">
        <f t="shared" ref="H14:N14" si="0">SUM(H11:H13)</f>
        <v>10</v>
      </c>
      <c r="I14" s="19">
        <f t="shared" si="0"/>
        <v>20</v>
      </c>
      <c r="J14" s="19">
        <f t="shared" si="0"/>
        <v>10</v>
      </c>
      <c r="K14" s="19">
        <f t="shared" si="0"/>
        <v>10</v>
      </c>
      <c r="L14" s="19">
        <f t="shared" si="0"/>
        <v>10</v>
      </c>
      <c r="M14" s="19">
        <f t="shared" si="0"/>
        <v>60</v>
      </c>
      <c r="N14" s="19">
        <f t="shared" si="0"/>
        <v>940</v>
      </c>
      <c r="O14" s="20"/>
    </row>
    <row r="15" spans="1:28" s="1" customFormat="1" ht="20.100000000000001" customHeight="1">
      <c r="A15" s="1" t="s">
        <v>273</v>
      </c>
    </row>
    <row r="16" spans="1:28" s="5" customFormat="1" ht="20.100000000000001" customHeight="1">
      <c r="A16" s="447" t="s">
        <v>274</v>
      </c>
      <c r="B16" s="447" t="s">
        <v>275</v>
      </c>
      <c r="C16" s="447"/>
      <c r="D16" s="447"/>
      <c r="E16" s="447"/>
      <c r="F16" s="447"/>
      <c r="G16" s="447" t="s">
        <v>276</v>
      </c>
      <c r="H16" s="447"/>
      <c r="I16" s="536" t="s">
        <v>277</v>
      </c>
      <c r="J16" s="536" t="s">
        <v>278</v>
      </c>
      <c r="K16" s="536" t="s">
        <v>279</v>
      </c>
      <c r="L16" s="536" t="s">
        <v>280</v>
      </c>
      <c r="M16" s="536" t="s">
        <v>281</v>
      </c>
      <c r="N16" s="536"/>
      <c r="O16" s="447" t="s">
        <v>5</v>
      </c>
    </row>
    <row r="17" spans="1:15" s="5" customFormat="1" ht="20.100000000000001" customHeight="1">
      <c r="A17" s="447"/>
      <c r="B17" s="13" t="s">
        <v>282</v>
      </c>
      <c r="C17" s="13" t="s">
        <v>283</v>
      </c>
      <c r="D17" s="13" t="s">
        <v>284</v>
      </c>
      <c r="E17" s="13" t="s">
        <v>285</v>
      </c>
      <c r="F17" s="13" t="s">
        <v>286</v>
      </c>
      <c r="G17" s="13" t="s">
        <v>287</v>
      </c>
      <c r="H17" s="13" t="s">
        <v>288</v>
      </c>
      <c r="I17" s="536"/>
      <c r="J17" s="536"/>
      <c r="K17" s="536"/>
      <c r="L17" s="536"/>
      <c r="M17" s="536"/>
      <c r="N17" s="536"/>
      <c r="O17" s="447"/>
    </row>
    <row r="18" spans="1:15" ht="20.100000000000001" customHeight="1">
      <c r="A18" s="15" t="s">
        <v>289</v>
      </c>
      <c r="B18" s="16">
        <v>200</v>
      </c>
      <c r="C18" s="16">
        <v>200</v>
      </c>
      <c r="D18" s="16">
        <v>200</v>
      </c>
      <c r="E18" s="16">
        <v>200</v>
      </c>
      <c r="F18" s="16">
        <v>200</v>
      </c>
      <c r="G18" s="19">
        <f>F18</f>
        <v>200</v>
      </c>
      <c r="H18" s="15"/>
      <c r="I18" s="15"/>
      <c r="J18" s="15"/>
      <c r="K18" s="15"/>
      <c r="L18" s="15"/>
      <c r="M18" s="537"/>
      <c r="N18" s="537"/>
      <c r="O18" s="15"/>
    </row>
    <row r="19" spans="1:15" ht="20.100000000000001" customHeight="1">
      <c r="A19" s="15" t="s">
        <v>290</v>
      </c>
      <c r="B19" s="16">
        <f>1/(1+$K$23)^1</f>
        <v>0.47498416719442699</v>
      </c>
      <c r="C19" s="16">
        <f>1/(1+$K$23)^2</f>
        <v>0.22560995908538301</v>
      </c>
      <c r="D19" s="16">
        <f>1/(1+$K$23)^3</f>
        <v>0.107161158526939</v>
      </c>
      <c r="E19" s="16">
        <f>1/(1+$K$23)^4</f>
        <v>5.0899853638508297E-2</v>
      </c>
      <c r="F19" s="16">
        <f>1/(1+$K$23)^5</f>
        <v>2.41766245908051E-2</v>
      </c>
      <c r="G19" s="19">
        <f>(1+H18)/((K23-H18)*(1+K23)^5)</f>
        <v>2.18727001726222E-2</v>
      </c>
      <c r="H19" s="21" t="s">
        <v>291</v>
      </c>
      <c r="I19" s="15"/>
      <c r="J19" s="15"/>
      <c r="K19" s="15"/>
      <c r="L19" s="15"/>
      <c r="M19" s="15"/>
      <c r="N19" s="15"/>
      <c r="O19" s="15"/>
    </row>
    <row r="20" spans="1:15" ht="20.100000000000001" customHeight="1">
      <c r="A20" s="15" t="s">
        <v>292</v>
      </c>
      <c r="B20" s="19">
        <f t="shared" ref="B20:G20" si="1">B18*B19</f>
        <v>94.996833438885403</v>
      </c>
      <c r="C20" s="19">
        <f t="shared" si="1"/>
        <v>45.121991817076598</v>
      </c>
      <c r="D20" s="19">
        <f t="shared" si="1"/>
        <v>21.432231705387899</v>
      </c>
      <c r="E20" s="19">
        <f t="shared" si="1"/>
        <v>10.179970727701701</v>
      </c>
      <c r="F20" s="19">
        <f t="shared" si="1"/>
        <v>4.8353249181610201</v>
      </c>
      <c r="G20" s="19">
        <f t="shared" si="1"/>
        <v>4.3745400345244398</v>
      </c>
      <c r="H20" s="21" t="s">
        <v>293</v>
      </c>
      <c r="I20" s="15"/>
      <c r="J20" s="15"/>
      <c r="K20" s="15"/>
      <c r="L20" s="15"/>
      <c r="M20" s="15"/>
      <c r="N20" s="18">
        <f>SUM(B20:G20)</f>
        <v>180.94089264173701</v>
      </c>
      <c r="O20" s="15"/>
    </row>
    <row r="21" spans="1:15" s="4" customFormat="1" ht="20.100000000000001" customHeight="1">
      <c r="A21" s="536" t="s">
        <v>294</v>
      </c>
      <c r="B21" s="536" t="s">
        <v>295</v>
      </c>
      <c r="C21" s="536" t="s">
        <v>296</v>
      </c>
      <c r="D21" s="536" t="s">
        <v>297</v>
      </c>
      <c r="E21" s="536" t="s">
        <v>298</v>
      </c>
      <c r="F21" s="536" t="s">
        <v>299</v>
      </c>
      <c r="G21" s="536" t="s">
        <v>300</v>
      </c>
      <c r="H21" s="536" t="s">
        <v>301</v>
      </c>
      <c r="I21" s="536" t="s">
        <v>302</v>
      </c>
      <c r="J21" s="536" t="s">
        <v>303</v>
      </c>
      <c r="K21" s="536" t="s">
        <v>304</v>
      </c>
      <c r="L21" s="536" t="s">
        <v>305</v>
      </c>
      <c r="M21" s="536"/>
      <c r="N21" s="536" t="s">
        <v>306</v>
      </c>
      <c r="O21" s="536" t="s">
        <v>5</v>
      </c>
    </row>
    <row r="22" spans="1:15" s="4" customFormat="1" ht="20.100000000000001" customHeight="1">
      <c r="A22" s="536"/>
      <c r="B22" s="536"/>
      <c r="C22" s="536"/>
      <c r="D22" s="536"/>
      <c r="E22" s="536"/>
      <c r="F22" s="536"/>
      <c r="G22" s="536"/>
      <c r="H22" s="536"/>
      <c r="I22" s="536"/>
      <c r="J22" s="536"/>
      <c r="K22" s="536"/>
      <c r="L22" s="14" t="s">
        <v>307</v>
      </c>
      <c r="M22" s="14" t="s">
        <v>308</v>
      </c>
      <c r="N22" s="536"/>
      <c r="O22" s="536"/>
    </row>
    <row r="23" spans="1:15" ht="20.100000000000001" customHeight="1">
      <c r="A23" s="15" t="s">
        <v>309</v>
      </c>
      <c r="B23" s="19">
        <v>0.25</v>
      </c>
      <c r="C23" s="19">
        <v>500</v>
      </c>
      <c r="D23" s="19">
        <v>1000</v>
      </c>
      <c r="E23" s="22">
        <v>0.1</v>
      </c>
      <c r="F23" s="22">
        <v>0.04</v>
      </c>
      <c r="G23" s="19">
        <v>1.1000000000000001</v>
      </c>
      <c r="H23" s="19">
        <v>1.1000000000000001</v>
      </c>
      <c r="I23" s="19">
        <f>F23+G23*(H23-F23)</f>
        <v>1.206</v>
      </c>
      <c r="J23" s="33">
        <f>((C23*E23*(1-B23)+D23*I23))/(C23+D23)</f>
        <v>0.82899999999999996</v>
      </c>
      <c r="K23" s="19">
        <f>J23/(1-(B23+L23))</f>
        <v>1.1053333333333299</v>
      </c>
      <c r="L23" s="15"/>
      <c r="M23" s="15"/>
      <c r="N23" s="19">
        <f>MAX(N14,N20)</f>
        <v>940</v>
      </c>
      <c r="O23" s="15"/>
    </row>
    <row r="24" spans="1:15" s="1" customFormat="1" ht="20.100000000000001" customHeight="1">
      <c r="A24" s="23" t="s">
        <v>165</v>
      </c>
    </row>
    <row r="25" spans="1:15" ht="20.100000000000001" customHeight="1"/>
    <row r="26" spans="1:15" ht="20.100000000000001" customHeight="1"/>
    <row r="27" spans="1:15" ht="20.100000000000001" customHeight="1">
      <c r="A27" s="24" t="s">
        <v>166</v>
      </c>
    </row>
    <row r="28" spans="1:15" ht="20.100000000000001" customHeight="1">
      <c r="A28" s="24"/>
    </row>
    <row r="29" spans="1:15" ht="20.100000000000001" customHeight="1"/>
    <row r="30" spans="1:15" ht="20.100000000000001" customHeight="1"/>
    <row r="31" spans="1:15" ht="18" customHeight="1"/>
    <row r="32" spans="1:15" ht="18" customHeight="1">
      <c r="A32" s="6" t="s">
        <v>310</v>
      </c>
    </row>
    <row r="33" spans="1:1" ht="18" customHeight="1">
      <c r="A33" s="6" t="s">
        <v>311</v>
      </c>
    </row>
    <row r="34" spans="1:1" ht="18" customHeight="1"/>
    <row r="35" spans="1:1" ht="18" customHeight="1">
      <c r="A35" s="6" t="s">
        <v>312</v>
      </c>
    </row>
    <row r="36" spans="1:1" ht="18" customHeight="1">
      <c r="A36" s="6" t="s">
        <v>313</v>
      </c>
    </row>
    <row r="37" spans="1:1" ht="18" customHeight="1">
      <c r="A37" s="6" t="s">
        <v>314</v>
      </c>
    </row>
    <row r="38" spans="1:1" ht="18" customHeight="1">
      <c r="A38" s="6" t="s">
        <v>315</v>
      </c>
    </row>
    <row r="39" spans="1:1" ht="18" customHeight="1">
      <c r="A39" s="6" t="s">
        <v>316</v>
      </c>
    </row>
    <row r="40" spans="1:1" ht="18" customHeight="1"/>
    <row r="41" spans="1:1" ht="18" customHeight="1">
      <c r="A41" s="6" t="s">
        <v>317</v>
      </c>
    </row>
    <row r="42" spans="1:1" ht="18" customHeight="1">
      <c r="A42" s="6" t="s">
        <v>318</v>
      </c>
    </row>
    <row r="43" spans="1:1" ht="18" customHeight="1">
      <c r="A43" s="6" t="s">
        <v>319</v>
      </c>
    </row>
    <row r="44" spans="1:1" ht="18" customHeight="1">
      <c r="A44" s="6" t="s">
        <v>320</v>
      </c>
    </row>
    <row r="45" spans="1:1" ht="18" customHeight="1">
      <c r="A45" s="6" t="s">
        <v>321</v>
      </c>
    </row>
    <row r="46" spans="1:1" ht="18" customHeight="1">
      <c r="A46" s="6" t="s">
        <v>322</v>
      </c>
    </row>
    <row r="47" spans="1:1" ht="18" customHeight="1">
      <c r="A47" s="6" t="s">
        <v>323</v>
      </c>
    </row>
    <row r="48" spans="1:1" ht="18" customHeight="1">
      <c r="A48" s="6" t="s">
        <v>324</v>
      </c>
    </row>
    <row r="49" spans="1:1" ht="18" customHeight="1">
      <c r="A49" s="6" t="s">
        <v>325</v>
      </c>
    </row>
    <row r="50" spans="1:1" ht="18" customHeight="1">
      <c r="A50" s="6" t="s">
        <v>326</v>
      </c>
    </row>
    <row r="51" spans="1:1" ht="18" customHeight="1">
      <c r="A51" s="6" t="s">
        <v>327</v>
      </c>
    </row>
    <row r="52" spans="1:1" ht="18" customHeight="1"/>
    <row r="53" spans="1:1" ht="18" customHeight="1"/>
    <row r="54" spans="1:1" ht="18" customHeight="1"/>
    <row r="55" spans="1:1" ht="18" customHeight="1"/>
    <row r="56" spans="1:1" ht="18" customHeight="1"/>
    <row r="57" spans="1:1" ht="18" customHeight="1"/>
    <row r="58" spans="1:1" ht="18" customHeight="1"/>
    <row r="59" spans="1:1" ht="18" customHeight="1"/>
    <row r="60" spans="1:1" ht="18" customHeight="1"/>
    <row r="61" spans="1:1" ht="18" customHeight="1"/>
    <row r="62" spans="1:1" ht="18" customHeight="1"/>
    <row r="63" spans="1:1" ht="18" customHeight="1"/>
    <row r="64" spans="1:1" ht="18" customHeight="1"/>
    <row r="65" ht="18" customHeight="1"/>
    <row r="68" ht="18" customHeight="1"/>
    <row r="69" ht="18" customHeight="1"/>
    <row r="70" ht="18" customHeight="1"/>
    <row r="71" ht="18" customHeight="1"/>
    <row r="72" ht="18" customHeight="1"/>
    <row r="73" ht="18" customHeight="1"/>
    <row r="74" ht="18" customHeight="1"/>
  </sheetData>
  <mergeCells count="31">
    <mergeCell ref="K21:K22"/>
    <mergeCell ref="L16:L17"/>
    <mergeCell ref="N9:N10"/>
    <mergeCell ref="N21:N22"/>
    <mergeCell ref="O9:O10"/>
    <mergeCell ref="O16:O17"/>
    <mergeCell ref="O21:O22"/>
    <mergeCell ref="M16:N17"/>
    <mergeCell ref="M18:N18"/>
    <mergeCell ref="L21:M21"/>
    <mergeCell ref="A9:A10"/>
    <mergeCell ref="A16:A17"/>
    <mergeCell ref="A21:A22"/>
    <mergeCell ref="B21:B22"/>
    <mergeCell ref="C21:C22"/>
    <mergeCell ref="I16:I17"/>
    <mergeCell ref="I21:I22"/>
    <mergeCell ref="J16:J17"/>
    <mergeCell ref="J21:J22"/>
    <mergeCell ref="A1:O1"/>
    <mergeCell ref="A2:O2"/>
    <mergeCell ref="B9:G9"/>
    <mergeCell ref="H9:M9"/>
    <mergeCell ref="B16:F16"/>
    <mergeCell ref="G16:H16"/>
    <mergeCell ref="K16:K17"/>
    <mergeCell ref="D21:D22"/>
    <mergeCell ref="E21:E22"/>
    <mergeCell ref="F21:F22"/>
    <mergeCell ref="G21:G22"/>
    <mergeCell ref="H21:H22"/>
  </mergeCells>
  <phoneticPr fontId="116" type="noConversion"/>
  <dataValidations count="3">
    <dataValidation type="list" allowBlank="1" showInputMessage="1" showErrorMessage="1" sqref="B11:B59">
      <formula1>"√,×"</formula1>
    </dataValidation>
    <dataValidation type="list" allowBlank="1" showInputMessage="1" showErrorMessage="1" prompt="对于使用寿命有限的无形资产，逐项检查是否存在减值迹象，并作出详细记录；对于使用寿命不确定的无形资产，无论是否存在减值迹象，是否都进行减值测试；" sqref="C11:C59">
      <formula1>"√,×"</formula1>
    </dataValidation>
    <dataValidation type="list" allowBlank="1" showInputMessage="1" showErrorMessage="1" prompt="对于存在减值迹象的使用寿命有限的无形资产，需要进行减值测试；对于使用寿命不确定的无形资产，无论是否存在减值迹象，是否都进行减值测试；" sqref="E11:E59">
      <formula1>"√,×"</formula1>
    </dataValidation>
  </dataValidations>
  <hyperlinks>
    <hyperlink ref="O3" location="底稿目录!D16" display="I2-10"/>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B8"/>
  <sheetViews>
    <sheetView workbookViewId="0"/>
  </sheetViews>
  <sheetFormatPr defaultColWidth="9" defaultRowHeight="14.4"/>
  <sheetData>
    <row r="1" spans="1:2">
      <c r="A1" t="s">
        <v>328</v>
      </c>
      <c r="B1" t="s">
        <v>329</v>
      </c>
    </row>
    <row r="2" spans="1:2">
      <c r="A2" t="s">
        <v>330</v>
      </c>
      <c r="B2" t="s">
        <v>331</v>
      </c>
    </row>
    <row r="3" spans="1:2">
      <c r="A3" t="s">
        <v>332</v>
      </c>
      <c r="B3" t="s">
        <v>333</v>
      </c>
    </row>
    <row r="4" spans="1:2">
      <c r="A4" t="s">
        <v>334</v>
      </c>
      <c r="B4" t="s">
        <v>335</v>
      </c>
    </row>
    <row r="5" spans="1:2">
      <c r="A5" t="s">
        <v>336</v>
      </c>
      <c r="B5" t="s">
        <v>337</v>
      </c>
    </row>
    <row r="6" spans="1:2">
      <c r="A6" t="s">
        <v>338</v>
      </c>
      <c r="B6" t="s">
        <v>339</v>
      </c>
    </row>
    <row r="7" spans="1:2">
      <c r="A7" t="s">
        <v>340</v>
      </c>
      <c r="B7" t="s">
        <v>341</v>
      </c>
    </row>
    <row r="8" spans="1:2">
      <c r="A8" t="s">
        <v>342</v>
      </c>
      <c r="B8" t="s">
        <v>343</v>
      </c>
    </row>
  </sheetData>
  <phoneticPr fontId="1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17</vt:i4>
      </vt:variant>
    </vt:vector>
  </HeadingPairs>
  <TitlesOfParts>
    <vt:vector size="38" baseType="lpstr">
      <vt:lpstr>底稿目录</vt:lpstr>
      <vt:lpstr>开发支出实质性程序I2A</vt:lpstr>
      <vt:lpstr>审定表I2-1</vt:lpstr>
      <vt:lpstr>附注披露（上市公司）</vt:lpstr>
      <vt:lpstr>附注披露（国有企业）</vt:lpstr>
      <vt:lpstr>明细表I2-2</vt:lpstr>
      <vt:lpstr>调整分录汇总I2-3</vt:lpstr>
      <vt:lpstr>会计政策检查I2-4</vt:lpstr>
      <vt:lpstr>实质性分析I2-5</vt:lpstr>
      <vt:lpstr>研发项目资本化时点判断I2-6</vt:lpstr>
      <vt:lpstr>研发项目构成明细表I2-7</vt:lpstr>
      <vt:lpstr>研发材料投入检查表I2-8</vt:lpstr>
      <vt:lpstr>研发人员认定检查表I2-9</vt:lpstr>
      <vt:lpstr>研发人员工时检查表I2-10</vt:lpstr>
      <vt:lpstr>委外研发检查表I2-11</vt:lpstr>
      <vt:lpstr>针对性检查表I2-12</vt:lpstr>
      <vt:lpstr>截止性测试（账到单据）I2-13</vt:lpstr>
      <vt:lpstr>截止性测试（单据到账）I2-14</vt:lpstr>
      <vt:lpstr>减值准备测试表I2-15</vt:lpstr>
      <vt:lpstr>可收回金额测试I2-16</vt:lpstr>
      <vt:lpstr>GT_Custom</vt:lpstr>
      <vt:lpstr>'调整分录汇总I2-3'!Print_Area</vt:lpstr>
      <vt:lpstr>'附注披露（上市公司）'!Print_Area</vt:lpstr>
      <vt:lpstr>'减值准备测试表I2-15'!Print_Area</vt:lpstr>
      <vt:lpstr>'截止性测试（单据到账）I2-14'!Print_Area</vt:lpstr>
      <vt:lpstr>'截止性测试（账到单据）I2-13'!Print_Area</vt:lpstr>
      <vt:lpstr>开发支出实质性程序I2A!Print_Area</vt:lpstr>
      <vt:lpstr>'可收回金额测试I2-16'!Print_Area</vt:lpstr>
      <vt:lpstr>'明细表I2-2'!Print_Area</vt:lpstr>
      <vt:lpstr>'审定表I2-1'!Print_Area</vt:lpstr>
      <vt:lpstr>'委外研发检查表I2-11'!Print_Area</vt:lpstr>
      <vt:lpstr>'研发材料投入检查表I2-8'!Print_Area</vt:lpstr>
      <vt:lpstr>'研发人员工时检查表I2-10'!Print_Area</vt:lpstr>
      <vt:lpstr>'研发人员认定检查表I2-9'!Print_Area</vt:lpstr>
      <vt:lpstr>'研发项目构成明细表I2-7'!Print_Area</vt:lpstr>
      <vt:lpstr>'研发项目资本化时点判断I2-6'!Print_Area</vt:lpstr>
      <vt:lpstr>'针对性检查表I2-12'!Print_Area</vt:lpstr>
      <vt:lpstr>开发支出实质性程序I2A!Print_Titles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2025-10-31T06:20:40Z</cp:lastPrinted>
  <dcterms:created xsi:type="dcterms:W3CDTF">2006-09-13T11:21:00Z</dcterms:created>
  <dcterms:modified xsi:type="dcterms:W3CDTF">2025-10-31T06:47:10Z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AF3B263CF3494BD5A2B500DAC43DA463_12</vt:lpwstr>
  </property>
  <property fmtid="{D5CDD505-2E9C-101B-9397-08002B2CF9AE}" pid="3" name="KSOProductBuildVer">
    <vt:lpwstr>2052-12.1.0.22529</vt:lpwstr>
  </property>
</Properties>
</file>