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108" yWindow="-108" windowWidth="30936" windowHeight="16572" tabRatio="899"/>
  </bookViews>
  <sheets>
    <sheet name="底稿目录" sheetId="4" r:id="rId1"/>
    <sheet name="长期待摊费用实质性程序 I4A" sheetId="16" r:id="rId2"/>
    <sheet name="审定表I4-1" sheetId="5" r:id="rId3"/>
    <sheet name="附注披露（上市公司）" sheetId="10" r:id="rId4"/>
    <sheet name="附注披露（国有企业）" sheetId="11" r:id="rId5"/>
    <sheet name="明细表I4-2" sheetId="6" r:id="rId6"/>
    <sheet name="调整分录汇总I4-3" sheetId="15" r:id="rId7"/>
    <sheet name="摊销政策检查表I4-4" sheetId="13" r:id="rId8"/>
    <sheet name="针对性检查表I4-5" sheetId="7" r:id="rId9"/>
    <sheet name="摊销测算I4-6" sheetId="8" r:id="rId10"/>
    <sheet name="摊销测算表I4-7（工作量法）" sheetId="9" r:id="rId11"/>
    <sheet name="GT_Custom" sheetId="12"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_DAT1" localSheetId="6">#REF!</definedName>
    <definedName name="_DAT1">#REF!</definedName>
    <definedName name="_DAT10" localSheetId="6">#REF!</definedName>
    <definedName name="_DAT10">#REF!</definedName>
    <definedName name="_DAT11" localSheetId="6">#REF!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xlnm._FilterDatabase" localSheetId="9" hidden="1">'摊销测算I4-6'!$A$10:$A$21</definedName>
    <definedName name="aas" localSheetId="6" hidden="1">#REF!</definedName>
    <definedName name="aas" hidden="1">#REF!</definedName>
    <definedName name="abc" hidden="1">[1]Breakdown!#REF!</definedName>
    <definedName name="abcd" hidden="1">[1]Breakdown!#REF!</definedName>
    <definedName name="abcdefg" localSheetId="6" hidden="1">#REF!</definedName>
    <definedName name="abcdefg" hidden="1">#REF!</definedName>
    <definedName name="AFV" localSheetId="6" hidden="1">#REF!</definedName>
    <definedName name="AFV" hidden="1">#REF!</definedName>
    <definedName name="AS2DocOpenMode">"AS2DocumentEdit"</definedName>
    <definedName name="a暗暗">[2]企业表一!$F$20</definedName>
    <definedName name="bs" localSheetId="6" hidden="1">{#N/A,#N/A,FALSE,"BBPREP"}</definedName>
    <definedName name="bs" hidden="1">{#N/A,#N/A,FALSE,"BBPREP"}</definedName>
    <definedName name="bs_1" localSheetId="6" hidden="1">{#N/A,#N/A,FALSE,"BBPREP"}</definedName>
    <definedName name="bs_1" hidden="1">{#N/A,#N/A,FALSE,"BBPREP"}</definedName>
    <definedName name="CarryKnown" localSheetId="6">#REF!</definedName>
    <definedName name="CarryKnown">#REF!</definedName>
    <definedName name="CarryKnownTable" localSheetId="6">#REF!</definedName>
    <definedName name="CarryKnownTable">#REF!</definedName>
    <definedName name="CarryLikely" localSheetId="6">#REF!</definedName>
    <definedName name="CarryLikely">#REF!</definedName>
    <definedName name="CarryLikelyTable" localSheetId="6">#REF!</definedName>
    <definedName name="CarryLikelyTable">#REF!</definedName>
    <definedName name="Carryover_Effect_of_Prior_Year" localSheetId="6">#REF!</definedName>
    <definedName name="Carryover_Effect_of_Prior_Year">#REF!</definedName>
    <definedName name="CarryoverTitle" localSheetId="6">#REF!</definedName>
    <definedName name="CarryoverTitle">#REF!</definedName>
    <definedName name="CC_Instruction" localSheetId="6">#REF!</definedName>
    <definedName name="CC_Instruction">#REF!</definedName>
    <definedName name="CCD" localSheetId="6" hidden="1">#REF!</definedName>
    <definedName name="CCD" hidden="1">#REF!</definedName>
    <definedName name="CDE" localSheetId="6" hidden="1">#REF!</definedName>
    <definedName name="CDE" hidden="1">#REF!</definedName>
    <definedName name="CE_CarryKnownProtection" localSheetId="6">#REF!</definedName>
    <definedName name="CE_CarryKnownProtection">#REF!</definedName>
    <definedName name="CE_CarryKnownTable" localSheetId="6">#REF!</definedName>
    <definedName name="CE_CarryKnownTable">#REF!</definedName>
    <definedName name="CE_CarryLikely1Protection" localSheetId="6">#REF!</definedName>
    <definedName name="CE_CarryLikely1Protection">#REF!</definedName>
    <definedName name="CE_CarryLikely1Table" localSheetId="6">#REF!</definedName>
    <definedName name="CE_CarryLikely1Table">#REF!</definedName>
    <definedName name="CE_CarryLikely2Protection" localSheetId="6">#REF!</definedName>
    <definedName name="CE_CarryLikely2Protection">#REF!</definedName>
    <definedName name="CE_CarryLikely2Table" localSheetId="6">#REF!</definedName>
    <definedName name="CE_CarryLikely2Table">#REF!</definedName>
    <definedName name="CE_CarryTaxable" localSheetId="6">#REF!</definedName>
    <definedName name="CE_CarryTaxable">#REF!</definedName>
    <definedName name="CE_Desc" localSheetId="6">#REF!</definedName>
    <definedName name="CE_Desc">#REF!</definedName>
    <definedName name="CE_Income" localSheetId="6">#REF!</definedName>
    <definedName name="CE_Income">#REF!</definedName>
    <definedName name="CE_KeepFormat" localSheetId="6">#REF!</definedName>
    <definedName name="CE_KeepFormat">#REF!</definedName>
    <definedName name="CE_KnownChange" localSheetId="6">#REF!</definedName>
    <definedName name="CE_KnownChange">#REF!</definedName>
    <definedName name="CE_KnownFormulaProtection" localSheetId="6">#REF!</definedName>
    <definedName name="CE_KnownFormulaProtection">#REF!</definedName>
    <definedName name="CE_KnownImpact" localSheetId="6">#REF!</definedName>
    <definedName name="CE_KnownImpact">#REF!</definedName>
    <definedName name="CE_Likely1Change" localSheetId="6">#REF!</definedName>
    <definedName name="CE_Likely1Change">#REF!</definedName>
    <definedName name="CE_Likely1FormulaProtection" localSheetId="6">#REF!</definedName>
    <definedName name="CE_Likely1FormulaProtection">#REF!</definedName>
    <definedName name="CE_Likely1Impact" localSheetId="6">#REF!</definedName>
    <definedName name="CE_Likely1Impact">#REF!</definedName>
    <definedName name="CE_Likely2Change" localSheetId="6">#REF!</definedName>
    <definedName name="CE_Likely2Change">#REF!</definedName>
    <definedName name="CE_Likely2FormulaProtection" localSheetId="6">#REF!</definedName>
    <definedName name="CE_Likely2FormulaProtection">#REF!</definedName>
    <definedName name="CE_Likely2Impact" localSheetId="6">#REF!</definedName>
    <definedName name="CE_Likely2Impact">#REF!</definedName>
    <definedName name="CE_SheetCorrect" localSheetId="6">#REF!</definedName>
    <definedName name="CE_SheetCorrect">#REF!</definedName>
    <definedName name="CE_StatementImpact" localSheetId="6">#REF!</definedName>
    <definedName name="CE_StatementImpact">#REF!</definedName>
    <definedName name="CE_TotalProtection" localSheetId="6">#REF!</definedName>
    <definedName name="CE_TotalProtection">#REF!</definedName>
    <definedName name="CE_WholeSheet" localSheetId="6">#REF!</definedName>
    <definedName name="CE_WholeSheet">#REF!</definedName>
    <definedName name="CE_XF1" localSheetId="6">#REF!</definedName>
    <definedName name="CE_XF1">#REF!</definedName>
    <definedName name="CE_XF1Rng1" localSheetId="6">#REF!</definedName>
    <definedName name="CE_XF1Rng1">#REF!</definedName>
    <definedName name="CE_XF1Rng2" localSheetId="6">#REF!</definedName>
    <definedName name="CE_XF1Rng2">#REF!</definedName>
    <definedName name="CE_XF2" localSheetId="6">#REF!</definedName>
    <definedName name="CE_XF2">#REF!</definedName>
    <definedName name="CE_XF2Rng1" localSheetId="6">#REF!</definedName>
    <definedName name="CE_XF2Rng1">#REF!</definedName>
    <definedName name="CE_XF2Rng2" localSheetId="6">#REF!</definedName>
    <definedName name="CE_XF2Rng2">#REF!</definedName>
    <definedName name="CE_XF3" localSheetId="6">#REF!</definedName>
    <definedName name="CE_XF3">#REF!</definedName>
    <definedName name="CE_XF3Rng1" localSheetId="6">#REF!</definedName>
    <definedName name="CE_XF3Rng1">#REF!</definedName>
    <definedName name="CE_XF3Rng2" localSheetId="6">#REF!</definedName>
    <definedName name="CE_XF3Rng2">#REF!</definedName>
    <definedName name="ChecklistQuestion1" localSheetId="6">#REF!</definedName>
    <definedName name="ChecklistQuestion1">#REF!</definedName>
    <definedName name="ChecklistQuestion2" localSheetId="6">#REF!</definedName>
    <definedName name="ChecklistQuestion2">#REF!</definedName>
    <definedName name="ChecklistQuestion3" localSheetId="6">#REF!</definedName>
    <definedName name="ChecklistQuestion3">#REF!</definedName>
    <definedName name="Conclusions1" localSheetId="6">#REF!</definedName>
    <definedName name="Conclusions1">#REF!</definedName>
    <definedName name="Conclusions2" localSheetId="6">#REF!</definedName>
    <definedName name="Conclusions2">#REF!</definedName>
    <definedName name="Conclusions3" localSheetId="6">#REF!</definedName>
    <definedName name="Conclusions3">#REF!</definedName>
    <definedName name="Conclusions4" localSheetId="6">#REF!</definedName>
    <definedName name="Conclusions4">#REF!</definedName>
    <definedName name="CorrectKey" localSheetId="6">#REF!</definedName>
    <definedName name="CorrectKey">#REF!</definedName>
    <definedName name="Current_Year_Known_and_Likely_Misstatements" localSheetId="6">#REF!</definedName>
    <definedName name="Current_Year_Known_and_Likely_Misstatements">#REF!</definedName>
    <definedName name="CY_all_Assets" localSheetId="6">#REF!</definedName>
    <definedName name="CY_all_Assets">#REF!</definedName>
    <definedName name="CY_all_Equity" localSheetId="6">#REF!</definedName>
    <definedName name="CY_all_Equity">#REF!</definedName>
    <definedName name="CY_all_Income" localSheetId="6">#REF!</definedName>
    <definedName name="CY_all_Income">#REF!</definedName>
    <definedName name="CY_all_Liabs" localSheetId="6">#REF!</definedName>
    <definedName name="CY_all_Liabs">#REF!</definedName>
    <definedName name="CY_all_RetEarn_bf" localSheetId="6">#REF!</definedName>
    <definedName name="CY_all_RetEarn_bf">#REF!</definedName>
    <definedName name="CY_knw_Assets" localSheetId="6">#REF!</definedName>
    <definedName name="CY_knw_Assets">#REF!</definedName>
    <definedName name="CY_knw_Equity" localSheetId="6">#REF!</definedName>
    <definedName name="CY_knw_Equity">#REF!</definedName>
    <definedName name="CY_knw_Income" localSheetId="6">#REF!</definedName>
    <definedName name="CY_knw_Income">#REF!</definedName>
    <definedName name="CY_knw_Liabs" localSheetId="6">#REF!</definedName>
    <definedName name="CY_knw_Liabs">#REF!</definedName>
    <definedName name="CY_knw_RetEarn_bf" localSheetId="6">#REF!</definedName>
    <definedName name="CY_knw_RetEarn_bf">#REF!</definedName>
    <definedName name="CY_lik_Assets" localSheetId="6">#REF!</definedName>
    <definedName name="CY_lik_Assets">#REF!</definedName>
    <definedName name="CY_lik_Assets_ex" localSheetId="6">#REF!</definedName>
    <definedName name="CY_lik_Assets_ex">#REF!</definedName>
    <definedName name="CY_lik_Assets_ext" localSheetId="6">#REF!</definedName>
    <definedName name="CY_lik_Assets_ext">#REF!</definedName>
    <definedName name="CY_lik_Equity" localSheetId="6">#REF!</definedName>
    <definedName name="CY_lik_Equity">#REF!</definedName>
    <definedName name="CY_lik_Equity_eX" localSheetId="6">#REF!</definedName>
    <definedName name="CY_lik_Equity_eX">#REF!</definedName>
    <definedName name="CY_lik_Equity_eXt" localSheetId="6">#REF!</definedName>
    <definedName name="CY_lik_Equity_eXt">#REF!</definedName>
    <definedName name="CY_lik_Income" localSheetId="6">#REF!</definedName>
    <definedName name="CY_lik_Income">#REF!</definedName>
    <definedName name="CY_lik_Income_Ex" localSheetId="6">#REF!</definedName>
    <definedName name="CY_lik_Income_Ex">#REF!</definedName>
    <definedName name="CY_lik_Income_Ext" localSheetId="6">#REF!</definedName>
    <definedName name="CY_lik_Income_Ext">#REF!</definedName>
    <definedName name="CY_lik_Liabs" localSheetId="6">#REF!</definedName>
    <definedName name="CY_lik_Liabs">#REF!</definedName>
    <definedName name="CY_lik_Liabs_EX" localSheetId="6">#REF!</definedName>
    <definedName name="CY_lik_Liabs_EX">#REF!</definedName>
    <definedName name="CY_lik_Liabs_EXt" localSheetId="6">#REF!</definedName>
    <definedName name="CY_lik_Liabs_EXt">#REF!</definedName>
    <definedName name="CY_lik_RetEarn_bf" localSheetId="6">#REF!</definedName>
    <definedName name="CY_lik_RetEarn_bf">#REF!</definedName>
    <definedName name="CY_tx_all_Equity" localSheetId="6">#REF!</definedName>
    <definedName name="CY_tx_all_Equity">#REF!</definedName>
    <definedName name="CY_tx_all_Income" localSheetId="6">#REF!</definedName>
    <definedName name="CY_tx_all_Income">#REF!</definedName>
    <definedName name="CY_tx_all_Liabs" localSheetId="6">#REF!</definedName>
    <definedName name="CY_tx_all_Liabs">#REF!</definedName>
    <definedName name="CY_tx_all_RetEarn_bf" localSheetId="6">#REF!</definedName>
    <definedName name="CY_tx_all_RetEarn_bf">#REF!</definedName>
    <definedName name="CY_tx_knw_Equity" localSheetId="6">#REF!</definedName>
    <definedName name="CY_tx_knw_Equity">#REF!</definedName>
    <definedName name="CY_tx_knw_Income" localSheetId="6">#REF!</definedName>
    <definedName name="CY_tx_knw_Income">#REF!</definedName>
    <definedName name="CY_tx_knw_Liabs" localSheetId="6">#REF!</definedName>
    <definedName name="CY_tx_knw_Liabs">#REF!</definedName>
    <definedName name="CY_tx_knw_RetEarn_bf" localSheetId="6">#REF!</definedName>
    <definedName name="CY_tx_knw_RetEarn_bf">#REF!</definedName>
    <definedName name="CY_tx_lik_Equity" localSheetId="6">#REF!</definedName>
    <definedName name="CY_tx_lik_Equity">#REF!</definedName>
    <definedName name="CY_tx_lik_Equity_ex" localSheetId="6">#REF!</definedName>
    <definedName name="CY_tx_lik_Equity_ex">#REF!</definedName>
    <definedName name="CY_tx_lik_Equity_ext" localSheetId="6">#REF!</definedName>
    <definedName name="CY_tx_lik_Equity_ext">#REF!</definedName>
    <definedName name="CY_tx_lik_Income" localSheetId="6">#REF!</definedName>
    <definedName name="CY_tx_lik_Income">#REF!</definedName>
    <definedName name="CY_tx_lik_Income_ex" localSheetId="6">#REF!</definedName>
    <definedName name="CY_tx_lik_Income_ex">#REF!</definedName>
    <definedName name="CY_tx_lik_Income_ext" localSheetId="6">#REF!</definedName>
    <definedName name="CY_tx_lik_Income_ext">#REF!</definedName>
    <definedName name="CY_tx_lik_Liabs" localSheetId="6">#REF!</definedName>
    <definedName name="CY_tx_lik_Liabs">#REF!</definedName>
    <definedName name="CY_tx_lik_Liabs_ex" localSheetId="6">#REF!</definedName>
    <definedName name="CY_tx_lik_Liabs_ex">#REF!</definedName>
    <definedName name="CY_tx_lik_Liabs_ext" localSheetId="6">#REF!</definedName>
    <definedName name="CY_tx_lik_Liabs_ext">#REF!</definedName>
    <definedName name="CY_tx_lik_RetEarn_bf" localSheetId="6">#REF!</definedName>
    <definedName name="CY_tx_lik_RetEarn_bf">#REF!</definedName>
    <definedName name="CY_tx_lik_RetEarn_bf_ex" localSheetId="6">#REF!</definedName>
    <definedName name="CY_tx_lik_RetEarn_bf_ex">#REF!</definedName>
    <definedName name="CY_tx_lik_RetEarn_bf_ext" localSheetId="6">#REF!</definedName>
    <definedName name="CY_tx_lik_RetEarn_bf_ext">#REF!</definedName>
    <definedName name="data" localSheetId="6" hidden="1">#REF!</definedName>
    <definedName name="data" hidden="1">#REF!</definedName>
    <definedName name="_xlnm.Database" localSheetId="6">[3]B!#REF!</definedName>
    <definedName name="_xlnm.Database">#REF!</definedName>
    <definedName name="DEX" localSheetId="6" hidden="1">#REF!</definedName>
    <definedName name="DEX" hidden="1">#REF!</definedName>
    <definedName name="EDC" hidden="1">#REF!</definedName>
    <definedName name="Effective_Tax_Rate" localSheetId="6">#REF!</definedName>
    <definedName name="Effective_Tax_Rate">#REF!</definedName>
    <definedName name="FAD" localSheetId="6" hidden="1">[1]Breakdown!#REF!</definedName>
    <definedName name="FAD" hidden="1">[1]Breakdown!#REF!</definedName>
    <definedName name="FASD" localSheetId="6" hidden="1">#REF!</definedName>
    <definedName name="FASD" hidden="1">#REF!</definedName>
    <definedName name="FEDC" localSheetId="6" hidden="1">'[4]2004'!#REF!</definedName>
    <definedName name="FEDC" hidden="1">'[4]2004'!#REF!</definedName>
    <definedName name="ffd">[2]企业表一!$E$20</definedName>
    <definedName name="Known" localSheetId="6">#REF!</definedName>
    <definedName name="Known">#REF!</definedName>
    <definedName name="KnownTable" localSheetId="6">#REF!</definedName>
    <definedName name="KnownTable">#REF!</definedName>
    <definedName name="KnownTitle" localSheetId="6">#REF!</definedName>
    <definedName name="KnownTitle">#REF!</definedName>
    <definedName name="Likely1" localSheetId="6">#REF!</definedName>
    <definedName name="Likely1">#REF!</definedName>
    <definedName name="Likely2" localSheetId="6">#REF!</definedName>
    <definedName name="Likely2">#REF!</definedName>
    <definedName name="LikelyTable1" localSheetId="6">#REF!</definedName>
    <definedName name="LikelyTable1">#REF!</definedName>
    <definedName name="LikelyTable2" localSheetId="6">#REF!</definedName>
    <definedName name="LikelyTable2">#REF!</definedName>
    <definedName name="LikelyTitle" localSheetId="6">#REF!</definedName>
    <definedName name="LikelyTitle">#REF!</definedName>
    <definedName name="Materiality" localSheetId="6">#REF!</definedName>
    <definedName name="Materiality">#REF!</definedName>
    <definedName name="Monetary_Precision" localSheetId="6">#REF!</definedName>
    <definedName name="Monetary_Precision">#REF!</definedName>
    <definedName name="OC_Instruction" localSheetId="6">#REF!</definedName>
    <definedName name="OC_Instruction">#REF!</definedName>
    <definedName name="OtherConditions" localSheetId="6">#REF!</definedName>
    <definedName name="OtherConditions">#REF!</definedName>
    <definedName name="Pre_tax_materiality" localSheetId="6">#REF!</definedName>
    <definedName name="Pre_tax_materiality">#REF!</definedName>
    <definedName name="Precision" localSheetId="6">#REF!</definedName>
    <definedName name="Precision">#REF!</definedName>
    <definedName name="_xlnm.Print_Area" localSheetId="6">'调整分录汇总I4-3'!$A$1:$J$21</definedName>
    <definedName name="_xlnm.Print_Area" localSheetId="4">'附注披露（国有企业）'!$A$1:$G$16</definedName>
    <definedName name="_xlnm.Print_Area" localSheetId="3">'附注披露（上市公司）'!$A$1:$F$19</definedName>
    <definedName name="_xlnm.Print_Area" localSheetId="5">'明细表I4-2'!$A$1:$U$33</definedName>
    <definedName name="_xlnm.Print_Area" localSheetId="2">'审定表I4-1'!$A$1:$I$21</definedName>
    <definedName name="_xlnm.Print_Area" localSheetId="9">'摊销测算I4-6'!$A$1:$Q$31</definedName>
    <definedName name="_xlnm.Print_Area" localSheetId="10">'摊销测算表I4-7（工作量法）'!$A$1:$N$31</definedName>
    <definedName name="_xlnm.Print_Area" localSheetId="7">'摊销政策检查表I4-4'!$A$1:$J$20</definedName>
    <definedName name="_xlnm.Print_Area" localSheetId="1">'长期待摊费用实质性程序 I4A'!$A$1:$I$24</definedName>
    <definedName name="_xlnm.Print_Area" localSheetId="8">'针对性检查表I4-5'!$A$1:$Q$33</definedName>
    <definedName name="PY_all_Equity" localSheetId="6">#REF!</definedName>
    <definedName name="PY_all_Equity">#REF!</definedName>
    <definedName name="PY_all_Income" localSheetId="6">#REF!</definedName>
    <definedName name="PY_all_Income">#REF!</definedName>
    <definedName name="PY_all_RetEarn" localSheetId="6">#REF!</definedName>
    <definedName name="PY_all_RetEarn">#REF!</definedName>
    <definedName name="PY_knw_Income" localSheetId="6">#REF!</definedName>
    <definedName name="PY_knw_Income">#REF!</definedName>
    <definedName name="PY_knw_RetEarn" localSheetId="6">#REF!</definedName>
    <definedName name="PY_knw_RetEarn">#REF!</definedName>
    <definedName name="PY_lik_Income" localSheetId="6">#REF!</definedName>
    <definedName name="PY_lik_Income">#REF!</definedName>
    <definedName name="PY_lik_RetEarn" localSheetId="6">#REF!</definedName>
    <definedName name="PY_lik_RetEarn">#REF!</definedName>
    <definedName name="PY_tot_knw_Xfoot" localSheetId="6">#REF!</definedName>
    <definedName name="PY_tot_knw_Xfoot">#REF!</definedName>
    <definedName name="PY_tot_lik_Xfoot" localSheetId="6">#REF!</definedName>
    <definedName name="PY_tot_lik_Xfoot">#REF!</definedName>
    <definedName name="PY_tx_all_Income" localSheetId="6">#REF!</definedName>
    <definedName name="PY_tx_all_Income">#REF!</definedName>
    <definedName name="PY_tx_all_RetEarn" localSheetId="6">#REF!</definedName>
    <definedName name="PY_tx_all_RetEarn">#REF!</definedName>
    <definedName name="PY_tx_knw_Income" localSheetId="6">#REF!</definedName>
    <definedName name="PY_tx_knw_Income">#REF!</definedName>
    <definedName name="PY_tx_knw_RetEarn" localSheetId="6">#REF!</definedName>
    <definedName name="PY_tx_knw_RetEarn">#REF!</definedName>
    <definedName name="PY_tx_lik_Income" localSheetId="6">#REF!</definedName>
    <definedName name="PY_tx_lik_Income">#REF!</definedName>
    <definedName name="PY_tx_lik_RetEarn" localSheetId="6">#REF!</definedName>
    <definedName name="PY_tx_lik_RetEarn">#REF!</definedName>
    <definedName name="QC_Instruction" localSheetId="6">#REF!</definedName>
    <definedName name="QC_Instruction">#REF!</definedName>
    <definedName name="Qualitative1" localSheetId="6">#REF!</definedName>
    <definedName name="Qualitative1">#REF!</definedName>
    <definedName name="Qualitative2" localSheetId="6">#REF!</definedName>
    <definedName name="Qualitative2">#REF!</definedName>
    <definedName name="Qualitative3" localSheetId="6">#REF!</definedName>
    <definedName name="Qualitative3">#REF!</definedName>
    <definedName name="QualitativeTextBox" localSheetId="6">#REF!</definedName>
    <definedName name="QualitativeTextBox">#REF!</definedName>
    <definedName name="RDES" localSheetId="6" hidden="1">#REF!</definedName>
    <definedName name="RDES" hidden="1">#REF!</definedName>
    <definedName name="SM_CurrentYearHyplnk" localSheetId="6">#REF!</definedName>
    <definedName name="SM_CurrentYearHyplnk">#REF!</definedName>
    <definedName name="SM_PriorYearHyplnk" localSheetId="6">#REF!</definedName>
    <definedName name="SM_PriorYearHyplnk">#REF!</definedName>
    <definedName name="SM_WholeSheet" localSheetId="6">#REF!</definedName>
    <definedName name="SM_WholeSheet">#REF!</definedName>
    <definedName name="SummaryCOKnownProtection" localSheetId="6">#REF!</definedName>
    <definedName name="SummaryCOKnownProtection">#REF!</definedName>
    <definedName name="SummaryCOLikelyProtection" localSheetId="6">#REF!</definedName>
    <definedName name="SummaryCOLikelyProtection">#REF!</definedName>
    <definedName name="SummaryKnownProtection" localSheetId="6">#REF!</definedName>
    <definedName name="SummaryKnownProtection">#REF!</definedName>
    <definedName name="SummaryLikely1Protection" localSheetId="6">#REF!</definedName>
    <definedName name="SummaryLikely1Protection">#REF!</definedName>
    <definedName name="SummaryLikely2Protection" localSheetId="6">#REF!</definedName>
    <definedName name="SummaryLikely2Protection">#REF!</definedName>
    <definedName name="Tax_Effect_Income" localSheetId="6">#REF!</definedName>
    <definedName name="Tax_Effect_Income">#REF!</definedName>
    <definedName name="Tax_Effect_Liabs" localSheetId="6">#REF!</definedName>
    <definedName name="Tax_Effect_Liabs">#REF!</definedName>
    <definedName name="Tax_Effect_RetEarn" localSheetId="6">#REF!</definedName>
    <definedName name="Tax_Effect_RetEarn">#REF!</definedName>
    <definedName name="Tax_Rate" localSheetId="6">#REF!</definedName>
    <definedName name="Tax_Rate">#REF!</definedName>
    <definedName name="TEST1" localSheetId="6">#REF!</definedName>
    <definedName name="TEST1">#REF!</definedName>
    <definedName name="TESTHKEY" localSheetId="6">#REF!</definedName>
    <definedName name="TESTHKEY">#REF!</definedName>
    <definedName name="TESTKEYS">#REF!</definedName>
    <definedName name="TESTVKEY">#REF!</definedName>
    <definedName name="TextRefCopy1">#REF!</definedName>
    <definedName name="TextRefCopyRangeCount" hidden="1">136</definedName>
    <definedName name="Threshold" localSheetId="6">#REF!</definedName>
    <definedName name="Threshold">#REF!</definedName>
    <definedName name="Threshold_for_Accumulating" localSheetId="6">#REF!</definedName>
    <definedName name="Threshold_for_Accumulating">#REF!</definedName>
    <definedName name="Tot_knw_Xfoot" localSheetId="6">#REF!</definedName>
    <definedName name="Tot_knw_Xfoot">#REF!</definedName>
    <definedName name="Tot_lik_Xfoot" localSheetId="6">#REF!</definedName>
    <definedName name="Tot_lik_Xfoot">#REF!</definedName>
    <definedName name="Tot_lik_Xfoot_ex" localSheetId="6">#REF!</definedName>
    <definedName name="Tot_lik_Xfoot_ex">#REF!</definedName>
    <definedName name="Tot_lik_Xfoot_ext" localSheetId="6">#REF!</definedName>
    <definedName name="Tot_lik_Xfoot_ext">#REF!</definedName>
    <definedName name="TOTAL_KNOWN" localSheetId="6">#REF!</definedName>
    <definedName name="TOTAL_KNOWN">#REF!</definedName>
    <definedName name="TotalCarryOver" localSheetId="6">#REF!</definedName>
    <definedName name="TotalCarryOver">#REF!</definedName>
    <definedName name="TotalCurrentYear" localSheetId="6">#REF!</definedName>
    <definedName name="TotalCurrentYear">#REF!</definedName>
    <definedName name="TotalKnownCheck" localSheetId="6">#REF!</definedName>
    <definedName name="TotalKnownCheck">#REF!</definedName>
    <definedName name="UFPrn20020120153922" localSheetId="6">#REF!</definedName>
    <definedName name="UFPrn20020120153922">#REF!</definedName>
    <definedName name="UFPrn20051027160140" localSheetId="6">#REF!</definedName>
    <definedName name="UFPrn20051027160140">#REF!</definedName>
    <definedName name="UFPrn20051027172739" localSheetId="6">#REF!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VFE" hidden="1">#REF!</definedName>
    <definedName name="wer" hidden="1">#REF!</definedName>
    <definedName name="wrn.Aging._.and._.Trend._.Analysis.">{#N/A,#N/A,FALSE,"Aging Summary";#N/A,#N/A,FALSE,"Ratio Analysis";#N/A,#N/A,FALSE,"Test 120 Day Accts";#N/A,#N/A,FALSE,"Tickmarks"}</definedName>
    <definedName name="wrn.Aging._.and._.Trend._.Analysis._1">{#N/A,#N/A,FALSE,"Aging Summary";#N/A,#N/A,FALSE,"Ratio Analysis";#N/A,#N/A,FALSE,"Test 120 Day Accts";#N/A,#N/A,FALSE,"Tickmarks"}</definedName>
    <definedName name="wrn.Aging._.and._.Trend._.Analysis._1_1">{#N/A,#N/A,FALSE,"Aging Summary";#N/A,#N/A,FALSE,"Ratio Analysis";#N/A,#N/A,FALSE,"Test 120 Day Accts";#N/A,#N/A,FALSE,"Tickmarks"}</definedName>
    <definedName name="wrn.Aging._.and._.Trend._.Analysis._1_1_1">{#N/A,#N/A,FALSE,"Aging Summary";#N/A,#N/A,FALSE,"Ratio Analysis";#N/A,#N/A,FALSE,"Test 120 Day Accts";#N/A,#N/A,FALSE,"Tickmarks"}</definedName>
    <definedName name="wrn.Aging._.and._.Trend._.Analysis._1_1_2">{#N/A,#N/A,FALSE,"Aging Summary";#N/A,#N/A,FALSE,"Ratio Analysis";#N/A,#N/A,FALSE,"Test 120 Day Accts";#N/A,#N/A,FALSE,"Tickmarks"}</definedName>
    <definedName name="wrn.Aging._.and._.Trend._.Analysis._1_1_3">{#N/A,#N/A,FALSE,"Aging Summary";#N/A,#N/A,FALSE,"Ratio Analysis";#N/A,#N/A,FALSE,"Test 120 Day Accts";#N/A,#N/A,FALSE,"Tickmarks"}</definedName>
    <definedName name="wrn.Aging._.and._.Trend._.Analysis._1_1_4">{#N/A,#N/A,FALSE,"Aging Summary";#N/A,#N/A,FALSE,"Ratio Analysis";#N/A,#N/A,FALSE,"Test 120 Day Accts";#N/A,#N/A,FALSE,"Tickmarks"}</definedName>
    <definedName name="wrn.Aging._.and._.Trend._.Analysis._1_2">{#N/A,#N/A,FALSE,"Aging Summary";#N/A,#N/A,FALSE,"Ratio Analysis";#N/A,#N/A,FALSE,"Test 120 Day Accts";#N/A,#N/A,FALSE,"Tickmarks"}</definedName>
    <definedName name="wrn.Aging._.and._.Trend._.Analysis._1_2_1">{#N/A,#N/A,FALSE,"Aging Summary";#N/A,#N/A,FALSE,"Ratio Analysis";#N/A,#N/A,FALSE,"Test 120 Day Accts";#N/A,#N/A,FALSE,"Tickmarks"}</definedName>
    <definedName name="wrn.Aging._.and._.Trend._.Analysis._1_2_2">{#N/A,#N/A,FALSE,"Aging Summary";#N/A,#N/A,FALSE,"Ratio Analysis";#N/A,#N/A,FALSE,"Test 120 Day Accts";#N/A,#N/A,FALSE,"Tickmarks"}</definedName>
    <definedName name="wrn.Aging._.and._.Trend._.Analysis._1_2_3">{#N/A,#N/A,FALSE,"Aging Summary";#N/A,#N/A,FALSE,"Ratio Analysis";#N/A,#N/A,FALSE,"Test 120 Day Accts";#N/A,#N/A,FALSE,"Tickmarks"}</definedName>
    <definedName name="wrn.Aging._.and._.Trend._.Analysis._1_3">{#N/A,#N/A,FALSE,"Aging Summary";#N/A,#N/A,FALSE,"Ratio Analysis";#N/A,#N/A,FALSE,"Test 120 Day Accts";#N/A,#N/A,FALSE,"Tickmarks"}</definedName>
    <definedName name="wrn.Aging._.and._.Trend._.Analysis._1_3_1">{#N/A,#N/A,FALSE,"Aging Summary";#N/A,#N/A,FALSE,"Ratio Analysis";#N/A,#N/A,FALSE,"Test 120 Day Accts";#N/A,#N/A,FALSE,"Tickmarks"}</definedName>
    <definedName name="wrn.Aging._.and._.Trend._.Analysis._1_3_2">{#N/A,#N/A,FALSE,"Aging Summary";#N/A,#N/A,FALSE,"Ratio Analysis";#N/A,#N/A,FALSE,"Test 120 Day Accts";#N/A,#N/A,FALSE,"Tickmarks"}</definedName>
    <definedName name="wrn.Aging._.and._.Trend._.Analysis._1_3_3">{#N/A,#N/A,FALSE,"Aging Summary";#N/A,#N/A,FALSE,"Ratio Analysis";#N/A,#N/A,FALSE,"Test 120 Day Accts";#N/A,#N/A,FALSE,"Tickmarks"}</definedName>
    <definedName name="wrn.Aging._.and._.Trend._.Analysis._1_4">{#N/A,#N/A,FALSE,"Aging Summary";#N/A,#N/A,FALSE,"Ratio Analysis";#N/A,#N/A,FALSE,"Test 120 Day Accts";#N/A,#N/A,FALSE,"Tickmarks"}</definedName>
    <definedName name="wrn.Aging._.and._.Trend._.Analysis._1_4_1">{#N/A,#N/A,FALSE,"Aging Summary";#N/A,#N/A,FALSE,"Ratio Analysis";#N/A,#N/A,FALSE,"Test 120 Day Accts";#N/A,#N/A,FALSE,"Tickmarks"}</definedName>
    <definedName name="wrn.Aging._.and._.Trend._.Analysis._1_4_2">{#N/A,#N/A,FALSE,"Aging Summary";#N/A,#N/A,FALSE,"Ratio Analysis";#N/A,#N/A,FALSE,"Test 120 Day Accts";#N/A,#N/A,FALSE,"Tickmarks"}</definedName>
    <definedName name="wrn.Aging._.and._.Trend._.Analysis._1_4_3">{#N/A,#N/A,FALSE,"Aging Summary";#N/A,#N/A,FALSE,"Ratio Analysis";#N/A,#N/A,FALSE,"Test 120 Day Accts";#N/A,#N/A,FALSE,"Tickmarks"}</definedName>
    <definedName name="wrn.Aging._.and._.Trend._.Analysis._1_5">{#N/A,#N/A,FALSE,"Aging Summary";#N/A,#N/A,FALSE,"Ratio Analysis";#N/A,#N/A,FALSE,"Test 120 Day Accts";#N/A,#N/A,FALSE,"Tickmarks"}</definedName>
    <definedName name="wrn.Aging._.and._.Trend._.Analysis._1_5_1">{#N/A,#N/A,FALSE,"Aging Summary";#N/A,#N/A,FALSE,"Ratio Analysis";#N/A,#N/A,FALSE,"Test 120 Day Accts";#N/A,#N/A,FALSE,"Tickmarks"}</definedName>
    <definedName name="wrn.Aging._.and._.Trend._.Analysis._1_5_2">{#N/A,#N/A,FALSE,"Aging Summary";#N/A,#N/A,FALSE,"Ratio Analysis";#N/A,#N/A,FALSE,"Test 120 Day Accts";#N/A,#N/A,FALSE,"Tickmarks"}</definedName>
    <definedName name="wrn.Aging._.and._.Trend._.Analysis._1_5_3">{#N/A,#N/A,FALSE,"Aging Summary";#N/A,#N/A,FALSE,"Ratio Analysis";#N/A,#N/A,FALSE,"Test 120 Day Accts";#N/A,#N/A,FALSE,"Tickmarks"}</definedName>
    <definedName name="wrn.Aging._.and._.Trend._.Analysis._2">{#N/A,#N/A,FALSE,"Aging Summary";#N/A,#N/A,FALSE,"Ratio Analysis";#N/A,#N/A,FALSE,"Test 120 Day Accts";#N/A,#N/A,FALSE,"Tickmarks"}</definedName>
    <definedName name="wrn.Aging._.and._.Trend._.Analysis._2_1">{#N/A,#N/A,FALSE,"Aging Summary";#N/A,#N/A,FALSE,"Ratio Analysis";#N/A,#N/A,FALSE,"Test 120 Day Accts";#N/A,#N/A,FALSE,"Tickmarks"}</definedName>
    <definedName name="wrn.Aging._.and._.Trend._.Analysis._2_1_1">{#N/A,#N/A,FALSE,"Aging Summary";#N/A,#N/A,FALSE,"Ratio Analysis";#N/A,#N/A,FALSE,"Test 120 Day Accts";#N/A,#N/A,FALSE,"Tickmarks"}</definedName>
    <definedName name="wrn.Aging._.and._.Trend._.Analysis._2_1_2">{#N/A,#N/A,FALSE,"Aging Summary";#N/A,#N/A,FALSE,"Ratio Analysis";#N/A,#N/A,FALSE,"Test 120 Day Accts";#N/A,#N/A,FALSE,"Tickmarks"}</definedName>
    <definedName name="wrn.Aging._.and._.Trend._.Analysis._2_1_3">{#N/A,#N/A,FALSE,"Aging Summary";#N/A,#N/A,FALSE,"Ratio Analysis";#N/A,#N/A,FALSE,"Test 120 Day Accts";#N/A,#N/A,FALSE,"Tickmarks"}</definedName>
    <definedName name="wrn.Aging._.and._.Trend._.Analysis._2_2">{#N/A,#N/A,FALSE,"Aging Summary";#N/A,#N/A,FALSE,"Ratio Analysis";#N/A,#N/A,FALSE,"Test 120 Day Accts";#N/A,#N/A,FALSE,"Tickmarks"}</definedName>
    <definedName name="wrn.Aging._.and._.Trend._.Analysis._2_2_1">{#N/A,#N/A,FALSE,"Aging Summary";#N/A,#N/A,FALSE,"Ratio Analysis";#N/A,#N/A,FALSE,"Test 120 Day Accts";#N/A,#N/A,FALSE,"Tickmarks"}</definedName>
    <definedName name="wrn.Aging._.and._.Trend._.Analysis._2_2_2">{#N/A,#N/A,FALSE,"Aging Summary";#N/A,#N/A,FALSE,"Ratio Analysis";#N/A,#N/A,FALSE,"Test 120 Day Accts";#N/A,#N/A,FALSE,"Tickmarks"}</definedName>
    <definedName name="wrn.Aging._.and._.Trend._.Analysis._2_2_3">{#N/A,#N/A,FALSE,"Aging Summary";#N/A,#N/A,FALSE,"Ratio Analysis";#N/A,#N/A,FALSE,"Test 120 Day Accts";#N/A,#N/A,FALSE,"Tickmarks"}</definedName>
    <definedName name="wrn.Aging._.and._.Trend._.Analysis._2_3">{#N/A,#N/A,FALSE,"Aging Summary";#N/A,#N/A,FALSE,"Ratio Analysis";#N/A,#N/A,FALSE,"Test 120 Day Accts";#N/A,#N/A,FALSE,"Tickmarks"}</definedName>
    <definedName name="wrn.Aging._.and._.Trend._.Analysis._2_3_1">{#N/A,#N/A,FALSE,"Aging Summary";#N/A,#N/A,FALSE,"Ratio Analysis";#N/A,#N/A,FALSE,"Test 120 Day Accts";#N/A,#N/A,FALSE,"Tickmarks"}</definedName>
    <definedName name="wrn.Aging._.and._.Trend._.Analysis._2_3_2">{#N/A,#N/A,FALSE,"Aging Summary";#N/A,#N/A,FALSE,"Ratio Analysis";#N/A,#N/A,FALSE,"Test 120 Day Accts";#N/A,#N/A,FALSE,"Tickmarks"}</definedName>
    <definedName name="wrn.Aging._.and._.Trend._.Analysis._2_3_3">{#N/A,#N/A,FALSE,"Aging Summary";#N/A,#N/A,FALSE,"Ratio Analysis";#N/A,#N/A,FALSE,"Test 120 Day Accts";#N/A,#N/A,FALSE,"Tickmarks"}</definedName>
    <definedName name="wrn.Aging._.and._.Trend._.Analysis._2_4">{#N/A,#N/A,FALSE,"Aging Summary";#N/A,#N/A,FALSE,"Ratio Analysis";#N/A,#N/A,FALSE,"Test 120 Day Accts";#N/A,#N/A,FALSE,"Tickmarks"}</definedName>
    <definedName name="wrn.Aging._.and._.Trend._.Analysis._2_4_1">{#N/A,#N/A,FALSE,"Aging Summary";#N/A,#N/A,FALSE,"Ratio Analysis";#N/A,#N/A,FALSE,"Test 120 Day Accts";#N/A,#N/A,FALSE,"Tickmarks"}</definedName>
    <definedName name="wrn.Aging._.and._.Trend._.Analysis._2_4_2">{#N/A,#N/A,FALSE,"Aging Summary";#N/A,#N/A,FALSE,"Ratio Analysis";#N/A,#N/A,FALSE,"Test 120 Day Accts";#N/A,#N/A,FALSE,"Tickmarks"}</definedName>
    <definedName name="wrn.Aging._.and._.Trend._.Analysis._2_4_3">{#N/A,#N/A,FALSE,"Aging Summary";#N/A,#N/A,FALSE,"Ratio Analysis";#N/A,#N/A,FALSE,"Test 120 Day Accts";#N/A,#N/A,FALSE,"Tickmarks"}</definedName>
    <definedName name="wrn.Aging._.and._.Trend._.Analysis._2_5">{#N/A,#N/A,FALSE,"Aging Summary";#N/A,#N/A,FALSE,"Ratio Analysis";#N/A,#N/A,FALSE,"Test 120 Day Accts";#N/A,#N/A,FALSE,"Tickmarks"}</definedName>
    <definedName name="wrn.Aging._.and._.Trend._.Analysis._2_5_1">{#N/A,#N/A,FALSE,"Aging Summary";#N/A,#N/A,FALSE,"Ratio Analysis";#N/A,#N/A,FALSE,"Test 120 Day Accts";#N/A,#N/A,FALSE,"Tickmarks"}</definedName>
    <definedName name="wrn.Aging._.and._.Trend._.Analysis._2_5_2">{#N/A,#N/A,FALSE,"Aging Summary";#N/A,#N/A,FALSE,"Ratio Analysis";#N/A,#N/A,FALSE,"Test 120 Day Accts";#N/A,#N/A,FALSE,"Tickmarks"}</definedName>
    <definedName name="wrn.Aging._.and._.Trend._.Analysis._2_5_3">{#N/A,#N/A,FALSE,"Aging Summary";#N/A,#N/A,FALSE,"Ratio Analysis";#N/A,#N/A,FALSE,"Test 120 Day Accts";#N/A,#N/A,FALSE,"Tickmarks"}</definedName>
    <definedName name="wrn.Aging._.and._.Trend._.Analysis._3">{#N/A,#N/A,FALSE,"Aging Summary";#N/A,#N/A,FALSE,"Ratio Analysis";#N/A,#N/A,FALSE,"Test 120 Day Accts";#N/A,#N/A,FALSE,"Tickmarks"}</definedName>
    <definedName name="wrn.Aging._.and._.Trend._.Analysis._3_1">{#N/A,#N/A,FALSE,"Aging Summary";#N/A,#N/A,FALSE,"Ratio Analysis";#N/A,#N/A,FALSE,"Test 120 Day Accts";#N/A,#N/A,FALSE,"Tickmarks"}</definedName>
    <definedName name="wrn.Aging._.and._.Trend._.Analysis._3_1_1">{#N/A,#N/A,FALSE,"Aging Summary";#N/A,#N/A,FALSE,"Ratio Analysis";#N/A,#N/A,FALSE,"Test 120 Day Accts";#N/A,#N/A,FALSE,"Tickmarks"}</definedName>
    <definedName name="wrn.Aging._.and._.Trend._.Analysis._3_1_2">{#N/A,#N/A,FALSE,"Aging Summary";#N/A,#N/A,FALSE,"Ratio Analysis";#N/A,#N/A,FALSE,"Test 120 Day Accts";#N/A,#N/A,FALSE,"Tickmarks"}</definedName>
    <definedName name="wrn.Aging._.and._.Trend._.Analysis._3_1_3">{#N/A,#N/A,FALSE,"Aging Summary";#N/A,#N/A,FALSE,"Ratio Analysis";#N/A,#N/A,FALSE,"Test 120 Day Accts";#N/A,#N/A,FALSE,"Tickmarks"}</definedName>
    <definedName name="wrn.Aging._.and._.Trend._.Analysis._3_2">{#N/A,#N/A,FALSE,"Aging Summary";#N/A,#N/A,FALSE,"Ratio Analysis";#N/A,#N/A,FALSE,"Test 120 Day Accts";#N/A,#N/A,FALSE,"Tickmarks"}</definedName>
    <definedName name="wrn.Aging._.and._.Trend._.Analysis._3_2_1">{#N/A,#N/A,FALSE,"Aging Summary";#N/A,#N/A,FALSE,"Ratio Analysis";#N/A,#N/A,FALSE,"Test 120 Day Accts";#N/A,#N/A,FALSE,"Tickmarks"}</definedName>
    <definedName name="wrn.Aging._.and._.Trend._.Analysis._3_2_2">{#N/A,#N/A,FALSE,"Aging Summary";#N/A,#N/A,FALSE,"Ratio Analysis";#N/A,#N/A,FALSE,"Test 120 Day Accts";#N/A,#N/A,FALSE,"Tickmarks"}</definedName>
    <definedName name="wrn.Aging._.and._.Trend._.Analysis._3_2_3">{#N/A,#N/A,FALSE,"Aging Summary";#N/A,#N/A,FALSE,"Ratio Analysis";#N/A,#N/A,FALSE,"Test 120 Day Accts";#N/A,#N/A,FALSE,"Tickmarks"}</definedName>
    <definedName name="wrn.Aging._.and._.Trend._.Analysis._3_3">{#N/A,#N/A,FALSE,"Aging Summary";#N/A,#N/A,FALSE,"Ratio Analysis";#N/A,#N/A,FALSE,"Test 120 Day Accts";#N/A,#N/A,FALSE,"Tickmarks"}</definedName>
    <definedName name="wrn.Aging._.and._.Trend._.Analysis._3_3_1">{#N/A,#N/A,FALSE,"Aging Summary";#N/A,#N/A,FALSE,"Ratio Analysis";#N/A,#N/A,FALSE,"Test 120 Day Accts";#N/A,#N/A,FALSE,"Tickmarks"}</definedName>
    <definedName name="wrn.Aging._.and._.Trend._.Analysis._3_3_2">{#N/A,#N/A,FALSE,"Aging Summary";#N/A,#N/A,FALSE,"Ratio Analysis";#N/A,#N/A,FALSE,"Test 120 Day Accts";#N/A,#N/A,FALSE,"Tickmarks"}</definedName>
    <definedName name="wrn.Aging._.and._.Trend._.Analysis._3_3_3">{#N/A,#N/A,FALSE,"Aging Summary";#N/A,#N/A,FALSE,"Ratio Analysis";#N/A,#N/A,FALSE,"Test 120 Day Accts";#N/A,#N/A,FALSE,"Tickmarks"}</definedName>
    <definedName name="wrn.Aging._.and._.Trend._.Analysis._3_4">{#N/A,#N/A,FALSE,"Aging Summary";#N/A,#N/A,FALSE,"Ratio Analysis";#N/A,#N/A,FALSE,"Test 120 Day Accts";#N/A,#N/A,FALSE,"Tickmarks"}</definedName>
    <definedName name="wrn.Aging._.and._.Trend._.Analysis._3_4_1">{#N/A,#N/A,FALSE,"Aging Summary";#N/A,#N/A,FALSE,"Ratio Analysis";#N/A,#N/A,FALSE,"Test 120 Day Accts";#N/A,#N/A,FALSE,"Tickmarks"}</definedName>
    <definedName name="wrn.Aging._.and._.Trend._.Analysis._3_4_2">{#N/A,#N/A,FALSE,"Aging Summary";#N/A,#N/A,FALSE,"Ratio Analysis";#N/A,#N/A,FALSE,"Test 120 Day Accts";#N/A,#N/A,FALSE,"Tickmarks"}</definedName>
    <definedName name="wrn.Aging._.and._.Trend._.Analysis._3_4_3">{#N/A,#N/A,FALSE,"Aging Summary";#N/A,#N/A,FALSE,"Ratio Analysis";#N/A,#N/A,FALSE,"Test 120 Day Accts";#N/A,#N/A,FALSE,"Tickmarks"}</definedName>
    <definedName name="wrn.Aging._.and._.Trend._.Analysis._3_5">{#N/A,#N/A,FALSE,"Aging Summary";#N/A,#N/A,FALSE,"Ratio Analysis";#N/A,#N/A,FALSE,"Test 120 Day Accts";#N/A,#N/A,FALSE,"Tickmarks"}</definedName>
    <definedName name="wrn.Aging._.and._.Trend._.Analysis._4">{#N/A,#N/A,FALSE,"Aging Summary";#N/A,#N/A,FALSE,"Ratio Analysis";#N/A,#N/A,FALSE,"Test 120 Day Accts";#N/A,#N/A,FALSE,"Tickmarks"}</definedName>
    <definedName name="wrn.Aging._.and._.Trend._.Analysis._4_1">{#N/A,#N/A,FALSE,"Aging Summary";#N/A,#N/A,FALSE,"Ratio Analysis";#N/A,#N/A,FALSE,"Test 120 Day Accts";#N/A,#N/A,FALSE,"Tickmarks"}</definedName>
    <definedName name="wrn.Aging._.and._.Trend._.Analysis._4_1_1">{#N/A,#N/A,FALSE,"Aging Summary";#N/A,#N/A,FALSE,"Ratio Analysis";#N/A,#N/A,FALSE,"Test 120 Day Accts";#N/A,#N/A,FALSE,"Tickmarks"}</definedName>
    <definedName name="wrn.Aging._.and._.Trend._.Analysis._4_1_2">{#N/A,#N/A,FALSE,"Aging Summary";#N/A,#N/A,FALSE,"Ratio Analysis";#N/A,#N/A,FALSE,"Test 120 Day Accts";#N/A,#N/A,FALSE,"Tickmarks"}</definedName>
    <definedName name="wrn.Aging._.and._.Trend._.Analysis._4_1_3">{#N/A,#N/A,FALSE,"Aging Summary";#N/A,#N/A,FALSE,"Ratio Analysis";#N/A,#N/A,FALSE,"Test 120 Day Accts";#N/A,#N/A,FALSE,"Tickmarks"}</definedName>
    <definedName name="wrn.Aging._.and._.Trend._.Analysis._4_2">{#N/A,#N/A,FALSE,"Aging Summary";#N/A,#N/A,FALSE,"Ratio Analysis";#N/A,#N/A,FALSE,"Test 120 Day Accts";#N/A,#N/A,FALSE,"Tickmarks"}</definedName>
    <definedName name="wrn.Aging._.and._.Trend._.Analysis._4_2_1">{#N/A,#N/A,FALSE,"Aging Summary";#N/A,#N/A,FALSE,"Ratio Analysis";#N/A,#N/A,FALSE,"Test 120 Day Accts";#N/A,#N/A,FALSE,"Tickmarks"}</definedName>
    <definedName name="wrn.Aging._.and._.Trend._.Analysis._4_2_2">{#N/A,#N/A,FALSE,"Aging Summary";#N/A,#N/A,FALSE,"Ratio Analysis";#N/A,#N/A,FALSE,"Test 120 Day Accts";#N/A,#N/A,FALSE,"Tickmarks"}</definedName>
    <definedName name="wrn.Aging._.and._.Trend._.Analysis._4_2_3">{#N/A,#N/A,FALSE,"Aging Summary";#N/A,#N/A,FALSE,"Ratio Analysis";#N/A,#N/A,FALSE,"Test 120 Day Accts";#N/A,#N/A,FALSE,"Tickmarks"}</definedName>
    <definedName name="wrn.Aging._.and._.Trend._.Analysis._4_3">{#N/A,#N/A,FALSE,"Aging Summary";#N/A,#N/A,FALSE,"Ratio Analysis";#N/A,#N/A,FALSE,"Test 120 Day Accts";#N/A,#N/A,FALSE,"Tickmarks"}</definedName>
    <definedName name="wrn.Aging._.and._.Trend._.Analysis._4_3_1">{#N/A,#N/A,FALSE,"Aging Summary";#N/A,#N/A,FALSE,"Ratio Analysis";#N/A,#N/A,FALSE,"Test 120 Day Accts";#N/A,#N/A,FALSE,"Tickmarks"}</definedName>
    <definedName name="wrn.Aging._.and._.Trend._.Analysis._4_3_2">{#N/A,#N/A,FALSE,"Aging Summary";#N/A,#N/A,FALSE,"Ratio Analysis";#N/A,#N/A,FALSE,"Test 120 Day Accts";#N/A,#N/A,FALSE,"Tickmarks"}</definedName>
    <definedName name="wrn.Aging._.and._.Trend._.Analysis._4_3_3">{#N/A,#N/A,FALSE,"Aging Summary";#N/A,#N/A,FALSE,"Ratio Analysis";#N/A,#N/A,FALSE,"Test 120 Day Accts";#N/A,#N/A,FALSE,"Tickmarks"}</definedName>
    <definedName name="wrn.Aging._.and._.Trend._.Analysis._4_4">{#N/A,#N/A,FALSE,"Aging Summary";#N/A,#N/A,FALSE,"Ratio Analysis";#N/A,#N/A,FALSE,"Test 120 Day Accts";#N/A,#N/A,FALSE,"Tickmarks"}</definedName>
    <definedName name="wrn.Aging._.and._.Trend._.Analysis._4_4_1">{#N/A,#N/A,FALSE,"Aging Summary";#N/A,#N/A,FALSE,"Ratio Analysis";#N/A,#N/A,FALSE,"Test 120 Day Accts";#N/A,#N/A,FALSE,"Tickmarks"}</definedName>
    <definedName name="wrn.Aging._.and._.Trend._.Analysis._4_4_2">{#N/A,#N/A,FALSE,"Aging Summary";#N/A,#N/A,FALSE,"Ratio Analysis";#N/A,#N/A,FALSE,"Test 120 Day Accts";#N/A,#N/A,FALSE,"Tickmarks"}</definedName>
    <definedName name="wrn.Aging._.and._.Trend._.Analysis._4_4_3">{#N/A,#N/A,FALSE,"Aging Summary";#N/A,#N/A,FALSE,"Ratio Analysis";#N/A,#N/A,FALSE,"Test 120 Day Accts";#N/A,#N/A,FALSE,"Tickmarks"}</definedName>
    <definedName name="wrn.Aging._.and._.Trend._.Analysis._4_5">{#N/A,#N/A,FALSE,"Aging Summary";#N/A,#N/A,FALSE,"Ratio Analysis";#N/A,#N/A,FALSE,"Test 120 Day Accts";#N/A,#N/A,FALSE,"Tickmarks"}</definedName>
    <definedName name="wrn.Aging._.and._.Trend._.Analysis._5">{#N/A,#N/A,FALSE,"Aging Summary";#N/A,#N/A,FALSE,"Ratio Analysis";#N/A,#N/A,FALSE,"Test 120 Day Accts";#N/A,#N/A,FALSE,"Tickmarks"}</definedName>
    <definedName name="wrn.Aging._.and._.Trend._.Analysis._5_1">{#N/A,#N/A,FALSE,"Aging Summary";#N/A,#N/A,FALSE,"Ratio Analysis";#N/A,#N/A,FALSE,"Test 120 Day Accts";#N/A,#N/A,FALSE,"Tickmarks"}</definedName>
    <definedName name="wrn.Aging._.and._.Trend._.Analysis._5_1_1">{#N/A,#N/A,FALSE,"Aging Summary";#N/A,#N/A,FALSE,"Ratio Analysis";#N/A,#N/A,FALSE,"Test 120 Day Accts";#N/A,#N/A,FALSE,"Tickmarks"}</definedName>
    <definedName name="wrn.Aging._.and._.Trend._.Analysis._5_1_2">{#N/A,#N/A,FALSE,"Aging Summary";#N/A,#N/A,FALSE,"Ratio Analysis";#N/A,#N/A,FALSE,"Test 120 Day Accts";#N/A,#N/A,FALSE,"Tickmarks"}</definedName>
    <definedName name="wrn.Aging._.and._.Trend._.Analysis._5_1_3">{#N/A,#N/A,FALSE,"Aging Summary";#N/A,#N/A,FALSE,"Ratio Analysis";#N/A,#N/A,FALSE,"Test 120 Day Accts";#N/A,#N/A,FALSE,"Tickmarks"}</definedName>
    <definedName name="wrn.Aging._.and._.Trend._.Analysis._5_2">{#N/A,#N/A,FALSE,"Aging Summary";#N/A,#N/A,FALSE,"Ratio Analysis";#N/A,#N/A,FALSE,"Test 120 Day Accts";#N/A,#N/A,FALSE,"Tickmarks"}</definedName>
    <definedName name="wrn.Aging._.and._.Trend._.Analysis._5_2_1">{#N/A,#N/A,FALSE,"Aging Summary";#N/A,#N/A,FALSE,"Ratio Analysis";#N/A,#N/A,FALSE,"Test 120 Day Accts";#N/A,#N/A,FALSE,"Tickmarks"}</definedName>
    <definedName name="wrn.Aging._.and._.Trend._.Analysis._5_2_2">{#N/A,#N/A,FALSE,"Aging Summary";#N/A,#N/A,FALSE,"Ratio Analysis";#N/A,#N/A,FALSE,"Test 120 Day Accts";#N/A,#N/A,FALSE,"Tickmarks"}</definedName>
    <definedName name="wrn.Aging._.and._.Trend._.Analysis._5_2_3">{#N/A,#N/A,FALSE,"Aging Summary";#N/A,#N/A,FALSE,"Ratio Analysis";#N/A,#N/A,FALSE,"Test 120 Day Accts";#N/A,#N/A,FALSE,"Tickmarks"}</definedName>
    <definedName name="wrn.Aging._.and._.Trend._.Analysis._5_3">{#N/A,#N/A,FALSE,"Aging Summary";#N/A,#N/A,FALSE,"Ratio Analysis";#N/A,#N/A,FALSE,"Test 120 Day Accts";#N/A,#N/A,FALSE,"Tickmarks"}</definedName>
    <definedName name="wrn.Aging._.and._.Trend._.Analysis._5_3_1">{#N/A,#N/A,FALSE,"Aging Summary";#N/A,#N/A,FALSE,"Ratio Analysis";#N/A,#N/A,FALSE,"Test 120 Day Accts";#N/A,#N/A,FALSE,"Tickmarks"}</definedName>
    <definedName name="wrn.Aging._.and._.Trend._.Analysis._5_3_2">{#N/A,#N/A,FALSE,"Aging Summary";#N/A,#N/A,FALSE,"Ratio Analysis";#N/A,#N/A,FALSE,"Test 120 Day Accts";#N/A,#N/A,FALSE,"Tickmarks"}</definedName>
    <definedName name="wrn.Aging._.and._.Trend._.Analysis._5_3_3">{#N/A,#N/A,FALSE,"Aging Summary";#N/A,#N/A,FALSE,"Ratio Analysis";#N/A,#N/A,FALSE,"Test 120 Day Accts";#N/A,#N/A,FALSE,"Tickmarks"}</definedName>
    <definedName name="wrn.Aging._.and._.Trend._.Analysis._5_4">{#N/A,#N/A,FALSE,"Aging Summary";#N/A,#N/A,FALSE,"Ratio Analysis";#N/A,#N/A,FALSE,"Test 120 Day Accts";#N/A,#N/A,FALSE,"Tickmarks"}</definedName>
    <definedName name="wrn.Aging._.and._.Trend._.Analysis._5_4_1">{#N/A,#N/A,FALSE,"Aging Summary";#N/A,#N/A,FALSE,"Ratio Analysis";#N/A,#N/A,FALSE,"Test 120 Day Accts";#N/A,#N/A,FALSE,"Tickmarks"}</definedName>
    <definedName name="wrn.Aging._.and._.Trend._.Analysis._5_4_2">{#N/A,#N/A,FALSE,"Aging Summary";#N/A,#N/A,FALSE,"Ratio Analysis";#N/A,#N/A,FALSE,"Test 120 Day Accts";#N/A,#N/A,FALSE,"Tickmarks"}</definedName>
    <definedName name="wrn.Aging._.and._.Trend._.Analysis._5_4_3">{#N/A,#N/A,FALSE,"Aging Summary";#N/A,#N/A,FALSE,"Ratio Analysis";#N/A,#N/A,FALSE,"Test 120 Day Accts";#N/A,#N/A,FALSE,"Tickmarks"}</definedName>
    <definedName name="wrn.Aging._.and._.Trend._.Analysis._5_5">{#N/A,#N/A,FALSE,"Aging Summary";#N/A,#N/A,FALSE,"Ratio Analysis";#N/A,#N/A,FALSE,"Test 120 Day Accts";#N/A,#N/A,FALSE,"Tickmarks"}</definedName>
    <definedName name="wrn.new">{#N/A,#N/A,FALSE,"Aging Summary";#N/A,#N/A,FALSE,"Ratio Analysis";#N/A,#N/A,FALSE,"Test 120 Day Accts";#N/A,#N/A,FALSE,"Tickmarks"}</definedName>
    <definedName name="wrn.new_1">{#N/A,#N/A,FALSE,"Aging Summary";#N/A,#N/A,FALSE,"Ratio Analysis";#N/A,#N/A,FALSE,"Test 120 Day Accts";#N/A,#N/A,FALSE,"Tickmarks"}</definedName>
    <definedName name="wrn.new_1_1">{#N/A,#N/A,FALSE,"Aging Summary";#N/A,#N/A,FALSE,"Ratio Analysis";#N/A,#N/A,FALSE,"Test 120 Day Accts";#N/A,#N/A,FALSE,"Tickmarks"}</definedName>
    <definedName name="wrn.new_1_1_1">{#N/A,#N/A,FALSE,"Aging Summary";#N/A,#N/A,FALSE,"Ratio Analysis";#N/A,#N/A,FALSE,"Test 120 Day Accts";#N/A,#N/A,FALSE,"Tickmarks"}</definedName>
    <definedName name="wrn.new_1_1_2">{#N/A,#N/A,FALSE,"Aging Summary";#N/A,#N/A,FALSE,"Ratio Analysis";#N/A,#N/A,FALSE,"Test 120 Day Accts";#N/A,#N/A,FALSE,"Tickmarks"}</definedName>
    <definedName name="wrn.new_1_1_3">{#N/A,#N/A,FALSE,"Aging Summary";#N/A,#N/A,FALSE,"Ratio Analysis";#N/A,#N/A,FALSE,"Test 120 Day Accts";#N/A,#N/A,FALSE,"Tickmarks"}</definedName>
    <definedName name="wrn.new_1_1_4">{#N/A,#N/A,FALSE,"Aging Summary";#N/A,#N/A,FALSE,"Ratio Analysis";#N/A,#N/A,FALSE,"Test 120 Day Accts";#N/A,#N/A,FALSE,"Tickmarks"}</definedName>
    <definedName name="wrn.new_1_2">{#N/A,#N/A,FALSE,"Aging Summary";#N/A,#N/A,FALSE,"Ratio Analysis";#N/A,#N/A,FALSE,"Test 120 Day Accts";#N/A,#N/A,FALSE,"Tickmarks"}</definedName>
    <definedName name="wrn.new_1_2_1">{#N/A,#N/A,FALSE,"Aging Summary";#N/A,#N/A,FALSE,"Ratio Analysis";#N/A,#N/A,FALSE,"Test 120 Day Accts";#N/A,#N/A,FALSE,"Tickmarks"}</definedName>
    <definedName name="wrn.new_1_2_2">{#N/A,#N/A,FALSE,"Aging Summary";#N/A,#N/A,FALSE,"Ratio Analysis";#N/A,#N/A,FALSE,"Test 120 Day Accts";#N/A,#N/A,FALSE,"Tickmarks"}</definedName>
    <definedName name="wrn.new_1_2_3">{#N/A,#N/A,FALSE,"Aging Summary";#N/A,#N/A,FALSE,"Ratio Analysis";#N/A,#N/A,FALSE,"Test 120 Day Accts";#N/A,#N/A,FALSE,"Tickmarks"}</definedName>
    <definedName name="wrn.new_1_3">{#N/A,#N/A,FALSE,"Aging Summary";#N/A,#N/A,FALSE,"Ratio Analysis";#N/A,#N/A,FALSE,"Test 120 Day Accts";#N/A,#N/A,FALSE,"Tickmarks"}</definedName>
    <definedName name="wrn.new_1_3_1">{#N/A,#N/A,FALSE,"Aging Summary";#N/A,#N/A,FALSE,"Ratio Analysis";#N/A,#N/A,FALSE,"Test 120 Day Accts";#N/A,#N/A,FALSE,"Tickmarks"}</definedName>
    <definedName name="wrn.new_1_3_2">{#N/A,#N/A,FALSE,"Aging Summary";#N/A,#N/A,FALSE,"Ratio Analysis";#N/A,#N/A,FALSE,"Test 120 Day Accts";#N/A,#N/A,FALSE,"Tickmarks"}</definedName>
    <definedName name="wrn.new_1_3_3">{#N/A,#N/A,FALSE,"Aging Summary";#N/A,#N/A,FALSE,"Ratio Analysis";#N/A,#N/A,FALSE,"Test 120 Day Accts";#N/A,#N/A,FALSE,"Tickmarks"}</definedName>
    <definedName name="wrn.new_1_4">{#N/A,#N/A,FALSE,"Aging Summary";#N/A,#N/A,FALSE,"Ratio Analysis";#N/A,#N/A,FALSE,"Test 120 Day Accts";#N/A,#N/A,FALSE,"Tickmarks"}</definedName>
    <definedName name="wrn.new_1_4_1">{#N/A,#N/A,FALSE,"Aging Summary";#N/A,#N/A,FALSE,"Ratio Analysis";#N/A,#N/A,FALSE,"Test 120 Day Accts";#N/A,#N/A,FALSE,"Tickmarks"}</definedName>
    <definedName name="wrn.new_1_4_2">{#N/A,#N/A,FALSE,"Aging Summary";#N/A,#N/A,FALSE,"Ratio Analysis";#N/A,#N/A,FALSE,"Test 120 Day Accts";#N/A,#N/A,FALSE,"Tickmarks"}</definedName>
    <definedName name="wrn.new_1_4_3">{#N/A,#N/A,FALSE,"Aging Summary";#N/A,#N/A,FALSE,"Ratio Analysis";#N/A,#N/A,FALSE,"Test 120 Day Accts";#N/A,#N/A,FALSE,"Tickmarks"}</definedName>
    <definedName name="wrn.new_1_5">{#N/A,#N/A,FALSE,"Aging Summary";#N/A,#N/A,FALSE,"Ratio Analysis";#N/A,#N/A,FALSE,"Test 120 Day Accts";#N/A,#N/A,FALSE,"Tickmarks"}</definedName>
    <definedName name="wrn.new_1_5_1">{#N/A,#N/A,FALSE,"Aging Summary";#N/A,#N/A,FALSE,"Ratio Analysis";#N/A,#N/A,FALSE,"Test 120 Day Accts";#N/A,#N/A,FALSE,"Tickmarks"}</definedName>
    <definedName name="wrn.new_1_5_2">{#N/A,#N/A,FALSE,"Aging Summary";#N/A,#N/A,FALSE,"Ratio Analysis";#N/A,#N/A,FALSE,"Test 120 Day Accts";#N/A,#N/A,FALSE,"Tickmarks"}</definedName>
    <definedName name="wrn.new_1_5_3">{#N/A,#N/A,FALSE,"Aging Summary";#N/A,#N/A,FALSE,"Ratio Analysis";#N/A,#N/A,FALSE,"Test 120 Day Accts";#N/A,#N/A,FALSE,"Tickmarks"}</definedName>
    <definedName name="wrn.new_2">{#N/A,#N/A,FALSE,"Aging Summary";#N/A,#N/A,FALSE,"Ratio Analysis";#N/A,#N/A,FALSE,"Test 120 Day Accts";#N/A,#N/A,FALSE,"Tickmarks"}</definedName>
    <definedName name="wrn.new_2_1">{#N/A,#N/A,FALSE,"Aging Summary";#N/A,#N/A,FALSE,"Ratio Analysis";#N/A,#N/A,FALSE,"Test 120 Day Accts";#N/A,#N/A,FALSE,"Tickmarks"}</definedName>
    <definedName name="wrn.new_2_1_1">{#N/A,#N/A,FALSE,"Aging Summary";#N/A,#N/A,FALSE,"Ratio Analysis";#N/A,#N/A,FALSE,"Test 120 Day Accts";#N/A,#N/A,FALSE,"Tickmarks"}</definedName>
    <definedName name="wrn.new_2_1_2">{#N/A,#N/A,FALSE,"Aging Summary";#N/A,#N/A,FALSE,"Ratio Analysis";#N/A,#N/A,FALSE,"Test 120 Day Accts";#N/A,#N/A,FALSE,"Tickmarks"}</definedName>
    <definedName name="wrn.new_2_1_3">{#N/A,#N/A,FALSE,"Aging Summary";#N/A,#N/A,FALSE,"Ratio Analysis";#N/A,#N/A,FALSE,"Test 120 Day Accts";#N/A,#N/A,FALSE,"Tickmarks"}</definedName>
    <definedName name="wrn.new_2_2">{#N/A,#N/A,FALSE,"Aging Summary";#N/A,#N/A,FALSE,"Ratio Analysis";#N/A,#N/A,FALSE,"Test 120 Day Accts";#N/A,#N/A,FALSE,"Tickmarks"}</definedName>
    <definedName name="wrn.new_2_2_1">{#N/A,#N/A,FALSE,"Aging Summary";#N/A,#N/A,FALSE,"Ratio Analysis";#N/A,#N/A,FALSE,"Test 120 Day Accts";#N/A,#N/A,FALSE,"Tickmarks"}</definedName>
    <definedName name="wrn.new_2_2_2">{#N/A,#N/A,FALSE,"Aging Summary";#N/A,#N/A,FALSE,"Ratio Analysis";#N/A,#N/A,FALSE,"Test 120 Day Accts";#N/A,#N/A,FALSE,"Tickmarks"}</definedName>
    <definedName name="wrn.new_2_2_3">{#N/A,#N/A,FALSE,"Aging Summary";#N/A,#N/A,FALSE,"Ratio Analysis";#N/A,#N/A,FALSE,"Test 120 Day Accts";#N/A,#N/A,FALSE,"Tickmarks"}</definedName>
    <definedName name="wrn.new_2_3">{#N/A,#N/A,FALSE,"Aging Summary";#N/A,#N/A,FALSE,"Ratio Analysis";#N/A,#N/A,FALSE,"Test 120 Day Accts";#N/A,#N/A,FALSE,"Tickmarks"}</definedName>
    <definedName name="wrn.new_2_3_1">{#N/A,#N/A,FALSE,"Aging Summary";#N/A,#N/A,FALSE,"Ratio Analysis";#N/A,#N/A,FALSE,"Test 120 Day Accts";#N/A,#N/A,FALSE,"Tickmarks"}</definedName>
    <definedName name="wrn.new_2_3_2">{#N/A,#N/A,FALSE,"Aging Summary";#N/A,#N/A,FALSE,"Ratio Analysis";#N/A,#N/A,FALSE,"Test 120 Day Accts";#N/A,#N/A,FALSE,"Tickmarks"}</definedName>
    <definedName name="wrn.new_2_3_3">{#N/A,#N/A,FALSE,"Aging Summary";#N/A,#N/A,FALSE,"Ratio Analysis";#N/A,#N/A,FALSE,"Test 120 Day Accts";#N/A,#N/A,FALSE,"Tickmarks"}</definedName>
    <definedName name="wrn.new_2_4">{#N/A,#N/A,FALSE,"Aging Summary";#N/A,#N/A,FALSE,"Ratio Analysis";#N/A,#N/A,FALSE,"Test 120 Day Accts";#N/A,#N/A,FALSE,"Tickmarks"}</definedName>
    <definedName name="wrn.new_2_4_1">{#N/A,#N/A,FALSE,"Aging Summary";#N/A,#N/A,FALSE,"Ratio Analysis";#N/A,#N/A,FALSE,"Test 120 Day Accts";#N/A,#N/A,FALSE,"Tickmarks"}</definedName>
    <definedName name="wrn.new_2_4_2">{#N/A,#N/A,FALSE,"Aging Summary";#N/A,#N/A,FALSE,"Ratio Analysis";#N/A,#N/A,FALSE,"Test 120 Day Accts";#N/A,#N/A,FALSE,"Tickmarks"}</definedName>
    <definedName name="wrn.new_2_4_3">{#N/A,#N/A,FALSE,"Aging Summary";#N/A,#N/A,FALSE,"Ratio Analysis";#N/A,#N/A,FALSE,"Test 120 Day Accts";#N/A,#N/A,FALSE,"Tickmarks"}</definedName>
    <definedName name="wrn.new_2_5">{#N/A,#N/A,FALSE,"Aging Summary";#N/A,#N/A,FALSE,"Ratio Analysis";#N/A,#N/A,FALSE,"Test 120 Day Accts";#N/A,#N/A,FALSE,"Tickmarks"}</definedName>
    <definedName name="wrn.new_2_5_1">{#N/A,#N/A,FALSE,"Aging Summary";#N/A,#N/A,FALSE,"Ratio Analysis";#N/A,#N/A,FALSE,"Test 120 Day Accts";#N/A,#N/A,FALSE,"Tickmarks"}</definedName>
    <definedName name="wrn.new_2_5_2">{#N/A,#N/A,FALSE,"Aging Summary";#N/A,#N/A,FALSE,"Ratio Analysis";#N/A,#N/A,FALSE,"Test 120 Day Accts";#N/A,#N/A,FALSE,"Tickmarks"}</definedName>
    <definedName name="wrn.new_2_5_3">{#N/A,#N/A,FALSE,"Aging Summary";#N/A,#N/A,FALSE,"Ratio Analysis";#N/A,#N/A,FALSE,"Test 120 Day Accts";#N/A,#N/A,FALSE,"Tickmarks"}</definedName>
    <definedName name="wrn.new_3">{#N/A,#N/A,FALSE,"Aging Summary";#N/A,#N/A,FALSE,"Ratio Analysis";#N/A,#N/A,FALSE,"Test 120 Day Accts";#N/A,#N/A,FALSE,"Tickmarks"}</definedName>
    <definedName name="wrn.new_3_1">{#N/A,#N/A,FALSE,"Aging Summary";#N/A,#N/A,FALSE,"Ratio Analysis";#N/A,#N/A,FALSE,"Test 120 Day Accts";#N/A,#N/A,FALSE,"Tickmarks"}</definedName>
    <definedName name="wrn.new_3_1_1">{#N/A,#N/A,FALSE,"Aging Summary";#N/A,#N/A,FALSE,"Ratio Analysis";#N/A,#N/A,FALSE,"Test 120 Day Accts";#N/A,#N/A,FALSE,"Tickmarks"}</definedName>
    <definedName name="wrn.new_3_1_2">{#N/A,#N/A,FALSE,"Aging Summary";#N/A,#N/A,FALSE,"Ratio Analysis";#N/A,#N/A,FALSE,"Test 120 Day Accts";#N/A,#N/A,FALSE,"Tickmarks"}</definedName>
    <definedName name="wrn.new_3_1_3">{#N/A,#N/A,FALSE,"Aging Summary";#N/A,#N/A,FALSE,"Ratio Analysis";#N/A,#N/A,FALSE,"Test 120 Day Accts";#N/A,#N/A,FALSE,"Tickmarks"}</definedName>
    <definedName name="wrn.new_3_2">{#N/A,#N/A,FALSE,"Aging Summary";#N/A,#N/A,FALSE,"Ratio Analysis";#N/A,#N/A,FALSE,"Test 120 Day Accts";#N/A,#N/A,FALSE,"Tickmarks"}</definedName>
    <definedName name="wrn.new_3_2_1">{#N/A,#N/A,FALSE,"Aging Summary";#N/A,#N/A,FALSE,"Ratio Analysis";#N/A,#N/A,FALSE,"Test 120 Day Accts";#N/A,#N/A,FALSE,"Tickmarks"}</definedName>
    <definedName name="wrn.new_3_2_2">{#N/A,#N/A,FALSE,"Aging Summary";#N/A,#N/A,FALSE,"Ratio Analysis";#N/A,#N/A,FALSE,"Test 120 Day Accts";#N/A,#N/A,FALSE,"Tickmarks"}</definedName>
    <definedName name="wrn.new_3_2_3">{#N/A,#N/A,FALSE,"Aging Summary";#N/A,#N/A,FALSE,"Ratio Analysis";#N/A,#N/A,FALSE,"Test 120 Day Accts";#N/A,#N/A,FALSE,"Tickmarks"}</definedName>
    <definedName name="wrn.new_3_3">{#N/A,#N/A,FALSE,"Aging Summary";#N/A,#N/A,FALSE,"Ratio Analysis";#N/A,#N/A,FALSE,"Test 120 Day Accts";#N/A,#N/A,FALSE,"Tickmarks"}</definedName>
    <definedName name="wrn.new_3_3_1">{#N/A,#N/A,FALSE,"Aging Summary";#N/A,#N/A,FALSE,"Ratio Analysis";#N/A,#N/A,FALSE,"Test 120 Day Accts";#N/A,#N/A,FALSE,"Tickmarks"}</definedName>
    <definedName name="wrn.new_3_3_2">{#N/A,#N/A,FALSE,"Aging Summary";#N/A,#N/A,FALSE,"Ratio Analysis";#N/A,#N/A,FALSE,"Test 120 Day Accts";#N/A,#N/A,FALSE,"Tickmarks"}</definedName>
    <definedName name="wrn.new_3_3_3">{#N/A,#N/A,FALSE,"Aging Summary";#N/A,#N/A,FALSE,"Ratio Analysis";#N/A,#N/A,FALSE,"Test 120 Day Accts";#N/A,#N/A,FALSE,"Tickmarks"}</definedName>
    <definedName name="wrn.new_3_4">{#N/A,#N/A,FALSE,"Aging Summary";#N/A,#N/A,FALSE,"Ratio Analysis";#N/A,#N/A,FALSE,"Test 120 Day Accts";#N/A,#N/A,FALSE,"Tickmarks"}</definedName>
    <definedName name="wrn.new_3_4_1">{#N/A,#N/A,FALSE,"Aging Summary";#N/A,#N/A,FALSE,"Ratio Analysis";#N/A,#N/A,FALSE,"Test 120 Day Accts";#N/A,#N/A,FALSE,"Tickmarks"}</definedName>
    <definedName name="wrn.new_3_4_2">{#N/A,#N/A,FALSE,"Aging Summary";#N/A,#N/A,FALSE,"Ratio Analysis";#N/A,#N/A,FALSE,"Test 120 Day Accts";#N/A,#N/A,FALSE,"Tickmarks"}</definedName>
    <definedName name="wrn.new_3_4_3">{#N/A,#N/A,FALSE,"Aging Summary";#N/A,#N/A,FALSE,"Ratio Analysis";#N/A,#N/A,FALSE,"Test 120 Day Accts";#N/A,#N/A,FALSE,"Tickmarks"}</definedName>
    <definedName name="wrn.new_3_5">{#N/A,#N/A,FALSE,"Aging Summary";#N/A,#N/A,FALSE,"Ratio Analysis";#N/A,#N/A,FALSE,"Test 120 Day Accts";#N/A,#N/A,FALSE,"Tickmarks"}</definedName>
    <definedName name="wrn.new_4">{#N/A,#N/A,FALSE,"Aging Summary";#N/A,#N/A,FALSE,"Ratio Analysis";#N/A,#N/A,FALSE,"Test 120 Day Accts";#N/A,#N/A,FALSE,"Tickmarks"}</definedName>
    <definedName name="wrn.new_4_1">{#N/A,#N/A,FALSE,"Aging Summary";#N/A,#N/A,FALSE,"Ratio Analysis";#N/A,#N/A,FALSE,"Test 120 Day Accts";#N/A,#N/A,FALSE,"Tickmarks"}</definedName>
    <definedName name="wrn.new_4_1_1">{#N/A,#N/A,FALSE,"Aging Summary";#N/A,#N/A,FALSE,"Ratio Analysis";#N/A,#N/A,FALSE,"Test 120 Day Accts";#N/A,#N/A,FALSE,"Tickmarks"}</definedName>
    <definedName name="wrn.new_4_1_2">{#N/A,#N/A,FALSE,"Aging Summary";#N/A,#N/A,FALSE,"Ratio Analysis";#N/A,#N/A,FALSE,"Test 120 Day Accts";#N/A,#N/A,FALSE,"Tickmarks"}</definedName>
    <definedName name="wrn.new_4_1_3">{#N/A,#N/A,FALSE,"Aging Summary";#N/A,#N/A,FALSE,"Ratio Analysis";#N/A,#N/A,FALSE,"Test 120 Day Accts";#N/A,#N/A,FALSE,"Tickmarks"}</definedName>
    <definedName name="wrn.new_4_2">{#N/A,#N/A,FALSE,"Aging Summary";#N/A,#N/A,FALSE,"Ratio Analysis";#N/A,#N/A,FALSE,"Test 120 Day Accts";#N/A,#N/A,FALSE,"Tickmarks"}</definedName>
    <definedName name="wrn.new_4_2_1">{#N/A,#N/A,FALSE,"Aging Summary";#N/A,#N/A,FALSE,"Ratio Analysis";#N/A,#N/A,FALSE,"Test 120 Day Accts";#N/A,#N/A,FALSE,"Tickmarks"}</definedName>
    <definedName name="wrn.new_4_2_2">{#N/A,#N/A,FALSE,"Aging Summary";#N/A,#N/A,FALSE,"Ratio Analysis";#N/A,#N/A,FALSE,"Test 120 Day Accts";#N/A,#N/A,FALSE,"Tickmarks"}</definedName>
    <definedName name="wrn.new_4_2_3">{#N/A,#N/A,FALSE,"Aging Summary";#N/A,#N/A,FALSE,"Ratio Analysis";#N/A,#N/A,FALSE,"Test 120 Day Accts";#N/A,#N/A,FALSE,"Tickmarks"}</definedName>
    <definedName name="wrn.new_4_3">{#N/A,#N/A,FALSE,"Aging Summary";#N/A,#N/A,FALSE,"Ratio Analysis";#N/A,#N/A,FALSE,"Test 120 Day Accts";#N/A,#N/A,FALSE,"Tickmarks"}</definedName>
    <definedName name="wrn.new_4_3_1">{#N/A,#N/A,FALSE,"Aging Summary";#N/A,#N/A,FALSE,"Ratio Analysis";#N/A,#N/A,FALSE,"Test 120 Day Accts";#N/A,#N/A,FALSE,"Tickmarks"}</definedName>
    <definedName name="wrn.new_4_3_2">{#N/A,#N/A,FALSE,"Aging Summary";#N/A,#N/A,FALSE,"Ratio Analysis";#N/A,#N/A,FALSE,"Test 120 Day Accts";#N/A,#N/A,FALSE,"Tickmarks"}</definedName>
    <definedName name="wrn.new_4_3_3">{#N/A,#N/A,FALSE,"Aging Summary";#N/A,#N/A,FALSE,"Ratio Analysis";#N/A,#N/A,FALSE,"Test 120 Day Accts";#N/A,#N/A,FALSE,"Tickmarks"}</definedName>
    <definedName name="wrn.new_4_4">{#N/A,#N/A,FALSE,"Aging Summary";#N/A,#N/A,FALSE,"Ratio Analysis";#N/A,#N/A,FALSE,"Test 120 Day Accts";#N/A,#N/A,FALSE,"Tickmarks"}</definedName>
    <definedName name="wrn.new_4_4_1">{#N/A,#N/A,FALSE,"Aging Summary";#N/A,#N/A,FALSE,"Ratio Analysis";#N/A,#N/A,FALSE,"Test 120 Day Accts";#N/A,#N/A,FALSE,"Tickmarks"}</definedName>
    <definedName name="wrn.new_4_4_2">{#N/A,#N/A,FALSE,"Aging Summary";#N/A,#N/A,FALSE,"Ratio Analysis";#N/A,#N/A,FALSE,"Test 120 Day Accts";#N/A,#N/A,FALSE,"Tickmarks"}</definedName>
    <definedName name="wrn.new_4_4_3">{#N/A,#N/A,FALSE,"Aging Summary";#N/A,#N/A,FALSE,"Ratio Analysis";#N/A,#N/A,FALSE,"Test 120 Day Accts";#N/A,#N/A,FALSE,"Tickmarks"}</definedName>
    <definedName name="wrn.new_4_5">{#N/A,#N/A,FALSE,"Aging Summary";#N/A,#N/A,FALSE,"Ratio Analysis";#N/A,#N/A,FALSE,"Test 120 Day Accts";#N/A,#N/A,FALSE,"Tickmarks"}</definedName>
    <definedName name="wrn.new_5">{#N/A,#N/A,FALSE,"Aging Summary";#N/A,#N/A,FALSE,"Ratio Analysis";#N/A,#N/A,FALSE,"Test 120 Day Accts";#N/A,#N/A,FALSE,"Tickmarks"}</definedName>
    <definedName name="wrn.new_5_1">{#N/A,#N/A,FALSE,"Aging Summary";#N/A,#N/A,FALSE,"Ratio Analysis";#N/A,#N/A,FALSE,"Test 120 Day Accts";#N/A,#N/A,FALSE,"Tickmarks"}</definedName>
    <definedName name="wrn.new_5_1_1">{#N/A,#N/A,FALSE,"Aging Summary";#N/A,#N/A,FALSE,"Ratio Analysis";#N/A,#N/A,FALSE,"Test 120 Day Accts";#N/A,#N/A,FALSE,"Tickmarks"}</definedName>
    <definedName name="wrn.new_5_1_2">{#N/A,#N/A,FALSE,"Aging Summary";#N/A,#N/A,FALSE,"Ratio Analysis";#N/A,#N/A,FALSE,"Test 120 Day Accts";#N/A,#N/A,FALSE,"Tickmarks"}</definedName>
    <definedName name="wrn.new_5_1_3">{#N/A,#N/A,FALSE,"Aging Summary";#N/A,#N/A,FALSE,"Ratio Analysis";#N/A,#N/A,FALSE,"Test 120 Day Accts";#N/A,#N/A,FALSE,"Tickmarks"}</definedName>
    <definedName name="wrn.new_5_2">{#N/A,#N/A,FALSE,"Aging Summary";#N/A,#N/A,FALSE,"Ratio Analysis";#N/A,#N/A,FALSE,"Test 120 Day Accts";#N/A,#N/A,FALSE,"Tickmarks"}</definedName>
    <definedName name="wrn.new_5_2_1">{#N/A,#N/A,FALSE,"Aging Summary";#N/A,#N/A,FALSE,"Ratio Analysis";#N/A,#N/A,FALSE,"Test 120 Day Accts";#N/A,#N/A,FALSE,"Tickmarks"}</definedName>
    <definedName name="wrn.new_5_2_2">{#N/A,#N/A,FALSE,"Aging Summary";#N/A,#N/A,FALSE,"Ratio Analysis";#N/A,#N/A,FALSE,"Test 120 Day Accts";#N/A,#N/A,FALSE,"Tickmarks"}</definedName>
    <definedName name="wrn.new_5_2_3">{#N/A,#N/A,FALSE,"Aging Summary";#N/A,#N/A,FALSE,"Ratio Analysis";#N/A,#N/A,FALSE,"Test 120 Day Accts";#N/A,#N/A,FALSE,"Tickmarks"}</definedName>
    <definedName name="wrn.new_5_3">{#N/A,#N/A,FALSE,"Aging Summary";#N/A,#N/A,FALSE,"Ratio Analysis";#N/A,#N/A,FALSE,"Test 120 Day Accts";#N/A,#N/A,FALSE,"Tickmarks"}</definedName>
    <definedName name="wrn.new_5_3_1">{#N/A,#N/A,FALSE,"Aging Summary";#N/A,#N/A,FALSE,"Ratio Analysis";#N/A,#N/A,FALSE,"Test 120 Day Accts";#N/A,#N/A,FALSE,"Tickmarks"}</definedName>
    <definedName name="wrn.new_5_3_2">{#N/A,#N/A,FALSE,"Aging Summary";#N/A,#N/A,FALSE,"Ratio Analysis";#N/A,#N/A,FALSE,"Test 120 Day Accts";#N/A,#N/A,FALSE,"Tickmarks"}</definedName>
    <definedName name="wrn.new_5_3_3">{#N/A,#N/A,FALSE,"Aging Summary";#N/A,#N/A,FALSE,"Ratio Analysis";#N/A,#N/A,FALSE,"Test 120 Day Accts";#N/A,#N/A,FALSE,"Tickmarks"}</definedName>
    <definedName name="wrn.new_5_4">{#N/A,#N/A,FALSE,"Aging Summary";#N/A,#N/A,FALSE,"Ratio Analysis";#N/A,#N/A,FALSE,"Test 120 Day Accts";#N/A,#N/A,FALSE,"Tickmarks"}</definedName>
    <definedName name="wrn.new_5_4_1">{#N/A,#N/A,FALSE,"Aging Summary";#N/A,#N/A,FALSE,"Ratio Analysis";#N/A,#N/A,FALSE,"Test 120 Day Accts";#N/A,#N/A,FALSE,"Tickmarks"}</definedName>
    <definedName name="wrn.new_5_4_2">{#N/A,#N/A,FALSE,"Aging Summary";#N/A,#N/A,FALSE,"Ratio Analysis";#N/A,#N/A,FALSE,"Test 120 Day Accts";#N/A,#N/A,FALSE,"Tickmarks"}</definedName>
    <definedName name="wrn.new_5_4_3">{#N/A,#N/A,FALSE,"Aging Summary";#N/A,#N/A,FALSE,"Ratio Analysis";#N/A,#N/A,FALSE,"Test 120 Day Accts";#N/A,#N/A,FALSE,"Tickmarks"}</definedName>
    <definedName name="wrn.new_5_5">{#N/A,#N/A,FALSE,"Aging Summary";#N/A,#N/A,FALSE,"Ratio Analysis";#N/A,#N/A,FALSE,"Test 120 Day Accts";#N/A,#N/A,FALSE,"Tickmarks"}</definedName>
    <definedName name="XAP" localSheetId="6"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localSheetId="6" hidden="1">#REF!</definedName>
    <definedName name="XREF_COLUMN_3" hidden="1">#REF!</definedName>
    <definedName name="XREF_COLUMN_5" localSheetId="6" hidden="1">'[4]2004'!#REF!</definedName>
    <definedName name="XREF_COLUMN_5" hidden="1">'[4]2004'!#REF!</definedName>
    <definedName name="XRefActiveRow" localSheetId="6" hidden="1">#REF!</definedName>
    <definedName name="XRefActiveRow" hidden="1">#REF!</definedName>
    <definedName name="XRefColumnsCount" hidden="1">2</definedName>
    <definedName name="XRefCopy1" localSheetId="6" hidden="1">#REF!</definedName>
    <definedName name="XRefCopy1" hidden="1">#REF!</definedName>
    <definedName name="XRefCopy1Row" localSheetId="6" hidden="1">#REF!</definedName>
    <definedName name="XRefCopy1Row" hidden="1">#REF!</definedName>
    <definedName name="XRefCopy2Row" localSheetId="6" hidden="1">#REF!</definedName>
    <definedName name="XRefCopy2Row" hidden="1">#REF!</definedName>
    <definedName name="XRefCopyRangeCount" hidden="1">2</definedName>
    <definedName name="XRefPaste1" localSheetId="6" hidden="1">#REF!</definedName>
    <definedName name="XRefPaste1" hidden="1">#REF!</definedName>
    <definedName name="XRefPaste1Row" localSheetId="6" hidden="1">#REF!</definedName>
    <definedName name="XRefPaste1Row" hidden="1">#REF!</definedName>
    <definedName name="XRefPaste2" localSheetId="6"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'[2]M-5A'!$B$10</definedName>
    <definedName name="本循环科目" localSheetId="6" hidden="1">[5]索引!$D$15:$D$76</definedName>
    <definedName name="本循环科目" hidden="1">[6]索引!$D$15:$D$76</definedName>
    <definedName name="编制">[7]表头!$B$3</definedName>
    <definedName name="存货93期初" localSheetId="6">[8]企业表一!$C$7</definedName>
    <definedName name="存货93期初">[9]企业表一!$C$7</definedName>
    <definedName name="存货93期末" localSheetId="6">[8]企业表一!$D$7</definedName>
    <definedName name="存货93期末">[9]企业表一!$D$7</definedName>
    <definedName name="存货94期初" localSheetId="6">[8]企业表一!$E$7</definedName>
    <definedName name="存货94期初">[9]企业表一!$E$7</definedName>
    <definedName name="存货94期末" localSheetId="6">[8]企业表一!$F$7</definedName>
    <definedName name="存货94期末">[9]企业表一!$F$7</definedName>
    <definedName name="存货95期初" localSheetId="6">[8]企业表一!$G$7</definedName>
    <definedName name="存货95期初">[9]企业表一!$G$7</definedName>
    <definedName name="存货95期末" localSheetId="6">[8]企业表一!$H$7</definedName>
    <definedName name="存货95期末">[9]企业表一!$H$7</definedName>
    <definedName name="底稿目录" localSheetId="6" hidden="1">#REF!</definedName>
    <definedName name="底稿目录" hidden="1">#REF!</definedName>
    <definedName name="负债合计93期末" localSheetId="6">[8]企业表一!$D$17</definedName>
    <definedName name="负债合计93期末">[9]企业表一!$D$17</definedName>
    <definedName name="负债合计94期末" localSheetId="6">[8]企业表一!$F$17</definedName>
    <definedName name="负债合计94期末">[9]企业表一!$F$17</definedName>
    <definedName name="负债合计95期末" localSheetId="6">[8]企业表一!$H$17</definedName>
    <definedName name="负债合计95期末">[9]企业表一!$H$17</definedName>
    <definedName name="复核">[7]表头!$B$4</definedName>
    <definedName name="截止">[7]表头!$B$2</definedName>
    <definedName name="净_利_润93" localSheetId="6">'[8]M-5C'!$B$24</definedName>
    <definedName name="净_利_润93">'[9]M-5C'!$B$24</definedName>
    <definedName name="净_利_润94" localSheetId="6">'[8]M-5C'!$D$24</definedName>
    <definedName name="净_利_润94">'[9]M-5C'!$D$24</definedName>
    <definedName name="净_利_润95" localSheetId="6">'[8]M-5C'!$F$24</definedName>
    <definedName name="净_利_润95">'[9]M-5C'!$F$24</definedName>
    <definedName name="净资产合计93期初" localSheetId="6">[8]企业表一!$C$20</definedName>
    <definedName name="净资产合计93期初">[9]企业表一!$C$20</definedName>
    <definedName name="净资产合计93期末" localSheetId="6">[8]企业表一!$D$20</definedName>
    <definedName name="净资产合计93期末">[9]企业表一!$D$20</definedName>
    <definedName name="净资产合计94期初" localSheetId="6">[8]企业表一!$E$20</definedName>
    <definedName name="净资产合计94期初">[9]企业表一!$E$20</definedName>
    <definedName name="净资产合计94期末" localSheetId="6">[8]企业表一!$F$20</definedName>
    <definedName name="净资产合计94期末">[9]企业表一!$F$20</definedName>
    <definedName name="净资产合计95期初" localSheetId="6">[8]企业表一!$G$20</definedName>
    <definedName name="净资产合计95期初">[9]企业表一!$G$20</definedName>
    <definedName name="净资产合计95期末" localSheetId="6">[8]企业表一!$H$20</definedName>
    <definedName name="净资产合计95期末">[9]企业表一!$H$20</definedName>
    <definedName name="客户">[7]表头!$B$1</definedName>
    <definedName name="利_润_总_额93" localSheetId="6">'[8]M-5A'!$B$10</definedName>
    <definedName name="利_润_总_额93">'[9]M-5A'!$B$10</definedName>
    <definedName name="利_润_总_额94" localSheetId="6">'[8]M-5A'!$C$10</definedName>
    <definedName name="利_润_总_额94">'[9]M-5A'!$C$10</definedName>
    <definedName name="利_润_总_额95" localSheetId="6">'[8]M-5A'!$D$10</definedName>
    <definedName name="利_润_总_额95">'[9]M-5A'!$D$10</definedName>
    <definedName name="流_动_资_产93" localSheetId="6">'[8]M-5A'!$B$15</definedName>
    <definedName name="流_动_资_产93">'[9]M-5A'!$B$15</definedName>
    <definedName name="流_动_资_产94" localSheetId="6">'[8]M-5A'!$C$15</definedName>
    <definedName name="流_动_资_产94">'[9]M-5A'!$C$15</definedName>
    <definedName name="流_动_资_产95" localSheetId="6">'[8]M-5A'!$D$15</definedName>
    <definedName name="流_动_资_产95">'[9]M-5A'!$D$15</definedName>
    <definedName name="流动负债93期末" localSheetId="6">[8]企业表一!$D$15</definedName>
    <definedName name="流动负债93期末">[9]企业表一!$D$15</definedName>
    <definedName name="流动负债94期末" localSheetId="6">[8]企业表一!$F$15</definedName>
    <definedName name="流动负债94期末">[9]企业表一!$F$15</definedName>
    <definedName name="流动负债95期末" localSheetId="6">[8]企业表一!$H$15</definedName>
    <definedName name="流动负债95期末">[9]企业表一!$H$15</definedName>
    <definedName name="日期1">[7]表头!$B$5</definedName>
    <definedName name="日期2">[7]表头!$B$6</definedName>
    <definedName name="事实上" localSheetId="6">[10]B!#REF!</definedName>
    <definedName name="事实上">[10]B!#REF!</definedName>
    <definedName name="速_动_资_产93" localSheetId="6">'[8]M-5A'!$B$14</definedName>
    <definedName name="速_动_资_产93">'[9]M-5A'!$B$14</definedName>
    <definedName name="速_动_资_产94" localSheetId="6">'[8]M-5A'!$C$14</definedName>
    <definedName name="速_动_资_产94">'[9]M-5A'!$C$14</definedName>
    <definedName name="速_动_资_产95" localSheetId="6">'[8]M-5A'!$D$14</definedName>
    <definedName name="速_动_资_产95">'[9]M-5A'!$D$14</definedName>
    <definedName name="喂喂喂" localSheetId="6" hidden="1">#REF!</definedName>
    <definedName name="喂喂喂" hidden="1">#REF!</definedName>
    <definedName name="新目录" localSheetId="6" hidden="1">#REF!</definedName>
    <definedName name="新目录" hidden="1">#REF!</definedName>
    <definedName name="应收帐款93期初" localSheetId="6">[8]企业表一!$C$6</definedName>
    <definedName name="应收帐款93期初">[9]企业表一!$C$6</definedName>
    <definedName name="应收帐款93期末" localSheetId="6">[8]企业表一!$D$6</definedName>
    <definedName name="应收帐款93期末">[9]企业表一!$D$6</definedName>
    <definedName name="应收帐款94期初" localSheetId="6">[8]企业表一!$E$6</definedName>
    <definedName name="应收帐款94期初">[9]企业表一!$E$6</definedName>
    <definedName name="应收帐款94期末" localSheetId="6">[8]企业表一!$F$6</definedName>
    <definedName name="应收帐款94期末">[9]企业表一!$F$6</definedName>
    <definedName name="应收帐款95期初" localSheetId="6">[8]企业表一!$G$6</definedName>
    <definedName name="应收帐款95期初">[9]企业表一!$G$6</definedName>
    <definedName name="应收帐款95期末" localSheetId="6">[8]企业表一!$H$6</definedName>
    <definedName name="应收帐款95期末">[9]企业表一!$H$6</definedName>
    <definedName name="资产合计93期初" localSheetId="6">[8]企业表一!$C$14</definedName>
    <definedName name="资产合计93期初">[9]企业表一!$C$14</definedName>
    <definedName name="资产合计93期末" localSheetId="6">[8]企业表一!$D$14</definedName>
    <definedName name="资产合计93期末">[9]企业表一!$D$14</definedName>
    <definedName name="资产合计94期初" localSheetId="6">[8]企业表一!$E$14</definedName>
    <definedName name="资产合计94期初">[9]企业表一!$E$14</definedName>
    <definedName name="资产合计94期末" localSheetId="6">[8]企业表一!$F$14</definedName>
    <definedName name="资产合计94期末">[9]企业表一!$F$14</definedName>
    <definedName name="资产合计95期初" localSheetId="6">[8]企业表一!$G$14</definedName>
    <definedName name="资产合计95期初">[9]企业表一!$G$14</definedName>
    <definedName name="资产合计95期末" localSheetId="6">[8]企业表一!$H$14</definedName>
    <definedName name="资产合计95期末">[9]企业表一!$H$14</definedName>
  </definedNames>
  <calcPr calcId="162913"/>
</workbook>
</file>

<file path=xl/calcChain.xml><?xml version="1.0" encoding="utf-8"?>
<calcChain xmlns="http://schemas.openxmlformats.org/spreadsheetml/2006/main">
  <c r="H27" i="7" l="1"/>
  <c r="G27" i="7"/>
  <c r="H26" i="7"/>
  <c r="H28" i="7" s="1"/>
  <c r="G26" i="7"/>
  <c r="G28" i="7" s="1"/>
  <c r="L27" i="9" l="1" a="1"/>
  <c r="K27" i="9" a="1"/>
  <c r="J27" i="9" a="1"/>
  <c r="I27" i="9" a="1"/>
  <c r="C27" i="9" a="1"/>
  <c r="A27" i="9"/>
  <c r="C27" i="9" s="1"/>
  <c r="L26" i="9"/>
  <c r="L26" i="9" a="1"/>
  <c r="K26" i="9" a="1"/>
  <c r="J26" i="9" a="1"/>
  <c r="I26" i="9" a="1"/>
  <c r="C26" i="9" a="1"/>
  <c r="C26" i="9" s="1"/>
  <c r="A26" i="9"/>
  <c r="L25" i="9" a="1"/>
  <c r="K25" i="9" a="1"/>
  <c r="K25" i="9" s="1"/>
  <c r="J25" i="9" a="1"/>
  <c r="I25" i="9" a="1"/>
  <c r="C25" i="9" a="1"/>
  <c r="A25" i="9"/>
  <c r="C25" i="9" s="1"/>
  <c r="L24" i="9" a="1"/>
  <c r="L24" i="9" s="1"/>
  <c r="K24" i="9" a="1"/>
  <c r="K24" i="9" s="1"/>
  <c r="J24" i="9" a="1"/>
  <c r="J24" i="9" s="1"/>
  <c r="I24" i="9" a="1"/>
  <c r="I24" i="9" s="1"/>
  <c r="C24" i="9" a="1"/>
  <c r="A24" i="9"/>
  <c r="L22" i="9"/>
  <c r="K22" i="9"/>
  <c r="J22" i="9"/>
  <c r="I22" i="9"/>
  <c r="C22" i="9"/>
  <c r="N21" i="9"/>
  <c r="M21" i="9"/>
  <c r="J21" i="9"/>
  <c r="I21" i="9"/>
  <c r="B21" i="9"/>
  <c r="N20" i="9"/>
  <c r="M20" i="9"/>
  <c r="J20" i="9"/>
  <c r="I20" i="9"/>
  <c r="B20" i="9"/>
  <c r="N19" i="9"/>
  <c r="M19" i="9"/>
  <c r="J19" i="9"/>
  <c r="I19" i="9"/>
  <c r="B19" i="9"/>
  <c r="N18" i="9"/>
  <c r="M18" i="9"/>
  <c r="J18" i="9"/>
  <c r="I18" i="9"/>
  <c r="B18" i="9"/>
  <c r="N17" i="9"/>
  <c r="M17" i="9"/>
  <c r="J17" i="9"/>
  <c r="I17" i="9"/>
  <c r="B17" i="9"/>
  <c r="N16" i="9"/>
  <c r="M16" i="9"/>
  <c r="J16" i="9"/>
  <c r="I16" i="9"/>
  <c r="B16" i="9"/>
  <c r="N15" i="9"/>
  <c r="M15" i="9"/>
  <c r="J15" i="9"/>
  <c r="I15" i="9"/>
  <c r="B15" i="9"/>
  <c r="N14" i="9"/>
  <c r="M14" i="9"/>
  <c r="J14" i="9"/>
  <c r="I14" i="9"/>
  <c r="B14" i="9"/>
  <c r="N13" i="9"/>
  <c r="M13" i="9"/>
  <c r="J13" i="9"/>
  <c r="I13" i="9"/>
  <c r="B13" i="9"/>
  <c r="N12" i="9"/>
  <c r="M12" i="9"/>
  <c r="J12" i="9"/>
  <c r="I12" i="9"/>
  <c r="B12" i="9"/>
  <c r="N11" i="9"/>
  <c r="M11" i="9"/>
  <c r="J11" i="9"/>
  <c r="I11" i="9"/>
  <c r="B11" i="9"/>
  <c r="N10" i="9"/>
  <c r="M10" i="9"/>
  <c r="J10" i="9"/>
  <c r="I10" i="9"/>
  <c r="B10" i="9"/>
  <c r="J4" i="9"/>
  <c r="F4" i="9"/>
  <c r="A4" i="9"/>
  <c r="J3" i="9"/>
  <c r="F3" i="9"/>
  <c r="A3" i="9"/>
  <c r="Q27" i="8" a="1"/>
  <c r="P27" i="8" a="1"/>
  <c r="O27" i="8" a="1"/>
  <c r="N27" i="8" a="1"/>
  <c r="M27" i="8" a="1"/>
  <c r="D27" i="8" a="1"/>
  <c r="C27" i="8" a="1"/>
  <c r="A27" i="8"/>
  <c r="N27" i="8" s="1"/>
  <c r="Q26" i="8" a="1"/>
  <c r="P26" i="8" a="1"/>
  <c r="O26" i="8" a="1"/>
  <c r="N26" i="8" a="1"/>
  <c r="M26" i="8" a="1"/>
  <c r="D26" i="8" a="1"/>
  <c r="C26" i="8" a="1"/>
  <c r="A26" i="8"/>
  <c r="Q26" i="8" s="1"/>
  <c r="Q25" i="8"/>
  <c r="Q25" i="8" a="1"/>
  <c r="P25" i="8" a="1"/>
  <c r="O25" i="8" a="1"/>
  <c r="N25" i="8" a="1"/>
  <c r="M25" i="8"/>
  <c r="M25" i="8" a="1"/>
  <c r="D25" i="8" a="1"/>
  <c r="C25" i="8" a="1"/>
  <c r="A25" i="8"/>
  <c r="P25" i="8" s="1"/>
  <c r="Q24" i="8" a="1"/>
  <c r="P24" i="8" a="1"/>
  <c r="O24" i="8" a="1"/>
  <c r="N24" i="8" a="1"/>
  <c r="M24" i="8" a="1"/>
  <c r="D24" i="8" a="1"/>
  <c r="C24" i="8" a="1"/>
  <c r="A24" i="8"/>
  <c r="P24" i="8" s="1"/>
  <c r="Q22" i="8"/>
  <c r="P22" i="8"/>
  <c r="O22" i="8"/>
  <c r="N22" i="8"/>
  <c r="M22" i="8"/>
  <c r="G22" i="8"/>
  <c r="D22" i="8"/>
  <c r="C22" i="8"/>
  <c r="Q21" i="8"/>
  <c r="P21" i="8"/>
  <c r="O21" i="8"/>
  <c r="N21" i="8"/>
  <c r="M21" i="8"/>
  <c r="L21" i="8"/>
  <c r="K21" i="8"/>
  <c r="J21" i="8"/>
  <c r="I21" i="8"/>
  <c r="H21" i="8"/>
  <c r="B21" i="8"/>
  <c r="Q20" i="8"/>
  <c r="P20" i="8"/>
  <c r="O20" i="8"/>
  <c r="N20" i="8"/>
  <c r="M20" i="8"/>
  <c r="L20" i="8"/>
  <c r="K20" i="8"/>
  <c r="J20" i="8"/>
  <c r="I20" i="8"/>
  <c r="H20" i="8"/>
  <c r="B20" i="8"/>
  <c r="Q19" i="8"/>
  <c r="P19" i="8"/>
  <c r="O19" i="8"/>
  <c r="N19" i="8"/>
  <c r="M19" i="8"/>
  <c r="L19" i="8"/>
  <c r="K19" i="8"/>
  <c r="J19" i="8"/>
  <c r="I19" i="8"/>
  <c r="H19" i="8"/>
  <c r="B19" i="8"/>
  <c r="Q18" i="8"/>
  <c r="P18" i="8"/>
  <c r="O18" i="8"/>
  <c r="N18" i="8"/>
  <c r="M18" i="8"/>
  <c r="L18" i="8"/>
  <c r="K18" i="8"/>
  <c r="J18" i="8"/>
  <c r="I18" i="8"/>
  <c r="H18" i="8"/>
  <c r="B18" i="8"/>
  <c r="Q17" i="8"/>
  <c r="P17" i="8"/>
  <c r="O17" i="8"/>
  <c r="N17" i="8"/>
  <c r="M17" i="8"/>
  <c r="L17" i="8"/>
  <c r="K17" i="8"/>
  <c r="J17" i="8"/>
  <c r="I17" i="8"/>
  <c r="H17" i="8"/>
  <c r="B17" i="8"/>
  <c r="Q16" i="8"/>
  <c r="P16" i="8"/>
  <c r="O16" i="8"/>
  <c r="N16" i="8"/>
  <c r="M16" i="8"/>
  <c r="L16" i="8"/>
  <c r="K16" i="8"/>
  <c r="J16" i="8"/>
  <c r="I16" i="8"/>
  <c r="H16" i="8"/>
  <c r="B16" i="8"/>
  <c r="Q15" i="8"/>
  <c r="P15" i="8"/>
  <c r="O15" i="8"/>
  <c r="N15" i="8"/>
  <c r="M15" i="8"/>
  <c r="L15" i="8"/>
  <c r="K15" i="8"/>
  <c r="J15" i="8"/>
  <c r="I15" i="8"/>
  <c r="H15" i="8"/>
  <c r="B15" i="8"/>
  <c r="Q14" i="8"/>
  <c r="P14" i="8"/>
  <c r="O14" i="8"/>
  <c r="N14" i="8"/>
  <c r="M14" i="8"/>
  <c r="L14" i="8"/>
  <c r="K14" i="8"/>
  <c r="J14" i="8"/>
  <c r="I14" i="8"/>
  <c r="H14" i="8"/>
  <c r="B14" i="8"/>
  <c r="Q13" i="8"/>
  <c r="P13" i="8"/>
  <c r="O13" i="8"/>
  <c r="N13" i="8"/>
  <c r="M13" i="8"/>
  <c r="L13" i="8"/>
  <c r="K13" i="8"/>
  <c r="J13" i="8"/>
  <c r="I13" i="8"/>
  <c r="H13" i="8"/>
  <c r="B13" i="8"/>
  <c r="Q12" i="8"/>
  <c r="P12" i="8"/>
  <c r="O12" i="8"/>
  <c r="N12" i="8"/>
  <c r="M12" i="8"/>
  <c r="L12" i="8"/>
  <c r="K12" i="8"/>
  <c r="J12" i="8"/>
  <c r="I12" i="8"/>
  <c r="H12" i="8"/>
  <c r="B12" i="8"/>
  <c r="Q11" i="8"/>
  <c r="P11" i="8"/>
  <c r="O11" i="8"/>
  <c r="N11" i="8"/>
  <c r="M11" i="8"/>
  <c r="L11" i="8"/>
  <c r="K11" i="8"/>
  <c r="J11" i="8"/>
  <c r="I11" i="8"/>
  <c r="H11" i="8"/>
  <c r="B11" i="8"/>
  <c r="Q10" i="8"/>
  <c r="P10" i="8"/>
  <c r="O10" i="8"/>
  <c r="N10" i="8"/>
  <c r="M10" i="8"/>
  <c r="L10" i="8"/>
  <c r="K10" i="8"/>
  <c r="J10" i="8"/>
  <c r="I10" i="8"/>
  <c r="H10" i="8"/>
  <c r="B10" i="8"/>
  <c r="L4" i="8"/>
  <c r="E4" i="8"/>
  <c r="A4" i="8"/>
  <c r="L3" i="8"/>
  <c r="E3" i="8"/>
  <c r="A3" i="8"/>
  <c r="I4" i="7"/>
  <c r="F4" i="7"/>
  <c r="A4" i="7"/>
  <c r="I3" i="7"/>
  <c r="F3" i="7"/>
  <c r="A3" i="7"/>
  <c r="G4" i="13"/>
  <c r="D4" i="13"/>
  <c r="A4" i="13"/>
  <c r="G3" i="13"/>
  <c r="D3" i="13"/>
  <c r="A3" i="13"/>
  <c r="F4" i="15"/>
  <c r="D4" i="15"/>
  <c r="A4" i="15"/>
  <c r="F3" i="15"/>
  <c r="D3" i="15"/>
  <c r="A3" i="15"/>
  <c r="S28" i="6" a="1"/>
  <c r="R28" i="6" a="1"/>
  <c r="Q28" i="6" a="1"/>
  <c r="P28" i="6" a="1"/>
  <c r="O28" i="6" a="1"/>
  <c r="N28" i="6" a="1"/>
  <c r="M28" i="6" a="1"/>
  <c r="L28" i="6" a="1"/>
  <c r="K28" i="6" a="1"/>
  <c r="J28" i="6" a="1"/>
  <c r="I28" i="6" a="1"/>
  <c r="H28" i="6" a="1"/>
  <c r="G28" i="6" a="1"/>
  <c r="F28" i="6" a="1"/>
  <c r="E28" i="6" a="1"/>
  <c r="A28" i="6"/>
  <c r="P28" i="6" s="1"/>
  <c r="S27" i="6" a="1"/>
  <c r="R27" i="6" a="1"/>
  <c r="Q27" i="6" a="1"/>
  <c r="P27" i="6" a="1"/>
  <c r="O27" i="6" a="1"/>
  <c r="N27" i="6" a="1"/>
  <c r="M27" i="6" a="1"/>
  <c r="L27" i="6" a="1"/>
  <c r="K27" i="6" a="1"/>
  <c r="J27" i="6" a="1"/>
  <c r="I27" i="6" a="1"/>
  <c r="H27" i="6" a="1"/>
  <c r="G27" i="6" a="1"/>
  <c r="F27" i="6" a="1"/>
  <c r="E27" i="6" a="1"/>
  <c r="A27" i="6"/>
  <c r="S27" i="6" s="1"/>
  <c r="G9" i="5" s="1"/>
  <c r="S26" i="6" a="1"/>
  <c r="R26" i="6" a="1"/>
  <c r="Q26" i="6" a="1"/>
  <c r="P26" i="6" a="1"/>
  <c r="O26" i="6"/>
  <c r="D8" i="5" s="1"/>
  <c r="O26" i="6" a="1"/>
  <c r="N26" i="6" a="1"/>
  <c r="M26" i="6" a="1"/>
  <c r="L26" i="6" a="1"/>
  <c r="K26" i="6" a="1"/>
  <c r="J26" i="6" a="1"/>
  <c r="I26" i="6" a="1"/>
  <c r="H26" i="6" a="1"/>
  <c r="G26" i="6"/>
  <c r="G26" i="6" a="1"/>
  <c r="F26" i="6" a="1"/>
  <c r="E26" i="6" a="1"/>
  <c r="A26" i="6"/>
  <c r="R26" i="6" s="1"/>
  <c r="S25" i="6" a="1"/>
  <c r="R25" i="6" a="1"/>
  <c r="Q25" i="6" a="1"/>
  <c r="P25" i="6" a="1"/>
  <c r="O25" i="6" a="1"/>
  <c r="N25" i="6" a="1"/>
  <c r="M25" i="6" a="1"/>
  <c r="L25" i="6" a="1"/>
  <c r="K25" i="6" a="1"/>
  <c r="J25" i="6" a="1"/>
  <c r="I25" i="6" a="1"/>
  <c r="H25" i="6" a="1"/>
  <c r="G25" i="6" a="1"/>
  <c r="F25" i="6" a="1"/>
  <c r="E25" i="6" a="1"/>
  <c r="A25" i="6"/>
  <c r="R25" i="6" s="1"/>
  <c r="S23" i="6"/>
  <c r="R23" i="6"/>
  <c r="Q23" i="6"/>
  <c r="P23" i="6"/>
  <c r="O23" i="6"/>
  <c r="N23" i="6"/>
  <c r="M23" i="6"/>
  <c r="L23" i="6"/>
  <c r="K23" i="6"/>
  <c r="J23" i="6"/>
  <c r="I23" i="6"/>
  <c r="H23" i="6"/>
  <c r="G23" i="6"/>
  <c r="F23" i="6"/>
  <c r="E23" i="6"/>
  <c r="S22" i="6"/>
  <c r="R22" i="6"/>
  <c r="Q22" i="6"/>
  <c r="P22" i="6"/>
  <c r="O22" i="6"/>
  <c r="J22" i="6"/>
  <c r="S21" i="6"/>
  <c r="R21" i="6"/>
  <c r="Q21" i="6"/>
  <c r="P21" i="6"/>
  <c r="O21" i="6"/>
  <c r="J21" i="6"/>
  <c r="S20" i="6"/>
  <c r="R20" i="6"/>
  <c r="Q20" i="6"/>
  <c r="P20" i="6"/>
  <c r="O20" i="6"/>
  <c r="J20" i="6"/>
  <c r="V19" i="6"/>
  <c r="S19" i="6"/>
  <c r="R19" i="6"/>
  <c r="Q19" i="6"/>
  <c r="P19" i="6"/>
  <c r="O19" i="6"/>
  <c r="J19" i="6"/>
  <c r="S18" i="6"/>
  <c r="R18" i="6"/>
  <c r="Q18" i="6"/>
  <c r="P18" i="6"/>
  <c r="O18" i="6"/>
  <c r="J18" i="6"/>
  <c r="S17" i="6"/>
  <c r="R17" i="6"/>
  <c r="Q17" i="6"/>
  <c r="P17" i="6"/>
  <c r="O17" i="6"/>
  <c r="J17" i="6"/>
  <c r="S16" i="6"/>
  <c r="R16" i="6"/>
  <c r="Q16" i="6"/>
  <c r="P16" i="6"/>
  <c r="O16" i="6"/>
  <c r="J16" i="6"/>
  <c r="S15" i="6"/>
  <c r="R15" i="6"/>
  <c r="Q15" i="6"/>
  <c r="P15" i="6"/>
  <c r="O15" i="6"/>
  <c r="J15" i="6"/>
  <c r="S14" i="6"/>
  <c r="R14" i="6"/>
  <c r="Q14" i="6"/>
  <c r="P14" i="6"/>
  <c r="O14" i="6"/>
  <c r="J14" i="6"/>
  <c r="S13" i="6"/>
  <c r="R13" i="6"/>
  <c r="Q13" i="6"/>
  <c r="P13" i="6"/>
  <c r="O13" i="6"/>
  <c r="J13" i="6"/>
  <c r="S12" i="6"/>
  <c r="R12" i="6"/>
  <c r="Q12" i="6"/>
  <c r="P12" i="6"/>
  <c r="O12" i="6"/>
  <c r="J12" i="6"/>
  <c r="S11" i="6"/>
  <c r="R11" i="6"/>
  <c r="Q11" i="6"/>
  <c r="P11" i="6"/>
  <c r="O11" i="6"/>
  <c r="J11" i="6"/>
  <c r="O4" i="6"/>
  <c r="K4" i="6"/>
  <c r="A4" i="6"/>
  <c r="D10" i="11" s="1"/>
  <c r="O3" i="6"/>
  <c r="K3" i="6"/>
  <c r="A3" i="6"/>
  <c r="A11" i="11"/>
  <c r="E10" i="11"/>
  <c r="A10" i="11"/>
  <c r="D9" i="11"/>
  <c r="C9" i="11"/>
  <c r="A9" i="11"/>
  <c r="B8" i="11"/>
  <c r="A8" i="11"/>
  <c r="A7" i="11"/>
  <c r="E6" i="11"/>
  <c r="A6" i="11"/>
  <c r="D4" i="11"/>
  <c r="C4" i="11"/>
  <c r="A4" i="11"/>
  <c r="D3" i="11"/>
  <c r="C3" i="11"/>
  <c r="A3" i="11"/>
  <c r="A12" i="10"/>
  <c r="E11" i="10"/>
  <c r="D11" i="10"/>
  <c r="A11" i="10"/>
  <c r="C10" i="10"/>
  <c r="B10" i="10"/>
  <c r="A10" i="10"/>
  <c r="A9" i="10"/>
  <c r="A8" i="10"/>
  <c r="E7" i="10"/>
  <c r="D7" i="10"/>
  <c r="A7" i="10"/>
  <c r="D4" i="10"/>
  <c r="C4" i="10"/>
  <c r="A4" i="10"/>
  <c r="D3" i="10"/>
  <c r="C3" i="10"/>
  <c r="A3" i="10"/>
  <c r="A9" i="5"/>
  <c r="A8" i="5"/>
  <c r="A7" i="5"/>
  <c r="F4" i="5"/>
  <c r="D4" i="5"/>
  <c r="A4" i="5"/>
  <c r="F3" i="5"/>
  <c r="D3" i="5"/>
  <c r="A3" i="5"/>
  <c r="E4" i="16"/>
  <c r="C4" i="16"/>
  <c r="E3" i="16"/>
  <c r="C3" i="16"/>
  <c r="A3" i="16"/>
  <c r="M24" i="8" l="1"/>
  <c r="K25" i="6"/>
  <c r="C7" i="5" s="1"/>
  <c r="G25" i="6"/>
  <c r="S25" i="6"/>
  <c r="G7" i="5" s="1"/>
  <c r="G10" i="5" s="1"/>
  <c r="H25" i="6"/>
  <c r="K26" i="6"/>
  <c r="C8" i="5" s="1"/>
  <c r="Q24" i="8"/>
  <c r="O25" i="6"/>
  <c r="D7" i="5" s="1"/>
  <c r="H7" i="5" s="1"/>
  <c r="S26" i="6"/>
  <c r="G8" i="5" s="1"/>
  <c r="H8" i="5"/>
  <c r="I8" i="5" s="1"/>
  <c r="L27" i="6"/>
  <c r="L25" i="9"/>
  <c r="D10" i="10"/>
  <c r="E9" i="11"/>
  <c r="H26" i="6"/>
  <c r="L26" i="6"/>
  <c r="P26" i="6"/>
  <c r="E28" i="6"/>
  <c r="I28" i="6"/>
  <c r="M28" i="6"/>
  <c r="Q28" i="6"/>
  <c r="N25" i="8"/>
  <c r="C27" i="8"/>
  <c r="O27" i="8"/>
  <c r="C9" i="10"/>
  <c r="B7" i="11"/>
  <c r="B11" i="11"/>
  <c r="L25" i="6"/>
  <c r="P25" i="6"/>
  <c r="I27" i="6"/>
  <c r="M27" i="6"/>
  <c r="Q27" i="6"/>
  <c r="N24" i="8"/>
  <c r="C26" i="8"/>
  <c r="O26" i="8"/>
  <c r="B8" i="10"/>
  <c r="C7" i="11"/>
  <c r="E8" i="11"/>
  <c r="C11" i="11"/>
  <c r="E26" i="6"/>
  <c r="I26" i="6"/>
  <c r="M26" i="6"/>
  <c r="Q26" i="6"/>
  <c r="F28" i="6"/>
  <c r="J28" i="6"/>
  <c r="N28" i="6"/>
  <c r="R28" i="6"/>
  <c r="C25" i="8"/>
  <c r="O25" i="8"/>
  <c r="D27" i="8"/>
  <c r="P27" i="8"/>
  <c r="C8" i="10"/>
  <c r="E9" i="10"/>
  <c r="C12" i="10"/>
  <c r="B6" i="11"/>
  <c r="D7" i="11"/>
  <c r="B10" i="11"/>
  <c r="D11" i="11"/>
  <c r="E25" i="6"/>
  <c r="I25" i="6"/>
  <c r="M25" i="6"/>
  <c r="Q25" i="6"/>
  <c r="F27" i="6"/>
  <c r="B9" i="5" s="1"/>
  <c r="J27" i="6"/>
  <c r="E9" i="5" s="1"/>
  <c r="N27" i="6"/>
  <c r="R27" i="6"/>
  <c r="C24" i="8"/>
  <c r="O24" i="8"/>
  <c r="D26" i="8"/>
  <c r="P26" i="8"/>
  <c r="I26" i="9"/>
  <c r="I27" i="9"/>
  <c r="H27" i="6"/>
  <c r="B12" i="10"/>
  <c r="B7" i="10"/>
  <c r="B11" i="10"/>
  <c r="D12" i="10"/>
  <c r="C6" i="11"/>
  <c r="E7" i="11"/>
  <c r="C10" i="11"/>
  <c r="E11" i="11"/>
  <c r="F26" i="6"/>
  <c r="B8" i="5" s="1"/>
  <c r="J26" i="6"/>
  <c r="E8" i="5" s="1"/>
  <c r="N26" i="6"/>
  <c r="G28" i="6"/>
  <c r="K28" i="6"/>
  <c r="O28" i="6"/>
  <c r="S28" i="6"/>
  <c r="D25" i="8"/>
  <c r="M27" i="8"/>
  <c r="Q27" i="8"/>
  <c r="J26" i="9"/>
  <c r="J27" i="9"/>
  <c r="P27" i="6"/>
  <c r="N26" i="8"/>
  <c r="B9" i="10"/>
  <c r="C8" i="11"/>
  <c r="E10" i="10"/>
  <c r="D8" i="11"/>
  <c r="E27" i="6"/>
  <c r="D9" i="10"/>
  <c r="D8" i="10"/>
  <c r="C7" i="10"/>
  <c r="E8" i="10"/>
  <c r="C11" i="10"/>
  <c r="E12" i="10"/>
  <c r="D6" i="11"/>
  <c r="B9" i="11"/>
  <c r="F25" i="6"/>
  <c r="B7" i="5" s="1"/>
  <c r="J25" i="6"/>
  <c r="E7" i="5" s="1"/>
  <c r="N25" i="6"/>
  <c r="G27" i="6"/>
  <c r="K27" i="6"/>
  <c r="O27" i="6"/>
  <c r="D9" i="5" s="1"/>
  <c r="D10" i="5" s="1"/>
  <c r="D24" i="8"/>
  <c r="M26" i="8"/>
  <c r="C24" i="9"/>
  <c r="I25" i="9"/>
  <c r="K26" i="9"/>
  <c r="K27" i="9"/>
  <c r="H28" i="6"/>
  <c r="L28" i="6"/>
  <c r="J25" i="9"/>
  <c r="L27" i="9"/>
  <c r="M24" i="9" a="1"/>
  <c r="M24" i="9" s="1"/>
  <c r="N26" i="9" a="1"/>
  <c r="N26" i="9" s="1"/>
  <c r="N24" i="9" a="1"/>
  <c r="N24" i="9" s="1"/>
  <c r="N25" i="9" a="1"/>
  <c r="N25" i="9" s="1"/>
  <c r="M22" i="9"/>
  <c r="N22" i="9"/>
  <c r="M27" i="9" a="1"/>
  <c r="M27" i="9" s="1"/>
  <c r="M26" i="9" a="1"/>
  <c r="M26" i="9" s="1"/>
  <c r="M25" i="9" a="1"/>
  <c r="M25" i="9" s="1"/>
  <c r="N27" i="9" a="1"/>
  <c r="N27" i="9" s="1"/>
  <c r="F8" i="11" l="1"/>
  <c r="F9" i="11"/>
  <c r="E10" i="5"/>
  <c r="E12" i="5" s="1"/>
  <c r="F7" i="5"/>
  <c r="B10" i="5"/>
  <c r="B12" i="5" s="1"/>
  <c r="D12" i="11"/>
  <c r="I7" i="5"/>
  <c r="F8" i="5"/>
  <c r="E13" i="10"/>
  <c r="E12" i="11"/>
  <c r="D13" i="10"/>
  <c r="C12" i="11"/>
  <c r="F10" i="10"/>
  <c r="D12" i="5"/>
  <c r="F11" i="10"/>
  <c r="B13" i="10"/>
  <c r="F7" i="10"/>
  <c r="F11" i="11"/>
  <c r="F12" i="10"/>
  <c r="F7" i="11"/>
  <c r="F10" i="11"/>
  <c r="H10" i="5"/>
  <c r="I10" i="5" s="1"/>
  <c r="G12" i="5"/>
  <c r="F9" i="5"/>
  <c r="F10" i="5" s="1"/>
  <c r="F12" i="5" s="1"/>
  <c r="C9" i="5"/>
  <c r="C10" i="5" s="1"/>
  <c r="C12" i="5" s="1"/>
  <c r="F9" i="10"/>
  <c r="C13" i="10"/>
  <c r="B12" i="11"/>
  <c r="F6" i="11"/>
  <c r="F8" i="10"/>
  <c r="H9" i="5"/>
  <c r="I9" i="5" s="1"/>
  <c r="F13" i="10" l="1"/>
  <c r="F12" i="11"/>
</calcChain>
</file>

<file path=xl/comments1.xml><?xml version="1.0" encoding="utf-8"?>
<comments xmlns="http://schemas.openxmlformats.org/spreadsheetml/2006/main">
  <authors>
    <author>作者</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<sst xmlns="http://schemas.openxmlformats.org/spreadsheetml/2006/main" count="429" uniqueCount="343">
  <si>
    <r>
      <rPr>
        <b/>
        <sz val="10"/>
        <color indexed="8"/>
        <rFont val="宋体"/>
        <family val="3"/>
        <charset val="134"/>
      </rPr>
      <t>备注</t>
    </r>
  </si>
  <si>
    <r>
      <rPr>
        <b/>
        <sz val="10"/>
        <color indexed="8"/>
        <rFont val="宋体"/>
        <family val="3"/>
        <charset val="134"/>
      </rPr>
      <t>索引号</t>
    </r>
  </si>
  <si>
    <r>
      <rPr>
        <b/>
        <sz val="10"/>
        <color indexed="8"/>
        <rFont val="宋体"/>
        <family val="3"/>
        <charset val="134"/>
      </rPr>
      <t>序号</t>
    </r>
  </si>
  <si>
    <r>
      <t>2</t>
    </r>
    <r>
      <rPr>
        <b/>
        <sz val="10"/>
        <color indexed="8"/>
        <rFont val="宋体"/>
        <family val="3"/>
        <charset val="134"/>
      </rPr>
      <t>、审计结论：</t>
    </r>
  </si>
  <si>
    <r>
      <rPr>
        <b/>
        <sz val="10"/>
        <color indexed="8"/>
        <rFont val="宋体"/>
        <family val="3"/>
        <charset val="134"/>
      </rPr>
      <t>合计</t>
    </r>
  </si>
  <si>
    <r>
      <rPr>
        <b/>
        <sz val="10"/>
        <color indexed="8"/>
        <rFont val="宋体"/>
        <family val="3"/>
        <charset val="134"/>
      </rPr>
      <t>本期减少</t>
    </r>
  </si>
  <si>
    <r>
      <rPr>
        <b/>
        <sz val="10"/>
        <color indexed="8"/>
        <rFont val="宋体"/>
        <family val="3"/>
        <charset val="134"/>
      </rPr>
      <t>本期增加</t>
    </r>
  </si>
  <si>
    <r>
      <rPr>
        <b/>
        <sz val="10"/>
        <color indexed="8"/>
        <rFont val="宋体"/>
        <family val="3"/>
        <charset val="134"/>
      </rPr>
      <t>项目类别</t>
    </r>
  </si>
  <si>
    <r>
      <rPr>
        <sz val="10"/>
        <color indexed="8"/>
        <rFont val="宋体"/>
        <family val="3"/>
        <charset val="134"/>
      </rPr>
      <t>索引号：</t>
    </r>
  </si>
  <si>
    <r>
      <rPr>
        <sz val="10"/>
        <color indexed="8"/>
        <rFont val="宋体"/>
        <family val="3"/>
        <charset val="134"/>
      </rPr>
      <t>《企业所得税法实施条例》</t>
    </r>
  </si>
  <si>
    <r>
      <rPr>
        <b/>
        <sz val="10"/>
        <color indexed="8"/>
        <rFont val="宋体"/>
        <family val="3"/>
        <charset val="134"/>
      </rPr>
      <t>累计摊销</t>
    </r>
  </si>
  <si>
    <r>
      <rPr>
        <b/>
        <sz val="10"/>
        <color indexed="8"/>
        <rFont val="宋体"/>
        <family val="3"/>
        <charset val="134"/>
      </rPr>
      <t>其他减少</t>
    </r>
  </si>
  <si>
    <r>
      <rPr>
        <b/>
        <sz val="10"/>
        <color indexed="8"/>
        <rFont val="宋体"/>
        <family val="3"/>
        <charset val="134"/>
      </rPr>
      <t>本期摊销</t>
    </r>
  </si>
  <si>
    <r>
      <rPr>
        <b/>
        <sz val="10"/>
        <color indexed="8"/>
        <rFont val="宋体"/>
        <family val="3"/>
        <charset val="134"/>
      </rPr>
      <t>五、审计结论：</t>
    </r>
  </si>
  <si>
    <r>
      <rPr>
        <b/>
        <sz val="10"/>
        <color indexed="8"/>
        <rFont val="宋体"/>
        <family val="3"/>
        <charset val="134"/>
      </rPr>
      <t>四、审计说明：</t>
    </r>
  </si>
  <si>
    <r>
      <rPr>
        <b/>
        <sz val="10"/>
        <color indexed="8"/>
        <rFont val="宋体"/>
        <family val="3"/>
        <charset val="134"/>
      </rPr>
      <t>三、测试：</t>
    </r>
  </si>
  <si>
    <r>
      <rPr>
        <b/>
        <sz val="10"/>
        <color indexed="8"/>
        <rFont val="宋体"/>
        <family val="3"/>
        <charset val="134"/>
      </rPr>
      <t>二、样本选取标准与规模：</t>
    </r>
  </si>
  <si>
    <r>
      <rPr>
        <b/>
        <sz val="10"/>
        <color indexed="8"/>
        <rFont val="宋体"/>
        <family val="3"/>
        <charset val="134"/>
      </rPr>
      <t>一、测试目标：</t>
    </r>
  </si>
  <si>
    <r>
      <rPr>
        <sz val="10"/>
        <color indexed="8"/>
        <rFont val="宋体"/>
        <family val="3"/>
        <charset val="134"/>
      </rPr>
      <t>作为投资或者受让的无形资产，有关法律规定或者合同约定了使用年限的，可以按照规定或者约定的使用年限分期摊销。</t>
    </r>
  </si>
  <si>
    <r>
      <rPr>
        <sz val="10"/>
        <color indexed="8"/>
        <rFont val="宋体"/>
        <family val="3"/>
        <charset val="134"/>
      </rPr>
      <t>无形资产的摊销年限不得低于</t>
    </r>
    <r>
      <rPr>
        <sz val="10"/>
        <color indexed="8"/>
        <rFont val="Arial Narrow"/>
        <family val="2"/>
      </rPr>
      <t>10</t>
    </r>
    <r>
      <rPr>
        <sz val="10"/>
        <color indexed="8"/>
        <rFont val="宋体"/>
        <family val="3"/>
        <charset val="134"/>
      </rPr>
      <t>年。</t>
    </r>
  </si>
  <si>
    <r>
      <rPr>
        <sz val="10"/>
        <color indexed="8"/>
        <rFont val="宋体"/>
        <family val="3"/>
        <charset val="134"/>
      </rPr>
      <t>第六十七条　无形资产按照直线法计算的摊销费用，准予扣除。</t>
    </r>
  </si>
  <si>
    <r>
      <rPr>
        <sz val="10"/>
        <color indexed="8"/>
        <rFont val="宋体"/>
        <family val="3"/>
        <charset val="134"/>
      </rPr>
      <t>土地使用权</t>
    </r>
  </si>
  <si>
    <r>
      <rPr>
        <sz val="10"/>
        <color indexed="8"/>
        <rFont val="宋体"/>
        <family val="3"/>
        <charset val="134"/>
      </rPr>
      <t>著作权</t>
    </r>
  </si>
  <si>
    <r>
      <rPr>
        <sz val="10"/>
        <color indexed="8"/>
        <rFont val="宋体"/>
        <family val="3"/>
        <charset val="134"/>
      </rPr>
      <t>商标权</t>
    </r>
  </si>
  <si>
    <r>
      <rPr>
        <sz val="10"/>
        <color indexed="8"/>
        <rFont val="宋体"/>
        <family val="3"/>
        <charset val="134"/>
      </rPr>
      <t>非专利技术</t>
    </r>
  </si>
  <si>
    <r>
      <rPr>
        <b/>
        <sz val="10"/>
        <color indexed="8"/>
        <rFont val="宋体"/>
        <family val="3"/>
        <charset val="134"/>
      </rPr>
      <t>累计摊销额差异</t>
    </r>
  </si>
  <si>
    <r>
      <rPr>
        <b/>
        <sz val="10"/>
        <color indexed="8"/>
        <rFont val="宋体"/>
        <family val="3"/>
        <charset val="134"/>
      </rPr>
      <t>累计摊销费用</t>
    </r>
  </si>
  <si>
    <r>
      <rPr>
        <b/>
        <sz val="10"/>
        <color indexed="8"/>
        <rFont val="宋体"/>
        <family val="3"/>
        <charset val="134"/>
      </rPr>
      <t>月摊销额差异</t>
    </r>
  </si>
  <si>
    <r>
      <rPr>
        <b/>
        <sz val="10"/>
        <color indexed="8"/>
        <rFont val="宋体"/>
        <family val="3"/>
        <charset val="134"/>
      </rPr>
      <t>当期摊销</t>
    </r>
  </si>
  <si>
    <r>
      <rPr>
        <b/>
        <sz val="10"/>
        <color indexed="8"/>
        <rFont val="宋体"/>
        <family val="3"/>
        <charset val="134"/>
      </rPr>
      <t>测算月摊销额</t>
    </r>
  </si>
  <si>
    <r>
      <rPr>
        <b/>
        <sz val="10"/>
        <color indexed="8"/>
        <rFont val="宋体"/>
        <family val="3"/>
        <charset val="134"/>
      </rPr>
      <t>本期摊销月份</t>
    </r>
  </si>
  <si>
    <r>
      <rPr>
        <b/>
        <sz val="10"/>
        <color indexed="8"/>
        <rFont val="宋体"/>
        <family val="3"/>
        <charset val="134"/>
      </rPr>
      <t>剩余摊销月份</t>
    </r>
  </si>
  <si>
    <r>
      <rPr>
        <b/>
        <sz val="10"/>
        <color indexed="8"/>
        <rFont val="宋体"/>
        <family val="3"/>
        <charset val="134"/>
      </rPr>
      <t>已摊销月份</t>
    </r>
  </si>
  <si>
    <r>
      <rPr>
        <b/>
        <sz val="10"/>
        <color indexed="8"/>
        <rFont val="宋体"/>
        <family val="3"/>
        <charset val="134"/>
      </rPr>
      <t>测算到期日</t>
    </r>
  </si>
  <si>
    <r>
      <rPr>
        <b/>
        <sz val="10"/>
        <color indexed="8"/>
        <rFont val="宋体"/>
        <family val="3"/>
        <charset val="134"/>
      </rPr>
      <t>使用月限</t>
    </r>
  </si>
  <si>
    <r>
      <rPr>
        <b/>
        <sz val="10"/>
        <color indexed="8"/>
        <rFont val="宋体"/>
        <family val="3"/>
        <charset val="134"/>
      </rPr>
      <t>账面月摊销额</t>
    </r>
  </si>
  <si>
    <r>
      <rPr>
        <b/>
        <sz val="10"/>
        <color indexed="8"/>
        <rFont val="宋体"/>
        <family val="3"/>
        <charset val="134"/>
      </rPr>
      <t>使用年限</t>
    </r>
  </si>
  <si>
    <r>
      <rPr>
        <b/>
        <sz val="10"/>
        <color indexed="8"/>
        <rFont val="宋体"/>
        <family val="3"/>
        <charset val="134"/>
      </rPr>
      <t>开始使用日期</t>
    </r>
  </si>
  <si>
    <r>
      <rPr>
        <b/>
        <sz val="10"/>
        <color indexed="8"/>
        <rFont val="宋体"/>
        <family val="3"/>
        <charset val="134"/>
      </rPr>
      <t>原值</t>
    </r>
  </si>
  <si>
    <r>
      <rPr>
        <b/>
        <sz val="10"/>
        <color indexed="8"/>
        <rFont val="宋体"/>
        <family val="3"/>
        <charset val="134"/>
      </rPr>
      <t>明细项目</t>
    </r>
  </si>
  <si>
    <r>
      <rPr>
        <b/>
        <sz val="10"/>
        <color indexed="8"/>
        <rFont val="宋体"/>
        <family val="3"/>
        <charset val="134"/>
      </rPr>
      <t>类别名称</t>
    </r>
  </si>
  <si>
    <r>
      <rPr>
        <sz val="10"/>
        <color indexed="8"/>
        <rFont val="宋体"/>
        <family val="3"/>
        <charset val="134"/>
      </rPr>
      <t>摊销期末：</t>
    </r>
  </si>
  <si>
    <r>
      <rPr>
        <sz val="10"/>
        <color indexed="8"/>
        <rFont val="宋体"/>
        <family val="3"/>
        <charset val="134"/>
      </rPr>
      <t>摊销期初：</t>
    </r>
  </si>
  <si>
    <r>
      <rPr>
        <b/>
        <sz val="10"/>
        <color indexed="8"/>
        <rFont val="宋体"/>
        <family val="3"/>
        <charset val="134"/>
      </rPr>
      <t>累计</t>
    </r>
    <phoneticPr fontId="4" type="noConversion"/>
  </si>
  <si>
    <r>
      <rPr>
        <b/>
        <sz val="10"/>
        <color indexed="8"/>
        <rFont val="宋体"/>
        <family val="3"/>
        <charset val="134"/>
      </rPr>
      <t>本期</t>
    </r>
    <phoneticPr fontId="4" type="noConversion"/>
  </si>
  <si>
    <r>
      <rPr>
        <b/>
        <sz val="10"/>
        <color indexed="8"/>
        <rFont val="宋体"/>
        <family val="3"/>
        <charset val="134"/>
      </rPr>
      <t>测算累计摊销额</t>
    </r>
    <phoneticPr fontId="4" type="noConversion"/>
  </si>
  <si>
    <r>
      <rPr>
        <b/>
        <sz val="10"/>
        <color indexed="8"/>
        <rFont val="宋体"/>
        <family val="3"/>
        <charset val="134"/>
      </rPr>
      <t>测算本年摊销额</t>
    </r>
    <phoneticPr fontId="4" type="noConversion"/>
  </si>
  <si>
    <r>
      <rPr>
        <b/>
        <sz val="10"/>
        <color indexed="8"/>
        <rFont val="宋体"/>
        <family val="3"/>
        <charset val="134"/>
      </rPr>
      <t>摊销标准</t>
    </r>
    <phoneticPr fontId="4" type="noConversion"/>
  </si>
  <si>
    <r>
      <rPr>
        <b/>
        <sz val="10"/>
        <color indexed="8"/>
        <rFont val="宋体"/>
        <family val="3"/>
        <charset val="134"/>
      </rPr>
      <t>摊销额差异</t>
    </r>
    <phoneticPr fontId="4" type="noConversion"/>
  </si>
  <si>
    <r>
      <rPr>
        <b/>
        <sz val="10"/>
        <color indexed="8"/>
        <rFont val="宋体"/>
        <family val="3"/>
        <charset val="134"/>
      </rPr>
      <t>账面摊销额</t>
    </r>
    <phoneticPr fontId="4" type="noConversion"/>
  </si>
  <si>
    <r>
      <rPr>
        <b/>
        <sz val="10"/>
        <color indexed="8"/>
        <rFont val="宋体"/>
        <family val="3"/>
        <charset val="134"/>
      </rPr>
      <t>测算摊销额</t>
    </r>
    <phoneticPr fontId="4" type="noConversion"/>
  </si>
  <si>
    <r>
      <rPr>
        <b/>
        <sz val="10"/>
        <color indexed="8"/>
        <rFont val="宋体"/>
        <family val="3"/>
        <charset val="134"/>
      </rPr>
      <t>工作量</t>
    </r>
    <phoneticPr fontId="4" type="noConversion"/>
  </si>
  <si>
    <r>
      <rPr>
        <b/>
        <sz val="10"/>
        <color indexed="8"/>
        <rFont val="宋体"/>
        <family val="3"/>
        <charset val="134"/>
      </rPr>
      <t>工作标准</t>
    </r>
    <phoneticPr fontId="4" type="noConversion"/>
  </si>
  <si>
    <t>期初数</t>
  </si>
  <si>
    <t>本期增加</t>
  </si>
  <si>
    <t>本期摊销</t>
  </si>
  <si>
    <t>其他减少</t>
  </si>
  <si>
    <t>期末数</t>
  </si>
  <si>
    <t>长期待摊费用附注披露表（上市公司）</t>
    <phoneticPr fontId="4" type="noConversion"/>
  </si>
  <si>
    <t>长期待摊费用附注披露（国有企业）</t>
    <phoneticPr fontId="4" type="noConversion"/>
  </si>
  <si>
    <r>
      <rPr>
        <sz val="10"/>
        <color indexed="8"/>
        <rFont val="宋体"/>
        <family val="3"/>
        <charset val="134"/>
      </rPr>
      <t>通过针对性测试，验证长期待摊费用的存在</t>
    </r>
    <r>
      <rPr>
        <sz val="10"/>
        <color indexed="8"/>
        <rFont val="Arial Narrow"/>
        <family val="2"/>
      </rPr>
      <t>/</t>
    </r>
    <r>
      <rPr>
        <sz val="10"/>
        <color indexed="8"/>
        <rFont val="宋体"/>
        <family val="3"/>
        <charset val="134"/>
      </rPr>
      <t>发生、</t>
    </r>
    <r>
      <rPr>
        <sz val="10"/>
        <color indexed="10"/>
        <rFont val="宋体"/>
        <family val="3"/>
        <charset val="134"/>
      </rPr>
      <t>所有权</t>
    </r>
    <r>
      <rPr>
        <sz val="10"/>
        <color indexed="8"/>
        <rFont val="宋体"/>
        <family val="3"/>
        <charset val="134"/>
      </rPr>
      <t>、计价和分摊。</t>
    </r>
    <phoneticPr fontId="4" type="noConversion"/>
  </si>
  <si>
    <t>C1</t>
  </si>
  <si>
    <t>Custom 1</t>
  </si>
  <si>
    <t>C2</t>
  </si>
  <si>
    <t>Custom 2</t>
  </si>
  <si>
    <t>C3</t>
  </si>
  <si>
    <t>Custom 3</t>
  </si>
  <si>
    <t>C4</t>
  </si>
  <si>
    <t>Custom 4</t>
  </si>
  <si>
    <t>C5</t>
  </si>
  <si>
    <t>Custom 5</t>
  </si>
  <si>
    <t>C6</t>
  </si>
  <si>
    <t>Custom 6</t>
  </si>
  <si>
    <t>C7</t>
  </si>
  <si>
    <t>Custom 7</t>
  </si>
  <si>
    <t>C8</t>
  </si>
  <si>
    <t>Custom 8</t>
  </si>
  <si>
    <t>页次：</t>
  </si>
  <si>
    <t>b、涉及特别风险时，应当重点说明有关事项、应当措施、结果〔可索引有关底稿〕。</t>
  </si>
  <si>
    <t>致同会计师事务所</t>
  </si>
  <si>
    <t>合计</t>
  </si>
  <si>
    <t>第十三条在计算应纳税所得额时，企业发生的下列支出，作为长期待摊费用，按照规定摊销的，准予扣除：</t>
  </si>
  <si>
    <t>长期待摊费用针对性检查表</t>
  </si>
  <si>
    <t>本期减少</t>
  </si>
  <si>
    <r>
      <rPr>
        <b/>
        <sz val="10"/>
        <color indexed="8"/>
        <rFont val="宋体"/>
        <family val="3"/>
        <charset val="134"/>
      </rPr>
      <t>一、审计目标</t>
    </r>
    <r>
      <rPr>
        <b/>
        <sz val="10"/>
        <color indexed="8"/>
        <rFont val="Arial Narrow"/>
        <family val="2"/>
      </rPr>
      <t>:</t>
    </r>
    <phoneticPr fontId="21" type="noConversion"/>
  </si>
  <si>
    <r>
      <rPr>
        <b/>
        <sz val="10"/>
        <rFont val="宋体"/>
        <family val="3"/>
        <charset val="134"/>
      </rPr>
      <t>二、审计过程：</t>
    </r>
    <phoneticPr fontId="4" type="noConversion"/>
  </si>
  <si>
    <t>页次：</t>
    <phoneticPr fontId="4" type="noConversion"/>
  </si>
  <si>
    <t>三、审计说明：</t>
    <phoneticPr fontId="4" type="noConversion"/>
  </si>
  <si>
    <t>四、审计结论</t>
    <phoneticPr fontId="4" type="noConversion"/>
  </si>
  <si>
    <t>确认长期待摊费用本期摊销金额是否合理。</t>
    <phoneticPr fontId="4" type="noConversion"/>
  </si>
  <si>
    <t>本期减少</t>
    <phoneticPr fontId="4" type="noConversion"/>
  </si>
  <si>
    <t>期初数</t>
    <phoneticPr fontId="4" type="noConversion"/>
  </si>
  <si>
    <t>期末数</t>
    <phoneticPr fontId="4" type="noConversion"/>
  </si>
  <si>
    <t>未审数</t>
    <phoneticPr fontId="4" type="noConversion"/>
  </si>
  <si>
    <t>项目名称</t>
    <phoneticPr fontId="4" type="noConversion"/>
  </si>
  <si>
    <t>期初调整</t>
    <phoneticPr fontId="19" type="noConversion"/>
  </si>
  <si>
    <t>账项调整</t>
    <phoneticPr fontId="19" type="noConversion"/>
  </si>
  <si>
    <t>审定数</t>
    <phoneticPr fontId="4" type="noConversion"/>
  </si>
  <si>
    <t>账项调整</t>
    <phoneticPr fontId="4" type="noConversion"/>
  </si>
  <si>
    <r>
      <rPr>
        <b/>
        <sz val="10"/>
        <color indexed="8"/>
        <rFont val="宋体"/>
        <family val="3"/>
        <charset val="134"/>
      </rPr>
      <t>本期增加</t>
    </r>
    <phoneticPr fontId="4" type="noConversion"/>
  </si>
  <si>
    <r>
      <rPr>
        <b/>
        <sz val="10"/>
        <color indexed="8"/>
        <rFont val="宋体"/>
        <family val="3"/>
        <charset val="134"/>
      </rPr>
      <t>本期减少</t>
    </r>
    <phoneticPr fontId="4" type="noConversion"/>
  </si>
  <si>
    <t>期初数</t>
    <phoneticPr fontId="4" type="noConversion"/>
  </si>
  <si>
    <t>本期增加</t>
    <phoneticPr fontId="4" type="noConversion"/>
  </si>
  <si>
    <t>期末数</t>
    <phoneticPr fontId="4" type="noConversion"/>
  </si>
  <si>
    <t>期初数</t>
    <phoneticPr fontId="4" type="noConversion"/>
  </si>
  <si>
    <t>期末数</t>
    <phoneticPr fontId="4" type="noConversion"/>
  </si>
  <si>
    <t>本期审定数与上期
审定数的比较</t>
    <phoneticPr fontId="4" type="noConversion"/>
  </si>
  <si>
    <t>未审数</t>
    <phoneticPr fontId="4" type="noConversion"/>
  </si>
  <si>
    <t>账项调整</t>
    <phoneticPr fontId="4" type="noConversion"/>
  </si>
  <si>
    <t>审定数</t>
    <phoneticPr fontId="4" type="noConversion"/>
  </si>
  <si>
    <t>未审数</t>
    <phoneticPr fontId="4" type="noConversion"/>
  </si>
  <si>
    <t>变动率</t>
    <phoneticPr fontId="4" type="noConversion"/>
  </si>
  <si>
    <t>变动额</t>
    <phoneticPr fontId="4" type="noConversion"/>
  </si>
  <si>
    <t>备注</t>
    <phoneticPr fontId="4" type="noConversion"/>
  </si>
  <si>
    <t>检查长期待摊费用的摊销是否正确。</t>
    <phoneticPr fontId="4" type="noConversion"/>
  </si>
  <si>
    <t>核对明细账、总账、报表、上年审计报告审定数金额是否相符，确定期初、期末余额是否正确。</t>
    <phoneticPr fontId="4" type="noConversion"/>
  </si>
  <si>
    <t>合同协议等索引号</t>
    <phoneticPr fontId="4" type="noConversion"/>
  </si>
  <si>
    <r>
      <t>1</t>
    </r>
    <r>
      <rPr>
        <b/>
        <sz val="10"/>
        <rFont val="宋体"/>
        <family val="3"/>
        <charset val="134"/>
      </rPr>
      <t>、被审计单位的长期待摊费用摊销政策：</t>
    </r>
    <phoneticPr fontId="4" type="noConversion"/>
  </si>
  <si>
    <r>
      <rPr>
        <b/>
        <sz val="12"/>
        <rFont val="宋体"/>
        <family val="3"/>
        <charset val="134"/>
      </rPr>
      <t>底稿开列时，可先在以下单元格填写有关内容，以便其他底稿引用有关数据：</t>
    </r>
    <phoneticPr fontId="4" type="noConversion"/>
  </si>
  <si>
    <r>
      <rPr>
        <sz val="10"/>
        <rFont val="宋体"/>
        <family val="3"/>
        <charset val="134"/>
      </rPr>
      <t>索引号：</t>
    </r>
  </si>
  <si>
    <r>
      <rPr>
        <sz val="10"/>
        <rFont val="宋体"/>
        <family val="3"/>
        <charset val="134"/>
      </rPr>
      <t>页</t>
    </r>
    <r>
      <rPr>
        <sz val="10"/>
        <rFont val="Arial Narrow"/>
        <family val="2"/>
        <charset val="134"/>
      </rPr>
      <t xml:space="preserve">    </t>
    </r>
    <r>
      <rPr>
        <sz val="10"/>
        <rFont val="宋体"/>
        <family val="3"/>
        <charset val="134"/>
      </rPr>
      <t>次：</t>
    </r>
    <phoneticPr fontId="36" type="noConversion"/>
  </si>
  <si>
    <t>存在</t>
  </si>
  <si>
    <t>完整性</t>
  </si>
  <si>
    <t>2</t>
  </si>
  <si>
    <t>3</t>
  </si>
  <si>
    <t>4</t>
  </si>
  <si>
    <t>会计期间：202X年</t>
  </si>
  <si>
    <r>
      <t>TB</t>
    </r>
    <r>
      <rPr>
        <b/>
        <sz val="10"/>
        <color rgb="FF000000"/>
        <rFont val="宋体"/>
        <family val="2"/>
        <charset val="134"/>
      </rPr>
      <t>数据</t>
    </r>
    <phoneticPr fontId="4" type="noConversion"/>
  </si>
  <si>
    <t>差异</t>
    <phoneticPr fontId="4" type="noConversion"/>
  </si>
  <si>
    <t>类别</t>
    <phoneticPr fontId="4" type="noConversion"/>
  </si>
  <si>
    <t>……</t>
    <phoneticPr fontId="4" type="noConversion"/>
  </si>
  <si>
    <t>其中：</t>
    <phoneticPr fontId="4" type="noConversion"/>
  </si>
  <si>
    <t>资产类型</t>
    <phoneticPr fontId="4" type="noConversion"/>
  </si>
  <si>
    <t>项目编码</t>
    <phoneticPr fontId="4" type="noConversion"/>
  </si>
  <si>
    <t>初始入账金额</t>
    <phoneticPr fontId="4" type="noConversion"/>
  </si>
  <si>
    <t>调整事项说明</t>
    <phoneticPr fontId="4" type="noConversion"/>
  </si>
  <si>
    <t>类别（报表调整/账项调整/其他）</t>
    <phoneticPr fontId="4" type="noConversion"/>
  </si>
  <si>
    <t>科目名称</t>
    <phoneticPr fontId="4" type="noConversion"/>
  </si>
  <si>
    <t>附注项目</t>
    <phoneticPr fontId="4" type="noConversion"/>
  </si>
  <si>
    <t>借方调整金额</t>
    <phoneticPr fontId="4" type="noConversion"/>
  </si>
  <si>
    <t>贷方调整金额</t>
    <phoneticPr fontId="4" type="noConversion"/>
  </si>
  <si>
    <t>索引</t>
    <phoneticPr fontId="4" type="noConversion"/>
  </si>
  <si>
    <t>长期待摊费用调整分录汇总表</t>
    <phoneticPr fontId="4" type="noConversion"/>
  </si>
  <si>
    <t>使用权资产改良及维护支出</t>
    <phoneticPr fontId="4" type="noConversion"/>
  </si>
  <si>
    <t xml:space="preserve"> 期初余额 </t>
  </si>
  <si>
    <t xml:space="preserve"> 本期增加额 </t>
  </si>
  <si>
    <t xml:space="preserve"> 本期摊销额 </t>
  </si>
  <si>
    <t xml:space="preserve"> 其他减少额 </t>
  </si>
  <si>
    <t xml:space="preserve"> 期末余额 </t>
  </si>
  <si>
    <r>
      <t>项</t>
    </r>
    <r>
      <rPr>
        <b/>
        <sz val="10"/>
        <color indexed="8"/>
        <rFont val="宋体"/>
        <family val="3"/>
        <charset val="134"/>
        <scheme val="minor"/>
      </rPr>
      <t xml:space="preserve">  目</t>
    </r>
  </si>
  <si>
    <r>
      <t xml:space="preserve"> </t>
    </r>
    <r>
      <rPr>
        <b/>
        <sz val="10"/>
        <color indexed="8"/>
        <rFont val="宋体"/>
        <family val="3"/>
        <charset val="134"/>
        <scheme val="minor"/>
      </rPr>
      <t xml:space="preserve">其他减少的原因 </t>
    </r>
  </si>
  <si>
    <r>
      <t>合</t>
    </r>
    <r>
      <rPr>
        <b/>
        <sz val="10"/>
        <color indexed="8"/>
        <rFont val="宋体"/>
        <family val="3"/>
        <charset val="134"/>
        <scheme val="minor"/>
      </rPr>
      <t xml:space="preserve">  计</t>
    </r>
  </si>
  <si>
    <r>
      <t>说明：</t>
    </r>
    <r>
      <rPr>
        <sz val="10"/>
        <color indexed="12"/>
        <rFont val="宋体"/>
        <family val="3"/>
        <charset val="134"/>
        <scheme val="minor"/>
      </rPr>
      <t>1年内到期的长期待摊费用</t>
    </r>
    <r>
      <rPr>
        <b/>
        <sz val="10"/>
        <color indexed="12"/>
        <rFont val="宋体"/>
        <family val="3"/>
        <charset val="134"/>
        <scheme val="minor"/>
      </rPr>
      <t>X.XX元，</t>
    </r>
    <r>
      <rPr>
        <sz val="10"/>
        <color indexed="12"/>
        <rFont val="宋体"/>
        <family val="3"/>
        <charset val="134"/>
        <scheme val="minor"/>
      </rPr>
      <t>详见</t>
    </r>
    <r>
      <rPr>
        <sz val="10"/>
        <color indexed="10"/>
        <rFont val="宋体"/>
        <family val="3"/>
        <charset val="134"/>
        <scheme val="minor"/>
      </rPr>
      <t>附注五、11</t>
    </r>
    <r>
      <rPr>
        <sz val="10"/>
        <color indexed="12"/>
        <rFont val="宋体"/>
        <family val="3"/>
        <charset val="134"/>
        <scheme val="minor"/>
      </rPr>
      <t>。</t>
    </r>
  </si>
  <si>
    <t>序号</t>
  </si>
  <si>
    <r>
      <rPr>
        <b/>
        <sz val="12"/>
        <color indexed="8"/>
        <rFont val="宋体"/>
        <family val="3"/>
        <charset val="134"/>
      </rPr>
      <t>目录</t>
    </r>
    <phoneticPr fontId="4" type="noConversion"/>
  </si>
  <si>
    <r>
      <rPr>
        <b/>
        <sz val="10"/>
        <color rgb="FF000000"/>
        <rFont val="宋体"/>
        <family val="3"/>
        <charset val="134"/>
      </rPr>
      <t>长期待摊费用类别设置（以下内容请根据实际情况修改）：</t>
    </r>
    <phoneticPr fontId="4" type="noConversion"/>
  </si>
  <si>
    <r>
      <rPr>
        <sz val="10"/>
        <color rgb="FF000000"/>
        <rFont val="宋体"/>
        <family val="3"/>
        <charset val="134"/>
      </rPr>
      <t>备选</t>
    </r>
    <phoneticPr fontId="4" type="noConversion"/>
  </si>
  <si>
    <r>
      <rPr>
        <b/>
        <sz val="10"/>
        <color indexed="8"/>
        <rFont val="宋体"/>
        <family val="3"/>
        <charset val="134"/>
      </rPr>
      <t>内容</t>
    </r>
  </si>
  <si>
    <r>
      <rPr>
        <sz val="10"/>
        <color rgb="FF000000"/>
        <rFont val="宋体"/>
        <family val="3"/>
        <charset val="134"/>
      </rPr>
      <t>类别</t>
    </r>
    <r>
      <rPr>
        <sz val="10"/>
        <color rgb="FF000000"/>
        <rFont val="Arial Narrow"/>
        <family val="2"/>
      </rPr>
      <t>B</t>
    </r>
    <phoneticPr fontId="4" type="noConversion"/>
  </si>
  <si>
    <r>
      <rPr>
        <sz val="10"/>
        <color rgb="FF000000"/>
        <rFont val="宋体"/>
        <family val="3"/>
        <charset val="134"/>
      </rPr>
      <t>类别</t>
    </r>
    <r>
      <rPr>
        <sz val="10"/>
        <color rgb="FF000000"/>
        <rFont val="Arial Narrow"/>
        <family val="2"/>
      </rPr>
      <t>A</t>
    </r>
    <phoneticPr fontId="4" type="noConversion"/>
  </si>
  <si>
    <r>
      <rPr>
        <sz val="10"/>
        <color rgb="FF000000"/>
        <rFont val="宋体"/>
        <family val="3"/>
        <charset val="134"/>
      </rPr>
      <t>类别</t>
    </r>
    <r>
      <rPr>
        <sz val="10"/>
        <color rgb="FF000000"/>
        <rFont val="Arial Narrow"/>
        <family val="2"/>
      </rPr>
      <t>C</t>
    </r>
    <phoneticPr fontId="4" type="noConversion"/>
  </si>
  <si>
    <t>I4-1</t>
    <phoneticPr fontId="4" type="noConversion"/>
  </si>
  <si>
    <t>一、本账户涉及的科目</t>
  </si>
  <si>
    <t>二、审计目标与认定的对应关系</t>
  </si>
  <si>
    <t>审计目标</t>
  </si>
  <si>
    <t>财务报表的认定　</t>
  </si>
  <si>
    <t>权利和义务</t>
  </si>
  <si>
    <t>准确性、计价和分摊</t>
  </si>
  <si>
    <t>列报</t>
  </si>
  <si>
    <t>程序分类</t>
  </si>
  <si>
    <t>财务报表的认定</t>
  </si>
  <si>
    <t>底稿索引号</t>
  </si>
  <si>
    <t>权利和
义务</t>
  </si>
  <si>
    <t>1</t>
  </si>
  <si>
    <t>常规★</t>
  </si>
  <si>
    <t>√</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</si>
  <si>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</si>
  <si>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期初余额</t>
  </si>
  <si>
    <t>长期待摊费用</t>
    <phoneticPr fontId="36" type="noConversion"/>
  </si>
  <si>
    <r>
      <t xml:space="preserve">A. </t>
    </r>
    <r>
      <rPr>
        <sz val="10"/>
        <rFont val="宋体"/>
        <family val="3"/>
        <charset val="134"/>
      </rPr>
      <t>资产负债表中记录的长期待摊费用是存在的，且已经记录在恰当的账户中</t>
    </r>
    <phoneticPr fontId="19" type="noConversion"/>
  </si>
  <si>
    <t>获取或编制长期待摊费用的明细表，复核加计是否正确，与总账、明细账合计数核对是否相符，期初余额与上期审定期末余额是否相符，并编制审定表。</t>
  </si>
  <si>
    <t>5</t>
    <phoneticPr fontId="19" type="noConversion"/>
  </si>
  <si>
    <t>6</t>
    <phoneticPr fontId="19" type="noConversion"/>
  </si>
  <si>
    <t>对于本期摊销，执行以下程序：
（1）获取或编制长期待摊费的累计摊销明细表，复核加计正确，并与总账数和明细账合计数核对相符。
（2）确认摊销方法是否一致，是否合理。 确定摊销年限是否适当，重新测算摊销金额，形成本期摊销费用的期望，与已记录的金额对比。
（3）确定分配到各项资产/费用项目的摊销金额是否合理。</t>
    <phoneticPr fontId="19" type="noConversion"/>
  </si>
  <si>
    <t>A、未见异常，可以确认。</t>
  </si>
  <si>
    <t>B、经审计调整后可确认。</t>
  </si>
  <si>
    <t>C、由于存在上述重大未调整事项（或审计范围受到限制无法获取充分、适当证据），不可确认。</t>
  </si>
  <si>
    <r>
      <t>1</t>
    </r>
    <r>
      <rPr>
        <b/>
        <sz val="10"/>
        <color indexed="8"/>
        <rFont val="宋体"/>
        <family val="3"/>
        <charset val="134"/>
      </rPr>
      <t>、审计说明</t>
    </r>
    <phoneticPr fontId="4" type="noConversion"/>
  </si>
  <si>
    <r>
      <rPr>
        <sz val="10"/>
        <color rgb="FF0000FF"/>
        <rFont val="宋体"/>
        <family val="3"/>
        <charset val="134"/>
      </rPr>
      <t>编制说明：</t>
    </r>
  </si>
  <si>
    <r>
      <t>1</t>
    </r>
    <r>
      <rPr>
        <sz val="10"/>
        <color rgb="FF0000FF"/>
        <rFont val="宋体"/>
        <family val="3"/>
        <charset val="134"/>
      </rPr>
      <t>、本科目核算企业已经发生但应由本期和以后各期负担的分摊期限在</t>
    </r>
    <r>
      <rPr>
        <sz val="10"/>
        <color rgb="FF0000FF"/>
        <rFont val="Arial Narrow"/>
        <family val="2"/>
      </rPr>
      <t>1</t>
    </r>
    <r>
      <rPr>
        <sz val="10"/>
        <color rgb="FF0000FF"/>
        <rFont val="宋体"/>
        <family val="3"/>
        <charset val="134"/>
      </rPr>
      <t>年以上的各项费用，如以经营租赁方式租入的固定资产发生的改良支出等。</t>
    </r>
    <phoneticPr fontId="4" type="noConversion"/>
  </si>
  <si>
    <r>
      <t>2</t>
    </r>
    <r>
      <rPr>
        <sz val="10"/>
        <color rgb="FF0000FF"/>
        <rFont val="宋体"/>
        <family val="3"/>
        <charset val="134"/>
      </rPr>
      <t>、长期待摊费用中在一年内</t>
    </r>
    <r>
      <rPr>
        <sz val="10"/>
        <color rgb="FF0000FF"/>
        <rFont val="Arial Narrow"/>
        <family val="2"/>
      </rPr>
      <t>(</t>
    </r>
    <r>
      <rPr>
        <sz val="10"/>
        <color rgb="FF0000FF"/>
        <rFont val="宋体"/>
        <family val="3"/>
        <charset val="134"/>
      </rPr>
      <t>含一年</t>
    </r>
    <r>
      <rPr>
        <sz val="10"/>
        <color rgb="FF0000FF"/>
        <rFont val="Arial Narrow"/>
        <family val="2"/>
      </rPr>
      <t>)</t>
    </r>
    <r>
      <rPr>
        <sz val="10"/>
        <color rgb="FF0000FF"/>
        <rFont val="宋体"/>
        <family val="3"/>
        <charset val="134"/>
      </rPr>
      <t>摊销的部分，在资产负债表</t>
    </r>
    <r>
      <rPr>
        <sz val="10"/>
        <color rgb="FF0000FF"/>
        <rFont val="Arial Narrow"/>
        <family val="2"/>
      </rPr>
      <t>“</t>
    </r>
    <r>
      <rPr>
        <sz val="10"/>
        <color rgb="FF0000FF"/>
        <rFont val="宋体"/>
        <family val="3"/>
        <charset val="134"/>
      </rPr>
      <t>一年内到期的非流动资产</t>
    </r>
    <r>
      <rPr>
        <sz val="10"/>
        <color rgb="FF0000FF"/>
        <rFont val="Arial Narrow"/>
        <family val="2"/>
      </rPr>
      <t>”</t>
    </r>
    <r>
      <rPr>
        <sz val="10"/>
        <color rgb="FF0000FF"/>
        <rFont val="宋体"/>
        <family val="3"/>
        <charset val="134"/>
      </rPr>
      <t>项目填列。</t>
    </r>
  </si>
  <si>
    <r>
      <t>3</t>
    </r>
    <r>
      <rPr>
        <sz val="10"/>
        <color rgb="FF0000FF"/>
        <rFont val="宋体"/>
        <family val="3"/>
        <charset val="134"/>
      </rPr>
      <t>、企业对自有固定资产进行的装修改造支出，符合固定资产确认条件的（使用寿命超过一个会计年度、金额确定），可以计入固定资产成本，不符合固定资产的确认条件的应当费用化，计入当期损益。</t>
    </r>
    <phoneticPr fontId="4" type="noConversion"/>
  </si>
  <si>
    <r>
      <rPr>
        <sz val="10"/>
        <color rgb="FF0000FF"/>
        <rFont val="宋体"/>
        <family val="3"/>
        <charset val="134"/>
      </rPr>
      <t>但因装修改造一般无残值、使用期限较短，实务中企业为简化核算，可将其计入长期待摊费用。</t>
    </r>
  </si>
  <si>
    <r>
      <t>4</t>
    </r>
    <r>
      <rPr>
        <sz val="10"/>
        <color rgb="FF0000FF"/>
        <rFont val="宋体"/>
        <family val="3"/>
        <charset val="134"/>
      </rPr>
      <t>、如适用，根据</t>
    </r>
    <r>
      <rPr>
        <sz val="10"/>
        <color rgb="FF0000FF"/>
        <rFont val="Arial Narrow"/>
        <family val="2"/>
      </rPr>
      <t>1131</t>
    </r>
    <r>
      <rPr>
        <sz val="10"/>
        <color rgb="FF0000FF"/>
        <rFont val="宋体"/>
        <family val="3"/>
        <charset val="134"/>
      </rPr>
      <t>号等审计准则和指南的要求编制，说明涉及事项内容、应对措施、审计结论或解决方法，以及可能对审计报告的影响。</t>
    </r>
    <phoneticPr fontId="4" type="noConversion"/>
  </si>
  <si>
    <r>
      <rPr>
        <sz val="10"/>
        <color rgb="FF0000FF"/>
        <rFont val="宋体"/>
        <family val="3"/>
        <charset val="134"/>
      </rPr>
      <t>重大事项说明（如适用，根据</t>
    </r>
    <r>
      <rPr>
        <sz val="10"/>
        <color rgb="FF0000FF"/>
        <rFont val="Arial Narrow"/>
        <family val="2"/>
      </rPr>
      <t>1131</t>
    </r>
    <r>
      <rPr>
        <sz val="10"/>
        <color rgb="FF0000FF"/>
        <rFont val="宋体"/>
        <family val="3"/>
        <charset val="134"/>
      </rPr>
      <t>号等审计准则和指南的要求编制，说明涉及事项内容、应对措施、审计结论或解决方法，以及可能对审计报告的影响）</t>
    </r>
    <phoneticPr fontId="4" type="noConversion"/>
  </si>
  <si>
    <r>
      <t>A</t>
    </r>
    <r>
      <rPr>
        <sz val="10"/>
        <color rgb="FF0000FF"/>
        <rFont val="宋体"/>
        <family val="3"/>
        <charset val="134"/>
      </rPr>
      <t>、风险评估结果和内控了解、测试情况（不适用则说明：不存在重大错报风险。</t>
    </r>
    <r>
      <rPr>
        <sz val="10"/>
        <color rgb="FF0000FF"/>
        <rFont val="Arial Narrow"/>
        <family val="2"/>
      </rPr>
      <t>)</t>
    </r>
  </si>
  <si>
    <r>
      <t>(</t>
    </r>
    <r>
      <rPr>
        <sz val="10"/>
        <color rgb="FF0000FF"/>
        <rFont val="宋体"/>
        <family val="3"/>
        <charset val="134"/>
      </rPr>
      <t>识别和实际评估的重大错报风险、尤其识特别风险，以及对内控了解和控制测试情况〔采用综合方案时〕）；</t>
    </r>
  </si>
  <si>
    <r>
      <rPr>
        <sz val="10"/>
        <color rgb="FF0000FF"/>
        <rFont val="宋体"/>
        <family val="3"/>
        <charset val="134"/>
      </rPr>
      <t>提示：</t>
    </r>
    <r>
      <rPr>
        <sz val="10"/>
        <color rgb="FF0000FF"/>
        <rFont val="Arial Narrow"/>
        <family val="2"/>
      </rPr>
      <t>a</t>
    </r>
    <r>
      <rPr>
        <sz val="10"/>
        <color rgb="FF0000FF"/>
        <rFont val="宋体"/>
        <family val="3"/>
        <charset val="134"/>
      </rPr>
      <t>、收入科目应当假定存在舞弊的特别风险，如不存在，应说明理由；</t>
    </r>
  </si>
  <si>
    <r>
      <rPr>
        <sz val="10"/>
        <color rgb="FF0000FF"/>
        <rFont val="宋体"/>
        <family val="3"/>
        <charset val="134"/>
      </rPr>
      <t>特别风险涉及的事项包括但不限于：</t>
    </r>
  </si>
  <si>
    <r>
      <rPr>
        <sz val="10"/>
        <color rgb="FF0000FF"/>
        <rFont val="宋体"/>
        <family val="3"/>
        <charset val="134"/>
      </rPr>
      <t>（</t>
    </r>
    <r>
      <rPr>
        <sz val="10"/>
        <color rgb="FF0000FF"/>
        <rFont val="Arial Narrow"/>
        <family val="2"/>
      </rPr>
      <t>1</t>
    </r>
    <r>
      <rPr>
        <sz val="10"/>
        <color rgb="FF0000FF"/>
        <rFont val="宋体"/>
        <family val="3"/>
        <charset val="134"/>
      </rPr>
      <t>）舞弊风险（如</t>
    </r>
    <r>
      <rPr>
        <sz val="10"/>
        <color rgb="FF0000FF"/>
        <rFont val="Arial Narrow"/>
        <family val="2"/>
      </rPr>
      <t>1141</t>
    </r>
    <r>
      <rPr>
        <sz val="10"/>
        <color rgb="FF0000FF"/>
        <rFont val="宋体"/>
        <family val="3"/>
        <charset val="134"/>
      </rPr>
      <t>准则的示例）；（</t>
    </r>
    <r>
      <rPr>
        <sz val="10"/>
        <color rgb="FF0000FF"/>
        <rFont val="Arial Narrow"/>
        <family val="2"/>
      </rPr>
      <t>2</t>
    </r>
    <r>
      <rPr>
        <sz val="10"/>
        <color rgb="FF0000FF"/>
        <rFont val="宋体"/>
        <family val="3"/>
        <charset val="134"/>
      </rPr>
      <t>）重大非常规交易（如企业购并、债务重组、非货币性资产交换、重大或有事项、持续经营、违反法律法规等）；</t>
    </r>
    <r>
      <rPr>
        <sz val="10"/>
        <color rgb="FF0000FF"/>
        <rFont val="Arial Narrow"/>
        <family val="2"/>
      </rPr>
      <t>(3)</t>
    </r>
    <r>
      <rPr>
        <sz val="10"/>
        <color rgb="FF0000FF"/>
        <rFont val="宋体"/>
        <family val="3"/>
        <charset val="134"/>
      </rPr>
      <t>重大关联交易；</t>
    </r>
    <phoneticPr fontId="4" type="noConversion"/>
  </si>
  <si>
    <r>
      <t>(4)</t>
    </r>
    <r>
      <rPr>
        <sz val="10"/>
        <color rgb="FF0000FF"/>
        <rFont val="宋体"/>
        <family val="3"/>
        <charset val="134"/>
      </rPr>
      <t>重大判断事项（如重大会计估计、会计政策及其变更）；</t>
    </r>
    <r>
      <rPr>
        <sz val="10"/>
        <color rgb="FF0000FF"/>
        <rFont val="Arial Narrow"/>
        <family val="2"/>
      </rPr>
      <t>(5)</t>
    </r>
    <r>
      <rPr>
        <sz val="10"/>
        <color rgb="FF0000FF"/>
        <rFont val="宋体"/>
        <family val="3"/>
        <charset val="134"/>
      </rPr>
      <t>重大复杂交易；</t>
    </r>
    <r>
      <rPr>
        <sz val="10"/>
        <color rgb="FF0000FF"/>
        <rFont val="Arial Narrow"/>
        <family val="2"/>
      </rPr>
      <t>(6)</t>
    </r>
    <r>
      <rPr>
        <sz val="10"/>
        <color rgb="FF0000FF"/>
        <rFont val="宋体"/>
        <family val="3"/>
        <charset val="134"/>
      </rPr>
      <t>仅通过实质性程序无法应对的重大错报风险（如日常交易采用高度自动化处理）等等。</t>
    </r>
    <phoneticPr fontId="4" type="noConversion"/>
  </si>
  <si>
    <r>
      <t>B</t>
    </r>
    <r>
      <rPr>
        <sz val="10"/>
        <color rgb="FF0000FF"/>
        <rFont val="宋体"/>
        <family val="3"/>
        <charset val="134"/>
      </rPr>
      <t>、发现的重大不符事项（如适用）</t>
    </r>
  </si>
  <si>
    <r>
      <rPr>
        <sz val="10"/>
        <color rgb="FF0000FF"/>
        <rFont val="宋体"/>
        <family val="3"/>
        <charset val="134"/>
      </rPr>
      <t>按调整事项，逐笔概述调整原因及对本科目的调整金额，并说明相关底稿的索引号。</t>
    </r>
  </si>
  <si>
    <r>
      <rPr>
        <sz val="10"/>
        <color rgb="FF0000FF"/>
        <rFont val="宋体"/>
        <family val="3"/>
        <charset val="134"/>
      </rPr>
      <t>〔即具体事项内容和调整分录，见经索引的本科目或相关科目的检查表或测算表〕</t>
    </r>
  </si>
  <si>
    <r>
      <t>5</t>
    </r>
    <r>
      <rPr>
        <sz val="10"/>
        <color rgb="FF0000FF"/>
        <rFont val="宋体"/>
        <family val="3"/>
        <charset val="134"/>
      </rPr>
      <t>、说明基于获取的审计证据，在有关认定方面，是否发现重大错报或存在重大异常。</t>
    </r>
  </si>
  <si>
    <r>
      <rPr>
        <sz val="10"/>
        <color rgb="FF0000FF"/>
        <rFont val="宋体"/>
        <family val="3"/>
        <charset val="134"/>
      </rPr>
      <t>参考结论：</t>
    </r>
  </si>
  <si>
    <r>
      <t>6</t>
    </r>
    <r>
      <rPr>
        <sz val="10"/>
        <color rgb="FF0000FF"/>
        <rFont val="宋体"/>
        <family val="3"/>
        <charset val="134"/>
      </rPr>
      <t>、注释：对于按照相关会计准则采用折旧（或摊销、折耗）方法进行后续计量的固定资产、无形资产、长期待摊费用等非流动资产，折旧（或摊销、折耗）年限（或期限）只剩一年或不足一年的，无需转入“一年内到期的非流动资产”列报；预计在一年内（含一年）进行折旧（或摊销、折耗）的部分，无需转入“一年内到期的非流动资产”列报。</t>
    </r>
    <phoneticPr fontId="4" type="noConversion"/>
  </si>
  <si>
    <r>
      <t>1</t>
    </r>
    <r>
      <rPr>
        <sz val="10"/>
        <color rgb="FF0000FF"/>
        <rFont val="宋体"/>
        <family val="3"/>
        <charset val="134"/>
      </rPr>
      <t>、本科目核算企业已经发生但应由本期和以后各期负担的分摊期限在</t>
    </r>
    <r>
      <rPr>
        <sz val="10"/>
        <color rgb="FF0000FF"/>
        <rFont val="Arial Narrow"/>
        <family val="2"/>
      </rPr>
      <t>1</t>
    </r>
    <r>
      <rPr>
        <sz val="10"/>
        <color rgb="FF0000FF"/>
        <rFont val="宋体"/>
        <family val="3"/>
        <charset val="134"/>
      </rPr>
      <t>年以上的各项费用，如以经营租赁方式租入的固定资产发生的改良支出等。</t>
    </r>
  </si>
  <si>
    <r>
      <t>2</t>
    </r>
    <r>
      <rPr>
        <sz val="10"/>
        <color rgb="FF0000FF"/>
        <rFont val="宋体"/>
        <family val="3"/>
        <charset val="134"/>
      </rPr>
      <t>、自有固定资产发生的改良支出，可以作为固定资产核算，也可以作为长期待摊费用核算。</t>
    </r>
  </si>
  <si>
    <r>
      <t>3</t>
    </r>
    <r>
      <rPr>
        <sz val="10"/>
        <color rgb="FF0000FF"/>
        <rFont val="宋体"/>
        <family val="3"/>
        <charset val="134"/>
      </rPr>
      <t>、关注是否应确认为资产（可带来未来收益）。</t>
    </r>
  </si>
  <si>
    <r>
      <t>4</t>
    </r>
    <r>
      <rPr>
        <sz val="10"/>
        <color rgb="FF0000FF"/>
        <rFont val="宋体"/>
        <family val="3"/>
        <charset val="134"/>
      </rPr>
      <t>、企业在筹建期间内发生的开办费，包括人员工资、办公费、培训费、差旅费、印刷费、注册登记费等在实际发生时，借记</t>
    </r>
    <r>
      <rPr>
        <sz val="10"/>
        <color rgb="FF0000FF"/>
        <rFont val="Arial Narrow"/>
        <family val="2"/>
      </rPr>
      <t>“</t>
    </r>
    <r>
      <rPr>
        <sz val="10"/>
        <color rgb="FF0000FF"/>
        <rFont val="宋体"/>
        <family val="3"/>
        <charset val="134"/>
      </rPr>
      <t>管理费用</t>
    </r>
    <r>
      <rPr>
        <sz val="10"/>
        <color rgb="FF0000FF"/>
        <rFont val="Arial Narrow"/>
        <family val="2"/>
      </rPr>
      <t>-</t>
    </r>
    <r>
      <rPr>
        <sz val="10"/>
        <color rgb="FF0000FF"/>
        <rFont val="宋体"/>
        <family val="3"/>
        <charset val="134"/>
      </rPr>
      <t>开办费</t>
    </r>
    <r>
      <rPr>
        <sz val="10"/>
        <color rgb="FF0000FF"/>
        <rFont val="Arial Narrow"/>
        <family val="2"/>
      </rPr>
      <t>”</t>
    </r>
    <r>
      <rPr>
        <sz val="10"/>
        <color rgb="FF0000FF"/>
        <rFont val="宋体"/>
        <family val="3"/>
        <charset val="134"/>
      </rPr>
      <t>。</t>
    </r>
  </si>
  <si>
    <r>
      <t>5</t>
    </r>
    <r>
      <rPr>
        <sz val="10"/>
        <color rgb="FF0000FF"/>
        <rFont val="宋体"/>
        <family val="3"/>
        <charset val="134"/>
      </rPr>
      <t>、首次执行日企业的开办费余额，应当在首次执行日后第一个会计期间内全部确认为管理费用。</t>
    </r>
  </si>
  <si>
    <r>
      <rPr>
        <sz val="10"/>
        <color rgb="FF0000FF"/>
        <rFont val="宋体"/>
        <family val="3"/>
        <charset val="134"/>
      </rPr>
      <t>《企业所得税法》</t>
    </r>
  </si>
  <si>
    <r>
      <t>(</t>
    </r>
    <r>
      <rPr>
        <sz val="10"/>
        <color rgb="FF0000FF"/>
        <rFont val="宋体"/>
        <family val="3"/>
        <charset val="134"/>
      </rPr>
      <t>一</t>
    </r>
    <r>
      <rPr>
        <sz val="10"/>
        <color rgb="FF0000FF"/>
        <rFont val="Arial Narrow"/>
        <family val="2"/>
      </rPr>
      <t>)</t>
    </r>
    <r>
      <rPr>
        <sz val="10"/>
        <color rgb="FF0000FF"/>
        <rFont val="宋体"/>
        <family val="3"/>
        <charset val="134"/>
      </rPr>
      <t>已足额提取折旧的固定资产的改建支出；</t>
    </r>
  </si>
  <si>
    <r>
      <t>(</t>
    </r>
    <r>
      <rPr>
        <sz val="10"/>
        <color rgb="FF0000FF"/>
        <rFont val="宋体"/>
        <family val="3"/>
        <charset val="134"/>
      </rPr>
      <t>二</t>
    </r>
    <r>
      <rPr>
        <sz val="10"/>
        <color rgb="FF0000FF"/>
        <rFont val="Arial Narrow"/>
        <family val="2"/>
      </rPr>
      <t>)</t>
    </r>
    <r>
      <rPr>
        <sz val="10"/>
        <color rgb="FF0000FF"/>
        <rFont val="宋体"/>
        <family val="3"/>
        <charset val="134"/>
      </rPr>
      <t>租入固定资产的改建支出；</t>
    </r>
  </si>
  <si>
    <r>
      <t>(</t>
    </r>
    <r>
      <rPr>
        <sz val="10"/>
        <color rgb="FF0000FF"/>
        <rFont val="宋体"/>
        <family val="3"/>
        <charset val="134"/>
      </rPr>
      <t>三</t>
    </r>
    <r>
      <rPr>
        <sz val="10"/>
        <color rgb="FF0000FF"/>
        <rFont val="Arial Narrow"/>
        <family val="2"/>
      </rPr>
      <t>)</t>
    </r>
    <r>
      <rPr>
        <sz val="10"/>
        <color rgb="FF0000FF"/>
        <rFont val="宋体"/>
        <family val="3"/>
        <charset val="134"/>
      </rPr>
      <t>固定资产的大修理支出；</t>
    </r>
  </si>
  <si>
    <r>
      <t>(</t>
    </r>
    <r>
      <rPr>
        <sz val="10"/>
        <color rgb="FF0000FF"/>
        <rFont val="宋体"/>
        <family val="3"/>
        <charset val="134"/>
      </rPr>
      <t>四</t>
    </r>
    <r>
      <rPr>
        <sz val="10"/>
        <color rgb="FF0000FF"/>
        <rFont val="Arial Narrow"/>
        <family val="2"/>
      </rPr>
      <t>)</t>
    </r>
    <r>
      <rPr>
        <sz val="10"/>
        <color rgb="FF0000FF"/>
        <rFont val="宋体"/>
        <family val="3"/>
        <charset val="134"/>
      </rPr>
      <t>其他应当作为长期待摊费用的支出。</t>
    </r>
  </si>
  <si>
    <r>
      <rPr>
        <sz val="10"/>
        <color rgb="FF0000FF"/>
        <rFont val="宋体"/>
        <family val="3"/>
        <charset val="134"/>
      </rPr>
      <t>《企业所得税法实施条例》</t>
    </r>
  </si>
  <si>
    <r>
      <rPr>
        <sz val="10"/>
        <color rgb="FF0000FF"/>
        <rFont val="宋体"/>
        <family val="3"/>
        <charset val="134"/>
      </rPr>
      <t>第六十九条　企业所得税法第十三条第（三）项所称固定资产的大修理支出，是指同时符合下列条件的支出：</t>
    </r>
  </si>
  <si>
    <r>
      <rPr>
        <sz val="10"/>
        <color rgb="FF0000FF"/>
        <rFont val="宋体"/>
        <family val="3"/>
        <charset val="134"/>
      </rPr>
      <t>（一）修理支出达到取得固定资产时的计税基础</t>
    </r>
    <r>
      <rPr>
        <sz val="10"/>
        <color rgb="FF0000FF"/>
        <rFont val="Arial Narrow"/>
        <family val="2"/>
      </rPr>
      <t>50%</t>
    </r>
    <r>
      <rPr>
        <sz val="10"/>
        <color rgb="FF0000FF"/>
        <rFont val="宋体"/>
        <family val="3"/>
        <charset val="134"/>
      </rPr>
      <t>以上；</t>
    </r>
  </si>
  <si>
    <r>
      <rPr>
        <sz val="10"/>
        <color rgb="FF0000FF"/>
        <rFont val="宋体"/>
        <family val="3"/>
        <charset val="134"/>
      </rPr>
      <t>（二）修理后固定资产的使用年限延长</t>
    </r>
    <r>
      <rPr>
        <sz val="10"/>
        <color rgb="FF0000FF"/>
        <rFont val="Arial Narrow"/>
        <family val="2"/>
      </rPr>
      <t>2</t>
    </r>
    <r>
      <rPr>
        <sz val="10"/>
        <color rgb="FF0000FF"/>
        <rFont val="宋体"/>
        <family val="3"/>
        <charset val="134"/>
      </rPr>
      <t>年以上。</t>
    </r>
  </si>
  <si>
    <r>
      <rPr>
        <sz val="10"/>
        <color rgb="FF0000FF"/>
        <rFont val="宋体"/>
        <family val="3"/>
        <charset val="134"/>
      </rPr>
      <t>企业所得税法第十三条第（三）项规定的支出，按照固定资产尚可使用年限分期摊销。</t>
    </r>
  </si>
  <si>
    <r>
      <rPr>
        <sz val="10"/>
        <color rgb="FF0000FF"/>
        <rFont val="宋体"/>
        <family val="3"/>
        <charset val="134"/>
      </rPr>
      <t>第七十条　企业所得税法第十三条第（四）项所称其他应当作为长期待摊费用的支出，自支出发生月份的次月起，分期摊销，摊销年限不得低于</t>
    </r>
    <r>
      <rPr>
        <sz val="10"/>
        <color rgb="FF0000FF"/>
        <rFont val="Arial Narrow"/>
        <family val="2"/>
      </rPr>
      <t>3</t>
    </r>
    <r>
      <rPr>
        <sz val="10"/>
        <color rgb="FF0000FF"/>
        <rFont val="宋体"/>
        <family val="3"/>
        <charset val="134"/>
      </rPr>
      <t>年。</t>
    </r>
  </si>
  <si>
    <t>I4-2</t>
    <phoneticPr fontId="4" type="noConversion"/>
  </si>
  <si>
    <t>报表项目</t>
    <phoneticPr fontId="19" type="noConversion"/>
  </si>
  <si>
    <t>【注：本底稿适用于调整分录较多、较复杂的项目，且仅列示与本报表项目相关的审计调整。项目组可根据项目实际情况选择是否使用该底稿。】</t>
    <phoneticPr fontId="4" type="noConversion"/>
  </si>
  <si>
    <r>
      <rPr>
        <b/>
        <sz val="10"/>
        <rFont val="宋体"/>
        <family val="3"/>
        <charset val="134"/>
      </rPr>
      <t>二、审计过程：</t>
    </r>
    <phoneticPr fontId="4" type="noConversion"/>
  </si>
  <si>
    <r>
      <rPr>
        <b/>
        <sz val="10"/>
        <rFont val="宋体"/>
        <family val="3"/>
        <charset val="134"/>
      </rPr>
      <t>四、审计结论：</t>
    </r>
    <phoneticPr fontId="4" type="noConversion"/>
  </si>
  <si>
    <r>
      <t>3</t>
    </r>
    <r>
      <rPr>
        <b/>
        <sz val="10"/>
        <rFont val="宋体"/>
        <family val="3"/>
        <charset val="134"/>
      </rPr>
      <t>、如本期存在会计估计变更，原会计估计如下：</t>
    </r>
    <phoneticPr fontId="4" type="noConversion"/>
  </si>
  <si>
    <r>
      <rPr>
        <b/>
        <sz val="10"/>
        <color indexed="8"/>
        <rFont val="宋体"/>
        <family val="3"/>
        <charset val="134"/>
      </rPr>
      <t>一、审计目标</t>
    </r>
    <r>
      <rPr>
        <b/>
        <sz val="10"/>
        <color indexed="8"/>
        <rFont val="Arial Narrow"/>
        <family val="2"/>
      </rPr>
      <t>:</t>
    </r>
    <phoneticPr fontId="21" type="noConversion"/>
  </si>
  <si>
    <r>
      <rPr>
        <sz val="10"/>
        <rFont val="宋体"/>
        <family val="3"/>
        <charset val="134"/>
      </rPr>
      <t>判断长期待摊费用相关重大会计政策和会计估计合理性检查</t>
    </r>
    <phoneticPr fontId="4" type="noConversion"/>
  </si>
  <si>
    <r>
      <t>2</t>
    </r>
    <r>
      <rPr>
        <b/>
        <sz val="10"/>
        <rFont val="宋体"/>
        <family val="3"/>
        <charset val="134"/>
      </rPr>
      <t>、同行业其他公司的长期待摊费用摊销政策（如适用）</t>
    </r>
    <phoneticPr fontId="4" type="noConversion"/>
  </si>
  <si>
    <r>
      <rPr>
        <b/>
        <sz val="10"/>
        <rFont val="宋体"/>
        <family val="3"/>
        <charset val="134"/>
      </rPr>
      <t>三、审计说明：</t>
    </r>
    <phoneticPr fontId="4" type="noConversion"/>
  </si>
  <si>
    <t>索引号：</t>
    <phoneticPr fontId="4" type="noConversion"/>
  </si>
  <si>
    <t>测试总体：</t>
  </si>
  <si>
    <t>如贷方发生额所有凭证共XX笔金额XX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</si>
  <si>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</si>
  <si>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</si>
  <si>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</si>
  <si>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</si>
  <si>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</si>
  <si>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抽样方法：</t>
  </si>
  <si>
    <t>抽样过程：</t>
  </si>
  <si>
    <t>使用IDEA（XX抽样工具）选择XX数量、金额XX的样本进行测试，抽样工具中的样本选择过程和结果见&lt;XX&gt;底稿</t>
  </si>
  <si>
    <r>
      <t>1</t>
    </r>
    <r>
      <rPr>
        <sz val="10"/>
        <color rgb="FF0000FF"/>
        <rFont val="宋体"/>
        <family val="3"/>
        <charset val="134"/>
      </rPr>
      <t>、使用寿命有限的无形资产应当摊销，使用寿命不确定的无形资产不予摊销。</t>
    </r>
  </si>
  <si>
    <r>
      <t>2</t>
    </r>
    <r>
      <rPr>
        <sz val="10"/>
        <color rgb="FF0000FF"/>
        <rFont val="宋体"/>
        <family val="3"/>
        <charset val="134"/>
      </rPr>
      <t>、来源于合同性权利或其他法定权利的无形资产，其使用寿命不应超过合同性权利或其他法定权利的期限；</t>
    </r>
  </si>
  <si>
    <r>
      <rPr>
        <sz val="10"/>
        <color rgb="FF0000FF"/>
        <rFont val="宋体"/>
        <family val="3"/>
        <charset val="134"/>
      </rPr>
      <t>合同性权利或其他法定权利在到期时因续约等延续、且有证据表明企业续约不需要付出大额成本的，续约期应当计入使用寿命。</t>
    </r>
  </si>
  <si>
    <r>
      <t>3</t>
    </r>
    <r>
      <rPr>
        <sz val="10"/>
        <color rgb="FF0000FF"/>
        <rFont val="宋体"/>
        <family val="3"/>
        <charset val="134"/>
      </rPr>
      <t>、合同或法律没有规定使用寿命的，企业应当综合各方面因素判断，以确定无形资产能为企业带来经济利益的期限。</t>
    </r>
  </si>
  <si>
    <r>
      <t>4</t>
    </r>
    <r>
      <rPr>
        <sz val="10"/>
        <color rgb="FF0000FF"/>
        <rFont val="宋体"/>
        <family val="3"/>
        <charset val="134"/>
      </rPr>
      <t>、按照上述方法仍无法合理确定无形资产为企业带来经济利益期限的，该项无形资产应作为使用寿命不确定的无形资产。</t>
    </r>
  </si>
  <si>
    <r>
      <t>5</t>
    </r>
    <r>
      <rPr>
        <sz val="10"/>
        <color rgb="FF0000FF"/>
        <rFont val="宋体"/>
        <family val="3"/>
        <charset val="134"/>
      </rPr>
      <t>、无形资产的摊销金额一般应当计入当期损益。某项无形资产包含的经济利益通过所生产的产品或其他资产实现的，其摊销金额应当计入相关资产的成本。</t>
    </r>
  </si>
  <si>
    <t>I4-7</t>
    <phoneticPr fontId="4" type="noConversion"/>
  </si>
  <si>
    <t>I4-5</t>
    <phoneticPr fontId="19" type="noConversion"/>
  </si>
  <si>
    <r>
      <t>取得长期待摊费用期初余额明细表复核加计是否正确，与总账、明细账合计数是否相符；如适用，测试累计摊销。确定是否需要补充必要的程序，如果是，执行适当的应对程序。</t>
    </r>
    <r>
      <rPr>
        <sz val="10"/>
        <color rgb="FFFF0000"/>
        <rFont val="宋体"/>
        <family val="3"/>
        <charset val="134"/>
      </rPr>
      <t>（适用于首次承接）</t>
    </r>
    <phoneticPr fontId="19" type="noConversion"/>
  </si>
  <si>
    <t>I4A</t>
    <phoneticPr fontId="4" type="noConversion"/>
  </si>
  <si>
    <t>I4-2</t>
    <phoneticPr fontId="4" type="noConversion"/>
  </si>
  <si>
    <t>I4-3</t>
  </si>
  <si>
    <t>I4-4</t>
  </si>
  <si>
    <t>I4-5</t>
  </si>
  <si>
    <t>I4-6</t>
  </si>
  <si>
    <t>I4-7</t>
  </si>
  <si>
    <t>长期待摊费用实质性程序</t>
    <phoneticPr fontId="4" type="noConversion"/>
  </si>
  <si>
    <t>长期待摊费用审定表</t>
  </si>
  <si>
    <t>长期待摊费用附注披露表（上市公司）</t>
    <phoneticPr fontId="4" type="noConversion"/>
  </si>
  <si>
    <t>长期待摊费用附注披露表（国有企业）</t>
    <phoneticPr fontId="4" type="noConversion"/>
  </si>
  <si>
    <t>长期待摊费用明细表</t>
    <phoneticPr fontId="4" type="noConversion"/>
  </si>
  <si>
    <t>调整分录汇总</t>
    <phoneticPr fontId="4" type="noConversion"/>
  </si>
  <si>
    <t>摊销政策检查表</t>
    <phoneticPr fontId="4" type="noConversion"/>
  </si>
  <si>
    <t>针对性检查表</t>
  </si>
  <si>
    <t>长期待摊费用摊销测算表</t>
    <phoneticPr fontId="4" type="noConversion"/>
  </si>
  <si>
    <t>长期待摊费用摊销测算表（采用工作量法时使用）</t>
    <phoneticPr fontId="4" type="noConversion"/>
  </si>
  <si>
    <t>索引号：</t>
    <phoneticPr fontId="4" type="noConversion"/>
  </si>
  <si>
    <t>页次：</t>
    <phoneticPr fontId="4" type="noConversion"/>
  </si>
  <si>
    <t>检查长期待摊费用是否已按企业会计准则或其他适用的规定在财务报表中做出恰当列报和披露。</t>
    <phoneticPr fontId="19" type="noConversion"/>
  </si>
  <si>
    <t>根据评估的舞弊风险等因素增加的审计程序。</t>
  </si>
  <si>
    <t>IPO/上市/新三板/重组/舞弊应对</t>
  </si>
  <si>
    <t>7</t>
    <phoneticPr fontId="19" type="noConversion"/>
  </si>
  <si>
    <t>8</t>
    <phoneticPr fontId="19" type="noConversion"/>
  </si>
  <si>
    <t>I4-1
/I4-2</t>
    <phoneticPr fontId="19" type="noConversion"/>
  </si>
  <si>
    <r>
      <t>A1-1/</t>
    </r>
    <r>
      <rPr>
        <sz val="10"/>
        <color indexed="10"/>
        <rFont val="Arial Narrow"/>
        <family val="2"/>
      </rPr>
      <t>A1-15 /A1-16</t>
    </r>
  </si>
  <si>
    <t>T1</t>
    <phoneticPr fontId="19" type="noConversion"/>
  </si>
  <si>
    <t>三、计划实施的实质性程序</t>
    <phoneticPr fontId="4" type="noConversion"/>
  </si>
  <si>
    <r>
      <rPr>
        <sz val="10"/>
        <color theme="1"/>
        <rFont val="宋体"/>
        <family val="3"/>
        <charset val="134"/>
      </rPr>
      <t>√</t>
    </r>
    <phoneticPr fontId="4" type="noConversion"/>
  </si>
  <si>
    <r>
      <rPr>
        <b/>
        <sz val="10"/>
        <color theme="1"/>
        <rFont val="宋体"/>
        <family val="3"/>
        <charset val="134"/>
      </rPr>
      <t>√</t>
    </r>
    <phoneticPr fontId="4"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</si>
  <si>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41"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</si>
  <si>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41" type="noConversion"/>
  </si>
  <si>
    <t>关注会计政策、会计估计合理性、一贯性，关注其是否利用会计政策和会计估计及其变更操纵利润。
（1）对于长期待摊费用，了解各个长期待摊费用项目，及其摊销政策，摊销年限等，检查其是否符合企业会计准则的规定。；
（2）将被审计单位本期的会计政策、会计估计与前期进行对比，分析其是否前后一致。对于存在会计政策、会计估计变更的情形，判断是否合理，会计处理是否正确；
（3）与同行业其他公司的会计政策、会计估计进行对比，关注其是否利用会计政策和会计估计变更操纵利润；</t>
    <phoneticPr fontId="19" type="noConversion"/>
  </si>
  <si>
    <r>
      <rPr>
        <b/>
        <sz val="10"/>
        <rFont val="宋体"/>
        <family val="3"/>
        <charset val="134"/>
      </rPr>
      <t>√</t>
    </r>
    <phoneticPr fontId="4" type="noConversion"/>
  </si>
  <si>
    <r>
      <rPr>
        <sz val="10"/>
        <rFont val="宋体"/>
        <family val="3"/>
        <charset val="134"/>
      </rPr>
      <t>√</t>
    </r>
    <phoneticPr fontId="4" type="noConversion"/>
  </si>
  <si>
    <r>
      <rPr>
        <b/>
        <sz val="10"/>
        <rFont val="宋体"/>
        <family val="3"/>
        <charset val="134"/>
      </rPr>
      <t>√</t>
    </r>
    <phoneticPr fontId="4" type="noConversion"/>
  </si>
  <si>
    <r>
      <rPr>
        <sz val="10"/>
        <rFont val="宋体"/>
        <family val="3"/>
        <charset val="134"/>
      </rPr>
      <t>√</t>
    </r>
    <phoneticPr fontId="4" type="noConversion"/>
  </si>
  <si>
    <r>
      <rPr>
        <sz val="10"/>
        <rFont val="宋体"/>
        <family val="3"/>
        <charset val="134"/>
      </rPr>
      <t>√</t>
    </r>
    <phoneticPr fontId="4" type="noConversion"/>
  </si>
  <si>
    <r>
      <rPr>
        <b/>
        <sz val="10"/>
        <rFont val="宋体"/>
        <family val="3"/>
        <charset val="134"/>
      </rPr>
      <t>√</t>
    </r>
    <phoneticPr fontId="4" type="noConversion"/>
  </si>
  <si>
    <t>检查与长期待摊费用增加有关的的记账凭证和原始凭证，检查长期待摊费用增加的合法性和真实性，查阅有关合同、协议等资料和支出凭证，是否经授权批准，会计处理是否正确；关注检查长期待摊费用中是否存在应计入期间费用的支出，租入固定资产改良支出与修理费的划分是否正确。</t>
    <phoneticPr fontId="19" type="noConversion"/>
  </si>
  <si>
    <t xml:space="preserve">
I4-4</t>
    <phoneticPr fontId="19" type="noConversion"/>
  </si>
  <si>
    <t xml:space="preserve">
I4-6
/I4-7</t>
    <phoneticPr fontId="19" type="noConversion"/>
  </si>
  <si>
    <t>记账凭证</t>
  </si>
  <si>
    <t>支持性文件</t>
  </si>
  <si>
    <t>核对内容</t>
  </si>
  <si>
    <t>索引号</t>
  </si>
  <si>
    <t>是否异常</t>
  </si>
  <si>
    <t>备注说明</t>
  </si>
  <si>
    <t>日期</t>
  </si>
  <si>
    <t>凭证编号</t>
  </si>
  <si>
    <t>业务内容</t>
  </si>
  <si>
    <t>对方科目</t>
  </si>
  <si>
    <t>对方明细科目</t>
  </si>
  <si>
    <t>借方金额</t>
  </si>
  <si>
    <t>贷方金额</t>
  </si>
  <si>
    <r>
      <t>测试内容说明：</t>
    </r>
    <r>
      <rPr>
        <sz val="10"/>
        <color indexed="10"/>
        <rFont val="Arial Narrow"/>
        <family val="2"/>
      </rPr>
      <t>1.</t>
    </r>
    <r>
      <rPr>
        <sz val="10"/>
        <color indexed="10"/>
        <rFont val="宋体"/>
        <family val="2"/>
      </rPr>
      <t>原始凭证是否齐全；</t>
    </r>
    <r>
      <rPr>
        <sz val="10"/>
        <color indexed="10"/>
        <rFont val="Arial Narrow"/>
        <family val="2"/>
      </rPr>
      <t xml:space="preserve"> 2.</t>
    </r>
    <r>
      <rPr>
        <sz val="10"/>
        <color indexed="10"/>
        <rFont val="宋体"/>
        <family val="2"/>
      </rPr>
      <t>记账凭证与原始凭证是否相符；</t>
    </r>
    <r>
      <rPr>
        <sz val="10"/>
        <color indexed="10"/>
        <rFont val="Arial Narrow"/>
        <family val="2"/>
      </rPr>
      <t>3.</t>
    </r>
    <r>
      <rPr>
        <sz val="10"/>
        <color indexed="10"/>
        <rFont val="宋体"/>
        <family val="2"/>
      </rPr>
      <t>账务处理是否正确；</t>
    </r>
    <r>
      <rPr>
        <sz val="10"/>
        <color indexed="10"/>
        <rFont val="Arial Narrow"/>
        <family val="2"/>
      </rPr>
      <t>4.</t>
    </r>
    <r>
      <rPr>
        <sz val="10"/>
        <color indexed="10"/>
        <rFont val="宋体"/>
        <family val="2"/>
      </rPr>
      <t>是否记录于恰当的会计期间；</t>
    </r>
    <r>
      <rPr>
        <sz val="10"/>
        <color indexed="10"/>
        <rFont val="Arial Narrow"/>
        <family val="2"/>
      </rPr>
      <t>5.……</t>
    </r>
  </si>
  <si>
    <t>项目明细</t>
    <phoneticPr fontId="4" type="noConversion"/>
  </si>
  <si>
    <t>长期待摊费用实质性程序</t>
    <phoneticPr fontId="36" type="noConversion"/>
  </si>
  <si>
    <r>
      <rPr>
        <b/>
        <sz val="14"/>
        <color indexed="8"/>
        <rFont val="宋体"/>
        <family val="3"/>
        <charset val="134"/>
      </rPr>
      <t>长期待摊费用审定表</t>
    </r>
  </si>
  <si>
    <r>
      <rPr>
        <b/>
        <sz val="12"/>
        <color indexed="8"/>
        <rFont val="宋体"/>
        <family val="3"/>
        <charset val="134"/>
      </rPr>
      <t>致同会计师事务所</t>
    </r>
  </si>
  <si>
    <r>
      <rPr>
        <b/>
        <sz val="14"/>
        <color indexed="8"/>
        <rFont val="宋体"/>
        <family val="3"/>
        <charset val="134"/>
      </rPr>
      <t>摊销政策检查表</t>
    </r>
    <phoneticPr fontId="4" type="noConversion"/>
  </si>
  <si>
    <r>
      <rPr>
        <sz val="10"/>
        <rFont val="宋体"/>
        <family val="3"/>
        <charset val="134"/>
      </rPr>
      <t>被审计单位：</t>
    </r>
    <r>
      <rPr>
        <sz val="10"/>
        <rFont val="Arial Narrow"/>
        <family val="2"/>
      </rPr>
      <t/>
    </r>
    <phoneticPr fontId="4" type="noConversion"/>
  </si>
  <si>
    <t>编制人：</t>
    <phoneticPr fontId="4" type="noConversion"/>
  </si>
  <si>
    <t>编制日期：</t>
    <phoneticPr fontId="4" type="noConversion"/>
  </si>
  <si>
    <t>复核人：</t>
    <phoneticPr fontId="4" type="noConversion"/>
  </si>
  <si>
    <t>复核日期：</t>
    <phoneticPr fontId="4" type="noConversion"/>
  </si>
  <si>
    <r>
      <t xml:space="preserve">B. </t>
    </r>
    <r>
      <rPr>
        <sz val="10"/>
        <rFont val="宋体"/>
        <family val="3"/>
        <charset val="134"/>
      </rPr>
      <t>所有应记录的长期待摊费用均已记录，所有应当包括在财务报表中的相关披露均已包括</t>
    </r>
    <phoneticPr fontId="19" type="noConversion"/>
  </si>
  <si>
    <r>
      <t xml:space="preserve">C. </t>
    </r>
    <r>
      <rPr>
        <sz val="10"/>
        <rFont val="宋体"/>
        <family val="3"/>
        <charset val="134"/>
      </rPr>
      <t>记录的长期待摊费用由被审计单位拥有或控制</t>
    </r>
    <phoneticPr fontId="19" type="noConversion"/>
  </si>
  <si>
    <r>
      <t xml:space="preserve">D. </t>
    </r>
    <r>
      <rPr>
        <sz val="10"/>
        <rFont val="宋体"/>
        <family val="3"/>
        <charset val="134"/>
      </rPr>
      <t>长期待摊费用以恰当的金额包括在财务报表中，与之相关的计价或分摊调整已恰当记录，相关披露已得到恰当计量和描述</t>
    </r>
    <r>
      <rPr>
        <sz val="10"/>
        <rFont val="Arial"/>
        <family val="2"/>
      </rPr>
      <t xml:space="preserve"> </t>
    </r>
    <phoneticPr fontId="19" type="noConversion"/>
  </si>
  <si>
    <r>
      <t xml:space="preserve">E. </t>
    </r>
    <r>
      <rPr>
        <sz val="10"/>
        <rFont val="宋体"/>
        <family val="3"/>
        <charset val="134"/>
      </rPr>
      <t>长期待摊费用已被恰当地汇总或分解且表述清楚，相关披露在按照企业会计准则的编制基础下是相关的、可理解的</t>
    </r>
    <phoneticPr fontId="19"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</si>
  <si>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4" type="noConversion"/>
  </si>
  <si>
    <t>关于工作底稿与审计程序索引号对应的说明</t>
    <phoneticPr fontId="4" type="noConversion"/>
  </si>
  <si>
    <r>
      <t>1.</t>
    </r>
    <r>
      <rPr>
        <b/>
        <sz val="12"/>
        <rFont val="宋体"/>
        <family val="3"/>
        <charset val="134"/>
      </rPr>
      <t>编制的审计工作底稿应与审计程序对应。</t>
    </r>
    <r>
      <rPr>
        <sz val="11"/>
        <color theme="1"/>
        <rFont val="宋体"/>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4" type="noConversion"/>
  </si>
  <si>
    <r>
      <t>2.</t>
    </r>
    <r>
      <rPr>
        <b/>
        <sz val="12"/>
        <rFont val="宋体"/>
        <family val="3"/>
        <charset val="134"/>
      </rPr>
      <t>获取的支持性证据应与审计底稿或程序对应。</t>
    </r>
    <r>
      <rPr>
        <sz val="11"/>
        <color theme="1"/>
        <rFont val="宋体"/>
        <charset val="134"/>
        <scheme val="minor"/>
      </rPr>
      <t>审计项目组在完成底稿时获取的支持性证据应根据底稿索引号编制下一级按自然顺序排序的索引号（如</t>
    </r>
    <r>
      <rPr>
        <sz val="12"/>
        <rFont val="Arial Narrow"/>
        <family val="2"/>
      </rPr>
      <t>D1-2-1</t>
    </r>
    <r>
      <rPr>
        <sz val="11"/>
        <color theme="1"/>
        <rFont val="宋体"/>
        <charset val="134"/>
        <scheme val="minor"/>
      </rPr>
      <t>、</t>
    </r>
    <r>
      <rPr>
        <sz val="12"/>
        <rFont val="Arial Narrow"/>
        <family val="2"/>
      </rPr>
      <t>D1-2-2</t>
    </r>
    <r>
      <rPr>
        <sz val="11"/>
        <color theme="1"/>
        <rFont val="宋体"/>
        <charset val="134"/>
        <scheme val="minor"/>
      </rPr>
      <t>、</t>
    </r>
    <r>
      <rPr>
        <sz val="12"/>
        <rFont val="Arial Narrow"/>
        <family val="2"/>
      </rPr>
      <t>……</t>
    </r>
    <r>
      <rPr>
        <sz val="11"/>
        <color theme="1"/>
        <rFont val="宋体"/>
        <charset val="134"/>
        <scheme val="minor"/>
      </rPr>
      <t>），并在底稿中说明引用的支持性证据、关联索引号。</t>
    </r>
    <phoneticPr fontId="4" type="noConversion"/>
  </si>
  <si>
    <r>
      <rPr>
        <b/>
        <sz val="12"/>
        <rFont val="Arial Narrow"/>
        <family val="2"/>
      </rPr>
      <t>3.</t>
    </r>
    <r>
      <rPr>
        <b/>
        <sz val="12"/>
        <rFont val="宋体"/>
        <family val="3"/>
        <charset val="134"/>
      </rPr>
      <t>工作底稿索引号的编码规则：</t>
    </r>
    <r>
      <rPr>
        <sz val="11"/>
        <color theme="1"/>
        <rFont val="宋体"/>
        <charset val="134"/>
        <scheme val="minor"/>
      </rPr>
      <t>实质性程序索引号按循环从</t>
    </r>
    <r>
      <rPr>
        <sz val="12"/>
        <rFont val="Arial Narrow"/>
        <family val="2"/>
      </rPr>
      <t>“D”</t>
    </r>
    <r>
      <rPr>
        <sz val="11"/>
        <color theme="1"/>
        <rFont val="宋体"/>
        <charset val="134"/>
        <scheme val="minor"/>
      </rPr>
      <t>到</t>
    </r>
    <r>
      <rPr>
        <sz val="12"/>
        <rFont val="Arial Narrow"/>
        <family val="2"/>
      </rPr>
      <t>“N”,</t>
    </r>
    <r>
      <rPr>
        <sz val="11"/>
        <color theme="1"/>
        <rFont val="宋体"/>
        <charset val="134"/>
        <scheme val="minor"/>
      </rPr>
      <t>循环内账户以顺序号排列，模板中底稿索引号按账户顺序</t>
    </r>
    <r>
      <rPr>
        <sz val="12"/>
        <rFont val="Arial Narrow"/>
        <family val="2"/>
      </rPr>
      <t>+</t>
    </r>
    <r>
      <rPr>
        <sz val="11"/>
        <color theme="1"/>
        <rFont val="宋体"/>
        <charset val="134"/>
        <scheme val="minor"/>
      </rPr>
      <t>自然数顺序（即模板中索引号按二级自然顺序排列，如</t>
    </r>
    <r>
      <rPr>
        <sz val="12"/>
        <rFont val="Arial Narrow"/>
        <family val="2"/>
      </rPr>
      <t>D1-1</t>
    </r>
    <r>
      <rPr>
        <sz val="11"/>
        <color theme="1"/>
        <rFont val="宋体"/>
        <charset val="134"/>
        <scheme val="minor"/>
      </rPr>
      <t>、</t>
    </r>
    <r>
      <rPr>
        <sz val="12"/>
        <rFont val="Arial Narrow"/>
        <family val="2"/>
      </rPr>
      <t>D1-2</t>
    </r>
    <r>
      <rPr>
        <sz val="11"/>
        <color theme="1"/>
        <rFont val="宋体"/>
        <charset val="134"/>
        <scheme val="minor"/>
      </rPr>
      <t>、</t>
    </r>
    <r>
      <rPr>
        <sz val="12"/>
        <rFont val="Arial Narrow"/>
        <family val="2"/>
      </rPr>
      <t>D1-3</t>
    </r>
    <r>
      <rPr>
        <sz val="11"/>
        <color theme="1"/>
        <rFont val="宋体"/>
        <charset val="134"/>
        <scheme val="minor"/>
      </rPr>
      <t>、</t>
    </r>
    <r>
      <rPr>
        <sz val="12"/>
        <rFont val="Arial Narrow"/>
        <family val="2"/>
      </rPr>
      <t>……D1-N</t>
    </r>
    <r>
      <rPr>
        <sz val="11"/>
        <color theme="1"/>
        <rFont val="宋体"/>
        <charset val="134"/>
        <scheme val="minor"/>
      </rPr>
      <t>）。</t>
    </r>
    <phoneticPr fontId="4" type="noConversion"/>
  </si>
  <si>
    <t>根据被审计单位实际情况和风险评估情况裁剪、修改或增加审计程序</t>
    <phoneticPr fontId="4" type="noConversion"/>
  </si>
  <si>
    <t>审计程序</t>
    <phoneticPr fontId="41" type="noConversion"/>
  </si>
  <si>
    <t>长期待摊费用明细表</t>
    <phoneticPr fontId="4" type="noConversion"/>
  </si>
  <si>
    <t>随机选样/系统选样/货币单元抽样/随意选样（非统计抽样适用）</t>
    <phoneticPr fontId="4" type="noConversion"/>
  </si>
  <si>
    <t>合计</t>
    <phoneticPr fontId="4" type="noConversion"/>
  </si>
  <si>
    <t>本期发生额</t>
    <phoneticPr fontId="4" type="noConversion"/>
  </si>
  <si>
    <t>检查比例</t>
    <phoneticPr fontId="4" type="noConversion"/>
  </si>
  <si>
    <t>抽取XX笔（如果使用了样本计算器计算样本量，样本量计算过程见&lt;XX&gt;底稿）</t>
    <phoneticPr fontId="4" type="noConversion"/>
  </si>
  <si>
    <t>长期待摊费用摊销测算表</t>
    <phoneticPr fontId="4" type="noConversion"/>
  </si>
  <si>
    <t>长期待摊费用摊销测算表</t>
    <phoneticPr fontId="4" type="noConversion"/>
  </si>
  <si>
    <t>I4-6</t>
    <phoneticPr fontId="4" type="noConversion"/>
  </si>
  <si>
    <t>I4-5</t>
    <phoneticPr fontId="4" type="noConversion"/>
  </si>
  <si>
    <t>I4-4</t>
    <phoneticPr fontId="4" type="noConversion"/>
  </si>
  <si>
    <t>I4-3</t>
    <phoneticPr fontId="4" type="noConversion"/>
  </si>
  <si>
    <t>I4A</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</si>
</sst>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6" formatCode="_([$€-2]* #,##0.00_);_([$€-2]* \(#,##0.00\);_([$€-2]* &quot;-&quot;??_)"/>
    <numFmt numFmtId="177" formatCode="_ * #,##0.0000_ ;_ * \-#,##0.0000_ ;_ * &quot;-&quot;??_ ;_ @_ "/>
  </numFmts>
  <fonts count="80">
    <font>
      <sz val="11"/>
      <color theme="1"/>
      <name val="宋体"/>
      <charset val="134"/>
      <scheme val="minor"/>
    </font>
    <font>
      <sz val="11"/>
      <color theme="1"/>
      <name val="宋体"/>
      <family val="2"/>
      <charset val="134"/>
      <scheme val="minor"/>
    </font>
    <font>
      <sz val="11"/>
      <color theme="1"/>
      <name val="宋体"/>
      <family val="2"/>
      <charset val="134"/>
      <scheme val="minor"/>
    </font>
    <font>
      <sz val="11"/>
      <color theme="1"/>
      <name val="宋体"/>
      <family val="2"/>
      <scheme val="minor"/>
    </font>
    <font>
      <sz val="9"/>
      <name val="宋体"/>
      <family val="3"/>
      <charset val="134"/>
    </font>
    <font>
      <sz val="11"/>
      <color indexed="8"/>
      <name val="宋体"/>
      <family val="3"/>
      <charset val="134"/>
    </font>
    <font>
      <sz val="10"/>
      <color indexed="8"/>
      <name val="Arial Narrow"/>
      <family val="2"/>
    </font>
    <font>
      <b/>
      <sz val="10"/>
      <color indexed="8"/>
      <name val="Arial Narrow"/>
      <family val="2"/>
    </font>
    <font>
      <b/>
      <sz val="10"/>
      <color indexed="8"/>
      <name val="宋体"/>
      <family val="3"/>
      <charset val="134"/>
    </font>
    <font>
      <b/>
      <sz val="12"/>
      <color indexed="8"/>
      <name val="Arial Narrow"/>
      <family val="2"/>
    </font>
    <font>
      <b/>
      <sz val="12"/>
      <color indexed="8"/>
      <name val="宋体"/>
      <family val="3"/>
      <charset val="134"/>
    </font>
    <font>
      <sz val="10"/>
      <color indexed="8"/>
      <name val="宋体"/>
      <family val="3"/>
      <charset val="134"/>
    </font>
    <font>
      <sz val="10"/>
      <color indexed="30"/>
      <name val="Arial Narrow"/>
      <family val="2"/>
    </font>
    <font>
      <b/>
      <sz val="10"/>
      <color indexed="10"/>
      <name val="Arial Narrow"/>
      <family val="2"/>
    </font>
    <font>
      <sz val="10"/>
      <color indexed="10"/>
      <name val="宋体"/>
      <family val="3"/>
      <charset val="134"/>
    </font>
    <font>
      <b/>
      <sz val="10"/>
      <color indexed="8"/>
      <name val="Arial Narrow"/>
      <family val="2"/>
    </font>
    <font>
      <b/>
      <sz val="10"/>
      <color indexed="8"/>
      <name val="宋体"/>
      <family val="3"/>
      <charset val="134"/>
    </font>
    <font>
      <b/>
      <sz val="12"/>
      <color indexed="8"/>
      <name val="Arial Narrow"/>
      <family val="2"/>
    </font>
    <font>
      <u/>
      <sz val="11"/>
      <color theme="10"/>
      <name val="宋体"/>
      <family val="3"/>
      <charset val="134"/>
    </font>
    <font>
      <sz val="9"/>
      <name val="宋体"/>
      <family val="3"/>
      <charset val="134"/>
      <scheme val="minor"/>
    </font>
    <font>
      <sz val="12"/>
      <name val="宋体"/>
      <family val="3"/>
      <charset val="134"/>
    </font>
    <font>
      <sz val="10"/>
      <name val="Times New Roman"/>
      <family val="1"/>
    </font>
    <font>
      <b/>
      <u/>
      <sz val="10"/>
      <color indexed="10"/>
      <name val="Arial Narrow"/>
      <family val="2"/>
    </font>
    <font>
      <sz val="10"/>
      <name val="Arial Narrow"/>
      <family val="2"/>
    </font>
    <font>
      <sz val="10"/>
      <name val="宋体"/>
      <family val="3"/>
      <charset val="134"/>
    </font>
    <font>
      <b/>
      <sz val="10"/>
      <name val="Arial Narrow"/>
      <family val="2"/>
    </font>
    <font>
      <b/>
      <sz val="10"/>
      <name val="宋体"/>
      <family val="3"/>
      <charset val="134"/>
    </font>
    <font>
      <sz val="11"/>
      <color theme="1"/>
      <name val="宋体"/>
      <family val="3"/>
      <charset val="134"/>
      <scheme val="minor"/>
    </font>
    <font>
      <sz val="11"/>
      <color theme="1"/>
      <name val="宋体"/>
      <family val="3"/>
      <charset val="134"/>
      <scheme val="minor"/>
    </font>
    <font>
      <sz val="10"/>
      <color rgb="FFFF0000"/>
      <name val="宋体"/>
      <family val="3"/>
      <charset val="134"/>
    </font>
    <font>
      <sz val="10"/>
      <color indexed="8"/>
      <name val="宋体"/>
      <family val="3"/>
      <charset val="134"/>
      <scheme val="minor"/>
    </font>
    <font>
      <sz val="12"/>
      <color indexed="8"/>
      <name val="仿宋_GB2312"/>
      <family val="3"/>
      <charset val="134"/>
    </font>
    <font>
      <sz val="12"/>
      <color indexed="12"/>
      <name val="仿宋_GB2312"/>
      <family val="3"/>
      <charset val="134"/>
    </font>
    <font>
      <b/>
      <sz val="12"/>
      <name val="Arial Narrow"/>
      <family val="2"/>
    </font>
    <font>
      <b/>
      <sz val="12"/>
      <name val="宋体"/>
      <family val="3"/>
      <charset val="134"/>
    </font>
    <font>
      <sz val="10"/>
      <color indexed="8"/>
      <name val="Tahoma"/>
      <family val="2"/>
      <charset val="134"/>
    </font>
    <font>
      <sz val="9"/>
      <name val="宋体"/>
      <family val="2"/>
      <charset val="134"/>
    </font>
    <font>
      <sz val="10"/>
      <name val="Arial Narrow"/>
      <family val="2"/>
      <charset val="134"/>
    </font>
    <font>
      <sz val="11"/>
      <color indexed="8"/>
      <name val="宋体"/>
      <family val="2"/>
      <charset val="134"/>
    </font>
    <font>
      <b/>
      <sz val="10"/>
      <color rgb="FF000000"/>
      <name val="宋体"/>
      <family val="2"/>
      <charset val="134"/>
    </font>
    <font>
      <sz val="10"/>
      <color theme="1"/>
      <name val="宋体"/>
      <family val="3"/>
      <charset val="134"/>
    </font>
    <font>
      <sz val="9"/>
      <name val="宋体"/>
      <family val="2"/>
      <charset val="134"/>
      <scheme val="minor"/>
    </font>
    <font>
      <u/>
      <sz val="11"/>
      <color theme="10"/>
      <name val="宋体"/>
      <family val="2"/>
      <charset val="134"/>
    </font>
    <font>
      <b/>
      <sz val="10"/>
      <color theme="1"/>
      <name val="Arial Narrow"/>
      <family val="2"/>
    </font>
    <font>
      <sz val="10"/>
      <color theme="1"/>
      <name val="Arial Narrow"/>
      <family val="2"/>
    </font>
    <font>
      <sz val="10"/>
      <name val="Arial Narrow"/>
      <family val="3"/>
    </font>
    <font>
      <b/>
      <sz val="10"/>
      <color theme="1"/>
      <name val="宋体"/>
      <family val="3"/>
      <charset val="134"/>
    </font>
    <font>
      <sz val="10"/>
      <name val="Arial"/>
      <family val="2"/>
    </font>
    <font>
      <b/>
      <sz val="10"/>
      <color rgb="FF000000"/>
      <name val="宋体"/>
      <family val="3"/>
      <charset val="134"/>
    </font>
    <font>
      <b/>
      <sz val="10"/>
      <color rgb="FFE92841"/>
      <name val="Arial Narrow"/>
      <family val="2"/>
    </font>
    <font>
      <u/>
      <sz val="12"/>
      <color indexed="12"/>
      <name val="宋体"/>
      <family val="3"/>
      <charset val="134"/>
    </font>
    <font>
      <sz val="10"/>
      <color indexed="12"/>
      <name val="宋体"/>
      <family val="3"/>
      <charset val="134"/>
    </font>
    <font>
      <sz val="12"/>
      <name val="Arial Narrow"/>
      <family val="2"/>
    </font>
    <font>
      <b/>
      <sz val="10"/>
      <color rgb="FF000000"/>
      <name val="宋体"/>
      <family val="3"/>
      <charset val="134"/>
      <scheme val="minor"/>
    </font>
    <font>
      <b/>
      <sz val="10"/>
      <color indexed="8"/>
      <name val="宋体"/>
      <family val="3"/>
      <charset val="134"/>
      <scheme val="minor"/>
    </font>
    <font>
      <b/>
      <sz val="10"/>
      <color theme="1"/>
      <name val="宋体"/>
      <family val="3"/>
      <charset val="134"/>
      <scheme val="minor"/>
    </font>
    <font>
      <sz val="10"/>
      <color rgb="FF000000"/>
      <name val="宋体"/>
      <family val="3"/>
      <charset val="134"/>
      <scheme val="minor"/>
    </font>
    <font>
      <sz val="10"/>
      <color rgb="FF000000"/>
      <name val="Arial Narrow"/>
      <family val="2"/>
    </font>
    <font>
      <b/>
      <sz val="10"/>
      <color rgb="FF000000"/>
      <name val="Arial Narrow"/>
      <family val="2"/>
    </font>
    <font>
      <sz val="10"/>
      <color theme="1"/>
      <name val="宋体"/>
      <family val="3"/>
      <charset val="134"/>
      <scheme val="minor"/>
    </font>
    <font>
      <sz val="10"/>
      <color indexed="12"/>
      <name val="宋体"/>
      <family val="3"/>
      <charset val="134"/>
      <scheme val="minor"/>
    </font>
    <font>
      <b/>
      <sz val="10"/>
      <color indexed="12"/>
      <name val="宋体"/>
      <family val="3"/>
      <charset val="134"/>
      <scheme val="minor"/>
    </font>
    <font>
      <sz val="10"/>
      <color indexed="10"/>
      <name val="宋体"/>
      <family val="3"/>
      <charset val="134"/>
      <scheme val="minor"/>
    </font>
    <font>
      <sz val="10"/>
      <color rgb="FF000000"/>
      <name val="宋体"/>
      <family val="3"/>
      <charset val="134"/>
    </font>
    <font>
      <sz val="10"/>
      <color rgb="FF0000FF"/>
      <name val="Arial Narrow"/>
      <family val="2"/>
    </font>
    <font>
      <sz val="10"/>
      <color rgb="FF0000FF"/>
      <name val="宋体"/>
      <family val="3"/>
      <charset val="134"/>
    </font>
    <font>
      <sz val="10"/>
      <color indexed="8"/>
      <name val="宋体"/>
      <family val="2"/>
    </font>
    <font>
      <sz val="10"/>
      <color indexed="10"/>
      <name val="Arial Narrow"/>
      <family val="2"/>
    </font>
    <font>
      <sz val="9"/>
      <color rgb="FF0000FF"/>
      <name val="Arial Narrow"/>
      <family val="2"/>
    </font>
    <font>
      <sz val="9"/>
      <color rgb="FF0000FF"/>
      <name val="宋体"/>
      <family val="3"/>
      <charset val="134"/>
    </font>
    <font>
      <sz val="10"/>
      <color rgb="FFFF0000"/>
      <name val="Arial Narrow"/>
      <family val="2"/>
    </font>
    <font>
      <b/>
      <sz val="10"/>
      <name val="宋体"/>
      <family val="2"/>
    </font>
    <font>
      <sz val="10"/>
      <color indexed="10"/>
      <name val="宋体"/>
      <family val="2"/>
    </font>
    <font>
      <b/>
      <sz val="10"/>
      <color indexed="10"/>
      <name val="宋体"/>
      <family val="2"/>
    </font>
    <font>
      <b/>
      <sz val="14"/>
      <name val="宋体"/>
      <family val="3"/>
      <charset val="134"/>
    </font>
    <font>
      <b/>
      <sz val="14"/>
      <color indexed="8"/>
      <name val="Arial Narrow"/>
      <family val="2"/>
    </font>
    <font>
      <b/>
      <sz val="14"/>
      <color indexed="8"/>
      <name val="宋体"/>
      <family val="3"/>
      <charset val="134"/>
    </font>
    <font>
      <b/>
      <sz val="9"/>
      <color indexed="81"/>
      <name val="宋体"/>
      <family val="3"/>
      <charset val="134"/>
    </font>
    <font>
      <sz val="9"/>
      <color indexed="81"/>
      <name val="宋体"/>
      <family val="3"/>
      <charset val="134"/>
    </font>
    <font>
      <sz val="10"/>
      <color theme="10"/>
      <name val="Arial Narrow"/>
      <family val="2"/>
    </font>
  </fonts>
  <fills count="11">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indexed="14"/>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rgb="FFFF00FF"/>
        <bgColor indexed="64"/>
      </patternFill>
    </fill>
    <fill>
      <patternFill patternType="solid">
        <fgColor rgb="FFE4DFEC"/>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hair">
        <color indexed="64"/>
      </left>
      <right/>
      <top/>
      <bottom/>
      <diagonal/>
    </border>
    <border>
      <left/>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s>
  <cellStyleXfs count="23">
    <xf numFmtId="0" fontId="0" fillId="0" borderId="0">
      <alignment vertical="center"/>
    </xf>
    <xf numFmtId="0" fontId="18" fillId="0" borderId="0" applyNumberFormat="0" applyFill="0" applyBorder="0" applyAlignment="0" applyProtection="0">
      <alignment vertical="top"/>
      <protection locked="0"/>
    </xf>
    <xf numFmtId="43" fontId="5" fillId="0" borderId="0" applyFont="0" applyFill="0" applyBorder="0" applyAlignment="0" applyProtection="0">
      <alignment vertical="center"/>
    </xf>
    <xf numFmtId="176" fontId="20" fillId="0" borderId="0">
      <protection locked="0"/>
    </xf>
    <xf numFmtId="176" fontId="20" fillId="0" borderId="0">
      <alignment vertical="center"/>
    </xf>
    <xf numFmtId="176" fontId="20" fillId="0" borderId="0">
      <protection locked="0"/>
    </xf>
    <xf numFmtId="176" fontId="27" fillId="0" borderId="0">
      <alignment vertical="center"/>
    </xf>
    <xf numFmtId="9" fontId="28" fillId="0" borderId="0" applyFont="0" applyFill="0" applyBorder="0" applyAlignment="0" applyProtection="0">
      <alignment vertical="center"/>
    </xf>
    <xf numFmtId="176" fontId="35" fillId="0" borderId="0">
      <alignment vertical="center"/>
    </xf>
    <xf numFmtId="176" fontId="38" fillId="0" borderId="0">
      <alignment vertical="center"/>
    </xf>
    <xf numFmtId="176" fontId="42" fillId="0" borderId="0" applyNumberFormat="0" applyFill="0" applyBorder="0" applyAlignment="0" applyProtection="0">
      <alignment vertical="center"/>
    </xf>
    <xf numFmtId="0" fontId="3" fillId="0" borderId="0"/>
    <xf numFmtId="0" fontId="20" fillId="0" borderId="0">
      <protection locked="0"/>
    </xf>
    <xf numFmtId="0" fontId="27" fillId="0" borderId="0">
      <alignment vertical="center"/>
    </xf>
    <xf numFmtId="0" fontId="20" fillId="0" borderId="0" applyFill="0" applyBorder="0"/>
    <xf numFmtId="0" fontId="27" fillId="0" borderId="0">
      <alignment vertical="center"/>
    </xf>
    <xf numFmtId="176" fontId="20" fillId="0" borderId="0"/>
    <xf numFmtId="0" fontId="50" fillId="0" borderId="0" applyNumberFormat="0" applyFill="0" applyBorder="0" applyAlignment="0" applyProtection="0">
      <alignment vertical="top"/>
      <protection locked="0"/>
    </xf>
    <xf numFmtId="9" fontId="20" fillId="0" borderId="0" applyFont="0" applyFill="0" applyBorder="0" applyAlignment="0" applyProtection="0"/>
    <xf numFmtId="176" fontId="20" fillId="0" borderId="0">
      <protection locked="0"/>
    </xf>
    <xf numFmtId="176" fontId="2" fillId="0" borderId="0">
      <alignment vertical="center"/>
    </xf>
    <xf numFmtId="176" fontId="1" fillId="0" borderId="0">
      <alignment vertical="center"/>
    </xf>
    <xf numFmtId="176" fontId="20" fillId="0" borderId="0"/>
  </cellStyleXfs>
  <cellXfs count="256">
    <xf numFmtId="0" fontId="0" fillId="0" borderId="0" xfId="0">
      <alignment vertical="center"/>
    </xf>
    <xf numFmtId="0" fontId="6" fillId="0" borderId="0" xfId="0" applyFont="1">
      <alignment vertical="center"/>
    </xf>
    <xf numFmtId="0" fontId="6" fillId="0" borderId="0" xfId="0" applyFont="1" applyAlignment="1">
      <alignment horizontal="center" vertical="center"/>
    </xf>
    <xf numFmtId="0" fontId="6" fillId="0" borderId="1" xfId="0" applyFont="1" applyBorder="1">
      <alignment vertical="center"/>
    </xf>
    <xf numFmtId="0" fontId="6" fillId="0" borderId="1" xfId="0" applyFont="1" applyBorder="1" applyAlignment="1">
      <alignment horizontal="center" vertical="center"/>
    </xf>
    <xf numFmtId="0" fontId="7" fillId="0" borderId="1" xfId="0" applyFont="1" applyBorder="1">
      <alignment vertical="center"/>
    </xf>
    <xf numFmtId="0" fontId="7" fillId="0" borderId="1" xfId="0" applyFont="1" applyBorder="1" applyAlignment="1">
      <alignment horizontal="center" vertical="center"/>
    </xf>
    <xf numFmtId="0" fontId="7" fillId="0" borderId="0" xfId="0" applyFo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7" fillId="0" borderId="2" xfId="0" applyFont="1" applyBorder="1" applyAlignment="1">
      <alignment horizontal="center" vertical="center"/>
    </xf>
    <xf numFmtId="0" fontId="9" fillId="0" borderId="0" xfId="0" applyFont="1" applyAlignment="1">
      <alignment horizontal="left" vertical="center"/>
    </xf>
    <xf numFmtId="0" fontId="12" fillId="0" borderId="0" xfId="0" applyFont="1">
      <alignment vertical="center"/>
    </xf>
    <xf numFmtId="43" fontId="6" fillId="2" borderId="3" xfId="2" applyFont="1" applyFill="1" applyBorder="1">
      <alignment vertical="center"/>
    </xf>
    <xf numFmtId="0" fontId="6" fillId="0" borderId="3" xfId="0" applyFont="1" applyBorder="1">
      <alignment vertical="center"/>
    </xf>
    <xf numFmtId="43" fontId="6" fillId="0" borderId="3" xfId="2" applyFont="1" applyBorder="1">
      <alignment vertical="center"/>
    </xf>
    <xf numFmtId="0" fontId="13" fillId="0" borderId="0" xfId="0" applyFont="1">
      <alignment vertical="center"/>
    </xf>
    <xf numFmtId="0" fontId="6" fillId="0" borderId="0" xfId="0" applyFont="1" applyAlignment="1">
      <alignment horizontal="right" vertical="center"/>
    </xf>
    <xf numFmtId="0" fontId="7" fillId="0" borderId="0" xfId="0" applyFont="1" applyAlignment="1">
      <alignment horizontal="center" vertical="center" wrapText="1"/>
    </xf>
    <xf numFmtId="14" fontId="6" fillId="0" borderId="3" xfId="0" applyNumberFormat="1" applyFont="1" applyBorder="1">
      <alignment vertical="center"/>
    </xf>
    <xf numFmtId="0" fontId="6" fillId="2" borderId="3" xfId="0" applyFont="1" applyFill="1" applyBorder="1">
      <alignment vertical="center"/>
    </xf>
    <xf numFmtId="0" fontId="15" fillId="0" borderId="0" xfId="0" applyFont="1">
      <alignment vertical="center"/>
    </xf>
    <xf numFmtId="0" fontId="17" fillId="0" borderId="0" xfId="0" applyFont="1">
      <alignment vertical="center"/>
    </xf>
    <xf numFmtId="176" fontId="7" fillId="0" borderId="0" xfId="3" applyFont="1" applyAlignment="1" applyProtection="1">
      <alignment vertical="center"/>
    </xf>
    <xf numFmtId="176" fontId="22" fillId="0" borderId="0" xfId="3" applyFont="1" applyAlignment="1" applyProtection="1">
      <alignment horizontal="center"/>
    </xf>
    <xf numFmtId="0" fontId="23" fillId="0" borderId="0" xfId="0" applyFont="1" applyProtection="1">
      <alignment vertical="center"/>
      <protection locked="0"/>
    </xf>
    <xf numFmtId="176" fontId="23" fillId="0" borderId="0" xfId="4" applyFont="1">
      <alignment vertical="center"/>
    </xf>
    <xf numFmtId="0" fontId="24" fillId="0" borderId="0" xfId="0" applyFont="1" applyProtection="1">
      <alignment vertical="center"/>
      <protection locked="0"/>
    </xf>
    <xf numFmtId="176" fontId="20" fillId="0" borderId="0" xfId="5">
      <protection locked="0"/>
    </xf>
    <xf numFmtId="0" fontId="24" fillId="0" borderId="0" xfId="0" applyFont="1" applyAlignment="1" applyProtection="1">
      <alignment horizontal="right" vertical="center"/>
      <protection locked="0"/>
    </xf>
    <xf numFmtId="49" fontId="25" fillId="0" borderId="0" xfId="2" applyNumberFormat="1" applyFont="1" applyFill="1" applyAlignment="1" applyProtection="1">
      <alignment horizontal="right" vertical="center" shrinkToFit="1"/>
    </xf>
    <xf numFmtId="176" fontId="24" fillId="0" borderId="0" xfId="3" applyFont="1" applyAlignment="1" applyProtection="1">
      <alignment vertical="center"/>
    </xf>
    <xf numFmtId="176" fontId="25" fillId="0" borderId="0" xfId="3" applyFont="1" applyAlignment="1" applyProtection="1">
      <alignment horizontal="left" vertical="center"/>
    </xf>
    <xf numFmtId="176" fontId="23" fillId="0" borderId="0" xfId="3" applyFont="1" applyAlignment="1">
      <alignment vertical="center"/>
      <protection locked="0"/>
    </xf>
    <xf numFmtId="0" fontId="7" fillId="3" borderId="0" xfId="0" applyFont="1" applyFill="1">
      <alignment vertical="center"/>
    </xf>
    <xf numFmtId="0" fontId="23" fillId="0" borderId="7" xfId="0" applyFont="1" applyBorder="1" applyProtection="1">
      <alignment vertical="center"/>
      <protection locked="0"/>
    </xf>
    <xf numFmtId="0" fontId="26" fillId="0" borderId="8" xfId="0" applyFont="1" applyBorder="1" applyProtection="1">
      <alignment vertical="center"/>
      <protection locked="0"/>
    </xf>
    <xf numFmtId="0" fontId="26" fillId="0" borderId="0" xfId="0" applyFont="1" applyProtection="1">
      <alignment vertical="center"/>
      <protection locked="0"/>
    </xf>
    <xf numFmtId="0" fontId="7" fillId="4" borderId="0" xfId="0" applyFont="1" applyFill="1">
      <alignment vertical="center"/>
    </xf>
    <xf numFmtId="0" fontId="7" fillId="5" borderId="3" xfId="0" applyFont="1" applyFill="1" applyBorder="1" applyAlignment="1">
      <alignment horizontal="center" vertical="center" wrapText="1"/>
    </xf>
    <xf numFmtId="0" fontId="11" fillId="0" borderId="0" xfId="0" applyFont="1" applyAlignment="1">
      <alignment horizontal="left" vertical="center"/>
    </xf>
    <xf numFmtId="176" fontId="23" fillId="0" borderId="0" xfId="3" applyFont="1" applyAlignment="1" applyProtection="1">
      <alignment vertical="center"/>
    </xf>
    <xf numFmtId="176" fontId="23" fillId="0" borderId="0" xfId="3" applyFont="1" applyAlignment="1">
      <alignment horizontal="right" vertical="center"/>
      <protection locked="0"/>
    </xf>
    <xf numFmtId="176" fontId="23" fillId="0" borderId="0" xfId="3" applyFont="1" applyAlignment="1">
      <alignment horizontal="justify" vertical="center" wrapText="1"/>
      <protection locked="0"/>
    </xf>
    <xf numFmtId="49" fontId="23" fillId="0" borderId="0" xfId="0" applyNumberFormat="1" applyFont="1" applyProtection="1">
      <alignment vertical="center"/>
      <protection locked="0"/>
    </xf>
    <xf numFmtId="49" fontId="6" fillId="0" borderId="0" xfId="0" applyNumberFormat="1" applyFont="1">
      <alignment vertical="center"/>
    </xf>
    <xf numFmtId="14" fontId="6" fillId="0" borderId="0" xfId="0" applyNumberFormat="1" applyFont="1">
      <alignment vertical="center"/>
    </xf>
    <xf numFmtId="0" fontId="31" fillId="0" borderId="0" xfId="0" applyFont="1">
      <alignment vertical="center"/>
    </xf>
    <xf numFmtId="0" fontId="9" fillId="0" borderId="0" xfId="0" applyFont="1">
      <alignment vertical="center"/>
    </xf>
    <xf numFmtId="49" fontId="7" fillId="0" borderId="0" xfId="3" applyNumberFormat="1" applyFont="1" applyAlignment="1" applyProtection="1">
      <alignment vertical="center"/>
    </xf>
    <xf numFmtId="176" fontId="23" fillId="0" borderId="0" xfId="3" applyFont="1" applyAlignment="1">
      <alignment vertical="center" wrapText="1"/>
      <protection locked="0"/>
    </xf>
    <xf numFmtId="49" fontId="25" fillId="0" borderId="0" xfId="3" applyNumberFormat="1" applyFont="1" applyAlignment="1" applyProtection="1">
      <alignment horizontal="left" vertical="center"/>
    </xf>
    <xf numFmtId="49" fontId="25" fillId="0" borderId="0" xfId="3" applyNumberFormat="1" applyFont="1" applyAlignment="1">
      <alignment vertical="center"/>
      <protection locked="0"/>
    </xf>
    <xf numFmtId="0" fontId="25" fillId="0" borderId="0" xfId="0" applyFont="1">
      <alignment vertical="center"/>
    </xf>
    <xf numFmtId="0" fontId="33" fillId="0" borderId="0" xfId="0" applyFont="1" applyProtection="1">
      <alignment vertical="center"/>
      <protection locked="0"/>
    </xf>
    <xf numFmtId="43" fontId="6" fillId="0" borderId="0" xfId="2" applyFont="1" applyFill="1" applyBorder="1" applyAlignment="1">
      <alignment horizontal="right" vertical="center"/>
    </xf>
    <xf numFmtId="43" fontId="23" fillId="0" borderId="0" xfId="2" applyFont="1" applyFill="1" applyBorder="1" applyAlignment="1">
      <alignment horizontal="right" vertical="center" wrapText="1"/>
    </xf>
    <xf numFmtId="10" fontId="23" fillId="0" borderId="0" xfId="7" applyNumberFormat="1" applyFont="1" applyFill="1" applyBorder="1" applyAlignment="1">
      <alignment horizontal="right" vertical="center" wrapText="1"/>
    </xf>
    <xf numFmtId="176" fontId="23" fillId="0" borderId="0" xfId="8" applyFont="1" applyProtection="1">
      <alignment vertical="center"/>
      <protection locked="0"/>
    </xf>
    <xf numFmtId="176" fontId="23" fillId="0" borderId="0" xfId="8" applyFont="1" applyAlignment="1" applyProtection="1">
      <alignment horizontal="left" vertical="center"/>
      <protection locked="0"/>
    </xf>
    <xf numFmtId="176" fontId="23" fillId="0" borderId="0" xfId="8" applyFont="1" applyAlignment="1">
      <alignment horizontal="center" vertical="center"/>
    </xf>
    <xf numFmtId="176" fontId="23" fillId="0" borderId="0" xfId="8" applyFont="1">
      <alignment vertical="center"/>
    </xf>
    <xf numFmtId="176" fontId="23" fillId="0" borderId="0" xfId="8" applyFont="1" applyAlignment="1">
      <alignment horizontal="right" vertical="center"/>
    </xf>
    <xf numFmtId="0" fontId="45" fillId="0" borderId="0" xfId="8" applyNumberFormat="1" applyFont="1" applyProtection="1">
      <alignment vertical="center"/>
      <protection locked="0"/>
    </xf>
    <xf numFmtId="176" fontId="24" fillId="0" borderId="0" xfId="8" applyFont="1">
      <alignment vertical="center"/>
    </xf>
    <xf numFmtId="43" fontId="30" fillId="0" borderId="3" xfId="2" applyFont="1" applyBorder="1">
      <alignment vertical="center"/>
    </xf>
    <xf numFmtId="43" fontId="6" fillId="0" borderId="0" xfId="2" applyFont="1" applyFill="1" applyBorder="1" applyAlignment="1">
      <alignment horizontal="right" vertical="center" shrinkToFit="1"/>
    </xf>
    <xf numFmtId="43" fontId="6" fillId="0" borderId="3" xfId="2" applyFont="1" applyFill="1" applyBorder="1" applyAlignment="1">
      <alignment horizontal="right" vertical="center" shrinkToFit="1"/>
    </xf>
    <xf numFmtId="43" fontId="6" fillId="0" borderId="7" xfId="2" applyFont="1" applyFill="1" applyBorder="1" applyAlignment="1">
      <alignment horizontal="right" vertical="center" shrinkToFit="1"/>
    </xf>
    <xf numFmtId="43" fontId="6" fillId="0" borderId="13" xfId="2" applyFont="1" applyFill="1" applyBorder="1" applyAlignment="1">
      <alignment horizontal="right" vertical="center" shrinkToFit="1"/>
    </xf>
    <xf numFmtId="43" fontId="6" fillId="0" borderId="0" xfId="0" applyNumberFormat="1" applyFont="1">
      <alignment vertical="center"/>
    </xf>
    <xf numFmtId="0" fontId="20" fillId="0" borderId="0" xfId="12">
      <protection locked="0"/>
    </xf>
    <xf numFmtId="0" fontId="6" fillId="0" borderId="0" xfId="15" applyFont="1">
      <alignment vertical="center"/>
    </xf>
    <xf numFmtId="14" fontId="6" fillId="0" borderId="0" xfId="15" applyNumberFormat="1" applyFont="1">
      <alignment vertical="center"/>
    </xf>
    <xf numFmtId="43" fontId="23" fillId="0" borderId="0" xfId="14" applyNumberFormat="1" applyFont="1" applyBorder="1" applyAlignment="1">
      <alignment vertical="center"/>
    </xf>
    <xf numFmtId="0" fontId="11" fillId="0" borderId="0" xfId="15" applyFont="1">
      <alignment vertical="center"/>
    </xf>
    <xf numFmtId="176" fontId="13" fillId="0" borderId="0" xfId="6" applyFont="1">
      <alignment vertical="center"/>
    </xf>
    <xf numFmtId="0" fontId="8" fillId="5" borderId="3" xfId="12" applyFont="1" applyFill="1" applyBorder="1" applyAlignment="1" applyProtection="1">
      <alignment vertical="center"/>
    </xf>
    <xf numFmtId="176" fontId="26" fillId="5" borderId="3" xfId="16" applyFont="1" applyFill="1" applyBorder="1" applyAlignment="1" applyProtection="1">
      <alignment horizontal="center" vertical="center" wrapText="1"/>
      <protection locked="0"/>
    </xf>
    <xf numFmtId="176" fontId="49" fillId="5" borderId="3" xfId="16" applyFont="1" applyFill="1" applyBorder="1" applyAlignment="1" applyProtection="1">
      <alignment horizontal="center" vertical="center" wrapText="1"/>
      <protection locked="0"/>
    </xf>
    <xf numFmtId="0" fontId="11" fillId="0" borderId="3" xfId="12" applyFont="1" applyBorder="1" applyAlignment="1" applyProtection="1">
      <alignment vertical="center"/>
    </xf>
    <xf numFmtId="0" fontId="24" fillId="0" borderId="3" xfId="12" applyFont="1" applyBorder="1" applyAlignment="1" applyProtection="1">
      <alignment vertical="center"/>
    </xf>
    <xf numFmtId="0" fontId="29" fillId="0" borderId="3" xfId="12" applyFont="1" applyBorder="1" applyAlignment="1" applyProtection="1">
      <alignment horizontal="left" vertical="center" indent="1"/>
    </xf>
    <xf numFmtId="0" fontId="7" fillId="0" borderId="3" xfId="12" applyFont="1" applyBorder="1" applyAlignment="1" applyProtection="1">
      <alignment horizontal="center" vertical="center"/>
    </xf>
    <xf numFmtId="0" fontId="30" fillId="0" borderId="0" xfId="0" applyFont="1">
      <alignment vertical="center"/>
    </xf>
    <xf numFmtId="0" fontId="53" fillId="0" borderId="6" xfId="0" applyFont="1" applyBorder="1" applyAlignment="1">
      <alignment vertical="center" wrapText="1"/>
    </xf>
    <xf numFmtId="0" fontId="55" fillId="0" borderId="6" xfId="0" applyFont="1" applyBorder="1" applyAlignment="1">
      <alignment horizontal="right" vertical="center" wrapText="1"/>
    </xf>
    <xf numFmtId="0" fontId="53" fillId="0" borderId="6" xfId="0" applyFont="1" applyBorder="1" applyAlignment="1">
      <alignment horizontal="right" vertical="center" wrapText="1"/>
    </xf>
    <xf numFmtId="0" fontId="56" fillId="0" borderId="0" xfId="0" applyFont="1" applyAlignment="1">
      <alignment horizontal="justify" vertical="center" wrapText="1"/>
    </xf>
    <xf numFmtId="43" fontId="56" fillId="0" borderId="0" xfId="2" applyFont="1" applyAlignment="1">
      <alignment horizontal="right" vertical="center" wrapText="1" shrinkToFit="1"/>
    </xf>
    <xf numFmtId="0" fontId="56" fillId="0" borderId="5" xfId="0" applyFont="1" applyBorder="1" applyAlignment="1">
      <alignment horizontal="justify" vertical="center" wrapText="1"/>
    </xf>
    <xf numFmtId="0" fontId="53" fillId="0" borderId="5" xfId="0" applyFont="1" applyBorder="1" applyAlignment="1">
      <alignment horizontal="justify" vertical="center" wrapText="1"/>
    </xf>
    <xf numFmtId="43" fontId="53" fillId="0" borderId="6" xfId="2" applyFont="1" applyBorder="1" applyAlignment="1">
      <alignment horizontal="right" vertical="center" wrapText="1" shrinkToFit="1"/>
    </xf>
    <xf numFmtId="43" fontId="57" fillId="0" borderId="0" xfId="0" applyNumberFormat="1" applyFont="1" applyAlignment="1">
      <alignment horizontal="right" vertical="center" wrapText="1"/>
    </xf>
    <xf numFmtId="43" fontId="57" fillId="0" borderId="0" xfId="2" applyFont="1" applyAlignment="1">
      <alignment horizontal="right" vertical="center" wrapText="1" shrinkToFit="1"/>
    </xf>
    <xf numFmtId="43" fontId="58" fillId="0" borderId="6" xfId="2" applyFont="1" applyBorder="1" applyAlignment="1">
      <alignment horizontal="right" vertical="center" wrapText="1" shrinkToFit="1"/>
    </xf>
    <xf numFmtId="0" fontId="59" fillId="0" borderId="0" xfId="0" applyFont="1">
      <alignment vertical="center"/>
    </xf>
    <xf numFmtId="43" fontId="6" fillId="0" borderId="5" xfId="0" applyNumberFormat="1" applyFont="1" applyBorder="1" applyAlignment="1">
      <alignment horizontal="right" vertical="center" wrapText="1"/>
    </xf>
    <xf numFmtId="43" fontId="58" fillId="0" borderId="5" xfId="2" applyFont="1" applyBorder="1" applyAlignment="1">
      <alignment horizontal="right" vertical="center" wrapText="1" shrinkToFit="1"/>
    </xf>
    <xf numFmtId="0" fontId="53" fillId="0" borderId="5" xfId="0" applyFont="1" applyBorder="1" applyAlignment="1">
      <alignment horizontal="right" vertical="center" wrapText="1"/>
    </xf>
    <xf numFmtId="0" fontId="30" fillId="0" borderId="4" xfId="0" applyFont="1" applyBorder="1">
      <alignment vertical="center"/>
    </xf>
    <xf numFmtId="0" fontId="7" fillId="0" borderId="0" xfId="0" applyFont="1" applyAlignment="1">
      <alignment horizontal="center" vertical="center"/>
    </xf>
    <xf numFmtId="0" fontId="7" fillId="5" borderId="3" xfId="0" applyFont="1" applyFill="1" applyBorder="1" applyAlignment="1">
      <alignment horizontal="center" vertical="center" wrapText="1"/>
    </xf>
    <xf numFmtId="0" fontId="20" fillId="0" borderId="0" xfId="0" applyNumberFormat="1" applyFont="1" applyFill="1" applyBorder="1" applyAlignment="1" applyProtection="1">
      <protection locked="0"/>
    </xf>
    <xf numFmtId="0" fontId="23" fillId="9" borderId="0" xfId="0" applyNumberFormat="1" applyFont="1" applyFill="1" applyBorder="1" applyAlignment="1" applyProtection="1">
      <alignment horizontal="justify" vertical="center" wrapText="1"/>
      <protection locked="0"/>
    </xf>
    <xf numFmtId="0" fontId="58" fillId="7" borderId="0" xfId="0" applyFont="1" applyFill="1">
      <alignment vertical="center"/>
    </xf>
    <xf numFmtId="0" fontId="57" fillId="8" borderId="0" xfId="0" applyFont="1" applyFill="1">
      <alignment vertical="center"/>
    </xf>
    <xf numFmtId="0" fontId="57" fillId="0" borderId="1" xfId="0" applyFont="1" applyBorder="1">
      <alignment vertical="center"/>
    </xf>
    <xf numFmtId="0" fontId="26" fillId="0" borderId="0" xfId="0" applyNumberFormat="1" applyFont="1" applyFill="1" applyBorder="1" applyAlignment="1" applyProtection="1">
      <alignment vertical="center"/>
      <protection locked="0"/>
    </xf>
    <xf numFmtId="0" fontId="23" fillId="0" borderId="0" xfId="0" applyNumberFormat="1" applyFont="1" applyFill="1" applyBorder="1" applyAlignment="1" applyProtection="1">
      <alignment vertical="center"/>
      <protection locked="0"/>
    </xf>
    <xf numFmtId="0" fontId="11" fillId="0" borderId="0" xfId="0" applyNumberFormat="1" applyFont="1" applyFill="1" applyBorder="1" applyAlignment="1" applyProtection="1">
      <alignment vertical="center"/>
    </xf>
    <xf numFmtId="49" fontId="26" fillId="0" borderId="0" xfId="0" applyNumberFormat="1" applyFont="1" applyFill="1" applyBorder="1" applyAlignment="1" applyProtection="1">
      <alignment horizontal="left" vertical="center"/>
      <protection locked="0"/>
    </xf>
    <xf numFmtId="0" fontId="25" fillId="0" borderId="0" xfId="0" applyNumberFormat="1" applyFont="1" applyFill="1" applyBorder="1" applyAlignment="1" applyProtection="1">
      <alignment horizontal="justify" vertical="center"/>
      <protection locked="0"/>
    </xf>
    <xf numFmtId="0" fontId="24" fillId="0" borderId="17" xfId="0" applyNumberFormat="1" applyFont="1" applyFill="1" applyBorder="1" applyAlignment="1" applyProtection="1">
      <alignment horizontal="center" vertical="center" wrapText="1"/>
      <protection locked="0"/>
    </xf>
    <xf numFmtId="0" fontId="47" fillId="0" borderId="17" xfId="0" applyNumberFormat="1" applyFont="1" applyFill="1" applyBorder="1" applyAlignment="1" applyProtection="1">
      <alignment horizontal="center" vertical="center" wrapText="1"/>
      <protection locked="0"/>
    </xf>
    <xf numFmtId="0" fontId="26" fillId="10" borderId="14" xfId="0" applyNumberFormat="1" applyFont="1" applyFill="1" applyBorder="1" applyAlignment="1" applyProtection="1">
      <alignment horizontal="center" vertical="center" wrapText="1"/>
      <protection locked="0"/>
    </xf>
    <xf numFmtId="0" fontId="26" fillId="10" borderId="14" xfId="0" applyNumberFormat="1" applyFont="1" applyFill="1" applyBorder="1" applyAlignment="1" applyProtection="1">
      <alignment horizontal="center" vertical="center"/>
      <protection locked="0"/>
    </xf>
    <xf numFmtId="49" fontId="23" fillId="0" borderId="14" xfId="0" applyNumberFormat="1" applyFont="1" applyFill="1" applyBorder="1" applyAlignment="1" applyProtection="1">
      <alignment horizontal="center" vertical="center"/>
      <protection locked="0"/>
    </xf>
    <xf numFmtId="176" fontId="11" fillId="0" borderId="14" xfId="0" applyNumberFormat="1" applyFont="1" applyFill="1" applyBorder="1" applyAlignment="1" applyProtection="1">
      <alignment vertical="center" wrapText="1"/>
    </xf>
    <xf numFmtId="176" fontId="11" fillId="0" borderId="14" xfId="0" applyNumberFormat="1" applyFont="1" applyFill="1" applyBorder="1" applyAlignment="1" applyProtection="1">
      <alignment horizontal="center" vertical="center" wrapText="1"/>
    </xf>
    <xf numFmtId="0" fontId="11" fillId="0" borderId="14" xfId="0" applyNumberFormat="1" applyFont="1" applyFill="1" applyBorder="1" applyAlignment="1" applyProtection="1">
      <alignment horizontal="center" vertical="center" wrapText="1"/>
    </xf>
    <xf numFmtId="0" fontId="6" fillId="0" borderId="14" xfId="0" applyNumberFormat="1" applyFont="1" applyFill="1" applyBorder="1" applyAlignment="1" applyProtection="1">
      <alignment horizontal="center" vertical="center" wrapText="1"/>
    </xf>
    <xf numFmtId="0" fontId="8" fillId="0" borderId="14" xfId="0" applyNumberFormat="1" applyFont="1" applyFill="1" applyBorder="1" applyAlignment="1" applyProtection="1">
      <alignment horizontal="center" vertical="center" wrapText="1"/>
    </xf>
    <xf numFmtId="176" fontId="23" fillId="0" borderId="14" xfId="0" applyNumberFormat="1" applyFont="1" applyFill="1" applyBorder="1" applyAlignment="1" applyProtection="1">
      <alignment horizontal="center" vertical="center" wrapText="1"/>
    </xf>
    <xf numFmtId="0" fontId="11" fillId="0" borderId="14" xfId="0" applyNumberFormat="1" applyFont="1" applyFill="1" applyBorder="1" applyAlignment="1" applyProtection="1">
      <alignment horizontal="center" vertical="center" wrapText="1"/>
      <protection locked="0"/>
    </xf>
    <xf numFmtId="0" fontId="24" fillId="0" borderId="14" xfId="0" applyNumberFormat="1" applyFont="1" applyFill="1" applyBorder="1" applyAlignment="1" applyProtection="1">
      <alignment horizontal="justify" vertical="center" wrapText="1"/>
      <protection locked="0"/>
    </xf>
    <xf numFmtId="43" fontId="6" fillId="5" borderId="3" xfId="2" applyFont="1" applyFill="1" applyBorder="1" applyAlignment="1">
      <alignment horizontal="right" vertical="center"/>
    </xf>
    <xf numFmtId="0" fontId="64" fillId="0" borderId="0" xfId="0" applyFont="1">
      <alignment vertical="center"/>
    </xf>
    <xf numFmtId="176" fontId="65" fillId="0" borderId="0" xfId="0" applyNumberFormat="1" applyFont="1" applyFill="1" applyBorder="1" applyAlignment="1" applyProtection="1">
      <alignment vertical="center"/>
    </xf>
    <xf numFmtId="0" fontId="39" fillId="0" borderId="0" xfId="0" applyFont="1" applyFill="1">
      <alignment vertical="center"/>
    </xf>
    <xf numFmtId="0" fontId="8" fillId="5" borderId="3" xfId="12" applyFont="1" applyFill="1" applyBorder="1" applyAlignment="1" applyProtection="1">
      <alignment vertical="center" wrapText="1"/>
    </xf>
    <xf numFmtId="49" fontId="25" fillId="0" borderId="0" xfId="0" applyNumberFormat="1" applyFont="1" applyProtection="1">
      <alignment vertical="center"/>
      <protection locked="0"/>
    </xf>
    <xf numFmtId="0" fontId="6" fillId="0" borderId="0" xfId="0" applyFont="1" applyAlignment="1">
      <alignment vertical="center"/>
    </xf>
    <xf numFmtId="0" fontId="40" fillId="0" borderId="0" xfId="0" applyFont="1" applyAlignment="1">
      <alignment horizontal="left" vertical="center"/>
    </xf>
    <xf numFmtId="0" fontId="24" fillId="0" borderId="0" xfId="0" applyNumberFormat="1" applyFont="1" applyFill="1" applyBorder="1" applyAlignment="1" applyProtection="1">
      <alignment horizontal="left" vertical="center"/>
    </xf>
    <xf numFmtId="0" fontId="51" fillId="0" borderId="0" xfId="0" applyNumberFormat="1" applyFont="1" applyFill="1" applyBorder="1" applyAlignment="1" applyProtection="1">
      <alignment horizontal="left" vertical="center"/>
    </xf>
    <xf numFmtId="43" fontId="6" fillId="5" borderId="3" xfId="2" applyFont="1" applyFill="1" applyBorder="1" applyAlignment="1">
      <alignment horizontal="right" vertical="center" shrinkToFit="1"/>
    </xf>
    <xf numFmtId="14" fontId="6" fillId="5" borderId="3" xfId="2" applyNumberFormat="1" applyFont="1" applyFill="1" applyBorder="1" applyAlignment="1">
      <alignment horizontal="right" vertical="center" shrinkToFit="1"/>
    </xf>
    <xf numFmtId="0" fontId="18" fillId="0" borderId="1" xfId="1" applyBorder="1" applyAlignment="1" applyProtection="1">
      <alignment vertical="center"/>
    </xf>
    <xf numFmtId="0" fontId="11" fillId="0" borderId="0" xfId="0" applyFont="1">
      <alignment vertical="center"/>
    </xf>
    <xf numFmtId="0" fontId="6" fillId="0" borderId="0" xfId="0" applyFont="1" applyAlignment="1">
      <alignment horizontal="left" vertical="center"/>
    </xf>
    <xf numFmtId="176" fontId="66" fillId="0" borderId="21" xfId="0" applyNumberFormat="1" applyFont="1" applyFill="1" applyBorder="1" applyAlignment="1" applyProtection="1">
      <alignment vertical="center" wrapText="1"/>
    </xf>
    <xf numFmtId="0" fontId="11" fillId="0" borderId="21" xfId="0" applyNumberFormat="1" applyFont="1" applyFill="1" applyBorder="1" applyAlignment="1" applyProtection="1">
      <alignment horizontal="center" vertical="center" wrapText="1"/>
    </xf>
    <xf numFmtId="176" fontId="6" fillId="0" borderId="21" xfId="0" applyNumberFormat="1" applyFont="1" applyFill="1" applyBorder="1" applyAlignment="1" applyProtection="1">
      <alignment horizontal="center" vertical="center" wrapText="1"/>
    </xf>
    <xf numFmtId="176" fontId="23" fillId="0" borderId="21" xfId="0" applyNumberFormat="1" applyFont="1" applyFill="1" applyBorder="1" applyAlignment="1" applyProtection="1">
      <alignment horizontal="center" vertical="center" wrapText="1"/>
    </xf>
    <xf numFmtId="176" fontId="44" fillId="0" borderId="21" xfId="19" applyFont="1" applyFill="1" applyBorder="1" applyAlignment="1" applyProtection="1">
      <alignment horizontal="center" vertical="center" wrapText="1"/>
    </xf>
    <xf numFmtId="176" fontId="43" fillId="0" borderId="21" xfId="19" applyFont="1" applyFill="1" applyBorder="1" applyAlignment="1" applyProtection="1">
      <alignment horizontal="center" vertical="center" wrapText="1"/>
    </xf>
    <xf numFmtId="176" fontId="23" fillId="0" borderId="16" xfId="9" applyFont="1" applyFill="1" applyBorder="1" applyAlignment="1" applyProtection="1">
      <alignment horizontal="center" vertical="center"/>
      <protection locked="0"/>
    </xf>
    <xf numFmtId="176" fontId="68" fillId="3" borderId="0" xfId="19" applyFont="1" applyFill="1" applyAlignment="1" applyProtection="1">
      <alignment horizontal="left" vertical="top" wrapText="1"/>
      <protection locked="0"/>
    </xf>
    <xf numFmtId="176" fontId="68" fillId="3" borderId="0" xfId="19" applyFont="1" applyFill="1" applyAlignment="1" applyProtection="1">
      <alignment horizontal="left" vertical="center" wrapText="1"/>
      <protection locked="0"/>
    </xf>
    <xf numFmtId="176" fontId="23" fillId="0" borderId="21" xfId="20" applyFont="1" applyFill="1" applyBorder="1" applyAlignment="1" applyProtection="1">
      <alignment horizontal="center" vertical="center"/>
      <protection locked="0"/>
    </xf>
    <xf numFmtId="176" fontId="25" fillId="0" borderId="21" xfId="19" applyFont="1" applyFill="1" applyBorder="1" applyAlignment="1" applyProtection="1">
      <alignment horizontal="center" vertical="center"/>
      <protection locked="0"/>
    </xf>
    <xf numFmtId="176" fontId="23" fillId="0" borderId="21" xfId="19" applyFont="1" applyFill="1" applyBorder="1" applyAlignment="1" applyProtection="1">
      <alignment horizontal="center" vertical="center"/>
      <protection locked="0"/>
    </xf>
    <xf numFmtId="176" fontId="23" fillId="0" borderId="21" xfId="20" applyFont="1" applyFill="1" applyBorder="1" applyAlignment="1" applyProtection="1">
      <alignment horizontal="center" vertical="center" wrapText="1"/>
      <protection locked="0"/>
    </xf>
    <xf numFmtId="176" fontId="25" fillId="0" borderId="21" xfId="8" applyFont="1" applyFill="1" applyBorder="1" applyAlignment="1" applyProtection="1">
      <alignment horizontal="center" vertical="center" wrapText="1"/>
      <protection locked="0"/>
    </xf>
    <xf numFmtId="176" fontId="23" fillId="0" borderId="21" xfId="8" applyFont="1" applyFill="1" applyBorder="1" applyAlignment="1" applyProtection="1">
      <alignment horizontal="center" vertical="center" wrapText="1"/>
      <protection locked="0"/>
    </xf>
    <xf numFmtId="176" fontId="70" fillId="0" borderId="21" xfId="0" applyNumberFormat="1" applyFont="1" applyFill="1" applyBorder="1" applyAlignment="1" applyProtection="1">
      <alignment horizontal="center" vertical="center" wrapText="1"/>
    </xf>
    <xf numFmtId="14" fontId="6" fillId="0" borderId="3" xfId="2" applyNumberFormat="1" applyFont="1" applyFill="1" applyBorder="1" applyAlignment="1">
      <alignment horizontal="right" vertical="center"/>
    </xf>
    <xf numFmtId="176" fontId="25" fillId="0" borderId="0" xfId="8" applyFont="1" applyAlignment="1">
      <alignment vertical="center"/>
    </xf>
    <xf numFmtId="176" fontId="33" fillId="0" borderId="0" xfId="8" applyFont="1" applyAlignment="1">
      <alignment vertical="center"/>
    </xf>
    <xf numFmtId="176" fontId="26" fillId="10" borderId="22" xfId="0" applyNumberFormat="1" applyFont="1" applyFill="1" applyBorder="1" applyAlignment="1" applyProtection="1">
      <alignment horizontal="center" vertical="center"/>
      <protection locked="0"/>
    </xf>
    <xf numFmtId="176" fontId="26" fillId="10" borderId="22" xfId="0" applyNumberFormat="1" applyFont="1" applyFill="1" applyBorder="1" applyAlignment="1" applyProtection="1">
      <alignment horizontal="center" vertical="center" wrapText="1"/>
      <protection locked="0"/>
    </xf>
    <xf numFmtId="176" fontId="26" fillId="10" borderId="22" xfId="0" applyNumberFormat="1" applyFont="1" applyFill="1" applyBorder="1" applyAlignment="1" applyProtection="1">
      <alignment horizontal="center" vertical="center"/>
    </xf>
    <xf numFmtId="0" fontId="25" fillId="10" borderId="22" xfId="0" applyNumberFormat="1" applyFont="1" applyFill="1" applyBorder="1" applyAlignment="1" applyProtection="1">
      <alignment horizontal="center" vertical="center"/>
      <protection locked="0"/>
    </xf>
    <xf numFmtId="176" fontId="73" fillId="0" borderId="0" xfId="0" applyNumberFormat="1" applyFont="1" applyFill="1" applyBorder="1" applyAlignment="1" applyProtection="1">
      <alignment horizontal="left" vertical="center"/>
      <protection locked="0"/>
    </xf>
    <xf numFmtId="0" fontId="16" fillId="0" borderId="0" xfId="0" applyFont="1" applyAlignment="1">
      <alignment vertical="center"/>
    </xf>
    <xf numFmtId="0" fontId="10" fillId="0" borderId="0" xfId="0" applyFont="1" applyAlignment="1">
      <alignment vertical="center"/>
    </xf>
    <xf numFmtId="0" fontId="8" fillId="0" borderId="0" xfId="0" applyFont="1" applyAlignment="1">
      <alignment vertical="center"/>
    </xf>
    <xf numFmtId="0" fontId="24" fillId="9" borderId="0" xfId="0" applyNumberFormat="1" applyFont="1" applyFill="1" applyBorder="1" applyAlignment="1" applyProtection="1">
      <alignment horizontal="justify" vertical="center" wrapText="1"/>
      <protection locked="0"/>
    </xf>
    <xf numFmtId="0" fontId="9" fillId="0" borderId="0" xfId="0" applyFont="1" applyAlignment="1">
      <alignment horizontal="center" vertical="center"/>
    </xf>
    <xf numFmtId="0" fontId="47" fillId="0" borderId="22" xfId="0" applyNumberFormat="1" applyFont="1" applyFill="1" applyBorder="1" applyAlignment="1" applyProtection="1">
      <alignment horizontal="left" vertical="center" wrapText="1"/>
      <protection locked="0"/>
    </xf>
    <xf numFmtId="176" fontId="34" fillId="0" borderId="0" xfId="8" applyFont="1" applyAlignment="1">
      <alignment horizontal="center" vertical="center"/>
    </xf>
    <xf numFmtId="176" fontId="74" fillId="0" borderId="0" xfId="8" applyFont="1" applyAlignment="1">
      <alignment horizontal="center" vertical="center"/>
    </xf>
    <xf numFmtId="0" fontId="26" fillId="5" borderId="22" xfId="0" applyNumberFormat="1" applyFont="1" applyFill="1" applyBorder="1" applyAlignment="1" applyProtection="1">
      <alignment horizontal="center" vertical="center" wrapText="1"/>
      <protection locked="0"/>
    </xf>
    <xf numFmtId="0" fontId="24" fillId="0" borderId="22" xfId="0" applyNumberFormat="1" applyFont="1" applyFill="1" applyBorder="1" applyAlignment="1" applyProtection="1">
      <alignment horizontal="center" vertical="center" wrapText="1"/>
      <protection locked="0"/>
    </xf>
    <xf numFmtId="0" fontId="26" fillId="10" borderId="18" xfId="0" applyNumberFormat="1" applyFont="1" applyFill="1" applyBorder="1" applyAlignment="1" applyProtection="1">
      <alignment horizontal="center" vertical="center" wrapText="1"/>
      <protection locked="0"/>
    </xf>
    <xf numFmtId="0" fontId="26" fillId="10" borderId="19" xfId="0" applyNumberFormat="1" applyFont="1" applyFill="1" applyBorder="1" applyAlignment="1" applyProtection="1">
      <alignment horizontal="center" vertical="center" wrapText="1"/>
      <protection locked="0"/>
    </xf>
    <xf numFmtId="49" fontId="26" fillId="10" borderId="18" xfId="0" applyNumberFormat="1" applyFont="1" applyFill="1" applyBorder="1" applyAlignment="1" applyProtection="1">
      <alignment horizontal="center" vertical="center"/>
      <protection locked="0"/>
    </xf>
    <xf numFmtId="49" fontId="26" fillId="10" borderId="19" xfId="0" applyNumberFormat="1" applyFont="1" applyFill="1" applyBorder="1" applyAlignment="1" applyProtection="1">
      <alignment horizontal="center" vertical="center"/>
      <protection locked="0"/>
    </xf>
    <xf numFmtId="0" fontId="26" fillId="10" borderId="15" xfId="0" applyNumberFormat="1" applyFont="1" applyFill="1" applyBorder="1" applyAlignment="1" applyProtection="1">
      <alignment horizontal="center" vertical="center"/>
      <protection locked="0"/>
    </xf>
    <xf numFmtId="0" fontId="26" fillId="10" borderId="20" xfId="0" applyNumberFormat="1" applyFont="1" applyFill="1" applyBorder="1" applyAlignment="1" applyProtection="1">
      <alignment horizontal="center" vertical="center"/>
      <protection locked="0"/>
    </xf>
    <xf numFmtId="0" fontId="26" fillId="10" borderId="16" xfId="0" applyNumberFormat="1" applyFont="1" applyFill="1" applyBorder="1" applyAlignment="1" applyProtection="1">
      <alignment horizontal="center" vertical="center"/>
      <protection locked="0"/>
    </xf>
    <xf numFmtId="176" fontId="26" fillId="0" borderId="17" xfId="19" applyFont="1" applyFill="1" applyBorder="1" applyAlignment="1" applyProtection="1">
      <alignment horizontal="left" vertical="center" wrapText="1"/>
      <protection locked="0"/>
    </xf>
    <xf numFmtId="176" fontId="64" fillId="0" borderId="0" xfId="0" applyNumberFormat="1" applyFont="1" applyAlignment="1">
      <alignment vertical="center" wrapText="1"/>
    </xf>
    <xf numFmtId="0" fontId="10" fillId="0" borderId="0" xfId="0" applyFont="1" applyAlignment="1">
      <alignment horizontal="center" vertical="center"/>
    </xf>
    <xf numFmtId="0" fontId="75" fillId="0" borderId="0" xfId="0" applyFont="1" applyAlignment="1">
      <alignment horizontal="center" vertical="center"/>
    </xf>
    <xf numFmtId="0" fontId="7" fillId="5" borderId="3" xfId="0" applyFont="1" applyFill="1" applyBorder="1" applyAlignment="1">
      <alignment horizontal="center" vertical="center"/>
    </xf>
    <xf numFmtId="0" fontId="76" fillId="0" borderId="0" xfId="0" applyFont="1" applyAlignment="1">
      <alignment horizontal="center" vertical="center"/>
    </xf>
    <xf numFmtId="0" fontId="53" fillId="0" borderId="4" xfId="0" applyFont="1" applyBorder="1" applyAlignment="1">
      <alignment horizontal="justify" vertical="center" wrapText="1"/>
    </xf>
    <xf numFmtId="0" fontId="53" fillId="0" borderId="5" xfId="0" applyFont="1" applyBorder="1" applyAlignment="1">
      <alignment horizontal="justify" vertical="center" wrapText="1"/>
    </xf>
    <xf numFmtId="0" fontId="53" fillId="0" borderId="4" xfId="0" applyFont="1" applyBorder="1" applyAlignment="1">
      <alignment horizontal="right" vertical="center" wrapText="1"/>
    </xf>
    <xf numFmtId="0" fontId="53" fillId="0" borderId="5" xfId="0" applyFont="1" applyBorder="1" applyAlignment="1">
      <alignment horizontal="right" vertical="center" wrapText="1"/>
    </xf>
    <xf numFmtId="0" fontId="53" fillId="0" borderId="4" xfId="0" applyFont="1" applyBorder="1" applyAlignment="1">
      <alignment horizontal="center" vertical="center" wrapText="1"/>
    </xf>
    <xf numFmtId="0" fontId="7" fillId="5" borderId="3" xfId="0" applyFont="1" applyFill="1" applyBorder="1" applyAlignment="1">
      <alignment horizontal="center" vertical="center" wrapText="1"/>
    </xf>
    <xf numFmtId="43" fontId="74" fillId="0" borderId="0" xfId="14" applyNumberFormat="1" applyFont="1" applyBorder="1" applyAlignment="1">
      <alignment horizontal="center" vertical="center"/>
    </xf>
    <xf numFmtId="0" fontId="32" fillId="0" borderId="0" xfId="12" applyFont="1" applyAlignment="1">
      <alignment horizontal="left" vertical="center" wrapText="1"/>
      <protection locked="0"/>
    </xf>
    <xf numFmtId="0" fontId="52" fillId="0" borderId="0" xfId="12" applyFont="1" applyAlignment="1">
      <alignment horizontal="left" vertical="center" wrapText="1"/>
      <protection locked="0"/>
    </xf>
    <xf numFmtId="0" fontId="6" fillId="5" borderId="9" xfId="0" applyFont="1" applyFill="1" applyBorder="1" applyAlignment="1">
      <alignment horizontal="left" vertical="center"/>
    </xf>
    <xf numFmtId="0" fontId="6" fillId="5" borderId="10" xfId="0" applyFont="1" applyFill="1" applyBorder="1" applyAlignment="1">
      <alignment horizontal="left"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3" xfId="0" applyFont="1" applyFill="1" applyBorder="1">
      <alignment vertical="center"/>
    </xf>
    <xf numFmtId="0" fontId="23" fillId="6" borderId="0" xfId="0" applyFont="1" applyFill="1" applyBorder="1" applyAlignment="1" applyProtection="1">
      <alignment horizontal="justify" vertical="center" wrapText="1"/>
      <protection locked="0"/>
    </xf>
    <xf numFmtId="0" fontId="74" fillId="0" borderId="0" xfId="0" applyFont="1" applyAlignment="1" applyProtection="1">
      <alignment horizontal="center" vertical="center"/>
      <protection locked="0"/>
    </xf>
    <xf numFmtId="0" fontId="33" fillId="0" borderId="0" xfId="0" applyFont="1" applyAlignment="1" applyProtection="1">
      <alignment horizontal="left" vertical="center" wrapText="1"/>
      <protection locked="0"/>
    </xf>
    <xf numFmtId="0" fontId="52" fillId="0" borderId="0" xfId="0" applyFont="1" applyAlignment="1" applyProtection="1">
      <alignment horizontal="left" vertical="center" wrapText="1"/>
      <protection locked="0"/>
    </xf>
    <xf numFmtId="176" fontId="65" fillId="0" borderId="0" xfId="21" applyFont="1" applyFill="1" applyAlignment="1">
      <alignment horizontal="left" vertical="center"/>
    </xf>
    <xf numFmtId="176" fontId="26" fillId="5" borderId="22" xfId="19" applyFont="1" applyFill="1" applyBorder="1" applyAlignment="1" applyProtection="1">
      <alignment horizontal="center" vertical="center" wrapText="1"/>
      <protection locked="0"/>
    </xf>
    <xf numFmtId="0" fontId="7" fillId="5" borderId="22" xfId="0" applyFont="1" applyFill="1" applyBorder="1" applyAlignment="1">
      <alignment horizontal="center" vertical="center"/>
    </xf>
    <xf numFmtId="176" fontId="26" fillId="5" borderId="22" xfId="6" applyFont="1" applyFill="1" applyBorder="1" applyAlignment="1" applyProtection="1">
      <alignment horizontal="center" vertical="center" wrapText="1"/>
      <protection locked="0"/>
    </xf>
    <xf numFmtId="176" fontId="25" fillId="5" borderId="22" xfId="6" applyFont="1" applyFill="1" applyBorder="1" applyAlignment="1" applyProtection="1">
      <alignment horizontal="center" vertical="center" wrapText="1"/>
      <protection locked="0"/>
    </xf>
    <xf numFmtId="176" fontId="8" fillId="5" borderId="22" xfId="5" applyFont="1" applyFill="1" applyBorder="1" applyAlignment="1">
      <alignment horizontal="center" vertical="center" wrapText="1"/>
      <protection locked="0"/>
    </xf>
    <xf numFmtId="176" fontId="26" fillId="5" borderId="22" xfId="5" applyFont="1" applyFill="1" applyBorder="1" applyAlignment="1">
      <alignment horizontal="center" vertical="center" wrapText="1"/>
      <protection locked="0"/>
    </xf>
    <xf numFmtId="176" fontId="26" fillId="5" borderId="22" xfId="6" applyFont="1" applyFill="1" applyBorder="1" applyAlignment="1" applyProtection="1">
      <alignment horizontal="center" vertical="center" wrapText="1"/>
      <protection locked="0"/>
    </xf>
    <xf numFmtId="176" fontId="26" fillId="5" borderId="22" xfId="5" applyFont="1" applyFill="1" applyBorder="1" applyAlignment="1">
      <alignment horizontal="center" vertical="center"/>
      <protection locked="0"/>
    </xf>
    <xf numFmtId="176" fontId="8" fillId="5" borderId="22" xfId="5" applyFont="1" applyFill="1" applyBorder="1" applyAlignment="1">
      <alignment horizontal="center" vertical="center" wrapText="1"/>
      <protection locked="0"/>
    </xf>
    <xf numFmtId="0" fontId="6" fillId="0" borderId="22" xfId="0" applyFont="1" applyBorder="1">
      <alignment vertical="center"/>
    </xf>
    <xf numFmtId="43" fontId="6" fillId="5" borderId="22" xfId="2" applyFont="1" applyFill="1" applyBorder="1" applyAlignment="1">
      <alignment horizontal="right" vertical="center"/>
    </xf>
    <xf numFmtId="43" fontId="23" fillId="5" borderId="22" xfId="2" applyFont="1" applyFill="1" applyBorder="1" applyAlignment="1">
      <alignment horizontal="right" vertical="center" wrapText="1"/>
    </xf>
    <xf numFmtId="10" fontId="23" fillId="5" borderId="22" xfId="7" applyNumberFormat="1" applyFont="1" applyFill="1" applyBorder="1" applyAlignment="1">
      <alignment horizontal="right" vertical="center" wrapText="1"/>
    </xf>
    <xf numFmtId="0" fontId="7" fillId="5" borderId="22" xfId="0" applyFont="1" applyFill="1" applyBorder="1">
      <alignment vertical="center"/>
    </xf>
    <xf numFmtId="43" fontId="6" fillId="0" borderId="22" xfId="2" applyFont="1" applyFill="1" applyBorder="1" applyAlignment="1">
      <alignment horizontal="right" vertical="center"/>
    </xf>
    <xf numFmtId="43" fontId="23" fillId="0" borderId="22" xfId="2" applyFont="1" applyFill="1" applyBorder="1" applyAlignment="1">
      <alignment horizontal="right" vertical="center" wrapText="1"/>
    </xf>
    <xf numFmtId="10" fontId="23" fillId="0" borderId="22" xfId="7" applyNumberFormat="1" applyFont="1" applyFill="1" applyBorder="1" applyAlignment="1">
      <alignment horizontal="right" vertical="center" wrapText="1"/>
    </xf>
    <xf numFmtId="177" fontId="6" fillId="5" borderId="22" xfId="2" applyNumberFormat="1" applyFont="1" applyFill="1" applyBorder="1" applyAlignment="1">
      <alignment horizontal="right" vertical="center"/>
    </xf>
    <xf numFmtId="0" fontId="7" fillId="5" borderId="0" xfId="0" applyFont="1" applyFill="1">
      <alignment vertical="center"/>
    </xf>
    <xf numFmtId="0" fontId="8" fillId="5" borderId="22" xfId="0" applyFont="1" applyFill="1" applyBorder="1" applyAlignment="1">
      <alignment horizontal="center" vertical="center" wrapText="1"/>
    </xf>
    <xf numFmtId="0" fontId="7" fillId="5" borderId="22" xfId="0" applyFont="1" applyFill="1" applyBorder="1" applyAlignment="1">
      <alignment horizontal="center" vertical="center" wrapText="1"/>
    </xf>
    <xf numFmtId="176" fontId="8" fillId="5" borderId="22" xfId="6" applyFont="1" applyFill="1" applyBorder="1" applyAlignment="1" applyProtection="1">
      <alignment horizontal="center" vertical="center"/>
      <protection locked="0"/>
    </xf>
    <xf numFmtId="176" fontId="8" fillId="5" borderId="22" xfId="6" applyFont="1" applyFill="1" applyBorder="1" applyAlignment="1" applyProtection="1">
      <alignment horizontal="center" vertical="center"/>
      <protection locked="0"/>
    </xf>
    <xf numFmtId="176" fontId="7" fillId="5" borderId="22" xfId="6" applyFont="1" applyFill="1" applyBorder="1" applyAlignment="1" applyProtection="1">
      <alignment horizontal="center" vertical="center"/>
      <protection locked="0"/>
    </xf>
    <xf numFmtId="0" fontId="8" fillId="5" borderId="22" xfId="0" applyFont="1" applyFill="1" applyBorder="1" applyAlignment="1">
      <alignment horizontal="center" vertical="center"/>
    </xf>
    <xf numFmtId="0" fontId="7" fillId="5" borderId="22" xfId="0" applyFont="1" applyFill="1" applyBorder="1" applyAlignment="1">
      <alignment horizontal="center" vertical="center" wrapText="1"/>
    </xf>
    <xf numFmtId="0" fontId="11" fillId="0" borderId="22" xfId="0" applyFont="1" applyBorder="1">
      <alignment vertical="center"/>
    </xf>
    <xf numFmtId="43" fontId="6" fillId="0" borderId="22" xfId="2" applyFont="1" applyFill="1" applyBorder="1">
      <alignment vertical="center"/>
    </xf>
    <xf numFmtId="0" fontId="39" fillId="0" borderId="22" xfId="0" applyFont="1" applyFill="1" applyBorder="1">
      <alignment vertical="center"/>
    </xf>
    <xf numFmtId="0" fontId="7" fillId="0" borderId="22" xfId="0" applyFont="1" applyBorder="1">
      <alignment vertical="center"/>
    </xf>
    <xf numFmtId="0" fontId="6" fillId="5" borderId="22" xfId="0" applyFont="1" applyFill="1" applyBorder="1" applyAlignment="1">
      <alignment horizontal="center" vertical="center"/>
    </xf>
    <xf numFmtId="0" fontId="6" fillId="5" borderId="22" xfId="0" applyFont="1" applyFill="1" applyBorder="1" applyAlignment="1">
      <alignment horizontal="centerContinuous" vertical="center"/>
    </xf>
    <xf numFmtId="0" fontId="6" fillId="5" borderId="22" xfId="0" applyFont="1" applyFill="1" applyBorder="1">
      <alignment vertical="center"/>
    </xf>
    <xf numFmtId="43" fontId="34" fillId="0" borderId="0" xfId="14" applyNumberFormat="1" applyFont="1" applyBorder="1" applyAlignment="1">
      <alignment horizontal="center" vertical="center"/>
    </xf>
    <xf numFmtId="176" fontId="65" fillId="0" borderId="0" xfId="22" applyFont="1" applyAlignment="1">
      <alignment horizontal="left" vertical="center"/>
    </xf>
    <xf numFmtId="43" fontId="6" fillId="0" borderId="22" xfId="2" applyFont="1" applyBorder="1">
      <alignment vertical="center"/>
    </xf>
    <xf numFmtId="14" fontId="26" fillId="5" borderId="22" xfId="11" applyNumberFormat="1" applyFont="1" applyFill="1" applyBorder="1" applyAlignment="1" applyProtection="1">
      <alignment horizontal="center" vertical="center"/>
      <protection locked="0"/>
    </xf>
    <xf numFmtId="43" fontId="7" fillId="5" borderId="22" xfId="2" applyFont="1" applyFill="1" applyBorder="1">
      <alignment vertical="center"/>
    </xf>
    <xf numFmtId="10" fontId="7" fillId="5" borderId="22" xfId="7" applyNumberFormat="1" applyFont="1" applyFill="1" applyBorder="1" applyAlignment="1">
      <alignment horizontal="right" vertical="center"/>
    </xf>
    <xf numFmtId="0" fontId="6" fillId="0" borderId="0" xfId="0" applyFont="1" applyBorder="1">
      <alignment vertical="center"/>
    </xf>
    <xf numFmtId="176" fontId="26" fillId="10" borderId="22" xfId="0" applyNumberFormat="1" applyFont="1" applyFill="1" applyBorder="1" applyAlignment="1" applyProtection="1">
      <alignment horizontal="center" vertical="center"/>
      <protection locked="0"/>
    </xf>
    <xf numFmtId="176" fontId="26" fillId="10" borderId="22" xfId="0" applyNumberFormat="1" applyFont="1" applyFill="1" applyBorder="1" applyAlignment="1" applyProtection="1">
      <alignment horizontal="center" vertical="center" wrapText="1"/>
      <protection locked="0"/>
    </xf>
    <xf numFmtId="176" fontId="71" fillId="10" borderId="22" xfId="0" applyNumberFormat="1" applyFont="1" applyFill="1" applyBorder="1" applyAlignment="1" applyProtection="1">
      <alignment horizontal="center" vertical="center"/>
      <protection locked="0"/>
    </xf>
    <xf numFmtId="176" fontId="26" fillId="10" borderId="22" xfId="0" applyNumberFormat="1" applyFont="1" applyFill="1" applyBorder="1" applyAlignment="1" applyProtection="1">
      <alignment horizontal="center" vertical="center" wrapText="1"/>
    </xf>
    <xf numFmtId="176" fontId="24" fillId="0" borderId="22" xfId="0" applyNumberFormat="1" applyFont="1" applyFill="1" applyBorder="1" applyAlignment="1" applyProtection="1">
      <alignment horizontal="center"/>
      <protection locked="0"/>
    </xf>
    <xf numFmtId="43" fontId="6" fillId="5" borderId="11" xfId="2" applyFont="1" applyFill="1" applyBorder="1" applyAlignment="1">
      <alignment horizontal="right" vertical="center" shrinkToFit="1"/>
    </xf>
    <xf numFmtId="43" fontId="6" fillId="5" borderId="8" xfId="2" applyFont="1" applyFill="1" applyBorder="1" applyAlignment="1">
      <alignment horizontal="right" vertical="center" shrinkToFit="1"/>
    </xf>
    <xf numFmtId="43" fontId="6" fillId="5" borderId="12" xfId="2" applyFont="1" applyFill="1" applyBorder="1" applyAlignment="1">
      <alignment horizontal="right" vertical="center" shrinkToFit="1"/>
    </xf>
    <xf numFmtId="0" fontId="79" fillId="0" borderId="0" xfId="1" applyFont="1" applyAlignment="1" applyProtection="1">
      <alignment vertical="center"/>
    </xf>
  </cellXfs>
  <cellStyles count="23">
    <cellStyle name="百分比" xfId="7" builtinId="5"/>
    <cellStyle name="百分比 2 2" xfId="18"/>
    <cellStyle name="常规" xfId="0" builtinId="0"/>
    <cellStyle name="常规 11 5" xfId="21"/>
    <cellStyle name="常规 2" xfId="3"/>
    <cellStyle name="常规 2 3" xfId="11"/>
    <cellStyle name="常规 2 3 2" xfId="15"/>
    <cellStyle name="常规 2 8" xfId="12"/>
    <cellStyle name="常规 3" xfId="5"/>
    <cellStyle name="常规 4" xfId="6"/>
    <cellStyle name="常规 4 2 2" xfId="16"/>
    <cellStyle name="常规 47" xfId="13"/>
    <cellStyle name="常规 5" xfId="8"/>
    <cellStyle name="常规 6" xfId="9"/>
    <cellStyle name="常规 7" xfId="19"/>
    <cellStyle name="常规 7 2" xfId="20"/>
    <cellStyle name="常规_进一步审计程序--销售与收款循环" xfId="22"/>
    <cellStyle name="常规_新审定表" xfId="14"/>
    <cellStyle name="常规_制造费用" xfId="4"/>
    <cellStyle name="超链接" xfId="1" builtinId="8"/>
    <cellStyle name="超链接 2" xfId="10"/>
    <cellStyle name="超链接 3 2 2" xfId="17"/>
    <cellStyle name="千位分隔" xfId="2" builtinId="3"/>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Y:\&#24037;&#20316;\10&#24180;&#24037;&#20316;\&#27468;&#21326;\&#40718;&#35270;\&#21152;&#24037;&#36134;-&#40718;&#3527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20844;&#21496;\&#25191;&#19994;&#35268;&#31243;\&#20998;&#26512;&#349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 val="辽宁三生库存商品总帐2005 3.1.3a"/>
      <sheetName val="Info. Request"/>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ow r="24">
          <cell r="B24">
            <v>0</v>
          </cell>
        </row>
      </sheetData>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row r="24">
          <cell r="B24">
            <v>0</v>
          </cell>
        </row>
      </sheetData>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row r="6">
          <cell r="C6">
            <v>0</v>
          </cell>
        </row>
      </sheetData>
      <sheetData sheetId="3022"/>
      <sheetData sheetId="3023"/>
      <sheetData sheetId="3024"/>
      <sheetData sheetId="3025">
        <row r="6">
          <cell r="C6">
            <v>0</v>
          </cell>
        </row>
      </sheetData>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10">
          <cell r="C10" t="str">
            <v>衍生金融资产</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6">
          <cell r="C6">
            <v>13428470678.063999</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3">
          <cell r="A3">
            <v>60232501088</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营业外收支明细"/>
      <sheetName val="XL4Poppy"/>
      <sheetName val="a8附-1510000000"/>
      <sheetName val="索引"/>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Sheet2"/>
      <sheetName val="Sheet3"/>
      <sheetName val="其他应收款－个人借款明细"/>
      <sheetName val="总分类账"/>
      <sheetName val="for disclosure"/>
      <sheetName val="核算项目余额表"/>
      <sheetName val="审核2"/>
      <sheetName val="所得税凭证抽查"/>
      <sheetName val="Sheet9"/>
      <sheetName val="资产负债表"/>
      <sheetName val="其他货币资金.dbf"/>
      <sheetName val="银行存款.dbf"/>
      <sheetName val="生产成本账"/>
      <sheetName val="标实对比表"/>
      <sheetName val="完"/>
      <sheetName val="客户余额表"/>
      <sheetName val="表头"/>
      <sheetName val="明细表E6-2"/>
      <sheetName val="产销存"/>
      <sheetName val="1-6累计销售"/>
      <sheetName val="收入个月"/>
      <sheetName val="Sheet2 (3)"/>
      <sheetName val="客户基本概况表"/>
      <sheetName val="Main"/>
      <sheetName val="表头信息"/>
      <sheetName val="上期报表"/>
      <sheetName val="银行借款询证"/>
      <sheetName val="E1020"/>
      <sheetName val="2010年台帐"/>
      <sheetName val="设备部房屋"/>
      <sheetName val="detail"/>
      <sheetName val="FA Breakdown"/>
      <sheetName val="XREF"/>
      <sheetName val="#REF!"/>
      <sheetName val="other comments"/>
      <sheetName val="提足折旧"/>
      <sheetName val="应付职工薪酬"/>
      <sheetName val="三家其他应付公司"/>
      <sheetName val="应收票据函证控制表"/>
      <sheetName val="summary "/>
      <sheetName val="56271-2"/>
      <sheetName val="MAP_HKG"/>
      <sheetName val="MAP_KSC"/>
      <sheetName val="MAP_PEK"/>
      <sheetName val="MAP_SSH"/>
      <sheetName val="REG_HKG"/>
      <sheetName val="REG_KSC"/>
      <sheetName val="REG_PEK"/>
      <sheetName val="REG_SSH"/>
      <sheetName val="存货赌价准备"/>
      <sheetName val="其乖帔乘款"/>
      <sheetName val="頄謡负债"/>
      <sheetName val="营业费用测试"/>
      <sheetName val="清单12.31"/>
      <sheetName val="5月"/>
      <sheetName val="6月"/>
      <sheetName val="物资公司"/>
      <sheetName val="负债完成横向"/>
      <sheetName val="资产完成横向"/>
      <sheetName val="序时帐"/>
      <sheetName val="期后回款"/>
      <sheetName val="10月回款"/>
      <sheetName val="10月销售"/>
      <sheetName val="Part_Datum"/>
      <sheetName val="loan database"/>
      <sheetName val="2004"/>
      <sheetName val="科目余额表"/>
      <sheetName val="炼钢"/>
      <sheetName val="余额表"/>
      <sheetName val="存货分析表G2-4"/>
      <sheetName val="科目名称表"/>
      <sheetName val="原报调整分录"/>
      <sheetName val="审计调整分录"/>
      <sheetName val="DTCT"/>
      <sheetName val="广告费测试表"/>
      <sheetName val="eqpmad2"/>
      <sheetName val="POWER ASSUMPTIONS"/>
      <sheetName val="房屋及建筑物"/>
      <sheetName val="盘存还原"/>
      <sheetName val="外汇付款计划"/>
      <sheetName val="Third party"/>
      <sheetName val="Summary"/>
      <sheetName val="2002年关联方余额及交易"/>
      <sheetName val="应收款"/>
      <sheetName val="预付款"/>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应收账款贷方余额表"/>
      <sheetName val="应收账款借方余额表"/>
      <sheetName val="应收账款余额表"/>
      <sheetName val="GA"/>
      <sheetName val="AR"/>
      <sheetName val="销售"/>
      <sheetName val="Expense summary"/>
      <sheetName val="2008.10.27-31日实际出库明细"/>
      <sheetName val="Sales ADJ 2008.1-10"/>
      <sheetName val="利润表"/>
      <sheetName val="表头（请先填写）"/>
      <sheetName val="短期投资股票投资.dbf"/>
      <sheetName val="短期投资国债投资.dbf"/>
      <sheetName val="股票投资收益.dbf"/>
      <sheetName val="其他货币海通.dbf"/>
      <sheetName val="其他货币零领路.dbf"/>
      <sheetName val="投资收益债券.dbf"/>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银行存款核对表"/>
      <sheetName val="G1-1营业收入审定表"/>
      <sheetName val="邯矿"/>
      <sheetName val="合并表"/>
      <sheetName val="金化"/>
      <sheetName val="通达"/>
      <sheetName val="KKKKKKKK"/>
      <sheetName val="Statistics {pbe}"/>
      <sheetName val="Allow {pbe}"/>
      <sheetName val="2012年营业收入审定表"/>
      <sheetName val="2012年主营业务收入毛利分析"/>
      <sheetName val="2011年主营业务收入毛利分析"/>
      <sheetName val="总部调整"/>
      <sheetName val="汇总抵消"/>
      <sheetName val="SI"/>
      <sheetName val="newcost"/>
      <sheetName val="Breakdown"/>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W"/>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 val="C_301"/>
      <sheetName val="C_311"/>
      <sheetName val="C_318"/>
      <sheetName val="工时统计"/>
      <sheetName val="CF附注"/>
      <sheetName val="试算平衡表"/>
      <sheetName val="UFPrn20120201171347"/>
      <sheetName val="UFPrn20120201171700"/>
      <sheetName val="param"/>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ZH1-4其他应收款个别认定"/>
      <sheetName val="ZH1-3应收账款个别认定"/>
      <sheetName val="各单位目标指标"/>
      <sheetName val="表头"/>
      <sheetName val="资产负债表"/>
      <sheetName val="新城资金明细"/>
      <sheetName val="申鑫大厦租金明细"/>
      <sheetName val="三林明细"/>
      <sheetName val="东陆明细"/>
      <sheetName val="完"/>
      <sheetName val="基础信息"/>
      <sheetName val="4-货币资金-现金"/>
      <sheetName val="XREF"/>
      <sheetName val="A430"/>
      <sheetName val="企业表一"/>
      <sheetName val="M-5C"/>
      <sheetName val="M-5A"/>
      <sheetName val="账面外销"/>
      <sheetName val="货币资金审定表"/>
      <sheetName val="B"/>
      <sheetName val="W"/>
      <sheetName val="1月固定资产清单"/>
      <sheetName val="eqpmad2"/>
      <sheetName val="销售费用Dy"/>
      <sheetName val="本期报表"/>
      <sheetName val="期末应付帐款明细表"/>
      <sheetName val="期初应付帐款明细表"/>
      <sheetName val="关联方—创斯达"/>
      <sheetName val="关联方—东风汽车"/>
      <sheetName val="breakdown"/>
      <sheetName val="balance"/>
      <sheetName val="PRC-BS-SZ"/>
      <sheetName val="A1"/>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000__x0000__x0000__x0000_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_x0000_*_x0000__x0000__x0000_ª¥$_x0004__x0000__x0000__x0000__x0000_RÝ_x0013__x0000_RÝ"/>
      <sheetName val="_x0000__x0000__x0000__x0000__x0000__x0000__x0000__x0007__x0000__x0000__x0000_zà_x0013__x0000__x0000__x0000__x0000__x0000_"/>
      <sheetName val="同业存放Ⱦ_x0000_"/>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_x0000__x0000__x0000_Ԁ_x0000_"/>
      <sheetName val="A3"/>
      <sheetName val="機種対応表(無断変更禁止)"/>
      <sheetName val="_x0000_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各单位目标指标"/>
      <sheetName val="销项税"/>
      <sheetName val="库存商品各月产量变动分析表G2-4-3"/>
      <sheetName val="目录"/>
      <sheetName val="品种酒生产月报10月"/>
      <sheetName val="G110"/>
      <sheetName val="BALANCE SHEET"/>
      <sheetName val="#REF"/>
      <sheetName val="1月固定资产清单"/>
      <sheetName val="湖南湘潭应付个人明细帐"/>
      <sheetName val="其他应收款－个人借款明细"/>
      <sheetName val="费用填报表"/>
      <sheetName val="Validation"/>
      <sheetName val="eqpmad2"/>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主菜单"/>
      <sheetName val="户名"/>
      <sheetName val="SW-TEO"/>
      <sheetName val="抵销表"/>
      <sheetName val="基础表"/>
      <sheetName val="披露表(上市)"/>
      <sheetName val="役"/>
      <sheetName val="其他应付款科目余额2005.12.31"/>
      <sheetName val="工时统计"/>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参数"/>
      <sheetName val="工程项目完工表"/>
      <sheetName val="标本-资产"/>
      <sheetName val="管理费用Dy"/>
      <sheetName val="销售费用Dy"/>
      <sheetName val="营业收入Dy"/>
      <sheetName val="D02A"/>
      <sheetName val="27-7"/>
      <sheetName val="_x001f_0-BS ؁"/>
      <sheetName val="KKKKKKKK"/>
      <sheetName val="param"/>
      <sheetName val="Traduction"/>
      <sheetName val="营业外支出Dy"/>
      <sheetName val="生产成本mx"/>
      <sheetName val="专项应付款Dy"/>
      <sheetName val="分录"/>
      <sheetName val="07年1-9月"/>
      <sheetName val="工程物资Dy"/>
      <sheetName val="主营业务收入mx"/>
      <sheetName val="界面"/>
      <sheetName val="关联方"/>
      <sheetName val="累计折旧测算表"/>
      <sheetName val="校对"/>
      <sheetName val="坏账准备_应收账款Dy"/>
      <sheetName val="外销收入明细表"/>
      <sheetName val="内部销售明细表"/>
      <sheetName val="STATPARA"/>
      <sheetName val="preBS"/>
      <sheetName val="preIS"/>
      <sheetName val="preCE"/>
      <sheetName val="TB"/>
      <sheetName val="存货_生产成本Dy"/>
      <sheetName val="合格数详细信息"/>
      <sheetName val="BS P&amp;L-SAP standard form"/>
      <sheetName val="XBase"/>
      <sheetName val="客户基本概况表"/>
      <sheetName val="鸡油车间"/>
      <sheetName val="制造费用MX"/>
      <sheetName val="基础信息"/>
      <sheetName val="待转业务收入-按客户"/>
      <sheetName val="待收账款"/>
      <sheetName val="收入和成本对应表"/>
      <sheetName val="TB表"/>
      <sheetName val="营业成本Dy"/>
      <sheetName val="其他应收款Dy"/>
      <sheetName val="广州库"/>
      <sheetName val="营业成本审定表"/>
      <sheetName val="短期借款Dy"/>
      <sheetName val="应交税费Dy"/>
      <sheetName val="应付账款明细表"/>
      <sheetName val="应付账款审定表"/>
      <sheetName val="应收账款Dy"/>
      <sheetName val="可供出售金融资产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A430"/>
      <sheetName val="细节测试审计抽样"/>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Detailed Testing"/>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00_¨/_x0016__x0000_†Ý_x0013__x0000_†Ý"/>
      <sheetName val="_x0001__x0000_¨/_x0016__x0000_†Ý_x0013__x0000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程序表原始数据"/>
      <sheetName val="单位名称"/>
      <sheetName val="调整后报表"/>
      <sheetName val="PER SALES ORG"/>
      <sheetName val="loan database"/>
      <sheetName val="５８D"/>
      <sheetName val="balance"/>
      <sheetName val="营业费用测试"/>
      <sheetName val="FS"/>
      <sheetName val="gl"/>
      <sheetName val="Adm"/>
      <sheetName val="sell"/>
      <sheetName val="Fin"/>
      <sheetName val="应收利息Dy"/>
      <sheetName val="外销涤布"/>
      <sheetName val="账面外销"/>
      <sheetName val="H053"/>
      <sheetName val="UFPrn20031203195053"/>
      <sheetName val="Title"/>
      <sheetName val="工资系数05.6"/>
      <sheetName val="PRC-BS-SZ"/>
      <sheetName val="采购入库单列表G2-2-9"/>
      <sheetName val="P12 TB SZ"/>
      <sheetName val="original"/>
      <sheetName val="函证汇总表 G4-4-1"/>
      <sheetName val="委托加工材料"/>
      <sheetName val="收入明细－按客户"/>
    </sheetNames>
    <sheetDataSet>
      <sheetData sheetId="0">
        <row r="6">
          <cell r="C6">
            <v>0</v>
          </cell>
        </row>
      </sheetData>
      <sheetData sheetId="1">
        <row r="10">
          <cell r="B10">
            <v>0</v>
          </cell>
        </row>
      </sheetData>
      <sheetData sheetId="2">
        <row r="10">
          <cell r="B10">
            <v>0</v>
          </cell>
        </row>
      </sheetData>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sheetData sheetId="729"/>
      <sheetData sheetId="730" refreshError="1"/>
      <sheetData sheetId="731" refreshError="1"/>
      <sheetData sheetId="732" refreshError="1"/>
      <sheetData sheetId="733" refreshError="1"/>
      <sheetData sheetId="734"/>
      <sheetData sheetId="735"/>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ª¥$_x0004_RÝ_x0013_RÝ"/>
      <sheetName val="_x0007_zà_x0013_"/>
      <sheetName val="同业存放Ⱦ"/>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7_¨/_x0016_Ý_x0013_Ý"/>
      <sheetName val="_x0007_®à_x0013_"/>
      <sheetName val="_x0001_¨/_x0016_Ý_x0013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Ԁ"/>
      <sheetName val="A3"/>
      <sheetName val="機種対応表(無断変更禁止)"/>
      <sheetName val="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各单位目标指标"/>
      <sheetName val="销项税"/>
      <sheetName val="库存商品各月产量变动分析表G2-4-3"/>
      <sheetName val="目录"/>
      <sheetName val="品种酒生产月报10月"/>
      <sheetName val="G110"/>
      <sheetName val="BALANCE SHEET"/>
      <sheetName val="#REF"/>
      <sheetName val="1月固定资产清单"/>
      <sheetName val="湖南湘潭应付个人明细帐"/>
      <sheetName val="其他应收款－个人借款明细"/>
      <sheetName val="费用填报表"/>
      <sheetName val="Validation"/>
      <sheetName val="eqpmad2"/>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主菜单"/>
      <sheetName val="户名"/>
      <sheetName val="SW-TEO"/>
      <sheetName val="抵销表"/>
      <sheetName val="基础表"/>
      <sheetName val="披露表(上市)"/>
      <sheetName val="役"/>
      <sheetName val="其他应付款科目余额2005.12.31"/>
      <sheetName val="工时统计"/>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参数"/>
      <sheetName val="工程项目完工表"/>
      <sheetName val="标本-资产"/>
      <sheetName val="管理费用Dy"/>
      <sheetName val="销售费用Dy"/>
      <sheetName val="营业收入Dy"/>
      <sheetName val="D02A"/>
      <sheetName val="27-7"/>
      <sheetName val="_x001f_0-BS ؁"/>
      <sheetName val="KKKKKKKK"/>
      <sheetName val="param"/>
      <sheetName val="Traduction"/>
      <sheetName val="营业外支出Dy"/>
      <sheetName val="生产成本mx"/>
      <sheetName val="专项应付款Dy"/>
      <sheetName val="分录"/>
      <sheetName val="07年1-9月"/>
      <sheetName val="工程物资Dy"/>
      <sheetName val="主营业务收入mx"/>
      <sheetName val="界面"/>
      <sheetName val="关联方"/>
      <sheetName val="累计折旧测算表"/>
      <sheetName val="校对"/>
      <sheetName val="坏账准备_应收账款Dy"/>
      <sheetName val="外销收入明细表"/>
      <sheetName val="内部销售明细表"/>
      <sheetName val="STATPARA"/>
      <sheetName val="preBS"/>
      <sheetName val="preIS"/>
      <sheetName val="preCE"/>
      <sheetName val="TB"/>
      <sheetName val="存货_生产成本Dy"/>
      <sheetName val="合格数详细信息"/>
      <sheetName val="BS P&amp;L-SAP standard form"/>
      <sheetName val="XBase"/>
      <sheetName val="客户基本概况表"/>
      <sheetName val="鸡油车间"/>
      <sheetName val="制造费用MX"/>
      <sheetName val="基础信息"/>
      <sheetName val="待转业务收入-按客户"/>
      <sheetName val="待收账款"/>
      <sheetName val="收入和成本对应表"/>
      <sheetName val="TB表"/>
      <sheetName val="营业成本Dy"/>
      <sheetName val="其他应收款Dy"/>
      <sheetName val="广州库"/>
      <sheetName val="营业成本审定表"/>
      <sheetName val="短期借款Dy"/>
      <sheetName val="应交税费Dy"/>
      <sheetName val="应付账款明细表"/>
      <sheetName val="应付账款审定表"/>
      <sheetName val="应收账款Dy"/>
      <sheetName val="可供出售金融资产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A430"/>
      <sheetName val="细节测试审计抽样"/>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Detailed Testing"/>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16_†Ý_x0013_†Ý"/>
      <sheetName val="_x0001_¨/_x0016_†Ý_x0013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程序表原始数据"/>
      <sheetName val="单位名称"/>
      <sheetName val="调整后报表"/>
      <sheetName val="PER SALES ORG"/>
      <sheetName val="loan database"/>
      <sheetName val="５８D"/>
      <sheetName val="balance"/>
      <sheetName val="营业费用测试"/>
      <sheetName val="FS"/>
      <sheetName val="gl"/>
      <sheetName val="Adm"/>
      <sheetName val="sell"/>
      <sheetName val="Fin"/>
      <sheetName val="应收利息Dy"/>
      <sheetName val="外销涤布"/>
      <sheetName val="账面外销"/>
      <sheetName val="H053"/>
      <sheetName val="UFPrn20031203195053"/>
      <sheetName val="Title"/>
      <sheetName val="工资系数05.6"/>
      <sheetName val="PRC-BS-SZ"/>
      <sheetName val="采购入库单列表G2-2-9"/>
      <sheetName val="P12 TB SZ"/>
      <sheetName val="original"/>
      <sheetName val="函证汇总表 G4-4-1"/>
      <sheetName val="委托加工材料"/>
      <sheetName val="收入明细－按客户"/>
      <sheetName val="other lia"/>
      <sheetName val="prepayment"/>
      <sheetName val="related co"/>
      <sheetName val="sel"/>
      <sheetName val="AR"/>
      <sheetName val="35.1租赁明细"/>
      <sheetName val="Sheet192"/>
    </sheetNames>
    <sheetDataSet>
      <sheetData sheetId="0">
        <row r="6">
          <cell r="C6">
            <v>0</v>
          </cell>
        </row>
      </sheetData>
      <sheetData sheetId="1">
        <row r="10">
          <cell r="B10">
            <v>0</v>
          </cell>
        </row>
      </sheetData>
      <sheetData sheetId="2">
        <row r="10">
          <cell r="B10">
            <v>0</v>
          </cell>
        </row>
      </sheetData>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sheetData sheetId="729"/>
      <sheetData sheetId="730" refreshError="1"/>
      <sheetData sheetId="731" refreshError="1"/>
      <sheetData sheetId="732" refreshError="1"/>
      <sheetData sheetId="733" refreshError="1"/>
      <sheetData sheetId="734"/>
      <sheetData sheetId="735"/>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a_[分析表.X"/>
      <sheetName val="其他科目_x000d_[分析表_X"/>
      <sheetName val="其他科目_x000d__分析表_X"/>
      <sheetName val="社保表"/>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发出商品替代"/>
      <sheetName val="客户清单"/>
      <sheetName val="披露表2017"/>
      <sheetName val="折旧测算（直线法）2017"/>
      <sheetName val="B7-2-1应付账款余额表"/>
      <sheetName val="设备采购01"/>
      <sheetName val="设备采购02"/>
      <sheetName val="设备采购03"/>
      <sheetName val="Sheet1_x0002__x00"/>
      <sheetName val="BKD-Note 44"/>
      <sheetName val="Check-Note 35-2014"/>
      <sheetName val="BKD-Note 35-2014"/>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主要指标分析图"/>
      <sheetName val="合并数"/>
      <sheetName val="COLODYQX"/>
      <sheetName val="2016年业务借款明细"/>
      <sheetName val="2016年现场借款明细"/>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固定资产"/>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项目索引"/>
      <sheetName val="其他应收单位款余额"/>
      <sheetName val="长期应付款导引表"/>
      <sheetName val="1.4余额表"/>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_x0000__x0000_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0__x0000__x000a__分析表.XLS_G9-1_x0000__x0000_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合并2"/>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sheetData sheetId="373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sheetData sheetId="4006"/>
      <sheetData sheetId="4007"/>
      <sheetData sheetId="4008"/>
      <sheetData sheetId="4009"/>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sheetData sheetId="418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sheetData sheetId="4377"/>
      <sheetData sheetId="4378"/>
      <sheetData sheetId="4379"/>
      <sheetData sheetId="4380"/>
      <sheetData sheetId="4381"/>
      <sheetData sheetId="4382"/>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sheetData sheetId="4443"/>
      <sheetData sheetId="4444"/>
      <sheetData sheetId="4445"/>
      <sheetData sheetId="4446"/>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sheetData sheetId="4672" refreshError="1"/>
      <sheetData sheetId="4673" refreshError="1"/>
      <sheetData sheetId="4674" refreshError="1"/>
      <sheetData sheetId="4675" refreshError="1"/>
      <sheetData sheetId="4676"/>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25"/>
  <sheetViews>
    <sheetView tabSelected="1" workbookViewId="0"/>
  </sheetViews>
  <sheetFormatPr defaultColWidth="9" defaultRowHeight="18" customHeight="1"/>
  <cols>
    <col min="1" max="1" width="80.77734375" style="1" bestFit="1" customWidth="1"/>
    <col min="2" max="2" width="6.109375" style="2" customWidth="1"/>
    <col min="3" max="3" width="44.21875" style="1" bestFit="1" customWidth="1"/>
    <col min="4" max="4" width="9" style="2"/>
    <col min="5" max="5" width="10.44140625" style="1" customWidth="1"/>
    <col min="6" max="16384" width="9" style="1"/>
  </cols>
  <sheetData>
    <row r="1" spans="1:5" s="11" customFormat="1" ht="18" customHeight="1">
      <c r="A1" s="54" t="s">
        <v>118</v>
      </c>
      <c r="B1" s="169" t="s">
        <v>154</v>
      </c>
      <c r="C1" s="169"/>
      <c r="D1" s="169"/>
      <c r="E1" s="169"/>
    </row>
    <row r="2" spans="1:5" s="9" customFormat="1" ht="18" customHeight="1">
      <c r="A2" s="104" t="s">
        <v>314</v>
      </c>
      <c r="B2" s="10"/>
      <c r="C2" s="10"/>
      <c r="D2" s="10"/>
      <c r="E2" s="10"/>
    </row>
    <row r="3" spans="1:5" s="101" customFormat="1" ht="18" customHeight="1">
      <c r="A3" s="202" t="s">
        <v>323</v>
      </c>
      <c r="B3" s="6" t="s">
        <v>2</v>
      </c>
      <c r="C3" s="6" t="s">
        <v>157</v>
      </c>
      <c r="D3" s="6" t="s">
        <v>1</v>
      </c>
      <c r="E3" s="6" t="s">
        <v>0</v>
      </c>
    </row>
    <row r="4" spans="1:5" ht="18" customHeight="1">
      <c r="A4" s="168" t="s">
        <v>315</v>
      </c>
      <c r="B4" s="4">
        <v>1</v>
      </c>
      <c r="C4" s="138" t="s">
        <v>260</v>
      </c>
      <c r="D4" s="4" t="s">
        <v>253</v>
      </c>
      <c r="E4" s="3"/>
    </row>
    <row r="5" spans="1:5" ht="18" customHeight="1">
      <c r="A5" s="168" t="s">
        <v>316</v>
      </c>
      <c r="B5" s="4">
        <v>2</v>
      </c>
      <c r="C5" s="138" t="s">
        <v>261</v>
      </c>
      <c r="D5" s="4" t="s">
        <v>161</v>
      </c>
      <c r="E5" s="5"/>
    </row>
    <row r="6" spans="1:5" ht="18" customHeight="1">
      <c r="A6" s="168" t="s">
        <v>317</v>
      </c>
      <c r="B6" s="4">
        <v>3</v>
      </c>
      <c r="C6" s="138" t="s">
        <v>262</v>
      </c>
      <c r="D6" s="4"/>
      <c r="E6" s="3"/>
    </row>
    <row r="7" spans="1:5" ht="18" customHeight="1">
      <c r="A7" s="168" t="s">
        <v>318</v>
      </c>
      <c r="B7" s="4">
        <v>4</v>
      </c>
      <c r="C7" s="138" t="s">
        <v>263</v>
      </c>
      <c r="D7" s="4"/>
      <c r="E7" s="3"/>
    </row>
    <row r="8" spans="1:5" ht="18" customHeight="1">
      <c r="A8" s="105" t="s">
        <v>155</v>
      </c>
      <c r="B8" s="4">
        <v>5</v>
      </c>
      <c r="C8" s="138" t="s">
        <v>264</v>
      </c>
      <c r="D8" s="4" t="s">
        <v>254</v>
      </c>
      <c r="E8" s="3"/>
    </row>
    <row r="9" spans="1:5" ht="18" customHeight="1">
      <c r="A9" s="106" t="s">
        <v>159</v>
      </c>
      <c r="B9" s="4">
        <v>6</v>
      </c>
      <c r="C9" s="138" t="s">
        <v>265</v>
      </c>
      <c r="D9" s="4" t="s">
        <v>255</v>
      </c>
      <c r="E9" s="107" t="s">
        <v>156</v>
      </c>
    </row>
    <row r="10" spans="1:5" ht="18" customHeight="1">
      <c r="A10" s="106" t="s">
        <v>158</v>
      </c>
      <c r="B10" s="4">
        <v>7</v>
      </c>
      <c r="C10" s="138" t="s">
        <v>266</v>
      </c>
      <c r="D10" s="4" t="s">
        <v>256</v>
      </c>
      <c r="E10" s="3"/>
    </row>
    <row r="11" spans="1:5" ht="18" customHeight="1">
      <c r="A11" s="106" t="s">
        <v>160</v>
      </c>
      <c r="B11" s="4">
        <v>8</v>
      </c>
      <c r="C11" s="138" t="s">
        <v>267</v>
      </c>
      <c r="D11" s="4" t="s">
        <v>257</v>
      </c>
      <c r="E11" s="3"/>
    </row>
    <row r="12" spans="1:5" ht="18" customHeight="1">
      <c r="A12" s="106" t="s">
        <v>130</v>
      </c>
      <c r="B12" s="4">
        <v>9</v>
      </c>
      <c r="C12" s="138" t="s">
        <v>268</v>
      </c>
      <c r="D12" s="4" t="s">
        <v>258</v>
      </c>
      <c r="E12" s="3"/>
    </row>
    <row r="13" spans="1:5" ht="18" customHeight="1">
      <c r="A13" s="106"/>
      <c r="B13" s="4">
        <v>10</v>
      </c>
      <c r="C13" s="138" t="s">
        <v>269</v>
      </c>
      <c r="D13" s="4" t="s">
        <v>259</v>
      </c>
      <c r="E13" s="3"/>
    </row>
    <row r="15" spans="1:5" ht="18" customHeight="1">
      <c r="A15" s="203" t="s">
        <v>324</v>
      </c>
    </row>
    <row r="16" spans="1:5" ht="18" customHeight="1">
      <c r="A16" s="204" t="s">
        <v>325</v>
      </c>
    </row>
    <row r="17" spans="1:1" ht="18" customHeight="1">
      <c r="A17" s="204"/>
    </row>
    <row r="18" spans="1:1" ht="18" customHeight="1">
      <c r="A18" s="204"/>
    </row>
    <row r="19" spans="1:1" ht="18" customHeight="1">
      <c r="A19" s="204"/>
    </row>
    <row r="20" spans="1:1" ht="18" customHeight="1">
      <c r="A20" s="204" t="s">
        <v>326</v>
      </c>
    </row>
    <row r="21" spans="1:1" ht="18" customHeight="1">
      <c r="A21" s="204"/>
    </row>
    <row r="22" spans="1:1" ht="18" customHeight="1">
      <c r="A22" s="204"/>
    </row>
    <row r="23" spans="1:1" ht="18" customHeight="1">
      <c r="A23" s="205" t="s">
        <v>327</v>
      </c>
    </row>
    <row r="24" spans="1:1" ht="18" customHeight="1">
      <c r="A24" s="205"/>
    </row>
    <row r="25" spans="1:1" ht="18" customHeight="1">
      <c r="A25" s="205"/>
    </row>
  </sheetData>
  <mergeCells count="4">
    <mergeCell ref="B1:E1"/>
    <mergeCell ref="A16:A19"/>
    <mergeCell ref="A20:A22"/>
    <mergeCell ref="A23:A25"/>
  </mergeCells>
  <phoneticPr fontId="4" type="noConversion"/>
  <hyperlinks>
    <hyperlink ref="C5" location="'审定表I4-1'!A1" display="长期待摊费用审定表"/>
    <hyperlink ref="C8" location="'明细表I4-2'!A1" display="长期待摊费用明细表"/>
    <hyperlink ref="C11" location="'针对性检查表I4-5'!A1" display="针对性检查表"/>
    <hyperlink ref="C12" location="'摊销测算I4-6'!A1" display="长期待摊费用摊销测算表"/>
    <hyperlink ref="C13" location="'摊销测算表I4-7（工作量法）'!A1" display="长期待摊费用摊销测算表（采用工作量法时使用）"/>
    <hyperlink ref="C6" location="'附注披露（上市公司）'!A1" display="长期待摊费用附注披露表（上市公司）"/>
    <hyperlink ref="C7" location="'附注披露（国有企业）'!A1" display="长期待摊费用附注披露表（国有企业）"/>
    <hyperlink ref="C10" location="'摊销政策检查表I4-4'!A1" display="摊销政策检查表"/>
    <hyperlink ref="C4" location="'长期待摊费用实质性程序 I4A'!A1" display="长期待摊费用实质性程序"/>
    <hyperlink ref="C9" location="'调整分录汇总I4-3'!A1" display="调整分录汇总"/>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4"/>
  <sheetViews>
    <sheetView view="pageBreakPreview" zoomScaleNormal="100" zoomScaleSheetLayoutView="100" workbookViewId="0">
      <selection sqref="A1:I1"/>
    </sheetView>
  </sheetViews>
  <sheetFormatPr defaultRowHeight="19.95" customHeight="1"/>
  <cols>
    <col min="1" max="1" width="4.88671875" customWidth="1"/>
    <col min="2" max="2" width="68" customWidth="1"/>
    <col min="3" max="3" width="11.5546875" customWidth="1"/>
    <col min="4" max="4" width="6.109375" customWidth="1"/>
    <col min="5" max="6" width="6.33203125" customWidth="1"/>
    <col min="7" max="7" width="7.88671875" customWidth="1"/>
    <col min="8" max="8" width="5.6640625" customWidth="1"/>
    <col min="9" max="9" width="7.5546875" customWidth="1"/>
    <col min="10" max="10" width="67.109375" customWidth="1"/>
  </cols>
  <sheetData>
    <row r="1" spans="1:11" ht="19.95" customHeight="1">
      <c r="A1" s="171" t="s">
        <v>79</v>
      </c>
      <c r="B1" s="171"/>
      <c r="C1" s="171"/>
      <c r="D1" s="171"/>
      <c r="E1" s="171"/>
      <c r="F1" s="171"/>
      <c r="G1" s="171"/>
      <c r="H1" s="171"/>
      <c r="I1" s="171"/>
      <c r="J1" s="158"/>
      <c r="K1" s="158"/>
    </row>
    <row r="2" spans="1:11" ht="19.95" customHeight="1">
      <c r="A2" s="172" t="s">
        <v>310</v>
      </c>
      <c r="B2" s="172"/>
      <c r="C2" s="172"/>
      <c r="D2" s="172"/>
      <c r="E2" s="172"/>
      <c r="F2" s="172"/>
      <c r="G2" s="172"/>
      <c r="H2" s="172"/>
      <c r="I2" s="172"/>
      <c r="J2" s="159"/>
      <c r="K2" s="159"/>
    </row>
    <row r="3" spans="1:11" ht="19.95" customHeight="1">
      <c r="A3" s="63" t="str">
        <f>底稿目录!A2</f>
        <v>被审计单位：</v>
      </c>
      <c r="B3" s="58"/>
      <c r="C3" s="59" t="str">
        <f>底稿目录!A4</f>
        <v>编制人：</v>
      </c>
      <c r="D3" s="60"/>
      <c r="E3" s="61" t="str">
        <f>底稿目录!A5</f>
        <v>编制日期：</v>
      </c>
      <c r="F3" s="61"/>
      <c r="G3" s="61"/>
      <c r="H3" s="62" t="s">
        <v>119</v>
      </c>
      <c r="I3" s="255" t="s">
        <v>342</v>
      </c>
    </row>
    <row r="4" spans="1:11" ht="19.95" customHeight="1">
      <c r="A4" s="63" t="s">
        <v>126</v>
      </c>
      <c r="B4" s="58"/>
      <c r="C4" s="59" t="str">
        <f>底稿目录!A6</f>
        <v>复核人：</v>
      </c>
      <c r="D4" s="60"/>
      <c r="E4" s="64" t="str">
        <f>底稿目录!A7</f>
        <v>复核日期：</v>
      </c>
      <c r="F4" s="61"/>
      <c r="G4" s="61"/>
      <c r="H4" s="62" t="s">
        <v>120</v>
      </c>
      <c r="I4" s="61"/>
    </row>
    <row r="5" spans="1:11" ht="19.95" customHeight="1">
      <c r="A5" s="108" t="s">
        <v>162</v>
      </c>
      <c r="B5" s="109"/>
      <c r="C5" s="109"/>
      <c r="D5" s="109"/>
      <c r="E5" s="109"/>
      <c r="F5" s="109"/>
      <c r="G5" s="109"/>
      <c r="H5" s="109"/>
      <c r="I5" s="109"/>
    </row>
    <row r="6" spans="1:11" ht="19.95" customHeight="1">
      <c r="A6" s="110" t="s">
        <v>178</v>
      </c>
      <c r="B6" s="109"/>
      <c r="C6" s="109"/>
      <c r="D6" s="109"/>
      <c r="E6" s="109"/>
      <c r="F6" s="109"/>
      <c r="G6" s="109"/>
      <c r="H6" s="109"/>
      <c r="I6" s="109"/>
    </row>
    <row r="7" spans="1:11" ht="19.95" customHeight="1">
      <c r="A7" s="111" t="s">
        <v>163</v>
      </c>
      <c r="B7" s="112"/>
      <c r="C7" s="112"/>
      <c r="D7" s="109"/>
      <c r="E7" s="109"/>
      <c r="F7" s="109"/>
      <c r="G7" s="109"/>
      <c r="H7" s="109"/>
      <c r="I7" s="109"/>
    </row>
    <row r="8" spans="1:11" ht="19.95" customHeight="1">
      <c r="A8" s="173" t="s">
        <v>164</v>
      </c>
      <c r="B8" s="173"/>
      <c r="C8" s="173"/>
      <c r="D8" s="173"/>
      <c r="E8" s="173"/>
      <c r="F8" s="173"/>
      <c r="G8" s="173" t="s">
        <v>165</v>
      </c>
      <c r="H8" s="173"/>
      <c r="I8" s="173"/>
    </row>
    <row r="9" spans="1:11" ht="19.95" customHeight="1">
      <c r="A9" s="170" t="s">
        <v>179</v>
      </c>
      <c r="B9" s="170"/>
      <c r="C9" s="170"/>
      <c r="D9" s="170"/>
      <c r="E9" s="170"/>
      <c r="F9" s="170"/>
      <c r="G9" s="174" t="s">
        <v>121</v>
      </c>
      <c r="H9" s="174"/>
      <c r="I9" s="174"/>
    </row>
    <row r="10" spans="1:11" ht="19.95" customHeight="1">
      <c r="A10" s="170" t="s">
        <v>319</v>
      </c>
      <c r="B10" s="170"/>
      <c r="C10" s="170"/>
      <c r="D10" s="170"/>
      <c r="E10" s="170"/>
      <c r="F10" s="170"/>
      <c r="G10" s="174" t="s">
        <v>122</v>
      </c>
      <c r="H10" s="174"/>
      <c r="I10" s="174"/>
    </row>
    <row r="11" spans="1:11" ht="19.95" customHeight="1">
      <c r="A11" s="170" t="s">
        <v>320</v>
      </c>
      <c r="B11" s="170"/>
      <c r="C11" s="170"/>
      <c r="D11" s="170"/>
      <c r="E11" s="170"/>
      <c r="F11" s="170"/>
      <c r="G11" s="174" t="s">
        <v>166</v>
      </c>
      <c r="H11" s="174"/>
      <c r="I11" s="174"/>
    </row>
    <row r="12" spans="1:11" ht="24.6" customHeight="1">
      <c r="A12" s="170" t="s">
        <v>321</v>
      </c>
      <c r="B12" s="170"/>
      <c r="C12" s="170"/>
      <c r="D12" s="170"/>
      <c r="E12" s="170"/>
      <c r="F12" s="170"/>
      <c r="G12" s="174" t="s">
        <v>167</v>
      </c>
      <c r="H12" s="174"/>
      <c r="I12" s="174"/>
    </row>
    <row r="13" spans="1:11" ht="19.95" customHeight="1">
      <c r="A13" s="170" t="s">
        <v>322</v>
      </c>
      <c r="B13" s="170"/>
      <c r="C13" s="170"/>
      <c r="D13" s="170"/>
      <c r="E13" s="170"/>
      <c r="F13" s="170"/>
      <c r="G13" s="174" t="s">
        <v>168</v>
      </c>
      <c r="H13" s="174"/>
      <c r="I13" s="174"/>
    </row>
    <row r="14" spans="1:11" ht="19.95" customHeight="1">
      <c r="A14" s="182" t="s">
        <v>280</v>
      </c>
      <c r="B14" s="182"/>
      <c r="C14" s="113"/>
      <c r="D14" s="114"/>
      <c r="E14" s="114"/>
      <c r="F14" s="114"/>
      <c r="G14" s="114"/>
      <c r="H14" s="114"/>
      <c r="I14" s="114"/>
    </row>
    <row r="15" spans="1:11" ht="19.95" customHeight="1">
      <c r="A15" s="177" t="s">
        <v>153</v>
      </c>
      <c r="B15" s="207" t="s">
        <v>329</v>
      </c>
      <c r="C15" s="175" t="s">
        <v>169</v>
      </c>
      <c r="D15" s="179" t="s">
        <v>170</v>
      </c>
      <c r="E15" s="180"/>
      <c r="F15" s="180"/>
      <c r="G15" s="180"/>
      <c r="H15" s="181"/>
      <c r="I15" s="175" t="s">
        <v>171</v>
      </c>
    </row>
    <row r="16" spans="1:11" ht="36.6" customHeight="1">
      <c r="A16" s="178"/>
      <c r="B16" s="207"/>
      <c r="C16" s="176"/>
      <c r="D16" s="116" t="s">
        <v>121</v>
      </c>
      <c r="E16" s="116" t="s">
        <v>122</v>
      </c>
      <c r="F16" s="115" t="s">
        <v>172</v>
      </c>
      <c r="G16" s="115" t="s">
        <v>167</v>
      </c>
      <c r="H16" s="115" t="s">
        <v>168</v>
      </c>
      <c r="I16" s="176"/>
      <c r="J16" s="206" t="s">
        <v>328</v>
      </c>
    </row>
    <row r="17" spans="1:10" ht="30.45" customHeight="1">
      <c r="A17" s="117" t="s">
        <v>173</v>
      </c>
      <c r="B17" s="118" t="s">
        <v>180</v>
      </c>
      <c r="C17" s="119" t="s">
        <v>174</v>
      </c>
      <c r="D17" s="145" t="s">
        <v>281</v>
      </c>
      <c r="E17" s="145" t="s">
        <v>281</v>
      </c>
      <c r="F17" s="145"/>
      <c r="G17" s="146" t="s">
        <v>282</v>
      </c>
      <c r="H17" s="147"/>
      <c r="I17" s="123" t="s">
        <v>277</v>
      </c>
    </row>
    <row r="18" spans="1:10" ht="57" customHeight="1">
      <c r="A18" s="117" t="s">
        <v>123</v>
      </c>
      <c r="B18" s="118" t="s">
        <v>176</v>
      </c>
      <c r="C18" s="119" t="s">
        <v>174</v>
      </c>
      <c r="D18" s="150"/>
      <c r="E18" s="151" t="s">
        <v>286</v>
      </c>
      <c r="F18" s="150"/>
      <c r="G18" s="152" t="s">
        <v>287</v>
      </c>
      <c r="H18" s="153"/>
      <c r="I18" s="156" t="s">
        <v>279</v>
      </c>
      <c r="J18" s="148" t="s">
        <v>283</v>
      </c>
    </row>
    <row r="19" spans="1:10" ht="46.05" customHeight="1">
      <c r="A19" s="117" t="s">
        <v>124</v>
      </c>
      <c r="B19" s="125" t="s">
        <v>252</v>
      </c>
      <c r="C19" s="124" t="s">
        <v>177</v>
      </c>
      <c r="D19" s="154" t="s">
        <v>288</v>
      </c>
      <c r="E19" s="155" t="s">
        <v>289</v>
      </c>
      <c r="F19" s="155" t="s">
        <v>289</v>
      </c>
      <c r="G19" s="155" t="s">
        <v>287</v>
      </c>
      <c r="H19" s="155"/>
      <c r="I19" s="123"/>
      <c r="J19" s="149" t="s">
        <v>284</v>
      </c>
    </row>
    <row r="20" spans="1:10" ht="117.6" customHeight="1">
      <c r="A20" s="117" t="s">
        <v>125</v>
      </c>
      <c r="B20" s="118" t="s">
        <v>285</v>
      </c>
      <c r="C20" s="119" t="s">
        <v>174</v>
      </c>
      <c r="D20" s="155" t="s">
        <v>290</v>
      </c>
      <c r="E20" s="155" t="s">
        <v>290</v>
      </c>
      <c r="F20" s="155"/>
      <c r="G20" s="154" t="s">
        <v>291</v>
      </c>
      <c r="H20" s="155"/>
      <c r="I20" s="123" t="s">
        <v>293</v>
      </c>
    </row>
    <row r="21" spans="1:10" ht="58.2" customHeight="1">
      <c r="A21" s="117" t="s">
        <v>181</v>
      </c>
      <c r="B21" s="125" t="s">
        <v>292</v>
      </c>
      <c r="C21" s="119" t="s">
        <v>174</v>
      </c>
      <c r="D21" s="154" t="s">
        <v>286</v>
      </c>
      <c r="E21" s="155" t="s">
        <v>287</v>
      </c>
      <c r="F21" s="155" t="s">
        <v>287</v>
      </c>
      <c r="G21" s="155" t="s">
        <v>290</v>
      </c>
      <c r="H21" s="155"/>
      <c r="I21" s="123" t="s">
        <v>251</v>
      </c>
    </row>
    <row r="22" spans="1:10" ht="79.2" customHeight="1">
      <c r="A22" s="117" t="s">
        <v>182</v>
      </c>
      <c r="B22" s="118" t="s">
        <v>183</v>
      </c>
      <c r="C22" s="119" t="s">
        <v>174</v>
      </c>
      <c r="D22" s="122"/>
      <c r="E22" s="120"/>
      <c r="F22" s="121"/>
      <c r="G22" s="122" t="s">
        <v>175</v>
      </c>
      <c r="H22" s="121"/>
      <c r="I22" s="123" t="s">
        <v>294</v>
      </c>
    </row>
    <row r="23" spans="1:10" ht="43.2" customHeight="1">
      <c r="A23" s="117" t="s">
        <v>275</v>
      </c>
      <c r="B23" s="141" t="s">
        <v>273</v>
      </c>
      <c r="C23" s="142" t="s">
        <v>274</v>
      </c>
      <c r="D23" s="143"/>
      <c r="E23" s="143"/>
      <c r="F23" s="143"/>
      <c r="G23" s="143"/>
      <c r="H23" s="143"/>
      <c r="I23" s="144"/>
    </row>
    <row r="24" spans="1:10" ht="33.450000000000003" customHeight="1">
      <c r="A24" s="117" t="s">
        <v>276</v>
      </c>
      <c r="B24" s="118" t="s">
        <v>272</v>
      </c>
      <c r="C24" s="119" t="s">
        <v>174</v>
      </c>
      <c r="D24" s="120"/>
      <c r="E24" s="120"/>
      <c r="F24" s="121"/>
      <c r="G24" s="122"/>
      <c r="H24" s="122" t="s">
        <v>175</v>
      </c>
      <c r="I24" s="144" t="s">
        <v>278</v>
      </c>
    </row>
  </sheetData>
  <mergeCells count="20">
    <mergeCell ref="G13:I13"/>
    <mergeCell ref="I15:I16"/>
    <mergeCell ref="A15:A16"/>
    <mergeCell ref="B15:B16"/>
    <mergeCell ref="C15:C16"/>
    <mergeCell ref="D15:H15"/>
    <mergeCell ref="A14:B14"/>
    <mergeCell ref="A13:F13"/>
    <mergeCell ref="A10:F10"/>
    <mergeCell ref="A11:F11"/>
    <mergeCell ref="A12:F12"/>
    <mergeCell ref="A1:I1"/>
    <mergeCell ref="A2:I2"/>
    <mergeCell ref="A8:F8"/>
    <mergeCell ref="A9:F9"/>
    <mergeCell ref="G8:I8"/>
    <mergeCell ref="G9:I9"/>
    <mergeCell ref="G10:I10"/>
    <mergeCell ref="G11:I11"/>
    <mergeCell ref="G12:I12"/>
  </mergeCells>
  <phoneticPr fontId="19" type="noConversion"/>
  <hyperlinks>
    <hyperlink ref="I3" location="底稿目录!D4" display="I4A"/>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I62"/>
  <sheetViews>
    <sheetView view="pageBreakPreview" zoomScaleSheetLayoutView="100" workbookViewId="0">
      <selection activeCell="I3" sqref="I3"/>
    </sheetView>
  </sheetViews>
  <sheetFormatPr defaultColWidth="9" defaultRowHeight="18" customHeight="1"/>
  <cols>
    <col min="1" max="1" width="20.6640625" style="1" customWidth="1"/>
    <col min="2" max="9" width="9.33203125" style="1" customWidth="1"/>
    <col min="10" max="16384" width="9" style="1"/>
  </cols>
  <sheetData>
    <row r="1" spans="1:9" s="21" customFormat="1" ht="20.100000000000001" customHeight="1">
      <c r="A1" s="184" t="s">
        <v>79</v>
      </c>
      <c r="B1" s="184"/>
      <c r="C1" s="184"/>
      <c r="D1" s="184"/>
      <c r="E1" s="184"/>
      <c r="F1" s="184"/>
      <c r="G1" s="184"/>
      <c r="H1" s="184"/>
      <c r="I1" s="184"/>
    </row>
    <row r="2" spans="1:9" s="21" customFormat="1" ht="24.9" customHeight="1">
      <c r="A2" s="185" t="s">
        <v>311</v>
      </c>
      <c r="B2" s="185"/>
      <c r="C2" s="185"/>
      <c r="D2" s="185"/>
      <c r="E2" s="185"/>
      <c r="F2" s="185"/>
      <c r="G2" s="185"/>
      <c r="H2" s="185"/>
      <c r="I2" s="185"/>
    </row>
    <row r="3" spans="1:9" ht="20.100000000000001" customHeight="1">
      <c r="A3" s="1" t="str">
        <f>底稿目录!A2</f>
        <v>被审计单位：</v>
      </c>
      <c r="D3" s="1" t="str">
        <f>底稿目录!A4</f>
        <v>编制人：</v>
      </c>
      <c r="F3" s="46" t="str">
        <f>底稿目录!A5</f>
        <v>编制日期：</v>
      </c>
      <c r="H3" s="46" t="s">
        <v>8</v>
      </c>
      <c r="I3" s="255" t="s">
        <v>161</v>
      </c>
    </row>
    <row r="4" spans="1:9" ht="20.100000000000001" customHeight="1">
      <c r="A4" s="1" t="str">
        <f>底稿目录!A3</f>
        <v>截止日：202X年12月31日</v>
      </c>
      <c r="D4" s="1" t="str">
        <f>底稿目录!A6</f>
        <v>复核人：</v>
      </c>
      <c r="F4" s="46" t="str">
        <f>底稿目录!A7</f>
        <v>复核日期：</v>
      </c>
      <c r="H4" s="46" t="s">
        <v>77</v>
      </c>
      <c r="I4" s="16"/>
    </row>
    <row r="5" spans="1:9" s="8" customFormat="1" ht="35.25" customHeight="1">
      <c r="A5" s="208" t="s">
        <v>7</v>
      </c>
      <c r="B5" s="209" t="s">
        <v>104</v>
      </c>
      <c r="C5" s="210"/>
      <c r="D5" s="210"/>
      <c r="E5" s="209" t="s">
        <v>105</v>
      </c>
      <c r="F5" s="210"/>
      <c r="G5" s="210"/>
      <c r="H5" s="211" t="s">
        <v>106</v>
      </c>
      <c r="I5" s="212"/>
    </row>
    <row r="6" spans="1:9" s="8" customFormat="1" ht="24.75" customHeight="1">
      <c r="A6" s="208"/>
      <c r="B6" s="213" t="s">
        <v>107</v>
      </c>
      <c r="C6" s="213" t="s">
        <v>108</v>
      </c>
      <c r="D6" s="213" t="s">
        <v>109</v>
      </c>
      <c r="E6" s="213" t="s">
        <v>110</v>
      </c>
      <c r="F6" s="213" t="s">
        <v>108</v>
      </c>
      <c r="G6" s="213" t="s">
        <v>109</v>
      </c>
      <c r="H6" s="214" t="s">
        <v>112</v>
      </c>
      <c r="I6" s="215" t="s">
        <v>111</v>
      </c>
    </row>
    <row r="7" spans="1:9" ht="20.100000000000001" customHeight="1">
      <c r="A7" s="216" t="str">
        <f>底稿目录!A9</f>
        <v>类别A</v>
      </c>
      <c r="B7" s="217">
        <f>'明细表I4-2'!F25</f>
        <v>0</v>
      </c>
      <c r="C7" s="217">
        <f>'明细表I4-2'!K25</f>
        <v>0</v>
      </c>
      <c r="D7" s="217">
        <f>'明细表I4-2'!O25</f>
        <v>0</v>
      </c>
      <c r="E7" s="217">
        <f>'明细表I4-2'!J25</f>
        <v>0</v>
      </c>
      <c r="F7" s="217">
        <f>'明细表I4-2'!K25+'明细表I4-2'!L25-'明细表I4-2'!M25-'明细表I4-2'!N25</f>
        <v>0</v>
      </c>
      <c r="G7" s="217">
        <f>'明细表I4-2'!S25</f>
        <v>0</v>
      </c>
      <c r="H7" s="218">
        <f>G7-D7</f>
        <v>0</v>
      </c>
      <c r="I7" s="219">
        <f>IF(AND(D7=0,H7=0),0,IF(AND(D7=0,H7&gt;0),1,H7/D7))</f>
        <v>0</v>
      </c>
    </row>
    <row r="8" spans="1:9" ht="20.100000000000001" customHeight="1">
      <c r="A8" s="216" t="str">
        <f>底稿目录!A10</f>
        <v>类别B</v>
      </c>
      <c r="B8" s="217">
        <f>'明细表I4-2'!F26</f>
        <v>0</v>
      </c>
      <c r="C8" s="217">
        <f>'明细表I4-2'!K26</f>
        <v>0</v>
      </c>
      <c r="D8" s="217">
        <f>'明细表I4-2'!O26</f>
        <v>0</v>
      </c>
      <c r="E8" s="217">
        <f>'明细表I4-2'!J26</f>
        <v>0</v>
      </c>
      <c r="F8" s="217">
        <f>'明细表I4-2'!K26+'明细表I4-2'!L26-'明细表I4-2'!M26-'明细表I4-2'!N26</f>
        <v>0</v>
      </c>
      <c r="G8" s="217">
        <f>'明细表I4-2'!S26</f>
        <v>0</v>
      </c>
      <c r="H8" s="218">
        <f>G8-D8</f>
        <v>0</v>
      </c>
      <c r="I8" s="219">
        <f>IF(AND(D8=0,H8=0),0,IF(AND(D8=0,H8&gt;0),1,H8/D8))</f>
        <v>0</v>
      </c>
    </row>
    <row r="9" spans="1:9" ht="20.100000000000001" customHeight="1">
      <c r="A9" s="216" t="str">
        <f>底稿目录!A11</f>
        <v>类别C</v>
      </c>
      <c r="B9" s="217">
        <f>'明细表I4-2'!F27</f>
        <v>0</v>
      </c>
      <c r="C9" s="217">
        <f>'明细表I4-2'!K27</f>
        <v>0</v>
      </c>
      <c r="D9" s="217">
        <f>'明细表I4-2'!O27</f>
        <v>0</v>
      </c>
      <c r="E9" s="217">
        <f>'明细表I4-2'!J27</f>
        <v>0</v>
      </c>
      <c r="F9" s="217">
        <f>'明细表I4-2'!K27+'明细表I4-2'!L27-'明细表I4-2'!M27-'明细表I4-2'!N27</f>
        <v>0</v>
      </c>
      <c r="G9" s="217">
        <f>'明细表I4-2'!S27</f>
        <v>0</v>
      </c>
      <c r="H9" s="218">
        <f>G9-D9</f>
        <v>0</v>
      </c>
      <c r="I9" s="219">
        <f>IF(AND(D9=0,H9=0),0,IF(AND(D9=0,H9&gt;0),1,H9/D9))</f>
        <v>0</v>
      </c>
    </row>
    <row r="10" spans="1:9" s="7" customFormat="1" ht="20.100000000000001" customHeight="1">
      <c r="A10" s="220" t="s">
        <v>4</v>
      </c>
      <c r="B10" s="217">
        <f t="shared" ref="B10:G10" si="0">SUM(B7:B9)</f>
        <v>0</v>
      </c>
      <c r="C10" s="217">
        <f t="shared" si="0"/>
        <v>0</v>
      </c>
      <c r="D10" s="217">
        <f t="shared" si="0"/>
        <v>0</v>
      </c>
      <c r="E10" s="217">
        <f t="shared" si="0"/>
        <v>0</v>
      </c>
      <c r="F10" s="217">
        <f t="shared" si="0"/>
        <v>0</v>
      </c>
      <c r="G10" s="217">
        <f t="shared" si="0"/>
        <v>0</v>
      </c>
      <c r="H10" s="218">
        <f>G10-D10</f>
        <v>0</v>
      </c>
      <c r="I10" s="219">
        <f>IF(AND(D10=0,H10=0),0,IF(AND(D10=0,H10&gt;0),1,H10/D10))</f>
        <v>0</v>
      </c>
    </row>
    <row r="11" spans="1:9" s="7" customFormat="1" ht="20.100000000000001" customHeight="1">
      <c r="A11" s="220" t="s">
        <v>127</v>
      </c>
      <c r="B11" s="221"/>
      <c r="C11" s="221"/>
      <c r="D11" s="221"/>
      <c r="E11" s="221"/>
      <c r="F11" s="221"/>
      <c r="G11" s="221"/>
      <c r="H11" s="222"/>
      <c r="I11" s="223"/>
    </row>
    <row r="12" spans="1:9" s="225" customFormat="1" ht="20.100000000000001" customHeight="1">
      <c r="A12" s="220" t="s">
        <v>128</v>
      </c>
      <c r="B12" s="224">
        <f t="shared" ref="B12:G12" si="1">B10-B11</f>
        <v>0</v>
      </c>
      <c r="C12" s="224">
        <f t="shared" si="1"/>
        <v>0</v>
      </c>
      <c r="D12" s="224">
        <f t="shared" si="1"/>
        <v>0</v>
      </c>
      <c r="E12" s="224">
        <f t="shared" si="1"/>
        <v>0</v>
      </c>
      <c r="F12" s="224">
        <f t="shared" si="1"/>
        <v>0</v>
      </c>
      <c r="G12" s="224">
        <f t="shared" si="1"/>
        <v>0</v>
      </c>
      <c r="H12" s="218"/>
      <c r="I12" s="219"/>
    </row>
    <row r="13" spans="1:9" s="7" customFormat="1" ht="20.100000000000001" customHeight="1">
      <c r="B13" s="55"/>
      <c r="C13" s="55"/>
      <c r="D13" s="55"/>
      <c r="E13" s="55"/>
      <c r="F13" s="55"/>
      <c r="G13" s="55"/>
      <c r="H13" s="56"/>
      <c r="I13" s="57"/>
    </row>
    <row r="14" spans="1:9" s="7" customFormat="1" ht="18" customHeight="1">
      <c r="A14" s="7" t="s">
        <v>187</v>
      </c>
    </row>
    <row r="15" spans="1:9" ht="18" customHeight="1">
      <c r="A15" s="12"/>
    </row>
    <row r="16" spans="1:9" ht="18" customHeight="1">
      <c r="A16" s="12"/>
    </row>
    <row r="17" spans="1:1" ht="18" customHeight="1">
      <c r="A17" s="7" t="s">
        <v>3</v>
      </c>
    </row>
    <row r="23" spans="1:1" s="127" customFormat="1" ht="18" customHeight="1">
      <c r="A23" s="127" t="s">
        <v>188</v>
      </c>
    </row>
    <row r="24" spans="1:1" s="127" customFormat="1" ht="18" customHeight="1">
      <c r="A24" s="127" t="s">
        <v>189</v>
      </c>
    </row>
    <row r="25" spans="1:1" s="127" customFormat="1" ht="18" customHeight="1">
      <c r="A25" s="127" t="s">
        <v>190</v>
      </c>
    </row>
    <row r="26" spans="1:1" s="127" customFormat="1" ht="18" customHeight="1">
      <c r="A26" s="127" t="s">
        <v>191</v>
      </c>
    </row>
    <row r="27" spans="1:1" s="127" customFormat="1" ht="18" customHeight="1">
      <c r="A27" s="127" t="s">
        <v>192</v>
      </c>
    </row>
    <row r="28" spans="1:1" s="127" customFormat="1" ht="18" customHeight="1">
      <c r="A28" s="127" t="s">
        <v>193</v>
      </c>
    </row>
    <row r="29" spans="1:1" s="127" customFormat="1" ht="18" customHeight="1"/>
    <row r="30" spans="1:1" s="127" customFormat="1" ht="18" customHeight="1">
      <c r="A30" s="127" t="s">
        <v>194</v>
      </c>
    </row>
    <row r="31" spans="1:1" s="127" customFormat="1" ht="18" customHeight="1">
      <c r="A31" s="127" t="s">
        <v>195</v>
      </c>
    </row>
    <row r="32" spans="1:1" s="127" customFormat="1" ht="18" customHeight="1">
      <c r="A32" s="127" t="s">
        <v>196</v>
      </c>
    </row>
    <row r="33" spans="1:9" s="127" customFormat="1" ht="18" customHeight="1">
      <c r="A33" s="127" t="s">
        <v>197</v>
      </c>
    </row>
    <row r="34" spans="1:9" s="127" customFormat="1" ht="18" customHeight="1">
      <c r="A34" s="127" t="s">
        <v>78</v>
      </c>
    </row>
    <row r="35" spans="1:9" s="127" customFormat="1" ht="18" customHeight="1">
      <c r="A35" s="127" t="s">
        <v>198</v>
      </c>
    </row>
    <row r="36" spans="1:9" s="127" customFormat="1" ht="18" customHeight="1">
      <c r="A36" s="127" t="s">
        <v>199</v>
      </c>
    </row>
    <row r="37" spans="1:9" s="127" customFormat="1" ht="18" customHeight="1">
      <c r="A37" s="127" t="s">
        <v>200</v>
      </c>
    </row>
    <row r="38" spans="1:9" s="127" customFormat="1" ht="18" customHeight="1">
      <c r="A38" s="127" t="s">
        <v>201</v>
      </c>
    </row>
    <row r="39" spans="1:9" s="127" customFormat="1" ht="18" customHeight="1">
      <c r="A39" s="127" t="s">
        <v>202</v>
      </c>
    </row>
    <row r="40" spans="1:9" s="127" customFormat="1" ht="18" customHeight="1">
      <c r="A40" s="127" t="s">
        <v>203</v>
      </c>
    </row>
    <row r="41" spans="1:9" s="127" customFormat="1" ht="18" customHeight="1">
      <c r="A41" s="127" t="s">
        <v>204</v>
      </c>
    </row>
    <row r="42" spans="1:9" s="127" customFormat="1" ht="18" customHeight="1">
      <c r="A42" s="127" t="s">
        <v>205</v>
      </c>
    </row>
    <row r="43" spans="1:9" s="127" customFormat="1" ht="18" customHeight="1">
      <c r="A43" s="128" t="s">
        <v>184</v>
      </c>
    </row>
    <row r="44" spans="1:9" s="127" customFormat="1" ht="18" customHeight="1">
      <c r="A44" s="128" t="s">
        <v>185</v>
      </c>
    </row>
    <row r="45" spans="1:9" s="127" customFormat="1" ht="18" customHeight="1">
      <c r="A45" s="128" t="s">
        <v>186</v>
      </c>
    </row>
    <row r="46" spans="1:9" s="127" customFormat="1" ht="18" customHeight="1">
      <c r="A46" s="183" t="s">
        <v>206</v>
      </c>
      <c r="B46" s="183"/>
      <c r="C46" s="183"/>
      <c r="D46" s="183"/>
      <c r="E46" s="183"/>
      <c r="F46" s="183"/>
      <c r="G46" s="183"/>
      <c r="H46" s="183"/>
      <c r="I46" s="183"/>
    </row>
    <row r="47" spans="1:9" s="127" customFormat="1" ht="18" customHeight="1">
      <c r="A47" s="183"/>
      <c r="B47" s="183"/>
      <c r="C47" s="183"/>
      <c r="D47" s="183"/>
      <c r="E47" s="183"/>
      <c r="F47" s="183"/>
      <c r="G47" s="183"/>
      <c r="H47" s="183"/>
      <c r="I47" s="183"/>
    </row>
    <row r="48" spans="1:9" s="127" customFormat="1" ht="18" customHeight="1"/>
    <row r="49" s="127" customFormat="1" ht="18" customHeight="1"/>
    <row r="50" s="127" customFormat="1" ht="18" customHeight="1"/>
    <row r="51" s="127" customFormat="1" ht="18" customHeight="1"/>
    <row r="52" s="127" customFormat="1" ht="18" customHeight="1"/>
    <row r="53" s="127" customFormat="1" ht="18" customHeight="1"/>
    <row r="54" s="127" customFormat="1" ht="18" customHeight="1"/>
    <row r="55" s="127" customFormat="1" ht="18" customHeight="1"/>
    <row r="56" s="127" customFormat="1" ht="18" customHeight="1"/>
    <row r="57" s="127" customFormat="1" ht="18" customHeight="1"/>
    <row r="58" s="127" customFormat="1" ht="18" customHeight="1"/>
    <row r="59" s="127" customFormat="1" ht="18" customHeight="1"/>
    <row r="60" s="127" customFormat="1" ht="18" customHeight="1"/>
    <row r="61" s="127" customFormat="1" ht="18" customHeight="1"/>
    <row r="62" s="127" customFormat="1" ht="18" customHeight="1"/>
  </sheetData>
  <mergeCells count="7">
    <mergeCell ref="A46:I47"/>
    <mergeCell ref="A1:I1"/>
    <mergeCell ref="A2:I2"/>
    <mergeCell ref="B5:D5"/>
    <mergeCell ref="E5:G5"/>
    <mergeCell ref="A5:A6"/>
    <mergeCell ref="H5:I5"/>
  </mergeCells>
  <phoneticPr fontId="4" type="noConversion"/>
  <hyperlinks>
    <hyperlink ref="I3" location="底稿目录!D5" display="I4-1"/>
  </hyperlinks>
  <printOptions horizontalCentered="1"/>
  <pageMargins left="0.59055118110236227" right="0.59055118110236227" top="0.78740157480314965" bottom="0.39370078740157483" header="0.51181102362204722" footer="0.31496062992125984"/>
  <pageSetup paperSize="9" fitToHeight="6"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19"/>
  <sheetViews>
    <sheetView view="pageBreakPreview" zoomScaleSheetLayoutView="100" workbookViewId="0">
      <selection sqref="A1:F1"/>
    </sheetView>
  </sheetViews>
  <sheetFormatPr defaultRowHeight="18" customHeight="1"/>
  <cols>
    <col min="1" max="1" width="27.77734375" customWidth="1"/>
    <col min="2" max="6" width="14.6640625" customWidth="1"/>
  </cols>
  <sheetData>
    <row r="1" spans="1:13" s="21" customFormat="1" ht="20.100000000000001" customHeight="1">
      <c r="A1" s="169" t="s">
        <v>79</v>
      </c>
      <c r="B1" s="169"/>
      <c r="C1" s="169"/>
      <c r="D1" s="169"/>
      <c r="E1" s="169"/>
      <c r="F1" s="169"/>
    </row>
    <row r="2" spans="1:13" s="21" customFormat="1" ht="24.9" customHeight="1">
      <c r="A2" s="187" t="s">
        <v>58</v>
      </c>
      <c r="B2" s="185"/>
      <c r="C2" s="185"/>
      <c r="D2" s="185"/>
      <c r="E2" s="185"/>
      <c r="F2" s="185"/>
      <c r="G2" s="22"/>
      <c r="H2" s="22"/>
      <c r="I2" s="22"/>
      <c r="J2" s="22"/>
      <c r="K2" s="22"/>
      <c r="L2" s="22"/>
      <c r="M2" s="22"/>
    </row>
    <row r="3" spans="1:13" s="1" customFormat="1" ht="20.100000000000001" customHeight="1">
      <c r="A3" s="1" t="str">
        <f>底稿目录!A2</f>
        <v>被审计单位：</v>
      </c>
      <c r="C3" s="1" t="str">
        <f>底稿目录!A4</f>
        <v>编制人：</v>
      </c>
      <c r="D3" s="1" t="str">
        <f>底稿目录!A5</f>
        <v>编制日期：</v>
      </c>
      <c r="E3" s="17" t="s">
        <v>8</v>
      </c>
      <c r="F3" s="16"/>
    </row>
    <row r="4" spans="1:13" s="1" customFormat="1" ht="20.100000000000001" customHeight="1" thickBot="1">
      <c r="A4" s="1" t="str">
        <f>底稿目录!A3</f>
        <v>截止日：202X年12月31日</v>
      </c>
      <c r="C4" s="1" t="str">
        <f>底稿目录!A6</f>
        <v>复核人：</v>
      </c>
      <c r="D4" s="1" t="str">
        <f>底稿目录!A7</f>
        <v>复核日期：</v>
      </c>
      <c r="E4" s="17" t="s">
        <v>77</v>
      </c>
      <c r="F4" s="16"/>
    </row>
    <row r="5" spans="1:13" s="96" customFormat="1" ht="20.100000000000001" customHeight="1">
      <c r="A5" s="188" t="s">
        <v>149</v>
      </c>
      <c r="B5" s="190" t="s">
        <v>53</v>
      </c>
      <c r="C5" s="190" t="s">
        <v>54</v>
      </c>
      <c r="D5" s="192" t="s">
        <v>83</v>
      </c>
      <c r="E5" s="192"/>
      <c r="F5" s="190" t="s">
        <v>57</v>
      </c>
    </row>
    <row r="6" spans="1:13" s="96" customFormat="1" ht="20.100000000000001" customHeight="1" thickBot="1">
      <c r="A6" s="189"/>
      <c r="B6" s="191"/>
      <c r="C6" s="191"/>
      <c r="D6" s="99" t="s">
        <v>55</v>
      </c>
      <c r="E6" s="99" t="s">
        <v>56</v>
      </c>
      <c r="F6" s="191"/>
    </row>
    <row r="7" spans="1:13" s="96" customFormat="1" ht="20.100000000000001" customHeight="1">
      <c r="A7" s="88" t="str">
        <f>'明细表I4-2'!$A11</f>
        <v>使用权资产改良及维护支出</v>
      </c>
      <c r="B7" s="93">
        <f>SUMIF('明细表I4-2'!$A:$A,$A7,'明细表I4-2'!O:O)</f>
        <v>0</v>
      </c>
      <c r="C7" s="93">
        <f>SUMIF('明细表I4-2'!$A:$A,$A7,'明细表I4-2'!P:P)</f>
        <v>0</v>
      </c>
      <c r="D7" s="93">
        <f>SUMIF('明细表I4-2'!$A:$A,$A7,'明细表I4-2'!Q:Q)</f>
        <v>0</v>
      </c>
      <c r="E7" s="93">
        <f>SUMIF('明细表I4-2'!$A:$A,$A7,'明细表I4-2'!R:R)</f>
        <v>0</v>
      </c>
      <c r="F7" s="94">
        <f t="shared" ref="F7:F12" si="0">B7+C7-D7-E7</f>
        <v>0</v>
      </c>
    </row>
    <row r="8" spans="1:13" s="96" customFormat="1" ht="20.100000000000001" customHeight="1">
      <c r="A8" s="88">
        <f>'明细表I4-2'!$A12</f>
        <v>0</v>
      </c>
      <c r="B8" s="93">
        <f>SUMIF('明细表I4-2'!$A:$A,$A8,'明细表I4-2'!O:O)</f>
        <v>0</v>
      </c>
      <c r="C8" s="93">
        <f>SUMIF('明细表I4-2'!$A:$A,$A8,'明细表I4-2'!P:P)</f>
        <v>0</v>
      </c>
      <c r="D8" s="93">
        <f>SUMIF('明细表I4-2'!$A:$A,$A8,'明细表I4-2'!Q:Q)</f>
        <v>0</v>
      </c>
      <c r="E8" s="93">
        <f>SUMIF('明细表I4-2'!$A:$A,$A8,'明细表I4-2'!R:R)</f>
        <v>0</v>
      </c>
      <c r="F8" s="94">
        <f t="shared" si="0"/>
        <v>0</v>
      </c>
    </row>
    <row r="9" spans="1:13" s="96" customFormat="1" ht="20.100000000000001" customHeight="1">
      <c r="A9" s="88">
        <f>'明细表I4-2'!$A13</f>
        <v>0</v>
      </c>
      <c r="B9" s="93">
        <f>SUMIF('明细表I4-2'!$A:$A,$A9,'明细表I4-2'!O:O)</f>
        <v>0</v>
      </c>
      <c r="C9" s="93">
        <f>SUMIF('明细表I4-2'!$A:$A,$A9,'明细表I4-2'!P:P)</f>
        <v>0</v>
      </c>
      <c r="D9" s="93">
        <f>SUMIF('明细表I4-2'!$A:$A,$A9,'明细表I4-2'!Q:Q)</f>
        <v>0</v>
      </c>
      <c r="E9" s="93">
        <f>SUMIF('明细表I4-2'!$A:$A,$A9,'明细表I4-2'!R:R)</f>
        <v>0</v>
      </c>
      <c r="F9" s="94">
        <f t="shared" si="0"/>
        <v>0</v>
      </c>
    </row>
    <row r="10" spans="1:13" s="96" customFormat="1" ht="20.100000000000001" customHeight="1">
      <c r="A10" s="88">
        <f>'明细表I4-2'!$A14</f>
        <v>0</v>
      </c>
      <c r="B10" s="93">
        <f>SUMIF('明细表I4-2'!$A:$A,$A10,'明细表I4-2'!O:O)</f>
        <v>0</v>
      </c>
      <c r="C10" s="93">
        <f>SUMIF('明细表I4-2'!$A:$A,$A10,'明细表I4-2'!P:P)</f>
        <v>0</v>
      </c>
      <c r="D10" s="93">
        <f>SUMIF('明细表I4-2'!$A:$A,$A10,'明细表I4-2'!Q:Q)</f>
        <v>0</v>
      </c>
      <c r="E10" s="93">
        <f>SUMIF('明细表I4-2'!$A:$A,$A10,'明细表I4-2'!R:R)</f>
        <v>0</v>
      </c>
      <c r="F10" s="94">
        <f t="shared" si="0"/>
        <v>0</v>
      </c>
    </row>
    <row r="11" spans="1:13" s="96" customFormat="1" ht="20.100000000000001" customHeight="1">
      <c r="A11" s="88">
        <f>'明细表I4-2'!$A15</f>
        <v>0</v>
      </c>
      <c r="B11" s="93">
        <f>SUMIF('明细表I4-2'!$A:$A,$A11,'明细表I4-2'!O:O)</f>
        <v>0</v>
      </c>
      <c r="C11" s="93">
        <f>SUMIF('明细表I4-2'!$A:$A,$A11,'明细表I4-2'!P:P)</f>
        <v>0</v>
      </c>
      <c r="D11" s="93">
        <f>SUMIF('明细表I4-2'!$A:$A,$A11,'明细表I4-2'!Q:Q)</f>
        <v>0</v>
      </c>
      <c r="E11" s="93">
        <f>SUMIF('明细表I4-2'!$A:$A,$A11,'明细表I4-2'!R:R)</f>
        <v>0</v>
      </c>
      <c r="F11" s="94">
        <f t="shared" si="0"/>
        <v>0</v>
      </c>
    </row>
    <row r="12" spans="1:13" s="96" customFormat="1" ht="20.100000000000001" customHeight="1" thickBot="1">
      <c r="A12" s="90">
        <f>'明细表I4-2'!$A16</f>
        <v>0</v>
      </c>
      <c r="B12" s="97">
        <f>SUMIF('明细表I4-2'!$A:$A,$A12,'明细表I4-2'!O:O)</f>
        <v>0</v>
      </c>
      <c r="C12" s="97">
        <f>SUMIF('明细表I4-2'!$A:$A,$A12,'明细表I4-2'!P:P)</f>
        <v>0</v>
      </c>
      <c r="D12" s="97">
        <f>SUMIF('明细表I4-2'!$A:$A,$A12,'明细表I4-2'!Q:Q)</f>
        <v>0</v>
      </c>
      <c r="E12" s="97">
        <f>SUMIF('明细表I4-2'!$A:$A,$A12,'明细表I4-2'!R:R)</f>
        <v>0</v>
      </c>
      <c r="F12" s="94">
        <f t="shared" si="0"/>
        <v>0</v>
      </c>
    </row>
    <row r="13" spans="1:13" s="96" customFormat="1" ht="20.100000000000001" customHeight="1" thickBot="1">
      <c r="A13" s="91" t="s">
        <v>151</v>
      </c>
      <c r="B13" s="98">
        <f>SUM(B7:B12)</f>
        <v>0</v>
      </c>
      <c r="C13" s="98">
        <f>SUM(C7:C12)</f>
        <v>0</v>
      </c>
      <c r="D13" s="98">
        <f>SUM(D7:D12)</f>
        <v>0</v>
      </c>
      <c r="E13" s="98">
        <f>SUM(E7:E12)</f>
        <v>0</v>
      </c>
      <c r="F13" s="95">
        <f>SUM(F7:F12)</f>
        <v>0</v>
      </c>
    </row>
    <row r="14" spans="1:13" s="96" customFormat="1" ht="20.100000000000001" customHeight="1">
      <c r="A14" s="100" t="s">
        <v>152</v>
      </c>
      <c r="B14" s="100"/>
      <c r="C14" s="100"/>
      <c r="D14" s="100"/>
      <c r="E14" s="100"/>
      <c r="F14" s="100"/>
    </row>
    <row r="15" spans="1:13" s="96" customFormat="1" ht="20.100000000000001" customHeight="1"/>
    <row r="16" spans="1:13" s="96" customFormat="1" ht="20.100000000000001" customHeight="1"/>
    <row r="17" ht="20.100000000000001" customHeight="1"/>
    <row r="18" ht="20.100000000000001" customHeight="1"/>
    <row r="19" ht="20.100000000000001" customHeight="1"/>
  </sheetData>
  <mergeCells count="7">
    <mergeCell ref="A1:F1"/>
    <mergeCell ref="A2:F2"/>
    <mergeCell ref="A5:A6"/>
    <mergeCell ref="B5:B6"/>
    <mergeCell ref="C5:C6"/>
    <mergeCell ref="F5:F6"/>
    <mergeCell ref="D5:E5"/>
  </mergeCells>
  <phoneticPr fontId="4" type="noConversion"/>
  <printOptions horizontalCentered="1"/>
  <pageMargins left="0.59055118110236227" right="0.59055118110236227" top="0.78740157480314965" bottom="0.39370078740157483" header="0.51181102362204722" footer="0.31496062992125984"/>
  <pageSetup paperSize="9" scale="78"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16"/>
  <sheetViews>
    <sheetView view="pageBreakPreview" zoomScaleSheetLayoutView="100" workbookViewId="0">
      <selection sqref="A1:F1"/>
    </sheetView>
  </sheetViews>
  <sheetFormatPr defaultColWidth="9" defaultRowHeight="18" customHeight="1"/>
  <cols>
    <col min="1" max="6" width="20" style="1" customWidth="1"/>
    <col min="7" max="7" width="19.21875" style="1" customWidth="1"/>
    <col min="8" max="16384" width="9" style="1"/>
  </cols>
  <sheetData>
    <row r="1" spans="1:12" s="21" customFormat="1" ht="20.100000000000001" customHeight="1">
      <c r="A1" s="169" t="s">
        <v>79</v>
      </c>
      <c r="B1" s="169"/>
      <c r="C1" s="169"/>
      <c r="D1" s="169"/>
      <c r="E1" s="169"/>
      <c r="F1" s="169"/>
    </row>
    <row r="2" spans="1:12" s="21" customFormat="1" ht="24.9" customHeight="1">
      <c r="A2" s="187" t="s">
        <v>59</v>
      </c>
      <c r="B2" s="185"/>
      <c r="C2" s="185"/>
      <c r="D2" s="185"/>
      <c r="E2" s="185"/>
      <c r="F2" s="185"/>
      <c r="G2" s="22"/>
      <c r="H2" s="22"/>
      <c r="I2" s="22"/>
      <c r="J2" s="22"/>
      <c r="K2" s="22"/>
      <c r="L2" s="22"/>
    </row>
    <row r="3" spans="1:12" ht="20.100000000000001" customHeight="1">
      <c r="A3" s="1" t="str">
        <f>底稿目录!A2</f>
        <v>被审计单位：</v>
      </c>
      <c r="C3" s="1" t="str">
        <f>底稿目录!A4</f>
        <v>编制人：</v>
      </c>
      <c r="D3" s="1" t="str">
        <f>底稿目录!A5</f>
        <v>编制日期：</v>
      </c>
      <c r="E3" s="17" t="s">
        <v>8</v>
      </c>
      <c r="F3" s="16"/>
    </row>
    <row r="4" spans="1:12" ht="20.100000000000001" customHeight="1" thickBot="1">
      <c r="A4" s="1" t="str">
        <f>底稿目录!A3</f>
        <v>截止日：202X年12月31日</v>
      </c>
      <c r="C4" s="1" t="str">
        <f>底稿目录!A6</f>
        <v>复核人：</v>
      </c>
      <c r="D4" s="1" t="str">
        <f>底稿目录!A7</f>
        <v>复核日期：</v>
      </c>
      <c r="E4" s="17" t="s">
        <v>77</v>
      </c>
      <c r="F4" s="16"/>
    </row>
    <row r="5" spans="1:12" s="84" customFormat="1" ht="20.100000000000001" customHeight="1" thickBot="1">
      <c r="A5" s="85" t="s">
        <v>149</v>
      </c>
      <c r="B5" s="86" t="s">
        <v>144</v>
      </c>
      <c r="C5" s="87" t="s">
        <v>145</v>
      </c>
      <c r="D5" s="87" t="s">
        <v>146</v>
      </c>
      <c r="E5" s="87" t="s">
        <v>147</v>
      </c>
      <c r="F5" s="86" t="s">
        <v>148</v>
      </c>
      <c r="G5" s="86" t="s">
        <v>150</v>
      </c>
    </row>
    <row r="6" spans="1:12" s="84" customFormat="1" ht="20.100000000000001" customHeight="1">
      <c r="A6" s="88" t="str">
        <f>'明细表I4-2'!$A11</f>
        <v>使用权资产改良及维护支出</v>
      </c>
      <c r="B6" s="93">
        <f>SUMIF('明细表I4-2'!$A:$A,$A6,'明细表I4-2'!O:O)</f>
        <v>0</v>
      </c>
      <c r="C6" s="93">
        <f>SUMIF('明细表I4-2'!$A:$A,$A6,'明细表I4-2'!P:P)</f>
        <v>0</v>
      </c>
      <c r="D6" s="93">
        <f>SUMIF('明细表I4-2'!$A:$A,$A6,'明细表I4-2'!Q:Q)</f>
        <v>0</v>
      </c>
      <c r="E6" s="93">
        <f>SUMIF('明细表I4-2'!$A:$A,$A6,'明细表I4-2'!R:R)</f>
        <v>0</v>
      </c>
      <c r="F6" s="94">
        <f t="shared" ref="F6:F11" si="0">B6+C6-D6-E6</f>
        <v>0</v>
      </c>
      <c r="G6" s="89"/>
    </row>
    <row r="7" spans="1:12" s="84" customFormat="1" ht="20.100000000000001" customHeight="1">
      <c r="A7" s="88">
        <f>'明细表I4-2'!$A12</f>
        <v>0</v>
      </c>
      <c r="B7" s="93">
        <f>SUMIF('明细表I4-2'!$A:$A,$A7,'明细表I4-2'!O:O)</f>
        <v>0</v>
      </c>
      <c r="C7" s="93">
        <f>SUMIF('明细表I4-2'!$A:$A,$A7,'明细表I4-2'!P:P)</f>
        <v>0</v>
      </c>
      <c r="D7" s="93">
        <f>SUMIF('明细表I4-2'!$A:$A,$A7,'明细表I4-2'!Q:Q)</f>
        <v>0</v>
      </c>
      <c r="E7" s="93">
        <f>SUMIF('明细表I4-2'!$A:$A,$A7,'明细表I4-2'!R:R)</f>
        <v>0</v>
      </c>
      <c r="F7" s="94">
        <f t="shared" si="0"/>
        <v>0</v>
      </c>
      <c r="G7" s="89"/>
    </row>
    <row r="8" spans="1:12" s="84" customFormat="1" ht="20.100000000000001" customHeight="1">
      <c r="A8" s="88">
        <f>'明细表I4-2'!$A13</f>
        <v>0</v>
      </c>
      <c r="B8" s="93">
        <f>SUMIF('明细表I4-2'!$A:$A,$A8,'明细表I4-2'!O:O)</f>
        <v>0</v>
      </c>
      <c r="C8" s="93">
        <f>SUMIF('明细表I4-2'!$A:$A,$A8,'明细表I4-2'!P:P)</f>
        <v>0</v>
      </c>
      <c r="D8" s="93">
        <f>SUMIF('明细表I4-2'!$A:$A,$A8,'明细表I4-2'!Q:Q)</f>
        <v>0</v>
      </c>
      <c r="E8" s="93">
        <f>SUMIF('明细表I4-2'!$A:$A,$A8,'明细表I4-2'!R:R)</f>
        <v>0</v>
      </c>
      <c r="F8" s="94">
        <f t="shared" si="0"/>
        <v>0</v>
      </c>
      <c r="G8" s="89"/>
    </row>
    <row r="9" spans="1:12" s="84" customFormat="1" ht="20.100000000000001" customHeight="1">
      <c r="A9" s="88">
        <f>'明细表I4-2'!$A14</f>
        <v>0</v>
      </c>
      <c r="B9" s="93">
        <f>SUMIF('明细表I4-2'!$A:$A,$A9,'明细表I4-2'!O:O)</f>
        <v>0</v>
      </c>
      <c r="C9" s="93">
        <f>SUMIF('明细表I4-2'!$A:$A,$A9,'明细表I4-2'!P:P)</f>
        <v>0</v>
      </c>
      <c r="D9" s="93">
        <f>SUMIF('明细表I4-2'!$A:$A,$A9,'明细表I4-2'!Q:Q)</f>
        <v>0</v>
      </c>
      <c r="E9" s="93">
        <f>SUMIF('明细表I4-2'!$A:$A,$A9,'明细表I4-2'!R:R)</f>
        <v>0</v>
      </c>
      <c r="F9" s="94">
        <f t="shared" si="0"/>
        <v>0</v>
      </c>
      <c r="G9" s="89"/>
    </row>
    <row r="10" spans="1:12" s="84" customFormat="1" ht="20.100000000000001" customHeight="1">
      <c r="A10" s="88">
        <f>'明细表I4-2'!$A15</f>
        <v>0</v>
      </c>
      <c r="B10" s="93">
        <f>SUMIF('明细表I4-2'!$A:$A,$A10,'明细表I4-2'!O:O)</f>
        <v>0</v>
      </c>
      <c r="C10" s="93">
        <f>SUMIF('明细表I4-2'!$A:$A,$A10,'明细表I4-2'!P:P)</f>
        <v>0</v>
      </c>
      <c r="D10" s="93">
        <f>SUMIF('明细表I4-2'!$A:$A,$A10,'明细表I4-2'!Q:Q)</f>
        <v>0</v>
      </c>
      <c r="E10" s="93">
        <f>SUMIF('明细表I4-2'!$A:$A,$A10,'明细表I4-2'!R:R)</f>
        <v>0</v>
      </c>
      <c r="F10" s="94">
        <f t="shared" si="0"/>
        <v>0</v>
      </c>
      <c r="G10" s="89"/>
    </row>
    <row r="11" spans="1:12" s="84" customFormat="1" ht="20.100000000000001" customHeight="1" thickBot="1">
      <c r="A11" s="90">
        <f>'明细表I4-2'!$A16</f>
        <v>0</v>
      </c>
      <c r="B11" s="93">
        <f>SUMIF('明细表I4-2'!$A:$A,$A11,'明细表I4-2'!O:O)</f>
        <v>0</v>
      </c>
      <c r="C11" s="93">
        <f>SUMIF('明细表I4-2'!$A:$A,$A11,'明细表I4-2'!P:P)</f>
        <v>0</v>
      </c>
      <c r="D11" s="93">
        <f>SUMIF('明细表I4-2'!$A:$A,$A11,'明细表I4-2'!Q:Q)</f>
        <v>0</v>
      </c>
      <c r="E11" s="93">
        <f>SUMIF('明细表I4-2'!$A:$A,$A11,'明细表I4-2'!R:R)</f>
        <v>0</v>
      </c>
      <c r="F11" s="94">
        <f t="shared" si="0"/>
        <v>0</v>
      </c>
      <c r="G11" s="89"/>
    </row>
    <row r="12" spans="1:12" s="84" customFormat="1" ht="20.100000000000001" customHeight="1" thickBot="1">
      <c r="A12" s="91" t="s">
        <v>151</v>
      </c>
      <c r="B12" s="95">
        <f>SUM(B6:B11)</f>
        <v>0</v>
      </c>
      <c r="C12" s="95">
        <f>SUM(C6:C11)</f>
        <v>0</v>
      </c>
      <c r="D12" s="95">
        <f>SUM(D6:D11)</f>
        <v>0</v>
      </c>
      <c r="E12" s="95">
        <f>SUM(E6:E11)</f>
        <v>0</v>
      </c>
      <c r="F12" s="95">
        <f>SUM(F6:F11)</f>
        <v>0</v>
      </c>
      <c r="G12" s="92"/>
    </row>
    <row r="13" spans="1:12" ht="20.100000000000001" customHeight="1">
      <c r="A13" s="47"/>
      <c r="B13" s="47"/>
      <c r="C13" s="47"/>
      <c r="D13" s="47"/>
      <c r="E13" s="47"/>
      <c r="F13" s="47"/>
    </row>
    <row r="14" spans="1:12" ht="20.100000000000001" customHeight="1">
      <c r="A14" s="47"/>
      <c r="B14" s="47"/>
      <c r="C14" s="47"/>
      <c r="D14" s="47"/>
      <c r="E14" s="47"/>
      <c r="F14" s="47"/>
    </row>
    <row r="15" spans="1:12" ht="20.100000000000001" customHeight="1">
      <c r="A15" s="47"/>
      <c r="B15" s="47"/>
      <c r="C15" s="47"/>
      <c r="D15" s="47"/>
      <c r="E15" s="47"/>
      <c r="F15" s="47"/>
    </row>
    <row r="16" spans="1:12" ht="20.100000000000001" customHeight="1">
      <c r="A16" s="47"/>
      <c r="B16" s="47"/>
      <c r="C16" s="47"/>
      <c r="D16" s="47"/>
      <c r="E16" s="47"/>
      <c r="F16" s="47"/>
    </row>
  </sheetData>
  <mergeCells count="2">
    <mergeCell ref="A1:F1"/>
    <mergeCell ref="A2:F2"/>
  </mergeCells>
  <phoneticPr fontId="4" type="noConversion"/>
  <printOptions horizontalCentered="1"/>
  <pageMargins left="0.59055118110236227" right="0.59055118110236227" top="0.78740157480314965" bottom="0.39370078740157483" header="0.51181102362204722" footer="0.31496062992125984"/>
  <pageSetup paperSize="9" scale="59"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Y54"/>
  <sheetViews>
    <sheetView view="pageBreakPreview" zoomScaleSheetLayoutView="100" workbookViewId="0">
      <selection activeCell="A2" sqref="A2:U2"/>
    </sheetView>
  </sheetViews>
  <sheetFormatPr defaultColWidth="9" defaultRowHeight="18" customHeight="1"/>
  <cols>
    <col min="1" max="1" width="19.33203125" style="1" customWidth="1"/>
    <col min="2" max="2" width="14" style="1" customWidth="1"/>
    <col min="3" max="4" width="13.21875" style="1" customWidth="1"/>
    <col min="5" max="5" width="12" style="1" customWidth="1"/>
    <col min="6" max="7" width="7.88671875" style="1" customWidth="1"/>
    <col min="8" max="9" width="8.77734375" style="1" customWidth="1"/>
    <col min="10" max="10" width="7.88671875" style="1" customWidth="1"/>
    <col min="11" max="11" width="10.33203125" style="1" customWidth="1"/>
    <col min="12" max="12" width="8.88671875" style="1" customWidth="1"/>
    <col min="13" max="13" width="10.21875" style="1" customWidth="1"/>
    <col min="14" max="14" width="11.77734375" style="1" customWidth="1"/>
    <col min="15" max="16384" width="9" style="1"/>
  </cols>
  <sheetData>
    <row r="1" spans="1:25" s="21" customFormat="1" ht="20.100000000000001" customHeight="1">
      <c r="A1" s="184" t="s">
        <v>79</v>
      </c>
      <c r="B1" s="184"/>
      <c r="C1" s="184"/>
      <c r="D1" s="184"/>
      <c r="E1" s="184"/>
      <c r="F1" s="184"/>
      <c r="G1" s="184"/>
      <c r="H1" s="184"/>
      <c r="I1" s="184"/>
      <c r="J1" s="184"/>
      <c r="K1" s="184"/>
      <c r="L1" s="184"/>
      <c r="M1" s="184"/>
      <c r="N1" s="184"/>
      <c r="O1" s="184"/>
      <c r="P1" s="184"/>
      <c r="Q1" s="184"/>
      <c r="R1" s="184"/>
      <c r="S1" s="184"/>
      <c r="T1" s="184"/>
      <c r="U1" s="184"/>
    </row>
    <row r="2" spans="1:25" s="21" customFormat="1" ht="24.9" customHeight="1">
      <c r="A2" s="187" t="s">
        <v>330</v>
      </c>
      <c r="B2" s="187"/>
      <c r="C2" s="187"/>
      <c r="D2" s="187"/>
      <c r="E2" s="187"/>
      <c r="F2" s="187"/>
      <c r="G2" s="187"/>
      <c r="H2" s="187"/>
      <c r="I2" s="187"/>
      <c r="J2" s="187"/>
      <c r="K2" s="187"/>
      <c r="L2" s="187"/>
      <c r="M2" s="187"/>
      <c r="N2" s="187"/>
      <c r="O2" s="187"/>
      <c r="P2" s="187"/>
      <c r="Q2" s="187"/>
      <c r="R2" s="187"/>
      <c r="S2" s="187"/>
      <c r="T2" s="187"/>
      <c r="U2" s="187"/>
    </row>
    <row r="3" spans="1:25" ht="20.100000000000001" customHeight="1">
      <c r="A3" s="1" t="str">
        <f>底稿目录!A2</f>
        <v>被审计单位：</v>
      </c>
      <c r="K3" s="1" t="str">
        <f>底稿目录!A4</f>
        <v>编制人：</v>
      </c>
      <c r="O3" s="46" t="str">
        <f>底稿目录!A5</f>
        <v>编制日期：</v>
      </c>
      <c r="P3" s="46"/>
      <c r="T3" s="46" t="s">
        <v>8</v>
      </c>
      <c r="U3" s="255" t="s">
        <v>223</v>
      </c>
    </row>
    <row r="4" spans="1:25" ht="20.100000000000001" customHeight="1">
      <c r="A4" s="1" t="str">
        <f>底稿目录!A3</f>
        <v>截止日：202X年12月31日</v>
      </c>
      <c r="K4" s="1" t="str">
        <f>底稿目录!A6</f>
        <v>复核人：</v>
      </c>
      <c r="O4" s="46" t="str">
        <f>底稿目录!A7</f>
        <v>复核日期：</v>
      </c>
      <c r="P4" s="46"/>
      <c r="T4" s="46" t="s">
        <v>77</v>
      </c>
      <c r="U4" s="16"/>
    </row>
    <row r="5" spans="1:25" s="25" customFormat="1" ht="20.100000000000001" customHeight="1">
      <c r="A5" s="23" t="s">
        <v>84</v>
      </c>
      <c r="B5" s="23"/>
      <c r="C5" s="23"/>
      <c r="D5" s="23"/>
      <c r="E5" s="23"/>
      <c r="G5" s="26"/>
      <c r="J5" s="27"/>
      <c r="K5" s="27"/>
      <c r="N5" s="27"/>
      <c r="R5" s="29"/>
      <c r="S5" s="29"/>
      <c r="T5" s="29"/>
      <c r="U5" s="29"/>
      <c r="V5" s="29"/>
      <c r="W5" s="29"/>
      <c r="X5" s="29"/>
      <c r="Y5" s="29"/>
    </row>
    <row r="6" spans="1:25" s="25" customFormat="1" ht="20.100000000000001" customHeight="1">
      <c r="A6" s="31" t="s">
        <v>115</v>
      </c>
      <c r="B6" s="30"/>
      <c r="C6" s="30"/>
      <c r="D6" s="30"/>
      <c r="E6" s="30"/>
      <c r="G6" s="26"/>
      <c r="J6" s="27"/>
      <c r="K6" s="27"/>
      <c r="N6" s="27"/>
      <c r="R6" s="29"/>
      <c r="S6" s="29"/>
      <c r="T6" s="29"/>
      <c r="U6" s="29"/>
      <c r="V6" s="29"/>
      <c r="W6" s="29"/>
      <c r="X6" s="29"/>
      <c r="Y6" s="29"/>
    </row>
    <row r="7" spans="1:25" s="25" customFormat="1" ht="20.100000000000001" customHeight="1">
      <c r="A7" s="32" t="s">
        <v>85</v>
      </c>
      <c r="B7" s="32"/>
      <c r="C7" s="32"/>
      <c r="D7" s="32"/>
      <c r="E7" s="32"/>
      <c r="F7" s="33"/>
      <c r="G7" s="26"/>
      <c r="J7" s="27"/>
      <c r="K7" s="27"/>
      <c r="N7" s="27"/>
      <c r="R7" s="29"/>
      <c r="S7" s="29"/>
      <c r="T7" s="29"/>
      <c r="U7" s="29"/>
      <c r="V7" s="29"/>
      <c r="W7" s="29"/>
      <c r="X7" s="29"/>
      <c r="Y7" s="29"/>
    </row>
    <row r="8" spans="1:25" s="18" customFormat="1" ht="20.100000000000001" customHeight="1">
      <c r="A8" s="226" t="s">
        <v>94</v>
      </c>
      <c r="B8" s="226" t="s">
        <v>129</v>
      </c>
      <c r="C8" s="226" t="s">
        <v>132</v>
      </c>
      <c r="D8" s="226" t="s">
        <v>133</v>
      </c>
      <c r="E8" s="226" t="s">
        <v>134</v>
      </c>
      <c r="F8" s="226" t="s">
        <v>93</v>
      </c>
      <c r="G8" s="227"/>
      <c r="H8" s="227"/>
      <c r="I8" s="227"/>
      <c r="J8" s="227"/>
      <c r="K8" s="228" t="s">
        <v>95</v>
      </c>
      <c r="L8" s="229" t="s">
        <v>96</v>
      </c>
      <c r="M8" s="229"/>
      <c r="N8" s="230"/>
      <c r="O8" s="231" t="s">
        <v>97</v>
      </c>
      <c r="P8" s="231"/>
      <c r="Q8" s="231"/>
      <c r="R8" s="231"/>
      <c r="S8" s="231"/>
      <c r="T8" s="226" t="s">
        <v>116</v>
      </c>
      <c r="U8" s="226" t="s">
        <v>113</v>
      </c>
    </row>
    <row r="9" spans="1:25" s="18" customFormat="1" ht="20.100000000000001" customHeight="1">
      <c r="A9" s="227"/>
      <c r="B9" s="226"/>
      <c r="C9" s="226"/>
      <c r="D9" s="226"/>
      <c r="E9" s="226"/>
      <c r="F9" s="226" t="s">
        <v>91</v>
      </c>
      <c r="G9" s="227" t="s">
        <v>6</v>
      </c>
      <c r="H9" s="226" t="s">
        <v>90</v>
      </c>
      <c r="I9" s="226"/>
      <c r="J9" s="226" t="s">
        <v>92</v>
      </c>
      <c r="K9" s="229" t="s">
        <v>98</v>
      </c>
      <c r="L9" s="230" t="s">
        <v>99</v>
      </c>
      <c r="M9" s="230" t="s">
        <v>100</v>
      </c>
      <c r="N9" s="230"/>
      <c r="O9" s="231" t="s">
        <v>101</v>
      </c>
      <c r="P9" s="231" t="s">
        <v>102</v>
      </c>
      <c r="Q9" s="208" t="s">
        <v>5</v>
      </c>
      <c r="R9" s="208"/>
      <c r="S9" s="231" t="s">
        <v>103</v>
      </c>
      <c r="T9" s="226"/>
      <c r="U9" s="226"/>
    </row>
    <row r="10" spans="1:25" s="18" customFormat="1" ht="20.100000000000001" customHeight="1">
      <c r="A10" s="227"/>
      <c r="B10" s="226"/>
      <c r="C10" s="226"/>
      <c r="D10" s="226"/>
      <c r="E10" s="226"/>
      <c r="F10" s="227"/>
      <c r="G10" s="227"/>
      <c r="H10" s="232" t="s">
        <v>12</v>
      </c>
      <c r="I10" s="232" t="s">
        <v>11</v>
      </c>
      <c r="J10" s="227"/>
      <c r="K10" s="229"/>
      <c r="L10" s="230"/>
      <c r="M10" s="232" t="s">
        <v>12</v>
      </c>
      <c r="N10" s="232" t="s">
        <v>11</v>
      </c>
      <c r="O10" s="208"/>
      <c r="P10" s="208"/>
      <c r="Q10" s="232" t="s">
        <v>12</v>
      </c>
      <c r="R10" s="232" t="s">
        <v>11</v>
      </c>
      <c r="S10" s="208"/>
      <c r="T10" s="226"/>
      <c r="U10" s="226"/>
    </row>
    <row r="11" spans="1:25" ht="20.100000000000001" customHeight="1">
      <c r="A11" s="233" t="s">
        <v>143</v>
      </c>
      <c r="B11" s="216"/>
      <c r="C11" s="216"/>
      <c r="D11" s="216"/>
      <c r="E11" s="216"/>
      <c r="F11" s="234"/>
      <c r="G11" s="234"/>
      <c r="H11" s="234"/>
      <c r="I11" s="234"/>
      <c r="J11" s="217">
        <f t="shared" ref="J11:J22" si="0">F11+G11-H11-I11</f>
        <v>0</v>
      </c>
      <c r="K11" s="234"/>
      <c r="L11" s="234"/>
      <c r="M11" s="234"/>
      <c r="N11" s="234"/>
      <c r="O11" s="217">
        <f t="shared" ref="O11:R14" si="1">F11+K11</f>
        <v>0</v>
      </c>
      <c r="P11" s="217">
        <f t="shared" si="1"/>
        <v>0</v>
      </c>
      <c r="Q11" s="217">
        <f t="shared" si="1"/>
        <v>0</v>
      </c>
      <c r="R11" s="217">
        <f t="shared" si="1"/>
        <v>0</v>
      </c>
      <c r="S11" s="217">
        <f>O11+P11-Q11-R11</f>
        <v>0</v>
      </c>
      <c r="T11" s="221"/>
      <c r="U11" s="216"/>
    </row>
    <row r="12" spans="1:25" ht="20.100000000000001" customHeight="1">
      <c r="A12" s="216"/>
      <c r="B12" s="216"/>
      <c r="C12" s="216"/>
      <c r="D12" s="216"/>
      <c r="E12" s="216"/>
      <c r="F12" s="234"/>
      <c r="G12" s="234"/>
      <c r="H12" s="234"/>
      <c r="I12" s="234"/>
      <c r="J12" s="217">
        <f t="shared" si="0"/>
        <v>0</v>
      </c>
      <c r="K12" s="234"/>
      <c r="L12" s="234"/>
      <c r="M12" s="234"/>
      <c r="N12" s="234"/>
      <c r="O12" s="217">
        <f t="shared" si="1"/>
        <v>0</v>
      </c>
      <c r="P12" s="217">
        <f t="shared" si="1"/>
        <v>0</v>
      </c>
      <c r="Q12" s="217">
        <f t="shared" si="1"/>
        <v>0</v>
      </c>
      <c r="R12" s="217">
        <f t="shared" si="1"/>
        <v>0</v>
      </c>
      <c r="S12" s="217">
        <f t="shared" ref="S12:S22" si="2">O12+P12-Q12-R12</f>
        <v>0</v>
      </c>
      <c r="T12" s="221"/>
      <c r="U12" s="216"/>
    </row>
    <row r="13" spans="1:25" ht="20.100000000000001" customHeight="1">
      <c r="A13" s="216"/>
      <c r="B13" s="216"/>
      <c r="C13" s="216"/>
      <c r="D13" s="216"/>
      <c r="E13" s="216"/>
      <c r="F13" s="234"/>
      <c r="G13" s="234"/>
      <c r="H13" s="234"/>
      <c r="I13" s="234"/>
      <c r="J13" s="217">
        <f t="shared" si="0"/>
        <v>0</v>
      </c>
      <c r="K13" s="234"/>
      <c r="L13" s="234"/>
      <c r="M13" s="234"/>
      <c r="N13" s="234"/>
      <c r="O13" s="217">
        <f t="shared" si="1"/>
        <v>0</v>
      </c>
      <c r="P13" s="217">
        <f t="shared" si="1"/>
        <v>0</v>
      </c>
      <c r="Q13" s="217">
        <f t="shared" si="1"/>
        <v>0</v>
      </c>
      <c r="R13" s="217">
        <f t="shared" si="1"/>
        <v>0</v>
      </c>
      <c r="S13" s="217">
        <f>O13+P13-Q13-R13</f>
        <v>0</v>
      </c>
      <c r="T13" s="221"/>
      <c r="U13" s="216"/>
    </row>
    <row r="14" spans="1:25" ht="20.100000000000001" customHeight="1">
      <c r="A14" s="216"/>
      <c r="B14" s="216"/>
      <c r="C14" s="216"/>
      <c r="D14" s="216"/>
      <c r="E14" s="216"/>
      <c r="F14" s="234"/>
      <c r="G14" s="234"/>
      <c r="H14" s="234"/>
      <c r="I14" s="234"/>
      <c r="J14" s="217">
        <f t="shared" si="0"/>
        <v>0</v>
      </c>
      <c r="K14" s="234"/>
      <c r="L14" s="234"/>
      <c r="M14" s="234"/>
      <c r="N14" s="234"/>
      <c r="O14" s="217">
        <f t="shared" si="1"/>
        <v>0</v>
      </c>
      <c r="P14" s="217">
        <f t="shared" si="1"/>
        <v>0</v>
      </c>
      <c r="Q14" s="217">
        <f t="shared" si="1"/>
        <v>0</v>
      </c>
      <c r="R14" s="217">
        <f t="shared" si="1"/>
        <v>0</v>
      </c>
      <c r="S14" s="217">
        <f t="shared" si="2"/>
        <v>0</v>
      </c>
      <c r="T14" s="221"/>
      <c r="U14" s="216"/>
    </row>
    <row r="15" spans="1:25" ht="20.100000000000001" customHeight="1">
      <c r="A15" s="216"/>
      <c r="B15" s="216"/>
      <c r="C15" s="216"/>
      <c r="D15" s="216"/>
      <c r="E15" s="216"/>
      <c r="F15" s="234"/>
      <c r="G15" s="234"/>
      <c r="H15" s="234"/>
      <c r="I15" s="234"/>
      <c r="J15" s="217">
        <f t="shared" si="0"/>
        <v>0</v>
      </c>
      <c r="K15" s="234"/>
      <c r="L15" s="234"/>
      <c r="M15" s="234"/>
      <c r="N15" s="234"/>
      <c r="O15" s="217">
        <f t="shared" ref="O15:R18" si="3">F15+K15</f>
        <v>0</v>
      </c>
      <c r="P15" s="217">
        <f t="shared" si="3"/>
        <v>0</v>
      </c>
      <c r="Q15" s="217">
        <f t="shared" si="3"/>
        <v>0</v>
      </c>
      <c r="R15" s="217">
        <f t="shared" si="3"/>
        <v>0</v>
      </c>
      <c r="S15" s="217">
        <f t="shared" si="2"/>
        <v>0</v>
      </c>
      <c r="T15" s="221"/>
      <c r="U15" s="216"/>
    </row>
    <row r="16" spans="1:25" ht="20.100000000000001" customHeight="1">
      <c r="A16" s="216"/>
      <c r="B16" s="216"/>
      <c r="C16" s="216"/>
      <c r="D16" s="216"/>
      <c r="E16" s="216"/>
      <c r="F16" s="234"/>
      <c r="G16" s="234"/>
      <c r="H16" s="234"/>
      <c r="I16" s="234"/>
      <c r="J16" s="217">
        <f t="shared" si="0"/>
        <v>0</v>
      </c>
      <c r="K16" s="234"/>
      <c r="L16" s="234"/>
      <c r="M16" s="234"/>
      <c r="N16" s="234"/>
      <c r="O16" s="217">
        <f t="shared" si="3"/>
        <v>0</v>
      </c>
      <c r="P16" s="217">
        <f t="shared" si="3"/>
        <v>0</v>
      </c>
      <c r="Q16" s="217">
        <f t="shared" si="3"/>
        <v>0</v>
      </c>
      <c r="R16" s="217">
        <f t="shared" si="3"/>
        <v>0</v>
      </c>
      <c r="S16" s="217">
        <f t="shared" si="2"/>
        <v>0</v>
      </c>
      <c r="T16" s="221"/>
      <c r="U16" s="216"/>
      <c r="X16" s="70"/>
    </row>
    <row r="17" spans="1:22" ht="20.100000000000001" customHeight="1">
      <c r="A17" s="216"/>
      <c r="B17" s="216"/>
      <c r="C17" s="216"/>
      <c r="D17" s="216"/>
      <c r="E17" s="216"/>
      <c r="F17" s="234"/>
      <c r="G17" s="234"/>
      <c r="H17" s="234"/>
      <c r="I17" s="234"/>
      <c r="J17" s="217">
        <f t="shared" si="0"/>
        <v>0</v>
      </c>
      <c r="K17" s="234"/>
      <c r="L17" s="234"/>
      <c r="M17" s="234"/>
      <c r="N17" s="234"/>
      <c r="O17" s="217">
        <f t="shared" si="3"/>
        <v>0</v>
      </c>
      <c r="P17" s="217">
        <f t="shared" si="3"/>
        <v>0</v>
      </c>
      <c r="Q17" s="217">
        <f t="shared" si="3"/>
        <v>0</v>
      </c>
      <c r="R17" s="217">
        <f t="shared" si="3"/>
        <v>0</v>
      </c>
      <c r="S17" s="217">
        <f t="shared" si="2"/>
        <v>0</v>
      </c>
      <c r="T17" s="221"/>
      <c r="U17" s="216"/>
    </row>
    <row r="18" spans="1:22" ht="20.100000000000001" customHeight="1">
      <c r="A18" s="216"/>
      <c r="B18" s="216"/>
      <c r="C18" s="216"/>
      <c r="D18" s="216"/>
      <c r="E18" s="216"/>
      <c r="F18" s="234"/>
      <c r="G18" s="234"/>
      <c r="H18" s="234"/>
      <c r="I18" s="234"/>
      <c r="J18" s="217">
        <f t="shared" si="0"/>
        <v>0</v>
      </c>
      <c r="K18" s="234"/>
      <c r="L18" s="234"/>
      <c r="M18" s="234"/>
      <c r="N18" s="234"/>
      <c r="O18" s="217">
        <f t="shared" si="3"/>
        <v>0</v>
      </c>
      <c r="P18" s="217">
        <f t="shared" si="3"/>
        <v>0</v>
      </c>
      <c r="Q18" s="217">
        <f t="shared" si="3"/>
        <v>0</v>
      </c>
      <c r="R18" s="217">
        <f t="shared" si="3"/>
        <v>0</v>
      </c>
      <c r="S18" s="217">
        <f t="shared" si="2"/>
        <v>0</v>
      </c>
      <c r="T18" s="221"/>
      <c r="U18" s="216"/>
    </row>
    <row r="19" spans="1:22" ht="20.100000000000001" customHeight="1">
      <c r="A19" s="216"/>
      <c r="B19" s="216"/>
      <c r="C19" s="216"/>
      <c r="D19" s="216"/>
      <c r="E19" s="216"/>
      <c r="F19" s="234"/>
      <c r="G19" s="234"/>
      <c r="H19" s="234"/>
      <c r="I19" s="234"/>
      <c r="J19" s="217">
        <f t="shared" si="0"/>
        <v>0</v>
      </c>
      <c r="K19" s="234"/>
      <c r="L19" s="234"/>
      <c r="M19" s="234"/>
      <c r="N19" s="234"/>
      <c r="O19" s="217">
        <f t="shared" ref="O19:R22" si="4">F19+K19</f>
        <v>0</v>
      </c>
      <c r="P19" s="217">
        <f t="shared" si="4"/>
        <v>0</v>
      </c>
      <c r="Q19" s="217">
        <f t="shared" si="4"/>
        <v>0</v>
      </c>
      <c r="R19" s="217">
        <f t="shared" si="4"/>
        <v>0</v>
      </c>
      <c r="S19" s="217">
        <f t="shared" si="2"/>
        <v>0</v>
      </c>
      <c r="T19" s="221"/>
      <c r="U19" s="216"/>
      <c r="V19" s="70">
        <f>K23+L23-M23-N23</f>
        <v>0</v>
      </c>
    </row>
    <row r="20" spans="1:22" ht="20.100000000000001" customHeight="1">
      <c r="A20" s="216"/>
      <c r="B20" s="216"/>
      <c r="C20" s="216"/>
      <c r="D20" s="216"/>
      <c r="E20" s="216"/>
      <c r="F20" s="234"/>
      <c r="G20" s="234"/>
      <c r="H20" s="234"/>
      <c r="I20" s="234"/>
      <c r="J20" s="217">
        <f t="shared" si="0"/>
        <v>0</v>
      </c>
      <c r="K20" s="234"/>
      <c r="L20" s="234"/>
      <c r="M20" s="234"/>
      <c r="N20" s="234"/>
      <c r="O20" s="217">
        <f t="shared" si="4"/>
        <v>0</v>
      </c>
      <c r="P20" s="217">
        <f t="shared" si="4"/>
        <v>0</v>
      </c>
      <c r="Q20" s="217">
        <f t="shared" si="4"/>
        <v>0</v>
      </c>
      <c r="R20" s="217">
        <f t="shared" si="4"/>
        <v>0</v>
      </c>
      <c r="S20" s="217">
        <f t="shared" si="2"/>
        <v>0</v>
      </c>
      <c r="T20" s="221"/>
      <c r="U20" s="216"/>
    </row>
    <row r="21" spans="1:22" ht="20.100000000000001" customHeight="1">
      <c r="A21" s="216"/>
      <c r="B21" s="216"/>
      <c r="C21" s="216"/>
      <c r="D21" s="216"/>
      <c r="E21" s="216"/>
      <c r="F21" s="234"/>
      <c r="G21" s="234"/>
      <c r="H21" s="234"/>
      <c r="I21" s="234"/>
      <c r="J21" s="217">
        <f t="shared" si="0"/>
        <v>0</v>
      </c>
      <c r="K21" s="234"/>
      <c r="L21" s="234"/>
      <c r="M21" s="234"/>
      <c r="N21" s="234"/>
      <c r="O21" s="217">
        <f t="shared" si="4"/>
        <v>0</v>
      </c>
      <c r="P21" s="217">
        <f t="shared" si="4"/>
        <v>0</v>
      </c>
      <c r="Q21" s="217">
        <f t="shared" si="4"/>
        <v>0</v>
      </c>
      <c r="R21" s="217">
        <f t="shared" si="4"/>
        <v>0</v>
      </c>
      <c r="S21" s="217">
        <f t="shared" si="2"/>
        <v>0</v>
      </c>
      <c r="T21" s="221"/>
      <c r="U21" s="216"/>
    </row>
    <row r="22" spans="1:22" ht="20.100000000000001" customHeight="1">
      <c r="A22" s="216"/>
      <c r="B22" s="216"/>
      <c r="C22" s="216"/>
      <c r="D22" s="216"/>
      <c r="E22" s="216"/>
      <c r="F22" s="234"/>
      <c r="G22" s="234"/>
      <c r="H22" s="234"/>
      <c r="I22" s="234"/>
      <c r="J22" s="217">
        <f t="shared" si="0"/>
        <v>0</v>
      </c>
      <c r="K22" s="234"/>
      <c r="L22" s="234"/>
      <c r="M22" s="234"/>
      <c r="N22" s="234"/>
      <c r="O22" s="217">
        <f t="shared" si="4"/>
        <v>0</v>
      </c>
      <c r="P22" s="217">
        <f t="shared" si="4"/>
        <v>0</v>
      </c>
      <c r="Q22" s="217">
        <f t="shared" si="4"/>
        <v>0</v>
      </c>
      <c r="R22" s="217">
        <f t="shared" si="4"/>
        <v>0</v>
      </c>
      <c r="S22" s="217">
        <f t="shared" si="2"/>
        <v>0</v>
      </c>
      <c r="T22" s="221"/>
      <c r="U22" s="216"/>
    </row>
    <row r="23" spans="1:22" s="225" customFormat="1" ht="20.100000000000001" customHeight="1">
      <c r="A23" s="220" t="s">
        <v>80</v>
      </c>
      <c r="B23" s="220"/>
      <c r="C23" s="220"/>
      <c r="D23" s="220"/>
      <c r="E23" s="217">
        <f>SUM(E11:E22)</f>
        <v>0</v>
      </c>
      <c r="F23" s="217">
        <f>SUM(F11:F22)</f>
        <v>0</v>
      </c>
      <c r="G23" s="217">
        <f t="shared" ref="G23:S23" si="5">SUM(G11:G22)</f>
        <v>0</v>
      </c>
      <c r="H23" s="217">
        <f t="shared" si="5"/>
        <v>0</v>
      </c>
      <c r="I23" s="217">
        <f>SUM(I11:I22)</f>
        <v>0</v>
      </c>
      <c r="J23" s="217">
        <f t="shared" si="5"/>
        <v>0</v>
      </c>
      <c r="K23" s="217">
        <f t="shared" si="5"/>
        <v>0</v>
      </c>
      <c r="L23" s="217">
        <f t="shared" si="5"/>
        <v>0</v>
      </c>
      <c r="M23" s="217">
        <f t="shared" si="5"/>
        <v>0</v>
      </c>
      <c r="N23" s="217">
        <f t="shared" si="5"/>
        <v>0</v>
      </c>
      <c r="O23" s="217">
        <f t="shared" si="5"/>
        <v>0</v>
      </c>
      <c r="P23" s="217">
        <f t="shared" si="5"/>
        <v>0</v>
      </c>
      <c r="Q23" s="217">
        <f t="shared" si="5"/>
        <v>0</v>
      </c>
      <c r="R23" s="217">
        <f t="shared" si="5"/>
        <v>0</v>
      </c>
      <c r="S23" s="217">
        <f t="shared" si="5"/>
        <v>0</v>
      </c>
      <c r="T23" s="239"/>
      <c r="U23" s="239"/>
    </row>
    <row r="24" spans="1:22" s="34" customFormat="1" ht="20.100000000000001" customHeight="1">
      <c r="A24" s="235" t="s">
        <v>131</v>
      </c>
      <c r="B24" s="236"/>
      <c r="C24" s="236"/>
      <c r="D24" s="236"/>
      <c r="E24" s="236"/>
      <c r="F24" s="221"/>
      <c r="G24" s="221"/>
      <c r="H24" s="221"/>
      <c r="I24" s="221"/>
      <c r="J24" s="221"/>
      <c r="K24" s="221"/>
      <c r="L24" s="221"/>
      <c r="M24" s="221"/>
      <c r="N24" s="221"/>
      <c r="O24" s="221"/>
      <c r="P24" s="221"/>
      <c r="Q24" s="221"/>
      <c r="R24" s="221"/>
      <c r="S24" s="221"/>
      <c r="T24" s="216"/>
      <c r="U24" s="216"/>
    </row>
    <row r="25" spans="1:22" s="34" customFormat="1" ht="20.100000000000001" customHeight="1">
      <c r="A25" s="237" t="str">
        <f>底稿目录!A9</f>
        <v>类别A</v>
      </c>
      <c r="B25" s="237"/>
      <c r="C25" s="238"/>
      <c r="D25" s="238"/>
      <c r="E25" s="217">
        <f t="array" ref="E25">SUMPRODUCT(($B$11:$B$22=$A25)*(E$11:E$22))</f>
        <v>0</v>
      </c>
      <c r="F25" s="217">
        <f t="array" ref="F25">SUMPRODUCT(($B$11:$B$22=$A25)*(F$11:F$22))</f>
        <v>0</v>
      </c>
      <c r="G25" s="217">
        <f t="array" ref="G25">SUMPRODUCT(($B$11:$B$22=$A25)*(G$11:G$22))</f>
        <v>0</v>
      </c>
      <c r="H25" s="217">
        <f t="array" ref="H25">SUMPRODUCT(($B$11:$B$22=$A25)*(H$11:H$22))</f>
        <v>0</v>
      </c>
      <c r="I25" s="217">
        <f t="array" ref="I25">SUMPRODUCT(($B$11:$B$22=$A25)*(I$11:I$22))</f>
        <v>0</v>
      </c>
      <c r="J25" s="217">
        <f t="array" ref="J25">SUMPRODUCT(($B$11:$B$22=$A25)*(J$11:J$22))</f>
        <v>0</v>
      </c>
      <c r="K25" s="217">
        <f t="array" ref="K25">SUMPRODUCT(($B$11:$B$22=$A25)*(K$11:K$22))</f>
        <v>0</v>
      </c>
      <c r="L25" s="217">
        <f t="array" ref="L25">SUMPRODUCT(($B$11:$B$22=$A25)*(L$11:L$22))</f>
        <v>0</v>
      </c>
      <c r="M25" s="217">
        <f t="array" ref="M25">SUMPRODUCT(($B$11:$B$22=$A25)*(M$11:M$22))</f>
        <v>0</v>
      </c>
      <c r="N25" s="217">
        <f t="array" ref="N25">SUMPRODUCT(($B$11:$B$22=$A25)*(N$11:N$22))</f>
        <v>0</v>
      </c>
      <c r="O25" s="217">
        <f t="array" ref="O25">SUMPRODUCT(($B$11:$B$22=$A25)*(O$11:O$22))</f>
        <v>0</v>
      </c>
      <c r="P25" s="217">
        <f t="array" ref="P25">SUMPRODUCT(($B$11:$B$22=$A25)*(P$11:P$22))</f>
        <v>0</v>
      </c>
      <c r="Q25" s="217">
        <f t="array" ref="Q25">SUMPRODUCT(($B$11:$B$22=$A25)*(Q$11:Q$22))</f>
        <v>0</v>
      </c>
      <c r="R25" s="217">
        <f t="array" ref="R25">SUMPRODUCT(($B$11:$B$22=$A25)*(R$11:R$22))</f>
        <v>0</v>
      </c>
      <c r="S25" s="217">
        <f t="array" ref="S25">SUMPRODUCT(($B$11:$B$22=$A25)*(S$11:S$22))</f>
        <v>0</v>
      </c>
      <c r="T25" s="216"/>
      <c r="U25" s="216"/>
    </row>
    <row r="26" spans="1:22" s="34" customFormat="1" ht="20.100000000000001" customHeight="1">
      <c r="A26" s="237" t="str">
        <f>底稿目录!A10</f>
        <v>类别B</v>
      </c>
      <c r="B26" s="237"/>
      <c r="C26" s="238"/>
      <c r="D26" s="238"/>
      <c r="E26" s="217">
        <f t="array" ref="E26">SUMPRODUCT(($B$11:$B$22=$A26)*(E$11:E$22))</f>
        <v>0</v>
      </c>
      <c r="F26" s="217">
        <f t="array" ref="F26">SUMPRODUCT(($B$11:$B$22=$A26)*(F$11:F$22))</f>
        <v>0</v>
      </c>
      <c r="G26" s="217">
        <f t="array" ref="G26">SUMPRODUCT(($B$11:$B$22=$A26)*(G$11:G$22))</f>
        <v>0</v>
      </c>
      <c r="H26" s="217">
        <f t="array" ref="H26">SUMPRODUCT(($B$11:$B$22=$A26)*(H$11:H$22))</f>
        <v>0</v>
      </c>
      <c r="I26" s="217">
        <f t="array" ref="I26">SUMPRODUCT(($B$11:$B$22=$A26)*(I$11:I$22))</f>
        <v>0</v>
      </c>
      <c r="J26" s="217">
        <f t="array" ref="J26">SUMPRODUCT(($B$11:$B$22=$A26)*(J$11:J$22))</f>
        <v>0</v>
      </c>
      <c r="K26" s="217">
        <f t="array" ref="K26">SUMPRODUCT(($B$11:$B$22=$A26)*(K$11:K$22))</f>
        <v>0</v>
      </c>
      <c r="L26" s="217">
        <f t="array" ref="L26">SUMPRODUCT(($B$11:$B$22=$A26)*(L$11:L$22))</f>
        <v>0</v>
      </c>
      <c r="M26" s="217">
        <f t="array" ref="M26">SUMPRODUCT(($B$11:$B$22=$A26)*(M$11:M$22))</f>
        <v>0</v>
      </c>
      <c r="N26" s="217">
        <f t="array" ref="N26">SUMPRODUCT(($B$11:$B$22=$A26)*(N$11:N$22))</f>
        <v>0</v>
      </c>
      <c r="O26" s="217">
        <f t="array" ref="O26">SUMPRODUCT(($B$11:$B$22=$A26)*(O$11:O$22))</f>
        <v>0</v>
      </c>
      <c r="P26" s="217">
        <f t="array" ref="P26">SUMPRODUCT(($B$11:$B$22=$A26)*(P$11:P$22))</f>
        <v>0</v>
      </c>
      <c r="Q26" s="217">
        <f t="array" ref="Q26">SUMPRODUCT(($B$11:$B$22=$A26)*(Q$11:Q$22))</f>
        <v>0</v>
      </c>
      <c r="R26" s="217">
        <f t="array" ref="R26">SUMPRODUCT(($B$11:$B$22=$A26)*(R$11:R$22))</f>
        <v>0</v>
      </c>
      <c r="S26" s="217">
        <f t="array" ref="S26">SUMPRODUCT(($B$11:$B$22=$A26)*(S$11:S$22))</f>
        <v>0</v>
      </c>
      <c r="T26" s="216"/>
      <c r="U26" s="216"/>
    </row>
    <row r="27" spans="1:22" s="34" customFormat="1" ht="20.100000000000001" customHeight="1">
      <c r="A27" s="237" t="str">
        <f>底稿目录!A11</f>
        <v>类别C</v>
      </c>
      <c r="B27" s="237"/>
      <c r="C27" s="238"/>
      <c r="D27" s="238"/>
      <c r="E27" s="217">
        <f t="array" ref="E27">SUMPRODUCT(($B$11:$B$22=$A27)*(E$11:E$22))</f>
        <v>0</v>
      </c>
      <c r="F27" s="217">
        <f t="array" ref="F27">SUMPRODUCT(($B$11:$B$22=$A27)*(F$11:F$22))</f>
        <v>0</v>
      </c>
      <c r="G27" s="217">
        <f t="array" ref="G27">SUMPRODUCT(($B$11:$B$22=$A27)*(G$11:G$22))</f>
        <v>0</v>
      </c>
      <c r="H27" s="217">
        <f t="array" ref="H27">SUMPRODUCT(($B$11:$B$22=$A27)*(H$11:H$22))</f>
        <v>0</v>
      </c>
      <c r="I27" s="217">
        <f t="array" ref="I27">SUMPRODUCT(($B$11:$B$22=$A27)*(I$11:I$22))</f>
        <v>0</v>
      </c>
      <c r="J27" s="217">
        <f t="array" ref="J27">SUMPRODUCT(($B$11:$B$22=$A27)*(J$11:J$22))</f>
        <v>0</v>
      </c>
      <c r="K27" s="217">
        <f t="array" ref="K27">SUMPRODUCT(($B$11:$B$22=$A27)*(K$11:K$22))</f>
        <v>0</v>
      </c>
      <c r="L27" s="217">
        <f t="array" ref="L27">SUMPRODUCT(($B$11:$B$22=$A27)*(L$11:L$22))</f>
        <v>0</v>
      </c>
      <c r="M27" s="217">
        <f t="array" ref="M27">SUMPRODUCT(($B$11:$B$22=$A27)*(M$11:M$22))</f>
        <v>0</v>
      </c>
      <c r="N27" s="217">
        <f t="array" ref="N27">SUMPRODUCT(($B$11:$B$22=$A27)*(N$11:N$22))</f>
        <v>0</v>
      </c>
      <c r="O27" s="217">
        <f t="array" ref="O27">SUMPRODUCT(($B$11:$B$22=$A27)*(O$11:O$22))</f>
        <v>0</v>
      </c>
      <c r="P27" s="217">
        <f t="array" ref="P27">SUMPRODUCT(($B$11:$B$22=$A27)*(P$11:P$22))</f>
        <v>0</v>
      </c>
      <c r="Q27" s="217">
        <f t="array" ref="Q27">SUMPRODUCT(($B$11:$B$22=$A27)*(Q$11:Q$22))</f>
        <v>0</v>
      </c>
      <c r="R27" s="217">
        <f t="array" ref="R27">SUMPRODUCT(($B$11:$B$22=$A27)*(R$11:R$22))</f>
        <v>0</v>
      </c>
      <c r="S27" s="217">
        <f t="array" ref="S27">SUMPRODUCT(($B$11:$B$22=$A27)*(S$11:S$22))</f>
        <v>0</v>
      </c>
      <c r="T27" s="216"/>
      <c r="U27" s="216"/>
    </row>
    <row r="28" spans="1:22" s="34" customFormat="1" ht="20.100000000000001" customHeight="1">
      <c r="A28" s="237" t="str">
        <f>底稿目录!A12</f>
        <v>……</v>
      </c>
      <c r="B28" s="237"/>
      <c r="C28" s="238"/>
      <c r="D28" s="238"/>
      <c r="E28" s="217">
        <f t="array" ref="E28">SUMPRODUCT(($B$11:$B$22=$A28)*(E$11:E$22))</f>
        <v>0</v>
      </c>
      <c r="F28" s="217">
        <f t="array" ref="F28">SUMPRODUCT(($B$11:$B$22=$A28)*(F$11:F$22))</f>
        <v>0</v>
      </c>
      <c r="G28" s="217">
        <f t="array" ref="G28">SUMPRODUCT(($B$11:$B$22=$A28)*(G$11:G$22))</f>
        <v>0</v>
      </c>
      <c r="H28" s="217">
        <f t="array" ref="H28">SUMPRODUCT(($B$11:$B$22=$A28)*(H$11:H$22))</f>
        <v>0</v>
      </c>
      <c r="I28" s="217">
        <f t="array" ref="I28">SUMPRODUCT(($B$11:$B$22=$A28)*(I$11:I$22))</f>
        <v>0</v>
      </c>
      <c r="J28" s="217">
        <f t="array" ref="J28">SUMPRODUCT(($B$11:$B$22=$A28)*(J$11:J$22))</f>
        <v>0</v>
      </c>
      <c r="K28" s="217">
        <f t="array" ref="K28">SUMPRODUCT(($B$11:$B$22=$A28)*(K$11:K$22))</f>
        <v>0</v>
      </c>
      <c r="L28" s="217">
        <f t="array" ref="L28">SUMPRODUCT(($B$11:$B$22=$A28)*(L$11:L$22))</f>
        <v>0</v>
      </c>
      <c r="M28" s="217">
        <f t="array" ref="M28">SUMPRODUCT(($B$11:$B$22=$A28)*(M$11:M$22))</f>
        <v>0</v>
      </c>
      <c r="N28" s="217">
        <f t="array" ref="N28">SUMPRODUCT(($B$11:$B$22=$A28)*(N$11:N$22))</f>
        <v>0</v>
      </c>
      <c r="O28" s="217">
        <f t="array" ref="O28">SUMPRODUCT(($B$11:$B$22=$A28)*(O$11:O$22))</f>
        <v>0</v>
      </c>
      <c r="P28" s="217">
        <f t="array" ref="P28">SUMPRODUCT(($B$11:$B$22=$A28)*(P$11:P$22))</f>
        <v>0</v>
      </c>
      <c r="Q28" s="217">
        <f t="array" ref="Q28">SUMPRODUCT(($B$11:$B$22=$A28)*(Q$11:Q$22))</f>
        <v>0</v>
      </c>
      <c r="R28" s="217">
        <f t="array" ref="R28">SUMPRODUCT(($B$11:$B$22=$A28)*(R$11:R$22))</f>
        <v>0</v>
      </c>
      <c r="S28" s="217">
        <f t="array" ref="S28">SUMPRODUCT(($B$11:$B$22=$A28)*(S$11:S$22))</f>
        <v>0</v>
      </c>
      <c r="T28" s="216"/>
      <c r="U28" s="216"/>
    </row>
    <row r="29" spans="1:22" s="7" customFormat="1" ht="20.100000000000001" customHeight="1">
      <c r="A29" s="37" t="s">
        <v>87</v>
      </c>
      <c r="B29" s="37"/>
      <c r="C29" s="37"/>
      <c r="D29" s="37"/>
      <c r="E29" s="37"/>
    </row>
    <row r="30" spans="1:22" ht="20.100000000000001" customHeight="1">
      <c r="A30" s="25"/>
      <c r="B30" s="25"/>
      <c r="C30" s="25"/>
      <c r="D30" s="25"/>
      <c r="E30" s="25"/>
    </row>
    <row r="31" spans="1:22" ht="20.100000000000001" customHeight="1">
      <c r="A31" s="25"/>
      <c r="B31" s="25"/>
      <c r="C31" s="25"/>
      <c r="D31" s="25"/>
      <c r="E31" s="25"/>
    </row>
    <row r="32" spans="1:22" ht="20.100000000000001" customHeight="1">
      <c r="A32" s="37" t="s">
        <v>88</v>
      </c>
      <c r="B32" s="37"/>
      <c r="C32" s="37"/>
      <c r="D32" s="37"/>
      <c r="E32" s="37"/>
    </row>
    <row r="33" spans="1:5" ht="20.100000000000001" customHeight="1">
      <c r="A33" s="25"/>
      <c r="B33" s="25"/>
      <c r="C33" s="25"/>
      <c r="D33" s="25"/>
      <c r="E33" s="25"/>
    </row>
    <row r="34" spans="1:5" ht="18" customHeight="1">
      <c r="A34" s="35"/>
      <c r="B34" s="25"/>
      <c r="C34" s="25"/>
      <c r="D34" s="25"/>
      <c r="E34" s="25"/>
    </row>
    <row r="35" spans="1:5" s="127" customFormat="1" ht="18" customHeight="1">
      <c r="A35" s="127" t="s">
        <v>188</v>
      </c>
    </row>
    <row r="36" spans="1:5" s="127" customFormat="1" ht="18" customHeight="1">
      <c r="A36" s="127" t="s">
        <v>207</v>
      </c>
    </row>
    <row r="37" spans="1:5" s="127" customFormat="1" ht="18" customHeight="1">
      <c r="A37" s="127" t="s">
        <v>208</v>
      </c>
    </row>
    <row r="38" spans="1:5" s="127" customFormat="1" ht="18" customHeight="1">
      <c r="A38" s="127" t="s">
        <v>209</v>
      </c>
    </row>
    <row r="39" spans="1:5" s="127" customFormat="1" ht="18" customHeight="1">
      <c r="A39" s="127" t="s">
        <v>210</v>
      </c>
    </row>
    <row r="40" spans="1:5" s="127" customFormat="1" ht="18" customHeight="1">
      <c r="A40" s="127" t="s">
        <v>211</v>
      </c>
    </row>
    <row r="41" spans="1:5" s="127" customFormat="1" ht="18" customHeight="1"/>
    <row r="42" spans="1:5" s="127" customFormat="1" ht="18" customHeight="1">
      <c r="A42" s="127" t="s">
        <v>212</v>
      </c>
    </row>
    <row r="43" spans="1:5" s="127" customFormat="1" ht="18" customHeight="1">
      <c r="A43" s="127" t="s">
        <v>81</v>
      </c>
    </row>
    <row r="44" spans="1:5" s="127" customFormat="1" ht="18" customHeight="1">
      <c r="A44" s="127" t="s">
        <v>213</v>
      </c>
    </row>
    <row r="45" spans="1:5" s="127" customFormat="1" ht="18" customHeight="1">
      <c r="A45" s="127" t="s">
        <v>214</v>
      </c>
    </row>
    <row r="46" spans="1:5" s="127" customFormat="1" ht="18" customHeight="1">
      <c r="A46" s="127" t="s">
        <v>215</v>
      </c>
    </row>
    <row r="47" spans="1:5" s="127" customFormat="1" ht="18" customHeight="1">
      <c r="A47" s="127" t="s">
        <v>216</v>
      </c>
    </row>
    <row r="48" spans="1:5" s="127" customFormat="1" ht="18" customHeight="1">
      <c r="A48" s="127" t="s">
        <v>217</v>
      </c>
    </row>
    <row r="49" spans="1:1" s="127" customFormat="1" ht="18" customHeight="1">
      <c r="A49" s="127" t="s">
        <v>218</v>
      </c>
    </row>
    <row r="50" spans="1:1" s="127" customFormat="1" ht="18" customHeight="1">
      <c r="A50" s="127" t="s">
        <v>219</v>
      </c>
    </row>
    <row r="51" spans="1:1" s="127" customFormat="1" ht="18" customHeight="1">
      <c r="A51" s="127" t="s">
        <v>220</v>
      </c>
    </row>
    <row r="52" spans="1:1" s="127" customFormat="1" ht="18" customHeight="1">
      <c r="A52" s="127" t="s">
        <v>221</v>
      </c>
    </row>
    <row r="53" spans="1:1" s="127" customFormat="1" ht="18" customHeight="1">
      <c r="A53" s="127" t="s">
        <v>222</v>
      </c>
    </row>
    <row r="54" spans="1:1" s="127" customFormat="1" ht="18" customHeight="1"/>
  </sheetData>
  <mergeCells count="27">
    <mergeCell ref="T8:T10"/>
    <mergeCell ref="A1:U1"/>
    <mergeCell ref="A2:U2"/>
    <mergeCell ref="U8:U10"/>
    <mergeCell ref="G9:G10"/>
    <mergeCell ref="H9:I9"/>
    <mergeCell ref="F9:F10"/>
    <mergeCell ref="J9:J10"/>
    <mergeCell ref="F8:J8"/>
    <mergeCell ref="A8:A10"/>
    <mergeCell ref="L8:N8"/>
    <mergeCell ref="O8:S8"/>
    <mergeCell ref="K9:K10"/>
    <mergeCell ref="P9:P10"/>
    <mergeCell ref="Q9:R9"/>
    <mergeCell ref="S9:S10"/>
    <mergeCell ref="L9:L10"/>
    <mergeCell ref="M9:N9"/>
    <mergeCell ref="O9:O10"/>
    <mergeCell ref="B8:B10"/>
    <mergeCell ref="A25:B25"/>
    <mergeCell ref="E8:E10"/>
    <mergeCell ref="A26:B26"/>
    <mergeCell ref="A27:B27"/>
    <mergeCell ref="A28:B28"/>
    <mergeCell ref="C8:C10"/>
    <mergeCell ref="D8:D10"/>
  </mergeCells>
  <phoneticPr fontId="4" type="noConversion"/>
  <hyperlinks>
    <hyperlink ref="U3" location="底稿目录!D8" display="I4-2"/>
  </hyperlinks>
  <printOptions horizontalCentered="1"/>
  <pageMargins left="0.59055118110236227" right="0.59055118110236227" top="0.78740157480314965" bottom="0.39370078740157483" header="0.51181102362204722" footer="0.31496062992125984"/>
  <pageSetup paperSize="9" scale="62" fitToHeight="5"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B11:B22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view="pageBreakPreview" zoomScaleNormal="100" zoomScaleSheetLayoutView="100" workbookViewId="0">
      <selection activeCell="J3" sqref="J3"/>
    </sheetView>
  </sheetViews>
  <sheetFormatPr defaultColWidth="8.88671875" defaultRowHeight="19.95" customHeight="1"/>
  <cols>
    <col min="1" max="1" width="23" style="71" customWidth="1"/>
    <col min="2" max="2" width="23.5546875" style="71" customWidth="1"/>
    <col min="3" max="3" width="8.88671875" style="71" bestFit="1" customWidth="1"/>
    <col min="4" max="16384" width="8.88671875" style="71"/>
  </cols>
  <sheetData>
    <row r="1" spans="1:10" ht="19.95" customHeight="1">
      <c r="A1" s="240" t="s">
        <v>79</v>
      </c>
      <c r="B1" s="240"/>
      <c r="C1" s="240"/>
      <c r="D1" s="240"/>
      <c r="E1" s="240"/>
      <c r="F1" s="240"/>
      <c r="G1" s="240"/>
      <c r="H1" s="240"/>
      <c r="I1" s="240"/>
      <c r="J1" s="240"/>
    </row>
    <row r="2" spans="1:10" ht="19.95" customHeight="1">
      <c r="A2" s="194" t="s">
        <v>142</v>
      </c>
      <c r="B2" s="194"/>
      <c r="C2" s="194"/>
      <c r="D2" s="194"/>
      <c r="E2" s="194"/>
      <c r="F2" s="194"/>
      <c r="G2" s="194"/>
      <c r="H2" s="194"/>
      <c r="I2" s="194"/>
      <c r="J2" s="194"/>
    </row>
    <row r="3" spans="1:10" ht="19.95" customHeight="1">
      <c r="A3" s="72" t="str">
        <f>底稿目录!A2</f>
        <v>被审计单位：</v>
      </c>
      <c r="B3" s="72"/>
      <c r="C3" s="72"/>
      <c r="D3" s="72" t="str">
        <f>底稿目录!A4</f>
        <v>编制人：</v>
      </c>
      <c r="E3" s="72"/>
      <c r="F3" s="73" t="str">
        <f>底稿目录!A5</f>
        <v>编制日期：</v>
      </c>
      <c r="H3" s="74"/>
      <c r="I3" s="73" t="s">
        <v>8</v>
      </c>
      <c r="J3" s="255" t="s">
        <v>341</v>
      </c>
    </row>
    <row r="4" spans="1:10" ht="19.95" customHeight="1">
      <c r="A4" s="72" t="str">
        <f>底稿目录!A3</f>
        <v>截止日：202X年12月31日</v>
      </c>
      <c r="B4" s="72"/>
      <c r="C4" s="72"/>
      <c r="D4" s="75" t="str">
        <f>底稿目录!A6</f>
        <v>复核人：</v>
      </c>
      <c r="E4" s="72"/>
      <c r="F4" s="73" t="str">
        <f>底稿目录!A7</f>
        <v>复核日期：</v>
      </c>
      <c r="H4" s="74"/>
      <c r="I4" s="73" t="s">
        <v>77</v>
      </c>
      <c r="J4" s="76"/>
    </row>
    <row r="5" spans="1:10" ht="24">
      <c r="A5" s="77" t="s">
        <v>135</v>
      </c>
      <c r="B5" s="130" t="s">
        <v>136</v>
      </c>
      <c r="C5" s="77" t="s">
        <v>224</v>
      </c>
      <c r="D5" s="78" t="s">
        <v>137</v>
      </c>
      <c r="E5" s="78" t="s">
        <v>138</v>
      </c>
      <c r="F5" s="79" t="s">
        <v>130</v>
      </c>
      <c r="G5" s="78" t="s">
        <v>139</v>
      </c>
      <c r="H5" s="78" t="s">
        <v>140</v>
      </c>
      <c r="I5" s="78" t="s">
        <v>141</v>
      </c>
      <c r="J5" s="78" t="s">
        <v>113</v>
      </c>
    </row>
    <row r="6" spans="1:10" ht="19.95" customHeight="1">
      <c r="A6" s="80"/>
      <c r="B6" s="80"/>
      <c r="C6" s="80"/>
      <c r="D6" s="80"/>
      <c r="E6" s="80"/>
      <c r="F6" s="80"/>
      <c r="G6" s="80"/>
      <c r="H6" s="80"/>
      <c r="I6" s="80"/>
      <c r="J6" s="80"/>
    </row>
    <row r="7" spans="1:10" ht="19.95" customHeight="1">
      <c r="A7" s="81"/>
      <c r="B7" s="80"/>
      <c r="C7" s="80"/>
      <c r="D7" s="80"/>
      <c r="E7" s="80"/>
      <c r="F7" s="80"/>
      <c r="G7" s="80"/>
      <c r="H7" s="80"/>
      <c r="I7" s="80"/>
      <c r="J7" s="80"/>
    </row>
    <row r="8" spans="1:10" ht="19.95" customHeight="1">
      <c r="A8" s="82"/>
      <c r="B8" s="80"/>
      <c r="C8" s="80"/>
      <c r="D8" s="80"/>
      <c r="E8" s="80"/>
      <c r="F8" s="80"/>
      <c r="G8" s="80"/>
      <c r="H8" s="80"/>
      <c r="I8" s="80"/>
      <c r="J8" s="80"/>
    </row>
    <row r="9" spans="1:10" ht="19.95" customHeight="1">
      <c r="A9" s="82"/>
      <c r="B9" s="80"/>
      <c r="C9" s="80"/>
      <c r="D9" s="80"/>
      <c r="E9" s="80"/>
      <c r="F9" s="80"/>
      <c r="G9" s="80"/>
      <c r="H9" s="80"/>
      <c r="I9" s="80"/>
      <c r="J9" s="80"/>
    </row>
    <row r="10" spans="1:10" ht="19.95" customHeight="1">
      <c r="A10" s="82"/>
      <c r="B10" s="80"/>
      <c r="C10" s="80"/>
      <c r="D10" s="80"/>
      <c r="E10" s="80"/>
      <c r="F10" s="80"/>
      <c r="G10" s="80"/>
      <c r="H10" s="80"/>
      <c r="I10" s="80"/>
      <c r="J10" s="80"/>
    </row>
    <row r="11" spans="1:10" ht="19.95" customHeight="1">
      <c r="A11" s="83"/>
      <c r="B11" s="80"/>
      <c r="C11" s="80"/>
      <c r="D11" s="80"/>
      <c r="E11" s="80"/>
      <c r="F11" s="80"/>
      <c r="G11" s="80"/>
      <c r="H11" s="80"/>
      <c r="I11" s="80"/>
      <c r="J11" s="80"/>
    </row>
    <row r="12" spans="1:10" ht="19.95" customHeight="1">
      <c r="A12" s="82"/>
      <c r="B12" s="80"/>
      <c r="C12" s="80"/>
      <c r="D12" s="80"/>
      <c r="E12" s="80"/>
      <c r="F12" s="80"/>
      <c r="G12" s="80"/>
      <c r="H12" s="80"/>
      <c r="I12" s="80"/>
      <c r="J12" s="80"/>
    </row>
    <row r="13" spans="1:10" ht="19.95" customHeight="1">
      <c r="A13" s="82"/>
      <c r="B13" s="80"/>
      <c r="C13" s="80"/>
      <c r="D13" s="80"/>
      <c r="E13" s="80"/>
      <c r="F13" s="80"/>
      <c r="G13" s="80"/>
      <c r="H13" s="80"/>
      <c r="I13" s="80"/>
      <c r="J13" s="80"/>
    </row>
    <row r="14" spans="1:10" ht="19.95" customHeight="1">
      <c r="A14" s="82"/>
      <c r="B14" s="80"/>
      <c r="C14" s="80"/>
      <c r="D14" s="80"/>
      <c r="E14" s="80"/>
      <c r="F14" s="80"/>
      <c r="G14" s="80"/>
      <c r="H14" s="80"/>
      <c r="I14" s="80"/>
      <c r="J14" s="80"/>
    </row>
    <row r="15" spans="1:10" ht="19.95" customHeight="1">
      <c r="A15" s="82"/>
      <c r="B15" s="80"/>
      <c r="C15" s="80"/>
      <c r="D15" s="80"/>
      <c r="E15" s="80"/>
      <c r="F15" s="80"/>
      <c r="G15" s="80"/>
      <c r="H15" s="80"/>
      <c r="I15" s="80"/>
      <c r="J15" s="80"/>
    </row>
    <row r="16" spans="1:10" ht="19.95" customHeight="1">
      <c r="A16" s="82"/>
      <c r="B16" s="80"/>
      <c r="C16" s="80"/>
      <c r="D16" s="80"/>
      <c r="E16" s="80"/>
      <c r="F16" s="80"/>
      <c r="G16" s="80"/>
      <c r="H16" s="80"/>
      <c r="I16" s="80"/>
      <c r="J16" s="80"/>
    </row>
    <row r="17" spans="1:10" ht="19.95" customHeight="1">
      <c r="A17" s="82"/>
      <c r="B17" s="80"/>
      <c r="C17" s="80"/>
      <c r="D17" s="80"/>
      <c r="E17" s="80"/>
      <c r="F17" s="80"/>
      <c r="G17" s="80"/>
      <c r="H17" s="80"/>
      <c r="I17" s="80"/>
      <c r="J17" s="80"/>
    </row>
    <row r="18" spans="1:10" ht="19.95" customHeight="1">
      <c r="A18" s="82"/>
      <c r="B18" s="80"/>
      <c r="C18" s="80"/>
      <c r="D18" s="80"/>
      <c r="E18" s="80"/>
      <c r="F18" s="80"/>
      <c r="G18" s="80"/>
      <c r="H18" s="80"/>
      <c r="I18" s="80"/>
      <c r="J18" s="80"/>
    </row>
    <row r="19" spans="1:10" ht="19.95" customHeight="1">
      <c r="A19" s="82"/>
      <c r="B19" s="80"/>
      <c r="C19" s="80"/>
      <c r="D19" s="80"/>
      <c r="E19" s="80"/>
      <c r="F19" s="80"/>
      <c r="G19" s="80"/>
      <c r="H19" s="80"/>
      <c r="I19" s="80"/>
      <c r="J19" s="80"/>
    </row>
    <row r="20" spans="1:10" ht="19.95" customHeight="1">
      <c r="A20" s="82"/>
      <c r="B20" s="80"/>
      <c r="C20" s="80"/>
      <c r="D20" s="80"/>
      <c r="E20" s="80"/>
      <c r="F20" s="80"/>
      <c r="G20" s="80"/>
      <c r="H20" s="80"/>
      <c r="I20" s="80"/>
      <c r="J20" s="80"/>
    </row>
    <row r="22" spans="1:10" ht="15.6">
      <c r="A22" s="195" t="s">
        <v>225</v>
      </c>
      <c r="B22" s="196"/>
      <c r="C22" s="196"/>
      <c r="D22" s="196"/>
      <c r="E22" s="196"/>
      <c r="F22" s="196"/>
      <c r="G22" s="196"/>
      <c r="H22" s="196"/>
      <c r="I22" s="196"/>
      <c r="J22" s="196"/>
    </row>
  </sheetData>
  <mergeCells count="3">
    <mergeCell ref="A1:J1"/>
    <mergeCell ref="A2:J2"/>
    <mergeCell ref="A22:J22"/>
  </mergeCells>
  <phoneticPr fontId="19" type="noConversion"/>
  <dataValidations count="1">
    <dataValidation type="list" allowBlank="1" showInputMessage="1" showErrorMessage="1" sqref="B6:C20">
      <formula1>"账项调整,报表调整,其他"</formula1>
    </dataValidation>
  </dataValidations>
  <hyperlinks>
    <hyperlink ref="J3" location="底稿目录!D8" display="I4-3"/>
  </hyperlinks>
  <pageMargins left="0.70866141732283472" right="0.70866141732283472" top="0.74803149606299213" bottom="0.74803149606299213" header="0.31496062992125984" footer="0.31496062992125984"/>
  <pageSetup paperSize="9" scale="75"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
  <sheetViews>
    <sheetView view="pageBreakPreview" zoomScaleSheetLayoutView="100" workbookViewId="0">
      <selection activeCell="J3" sqref="J3"/>
    </sheetView>
  </sheetViews>
  <sheetFormatPr defaultColWidth="9" defaultRowHeight="13.8"/>
  <cols>
    <col min="1" max="1" width="7.88671875" style="45" customWidth="1"/>
    <col min="2" max="2" width="13.21875" style="1" customWidth="1"/>
    <col min="3" max="3" width="11.33203125" style="1" customWidth="1"/>
    <col min="4" max="4" width="13.109375" style="1" customWidth="1"/>
    <col min="5" max="6" width="15.6640625" style="1" customWidth="1"/>
    <col min="7" max="10" width="14.6640625" style="1" customWidth="1"/>
    <col min="11" max="16384" width="9" style="1"/>
  </cols>
  <sheetData>
    <row r="1" spans="1:20" s="7" customFormat="1" ht="20.100000000000001" customHeight="1">
      <c r="A1" s="169" t="s">
        <v>312</v>
      </c>
      <c r="B1" s="169"/>
      <c r="C1" s="169"/>
      <c r="D1" s="169"/>
      <c r="E1" s="169"/>
      <c r="F1" s="169"/>
      <c r="G1" s="169"/>
      <c r="H1" s="169"/>
      <c r="I1" s="169"/>
      <c r="J1" s="169"/>
    </row>
    <row r="2" spans="1:20" s="48" customFormat="1" ht="24.9" customHeight="1">
      <c r="A2" s="185" t="s">
        <v>313</v>
      </c>
      <c r="B2" s="185"/>
      <c r="C2" s="185"/>
      <c r="D2" s="185"/>
      <c r="E2" s="185"/>
      <c r="F2" s="185"/>
      <c r="G2" s="185"/>
      <c r="H2" s="185"/>
      <c r="I2" s="185"/>
      <c r="J2" s="185"/>
    </row>
    <row r="3" spans="1:20" ht="20.100000000000001" customHeight="1">
      <c r="A3" s="1" t="str">
        <f>底稿目录!A2</f>
        <v>被审计单位：</v>
      </c>
      <c r="D3" s="1" t="str">
        <f>底稿目录!A4</f>
        <v>编制人：</v>
      </c>
      <c r="G3" s="46" t="str">
        <f>底稿目录!A5</f>
        <v>编制日期：</v>
      </c>
      <c r="H3" s="46"/>
      <c r="I3" s="139" t="s">
        <v>270</v>
      </c>
      <c r="J3" s="255" t="s">
        <v>340</v>
      </c>
      <c r="S3" s="17"/>
      <c r="T3" s="16"/>
    </row>
    <row r="4" spans="1:20" ht="20.100000000000001" customHeight="1">
      <c r="A4" s="1" t="str">
        <f>底稿目录!A3</f>
        <v>截止日：202X年12月31日</v>
      </c>
      <c r="D4" s="1" t="str">
        <f>底稿目录!A6</f>
        <v>复核人：</v>
      </c>
      <c r="G4" s="46" t="str">
        <f>底稿目录!A7</f>
        <v>复核日期：</v>
      </c>
      <c r="H4" s="46"/>
      <c r="I4" s="139" t="s">
        <v>271</v>
      </c>
      <c r="J4" s="140"/>
      <c r="S4" s="17"/>
      <c r="T4" s="16"/>
    </row>
    <row r="5" spans="1:20" s="33" customFormat="1" ht="20.100000000000001" customHeight="1">
      <c r="A5" s="49" t="s">
        <v>229</v>
      </c>
      <c r="B5" s="24"/>
      <c r="H5" s="50"/>
      <c r="K5" s="42"/>
      <c r="N5" s="43"/>
    </row>
    <row r="6" spans="1:20" s="33" customFormat="1" ht="20.100000000000001" customHeight="1">
      <c r="A6" s="41" t="s">
        <v>230</v>
      </c>
      <c r="H6" s="50"/>
      <c r="K6" s="42"/>
      <c r="N6" s="43"/>
    </row>
    <row r="7" spans="1:20" s="33" customFormat="1" ht="20.100000000000001" customHeight="1">
      <c r="A7" s="51" t="s">
        <v>226</v>
      </c>
      <c r="H7" s="26"/>
      <c r="K7" s="42"/>
      <c r="N7" s="43"/>
    </row>
    <row r="8" spans="1:20" s="33" customFormat="1" ht="20.100000000000001" customHeight="1">
      <c r="A8" s="52" t="s">
        <v>117</v>
      </c>
      <c r="B8" s="53"/>
      <c r="H8" s="26"/>
      <c r="K8" s="42"/>
      <c r="N8" s="43"/>
    </row>
    <row r="9" spans="1:20" s="33" customFormat="1" ht="20.100000000000001" customHeight="1">
      <c r="K9" s="42"/>
      <c r="N9" s="43"/>
    </row>
    <row r="10" spans="1:20" s="33" customFormat="1" ht="20.100000000000001" customHeight="1">
      <c r="K10" s="42"/>
      <c r="N10" s="43"/>
    </row>
    <row r="11" spans="1:20" s="33" customFormat="1" ht="20.100000000000001" customHeight="1">
      <c r="A11" s="53" t="s">
        <v>231</v>
      </c>
      <c r="K11" s="42"/>
      <c r="N11" s="43"/>
    </row>
    <row r="12" spans="1:20" s="33" customFormat="1" ht="20.100000000000001" customHeight="1">
      <c r="K12" s="42"/>
      <c r="N12" s="43"/>
    </row>
    <row r="13" spans="1:20" s="33" customFormat="1" ht="20.100000000000001" customHeight="1">
      <c r="K13" s="42"/>
      <c r="N13" s="43"/>
    </row>
    <row r="14" spans="1:20" s="33" customFormat="1" ht="20.100000000000001" customHeight="1">
      <c r="A14" s="53" t="s">
        <v>228</v>
      </c>
      <c r="K14" s="42"/>
      <c r="N14" s="43"/>
    </row>
    <row r="15" spans="1:20" s="33" customFormat="1" ht="20.100000000000001" customHeight="1">
      <c r="K15" s="42"/>
      <c r="N15" s="43"/>
    </row>
    <row r="16" spans="1:20" s="33" customFormat="1" ht="20.100000000000001" customHeight="1">
      <c r="K16" s="42"/>
      <c r="N16" s="43"/>
    </row>
    <row r="17" spans="1:1" s="7" customFormat="1" ht="20.100000000000001" customHeight="1">
      <c r="A17" s="131" t="s">
        <v>232</v>
      </c>
    </row>
    <row r="18" spans="1:1" ht="20.100000000000001" customHeight="1">
      <c r="A18" s="44"/>
    </row>
    <row r="19" spans="1:1" ht="20.100000000000001" customHeight="1">
      <c r="A19" s="131" t="s">
        <v>227</v>
      </c>
    </row>
    <row r="20" spans="1:1" ht="20.100000000000001" customHeight="1"/>
  </sheetData>
  <mergeCells count="2">
    <mergeCell ref="A1:J1"/>
    <mergeCell ref="A2:J2"/>
  </mergeCells>
  <phoneticPr fontId="4" type="noConversion"/>
  <hyperlinks>
    <hyperlink ref="J3" location="底稿目录!D10" display="I4-4"/>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X33"/>
  <sheetViews>
    <sheetView view="pageBreakPreview" zoomScaleSheetLayoutView="100" workbookViewId="0">
      <selection activeCell="Q3" sqref="Q3"/>
    </sheetView>
  </sheetViews>
  <sheetFormatPr defaultColWidth="9" defaultRowHeight="18" customHeight="1"/>
  <cols>
    <col min="1" max="1" width="12.6640625" style="1" customWidth="1"/>
    <col min="2" max="2" width="11.21875" style="1" customWidth="1"/>
    <col min="3" max="3" width="9" style="1"/>
    <col min="4" max="4" width="15.21875" style="1" customWidth="1"/>
    <col min="5" max="5" width="9" style="1"/>
    <col min="6" max="6" width="12.5546875" style="1" customWidth="1"/>
    <col min="7" max="7" width="11.44140625" style="1" customWidth="1"/>
    <col min="8" max="8" width="13.44140625" style="1" customWidth="1"/>
    <col min="9" max="9" width="24" style="1" customWidth="1"/>
    <col min="10" max="14" width="3.6640625" style="1" customWidth="1"/>
    <col min="15" max="15" width="10.6640625" style="1" customWidth="1"/>
    <col min="16" max="16" width="7.109375" style="1" customWidth="1"/>
    <col min="17" max="17" width="12.88671875" style="1" customWidth="1"/>
    <col min="18" max="23" width="9" style="1"/>
    <col min="24" max="24" width="22" style="1" customWidth="1"/>
    <col min="25" max="16384" width="9" style="1"/>
  </cols>
  <sheetData>
    <row r="1" spans="1:24" s="21" customFormat="1" ht="20.100000000000001" customHeight="1">
      <c r="A1" s="184" t="s">
        <v>79</v>
      </c>
      <c r="B1" s="184"/>
      <c r="C1" s="184"/>
      <c r="D1" s="184"/>
      <c r="E1" s="184"/>
      <c r="F1" s="184"/>
      <c r="G1" s="184"/>
      <c r="H1" s="184"/>
      <c r="I1" s="184"/>
      <c r="J1" s="184"/>
      <c r="K1" s="184"/>
      <c r="L1" s="184"/>
      <c r="M1" s="184"/>
      <c r="N1" s="184"/>
      <c r="O1" s="184"/>
      <c r="P1" s="184"/>
      <c r="Q1" s="184"/>
      <c r="R1" s="165"/>
      <c r="S1" s="165"/>
      <c r="T1" s="165"/>
      <c r="U1" s="165"/>
      <c r="V1" s="165"/>
      <c r="W1" s="165"/>
      <c r="X1" s="165"/>
    </row>
    <row r="2" spans="1:24" s="21" customFormat="1" ht="24.9" customHeight="1">
      <c r="A2" s="187" t="s">
        <v>82</v>
      </c>
      <c r="B2" s="187"/>
      <c r="C2" s="187"/>
      <c r="D2" s="187"/>
      <c r="E2" s="187"/>
      <c r="F2" s="187"/>
      <c r="G2" s="187"/>
      <c r="H2" s="187"/>
      <c r="I2" s="187"/>
      <c r="J2" s="187"/>
      <c r="K2" s="187"/>
      <c r="L2" s="187"/>
      <c r="M2" s="187"/>
      <c r="N2" s="187"/>
      <c r="O2" s="187"/>
      <c r="P2" s="187"/>
      <c r="Q2" s="187"/>
      <c r="R2" s="166"/>
      <c r="S2" s="166"/>
      <c r="T2" s="166"/>
      <c r="U2" s="166"/>
      <c r="V2" s="166"/>
      <c r="W2" s="166"/>
      <c r="X2" s="167"/>
    </row>
    <row r="3" spans="1:24" ht="20.100000000000001" customHeight="1">
      <c r="A3" s="1" t="str">
        <f>底稿目录!A2</f>
        <v>被审计单位：</v>
      </c>
      <c r="F3" s="1" t="str">
        <f>底稿目录!A4</f>
        <v>编制人：</v>
      </c>
      <c r="I3" s="46" t="str">
        <f>底稿目录!A5</f>
        <v>编制日期：</v>
      </c>
      <c r="P3" s="133" t="s">
        <v>233</v>
      </c>
      <c r="Q3" s="255" t="s">
        <v>339</v>
      </c>
    </row>
    <row r="4" spans="1:24" ht="20.100000000000001" customHeight="1">
      <c r="A4" s="1" t="str">
        <f>底稿目录!A3</f>
        <v>截止日：202X年12月31日</v>
      </c>
      <c r="F4" s="1" t="str">
        <f>底稿目录!A6</f>
        <v>复核人：</v>
      </c>
      <c r="I4" s="46" t="str">
        <f>底稿目录!A7</f>
        <v>复核日期：</v>
      </c>
      <c r="P4" s="40" t="s">
        <v>86</v>
      </c>
    </row>
    <row r="5" spans="1:24" s="7" customFormat="1" ht="20.100000000000001" customHeight="1">
      <c r="A5" s="7" t="s">
        <v>17</v>
      </c>
    </row>
    <row r="6" spans="1:24" ht="20.100000000000001" customHeight="1">
      <c r="A6" s="132" t="s">
        <v>60</v>
      </c>
    </row>
    <row r="7" spans="1:24" s="7" customFormat="1" ht="20.100000000000001" customHeight="1">
      <c r="A7" s="7" t="s">
        <v>16</v>
      </c>
    </row>
    <row r="8" spans="1:24" s="7" customFormat="1" ht="20.100000000000001" customHeight="1">
      <c r="A8" s="134" t="s">
        <v>234</v>
      </c>
      <c r="B8" s="135" t="s">
        <v>235</v>
      </c>
      <c r="C8" s="103"/>
      <c r="D8" s="103"/>
      <c r="E8" s="103"/>
      <c r="G8" s="134" t="s">
        <v>236</v>
      </c>
      <c r="H8" s="135" t="s">
        <v>237</v>
      </c>
      <c r="I8" s="103"/>
      <c r="J8" s="103"/>
      <c r="K8" s="103"/>
      <c r="L8" s="103"/>
      <c r="M8" s="103"/>
      <c r="N8" s="103"/>
      <c r="O8" s="103"/>
      <c r="P8" s="103"/>
      <c r="Q8" s="103"/>
      <c r="R8" s="103"/>
      <c r="S8" s="103"/>
      <c r="T8" s="103"/>
      <c r="U8" s="103"/>
      <c r="V8" s="103"/>
    </row>
    <row r="9" spans="1:24" s="7" customFormat="1" ht="20.100000000000001" customHeight="1">
      <c r="A9" s="134" t="s">
        <v>238</v>
      </c>
      <c r="B9" s="135" t="s">
        <v>239</v>
      </c>
      <c r="C9" s="103"/>
      <c r="D9" s="103"/>
      <c r="E9" s="103"/>
      <c r="G9" s="134" t="s">
        <v>240</v>
      </c>
      <c r="H9" s="135"/>
      <c r="I9" s="135" t="s">
        <v>335</v>
      </c>
      <c r="J9" s="135"/>
      <c r="K9" s="103"/>
      <c r="L9" s="103"/>
      <c r="M9" s="103"/>
      <c r="N9" s="103"/>
      <c r="O9" s="103"/>
      <c r="P9" s="103"/>
      <c r="Q9" s="103"/>
      <c r="R9" s="103"/>
      <c r="S9" s="103"/>
      <c r="T9" s="103"/>
      <c r="U9" s="103"/>
      <c r="V9" s="103"/>
    </row>
    <row r="10" spans="1:24" s="7" customFormat="1" ht="20.100000000000001" customHeight="1">
      <c r="A10" s="134" t="s">
        <v>241</v>
      </c>
      <c r="B10" s="241" t="s">
        <v>331</v>
      </c>
      <c r="C10" s="103"/>
      <c r="D10" s="103"/>
      <c r="E10" s="103"/>
      <c r="G10" s="134" t="s">
        <v>242</v>
      </c>
      <c r="H10" s="135" t="s">
        <v>243</v>
      </c>
      <c r="I10" s="103"/>
      <c r="J10" s="103"/>
      <c r="K10" s="103"/>
      <c r="L10" s="103"/>
      <c r="M10" s="103"/>
      <c r="N10" s="103"/>
      <c r="O10" s="103"/>
      <c r="P10" s="103"/>
      <c r="Q10" s="103"/>
      <c r="R10" s="103"/>
      <c r="S10" s="103"/>
      <c r="T10" s="103"/>
      <c r="U10" s="103"/>
      <c r="V10" s="103"/>
    </row>
    <row r="11" spans="1:24" s="7" customFormat="1" ht="20.100000000000001" customHeight="1">
      <c r="A11" s="7" t="s">
        <v>15</v>
      </c>
    </row>
    <row r="12" spans="1:24" s="7" customFormat="1" ht="20.100000000000001" customHeight="1">
      <c r="A12" s="164" t="s">
        <v>308</v>
      </c>
    </row>
    <row r="13" spans="1:24" ht="20.100000000000001" customHeight="1">
      <c r="A13" s="247" t="s">
        <v>295</v>
      </c>
      <c r="B13" s="247"/>
      <c r="C13" s="247"/>
      <c r="D13" s="247"/>
      <c r="E13" s="247"/>
      <c r="F13" s="247"/>
      <c r="G13" s="247"/>
      <c r="H13" s="247"/>
      <c r="I13" s="248" t="s">
        <v>296</v>
      </c>
      <c r="J13" s="249" t="s">
        <v>297</v>
      </c>
      <c r="K13" s="249"/>
      <c r="L13" s="249"/>
      <c r="M13" s="249"/>
      <c r="N13" s="249"/>
      <c r="O13" s="250" t="s">
        <v>298</v>
      </c>
      <c r="P13" s="250" t="s">
        <v>299</v>
      </c>
      <c r="Q13" s="247" t="s">
        <v>300</v>
      </c>
      <c r="R13" s="246"/>
      <c r="S13" s="246"/>
      <c r="T13" s="246"/>
      <c r="U13" s="246"/>
      <c r="V13" s="246"/>
      <c r="W13" s="246"/>
      <c r="X13" s="246"/>
    </row>
    <row r="14" spans="1:24" ht="20.100000000000001" customHeight="1">
      <c r="A14" s="162" t="s">
        <v>309</v>
      </c>
      <c r="B14" s="160" t="s">
        <v>301</v>
      </c>
      <c r="C14" s="160" t="s">
        <v>302</v>
      </c>
      <c r="D14" s="160" t="s">
        <v>303</v>
      </c>
      <c r="E14" s="160" t="s">
        <v>304</v>
      </c>
      <c r="F14" s="160" t="s">
        <v>305</v>
      </c>
      <c r="G14" s="161" t="s">
        <v>306</v>
      </c>
      <c r="H14" s="161" t="s">
        <v>307</v>
      </c>
      <c r="I14" s="251"/>
      <c r="J14" s="163">
        <v>1</v>
      </c>
      <c r="K14" s="163">
        <v>2</v>
      </c>
      <c r="L14" s="163">
        <v>3</v>
      </c>
      <c r="M14" s="163">
        <v>4</v>
      </c>
      <c r="N14" s="163">
        <v>5</v>
      </c>
      <c r="O14" s="251"/>
      <c r="P14" s="251"/>
      <c r="Q14" s="251"/>
      <c r="R14" s="246"/>
      <c r="S14" s="246"/>
      <c r="T14" s="246"/>
      <c r="U14" s="246"/>
      <c r="V14" s="246"/>
      <c r="W14" s="246"/>
      <c r="X14" s="246"/>
    </row>
    <row r="15" spans="1:24" ht="20.100000000000001" customHeight="1">
      <c r="A15" s="216"/>
      <c r="B15" s="216"/>
      <c r="C15" s="216"/>
      <c r="D15" s="216"/>
      <c r="E15" s="216"/>
      <c r="F15" s="216"/>
      <c r="G15" s="242"/>
      <c r="H15" s="242"/>
      <c r="I15" s="216"/>
      <c r="J15" s="216"/>
      <c r="K15" s="216"/>
      <c r="L15" s="216"/>
      <c r="M15" s="216"/>
      <c r="N15" s="216"/>
      <c r="O15" s="216"/>
      <c r="P15" s="216"/>
      <c r="Q15" s="216"/>
      <c r="R15" s="246"/>
      <c r="S15" s="246"/>
      <c r="T15" s="246"/>
      <c r="U15" s="246"/>
      <c r="V15" s="246"/>
      <c r="W15" s="246"/>
      <c r="X15" s="246"/>
    </row>
    <row r="16" spans="1:24" ht="20.100000000000001" customHeight="1">
      <c r="A16" s="216"/>
      <c r="B16" s="216"/>
      <c r="C16" s="216"/>
      <c r="D16" s="216"/>
      <c r="E16" s="216"/>
      <c r="F16" s="216"/>
      <c r="G16" s="242"/>
      <c r="H16" s="242"/>
      <c r="I16" s="216"/>
      <c r="J16" s="216"/>
      <c r="K16" s="216"/>
      <c r="L16" s="216"/>
      <c r="M16" s="216"/>
      <c r="N16" s="216"/>
      <c r="O16" s="216"/>
      <c r="P16" s="216"/>
      <c r="Q16" s="216"/>
      <c r="R16" s="246"/>
      <c r="S16" s="246"/>
      <c r="T16" s="246"/>
      <c r="U16" s="246"/>
      <c r="V16" s="246"/>
      <c r="W16" s="246"/>
      <c r="X16" s="246"/>
    </row>
    <row r="17" spans="1:24" ht="20.100000000000001" customHeight="1">
      <c r="A17" s="216"/>
      <c r="B17" s="216"/>
      <c r="C17" s="216"/>
      <c r="D17" s="216"/>
      <c r="E17" s="216"/>
      <c r="F17" s="216"/>
      <c r="G17" s="242"/>
      <c r="H17" s="242"/>
      <c r="I17" s="216"/>
      <c r="J17" s="216"/>
      <c r="K17" s="216"/>
      <c r="L17" s="216"/>
      <c r="M17" s="216"/>
      <c r="N17" s="216"/>
      <c r="O17" s="216"/>
      <c r="P17" s="216"/>
      <c r="Q17" s="216"/>
      <c r="R17" s="246"/>
      <c r="S17" s="246"/>
      <c r="T17" s="246"/>
      <c r="U17" s="246"/>
      <c r="V17" s="246"/>
      <c r="W17" s="246"/>
      <c r="X17" s="246"/>
    </row>
    <row r="18" spans="1:24" ht="20.100000000000001" customHeight="1">
      <c r="A18" s="216"/>
      <c r="B18" s="216"/>
      <c r="C18" s="216"/>
      <c r="D18" s="216"/>
      <c r="E18" s="216"/>
      <c r="F18" s="216"/>
      <c r="G18" s="242"/>
      <c r="H18" s="242"/>
      <c r="I18" s="216"/>
      <c r="J18" s="216"/>
      <c r="K18" s="216"/>
      <c r="L18" s="216"/>
      <c r="M18" s="216"/>
      <c r="N18" s="216"/>
      <c r="O18" s="216"/>
      <c r="P18" s="216"/>
      <c r="Q18" s="216"/>
      <c r="R18" s="246"/>
      <c r="S18" s="246"/>
      <c r="T18" s="246"/>
      <c r="U18" s="246"/>
      <c r="V18" s="246"/>
      <c r="W18" s="246"/>
      <c r="X18" s="246"/>
    </row>
    <row r="19" spans="1:24" ht="20.100000000000001" customHeight="1">
      <c r="A19" s="216"/>
      <c r="B19" s="216"/>
      <c r="C19" s="216"/>
      <c r="D19" s="216"/>
      <c r="E19" s="216"/>
      <c r="F19" s="216"/>
      <c r="G19" s="242"/>
      <c r="H19" s="242"/>
      <c r="I19" s="216"/>
      <c r="J19" s="216"/>
      <c r="K19" s="216"/>
      <c r="L19" s="216"/>
      <c r="M19" s="216"/>
      <c r="N19" s="216"/>
      <c r="O19" s="216"/>
      <c r="P19" s="216"/>
      <c r="Q19" s="216"/>
      <c r="R19" s="246"/>
      <c r="S19" s="246"/>
      <c r="T19" s="246"/>
      <c r="U19" s="246"/>
      <c r="V19" s="246"/>
      <c r="W19" s="246"/>
      <c r="X19" s="246"/>
    </row>
    <row r="20" spans="1:24" ht="20.100000000000001" customHeight="1">
      <c r="A20" s="216"/>
      <c r="B20" s="216"/>
      <c r="C20" s="216"/>
      <c r="D20" s="216"/>
      <c r="E20" s="216"/>
      <c r="F20" s="216"/>
      <c r="G20" s="242"/>
      <c r="H20" s="242"/>
      <c r="I20" s="216"/>
      <c r="J20" s="216"/>
      <c r="K20" s="216"/>
      <c r="L20" s="216"/>
      <c r="M20" s="216"/>
      <c r="N20" s="216"/>
      <c r="O20" s="216"/>
      <c r="P20" s="216"/>
      <c r="Q20" s="216"/>
      <c r="R20" s="246"/>
      <c r="S20" s="246"/>
      <c r="T20" s="246"/>
      <c r="U20" s="246"/>
      <c r="V20" s="246"/>
      <c r="W20" s="246"/>
      <c r="X20" s="246"/>
    </row>
    <row r="21" spans="1:24" ht="20.100000000000001" customHeight="1">
      <c r="A21" s="216"/>
      <c r="B21" s="216"/>
      <c r="C21" s="216"/>
      <c r="D21" s="216"/>
      <c r="E21" s="216"/>
      <c r="F21" s="216"/>
      <c r="G21" s="242"/>
      <c r="H21" s="242"/>
      <c r="I21" s="216"/>
      <c r="J21" s="216"/>
      <c r="K21" s="216"/>
      <c r="L21" s="216"/>
      <c r="M21" s="216"/>
      <c r="N21" s="216"/>
      <c r="O21" s="216"/>
      <c r="P21" s="216"/>
      <c r="Q21" s="216"/>
      <c r="R21" s="246"/>
      <c r="S21" s="246"/>
      <c r="T21" s="246"/>
      <c r="U21" s="246"/>
      <c r="V21" s="246"/>
      <c r="W21" s="246"/>
      <c r="X21" s="246"/>
    </row>
    <row r="22" spans="1:24" ht="20.100000000000001" customHeight="1">
      <c r="A22" s="216"/>
      <c r="B22" s="216"/>
      <c r="C22" s="216"/>
      <c r="D22" s="216"/>
      <c r="E22" s="216"/>
      <c r="F22" s="216"/>
      <c r="G22" s="242"/>
      <c r="H22" s="242"/>
      <c r="I22" s="216"/>
      <c r="J22" s="216"/>
      <c r="K22" s="216"/>
      <c r="L22" s="216"/>
      <c r="M22" s="216"/>
      <c r="N22" s="216"/>
      <c r="O22" s="216"/>
      <c r="P22" s="216"/>
      <c r="Q22" s="216"/>
      <c r="R22" s="246"/>
      <c r="S22" s="246"/>
      <c r="T22" s="246"/>
      <c r="U22" s="246"/>
      <c r="V22" s="246"/>
      <c r="W22" s="246"/>
      <c r="X22" s="246"/>
    </row>
    <row r="23" spans="1:24" ht="20.100000000000001" customHeight="1">
      <c r="A23" s="216"/>
      <c r="B23" s="216"/>
      <c r="C23" s="216"/>
      <c r="D23" s="216"/>
      <c r="E23" s="216"/>
      <c r="F23" s="216"/>
      <c r="G23" s="242"/>
      <c r="H23" s="242"/>
      <c r="I23" s="216"/>
      <c r="J23" s="216"/>
      <c r="K23" s="216"/>
      <c r="L23" s="216"/>
      <c r="M23" s="216"/>
      <c r="N23" s="216"/>
      <c r="O23" s="216"/>
      <c r="P23" s="216"/>
      <c r="Q23" s="216"/>
      <c r="R23" s="246"/>
      <c r="S23" s="246"/>
      <c r="T23" s="246"/>
      <c r="U23" s="246"/>
      <c r="V23" s="246"/>
      <c r="W23" s="246"/>
      <c r="X23" s="246"/>
    </row>
    <row r="24" spans="1:24" ht="20.100000000000001" customHeight="1">
      <c r="A24" s="216"/>
      <c r="B24" s="216"/>
      <c r="C24" s="216"/>
      <c r="D24" s="216"/>
      <c r="E24" s="216"/>
      <c r="F24" s="216"/>
      <c r="G24" s="242"/>
      <c r="H24" s="242"/>
      <c r="I24" s="216"/>
      <c r="J24" s="216"/>
      <c r="K24" s="216"/>
      <c r="L24" s="216"/>
      <c r="M24" s="216"/>
      <c r="N24" s="216"/>
      <c r="O24" s="216"/>
      <c r="P24" s="216"/>
      <c r="Q24" s="216"/>
      <c r="R24" s="246"/>
      <c r="S24" s="246"/>
      <c r="T24" s="246"/>
      <c r="U24" s="246"/>
      <c r="V24" s="246"/>
      <c r="W24" s="246"/>
      <c r="X24" s="246"/>
    </row>
    <row r="25" spans="1:24" ht="20.100000000000001" customHeight="1">
      <c r="A25" s="216"/>
      <c r="B25" s="216"/>
      <c r="C25" s="216"/>
      <c r="D25" s="216"/>
      <c r="E25" s="216"/>
      <c r="F25" s="216"/>
      <c r="G25" s="242"/>
      <c r="H25" s="242"/>
      <c r="I25" s="216"/>
      <c r="J25" s="216"/>
      <c r="K25" s="216"/>
      <c r="L25" s="216"/>
      <c r="M25" s="216"/>
      <c r="N25" s="216"/>
      <c r="O25" s="216"/>
      <c r="P25" s="216"/>
      <c r="Q25" s="216"/>
      <c r="R25" s="246"/>
      <c r="S25" s="246"/>
      <c r="T25" s="246"/>
      <c r="U25" s="246"/>
      <c r="V25" s="246"/>
      <c r="W25" s="246"/>
      <c r="X25" s="246"/>
    </row>
    <row r="26" spans="1:24" ht="20.100000000000001" customHeight="1">
      <c r="A26" s="243" t="s">
        <v>332</v>
      </c>
      <c r="B26" s="243"/>
      <c r="C26" s="243"/>
      <c r="D26" s="243"/>
      <c r="E26" s="220"/>
      <c r="F26" s="220"/>
      <c r="G26" s="244">
        <f>SUM(G15:G25)</f>
        <v>0</v>
      </c>
      <c r="H26" s="244">
        <f>SUM(H15:H25)</f>
        <v>0</v>
      </c>
      <c r="I26" s="220"/>
      <c r="J26" s="220"/>
      <c r="K26" s="220"/>
      <c r="L26" s="220"/>
      <c r="M26" s="220"/>
      <c r="N26" s="220"/>
      <c r="O26" s="220"/>
      <c r="P26" s="220"/>
      <c r="Q26" s="220"/>
      <c r="R26" s="246"/>
      <c r="S26" s="246"/>
      <c r="T26" s="246"/>
      <c r="U26" s="246"/>
      <c r="V26" s="246"/>
      <c r="W26" s="246"/>
      <c r="X26" s="246"/>
    </row>
    <row r="27" spans="1:24" ht="20.100000000000001" customHeight="1">
      <c r="A27" s="243" t="s">
        <v>333</v>
      </c>
      <c r="B27" s="243"/>
      <c r="C27" s="243"/>
      <c r="D27" s="243"/>
      <c r="E27" s="220"/>
      <c r="F27" s="220"/>
      <c r="G27" s="244">
        <f>'明细表I4-2'!P23</f>
        <v>0</v>
      </c>
      <c r="H27" s="244">
        <f>'明细表I4-2'!R23</f>
        <v>0</v>
      </c>
      <c r="I27" s="220"/>
      <c r="J27" s="220"/>
      <c r="K27" s="220"/>
      <c r="L27" s="220"/>
      <c r="M27" s="220"/>
      <c r="N27" s="220"/>
      <c r="O27" s="220"/>
      <c r="P27" s="220"/>
      <c r="Q27" s="220"/>
      <c r="R27" s="246"/>
      <c r="S27" s="246"/>
      <c r="T27" s="246"/>
      <c r="U27" s="246"/>
      <c r="V27" s="246"/>
      <c r="W27" s="246"/>
      <c r="X27" s="246"/>
    </row>
    <row r="28" spans="1:24" ht="20.100000000000001" customHeight="1">
      <c r="A28" s="243" t="s">
        <v>334</v>
      </c>
      <c r="B28" s="243"/>
      <c r="C28" s="243"/>
      <c r="D28" s="243"/>
      <c r="E28" s="220"/>
      <c r="F28" s="220"/>
      <c r="G28" s="245" t="e">
        <f>G26/G27</f>
        <v>#DIV/0!</v>
      </c>
      <c r="H28" s="245" t="e">
        <f>H26/H27</f>
        <v>#DIV/0!</v>
      </c>
      <c r="I28" s="220"/>
      <c r="J28" s="220"/>
      <c r="K28" s="220"/>
      <c r="L28" s="220"/>
      <c r="M28" s="220"/>
      <c r="N28" s="220"/>
      <c r="O28" s="220"/>
      <c r="P28" s="220"/>
      <c r="Q28" s="220"/>
      <c r="R28" s="246"/>
      <c r="S28" s="246"/>
      <c r="T28" s="246"/>
      <c r="U28" s="246"/>
      <c r="V28" s="246"/>
      <c r="W28" s="246"/>
      <c r="X28" s="246"/>
    </row>
    <row r="29" spans="1:24" s="7" customFormat="1" ht="20.100000000000001" customHeight="1">
      <c r="A29" s="7" t="s">
        <v>14</v>
      </c>
    </row>
    <row r="30" spans="1:24" ht="20.100000000000001" customHeight="1"/>
    <row r="31" spans="1:24" ht="20.100000000000001" customHeight="1"/>
    <row r="32" spans="1:24" ht="20.100000000000001" customHeight="1">
      <c r="A32" s="7" t="s">
        <v>13</v>
      </c>
    </row>
    <row r="33" ht="20.100000000000001" customHeight="1"/>
  </sheetData>
  <mergeCells count="11">
    <mergeCell ref="A26:D26"/>
    <mergeCell ref="A27:D27"/>
    <mergeCell ref="A28:D28"/>
    <mergeCell ref="Q13:Q14"/>
    <mergeCell ref="A1:Q1"/>
    <mergeCell ref="A2:Q2"/>
    <mergeCell ref="A13:H13"/>
    <mergeCell ref="I13:I14"/>
    <mergeCell ref="J13:N13"/>
    <mergeCell ref="O13:O14"/>
    <mergeCell ref="P13:P14"/>
  </mergeCells>
  <phoneticPr fontId="4" type="noConversion"/>
  <hyperlinks>
    <hyperlink ref="Q3" location="底稿目录!D11" display="I4-5"/>
  </hyperlinks>
  <printOptions horizontalCentered="1"/>
  <pageMargins left="0.59055118110236227" right="0.59055118110236227" top="0.78740157480314965" bottom="0.39370078740157483" header="0.51181102362204722" footer="0.31496062992125984"/>
  <pageSetup paperSize="9" scale="67" fitToHeight="6" orientation="landscape" blackAndWhite="1" r:id="rId1"/>
  <headerFooter>
    <oddFooter>&amp;C&amp;P/&amp;N</oddFooter>
  </headerFooter>
  <colBreaks count="1" manualBreakCount="1">
    <brk id="17" max="24"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B65"/>
  <sheetViews>
    <sheetView view="pageBreakPreview" zoomScaleSheetLayoutView="100" workbookViewId="0">
      <selection activeCell="Q3" sqref="Q3"/>
    </sheetView>
  </sheetViews>
  <sheetFormatPr defaultColWidth="9" defaultRowHeight="18" customHeight="1"/>
  <cols>
    <col min="1" max="1" width="13.109375" style="1" customWidth="1"/>
    <col min="2" max="2" width="22.88671875" style="1" customWidth="1"/>
    <col min="3" max="4" width="11.109375" style="1" customWidth="1"/>
    <col min="5" max="6" width="9.109375" style="1" bestFit="1" customWidth="1"/>
    <col min="7" max="7" width="12.6640625" style="1" customWidth="1"/>
    <col min="8" max="12" width="9.109375" style="1" bestFit="1" customWidth="1"/>
    <col min="13" max="17" width="12.6640625" style="1" customWidth="1"/>
    <col min="18" max="16384" width="9" style="1"/>
  </cols>
  <sheetData>
    <row r="1" spans="1:28" s="21" customFormat="1" ht="20.100000000000001" customHeight="1">
      <c r="A1" s="184" t="s">
        <v>79</v>
      </c>
      <c r="B1" s="184"/>
      <c r="C1" s="184"/>
      <c r="D1" s="184"/>
      <c r="E1" s="184"/>
      <c r="F1" s="184"/>
      <c r="G1" s="184"/>
      <c r="H1" s="184"/>
      <c r="I1" s="184"/>
      <c r="J1" s="184"/>
      <c r="K1" s="184"/>
      <c r="L1" s="184"/>
      <c r="M1" s="184"/>
      <c r="N1" s="184"/>
      <c r="O1" s="184"/>
      <c r="P1" s="184"/>
      <c r="Q1" s="184"/>
    </row>
    <row r="2" spans="1:28" s="21" customFormat="1" ht="24.9" customHeight="1">
      <c r="A2" s="187" t="s">
        <v>337</v>
      </c>
      <c r="B2" s="187"/>
      <c r="C2" s="187"/>
      <c r="D2" s="187"/>
      <c r="E2" s="187"/>
      <c r="F2" s="187"/>
      <c r="G2" s="187"/>
      <c r="H2" s="187"/>
      <c r="I2" s="187"/>
      <c r="J2" s="187"/>
      <c r="K2" s="187"/>
      <c r="L2" s="187"/>
      <c r="M2" s="187"/>
      <c r="N2" s="187"/>
      <c r="O2" s="187"/>
      <c r="P2" s="187"/>
      <c r="Q2" s="187"/>
    </row>
    <row r="3" spans="1:28" ht="20.100000000000001" customHeight="1">
      <c r="A3" s="1" t="str">
        <f>底稿目录!A2</f>
        <v>被审计单位：</v>
      </c>
      <c r="E3" s="1" t="str">
        <f>底稿目录!A4</f>
        <v>编制人：</v>
      </c>
      <c r="L3" s="46" t="str">
        <f>底稿目录!A5</f>
        <v>编制日期：</v>
      </c>
      <c r="M3" s="46"/>
      <c r="P3" s="46" t="s">
        <v>8</v>
      </c>
      <c r="Q3" s="255" t="s">
        <v>338</v>
      </c>
    </row>
    <row r="4" spans="1:28" ht="20.100000000000001" customHeight="1">
      <c r="A4" s="1" t="str">
        <f>底稿目录!A3</f>
        <v>截止日：202X年12月31日</v>
      </c>
      <c r="E4" s="1" t="str">
        <f>底稿目录!A6</f>
        <v>复核人：</v>
      </c>
      <c r="L4" s="46" t="str">
        <f>底稿目录!A7</f>
        <v>复核日期：</v>
      </c>
      <c r="M4" s="46"/>
      <c r="P4" s="46" t="s">
        <v>77</v>
      </c>
      <c r="Q4" s="16"/>
    </row>
    <row r="5" spans="1:28" s="25" customFormat="1" ht="20.100000000000001" customHeight="1">
      <c r="A5" s="23" t="s">
        <v>84</v>
      </c>
      <c r="B5" s="24"/>
      <c r="G5" s="26"/>
      <c r="J5" s="27"/>
      <c r="K5" s="27"/>
      <c r="L5" s="28"/>
      <c r="O5" s="27"/>
      <c r="V5" s="29"/>
      <c r="W5" s="29"/>
      <c r="X5" s="29"/>
      <c r="Y5" s="29"/>
      <c r="Z5" s="29"/>
      <c r="AA5" s="29"/>
      <c r="AB5" s="29"/>
    </row>
    <row r="6" spans="1:28" s="25" customFormat="1" ht="20.100000000000001" customHeight="1">
      <c r="A6" s="31" t="s">
        <v>114</v>
      </c>
      <c r="G6" s="26"/>
      <c r="J6" s="27"/>
      <c r="K6" s="27"/>
      <c r="L6" s="28"/>
      <c r="O6" s="27"/>
      <c r="V6" s="29"/>
      <c r="W6" s="29"/>
      <c r="X6" s="29"/>
      <c r="Y6" s="29"/>
      <c r="Z6" s="29"/>
      <c r="AA6" s="29"/>
      <c r="AB6" s="29"/>
    </row>
    <row r="7" spans="1:28" s="25" customFormat="1" ht="20.100000000000001" customHeight="1">
      <c r="A7" s="32" t="s">
        <v>85</v>
      </c>
      <c r="B7" s="33"/>
      <c r="G7" s="26"/>
      <c r="J7" s="27"/>
      <c r="K7" s="27"/>
      <c r="L7" s="28"/>
      <c r="O7" s="27"/>
      <c r="V7" s="29"/>
      <c r="W7" s="29"/>
      <c r="X7" s="29"/>
      <c r="Y7" s="29"/>
      <c r="Z7" s="29"/>
      <c r="AA7" s="29"/>
      <c r="AB7" s="29"/>
    </row>
    <row r="8" spans="1:28" ht="20.100000000000001" customHeight="1">
      <c r="A8" s="126" t="s">
        <v>42</v>
      </c>
      <c r="B8" s="157">
        <v>41640</v>
      </c>
      <c r="C8" s="126" t="s">
        <v>41</v>
      </c>
      <c r="D8" s="157">
        <v>42004</v>
      </c>
    </row>
    <row r="9" spans="1:28" s="18" customFormat="1" ht="30.75" customHeight="1">
      <c r="A9" s="39" t="s">
        <v>40</v>
      </c>
      <c r="B9" s="39" t="s">
        <v>39</v>
      </c>
      <c r="C9" s="39" t="s">
        <v>38</v>
      </c>
      <c r="D9" s="39" t="s">
        <v>10</v>
      </c>
      <c r="E9" s="39" t="s">
        <v>37</v>
      </c>
      <c r="F9" s="39" t="s">
        <v>36</v>
      </c>
      <c r="G9" s="39" t="s">
        <v>35</v>
      </c>
      <c r="H9" s="39" t="s">
        <v>34</v>
      </c>
      <c r="I9" s="39" t="s">
        <v>33</v>
      </c>
      <c r="J9" s="39" t="s">
        <v>32</v>
      </c>
      <c r="K9" s="39" t="s">
        <v>31</v>
      </c>
      <c r="L9" s="39" t="s">
        <v>30</v>
      </c>
      <c r="M9" s="39" t="s">
        <v>29</v>
      </c>
      <c r="N9" s="39" t="s">
        <v>28</v>
      </c>
      <c r="O9" s="39" t="s">
        <v>27</v>
      </c>
      <c r="P9" s="39" t="s">
        <v>26</v>
      </c>
      <c r="Q9" s="39" t="s">
        <v>25</v>
      </c>
    </row>
    <row r="10" spans="1:28" ht="20.100000000000001" customHeight="1">
      <c r="A10" s="14"/>
      <c r="B10" s="65" t="str">
        <f>'明细表I4-2'!A11</f>
        <v>使用权资产改良及维护支出</v>
      </c>
      <c r="C10" s="15"/>
      <c r="D10" s="15"/>
      <c r="E10" s="19"/>
      <c r="F10" s="14"/>
      <c r="G10" s="67"/>
      <c r="H10" s="136">
        <f t="shared" ref="H10:H21" si="0">IF(F10=0,0,IF(RIGHT(F10,1)&lt;&gt;"年",F10*12,IF(LEN(F10)=3,VALUE(LEFT(F10,2))*12,IF(LEN(F10)=2,VALUE(LEFT(F10,1))*12,"??"))))</f>
        <v>0</v>
      </c>
      <c r="I10" s="137">
        <f t="shared" ref="I10:I21" si="1">IF(E10=0,0,DATE(YEAR(E10),MONTH(E10)+H10,DAY(E10)-1))</f>
        <v>0</v>
      </c>
      <c r="J10" s="136">
        <f t="shared" ref="J10:J21" si="2">IF(E10=0,0,IF(I10&gt;$D$8,VALUE(DATEDIF(E10,MIN($D$8,I10),"m")+1),VALUE(DATEDIF(E10,MIN($D$8,I10),"m")+1)))</f>
        <v>0</v>
      </c>
      <c r="K10" s="136">
        <f t="shared" ref="K10:K21" si="3">(H10-J10)</f>
        <v>0</v>
      </c>
      <c r="L10" s="136">
        <f t="shared" ref="L10:L21" si="4">IF(E10=0,0,IF(AND(E10&lt;=$B$8,I10&gt;$D$8),VALUE(DATEDIF($B$8,$D$8,"m")+1),IF(AND(E10&lt;=$B$8,I10&lt;=$D$8),VALUE(DATEDIF($B$8,I10,"m")),IF(AND(E10&gt;$B$8,I10&gt;$D$8),VALUE(DATEDIF(E10,$D$8,"m")+1),IF(AND(E10&gt;=$B$8,I10&lt;=$D$8),VALUE(DATEDIF(E10,I10,"m")+1),)))))</f>
        <v>0</v>
      </c>
      <c r="M10" s="136">
        <f t="shared" ref="M10:M21" si="5">IF(H10=0,0,ROUND(((1-0)/H10)*C10,4))</f>
        <v>0</v>
      </c>
      <c r="N10" s="136">
        <f t="shared" ref="N10:N21" si="6">ROUND(M10*L10,2)</f>
        <v>0</v>
      </c>
      <c r="O10" s="136">
        <f t="shared" ref="O10:O21" si="7">ROUND(G10-M10,2)</f>
        <v>0</v>
      </c>
      <c r="P10" s="136">
        <f t="shared" ref="P10:P21" si="8">ROUND(M10*J10,2)</f>
        <v>0</v>
      </c>
      <c r="Q10" s="136">
        <f t="shared" ref="Q10:Q21" si="9">ROUND(D10-P10,2)</f>
        <v>0</v>
      </c>
      <c r="R10" s="1" t="s">
        <v>24</v>
      </c>
    </row>
    <row r="11" spans="1:28" ht="20.100000000000001" customHeight="1">
      <c r="A11" s="14"/>
      <c r="B11" s="65">
        <f>'明细表I4-2'!A12</f>
        <v>0</v>
      </c>
      <c r="C11" s="15"/>
      <c r="D11" s="15"/>
      <c r="E11" s="14"/>
      <c r="F11" s="14"/>
      <c r="G11" s="67"/>
      <c r="H11" s="136">
        <f t="shared" si="0"/>
        <v>0</v>
      </c>
      <c r="I11" s="137">
        <f t="shared" si="1"/>
        <v>0</v>
      </c>
      <c r="J11" s="136">
        <f t="shared" si="2"/>
        <v>0</v>
      </c>
      <c r="K11" s="136">
        <f t="shared" si="3"/>
        <v>0</v>
      </c>
      <c r="L11" s="136">
        <f t="shared" si="4"/>
        <v>0</v>
      </c>
      <c r="M11" s="136">
        <f t="shared" si="5"/>
        <v>0</v>
      </c>
      <c r="N11" s="136">
        <f t="shared" si="6"/>
        <v>0</v>
      </c>
      <c r="O11" s="136">
        <f t="shared" si="7"/>
        <v>0</v>
      </c>
      <c r="P11" s="136">
        <f t="shared" si="8"/>
        <v>0</v>
      </c>
      <c r="Q11" s="136">
        <f t="shared" si="9"/>
        <v>0</v>
      </c>
      <c r="R11" s="1" t="s">
        <v>23</v>
      </c>
    </row>
    <row r="12" spans="1:28" ht="20.100000000000001" customHeight="1">
      <c r="A12" s="14"/>
      <c r="B12" s="65">
        <f>'明细表I4-2'!A13</f>
        <v>0</v>
      </c>
      <c r="C12" s="15"/>
      <c r="D12" s="15"/>
      <c r="E12" s="14"/>
      <c r="F12" s="14"/>
      <c r="G12" s="67"/>
      <c r="H12" s="136">
        <f t="shared" si="0"/>
        <v>0</v>
      </c>
      <c r="I12" s="137">
        <f t="shared" si="1"/>
        <v>0</v>
      </c>
      <c r="J12" s="136">
        <f t="shared" si="2"/>
        <v>0</v>
      </c>
      <c r="K12" s="136">
        <f t="shared" si="3"/>
        <v>0</v>
      </c>
      <c r="L12" s="136">
        <f t="shared" si="4"/>
        <v>0</v>
      </c>
      <c r="M12" s="136">
        <f t="shared" si="5"/>
        <v>0</v>
      </c>
      <c r="N12" s="136">
        <f t="shared" si="6"/>
        <v>0</v>
      </c>
      <c r="O12" s="136">
        <f t="shared" si="7"/>
        <v>0</v>
      </c>
      <c r="P12" s="136">
        <f t="shared" si="8"/>
        <v>0</v>
      </c>
      <c r="Q12" s="136">
        <f t="shared" si="9"/>
        <v>0</v>
      </c>
      <c r="R12" s="1" t="s">
        <v>22</v>
      </c>
    </row>
    <row r="13" spans="1:28" ht="20.100000000000001" customHeight="1">
      <c r="A13" s="14"/>
      <c r="B13" s="65">
        <f>'明细表I4-2'!A14</f>
        <v>0</v>
      </c>
      <c r="C13" s="15"/>
      <c r="D13" s="15"/>
      <c r="E13" s="14"/>
      <c r="F13" s="14"/>
      <c r="G13" s="67"/>
      <c r="H13" s="136">
        <f t="shared" si="0"/>
        <v>0</v>
      </c>
      <c r="I13" s="137">
        <f t="shared" si="1"/>
        <v>0</v>
      </c>
      <c r="J13" s="136">
        <f t="shared" si="2"/>
        <v>0</v>
      </c>
      <c r="K13" s="136">
        <f t="shared" si="3"/>
        <v>0</v>
      </c>
      <c r="L13" s="136">
        <f t="shared" si="4"/>
        <v>0</v>
      </c>
      <c r="M13" s="136">
        <f t="shared" si="5"/>
        <v>0</v>
      </c>
      <c r="N13" s="136">
        <f t="shared" si="6"/>
        <v>0</v>
      </c>
      <c r="O13" s="136">
        <f t="shared" si="7"/>
        <v>0</v>
      </c>
      <c r="P13" s="136">
        <f t="shared" si="8"/>
        <v>0</v>
      </c>
      <c r="Q13" s="136">
        <f t="shared" si="9"/>
        <v>0</v>
      </c>
      <c r="R13" s="1" t="s">
        <v>21</v>
      </c>
    </row>
    <row r="14" spans="1:28" ht="20.100000000000001" customHeight="1">
      <c r="A14" s="14"/>
      <c r="B14" s="65">
        <f>'明细表I4-2'!A15</f>
        <v>0</v>
      </c>
      <c r="C14" s="15"/>
      <c r="D14" s="15"/>
      <c r="E14" s="14"/>
      <c r="F14" s="14"/>
      <c r="G14" s="67"/>
      <c r="H14" s="136">
        <f t="shared" si="0"/>
        <v>0</v>
      </c>
      <c r="I14" s="137">
        <f t="shared" si="1"/>
        <v>0</v>
      </c>
      <c r="J14" s="136">
        <f t="shared" si="2"/>
        <v>0</v>
      </c>
      <c r="K14" s="136">
        <f t="shared" si="3"/>
        <v>0</v>
      </c>
      <c r="L14" s="136">
        <f t="shared" si="4"/>
        <v>0</v>
      </c>
      <c r="M14" s="136">
        <f t="shared" si="5"/>
        <v>0</v>
      </c>
      <c r="N14" s="136">
        <f t="shared" si="6"/>
        <v>0</v>
      </c>
      <c r="O14" s="136">
        <f t="shared" si="7"/>
        <v>0</v>
      </c>
      <c r="P14" s="136">
        <f t="shared" si="8"/>
        <v>0</v>
      </c>
      <c r="Q14" s="136">
        <f t="shared" si="9"/>
        <v>0</v>
      </c>
    </row>
    <row r="15" spans="1:28" ht="20.100000000000001" customHeight="1">
      <c r="A15" s="14"/>
      <c r="B15" s="65">
        <f>'明细表I4-2'!A16</f>
        <v>0</v>
      </c>
      <c r="C15" s="15"/>
      <c r="D15" s="15"/>
      <c r="E15" s="14"/>
      <c r="F15" s="14"/>
      <c r="G15" s="67"/>
      <c r="H15" s="136">
        <f t="shared" si="0"/>
        <v>0</v>
      </c>
      <c r="I15" s="137">
        <f t="shared" si="1"/>
        <v>0</v>
      </c>
      <c r="J15" s="136">
        <f t="shared" si="2"/>
        <v>0</v>
      </c>
      <c r="K15" s="136">
        <f t="shared" si="3"/>
        <v>0</v>
      </c>
      <c r="L15" s="136">
        <f t="shared" si="4"/>
        <v>0</v>
      </c>
      <c r="M15" s="136">
        <f t="shared" si="5"/>
        <v>0</v>
      </c>
      <c r="N15" s="136">
        <f t="shared" si="6"/>
        <v>0</v>
      </c>
      <c r="O15" s="136">
        <f t="shared" si="7"/>
        <v>0</v>
      </c>
      <c r="P15" s="136">
        <f t="shared" si="8"/>
        <v>0</v>
      </c>
      <c r="Q15" s="136">
        <f t="shared" si="9"/>
        <v>0</v>
      </c>
    </row>
    <row r="16" spans="1:28" ht="20.100000000000001" customHeight="1">
      <c r="A16" s="14"/>
      <c r="B16" s="65">
        <f>'明细表I4-2'!A17</f>
        <v>0</v>
      </c>
      <c r="C16" s="15"/>
      <c r="D16" s="15"/>
      <c r="E16" s="14"/>
      <c r="F16" s="14"/>
      <c r="G16" s="67"/>
      <c r="H16" s="136">
        <f t="shared" si="0"/>
        <v>0</v>
      </c>
      <c r="I16" s="137">
        <f t="shared" si="1"/>
        <v>0</v>
      </c>
      <c r="J16" s="136">
        <f t="shared" si="2"/>
        <v>0</v>
      </c>
      <c r="K16" s="136">
        <f t="shared" si="3"/>
        <v>0</v>
      </c>
      <c r="L16" s="136">
        <f t="shared" si="4"/>
        <v>0</v>
      </c>
      <c r="M16" s="136">
        <f t="shared" si="5"/>
        <v>0</v>
      </c>
      <c r="N16" s="136">
        <f t="shared" si="6"/>
        <v>0</v>
      </c>
      <c r="O16" s="136">
        <f t="shared" si="7"/>
        <v>0</v>
      </c>
      <c r="P16" s="136">
        <f t="shared" si="8"/>
        <v>0</v>
      </c>
      <c r="Q16" s="136">
        <f t="shared" si="9"/>
        <v>0</v>
      </c>
    </row>
    <row r="17" spans="1:17" ht="20.100000000000001" customHeight="1">
      <c r="A17" s="14"/>
      <c r="B17" s="65">
        <f>'明细表I4-2'!A18</f>
        <v>0</v>
      </c>
      <c r="C17" s="15"/>
      <c r="D17" s="15"/>
      <c r="E17" s="14"/>
      <c r="F17" s="14"/>
      <c r="G17" s="67"/>
      <c r="H17" s="136">
        <f t="shared" si="0"/>
        <v>0</v>
      </c>
      <c r="I17" s="137">
        <f t="shared" si="1"/>
        <v>0</v>
      </c>
      <c r="J17" s="136">
        <f t="shared" si="2"/>
        <v>0</v>
      </c>
      <c r="K17" s="136">
        <f t="shared" si="3"/>
        <v>0</v>
      </c>
      <c r="L17" s="136">
        <f t="shared" si="4"/>
        <v>0</v>
      </c>
      <c r="M17" s="136">
        <f t="shared" si="5"/>
        <v>0</v>
      </c>
      <c r="N17" s="136">
        <f t="shared" si="6"/>
        <v>0</v>
      </c>
      <c r="O17" s="136">
        <f t="shared" si="7"/>
        <v>0</v>
      </c>
      <c r="P17" s="136">
        <f t="shared" si="8"/>
        <v>0</v>
      </c>
      <c r="Q17" s="136">
        <f t="shared" si="9"/>
        <v>0</v>
      </c>
    </row>
    <row r="18" spans="1:17" ht="20.100000000000001" customHeight="1">
      <c r="A18" s="14"/>
      <c r="B18" s="65">
        <f>'明细表I4-2'!A19</f>
        <v>0</v>
      </c>
      <c r="C18" s="15"/>
      <c r="D18" s="15"/>
      <c r="E18" s="14"/>
      <c r="F18" s="14"/>
      <c r="G18" s="67"/>
      <c r="H18" s="136">
        <f t="shared" si="0"/>
        <v>0</v>
      </c>
      <c r="I18" s="137">
        <f t="shared" si="1"/>
        <v>0</v>
      </c>
      <c r="J18" s="136">
        <f t="shared" si="2"/>
        <v>0</v>
      </c>
      <c r="K18" s="136">
        <f t="shared" si="3"/>
        <v>0</v>
      </c>
      <c r="L18" s="136">
        <f t="shared" si="4"/>
        <v>0</v>
      </c>
      <c r="M18" s="136">
        <f t="shared" si="5"/>
        <v>0</v>
      </c>
      <c r="N18" s="136">
        <f t="shared" si="6"/>
        <v>0</v>
      </c>
      <c r="O18" s="136">
        <f t="shared" si="7"/>
        <v>0</v>
      </c>
      <c r="P18" s="136">
        <f t="shared" si="8"/>
        <v>0</v>
      </c>
      <c r="Q18" s="136">
        <f t="shared" si="9"/>
        <v>0</v>
      </c>
    </row>
    <row r="19" spans="1:17" ht="20.100000000000001" customHeight="1">
      <c r="A19" s="14"/>
      <c r="B19" s="65">
        <f>'明细表I4-2'!A20</f>
        <v>0</v>
      </c>
      <c r="C19" s="15"/>
      <c r="D19" s="15"/>
      <c r="E19" s="14"/>
      <c r="F19" s="14"/>
      <c r="G19" s="67"/>
      <c r="H19" s="136">
        <f t="shared" si="0"/>
        <v>0</v>
      </c>
      <c r="I19" s="137">
        <f t="shared" si="1"/>
        <v>0</v>
      </c>
      <c r="J19" s="136">
        <f t="shared" si="2"/>
        <v>0</v>
      </c>
      <c r="K19" s="136">
        <f t="shared" si="3"/>
        <v>0</v>
      </c>
      <c r="L19" s="136">
        <f t="shared" si="4"/>
        <v>0</v>
      </c>
      <c r="M19" s="136">
        <f t="shared" si="5"/>
        <v>0</v>
      </c>
      <c r="N19" s="136">
        <f t="shared" si="6"/>
        <v>0</v>
      </c>
      <c r="O19" s="136">
        <f t="shared" si="7"/>
        <v>0</v>
      </c>
      <c r="P19" s="136">
        <f t="shared" si="8"/>
        <v>0</v>
      </c>
      <c r="Q19" s="136">
        <f t="shared" si="9"/>
        <v>0</v>
      </c>
    </row>
    <row r="20" spans="1:17" ht="20.100000000000001" customHeight="1">
      <c r="A20" s="14"/>
      <c r="B20" s="65">
        <f>'明细表I4-2'!A21</f>
        <v>0</v>
      </c>
      <c r="C20" s="15"/>
      <c r="D20" s="15"/>
      <c r="E20" s="14"/>
      <c r="F20" s="14"/>
      <c r="G20" s="67"/>
      <c r="H20" s="136">
        <f t="shared" si="0"/>
        <v>0</v>
      </c>
      <c r="I20" s="137">
        <f t="shared" si="1"/>
        <v>0</v>
      </c>
      <c r="J20" s="136">
        <f t="shared" si="2"/>
        <v>0</v>
      </c>
      <c r="K20" s="136">
        <f t="shared" si="3"/>
        <v>0</v>
      </c>
      <c r="L20" s="136">
        <f t="shared" si="4"/>
        <v>0</v>
      </c>
      <c r="M20" s="136">
        <f t="shared" si="5"/>
        <v>0</v>
      </c>
      <c r="N20" s="136">
        <f t="shared" si="6"/>
        <v>0</v>
      </c>
      <c r="O20" s="136">
        <f t="shared" si="7"/>
        <v>0</v>
      </c>
      <c r="P20" s="136">
        <f t="shared" si="8"/>
        <v>0</v>
      </c>
      <c r="Q20" s="136">
        <f t="shared" si="9"/>
        <v>0</v>
      </c>
    </row>
    <row r="21" spans="1:17" ht="20.100000000000001" customHeight="1">
      <c r="A21" s="14"/>
      <c r="B21" s="65">
        <f>'明细表I4-2'!A22</f>
        <v>0</v>
      </c>
      <c r="C21" s="15"/>
      <c r="D21" s="15"/>
      <c r="E21" s="14"/>
      <c r="F21" s="14"/>
      <c r="G21" s="67"/>
      <c r="H21" s="136">
        <f t="shared" si="0"/>
        <v>0</v>
      </c>
      <c r="I21" s="137">
        <f t="shared" si="1"/>
        <v>0</v>
      </c>
      <c r="J21" s="136">
        <f t="shared" si="2"/>
        <v>0</v>
      </c>
      <c r="K21" s="136">
        <f t="shared" si="3"/>
        <v>0</v>
      </c>
      <c r="L21" s="136">
        <f t="shared" si="4"/>
        <v>0</v>
      </c>
      <c r="M21" s="136">
        <f t="shared" si="5"/>
        <v>0</v>
      </c>
      <c r="N21" s="136">
        <f t="shared" si="6"/>
        <v>0</v>
      </c>
      <c r="O21" s="136">
        <f t="shared" si="7"/>
        <v>0</v>
      </c>
      <c r="P21" s="136">
        <f t="shared" si="8"/>
        <v>0</v>
      </c>
      <c r="Q21" s="136">
        <f t="shared" si="9"/>
        <v>0</v>
      </c>
    </row>
    <row r="22" spans="1:17" s="225" customFormat="1" ht="20.100000000000001" customHeight="1">
      <c r="A22" s="199" t="s">
        <v>80</v>
      </c>
      <c r="B22" s="200"/>
      <c r="C22" s="136">
        <f>SUM(C10:C21)</f>
        <v>0</v>
      </c>
      <c r="D22" s="136">
        <f>SUM(D10:D21)</f>
        <v>0</v>
      </c>
      <c r="E22" s="252"/>
      <c r="F22" s="253"/>
      <c r="G22" s="136">
        <f>SUM(G10:G21)</f>
        <v>0</v>
      </c>
      <c r="H22" s="253"/>
      <c r="I22" s="253"/>
      <c r="J22" s="253"/>
      <c r="K22" s="253"/>
      <c r="L22" s="254"/>
      <c r="M22" s="136">
        <f>SUM(M10:M21)</f>
        <v>0</v>
      </c>
      <c r="N22" s="136">
        <f>SUM(N10:N21)</f>
        <v>0</v>
      </c>
      <c r="O22" s="136">
        <f>SUM(O10:O21)</f>
        <v>0</v>
      </c>
      <c r="P22" s="136">
        <f>SUM(P10:P21)</f>
        <v>0</v>
      </c>
      <c r="Q22" s="136">
        <f>SUM(Q10:Q21)</f>
        <v>0</v>
      </c>
    </row>
    <row r="23" spans="1:17" s="7" customFormat="1" ht="20.100000000000001" customHeight="1">
      <c r="A23" s="129" t="s">
        <v>131</v>
      </c>
      <c r="C23" s="66"/>
      <c r="D23" s="66"/>
      <c r="E23" s="66"/>
      <c r="F23" s="66"/>
      <c r="G23" s="66"/>
      <c r="H23" s="66"/>
      <c r="I23" s="66"/>
      <c r="J23" s="66"/>
      <c r="K23" s="66"/>
      <c r="L23" s="66"/>
      <c r="M23" s="66"/>
      <c r="N23" s="66"/>
      <c r="O23" s="66"/>
      <c r="P23" s="66"/>
      <c r="Q23" s="66"/>
    </row>
    <row r="24" spans="1:17" s="7" customFormat="1" ht="20.100000000000001" customHeight="1">
      <c r="A24" s="197" t="str">
        <f>底稿目录!A9</f>
        <v>类别A</v>
      </c>
      <c r="B24" s="198"/>
      <c r="C24" s="136">
        <f t="array" ref="C24">SUMPRODUCT(($A$10:$A$21=$A24)*(C$10:C$21))</f>
        <v>0</v>
      </c>
      <c r="D24" s="136">
        <f t="array" ref="D24">SUMPRODUCT(($A$10:$A$21=$A24)*(D$10:D$21))</f>
        <v>0</v>
      </c>
      <c r="E24" s="68"/>
      <c r="F24" s="66"/>
      <c r="G24" s="66"/>
      <c r="H24" s="66"/>
      <c r="I24" s="66"/>
      <c r="J24" s="66"/>
      <c r="K24" s="66"/>
      <c r="L24" s="69"/>
      <c r="M24" s="136">
        <f t="array" ref="M24">SUMPRODUCT(($A$10:$A$21=$A24)*(M$10:M$21))</f>
        <v>0</v>
      </c>
      <c r="N24" s="136">
        <f t="array" ref="N24">SUMPRODUCT(($A$10:$A$21=$A24)*(N$10:N$21))</f>
        <v>0</v>
      </c>
      <c r="O24" s="136">
        <f t="array" ref="O24">SUMPRODUCT(($A$10:$A$21=$A24)*(O$10:O$21))</f>
        <v>0</v>
      </c>
      <c r="P24" s="136">
        <f t="array" ref="P24">SUMPRODUCT(($A$10:$A$21=$A24)*(P$10:P$21))</f>
        <v>0</v>
      </c>
      <c r="Q24" s="136">
        <f t="array" ref="Q24">SUMPRODUCT(($A$10:$A$21=$A24)*(Q$10:Q$21))</f>
        <v>0</v>
      </c>
    </row>
    <row r="25" spans="1:17" s="7" customFormat="1" ht="20.100000000000001" customHeight="1">
      <c r="A25" s="197" t="str">
        <f>底稿目录!A10</f>
        <v>类别B</v>
      </c>
      <c r="B25" s="198"/>
      <c r="C25" s="136">
        <f t="array" ref="C25">SUMPRODUCT(($A$10:$A$21=$A25)*(C$10:C$21))</f>
        <v>0</v>
      </c>
      <c r="D25" s="136">
        <f t="array" ref="D25">SUMPRODUCT(($A$10:$A$21=$A25)*(D$10:D$21))</f>
        <v>0</v>
      </c>
      <c r="E25" s="68"/>
      <c r="F25" s="66"/>
      <c r="G25" s="66"/>
      <c r="H25" s="66"/>
      <c r="I25" s="66"/>
      <c r="J25" s="66"/>
      <c r="K25" s="66"/>
      <c r="L25" s="69"/>
      <c r="M25" s="136">
        <f t="array" ref="M25">SUMPRODUCT(($A$10:$A$21=$A25)*(M$10:M$21))</f>
        <v>0</v>
      </c>
      <c r="N25" s="136">
        <f t="array" ref="N25">SUMPRODUCT(($A$10:$A$21=$A25)*(N$10:N$21))</f>
        <v>0</v>
      </c>
      <c r="O25" s="136">
        <f t="array" ref="O25">SUMPRODUCT(($A$10:$A$21=$A25)*(O$10:O$21))</f>
        <v>0</v>
      </c>
      <c r="P25" s="136">
        <f t="array" ref="P25">SUMPRODUCT(($A$10:$A$21=$A25)*(P$10:P$21))</f>
        <v>0</v>
      </c>
      <c r="Q25" s="136">
        <f t="array" ref="Q25">SUMPRODUCT(($A$10:$A$21=$A25)*(Q$10:Q$21))</f>
        <v>0</v>
      </c>
    </row>
    <row r="26" spans="1:17" s="7" customFormat="1" ht="20.100000000000001" customHeight="1">
      <c r="A26" s="197" t="str">
        <f>底稿目录!A11</f>
        <v>类别C</v>
      </c>
      <c r="B26" s="198"/>
      <c r="C26" s="136">
        <f t="array" ref="C26">SUMPRODUCT(($A$10:$A$21=$A26)*(C$10:C$21))</f>
        <v>0</v>
      </c>
      <c r="D26" s="136">
        <f t="array" ref="D26">SUMPRODUCT(($A$10:$A$21=$A26)*(D$10:D$21))</f>
        <v>0</v>
      </c>
      <c r="E26" s="68"/>
      <c r="F26" s="66"/>
      <c r="G26" s="66"/>
      <c r="H26" s="66"/>
      <c r="I26" s="66"/>
      <c r="J26" s="66"/>
      <c r="K26" s="66"/>
      <c r="L26" s="69"/>
      <c r="M26" s="136">
        <f t="array" ref="M26">SUMPRODUCT(($A$10:$A$21=$A26)*(M$10:M$21))</f>
        <v>0</v>
      </c>
      <c r="N26" s="136">
        <f t="array" ref="N26">SUMPRODUCT(($A$10:$A$21=$A26)*(N$10:N$21))</f>
        <v>0</v>
      </c>
      <c r="O26" s="136">
        <f t="array" ref="O26">SUMPRODUCT(($A$10:$A$21=$A26)*(O$10:O$21))</f>
        <v>0</v>
      </c>
      <c r="P26" s="136">
        <f t="array" ref="P26">SUMPRODUCT(($A$10:$A$21=$A26)*(P$10:P$21))</f>
        <v>0</v>
      </c>
      <c r="Q26" s="136">
        <f t="array" ref="Q26">SUMPRODUCT(($A$10:$A$21=$A26)*(Q$10:Q$21))</f>
        <v>0</v>
      </c>
    </row>
    <row r="27" spans="1:17" s="7" customFormat="1" ht="20.100000000000001" customHeight="1">
      <c r="A27" s="197" t="str">
        <f>底稿目录!A12</f>
        <v>……</v>
      </c>
      <c r="B27" s="198"/>
      <c r="C27" s="136">
        <f t="array" ref="C27">SUMPRODUCT(($A$10:$A$21=$A27)*(C$10:C$21))</f>
        <v>0</v>
      </c>
      <c r="D27" s="136">
        <f t="array" ref="D27">SUMPRODUCT(($A$10:$A$21=$A27)*(D$10:D$21))</f>
        <v>0</v>
      </c>
      <c r="E27" s="68"/>
      <c r="F27" s="66"/>
      <c r="G27" s="66"/>
      <c r="H27" s="66"/>
      <c r="I27" s="66"/>
      <c r="J27" s="66"/>
      <c r="K27" s="66"/>
      <c r="L27" s="69"/>
      <c r="M27" s="136">
        <f t="array" ref="M27">SUMPRODUCT(($A$10:$A$21=$A27)*(M$10:M$21))</f>
        <v>0</v>
      </c>
      <c r="N27" s="136">
        <f t="array" ref="N27">SUMPRODUCT(($A$10:$A$21=$A27)*(N$10:N$21))</f>
        <v>0</v>
      </c>
      <c r="O27" s="136">
        <f t="array" ref="O27">SUMPRODUCT(($A$10:$A$21=$A27)*(O$10:O$21))</f>
        <v>0</v>
      </c>
      <c r="P27" s="136">
        <f t="array" ref="P27">SUMPRODUCT(($A$10:$A$21=$A27)*(P$10:P$21))</f>
        <v>0</v>
      </c>
      <c r="Q27" s="136">
        <f t="array" ref="Q27">SUMPRODUCT(($A$10:$A$21=$A27)*(Q$10:Q$21))</f>
        <v>0</v>
      </c>
    </row>
    <row r="28" spans="1:17" s="7" customFormat="1" ht="20.100000000000001" customHeight="1">
      <c r="A28" s="36" t="s">
        <v>87</v>
      </c>
    </row>
    <row r="29" spans="1:17" ht="20.100000000000001" customHeight="1">
      <c r="A29" s="25"/>
    </row>
    <row r="30" spans="1:17" ht="20.100000000000001" customHeight="1">
      <c r="A30" s="37" t="s">
        <v>88</v>
      </c>
    </row>
    <row r="31" spans="1:17" ht="20.100000000000001" customHeight="1"/>
    <row r="32" spans="1:17" ht="18" customHeight="1">
      <c r="A32" s="127" t="s">
        <v>188</v>
      </c>
      <c r="B32" s="127"/>
      <c r="C32" s="127"/>
      <c r="D32" s="127"/>
      <c r="E32" s="127"/>
      <c r="F32" s="127"/>
      <c r="G32" s="127"/>
    </row>
    <row r="33" spans="1:7" ht="18" customHeight="1">
      <c r="A33" s="127" t="s">
        <v>244</v>
      </c>
      <c r="B33" s="127"/>
      <c r="C33" s="127"/>
      <c r="D33" s="127"/>
      <c r="E33" s="127"/>
      <c r="F33" s="127"/>
      <c r="G33" s="127"/>
    </row>
    <row r="34" spans="1:7" ht="18" customHeight="1">
      <c r="A34" s="127" t="s">
        <v>245</v>
      </c>
      <c r="B34" s="127"/>
      <c r="C34" s="127"/>
      <c r="D34" s="127"/>
      <c r="E34" s="127"/>
      <c r="F34" s="127"/>
      <c r="G34" s="127"/>
    </row>
    <row r="35" spans="1:7" ht="18" customHeight="1">
      <c r="A35" s="127" t="s">
        <v>246</v>
      </c>
      <c r="B35" s="127"/>
      <c r="C35" s="127"/>
      <c r="D35" s="127"/>
      <c r="E35" s="127"/>
      <c r="F35" s="127"/>
      <c r="G35" s="127"/>
    </row>
    <row r="36" spans="1:7" ht="18" customHeight="1">
      <c r="A36" s="127" t="s">
        <v>247</v>
      </c>
      <c r="B36" s="127"/>
      <c r="C36" s="127"/>
      <c r="D36" s="127"/>
      <c r="E36" s="127"/>
      <c r="F36" s="127"/>
      <c r="G36" s="127"/>
    </row>
    <row r="37" spans="1:7" ht="18" customHeight="1">
      <c r="A37" s="127" t="s">
        <v>248</v>
      </c>
      <c r="B37" s="127"/>
      <c r="C37" s="127"/>
      <c r="D37" s="127"/>
      <c r="E37" s="127"/>
      <c r="F37" s="127"/>
      <c r="G37" s="127"/>
    </row>
    <row r="38" spans="1:7" ht="18" customHeight="1">
      <c r="A38" s="127" t="s">
        <v>249</v>
      </c>
      <c r="B38" s="127"/>
      <c r="C38" s="127"/>
      <c r="D38" s="127"/>
      <c r="E38" s="127"/>
      <c r="F38" s="127"/>
      <c r="G38" s="127"/>
    </row>
    <row r="62" spans="1:1" ht="18" customHeight="1">
      <c r="A62" s="1" t="s">
        <v>9</v>
      </c>
    </row>
    <row r="63" spans="1:1" ht="18" customHeight="1">
      <c r="A63" s="1" t="s">
        <v>20</v>
      </c>
    </row>
    <row r="64" spans="1:1" ht="18" customHeight="1">
      <c r="A64" s="1" t="s">
        <v>19</v>
      </c>
    </row>
    <row r="65" spans="1:1" ht="18" customHeight="1">
      <c r="A65" s="1" t="s">
        <v>18</v>
      </c>
    </row>
  </sheetData>
  <mergeCells count="7">
    <mergeCell ref="A26:B26"/>
    <mergeCell ref="A27:B27"/>
    <mergeCell ref="A1:Q1"/>
    <mergeCell ref="A2:Q2"/>
    <mergeCell ref="A22:B22"/>
    <mergeCell ref="A24:B24"/>
    <mergeCell ref="A25:B25"/>
  </mergeCells>
  <phoneticPr fontId="4" type="noConversion"/>
  <hyperlinks>
    <hyperlink ref="Q3" location="底稿目录!D12" display="I4-6"/>
  </hyperlinks>
  <printOptions horizontalCentered="1"/>
  <pageMargins left="0.59055118110236227" right="0.59055118110236227" top="0.78740157480314965" bottom="0.39370078740157483" header="0.51181102362204722" footer="0.31496062992125984"/>
  <pageSetup paperSize="9" scale="62" fitToHeight="3"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A10:A21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B65"/>
  <sheetViews>
    <sheetView view="pageBreakPreview" zoomScaleSheetLayoutView="100" workbookViewId="0">
      <selection sqref="A1:N1"/>
    </sheetView>
  </sheetViews>
  <sheetFormatPr defaultColWidth="9" defaultRowHeight="18" customHeight="1"/>
  <cols>
    <col min="1" max="2" width="20.6640625" style="1" customWidth="1"/>
    <col min="3" max="3" width="12.6640625" style="1" customWidth="1"/>
    <col min="4" max="4" width="9.109375" style="1" bestFit="1" customWidth="1"/>
    <col min="5" max="14" width="14.6640625" style="1" customWidth="1"/>
    <col min="15" max="16384" width="9" style="1"/>
  </cols>
  <sheetData>
    <row r="1" spans="1:28" s="7" customFormat="1" ht="20.100000000000001" customHeight="1">
      <c r="A1" s="184" t="s">
        <v>79</v>
      </c>
      <c r="B1" s="184"/>
      <c r="C1" s="184"/>
      <c r="D1" s="184"/>
      <c r="E1" s="184"/>
      <c r="F1" s="184"/>
      <c r="G1" s="184"/>
      <c r="H1" s="184"/>
      <c r="I1" s="184"/>
      <c r="J1" s="184"/>
      <c r="K1" s="184"/>
      <c r="L1" s="184"/>
      <c r="M1" s="184"/>
      <c r="N1" s="184"/>
    </row>
    <row r="2" spans="1:28" s="7" customFormat="1" ht="24.9" customHeight="1">
      <c r="A2" s="187" t="s">
        <v>336</v>
      </c>
      <c r="B2" s="187"/>
      <c r="C2" s="187"/>
      <c r="D2" s="187"/>
      <c r="E2" s="187"/>
      <c r="F2" s="187"/>
      <c r="G2" s="187"/>
      <c r="H2" s="187"/>
      <c r="I2" s="187"/>
      <c r="J2" s="187"/>
      <c r="K2" s="187"/>
      <c r="L2" s="187"/>
      <c r="M2" s="187"/>
      <c r="N2" s="187"/>
    </row>
    <row r="3" spans="1:28" ht="20.100000000000001" customHeight="1">
      <c r="A3" s="1" t="str">
        <f>底稿目录!A2</f>
        <v>被审计单位：</v>
      </c>
      <c r="F3" s="1" t="str">
        <f>底稿目录!A4</f>
        <v>编制人：</v>
      </c>
      <c r="J3" s="46" t="str">
        <f>底稿目录!A5</f>
        <v>编制日期：</v>
      </c>
      <c r="K3" s="46"/>
      <c r="M3" s="1" t="s">
        <v>8</v>
      </c>
      <c r="N3" s="255" t="s">
        <v>250</v>
      </c>
    </row>
    <row r="4" spans="1:28" ht="20.100000000000001" customHeight="1">
      <c r="A4" s="1" t="str">
        <f>底稿目录!A3</f>
        <v>截止日：202X年12月31日</v>
      </c>
      <c r="F4" s="1" t="str">
        <f>底稿目录!A6</f>
        <v>复核人：</v>
      </c>
      <c r="J4" s="46" t="str">
        <f>底稿目录!A7</f>
        <v>复核日期：</v>
      </c>
      <c r="K4" s="46"/>
      <c r="M4" s="1" t="s">
        <v>77</v>
      </c>
      <c r="N4" s="16"/>
    </row>
    <row r="5" spans="1:28" s="25" customFormat="1" ht="20.100000000000001" customHeight="1">
      <c r="A5" s="23" t="s">
        <v>84</v>
      </c>
      <c r="B5" s="24"/>
      <c r="G5" s="26"/>
      <c r="J5" s="27"/>
      <c r="K5" s="27"/>
      <c r="L5" s="28"/>
      <c r="O5" s="27"/>
      <c r="V5" s="29"/>
      <c r="W5" s="29"/>
      <c r="X5" s="29"/>
      <c r="Y5" s="29"/>
      <c r="Z5" s="29"/>
      <c r="AA5" s="29"/>
      <c r="AB5" s="29"/>
    </row>
    <row r="6" spans="1:28" s="25" customFormat="1" ht="20.100000000000001" customHeight="1">
      <c r="A6" s="31" t="s">
        <v>89</v>
      </c>
      <c r="G6" s="26"/>
      <c r="J6" s="27"/>
      <c r="K6" s="27"/>
      <c r="L6" s="28"/>
      <c r="O6" s="27"/>
      <c r="V6" s="29"/>
      <c r="W6" s="29"/>
      <c r="X6" s="29"/>
      <c r="Y6" s="29"/>
      <c r="Z6" s="29"/>
      <c r="AA6" s="29"/>
      <c r="AB6" s="29"/>
    </row>
    <row r="7" spans="1:28" s="25" customFormat="1" ht="20.100000000000001" customHeight="1">
      <c r="A7" s="32" t="s">
        <v>85</v>
      </c>
      <c r="B7" s="33"/>
      <c r="G7" s="26"/>
      <c r="J7" s="27"/>
      <c r="K7" s="27"/>
      <c r="L7" s="28"/>
      <c r="O7" s="27"/>
      <c r="V7" s="29"/>
      <c r="W7" s="29"/>
      <c r="X7" s="29"/>
      <c r="Y7" s="29"/>
      <c r="Z7" s="29"/>
      <c r="AA7" s="29"/>
      <c r="AB7" s="29"/>
    </row>
    <row r="8" spans="1:28" s="7" customFormat="1" ht="20.100000000000001" customHeight="1">
      <c r="A8" s="193" t="s">
        <v>40</v>
      </c>
      <c r="B8" s="193" t="s">
        <v>39</v>
      </c>
      <c r="C8" s="193" t="s">
        <v>38</v>
      </c>
      <c r="D8" s="193" t="s">
        <v>37</v>
      </c>
      <c r="E8" s="193" t="s">
        <v>52</v>
      </c>
      <c r="F8" s="102"/>
      <c r="G8" s="186" t="s">
        <v>51</v>
      </c>
      <c r="H8" s="186"/>
      <c r="I8" s="186" t="s">
        <v>50</v>
      </c>
      <c r="J8" s="186"/>
      <c r="K8" s="186" t="s">
        <v>49</v>
      </c>
      <c r="L8" s="186"/>
      <c r="M8" s="186" t="s">
        <v>48</v>
      </c>
      <c r="N8" s="186"/>
    </row>
    <row r="9" spans="1:28" s="18" customFormat="1" ht="20.100000000000001" customHeight="1">
      <c r="A9" s="201"/>
      <c r="B9" s="201"/>
      <c r="C9" s="201"/>
      <c r="D9" s="201"/>
      <c r="E9" s="201"/>
      <c r="F9" s="102" t="s">
        <v>47</v>
      </c>
      <c r="G9" s="102" t="s">
        <v>44</v>
      </c>
      <c r="H9" s="102" t="s">
        <v>43</v>
      </c>
      <c r="I9" s="102" t="s">
        <v>46</v>
      </c>
      <c r="J9" s="102" t="s">
        <v>45</v>
      </c>
      <c r="K9" s="39" t="s">
        <v>44</v>
      </c>
      <c r="L9" s="39" t="s">
        <v>43</v>
      </c>
      <c r="M9" s="39" t="s">
        <v>44</v>
      </c>
      <c r="N9" s="39" t="s">
        <v>43</v>
      </c>
    </row>
    <row r="10" spans="1:28" ht="20.100000000000001" customHeight="1">
      <c r="A10" s="14"/>
      <c r="B10" s="15" t="str">
        <f>'明细表I4-2'!A11</f>
        <v>使用权资产改良及维护支出</v>
      </c>
      <c r="C10" s="15"/>
      <c r="D10" s="19"/>
      <c r="E10" s="20"/>
      <c r="F10" s="13"/>
      <c r="G10" s="13"/>
      <c r="H10" s="13"/>
      <c r="I10" s="136">
        <f t="shared" ref="I10:I21" si="0">G10*F10</f>
        <v>0</v>
      </c>
      <c r="J10" s="136">
        <f>H10*F10</f>
        <v>0</v>
      </c>
      <c r="K10" s="13"/>
      <c r="L10" s="13"/>
      <c r="M10" s="136">
        <f t="shared" ref="M10:M21" si="1">I10-K10</f>
        <v>0</v>
      </c>
      <c r="N10" s="136">
        <f t="shared" ref="N10:N21" si="2">J10-L10</f>
        <v>0</v>
      </c>
      <c r="O10" s="1" t="s">
        <v>24</v>
      </c>
    </row>
    <row r="11" spans="1:28" ht="20.100000000000001" customHeight="1">
      <c r="A11" s="14"/>
      <c r="B11" s="15">
        <f>'明细表I4-2'!A12</f>
        <v>0</v>
      </c>
      <c r="C11" s="15"/>
      <c r="D11" s="19"/>
      <c r="E11" s="20"/>
      <c r="F11" s="20"/>
      <c r="G11" s="13"/>
      <c r="H11" s="13"/>
      <c r="I11" s="136">
        <f t="shared" si="0"/>
        <v>0</v>
      </c>
      <c r="J11" s="136">
        <f>IF(D11=0,0,IF(#REF!&gt;#REF!,VALUE(DATEDIF(D11,MIN(#REF!,#REF!),"m")+1),VALUE(DATEDIF(D11,MIN(#REF!,#REF!),"m")+1)))</f>
        <v>0</v>
      </c>
      <c r="K11" s="13"/>
      <c r="L11" s="13"/>
      <c r="M11" s="136">
        <f t="shared" si="1"/>
        <v>0</v>
      </c>
      <c r="N11" s="136">
        <f t="shared" si="2"/>
        <v>0</v>
      </c>
      <c r="O11" s="1" t="s">
        <v>23</v>
      </c>
    </row>
    <row r="12" spans="1:28" ht="20.100000000000001" customHeight="1">
      <c r="A12" s="14"/>
      <c r="B12" s="15">
        <f>'明细表I4-2'!A13</f>
        <v>0</v>
      </c>
      <c r="C12" s="15"/>
      <c r="D12" s="19"/>
      <c r="E12" s="20"/>
      <c r="F12" s="20"/>
      <c r="G12" s="13"/>
      <c r="H12" s="13"/>
      <c r="I12" s="136">
        <f t="shared" si="0"/>
        <v>0</v>
      </c>
      <c r="J12" s="136">
        <f>IF(D12=0,0,IF(#REF!&gt;#REF!,VALUE(DATEDIF(D12,MIN(#REF!,#REF!),"m")+1),VALUE(DATEDIF(D12,MIN(#REF!,#REF!),"m")+1)))</f>
        <v>0</v>
      </c>
      <c r="K12" s="13"/>
      <c r="L12" s="13"/>
      <c r="M12" s="136">
        <f t="shared" si="1"/>
        <v>0</v>
      </c>
      <c r="N12" s="136">
        <f t="shared" si="2"/>
        <v>0</v>
      </c>
      <c r="O12" s="1" t="s">
        <v>22</v>
      </c>
    </row>
    <row r="13" spans="1:28" ht="20.100000000000001" customHeight="1">
      <c r="A13" s="14"/>
      <c r="B13" s="15">
        <f>'明细表I4-2'!A14</f>
        <v>0</v>
      </c>
      <c r="C13" s="15"/>
      <c r="D13" s="19"/>
      <c r="E13" s="20"/>
      <c r="F13" s="20"/>
      <c r="G13" s="13"/>
      <c r="H13" s="13"/>
      <c r="I13" s="136">
        <f t="shared" si="0"/>
        <v>0</v>
      </c>
      <c r="J13" s="136">
        <f>IF(D13=0,0,IF(#REF!&gt;#REF!,VALUE(DATEDIF(D13,MIN(#REF!,#REF!),"m")+1),VALUE(DATEDIF(D13,MIN(#REF!,#REF!),"m")+1)))</f>
        <v>0</v>
      </c>
      <c r="K13" s="13"/>
      <c r="L13" s="13"/>
      <c r="M13" s="136">
        <f t="shared" si="1"/>
        <v>0</v>
      </c>
      <c r="N13" s="136">
        <f t="shared" si="2"/>
        <v>0</v>
      </c>
      <c r="O13" s="1" t="s">
        <v>21</v>
      </c>
    </row>
    <row r="14" spans="1:28" ht="20.100000000000001" customHeight="1">
      <c r="A14" s="14"/>
      <c r="B14" s="15">
        <f>'明细表I4-2'!A15</f>
        <v>0</v>
      </c>
      <c r="C14" s="15"/>
      <c r="D14" s="19"/>
      <c r="E14" s="20"/>
      <c r="F14" s="20"/>
      <c r="G14" s="13"/>
      <c r="H14" s="13"/>
      <c r="I14" s="136">
        <f t="shared" si="0"/>
        <v>0</v>
      </c>
      <c r="J14" s="136">
        <f>IF(D14=0,0,IF(#REF!&gt;#REF!,VALUE(DATEDIF(D14,MIN(#REF!,#REF!),"m")+1),VALUE(DATEDIF(D14,MIN(#REF!,#REF!),"m")+1)))</f>
        <v>0</v>
      </c>
      <c r="K14" s="13"/>
      <c r="L14" s="13"/>
      <c r="M14" s="136">
        <f t="shared" si="1"/>
        <v>0</v>
      </c>
      <c r="N14" s="136">
        <f t="shared" si="2"/>
        <v>0</v>
      </c>
    </row>
    <row r="15" spans="1:28" ht="20.100000000000001" customHeight="1">
      <c r="A15" s="14"/>
      <c r="B15" s="15">
        <f>'明细表I4-2'!A16</f>
        <v>0</v>
      </c>
      <c r="C15" s="15"/>
      <c r="D15" s="19"/>
      <c r="E15" s="20"/>
      <c r="F15" s="20"/>
      <c r="G15" s="13"/>
      <c r="H15" s="13"/>
      <c r="I15" s="136">
        <f t="shared" si="0"/>
        <v>0</v>
      </c>
      <c r="J15" s="136">
        <f>IF(D15=0,0,IF(#REF!&gt;#REF!,VALUE(DATEDIF(D15,MIN(#REF!,#REF!),"m")+1),VALUE(DATEDIF(D15,MIN(#REF!,#REF!),"m")+1)))</f>
        <v>0</v>
      </c>
      <c r="K15" s="13"/>
      <c r="L15" s="13"/>
      <c r="M15" s="136">
        <f t="shared" si="1"/>
        <v>0</v>
      </c>
      <c r="N15" s="136">
        <f t="shared" si="2"/>
        <v>0</v>
      </c>
    </row>
    <row r="16" spans="1:28" ht="20.100000000000001" customHeight="1">
      <c r="A16" s="14"/>
      <c r="B16" s="15">
        <f>'明细表I4-2'!A17</f>
        <v>0</v>
      </c>
      <c r="C16" s="15"/>
      <c r="D16" s="19"/>
      <c r="E16" s="20"/>
      <c r="F16" s="20"/>
      <c r="G16" s="13"/>
      <c r="H16" s="13"/>
      <c r="I16" s="136">
        <f t="shared" si="0"/>
        <v>0</v>
      </c>
      <c r="J16" s="136">
        <f>IF(D16=0,0,IF(#REF!&gt;#REF!,VALUE(DATEDIF(D16,MIN(#REF!,#REF!),"m")+1),VALUE(DATEDIF(D16,MIN(#REF!,#REF!),"m")+1)))</f>
        <v>0</v>
      </c>
      <c r="K16" s="13"/>
      <c r="L16" s="13"/>
      <c r="M16" s="136">
        <f t="shared" si="1"/>
        <v>0</v>
      </c>
      <c r="N16" s="136">
        <f t="shared" si="2"/>
        <v>0</v>
      </c>
    </row>
    <row r="17" spans="1:14" ht="20.100000000000001" customHeight="1">
      <c r="A17" s="14"/>
      <c r="B17" s="15">
        <f>'明细表I4-2'!A18</f>
        <v>0</v>
      </c>
      <c r="C17" s="15"/>
      <c r="D17" s="19"/>
      <c r="E17" s="20"/>
      <c r="F17" s="20"/>
      <c r="G17" s="13"/>
      <c r="H17" s="13"/>
      <c r="I17" s="136">
        <f t="shared" si="0"/>
        <v>0</v>
      </c>
      <c r="J17" s="136">
        <f>IF(D17=0,0,IF(#REF!&gt;#REF!,VALUE(DATEDIF(D17,MIN(#REF!,#REF!),"m")+1),VALUE(DATEDIF(D17,MIN(#REF!,#REF!),"m")+1)))</f>
        <v>0</v>
      </c>
      <c r="K17" s="13"/>
      <c r="L17" s="13"/>
      <c r="M17" s="136">
        <f t="shared" si="1"/>
        <v>0</v>
      </c>
      <c r="N17" s="136">
        <f t="shared" si="2"/>
        <v>0</v>
      </c>
    </row>
    <row r="18" spans="1:14" ht="20.100000000000001" customHeight="1">
      <c r="A18" s="14"/>
      <c r="B18" s="15">
        <f>'明细表I4-2'!A19</f>
        <v>0</v>
      </c>
      <c r="C18" s="15"/>
      <c r="D18" s="19"/>
      <c r="E18" s="20"/>
      <c r="F18" s="20"/>
      <c r="G18" s="13"/>
      <c r="H18" s="13"/>
      <c r="I18" s="136">
        <f t="shared" si="0"/>
        <v>0</v>
      </c>
      <c r="J18" s="136">
        <f>IF(D18=0,0,IF(#REF!&gt;#REF!,VALUE(DATEDIF(D18,MIN(#REF!,#REF!),"m")+1),VALUE(DATEDIF(D18,MIN(#REF!,#REF!),"m")+1)))</f>
        <v>0</v>
      </c>
      <c r="K18" s="13"/>
      <c r="L18" s="13"/>
      <c r="M18" s="136">
        <f t="shared" si="1"/>
        <v>0</v>
      </c>
      <c r="N18" s="136">
        <f t="shared" si="2"/>
        <v>0</v>
      </c>
    </row>
    <row r="19" spans="1:14" ht="20.100000000000001" customHeight="1">
      <c r="A19" s="14"/>
      <c r="B19" s="15">
        <f>'明细表I4-2'!A20</f>
        <v>0</v>
      </c>
      <c r="C19" s="15"/>
      <c r="D19" s="19"/>
      <c r="E19" s="20"/>
      <c r="F19" s="20"/>
      <c r="G19" s="13"/>
      <c r="H19" s="13"/>
      <c r="I19" s="136">
        <f t="shared" si="0"/>
        <v>0</v>
      </c>
      <c r="J19" s="136">
        <f>IF(D19=0,0,IF(#REF!&gt;#REF!,VALUE(DATEDIF(D19,MIN(#REF!,#REF!),"m")+1),VALUE(DATEDIF(D19,MIN(#REF!,#REF!),"m")+1)))</f>
        <v>0</v>
      </c>
      <c r="K19" s="13"/>
      <c r="L19" s="13"/>
      <c r="M19" s="136">
        <f t="shared" si="1"/>
        <v>0</v>
      </c>
      <c r="N19" s="136">
        <f t="shared" si="2"/>
        <v>0</v>
      </c>
    </row>
    <row r="20" spans="1:14" ht="20.100000000000001" customHeight="1">
      <c r="A20" s="14"/>
      <c r="B20" s="15">
        <f>'明细表I4-2'!A21</f>
        <v>0</v>
      </c>
      <c r="C20" s="15"/>
      <c r="D20" s="19"/>
      <c r="E20" s="20"/>
      <c r="F20" s="20"/>
      <c r="G20" s="13"/>
      <c r="H20" s="13"/>
      <c r="I20" s="136">
        <f t="shared" si="0"/>
        <v>0</v>
      </c>
      <c r="J20" s="136">
        <f>IF(D20=0,0,IF(#REF!&gt;#REF!,VALUE(DATEDIF(D20,MIN(#REF!,#REF!),"m")+1),VALUE(DATEDIF(D20,MIN(#REF!,#REF!),"m")+1)))</f>
        <v>0</v>
      </c>
      <c r="K20" s="13"/>
      <c r="L20" s="13"/>
      <c r="M20" s="136">
        <f t="shared" si="1"/>
        <v>0</v>
      </c>
      <c r="N20" s="136">
        <f t="shared" si="2"/>
        <v>0</v>
      </c>
    </row>
    <row r="21" spans="1:14" ht="20.100000000000001" customHeight="1">
      <c r="A21" s="14"/>
      <c r="B21" s="15">
        <f>'明细表I4-2'!A22</f>
        <v>0</v>
      </c>
      <c r="C21" s="15"/>
      <c r="D21" s="19"/>
      <c r="E21" s="20"/>
      <c r="F21" s="20"/>
      <c r="G21" s="13"/>
      <c r="H21" s="13"/>
      <c r="I21" s="136">
        <f t="shared" si="0"/>
        <v>0</v>
      </c>
      <c r="J21" s="136">
        <f>IF(D21=0,0,IF(#REF!&gt;#REF!,VALUE(DATEDIF(D21,MIN(#REF!,#REF!),"m")+1),VALUE(DATEDIF(D21,MIN(#REF!,#REF!),"m")+1)))</f>
        <v>0</v>
      </c>
      <c r="K21" s="13"/>
      <c r="L21" s="13"/>
      <c r="M21" s="136">
        <f t="shared" si="1"/>
        <v>0</v>
      </c>
      <c r="N21" s="136">
        <f t="shared" si="2"/>
        <v>0</v>
      </c>
    </row>
    <row r="22" spans="1:14" s="225" customFormat="1" ht="20.100000000000001" customHeight="1">
      <c r="A22" s="199" t="s">
        <v>80</v>
      </c>
      <c r="B22" s="200"/>
      <c r="C22" s="136">
        <f>SUM(C10:C21)</f>
        <v>0</v>
      </c>
      <c r="D22" s="252"/>
      <c r="E22" s="253"/>
      <c r="F22" s="253"/>
      <c r="G22" s="253"/>
      <c r="H22" s="254"/>
      <c r="I22" s="136">
        <f t="shared" ref="I22:N22" si="3">SUM(I10:I21)</f>
        <v>0</v>
      </c>
      <c r="J22" s="136">
        <f t="shared" si="3"/>
        <v>0</v>
      </c>
      <c r="K22" s="136">
        <f t="shared" si="3"/>
        <v>0</v>
      </c>
      <c r="L22" s="136">
        <f t="shared" si="3"/>
        <v>0</v>
      </c>
      <c r="M22" s="136">
        <f t="shared" si="3"/>
        <v>0</v>
      </c>
      <c r="N22" s="136">
        <f t="shared" si="3"/>
        <v>0</v>
      </c>
    </row>
    <row r="23" spans="1:14" s="38" customFormat="1" ht="20.100000000000001" customHeight="1">
      <c r="A23" s="129" t="s">
        <v>131</v>
      </c>
      <c r="B23" s="7"/>
      <c r="C23" s="66"/>
      <c r="D23" s="66"/>
      <c r="E23" s="66"/>
      <c r="F23" s="66"/>
      <c r="G23" s="66"/>
      <c r="H23" s="66"/>
      <c r="I23" s="66"/>
      <c r="J23" s="66"/>
      <c r="K23" s="66"/>
      <c r="L23" s="66"/>
      <c r="M23" s="66"/>
      <c r="N23" s="66"/>
    </row>
    <row r="24" spans="1:14" s="38" customFormat="1" ht="20.100000000000001" customHeight="1">
      <c r="A24" s="197" t="str">
        <f>底稿目录!A9</f>
        <v>类别A</v>
      </c>
      <c r="B24" s="198"/>
      <c r="C24" s="136">
        <f t="array" ref="C24">SUMPRODUCT(($A$10:$A$21=$A24)*(C$10:C$21))</f>
        <v>0</v>
      </c>
      <c r="D24" s="66"/>
      <c r="E24" s="66"/>
      <c r="F24" s="66"/>
      <c r="G24" s="66"/>
      <c r="H24" s="66"/>
      <c r="I24" s="136">
        <f t="array" ref="I24">SUMPRODUCT(($A$10:$A$21=$A24)*(I$10:I$21))</f>
        <v>0</v>
      </c>
      <c r="J24" s="136">
        <f t="array" ref="J24">SUMPRODUCT(($A$10:$A$21=$A24)*(J$10:J$21))</f>
        <v>0</v>
      </c>
      <c r="K24" s="136">
        <f t="array" ref="K24">SUMPRODUCT(($A$10:$A$21=$A24)*(K$10:K$21))</f>
        <v>0</v>
      </c>
      <c r="L24" s="136">
        <f t="array" ref="L24">SUMPRODUCT(($A$10:$A$21=$A24)*(L$10:L$21))</f>
        <v>0</v>
      </c>
      <c r="M24" s="136">
        <f t="array" ref="M24">SUMPRODUCT(($A$10:$A$21=$A24)*(M$10:M$21))</f>
        <v>0</v>
      </c>
      <c r="N24" s="136">
        <f t="array" ref="N24">SUMPRODUCT(($A$10:$A$21=$A24)*(N$10:N$21))</f>
        <v>0</v>
      </c>
    </row>
    <row r="25" spans="1:14" s="38" customFormat="1" ht="20.100000000000001" customHeight="1">
      <c r="A25" s="197" t="str">
        <f>底稿目录!A10</f>
        <v>类别B</v>
      </c>
      <c r="B25" s="198"/>
      <c r="C25" s="136">
        <f t="array" ref="C25">SUMPRODUCT(($A$10:$A$21=$A25)*(C$10:C$21))</f>
        <v>0</v>
      </c>
      <c r="D25" s="66"/>
      <c r="E25" s="66"/>
      <c r="F25" s="66"/>
      <c r="G25" s="66"/>
      <c r="H25" s="66"/>
      <c r="I25" s="136">
        <f t="array" ref="I25">SUMPRODUCT(($A$10:$A$21=$A25)*(I$10:I$21))</f>
        <v>0</v>
      </c>
      <c r="J25" s="136">
        <f t="array" ref="J25">SUMPRODUCT(($A$10:$A$21=$A25)*(J$10:J$21))</f>
        <v>0</v>
      </c>
      <c r="K25" s="136">
        <f t="array" ref="K25">SUMPRODUCT(($A$10:$A$21=$A25)*(K$10:K$21))</f>
        <v>0</v>
      </c>
      <c r="L25" s="136">
        <f t="array" ref="L25">SUMPRODUCT(($A$10:$A$21=$A25)*(L$10:L$21))</f>
        <v>0</v>
      </c>
      <c r="M25" s="136">
        <f t="array" ref="M25">SUMPRODUCT(($A$10:$A$21=$A25)*(M$10:M$21))</f>
        <v>0</v>
      </c>
      <c r="N25" s="136">
        <f t="array" ref="N25">SUMPRODUCT(($A$10:$A$21=$A25)*(N$10:N$21))</f>
        <v>0</v>
      </c>
    </row>
    <row r="26" spans="1:14" s="38" customFormat="1" ht="20.100000000000001" customHeight="1">
      <c r="A26" s="197" t="str">
        <f>底稿目录!A11</f>
        <v>类别C</v>
      </c>
      <c r="B26" s="198"/>
      <c r="C26" s="136">
        <f t="array" ref="C26">SUMPRODUCT(($A$10:$A$21=$A26)*(C$10:C$21))</f>
        <v>0</v>
      </c>
      <c r="D26" s="66"/>
      <c r="E26" s="66"/>
      <c r="F26" s="66"/>
      <c r="G26" s="66"/>
      <c r="H26" s="66"/>
      <c r="I26" s="136">
        <f t="array" ref="I26">SUMPRODUCT(($A$10:$A$21=$A26)*(I$10:I$21))</f>
        <v>0</v>
      </c>
      <c r="J26" s="136">
        <f t="array" ref="J26">SUMPRODUCT(($A$10:$A$21=$A26)*(J$10:J$21))</f>
        <v>0</v>
      </c>
      <c r="K26" s="136">
        <f t="array" ref="K26">SUMPRODUCT(($A$10:$A$21=$A26)*(K$10:K$21))</f>
        <v>0</v>
      </c>
      <c r="L26" s="136">
        <f t="array" ref="L26">SUMPRODUCT(($A$10:$A$21=$A26)*(L$10:L$21))</f>
        <v>0</v>
      </c>
      <c r="M26" s="136">
        <f t="array" ref="M26">SUMPRODUCT(($A$10:$A$21=$A26)*(M$10:M$21))</f>
        <v>0</v>
      </c>
      <c r="N26" s="136">
        <f t="array" ref="N26">SUMPRODUCT(($A$10:$A$21=$A26)*(N$10:N$21))</f>
        <v>0</v>
      </c>
    </row>
    <row r="27" spans="1:14" s="38" customFormat="1" ht="20.100000000000001" customHeight="1">
      <c r="A27" s="197" t="str">
        <f>底稿目录!A12</f>
        <v>……</v>
      </c>
      <c r="B27" s="198"/>
      <c r="C27" s="136">
        <f t="array" ref="C27">SUMPRODUCT(($A$10:$A$21=$A27)*(C$10:C$21))</f>
        <v>0</v>
      </c>
      <c r="D27" s="66"/>
      <c r="E27" s="66"/>
      <c r="F27" s="66"/>
      <c r="G27" s="66"/>
      <c r="H27" s="66"/>
      <c r="I27" s="136">
        <f t="array" ref="I27">SUMPRODUCT(($A$10:$A$21=$A27)*(I$10:I$21))</f>
        <v>0</v>
      </c>
      <c r="J27" s="136">
        <f t="array" ref="J27">SUMPRODUCT(($A$10:$A$21=$A27)*(J$10:J$21))</f>
        <v>0</v>
      </c>
      <c r="K27" s="136">
        <f t="array" ref="K27">SUMPRODUCT(($A$10:$A$21=$A27)*(K$10:K$21))</f>
        <v>0</v>
      </c>
      <c r="L27" s="136">
        <f t="array" ref="L27">SUMPRODUCT(($A$10:$A$21=$A27)*(L$10:L$21))</f>
        <v>0</v>
      </c>
      <c r="M27" s="136">
        <f t="array" ref="M27">SUMPRODUCT(($A$10:$A$21=$A27)*(M$10:M$21))</f>
        <v>0</v>
      </c>
      <c r="N27" s="136">
        <f t="array" ref="N27">SUMPRODUCT(($A$10:$A$21=$A27)*(N$10:N$21))</f>
        <v>0</v>
      </c>
    </row>
    <row r="28" spans="1:14" s="7" customFormat="1" ht="20.100000000000001" customHeight="1">
      <c r="A28" s="36" t="s">
        <v>87</v>
      </c>
    </row>
    <row r="29" spans="1:14" ht="20.100000000000001" customHeight="1">
      <c r="A29" s="25"/>
    </row>
    <row r="30" spans="1:14" ht="20.100000000000001" customHeight="1">
      <c r="A30" s="37" t="s">
        <v>88</v>
      </c>
    </row>
    <row r="31" spans="1:14" ht="20.100000000000001" customHeight="1"/>
    <row r="32" spans="1:14" s="127" customFormat="1" ht="18" customHeight="1">
      <c r="A32" s="127" t="s">
        <v>188</v>
      </c>
    </row>
    <row r="33" spans="1:1" s="127" customFormat="1" ht="18" customHeight="1">
      <c r="A33" s="127" t="s">
        <v>244</v>
      </c>
    </row>
    <row r="34" spans="1:1" s="127" customFormat="1" ht="18" customHeight="1">
      <c r="A34" s="127" t="s">
        <v>245</v>
      </c>
    </row>
    <row r="35" spans="1:1" s="127" customFormat="1" ht="18" customHeight="1">
      <c r="A35" s="127" t="s">
        <v>246</v>
      </c>
    </row>
    <row r="36" spans="1:1" s="127" customFormat="1" ht="18" customHeight="1">
      <c r="A36" s="127" t="s">
        <v>247</v>
      </c>
    </row>
    <row r="37" spans="1:1" s="127" customFormat="1" ht="18" customHeight="1">
      <c r="A37" s="127" t="s">
        <v>248</v>
      </c>
    </row>
    <row r="38" spans="1:1" s="127" customFormat="1" ht="18" customHeight="1">
      <c r="A38" s="127" t="s">
        <v>249</v>
      </c>
    </row>
    <row r="62" spans="1:1" ht="18" customHeight="1">
      <c r="A62" s="1" t="s">
        <v>9</v>
      </c>
    </row>
    <row r="63" spans="1:1" ht="18" customHeight="1">
      <c r="A63" s="1" t="s">
        <v>20</v>
      </c>
    </row>
    <row r="64" spans="1:1" ht="18" customHeight="1">
      <c r="A64" s="1" t="s">
        <v>19</v>
      </c>
    </row>
    <row r="65" spans="1:1" ht="18" customHeight="1">
      <c r="A65" s="1" t="s">
        <v>18</v>
      </c>
    </row>
  </sheetData>
  <mergeCells count="16">
    <mergeCell ref="A1:N1"/>
    <mergeCell ref="A2:N2"/>
    <mergeCell ref="A8:A9"/>
    <mergeCell ref="B8:B9"/>
    <mergeCell ref="C8:C9"/>
    <mergeCell ref="D8:D9"/>
    <mergeCell ref="E8:E9"/>
    <mergeCell ref="G8:H8"/>
    <mergeCell ref="I8:J8"/>
    <mergeCell ref="K8:L8"/>
    <mergeCell ref="M8:N8"/>
    <mergeCell ref="A24:B24"/>
    <mergeCell ref="A25:B25"/>
    <mergeCell ref="A26:B26"/>
    <mergeCell ref="A27:B27"/>
    <mergeCell ref="A22:B22"/>
  </mergeCells>
  <phoneticPr fontId="4" type="noConversion"/>
  <hyperlinks>
    <hyperlink ref="N3" location="底稿目录!D13" display="I4-7"/>
  </hyperlinks>
  <printOptions horizontalCentered="1"/>
  <pageMargins left="0.59055118110236227" right="0.59055118110236227" top="0.78740157480314965" bottom="0.39370078740157483" header="0.51181102362204722" footer="0.31496062992125984"/>
  <pageSetup paperSize="9" scale="62" fitToHeight="5"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底稿目录!$A$9:$A$13</xm:f>
          </x14:formula1>
          <xm:sqref>A10:A21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4"/>
  <sheetData>
    <row r="1" spans="1:2">
      <c r="A1" t="s">
        <v>61</v>
      </c>
      <c r="B1" t="s">
        <v>62</v>
      </c>
    </row>
    <row r="2" spans="1:2">
      <c r="A2" t="s">
        <v>63</v>
      </c>
      <c r="B2" t="s">
        <v>64</v>
      </c>
    </row>
    <row r="3" spans="1:2">
      <c r="A3" t="s">
        <v>65</v>
      </c>
      <c r="B3" t="s">
        <v>66</v>
      </c>
    </row>
    <row r="4" spans="1:2">
      <c r="A4" t="s">
        <v>67</v>
      </c>
      <c r="B4" t="s">
        <v>68</v>
      </c>
    </row>
    <row r="5" spans="1:2">
      <c r="A5" t="s">
        <v>69</v>
      </c>
      <c r="B5" t="s">
        <v>70</v>
      </c>
    </row>
    <row r="6" spans="1:2">
      <c r="A6" t="s">
        <v>71</v>
      </c>
      <c r="B6" t="s">
        <v>72</v>
      </c>
    </row>
    <row r="7" spans="1:2">
      <c r="A7" t="s">
        <v>73</v>
      </c>
      <c r="B7" t="s">
        <v>74</v>
      </c>
    </row>
    <row r="8" spans="1:2">
      <c r="A8" t="s">
        <v>75</v>
      </c>
      <c r="B8" t="s">
        <v>76</v>
      </c>
    </row>
  </sheetData>
  <phoneticPr fontId="1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底稿目录</vt:lpstr>
      <vt:lpstr>长期待摊费用实质性程序 I4A</vt:lpstr>
      <vt:lpstr>审定表I4-1</vt:lpstr>
      <vt:lpstr>附注披露（上市公司）</vt:lpstr>
      <vt:lpstr>附注披露（国有企业）</vt:lpstr>
      <vt:lpstr>明细表I4-2</vt:lpstr>
      <vt:lpstr>调整分录汇总I4-3</vt:lpstr>
      <vt:lpstr>摊销政策检查表I4-4</vt:lpstr>
      <vt:lpstr>针对性检查表I4-5</vt:lpstr>
      <vt:lpstr>摊销测算I4-6</vt:lpstr>
      <vt:lpstr>摊销测算表I4-7（工作量法）</vt:lpstr>
      <vt:lpstr>GT_Custom</vt:lpstr>
      <vt:lpstr>'调整分录汇总I4-3'!Print_Area</vt:lpstr>
      <vt:lpstr>'附注披露（国有企业）'!Print_Area</vt:lpstr>
      <vt:lpstr>'附注披露（上市公司）'!Print_Area</vt:lpstr>
      <vt:lpstr>'明细表I4-2'!Print_Area</vt:lpstr>
      <vt:lpstr>'审定表I4-1'!Print_Area</vt:lpstr>
      <vt:lpstr>'摊销测算I4-6'!Print_Area</vt:lpstr>
      <vt:lpstr>'摊销测算表I4-7（工作量法）'!Print_Area</vt:lpstr>
      <vt:lpstr>'摊销政策检查表I4-4'!Print_Area</vt:lpstr>
      <vt:lpstr>'长期待摊费用实质性程序 I4A'!Print_Area</vt:lpstr>
      <vt:lpstr>'针对性检查表I4-5'!Print_Area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2025-10-31T03:17:23Z</dcterms:modified>
</cp:coreProperties>
</file>