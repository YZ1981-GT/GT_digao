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I 无形资产循环 修订10.23\"/>
    </mc:Choice>
  </mc:AlternateContent>
  <bookViews>
    <workbookView xWindow="0" yWindow="0" windowWidth="20748" windowHeight="9696" tabRatio="842"/>
  </bookViews>
  <sheets>
    <sheet name="底稿目录" sheetId="4" r:id="rId1"/>
    <sheet name="无形资产实质性程序 I1A" sheetId="23" r:id="rId2"/>
    <sheet name="审定表I1" sheetId="5" r:id="rId3"/>
    <sheet name="附注披露信息（上市公司）" sheetId="15" r:id="rId4"/>
    <sheet name="附注披露信息（国有企业）" sheetId="16" r:id="rId5"/>
    <sheet name="明细表I1-2" sheetId="6" r:id="rId6"/>
    <sheet name="调整分录汇总I1-3" sheetId="22" r:id="rId7"/>
    <sheet name="无形资产摊销减值政策检查表I1-4" sheetId="18" r:id="rId8"/>
    <sheet name="无形资产增加检查表I1-5" sheetId="10" r:id="rId9"/>
    <sheet name="无形资产减少明细表I1-6" sheetId="11" r:id="rId10"/>
    <sheet name="使用寿命检查表I1-7" sheetId="12" r:id="rId11"/>
    <sheet name="无形资产权属检查表I1-8" sheetId="20" r:id="rId12"/>
    <sheet name="摊销分配分析表I1-9" sheetId="19" r:id="rId13"/>
    <sheet name="摊销测算表（不含减值）I1-10（剩余年限法）" sheetId="9" r:id="rId14"/>
    <sheet name="摊销测算表（含减值）I1-11" sheetId="8" r:id="rId15"/>
    <sheet name="减值准备测试表I1-12" sheetId="13" r:id="rId16"/>
    <sheet name="可收回金额测试I1-13" sheetId="14" r:id="rId17"/>
    <sheet name="GT_Custom" sheetId="17" state="hidden" r:id="rId18"/>
  </sheets>
  <definedNames>
    <definedName name="_xlnm.Print_Area" localSheetId="6">'调整分录汇总I1-3'!$A$1:$J$20</definedName>
    <definedName name="_xlnm.Print_Area" localSheetId="4">'附注披露信息（国有企业）'!$A$1:$E$59</definedName>
    <definedName name="_xlnm.Print_Area" localSheetId="15">'减值准备测试表I1-12'!$A$1:$O$34</definedName>
    <definedName name="_xlnm.Print_Area" localSheetId="16">'可收回金额测试I1-13'!$A$1:$O$29</definedName>
    <definedName name="_xlnm.Print_Area" localSheetId="5">'明细表I1-2'!$A$1:$AU$34</definedName>
    <definedName name="_xlnm.Print_Area" localSheetId="2">审定表I1!$A$1:$I$67</definedName>
    <definedName name="_xlnm.Print_Area" localSheetId="10">'使用寿命检查表I1-7'!$A$1:$M$28</definedName>
    <definedName name="_xlnm.Print_Area" localSheetId="13">'摊销测算表（不含减值）I1-10（剩余年限法）'!$A$1:$P$36</definedName>
    <definedName name="_xlnm.Print_Area" localSheetId="14">'摊销测算表（含减值）I1-11'!$A$1:$X$33</definedName>
    <definedName name="_xlnm.Print_Area" localSheetId="12">'摊销分配分析表I1-9'!$A$1:$J$27</definedName>
    <definedName name="_xlnm.Print_Area" localSheetId="9">'无形资产减少明细表I1-6'!$A$1:$N$37</definedName>
    <definedName name="_xlnm.Print_Area" localSheetId="11">'无形资产权属检查表I1-8'!$A$1:$M$22</definedName>
    <definedName name="_xlnm.Print_Area" localSheetId="1">'无形资产实质性程序 I1A'!$A$1:$I$28</definedName>
    <definedName name="_xlnm.Print_Area" localSheetId="7">'无形资产摊销减值政策检查表I1-4'!$A$1:$J$33</definedName>
    <definedName name="_xlnm.Print_Area" localSheetId="8">'无形资产增加检查表I1-5'!$A$1:$S$30</definedName>
    <definedName name="_xlnm.Print_Titles" localSheetId="5">'明细表I1-2'!$A:$A,'明细表I1-2'!$8:$11</definedName>
    <definedName name="_xlnm.Print_Titles" localSheetId="1">'无形资产实质性程序 I1A'!$15:$16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10" l="1"/>
  <c r="N23" i="14" l="1"/>
  <c r="K23" i="14"/>
  <c r="J23" i="14"/>
  <c r="I23" i="14"/>
  <c r="N20" i="14"/>
  <c r="G20" i="14"/>
  <c r="F20" i="14"/>
  <c r="E20" i="14"/>
  <c r="D20" i="14"/>
  <c r="C20" i="14"/>
  <c r="B20" i="14"/>
  <c r="G19" i="14"/>
  <c r="F19" i="14"/>
  <c r="E19" i="14"/>
  <c r="D19" i="14"/>
  <c r="C19" i="14"/>
  <c r="B19" i="14"/>
  <c r="G18" i="14"/>
  <c r="N14" i="14"/>
  <c r="M14" i="14"/>
  <c r="L14" i="14"/>
  <c r="K14" i="14"/>
  <c r="J14" i="14"/>
  <c r="I14" i="14"/>
  <c r="H14" i="14"/>
  <c r="F14" i="14"/>
  <c r="D14" i="14"/>
  <c r="B14" i="14"/>
  <c r="N13" i="14"/>
  <c r="M13" i="14"/>
  <c r="N12" i="14"/>
  <c r="M12" i="14"/>
  <c r="N11" i="14"/>
  <c r="M11" i="14"/>
  <c r="J4" i="14"/>
  <c r="E4" i="14"/>
  <c r="A4" i="14"/>
  <c r="J3" i="14"/>
  <c r="E3" i="14"/>
  <c r="A3" i="14"/>
  <c r="M29" i="13" a="1"/>
  <c r="L29" i="13" a="1"/>
  <c r="K29" i="13" a="1"/>
  <c r="J29" i="13" a="1"/>
  <c r="J29" i="13"/>
  <c r="I29" i="13" a="1"/>
  <c r="H29" i="13" a="1"/>
  <c r="G29" i="13" a="1"/>
  <c r="G29" i="13"/>
  <c r="A29" i="13"/>
  <c r="M29" i="13" s="1"/>
  <c r="M28" i="13" a="1"/>
  <c r="M28" i="13"/>
  <c r="L28" i="13" a="1"/>
  <c r="L28" i="13"/>
  <c r="K28" i="13" a="1"/>
  <c r="K28" i="13"/>
  <c r="J28" i="13" a="1"/>
  <c r="J28" i="13"/>
  <c r="I28" i="13" a="1"/>
  <c r="I28" i="13"/>
  <c r="H28" i="13" a="1"/>
  <c r="H28" i="13"/>
  <c r="G28" i="13" a="1"/>
  <c r="G28" i="13"/>
  <c r="M27" i="13" a="1"/>
  <c r="M27" i="13"/>
  <c r="L27" i="13" a="1"/>
  <c r="K27" i="13" a="1"/>
  <c r="J27" i="13" a="1"/>
  <c r="I27" i="13" a="1"/>
  <c r="I27" i="13"/>
  <c r="H27" i="13" a="1"/>
  <c r="G27" i="13" a="1"/>
  <c r="A27" i="13"/>
  <c r="L27" i="13" s="1"/>
  <c r="M26" i="13" a="1"/>
  <c r="M26" i="13"/>
  <c r="L26" i="13" a="1"/>
  <c r="L26" i="13"/>
  <c r="K26" i="13" a="1"/>
  <c r="J26" i="13" a="1"/>
  <c r="J26" i="13"/>
  <c r="I26" i="13" a="1"/>
  <c r="I26" i="13"/>
  <c r="H26" i="13" a="1"/>
  <c r="H26" i="13"/>
  <c r="G26" i="13" a="1"/>
  <c r="A26" i="13"/>
  <c r="K26" i="13" s="1"/>
  <c r="M25" i="13" a="1"/>
  <c r="L25" i="13" a="1"/>
  <c r="L25" i="13"/>
  <c r="K25" i="13" a="1"/>
  <c r="J25" i="13" a="1"/>
  <c r="J25" i="13"/>
  <c r="I25" i="13" a="1"/>
  <c r="H25" i="13" a="1"/>
  <c r="H25" i="13"/>
  <c r="G25" i="13" a="1"/>
  <c r="A25" i="13"/>
  <c r="K25" i="13" s="1"/>
  <c r="M24" i="13" a="1"/>
  <c r="M24" i="13"/>
  <c r="L24" i="13" a="1"/>
  <c r="L24" i="13"/>
  <c r="K24" i="13" a="1"/>
  <c r="K24" i="13"/>
  <c r="J24" i="13" a="1"/>
  <c r="I24" i="13" a="1"/>
  <c r="I24" i="13"/>
  <c r="H24" i="13" a="1"/>
  <c r="H24" i="13"/>
  <c r="G24" i="13" a="1"/>
  <c r="G24" i="13"/>
  <c r="A24" i="13"/>
  <c r="J24" i="13" s="1"/>
  <c r="M23" i="13" a="1"/>
  <c r="L23" i="13" a="1"/>
  <c r="K23" i="13" a="1"/>
  <c r="J23" i="13" a="1"/>
  <c r="I23" i="13" a="1"/>
  <c r="H23" i="13" a="1"/>
  <c r="G23" i="13" a="1"/>
  <c r="A23" i="13"/>
  <c r="M22" i="13" a="1"/>
  <c r="L22" i="13" a="1"/>
  <c r="K22" i="13" a="1"/>
  <c r="K22" i="13"/>
  <c r="J22" i="13" a="1"/>
  <c r="J22" i="13"/>
  <c r="I22" i="13" a="1"/>
  <c r="H22" i="13" a="1"/>
  <c r="G22" i="13" a="1"/>
  <c r="G22" i="13"/>
  <c r="A22" i="13"/>
  <c r="M22" i="13" s="1"/>
  <c r="M21" i="13" a="1"/>
  <c r="L21" i="13" a="1"/>
  <c r="K21" i="13" a="1"/>
  <c r="J21" i="13" a="1"/>
  <c r="I21" i="13" a="1"/>
  <c r="H21" i="13" a="1"/>
  <c r="G21" i="13" a="1"/>
  <c r="A21" i="13"/>
  <c r="M21" i="13" s="1"/>
  <c r="M20" i="13" a="1"/>
  <c r="M20" i="13"/>
  <c r="L20" i="13" a="1"/>
  <c r="K20" i="13" a="1"/>
  <c r="K20" i="13"/>
  <c r="J20" i="13" a="1"/>
  <c r="J20" i="13"/>
  <c r="I20" i="13" a="1"/>
  <c r="I20" i="13"/>
  <c r="H20" i="13" a="1"/>
  <c r="G20" i="13" a="1"/>
  <c r="G20" i="13"/>
  <c r="A20" i="13"/>
  <c r="L20" i="13" s="1"/>
  <c r="M19" i="13" a="1"/>
  <c r="M19" i="13"/>
  <c r="L19" i="13" a="1"/>
  <c r="K19" i="13" a="1"/>
  <c r="J19" i="13" a="1"/>
  <c r="I19" i="13" a="1"/>
  <c r="I19" i="13"/>
  <c r="H19" i="13" a="1"/>
  <c r="G19" i="13" a="1"/>
  <c r="A19" i="13"/>
  <c r="L19" i="13" s="1"/>
  <c r="M17" i="13"/>
  <c r="L17" i="13"/>
  <c r="K17" i="13"/>
  <c r="J17" i="13"/>
  <c r="I17" i="13"/>
  <c r="H17" i="13"/>
  <c r="G17" i="13"/>
  <c r="M16" i="13"/>
  <c r="K16" i="13"/>
  <c r="J16" i="13"/>
  <c r="B16" i="13"/>
  <c r="M15" i="13"/>
  <c r="K15" i="13"/>
  <c r="J15" i="13"/>
  <c r="B15" i="13"/>
  <c r="M14" i="13"/>
  <c r="K14" i="13"/>
  <c r="J14" i="13"/>
  <c r="B14" i="13"/>
  <c r="M13" i="13"/>
  <c r="K13" i="13"/>
  <c r="J13" i="13"/>
  <c r="B13" i="13"/>
  <c r="M12" i="13"/>
  <c r="K12" i="13"/>
  <c r="J12" i="13"/>
  <c r="B12" i="13"/>
  <c r="M11" i="13"/>
  <c r="K11" i="13"/>
  <c r="J11" i="13"/>
  <c r="B11" i="13"/>
  <c r="K4" i="13"/>
  <c r="G4" i="13"/>
  <c r="A4" i="13"/>
  <c r="K3" i="13"/>
  <c r="G3" i="13"/>
  <c r="A3" i="13"/>
  <c r="X28" i="8" a="1"/>
  <c r="W28" i="8" a="1"/>
  <c r="V28" i="8" a="1"/>
  <c r="U28" i="8" a="1"/>
  <c r="T28" i="8" a="1"/>
  <c r="S28" i="8" a="1"/>
  <c r="R28" i="8" a="1"/>
  <c r="Q28" i="8" a="1"/>
  <c r="P28" i="8" a="1"/>
  <c r="O28" i="8" a="1"/>
  <c r="E28" i="8" a="1"/>
  <c r="D28" i="8" a="1"/>
  <c r="C28" i="8" a="1"/>
  <c r="A28" i="8"/>
  <c r="X27" i="8" a="1"/>
  <c r="X27" i="8"/>
  <c r="W27" i="8" a="1"/>
  <c r="V27" i="8" a="1"/>
  <c r="U27" i="8" a="1"/>
  <c r="T27" i="8" a="1"/>
  <c r="S27" i="8" a="1"/>
  <c r="R27" i="8" a="1"/>
  <c r="Q27" i="8" a="1"/>
  <c r="P27" i="8" a="1"/>
  <c r="P27" i="8"/>
  <c r="O27" i="8" a="1"/>
  <c r="O27" i="8"/>
  <c r="E27" i="8" a="1"/>
  <c r="D27" i="8" a="1"/>
  <c r="C27" i="8" a="1"/>
  <c r="X26" i="8" a="1"/>
  <c r="X26" i="8"/>
  <c r="W26" i="8" a="1"/>
  <c r="V26" i="8" a="1"/>
  <c r="U26" i="8" a="1"/>
  <c r="T26" i="8" a="1"/>
  <c r="S26" i="8" a="1"/>
  <c r="R26" i="8" a="1"/>
  <c r="Q26" i="8" a="1"/>
  <c r="P26" i="8" a="1"/>
  <c r="P26" i="8"/>
  <c r="O26" i="8" a="1"/>
  <c r="E26" i="8" a="1"/>
  <c r="D26" i="8" a="1"/>
  <c r="C26" i="8" a="1"/>
  <c r="A26" i="8"/>
  <c r="X25" i="8" a="1"/>
  <c r="W25" i="8" a="1"/>
  <c r="V25" i="8" a="1"/>
  <c r="U25" i="8" a="1"/>
  <c r="T25" i="8" a="1"/>
  <c r="S25" i="8" a="1"/>
  <c r="R25" i="8" a="1"/>
  <c r="Q25" i="8" a="1"/>
  <c r="P25" i="8" a="1"/>
  <c r="O25" i="8" a="1"/>
  <c r="E25" i="8" a="1"/>
  <c r="D25" i="8" a="1"/>
  <c r="C25" i="8" a="1"/>
  <c r="A25" i="8"/>
  <c r="X24" i="8" a="1"/>
  <c r="X24" i="8"/>
  <c r="W24" i="8" a="1"/>
  <c r="V24" i="8" a="1"/>
  <c r="U24" i="8" a="1"/>
  <c r="T24" i="8" a="1"/>
  <c r="S24" i="8" a="1"/>
  <c r="R24" i="8" a="1"/>
  <c r="Q24" i="8" a="1"/>
  <c r="P24" i="8" a="1"/>
  <c r="P24" i="8"/>
  <c r="O24" i="8" a="1"/>
  <c r="O24" i="8"/>
  <c r="E24" i="8" a="1"/>
  <c r="D24" i="8" a="1"/>
  <c r="C24" i="8" a="1"/>
  <c r="A24" i="8"/>
  <c r="X23" i="8" a="1"/>
  <c r="W23" i="8" a="1"/>
  <c r="V23" i="8" a="1"/>
  <c r="U23" i="8" a="1"/>
  <c r="T23" i="8" a="1"/>
  <c r="S23" i="8" a="1"/>
  <c r="R23" i="8" a="1"/>
  <c r="Q23" i="8" a="1"/>
  <c r="P23" i="8" a="1"/>
  <c r="O23" i="8" a="1"/>
  <c r="O23" i="8"/>
  <c r="E23" i="8" a="1"/>
  <c r="D23" i="8" a="1"/>
  <c r="C23" i="8" a="1"/>
  <c r="A23" i="8"/>
  <c r="X23" i="8" s="1"/>
  <c r="X22" i="8" a="1"/>
  <c r="X22" i="8"/>
  <c r="W22" i="8" a="1"/>
  <c r="V22" i="8" a="1"/>
  <c r="U22" i="8" a="1"/>
  <c r="T22" i="8" a="1"/>
  <c r="S22" i="8" a="1"/>
  <c r="R22" i="8" a="1"/>
  <c r="Q22" i="8" a="1"/>
  <c r="P22" i="8" a="1"/>
  <c r="P22" i="8"/>
  <c r="O22" i="8" a="1"/>
  <c r="O22" i="8"/>
  <c r="E22" i="8" a="1"/>
  <c r="D22" i="8" a="1"/>
  <c r="C22" i="8" a="1"/>
  <c r="A22" i="8"/>
  <c r="X21" i="8" a="1"/>
  <c r="W21" i="8" a="1"/>
  <c r="V21" i="8" a="1"/>
  <c r="U21" i="8" a="1"/>
  <c r="T21" i="8" a="1"/>
  <c r="S21" i="8" a="1"/>
  <c r="R21" i="8" a="1"/>
  <c r="Q21" i="8" a="1"/>
  <c r="P21" i="8" a="1"/>
  <c r="O21" i="8" a="1"/>
  <c r="E21" i="8" a="1"/>
  <c r="D21" i="8" a="1"/>
  <c r="C21" i="8" a="1"/>
  <c r="A21" i="8"/>
  <c r="X20" i="8" a="1"/>
  <c r="W20" i="8" a="1"/>
  <c r="V20" i="8" a="1"/>
  <c r="U20" i="8" a="1"/>
  <c r="T20" i="8" a="1"/>
  <c r="S20" i="8" a="1"/>
  <c r="R20" i="8" a="1"/>
  <c r="Q20" i="8" a="1"/>
  <c r="P20" i="8" a="1"/>
  <c r="O20" i="8" a="1"/>
  <c r="O20" i="8"/>
  <c r="E20" i="8" a="1"/>
  <c r="D20" i="8" a="1"/>
  <c r="C20" i="8" a="1"/>
  <c r="A20" i="8"/>
  <c r="X20" i="8" s="1"/>
  <c r="X19" i="8" a="1"/>
  <c r="W19" i="8" a="1"/>
  <c r="V19" i="8" a="1"/>
  <c r="U19" i="8" a="1"/>
  <c r="T19" i="8" a="1"/>
  <c r="S19" i="8" a="1"/>
  <c r="R19" i="8" a="1"/>
  <c r="Q19" i="8" a="1"/>
  <c r="P19" i="8" a="1"/>
  <c r="O19" i="8" a="1"/>
  <c r="E19" i="8" a="1"/>
  <c r="D19" i="8" a="1"/>
  <c r="C19" i="8" a="1"/>
  <c r="A19" i="8"/>
  <c r="X18" i="8" a="1"/>
  <c r="X18" i="8"/>
  <c r="W18" i="8" a="1"/>
  <c r="V18" i="8" a="1"/>
  <c r="U18" i="8" a="1"/>
  <c r="T18" i="8" a="1"/>
  <c r="S18" i="8" a="1"/>
  <c r="R18" i="8" a="1"/>
  <c r="Q18" i="8" a="1"/>
  <c r="P18" i="8" a="1"/>
  <c r="P18" i="8"/>
  <c r="O18" i="8" a="1"/>
  <c r="E18" i="8" a="1"/>
  <c r="D18" i="8" a="1"/>
  <c r="C18" i="8" a="1"/>
  <c r="A18" i="8"/>
  <c r="X16" i="8"/>
  <c r="P16" i="8"/>
  <c r="O16" i="8"/>
  <c r="Q15" i="8"/>
  <c r="P15" i="8"/>
  <c r="O15" i="8"/>
  <c r="N15" i="8"/>
  <c r="M15" i="8"/>
  <c r="L15" i="8"/>
  <c r="K15" i="8"/>
  <c r="J15" i="8"/>
  <c r="I15" i="8"/>
  <c r="E15" i="8"/>
  <c r="D15" i="8"/>
  <c r="C15" i="8"/>
  <c r="B15" i="8"/>
  <c r="Q14" i="8"/>
  <c r="P14" i="8"/>
  <c r="O14" i="8"/>
  <c r="N14" i="8"/>
  <c r="M14" i="8"/>
  <c r="L14" i="8"/>
  <c r="K14" i="8"/>
  <c r="J14" i="8"/>
  <c r="I14" i="8"/>
  <c r="E14" i="8"/>
  <c r="D14" i="8"/>
  <c r="C14" i="8"/>
  <c r="B14" i="8"/>
  <c r="Q13" i="8"/>
  <c r="R13" i="8" s="1"/>
  <c r="S13" i="8" s="1"/>
  <c r="P13" i="8"/>
  <c r="O13" i="8"/>
  <c r="N13" i="8"/>
  <c r="M13" i="8"/>
  <c r="L13" i="8"/>
  <c r="K13" i="8"/>
  <c r="J13" i="8"/>
  <c r="I13" i="8"/>
  <c r="E13" i="8"/>
  <c r="D13" i="8"/>
  <c r="C13" i="8"/>
  <c r="B13" i="8"/>
  <c r="Q12" i="8"/>
  <c r="R12" i="8" s="1"/>
  <c r="P12" i="8"/>
  <c r="O12" i="8"/>
  <c r="N12" i="8"/>
  <c r="M12" i="8"/>
  <c r="L12" i="8"/>
  <c r="K12" i="8"/>
  <c r="J12" i="8"/>
  <c r="I12" i="8"/>
  <c r="E12" i="8"/>
  <c r="D12" i="8"/>
  <c r="C12" i="8"/>
  <c r="B12" i="8"/>
  <c r="Q11" i="8"/>
  <c r="P11" i="8"/>
  <c r="O11" i="8"/>
  <c r="N11" i="8"/>
  <c r="M11" i="8"/>
  <c r="L11" i="8"/>
  <c r="K11" i="8"/>
  <c r="J11" i="8"/>
  <c r="I11" i="8"/>
  <c r="E11" i="8"/>
  <c r="D11" i="8"/>
  <c r="C11" i="8"/>
  <c r="B11" i="8"/>
  <c r="Q10" i="8"/>
  <c r="Q20" i="8" s="1"/>
  <c r="P10" i="8"/>
  <c r="O10" i="8"/>
  <c r="N10" i="8"/>
  <c r="M10" i="8"/>
  <c r="L10" i="8"/>
  <c r="K10" i="8"/>
  <c r="J10" i="8"/>
  <c r="I10" i="8"/>
  <c r="E10" i="8"/>
  <c r="E22" i="8" s="1"/>
  <c r="D10" i="8"/>
  <c r="D23" i="8" s="1"/>
  <c r="C10" i="8"/>
  <c r="C26" i="8" s="1"/>
  <c r="B10" i="8"/>
  <c r="Q4" i="8"/>
  <c r="H4" i="8"/>
  <c r="A4" i="8"/>
  <c r="Q3" i="8"/>
  <c r="H3" i="8"/>
  <c r="A3" i="8"/>
  <c r="P29" i="9" a="1"/>
  <c r="P29" i="9"/>
  <c r="O29" i="9" a="1"/>
  <c r="N29" i="9" a="1"/>
  <c r="M29" i="9" a="1"/>
  <c r="K29" i="9" a="1"/>
  <c r="F29" i="9" a="1"/>
  <c r="E29" i="9" a="1"/>
  <c r="D29" i="9" a="1"/>
  <c r="C29" i="9" a="1"/>
  <c r="A29" i="9"/>
  <c r="P28" i="9" a="1"/>
  <c r="P28" i="9"/>
  <c r="O28" i="9" a="1"/>
  <c r="N28" i="9" a="1"/>
  <c r="M28" i="9" a="1"/>
  <c r="K28" i="9" a="1"/>
  <c r="F28" i="9" a="1"/>
  <c r="E28" i="9" a="1"/>
  <c r="D28" i="9" a="1"/>
  <c r="C28" i="9" a="1"/>
  <c r="P27" i="9" a="1"/>
  <c r="O27" i="9" a="1"/>
  <c r="N27" i="9" a="1"/>
  <c r="M27" i="9" a="1"/>
  <c r="K27" i="9" a="1"/>
  <c r="F27" i="9" a="1"/>
  <c r="E27" i="9" a="1"/>
  <c r="D27" i="9" a="1"/>
  <c r="C27" i="9" a="1"/>
  <c r="A27" i="9"/>
  <c r="P26" i="9" a="1"/>
  <c r="P26" i="9"/>
  <c r="O26" i="9" a="1"/>
  <c r="N26" i="9" a="1"/>
  <c r="M26" i="9" a="1"/>
  <c r="K26" i="9" a="1"/>
  <c r="F26" i="9" a="1"/>
  <c r="E26" i="9" a="1"/>
  <c r="D26" i="9" a="1"/>
  <c r="C26" i="9" a="1"/>
  <c r="A26" i="9"/>
  <c r="P25" i="9" a="1"/>
  <c r="O25" i="9" a="1"/>
  <c r="N25" i="9" a="1"/>
  <c r="M25" i="9" a="1"/>
  <c r="K25" i="9" a="1"/>
  <c r="F25" i="9" a="1"/>
  <c r="E25" i="9" a="1"/>
  <c r="D25" i="9" a="1"/>
  <c r="C25" i="9" a="1"/>
  <c r="A25" i="9"/>
  <c r="P24" i="9" a="1"/>
  <c r="P24" i="9"/>
  <c r="O24" i="9" a="1"/>
  <c r="N24" i="9" a="1"/>
  <c r="M24" i="9" a="1"/>
  <c r="K24" i="9" a="1"/>
  <c r="F24" i="9" a="1"/>
  <c r="E24" i="9" a="1"/>
  <c r="D24" i="9" a="1"/>
  <c r="C24" i="9" a="1"/>
  <c r="A24" i="9"/>
  <c r="P23" i="9" a="1"/>
  <c r="O23" i="9" a="1"/>
  <c r="N23" i="9" a="1"/>
  <c r="M23" i="9" a="1"/>
  <c r="K23" i="9" a="1"/>
  <c r="F23" i="9" a="1"/>
  <c r="E23" i="9" a="1"/>
  <c r="D23" i="9" a="1"/>
  <c r="C23" i="9" a="1"/>
  <c r="A23" i="9"/>
  <c r="P23" i="9" s="1"/>
  <c r="P22" i="9" a="1"/>
  <c r="P22" i="9"/>
  <c r="O22" i="9" a="1"/>
  <c r="N22" i="9" a="1"/>
  <c r="M22" i="9" a="1"/>
  <c r="K22" i="9" a="1"/>
  <c r="F22" i="9" a="1"/>
  <c r="E22" i="9" a="1"/>
  <c r="D22" i="9" a="1"/>
  <c r="C22" i="9" a="1"/>
  <c r="A22" i="9"/>
  <c r="P21" i="9" a="1"/>
  <c r="O21" i="9" a="1"/>
  <c r="N21" i="9" a="1"/>
  <c r="M21" i="9" a="1"/>
  <c r="K21" i="9" a="1"/>
  <c r="F21" i="9" a="1"/>
  <c r="E21" i="9" a="1"/>
  <c r="D21" i="9" a="1"/>
  <c r="C21" i="9" a="1"/>
  <c r="A21" i="9"/>
  <c r="P20" i="9" a="1"/>
  <c r="P20" i="9"/>
  <c r="O20" i="9" a="1"/>
  <c r="N20" i="9" a="1"/>
  <c r="M20" i="9" a="1"/>
  <c r="K20" i="9" a="1"/>
  <c r="F20" i="9" a="1"/>
  <c r="E20" i="9" a="1"/>
  <c r="D20" i="9" a="1"/>
  <c r="C20" i="9" a="1"/>
  <c r="A20" i="9"/>
  <c r="P19" i="9" a="1"/>
  <c r="O19" i="9" a="1"/>
  <c r="N19" i="9" a="1"/>
  <c r="M19" i="9" a="1"/>
  <c r="K19" i="9" a="1"/>
  <c r="F19" i="9" a="1"/>
  <c r="E19" i="9" a="1"/>
  <c r="D19" i="9" a="1"/>
  <c r="C19" i="9" a="1"/>
  <c r="A19" i="9"/>
  <c r="P17" i="9"/>
  <c r="N16" i="9"/>
  <c r="L16" i="9"/>
  <c r="J16" i="9"/>
  <c r="I16" i="9"/>
  <c r="E16" i="9"/>
  <c r="D16" i="9"/>
  <c r="D20" i="9" s="1"/>
  <c r="C16" i="9"/>
  <c r="F16" i="9" s="1"/>
  <c r="K16" i="9" s="1"/>
  <c r="M16" i="9" s="1"/>
  <c r="B16" i="9"/>
  <c r="N15" i="9"/>
  <c r="L15" i="9"/>
  <c r="J15" i="9"/>
  <c r="I15" i="9"/>
  <c r="F15" i="9"/>
  <c r="K15" i="9" s="1"/>
  <c r="E15" i="9"/>
  <c r="D15" i="9"/>
  <c r="C15" i="9"/>
  <c r="B15" i="9"/>
  <c r="N14" i="9"/>
  <c r="L14" i="9"/>
  <c r="J14" i="9"/>
  <c r="I14" i="9"/>
  <c r="E14" i="9"/>
  <c r="D14" i="9"/>
  <c r="C14" i="9"/>
  <c r="F14" i="9" s="1"/>
  <c r="K14" i="9" s="1"/>
  <c r="M14" i="9" s="1"/>
  <c r="O14" i="9" s="1"/>
  <c r="B14" i="9"/>
  <c r="N13" i="9"/>
  <c r="L13" i="9"/>
  <c r="J13" i="9"/>
  <c r="I13" i="9"/>
  <c r="E13" i="9"/>
  <c r="D13" i="9"/>
  <c r="C13" i="9"/>
  <c r="F13" i="9" s="1"/>
  <c r="K13" i="9" s="1"/>
  <c r="M13" i="9" s="1"/>
  <c r="O13" i="9" s="1"/>
  <c r="B13" i="9"/>
  <c r="N12" i="9"/>
  <c r="L12" i="9"/>
  <c r="J12" i="9"/>
  <c r="I12" i="9"/>
  <c r="E12" i="9"/>
  <c r="D12" i="9"/>
  <c r="C12" i="9"/>
  <c r="B12" i="9"/>
  <c r="N11" i="9"/>
  <c r="N20" i="9" s="1"/>
  <c r="L11" i="9"/>
  <c r="J11" i="9"/>
  <c r="I11" i="9"/>
  <c r="E11" i="9"/>
  <c r="E26" i="9" s="1"/>
  <c r="D11" i="9"/>
  <c r="D29" i="9" s="1"/>
  <c r="C11" i="9"/>
  <c r="C22" i="9" s="1"/>
  <c r="B11" i="9"/>
  <c r="K4" i="9"/>
  <c r="D4" i="9"/>
  <c r="A4" i="9"/>
  <c r="K3" i="9"/>
  <c r="D3" i="9"/>
  <c r="A3" i="9"/>
  <c r="H23" i="19"/>
  <c r="G23" i="19"/>
  <c r="F23" i="19"/>
  <c r="E23" i="19"/>
  <c r="D23" i="19"/>
  <c r="C23" i="19"/>
  <c r="I22" i="19"/>
  <c r="I21" i="19"/>
  <c r="I20" i="19"/>
  <c r="I19" i="19"/>
  <c r="I18" i="19"/>
  <c r="I17" i="19"/>
  <c r="I16" i="19"/>
  <c r="I15" i="19"/>
  <c r="I14" i="19"/>
  <c r="I13" i="19"/>
  <c r="I12" i="19"/>
  <c r="I23" i="19" s="1"/>
  <c r="G4" i="19"/>
  <c r="D4" i="19"/>
  <c r="A4" i="19"/>
  <c r="G3" i="19"/>
  <c r="D3" i="19"/>
  <c r="A3" i="19"/>
  <c r="J17" i="20"/>
  <c r="J16" i="20"/>
  <c r="J15" i="20"/>
  <c r="J14" i="20"/>
  <c r="J13" i="20"/>
  <c r="J12" i="20"/>
  <c r="J11" i="20"/>
  <c r="J10" i="20"/>
  <c r="H4" i="20"/>
  <c r="D4" i="20"/>
  <c r="A4" i="20"/>
  <c r="H3" i="20"/>
  <c r="D3" i="20"/>
  <c r="A3" i="20"/>
  <c r="G4" i="12"/>
  <c r="D4" i="12"/>
  <c r="A4" i="12"/>
  <c r="G3" i="12"/>
  <c r="D3" i="12"/>
  <c r="A3" i="12"/>
  <c r="I29" i="11"/>
  <c r="H29" i="11"/>
  <c r="G29" i="11"/>
  <c r="E29" i="11"/>
  <c r="D29" i="11"/>
  <c r="C29" i="11"/>
  <c r="B29" i="11"/>
  <c r="I28" i="11"/>
  <c r="E28" i="11"/>
  <c r="I27" i="11"/>
  <c r="E27" i="11"/>
  <c r="I26" i="11"/>
  <c r="E26" i="11"/>
  <c r="I25" i="11"/>
  <c r="E25" i="11"/>
  <c r="I24" i="11"/>
  <c r="E24" i="11"/>
  <c r="I23" i="11"/>
  <c r="E23" i="11"/>
  <c r="I22" i="11"/>
  <c r="E22" i="11"/>
  <c r="I21" i="11"/>
  <c r="E21" i="11"/>
  <c r="I4" i="11"/>
  <c r="D4" i="11"/>
  <c r="A4" i="11"/>
  <c r="I3" i="11"/>
  <c r="D3" i="11"/>
  <c r="A3" i="11"/>
  <c r="L23" i="10"/>
  <c r="K23" i="10"/>
  <c r="I23" i="10"/>
  <c r="B23" i="10"/>
  <c r="B25" i="10" s="1"/>
  <c r="L4" i="10"/>
  <c r="E4" i="10"/>
  <c r="A4" i="10"/>
  <c r="L3" i="10"/>
  <c r="E3" i="10"/>
  <c r="A3" i="10"/>
  <c r="G4" i="18"/>
  <c r="D4" i="18"/>
  <c r="A4" i="18"/>
  <c r="G3" i="18"/>
  <c r="D3" i="18"/>
  <c r="A3" i="18"/>
  <c r="F4" i="22"/>
  <c r="C4" i="22"/>
  <c r="A4" i="22"/>
  <c r="F3" i="22"/>
  <c r="C3" i="22"/>
  <c r="A3" i="22"/>
  <c r="AS30" i="6" a="1"/>
  <c r="AR30" i="6" a="1"/>
  <c r="AQ30" i="6" a="1"/>
  <c r="AP30" i="6" a="1"/>
  <c r="AO30" i="6" a="1"/>
  <c r="AN30" i="6" a="1"/>
  <c r="AM30" i="6" a="1"/>
  <c r="AL30" i="6" a="1"/>
  <c r="AK30" i="6" a="1"/>
  <c r="AJ30" i="6" a="1"/>
  <c r="AI30" i="6" a="1"/>
  <c r="AH30" i="6" a="1"/>
  <c r="AG30" i="6" a="1"/>
  <c r="AF30" i="6" a="1"/>
  <c r="AE30" i="6" a="1"/>
  <c r="AD30" i="6" a="1"/>
  <c r="AC30" i="6" a="1"/>
  <c r="AB30" i="6" a="1"/>
  <c r="AA30" i="6" a="1"/>
  <c r="Z30" i="6" a="1"/>
  <c r="Y30" i="6" a="1"/>
  <c r="X30" i="6" a="1"/>
  <c r="W30" i="6" a="1"/>
  <c r="V30" i="6" a="1"/>
  <c r="U30" i="6" a="1"/>
  <c r="T30" i="6" a="1"/>
  <c r="S30" i="6" a="1"/>
  <c r="R30" i="6" a="1"/>
  <c r="Q30" i="6" a="1"/>
  <c r="P30" i="6" a="1"/>
  <c r="O30" i="6" a="1"/>
  <c r="N30" i="6" a="1"/>
  <c r="M30" i="6" a="1"/>
  <c r="L30" i="6" a="1"/>
  <c r="K30" i="6" a="1"/>
  <c r="J30" i="6" a="1"/>
  <c r="I30" i="6" a="1"/>
  <c r="H30" i="6" a="1"/>
  <c r="F30" i="6" a="1"/>
  <c r="D30" i="6" a="1"/>
  <c r="C30" i="6" a="1"/>
  <c r="A30" i="6"/>
  <c r="AS29" i="6" a="1"/>
  <c r="AS29" i="6"/>
  <c r="AR29" i="6" a="1"/>
  <c r="AR29" i="6"/>
  <c r="AQ29" i="6" a="1"/>
  <c r="AQ29" i="6"/>
  <c r="AP29" i="6" a="1"/>
  <c r="AP29" i="6"/>
  <c r="AO29" i="6" a="1"/>
  <c r="AO29" i="6"/>
  <c r="AN29" i="6" a="1"/>
  <c r="AN29" i="6"/>
  <c r="AM29" i="6" a="1"/>
  <c r="AM29" i="6"/>
  <c r="AL29" i="6" a="1"/>
  <c r="AL29" i="6"/>
  <c r="AK29" i="6" a="1"/>
  <c r="AK29" i="6"/>
  <c r="AJ29" i="6" a="1"/>
  <c r="AJ29" i="6"/>
  <c r="AI29" i="6" a="1"/>
  <c r="AI29" i="6"/>
  <c r="AH29" i="6" a="1"/>
  <c r="AH29" i="6"/>
  <c r="AG29" i="6" a="1"/>
  <c r="AG29" i="6"/>
  <c r="AF29" i="6" a="1"/>
  <c r="AF29" i="6"/>
  <c r="AE29" i="6" a="1"/>
  <c r="AE29" i="6"/>
  <c r="AD29" i="6" a="1"/>
  <c r="AD29" i="6"/>
  <c r="AC29" i="6" a="1"/>
  <c r="AC29" i="6"/>
  <c r="AB29" i="6" a="1"/>
  <c r="AB29" i="6"/>
  <c r="AA29" i="6" a="1"/>
  <c r="AA29" i="6"/>
  <c r="Z29" i="6" a="1"/>
  <c r="Z29" i="6"/>
  <c r="Y29" i="6" a="1"/>
  <c r="Y29" i="6"/>
  <c r="X29" i="6" a="1"/>
  <c r="X29" i="6"/>
  <c r="W29" i="6" a="1"/>
  <c r="W29" i="6"/>
  <c r="V29" i="6" a="1"/>
  <c r="V29" i="6"/>
  <c r="U29" i="6" a="1"/>
  <c r="U29" i="6"/>
  <c r="T29" i="6" a="1"/>
  <c r="T29" i="6"/>
  <c r="S29" i="6" a="1"/>
  <c r="S29" i="6"/>
  <c r="R29" i="6" a="1"/>
  <c r="R29" i="6"/>
  <c r="Q29" i="6" a="1"/>
  <c r="Q29" i="6"/>
  <c r="P29" i="6" a="1"/>
  <c r="P29" i="6"/>
  <c r="O29" i="6" a="1"/>
  <c r="O29" i="6"/>
  <c r="N29" i="6" a="1"/>
  <c r="N29" i="6"/>
  <c r="M29" i="6" a="1"/>
  <c r="M29" i="6"/>
  <c r="L29" i="6" a="1"/>
  <c r="L29" i="6"/>
  <c r="K29" i="6" a="1"/>
  <c r="K29" i="6"/>
  <c r="J29" i="6" a="1"/>
  <c r="J29" i="6"/>
  <c r="I29" i="6" a="1"/>
  <c r="I29" i="6"/>
  <c r="H29" i="6" a="1"/>
  <c r="H29" i="6"/>
  <c r="F29" i="6" a="1"/>
  <c r="F29" i="6"/>
  <c r="D29" i="6" a="1"/>
  <c r="D29" i="6"/>
  <c r="C29" i="6" a="1"/>
  <c r="C29" i="6"/>
  <c r="AS28" i="6" a="1"/>
  <c r="AR28" i="6" a="1"/>
  <c r="AR28" i="6"/>
  <c r="AQ28" i="6" a="1"/>
  <c r="AQ28" i="6"/>
  <c r="AP28" i="6" a="1"/>
  <c r="AP28" i="6"/>
  <c r="AO28" i="6" a="1"/>
  <c r="AN28" i="6" a="1"/>
  <c r="AN28" i="6"/>
  <c r="AM28" i="6" a="1"/>
  <c r="AM28" i="6"/>
  <c r="AL28" i="6" a="1"/>
  <c r="AL28" i="6"/>
  <c r="AK28" i="6" a="1"/>
  <c r="AJ28" i="6" a="1"/>
  <c r="AJ28" i="6"/>
  <c r="AI28" i="6" a="1"/>
  <c r="AI28" i="6"/>
  <c r="AH28" i="6" a="1"/>
  <c r="AH28" i="6"/>
  <c r="AG28" i="6" a="1"/>
  <c r="AF28" i="6" a="1"/>
  <c r="AF28" i="6"/>
  <c r="AE28" i="6" a="1"/>
  <c r="AE28" i="6"/>
  <c r="AD28" i="6" a="1"/>
  <c r="AD28" i="6"/>
  <c r="AC28" i="6" a="1"/>
  <c r="AB28" i="6" a="1"/>
  <c r="AB28" i="6"/>
  <c r="AA28" i="6" a="1"/>
  <c r="AA28" i="6"/>
  <c r="Z28" i="6" a="1"/>
  <c r="Z28" i="6"/>
  <c r="Y28" i="6" a="1"/>
  <c r="X28" i="6" a="1"/>
  <c r="X28" i="6"/>
  <c r="W28" i="6" a="1"/>
  <c r="W28" i="6"/>
  <c r="V28" i="6" a="1"/>
  <c r="V28" i="6"/>
  <c r="U28" i="6" a="1"/>
  <c r="T28" i="6" a="1"/>
  <c r="T28" i="6"/>
  <c r="S28" i="6" a="1"/>
  <c r="S28" i="6"/>
  <c r="R28" i="6" a="1"/>
  <c r="R28" i="6"/>
  <c r="Q28" i="6" a="1"/>
  <c r="Q28" i="6"/>
  <c r="P28" i="6" a="1"/>
  <c r="P28" i="6"/>
  <c r="O28" i="6" a="1"/>
  <c r="O28" i="6"/>
  <c r="N28" i="6" a="1"/>
  <c r="N28" i="6"/>
  <c r="M28" i="6" a="1"/>
  <c r="M28" i="6"/>
  <c r="L28" i="6" a="1"/>
  <c r="L28" i="6"/>
  <c r="K28" i="6" a="1"/>
  <c r="K28" i="6"/>
  <c r="J28" i="6" a="1"/>
  <c r="J28" i="6"/>
  <c r="I28" i="6" a="1"/>
  <c r="I28" i="6"/>
  <c r="H28" i="6" a="1"/>
  <c r="H28" i="6"/>
  <c r="F28" i="6" a="1"/>
  <c r="F28" i="6"/>
  <c r="D28" i="6" a="1"/>
  <c r="D28" i="6"/>
  <c r="C28" i="6" a="1"/>
  <c r="C28" i="6"/>
  <c r="A28" i="6"/>
  <c r="AS28" i="6" s="1"/>
  <c r="AS27" i="6" a="1"/>
  <c r="AR27" i="6" a="1"/>
  <c r="AQ27" i="6" a="1"/>
  <c r="AP27" i="6" a="1"/>
  <c r="AO27" i="6" a="1"/>
  <c r="AN27" i="6" a="1"/>
  <c r="AM27" i="6" a="1"/>
  <c r="AL27" i="6" a="1"/>
  <c r="AK27" i="6" a="1"/>
  <c r="AJ27" i="6" a="1"/>
  <c r="AI27" i="6" a="1"/>
  <c r="AH27" i="6" a="1"/>
  <c r="AG27" i="6" a="1"/>
  <c r="AF27" i="6" a="1"/>
  <c r="AE27" i="6" a="1"/>
  <c r="AD27" i="6" a="1"/>
  <c r="AC27" i="6" a="1"/>
  <c r="AB27" i="6" a="1"/>
  <c r="AA27" i="6" a="1"/>
  <c r="Z27" i="6" a="1"/>
  <c r="Y27" i="6" a="1"/>
  <c r="X27" i="6" a="1"/>
  <c r="W27" i="6" a="1"/>
  <c r="V27" i="6" a="1"/>
  <c r="U27" i="6" a="1"/>
  <c r="T27" i="6" a="1"/>
  <c r="S27" i="6" a="1"/>
  <c r="R27" i="6" a="1"/>
  <c r="Q27" i="6" a="1"/>
  <c r="P27" i="6" a="1"/>
  <c r="O27" i="6" a="1"/>
  <c r="N27" i="6" a="1"/>
  <c r="M27" i="6" a="1"/>
  <c r="L27" i="6" a="1"/>
  <c r="K27" i="6" a="1"/>
  <c r="J27" i="6" a="1"/>
  <c r="I27" i="6" a="1"/>
  <c r="H27" i="6" a="1"/>
  <c r="F27" i="6" a="1"/>
  <c r="D27" i="6" a="1"/>
  <c r="C27" i="6" a="1"/>
  <c r="A27" i="6"/>
  <c r="AS26" i="6" a="1"/>
  <c r="AS26" i="6"/>
  <c r="AR26" i="6" a="1"/>
  <c r="AR26" i="6"/>
  <c r="AQ26" i="6" a="1"/>
  <c r="AQ26" i="6"/>
  <c r="AP26" i="6" a="1"/>
  <c r="AP26" i="6"/>
  <c r="AO26" i="6" a="1"/>
  <c r="AO26" i="6"/>
  <c r="AN26" i="6" a="1"/>
  <c r="AN26" i="6"/>
  <c r="AM26" i="6" a="1"/>
  <c r="AM26" i="6"/>
  <c r="AL26" i="6" a="1"/>
  <c r="AL26" i="6"/>
  <c r="AK26" i="6" a="1"/>
  <c r="AK26" i="6"/>
  <c r="AJ26" i="6" a="1"/>
  <c r="AJ26" i="6"/>
  <c r="AI26" i="6" a="1"/>
  <c r="AI26" i="6"/>
  <c r="AH26" i="6" a="1"/>
  <c r="AH26" i="6"/>
  <c r="AG26" i="6" a="1"/>
  <c r="AG26" i="6"/>
  <c r="AF26" i="6" a="1"/>
  <c r="AF26" i="6"/>
  <c r="AE26" i="6" a="1"/>
  <c r="AE26" i="6"/>
  <c r="AD26" i="6" a="1"/>
  <c r="AD26" i="6"/>
  <c r="AC26" i="6" a="1"/>
  <c r="AC26" i="6"/>
  <c r="AB26" i="6" a="1"/>
  <c r="AB26" i="6"/>
  <c r="AA26" i="6" a="1"/>
  <c r="AA26" i="6"/>
  <c r="Z26" i="6" a="1"/>
  <c r="Z26" i="6"/>
  <c r="Y26" i="6" a="1"/>
  <c r="Y26" i="6"/>
  <c r="X26" i="6" a="1"/>
  <c r="X26" i="6"/>
  <c r="W26" i="6" a="1"/>
  <c r="W26" i="6"/>
  <c r="V26" i="6" a="1"/>
  <c r="V26" i="6"/>
  <c r="U26" i="6" a="1"/>
  <c r="U26" i="6"/>
  <c r="T26" i="6" a="1"/>
  <c r="T26" i="6"/>
  <c r="S26" i="6" a="1"/>
  <c r="S26" i="6"/>
  <c r="R26" i="6" a="1"/>
  <c r="R26" i="6"/>
  <c r="Q26" i="6" a="1"/>
  <c r="Q26" i="6"/>
  <c r="P26" i="6" a="1"/>
  <c r="P26" i="6"/>
  <c r="O26" i="6" a="1"/>
  <c r="O26" i="6"/>
  <c r="N26" i="6" a="1"/>
  <c r="N26" i="6"/>
  <c r="M26" i="6" a="1"/>
  <c r="M26" i="6"/>
  <c r="L26" i="6" a="1"/>
  <c r="L26" i="6"/>
  <c r="K26" i="6" a="1"/>
  <c r="K26" i="6"/>
  <c r="J26" i="6" a="1"/>
  <c r="J26" i="6"/>
  <c r="I26" i="6" a="1"/>
  <c r="I26" i="6"/>
  <c r="H26" i="6" a="1"/>
  <c r="H26" i="6"/>
  <c r="F26" i="6" a="1"/>
  <c r="F26" i="6"/>
  <c r="D26" i="6" a="1"/>
  <c r="D26" i="6"/>
  <c r="C26" i="6" a="1"/>
  <c r="C26" i="6"/>
  <c r="A26" i="6"/>
  <c r="AS25" i="6" a="1"/>
  <c r="AR25" i="6" a="1"/>
  <c r="AQ25" i="6" a="1"/>
  <c r="AP25" i="6" a="1"/>
  <c r="AO25" i="6" a="1"/>
  <c r="AN25" i="6" a="1"/>
  <c r="AM25" i="6" a="1"/>
  <c r="AL25" i="6" a="1"/>
  <c r="AK25" i="6" a="1"/>
  <c r="AJ25" i="6" a="1"/>
  <c r="AI25" i="6" a="1"/>
  <c r="AH25" i="6" a="1"/>
  <c r="AG25" i="6" a="1"/>
  <c r="AF25" i="6" a="1"/>
  <c r="AE25" i="6" a="1"/>
  <c r="AD25" i="6" a="1"/>
  <c r="AC25" i="6" a="1"/>
  <c r="AB25" i="6" a="1"/>
  <c r="AA25" i="6" a="1"/>
  <c r="Z25" i="6" a="1"/>
  <c r="Y25" i="6" a="1"/>
  <c r="X25" i="6" a="1"/>
  <c r="W25" i="6" a="1"/>
  <c r="V25" i="6" a="1"/>
  <c r="U25" i="6" a="1"/>
  <c r="T25" i="6" a="1"/>
  <c r="S25" i="6" a="1"/>
  <c r="R25" i="6" a="1"/>
  <c r="Q25" i="6" a="1"/>
  <c r="P25" i="6" a="1"/>
  <c r="O25" i="6" a="1"/>
  <c r="N25" i="6" a="1"/>
  <c r="M25" i="6" a="1"/>
  <c r="L25" i="6" a="1"/>
  <c r="K25" i="6" a="1"/>
  <c r="J25" i="6" a="1"/>
  <c r="I25" i="6" a="1"/>
  <c r="H25" i="6" a="1"/>
  <c r="F25" i="6" a="1"/>
  <c r="D25" i="6" a="1"/>
  <c r="C25" i="6" a="1"/>
  <c r="A25" i="6"/>
  <c r="AS24" i="6" a="1"/>
  <c r="AS24" i="6"/>
  <c r="AR24" i="6" a="1"/>
  <c r="AR24" i="6"/>
  <c r="AQ24" i="6" a="1"/>
  <c r="AQ24" i="6"/>
  <c r="AP24" i="6" a="1"/>
  <c r="AP24" i="6"/>
  <c r="AO24" i="6" a="1"/>
  <c r="AO24" i="6"/>
  <c r="AN24" i="6" a="1"/>
  <c r="AN24" i="6"/>
  <c r="AM24" i="6" a="1"/>
  <c r="AM24" i="6"/>
  <c r="AL24" i="6" a="1"/>
  <c r="AL24" i="6"/>
  <c r="AK24" i="6" a="1"/>
  <c r="AK24" i="6"/>
  <c r="AJ24" i="6" a="1"/>
  <c r="AJ24" i="6"/>
  <c r="AI24" i="6" a="1"/>
  <c r="AI24" i="6"/>
  <c r="AH24" i="6" a="1"/>
  <c r="AH24" i="6"/>
  <c r="AG24" i="6" a="1"/>
  <c r="AG24" i="6"/>
  <c r="AF24" i="6" a="1"/>
  <c r="AF24" i="6"/>
  <c r="AE24" i="6" a="1"/>
  <c r="AE24" i="6"/>
  <c r="AD24" i="6" a="1"/>
  <c r="AD24" i="6"/>
  <c r="AC24" i="6" a="1"/>
  <c r="AC24" i="6"/>
  <c r="AB24" i="6" a="1"/>
  <c r="AB24" i="6"/>
  <c r="AA24" i="6" a="1"/>
  <c r="AA24" i="6"/>
  <c r="Z24" i="6" a="1"/>
  <c r="Z24" i="6"/>
  <c r="Y24" i="6" a="1"/>
  <c r="Y24" i="6"/>
  <c r="X24" i="6" a="1"/>
  <c r="X24" i="6"/>
  <c r="W24" i="6" a="1"/>
  <c r="W24" i="6"/>
  <c r="V24" i="6" a="1"/>
  <c r="V24" i="6"/>
  <c r="U24" i="6" a="1"/>
  <c r="U24" i="6"/>
  <c r="T24" i="6" a="1"/>
  <c r="T24" i="6"/>
  <c r="S24" i="6" a="1"/>
  <c r="S24" i="6"/>
  <c r="R24" i="6" a="1"/>
  <c r="R24" i="6"/>
  <c r="Q24" i="6" a="1"/>
  <c r="Q24" i="6"/>
  <c r="P24" i="6" a="1"/>
  <c r="P24" i="6"/>
  <c r="O24" i="6" a="1"/>
  <c r="O24" i="6"/>
  <c r="N24" i="6" a="1"/>
  <c r="N24" i="6"/>
  <c r="M24" i="6" a="1"/>
  <c r="M24" i="6"/>
  <c r="L24" i="6" a="1"/>
  <c r="L24" i="6"/>
  <c r="K24" i="6" a="1"/>
  <c r="K24" i="6"/>
  <c r="J24" i="6" a="1"/>
  <c r="J24" i="6"/>
  <c r="I24" i="6" a="1"/>
  <c r="I24" i="6"/>
  <c r="H24" i="6" a="1"/>
  <c r="H24" i="6"/>
  <c r="F24" i="6" a="1"/>
  <c r="F24" i="6"/>
  <c r="D24" i="6" a="1"/>
  <c r="D24" i="6"/>
  <c r="C24" i="6" a="1"/>
  <c r="C24" i="6"/>
  <c r="A24" i="6"/>
  <c r="AS23" i="6" a="1"/>
  <c r="AR23" i="6" a="1"/>
  <c r="AQ23" i="6" a="1"/>
  <c r="AP23" i="6" a="1"/>
  <c r="AO23" i="6" a="1"/>
  <c r="AN23" i="6" a="1"/>
  <c r="AM23" i="6" a="1"/>
  <c r="AL23" i="6" a="1"/>
  <c r="AK23" i="6" a="1"/>
  <c r="AJ23" i="6" a="1"/>
  <c r="AI23" i="6" a="1"/>
  <c r="AH23" i="6" a="1"/>
  <c r="AG23" i="6" a="1"/>
  <c r="AF23" i="6" a="1"/>
  <c r="AE23" i="6" a="1"/>
  <c r="AD23" i="6" a="1"/>
  <c r="AC23" i="6" a="1"/>
  <c r="AB23" i="6" a="1"/>
  <c r="AA23" i="6" a="1"/>
  <c r="Z23" i="6" a="1"/>
  <c r="Y23" i="6" a="1"/>
  <c r="X23" i="6" a="1"/>
  <c r="W23" i="6" a="1"/>
  <c r="V23" i="6" a="1"/>
  <c r="U23" i="6" a="1"/>
  <c r="T23" i="6" a="1"/>
  <c r="S23" i="6" a="1"/>
  <c r="R23" i="6" a="1"/>
  <c r="Q23" i="6" a="1"/>
  <c r="P23" i="6" a="1"/>
  <c r="O23" i="6" a="1"/>
  <c r="N23" i="6" a="1"/>
  <c r="M23" i="6" a="1"/>
  <c r="L23" i="6" a="1"/>
  <c r="K23" i="6" a="1"/>
  <c r="J23" i="6" a="1"/>
  <c r="I23" i="6" a="1"/>
  <c r="H23" i="6" a="1"/>
  <c r="F23" i="6" a="1"/>
  <c r="D23" i="6" a="1"/>
  <c r="C23" i="6" a="1"/>
  <c r="A23" i="6"/>
  <c r="AS22" i="6" a="1"/>
  <c r="AS22" i="6"/>
  <c r="AR22" i="6" a="1"/>
  <c r="AR22" i="6"/>
  <c r="AQ22" i="6" a="1"/>
  <c r="AQ22" i="6"/>
  <c r="AP22" i="6" a="1"/>
  <c r="AP22" i="6"/>
  <c r="AO22" i="6" a="1"/>
  <c r="AO22" i="6"/>
  <c r="AN22" i="6" a="1"/>
  <c r="AN22" i="6"/>
  <c r="AM22" i="6" a="1"/>
  <c r="AM22" i="6"/>
  <c r="AL22" i="6" a="1"/>
  <c r="AL22" i="6"/>
  <c r="AK22" i="6" a="1"/>
  <c r="AK22" i="6"/>
  <c r="AJ22" i="6" a="1"/>
  <c r="AJ22" i="6"/>
  <c r="AI22" i="6" a="1"/>
  <c r="AI22" i="6"/>
  <c r="AH22" i="6" a="1"/>
  <c r="AH22" i="6"/>
  <c r="AG22" i="6" a="1"/>
  <c r="AG22" i="6"/>
  <c r="AF22" i="6" a="1"/>
  <c r="AF22" i="6"/>
  <c r="AE22" i="6" a="1"/>
  <c r="AE22" i="6"/>
  <c r="AD22" i="6" a="1"/>
  <c r="AD22" i="6"/>
  <c r="AC22" i="6" a="1"/>
  <c r="AC22" i="6"/>
  <c r="AB22" i="6" a="1"/>
  <c r="AB22" i="6"/>
  <c r="AA22" i="6" a="1"/>
  <c r="AA22" i="6"/>
  <c r="Z22" i="6" a="1"/>
  <c r="Z22" i="6"/>
  <c r="Y22" i="6" a="1"/>
  <c r="Y22" i="6"/>
  <c r="X22" i="6" a="1"/>
  <c r="X22" i="6"/>
  <c r="W22" i="6" a="1"/>
  <c r="W22" i="6"/>
  <c r="V22" i="6" a="1"/>
  <c r="V22" i="6"/>
  <c r="U22" i="6" a="1"/>
  <c r="U22" i="6"/>
  <c r="T22" i="6" a="1"/>
  <c r="T22" i="6"/>
  <c r="S22" i="6" a="1"/>
  <c r="S22" i="6"/>
  <c r="R22" i="6" a="1"/>
  <c r="R22" i="6"/>
  <c r="Q22" i="6" a="1"/>
  <c r="Q22" i="6"/>
  <c r="P22" i="6" a="1"/>
  <c r="P22" i="6"/>
  <c r="O22" i="6" a="1"/>
  <c r="O22" i="6"/>
  <c r="N22" i="6" a="1"/>
  <c r="N22" i="6"/>
  <c r="M22" i="6" a="1"/>
  <c r="M22" i="6"/>
  <c r="L22" i="6" a="1"/>
  <c r="L22" i="6"/>
  <c r="K22" i="6" a="1"/>
  <c r="K22" i="6"/>
  <c r="J22" i="6" a="1"/>
  <c r="J22" i="6"/>
  <c r="I22" i="6" a="1"/>
  <c r="I22" i="6"/>
  <c r="H22" i="6" a="1"/>
  <c r="H22" i="6"/>
  <c r="F22" i="6" a="1"/>
  <c r="F22" i="6"/>
  <c r="D22" i="6" a="1"/>
  <c r="D22" i="6"/>
  <c r="C22" i="6" a="1"/>
  <c r="C22" i="6"/>
  <c r="A22" i="6"/>
  <c r="AS21" i="6" a="1"/>
  <c r="AR21" i="6" a="1"/>
  <c r="AQ21" i="6" a="1"/>
  <c r="AP21" i="6" a="1"/>
  <c r="AO21" i="6" a="1"/>
  <c r="AN21" i="6" a="1"/>
  <c r="AM21" i="6" a="1"/>
  <c r="AL21" i="6" a="1"/>
  <c r="AK21" i="6" a="1"/>
  <c r="AJ21" i="6" a="1"/>
  <c r="AI21" i="6" a="1"/>
  <c r="AH21" i="6" a="1"/>
  <c r="AG21" i="6" a="1"/>
  <c r="AF21" i="6" a="1"/>
  <c r="AE21" i="6" a="1"/>
  <c r="AD21" i="6" a="1"/>
  <c r="AC21" i="6" a="1"/>
  <c r="AB21" i="6" a="1"/>
  <c r="AA21" i="6" a="1"/>
  <c r="Z21" i="6" a="1"/>
  <c r="Y21" i="6" a="1"/>
  <c r="X21" i="6" a="1"/>
  <c r="W21" i="6" a="1"/>
  <c r="V21" i="6" a="1"/>
  <c r="U21" i="6" a="1"/>
  <c r="T21" i="6" a="1"/>
  <c r="S21" i="6" a="1"/>
  <c r="R21" i="6" a="1"/>
  <c r="Q21" i="6" a="1"/>
  <c r="P21" i="6" a="1"/>
  <c r="O21" i="6" a="1"/>
  <c r="N21" i="6" a="1"/>
  <c r="M21" i="6" a="1"/>
  <c r="L21" i="6" a="1"/>
  <c r="K21" i="6" a="1"/>
  <c r="K21" i="6"/>
  <c r="J21" i="6" a="1"/>
  <c r="I21" i="6" a="1"/>
  <c r="H21" i="6" a="1"/>
  <c r="F21" i="6" a="1"/>
  <c r="D21" i="6" a="1"/>
  <c r="C21" i="6" a="1"/>
  <c r="A21" i="6"/>
  <c r="H21" i="6" s="1"/>
  <c r="E9" i="5" s="1"/>
  <c r="AS20" i="6" a="1"/>
  <c r="AS20" i="6"/>
  <c r="AR20" i="6" a="1"/>
  <c r="AR20" i="6"/>
  <c r="AQ20" i="6" a="1"/>
  <c r="AP20" i="6" a="1"/>
  <c r="AP20" i="6"/>
  <c r="AO20" i="6" a="1"/>
  <c r="AO20" i="6"/>
  <c r="AN20" i="6" a="1"/>
  <c r="AN20" i="6"/>
  <c r="D35" i="16" s="1"/>
  <c r="AM20" i="6" a="1"/>
  <c r="AL20" i="6" a="1"/>
  <c r="AL20" i="6"/>
  <c r="AK20" i="6" a="1"/>
  <c r="AK20" i="6"/>
  <c r="AJ20" i="6" a="1"/>
  <c r="AJ20" i="6"/>
  <c r="AI20" i="6" a="1"/>
  <c r="AH20" i="6" a="1"/>
  <c r="AH20" i="6"/>
  <c r="AG20" i="6" a="1"/>
  <c r="AG20" i="6"/>
  <c r="AF20" i="6" a="1"/>
  <c r="AF20" i="6"/>
  <c r="AE20" i="6" a="1"/>
  <c r="AD20" i="6" a="1"/>
  <c r="AD20" i="6"/>
  <c r="AC20" i="6" a="1"/>
  <c r="AC20" i="6"/>
  <c r="AB20" i="6" a="1"/>
  <c r="AB20" i="6"/>
  <c r="AA20" i="6" a="1"/>
  <c r="Y20" i="6" a="1"/>
  <c r="X20" i="6" a="1"/>
  <c r="W20" i="6" a="1"/>
  <c r="V20" i="6" a="1"/>
  <c r="U20" i="6" a="1"/>
  <c r="T20" i="6" a="1"/>
  <c r="S20" i="6" a="1"/>
  <c r="R20" i="6" a="1"/>
  <c r="Q20" i="6" a="1"/>
  <c r="P20" i="6" a="1"/>
  <c r="O20" i="6" a="1"/>
  <c r="N20" i="6" a="1"/>
  <c r="M20" i="6" a="1"/>
  <c r="L20" i="6" a="1"/>
  <c r="K20" i="6" a="1"/>
  <c r="J20" i="6" a="1"/>
  <c r="I20" i="6" a="1"/>
  <c r="H20" i="6" a="1"/>
  <c r="F20" i="6"/>
  <c r="D20" i="6" a="1"/>
  <c r="D20" i="6"/>
  <c r="C20" i="6" a="1"/>
  <c r="C20" i="6"/>
  <c r="A20" i="6"/>
  <c r="W20" i="6" s="1"/>
  <c r="AS18" i="6"/>
  <c r="AR18" i="6"/>
  <c r="AQ18" i="6"/>
  <c r="AP18" i="6"/>
  <c r="AO18" i="6"/>
  <c r="AN18" i="6"/>
  <c r="AM18" i="6"/>
  <c r="AL18" i="6"/>
  <c r="AK18" i="6"/>
  <c r="AJ18" i="6"/>
  <c r="AI18" i="6"/>
  <c r="AH18" i="6"/>
  <c r="AG18" i="6"/>
  <c r="AF18" i="6"/>
  <c r="AE18" i="6"/>
  <c r="AD18" i="6"/>
  <c r="AC18" i="6"/>
  <c r="AB18" i="6"/>
  <c r="AA18" i="6"/>
  <c r="Z18" i="6"/>
  <c r="Y18" i="6"/>
  <c r="X18" i="6"/>
  <c r="W18" i="6"/>
  <c r="V18" i="6"/>
  <c r="U18" i="6"/>
  <c r="T18" i="6"/>
  <c r="S18" i="6"/>
  <c r="R18" i="6"/>
  <c r="Q18" i="6"/>
  <c r="P18" i="6"/>
  <c r="O18" i="6"/>
  <c r="N18" i="6"/>
  <c r="M18" i="6"/>
  <c r="L18" i="6"/>
  <c r="K18" i="6"/>
  <c r="J18" i="6"/>
  <c r="I18" i="6"/>
  <c r="H18" i="6"/>
  <c r="F18" i="6"/>
  <c r="D18" i="6"/>
  <c r="C18" i="6"/>
  <c r="AS17" i="6"/>
  <c r="AR17" i="6"/>
  <c r="AQ17" i="6"/>
  <c r="AP17" i="6"/>
  <c r="AO17" i="6"/>
  <c r="AN17" i="6"/>
  <c r="AM17" i="6"/>
  <c r="AL17" i="6"/>
  <c r="AH17" i="6"/>
  <c r="AB17" i="6"/>
  <c r="AA17" i="6"/>
  <c r="Z17" i="6"/>
  <c r="Y17" i="6"/>
  <c r="U17" i="6"/>
  <c r="O17" i="6"/>
  <c r="N17" i="6"/>
  <c r="M17" i="6"/>
  <c r="L17" i="6"/>
  <c r="H17" i="6"/>
  <c r="AS16" i="6"/>
  <c r="AR16" i="6"/>
  <c r="AQ16" i="6"/>
  <c r="AP16" i="6"/>
  <c r="AO16" i="6"/>
  <c r="AN16" i="6"/>
  <c r="AM16" i="6"/>
  <c r="AL16" i="6"/>
  <c r="AH16" i="6"/>
  <c r="AB16" i="6"/>
  <c r="AA16" i="6"/>
  <c r="Z16" i="6"/>
  <c r="Y16" i="6"/>
  <c r="U16" i="6"/>
  <c r="O16" i="6"/>
  <c r="N16" i="6"/>
  <c r="M16" i="6"/>
  <c r="L16" i="6"/>
  <c r="H16" i="6"/>
  <c r="AS15" i="6"/>
  <c r="AR15" i="6"/>
  <c r="AQ15" i="6"/>
  <c r="AP15" i="6"/>
  <c r="AO15" i="6"/>
  <c r="AN15" i="6"/>
  <c r="AM15" i="6"/>
  <c r="AL15" i="6"/>
  <c r="AH15" i="6"/>
  <c r="AB15" i="6"/>
  <c r="AA15" i="6"/>
  <c r="Z15" i="6"/>
  <c r="Y15" i="6"/>
  <c r="U15" i="6"/>
  <c r="O15" i="6"/>
  <c r="N15" i="6"/>
  <c r="M15" i="6"/>
  <c r="L15" i="6"/>
  <c r="H15" i="6"/>
  <c r="AS14" i="6"/>
  <c r="AR14" i="6"/>
  <c r="AQ14" i="6"/>
  <c r="AP14" i="6"/>
  <c r="AO14" i="6"/>
  <c r="AN14" i="6"/>
  <c r="AM14" i="6"/>
  <c r="AL14" i="6"/>
  <c r="AH14" i="6"/>
  <c r="AB14" i="6"/>
  <c r="AA14" i="6"/>
  <c r="Z14" i="6"/>
  <c r="Y14" i="6"/>
  <c r="U14" i="6"/>
  <c r="O14" i="6"/>
  <c r="N14" i="6"/>
  <c r="M14" i="6"/>
  <c r="L14" i="6"/>
  <c r="H14" i="6"/>
  <c r="AS13" i="6"/>
  <c r="AR13" i="6"/>
  <c r="AQ13" i="6"/>
  <c r="AP13" i="6"/>
  <c r="AO13" i="6"/>
  <c r="AN13" i="6"/>
  <c r="AM13" i="6"/>
  <c r="AL13" i="6"/>
  <c r="AH13" i="6"/>
  <c r="AB13" i="6"/>
  <c r="AA13" i="6"/>
  <c r="Z13" i="6"/>
  <c r="Y13" i="6"/>
  <c r="U13" i="6"/>
  <c r="O13" i="6"/>
  <c r="N13" i="6"/>
  <c r="M13" i="6"/>
  <c r="L13" i="6"/>
  <c r="H13" i="6"/>
  <c r="AS12" i="6"/>
  <c r="AR12" i="6"/>
  <c r="AQ12" i="6"/>
  <c r="AP12" i="6"/>
  <c r="AO12" i="6"/>
  <c r="AN12" i="6"/>
  <c r="AM12" i="6"/>
  <c r="AL12" i="6"/>
  <c r="AH12" i="6"/>
  <c r="AB12" i="6"/>
  <c r="AA12" i="6"/>
  <c r="Z12" i="6"/>
  <c r="Y12" i="6"/>
  <c r="U12" i="6"/>
  <c r="O12" i="6"/>
  <c r="N12" i="6"/>
  <c r="M12" i="6"/>
  <c r="L12" i="6"/>
  <c r="H12" i="6"/>
  <c r="AN4" i="6"/>
  <c r="AH4" i="6"/>
  <c r="U4" i="6"/>
  <c r="K4" i="6"/>
  <c r="G4" i="6"/>
  <c r="A4" i="6"/>
  <c r="AH3" i="6"/>
  <c r="K3" i="6"/>
  <c r="AN3" i="6" s="1"/>
  <c r="G3" i="6"/>
  <c r="U3" i="6" s="1"/>
  <c r="A3" i="6"/>
  <c r="D46" i="16"/>
  <c r="E46" i="16" s="1"/>
  <c r="C46" i="16"/>
  <c r="B46" i="16"/>
  <c r="D44" i="16"/>
  <c r="C44" i="16"/>
  <c r="B44" i="16"/>
  <c r="E44" i="16" s="1"/>
  <c r="D43" i="16"/>
  <c r="C43" i="16"/>
  <c r="B43" i="16"/>
  <c r="D41" i="16"/>
  <c r="C41" i="16"/>
  <c r="B41" i="16"/>
  <c r="D39" i="16"/>
  <c r="C39" i="16"/>
  <c r="B39" i="16"/>
  <c r="D37" i="16"/>
  <c r="C37" i="16"/>
  <c r="B37" i="16"/>
  <c r="B35" i="16"/>
  <c r="D33" i="16"/>
  <c r="C33" i="16"/>
  <c r="B33" i="16"/>
  <c r="E33" i="16" s="1"/>
  <c r="D31" i="16"/>
  <c r="C31" i="16"/>
  <c r="E31" i="16" s="1"/>
  <c r="B31" i="16"/>
  <c r="D30" i="16"/>
  <c r="C30" i="16"/>
  <c r="D28" i="16"/>
  <c r="C28" i="16"/>
  <c r="B28" i="16"/>
  <c r="E28" i="16" s="1"/>
  <c r="D26" i="16"/>
  <c r="C26" i="16"/>
  <c r="B26" i="16"/>
  <c r="E26" i="16" s="1"/>
  <c r="D24" i="16"/>
  <c r="C24" i="16"/>
  <c r="B24" i="16"/>
  <c r="D20" i="16"/>
  <c r="C20" i="16"/>
  <c r="B20" i="16"/>
  <c r="B59" i="16" s="1"/>
  <c r="D18" i="16"/>
  <c r="C18" i="16"/>
  <c r="E18" i="16" s="1"/>
  <c r="B18" i="16"/>
  <c r="B57" i="16" s="1"/>
  <c r="D17" i="16"/>
  <c r="C17" i="16"/>
  <c r="B17" i="16"/>
  <c r="D15" i="16"/>
  <c r="C15" i="16"/>
  <c r="B15" i="16"/>
  <c r="D13" i="16"/>
  <c r="C13" i="16"/>
  <c r="B13" i="16"/>
  <c r="D11" i="16"/>
  <c r="C11" i="16"/>
  <c r="B11" i="16"/>
  <c r="B50" i="16" s="1"/>
  <c r="C4" i="16"/>
  <c r="B4" i="16"/>
  <c r="A4" i="16"/>
  <c r="C3" i="16"/>
  <c r="B3" i="16"/>
  <c r="A3" i="16"/>
  <c r="M46" i="15"/>
  <c r="M44" i="15"/>
  <c r="M43" i="15"/>
  <c r="M42" i="15"/>
  <c r="M41" i="15"/>
  <c r="L41" i="15"/>
  <c r="K41" i="15"/>
  <c r="J41" i="15"/>
  <c r="I41" i="15"/>
  <c r="H41" i="15"/>
  <c r="G41" i="15"/>
  <c r="F41" i="15"/>
  <c r="E41" i="15"/>
  <c r="D41" i="15"/>
  <c r="C41" i="15"/>
  <c r="B41" i="15"/>
  <c r="M40" i="15"/>
  <c r="M39" i="15"/>
  <c r="M38" i="15"/>
  <c r="M37" i="15"/>
  <c r="L37" i="15"/>
  <c r="K37" i="15"/>
  <c r="J37" i="15"/>
  <c r="I37" i="15"/>
  <c r="H37" i="15"/>
  <c r="G37" i="15"/>
  <c r="F37" i="15"/>
  <c r="E37" i="15"/>
  <c r="D37" i="15"/>
  <c r="C37" i="15"/>
  <c r="B37" i="15"/>
  <c r="K36" i="15"/>
  <c r="K45" i="15" s="1"/>
  <c r="J36" i="15"/>
  <c r="J45" i="15" s="1"/>
  <c r="H36" i="15"/>
  <c r="H45" i="15" s="1"/>
  <c r="F36" i="15"/>
  <c r="F45" i="15" s="1"/>
  <c r="D36" i="15"/>
  <c r="D45" i="15" s="1"/>
  <c r="B36" i="15"/>
  <c r="B45" i="15" s="1"/>
  <c r="M35" i="15"/>
  <c r="M33" i="15"/>
  <c r="M32" i="15"/>
  <c r="M31" i="15"/>
  <c r="M30" i="15"/>
  <c r="L30" i="15"/>
  <c r="K30" i="15"/>
  <c r="J30" i="15"/>
  <c r="I30" i="15"/>
  <c r="H30" i="15"/>
  <c r="G30" i="15"/>
  <c r="F30" i="15"/>
  <c r="E30" i="15"/>
  <c r="D30" i="15"/>
  <c r="C30" i="15"/>
  <c r="B30" i="15"/>
  <c r="M29" i="15"/>
  <c r="M28" i="15"/>
  <c r="M27" i="15"/>
  <c r="M26" i="15"/>
  <c r="L26" i="15"/>
  <c r="K26" i="15"/>
  <c r="J26" i="15"/>
  <c r="I26" i="15"/>
  <c r="H26" i="15"/>
  <c r="G26" i="15"/>
  <c r="F26" i="15"/>
  <c r="E26" i="15"/>
  <c r="D26" i="15"/>
  <c r="C26" i="15"/>
  <c r="B26" i="15"/>
  <c r="K25" i="15"/>
  <c r="K34" i="15" s="1"/>
  <c r="H25" i="15"/>
  <c r="H34" i="15" s="1"/>
  <c r="F25" i="15"/>
  <c r="F34" i="15" s="1"/>
  <c r="D25" i="15"/>
  <c r="D34" i="15" s="1"/>
  <c r="M24" i="15"/>
  <c r="L22" i="15"/>
  <c r="K22" i="15"/>
  <c r="J22" i="15"/>
  <c r="I22" i="15"/>
  <c r="H22" i="15"/>
  <c r="G22" i="15"/>
  <c r="F22" i="15"/>
  <c r="E22" i="15"/>
  <c r="D22" i="15"/>
  <c r="C22" i="15"/>
  <c r="B22" i="15"/>
  <c r="L21" i="15"/>
  <c r="K21" i="15"/>
  <c r="K19" i="15" s="1"/>
  <c r="J21" i="15"/>
  <c r="I21" i="15"/>
  <c r="H21" i="15"/>
  <c r="G21" i="15"/>
  <c r="F21" i="15"/>
  <c r="E21" i="15"/>
  <c r="D21" i="15"/>
  <c r="C21" i="15"/>
  <c r="M21" i="15" s="1"/>
  <c r="B21" i="15"/>
  <c r="L20" i="15"/>
  <c r="K20" i="15"/>
  <c r="J20" i="15"/>
  <c r="J19" i="15" s="1"/>
  <c r="I20" i="15"/>
  <c r="H20" i="15"/>
  <c r="H19" i="15" s="1"/>
  <c r="G20" i="15"/>
  <c r="F20" i="15"/>
  <c r="F19" i="15" s="1"/>
  <c r="E20" i="15"/>
  <c r="D20" i="15"/>
  <c r="C20" i="15"/>
  <c r="B20" i="15"/>
  <c r="B19" i="15" s="1"/>
  <c r="L19" i="15"/>
  <c r="I19" i="15"/>
  <c r="G19" i="15"/>
  <c r="D19" i="15"/>
  <c r="M18" i="15"/>
  <c r="L17" i="15"/>
  <c r="K17" i="15"/>
  <c r="J17" i="15"/>
  <c r="I17" i="15"/>
  <c r="H17" i="15"/>
  <c r="G17" i="15"/>
  <c r="F17" i="15"/>
  <c r="E17" i="15"/>
  <c r="D17" i="15"/>
  <c r="C17" i="15"/>
  <c r="B17" i="15"/>
  <c r="L16" i="15"/>
  <c r="K16" i="15"/>
  <c r="J16" i="15"/>
  <c r="J13" i="15" s="1"/>
  <c r="I16" i="15"/>
  <c r="H16" i="15"/>
  <c r="G16" i="15"/>
  <c r="F16" i="15"/>
  <c r="E16" i="15"/>
  <c r="D16" i="15"/>
  <c r="C16" i="15"/>
  <c r="B16" i="15"/>
  <c r="B13" i="15" s="1"/>
  <c r="L15" i="15"/>
  <c r="K15" i="15"/>
  <c r="J15" i="15"/>
  <c r="I15" i="15"/>
  <c r="I13" i="15" s="1"/>
  <c r="H15" i="15"/>
  <c r="G15" i="15"/>
  <c r="F15" i="15"/>
  <c r="E15" i="15"/>
  <c r="D15" i="15"/>
  <c r="C15" i="15"/>
  <c r="B15" i="15"/>
  <c r="L14" i="15"/>
  <c r="L13" i="15" s="1"/>
  <c r="K14" i="15"/>
  <c r="J14" i="15"/>
  <c r="I14" i="15"/>
  <c r="H14" i="15"/>
  <c r="H13" i="15" s="1"/>
  <c r="G14" i="15"/>
  <c r="G13" i="15" s="1"/>
  <c r="F14" i="15"/>
  <c r="E14" i="15"/>
  <c r="D14" i="15"/>
  <c r="D13" i="15" s="1"/>
  <c r="C14" i="15"/>
  <c r="C13" i="15" s="1"/>
  <c r="B14" i="15"/>
  <c r="F13" i="15"/>
  <c r="E13" i="15"/>
  <c r="K12" i="15"/>
  <c r="K48" i="15" s="1"/>
  <c r="J12" i="15"/>
  <c r="H12" i="15"/>
  <c r="F12" i="15"/>
  <c r="D12" i="15"/>
  <c r="L10" i="15"/>
  <c r="J10" i="15"/>
  <c r="I10" i="15"/>
  <c r="H10" i="15"/>
  <c r="G10" i="15"/>
  <c r="F10" i="15"/>
  <c r="E10" i="15"/>
  <c r="D10" i="15"/>
  <c r="C10" i="15"/>
  <c r="B10" i="15"/>
  <c r="E9" i="15"/>
  <c r="B9" i="15"/>
  <c r="A9" i="15"/>
  <c r="E8" i="15"/>
  <c r="B8" i="15"/>
  <c r="A8" i="15"/>
  <c r="H4" i="15"/>
  <c r="D4" i="15"/>
  <c r="A4" i="15"/>
  <c r="H3" i="15"/>
  <c r="D3" i="15"/>
  <c r="A3" i="15"/>
  <c r="A48" i="5"/>
  <c r="E40" i="5"/>
  <c r="D40" i="5"/>
  <c r="C40" i="5"/>
  <c r="G38" i="5"/>
  <c r="F38" i="5"/>
  <c r="E38" i="5"/>
  <c r="D38" i="5"/>
  <c r="C38" i="5"/>
  <c r="B38" i="5"/>
  <c r="G36" i="5"/>
  <c r="H36" i="5" s="1"/>
  <c r="F36" i="5"/>
  <c r="E36" i="5"/>
  <c r="D36" i="5"/>
  <c r="C36" i="5"/>
  <c r="B36" i="5"/>
  <c r="A35" i="5"/>
  <c r="G34" i="5"/>
  <c r="H34" i="5" s="1"/>
  <c r="F34" i="5"/>
  <c r="E34" i="5"/>
  <c r="D34" i="5"/>
  <c r="C34" i="5"/>
  <c r="B34" i="5"/>
  <c r="G32" i="5"/>
  <c r="E32" i="5"/>
  <c r="D32" i="5"/>
  <c r="B32" i="5"/>
  <c r="A29" i="5"/>
  <c r="G28" i="5"/>
  <c r="F28" i="5"/>
  <c r="C28" i="5"/>
  <c r="B28" i="5"/>
  <c r="G26" i="5"/>
  <c r="H26" i="5" s="1"/>
  <c r="F26" i="5"/>
  <c r="E26" i="5"/>
  <c r="D26" i="5"/>
  <c r="C26" i="5"/>
  <c r="B26" i="5"/>
  <c r="A25" i="5"/>
  <c r="G24" i="5"/>
  <c r="F24" i="5"/>
  <c r="E24" i="5"/>
  <c r="D24" i="5"/>
  <c r="C24" i="5"/>
  <c r="B24" i="5"/>
  <c r="G22" i="5"/>
  <c r="F22" i="5"/>
  <c r="E22" i="5"/>
  <c r="D22" i="5"/>
  <c r="H22" i="5" s="1"/>
  <c r="C22" i="5"/>
  <c r="B22" i="5"/>
  <c r="A21" i="5"/>
  <c r="G20" i="5"/>
  <c r="A17" i="5"/>
  <c r="A41" i="5" s="1"/>
  <c r="G16" i="5"/>
  <c r="H16" i="5" s="1"/>
  <c r="F16" i="5"/>
  <c r="E16" i="5"/>
  <c r="D16" i="5"/>
  <c r="C16" i="5"/>
  <c r="C52" i="5" s="1"/>
  <c r="B16" i="5"/>
  <c r="A16" i="5"/>
  <c r="A40" i="5" s="1"/>
  <c r="A15" i="5"/>
  <c r="A39" i="5" s="1"/>
  <c r="G14" i="5"/>
  <c r="G50" i="5" s="1"/>
  <c r="F14" i="5"/>
  <c r="F50" i="5" s="1"/>
  <c r="E14" i="5"/>
  <c r="D14" i="5"/>
  <c r="C14" i="5"/>
  <c r="C50" i="5" s="1"/>
  <c r="B14" i="5"/>
  <c r="B50" i="5" s="1"/>
  <c r="A14" i="5"/>
  <c r="A38" i="5" s="1"/>
  <c r="A13" i="5"/>
  <c r="A37" i="5" s="1"/>
  <c r="G12" i="5"/>
  <c r="F12" i="5"/>
  <c r="F48" i="5" s="1"/>
  <c r="E12" i="5"/>
  <c r="E48" i="5" s="1"/>
  <c r="D12" i="5"/>
  <c r="C12" i="5"/>
  <c r="C48" i="5" s="1"/>
  <c r="B12" i="5"/>
  <c r="B48" i="5" s="1"/>
  <c r="A12" i="5"/>
  <c r="A24" i="5" s="1"/>
  <c r="A11" i="5"/>
  <c r="A47" i="5" s="1"/>
  <c r="G10" i="5"/>
  <c r="F10" i="5"/>
  <c r="F46" i="5" s="1"/>
  <c r="E10" i="5"/>
  <c r="E46" i="5" s="1"/>
  <c r="D10" i="5"/>
  <c r="C10" i="5"/>
  <c r="C46" i="5" s="1"/>
  <c r="B10" i="5"/>
  <c r="B46" i="5" s="1"/>
  <c r="A10" i="5"/>
  <c r="A34" i="5" s="1"/>
  <c r="A9" i="5"/>
  <c r="A33" i="5" s="1"/>
  <c r="B8" i="5"/>
  <c r="A8" i="5"/>
  <c r="A32" i="5" s="1"/>
  <c r="F4" i="5"/>
  <c r="C4" i="5"/>
  <c r="A4" i="5"/>
  <c r="F3" i="5"/>
  <c r="C3" i="5"/>
  <c r="A3" i="5"/>
  <c r="E4" i="23"/>
  <c r="C4" i="23"/>
  <c r="E3" i="23"/>
  <c r="C3" i="23"/>
  <c r="A3" i="23"/>
  <c r="E20" i="16" l="1"/>
  <c r="K13" i="15"/>
  <c r="S12" i="8"/>
  <c r="U12" i="8" s="1"/>
  <c r="C28" i="9"/>
  <c r="E57" i="16"/>
  <c r="F12" i="9"/>
  <c r="K12" i="9" s="1"/>
  <c r="M12" i="9" s="1"/>
  <c r="O12" i="9" s="1"/>
  <c r="O16" i="9"/>
  <c r="E59" i="16"/>
  <c r="U13" i="8"/>
  <c r="T13" i="8"/>
  <c r="T12" i="8"/>
  <c r="F23" i="15"/>
  <c r="F47" i="15" s="1"/>
  <c r="M22" i="15"/>
  <c r="G46" i="5"/>
  <c r="M13" i="15"/>
  <c r="M16" i="15"/>
  <c r="B54" i="16"/>
  <c r="E41" i="16"/>
  <c r="M15" i="9"/>
  <c r="O15" i="9" s="1"/>
  <c r="N17" i="9"/>
  <c r="E28" i="9"/>
  <c r="E29" i="9"/>
  <c r="Q16" i="8"/>
  <c r="D20" i="8"/>
  <c r="E25" i="8"/>
  <c r="Q26" i="8"/>
  <c r="D27" i="8"/>
  <c r="Q27" i="8"/>
  <c r="I36" i="5"/>
  <c r="C19" i="15"/>
  <c r="K23" i="15"/>
  <c r="K47" i="15" s="1"/>
  <c r="E20" i="9"/>
  <c r="D22" i="9"/>
  <c r="D23" i="9"/>
  <c r="R11" i="8"/>
  <c r="S11" i="8" s="1"/>
  <c r="C18" i="8"/>
  <c r="C24" i="8"/>
  <c r="D26" i="8"/>
  <c r="I34" i="5"/>
  <c r="G48" i="5"/>
  <c r="M14" i="15"/>
  <c r="E37" i="16"/>
  <c r="F11" i="9"/>
  <c r="N22" i="9"/>
  <c r="N24" i="9"/>
  <c r="N27" i="9"/>
  <c r="R14" i="8"/>
  <c r="S14" i="8" s="1"/>
  <c r="Q18" i="8"/>
  <c r="E20" i="8"/>
  <c r="E27" i="8"/>
  <c r="I26" i="5"/>
  <c r="D23" i="15"/>
  <c r="D47" i="15" s="1"/>
  <c r="M17" i="15"/>
  <c r="E19" i="15"/>
  <c r="E17" i="16"/>
  <c r="E43" i="16"/>
  <c r="E22" i="9"/>
  <c r="C24" i="9"/>
  <c r="C26" i="9"/>
  <c r="V13" i="8"/>
  <c r="W13" i="8" s="1"/>
  <c r="C16" i="8"/>
  <c r="D18" i="8"/>
  <c r="E26" i="8"/>
  <c r="E28" i="8"/>
  <c r="C29" i="9"/>
  <c r="D16" i="8"/>
  <c r="C22" i="8"/>
  <c r="C23" i="8"/>
  <c r="Q23" i="8"/>
  <c r="C17" i="9"/>
  <c r="H12" i="5"/>
  <c r="H23" i="15"/>
  <c r="H47" i="15" s="1"/>
  <c r="M15" i="15"/>
  <c r="E13" i="16"/>
  <c r="E52" i="16" s="1"/>
  <c r="E39" i="16"/>
  <c r="D17" i="9"/>
  <c r="C20" i="9"/>
  <c r="D24" i="9"/>
  <c r="D26" i="9"/>
  <c r="N26" i="9"/>
  <c r="R15" i="8"/>
  <c r="S15" i="8" s="1"/>
  <c r="E16" i="8"/>
  <c r="E18" i="8"/>
  <c r="E50" i="5"/>
  <c r="J23" i="15"/>
  <c r="E24" i="16"/>
  <c r="E17" i="9"/>
  <c r="D28" i="9"/>
  <c r="N28" i="9"/>
  <c r="N29" i="9"/>
  <c r="R10" i="8"/>
  <c r="C27" i="8"/>
  <c r="S10" i="8"/>
  <c r="H48" i="15"/>
  <c r="AS23" i="6"/>
  <c r="AO23" i="6"/>
  <c r="G35" i="5" s="1"/>
  <c r="AK23" i="6"/>
  <c r="AG23" i="6"/>
  <c r="AC23" i="6"/>
  <c r="B35" i="5" s="1"/>
  <c r="Y23" i="6"/>
  <c r="U23" i="6"/>
  <c r="E23" i="5" s="1"/>
  <c r="Q23" i="6"/>
  <c r="M23" i="6"/>
  <c r="C12" i="16" s="1"/>
  <c r="I23" i="6"/>
  <c r="C23" i="6"/>
  <c r="B11" i="5" s="1"/>
  <c r="AR23" i="6"/>
  <c r="AN23" i="6"/>
  <c r="D38" i="16" s="1"/>
  <c r="AJ23" i="6"/>
  <c r="AF23" i="6"/>
  <c r="AB23" i="6"/>
  <c r="G23" i="5" s="1"/>
  <c r="X23" i="6"/>
  <c r="T23" i="6"/>
  <c r="P23" i="6"/>
  <c r="B23" i="5" s="1"/>
  <c r="L23" i="6"/>
  <c r="H23" i="6"/>
  <c r="E11" i="5" s="1"/>
  <c r="AQ23" i="6"/>
  <c r="AM23" i="6"/>
  <c r="C38" i="16" s="1"/>
  <c r="AI23" i="6"/>
  <c r="AE23" i="6"/>
  <c r="AA23" i="6"/>
  <c r="D25" i="16" s="1"/>
  <c r="W23" i="6"/>
  <c r="S23" i="6"/>
  <c r="O23" i="6"/>
  <c r="G11" i="5" s="1"/>
  <c r="K23" i="6"/>
  <c r="F23" i="6"/>
  <c r="AP23" i="6"/>
  <c r="AL23" i="6"/>
  <c r="AH23" i="6"/>
  <c r="E35" i="5" s="1"/>
  <c r="AD23" i="6"/>
  <c r="Z23" i="6"/>
  <c r="C25" i="16" s="1"/>
  <c r="V23" i="6"/>
  <c r="R23" i="6"/>
  <c r="N23" i="6"/>
  <c r="D12" i="16" s="1"/>
  <c r="J23" i="6"/>
  <c r="D23" i="6"/>
  <c r="J23" i="13"/>
  <c r="M23" i="13"/>
  <c r="I23" i="13"/>
  <c r="L23" i="13"/>
  <c r="H23" i="13"/>
  <c r="K23" i="13"/>
  <c r="G23" i="13"/>
  <c r="I16" i="5"/>
  <c r="A26" i="5"/>
  <c r="A36" i="5"/>
  <c r="D46" i="5"/>
  <c r="A49" i="5"/>
  <c r="H20" i="6"/>
  <c r="E8" i="5" s="1"/>
  <c r="L20" i="6"/>
  <c r="P20" i="6"/>
  <c r="B20" i="5" s="1"/>
  <c r="B44" i="5" s="1"/>
  <c r="T20" i="6"/>
  <c r="X20" i="6"/>
  <c r="F21" i="6"/>
  <c r="N19" i="9"/>
  <c r="E19" i="9"/>
  <c r="D19" i="9"/>
  <c r="P19" i="9"/>
  <c r="C19" i="9"/>
  <c r="F19" i="9"/>
  <c r="H10" i="5"/>
  <c r="I10" i="5" s="1"/>
  <c r="A27" i="5"/>
  <c r="H38" i="5"/>
  <c r="I38" i="5" s="1"/>
  <c r="A50" i="5"/>
  <c r="M20" i="15"/>
  <c r="B52" i="16"/>
  <c r="AQ27" i="6"/>
  <c r="AM27" i="6"/>
  <c r="C42" i="16" s="1"/>
  <c r="AI27" i="6"/>
  <c r="AE27" i="6"/>
  <c r="AA27" i="6"/>
  <c r="D29" i="16" s="1"/>
  <c r="W27" i="6"/>
  <c r="S27" i="6"/>
  <c r="O27" i="6"/>
  <c r="G15" i="5" s="1"/>
  <c r="K27" i="6"/>
  <c r="F27" i="6"/>
  <c r="AP27" i="6"/>
  <c r="AL27" i="6"/>
  <c r="AH27" i="6"/>
  <c r="E39" i="5" s="1"/>
  <c r="AD27" i="6"/>
  <c r="Z27" i="6"/>
  <c r="C29" i="16" s="1"/>
  <c r="V27" i="6"/>
  <c r="R27" i="6"/>
  <c r="N27" i="6"/>
  <c r="D16" i="16" s="1"/>
  <c r="J27" i="6"/>
  <c r="D27" i="6"/>
  <c r="AS27" i="6"/>
  <c r="AO27" i="6"/>
  <c r="G39" i="5" s="1"/>
  <c r="AK27" i="6"/>
  <c r="AG27" i="6"/>
  <c r="AC27" i="6"/>
  <c r="B39" i="5" s="1"/>
  <c r="Y27" i="6"/>
  <c r="U27" i="6"/>
  <c r="E27" i="5" s="1"/>
  <c r="Q27" i="6"/>
  <c r="M27" i="6"/>
  <c r="C16" i="16" s="1"/>
  <c r="I27" i="6"/>
  <c r="C27" i="6"/>
  <c r="B15" i="5" s="1"/>
  <c r="AR27" i="6"/>
  <c r="AN27" i="6"/>
  <c r="D42" i="16" s="1"/>
  <c r="AJ27" i="6"/>
  <c r="AF27" i="6"/>
  <c r="AB27" i="6"/>
  <c r="G27" i="5" s="1"/>
  <c r="X27" i="6"/>
  <c r="T27" i="6"/>
  <c r="P27" i="6"/>
  <c r="B27" i="5" s="1"/>
  <c r="L27" i="6"/>
  <c r="H27" i="6"/>
  <c r="E15" i="5" s="1"/>
  <c r="AQ30" i="6"/>
  <c r="AM30" i="6"/>
  <c r="C45" i="16" s="1"/>
  <c r="AI30" i="6"/>
  <c r="AE30" i="6"/>
  <c r="AA30" i="6"/>
  <c r="D32" i="16" s="1"/>
  <c r="W30" i="6"/>
  <c r="S30" i="6"/>
  <c r="O30" i="6"/>
  <c r="G17" i="5" s="1"/>
  <c r="K30" i="6"/>
  <c r="F30" i="6"/>
  <c r="AP30" i="6"/>
  <c r="AL30" i="6"/>
  <c r="AH30" i="6"/>
  <c r="E41" i="5" s="1"/>
  <c r="AD30" i="6"/>
  <c r="Z30" i="6"/>
  <c r="C32" i="16" s="1"/>
  <c r="V30" i="6"/>
  <c r="R30" i="6"/>
  <c r="N30" i="6"/>
  <c r="D19" i="16" s="1"/>
  <c r="J30" i="6"/>
  <c r="D30" i="6"/>
  <c r="AS30" i="6"/>
  <c r="AO30" i="6"/>
  <c r="G41" i="5" s="1"/>
  <c r="AK30" i="6"/>
  <c r="AG30" i="6"/>
  <c r="AC30" i="6"/>
  <c r="B41" i="5" s="1"/>
  <c r="Y30" i="6"/>
  <c r="U30" i="6"/>
  <c r="E29" i="5" s="1"/>
  <c r="Q30" i="6"/>
  <c r="M30" i="6"/>
  <c r="C19" i="16" s="1"/>
  <c r="I30" i="6"/>
  <c r="C30" i="6"/>
  <c r="B17" i="5" s="1"/>
  <c r="AR30" i="6"/>
  <c r="AN30" i="6"/>
  <c r="D45" i="16" s="1"/>
  <c r="AJ30" i="6"/>
  <c r="AF30" i="6"/>
  <c r="AB30" i="6"/>
  <c r="G29" i="5" s="1"/>
  <c r="X30" i="6"/>
  <c r="T30" i="6"/>
  <c r="P30" i="6"/>
  <c r="B29" i="5" s="1"/>
  <c r="L30" i="6"/>
  <c r="H30" i="6"/>
  <c r="E17" i="5" s="1"/>
  <c r="A20" i="5"/>
  <c r="A28" i="5"/>
  <c r="D48" i="5"/>
  <c r="A51" i="5"/>
  <c r="E11" i="16"/>
  <c r="E15" i="16"/>
  <c r="E54" i="16" s="1"/>
  <c r="I20" i="6"/>
  <c r="M20" i="6"/>
  <c r="C9" i="16" s="1"/>
  <c r="Q20" i="6"/>
  <c r="U20" i="6"/>
  <c r="E20" i="5" s="1"/>
  <c r="Y20" i="6"/>
  <c r="H32" i="5"/>
  <c r="I32" i="5" s="1"/>
  <c r="A44" i="5"/>
  <c r="A52" i="5"/>
  <c r="D48" i="15"/>
  <c r="AR21" i="6"/>
  <c r="AN21" i="6"/>
  <c r="D36" i="16" s="1"/>
  <c r="AJ21" i="6"/>
  <c r="AF21" i="6"/>
  <c r="AB21" i="6"/>
  <c r="G21" i="5" s="1"/>
  <c r="X21" i="6"/>
  <c r="T21" i="6"/>
  <c r="P21" i="6"/>
  <c r="B21" i="5" s="1"/>
  <c r="L21" i="6"/>
  <c r="AQ21" i="6"/>
  <c r="AM21" i="6"/>
  <c r="C36" i="16" s="1"/>
  <c r="AI21" i="6"/>
  <c r="AE21" i="6"/>
  <c r="AA21" i="6"/>
  <c r="D23" i="16" s="1"/>
  <c r="W21" i="6"/>
  <c r="S21" i="6"/>
  <c r="O21" i="6"/>
  <c r="G9" i="5" s="1"/>
  <c r="AP21" i="6"/>
  <c r="AL21" i="6"/>
  <c r="AH21" i="6"/>
  <c r="E33" i="5" s="1"/>
  <c r="AD21" i="6"/>
  <c r="Z21" i="6"/>
  <c r="C23" i="16" s="1"/>
  <c r="V21" i="6"/>
  <c r="R21" i="6"/>
  <c r="AS21" i="6"/>
  <c r="AO21" i="6"/>
  <c r="G33" i="5" s="1"/>
  <c r="AK21" i="6"/>
  <c r="AG21" i="6"/>
  <c r="AC21" i="6"/>
  <c r="B33" i="5" s="1"/>
  <c r="Y21" i="6"/>
  <c r="U21" i="6"/>
  <c r="E21" i="5" s="1"/>
  <c r="Q21" i="6"/>
  <c r="M21" i="6"/>
  <c r="C10" i="16" s="1"/>
  <c r="I21" i="6"/>
  <c r="N21" i="6"/>
  <c r="D10" i="16" s="1"/>
  <c r="I12" i="5"/>
  <c r="A22" i="5"/>
  <c r="I22" i="5"/>
  <c r="A45" i="5"/>
  <c r="D50" i="5"/>
  <c r="A53" i="5"/>
  <c r="J20" i="6"/>
  <c r="N20" i="6"/>
  <c r="D9" i="16" s="1"/>
  <c r="R20" i="6"/>
  <c r="V20" i="6"/>
  <c r="Z20" i="6"/>
  <c r="C22" i="16" s="1"/>
  <c r="C21" i="6"/>
  <c r="B9" i="5" s="1"/>
  <c r="AP25" i="6"/>
  <c r="AL25" i="6"/>
  <c r="AH25" i="6"/>
  <c r="E37" i="5" s="1"/>
  <c r="AD25" i="6"/>
  <c r="Z25" i="6"/>
  <c r="C27" i="16" s="1"/>
  <c r="V25" i="6"/>
  <c r="R25" i="6"/>
  <c r="N25" i="6"/>
  <c r="D14" i="16" s="1"/>
  <c r="J25" i="6"/>
  <c r="D25" i="6"/>
  <c r="AS25" i="6"/>
  <c r="AO25" i="6"/>
  <c r="G37" i="5" s="1"/>
  <c r="AK25" i="6"/>
  <c r="AG25" i="6"/>
  <c r="AC25" i="6"/>
  <c r="B37" i="5" s="1"/>
  <c r="Y25" i="6"/>
  <c r="U25" i="6"/>
  <c r="E25" i="5" s="1"/>
  <c r="Q25" i="6"/>
  <c r="M25" i="6"/>
  <c r="C14" i="16" s="1"/>
  <c r="I25" i="6"/>
  <c r="C25" i="6"/>
  <c r="B13" i="5" s="1"/>
  <c r="AR25" i="6"/>
  <c r="AN25" i="6"/>
  <c r="D40" i="16" s="1"/>
  <c r="AJ25" i="6"/>
  <c r="AF25" i="6"/>
  <c r="AB25" i="6"/>
  <c r="G25" i="5" s="1"/>
  <c r="X25" i="6"/>
  <c r="T25" i="6"/>
  <c r="P25" i="6"/>
  <c r="B25" i="5" s="1"/>
  <c r="L25" i="6"/>
  <c r="H25" i="6"/>
  <c r="E13" i="5" s="1"/>
  <c r="AQ25" i="6"/>
  <c r="AM25" i="6"/>
  <c r="C40" i="16" s="1"/>
  <c r="AI25" i="6"/>
  <c r="AE25" i="6"/>
  <c r="AA25" i="6"/>
  <c r="D27" i="16" s="1"/>
  <c r="W25" i="6"/>
  <c r="S25" i="6"/>
  <c r="O25" i="6"/>
  <c r="G13" i="5" s="1"/>
  <c r="K25" i="6"/>
  <c r="F25" i="6"/>
  <c r="O21" i="8"/>
  <c r="R21" i="8"/>
  <c r="E21" i="8"/>
  <c r="Q21" i="8"/>
  <c r="D21" i="8"/>
  <c r="X21" i="8"/>
  <c r="P21" i="8"/>
  <c r="C21" i="8"/>
  <c r="H14" i="5"/>
  <c r="I14" i="5" s="1"/>
  <c r="A23" i="5"/>
  <c r="H24" i="5"/>
  <c r="I24" i="5" s="1"/>
  <c r="A46" i="5"/>
  <c r="F48" i="15"/>
  <c r="AA20" i="6"/>
  <c r="D22" i="16" s="1"/>
  <c r="D21" i="16" s="1"/>
  <c r="AE20" i="6"/>
  <c r="AI20" i="6"/>
  <c r="AM20" i="6"/>
  <c r="C35" i="16" s="1"/>
  <c r="AQ20" i="6"/>
  <c r="J21" i="6"/>
  <c r="F21" i="9"/>
  <c r="N21" i="9"/>
  <c r="E21" i="9"/>
  <c r="D21" i="9"/>
  <c r="P21" i="9"/>
  <c r="C21" i="9"/>
  <c r="K20" i="6"/>
  <c r="O20" i="6"/>
  <c r="G8" i="5" s="1"/>
  <c r="S20" i="6"/>
  <c r="D21" i="6"/>
  <c r="E25" i="9"/>
  <c r="N25" i="9"/>
  <c r="F27" i="9"/>
  <c r="O19" i="8"/>
  <c r="J21" i="13"/>
  <c r="K29" i="13"/>
  <c r="E23" i="9"/>
  <c r="N23" i="9"/>
  <c r="F25" i="9"/>
  <c r="C27" i="9"/>
  <c r="P27" i="9"/>
  <c r="C19" i="8"/>
  <c r="P19" i="8"/>
  <c r="X19" i="8"/>
  <c r="E23" i="8"/>
  <c r="R23" i="8"/>
  <c r="O25" i="8"/>
  <c r="O28" i="8"/>
  <c r="J19" i="13"/>
  <c r="G21" i="13"/>
  <c r="K21" i="13"/>
  <c r="I25" i="13"/>
  <c r="M25" i="13"/>
  <c r="J27" i="13"/>
  <c r="D24" i="8"/>
  <c r="Q24" i="8"/>
  <c r="H22" i="13"/>
  <c r="L22" i="13"/>
  <c r="H29" i="13"/>
  <c r="L29" i="13"/>
  <c r="F23" i="9"/>
  <c r="C25" i="9"/>
  <c r="P25" i="9"/>
  <c r="D27" i="9"/>
  <c r="D19" i="8"/>
  <c r="Q19" i="8"/>
  <c r="C25" i="8"/>
  <c r="P25" i="8"/>
  <c r="X25" i="8"/>
  <c r="C28" i="8"/>
  <c r="P28" i="8"/>
  <c r="X28" i="8"/>
  <c r="G19" i="13"/>
  <c r="K19" i="13"/>
  <c r="H21" i="13"/>
  <c r="L21" i="13"/>
  <c r="G27" i="13"/>
  <c r="K27" i="13"/>
  <c r="U28" i="6"/>
  <c r="E28" i="5" s="1"/>
  <c r="E52" i="5" s="1"/>
  <c r="Y28" i="6"/>
  <c r="AC28" i="6"/>
  <c r="B40" i="5" s="1"/>
  <c r="B52" i="5" s="1"/>
  <c r="AG28" i="6"/>
  <c r="AK28" i="6"/>
  <c r="F40" i="5" s="1"/>
  <c r="F52" i="5" s="1"/>
  <c r="AO28" i="6"/>
  <c r="G40" i="5" s="1"/>
  <c r="H40" i="5" s="1"/>
  <c r="I40" i="5" s="1"/>
  <c r="E24" i="9"/>
  <c r="O18" i="8"/>
  <c r="C20" i="8"/>
  <c r="P20" i="8"/>
  <c r="D22" i="8"/>
  <c r="Q22" i="8"/>
  <c r="E24" i="8"/>
  <c r="R24" i="8"/>
  <c r="O26" i="8"/>
  <c r="H20" i="13"/>
  <c r="I22" i="13"/>
  <c r="G26" i="13"/>
  <c r="I29" i="13"/>
  <c r="C23" i="9"/>
  <c r="D25" i="9"/>
  <c r="E27" i="9"/>
  <c r="E19" i="8"/>
  <c r="R19" i="8"/>
  <c r="P23" i="8"/>
  <c r="D25" i="8"/>
  <c r="Q25" i="8"/>
  <c r="D28" i="8"/>
  <c r="Q28" i="8"/>
  <c r="H19" i="13"/>
  <c r="I21" i="13"/>
  <c r="G25" i="13"/>
  <c r="H27" i="13"/>
  <c r="B45" i="5" l="1"/>
  <c r="E50" i="16"/>
  <c r="H46" i="5"/>
  <c r="D8" i="16"/>
  <c r="D34" i="16"/>
  <c r="V12" i="8"/>
  <c r="W12" i="8" s="1"/>
  <c r="C34" i="16"/>
  <c r="E53" i="5"/>
  <c r="U11" i="8"/>
  <c r="T11" i="8"/>
  <c r="S25" i="8"/>
  <c r="V11" i="8"/>
  <c r="W11" i="8" s="1"/>
  <c r="S18" i="8"/>
  <c r="S28" i="8"/>
  <c r="S21" i="8"/>
  <c r="S19" i="8"/>
  <c r="S26" i="8"/>
  <c r="U15" i="8"/>
  <c r="V15" i="8"/>
  <c r="W15" i="8" s="1"/>
  <c r="T15" i="8"/>
  <c r="U14" i="8"/>
  <c r="T14" i="8"/>
  <c r="V14" i="8"/>
  <c r="W14" i="8" s="1"/>
  <c r="B42" i="5"/>
  <c r="G30" i="5"/>
  <c r="M19" i="15"/>
  <c r="S23" i="8"/>
  <c r="S27" i="8"/>
  <c r="S24" i="8"/>
  <c r="S20" i="8"/>
  <c r="S16" i="8"/>
  <c r="U10" i="8"/>
  <c r="S22" i="8"/>
  <c r="T10" i="8"/>
  <c r="F22" i="9"/>
  <c r="K11" i="9"/>
  <c r="F20" i="9"/>
  <c r="F29" i="9"/>
  <c r="F28" i="9"/>
  <c r="F17" i="9"/>
  <c r="F26" i="9"/>
  <c r="F24" i="9"/>
  <c r="R22" i="8"/>
  <c r="R25" i="8"/>
  <c r="R18" i="8"/>
  <c r="R27" i="8"/>
  <c r="R26" i="8"/>
  <c r="R20" i="8"/>
  <c r="R16" i="8"/>
  <c r="R28" i="8"/>
  <c r="E51" i="5"/>
  <c r="E45" i="5"/>
  <c r="V10" i="8"/>
  <c r="E49" i="5"/>
  <c r="C21" i="16"/>
  <c r="C13" i="5"/>
  <c r="F13" i="5"/>
  <c r="F9" i="5"/>
  <c r="C9" i="5"/>
  <c r="L36" i="15"/>
  <c r="L45" i="15" s="1"/>
  <c r="D41" i="5"/>
  <c r="H41" i="5" s="1"/>
  <c r="B45" i="16"/>
  <c r="E45" i="16" s="1"/>
  <c r="C11" i="5"/>
  <c r="F11" i="5"/>
  <c r="D28" i="5"/>
  <c r="B30" i="16"/>
  <c r="J25" i="15"/>
  <c r="F37" i="5"/>
  <c r="C37" i="5"/>
  <c r="D37" i="5"/>
  <c r="B40" i="16"/>
  <c r="E40" i="16" s="1"/>
  <c r="G36" i="15"/>
  <c r="G45" i="15" s="1"/>
  <c r="G45" i="5"/>
  <c r="D9" i="5"/>
  <c r="B10" i="16"/>
  <c r="C12" i="15"/>
  <c r="C8" i="16"/>
  <c r="F41" i="5"/>
  <c r="C41" i="5"/>
  <c r="D39" i="5"/>
  <c r="H39" i="5" s="1"/>
  <c r="I36" i="15"/>
  <c r="I45" i="15" s="1"/>
  <c r="B42" i="16"/>
  <c r="E42" i="16" s="1"/>
  <c r="B30" i="5"/>
  <c r="B38" i="16"/>
  <c r="E38" i="16" s="1"/>
  <c r="D35" i="5"/>
  <c r="E36" i="15"/>
  <c r="E45" i="15" s="1"/>
  <c r="H37" i="5"/>
  <c r="F8" i="5"/>
  <c r="C8" i="5"/>
  <c r="B18" i="5"/>
  <c r="D29" i="5"/>
  <c r="H29" i="5" s="1"/>
  <c r="B32" i="16"/>
  <c r="E32" i="16" s="1"/>
  <c r="L25" i="15"/>
  <c r="L34" i="15" s="1"/>
  <c r="C39" i="5"/>
  <c r="F39" i="5"/>
  <c r="D8" i="5"/>
  <c r="H8" i="5" s="1"/>
  <c r="B12" i="15"/>
  <c r="B9" i="16"/>
  <c r="F35" i="5"/>
  <c r="C35" i="5"/>
  <c r="G25" i="15"/>
  <c r="G34" i="15" s="1"/>
  <c r="D25" i="5"/>
  <c r="H25" i="5" s="1"/>
  <c r="B27" i="16"/>
  <c r="E27" i="16" s="1"/>
  <c r="C21" i="5"/>
  <c r="F21" i="5"/>
  <c r="E35" i="16"/>
  <c r="I25" i="15"/>
  <c r="I34" i="15" s="1"/>
  <c r="D27" i="5"/>
  <c r="H27" i="5" s="1"/>
  <c r="B29" i="16"/>
  <c r="E29" i="16" s="1"/>
  <c r="E18" i="5"/>
  <c r="E44" i="5"/>
  <c r="G49" i="5"/>
  <c r="D21" i="5"/>
  <c r="C25" i="15"/>
  <c r="C34" i="15" s="1"/>
  <c r="B23" i="16"/>
  <c r="E23" i="16" s="1"/>
  <c r="D17" i="5"/>
  <c r="L12" i="15"/>
  <c r="B19" i="16"/>
  <c r="C29" i="5"/>
  <c r="F29" i="5"/>
  <c r="G53" i="5"/>
  <c r="E25" i="15"/>
  <c r="E34" i="15" s="1"/>
  <c r="D23" i="5"/>
  <c r="H23" i="5" s="1"/>
  <c r="B25" i="16"/>
  <c r="E25" i="16" s="1"/>
  <c r="C32" i="5"/>
  <c r="F32" i="5"/>
  <c r="G12" i="15"/>
  <c r="B14" i="16"/>
  <c r="D13" i="5"/>
  <c r="F25" i="5"/>
  <c r="C25" i="5"/>
  <c r="C20" i="5"/>
  <c r="F20" i="5"/>
  <c r="B53" i="5"/>
  <c r="B16" i="16"/>
  <c r="D15" i="5"/>
  <c r="I12" i="15"/>
  <c r="F27" i="5"/>
  <c r="C27" i="5"/>
  <c r="G51" i="5"/>
  <c r="I46" i="5"/>
  <c r="F23" i="5"/>
  <c r="C23" i="5"/>
  <c r="G47" i="5"/>
  <c r="E47" i="5"/>
  <c r="H50" i="5"/>
  <c r="I50" i="5" s="1"/>
  <c r="G18" i="5"/>
  <c r="G44" i="5"/>
  <c r="B49" i="5"/>
  <c r="F33" i="5"/>
  <c r="C33" i="5"/>
  <c r="D20" i="5"/>
  <c r="B22" i="16"/>
  <c r="B25" i="15"/>
  <c r="F17" i="5"/>
  <c r="C17" i="5"/>
  <c r="B51" i="5"/>
  <c r="D11" i="5"/>
  <c r="H11" i="5" s="1"/>
  <c r="E12" i="15"/>
  <c r="B12" i="16"/>
  <c r="G52" i="5"/>
  <c r="B36" i="16"/>
  <c r="D33" i="5"/>
  <c r="H33" i="5" s="1"/>
  <c r="C36" i="15"/>
  <c r="E30" i="5"/>
  <c r="I48" i="5"/>
  <c r="F15" i="5"/>
  <c r="C15" i="5"/>
  <c r="B47" i="5"/>
  <c r="H48" i="5"/>
  <c r="B54" i="5" l="1"/>
  <c r="B56" i="5" s="1"/>
  <c r="F53" i="5"/>
  <c r="F45" i="5"/>
  <c r="U26" i="8"/>
  <c r="U20" i="8"/>
  <c r="U16" i="8"/>
  <c r="U23" i="8"/>
  <c r="U18" i="8"/>
  <c r="U27" i="8"/>
  <c r="U21" i="8"/>
  <c r="U25" i="8"/>
  <c r="U19" i="8"/>
  <c r="U22" i="8"/>
  <c r="U28" i="8"/>
  <c r="U24" i="8"/>
  <c r="V28" i="8"/>
  <c r="V22" i="8"/>
  <c r="V16" i="8"/>
  <c r="V18" i="8"/>
  <c r="V27" i="8"/>
  <c r="V25" i="8"/>
  <c r="V26" i="8"/>
  <c r="V20" i="8"/>
  <c r="V24" i="8"/>
  <c r="V19" i="8"/>
  <c r="V21" i="8"/>
  <c r="V23" i="8"/>
  <c r="W10" i="8"/>
  <c r="C53" i="5"/>
  <c r="K28" i="9"/>
  <c r="K22" i="9"/>
  <c r="M11" i="9"/>
  <c r="K20" i="9"/>
  <c r="K19" i="9"/>
  <c r="K23" i="9"/>
  <c r="K21" i="9"/>
  <c r="K29" i="9"/>
  <c r="K25" i="9"/>
  <c r="K26" i="9"/>
  <c r="K24" i="9"/>
  <c r="K27" i="9"/>
  <c r="K17" i="9"/>
  <c r="T18" i="8"/>
  <c r="T27" i="8"/>
  <c r="T26" i="8"/>
  <c r="T24" i="8"/>
  <c r="T16" i="8"/>
  <c r="T22" i="8"/>
  <c r="T19" i="8"/>
  <c r="T28" i="8"/>
  <c r="T21" i="8"/>
  <c r="T20" i="8"/>
  <c r="T25" i="8"/>
  <c r="T23" i="8"/>
  <c r="D53" i="5"/>
  <c r="I23" i="15"/>
  <c r="I47" i="15" s="1"/>
  <c r="I48" i="15"/>
  <c r="I27" i="5"/>
  <c r="H28" i="5"/>
  <c r="I28" i="5" s="1"/>
  <c r="D52" i="5"/>
  <c r="I23" i="5"/>
  <c r="E30" i="16"/>
  <c r="E56" i="16" s="1"/>
  <c r="B56" i="16"/>
  <c r="C45" i="15"/>
  <c r="M45" i="15" s="1"/>
  <c r="M36" i="15"/>
  <c r="D51" i="5"/>
  <c r="D49" i="5"/>
  <c r="H17" i="5"/>
  <c r="I17" i="5" s="1"/>
  <c r="H35" i="5"/>
  <c r="I35" i="5" s="1"/>
  <c r="C45" i="5"/>
  <c r="I11" i="5"/>
  <c r="D47" i="5"/>
  <c r="H47" i="5" s="1"/>
  <c r="E16" i="16"/>
  <c r="E55" i="16" s="1"/>
  <c r="B55" i="16"/>
  <c r="E14" i="16"/>
  <c r="E53" i="16" s="1"/>
  <c r="B53" i="16"/>
  <c r="I37" i="5"/>
  <c r="G48" i="15"/>
  <c r="G23" i="15"/>
  <c r="G47" i="15" s="1"/>
  <c r="H13" i="5"/>
  <c r="I13" i="5" s="1"/>
  <c r="B8" i="16"/>
  <c r="E9" i="16"/>
  <c r="B48" i="16"/>
  <c r="C23" i="15"/>
  <c r="C48" i="15"/>
  <c r="C47" i="5"/>
  <c r="F49" i="5"/>
  <c r="G54" i="5"/>
  <c r="F47" i="5"/>
  <c r="E36" i="16"/>
  <c r="B34" i="16"/>
  <c r="H52" i="5"/>
  <c r="M25" i="15"/>
  <c r="B34" i="15"/>
  <c r="H21" i="5"/>
  <c r="I21" i="5" s="1"/>
  <c r="H49" i="5"/>
  <c r="M12" i="15"/>
  <c r="B23" i="15"/>
  <c r="B48" i="15"/>
  <c r="C18" i="5"/>
  <c r="C44" i="5"/>
  <c r="E10" i="16"/>
  <c r="B49" i="16"/>
  <c r="C49" i="5"/>
  <c r="I33" i="5"/>
  <c r="D42" i="5"/>
  <c r="E34" i="16"/>
  <c r="C51" i="5"/>
  <c r="E12" i="16"/>
  <c r="E51" i="16" s="1"/>
  <c r="B51" i="16"/>
  <c r="E22" i="16"/>
  <c r="E21" i="16" s="1"/>
  <c r="B21" i="16"/>
  <c r="H15" i="5"/>
  <c r="I15" i="5" s="1"/>
  <c r="F30" i="5"/>
  <c r="C42" i="5"/>
  <c r="B58" i="16"/>
  <c r="E19" i="16"/>
  <c r="E58" i="16" s="1"/>
  <c r="E54" i="5"/>
  <c r="E56" i="5" s="1"/>
  <c r="D44" i="5"/>
  <c r="D18" i="5"/>
  <c r="H18" i="5" s="1"/>
  <c r="I8" i="5"/>
  <c r="F18" i="5"/>
  <c r="F44" i="5"/>
  <c r="D45" i="5"/>
  <c r="H45" i="5" s="1"/>
  <c r="I41" i="5"/>
  <c r="H53" i="5"/>
  <c r="I29" i="5"/>
  <c r="F51" i="5"/>
  <c r="E23" i="15"/>
  <c r="E47" i="15" s="1"/>
  <c r="E48" i="15"/>
  <c r="D30" i="5"/>
  <c r="H20" i="5"/>
  <c r="I20" i="5" s="1"/>
  <c r="C30" i="5"/>
  <c r="L23" i="15"/>
  <c r="L47" i="15" s="1"/>
  <c r="L48" i="15"/>
  <c r="I25" i="5"/>
  <c r="I39" i="5"/>
  <c r="H9" i="5"/>
  <c r="I9" i="5" s="1"/>
  <c r="J34" i="15"/>
  <c r="J47" i="15" s="1"/>
  <c r="J48" i="15"/>
  <c r="M25" i="9" l="1"/>
  <c r="M27" i="9"/>
  <c r="M24" i="9"/>
  <c r="M29" i="9"/>
  <c r="M23" i="9"/>
  <c r="M28" i="9"/>
  <c r="M17" i="9"/>
  <c r="O11" i="9"/>
  <c r="M26" i="9"/>
  <c r="M22" i="9"/>
  <c r="M19" i="9"/>
  <c r="M20" i="9"/>
  <c r="M21" i="9"/>
  <c r="C47" i="15"/>
  <c r="F54" i="5"/>
  <c r="F56" i="5" s="1"/>
  <c r="M48" i="15"/>
  <c r="W22" i="8"/>
  <c r="W16" i="8"/>
  <c r="W23" i="8"/>
  <c r="W27" i="8"/>
  <c r="W20" i="8"/>
  <c r="W24" i="8"/>
  <c r="W25" i="8"/>
  <c r="W21" i="8"/>
  <c r="W26" i="8"/>
  <c r="W28" i="8"/>
  <c r="W18" i="8"/>
  <c r="W19" i="8"/>
  <c r="H42" i="5"/>
  <c r="I42" i="5" s="1"/>
  <c r="B47" i="15"/>
  <c r="M47" i="15" s="1"/>
  <c r="M23" i="15"/>
  <c r="I18" i="5"/>
  <c r="B47" i="16"/>
  <c r="D54" i="5"/>
  <c r="E8" i="16"/>
  <c r="E48" i="16"/>
  <c r="E49" i="16"/>
  <c r="H51" i="5"/>
  <c r="I51" i="5" s="1"/>
  <c r="H44" i="5"/>
  <c r="I44" i="5" s="1"/>
  <c r="I49" i="5"/>
  <c r="I45" i="5"/>
  <c r="C54" i="5"/>
  <c r="C56" i="5" s="1"/>
  <c r="M34" i="15"/>
  <c r="H54" i="5"/>
  <c r="G56" i="5"/>
  <c r="I52" i="5"/>
  <c r="I53" i="5"/>
  <c r="H30" i="5"/>
  <c r="I30" i="5" s="1"/>
  <c r="I47" i="5"/>
  <c r="O19" i="9" l="1"/>
  <c r="O21" i="9"/>
  <c r="O27" i="9"/>
  <c r="O23" i="9"/>
  <c r="O25" i="9"/>
  <c r="O29" i="9"/>
  <c r="O17" i="9"/>
  <c r="O26" i="9"/>
  <c r="O24" i="9"/>
  <c r="O20" i="9"/>
  <c r="O22" i="9"/>
  <c r="O28" i="9"/>
  <c r="E47" i="16"/>
  <c r="I54" i="5"/>
  <c r="D56" i="5"/>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<sst xmlns="http://schemas.openxmlformats.org/spreadsheetml/2006/main" count="929" uniqueCount="581">
  <si>
    <r>
      <rPr>
        <b/>
        <sz val="12"/>
        <rFont val="宋体"/>
        <family val="3"/>
        <charset val="134"/>
      </rPr>
      <t>底稿开列时，可先在以下单元格填写有关内容，以便其他底稿引用有关数据：</t>
    </r>
  </si>
  <si>
    <r>
      <rPr>
        <b/>
        <sz val="12"/>
        <color indexed="8"/>
        <rFont val="宋体"/>
        <family val="3"/>
        <charset val="134"/>
      </rPr>
      <t>目录</t>
    </r>
  </si>
  <si>
    <r>
      <rPr>
        <b/>
        <sz val="10"/>
        <color indexed="8"/>
        <rFont val="宋体"/>
        <family val="3"/>
        <charset val="134"/>
      </rPr>
      <t>序号</t>
    </r>
  </si>
  <si>
    <t>内容</t>
  </si>
  <si>
    <r>
      <rPr>
        <b/>
        <sz val="10"/>
        <color indexed="8"/>
        <rFont val="宋体"/>
        <family val="3"/>
        <charset val="134"/>
      </rPr>
      <t>索引号</t>
    </r>
  </si>
  <si>
    <r>
      <rPr>
        <b/>
        <sz val="10"/>
        <color indexed="8"/>
        <rFont val="宋体"/>
        <family val="3"/>
        <charset val="134"/>
      </rPr>
      <t>备注</t>
    </r>
  </si>
  <si>
    <t>无形资产实质性程序</t>
  </si>
  <si>
    <t>I1A</t>
  </si>
  <si>
    <t>I1-1</t>
  </si>
  <si>
    <t>无形资产类别设置（以下内容请根据实际情况修改）：</t>
  </si>
  <si>
    <t>I1-2</t>
  </si>
  <si>
    <t>土地使用权</t>
  </si>
  <si>
    <t>调整分录汇总</t>
  </si>
  <si>
    <t>I1-3</t>
  </si>
  <si>
    <t>备选</t>
  </si>
  <si>
    <t>住房使用权</t>
  </si>
  <si>
    <t>I1-4</t>
  </si>
  <si>
    <t xml:space="preserve">   </t>
  </si>
  <si>
    <t>专利权</t>
  </si>
  <si>
    <t>I1-5</t>
  </si>
  <si>
    <t>非专利技术</t>
  </si>
  <si>
    <t>I1-6</t>
  </si>
  <si>
    <t>商标权</t>
  </si>
  <si>
    <t>I1-7</t>
  </si>
  <si>
    <t>著作权</t>
  </si>
  <si>
    <t>I1-8</t>
  </si>
  <si>
    <t>特许经营权</t>
  </si>
  <si>
    <t>I1-9</t>
  </si>
  <si>
    <t>软件</t>
  </si>
  <si>
    <t>I1-10</t>
  </si>
  <si>
    <t>矿产权</t>
  </si>
  <si>
    <t>I1-11</t>
  </si>
  <si>
    <t>数据资源</t>
  </si>
  <si>
    <t>I1-12</t>
  </si>
  <si>
    <t>其他</t>
  </si>
  <si>
    <t>I1-13</t>
  </si>
  <si>
    <t>……</t>
  </si>
  <si>
    <r>
      <rPr>
        <sz val="10"/>
        <rFont val="宋体"/>
        <family val="3"/>
        <charset val="134"/>
      </rPr>
      <t>索引号：</t>
    </r>
  </si>
  <si>
    <t>会计期间：202X年</t>
  </si>
  <si>
    <r>
      <rPr>
        <sz val="10"/>
        <rFont val="宋体"/>
        <family val="3"/>
        <charset val="134"/>
      </rPr>
      <t>页</t>
    </r>
    <r>
      <rPr>
        <sz val="10"/>
        <rFont val="Arial Narrow"/>
        <family val="2"/>
      </rPr>
      <t xml:space="preserve">    </t>
    </r>
    <r>
      <rPr>
        <sz val="10"/>
        <rFont val="宋体"/>
        <family val="3"/>
        <charset val="134"/>
      </rPr>
      <t>次：</t>
    </r>
  </si>
  <si>
    <t>一、本账户涉及的科目</t>
  </si>
  <si>
    <t>无形资产</t>
  </si>
  <si>
    <t>二、审计目标与认定的对应关系</t>
  </si>
  <si>
    <t>审计目标</t>
  </si>
  <si>
    <t>财务报表的认定　</t>
  </si>
  <si>
    <r>
      <rPr>
        <sz val="10"/>
        <rFont val="Arial"/>
        <family val="2"/>
      </rPr>
      <t xml:space="preserve">A. </t>
    </r>
    <r>
      <rPr>
        <sz val="10"/>
        <rFont val="宋体"/>
        <family val="3"/>
        <charset val="134"/>
      </rPr>
      <t>资产负债表中记录的无形资产是存在的，且已经记录在恰当的账户中</t>
    </r>
  </si>
  <si>
    <t>存在</t>
  </si>
  <si>
    <r>
      <rPr>
        <sz val="10"/>
        <rFont val="Arial"/>
        <family val="2"/>
      </rPr>
      <t xml:space="preserve">B. </t>
    </r>
    <r>
      <rPr>
        <sz val="10"/>
        <rFont val="宋体"/>
        <family val="3"/>
        <charset val="134"/>
      </rPr>
      <t>所有应记录的无形资产均已记录，所有应当包括在财务报表中的相关披露均已包括</t>
    </r>
  </si>
  <si>
    <t>完整性</t>
  </si>
  <si>
    <r>
      <rPr>
        <sz val="10"/>
        <rFont val="Arial"/>
        <family val="2"/>
      </rPr>
      <t xml:space="preserve">C. </t>
    </r>
    <r>
      <rPr>
        <sz val="10"/>
        <rFont val="宋体"/>
        <family val="3"/>
        <charset val="134"/>
      </rPr>
      <t>记录的无形资产由被审计单位拥有或控制</t>
    </r>
  </si>
  <si>
    <t>权利和义务</t>
  </si>
  <si>
    <r>
      <rPr>
        <sz val="10"/>
        <rFont val="Arial"/>
        <family val="2"/>
      </rPr>
      <t xml:space="preserve">D. </t>
    </r>
    <r>
      <rPr>
        <sz val="10"/>
        <rFont val="宋体"/>
        <family val="3"/>
        <charset val="134"/>
      </rPr>
      <t>无形资产以恰当的金额包括在财务报表中，与之相关的计价或分摊调整已恰当记录，相关披露已得到恰当计量和描述</t>
    </r>
    <r>
      <rPr>
        <sz val="10"/>
        <rFont val="Arial"/>
        <family val="2"/>
      </rPr>
      <t xml:space="preserve"> </t>
    </r>
  </si>
  <si>
    <t>准确性、计价和分摊</t>
  </si>
  <si>
    <r>
      <rPr>
        <sz val="10"/>
        <rFont val="Arial"/>
        <family val="2"/>
      </rPr>
      <t xml:space="preserve">E. </t>
    </r>
    <r>
      <rPr>
        <sz val="10"/>
        <rFont val="宋体"/>
        <family val="3"/>
        <charset val="134"/>
      </rPr>
      <t>无形资产已被恰当地汇总或分解且表述清楚，相关披露在按照企业会计准则的编制基础下是相关的、可理解的</t>
    </r>
  </si>
  <si>
    <t>列报</t>
  </si>
  <si>
    <t>序号</t>
  </si>
  <si>
    <t>程序分类</t>
  </si>
  <si>
    <t>财务报表的认定</t>
  </si>
  <si>
    <t>底稿索引号</t>
  </si>
  <si>
    <t>权利和
义务</t>
  </si>
  <si>
    <t>1</t>
  </si>
  <si>
    <t>获取或编制无形资产的明细表，复核加计是否正确，与总账、明细账合计数核对是否相符，期初余额与上期审定期末余额是否相符，并编制审定表。</t>
  </si>
  <si>
    <t>常规★</t>
  </si>
  <si>
    <t>√</t>
  </si>
  <si>
    <t>2</t>
  </si>
  <si>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</si>
  <si>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t>3</t>
  </si>
  <si>
    <t>期初余额</t>
  </si>
  <si>
    <t>4</t>
  </si>
  <si>
    <t>5</t>
  </si>
  <si>
    <t>6</t>
  </si>
  <si>
    <t>对于本期减少的无形资产，根据具体情况，需要检查的项目包括但不限于：
（1）根据具体情况，按下述3条所述流程，执行相关程序。
检查与资产处置相关的合同、发票及其他文件；重新计算相关的利得或损失；确定会计处理是否恰当。 
（2）检查房地产开发企业取得的土地用于建造对外出售的房屋建筑物，相关的土地使用权是否转入所建造房屋建筑物的成本；在土地上自行开发建造厂房等建筑物的，土地使用权和地上建筑物是否分别进行摊销和计提折旧；
（3）当土地使用权用于出租或增值目的时，检查其是否转为投资性房地产核算，会计处理是否正确。</t>
  </si>
  <si>
    <t>7</t>
  </si>
  <si>
    <t>对于使用寿命有限的无形资产的本期摊销，执行以下程序：
（1）获取或编制使用寿命有限的无形资产的累计摊销明细表，复核加计正确，并与总账数和明细账合计数核对相符。
（2）确认摊销方法是否一致，是否合理。 确定摊销年限是否适当，重新测算摊销金额，形成本期摊销费用的期望，与已记录的金额对比。
（3）确定分配到各项资产/费用项目的摊销金额是否合理。</t>
  </si>
  <si>
    <t>8</t>
  </si>
  <si>
    <t>检查无形资产的权属，确定是否存在受限情况：
（1）结合银行借款等项目的检查，并同时查看资产权属证明原件，了解是否设定对外抵押，如有，则详细记录，并提请被审计单位进行充分披露，并取得复印件作为工作底稿。
（2）对于正在办理权属证明的大额资产，应了解权属证明办理情况，确认是否存在权属纠纷或实质性障碍。</t>
  </si>
  <si>
    <t>9</t>
  </si>
  <si>
    <t>针对存在减值迹象的无形资产，考虑执行下列程序：
（1）获取无形资产的减值明细表；
（2）记录对无形资产可能造成减值的事件或环境变化；
（3）复核用于减值测试的资产分组的合理性；
（4）关注并复核公司确定的减值测试方法与模型是否恰当；关注并复核公司进行减值测试所依据的基础数据是否准确、所选取的关键参数是否恰当，评价所采用的关键假设、所作出的重大估计和判断、所选取的价值类型是否合理，分析减值测试方法与价值类型是否匹配；
（5）取得相关的资产现金流分析。确定相关资产的预测的未来现金流量是合理的；如果现金流量预测表明，资产的账面价值无法收回，获得企业对资产组的公允价值的分析；评价每个评估专家的资质和工作（是否第三方或客户员工），并对完成“专家资质”和“专家工作”的审计程序。确定是否需要在审计项目组中增加一个估值专家，以帮助对公允价值/可收回金额的计算进行评价。
（6）比预期所估计减值准备和已记录的金额，调查所有重大差异；
（7）确定潜在减值是否恰当。
（8）确定上期确认的长期资产减值准备在本期的变动是否适当。</t>
  </si>
  <si>
    <t>10</t>
  </si>
  <si>
    <t>检查无形资产是否已按企业会计准则或其他适用的规定在财务报表中做出恰当列报和披露。</t>
  </si>
  <si>
    <t>B</t>
  </si>
  <si>
    <t>D</t>
  </si>
  <si>
    <t>C</t>
  </si>
  <si>
    <t>11</t>
  </si>
  <si>
    <t>12</t>
  </si>
  <si>
    <t>K1-1</t>
  </si>
  <si>
    <t>致同会计师事务所</t>
  </si>
  <si>
    <t>无形资产、累计摊销及减值准备审定表</t>
  </si>
  <si>
    <r>
      <rPr>
        <sz val="10"/>
        <color indexed="8"/>
        <rFont val="宋体"/>
        <family val="3"/>
        <charset val="134"/>
      </rPr>
      <t>索引号：</t>
    </r>
  </si>
  <si>
    <r>
      <rPr>
        <sz val="10"/>
        <color indexed="8"/>
        <rFont val="宋体"/>
        <family val="3"/>
        <charset val="134"/>
      </rPr>
      <t>页次：</t>
    </r>
  </si>
  <si>
    <r>
      <rPr>
        <b/>
        <sz val="10"/>
        <color indexed="8"/>
        <rFont val="宋体"/>
        <family val="3"/>
        <charset val="134"/>
      </rPr>
      <t>项目</t>
    </r>
  </si>
  <si>
    <r>
      <rPr>
        <b/>
        <sz val="10"/>
        <rFont val="宋体"/>
        <family val="3"/>
        <charset val="134"/>
      </rPr>
      <t>期初数</t>
    </r>
  </si>
  <si>
    <r>
      <rPr>
        <b/>
        <sz val="10"/>
        <rFont val="宋体"/>
        <family val="3"/>
        <charset val="134"/>
      </rPr>
      <t>期末数</t>
    </r>
  </si>
  <si>
    <r>
      <rPr>
        <b/>
        <sz val="10"/>
        <color indexed="8"/>
        <rFont val="宋体"/>
        <family val="3"/>
        <charset val="134"/>
      </rPr>
      <t>本期审定数与上期
审定数的比较</t>
    </r>
  </si>
  <si>
    <r>
      <rPr>
        <b/>
        <sz val="10"/>
        <rFont val="宋体"/>
        <family val="3"/>
        <charset val="134"/>
      </rPr>
      <t>未审数</t>
    </r>
  </si>
  <si>
    <r>
      <rPr>
        <b/>
        <sz val="10"/>
        <rFont val="宋体"/>
        <family val="3"/>
        <charset val="134"/>
      </rPr>
      <t>账项调整</t>
    </r>
  </si>
  <si>
    <r>
      <rPr>
        <b/>
        <sz val="10"/>
        <rFont val="宋体"/>
        <family val="3"/>
        <charset val="134"/>
      </rPr>
      <t>审定数</t>
    </r>
  </si>
  <si>
    <r>
      <rPr>
        <b/>
        <sz val="10"/>
        <rFont val="宋体"/>
        <family val="3"/>
        <charset val="134"/>
      </rPr>
      <t>变动额</t>
    </r>
  </si>
  <si>
    <r>
      <rPr>
        <b/>
        <sz val="10"/>
        <color indexed="8"/>
        <rFont val="宋体"/>
        <family val="3"/>
        <charset val="134"/>
      </rPr>
      <t>变动率</t>
    </r>
  </si>
  <si>
    <r>
      <rPr>
        <b/>
        <sz val="10"/>
        <color indexed="8"/>
        <rFont val="宋体"/>
        <family val="3"/>
        <charset val="134"/>
      </rPr>
      <t>一、无形资产原值</t>
    </r>
  </si>
  <si>
    <r>
      <rPr>
        <b/>
        <sz val="10"/>
        <color indexed="8"/>
        <rFont val="宋体"/>
        <family val="3"/>
        <charset val="134"/>
      </rPr>
      <t>合计</t>
    </r>
  </si>
  <si>
    <r>
      <rPr>
        <b/>
        <sz val="10"/>
        <color indexed="8"/>
        <rFont val="宋体"/>
        <family val="3"/>
        <charset val="134"/>
      </rPr>
      <t>二、累计摊销</t>
    </r>
  </si>
  <si>
    <r>
      <rPr>
        <b/>
        <sz val="10"/>
        <color indexed="8"/>
        <rFont val="宋体"/>
        <family val="3"/>
        <charset val="134"/>
      </rPr>
      <t>三、减值准备</t>
    </r>
  </si>
  <si>
    <r>
      <rPr>
        <b/>
        <sz val="10"/>
        <color indexed="8"/>
        <rFont val="宋体"/>
        <family val="3"/>
        <charset val="134"/>
      </rPr>
      <t>四、净值</t>
    </r>
  </si>
  <si>
    <r>
      <rPr>
        <b/>
        <sz val="10"/>
        <color indexed="8"/>
        <rFont val="Arial Narrow"/>
        <family val="2"/>
      </rPr>
      <t>TB</t>
    </r>
    <r>
      <rPr>
        <b/>
        <sz val="10"/>
        <color rgb="FF000000"/>
        <rFont val="宋体"/>
        <family val="3"/>
        <charset val="134"/>
      </rPr>
      <t>数据：</t>
    </r>
  </si>
  <si>
    <r>
      <rPr>
        <b/>
        <sz val="10"/>
        <color rgb="FF000000"/>
        <rFont val="宋体"/>
        <family val="3"/>
        <charset val="134"/>
      </rPr>
      <t>差异</t>
    </r>
  </si>
  <si>
    <r>
      <rPr>
        <b/>
        <sz val="10"/>
        <color indexed="8"/>
        <rFont val="Arial Narrow"/>
        <family val="2"/>
      </rPr>
      <t>1</t>
    </r>
    <r>
      <rPr>
        <b/>
        <sz val="10"/>
        <color indexed="8"/>
        <rFont val="宋体"/>
        <family val="3"/>
        <charset val="134"/>
      </rPr>
      <t>、审计说明：</t>
    </r>
  </si>
  <si>
    <r>
      <rPr>
        <sz val="10"/>
        <color indexed="8"/>
        <rFont val="宋体"/>
        <family val="3"/>
        <charset val="134"/>
      </rPr>
      <t>（</t>
    </r>
    <r>
      <rPr>
        <sz val="10"/>
        <color indexed="8"/>
        <rFont val="Arial Narrow"/>
        <family val="2"/>
      </rPr>
      <t>1</t>
    </r>
    <r>
      <rPr>
        <sz val="10"/>
        <color indexed="8"/>
        <rFont val="宋体"/>
        <family val="3"/>
        <charset val="134"/>
      </rPr>
      <t>）无形资产期末净值较期初净值增加（负数为减少）：</t>
    </r>
  </si>
  <si>
    <r>
      <rPr>
        <sz val="10"/>
        <color indexed="8"/>
        <rFont val="宋体"/>
        <family val="3"/>
        <charset val="134"/>
      </rPr>
      <t>主要原因（比例超过</t>
    </r>
    <r>
      <rPr>
        <sz val="10"/>
        <color indexed="8"/>
        <rFont val="Arial Narrow"/>
        <family val="2"/>
      </rPr>
      <t>30%</t>
    </r>
    <r>
      <rPr>
        <sz val="10"/>
        <color indexed="8"/>
        <rFont val="宋体"/>
        <family val="3"/>
        <charset val="134"/>
      </rPr>
      <t>的）：</t>
    </r>
  </si>
  <si>
    <r>
      <rPr>
        <sz val="10"/>
        <color indexed="8"/>
        <rFont val="宋体"/>
        <family val="3"/>
        <charset val="134"/>
      </rPr>
      <t>（</t>
    </r>
    <r>
      <rPr>
        <sz val="10"/>
        <color indexed="8"/>
        <rFont val="Arial Narrow"/>
        <family val="2"/>
      </rPr>
      <t>2</t>
    </r>
    <r>
      <rPr>
        <sz val="10"/>
        <color indexed="8"/>
        <rFont val="宋体"/>
        <family val="3"/>
        <charset val="134"/>
      </rPr>
      <t>）使用寿命不确定的无形资产的判断依据：</t>
    </r>
  </si>
  <si>
    <r>
      <rPr>
        <sz val="10"/>
        <color indexed="8"/>
        <rFont val="宋体"/>
        <family val="3"/>
        <charset val="134"/>
      </rPr>
      <t>（</t>
    </r>
    <r>
      <rPr>
        <sz val="10"/>
        <color indexed="8"/>
        <rFont val="Arial Narrow"/>
        <family val="2"/>
      </rPr>
      <t>3</t>
    </r>
    <r>
      <rPr>
        <sz val="10"/>
        <color indexed="8"/>
        <rFont val="宋体"/>
        <family val="3"/>
        <charset val="134"/>
      </rPr>
      <t>）权属、抵押情况说明：</t>
    </r>
  </si>
  <si>
    <r>
      <rPr>
        <b/>
        <sz val="10"/>
        <color indexed="8"/>
        <rFont val="Arial Narrow"/>
        <family val="2"/>
      </rPr>
      <t>2</t>
    </r>
    <r>
      <rPr>
        <b/>
        <sz val="10"/>
        <color indexed="8"/>
        <rFont val="宋体"/>
        <family val="3"/>
        <charset val="134"/>
      </rPr>
      <t>、审计结论：</t>
    </r>
  </si>
  <si>
    <t>编制说明：</t>
  </si>
  <si>
    <t>1、项目类别可分为专利权、非专利技术、商标权、著作权、土地使用权、特许权，具体披露要求可参考《企业会计准则30号-财务报表列报》和证监会的有关规定。</t>
  </si>
  <si>
    <t>2、企业取得的土地使用权通常应确认为无形资产，但改变土地使用权用途，用于赚取租金或资本增值的，应当将其转为投资性房地产。</t>
  </si>
  <si>
    <t>3、自行开发建造厂房等建筑物，相关的土地使用权与建筑物应当分别进行处理。外购土地及建筑物支付的价款应当在建筑物与土地使用权之间进行分配；难以合理分配的，应当全部作为固定资产。</t>
  </si>
  <si>
    <t>4、企业（房地产开发）取得土地用于建造对外出售的房屋建筑物，相关的土地使用权账面价值应当计入所建造的房屋建筑物成本。</t>
  </si>
  <si>
    <t>5、无论是否存在减值迹象，年末必须对“使用寿命不确定的无形资产”进行减值测试。</t>
  </si>
  <si>
    <t>6、如适用，根据1131号等审计准则和指南的要求编制，说明涉及事项内容、应对措施、审计结论或解决方法以及可能对审计报告的影响。，</t>
  </si>
  <si>
    <t>A、风险评估结果和内控了解、测试情况（不适用则说明：不存在重大错报风险。)</t>
  </si>
  <si>
    <t>(识别和实际评估的重大错报风险、尤其识特别风险，以及对内控了解和控制测试情况〔采用综合方案时〕）；</t>
  </si>
  <si>
    <t>提示：a、收入科目应当假定存在舞弊的特别风险，如不存在，应说明理由；</t>
  </si>
  <si>
    <t>b、涉及特别风险时，应当重点说明有关事项、应当措施、结果〔可索引有关底稿〕。</t>
  </si>
  <si>
    <t>特别风险涉及的事项包括但不限于：</t>
  </si>
  <si>
    <t>（1）舞弊风险（如1141准则的示例）；（2）重大非常规交易（如企业购并、债务重组、非货币性资产交换、重大或有事项、持续经营、违反法律法规等）；</t>
  </si>
  <si>
    <t>(3)重大关联交易；(4)重大判断事项（如重大会计估计、会计政策及其变更）；(5)重大复杂交易；</t>
  </si>
  <si>
    <t>(6)仅通过实质性程序无法应对的重大错报风险（如日常交易采用高度自动化处理）等等。</t>
  </si>
  <si>
    <t>B、发现的重大不符事项（如适用）按调整事项，逐笔概述调整原因及对本科目的调整金额，并说明相关底稿的索引号。</t>
  </si>
  <si>
    <t>〔即具体事项内容和调整分录，见经索引的本科目或相关科目的检查表或测算表〕</t>
  </si>
  <si>
    <t>7、说明基于获取的审计证据，在有关认定方面，是否发现重大错报或存在重大异常。</t>
  </si>
  <si>
    <t>参考结论：</t>
  </si>
  <si>
    <t>A、未见异常，可以确认。</t>
  </si>
  <si>
    <t>B、经审计调整后可确认。</t>
  </si>
  <si>
    <t>C、由于存在上述重大未调整事项（或审计范围受到限制无法获取充分、适当证据），不可确认。</t>
  </si>
  <si>
    <t>8、注释：对于按照相关会计准则采用折旧（或摊销、折耗）方法进行后续计量的固定资产、无形资产、长期待摊费用等非流动资产，折旧（或摊销、折耗）年限（或期限）只剩一年或不足一年的，无需转入“一年内到期的非流动资产”列报；预计在一年内（含一年）进行折旧（或摊销、折耗）的部分，无需转入“一年内到期的非流动资产”列报。</t>
  </si>
  <si>
    <t>无形资产、累计摊销及减值准备附注披露表（上市公司）</t>
  </si>
  <si>
    <t>页次：</t>
  </si>
  <si>
    <r>
      <rPr>
        <sz val="12"/>
        <color indexed="8"/>
        <rFont val="仿宋_GB2312"/>
        <family val="3"/>
        <charset val="134"/>
      </rPr>
      <t>（</t>
    </r>
    <r>
      <rPr>
        <sz val="12"/>
        <color indexed="8"/>
        <rFont val="Arial Narrow"/>
        <family val="2"/>
      </rPr>
      <t>1</t>
    </r>
    <r>
      <rPr>
        <sz val="12"/>
        <color indexed="8"/>
        <rFont val="仿宋_GB2312"/>
        <family val="3"/>
        <charset val="134"/>
      </rPr>
      <t>）无形资产情况</t>
    </r>
  </si>
  <si>
    <t>无形资产、累计摊销及减值准备附注披露表（国有企业）</t>
  </si>
  <si>
    <t>项目</t>
  </si>
  <si>
    <t>合计</t>
  </si>
  <si>
    <t>一、账面原值</t>
  </si>
  <si>
    <r>
      <rPr>
        <sz val="10"/>
        <color rgb="FF000000"/>
        <rFont val="宋体"/>
        <family val="3"/>
        <charset val="134"/>
        <scheme val="minor"/>
      </rPr>
      <t xml:space="preserve">    1.</t>
    </r>
    <r>
      <rPr>
        <sz val="10"/>
        <color indexed="8"/>
        <rFont val="宋体"/>
        <family val="3"/>
        <charset val="134"/>
        <scheme val="minor"/>
      </rPr>
      <t>期初余额</t>
    </r>
  </si>
  <si>
    <r>
      <rPr>
        <sz val="10"/>
        <color rgb="FF000000"/>
        <rFont val="宋体"/>
        <family val="3"/>
        <charset val="134"/>
        <scheme val="minor"/>
      </rPr>
      <t>2.</t>
    </r>
    <r>
      <rPr>
        <sz val="10"/>
        <color indexed="8"/>
        <rFont val="宋体"/>
        <family val="3"/>
        <charset val="134"/>
        <scheme val="minor"/>
      </rPr>
      <t>本期增加金额</t>
    </r>
  </si>
  <si>
    <r>
      <rPr>
        <sz val="10"/>
        <color rgb="FF000000"/>
        <rFont val="宋体"/>
        <family val="3"/>
        <charset val="134"/>
        <scheme val="minor"/>
      </rPr>
      <t xml:space="preserve">   </t>
    </r>
    <r>
      <rPr>
        <sz val="10"/>
        <color indexed="8"/>
        <rFont val="宋体"/>
        <family val="3"/>
        <charset val="134"/>
        <scheme val="minor"/>
      </rPr>
      <t>（1）购置</t>
    </r>
  </si>
  <si>
    <r>
      <rPr>
        <sz val="10"/>
        <color rgb="FF000000"/>
        <rFont val="宋体"/>
        <family val="3"/>
        <charset val="134"/>
        <scheme val="minor"/>
      </rPr>
      <t xml:space="preserve">   </t>
    </r>
    <r>
      <rPr>
        <sz val="10"/>
        <color indexed="8"/>
        <rFont val="宋体"/>
        <family val="3"/>
        <charset val="134"/>
        <scheme val="minor"/>
      </rPr>
      <t>（2）内部研发</t>
    </r>
  </si>
  <si>
    <r>
      <rPr>
        <sz val="10"/>
        <color rgb="FF000000"/>
        <rFont val="宋体"/>
        <family val="3"/>
        <charset val="134"/>
        <scheme val="minor"/>
      </rPr>
      <t xml:space="preserve">   </t>
    </r>
    <r>
      <rPr>
        <sz val="10"/>
        <color indexed="8"/>
        <rFont val="宋体"/>
        <family val="3"/>
        <charset val="134"/>
        <scheme val="minor"/>
      </rPr>
      <t>（3）企业合并增加</t>
    </r>
  </si>
  <si>
    <r>
      <rPr>
        <sz val="10"/>
        <color rgb="FF000000"/>
        <rFont val="宋体"/>
        <family val="3"/>
        <charset val="134"/>
        <scheme val="minor"/>
      </rPr>
      <t>（</t>
    </r>
    <r>
      <rPr>
        <sz val="10"/>
        <color indexed="8"/>
        <rFont val="宋体"/>
        <family val="3"/>
        <charset val="134"/>
        <scheme val="minor"/>
      </rPr>
      <t>4）其他增加</t>
    </r>
  </si>
  <si>
    <t xml:space="preserve">   ……</t>
  </si>
  <si>
    <r>
      <rPr>
        <sz val="10"/>
        <color rgb="FF000000"/>
        <rFont val="宋体"/>
        <family val="3"/>
        <charset val="134"/>
        <scheme val="minor"/>
      </rPr>
      <t xml:space="preserve">    3.</t>
    </r>
    <r>
      <rPr>
        <sz val="10"/>
        <color indexed="8"/>
        <rFont val="宋体"/>
        <family val="3"/>
        <charset val="134"/>
        <scheme val="minor"/>
      </rPr>
      <t>本期减少金额</t>
    </r>
  </si>
  <si>
    <r>
      <rPr>
        <sz val="10"/>
        <color rgb="FF000000"/>
        <rFont val="宋体"/>
        <family val="3"/>
        <charset val="134"/>
        <scheme val="minor"/>
      </rPr>
      <t xml:space="preserve">   </t>
    </r>
    <r>
      <rPr>
        <sz val="10"/>
        <color indexed="8"/>
        <rFont val="宋体"/>
        <family val="3"/>
        <charset val="134"/>
        <scheme val="minor"/>
      </rPr>
      <t>（1）处置</t>
    </r>
  </si>
  <si>
    <t xml:space="preserve">  （2）失效且终止确认的部分</t>
  </si>
  <si>
    <t xml:space="preserve">   （3）其他减少</t>
  </si>
  <si>
    <r>
      <rPr>
        <sz val="10"/>
        <color rgb="FF000000"/>
        <rFont val="宋体"/>
        <family val="3"/>
        <charset val="134"/>
        <scheme val="minor"/>
      </rPr>
      <t xml:space="preserve">   4.</t>
    </r>
    <r>
      <rPr>
        <sz val="10"/>
        <color indexed="8"/>
        <rFont val="宋体"/>
        <family val="3"/>
        <charset val="134"/>
        <scheme val="minor"/>
      </rPr>
      <t>期末余额</t>
    </r>
  </si>
  <si>
    <t>二、累计摊销</t>
  </si>
  <si>
    <r>
      <rPr>
        <sz val="10"/>
        <color rgb="FF000000"/>
        <rFont val="宋体"/>
        <family val="3"/>
        <charset val="134"/>
        <scheme val="minor"/>
      </rPr>
      <t xml:space="preserve">    </t>
    </r>
    <r>
      <rPr>
        <sz val="10"/>
        <color indexed="8"/>
        <rFont val="宋体"/>
        <family val="3"/>
        <charset val="134"/>
        <scheme val="minor"/>
      </rPr>
      <t>（1）计提</t>
    </r>
  </si>
  <si>
    <r>
      <rPr>
        <sz val="10"/>
        <color rgb="FF000000"/>
        <rFont val="宋体"/>
        <family val="3"/>
        <charset val="134"/>
        <scheme val="minor"/>
      </rPr>
      <t>（</t>
    </r>
    <r>
      <rPr>
        <sz val="10"/>
        <color indexed="8"/>
        <rFont val="宋体"/>
        <family val="3"/>
        <charset val="134"/>
        <scheme val="minor"/>
      </rPr>
      <t>2）其他增加</t>
    </r>
  </si>
  <si>
    <r>
      <rPr>
        <sz val="10"/>
        <color rgb="FF000000"/>
        <rFont val="宋体"/>
        <family val="3"/>
        <charset val="134"/>
        <scheme val="minor"/>
      </rPr>
      <t xml:space="preserve">    4.</t>
    </r>
    <r>
      <rPr>
        <sz val="10"/>
        <color indexed="8"/>
        <rFont val="宋体"/>
        <family val="3"/>
        <charset val="134"/>
        <scheme val="minor"/>
      </rPr>
      <t>期末余额</t>
    </r>
  </si>
  <si>
    <t>三、减值准备</t>
  </si>
  <si>
    <r>
      <rPr>
        <sz val="10"/>
        <color rgb="FF000000"/>
        <rFont val="宋体"/>
        <family val="3"/>
        <charset val="134"/>
        <scheme val="minor"/>
      </rPr>
      <t xml:space="preserve">   </t>
    </r>
    <r>
      <rPr>
        <sz val="10"/>
        <color indexed="8"/>
        <rFont val="宋体"/>
        <family val="3"/>
        <charset val="134"/>
        <scheme val="minor"/>
      </rPr>
      <t>（1）计提</t>
    </r>
  </si>
  <si>
    <t>四、账面价值</t>
  </si>
  <si>
    <r>
      <rPr>
        <sz val="10"/>
        <color rgb="FF000000"/>
        <rFont val="宋体"/>
        <family val="3"/>
        <charset val="134"/>
        <scheme val="minor"/>
      </rPr>
      <t xml:space="preserve">    1.</t>
    </r>
    <r>
      <rPr>
        <sz val="10"/>
        <color indexed="8"/>
        <rFont val="宋体"/>
        <family val="3"/>
        <charset val="134"/>
        <scheme val="minor"/>
      </rPr>
      <t>期末账面价值</t>
    </r>
  </si>
  <si>
    <r>
      <rPr>
        <sz val="10"/>
        <color rgb="FF000000"/>
        <rFont val="宋体"/>
        <family val="3"/>
        <charset val="134"/>
        <scheme val="minor"/>
      </rPr>
      <t xml:space="preserve">    2.</t>
    </r>
    <r>
      <rPr>
        <sz val="10"/>
        <color indexed="8"/>
        <rFont val="宋体"/>
        <family val="3"/>
        <charset val="134"/>
        <scheme val="minor"/>
      </rPr>
      <t>期初账面价值</t>
    </r>
  </si>
  <si>
    <t>说明：</t>
  </si>
  <si>
    <t>①期末，通过内部研发形成的无形资产占无形资产余额的比例为______。</t>
  </si>
  <si>
    <t>②（本集团使用寿命不确定的无形资产的判断依据。）</t>
  </si>
  <si>
    <r>
      <rPr>
        <sz val="10"/>
        <color rgb="FF0000FF"/>
        <rFont val="宋体"/>
        <family val="3"/>
        <charset val="134"/>
        <scheme val="minor"/>
      </rPr>
      <t>③（抵押、担保的土地使用权</t>
    </r>
    <r>
      <rPr>
        <sz val="10"/>
        <color indexed="8"/>
        <rFont val="宋体"/>
        <family val="3"/>
        <charset val="134"/>
        <scheme val="minor"/>
      </rPr>
      <t>）</t>
    </r>
  </si>
  <si>
    <t>④【长期资产本期进行减值测试的，应披露可收回金额的具体确定方法。可收回金额按公允价值减去处置费用后的净额确定的，应披露公允价值和处置费用的确定方式、关键参数及其确定依据。可收回金额按预计未来现金流量的现值确定的，应披露预测期的年限、预测期及稳定期的关键参数及其确定依据。前述信息与以前年度减值测试采用的信息或外部信息明显不一致的，或公司以前年度减值测试采用信息与当年实际情况明显不一致的，应披露差异原因。（15号文第十九条（十九）】</t>
  </si>
  <si>
    <t>⑤（本期发生以明显高于账面价值的价格出售无形资产交易的，应详细说明交易作价的基础和依据，如：估值模型、重要参数的选取依据和估值过程，以及必要的敏感性分析。）</t>
  </si>
  <si>
    <t>⑥（按照《知识产权相关会计信息披露规定》（财会〔2018〕30号），应当单独披露对企业财务报表具有重要影响的单项无形资产的内容、账面价值和剩余摊销期限。）</t>
  </si>
  <si>
    <r>
      <rPr>
        <b/>
        <sz val="10.5"/>
        <color rgb="FF000000"/>
        <rFont val="仿宋_GB2312"/>
        <family val="3"/>
        <charset val="134"/>
      </rPr>
      <t>项</t>
    </r>
    <r>
      <rPr>
        <b/>
        <sz val="10.5"/>
        <color rgb="FF000000"/>
        <rFont val="Arial Narrow"/>
        <family val="2"/>
      </rPr>
      <t xml:space="preserve">  </t>
    </r>
    <r>
      <rPr>
        <b/>
        <sz val="10.5"/>
        <color rgb="FF000000"/>
        <rFont val="仿宋_GB2312"/>
        <family val="3"/>
        <charset val="134"/>
      </rPr>
      <t>目</t>
    </r>
  </si>
  <si>
    <t>账面价值</t>
  </si>
  <si>
    <t>剩余摊销期限</t>
  </si>
  <si>
    <t>（2）未办妥产权证书的土地使用权情况</t>
  </si>
  <si>
    <t>（披露未办妥产权证书的土地使用权账面价值及原因。）</t>
  </si>
  <si>
    <r>
      <rPr>
        <b/>
        <sz val="10"/>
        <color rgb="FF000000"/>
        <rFont val="宋体"/>
        <family val="3"/>
        <charset val="134"/>
        <scheme val="minor"/>
      </rPr>
      <t>项</t>
    </r>
    <r>
      <rPr>
        <b/>
        <sz val="10"/>
        <color indexed="8"/>
        <rFont val="宋体"/>
        <family val="3"/>
        <charset val="134"/>
        <scheme val="minor"/>
      </rPr>
      <t xml:space="preserve">  目</t>
    </r>
  </si>
  <si>
    <t>未办妥产权证书原因</t>
  </si>
  <si>
    <t>（1）无形资产分类</t>
  </si>
  <si>
    <t>本期增加</t>
  </si>
  <si>
    <t>本期减少</t>
  </si>
  <si>
    <t>期末余额</t>
  </si>
  <si>
    <t>一、原价合计</t>
  </si>
  <si>
    <t>其中：土地使用权</t>
  </si>
  <si>
    <t>二、累计摊销合计</t>
  </si>
  <si>
    <t>三、无形资产减值准备合计</t>
  </si>
  <si>
    <t>四、账面价值合计</t>
  </si>
  <si>
    <t>（①本公司使用寿命不确定的无形资产的判断依据。</t>
  </si>
  <si>
    <t>②抵押、担保的土地使用权。</t>
  </si>
  <si>
    <r>
      <rPr>
        <sz val="10"/>
        <color rgb="FF0000FF"/>
        <rFont val="宋体"/>
        <family val="3"/>
        <charset val="134"/>
        <scheme val="minor"/>
      </rPr>
      <t>③在报告期内发生的单项价值在</t>
    </r>
    <r>
      <rPr>
        <sz val="10"/>
        <color indexed="12"/>
        <rFont val="宋体"/>
        <family val="3"/>
        <charset val="134"/>
        <scheme val="minor"/>
      </rPr>
      <t>100万元以上的无形资产，若该资产原始价值是以评估值作为入账依据的，还应披露评估机构名称、评估方法。</t>
    </r>
  </si>
  <si>
    <t>④无形资产减值准备计提及减少原因</t>
  </si>
  <si>
    <t>⑤尚未达到可使用状态的无形资产，说明针对该项无形资产的减值测试结果。</t>
  </si>
  <si>
    <t>⑥本期发生以明显高于账面价值的价格出售无形资产交易的，应详细说明交易作价的基础和依据，如：估值模型、重要参数的选取依据和估值过程，以及必要的敏感性分析。</t>
  </si>
  <si>
    <t>⑦披露未办妥产权证书的土地使用权有关情况，说明未办妥产权证书的原因和预计办结时间。）</t>
  </si>
  <si>
    <t>无形资产、累计摊销及减值准备明细表</t>
  </si>
  <si>
    <r>
      <rPr>
        <b/>
        <sz val="10"/>
        <color indexed="8"/>
        <rFont val="宋体"/>
        <family val="3"/>
        <charset val="134"/>
      </rPr>
      <t>一、审计目标</t>
    </r>
    <r>
      <rPr>
        <b/>
        <sz val="10"/>
        <color indexed="8"/>
        <rFont val="Arial Narrow"/>
        <family val="2"/>
      </rPr>
      <t>:</t>
    </r>
  </si>
  <si>
    <t xml:space="preserve"> 核对明细账、总账、报表、上年审计报告审定数金额是否相符，确定期初、期末余额是否正确。</t>
  </si>
  <si>
    <r>
      <rPr>
        <b/>
        <sz val="10"/>
        <rFont val="宋体"/>
        <family val="3"/>
        <charset val="134"/>
      </rPr>
      <t>二、审计过程：</t>
    </r>
  </si>
  <si>
    <t>无形资产项目</t>
  </si>
  <si>
    <t>无形资产类别</t>
  </si>
  <si>
    <t>无形资产原值</t>
  </si>
  <si>
    <t>累计摊销</t>
  </si>
  <si>
    <t>减值准备</t>
  </si>
  <si>
    <t>期初净值</t>
  </si>
  <si>
    <t>期末净值</t>
  </si>
  <si>
    <t>是否有权属证明</t>
  </si>
  <si>
    <t>是否抵押受限</t>
  </si>
  <si>
    <t>未审数</t>
  </si>
  <si>
    <t>期初调整</t>
  </si>
  <si>
    <t>账项调整</t>
  </si>
  <si>
    <t>审定数</t>
  </si>
  <si>
    <r>
      <rPr>
        <b/>
        <sz val="10"/>
        <color indexed="8"/>
        <rFont val="宋体"/>
        <family val="3"/>
        <charset val="134"/>
      </rPr>
      <t>期初数</t>
    </r>
  </si>
  <si>
    <t>期末数</t>
  </si>
  <si>
    <r>
      <rPr>
        <b/>
        <sz val="10"/>
        <color indexed="8"/>
        <rFont val="宋体"/>
        <family val="3"/>
        <charset val="134"/>
      </rPr>
      <t>本期增加</t>
    </r>
  </si>
  <si>
    <r>
      <rPr>
        <b/>
        <sz val="10"/>
        <color indexed="8"/>
        <rFont val="宋体"/>
        <family val="3"/>
        <charset val="134"/>
      </rPr>
      <t>本期减少</t>
    </r>
  </si>
  <si>
    <t>未审净值</t>
  </si>
  <si>
    <t>审定净值</t>
  </si>
  <si>
    <t>金额</t>
  </si>
  <si>
    <t>增加方式</t>
  </si>
  <si>
    <t>减少方式</t>
  </si>
  <si>
    <r>
      <rPr>
        <b/>
        <sz val="10"/>
        <color indexed="8"/>
        <rFont val="宋体"/>
        <family val="3"/>
        <charset val="134"/>
      </rPr>
      <t>本期摊销</t>
    </r>
  </si>
  <si>
    <r>
      <rPr>
        <b/>
        <sz val="10"/>
        <color indexed="8"/>
        <rFont val="宋体"/>
        <family val="3"/>
        <charset val="134"/>
      </rPr>
      <t>其他增加</t>
    </r>
  </si>
  <si>
    <t>处置</t>
  </si>
  <si>
    <t>其他减少</t>
  </si>
  <si>
    <t>本期计提</t>
  </si>
  <si>
    <t>A</t>
  </si>
  <si>
    <t>…</t>
  </si>
  <si>
    <t>其中：</t>
  </si>
  <si>
    <t>三、审计说明：</t>
  </si>
  <si>
    <t>四、审计结论：</t>
  </si>
  <si>
    <r>
      <rPr>
        <sz val="10"/>
        <color indexed="8"/>
        <rFont val="宋体"/>
        <family val="3"/>
        <charset val="134"/>
      </rPr>
      <t>编制说明：</t>
    </r>
  </si>
  <si>
    <r>
      <rPr>
        <sz val="10"/>
        <color indexed="8"/>
        <rFont val="Arial Narrow"/>
        <family val="2"/>
      </rPr>
      <t>1</t>
    </r>
    <r>
      <rPr>
        <sz val="10"/>
        <color indexed="8"/>
        <rFont val="宋体"/>
        <family val="3"/>
        <charset val="134"/>
      </rPr>
      <t>、本科目核算企业持有的无形资产成本，包括专利权、非专利技术、商标权、著作权、土地使用权等。</t>
    </r>
  </si>
  <si>
    <r>
      <rPr>
        <sz val="10"/>
        <color indexed="8"/>
        <rFont val="Arial Narrow"/>
        <family val="2"/>
      </rPr>
      <t>2</t>
    </r>
    <r>
      <rPr>
        <sz val="10"/>
        <color indexed="8"/>
        <rFont val="宋体"/>
        <family val="3"/>
        <charset val="134"/>
      </rPr>
      <t>、对于使用寿命不确定的无形资产，每年进行减值测试。</t>
    </r>
  </si>
  <si>
    <r>
      <rPr>
        <sz val="10"/>
        <color indexed="8"/>
        <rFont val="Arial Narrow"/>
        <family val="2"/>
      </rPr>
      <t>3</t>
    </r>
    <r>
      <rPr>
        <sz val="10"/>
        <color indexed="8"/>
        <rFont val="宋体"/>
        <family val="3"/>
        <charset val="134"/>
      </rPr>
      <t>、对于尚未达到可使用状态的无形资产，由于其价值通常具有较大的不确定性，也应当每年进行减值测试。</t>
    </r>
  </si>
  <si>
    <t>无形资产调整分录汇总表</t>
  </si>
  <si>
    <t>调整事项说明</t>
  </si>
  <si>
    <t>类别（报表调整/账项调整/其他）</t>
  </si>
  <si>
    <t>报表项目</t>
  </si>
  <si>
    <t>科目名称</t>
  </si>
  <si>
    <t>附注项目</t>
  </si>
  <si>
    <t>借方调整金额</t>
  </si>
  <si>
    <t>贷方调整金额</t>
  </si>
  <si>
    <t>索引</t>
  </si>
  <si>
    <t>备注</t>
  </si>
  <si>
    <t>【注：本底稿适用于调整分录较多、较复杂的项目，且仅列示与本报表项目相关的审计调整。项目组可根据项目实际情况选择是否使用该底稿。】</t>
  </si>
  <si>
    <t>判断无形资产相关重大会计政策和会计估计合理性检查</t>
  </si>
  <si>
    <t>（一）被审计单位的无形资产摊销政策：</t>
  </si>
  <si>
    <t>类别</t>
  </si>
  <si>
    <t>使用寿命</t>
  </si>
  <si>
    <t>摊销方法</t>
  </si>
  <si>
    <t>是否符合实际经营情况和会计准则的要求</t>
  </si>
  <si>
    <t>是否与相关资产所包含的经济利益预期实现方式相一致</t>
  </si>
  <si>
    <t>与同行业公司相比，会计政策是否合理</t>
  </si>
  <si>
    <t>是否存在会计政策/会计估计变更</t>
  </si>
  <si>
    <t>会计政策/会计估计变更是否合理</t>
  </si>
  <si>
    <t>（二）同行业其他公司的无形资产摊销政策</t>
  </si>
  <si>
    <r>
      <rPr>
        <b/>
        <sz val="10"/>
        <color indexed="8"/>
        <rFont val="宋体"/>
        <family val="3"/>
        <charset val="134"/>
      </rPr>
      <t>同行业公司</t>
    </r>
    <r>
      <rPr>
        <b/>
        <sz val="10"/>
        <color indexed="8"/>
        <rFont val="Arial Narrow"/>
        <family val="2"/>
      </rPr>
      <t>1</t>
    </r>
  </si>
  <si>
    <t>同行业公司2</t>
  </si>
  <si>
    <t>同行业公司3</t>
  </si>
  <si>
    <t>同行业公司4</t>
  </si>
  <si>
    <t>如本期存在会计估计变更，原会计估计如下：</t>
  </si>
  <si>
    <t>无形资产增加检查表</t>
  </si>
  <si>
    <t>通过检查合同、凭证及其他相关资料，验证无形资产增加情况的存在/发生、所有权、计价和分摊。</t>
  </si>
  <si>
    <r>
      <rPr>
        <b/>
        <sz val="10"/>
        <color indexed="8"/>
        <rFont val="宋体"/>
        <family val="3"/>
        <charset val="134"/>
      </rPr>
      <t>项目名称</t>
    </r>
  </si>
  <si>
    <r>
      <rPr>
        <b/>
        <sz val="10"/>
        <color indexed="8"/>
        <rFont val="宋体"/>
        <family val="3"/>
        <charset val="134"/>
      </rPr>
      <t>入账金额</t>
    </r>
  </si>
  <si>
    <r>
      <rPr>
        <b/>
        <sz val="10"/>
        <color indexed="8"/>
        <rFont val="宋体"/>
        <family val="3"/>
        <charset val="134"/>
      </rPr>
      <t>购买</t>
    </r>
  </si>
  <si>
    <r>
      <rPr>
        <b/>
        <sz val="10"/>
        <color indexed="8"/>
        <rFont val="宋体"/>
        <family val="3"/>
        <charset val="134"/>
      </rPr>
      <t>股东投入方式</t>
    </r>
  </si>
  <si>
    <r>
      <rPr>
        <b/>
        <sz val="10"/>
        <color indexed="8"/>
        <rFont val="宋体"/>
        <family val="3"/>
        <charset val="134"/>
      </rPr>
      <t>具有融资性质</t>
    </r>
  </si>
  <si>
    <t>企业合并取得</t>
  </si>
  <si>
    <r>
      <rPr>
        <b/>
        <sz val="10"/>
        <color indexed="8"/>
        <rFont val="宋体"/>
        <family val="3"/>
        <charset val="134"/>
      </rPr>
      <t>其他取得方式</t>
    </r>
  </si>
  <si>
    <r>
      <rPr>
        <b/>
        <sz val="10"/>
        <color indexed="8"/>
        <rFont val="宋体"/>
        <family val="3"/>
        <charset val="134"/>
      </rPr>
      <t>附件</t>
    </r>
  </si>
  <si>
    <r>
      <rPr>
        <b/>
        <sz val="10"/>
        <color indexed="8"/>
        <rFont val="宋体"/>
        <family val="3"/>
        <charset val="134"/>
      </rPr>
      <t>合同是否齐全</t>
    </r>
  </si>
  <si>
    <r>
      <rPr>
        <b/>
        <sz val="10"/>
        <color indexed="8"/>
        <rFont val="宋体"/>
        <family val="3"/>
        <charset val="134"/>
      </rPr>
      <t>付款是否经审批</t>
    </r>
  </si>
  <si>
    <r>
      <rPr>
        <b/>
        <sz val="10"/>
        <color indexed="8"/>
        <rFont val="宋体"/>
        <family val="3"/>
        <charset val="134"/>
      </rPr>
      <t>入账是否正确</t>
    </r>
  </si>
  <si>
    <r>
      <rPr>
        <b/>
        <sz val="10"/>
        <color indexed="8"/>
        <rFont val="宋体"/>
        <family val="3"/>
        <charset val="134"/>
      </rPr>
      <t>是否经国家批准</t>
    </r>
  </si>
  <si>
    <r>
      <rPr>
        <b/>
        <sz val="10"/>
        <color indexed="8"/>
        <rFont val="宋体"/>
        <family val="3"/>
        <charset val="134"/>
      </rPr>
      <t>手续是否完备</t>
    </r>
  </si>
  <si>
    <r>
      <rPr>
        <b/>
        <sz val="10"/>
        <color indexed="8"/>
        <rFont val="宋体"/>
        <family val="3"/>
        <charset val="134"/>
      </rPr>
      <t>协议金额是否公允</t>
    </r>
  </si>
  <si>
    <r>
      <rPr>
        <b/>
        <sz val="10"/>
        <color indexed="8"/>
        <rFont val="宋体"/>
        <family val="3"/>
        <charset val="134"/>
      </rPr>
      <t>实际利率</t>
    </r>
  </si>
  <si>
    <r>
      <rPr>
        <b/>
        <sz val="10"/>
        <color indexed="8"/>
        <rFont val="宋体"/>
        <family val="3"/>
        <charset val="134"/>
      </rPr>
      <t>融资费用</t>
    </r>
  </si>
  <si>
    <r>
      <rPr>
        <b/>
        <sz val="10"/>
        <color indexed="8"/>
        <rFont val="宋体"/>
        <family val="3"/>
        <charset val="134"/>
      </rPr>
      <t>合同金额</t>
    </r>
  </si>
  <si>
    <r>
      <rPr>
        <b/>
        <sz val="10"/>
        <color indexed="8"/>
        <rFont val="宋体"/>
        <family val="3"/>
        <charset val="134"/>
      </rPr>
      <t>是否满足确认条件</t>
    </r>
  </si>
  <si>
    <t>PPA分摊是否经过专估值家复核</t>
  </si>
  <si>
    <t>利用专家工作底稿索引号</t>
  </si>
  <si>
    <r>
      <rPr>
        <b/>
        <sz val="10"/>
        <color indexed="8"/>
        <rFont val="宋体"/>
        <family val="3"/>
        <charset val="134"/>
      </rPr>
      <t>取得方式</t>
    </r>
  </si>
  <si>
    <r>
      <rPr>
        <b/>
        <sz val="10"/>
        <color indexed="8"/>
        <rFont val="宋体"/>
        <family val="3"/>
        <charset val="134"/>
      </rPr>
      <t>是否符合规定</t>
    </r>
  </si>
  <si>
    <r>
      <rPr>
        <sz val="10"/>
        <color rgb="FF0033CC"/>
        <rFont val="宋体"/>
        <family val="3"/>
        <charset val="134"/>
      </rPr>
      <t>编制说明：</t>
    </r>
  </si>
  <si>
    <t>无形资产减少检查表</t>
  </si>
  <si>
    <t>通过检查合同、凭证及其他相关资料，验证无形资产减少情况的存在/发生、所有权、计价和分摊。</t>
  </si>
  <si>
    <r>
      <rPr>
        <b/>
        <sz val="10"/>
        <color indexed="8"/>
        <rFont val="宋体"/>
        <family val="3"/>
        <charset val="134"/>
      </rPr>
      <t>核销</t>
    </r>
  </si>
  <si>
    <r>
      <rPr>
        <b/>
        <sz val="10"/>
        <color indexed="8"/>
        <rFont val="宋体"/>
        <family val="3"/>
        <charset val="134"/>
      </rPr>
      <t>出售</t>
    </r>
  </si>
  <si>
    <r>
      <rPr>
        <b/>
        <sz val="10"/>
        <color indexed="8"/>
        <rFont val="宋体"/>
        <family val="3"/>
        <charset val="134"/>
      </rPr>
      <t>其他减少方式</t>
    </r>
  </si>
  <si>
    <t>日期</t>
  </si>
  <si>
    <r>
      <rPr>
        <b/>
        <sz val="10"/>
        <color indexed="8"/>
        <rFont val="宋体"/>
        <family val="3"/>
        <charset val="134"/>
      </rPr>
      <t>凭证编号</t>
    </r>
  </si>
  <si>
    <t>附件(相关文件、协议索引号)</t>
  </si>
  <si>
    <r>
      <rPr>
        <b/>
        <sz val="10"/>
        <color indexed="8"/>
        <rFont val="宋体"/>
        <family val="3"/>
        <charset val="134"/>
      </rPr>
      <t>对方科目</t>
    </r>
  </si>
  <si>
    <r>
      <rPr>
        <b/>
        <sz val="10"/>
        <color indexed="8"/>
        <rFont val="宋体"/>
        <family val="3"/>
        <charset val="134"/>
      </rPr>
      <t>是否经审批</t>
    </r>
  </si>
  <si>
    <r>
      <rPr>
        <b/>
        <sz val="10"/>
        <color indexed="8"/>
        <rFont val="宋体"/>
        <family val="3"/>
        <charset val="134"/>
      </rPr>
      <t>结转的金额正确</t>
    </r>
  </si>
  <si>
    <r>
      <rPr>
        <b/>
        <sz val="10"/>
        <color indexed="8"/>
        <rFont val="宋体"/>
        <family val="3"/>
        <charset val="134"/>
      </rPr>
      <t>减少方式</t>
    </r>
  </si>
  <si>
    <t>本期减少的无形资产情况</t>
  </si>
  <si>
    <t>处置日期</t>
  </si>
  <si>
    <t>清理费用</t>
  </si>
  <si>
    <t>清理收入</t>
  </si>
  <si>
    <t>清理净损失或收益</t>
  </si>
  <si>
    <t>是否与相关科目勾稽一致</t>
  </si>
  <si>
    <t>账面原值</t>
  </si>
  <si>
    <r>
      <rPr>
        <sz val="10"/>
        <color rgb="FF0033CC"/>
        <rFont val="宋体"/>
        <family val="3"/>
        <charset val="134"/>
      </rPr>
      <t>房地产开发企业取得的土地用于建造对外出售的房屋建筑物，相关的土地使用权应转入所建造房屋建筑物的成本；</t>
    </r>
  </si>
  <si>
    <r>
      <rPr>
        <sz val="10"/>
        <color rgb="FF0033CC"/>
        <rFont val="宋体"/>
        <family val="3"/>
        <charset val="134"/>
      </rPr>
      <t>在土地上自行开发建造厂房等建筑物的，土地使用权和地上建筑物应分别进行摊销和计提折旧。</t>
    </r>
  </si>
  <si>
    <t>无形资产使用寿命检查表</t>
  </si>
  <si>
    <t>检查被审计单位确定无形资产使用寿命的依据，分析其合理性</t>
  </si>
  <si>
    <r>
      <rPr>
        <b/>
        <sz val="10"/>
        <color indexed="8"/>
        <rFont val="宋体"/>
        <family val="3"/>
        <charset val="134"/>
      </rPr>
      <t>合同性权利或其他法定权利</t>
    </r>
  </si>
  <si>
    <r>
      <rPr>
        <b/>
        <sz val="10"/>
        <color indexed="8"/>
        <rFont val="宋体"/>
        <family val="3"/>
        <charset val="134"/>
      </rPr>
      <t>权利到期后续约的情况</t>
    </r>
  </si>
  <si>
    <r>
      <rPr>
        <b/>
        <sz val="10"/>
        <color indexed="8"/>
        <rFont val="宋体"/>
        <family val="3"/>
        <charset val="134"/>
      </rPr>
      <t>没有法定使用年限</t>
    </r>
  </si>
  <si>
    <r>
      <rPr>
        <b/>
        <sz val="10"/>
        <color indexed="8"/>
        <rFont val="宋体"/>
        <family val="3"/>
        <charset val="134"/>
      </rPr>
      <t>是否属于使用寿命不确定</t>
    </r>
  </si>
  <si>
    <t>相关文件索引号</t>
  </si>
  <si>
    <r>
      <rPr>
        <b/>
        <sz val="10"/>
        <color indexed="8"/>
        <rFont val="宋体"/>
        <family val="3"/>
        <charset val="134"/>
      </rPr>
      <t>是否适用</t>
    </r>
  </si>
  <si>
    <r>
      <rPr>
        <b/>
        <sz val="10"/>
        <color indexed="8"/>
        <rFont val="宋体"/>
        <family val="3"/>
        <charset val="134"/>
      </rPr>
      <t>规定年限</t>
    </r>
  </si>
  <si>
    <r>
      <rPr>
        <b/>
        <sz val="10"/>
        <color indexed="8"/>
        <rFont val="宋体"/>
        <family val="3"/>
        <charset val="134"/>
      </rPr>
      <t>已确定的使用寿命</t>
    </r>
  </si>
  <si>
    <r>
      <rPr>
        <b/>
        <sz val="10"/>
        <color indexed="8"/>
        <rFont val="宋体"/>
        <family val="3"/>
        <charset val="134"/>
      </rPr>
      <t>续约期计入使用寿命的年限</t>
    </r>
  </si>
  <si>
    <r>
      <rPr>
        <b/>
        <sz val="10"/>
        <color indexed="8"/>
        <rFont val="宋体"/>
        <family val="3"/>
        <charset val="134"/>
      </rPr>
      <t>是否估计使用寿命</t>
    </r>
  </si>
  <si>
    <r>
      <rPr>
        <b/>
        <sz val="10"/>
        <color indexed="8"/>
        <rFont val="宋体"/>
        <family val="3"/>
        <charset val="134"/>
      </rPr>
      <t>是否合理</t>
    </r>
  </si>
  <si>
    <t>对于使用寿命不确定的无形资产，询问被审计单位管理层本期是否识别出任何潜在因素导致该项资产拥有有限的使用寿命，以及被审计单位是否按照原定用途继续使用该资产。</t>
  </si>
  <si>
    <t>账面净值</t>
  </si>
  <si>
    <t>询问管理层</t>
  </si>
  <si>
    <t>是否识别出任何潜在因素导致该项资产拥有有限的使用寿命</t>
  </si>
  <si>
    <t>是否按照原定用途继续使用该资产</t>
  </si>
  <si>
    <t>备注（记录相关发现）</t>
  </si>
  <si>
    <t>无形资产权属检查表</t>
  </si>
  <si>
    <t>索引号：</t>
  </si>
  <si>
    <t>检查产权证原件，明确归属，是否存在担保、抵押等情况</t>
  </si>
  <si>
    <t>一、审计过程：</t>
  </si>
  <si>
    <t>资产名称</t>
  </si>
  <si>
    <t>权证记载</t>
  </si>
  <si>
    <t>财务账面记载</t>
  </si>
  <si>
    <t>抵押情况</t>
  </si>
  <si>
    <t>权证编号</t>
  </si>
  <si>
    <t>权利人名称</t>
  </si>
  <si>
    <t>登记日期</t>
  </si>
  <si>
    <t>权利起止日</t>
  </si>
  <si>
    <t>权证复印件索引</t>
  </si>
  <si>
    <t>原值</t>
  </si>
  <si>
    <t>累计折旧</t>
  </si>
  <si>
    <t>净值</t>
  </si>
  <si>
    <t>抵押价值</t>
  </si>
  <si>
    <t>抵押性质</t>
  </si>
  <si>
    <t>根据《首发业务若干问题解答》（2020年6月修订版）
问题31、部分首发企业在合并中识别并确认无形资产，以及对外购买客户资源或客户关系等事项，实务中应注意哪些方面？
答：对于无形资产的确认，应符合《企业会计准则第6号——无形资产》的相关规定。根据《企业会计准则第6号——无形资产》，符合无形资产的可辨认性应源自合同性权利或其他法定权利，并且只有在与该无形资产有关的经济利益很可能流入企业，该无形资产的成本能够可靠地计量，才能确认无形资产；企业在判断无形资产产生的经济利益是否很可能流入时，应当对无形资产在预计使用寿命内可能存在的各种经济因素作出合理估计，并且应当有明确证据支持。
对于客户资源或客户关系，只有在合同或其他法定权利支持，确保企业在较长时期内获得稳定收益且能够核算价值的情况下，才能确认为无形资产。如果企业无法控制客户关系、人力资源等带来的未来经济利益，则不符合无形资产的定义，不应将其确认为无形资产。发行人在开拓市场过程中支付的正常营销费用，或仅从出售方购买了相关客户资料，而客户并未与上述出售方签订独家或长期买卖合同，即在没有明确合同或其他法定权利支持情况下，“客户资源”或“客户关系”通常理解为发行人为获取客户渠道而发生的费用。若确认为无形资产，发行人应详细说明确认的依据，是否符合无形资产的确认条件，保荐机构及申报会计师应针对上述事项谨慎发表明确意见。
对于非同一控制下企业合并中无形资产的识别与确认，根据证监会发布的《2013年上市公司年报会计监管报告》的有关要求，购买方在初始确认企业合并中购入的被购买方资产时，应充分识别被购买方拥有的、但在其财务报表中未确认的无形资产，对于满足会计准则规定确认条件的，应当确认为无形资产。
在上述企业合并确认无形资产的过程中，发行人应保持专业谨慎，充分论证是否存在确凿的证据、合理的理由以及可计量、可确认的条件，评估师应按照公认可靠的评估方法确认其公允价值，不存在其他相反的证据。保荐机构和申报会计师应保持应有的职业谨慎，详细核查发行人确认的无形资产是否符合准则规定的确认条件和计量要求，是否存在虚构无形资产情形，是否存在估值风险和减值风险。</t>
  </si>
  <si>
    <t>无形资产摊销分配分析表</t>
  </si>
  <si>
    <t>摊销费用分配分析表</t>
  </si>
  <si>
    <t>生产成本</t>
  </si>
  <si>
    <t>制造费用</t>
  </si>
  <si>
    <t>销售费用</t>
  </si>
  <si>
    <t>管理费用</t>
  </si>
  <si>
    <t>研发费用</t>
  </si>
  <si>
    <t>注释：企业合并取得的PPA分摊形成的无形资产也需要摊销；自行研发无形资产的摊销，应计入研发费用。</t>
  </si>
  <si>
    <t>无形资产摊销测算表</t>
  </si>
  <si>
    <t>检查无形资产本期应计提的摊销是否合理。</t>
  </si>
  <si>
    <r>
      <rPr>
        <b/>
        <sz val="10"/>
        <color indexed="8"/>
        <rFont val="宋体"/>
        <family val="3"/>
        <charset val="134"/>
      </rPr>
      <t>期初：</t>
    </r>
  </si>
  <si>
    <r>
      <rPr>
        <b/>
        <sz val="10"/>
        <color indexed="8"/>
        <rFont val="宋体"/>
        <family val="3"/>
        <charset val="134"/>
      </rPr>
      <t>折旧期末：</t>
    </r>
  </si>
  <si>
    <r>
      <rPr>
        <b/>
        <sz val="10"/>
        <color indexed="8"/>
        <rFont val="宋体"/>
        <family val="3"/>
        <charset val="134"/>
      </rPr>
      <t>明细项目</t>
    </r>
  </si>
  <si>
    <r>
      <rPr>
        <b/>
        <sz val="10"/>
        <color indexed="8"/>
        <rFont val="宋体"/>
        <family val="3"/>
        <charset val="134"/>
      </rPr>
      <t>期初无形资产</t>
    </r>
  </si>
  <si>
    <r>
      <rPr>
        <b/>
        <sz val="10"/>
        <color indexed="8"/>
        <rFont val="宋体"/>
        <family val="3"/>
        <charset val="134"/>
      </rPr>
      <t>开始使用日期</t>
    </r>
  </si>
  <si>
    <r>
      <rPr>
        <b/>
        <sz val="10"/>
        <color indexed="8"/>
        <rFont val="宋体"/>
        <family val="3"/>
        <charset val="134"/>
      </rPr>
      <t>使用期限（年）</t>
    </r>
  </si>
  <si>
    <r>
      <rPr>
        <b/>
        <sz val="10"/>
        <color indexed="8"/>
        <rFont val="宋体"/>
        <family val="3"/>
        <charset val="134"/>
      </rPr>
      <t>使用期限（月）</t>
    </r>
  </si>
  <si>
    <r>
      <rPr>
        <b/>
        <sz val="10"/>
        <color indexed="8"/>
        <rFont val="宋体"/>
        <family val="3"/>
        <charset val="134"/>
      </rPr>
      <t>剩余摊销月份</t>
    </r>
  </si>
  <si>
    <r>
      <rPr>
        <b/>
        <sz val="10"/>
        <color indexed="8"/>
        <rFont val="宋体"/>
        <family val="3"/>
        <charset val="134"/>
      </rPr>
      <t>测算每月摊销额</t>
    </r>
  </si>
  <si>
    <r>
      <rPr>
        <b/>
        <sz val="10"/>
        <color indexed="8"/>
        <rFont val="宋体"/>
        <family val="3"/>
        <charset val="134"/>
      </rPr>
      <t>本期月数</t>
    </r>
  </si>
  <si>
    <r>
      <rPr>
        <b/>
        <sz val="10"/>
        <color indexed="8"/>
        <rFont val="宋体"/>
        <family val="3"/>
        <charset val="134"/>
      </rPr>
      <t>测算本期摊销额</t>
    </r>
  </si>
  <si>
    <r>
      <rPr>
        <b/>
        <sz val="10"/>
        <color indexed="8"/>
        <rFont val="宋体"/>
        <family val="3"/>
        <charset val="134"/>
      </rPr>
      <t>账面本期摊销额</t>
    </r>
  </si>
  <si>
    <r>
      <rPr>
        <b/>
        <sz val="10"/>
        <color indexed="8"/>
        <rFont val="宋体"/>
        <family val="3"/>
        <charset val="134"/>
      </rPr>
      <t>本期摊销额差异（应补摊）</t>
    </r>
  </si>
  <si>
    <t>累计摊销额差异</t>
  </si>
  <si>
    <r>
      <rPr>
        <b/>
        <sz val="10"/>
        <color indexed="8"/>
        <rFont val="宋体"/>
        <family val="3"/>
        <charset val="134"/>
      </rPr>
      <t>原值</t>
    </r>
  </si>
  <si>
    <r>
      <rPr>
        <b/>
        <sz val="10"/>
        <color indexed="8"/>
        <rFont val="宋体"/>
        <family val="3"/>
        <charset val="134"/>
      </rPr>
      <t>累计摊销</t>
    </r>
  </si>
  <si>
    <r>
      <rPr>
        <b/>
        <sz val="10"/>
        <color indexed="8"/>
        <rFont val="宋体"/>
        <family val="3"/>
        <charset val="134"/>
      </rPr>
      <t>减值准备</t>
    </r>
  </si>
  <si>
    <r>
      <rPr>
        <b/>
        <sz val="10"/>
        <color indexed="8"/>
        <rFont val="宋体"/>
        <family val="3"/>
        <charset val="134"/>
      </rPr>
      <t>价值</t>
    </r>
  </si>
  <si>
    <t>累计摊销测算表</t>
  </si>
  <si>
    <r>
      <rPr>
        <b/>
        <sz val="10"/>
        <rFont val="宋体"/>
        <family val="3"/>
        <charset val="134"/>
      </rPr>
      <t>期初：</t>
    </r>
  </si>
  <si>
    <r>
      <rPr>
        <b/>
        <sz val="10"/>
        <rFont val="宋体"/>
        <family val="3"/>
        <charset val="134"/>
      </rPr>
      <t>折旧期末：</t>
    </r>
  </si>
  <si>
    <r>
      <rPr>
        <b/>
        <sz val="10"/>
        <rFont val="微软雅黑"/>
        <family val="2"/>
        <charset val="134"/>
      </rPr>
      <t>计提减值准备</t>
    </r>
    <r>
      <rPr>
        <b/>
        <sz val="10"/>
        <rFont val="宋体"/>
        <family val="3"/>
        <charset val="134"/>
      </rPr>
      <t>日期</t>
    </r>
  </si>
  <si>
    <r>
      <rPr>
        <b/>
        <sz val="10"/>
        <color rgb="FF0033CC"/>
        <rFont val="宋体"/>
        <family val="3"/>
        <charset val="134"/>
      </rPr>
      <t>使用期限（年）</t>
    </r>
  </si>
  <si>
    <r>
      <rPr>
        <b/>
        <sz val="10"/>
        <color indexed="8"/>
        <rFont val="宋体"/>
        <family val="3"/>
        <charset val="134"/>
      </rPr>
      <t>账面月摊销额</t>
    </r>
  </si>
  <si>
    <r>
      <rPr>
        <b/>
        <sz val="10"/>
        <color rgb="FF0033CC"/>
        <rFont val="宋体"/>
        <family val="3"/>
        <charset val="134"/>
      </rPr>
      <t>摊销期限（月）</t>
    </r>
  </si>
  <si>
    <r>
      <rPr>
        <b/>
        <sz val="10"/>
        <color indexed="8"/>
        <rFont val="宋体"/>
        <family val="3"/>
        <charset val="134"/>
      </rPr>
      <t>测算到期日</t>
    </r>
  </si>
  <si>
    <r>
      <rPr>
        <b/>
        <sz val="10"/>
        <color indexed="8"/>
        <rFont val="宋体"/>
        <family val="3"/>
        <charset val="134"/>
      </rPr>
      <t>已摊销月份</t>
    </r>
  </si>
  <si>
    <r>
      <rPr>
        <b/>
        <sz val="10"/>
        <color indexed="8"/>
        <rFont val="宋体"/>
        <family val="3"/>
        <charset val="134"/>
      </rPr>
      <t>截止计提减值准备日摊销月份</t>
    </r>
  </si>
  <si>
    <r>
      <rPr>
        <b/>
        <sz val="10"/>
        <color indexed="8"/>
        <rFont val="宋体"/>
        <family val="3"/>
        <charset val="134"/>
      </rPr>
      <t>本期折旧月份</t>
    </r>
  </si>
  <si>
    <r>
      <rPr>
        <b/>
        <sz val="10"/>
        <color indexed="8"/>
        <rFont val="宋体"/>
        <family val="3"/>
        <charset val="134"/>
      </rPr>
      <t>本期摊销月份（减值前）</t>
    </r>
  </si>
  <si>
    <r>
      <rPr>
        <b/>
        <sz val="10"/>
        <color indexed="8"/>
        <rFont val="宋体"/>
        <family val="3"/>
        <charset val="134"/>
      </rPr>
      <t>本期摊销月份（减值后）</t>
    </r>
  </si>
  <si>
    <r>
      <rPr>
        <b/>
        <sz val="10"/>
        <color indexed="8"/>
        <rFont val="宋体"/>
        <family val="3"/>
        <charset val="134"/>
      </rPr>
      <t>计提减值准备前月摊销</t>
    </r>
  </si>
  <si>
    <r>
      <rPr>
        <b/>
        <sz val="10"/>
        <color indexed="8"/>
        <rFont val="宋体"/>
        <family val="3"/>
        <charset val="134"/>
      </rPr>
      <t>计提减值准备前累计摊销</t>
    </r>
  </si>
  <si>
    <r>
      <rPr>
        <b/>
        <sz val="10"/>
        <color indexed="8"/>
        <rFont val="宋体"/>
        <family val="3"/>
        <charset val="134"/>
      </rPr>
      <t>计提减值准备后月摊销</t>
    </r>
  </si>
  <si>
    <r>
      <rPr>
        <b/>
        <sz val="10"/>
        <color indexed="8"/>
        <rFont val="宋体"/>
        <family val="3"/>
        <charset val="134"/>
      </rPr>
      <t>当期摊销费用</t>
    </r>
  </si>
  <si>
    <r>
      <rPr>
        <b/>
        <sz val="10"/>
        <color indexed="8"/>
        <rFont val="宋体"/>
        <family val="3"/>
        <charset val="134"/>
      </rPr>
      <t>月摊销额差异</t>
    </r>
  </si>
  <si>
    <r>
      <rPr>
        <b/>
        <sz val="10"/>
        <color indexed="8"/>
        <rFont val="宋体"/>
        <family val="3"/>
        <charset val="134"/>
      </rPr>
      <t>累计摊销额差异</t>
    </r>
  </si>
  <si>
    <t>检查无形资产本期应计提的减值准备是否合理。</t>
  </si>
  <si>
    <r>
      <rPr>
        <b/>
        <sz val="10"/>
        <color indexed="8"/>
        <rFont val="宋体"/>
        <family val="3"/>
        <charset val="134"/>
      </rPr>
      <t>使用寿命是否不确定</t>
    </r>
  </si>
  <si>
    <t>是否存在减值迹象</t>
  </si>
  <si>
    <t>减值迹象描述
①</t>
  </si>
  <si>
    <t>是否进行减值测试</t>
  </si>
  <si>
    <t>可收回金额</t>
  </si>
  <si>
    <t>期末应计提的减值金额（当⑤＜①）</t>
  </si>
  <si>
    <t>期末账面已计提的减值准备</t>
  </si>
  <si>
    <t>本期应补提
或冲回的减值准备</t>
  </si>
  <si>
    <r>
      <rPr>
        <b/>
        <sz val="10"/>
        <color indexed="8"/>
        <rFont val="宋体"/>
        <family val="3"/>
        <charset val="134"/>
      </rPr>
      <t>工作底稿索引号</t>
    </r>
  </si>
  <si>
    <t>公允价值减处置费用的净额</t>
  </si>
  <si>
    <t>预计未来现金流量现值</t>
  </si>
  <si>
    <t>可收回金额（③、④较高者）</t>
  </si>
  <si>
    <t>期末已计提
减值准备</t>
  </si>
  <si>
    <t>②</t>
  </si>
  <si>
    <t>③</t>
  </si>
  <si>
    <t>④</t>
  </si>
  <si>
    <t>⑤</t>
  </si>
  <si>
    <t>⑥＝⑤－①</t>
  </si>
  <si>
    <t>⑦</t>
  </si>
  <si>
    <t>⑧=⑥-⑦</t>
  </si>
  <si>
    <r>
      <rPr>
        <sz val="10"/>
        <color indexed="8"/>
        <rFont val="宋体"/>
        <family val="3"/>
        <charset val="134"/>
      </rPr>
      <t>说明：年末必须对</t>
    </r>
    <r>
      <rPr>
        <sz val="10"/>
        <color indexed="8"/>
        <rFont val="Arial Narrow"/>
        <family val="2"/>
      </rPr>
      <t>“</t>
    </r>
    <r>
      <rPr>
        <sz val="10"/>
        <color indexed="8"/>
        <rFont val="宋体"/>
        <family val="3"/>
        <charset val="134"/>
      </rPr>
      <t>使用寿命不确定的无形资产</t>
    </r>
    <r>
      <rPr>
        <sz val="10"/>
        <color indexed="8"/>
        <rFont val="Arial Narrow"/>
        <family val="2"/>
      </rPr>
      <t>”</t>
    </r>
    <r>
      <rPr>
        <sz val="10"/>
        <color indexed="8"/>
        <rFont val="宋体"/>
        <family val="3"/>
        <charset val="134"/>
      </rPr>
      <t>进行减值测试，</t>
    </r>
    <r>
      <rPr>
        <sz val="10"/>
        <color indexed="8"/>
        <rFont val="Arial Narrow"/>
        <family val="2"/>
      </rPr>
      <t>“</t>
    </r>
    <r>
      <rPr>
        <sz val="10"/>
        <color indexed="8"/>
        <rFont val="宋体"/>
        <family val="3"/>
        <charset val="134"/>
      </rPr>
      <t>使用寿命确定的无形资产</t>
    </r>
    <r>
      <rPr>
        <sz val="10"/>
        <color indexed="8"/>
        <rFont val="Arial Narrow"/>
        <family val="2"/>
      </rPr>
      <t>”</t>
    </r>
    <r>
      <rPr>
        <sz val="10"/>
        <color indexed="8"/>
        <rFont val="宋体"/>
        <family val="3"/>
        <charset val="134"/>
      </rPr>
      <t>只有在发生资产减值迹象时才进行减值测试。</t>
    </r>
  </si>
  <si>
    <r>
      <rPr>
        <sz val="10"/>
        <color indexed="8"/>
        <rFont val="宋体"/>
        <family val="3"/>
        <charset val="134"/>
      </rPr>
      <t>资产发生减值的迹象：</t>
    </r>
  </si>
  <si>
    <r>
      <rPr>
        <sz val="10"/>
        <color indexed="8"/>
        <rFont val="Arial Narrow"/>
        <family val="2"/>
      </rPr>
      <t>1</t>
    </r>
    <r>
      <rPr>
        <sz val="10"/>
        <color indexed="8"/>
        <rFont val="宋体"/>
        <family val="3"/>
        <charset val="134"/>
      </rPr>
      <t>、资产的市价当期大幅度下跌，其跌幅明显高于因时间的推移或者正常使用而预计的下跌；</t>
    </r>
  </si>
  <si>
    <r>
      <rPr>
        <sz val="10"/>
        <color indexed="8"/>
        <rFont val="Arial Narrow"/>
        <family val="2"/>
      </rPr>
      <t>2</t>
    </r>
    <r>
      <rPr>
        <sz val="10"/>
        <color indexed="8"/>
        <rFont val="宋体"/>
        <family val="3"/>
        <charset val="134"/>
      </rPr>
      <t>、企业经营所处的经济、技术或者法律等环境以及资产所处的市场在当期或者将在近期发生重大变化，从而对企业产生不利影响；</t>
    </r>
  </si>
  <si>
    <r>
      <rPr>
        <sz val="10"/>
        <color indexed="8"/>
        <rFont val="Arial Narrow"/>
        <family val="2"/>
      </rPr>
      <t>3</t>
    </r>
    <r>
      <rPr>
        <sz val="10"/>
        <color indexed="8"/>
        <rFont val="宋体"/>
        <family val="3"/>
        <charset val="134"/>
      </rPr>
      <t>、市场利率或者其他市场投资报酬率在当期已经提高，从而影响企业计算资产预计未来现金流量现值的折现率，导致资产可收回金额大幅度降低；</t>
    </r>
  </si>
  <si>
    <r>
      <rPr>
        <sz val="10"/>
        <color indexed="8"/>
        <rFont val="Arial Narrow"/>
        <family val="2"/>
      </rPr>
      <t>4</t>
    </r>
    <r>
      <rPr>
        <sz val="10"/>
        <color indexed="8"/>
        <rFont val="宋体"/>
        <family val="3"/>
        <charset val="134"/>
      </rPr>
      <t>、有证据表明资产已经陈旧过时或者其实体已经损坏；</t>
    </r>
  </si>
  <si>
    <r>
      <rPr>
        <sz val="10"/>
        <color indexed="8"/>
        <rFont val="Arial Narrow"/>
        <family val="2"/>
      </rPr>
      <t>5</t>
    </r>
    <r>
      <rPr>
        <sz val="10"/>
        <color indexed="8"/>
        <rFont val="宋体"/>
        <family val="3"/>
        <charset val="134"/>
      </rPr>
      <t>、资产已经或者将被闲置、终止使用或者计划提前处置；</t>
    </r>
  </si>
  <si>
    <r>
      <rPr>
        <b/>
        <sz val="10"/>
        <color indexed="8"/>
        <rFont val="宋体"/>
        <family val="3"/>
        <charset val="134"/>
      </rPr>
      <t>（一）资产的公允价值减去处置费用后的净额</t>
    </r>
  </si>
  <si>
    <r>
      <rPr>
        <b/>
        <sz val="10"/>
        <color indexed="8"/>
        <rFont val="宋体"/>
        <family val="3"/>
        <charset val="134"/>
      </rPr>
      <t>公允价值</t>
    </r>
  </si>
  <si>
    <r>
      <rPr>
        <b/>
        <sz val="10"/>
        <color indexed="8"/>
        <rFont val="宋体"/>
        <family val="3"/>
        <charset val="134"/>
      </rPr>
      <t>处置费用（资产处置的直接归属费用）</t>
    </r>
  </si>
  <si>
    <r>
      <rPr>
        <b/>
        <sz val="10"/>
        <color indexed="8"/>
        <rFont val="宋体"/>
        <family val="3"/>
        <charset val="134"/>
      </rPr>
      <t>公允价值</t>
    </r>
    <r>
      <rPr>
        <b/>
        <sz val="10"/>
        <color indexed="8"/>
        <rFont val="Arial Narrow"/>
        <family val="2"/>
      </rPr>
      <t>-</t>
    </r>
    <r>
      <rPr>
        <b/>
        <sz val="10"/>
        <color indexed="8"/>
        <rFont val="宋体"/>
        <family val="3"/>
        <charset val="134"/>
      </rPr>
      <t>处置费用</t>
    </r>
  </si>
  <si>
    <r>
      <rPr>
        <b/>
        <sz val="10"/>
        <color indexed="8"/>
        <rFont val="宋体"/>
        <family val="3"/>
        <charset val="134"/>
      </rPr>
      <t>销售协议价格</t>
    </r>
  </si>
  <si>
    <r>
      <rPr>
        <b/>
        <sz val="10"/>
        <color indexed="8"/>
        <rFont val="宋体"/>
        <family val="3"/>
        <charset val="134"/>
      </rPr>
      <t>说明</t>
    </r>
  </si>
  <si>
    <r>
      <rPr>
        <b/>
        <sz val="10"/>
        <color indexed="8"/>
        <rFont val="宋体"/>
        <family val="3"/>
        <charset val="134"/>
      </rPr>
      <t>资产活跃市场价格</t>
    </r>
  </si>
  <si>
    <r>
      <rPr>
        <b/>
        <sz val="10"/>
        <color indexed="8"/>
        <rFont val="宋体"/>
        <family val="3"/>
        <charset val="134"/>
      </rPr>
      <t>估计价格</t>
    </r>
  </si>
  <si>
    <r>
      <rPr>
        <b/>
        <sz val="10"/>
        <color indexed="8"/>
        <rFont val="宋体"/>
        <family val="3"/>
        <charset val="134"/>
      </rPr>
      <t>法律费用</t>
    </r>
  </si>
  <si>
    <r>
      <rPr>
        <b/>
        <sz val="10"/>
        <color indexed="8"/>
        <rFont val="宋体"/>
        <family val="3"/>
        <charset val="134"/>
      </rPr>
      <t>相关税费</t>
    </r>
  </si>
  <si>
    <r>
      <rPr>
        <b/>
        <sz val="10"/>
        <color indexed="8"/>
        <rFont val="宋体"/>
        <family val="3"/>
        <charset val="134"/>
      </rPr>
      <t>搬运费</t>
    </r>
  </si>
  <si>
    <r>
      <rPr>
        <b/>
        <sz val="10"/>
        <color indexed="8"/>
        <rFont val="宋体"/>
        <family val="3"/>
        <charset val="134"/>
      </rPr>
      <t>直接费用</t>
    </r>
  </si>
  <si>
    <r>
      <rPr>
        <b/>
        <sz val="10"/>
        <color indexed="8"/>
        <rFont val="宋体"/>
        <family val="3"/>
        <charset val="134"/>
      </rPr>
      <t>其他费用</t>
    </r>
  </si>
  <si>
    <r>
      <rPr>
        <b/>
        <sz val="10"/>
        <color indexed="8"/>
        <rFont val="宋体"/>
        <family val="3"/>
        <charset val="134"/>
      </rPr>
      <t>处置费用合计</t>
    </r>
  </si>
  <si>
    <r>
      <rPr>
        <b/>
        <sz val="10"/>
        <color indexed="8"/>
        <rFont val="宋体"/>
        <family val="3"/>
        <charset val="134"/>
      </rPr>
      <t>（二）资产预计未来现金流量的现值</t>
    </r>
  </si>
  <si>
    <r>
      <rPr>
        <b/>
        <sz val="10"/>
        <color indexed="8"/>
        <rFont val="宋体"/>
        <family val="3"/>
        <charset val="134"/>
      </rPr>
      <t>预计未来现金流量</t>
    </r>
  </si>
  <si>
    <r>
      <rPr>
        <b/>
        <sz val="10"/>
        <color indexed="8"/>
        <rFont val="宋体"/>
        <family val="3"/>
        <charset val="134"/>
      </rPr>
      <t>预算或者预测期</t>
    </r>
  </si>
  <si>
    <r>
      <rPr>
        <b/>
        <sz val="10"/>
        <color indexed="8"/>
        <rFont val="宋体"/>
        <family val="3"/>
        <charset val="134"/>
      </rPr>
      <t>以后年度</t>
    </r>
  </si>
  <si>
    <r>
      <rPr>
        <b/>
        <sz val="10"/>
        <color indexed="8"/>
        <rFont val="宋体"/>
        <family val="3"/>
        <charset val="134"/>
      </rPr>
      <t>行业的长期平均增长率</t>
    </r>
  </si>
  <si>
    <r>
      <rPr>
        <b/>
        <sz val="10"/>
        <color indexed="8"/>
        <rFont val="宋体"/>
        <family val="3"/>
        <charset val="134"/>
      </rPr>
      <t>市场长期平均增长率</t>
    </r>
  </si>
  <si>
    <r>
      <rPr>
        <b/>
        <sz val="10"/>
        <color indexed="8"/>
        <rFont val="宋体"/>
        <family val="3"/>
        <charset val="134"/>
      </rPr>
      <t>所在国家或地区的长期平均增长率</t>
    </r>
  </si>
  <si>
    <r>
      <rPr>
        <b/>
        <sz val="10"/>
        <color indexed="8"/>
        <rFont val="宋体"/>
        <family val="3"/>
        <charset val="134"/>
      </rPr>
      <t>增长率确定依据</t>
    </r>
  </si>
  <si>
    <r>
      <rPr>
        <b/>
        <sz val="10"/>
        <color indexed="8"/>
        <rFont val="宋体"/>
        <family val="3"/>
        <charset val="134"/>
      </rPr>
      <t>预计未来现金流量的现值</t>
    </r>
  </si>
  <si>
    <r>
      <rPr>
        <b/>
        <sz val="10"/>
        <color indexed="8"/>
        <rFont val="宋体"/>
        <family val="3"/>
        <charset val="134"/>
      </rPr>
      <t>第一年</t>
    </r>
  </si>
  <si>
    <r>
      <rPr>
        <b/>
        <sz val="10"/>
        <color indexed="8"/>
        <rFont val="宋体"/>
        <family val="3"/>
        <charset val="134"/>
      </rPr>
      <t>第二年</t>
    </r>
  </si>
  <si>
    <r>
      <rPr>
        <b/>
        <sz val="10"/>
        <color indexed="8"/>
        <rFont val="宋体"/>
        <family val="3"/>
        <charset val="134"/>
      </rPr>
      <t>第三年</t>
    </r>
  </si>
  <si>
    <r>
      <rPr>
        <b/>
        <sz val="10"/>
        <color indexed="8"/>
        <rFont val="宋体"/>
        <family val="3"/>
        <charset val="134"/>
      </rPr>
      <t>第四年</t>
    </r>
  </si>
  <si>
    <r>
      <rPr>
        <b/>
        <sz val="10"/>
        <color indexed="8"/>
        <rFont val="宋体"/>
        <family val="3"/>
        <charset val="134"/>
      </rPr>
      <t>第五年</t>
    </r>
  </si>
  <si>
    <r>
      <rPr>
        <b/>
        <sz val="10"/>
        <color indexed="8"/>
        <rFont val="宋体"/>
        <family val="3"/>
        <charset val="134"/>
      </rPr>
      <t>基数</t>
    </r>
  </si>
  <si>
    <r>
      <rPr>
        <b/>
        <sz val="10"/>
        <color indexed="8"/>
        <rFont val="宋体"/>
        <family val="3"/>
        <charset val="134"/>
      </rPr>
      <t>增长率</t>
    </r>
  </si>
  <si>
    <r>
      <rPr>
        <sz val="10"/>
        <color indexed="8"/>
        <rFont val="宋体"/>
        <family val="3"/>
        <charset val="134"/>
      </rPr>
      <t>预计未来现金净流量</t>
    </r>
  </si>
  <si>
    <r>
      <rPr>
        <sz val="10"/>
        <color indexed="8"/>
        <rFont val="宋体"/>
        <family val="3"/>
        <charset val="134"/>
      </rPr>
      <t>折现系数</t>
    </r>
  </si>
  <si>
    <r>
      <rPr>
        <sz val="10"/>
        <color rgb="FF0033CC"/>
        <rFont val="宋体"/>
        <family val="3"/>
        <charset val="134"/>
      </rPr>
      <t>（企业管理层如能证明递增的增长率是合理的，可以以递增的增长率为基础。）</t>
    </r>
  </si>
  <si>
    <r>
      <rPr>
        <sz val="10"/>
        <color indexed="8"/>
        <rFont val="宋体"/>
        <family val="3"/>
        <charset val="134"/>
      </rPr>
      <t>现值</t>
    </r>
  </si>
  <si>
    <r>
      <rPr>
        <sz val="10"/>
        <color rgb="FF0033CC"/>
        <rFont val="宋体"/>
        <family val="3"/>
        <charset val="134"/>
      </rPr>
      <t>（建立在预算或者预测基础上的预计现金流量最多涵盖</t>
    </r>
    <r>
      <rPr>
        <sz val="10"/>
        <color rgb="FF0033CC"/>
        <rFont val="Arial Narrow"/>
        <family val="2"/>
      </rPr>
      <t>5</t>
    </r>
    <r>
      <rPr>
        <sz val="10"/>
        <color rgb="FF0033CC"/>
        <rFont val="宋体"/>
        <family val="3"/>
        <charset val="134"/>
      </rPr>
      <t>年。）</t>
    </r>
  </si>
  <si>
    <r>
      <rPr>
        <b/>
        <sz val="10"/>
        <color indexed="8"/>
        <rFont val="宋体"/>
        <family val="3"/>
        <charset val="134"/>
      </rPr>
      <t>折现率</t>
    </r>
  </si>
  <si>
    <r>
      <rPr>
        <b/>
        <sz val="10"/>
        <color indexed="8"/>
        <rFont val="宋体"/>
        <family val="3"/>
        <charset val="134"/>
      </rPr>
      <t>所得税率适用税率</t>
    </r>
  </si>
  <si>
    <r>
      <rPr>
        <b/>
        <sz val="10"/>
        <color indexed="8"/>
        <rFont val="宋体"/>
        <family val="3"/>
        <charset val="134"/>
      </rPr>
      <t>债务总额</t>
    </r>
  </si>
  <si>
    <r>
      <rPr>
        <b/>
        <sz val="10"/>
        <color indexed="8"/>
        <rFont val="宋体"/>
        <family val="3"/>
        <charset val="134"/>
      </rPr>
      <t>资本总额</t>
    </r>
  </si>
  <si>
    <r>
      <rPr>
        <b/>
        <sz val="10"/>
        <color indexed="8"/>
        <rFont val="宋体"/>
        <family val="3"/>
        <charset val="134"/>
      </rPr>
      <t>债务成本</t>
    </r>
    <r>
      <rPr>
        <b/>
        <sz val="10"/>
        <color indexed="8"/>
        <rFont val="Arial Narrow"/>
        <family val="2"/>
      </rPr>
      <t>Kd</t>
    </r>
  </si>
  <si>
    <r>
      <rPr>
        <b/>
        <sz val="10"/>
        <color indexed="8"/>
        <rFont val="宋体"/>
        <family val="3"/>
        <charset val="134"/>
      </rPr>
      <t>无风险报酬率</t>
    </r>
    <r>
      <rPr>
        <b/>
        <sz val="10"/>
        <color indexed="8"/>
        <rFont val="Arial Narrow"/>
        <family val="2"/>
      </rPr>
      <t>Rf</t>
    </r>
  </si>
  <si>
    <r>
      <rPr>
        <b/>
        <sz val="10"/>
        <color indexed="8"/>
        <rFont val="Arial Narrow"/>
        <family val="2"/>
      </rPr>
      <t>β</t>
    </r>
    <r>
      <rPr>
        <b/>
        <sz val="10"/>
        <color indexed="8"/>
        <rFont val="宋体"/>
        <family val="3"/>
        <charset val="134"/>
      </rPr>
      <t>系数</t>
    </r>
  </si>
  <si>
    <r>
      <rPr>
        <b/>
        <sz val="10"/>
        <color indexed="8"/>
        <rFont val="宋体"/>
        <family val="3"/>
        <charset val="134"/>
      </rPr>
      <t>平均风险股票必要报酬率</t>
    </r>
    <r>
      <rPr>
        <b/>
        <sz val="10"/>
        <color indexed="8"/>
        <rFont val="Arial Narrow"/>
        <family val="2"/>
      </rPr>
      <t>Rm</t>
    </r>
  </si>
  <si>
    <r>
      <rPr>
        <b/>
        <sz val="10"/>
        <color indexed="8"/>
        <rFont val="宋体"/>
        <family val="3"/>
        <charset val="134"/>
      </rPr>
      <t>资本成本</t>
    </r>
    <r>
      <rPr>
        <b/>
        <sz val="10"/>
        <color indexed="8"/>
        <rFont val="Arial Narrow"/>
        <family val="2"/>
      </rPr>
      <t>Ke</t>
    </r>
  </si>
  <si>
    <r>
      <rPr>
        <b/>
        <sz val="10"/>
        <color indexed="8"/>
        <rFont val="宋体"/>
        <family val="3"/>
        <charset val="134"/>
      </rPr>
      <t>折现率</t>
    </r>
    <r>
      <rPr>
        <b/>
        <sz val="10"/>
        <color indexed="8"/>
        <rFont val="Arial Narrow"/>
        <family val="2"/>
      </rPr>
      <t>(</t>
    </r>
    <r>
      <rPr>
        <b/>
        <sz val="10"/>
        <color indexed="8"/>
        <rFont val="宋体"/>
        <family val="3"/>
        <charset val="134"/>
      </rPr>
      <t>税后</t>
    </r>
    <r>
      <rPr>
        <b/>
        <sz val="10"/>
        <color indexed="8"/>
        <rFont val="Arial Narrow"/>
        <family val="2"/>
      </rPr>
      <t>)</t>
    </r>
  </si>
  <si>
    <r>
      <rPr>
        <b/>
        <sz val="10"/>
        <color indexed="8"/>
        <rFont val="宋体"/>
        <family val="3"/>
        <charset val="134"/>
      </rPr>
      <t>折现率</t>
    </r>
    <r>
      <rPr>
        <b/>
        <sz val="10"/>
        <color indexed="8"/>
        <rFont val="Arial Narrow"/>
        <family val="2"/>
      </rPr>
      <t>(</t>
    </r>
    <r>
      <rPr>
        <b/>
        <sz val="10"/>
        <color indexed="8"/>
        <rFont val="宋体"/>
        <family val="3"/>
        <charset val="134"/>
      </rPr>
      <t>税前</t>
    </r>
    <r>
      <rPr>
        <b/>
        <sz val="10"/>
        <color indexed="8"/>
        <rFont val="Arial Narrow"/>
        <family val="2"/>
      </rPr>
      <t>)</t>
    </r>
  </si>
  <si>
    <r>
      <rPr>
        <b/>
        <sz val="10"/>
        <color indexed="8"/>
        <rFont val="宋体"/>
        <family val="3"/>
        <charset val="134"/>
      </rPr>
      <t>税后折税前调整说明</t>
    </r>
  </si>
  <si>
    <r>
      <rPr>
        <b/>
        <sz val="10"/>
        <color indexed="8"/>
        <rFont val="宋体"/>
        <family val="3"/>
        <charset val="134"/>
      </rPr>
      <t>可收回金额</t>
    </r>
  </si>
  <si>
    <r>
      <rPr>
        <b/>
        <sz val="10"/>
        <color indexed="8"/>
        <rFont val="宋体"/>
        <family val="3"/>
        <charset val="134"/>
      </rPr>
      <t>税率调整</t>
    </r>
  </si>
  <si>
    <r>
      <rPr>
        <b/>
        <sz val="10"/>
        <color indexed="8"/>
        <rFont val="宋体"/>
        <family val="3"/>
        <charset val="134"/>
      </rPr>
      <t>调整说明</t>
    </r>
  </si>
  <si>
    <r>
      <rPr>
        <sz val="10"/>
        <color indexed="8"/>
        <rFont val="宋体"/>
        <family val="3"/>
        <charset val="134"/>
      </rPr>
      <t>加权平均资金成本</t>
    </r>
  </si>
  <si>
    <r>
      <rPr>
        <sz val="10"/>
        <color rgb="FF0033CC"/>
        <rFont val="Arial Narrow"/>
        <family val="2"/>
      </rPr>
      <t>1</t>
    </r>
    <r>
      <rPr>
        <sz val="10"/>
        <color rgb="FF0033CC"/>
        <rFont val="宋体"/>
        <family val="3"/>
        <charset val="134"/>
      </rPr>
      <t>、可收回金额应当根据资产的公允价值减去处置费用后的净额与资产预计未来现金流量的现值两者之间较高者确定。</t>
    </r>
  </si>
  <si>
    <r>
      <rPr>
        <sz val="10"/>
        <color rgb="FF0033CC"/>
        <rFont val="Arial Narrow"/>
        <family val="2"/>
      </rPr>
      <t>2</t>
    </r>
    <r>
      <rPr>
        <sz val="10"/>
        <color rgb="FF0033CC"/>
        <rFont val="宋体"/>
        <family val="3"/>
        <charset val="134"/>
      </rPr>
      <t>、资产的公允价值减去处置费用后的净额，应当根据公平交易中销售协议价格减去可直接归属于该资产处置费用的金额确定。不存在销售协议但存在资产活跃市场的，</t>
    </r>
  </si>
  <si>
    <r>
      <rPr>
        <sz val="10"/>
        <color rgb="FF0033CC"/>
        <rFont val="宋体"/>
        <family val="3"/>
        <charset val="134"/>
      </rPr>
      <t>应当按照该资产的市场价格减去处置费用后的金额确定。资产的市场价格通常应当根据资产的买方出价确定。在不存在销售协议和资产活跃市场的情况下，应当</t>
    </r>
  </si>
  <si>
    <r>
      <rPr>
        <sz val="10"/>
        <color rgb="FF0033CC"/>
        <rFont val="宋体"/>
        <family val="3"/>
        <charset val="134"/>
      </rPr>
      <t>以可获取的最佳信息为基础，估计资产的公允价值减去处置费用后的净额，该净额可以参考同行业类似资产的最近交易价格或者结果进行估计。企业按照上述规定</t>
    </r>
  </si>
  <si>
    <r>
      <rPr>
        <sz val="10"/>
        <color rgb="FF0033CC"/>
        <rFont val="宋体"/>
        <family val="3"/>
        <charset val="134"/>
      </rPr>
      <t>仍然无法可靠估计资产的公允价值减去处置费用后的净额的，应当以该资产预计未来现金流量的现值作为其可收回金额。</t>
    </r>
  </si>
  <si>
    <r>
      <rPr>
        <sz val="10"/>
        <color rgb="FF0033CC"/>
        <rFont val="Arial Narrow"/>
        <family val="2"/>
      </rPr>
      <t>3</t>
    </r>
    <r>
      <rPr>
        <sz val="10"/>
        <color rgb="FF0033CC"/>
        <rFont val="宋体"/>
        <family val="3"/>
        <charset val="134"/>
      </rPr>
      <t>、处置费用包括与资产处置有关的法律费用、相关税费、搬运费以及为使资产达到可销售状态所发生的直接费用等。</t>
    </r>
  </si>
  <si>
    <r>
      <rPr>
        <sz val="10"/>
        <color rgb="FF0033CC"/>
        <rFont val="Arial Narrow"/>
        <family val="2"/>
      </rPr>
      <t>4</t>
    </r>
    <r>
      <rPr>
        <sz val="10"/>
        <color rgb="FF0033CC"/>
        <rFont val="宋体"/>
        <family val="3"/>
        <charset val="134"/>
      </rPr>
      <t>、资产预计未来现金流量的现值，应当按照资产在持续使用过程中和最终处置时所产生的预计未来现金流量，选择恰当的折现率对其进行折现后的金额加以确定。</t>
    </r>
  </si>
  <si>
    <r>
      <rPr>
        <sz val="10"/>
        <color rgb="FF0033CC"/>
        <rFont val="Arial Narrow"/>
        <family val="2"/>
      </rPr>
      <t>5</t>
    </r>
    <r>
      <rPr>
        <sz val="10"/>
        <color rgb="FF0033CC"/>
        <rFont val="宋体"/>
        <family val="3"/>
        <charset val="134"/>
      </rPr>
      <t>、预计资产的未来现金流量，应当以经企业管理层批准的最近财务预算或者预测数据，以及该预算或者预测期之后年份稳定的或者递减的增长率为基础。</t>
    </r>
  </si>
  <si>
    <r>
      <rPr>
        <sz val="10"/>
        <color rgb="FF0033CC"/>
        <rFont val="宋体"/>
        <family val="3"/>
        <charset val="134"/>
      </rPr>
      <t>预计的资产未来现金流量应当包括下列各项：</t>
    </r>
  </si>
  <si>
    <r>
      <rPr>
        <sz val="10"/>
        <color rgb="FF0033CC"/>
        <rFont val="宋体"/>
        <family val="3"/>
        <charset val="134"/>
      </rPr>
      <t>（一）资产持续使用过程中预计产生的现金流入。</t>
    </r>
  </si>
  <si>
    <r>
      <rPr>
        <sz val="10"/>
        <color rgb="FF0033CC"/>
        <rFont val="宋体"/>
        <family val="3"/>
        <charset val="134"/>
      </rPr>
      <t>（二）为实现资产持续使用过程中产生的现金流入所必需的预计现金流出（包括为使资产达到预定可使用状态所发生的现金流出）。该现金流出应当是可直接归属</t>
    </r>
  </si>
  <si>
    <r>
      <rPr>
        <sz val="10"/>
        <color rgb="FF0033CC"/>
        <rFont val="宋体"/>
        <family val="3"/>
        <charset val="134"/>
      </rPr>
      <t>于或者可通过合理和一致的基础分配到资产中的现金流出。</t>
    </r>
  </si>
  <si>
    <r>
      <rPr>
        <sz val="10"/>
        <color rgb="FF0033CC"/>
        <rFont val="宋体"/>
        <family val="3"/>
        <charset val="134"/>
      </rPr>
      <t>（三）资产使用寿命结束时，处置资产所收到或者支付的净现金流量。该现金流量应当是在公平交易中，熟悉情况的交易双方自愿进行交易时，企业预期可从资产的</t>
    </r>
  </si>
  <si>
    <r>
      <rPr>
        <sz val="10"/>
        <color rgb="FF0033CC"/>
        <rFont val="宋体"/>
        <family val="3"/>
        <charset val="134"/>
      </rPr>
      <t>处置中获取或者支付的、减去预计处置费用后的金额。</t>
    </r>
  </si>
  <si>
    <r>
      <rPr>
        <sz val="10"/>
        <color rgb="FF0033CC"/>
        <rFont val="Arial Narrow"/>
        <family val="2"/>
      </rPr>
      <t>6</t>
    </r>
    <r>
      <rPr>
        <sz val="10"/>
        <color rgb="FF0033CC"/>
        <rFont val="宋体"/>
        <family val="3"/>
        <charset val="134"/>
      </rPr>
      <t>、折现率是反映当前市场货币时间价值和资产特定风险的税前利率。该折现率是企业在购置或者投资资产时所要求的必要报酬率。</t>
    </r>
  </si>
  <si>
    <r>
      <rPr>
        <sz val="10"/>
        <color rgb="FF0033CC"/>
        <rFont val="宋体"/>
        <family val="3"/>
        <charset val="134"/>
      </rPr>
      <t>折现率的确定通常应当以该资产的市场利率为依据。无法从市场获得的，可以使用替代利率估计折现率。</t>
    </r>
  </si>
  <si>
    <r>
      <rPr>
        <sz val="10"/>
        <color rgb="FF0033CC"/>
        <rFont val="宋体"/>
        <family val="3"/>
        <charset val="134"/>
      </rPr>
      <t>加权平均资金成本（税后）</t>
    </r>
    <r>
      <rPr>
        <sz val="10"/>
        <color rgb="FF0033CC"/>
        <rFont val="Arial Narrow"/>
        <family val="2"/>
      </rPr>
      <t>:</t>
    </r>
  </si>
  <si>
    <t>C1</t>
  </si>
  <si>
    <t>Custom 1</t>
  </si>
  <si>
    <t>C2</t>
  </si>
  <si>
    <t>Custom 2</t>
  </si>
  <si>
    <t>C3</t>
  </si>
  <si>
    <t>Custom 3</t>
  </si>
  <si>
    <t>C4</t>
  </si>
  <si>
    <t>Custom 4</t>
  </si>
  <si>
    <t>C5</t>
  </si>
  <si>
    <t>Custom 5</t>
  </si>
  <si>
    <t>C6</t>
  </si>
  <si>
    <t>Custom 6</t>
  </si>
  <si>
    <t>C7</t>
  </si>
  <si>
    <t>Custom 7</t>
  </si>
  <si>
    <t>C8</t>
  </si>
  <si>
    <t>Custom 8</t>
  </si>
  <si>
    <t>审定表</t>
  </si>
  <si>
    <t>附注披露表（上市公司）</t>
  </si>
  <si>
    <t>附注披露表（国有企业）</t>
  </si>
  <si>
    <t>明细表</t>
  </si>
  <si>
    <t>摊销政策检查表</t>
  </si>
  <si>
    <t>增加检查表</t>
  </si>
  <si>
    <t>减少检查表</t>
  </si>
  <si>
    <t>使用寿命检查表</t>
  </si>
  <si>
    <t>权属检查表</t>
  </si>
  <si>
    <t>摊销分配分析表</t>
  </si>
  <si>
    <t>摊销测算表（剩余年限法）</t>
  </si>
  <si>
    <t>摊销测算表</t>
  </si>
  <si>
    <t>减值准备测试表</t>
  </si>
  <si>
    <t>可收回金额测试</t>
  </si>
  <si>
    <t>I1A</t>
    <phoneticPr fontId="75" type="noConversion"/>
  </si>
  <si>
    <t>I1-1</t>
    <phoneticPr fontId="75" type="noConversion"/>
  </si>
  <si>
    <t>I1-7</t>
    <phoneticPr fontId="75" type="noConversion"/>
  </si>
  <si>
    <t>根据评估的舞弊风险等因素增加的审计程序。</t>
  </si>
  <si>
    <t>IPO/上市/新三板/重组/舞弊应对</t>
  </si>
  <si>
    <t>T1</t>
    <phoneticPr fontId="75" type="noConversion"/>
  </si>
  <si>
    <t>I1-1
/I1-2</t>
    <phoneticPr fontId="75" type="noConversion"/>
  </si>
  <si>
    <t>I1-7
/I1-12
/I1-13</t>
    <phoneticPr fontId="75" type="noConversion"/>
  </si>
  <si>
    <r>
      <t>A1-1/</t>
    </r>
    <r>
      <rPr>
        <sz val="10"/>
        <color indexed="10"/>
        <rFont val="Arial Narrow"/>
        <family val="2"/>
      </rPr>
      <t>A1-15 /A1-16</t>
    </r>
  </si>
  <si>
    <t>三、计划实施的实质性程序</t>
    <phoneticPr fontId="26" type="noConversion"/>
  </si>
  <si>
    <r>
      <rPr>
        <sz val="10"/>
        <color theme="1"/>
        <rFont val="宋体"/>
        <family val="3"/>
        <charset val="134"/>
      </rPr>
      <t>备选</t>
    </r>
    <phoneticPr fontId="26" type="noConversion"/>
  </si>
  <si>
    <r>
      <rPr>
        <sz val="10"/>
        <rFont val="宋体"/>
        <family val="3"/>
        <charset val="134"/>
      </rPr>
      <t>取得无形资产期初余额明细表复核加计是否正确，与总账、明细账合计数是否相符；如适用，测试累计摊销。对单项金额重大资产，检查支持性文件或实地查看资产，其他必要追加的审计程序。</t>
    </r>
    <r>
      <rPr>
        <sz val="10"/>
        <color indexed="10"/>
        <rFont val="宋体"/>
        <family val="3"/>
        <charset val="134"/>
      </rPr>
      <t>（适用于首次承接）</t>
    </r>
    <phoneticPr fontId="75" type="noConversion"/>
  </si>
  <si>
    <r>
      <rPr>
        <sz val="10"/>
        <color theme="1"/>
        <rFont val="宋体"/>
        <family val="3"/>
        <charset val="134"/>
      </rPr>
      <t>√</t>
    </r>
    <phoneticPr fontId="26" type="noConversion"/>
  </si>
  <si>
    <r>
      <rPr>
        <b/>
        <sz val="10"/>
        <color theme="1"/>
        <rFont val="宋体"/>
        <family val="3"/>
        <charset val="134"/>
      </rPr>
      <t>√</t>
    </r>
    <phoneticPr fontId="26" type="noConversion"/>
  </si>
  <si>
    <r>
      <rPr>
        <b/>
        <sz val="10"/>
        <rFont val="宋体"/>
        <family val="3"/>
        <charset val="134"/>
      </rPr>
      <t>√</t>
    </r>
    <phoneticPr fontId="26" type="noConversion"/>
  </si>
  <si>
    <r>
      <rPr>
        <sz val="10"/>
        <rFont val="宋体"/>
        <family val="3"/>
        <charset val="134"/>
      </rPr>
      <t>√</t>
    </r>
    <phoneticPr fontId="26" type="noConversion"/>
  </si>
  <si>
    <r>
      <rPr>
        <b/>
        <sz val="10"/>
        <rFont val="宋体"/>
        <family val="3"/>
        <charset val="134"/>
      </rPr>
      <t>√</t>
    </r>
    <phoneticPr fontId="26" type="noConversion"/>
  </si>
  <si>
    <r>
      <rPr>
        <sz val="10"/>
        <rFont val="宋体"/>
        <family val="3"/>
        <charset val="134"/>
      </rPr>
      <t>√</t>
    </r>
    <phoneticPr fontId="26" type="noConversion"/>
  </si>
  <si>
    <r>
      <rPr>
        <sz val="10"/>
        <rFont val="宋体"/>
        <family val="3"/>
        <charset val="134"/>
      </rPr>
      <t>关注会计政策、会计估计合理性、一贯性，关注其是否利用会计政策和会计估计及其变更操纵利润。必要时与同行业其他公司会计政策、会计估计进行对比，主要会计政策和估计包括：
（</t>
    </r>
    <r>
      <rPr>
        <sz val="10"/>
        <rFont val="Arial Narrow"/>
        <family val="2"/>
      </rPr>
      <t>1</t>
    </r>
    <r>
      <rPr>
        <sz val="10"/>
        <rFont val="宋体"/>
        <family val="3"/>
        <charset val="134"/>
      </rPr>
      <t>）无形资产的初始计量；
（</t>
    </r>
    <r>
      <rPr>
        <sz val="10"/>
        <rFont val="Arial Narrow"/>
        <family val="2"/>
      </rPr>
      <t>2</t>
    </r>
    <r>
      <rPr>
        <sz val="10"/>
        <rFont val="宋体"/>
        <family val="3"/>
        <charset val="134"/>
      </rPr>
      <t>）无形资产摊销</t>
    </r>
    <r>
      <rPr>
        <sz val="10"/>
        <rFont val="Arial Narrow"/>
        <family val="2"/>
      </rPr>
      <t>/</t>
    </r>
    <r>
      <rPr>
        <sz val="10"/>
        <rFont val="宋体"/>
        <family val="3"/>
        <charset val="134"/>
      </rPr>
      <t>减值的政策和方法；</t>
    </r>
    <phoneticPr fontId="26" type="noConversion"/>
  </si>
  <si>
    <r>
      <rPr>
        <b/>
        <sz val="10"/>
        <rFont val="宋体"/>
        <family val="3"/>
        <charset val="134"/>
      </rPr>
      <t>√</t>
    </r>
    <phoneticPr fontId="26" type="noConversion"/>
  </si>
  <si>
    <t>I1-4</t>
    <phoneticPr fontId="75" type="noConversion"/>
  </si>
  <si>
    <t>对于本期新增的无形资产，根据具体情况，需要检查的项目包括但不限于：
（1）检查无形资产的权属证书、非专利技术的持有和保密状况；
（2）检查投资者投入的无形资产是否按投资各方确认的价值入账，并检查确认价值是否公允，交接手续是否齐全；涉及国有资产的，是否有评估报告并经国有资产管理部门评审备案或核准确认；
（3）购入或接受捐赠的无形资产，检查其法律程序是否完备；
（4）对债务重组或非货币性资产交换取得的无形资产，检查有关协议等资料。
（5）对自行研发取得的，结合开发支出的审计检查会计处理是否正确。
（6）检查本期购入土地使用权相关税费计算清缴情况。
（7）关注企业合并中取得的无形资产的完整性，以及初始确认及后续计量的准确性，必要时应利用专家工作。
（8）针对矿产权、特许使用权等合同或法律有关权利，关注相关初始计量准确性，必要时是否利用专家工作。</t>
    <phoneticPr fontId="75" type="noConversion"/>
  </si>
  <si>
    <t>I1-7
/I1-9
/I1-10
/I1-11</t>
    <phoneticPr fontId="75" type="noConversion"/>
  </si>
  <si>
    <t>资产名称</t>
    <phoneticPr fontId="75" type="noConversion"/>
  </si>
  <si>
    <t>资产名称</t>
    <phoneticPr fontId="75" type="noConversion"/>
  </si>
  <si>
    <t>合计</t>
    <phoneticPr fontId="75" type="noConversion"/>
  </si>
  <si>
    <t>检查无形资产本期计提的摊销分配是否合理</t>
    <phoneticPr fontId="75" type="noConversion"/>
  </si>
  <si>
    <r>
      <t>1.</t>
    </r>
    <r>
      <rPr>
        <sz val="10"/>
        <rFont val="宋体"/>
        <family val="3"/>
        <charset val="134"/>
      </rPr>
      <t>检查摊销分配到各种费用的情况，将</t>
    </r>
    <r>
      <rPr>
        <sz val="10"/>
        <rFont val="Arial Narrow"/>
        <family val="2"/>
      </rPr>
      <t>“</t>
    </r>
    <r>
      <rPr>
        <sz val="10"/>
        <rFont val="宋体"/>
        <family val="3"/>
        <charset val="134"/>
      </rPr>
      <t>累计摊销</t>
    </r>
    <r>
      <rPr>
        <sz val="10"/>
        <rFont val="Arial Narrow"/>
        <family val="2"/>
      </rPr>
      <t>”</t>
    </r>
    <r>
      <rPr>
        <sz val="10"/>
        <rFont val="宋体"/>
        <family val="3"/>
        <charset val="134"/>
      </rPr>
      <t>账户贷方的本期计提摊销额与相应成本费用中的摊销费用明细账户的借方相比较，以查明所计提摊销金额是否已全部摊入本期产品成本或费用；</t>
    </r>
    <phoneticPr fontId="75" type="noConversion"/>
  </si>
  <si>
    <r>
      <t>2.</t>
    </r>
    <r>
      <rPr>
        <sz val="10"/>
        <rFont val="宋体"/>
        <family val="3"/>
        <charset val="134"/>
      </rPr>
      <t>确定分配方法是否合理，本期分配方法与上期是否一致；</t>
    </r>
    <phoneticPr fontId="75" type="noConversion"/>
  </si>
  <si>
    <t>无形资产减值准备测试表-可收回金额</t>
  </si>
  <si>
    <t>无形资产减值准备测试表</t>
  </si>
  <si>
    <t>对财务报表整体有重大影响的异常、偶发或交易标的不具备实物形态（例如技术转让合同、技术服务合同、特许权使用合同等）、交易价格明显偏离正常市场价格、交易标的对交易对手而言不具有合理用途的交易）、缺乏商业理由的交易；关注相关交易的形成原因和真实性，考虑函证交易金额和合同条款、查询工商资料等核查交易对手。</t>
    <phoneticPr fontId="75" type="noConversion"/>
  </si>
  <si>
    <t>致同会计师事务所</t>
    <phoneticPr fontId="75" type="noConversion"/>
  </si>
  <si>
    <t>无形资产摊销政策检查表</t>
    <phoneticPr fontId="75" type="noConversion"/>
  </si>
  <si>
    <t>被审计单位管理层对于“使用寿命不确定性”的判断依据</t>
    <phoneticPr fontId="75" type="noConversion"/>
  </si>
  <si>
    <r>
      <rPr>
        <sz val="10"/>
        <rFont val="宋体"/>
        <family val="3"/>
        <charset val="134"/>
      </rPr>
      <t>被审计单位：</t>
    </r>
    <r>
      <rPr>
        <sz val="10"/>
        <rFont val="Arial Narrow"/>
        <family val="2"/>
      </rPr>
      <t/>
    </r>
    <phoneticPr fontId="75" type="noConversion"/>
  </si>
  <si>
    <t>编制人：</t>
    <phoneticPr fontId="75" type="noConversion"/>
  </si>
  <si>
    <t>编制日期：</t>
    <phoneticPr fontId="75" type="noConversion"/>
  </si>
  <si>
    <t>复核人：</t>
    <phoneticPr fontId="75" type="noConversion"/>
  </si>
  <si>
    <t>复核日期：</t>
    <phoneticPr fontId="75"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</si>
  <si>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26" type="noConversion"/>
  </si>
  <si>
    <t>关于工作底稿与审计程序索引号对应的说明</t>
    <phoneticPr fontId="26" type="noConversion"/>
  </si>
  <si>
    <r>
      <t>1.</t>
    </r>
    <r>
      <rPr>
        <b/>
        <sz val="12"/>
        <rFont val="宋体"/>
        <family val="3"/>
        <charset val="134"/>
      </rPr>
      <t>编制的审计工作底稿应与审计程序对应。</t>
    </r>
    <r>
      <rPr>
        <sz val="11"/>
        <color theme="1"/>
        <rFont val="宋体"/>
        <family val="3"/>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26" type="noConversion"/>
  </si>
  <si>
    <r>
      <t>2.</t>
    </r>
    <r>
      <rPr>
        <b/>
        <sz val="12"/>
        <rFont val="宋体"/>
        <family val="3"/>
        <charset val="134"/>
      </rPr>
      <t>获取的支持性证据应与审计底稿或程序对应。</t>
    </r>
    <r>
      <rPr>
        <sz val="11"/>
        <color theme="1"/>
        <rFont val="宋体"/>
        <family val="3"/>
        <charset val="134"/>
        <scheme val="minor"/>
      </rPr>
      <t>审计项目组在完成底稿时获取的支持性证据应根据底稿索引号编制下一级按自然顺序排序的索引号（如</t>
    </r>
    <r>
      <rPr>
        <sz val="12"/>
        <rFont val="Arial Narrow"/>
        <family val="2"/>
      </rPr>
      <t>D1-2-1</t>
    </r>
    <r>
      <rPr>
        <sz val="11"/>
        <color theme="1"/>
        <rFont val="宋体"/>
        <family val="3"/>
        <charset val="134"/>
        <scheme val="minor"/>
      </rPr>
      <t>、</t>
    </r>
    <r>
      <rPr>
        <sz val="12"/>
        <rFont val="Arial Narrow"/>
        <family val="2"/>
      </rPr>
      <t>D1-2-2</t>
    </r>
    <r>
      <rPr>
        <sz val="11"/>
        <color theme="1"/>
        <rFont val="宋体"/>
        <family val="3"/>
        <charset val="134"/>
        <scheme val="minor"/>
      </rPr>
      <t>、</t>
    </r>
    <r>
      <rPr>
        <sz val="12"/>
        <rFont val="Arial Narrow"/>
        <family val="2"/>
      </rPr>
      <t>……</t>
    </r>
    <r>
      <rPr>
        <sz val="11"/>
        <color theme="1"/>
        <rFont val="宋体"/>
        <family val="3"/>
        <charset val="134"/>
        <scheme val="minor"/>
      </rPr>
      <t>），并在底稿中说明引用的支持性证据、关联索引号。</t>
    </r>
    <phoneticPr fontId="26" type="noConversion"/>
  </si>
  <si>
    <r>
      <rPr>
        <b/>
        <sz val="12"/>
        <rFont val="Arial Narrow"/>
        <family val="2"/>
      </rPr>
      <t>3.</t>
    </r>
    <r>
      <rPr>
        <b/>
        <sz val="12"/>
        <rFont val="宋体"/>
        <family val="3"/>
        <charset val="134"/>
      </rPr>
      <t>工作底稿索引号的编码规则：</t>
    </r>
    <r>
      <rPr>
        <sz val="11"/>
        <color theme="1"/>
        <rFont val="宋体"/>
        <family val="3"/>
        <charset val="134"/>
        <scheme val="minor"/>
      </rPr>
      <t>实质性程序索引号按循环从</t>
    </r>
    <r>
      <rPr>
        <sz val="12"/>
        <rFont val="Arial Narrow"/>
        <family val="2"/>
      </rPr>
      <t>“D”</t>
    </r>
    <r>
      <rPr>
        <sz val="11"/>
        <color theme="1"/>
        <rFont val="宋体"/>
        <family val="3"/>
        <charset val="134"/>
        <scheme val="minor"/>
      </rPr>
      <t>到</t>
    </r>
    <r>
      <rPr>
        <sz val="12"/>
        <rFont val="Arial Narrow"/>
        <family val="2"/>
      </rPr>
      <t>“N”,</t>
    </r>
    <r>
      <rPr>
        <sz val="11"/>
        <color theme="1"/>
        <rFont val="宋体"/>
        <family val="3"/>
        <charset val="134"/>
        <scheme val="minor"/>
      </rPr>
      <t>循环内账户以顺序号排列，模板中底稿索引号按账户顺序</t>
    </r>
    <r>
      <rPr>
        <sz val="12"/>
        <rFont val="Arial Narrow"/>
        <family val="2"/>
      </rPr>
      <t>+</t>
    </r>
    <r>
      <rPr>
        <sz val="11"/>
        <color theme="1"/>
        <rFont val="宋体"/>
        <family val="3"/>
        <charset val="134"/>
        <scheme val="minor"/>
      </rPr>
      <t>自然数顺序（即模板中索引号按二级自然顺序排列，如</t>
    </r>
    <r>
      <rPr>
        <sz val="12"/>
        <rFont val="Arial Narrow"/>
        <family val="2"/>
      </rPr>
      <t>D1-1</t>
    </r>
    <r>
      <rPr>
        <sz val="11"/>
        <color theme="1"/>
        <rFont val="宋体"/>
        <family val="3"/>
        <charset val="134"/>
        <scheme val="minor"/>
      </rPr>
      <t>、</t>
    </r>
    <r>
      <rPr>
        <sz val="12"/>
        <rFont val="Arial Narrow"/>
        <family val="2"/>
      </rPr>
      <t>D1-2</t>
    </r>
    <r>
      <rPr>
        <sz val="11"/>
        <color theme="1"/>
        <rFont val="宋体"/>
        <family val="3"/>
        <charset val="134"/>
        <scheme val="minor"/>
      </rPr>
      <t>、</t>
    </r>
    <r>
      <rPr>
        <sz val="12"/>
        <rFont val="Arial Narrow"/>
        <family val="2"/>
      </rPr>
      <t>D1-3</t>
    </r>
    <r>
      <rPr>
        <sz val="11"/>
        <color theme="1"/>
        <rFont val="宋体"/>
        <family val="3"/>
        <charset val="134"/>
        <scheme val="minor"/>
      </rPr>
      <t>、</t>
    </r>
    <r>
      <rPr>
        <sz val="12"/>
        <rFont val="Arial Narrow"/>
        <family val="2"/>
      </rPr>
      <t>……D1-N</t>
    </r>
    <r>
      <rPr>
        <sz val="11"/>
        <color theme="1"/>
        <rFont val="宋体"/>
        <family val="3"/>
        <charset val="134"/>
        <scheme val="minor"/>
      </rPr>
      <t>）。</t>
    </r>
    <phoneticPr fontId="26" type="noConversion"/>
  </si>
  <si>
    <t>无需打印</t>
    <phoneticPr fontId="26" type="noConversion"/>
  </si>
  <si>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phoneticPr fontId="85" type="noConversion"/>
  </si>
  <si>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phoneticPr fontId="85" type="noConversion"/>
  </si>
  <si>
    <t>无形资产中的由被审计单位生成的信息例如：手工编制的无形资产摊销计算表等</t>
    <phoneticPr fontId="75" type="noConversion"/>
  </si>
  <si>
    <t>根据被审计单位实际情况和风险评估情况裁剪、修改或增加审计程序</t>
    <phoneticPr fontId="26" type="noConversion"/>
  </si>
  <si>
    <t>审计程序</t>
    <phoneticPr fontId="85" type="noConversion"/>
  </si>
  <si>
    <t>本期发生额</t>
    <phoneticPr fontId="75" type="noConversion"/>
  </si>
  <si>
    <t>检查比例</t>
    <phoneticPr fontId="75" type="noConversion"/>
  </si>
  <si>
    <t>I1-6</t>
    <phoneticPr fontId="75" type="noConversion"/>
  </si>
  <si>
    <t>I1-5</t>
    <phoneticPr fontId="75" type="noConversion"/>
  </si>
  <si>
    <t>I1-3</t>
    <phoneticPr fontId="75" type="noConversion"/>
  </si>
  <si>
    <t>I1-2</t>
    <phoneticPr fontId="75" type="noConversion"/>
  </si>
  <si>
    <t>如果还识别出被审计单位存在可能导致关联方资金占用以及其他套取资金行为的舞弊风险因素，则很可能表面存在第三方配合舞弊，应采取恰当的措施应对。</t>
    <phoneticPr fontId="26" type="noConversion"/>
  </si>
  <si>
    <r>
      <t>3</t>
    </r>
    <r>
      <rPr>
        <sz val="10"/>
        <color rgb="FF0000FF"/>
        <rFont val="宋体"/>
        <family val="3"/>
        <charset val="134"/>
      </rPr>
      <t>、根据《中国注册会计师审计准则问题解答第</t>
    </r>
    <r>
      <rPr>
        <sz val="10"/>
        <color rgb="FF0000FF"/>
        <rFont val="Arial Narrow"/>
        <family val="2"/>
      </rPr>
      <t>18</t>
    </r>
    <r>
      <rPr>
        <sz val="10"/>
        <color rgb="FF0000FF"/>
        <rFont val="宋体"/>
        <family val="3"/>
        <charset val="134"/>
      </rPr>
      <t>号——识别和应对第三方配合实施财务舞弊》：当期存在大额长期资产采购或对外投资时，需考虑是否存在通过虚增在建工程、固定资产、无形资产等长期资产采购价格套取资金，</t>
    </r>
    <phoneticPr fontId="26" type="noConversion"/>
  </si>
  <si>
    <r>
      <t>1</t>
    </r>
    <r>
      <rPr>
        <sz val="10"/>
        <color rgb="FF0000FF"/>
        <rFont val="宋体"/>
        <family val="3"/>
        <charset val="134"/>
      </rPr>
      <t>、检查当年增加的无形资产：</t>
    </r>
  </si>
  <si>
    <r>
      <rPr>
        <sz val="10"/>
        <color rgb="FF0000FF"/>
        <rFont val="宋体"/>
        <family val="3"/>
        <charset val="134"/>
      </rPr>
      <t>存在</t>
    </r>
    <r>
      <rPr>
        <sz val="10"/>
        <color rgb="FF0000FF"/>
        <rFont val="Arial Narrow"/>
        <family val="2"/>
      </rPr>
      <t>/</t>
    </r>
    <r>
      <rPr>
        <sz val="10"/>
        <color rgb="FF0000FF"/>
        <rFont val="宋体"/>
        <family val="3"/>
        <charset val="134"/>
      </rPr>
      <t>发生：审核当年增加的重要发票及其原始凭证、购货合同，会议记录、交接手续等内容</t>
    </r>
  </si>
  <si>
    <r>
      <rPr>
        <sz val="10"/>
        <color rgb="FF0000FF"/>
        <rFont val="宋体"/>
        <family val="3"/>
        <charset val="134"/>
      </rPr>
      <t>计价正确：检查其原始凭证、关注土地使用权相关税费计缴情况</t>
    </r>
  </si>
  <si>
    <r>
      <t>2</t>
    </r>
    <r>
      <rPr>
        <sz val="10"/>
        <color rgb="FF0000FF"/>
        <rFont val="宋体"/>
        <family val="3"/>
        <charset val="134"/>
      </rPr>
      <t>、检查无形资产的权属证书原件（土地使用证、采矿权证、协议）、非专利技术的持有和保密状况的性质、构成内容、计价依据、使用状况和受益期限，确定无形资产的所有权。</t>
    </r>
  </si>
  <si>
    <t>提示：</t>
    <phoneticPr fontId="7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</si>
</sst>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 #,##0.00_ ;_ * \-#,##0.00_ ;_ * &quot;-&quot;??_ ;_ @_ "/>
    <numFmt numFmtId="176" formatCode="_([$€-2]* #,##0.00_);_([$€-2]* \(#,##0.00\);_([$€-2]* &quot;-&quot;??_)"/>
    <numFmt numFmtId="177" formatCode="0.00_);[Red]\(0.00\)"/>
    <numFmt numFmtId="178" formatCode="_ * #,##0.0000_ ;_ * \-#,##0.0000_ ;_ * &quot;-&quot;??_ ;_ @_ "/>
    <numFmt numFmtId="179" formatCode="0_);[Red]\(0\)"/>
    <numFmt numFmtId="180" formatCode="#,##0.00_);\(#,##0.00\)"/>
  </numFmts>
  <fonts count="89">
    <font>
      <sz val="11"/>
      <color theme="1"/>
      <name val="宋体"/>
      <charset val="134"/>
      <scheme val="minor"/>
    </font>
    <font>
      <sz val="11"/>
      <color theme="1"/>
      <name val="宋体"/>
      <family val="2"/>
      <charset val="134"/>
      <scheme val="minor"/>
    </font>
    <font>
      <sz val="11"/>
      <color theme="1"/>
      <name val="宋体"/>
      <family val="2"/>
      <charset val="134"/>
      <scheme val="minor"/>
    </font>
    <font>
      <b/>
      <sz val="10"/>
      <color indexed="8"/>
      <name val="Arial Narrow"/>
      <family val="2"/>
    </font>
    <font>
      <b/>
      <sz val="12"/>
      <color indexed="8"/>
      <name val="Arial Narrow"/>
      <family val="2"/>
    </font>
    <font>
      <sz val="10"/>
      <name val="Arial Narrow"/>
      <family val="2"/>
    </font>
    <font>
      <sz val="10"/>
      <color rgb="FF0033CC"/>
      <name val="Arial Narrow"/>
      <family val="2"/>
    </font>
    <font>
      <sz val="10"/>
      <color indexed="8"/>
      <name val="Arial Narrow"/>
      <family val="2"/>
    </font>
    <font>
      <b/>
      <u/>
      <sz val="10"/>
      <color indexed="10"/>
      <name val="Arial Narrow"/>
      <family val="2"/>
    </font>
    <font>
      <sz val="10"/>
      <name val="宋体"/>
      <family val="3"/>
      <charset val="134"/>
    </font>
    <font>
      <b/>
      <sz val="10"/>
      <name val="Arial Narrow"/>
      <family val="2"/>
    </font>
    <font>
      <i/>
      <sz val="10"/>
      <color rgb="FFFF0000"/>
      <name val="Arial Narrow"/>
      <family val="2"/>
    </font>
    <font>
      <b/>
      <sz val="10"/>
      <color indexed="8"/>
      <name val="宋体"/>
      <family val="3"/>
      <charset val="134"/>
    </font>
    <font>
      <b/>
      <sz val="10"/>
      <name val="宋体"/>
      <family val="3"/>
      <charset val="134"/>
    </font>
    <font>
      <b/>
      <sz val="10"/>
      <color indexed="10"/>
      <name val="Arial Narrow"/>
      <family val="2"/>
    </font>
    <font>
      <sz val="12"/>
      <name val="宋体"/>
      <family val="3"/>
      <charset val="134"/>
    </font>
    <font>
      <b/>
      <sz val="10"/>
      <color rgb="FF000000"/>
      <name val="宋体"/>
      <family val="3"/>
      <charset val="134"/>
    </font>
    <font>
      <sz val="10"/>
      <color rgb="FF000000"/>
      <name val="宋体"/>
      <family val="3"/>
      <charset val="134"/>
    </font>
    <font>
      <sz val="10"/>
      <color rgb="FF000000"/>
      <name val="宋体"/>
      <family val="3"/>
      <charset val="134"/>
    </font>
    <font>
      <b/>
      <sz val="12"/>
      <color indexed="8"/>
      <name val="宋体"/>
      <family val="3"/>
      <charset val="134"/>
    </font>
    <font>
      <b/>
      <sz val="10"/>
      <color rgb="FF0033CC"/>
      <name val="Arial Narrow"/>
      <family val="2"/>
    </font>
    <font>
      <sz val="10"/>
      <color rgb="FFFF0000"/>
      <name val="宋体"/>
      <family val="3"/>
      <charset val="134"/>
      <scheme val="minor"/>
    </font>
    <font>
      <sz val="11"/>
      <color rgb="FF0033CC"/>
      <name val="宋体"/>
      <family val="3"/>
      <charset val="134"/>
      <scheme val="minor"/>
    </font>
    <font>
      <b/>
      <sz val="12"/>
      <name val="Arial Narrow"/>
      <family val="2"/>
    </font>
    <font>
      <sz val="12"/>
      <name val="Arial Narrow"/>
      <family val="2"/>
    </font>
    <font>
      <b/>
      <sz val="12"/>
      <name val="宋体"/>
      <family val="3"/>
      <charset val="134"/>
    </font>
    <font>
      <sz val="9"/>
      <name val="宋体"/>
      <family val="3"/>
      <charset val="134"/>
    </font>
    <font>
      <b/>
      <sz val="9"/>
      <name val="宋体"/>
      <family val="3"/>
      <charset val="134"/>
    </font>
    <font>
      <b/>
      <sz val="9"/>
      <name val="Arial Narrow"/>
      <family val="2"/>
    </font>
    <font>
      <sz val="9"/>
      <color rgb="FF0033CC"/>
      <name val="宋体"/>
      <family val="3"/>
      <charset val="134"/>
    </font>
    <font>
      <b/>
      <sz val="10"/>
      <color rgb="FFFF0000"/>
      <name val="宋体"/>
      <family val="3"/>
      <charset val="134"/>
    </font>
    <font>
      <b/>
      <sz val="10"/>
      <color rgb="FFFF0000"/>
      <name val="Arial Narrow"/>
      <family val="2"/>
    </font>
    <font>
      <b/>
      <sz val="10"/>
      <color indexed="8"/>
      <name val="宋体"/>
      <family val="3"/>
      <charset val="134"/>
      <scheme val="minor"/>
    </font>
    <font>
      <sz val="10"/>
      <color indexed="8"/>
      <name val="宋体"/>
      <family val="3"/>
      <charset val="134"/>
    </font>
    <font>
      <b/>
      <sz val="10"/>
      <color theme="1"/>
      <name val="Arial Narrow"/>
      <family val="2"/>
    </font>
    <font>
      <sz val="10"/>
      <color rgb="FFFF0000"/>
      <name val="宋体"/>
      <family val="3"/>
      <charset val="134"/>
    </font>
    <font>
      <sz val="10"/>
      <color rgb="FF0070C0"/>
      <name val="Arial Narrow"/>
      <family val="2"/>
    </font>
    <font>
      <b/>
      <sz val="10"/>
      <color rgb="FFE92841"/>
      <name val="Arial Narrow"/>
      <family val="2"/>
    </font>
    <font>
      <sz val="12"/>
      <color indexed="12"/>
      <name val="仿宋_GB2312"/>
      <family val="3"/>
      <charset val="134"/>
    </font>
    <font>
      <i/>
      <sz val="10"/>
      <color rgb="FFFF0000"/>
      <name val="宋体"/>
      <family val="3"/>
      <charset val="134"/>
    </font>
    <font>
      <b/>
      <sz val="10"/>
      <color rgb="FF000000"/>
      <name val="宋体"/>
      <family val="3"/>
      <charset val="134"/>
    </font>
    <font>
      <sz val="10"/>
      <color rgb="FF000000"/>
      <name val="Arial Narrow"/>
      <family val="2"/>
    </font>
    <font>
      <sz val="10"/>
      <color indexed="8"/>
      <name val="宋体"/>
      <family val="3"/>
      <charset val="134"/>
      <scheme val="minor"/>
    </font>
    <font>
      <b/>
      <sz val="10"/>
      <color rgb="FF000000"/>
      <name val="宋体"/>
      <family val="3"/>
      <charset val="134"/>
      <scheme val="minor"/>
    </font>
    <font>
      <sz val="10"/>
      <color rgb="FF000000"/>
      <name val="宋体"/>
      <family val="3"/>
      <charset val="134"/>
      <scheme val="minor"/>
    </font>
    <font>
      <sz val="10"/>
      <color rgb="FF0000FF"/>
      <name val="宋体"/>
      <family val="3"/>
      <charset val="134"/>
      <scheme val="minor"/>
    </font>
    <font>
      <sz val="12"/>
      <color indexed="8"/>
      <name val="仿宋_GB2312"/>
      <family val="3"/>
      <charset val="134"/>
    </font>
    <font>
      <sz val="12"/>
      <color indexed="8"/>
      <name val="宋体"/>
      <family val="3"/>
      <charset val="134"/>
    </font>
    <font>
      <b/>
      <sz val="10.5"/>
      <color rgb="FF000000"/>
      <name val="仿宋_GB2312"/>
      <family val="3"/>
      <charset val="134"/>
    </font>
    <font>
      <b/>
      <sz val="10.5"/>
      <color theme="1"/>
      <name val="仿宋_GB2312"/>
      <family val="3"/>
      <charset val="134"/>
    </font>
    <font>
      <sz val="10.5"/>
      <color theme="1"/>
      <name val="Arial Narrow"/>
      <family val="2"/>
    </font>
    <font>
      <b/>
      <sz val="10"/>
      <color rgb="FF000000"/>
      <name val="Arial Narrow"/>
      <family val="2"/>
    </font>
    <font>
      <sz val="10"/>
      <color rgb="FF0033CC"/>
      <name val="宋体"/>
      <family val="3"/>
      <charset val="134"/>
      <scheme val="minor"/>
    </font>
    <font>
      <sz val="10"/>
      <name val="Arial"/>
      <family val="2"/>
    </font>
    <font>
      <sz val="10"/>
      <color theme="1"/>
      <name val="Arial Narrow"/>
      <family val="2"/>
    </font>
    <font>
      <sz val="10"/>
      <name val="Arial Narrow"/>
      <family val="2"/>
    </font>
    <font>
      <sz val="10"/>
      <color indexed="8"/>
      <name val="宋体"/>
      <family val="3"/>
      <charset val="134"/>
    </font>
    <font>
      <sz val="10"/>
      <color theme="1"/>
      <name val="宋体"/>
      <family val="3"/>
      <charset val="134"/>
    </font>
    <font>
      <b/>
      <sz val="10"/>
      <color theme="1"/>
      <name val="宋体"/>
      <family val="3"/>
      <charset val="134"/>
    </font>
    <font>
      <b/>
      <sz val="10"/>
      <name val="宋体"/>
      <family val="3"/>
      <charset val="134"/>
    </font>
    <font>
      <sz val="10"/>
      <color indexed="10"/>
      <name val="宋体"/>
      <family val="3"/>
      <charset val="134"/>
    </font>
    <font>
      <sz val="11"/>
      <color indexed="8"/>
      <name val="宋体"/>
      <family val="3"/>
      <charset val="134"/>
    </font>
    <font>
      <u/>
      <sz val="11"/>
      <color theme="10"/>
      <name val="宋体"/>
      <family val="3"/>
      <charset val="134"/>
    </font>
    <font>
      <sz val="11"/>
      <color theme="1"/>
      <name val="宋体"/>
      <family val="3"/>
      <charset val="134"/>
      <scheme val="minor"/>
    </font>
    <font>
      <sz val="11"/>
      <color theme="1"/>
      <name val="宋体"/>
      <family val="3"/>
      <charset val="134"/>
      <scheme val="minor"/>
    </font>
    <font>
      <sz val="10"/>
      <color indexed="8"/>
      <name val="Tahoma"/>
      <family val="2"/>
    </font>
    <font>
      <sz val="11"/>
      <color indexed="8"/>
      <name val="宋体"/>
      <family val="3"/>
      <charset val="134"/>
    </font>
    <font>
      <u/>
      <sz val="11"/>
      <color theme="10"/>
      <name val="宋体"/>
      <family val="3"/>
      <charset val="134"/>
    </font>
    <font>
      <u/>
      <sz val="12"/>
      <color indexed="12"/>
      <name val="宋体"/>
      <family val="3"/>
      <charset val="134"/>
    </font>
    <font>
      <b/>
      <sz val="10.5"/>
      <color rgb="FF000000"/>
      <name val="Arial Narrow"/>
      <family val="2"/>
    </font>
    <font>
      <sz val="10"/>
      <color rgb="FF0033CC"/>
      <name val="宋体"/>
      <family val="3"/>
      <charset val="134"/>
    </font>
    <font>
      <sz val="12"/>
      <color indexed="8"/>
      <name val="Arial Narrow"/>
      <family val="2"/>
    </font>
    <font>
      <sz val="10"/>
      <color indexed="12"/>
      <name val="宋体"/>
      <family val="3"/>
      <charset val="134"/>
      <scheme val="minor"/>
    </font>
    <font>
      <b/>
      <sz val="10"/>
      <color rgb="FF0033CC"/>
      <name val="宋体"/>
      <family val="3"/>
      <charset val="134"/>
    </font>
    <font>
      <b/>
      <sz val="10"/>
      <name val="微软雅黑"/>
      <family val="2"/>
      <charset val="134"/>
    </font>
    <font>
      <sz val="9"/>
      <name val="宋体"/>
      <family val="3"/>
      <charset val="134"/>
      <scheme val="minor"/>
    </font>
    <font>
      <sz val="10"/>
      <color indexed="8"/>
      <name val="宋体"/>
      <family val="2"/>
    </font>
    <font>
      <sz val="10"/>
      <color indexed="10"/>
      <name val="Arial Narrow"/>
      <family val="2"/>
    </font>
    <font>
      <b/>
      <sz val="14"/>
      <name val="宋体"/>
      <family val="3"/>
      <charset val="134"/>
    </font>
    <font>
      <sz val="10"/>
      <color rgb="FFFF0000"/>
      <name val="Arial Narrow"/>
      <family val="2"/>
    </font>
    <font>
      <b/>
      <sz val="14"/>
      <color indexed="8"/>
      <name val="宋体"/>
      <family val="3"/>
      <charset val="134"/>
    </font>
    <font>
      <b/>
      <sz val="12"/>
      <color indexed="8"/>
      <name val="宋体"/>
      <family val="3"/>
      <charset val="134"/>
      <scheme val="minor"/>
    </font>
    <font>
      <b/>
      <sz val="14"/>
      <color indexed="8"/>
      <name val="Arial Narrow"/>
      <family val="2"/>
    </font>
    <font>
      <sz val="10"/>
      <color rgb="FF0000FF"/>
      <name val="Arial Narrow"/>
      <family val="2"/>
    </font>
    <font>
      <sz val="10"/>
      <color rgb="FF0000FF"/>
      <name val="宋体"/>
      <family val="3"/>
      <charset val="134"/>
    </font>
    <font>
      <sz val="9"/>
      <name val="宋体"/>
      <family val="2"/>
      <charset val="134"/>
      <scheme val="minor"/>
    </font>
    <font>
      <b/>
      <sz val="9"/>
      <color indexed="81"/>
      <name val="宋体"/>
      <family val="3"/>
      <charset val="134"/>
    </font>
    <font>
      <sz val="9"/>
      <color indexed="81"/>
      <name val="宋体"/>
      <family val="3"/>
      <charset val="134"/>
    </font>
    <font>
      <sz val="10"/>
      <color theme="10"/>
      <name val="Arial Narrow"/>
      <family val="2"/>
    </font>
  </fonts>
  <fills count="13">
    <fill>
      <patternFill patternType="none"/>
    </fill>
    <fill>
      <patternFill patternType="gray125"/>
    </fill>
    <fill>
      <patternFill patternType="solid">
        <fgColor theme="7" tint="0.79995117038483843"/>
        <bgColor indexed="64"/>
      </patternFill>
    </fill>
    <fill>
      <patternFill patternType="solid">
        <fgColor theme="7" tint="0.59999389629810485"/>
        <bgColor indexed="64"/>
      </patternFill>
    </fill>
    <fill>
      <patternFill patternType="solid">
        <fgColor theme="0" tint="-0.14996795556505021"/>
        <bgColor indexed="64"/>
      </patternFill>
    </fill>
    <fill>
      <patternFill patternType="solid">
        <fgColor rgb="FF92D050"/>
        <bgColor indexed="64"/>
      </patternFill>
    </fill>
    <fill>
      <patternFill patternType="solid">
        <fgColor rgb="FFE4DFEC"/>
        <bgColor indexed="64"/>
      </patternFill>
    </fill>
    <fill>
      <patternFill patternType="solid">
        <fgColor rgb="FFFF00FF"/>
        <bgColor indexed="64"/>
      </patternFill>
    </fill>
    <fill>
      <patternFill patternType="solid">
        <fgColor indexed="14"/>
        <bgColor indexed="64"/>
      </patternFill>
    </fill>
    <fill>
      <patternFill patternType="solid">
        <fgColor theme="0" tint="-0.499984740745262"/>
        <bgColor indexed="64"/>
      </patternFill>
    </fill>
    <fill>
      <patternFill patternType="solid">
        <fgColor theme="6" tint="0.79995117038483843"/>
        <bgColor indexed="64"/>
      </patternFill>
    </fill>
    <fill>
      <patternFill patternType="solid">
        <fgColor theme="7" tint="0.79998168889431442"/>
        <bgColor indexed="64"/>
      </patternFill>
    </fill>
    <fill>
      <patternFill patternType="solid">
        <fgColor theme="0" tint="-0.14999847407452621"/>
        <bgColor indexed="64"/>
      </patternFill>
    </fill>
  </fills>
  <borders count="15">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right/>
      <top style="hair">
        <color auto="1"/>
      </top>
      <bottom style="hair">
        <color auto="1"/>
      </bottom>
      <diagonal/>
    </border>
    <border>
      <left/>
      <right/>
      <top style="hair">
        <color auto="1"/>
      </top>
      <bottom/>
      <diagonal/>
    </border>
    <border>
      <left/>
      <right/>
      <top style="medium">
        <color auto="1"/>
      </top>
      <bottom style="medium">
        <color auto="1"/>
      </bottom>
      <diagonal/>
    </border>
    <border>
      <left/>
      <right/>
      <top/>
      <bottom style="medium">
        <color auto="1"/>
      </bottom>
      <diagonal/>
    </border>
    <border>
      <left/>
      <right/>
      <top/>
      <bottom style="hair">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s>
  <cellStyleXfs count="21">
    <xf numFmtId="176" fontId="0" fillId="0" borderId="0">
      <alignment vertical="center"/>
    </xf>
    <xf numFmtId="43" fontId="61" fillId="0" borderId="0" applyFont="0" applyFill="0" applyBorder="0" applyAlignment="0" applyProtection="0">
      <alignment vertical="center"/>
    </xf>
    <xf numFmtId="9" fontId="61" fillId="0" borderId="0" applyFont="0" applyFill="0" applyBorder="0" applyAlignment="0" applyProtection="0">
      <alignment vertical="center"/>
    </xf>
    <xf numFmtId="176" fontId="62" fillId="0" borderId="0" applyNumberFormat="0" applyFill="0" applyBorder="0" applyAlignment="0" applyProtection="0">
      <alignment vertical="top"/>
      <protection locked="0"/>
    </xf>
    <xf numFmtId="9" fontId="15" fillId="0" borderId="0" applyFont="0" applyFill="0" applyBorder="0" applyAlignment="0" applyProtection="0"/>
    <xf numFmtId="176" fontId="15" fillId="0" borderId="0">
      <protection locked="0"/>
    </xf>
    <xf numFmtId="0" fontId="63" fillId="0" borderId="0"/>
    <xf numFmtId="0" fontId="15" fillId="0" borderId="0">
      <protection locked="0"/>
    </xf>
    <xf numFmtId="176" fontId="15" fillId="0" borderId="0">
      <protection locked="0"/>
    </xf>
    <xf numFmtId="176" fontId="64" fillId="0" borderId="0">
      <alignment vertical="center"/>
    </xf>
    <xf numFmtId="176" fontId="15" fillId="0" borderId="0"/>
    <xf numFmtId="176" fontId="65" fillId="0" borderId="0">
      <alignment vertical="center"/>
    </xf>
    <xf numFmtId="176" fontId="66" fillId="0" borderId="0">
      <alignment vertical="center"/>
    </xf>
    <xf numFmtId="176" fontId="15" fillId="0" borderId="0"/>
    <xf numFmtId="0" fontId="15" fillId="0" borderId="0" applyFill="0" applyBorder="0"/>
    <xf numFmtId="176" fontId="15" fillId="0" borderId="0">
      <alignment vertical="center"/>
    </xf>
    <xf numFmtId="176" fontId="67" fillId="0" borderId="0" applyNumberFormat="0" applyFill="0" applyBorder="0" applyAlignment="0" applyProtection="0">
      <alignment vertical="center"/>
    </xf>
    <xf numFmtId="0" fontId="68" fillId="0" borderId="0" applyNumberFormat="0" applyFill="0" applyBorder="0" applyAlignment="0" applyProtection="0">
      <alignment vertical="top"/>
      <protection locked="0"/>
    </xf>
    <xf numFmtId="176" fontId="15" fillId="0" borderId="0">
      <protection locked="0"/>
    </xf>
    <xf numFmtId="176" fontId="2" fillId="0" borderId="0">
      <alignment vertical="center"/>
    </xf>
    <xf numFmtId="176" fontId="1" fillId="0" borderId="0">
      <alignment vertical="center"/>
    </xf>
  </cellStyleXfs>
  <cellXfs count="369">
    <xf numFmtId="176" fontId="0" fillId="0" borderId="0" xfId="0">
      <alignment vertical="center"/>
    </xf>
    <xf numFmtId="176" fontId="3" fillId="0" borderId="0" xfId="0" applyFont="1">
      <alignment vertical="center"/>
    </xf>
    <xf numFmtId="176" fontId="4" fillId="0" borderId="0" xfId="0" applyFont="1">
      <alignment vertical="center"/>
    </xf>
    <xf numFmtId="176" fontId="5" fillId="0" borderId="0" xfId="0" applyFont="1" applyProtection="1">
      <alignment vertical="center"/>
      <protection locked="0"/>
    </xf>
    <xf numFmtId="176" fontId="3" fillId="0" borderId="0" xfId="0" applyFont="1" applyAlignment="1">
      <alignment horizontal="center" vertical="center" wrapText="1"/>
    </xf>
    <xf numFmtId="176" fontId="3" fillId="0" borderId="0" xfId="0" applyFont="1" applyAlignment="1">
      <alignment horizontal="center" vertical="center"/>
    </xf>
    <xf numFmtId="176" fontId="6" fillId="0" borderId="0" xfId="0" applyFont="1">
      <alignment vertical="center"/>
    </xf>
    <xf numFmtId="176" fontId="7" fillId="0" borderId="0" xfId="0" applyFont="1">
      <alignment vertical="center"/>
    </xf>
    <xf numFmtId="176" fontId="4" fillId="0" borderId="0" xfId="0" applyFont="1" applyAlignment="1">
      <alignment horizontal="center" vertical="center"/>
    </xf>
    <xf numFmtId="176" fontId="3" fillId="0" borderId="0" xfId="5" applyFont="1" applyAlignment="1" applyProtection="1">
      <alignment vertical="center"/>
    </xf>
    <xf numFmtId="176" fontId="8" fillId="0" borderId="0" xfId="5" applyFont="1" applyAlignment="1" applyProtection="1">
      <alignment horizontal="center"/>
    </xf>
    <xf numFmtId="176" fontId="5" fillId="0" borderId="0" xfId="15" applyFont="1">
      <alignment vertical="center"/>
    </xf>
    <xf numFmtId="176" fontId="9" fillId="0" borderId="0" xfId="5" applyFont="1" applyAlignment="1" applyProtection="1">
      <alignment vertical="center"/>
    </xf>
    <xf numFmtId="176" fontId="10" fillId="0" borderId="0" xfId="5" applyFont="1" applyAlignment="1" applyProtection="1">
      <alignment horizontal="left" vertical="center"/>
    </xf>
    <xf numFmtId="176" fontId="5" fillId="0" borderId="0" xfId="5" applyFont="1" applyAlignment="1">
      <alignment vertical="center"/>
      <protection locked="0"/>
    </xf>
    <xf numFmtId="176" fontId="3" fillId="2" borderId="1" xfId="0" applyFont="1" applyFill="1" applyBorder="1" applyAlignment="1">
      <alignment horizontal="center" vertical="center"/>
    </xf>
    <xf numFmtId="176" fontId="3" fillId="2" borderId="1" xfId="0" applyFont="1" applyFill="1" applyBorder="1" applyAlignment="1">
      <alignment horizontal="center" vertical="center" wrapText="1"/>
    </xf>
    <xf numFmtId="176" fontId="7" fillId="0" borderId="1" xfId="0" applyFont="1" applyBorder="1">
      <alignment vertical="center"/>
    </xf>
    <xf numFmtId="43" fontId="11" fillId="0" borderId="1" xfId="1" applyFont="1" applyBorder="1">
      <alignment vertical="center"/>
    </xf>
    <xf numFmtId="176" fontId="11" fillId="0" borderId="1" xfId="0" applyFont="1" applyBorder="1">
      <alignment vertical="center"/>
    </xf>
    <xf numFmtId="43" fontId="7" fillId="0" borderId="1" xfId="1" applyFont="1" applyBorder="1">
      <alignment vertical="center"/>
    </xf>
    <xf numFmtId="176" fontId="3" fillId="0" borderId="1" xfId="0" applyFont="1" applyBorder="1">
      <alignment vertical="center"/>
    </xf>
    <xf numFmtId="176" fontId="6" fillId="0" borderId="1" xfId="0" applyFont="1" applyBorder="1">
      <alignment vertical="center"/>
    </xf>
    <xf numFmtId="176" fontId="12" fillId="0" borderId="0" xfId="0" applyFont="1">
      <alignment vertical="center"/>
    </xf>
    <xf numFmtId="176" fontId="13" fillId="0" borderId="0" xfId="0" applyFont="1" applyProtection="1">
      <alignment vertical="center"/>
      <protection locked="0"/>
    </xf>
    <xf numFmtId="14" fontId="7" fillId="0" borderId="0" xfId="0" applyNumberFormat="1" applyFont="1">
      <alignment vertical="center"/>
    </xf>
    <xf numFmtId="176" fontId="14" fillId="0" borderId="0" xfId="0" applyFont="1">
      <alignment vertical="center"/>
    </xf>
    <xf numFmtId="176" fontId="9" fillId="0" borderId="0" xfId="0" applyFont="1" applyProtection="1">
      <alignment vertical="center"/>
      <protection locked="0"/>
    </xf>
    <xf numFmtId="49" fontId="9" fillId="0" borderId="0" xfId="0" applyNumberFormat="1" applyFont="1" applyProtection="1">
      <alignment vertical="center"/>
      <protection locked="0"/>
    </xf>
    <xf numFmtId="176" fontId="15" fillId="0" borderId="0" xfId="8">
      <protection locked="0"/>
    </xf>
    <xf numFmtId="177" fontId="11" fillId="0" borderId="1" xfId="0" applyNumberFormat="1" applyFont="1" applyBorder="1">
      <alignment vertical="center"/>
    </xf>
    <xf numFmtId="177" fontId="11" fillId="0" borderId="1" xfId="1" applyNumberFormat="1" applyFont="1" applyBorder="1">
      <alignment vertical="center"/>
    </xf>
    <xf numFmtId="176" fontId="9" fillId="0" borderId="0" xfId="0" applyFont="1" applyAlignment="1" applyProtection="1">
      <alignment horizontal="right" vertical="center"/>
      <protection locked="0"/>
    </xf>
    <xf numFmtId="176" fontId="13" fillId="2" borderId="1" xfId="0" applyFont="1" applyFill="1" applyBorder="1" applyAlignment="1" applyProtection="1">
      <alignment horizontal="center" vertical="center" wrapText="1"/>
      <protection locked="0"/>
    </xf>
    <xf numFmtId="176" fontId="3" fillId="2" borderId="5" xfId="0" applyFont="1" applyFill="1" applyBorder="1" applyAlignment="1">
      <alignment horizontal="center" vertical="center" wrapText="1"/>
    </xf>
    <xf numFmtId="43" fontId="7" fillId="0" borderId="1" xfId="1" applyFont="1" applyFill="1" applyBorder="1">
      <alignment vertical="center"/>
    </xf>
    <xf numFmtId="43" fontId="5" fillId="0" borderId="0" xfId="1" applyFont="1" applyFill="1" applyBorder="1" applyAlignment="1">
      <alignment horizontal="right" vertical="center" wrapText="1"/>
    </xf>
    <xf numFmtId="176" fontId="3" fillId="0" borderId="6" xfId="0" applyFont="1" applyBorder="1">
      <alignment vertical="center"/>
    </xf>
    <xf numFmtId="43" fontId="5" fillId="0" borderId="1" xfId="1" applyFont="1" applyFill="1" applyBorder="1" applyAlignment="1">
      <alignment horizontal="right" vertical="center" wrapText="1"/>
    </xf>
    <xf numFmtId="43" fontId="10" fillId="2" borderId="1" xfId="1" applyFont="1" applyFill="1" applyBorder="1" applyAlignment="1">
      <alignment horizontal="left" vertical="center" wrapText="1"/>
    </xf>
    <xf numFmtId="176" fontId="12" fillId="2" borderId="1" xfId="0" applyFont="1" applyFill="1" applyBorder="1" applyAlignment="1">
      <alignment horizontal="center" vertical="center" wrapText="1"/>
    </xf>
    <xf numFmtId="43" fontId="7" fillId="0" borderId="1" xfId="1" applyFont="1" applyFill="1" applyBorder="1" applyAlignment="1">
      <alignment vertical="center" shrinkToFit="1"/>
    </xf>
    <xf numFmtId="43" fontId="5" fillId="2" borderId="1" xfId="1" applyFont="1" applyFill="1" applyBorder="1" applyAlignment="1">
      <alignment horizontal="right" vertical="center" wrapText="1"/>
    </xf>
    <xf numFmtId="14" fontId="7" fillId="0" borderId="1" xfId="0" applyNumberFormat="1" applyFont="1" applyBorder="1">
      <alignment vertical="center"/>
    </xf>
    <xf numFmtId="176" fontId="13" fillId="0" borderId="8" xfId="0" applyFont="1" applyBorder="1" applyProtection="1">
      <alignment vertical="center"/>
      <protection locked="0"/>
    </xf>
    <xf numFmtId="176" fontId="3" fillId="0" borderId="8" xfId="0" applyFont="1" applyBorder="1">
      <alignment vertical="center"/>
    </xf>
    <xf numFmtId="176" fontId="20" fillId="2" borderId="1" xfId="0" applyFont="1" applyFill="1" applyBorder="1" applyAlignment="1">
      <alignment horizontal="center" vertical="center" wrapText="1"/>
    </xf>
    <xf numFmtId="176" fontId="16" fillId="2" borderId="1" xfId="0" applyFont="1" applyFill="1" applyBorder="1" applyAlignment="1">
      <alignment horizontal="center" vertical="center" wrapText="1"/>
    </xf>
    <xf numFmtId="176" fontId="3" fillId="3" borderId="0" xfId="0" applyFont="1" applyFill="1">
      <alignment vertical="center"/>
    </xf>
    <xf numFmtId="43" fontId="5" fillId="0" borderId="8" xfId="1" applyFont="1" applyFill="1" applyBorder="1" applyAlignment="1">
      <alignment horizontal="right" vertical="center" wrapText="1"/>
    </xf>
    <xf numFmtId="176" fontId="5" fillId="0" borderId="0" xfId="5" applyFont="1" applyAlignment="1">
      <alignment vertical="center" wrapText="1"/>
      <protection locked="0"/>
    </xf>
    <xf numFmtId="49" fontId="10" fillId="0" borderId="0" xfId="1" applyNumberFormat="1" applyFont="1" applyFill="1" applyAlignment="1" applyProtection="1">
      <alignment horizontal="right" vertical="center" shrinkToFit="1"/>
    </xf>
    <xf numFmtId="49" fontId="10" fillId="0" borderId="3" xfId="1" applyNumberFormat="1" applyFont="1" applyFill="1" applyBorder="1" applyAlignment="1" applyProtection="1">
      <alignment horizontal="center" vertical="center" shrinkToFit="1"/>
    </xf>
    <xf numFmtId="176" fontId="21" fillId="0" borderId="1" xfId="0" applyFont="1" applyBorder="1" applyAlignment="1" applyProtection="1">
      <alignment horizontal="justify" vertical="center" wrapText="1"/>
      <protection locked="0"/>
    </xf>
    <xf numFmtId="43" fontId="5" fillId="0" borderId="1" xfId="0" applyNumberFormat="1" applyFont="1" applyBorder="1" applyAlignment="1" applyProtection="1">
      <alignment horizontal="right" vertical="center" wrapText="1"/>
      <protection locked="0"/>
    </xf>
    <xf numFmtId="49" fontId="10" fillId="0" borderId="1" xfId="1" applyNumberFormat="1" applyFont="1" applyFill="1" applyBorder="1" applyAlignment="1" applyProtection="1">
      <alignment horizontal="center" vertical="center" shrinkToFit="1"/>
    </xf>
    <xf numFmtId="176" fontId="21" fillId="0" borderId="6" xfId="0" applyFont="1" applyBorder="1" applyAlignment="1" applyProtection="1">
      <alignment horizontal="justify" vertical="center" wrapText="1"/>
      <protection locked="0"/>
    </xf>
    <xf numFmtId="176" fontId="0" fillId="0" borderId="8" xfId="0" applyBorder="1">
      <alignment vertical="center"/>
    </xf>
    <xf numFmtId="176" fontId="22" fillId="0" borderId="0" xfId="0" applyFont="1">
      <alignment vertical="center"/>
    </xf>
    <xf numFmtId="43" fontId="10" fillId="0" borderId="1" xfId="1" applyFont="1" applyBorder="1" applyAlignment="1" applyProtection="1">
      <alignment horizontal="right" vertical="center" wrapText="1"/>
      <protection locked="0"/>
    </xf>
    <xf numFmtId="176" fontId="10" fillId="0" borderId="0" xfId="0" applyFont="1" applyProtection="1">
      <alignment vertical="center"/>
      <protection locked="0"/>
    </xf>
    <xf numFmtId="176" fontId="23" fillId="0" borderId="0" xfId="0" applyFont="1" applyProtection="1">
      <alignment vertical="center"/>
      <protection locked="0"/>
    </xf>
    <xf numFmtId="176" fontId="5" fillId="0" borderId="0" xfId="13" applyFont="1" applyAlignment="1" applyProtection="1">
      <alignment vertical="center"/>
      <protection locked="0"/>
    </xf>
    <xf numFmtId="176" fontId="24" fillId="0" borderId="0" xfId="0" applyFont="1" applyProtection="1">
      <alignment vertical="center"/>
      <protection locked="0"/>
    </xf>
    <xf numFmtId="176" fontId="5" fillId="0" borderId="0" xfId="0" applyFont="1" applyAlignment="1" applyProtection="1">
      <alignment vertical="center" wrapText="1"/>
      <protection locked="0"/>
    </xf>
    <xf numFmtId="14" fontId="5" fillId="0" borderId="0" xfId="0" applyNumberFormat="1" applyFont="1" applyProtection="1">
      <alignment vertical="center"/>
      <protection locked="0"/>
    </xf>
    <xf numFmtId="14" fontId="9" fillId="0" borderId="0" xfId="0" applyNumberFormat="1" applyFont="1" applyProtection="1">
      <alignment vertical="center"/>
      <protection locked="0"/>
    </xf>
    <xf numFmtId="176" fontId="15" fillId="0" borderId="0" xfId="9" applyFont="1" applyAlignment="1">
      <alignment horizontal="left" vertical="center"/>
    </xf>
    <xf numFmtId="176" fontId="26" fillId="0" borderId="0" xfId="9" applyFont="1" applyAlignment="1">
      <alignment horizontal="left" vertical="center"/>
    </xf>
    <xf numFmtId="176" fontId="12" fillId="0" borderId="0" xfId="5" applyFont="1" applyAlignment="1" applyProtection="1">
      <alignment vertical="center"/>
    </xf>
    <xf numFmtId="176" fontId="27" fillId="2" borderId="1" xfId="9" applyFont="1" applyFill="1" applyBorder="1" applyAlignment="1" applyProtection="1">
      <alignment horizontal="center" vertical="center"/>
      <protection locked="0"/>
    </xf>
    <xf numFmtId="176" fontId="27" fillId="2" borderId="0" xfId="9" applyFont="1" applyFill="1" applyAlignment="1" applyProtection="1">
      <alignment horizontal="center" vertical="center"/>
      <protection locked="0"/>
    </xf>
    <xf numFmtId="176" fontId="27" fillId="0" borderId="1" xfId="9" applyFont="1" applyBorder="1" applyAlignment="1" applyProtection="1">
      <alignment horizontal="left" vertical="center"/>
      <protection locked="0"/>
    </xf>
    <xf numFmtId="176" fontId="27" fillId="0" borderId="1" xfId="9" applyFont="1" applyBorder="1" applyAlignment="1" applyProtection="1">
      <alignment horizontal="center" vertical="center"/>
      <protection locked="0"/>
    </xf>
    <xf numFmtId="43" fontId="28" fillId="0" borderId="1" xfId="9" applyNumberFormat="1" applyFont="1" applyBorder="1" applyAlignment="1" applyProtection="1">
      <alignment horizontal="right" vertical="center" shrinkToFit="1"/>
      <protection locked="0"/>
    </xf>
    <xf numFmtId="14" fontId="28" fillId="0" borderId="1" xfId="9" applyNumberFormat="1" applyFont="1" applyBorder="1" applyAlignment="1" applyProtection="1">
      <alignment horizontal="center" vertical="center" shrinkToFit="1"/>
      <protection locked="0"/>
    </xf>
    <xf numFmtId="176" fontId="26" fillId="0" borderId="0" xfId="9" applyFont="1" applyProtection="1">
      <alignment vertical="center"/>
      <protection locked="0"/>
    </xf>
    <xf numFmtId="176" fontId="26" fillId="0" borderId="0" xfId="9" applyFont="1" applyAlignment="1" applyProtection="1">
      <alignment horizontal="left" vertical="center"/>
      <protection locked="0"/>
    </xf>
    <xf numFmtId="176" fontId="26" fillId="0" borderId="0" xfId="9" applyFont="1" applyAlignment="1" applyProtection="1">
      <alignment horizontal="centerContinuous" vertical="center"/>
      <protection locked="0"/>
    </xf>
    <xf numFmtId="176" fontId="27" fillId="0" borderId="0" xfId="9" applyFont="1" applyAlignment="1" applyProtection="1">
      <alignment horizontal="left" vertical="center"/>
      <protection locked="0"/>
    </xf>
    <xf numFmtId="176" fontId="26" fillId="0" borderId="0" xfId="9" applyFont="1" applyAlignment="1" applyProtection="1">
      <protection locked="0"/>
    </xf>
    <xf numFmtId="176" fontId="9" fillId="0" borderId="0" xfId="0" applyFont="1" applyAlignment="1" applyProtection="1">
      <alignment horizontal="left" vertical="center"/>
      <protection locked="0"/>
    </xf>
    <xf numFmtId="49" fontId="5" fillId="0" borderId="0" xfId="0" applyNumberFormat="1" applyFont="1" applyProtection="1">
      <alignment vertical="center"/>
      <protection locked="0"/>
    </xf>
    <xf numFmtId="176" fontId="12" fillId="2" borderId="1" xfId="0" applyFont="1" applyFill="1" applyBorder="1" applyAlignment="1">
      <alignment horizontal="center" vertical="center"/>
    </xf>
    <xf numFmtId="176" fontId="5" fillId="0" borderId="0" xfId="5" applyFont="1" applyAlignment="1">
      <alignment horizontal="right" vertical="center"/>
      <protection locked="0"/>
    </xf>
    <xf numFmtId="176" fontId="5" fillId="0" borderId="0" xfId="5" applyFont="1" applyAlignment="1">
      <alignment horizontal="justify" vertical="center" wrapText="1"/>
      <protection locked="0"/>
    </xf>
    <xf numFmtId="176" fontId="7" fillId="0" borderId="0" xfId="0" applyFont="1" applyAlignment="1">
      <alignment horizontal="right" vertical="center"/>
    </xf>
    <xf numFmtId="49" fontId="5" fillId="0" borderId="0" xfId="0" applyNumberFormat="1" applyFont="1" applyAlignment="1">
      <alignment horizontal="left" vertical="center"/>
    </xf>
    <xf numFmtId="176" fontId="3" fillId="4" borderId="0" xfId="0" applyFont="1" applyFill="1">
      <alignment vertical="center"/>
    </xf>
    <xf numFmtId="176" fontId="33" fillId="0" borderId="1" xfId="0" applyFont="1" applyBorder="1">
      <alignment vertical="center"/>
    </xf>
    <xf numFmtId="176" fontId="5" fillId="0" borderId="0" xfId="0" applyFont="1">
      <alignment vertical="center"/>
    </xf>
    <xf numFmtId="49" fontId="7" fillId="0" borderId="0" xfId="0" applyNumberFormat="1" applyFont="1">
      <alignment vertical="center"/>
    </xf>
    <xf numFmtId="49" fontId="3" fillId="0" borderId="0" xfId="5" applyNumberFormat="1" applyFont="1" applyAlignment="1" applyProtection="1">
      <alignment vertical="center"/>
    </xf>
    <xf numFmtId="49" fontId="10" fillId="0" borderId="0" xfId="5" applyNumberFormat="1" applyFont="1" applyAlignment="1" applyProtection="1">
      <alignment horizontal="left" vertical="center"/>
    </xf>
    <xf numFmtId="176" fontId="13" fillId="0" borderId="0" xfId="0" applyFont="1">
      <alignment vertical="center"/>
    </xf>
    <xf numFmtId="49" fontId="32" fillId="2" borderId="1" xfId="0" applyNumberFormat="1" applyFont="1" applyFill="1" applyBorder="1" applyAlignment="1">
      <alignment horizontal="center" vertical="center"/>
    </xf>
    <xf numFmtId="176" fontId="32" fillId="2" borderId="1" xfId="0" applyFont="1" applyFill="1" applyBorder="1" applyAlignment="1">
      <alignment horizontal="center" vertical="center"/>
    </xf>
    <xf numFmtId="176" fontId="32" fillId="2" borderId="1" xfId="0" applyFont="1" applyFill="1" applyBorder="1" applyAlignment="1">
      <alignment horizontal="center" vertical="center" wrapText="1"/>
    </xf>
    <xf numFmtId="176" fontId="35" fillId="0" borderId="1" xfId="0" applyFont="1" applyBorder="1">
      <alignment vertical="center"/>
    </xf>
    <xf numFmtId="176" fontId="36" fillId="0" borderId="1" xfId="0" applyFont="1" applyBorder="1">
      <alignment vertical="center"/>
    </xf>
    <xf numFmtId="176" fontId="36" fillId="0" borderId="0" xfId="0" applyFont="1">
      <alignment vertical="center"/>
    </xf>
    <xf numFmtId="49" fontId="13" fillId="0" borderId="0" xfId="0" applyNumberFormat="1" applyFont="1" applyProtection="1">
      <alignment vertical="center"/>
      <protection locked="0"/>
    </xf>
    <xf numFmtId="0" fontId="5" fillId="0" borderId="0" xfId="0" applyNumberFormat="1" applyFont="1" applyAlignment="1">
      <alignment horizontal="left" vertical="center"/>
    </xf>
    <xf numFmtId="0" fontId="15" fillId="0" borderId="0" xfId="7" applyAlignment="1">
      <alignment wrapText="1"/>
      <protection locked="0"/>
    </xf>
    <xf numFmtId="0" fontId="15" fillId="0" borderId="0" xfId="7">
      <protection locked="0"/>
    </xf>
    <xf numFmtId="43" fontId="5" fillId="0" borderId="0" xfId="14" applyNumberFormat="1" applyFont="1" applyBorder="1" applyAlignment="1">
      <alignment vertical="center"/>
    </xf>
    <xf numFmtId="0" fontId="12" fillId="2" borderId="1" xfId="7" applyFont="1" applyFill="1" applyBorder="1" applyAlignment="1" applyProtection="1">
      <alignment vertical="center" wrapText="1"/>
    </xf>
    <xf numFmtId="176" fontId="13" fillId="2" borderId="1" xfId="10" applyFont="1" applyFill="1" applyBorder="1" applyAlignment="1" applyProtection="1">
      <alignment horizontal="center" vertical="center" wrapText="1"/>
      <protection locked="0"/>
    </xf>
    <xf numFmtId="176" fontId="37" fillId="2" borderId="1" xfId="10" applyFont="1" applyFill="1" applyBorder="1" applyAlignment="1" applyProtection="1">
      <alignment horizontal="center" vertical="center" wrapText="1"/>
      <protection locked="0"/>
    </xf>
    <xf numFmtId="0" fontId="33" fillId="0" borderId="1" xfId="7" applyFont="1" applyBorder="1" applyAlignment="1" applyProtection="1">
      <alignment vertical="center"/>
    </xf>
    <xf numFmtId="0" fontId="9" fillId="0" borderId="1" xfId="7" applyFont="1" applyBorder="1" applyAlignment="1" applyProtection="1">
      <alignment vertical="center"/>
    </xf>
    <xf numFmtId="0" fontId="35" fillId="0" borderId="1" xfId="7" applyFont="1" applyBorder="1" applyAlignment="1" applyProtection="1">
      <alignment horizontal="left" vertical="center" indent="1"/>
    </xf>
    <xf numFmtId="0" fontId="3" fillId="0" borderId="1" xfId="7" applyFont="1" applyBorder="1" applyAlignment="1" applyProtection="1">
      <alignment horizontal="center" vertical="center"/>
    </xf>
    <xf numFmtId="176" fontId="30" fillId="2" borderId="1" xfId="0" applyFont="1" applyFill="1" applyBorder="1" applyAlignment="1">
      <alignment horizontal="center" vertical="center"/>
    </xf>
    <xf numFmtId="43" fontId="39" fillId="0" borderId="1" xfId="1" applyFont="1" applyFill="1" applyBorder="1">
      <alignment vertical="center"/>
    </xf>
    <xf numFmtId="176" fontId="40" fillId="2" borderId="0" xfId="0" applyFont="1" applyFill="1" applyAlignment="1">
      <alignment horizontal="left" vertical="center"/>
    </xf>
    <xf numFmtId="176" fontId="41" fillId="0" borderId="0" xfId="0" applyFont="1">
      <alignment vertical="center"/>
    </xf>
    <xf numFmtId="176" fontId="12" fillId="2" borderId="1" xfId="9" applyFont="1" applyFill="1" applyBorder="1" applyAlignment="1" applyProtection="1">
      <alignment horizontal="center" vertical="center"/>
      <protection locked="0"/>
    </xf>
    <xf numFmtId="176" fontId="19" fillId="0" borderId="0" xfId="0" applyFont="1">
      <alignment vertical="center"/>
    </xf>
    <xf numFmtId="43" fontId="7" fillId="0" borderId="0" xfId="1" applyFont="1" applyFill="1" applyBorder="1">
      <alignment vertical="center"/>
    </xf>
    <xf numFmtId="176" fontId="42" fillId="0" borderId="0" xfId="0" applyFont="1">
      <alignment vertical="center"/>
    </xf>
    <xf numFmtId="176" fontId="42" fillId="0" borderId="0" xfId="0" applyFont="1" applyAlignment="1">
      <alignment horizontal="left" vertical="center"/>
    </xf>
    <xf numFmtId="176" fontId="42" fillId="0" borderId="0" xfId="0" applyFont="1" applyAlignment="1">
      <alignment horizontal="justify" vertical="center"/>
    </xf>
    <xf numFmtId="176" fontId="43" fillId="0" borderId="9" xfId="0" applyFont="1" applyBorder="1" applyAlignment="1">
      <alignment horizontal="justify" vertical="center" wrapText="1"/>
    </xf>
    <xf numFmtId="176" fontId="43" fillId="0" borderId="9" xfId="0" applyFont="1" applyBorder="1" applyAlignment="1">
      <alignment horizontal="right" vertical="center" wrapText="1"/>
    </xf>
    <xf numFmtId="176" fontId="42" fillId="0" borderId="0" xfId="0" applyFont="1" applyAlignment="1">
      <alignment horizontal="justify" vertical="center" wrapText="1"/>
    </xf>
    <xf numFmtId="43" fontId="41" fillId="0" borderId="0" xfId="1" applyFont="1" applyFill="1" applyAlignment="1">
      <alignment horizontal="right" vertical="center" wrapText="1" shrinkToFit="1"/>
    </xf>
    <xf numFmtId="176" fontId="44" fillId="0" borderId="0" xfId="0" applyFont="1" applyAlignment="1">
      <alignment horizontal="justify" vertical="center" wrapText="1"/>
    </xf>
    <xf numFmtId="43" fontId="41" fillId="0" borderId="0" xfId="0" applyNumberFormat="1" applyFont="1" applyAlignment="1">
      <alignment horizontal="right" vertical="center" wrapText="1"/>
    </xf>
    <xf numFmtId="176" fontId="44" fillId="0" borderId="0" xfId="0" applyFont="1" applyAlignment="1">
      <alignment horizontal="left" vertical="center" wrapText="1" indent="2"/>
    </xf>
    <xf numFmtId="176" fontId="44" fillId="0" borderId="10" xfId="0" applyFont="1" applyBorder="1" applyAlignment="1">
      <alignment horizontal="justify" vertical="center" wrapText="1"/>
    </xf>
    <xf numFmtId="43" fontId="41" fillId="0" borderId="10" xfId="1" applyFont="1" applyBorder="1" applyAlignment="1">
      <alignment horizontal="justify" vertical="center" wrapText="1"/>
    </xf>
    <xf numFmtId="176" fontId="45" fillId="0" borderId="0" xfId="0" applyFont="1" applyAlignment="1">
      <alignment horizontal="left" vertical="center" wrapText="1"/>
    </xf>
    <xf numFmtId="176" fontId="33" fillId="0" borderId="0" xfId="0" applyFont="1">
      <alignment vertical="center"/>
    </xf>
    <xf numFmtId="176" fontId="46" fillId="0" borderId="0" xfId="0" applyFont="1" applyAlignment="1">
      <alignment horizontal="justify" vertical="center"/>
    </xf>
    <xf numFmtId="176" fontId="47" fillId="0" borderId="0" xfId="0" applyFont="1">
      <alignment vertical="center"/>
    </xf>
    <xf numFmtId="176" fontId="43" fillId="0" borderId="9" xfId="0" applyFont="1" applyBorder="1" applyAlignment="1">
      <alignment horizontal="center" vertical="center" wrapText="1"/>
    </xf>
    <xf numFmtId="43" fontId="41" fillId="0" borderId="0" xfId="1" applyFont="1" applyAlignment="1">
      <alignment horizontal="right" vertical="top" wrapText="1"/>
    </xf>
    <xf numFmtId="43" fontId="41" fillId="0" borderId="0" xfId="0" applyNumberFormat="1" applyFont="1" applyAlignment="1">
      <alignment horizontal="right" vertical="top" wrapText="1"/>
    </xf>
    <xf numFmtId="43" fontId="41" fillId="0" borderId="0" xfId="1" applyFont="1" applyFill="1" applyAlignment="1">
      <alignment horizontal="right" vertical="top" wrapText="1" shrinkToFit="1"/>
    </xf>
    <xf numFmtId="176" fontId="41" fillId="0" borderId="0" xfId="0" applyFont="1" applyAlignment="1">
      <alignment horizontal="right" vertical="top" wrapText="1"/>
    </xf>
    <xf numFmtId="43" fontId="41" fillId="0" borderId="10" xfId="1" applyFont="1" applyFill="1" applyBorder="1" applyAlignment="1">
      <alignment horizontal="right" vertical="top" wrapText="1" shrinkToFit="1"/>
    </xf>
    <xf numFmtId="176" fontId="48" fillId="5" borderId="9" xfId="0" applyFont="1" applyFill="1" applyBorder="1" applyAlignment="1">
      <alignment horizontal="justify" vertical="center" wrapText="1"/>
    </xf>
    <xf numFmtId="176" fontId="49" fillId="5" borderId="9" xfId="0" applyFont="1" applyFill="1" applyBorder="1" applyAlignment="1">
      <alignment horizontal="right" vertical="center" wrapText="1"/>
    </xf>
    <xf numFmtId="176" fontId="48" fillId="5" borderId="9" xfId="0" applyFont="1" applyFill="1" applyBorder="1" applyAlignment="1">
      <alignment horizontal="right" vertical="center" wrapText="1"/>
    </xf>
    <xf numFmtId="176" fontId="50" fillId="5" borderId="0" xfId="0" applyFont="1" applyFill="1" applyAlignment="1">
      <alignment horizontal="justify" vertical="center" wrapText="1"/>
    </xf>
    <xf numFmtId="176" fontId="50" fillId="5" borderId="0" xfId="0" applyFont="1" applyFill="1" applyAlignment="1">
      <alignment horizontal="right" vertical="center" wrapText="1"/>
    </xf>
    <xf numFmtId="176" fontId="50" fillId="5" borderId="10" xfId="0" applyFont="1" applyFill="1" applyBorder="1" applyAlignment="1">
      <alignment horizontal="justify" vertical="center" wrapText="1"/>
    </xf>
    <xf numFmtId="176" fontId="50" fillId="5" borderId="10" xfId="0" applyFont="1" applyFill="1" applyBorder="1" applyAlignment="1">
      <alignment horizontal="right" vertical="center" wrapText="1"/>
    </xf>
    <xf numFmtId="176" fontId="32" fillId="0" borderId="9" xfId="0" applyFont="1" applyBorder="1" applyAlignment="1">
      <alignment horizontal="justify" vertical="center" wrapText="1"/>
    </xf>
    <xf numFmtId="176" fontId="41" fillId="0" borderId="0" xfId="0" applyFont="1" applyAlignment="1">
      <alignment horizontal="justify" vertical="center" wrapText="1"/>
    </xf>
    <xf numFmtId="176" fontId="41" fillId="0" borderId="10" xfId="0" applyFont="1" applyBorder="1" applyAlignment="1">
      <alignment horizontal="justify" vertical="center" wrapText="1"/>
    </xf>
    <xf numFmtId="43" fontId="31" fillId="0" borderId="0" xfId="0" applyNumberFormat="1" applyFont="1" applyAlignment="1">
      <alignment horizontal="right" vertical="top" wrapText="1"/>
    </xf>
    <xf numFmtId="43" fontId="31" fillId="0" borderId="0" xfId="1" applyFont="1" applyFill="1" applyAlignment="1">
      <alignment horizontal="right" vertical="top" wrapText="1" shrinkToFit="1"/>
    </xf>
    <xf numFmtId="176" fontId="3" fillId="2" borderId="1" xfId="8" applyFont="1" applyFill="1" applyBorder="1" applyAlignment="1">
      <alignment horizontal="center" vertical="center" wrapText="1"/>
      <protection locked="0"/>
    </xf>
    <xf numFmtId="176" fontId="3" fillId="2" borderId="1" xfId="0" applyFont="1" applyFill="1" applyBorder="1">
      <alignment vertical="center"/>
    </xf>
    <xf numFmtId="176" fontId="10" fillId="2" borderId="1" xfId="9" applyFont="1" applyFill="1" applyBorder="1" applyAlignment="1" applyProtection="1">
      <alignment horizontal="center" vertical="center" wrapText="1"/>
      <protection locked="0"/>
    </xf>
    <xf numFmtId="176" fontId="10" fillId="2" borderId="1" xfId="8" applyFont="1" applyFill="1" applyBorder="1" applyAlignment="1">
      <alignment horizontal="center" vertical="center"/>
      <protection locked="0"/>
    </xf>
    <xf numFmtId="176" fontId="41" fillId="0" borderId="1" xfId="0" applyFont="1" applyBorder="1">
      <alignment vertical="center"/>
    </xf>
    <xf numFmtId="43" fontId="7" fillId="2" borderId="1" xfId="1" applyFont="1" applyFill="1" applyBorder="1" applyAlignment="1">
      <alignment horizontal="right" vertical="center"/>
    </xf>
    <xf numFmtId="176" fontId="3" fillId="0" borderId="1" xfId="0" applyFont="1" applyBorder="1" applyAlignment="1">
      <alignment horizontal="center" vertical="center"/>
    </xf>
    <xf numFmtId="10" fontId="5" fillId="2" borderId="1" xfId="2" applyNumberFormat="1" applyFont="1" applyFill="1" applyBorder="1" applyAlignment="1">
      <alignment horizontal="right" vertical="center" wrapText="1"/>
    </xf>
    <xf numFmtId="176" fontId="52" fillId="0" borderId="0" xfId="0" applyFont="1">
      <alignment vertical="center"/>
    </xf>
    <xf numFmtId="176" fontId="5" fillId="0" borderId="0" xfId="11" applyFont="1" applyProtection="1">
      <alignment vertical="center"/>
      <protection locked="0"/>
    </xf>
    <xf numFmtId="176" fontId="7" fillId="0" borderId="0" xfId="11" applyFont="1">
      <alignment vertical="center"/>
    </xf>
    <xf numFmtId="0" fontId="55" fillId="0" borderId="0" xfId="11" applyNumberFormat="1" applyFont="1" applyProtection="1">
      <alignment vertical="center"/>
      <protection locked="0"/>
    </xf>
    <xf numFmtId="176" fontId="5" fillId="0" borderId="0" xfId="11" applyFont="1" applyAlignment="1" applyProtection="1">
      <alignment horizontal="left" vertical="center"/>
      <protection locked="0"/>
    </xf>
    <xf numFmtId="176" fontId="5" fillId="0" borderId="0" xfId="11" applyFont="1" applyAlignment="1">
      <alignment horizontal="center" vertical="center"/>
    </xf>
    <xf numFmtId="176" fontId="5" fillId="0" borderId="0" xfId="11" applyFont="1">
      <alignment vertical="center"/>
    </xf>
    <xf numFmtId="49" fontId="5" fillId="0" borderId="0" xfId="11" applyNumberFormat="1" applyFont="1" applyProtection="1">
      <alignment vertical="center"/>
      <protection locked="0"/>
    </xf>
    <xf numFmtId="176" fontId="9" fillId="0" borderId="0" xfId="11" applyFont="1" applyAlignment="1" applyProtection="1">
      <alignment horizontal="left" vertical="center"/>
      <protection locked="0"/>
    </xf>
    <xf numFmtId="176" fontId="5" fillId="0" borderId="0" xfId="11" applyFont="1" applyAlignment="1">
      <alignment horizontal="right" vertical="center"/>
    </xf>
    <xf numFmtId="0" fontId="13" fillId="0" borderId="0" xfId="0" applyNumberFormat="1" applyFont="1" applyFill="1" applyBorder="1" applyAlignment="1" applyProtection="1">
      <alignment vertical="center"/>
      <protection locked="0"/>
    </xf>
    <xf numFmtId="0" fontId="5" fillId="0" borderId="0" xfId="0" applyNumberFormat="1" applyFont="1" applyFill="1" applyBorder="1" applyAlignment="1" applyProtection="1">
      <alignment vertical="center"/>
      <protection locked="0"/>
    </xf>
    <xf numFmtId="0" fontId="33" fillId="0" borderId="0" xfId="0" applyNumberFormat="1" applyFont="1" applyFill="1" applyBorder="1" applyAlignment="1" applyProtection="1">
      <alignment vertical="center"/>
    </xf>
    <xf numFmtId="49" fontId="13" fillId="0" borderId="0" xfId="0" applyNumberFormat="1" applyFont="1" applyFill="1" applyBorder="1" applyAlignment="1" applyProtection="1">
      <alignment horizontal="left" vertical="center"/>
      <protection locked="0"/>
    </xf>
    <xf numFmtId="0" fontId="10" fillId="0" borderId="0" xfId="0" applyNumberFormat="1" applyFont="1" applyFill="1" applyBorder="1" applyAlignment="1" applyProtection="1">
      <alignment horizontal="justify" vertical="center"/>
      <protection locked="0"/>
    </xf>
    <xf numFmtId="0" fontId="9" fillId="0" borderId="11" xfId="0" applyNumberFormat="1" applyFont="1" applyFill="1" applyBorder="1" applyAlignment="1" applyProtection="1">
      <alignment horizontal="center" vertical="center" wrapText="1"/>
      <protection locked="0"/>
    </xf>
    <xf numFmtId="0" fontId="53" fillId="0" borderId="11" xfId="0" applyNumberFormat="1" applyFont="1" applyFill="1" applyBorder="1" applyAlignment="1" applyProtection="1">
      <alignment horizontal="center" vertical="center" wrapText="1"/>
      <protection locked="0"/>
    </xf>
    <xf numFmtId="176" fontId="4" fillId="0" borderId="0" xfId="0" applyFont="1" applyAlignment="1">
      <alignment horizontal="left" vertical="center"/>
    </xf>
    <xf numFmtId="176" fontId="3" fillId="0" borderId="0" xfId="0" applyFont="1" applyAlignment="1">
      <alignment horizontal="left" vertical="center"/>
    </xf>
    <xf numFmtId="176" fontId="7" fillId="0" borderId="0" xfId="0" applyFont="1" applyAlignment="1">
      <alignment horizontal="center" vertical="center"/>
    </xf>
    <xf numFmtId="176" fontId="3" fillId="0" borderId="12" xfId="0" applyFont="1" applyBorder="1" applyAlignment="1">
      <alignment horizontal="center" vertical="center"/>
    </xf>
    <xf numFmtId="176" fontId="3" fillId="0" borderId="13" xfId="0" applyFont="1" applyBorder="1" applyAlignment="1">
      <alignment horizontal="center" vertical="center"/>
    </xf>
    <xf numFmtId="0" fontId="9" fillId="7" borderId="0" xfId="0" applyNumberFormat="1" applyFont="1" applyFill="1" applyBorder="1" applyAlignment="1" applyProtection="1">
      <alignment horizontal="justify" vertical="center" wrapText="1"/>
      <protection locked="0"/>
    </xf>
    <xf numFmtId="176" fontId="7" fillId="0" borderId="13" xfId="0" applyFont="1" applyBorder="1" applyAlignment="1">
      <alignment horizontal="center" vertical="center"/>
    </xf>
    <xf numFmtId="176" fontId="7" fillId="0" borderId="13" xfId="0" applyFont="1" applyBorder="1">
      <alignment vertical="center"/>
    </xf>
    <xf numFmtId="179" fontId="7" fillId="0" borderId="13" xfId="0" applyNumberFormat="1" applyFont="1" applyBorder="1" applyAlignment="1">
      <alignment horizontal="center" vertical="center"/>
    </xf>
    <xf numFmtId="176" fontId="3" fillId="0" borderId="13" xfId="0" applyFont="1" applyBorder="1">
      <alignment vertical="center"/>
    </xf>
    <xf numFmtId="176" fontId="40" fillId="9" borderId="0" xfId="0" applyFont="1" applyFill="1">
      <alignment vertical="center"/>
    </xf>
    <xf numFmtId="176" fontId="18" fillId="10" borderId="0" xfId="0" applyFont="1" applyFill="1">
      <alignment vertical="center"/>
    </xf>
    <xf numFmtId="176" fontId="18" fillId="0" borderId="13" xfId="0" applyFont="1" applyBorder="1">
      <alignment vertical="center"/>
    </xf>
    <xf numFmtId="43" fontId="7" fillId="11" borderId="1" xfId="1" applyFont="1" applyFill="1" applyBorder="1">
      <alignment vertical="center"/>
    </xf>
    <xf numFmtId="43" fontId="5" fillId="11" borderId="1" xfId="1" applyFont="1" applyFill="1" applyBorder="1" applyAlignment="1">
      <alignment horizontal="right" vertical="center" wrapText="1"/>
    </xf>
    <xf numFmtId="10" fontId="5" fillId="11" borderId="1" xfId="2" applyNumberFormat="1" applyFont="1" applyFill="1" applyBorder="1" applyAlignment="1">
      <alignment horizontal="right" vertical="center" wrapText="1"/>
    </xf>
    <xf numFmtId="9" fontId="5" fillId="11" borderId="1" xfId="2" applyFont="1" applyFill="1" applyBorder="1" applyAlignment="1">
      <alignment horizontal="right" vertical="center" wrapText="1"/>
    </xf>
    <xf numFmtId="176" fontId="62" fillId="0" borderId="13" xfId="3" applyBorder="1" applyAlignment="1" applyProtection="1">
      <alignment vertical="center"/>
    </xf>
    <xf numFmtId="176" fontId="62" fillId="0" borderId="0" xfId="3" applyAlignment="1" applyProtection="1">
      <alignment vertical="center"/>
    </xf>
    <xf numFmtId="176" fontId="12" fillId="2" borderId="1" xfId="0" applyFont="1" applyFill="1" applyBorder="1" applyAlignment="1">
      <alignment horizontal="center" vertical="center" wrapText="1"/>
    </xf>
    <xf numFmtId="176" fontId="5" fillId="0" borderId="14" xfId="0" applyNumberFormat="1" applyFont="1" applyFill="1" applyBorder="1" applyAlignment="1" applyProtection="1">
      <alignment horizontal="center" vertical="center" wrapText="1"/>
    </xf>
    <xf numFmtId="176" fontId="54" fillId="0" borderId="14" xfId="11" applyFont="1" applyFill="1" applyBorder="1" applyAlignment="1" applyProtection="1">
      <alignment horizontal="center" vertical="center" wrapText="1"/>
    </xf>
    <xf numFmtId="176" fontId="79" fillId="0" borderId="14" xfId="0" applyNumberFormat="1" applyFont="1" applyFill="1" applyBorder="1" applyAlignment="1" applyProtection="1">
      <alignment horizontal="center" vertical="center" wrapText="1"/>
    </xf>
    <xf numFmtId="176" fontId="54" fillId="0" borderId="14" xfId="18" applyFont="1" applyFill="1" applyBorder="1" applyAlignment="1" applyProtection="1">
      <alignment horizontal="center" vertical="center" wrapText="1"/>
    </xf>
    <xf numFmtId="176" fontId="34" fillId="0" borderId="14" xfId="18" applyFont="1" applyFill="1" applyBorder="1" applyAlignment="1" applyProtection="1">
      <alignment horizontal="center" vertical="center" wrapText="1"/>
    </xf>
    <xf numFmtId="176" fontId="5" fillId="0" borderId="14" xfId="19" applyFont="1" applyFill="1" applyBorder="1" applyAlignment="1" applyProtection="1">
      <alignment horizontal="center" vertical="center"/>
      <protection locked="0"/>
    </xf>
    <xf numFmtId="176" fontId="10" fillId="0" borderId="14" xfId="18" applyFont="1" applyFill="1" applyBorder="1" applyAlignment="1" applyProtection="1">
      <alignment horizontal="center" vertical="center"/>
      <protection locked="0"/>
    </xf>
    <xf numFmtId="176" fontId="5" fillId="0" borderId="14" xfId="18" applyFont="1" applyFill="1" applyBorder="1" applyAlignment="1" applyProtection="1">
      <alignment horizontal="center" vertical="center"/>
      <protection locked="0"/>
    </xf>
    <xf numFmtId="176" fontId="5" fillId="0" borderId="14" xfId="19" applyFont="1" applyFill="1" applyBorder="1" applyAlignment="1" applyProtection="1">
      <alignment horizontal="center" vertical="center" wrapText="1"/>
      <protection locked="0"/>
    </xf>
    <xf numFmtId="176" fontId="10" fillId="0" borderId="14" xfId="11" applyFont="1" applyFill="1" applyBorder="1" applyAlignment="1" applyProtection="1">
      <alignment horizontal="center" vertical="center" wrapText="1"/>
      <protection locked="0"/>
    </xf>
    <xf numFmtId="176" fontId="5" fillId="0" borderId="14" xfId="11" applyFont="1" applyFill="1" applyBorder="1" applyAlignment="1" applyProtection="1">
      <alignment horizontal="center" vertical="center" wrapText="1"/>
      <protection locked="0"/>
    </xf>
    <xf numFmtId="176" fontId="7" fillId="0" borderId="14" xfId="0" applyFont="1" applyBorder="1">
      <alignment vertical="center"/>
    </xf>
    <xf numFmtId="43" fontId="7" fillId="2" borderId="14" xfId="1" applyFont="1" applyFill="1" applyBorder="1" applyAlignment="1">
      <alignment horizontal="right" vertical="center"/>
    </xf>
    <xf numFmtId="43" fontId="5" fillId="2" borderId="14" xfId="1" applyFont="1" applyFill="1" applyBorder="1" applyAlignment="1">
      <alignment horizontal="right" vertical="center" wrapText="1"/>
    </xf>
    <xf numFmtId="10" fontId="5" fillId="2" borderId="14" xfId="2" applyNumberFormat="1" applyFont="1" applyFill="1" applyBorder="1" applyAlignment="1">
      <alignment horizontal="right" vertical="center" wrapText="1"/>
    </xf>
    <xf numFmtId="176" fontId="3" fillId="0" borderId="14" xfId="0" applyFont="1" applyBorder="1" applyAlignment="1">
      <alignment horizontal="center" vertical="center"/>
    </xf>
    <xf numFmtId="176" fontId="51" fillId="0" borderId="14" xfId="0" applyFont="1" applyBorder="1" applyAlignment="1">
      <alignment horizontal="center" vertical="center"/>
    </xf>
    <xf numFmtId="178" fontId="7" fillId="2" borderId="14" xfId="1" applyNumberFormat="1" applyFont="1" applyFill="1" applyBorder="1" applyAlignment="1">
      <alignment horizontal="right" vertical="center"/>
    </xf>
    <xf numFmtId="49" fontId="54" fillId="0" borderId="1" xfId="0" applyNumberFormat="1" applyFont="1" applyBorder="1" applyAlignment="1">
      <alignment horizontal="center" vertical="center"/>
    </xf>
    <xf numFmtId="176" fontId="3" fillId="11" borderId="0" xfId="0" applyFont="1" applyFill="1">
      <alignment vertical="center"/>
    </xf>
    <xf numFmtId="176" fontId="27" fillId="2" borderId="1" xfId="9" applyFont="1" applyFill="1" applyBorder="1" applyAlignment="1" applyProtection="1">
      <alignment horizontal="center" vertical="center" wrapText="1"/>
      <protection locked="0"/>
    </xf>
    <xf numFmtId="176" fontId="27" fillId="11" borderId="1" xfId="9" applyFont="1" applyFill="1" applyBorder="1" applyAlignment="1" applyProtection="1">
      <alignment horizontal="center" vertical="center"/>
      <protection locked="0"/>
    </xf>
    <xf numFmtId="176" fontId="27" fillId="11" borderId="1" xfId="9" applyFont="1" applyFill="1" applyBorder="1" applyAlignment="1" applyProtection="1">
      <alignment horizontal="left" vertical="center"/>
      <protection locked="0"/>
    </xf>
    <xf numFmtId="43" fontId="28" fillId="11" borderId="1" xfId="9" applyNumberFormat="1" applyFont="1" applyFill="1" applyBorder="1" applyAlignment="1" applyProtection="1">
      <alignment horizontal="right" vertical="center" shrinkToFit="1"/>
      <protection locked="0"/>
    </xf>
    <xf numFmtId="14" fontId="28" fillId="11" borderId="1" xfId="9" applyNumberFormat="1" applyFont="1" applyFill="1" applyBorder="1" applyAlignment="1" applyProtection="1">
      <alignment horizontal="center" vertical="center" shrinkToFit="1"/>
      <protection locked="0"/>
    </xf>
    <xf numFmtId="176" fontId="5" fillId="11" borderId="0" xfId="0" applyFont="1" applyFill="1" applyProtection="1">
      <alignment vertical="center"/>
      <protection locked="0"/>
    </xf>
    <xf numFmtId="49" fontId="9" fillId="0" borderId="0" xfId="1" applyNumberFormat="1" applyFont="1" applyFill="1" applyAlignment="1" applyProtection="1">
      <alignment horizontal="left" vertical="center"/>
    </xf>
    <xf numFmtId="49" fontId="5" fillId="0" borderId="0" xfId="1" applyNumberFormat="1" applyFont="1" applyFill="1" applyAlignment="1" applyProtection="1">
      <alignment horizontal="left" vertical="center"/>
    </xf>
    <xf numFmtId="14" fontId="10" fillId="0" borderId="1" xfId="1" applyNumberFormat="1" applyFont="1" applyFill="1" applyBorder="1" applyAlignment="1">
      <alignment horizontal="center" vertical="center" wrapText="1"/>
    </xf>
    <xf numFmtId="14" fontId="10" fillId="0" borderId="1" xfId="1" applyNumberFormat="1" applyFont="1" applyFill="1" applyBorder="1" applyAlignment="1">
      <alignment horizontal="left" vertical="center" wrapText="1"/>
    </xf>
    <xf numFmtId="176" fontId="20" fillId="2" borderId="14" xfId="0" applyFont="1" applyFill="1" applyBorder="1" applyAlignment="1">
      <alignment horizontal="center" vertical="center" wrapText="1"/>
    </xf>
    <xf numFmtId="0" fontId="33" fillId="0" borderId="14" xfId="0" applyNumberFormat="1" applyFont="1" applyFill="1" applyBorder="1" applyAlignment="1" applyProtection="1">
      <alignment horizontal="center" vertical="center" wrapText="1"/>
    </xf>
    <xf numFmtId="0" fontId="7" fillId="0" borderId="14" xfId="0" applyNumberFormat="1" applyFont="1" applyFill="1" applyBorder="1" applyAlignment="1" applyProtection="1">
      <alignment horizontal="center" vertical="center" wrapText="1"/>
    </xf>
    <xf numFmtId="176" fontId="25" fillId="0" borderId="0" xfId="11" applyFont="1" applyAlignment="1">
      <alignment vertical="center"/>
    </xf>
    <xf numFmtId="176" fontId="78" fillId="0" borderId="0" xfId="11" applyFont="1" applyAlignment="1">
      <alignment vertical="center"/>
    </xf>
    <xf numFmtId="176" fontId="45" fillId="0" borderId="0" xfId="0" applyFont="1">
      <alignment vertical="center"/>
    </xf>
    <xf numFmtId="176" fontId="81" fillId="0" borderId="0" xfId="0" applyFont="1" applyAlignment="1">
      <alignment vertical="center"/>
    </xf>
    <xf numFmtId="176" fontId="82" fillId="0" borderId="0" xfId="0" applyFont="1" applyAlignment="1">
      <alignment vertical="center"/>
    </xf>
    <xf numFmtId="176" fontId="78" fillId="0" borderId="0" xfId="0" applyFont="1" applyAlignment="1" applyProtection="1">
      <alignment horizontal="center" vertical="center"/>
      <protection locked="0"/>
    </xf>
    <xf numFmtId="176" fontId="5" fillId="8" borderId="0" xfId="0" applyFont="1" applyFill="1" applyBorder="1" applyAlignment="1" applyProtection="1">
      <alignment horizontal="justify" vertical="center" wrapText="1"/>
      <protection locked="0"/>
    </xf>
    <xf numFmtId="176" fontId="0" fillId="0" borderId="0" xfId="0" applyAlignment="1" applyProtection="1">
      <protection locked="0"/>
    </xf>
    <xf numFmtId="176" fontId="83" fillId="12" borderId="0" xfId="18" applyFont="1" applyFill="1" applyAlignment="1" applyProtection="1">
      <alignment horizontal="left" vertical="center" wrapText="1"/>
      <protection locked="0"/>
    </xf>
    <xf numFmtId="176" fontId="84" fillId="0" borderId="4" xfId="11" applyFont="1" applyFill="1" applyBorder="1" applyAlignment="1" applyProtection="1">
      <alignment horizontal="left" vertical="center" wrapText="1"/>
      <protection locked="0"/>
    </xf>
    <xf numFmtId="176" fontId="84" fillId="0" borderId="0" xfId="20" applyFont="1" applyFill="1" applyAlignment="1">
      <alignment horizontal="left" vertical="center"/>
    </xf>
    <xf numFmtId="0" fontId="13" fillId="6" borderId="14" xfId="0" applyNumberFormat="1" applyFont="1" applyFill="1" applyBorder="1" applyAlignment="1" applyProtection="1">
      <alignment horizontal="center" vertical="center"/>
      <protection locked="0"/>
    </xf>
    <xf numFmtId="0" fontId="13" fillId="6" borderId="14" xfId="0" applyNumberFormat="1" applyFont="1" applyFill="1" applyBorder="1" applyAlignment="1" applyProtection="1">
      <alignment horizontal="center" vertical="center" wrapText="1"/>
      <protection locked="0"/>
    </xf>
    <xf numFmtId="49" fontId="5" fillId="0" borderId="14" xfId="0" applyNumberFormat="1" applyFont="1" applyFill="1" applyBorder="1" applyAlignment="1" applyProtection="1">
      <alignment horizontal="center" vertical="center"/>
      <protection locked="0"/>
    </xf>
    <xf numFmtId="176" fontId="56" fillId="0" borderId="14" xfId="0" applyNumberFormat="1" applyFont="1" applyFill="1" applyBorder="1" applyAlignment="1" applyProtection="1">
      <alignment vertical="center" wrapText="1"/>
    </xf>
    <xf numFmtId="176" fontId="33" fillId="0" borderId="14" xfId="0" applyNumberFormat="1" applyFont="1" applyFill="1" applyBorder="1" applyAlignment="1" applyProtection="1">
      <alignment horizontal="center" vertical="center" wrapText="1"/>
    </xf>
    <xf numFmtId="176" fontId="5" fillId="0" borderId="14" xfId="12" applyFont="1" applyFill="1" applyBorder="1" applyAlignment="1" applyProtection="1">
      <alignment horizontal="center" vertical="center"/>
      <protection locked="0"/>
    </xf>
    <xf numFmtId="176" fontId="33" fillId="0" borderId="14" xfId="0" applyNumberFormat="1" applyFont="1" applyFill="1" applyBorder="1" applyAlignment="1" applyProtection="1">
      <alignment vertical="center" wrapText="1"/>
    </xf>
    <xf numFmtId="0" fontId="60" fillId="0" borderId="14" xfId="0" applyNumberFormat="1" applyFont="1" applyFill="1" applyBorder="1" applyAlignment="1" applyProtection="1">
      <alignment horizontal="justify" vertical="center" wrapText="1"/>
      <protection locked="0"/>
    </xf>
    <xf numFmtId="176" fontId="5" fillId="0" borderId="14" xfId="11" applyFont="1" applyFill="1" applyBorder="1" applyAlignment="1" applyProtection="1">
      <alignment horizontal="left" vertical="center" wrapText="1"/>
      <protection locked="0"/>
    </xf>
    <xf numFmtId="0" fontId="12" fillId="0" borderId="14" xfId="0" applyNumberFormat="1" applyFont="1" applyFill="1" applyBorder="1" applyAlignment="1" applyProtection="1">
      <alignment horizontal="center" vertical="center" wrapText="1"/>
    </xf>
    <xf numFmtId="176" fontId="76" fillId="0" borderId="14" xfId="0" applyNumberFormat="1" applyFont="1" applyFill="1" applyBorder="1" applyAlignment="1" applyProtection="1">
      <alignment vertical="center" wrapText="1"/>
    </xf>
    <xf numFmtId="176" fontId="7" fillId="0" borderId="14" xfId="0" applyNumberFormat="1" applyFont="1" applyFill="1" applyBorder="1" applyAlignment="1" applyProtection="1">
      <alignment horizontal="center" vertical="center" wrapText="1"/>
    </xf>
    <xf numFmtId="180" fontId="7" fillId="0" borderId="1" xfId="0" applyNumberFormat="1" applyFont="1" applyBorder="1">
      <alignment vertical="center"/>
    </xf>
    <xf numFmtId="176" fontId="12" fillId="11" borderId="14" xfId="0" applyFont="1" applyFill="1" applyBorder="1" applyAlignment="1">
      <alignment horizontal="center" vertical="center"/>
    </xf>
    <xf numFmtId="43" fontId="10" fillId="11" borderId="14" xfId="1" applyFont="1" applyFill="1" applyBorder="1" applyAlignment="1">
      <alignment horizontal="right" vertical="center" wrapText="1"/>
    </xf>
    <xf numFmtId="10" fontId="10" fillId="11" borderId="14" xfId="2" applyNumberFormat="1" applyFont="1" applyFill="1" applyBorder="1" applyAlignment="1">
      <alignment horizontal="right" vertical="center" wrapText="1"/>
    </xf>
    <xf numFmtId="180" fontId="7" fillId="0" borderId="14" xfId="0" applyNumberFormat="1" applyFont="1" applyBorder="1">
      <alignment vertical="center"/>
    </xf>
    <xf numFmtId="43" fontId="7" fillId="0" borderId="14" xfId="1" applyFont="1" applyFill="1" applyBorder="1">
      <alignment vertical="center"/>
    </xf>
    <xf numFmtId="43" fontId="7" fillId="0" borderId="14" xfId="1" applyFont="1" applyBorder="1">
      <alignment vertical="center"/>
    </xf>
    <xf numFmtId="176" fontId="33" fillId="0" borderId="14" xfId="0" applyFont="1" applyBorder="1">
      <alignment vertical="center"/>
    </xf>
    <xf numFmtId="176" fontId="17" fillId="2" borderId="14" xfId="0" applyFont="1" applyFill="1" applyBorder="1" applyAlignment="1">
      <alignment horizontal="left" vertical="center"/>
    </xf>
    <xf numFmtId="176" fontId="3" fillId="0" borderId="14" xfId="0" applyFont="1" applyBorder="1">
      <alignment vertical="center"/>
    </xf>
    <xf numFmtId="176" fontId="7" fillId="2" borderId="14" xfId="0" applyFont="1" applyFill="1" applyBorder="1" applyAlignment="1">
      <alignment horizontal="left" vertical="center"/>
    </xf>
    <xf numFmtId="176" fontId="18" fillId="2" borderId="14" xfId="0" applyFont="1" applyFill="1" applyBorder="1" applyAlignment="1">
      <alignment horizontal="left" vertical="center"/>
    </xf>
    <xf numFmtId="176" fontId="88" fillId="0" borderId="0" xfId="3" applyFont="1" applyAlignment="1" applyProtection="1">
      <alignment vertical="center"/>
    </xf>
    <xf numFmtId="176" fontId="4" fillId="0" borderId="0" xfId="0" applyFont="1" applyAlignment="1">
      <alignment horizontal="center" vertical="center"/>
    </xf>
    <xf numFmtId="176" fontId="23" fillId="0" borderId="0" xfId="0" applyFont="1" applyAlignment="1" applyProtection="1">
      <alignment horizontal="left" vertical="center" wrapText="1"/>
      <protection locked="0"/>
    </xf>
    <xf numFmtId="176" fontId="24" fillId="0" borderId="0" xfId="0" applyFont="1" applyAlignment="1" applyProtection="1">
      <alignment horizontal="left" vertical="center" wrapText="1"/>
      <protection locked="0"/>
    </xf>
    <xf numFmtId="176" fontId="25" fillId="0" borderId="0" xfId="11" applyFont="1" applyAlignment="1">
      <alignment horizontal="center" vertical="center"/>
    </xf>
    <xf numFmtId="176" fontId="78" fillId="0" borderId="0" xfId="11" applyFont="1" applyAlignment="1">
      <alignment horizontal="center" vertical="center"/>
    </xf>
    <xf numFmtId="0" fontId="59" fillId="11" borderId="14" xfId="0" applyNumberFormat="1" applyFont="1" applyFill="1" applyBorder="1" applyAlignment="1" applyProtection="1">
      <alignment horizontal="center" vertical="center" wrapText="1"/>
      <protection locked="0"/>
    </xf>
    <xf numFmtId="0" fontId="9" fillId="0" borderId="14" xfId="0" applyNumberFormat="1" applyFont="1" applyFill="1" applyBorder="1" applyAlignment="1" applyProtection="1">
      <alignment horizontal="center" vertical="center" wrapText="1"/>
      <protection locked="0"/>
    </xf>
    <xf numFmtId="0" fontId="13" fillId="11" borderId="14" xfId="0" applyNumberFormat="1" applyFont="1" applyFill="1" applyBorder="1" applyAlignment="1" applyProtection="1">
      <alignment horizontal="center" vertical="center" wrapText="1"/>
      <protection locked="0"/>
    </xf>
    <xf numFmtId="0" fontId="53" fillId="0" borderId="14" xfId="0" applyNumberFormat="1" applyFont="1" applyFill="1" applyBorder="1" applyAlignment="1" applyProtection="1">
      <alignment horizontal="left" vertical="center" wrapText="1"/>
      <protection locked="0"/>
    </xf>
    <xf numFmtId="0" fontId="13" fillId="6" borderId="14" xfId="0" applyNumberFormat="1" applyFont="1" applyFill="1" applyBorder="1" applyAlignment="1" applyProtection="1">
      <alignment horizontal="center" vertical="center" wrapText="1"/>
      <protection locked="0"/>
    </xf>
    <xf numFmtId="0" fontId="13" fillId="6" borderId="14" xfId="0" applyNumberFormat="1" applyFont="1" applyFill="1" applyBorder="1" applyAlignment="1" applyProtection="1">
      <alignment horizontal="center" vertical="center"/>
      <protection locked="0"/>
    </xf>
    <xf numFmtId="49" fontId="13" fillId="6" borderId="14" xfId="0" applyNumberFormat="1" applyFont="1" applyFill="1" applyBorder="1" applyAlignment="1" applyProtection="1">
      <alignment horizontal="center" vertical="center"/>
      <protection locked="0"/>
    </xf>
    <xf numFmtId="176" fontId="13" fillId="11" borderId="14" xfId="18" applyFont="1" applyFill="1" applyBorder="1" applyAlignment="1" applyProtection="1">
      <alignment horizontal="center" vertical="center" wrapText="1"/>
      <protection locked="0"/>
    </xf>
    <xf numFmtId="176" fontId="13" fillId="0" borderId="11" xfId="18" applyFont="1" applyFill="1" applyBorder="1" applyAlignment="1" applyProtection="1">
      <alignment horizontal="left" vertical="center" wrapText="1"/>
      <protection locked="0"/>
    </xf>
    <xf numFmtId="176" fontId="45" fillId="0" borderId="0" xfId="0" applyFont="1" applyAlignment="1">
      <alignment vertical="center" wrapText="1"/>
    </xf>
    <xf numFmtId="176" fontId="19" fillId="0" borderId="0" xfId="0" applyFont="1" applyAlignment="1">
      <alignment horizontal="center" vertical="center"/>
    </xf>
    <xf numFmtId="176" fontId="80" fillId="0" borderId="0" xfId="0" applyFont="1" applyAlignment="1">
      <alignment horizontal="center" vertical="center"/>
    </xf>
    <xf numFmtId="176" fontId="10" fillId="2" borderId="3" xfId="9" applyFont="1" applyFill="1" applyBorder="1" applyAlignment="1" applyProtection="1">
      <alignment horizontal="center" vertical="center" wrapText="1"/>
      <protection locked="0"/>
    </xf>
    <xf numFmtId="176" fontId="10" fillId="2" borderId="7" xfId="9" applyFont="1" applyFill="1" applyBorder="1" applyAlignment="1" applyProtection="1">
      <alignment horizontal="center" vertical="center" wrapText="1"/>
      <protection locked="0"/>
    </xf>
    <xf numFmtId="176" fontId="10" fillId="2" borderId="6" xfId="9" applyFont="1" applyFill="1" applyBorder="1" applyAlignment="1" applyProtection="1">
      <alignment horizontal="center" vertical="center" wrapText="1"/>
      <protection locked="0"/>
    </xf>
    <xf numFmtId="176" fontId="3" fillId="2" borderId="1" xfId="8" applyFont="1" applyFill="1" applyBorder="1" applyAlignment="1">
      <alignment horizontal="center" vertical="center" wrapText="1"/>
      <protection locked="0"/>
    </xf>
    <xf numFmtId="176" fontId="10" fillId="2" borderId="1" xfId="8" applyFont="1" applyFill="1" applyBorder="1" applyAlignment="1">
      <alignment horizontal="center" vertical="center" wrapText="1"/>
      <protection locked="0"/>
    </xf>
    <xf numFmtId="176" fontId="3" fillId="2" borderId="1" xfId="0" applyFont="1" applyFill="1" applyBorder="1" applyAlignment="1">
      <alignment horizontal="center" vertical="center"/>
    </xf>
    <xf numFmtId="176" fontId="3" fillId="2" borderId="1" xfId="0" applyFont="1" applyFill="1" applyBorder="1">
      <alignment vertical="center"/>
    </xf>
    <xf numFmtId="176" fontId="3" fillId="0" borderId="0" xfId="0" applyFont="1" applyAlignment="1">
      <alignment horizontal="center" vertical="center"/>
    </xf>
    <xf numFmtId="176" fontId="42" fillId="0" borderId="0" xfId="0" applyFont="1" applyAlignment="1">
      <alignment horizontal="left" vertical="center"/>
    </xf>
    <xf numFmtId="176" fontId="45" fillId="0" borderId="0" xfId="0" applyFont="1" applyAlignment="1">
      <alignment horizontal="left" vertical="center"/>
    </xf>
    <xf numFmtId="176" fontId="45" fillId="5" borderId="0" xfId="0" applyFont="1" applyFill="1" applyAlignment="1">
      <alignment horizontal="left" vertical="center" wrapText="1"/>
    </xf>
    <xf numFmtId="176" fontId="45" fillId="0" borderId="0" xfId="0" applyFont="1" applyAlignment="1">
      <alignment horizontal="left" vertical="center" wrapText="1"/>
    </xf>
    <xf numFmtId="176" fontId="19" fillId="0" borderId="0" xfId="0" applyFont="1" applyAlignment="1">
      <alignment horizontal="center" vertical="center" wrapText="1"/>
    </xf>
    <xf numFmtId="176" fontId="12" fillId="2" borderId="1" xfId="0" applyFont="1" applyFill="1" applyBorder="1" applyAlignment="1">
      <alignment horizontal="center" vertical="center"/>
    </xf>
    <xf numFmtId="176" fontId="12" fillId="2" borderId="1" xfId="5" applyFont="1" applyFill="1" applyBorder="1" applyAlignment="1" applyProtection="1">
      <alignment horizontal="center" vertical="center"/>
    </xf>
    <xf numFmtId="176" fontId="12" fillId="2" borderId="1" xfId="9" applyFont="1" applyFill="1" applyBorder="1" applyAlignment="1" applyProtection="1">
      <alignment horizontal="center" vertical="center"/>
      <protection locked="0"/>
    </xf>
    <xf numFmtId="176" fontId="3" fillId="2" borderId="1" xfId="9" applyFont="1" applyFill="1" applyBorder="1" applyAlignment="1" applyProtection="1">
      <alignment horizontal="center" vertical="center"/>
      <protection locked="0"/>
    </xf>
    <xf numFmtId="176" fontId="3" fillId="2" borderId="2" xfId="0" applyFont="1" applyFill="1" applyBorder="1" applyAlignment="1">
      <alignment horizontal="center" vertical="center"/>
    </xf>
    <xf numFmtId="176" fontId="3" fillId="2" borderId="5" xfId="0" applyFont="1" applyFill="1" applyBorder="1" applyAlignment="1">
      <alignment horizontal="center" vertical="center"/>
    </xf>
    <xf numFmtId="176" fontId="12" fillId="2" borderId="2" xfId="0" applyFont="1" applyFill="1" applyBorder="1" applyAlignment="1">
      <alignment horizontal="center" vertical="center"/>
    </xf>
    <xf numFmtId="176" fontId="7" fillId="2" borderId="1" xfId="0" applyFont="1" applyFill="1" applyBorder="1" applyAlignment="1">
      <alignment horizontal="left" vertical="center"/>
    </xf>
    <xf numFmtId="176" fontId="12" fillId="2" borderId="1" xfId="0" applyFont="1" applyFill="1" applyBorder="1" applyAlignment="1">
      <alignment horizontal="center" vertical="center" wrapText="1"/>
    </xf>
    <xf numFmtId="176" fontId="12" fillId="2" borderId="2" xfId="0" applyFont="1" applyFill="1" applyBorder="1" applyAlignment="1">
      <alignment horizontal="center" vertical="center" wrapText="1"/>
    </xf>
    <xf numFmtId="176" fontId="12" fillId="2" borderId="4" xfId="0" applyFont="1" applyFill="1" applyBorder="1" applyAlignment="1">
      <alignment horizontal="center" vertical="center" wrapText="1"/>
    </xf>
    <xf numFmtId="176" fontId="12" fillId="2" borderId="5" xfId="0" applyFont="1" applyFill="1" applyBorder="1" applyAlignment="1">
      <alignment horizontal="center" vertical="center" wrapText="1"/>
    </xf>
    <xf numFmtId="43" fontId="25" fillId="0" borderId="0" xfId="14" applyNumberFormat="1" applyFont="1" applyBorder="1" applyAlignment="1">
      <alignment horizontal="center" vertical="center"/>
    </xf>
    <xf numFmtId="43" fontId="78" fillId="0" borderId="0" xfId="14" applyNumberFormat="1" applyFont="1" applyBorder="1" applyAlignment="1">
      <alignment horizontal="center" vertical="center"/>
    </xf>
    <xf numFmtId="0" fontId="38" fillId="0" borderId="0" xfId="7" applyFont="1" applyAlignment="1">
      <alignment horizontal="left" vertical="center" wrapText="1"/>
      <protection locked="0"/>
    </xf>
    <xf numFmtId="0" fontId="24" fillId="0" borderId="0" xfId="7" applyFont="1" applyAlignment="1">
      <alignment horizontal="left" vertical="center" wrapText="1"/>
      <protection locked="0"/>
    </xf>
    <xf numFmtId="176" fontId="81" fillId="0" borderId="0" xfId="0" applyFont="1" applyAlignment="1">
      <alignment horizontal="center" vertical="center"/>
    </xf>
    <xf numFmtId="176" fontId="3" fillId="2" borderId="3" xfId="0" applyFont="1" applyFill="1" applyBorder="1" applyAlignment="1">
      <alignment horizontal="center" vertical="center"/>
    </xf>
    <xf numFmtId="176" fontId="3" fillId="2" borderId="6" xfId="0" applyFont="1" applyFill="1" applyBorder="1" applyAlignment="1">
      <alignment horizontal="center" vertical="center"/>
    </xf>
    <xf numFmtId="176" fontId="12" fillId="2" borderId="3" xfId="0" applyFont="1" applyFill="1" applyBorder="1" applyAlignment="1">
      <alignment horizontal="center" vertical="center"/>
    </xf>
    <xf numFmtId="49" fontId="32" fillId="2" borderId="2" xfId="0" applyNumberFormat="1" applyFont="1" applyFill="1" applyBorder="1" applyAlignment="1">
      <alignment horizontal="center" vertical="center"/>
    </xf>
    <xf numFmtId="49" fontId="32" fillId="2" borderId="5" xfId="0" applyNumberFormat="1" applyFont="1" applyFill="1" applyBorder="1" applyAlignment="1">
      <alignment horizontal="center" vertical="center"/>
    </xf>
    <xf numFmtId="176" fontId="32" fillId="2" borderId="2" xfId="0" applyFont="1" applyFill="1" applyBorder="1" applyAlignment="1">
      <alignment horizontal="center" vertical="center"/>
    </xf>
    <xf numFmtId="176" fontId="32" fillId="2" borderId="5" xfId="0" applyFont="1" applyFill="1" applyBorder="1" applyAlignment="1">
      <alignment horizontal="center" vertical="center"/>
    </xf>
    <xf numFmtId="176" fontId="82" fillId="0" borderId="0" xfId="0" applyFont="1" applyAlignment="1">
      <alignment horizontal="center" vertical="center"/>
    </xf>
    <xf numFmtId="176" fontId="3" fillId="2" borderId="1" xfId="0" applyFont="1" applyFill="1" applyBorder="1" applyAlignment="1">
      <alignment horizontal="center" vertical="center" wrapText="1"/>
    </xf>
    <xf numFmtId="176" fontId="12" fillId="6" borderId="1" xfId="0" applyFont="1" applyFill="1" applyBorder="1" applyAlignment="1">
      <alignment horizontal="center" vertical="center" wrapText="1"/>
    </xf>
    <xf numFmtId="176" fontId="3" fillId="6" borderId="1" xfId="0" applyFont="1" applyFill="1" applyBorder="1" applyAlignment="1">
      <alignment horizontal="center" vertical="center" wrapText="1"/>
    </xf>
    <xf numFmtId="176" fontId="3" fillId="2" borderId="5" xfId="0" applyFont="1" applyFill="1" applyBorder="1" applyAlignment="1">
      <alignment horizontal="center" vertical="center" wrapText="1"/>
    </xf>
    <xf numFmtId="176" fontId="13" fillId="2" borderId="2" xfId="5" applyFont="1" applyFill="1" applyBorder="1" applyAlignment="1">
      <alignment horizontal="center" vertical="center" wrapText="1"/>
      <protection locked="0"/>
    </xf>
    <xf numFmtId="176" fontId="13" fillId="2" borderId="5" xfId="5" applyFont="1" applyFill="1" applyBorder="1" applyAlignment="1">
      <alignment horizontal="center" vertical="center" wrapText="1"/>
      <protection locked="0"/>
    </xf>
    <xf numFmtId="176" fontId="3" fillId="2" borderId="2" xfId="0" applyFont="1" applyFill="1" applyBorder="1" applyAlignment="1">
      <alignment horizontal="center" vertical="center" wrapText="1"/>
    </xf>
    <xf numFmtId="176" fontId="12" fillId="2" borderId="3" xfId="0" applyFont="1" applyFill="1" applyBorder="1" applyAlignment="1">
      <alignment horizontal="center" vertical="center" wrapText="1"/>
    </xf>
    <xf numFmtId="176" fontId="12" fillId="2" borderId="7" xfId="0" applyFont="1" applyFill="1" applyBorder="1" applyAlignment="1">
      <alignment horizontal="center" vertical="center" wrapText="1"/>
    </xf>
    <xf numFmtId="176" fontId="12" fillId="2" borderId="6" xfId="0" applyFont="1" applyFill="1" applyBorder="1" applyAlignment="1">
      <alignment horizontal="center" vertical="center" wrapText="1"/>
    </xf>
    <xf numFmtId="176" fontId="12" fillId="2" borderId="7" xfId="0" applyFont="1" applyFill="1" applyBorder="1" applyAlignment="1">
      <alignment horizontal="center" vertical="center"/>
    </xf>
    <xf numFmtId="176" fontId="12" fillId="2" borderId="6" xfId="0" applyFont="1" applyFill="1" applyBorder="1" applyAlignment="1">
      <alignment horizontal="center" vertical="center"/>
    </xf>
    <xf numFmtId="176" fontId="7" fillId="0" borderId="1" xfId="0" applyFont="1" applyBorder="1" applyAlignment="1">
      <alignment horizontal="center" vertical="center"/>
    </xf>
    <xf numFmtId="43" fontId="7" fillId="0" borderId="1" xfId="1" applyFont="1" applyFill="1" applyBorder="1" applyAlignment="1">
      <alignment horizontal="center" vertical="center"/>
    </xf>
    <xf numFmtId="176" fontId="58" fillId="6" borderId="1" xfId="0" applyFont="1" applyFill="1" applyBorder="1" applyAlignment="1">
      <alignment horizontal="center" vertical="center" wrapText="1"/>
    </xf>
    <xf numFmtId="176" fontId="34" fillId="6" borderId="1" xfId="0" applyFont="1" applyFill="1" applyBorder="1" applyAlignment="1">
      <alignment horizontal="center" vertical="center" wrapText="1"/>
    </xf>
    <xf numFmtId="176" fontId="29" fillId="0" borderId="0" xfId="9" applyFont="1" applyAlignment="1" applyProtection="1">
      <alignment horizontal="left" vertical="top" wrapText="1"/>
      <protection locked="0"/>
    </xf>
    <xf numFmtId="176" fontId="27" fillId="2" borderId="1" xfId="9" applyFont="1" applyFill="1" applyBorder="1" applyAlignment="1" applyProtection="1">
      <alignment horizontal="center" vertical="center"/>
      <protection locked="0"/>
    </xf>
    <xf numFmtId="176" fontId="25" fillId="0" borderId="0" xfId="0" applyFont="1" applyAlignment="1" applyProtection="1">
      <alignment horizontal="center" vertical="center"/>
      <protection locked="0"/>
    </xf>
    <xf numFmtId="176" fontId="78" fillId="0" borderId="0" xfId="0" applyFont="1" applyAlignment="1" applyProtection="1">
      <alignment horizontal="center" vertical="center"/>
      <protection locked="0"/>
    </xf>
    <xf numFmtId="176" fontId="27" fillId="2" borderId="7" xfId="9" applyFont="1" applyFill="1" applyBorder="1" applyAlignment="1" applyProtection="1">
      <alignment horizontal="center" vertical="center"/>
      <protection locked="0"/>
    </xf>
    <xf numFmtId="176" fontId="27" fillId="2" borderId="6" xfId="9" applyFont="1" applyFill="1" applyBorder="1" applyAlignment="1" applyProtection="1">
      <alignment horizontal="center" vertical="center"/>
      <protection locked="0"/>
    </xf>
    <xf numFmtId="176" fontId="13" fillId="2" borderId="3" xfId="0" applyFont="1" applyFill="1" applyBorder="1" applyAlignment="1" applyProtection="1">
      <alignment horizontal="center" vertical="center" wrapText="1"/>
      <protection locked="0"/>
    </xf>
    <xf numFmtId="176" fontId="13" fillId="2" borderId="6" xfId="0" applyFont="1" applyFill="1" applyBorder="1" applyAlignment="1" applyProtection="1">
      <alignment horizontal="center" vertical="center" wrapText="1"/>
      <protection locked="0"/>
    </xf>
    <xf numFmtId="176" fontId="7" fillId="2" borderId="3" xfId="0" applyFont="1" applyFill="1" applyBorder="1" applyAlignment="1">
      <alignment horizontal="left" vertical="center"/>
    </xf>
    <xf numFmtId="176" fontId="7" fillId="2" borderId="6" xfId="0" applyFont="1" applyFill="1" applyBorder="1" applyAlignment="1">
      <alignment horizontal="left" vertical="center"/>
    </xf>
    <xf numFmtId="176" fontId="16" fillId="2" borderId="1" xfId="0" applyFont="1" applyFill="1" applyBorder="1" applyAlignment="1">
      <alignment horizontal="center" vertical="center" wrapText="1"/>
    </xf>
    <xf numFmtId="176" fontId="3" fillId="2" borderId="3" xfId="0" applyFont="1" applyFill="1" applyBorder="1" applyAlignment="1">
      <alignment horizontal="center" vertical="center" wrapText="1"/>
    </xf>
    <xf numFmtId="176" fontId="3" fillId="2" borderId="7" xfId="0" applyFont="1" applyFill="1" applyBorder="1" applyAlignment="1">
      <alignment horizontal="center" vertical="center" wrapText="1"/>
    </xf>
    <xf numFmtId="176" fontId="3" fillId="2" borderId="6" xfId="0" applyFont="1" applyFill="1" applyBorder="1" applyAlignment="1">
      <alignment horizontal="center" vertical="center" wrapText="1"/>
    </xf>
    <xf numFmtId="176" fontId="18" fillId="2" borderId="3" xfId="0" applyFont="1" applyFill="1" applyBorder="1" applyAlignment="1">
      <alignment horizontal="left" vertical="center"/>
    </xf>
    <xf numFmtId="176" fontId="7" fillId="2" borderId="7" xfId="0" applyFont="1" applyFill="1" applyBorder="1" applyAlignment="1">
      <alignment horizontal="left" vertical="center"/>
    </xf>
    <xf numFmtId="176" fontId="7" fillId="2" borderId="14" xfId="0" applyFont="1" applyFill="1" applyBorder="1" applyAlignment="1">
      <alignment horizontal="left" vertical="center"/>
    </xf>
    <xf numFmtId="176" fontId="18" fillId="2" borderId="14" xfId="0" applyFont="1" applyFill="1" applyBorder="1" applyAlignment="1">
      <alignment horizontal="left" vertical="center"/>
    </xf>
    <xf numFmtId="176" fontId="13" fillId="2" borderId="7" xfId="0" applyFont="1" applyFill="1" applyBorder="1" applyAlignment="1" applyProtection="1">
      <alignment horizontal="center" vertical="center" wrapText="1"/>
      <protection locked="0"/>
    </xf>
    <xf numFmtId="176" fontId="16" fillId="2" borderId="2" xfId="0" applyFont="1" applyFill="1" applyBorder="1" applyAlignment="1">
      <alignment horizontal="center" vertical="center" wrapText="1"/>
    </xf>
    <xf numFmtId="176" fontId="3" fillId="2" borderId="4" xfId="0" applyFont="1" applyFill="1" applyBorder="1" applyAlignment="1">
      <alignment horizontal="center" vertical="center" wrapText="1"/>
    </xf>
    <xf numFmtId="176" fontId="13" fillId="2" borderId="1" xfId="0" applyFont="1" applyFill="1" applyBorder="1" applyAlignment="1" applyProtection="1">
      <alignment horizontal="center" vertical="center" wrapText="1"/>
      <protection locked="0"/>
    </xf>
    <xf numFmtId="176" fontId="10" fillId="2" borderId="1" xfId="0" applyFont="1" applyFill="1" applyBorder="1" applyAlignment="1" applyProtection="1">
      <alignment horizontal="center" vertical="center" wrapText="1"/>
      <protection locked="0"/>
    </xf>
    <xf numFmtId="176" fontId="13" fillId="2" borderId="2" xfId="0" applyFont="1" applyFill="1" applyBorder="1" applyAlignment="1" applyProtection="1">
      <alignment horizontal="center" vertical="center" wrapText="1"/>
      <protection locked="0"/>
    </xf>
    <xf numFmtId="176" fontId="13" fillId="2" borderId="5" xfId="0" applyFont="1" applyFill="1" applyBorder="1" applyAlignment="1" applyProtection="1">
      <alignment horizontal="center" vertical="center" wrapText="1"/>
      <protection locked="0"/>
    </xf>
    <xf numFmtId="176" fontId="7" fillId="0" borderId="1" xfId="0" applyFont="1" applyBorder="1">
      <alignment vertical="center"/>
    </xf>
    <xf numFmtId="49" fontId="83" fillId="0" borderId="0" xfId="13" applyNumberFormat="1" applyFont="1" applyAlignment="1">
      <alignment horizontal="left" vertical="center"/>
    </xf>
    <xf numFmtId="49" fontId="84" fillId="0" borderId="0" xfId="13" applyNumberFormat="1" applyFont="1" applyAlignment="1">
      <alignment horizontal="left" vertical="center"/>
    </xf>
    <xf numFmtId="176" fontId="83" fillId="0" borderId="0" xfId="0" applyFont="1">
      <alignment vertical="center"/>
    </xf>
    <xf numFmtId="176" fontId="84" fillId="0" borderId="0" xfId="0" applyFont="1">
      <alignment vertical="center"/>
    </xf>
  </cellXfs>
  <cellStyles count="21">
    <cellStyle name="百分比" xfId="2" builtinId="5"/>
    <cellStyle name="百分比 2" xfId="4"/>
    <cellStyle name="常规" xfId="0" builtinId="0"/>
    <cellStyle name="常规 11 5" xfId="20"/>
    <cellStyle name="常规 2" xfId="5"/>
    <cellStyle name="常规 2 3" xfId="6"/>
    <cellStyle name="常规 2 8" xfId="7"/>
    <cellStyle name="常规 3" xfId="8"/>
    <cellStyle name="常规 4" xfId="9"/>
    <cellStyle name="常规 4 2" xfId="10"/>
    <cellStyle name="常规 5" xfId="11"/>
    <cellStyle name="常规 6" xfId="12"/>
    <cellStyle name="常规 7" xfId="18"/>
    <cellStyle name="常规 7 2" xfId="19"/>
    <cellStyle name="常规_进一步审计程序--销售与收款循环" xfId="13"/>
    <cellStyle name="常规_新审定表" xfId="14"/>
    <cellStyle name="常规_制造费用" xfId="15"/>
    <cellStyle name="超链接" xfId="3" builtinId="8"/>
    <cellStyle name="超链接 2" xfId="16"/>
    <cellStyle name="超链接 3" xfId="17"/>
    <cellStyle name="千位分隔" xfId="1" builtinId="3"/>
  </cellStyles>
  <dxfs count="1">
    <dxf>
      <font>
        <color rgb="FFFF0000"/>
      </font>
      <numFmt numFmtId="181" formatCode="0.00_ "/>
    </dxf>
  </dxfs>
  <tableStyles count="0" defaultTableStyle="TableStyleMedium9" defaultPivotStyle="PivotStyleLight16"/>
  <colors>
    <mruColors>
      <color rgb="FF0000FF"/>
      <color rgb="FF0033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M32"/>
  <sheetViews>
    <sheetView tabSelected="1" workbookViewId="0"/>
  </sheetViews>
  <sheetFormatPr defaultColWidth="9" defaultRowHeight="18" customHeight="1"/>
  <cols>
    <col min="1" max="1" width="81" style="7" customWidth="1"/>
    <col min="2" max="2" width="6.109375" style="181" customWidth="1"/>
    <col min="3" max="3" width="23.77734375" style="7" customWidth="1"/>
    <col min="4" max="4" width="11.6640625" style="181" customWidth="1"/>
    <col min="5" max="5" width="16.109375" style="7" customWidth="1"/>
    <col min="6" max="6" width="12.6640625" style="7" customWidth="1"/>
    <col min="7" max="16384" width="9" style="7"/>
  </cols>
  <sheetData>
    <row r="1" spans="1:13" s="179" customFormat="1" ht="18" customHeight="1">
      <c r="A1" s="61" t="s">
        <v>0</v>
      </c>
      <c r="B1" s="268" t="s">
        <v>1</v>
      </c>
      <c r="C1" s="268"/>
      <c r="D1" s="268"/>
      <c r="E1" s="268"/>
    </row>
    <row r="2" spans="1:13" s="180" customFormat="1" ht="18" customHeight="1">
      <c r="A2" s="184" t="s">
        <v>552</v>
      </c>
      <c r="B2" s="182"/>
      <c r="C2" s="182"/>
      <c r="D2" s="182"/>
      <c r="E2" s="182"/>
    </row>
    <row r="3" spans="1:13" s="5" customFormat="1" ht="18" customHeight="1">
      <c r="A3" s="238" t="s">
        <v>557</v>
      </c>
      <c r="B3" s="183" t="s">
        <v>2</v>
      </c>
      <c r="C3" s="183" t="s">
        <v>3</v>
      </c>
      <c r="D3" s="183" t="s">
        <v>4</v>
      </c>
      <c r="E3" s="183" t="s">
        <v>5</v>
      </c>
    </row>
    <row r="4" spans="1:13" ht="18" customHeight="1">
      <c r="A4" s="184" t="s">
        <v>553</v>
      </c>
      <c r="B4" s="187">
        <v>1</v>
      </c>
      <c r="C4" s="196" t="s">
        <v>6</v>
      </c>
      <c r="D4" s="185" t="s">
        <v>7</v>
      </c>
      <c r="E4" s="186"/>
    </row>
    <row r="5" spans="1:13" ht="18" customHeight="1">
      <c r="A5" s="184" t="s">
        <v>554</v>
      </c>
      <c r="B5" s="187">
        <v>2</v>
      </c>
      <c r="C5" s="196" t="s">
        <v>503</v>
      </c>
      <c r="D5" s="185" t="s">
        <v>8</v>
      </c>
      <c r="E5" s="188"/>
    </row>
    <row r="6" spans="1:13" ht="18" customHeight="1">
      <c r="A6" s="184" t="s">
        <v>555</v>
      </c>
      <c r="B6" s="187">
        <v>3</v>
      </c>
      <c r="C6" s="196" t="s">
        <v>504</v>
      </c>
      <c r="D6" s="185"/>
      <c r="E6" s="186"/>
      <c r="F6" s="239" t="s">
        <v>562</v>
      </c>
    </row>
    <row r="7" spans="1:13" ht="18" customHeight="1">
      <c r="A7" s="184" t="s">
        <v>556</v>
      </c>
      <c r="B7" s="187">
        <v>4</v>
      </c>
      <c r="C7" s="196" t="s">
        <v>505</v>
      </c>
      <c r="D7" s="185"/>
      <c r="E7" s="186"/>
      <c r="F7" s="239" t="s">
        <v>562</v>
      </c>
    </row>
    <row r="8" spans="1:13" ht="18" customHeight="1">
      <c r="A8" s="189" t="s">
        <v>9</v>
      </c>
      <c r="B8" s="187">
        <v>5</v>
      </c>
      <c r="C8" s="196" t="s">
        <v>506</v>
      </c>
      <c r="D8" s="185" t="s">
        <v>10</v>
      </c>
      <c r="E8" s="186"/>
    </row>
    <row r="9" spans="1:13" ht="18" customHeight="1">
      <c r="A9" s="190" t="s">
        <v>11</v>
      </c>
      <c r="B9" s="187">
        <v>6</v>
      </c>
      <c r="C9" s="196" t="s">
        <v>12</v>
      </c>
      <c r="D9" s="185" t="s">
        <v>13</v>
      </c>
      <c r="E9" s="191" t="s">
        <v>14</v>
      </c>
    </row>
    <row r="10" spans="1:13" ht="18" customHeight="1">
      <c r="A10" s="190" t="s">
        <v>15</v>
      </c>
      <c r="B10" s="187">
        <v>7</v>
      </c>
      <c r="C10" s="196" t="s">
        <v>507</v>
      </c>
      <c r="D10" s="185" t="s">
        <v>16</v>
      </c>
      <c r="E10" s="186"/>
      <c r="M10" s="7" t="s">
        <v>17</v>
      </c>
    </row>
    <row r="11" spans="1:13" ht="18" customHeight="1">
      <c r="A11" s="190" t="s">
        <v>18</v>
      </c>
      <c r="B11" s="187">
        <v>8</v>
      </c>
      <c r="C11" s="196" t="s">
        <v>508</v>
      </c>
      <c r="D11" s="185" t="s">
        <v>19</v>
      </c>
      <c r="E11" s="186"/>
    </row>
    <row r="12" spans="1:13" ht="18" customHeight="1">
      <c r="A12" s="190" t="s">
        <v>20</v>
      </c>
      <c r="B12" s="187">
        <v>9</v>
      </c>
      <c r="C12" s="196" t="s">
        <v>509</v>
      </c>
      <c r="D12" s="185" t="s">
        <v>21</v>
      </c>
      <c r="E12" s="186"/>
    </row>
    <row r="13" spans="1:13" ht="18" customHeight="1">
      <c r="A13" s="190" t="s">
        <v>22</v>
      </c>
      <c r="B13" s="187">
        <v>10</v>
      </c>
      <c r="C13" s="196" t="s">
        <v>510</v>
      </c>
      <c r="D13" s="185" t="s">
        <v>23</v>
      </c>
      <c r="E13" s="186"/>
    </row>
    <row r="14" spans="1:13" ht="18" customHeight="1">
      <c r="A14" s="190" t="s">
        <v>24</v>
      </c>
      <c r="B14" s="187">
        <v>11</v>
      </c>
      <c r="C14" s="196" t="s">
        <v>511</v>
      </c>
      <c r="D14" s="185" t="s">
        <v>25</v>
      </c>
      <c r="E14" s="186"/>
    </row>
    <row r="15" spans="1:13" ht="18" customHeight="1">
      <c r="A15" s="190" t="s">
        <v>26</v>
      </c>
      <c r="B15" s="187">
        <v>12</v>
      </c>
      <c r="C15" s="196" t="s">
        <v>512</v>
      </c>
      <c r="D15" s="185" t="s">
        <v>27</v>
      </c>
      <c r="E15" s="186"/>
    </row>
    <row r="16" spans="1:13" ht="18" customHeight="1">
      <c r="A16" s="190" t="s">
        <v>28</v>
      </c>
      <c r="B16" s="187">
        <v>13</v>
      </c>
      <c r="C16" s="196" t="s">
        <v>513</v>
      </c>
      <c r="D16" s="185" t="s">
        <v>29</v>
      </c>
      <c r="E16" s="186"/>
    </row>
    <row r="17" spans="1:5" ht="18" customHeight="1">
      <c r="A17" s="190" t="s">
        <v>30</v>
      </c>
      <c r="B17" s="187">
        <v>14</v>
      </c>
      <c r="C17" s="196" t="s">
        <v>514</v>
      </c>
      <c r="D17" s="185" t="s">
        <v>31</v>
      </c>
      <c r="E17" s="186"/>
    </row>
    <row r="18" spans="1:5" ht="18" customHeight="1">
      <c r="A18" s="190" t="s">
        <v>32</v>
      </c>
      <c r="B18" s="187">
        <v>15</v>
      </c>
      <c r="C18" s="196" t="s">
        <v>515</v>
      </c>
      <c r="D18" s="185" t="s">
        <v>33</v>
      </c>
      <c r="E18" s="186"/>
    </row>
    <row r="19" spans="1:5" ht="18" customHeight="1">
      <c r="A19" s="190" t="s">
        <v>34</v>
      </c>
      <c r="B19" s="187">
        <v>16</v>
      </c>
      <c r="C19" s="196" t="s">
        <v>516</v>
      </c>
      <c r="D19" s="185" t="s">
        <v>35</v>
      </c>
      <c r="E19" s="186"/>
    </row>
    <row r="20" spans="1:5" ht="18" customHeight="1">
      <c r="A20" s="190" t="s">
        <v>36</v>
      </c>
      <c r="B20" s="7"/>
    </row>
    <row r="22" spans="1:5" ht="18" customHeight="1">
      <c r="A22" s="237" t="s">
        <v>558</v>
      </c>
    </row>
    <row r="23" spans="1:5" ht="18" customHeight="1">
      <c r="A23" s="269" t="s">
        <v>559</v>
      </c>
    </row>
    <row r="24" spans="1:5" ht="18" customHeight="1">
      <c r="A24" s="269"/>
    </row>
    <row r="25" spans="1:5" ht="18" customHeight="1">
      <c r="A25" s="269"/>
    </row>
    <row r="26" spans="1:5" ht="18" customHeight="1">
      <c r="A26" s="269"/>
    </row>
    <row r="27" spans="1:5" ht="18" customHeight="1">
      <c r="A27" s="269" t="s">
        <v>560</v>
      </c>
    </row>
    <row r="28" spans="1:5" ht="18" customHeight="1">
      <c r="A28" s="269"/>
    </row>
    <row r="29" spans="1:5" ht="18" customHeight="1">
      <c r="A29" s="269"/>
    </row>
    <row r="30" spans="1:5" ht="18" customHeight="1">
      <c r="A30" s="270" t="s">
        <v>561</v>
      </c>
    </row>
    <row r="31" spans="1:5" ht="18" customHeight="1">
      <c r="A31" s="270"/>
    </row>
    <row r="32" spans="1:5" ht="18" customHeight="1">
      <c r="A32" s="270"/>
    </row>
  </sheetData>
  <mergeCells count="4">
    <mergeCell ref="B1:E1"/>
    <mergeCell ref="A23:A26"/>
    <mergeCell ref="A27:A29"/>
    <mergeCell ref="A30:A32"/>
  </mergeCells>
  <phoneticPr fontId="75" type="noConversion"/>
  <hyperlinks>
    <hyperlink ref="C5" location="审定表I1!A1" display="审定表"/>
    <hyperlink ref="C8" location="'明细表I1-2'!A1" display="明细表"/>
    <hyperlink ref="C13" location="'使用寿命检查表I1-7'!A1" display="使用寿命检查表"/>
    <hyperlink ref="C16" location="'摊销测算表（不含减值）I1-10（剩余年限法）'!A1" display="摊销测算表（剩余年限法）"/>
    <hyperlink ref="C18" location="'减值准备测试表I1-12'!A1" display="减值准备测试表"/>
    <hyperlink ref="C19" location="'可收回金额测试I1-13'!A1" display="可收回金额测试"/>
    <hyperlink ref="C6" location="'附注披露信息（上市公司）'!A1" display="附注披露表（上市公司）"/>
    <hyperlink ref="C7" location="'附注披露信息（国有企业）'!A1" display="附注披露表（国有企业）"/>
    <hyperlink ref="C17" location="'摊销测算表（含减值）I1-11'!A1" display="摊销测算表"/>
    <hyperlink ref="C14" location="'无形资产权属检查表I1-8'!A1" display="权属检查表"/>
    <hyperlink ref="C15" location="'摊销分配分析表I1-9'!A1" display="摊销分配分析表"/>
    <hyperlink ref="C4" location="'无形资产实质性程序 I1A'!A1" display="无形资产实质性程序"/>
    <hyperlink ref="C9" location="'调整分录汇总I1-3'!A1" display="调整分录汇总"/>
    <hyperlink ref="C10" location="'无形资产摊销减值政策检查表I1-4'!A1" display="摊销政策检查表"/>
    <hyperlink ref="C11" location="'无形资产增加检查表I1-5'!A1" display="增加检查表"/>
    <hyperlink ref="C12" location="'无形资产减少明细表I1-6'!A1" display="减少检查表"/>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K28"/>
  <sheetViews>
    <sheetView view="pageBreakPreview" zoomScaleNormal="100" workbookViewId="0">
      <selection activeCell="I3" sqref="I3"/>
    </sheetView>
  </sheetViews>
  <sheetFormatPr defaultColWidth="9" defaultRowHeight="19.95" customHeight="1"/>
  <cols>
    <col min="1" max="1" width="4.5546875" customWidth="1"/>
    <col min="2" max="2" width="70.33203125" customWidth="1"/>
    <col min="3" max="3" width="11.33203125" customWidth="1"/>
    <col min="4" max="4" width="6.21875" customWidth="1"/>
    <col min="5" max="5" width="6.6640625" customWidth="1"/>
    <col min="6" max="6" width="6.77734375" customWidth="1"/>
    <col min="7" max="7" width="8" customWidth="1"/>
    <col min="8" max="8" width="5.6640625" customWidth="1"/>
    <col min="9" max="9" width="7.6640625" customWidth="1"/>
    <col min="10" max="10" width="77.77734375" customWidth="1"/>
  </cols>
  <sheetData>
    <row r="1" spans="1:11" ht="19.95" customHeight="1">
      <c r="A1" s="271" t="s">
        <v>86</v>
      </c>
      <c r="B1" s="271"/>
      <c r="C1" s="271"/>
      <c r="D1" s="271"/>
      <c r="E1" s="271"/>
      <c r="F1" s="271"/>
      <c r="G1" s="271"/>
      <c r="H1" s="271"/>
      <c r="I1" s="271"/>
      <c r="J1" s="232"/>
      <c r="K1" s="232"/>
    </row>
    <row r="2" spans="1:11" ht="19.95" customHeight="1">
      <c r="A2" s="272" t="s">
        <v>6</v>
      </c>
      <c r="B2" s="272"/>
      <c r="C2" s="272"/>
      <c r="D2" s="272"/>
      <c r="E2" s="272"/>
      <c r="F2" s="272"/>
      <c r="G2" s="272"/>
      <c r="H2" s="272"/>
      <c r="I2" s="272"/>
      <c r="J2" s="233"/>
      <c r="K2" s="233"/>
    </row>
    <row r="3" spans="1:11" ht="19.95" customHeight="1">
      <c r="A3" s="165" t="str">
        <f>底稿目录!A2</f>
        <v>被审计单位：</v>
      </c>
      <c r="B3" s="163"/>
      <c r="C3" s="166" t="str">
        <f>底稿目录!A4</f>
        <v>编制人：</v>
      </c>
      <c r="D3" s="167"/>
      <c r="E3" s="168" t="str">
        <f>底稿目录!A5</f>
        <v>编制日期：</v>
      </c>
      <c r="F3" s="164"/>
      <c r="H3" s="171" t="s">
        <v>37</v>
      </c>
      <c r="I3" s="267" t="s">
        <v>517</v>
      </c>
    </row>
    <row r="4" spans="1:11" ht="19.95" customHeight="1">
      <c r="A4" s="169" t="s">
        <v>38</v>
      </c>
      <c r="B4" s="163"/>
      <c r="C4" s="170" t="str">
        <f>底稿目录!A6</f>
        <v>复核人：</v>
      </c>
      <c r="D4" s="167"/>
      <c r="E4" s="168" t="str">
        <f>底稿目录!A7</f>
        <v>复核日期：</v>
      </c>
      <c r="F4" s="164"/>
      <c r="H4" s="171" t="s">
        <v>39</v>
      </c>
      <c r="I4" s="168"/>
    </row>
    <row r="5" spans="1:11" ht="19.95" customHeight="1">
      <c r="A5" s="172" t="s">
        <v>40</v>
      </c>
      <c r="B5" s="173"/>
      <c r="C5" s="173"/>
      <c r="D5" s="173"/>
      <c r="E5" s="173"/>
      <c r="F5" s="173"/>
      <c r="G5" s="173"/>
      <c r="H5" s="173"/>
      <c r="I5" s="173"/>
    </row>
    <row r="6" spans="1:11" ht="19.95" customHeight="1">
      <c r="A6" s="174" t="s">
        <v>41</v>
      </c>
      <c r="B6" s="173"/>
      <c r="C6" s="173"/>
      <c r="D6" s="173"/>
      <c r="E6" s="173"/>
      <c r="F6" s="173"/>
      <c r="G6" s="173"/>
      <c r="H6" s="173"/>
      <c r="I6" s="173"/>
    </row>
    <row r="7" spans="1:11" ht="19.95" customHeight="1">
      <c r="A7" s="175" t="s">
        <v>42</v>
      </c>
      <c r="B7" s="176"/>
      <c r="C7" s="176"/>
      <c r="D7" s="173"/>
      <c r="E7" s="173"/>
      <c r="F7" s="173"/>
      <c r="G7" s="173"/>
      <c r="H7" s="173"/>
      <c r="I7" s="173"/>
    </row>
    <row r="8" spans="1:11" ht="19.95" customHeight="1">
      <c r="A8" s="275" t="s">
        <v>43</v>
      </c>
      <c r="B8" s="275"/>
      <c r="C8" s="275"/>
      <c r="D8" s="275"/>
      <c r="E8" s="275"/>
      <c r="F8" s="275"/>
      <c r="G8" s="273" t="s">
        <v>44</v>
      </c>
      <c r="H8" s="273"/>
      <c r="I8" s="273"/>
    </row>
    <row r="9" spans="1:11" ht="19.95" customHeight="1">
      <c r="A9" s="276" t="s">
        <v>45</v>
      </c>
      <c r="B9" s="276"/>
      <c r="C9" s="276"/>
      <c r="D9" s="276"/>
      <c r="E9" s="276"/>
      <c r="F9" s="276"/>
      <c r="G9" s="274" t="s">
        <v>46</v>
      </c>
      <c r="H9" s="274"/>
      <c r="I9" s="274"/>
    </row>
    <row r="10" spans="1:11" ht="19.95" customHeight="1">
      <c r="A10" s="276" t="s">
        <v>47</v>
      </c>
      <c r="B10" s="276"/>
      <c r="C10" s="276"/>
      <c r="D10" s="276"/>
      <c r="E10" s="276"/>
      <c r="F10" s="276"/>
      <c r="G10" s="274" t="s">
        <v>48</v>
      </c>
      <c r="H10" s="274"/>
      <c r="I10" s="274"/>
    </row>
    <row r="11" spans="1:11" ht="19.95" customHeight="1">
      <c r="A11" s="276" t="s">
        <v>49</v>
      </c>
      <c r="B11" s="276"/>
      <c r="C11" s="276"/>
      <c r="D11" s="276"/>
      <c r="E11" s="276"/>
      <c r="F11" s="276"/>
      <c r="G11" s="274" t="s">
        <v>50</v>
      </c>
      <c r="H11" s="274"/>
      <c r="I11" s="274"/>
    </row>
    <row r="12" spans="1:11" ht="19.95" customHeight="1">
      <c r="A12" s="276" t="s">
        <v>51</v>
      </c>
      <c r="B12" s="276"/>
      <c r="C12" s="276"/>
      <c r="D12" s="276"/>
      <c r="E12" s="276"/>
      <c r="F12" s="276"/>
      <c r="G12" s="274" t="s">
        <v>52</v>
      </c>
      <c r="H12" s="274"/>
      <c r="I12" s="274"/>
    </row>
    <row r="13" spans="1:11" ht="19.95" customHeight="1">
      <c r="A13" s="276" t="s">
        <v>53</v>
      </c>
      <c r="B13" s="276"/>
      <c r="C13" s="276"/>
      <c r="D13" s="276"/>
      <c r="E13" s="276"/>
      <c r="F13" s="276"/>
      <c r="G13" s="274" t="s">
        <v>54</v>
      </c>
      <c r="H13" s="274"/>
      <c r="I13" s="274"/>
    </row>
    <row r="14" spans="1:11" ht="19.95" customHeight="1">
      <c r="A14" s="281" t="s">
        <v>526</v>
      </c>
      <c r="B14" s="281"/>
      <c r="C14" s="177"/>
      <c r="D14" s="178"/>
      <c r="E14" s="178"/>
      <c r="F14" s="178"/>
      <c r="G14" s="178"/>
      <c r="H14" s="178"/>
      <c r="I14" s="178"/>
    </row>
    <row r="15" spans="1:11" ht="19.95" customHeight="1">
      <c r="A15" s="279" t="s">
        <v>55</v>
      </c>
      <c r="B15" s="280" t="s">
        <v>567</v>
      </c>
      <c r="C15" s="277" t="s">
        <v>56</v>
      </c>
      <c r="D15" s="278" t="s">
        <v>57</v>
      </c>
      <c r="E15" s="278"/>
      <c r="F15" s="278"/>
      <c r="G15" s="278"/>
      <c r="H15" s="278"/>
      <c r="I15" s="277" t="s">
        <v>58</v>
      </c>
    </row>
    <row r="16" spans="1:11" ht="32.4" customHeight="1">
      <c r="A16" s="279"/>
      <c r="B16" s="280"/>
      <c r="C16" s="277"/>
      <c r="D16" s="243" t="s">
        <v>46</v>
      </c>
      <c r="E16" s="243" t="s">
        <v>48</v>
      </c>
      <c r="F16" s="244" t="s">
        <v>59</v>
      </c>
      <c r="G16" s="244" t="s">
        <v>52</v>
      </c>
      <c r="H16" s="244" t="s">
        <v>54</v>
      </c>
      <c r="I16" s="277"/>
      <c r="J16" s="242" t="s">
        <v>566</v>
      </c>
    </row>
    <row r="17" spans="1:10" ht="33.6" customHeight="1">
      <c r="A17" s="245" t="s">
        <v>60</v>
      </c>
      <c r="B17" s="246" t="s">
        <v>61</v>
      </c>
      <c r="C17" s="247" t="s">
        <v>62</v>
      </c>
      <c r="D17" s="202" t="s">
        <v>529</v>
      </c>
      <c r="E17" s="202" t="s">
        <v>529</v>
      </c>
      <c r="F17" s="202"/>
      <c r="G17" s="203" t="s">
        <v>530</v>
      </c>
      <c r="H17" s="248"/>
      <c r="I17" s="199" t="s">
        <v>523</v>
      </c>
    </row>
    <row r="18" spans="1:10" ht="55.8" customHeight="1">
      <c r="A18" s="245" t="s">
        <v>64</v>
      </c>
      <c r="B18" s="249" t="s">
        <v>65</v>
      </c>
      <c r="C18" s="247" t="s">
        <v>62</v>
      </c>
      <c r="D18" s="204"/>
      <c r="E18" s="205" t="s">
        <v>531</v>
      </c>
      <c r="F18" s="204"/>
      <c r="G18" s="206" t="s">
        <v>532</v>
      </c>
      <c r="H18" s="207"/>
      <c r="I18" s="201" t="s">
        <v>522</v>
      </c>
      <c r="J18" s="240" t="s">
        <v>563</v>
      </c>
    </row>
    <row r="19" spans="1:10" ht="42.6" customHeight="1">
      <c r="A19" s="245" t="s">
        <v>66</v>
      </c>
      <c r="B19" s="250" t="s">
        <v>528</v>
      </c>
      <c r="C19" s="200" t="s">
        <v>527</v>
      </c>
      <c r="D19" s="208" t="s">
        <v>533</v>
      </c>
      <c r="E19" s="209" t="s">
        <v>532</v>
      </c>
      <c r="F19" s="209" t="s">
        <v>534</v>
      </c>
      <c r="G19" s="209" t="s">
        <v>532</v>
      </c>
      <c r="H19" s="209"/>
      <c r="I19" s="199"/>
      <c r="J19" s="240" t="s">
        <v>564</v>
      </c>
    </row>
    <row r="20" spans="1:10" ht="67.8" customHeight="1">
      <c r="A20" s="245" t="s">
        <v>68</v>
      </c>
      <c r="B20" s="251" t="s">
        <v>535</v>
      </c>
      <c r="C20" s="247" t="s">
        <v>62</v>
      </c>
      <c r="D20" s="209" t="s">
        <v>532</v>
      </c>
      <c r="E20" s="209" t="s">
        <v>532</v>
      </c>
      <c r="F20" s="209"/>
      <c r="G20" s="208" t="s">
        <v>536</v>
      </c>
      <c r="H20" s="209"/>
      <c r="I20" s="199" t="s">
        <v>537</v>
      </c>
      <c r="J20" s="241" t="s">
        <v>565</v>
      </c>
    </row>
    <row r="21" spans="1:10" ht="165" customHeight="1">
      <c r="A21" s="245" t="s">
        <v>69</v>
      </c>
      <c r="B21" s="249" t="s">
        <v>538</v>
      </c>
      <c r="C21" s="247" t="s">
        <v>62</v>
      </c>
      <c r="D21" s="208" t="s">
        <v>536</v>
      </c>
      <c r="E21" s="209" t="s">
        <v>532</v>
      </c>
      <c r="F21" s="209" t="s">
        <v>532</v>
      </c>
      <c r="G21" s="209" t="s">
        <v>532</v>
      </c>
      <c r="H21" s="209"/>
      <c r="I21" s="199" t="s">
        <v>19</v>
      </c>
    </row>
    <row r="22" spans="1:10" ht="116.4" customHeight="1">
      <c r="A22" s="245" t="s">
        <v>70</v>
      </c>
      <c r="B22" s="246" t="s">
        <v>71</v>
      </c>
      <c r="C22" s="247" t="s">
        <v>62</v>
      </c>
      <c r="D22" s="209" t="s">
        <v>532</v>
      </c>
      <c r="E22" s="209" t="s">
        <v>532</v>
      </c>
      <c r="F22" s="209"/>
      <c r="G22" s="208" t="s">
        <v>536</v>
      </c>
      <c r="H22" s="209"/>
      <c r="I22" s="199" t="s">
        <v>21</v>
      </c>
    </row>
    <row r="23" spans="1:10" ht="85.8" customHeight="1">
      <c r="A23" s="245" t="s">
        <v>72</v>
      </c>
      <c r="B23" s="246" t="s">
        <v>73</v>
      </c>
      <c r="C23" s="247" t="s">
        <v>62</v>
      </c>
      <c r="D23" s="230"/>
      <c r="E23" s="230"/>
      <c r="F23" s="231"/>
      <c r="G23" s="252" t="s">
        <v>63</v>
      </c>
      <c r="H23" s="231"/>
      <c r="I23" s="199" t="s">
        <v>539</v>
      </c>
    </row>
    <row r="24" spans="1:10" ht="79.8" customHeight="1">
      <c r="A24" s="245" t="s">
        <v>74</v>
      </c>
      <c r="B24" s="246" t="s">
        <v>75</v>
      </c>
      <c r="C24" s="247" t="s">
        <v>62</v>
      </c>
      <c r="D24" s="230"/>
      <c r="E24" s="230"/>
      <c r="F24" s="252" t="s">
        <v>63</v>
      </c>
      <c r="G24" s="252"/>
      <c r="H24" s="231"/>
      <c r="I24" s="199" t="s">
        <v>25</v>
      </c>
    </row>
    <row r="25" spans="1:10" ht="200.4" customHeight="1">
      <c r="A25" s="245" t="s">
        <v>76</v>
      </c>
      <c r="B25" s="249" t="s">
        <v>77</v>
      </c>
      <c r="C25" s="247" t="s">
        <v>62</v>
      </c>
      <c r="D25" s="230"/>
      <c r="E25" s="230"/>
      <c r="F25" s="231"/>
      <c r="G25" s="252" t="s">
        <v>63</v>
      </c>
      <c r="H25" s="231"/>
      <c r="I25" s="199" t="s">
        <v>524</v>
      </c>
    </row>
    <row r="26" spans="1:10" ht="69" customHeight="1">
      <c r="A26" s="245" t="s">
        <v>78</v>
      </c>
      <c r="B26" s="249" t="s">
        <v>548</v>
      </c>
      <c r="C26" s="230" t="s">
        <v>521</v>
      </c>
      <c r="D26" s="252" t="s">
        <v>63</v>
      </c>
      <c r="E26" s="230"/>
      <c r="F26" s="231"/>
      <c r="G26" s="209" t="s">
        <v>532</v>
      </c>
      <c r="H26" s="231"/>
      <c r="I26" s="199"/>
    </row>
    <row r="27" spans="1:10" ht="37.799999999999997" customHeight="1">
      <c r="A27" s="245" t="s">
        <v>83</v>
      </c>
      <c r="B27" s="253" t="s">
        <v>520</v>
      </c>
      <c r="C27" s="230" t="s">
        <v>521</v>
      </c>
      <c r="D27" s="254"/>
      <c r="E27" s="254"/>
      <c r="F27" s="254"/>
      <c r="G27" s="254"/>
      <c r="H27" s="254"/>
      <c r="I27" s="199"/>
    </row>
    <row r="28" spans="1:10" ht="28.05" customHeight="1">
      <c r="A28" s="245" t="s">
        <v>84</v>
      </c>
      <c r="B28" s="249" t="s">
        <v>79</v>
      </c>
      <c r="C28" s="247" t="s">
        <v>62</v>
      </c>
      <c r="D28" s="230"/>
      <c r="E28" s="230"/>
      <c r="F28" s="231"/>
      <c r="G28" s="252"/>
      <c r="H28" s="252" t="s">
        <v>63</v>
      </c>
      <c r="I28" s="199" t="s">
        <v>525</v>
      </c>
    </row>
  </sheetData>
  <mergeCells count="20">
    <mergeCell ref="G13:I13"/>
    <mergeCell ref="I15:I16"/>
    <mergeCell ref="D15:H15"/>
    <mergeCell ref="A15:A16"/>
    <mergeCell ref="B15:B16"/>
    <mergeCell ref="C15:C16"/>
    <mergeCell ref="A14:B14"/>
    <mergeCell ref="A13:F13"/>
    <mergeCell ref="G11:I11"/>
    <mergeCell ref="G12:I12"/>
    <mergeCell ref="A10:F10"/>
    <mergeCell ref="A11:F11"/>
    <mergeCell ref="A12:F12"/>
    <mergeCell ref="A1:I1"/>
    <mergeCell ref="A2:I2"/>
    <mergeCell ref="G8:I8"/>
    <mergeCell ref="G9:I9"/>
    <mergeCell ref="G10:I10"/>
    <mergeCell ref="A8:F8"/>
    <mergeCell ref="A9:F9"/>
  </mergeCells>
  <phoneticPr fontId="75" type="noConversion"/>
  <hyperlinks>
    <hyperlink ref="I3" location="底稿目录!A1" display="I1A"/>
  </hyperlinks>
  <pageMargins left="0.70866141732283472" right="0.70866141732283472" top="0.74803149606299213" bottom="0.74803149606299213" header="0.31496062992125984" footer="0.31496062992125984"/>
  <pageSetup paperSize="9" scale="70" orientation="portrait" blackAndWhite="1"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93"/>
  <sheetViews>
    <sheetView view="pageBreakPreview" zoomScaleNormal="100" workbookViewId="0">
      <selection sqref="A1:I1"/>
    </sheetView>
  </sheetViews>
  <sheetFormatPr defaultColWidth="9" defaultRowHeight="18" customHeight="1"/>
  <cols>
    <col min="1" max="1" width="16.5546875" style="7" customWidth="1"/>
    <col min="2" max="8" width="12.33203125" style="7" customWidth="1"/>
    <col min="9" max="9" width="10.44140625" style="7" customWidth="1"/>
    <col min="10" max="16384" width="9" style="7"/>
  </cols>
  <sheetData>
    <row r="1" spans="1:9" s="1" customFormat="1" ht="20.100000000000001" customHeight="1">
      <c r="A1" s="283" t="s">
        <v>86</v>
      </c>
      <c r="B1" s="283"/>
      <c r="C1" s="283"/>
      <c r="D1" s="283"/>
      <c r="E1" s="283"/>
      <c r="F1" s="283"/>
      <c r="G1" s="283"/>
      <c r="H1" s="283"/>
      <c r="I1" s="283"/>
    </row>
    <row r="2" spans="1:9" s="2" customFormat="1" ht="25.05" customHeight="1">
      <c r="A2" s="284" t="s">
        <v>87</v>
      </c>
      <c r="B2" s="284"/>
      <c r="C2" s="284"/>
      <c r="D2" s="284"/>
      <c r="E2" s="284"/>
      <c r="F2" s="284"/>
      <c r="G2" s="284"/>
      <c r="H2" s="284"/>
      <c r="I2" s="284"/>
    </row>
    <row r="3" spans="1:9" ht="20.100000000000001" customHeight="1">
      <c r="A3" s="7" t="str">
        <f>底稿目录!A2</f>
        <v>被审计单位：</v>
      </c>
      <c r="C3" s="7" t="str">
        <f>底稿目录!A4</f>
        <v>编制人：</v>
      </c>
      <c r="F3" s="7" t="str">
        <f>底稿目录!A5</f>
        <v>编制日期：</v>
      </c>
      <c r="H3" s="7" t="s">
        <v>88</v>
      </c>
      <c r="I3" s="267" t="s">
        <v>518</v>
      </c>
    </row>
    <row r="4" spans="1:9" ht="20.100000000000001" customHeight="1">
      <c r="A4" s="7" t="str">
        <f>底稿目录!A3</f>
        <v>截止日：202X年12月31日</v>
      </c>
      <c r="C4" s="7" t="str">
        <f>底稿目录!A6</f>
        <v>复核人：</v>
      </c>
      <c r="F4" s="7" t="str">
        <f>底稿目录!A7</f>
        <v>复核日期：</v>
      </c>
      <c r="H4" s="7" t="s">
        <v>89</v>
      </c>
      <c r="I4" s="87"/>
    </row>
    <row r="5" spans="1:9" s="1" customFormat="1" ht="30.75" customHeight="1">
      <c r="A5" s="290" t="s">
        <v>90</v>
      </c>
      <c r="B5" s="285" t="s">
        <v>91</v>
      </c>
      <c r="C5" s="286"/>
      <c r="D5" s="287"/>
      <c r="E5" s="285" t="s">
        <v>92</v>
      </c>
      <c r="F5" s="286"/>
      <c r="G5" s="287"/>
      <c r="H5" s="288" t="s">
        <v>93</v>
      </c>
      <c r="I5" s="289"/>
    </row>
    <row r="6" spans="1:9" s="5" customFormat="1" ht="20.100000000000001" customHeight="1">
      <c r="A6" s="291"/>
      <c r="B6" s="156" t="s">
        <v>94</v>
      </c>
      <c r="C6" s="156" t="s">
        <v>95</v>
      </c>
      <c r="D6" s="156" t="s">
        <v>96</v>
      </c>
      <c r="E6" s="156" t="s">
        <v>94</v>
      </c>
      <c r="F6" s="156" t="s">
        <v>95</v>
      </c>
      <c r="G6" s="156" t="s">
        <v>96</v>
      </c>
      <c r="H6" s="157" t="s">
        <v>97</v>
      </c>
      <c r="I6" s="154" t="s">
        <v>98</v>
      </c>
    </row>
    <row r="7" spans="1:9" s="1" customFormat="1" ht="20.100000000000001" customHeight="1">
      <c r="A7" s="155" t="s">
        <v>99</v>
      </c>
      <c r="B7" s="155"/>
      <c r="C7" s="155"/>
      <c r="D7" s="155"/>
      <c r="E7" s="155"/>
      <c r="F7" s="155"/>
      <c r="G7" s="155"/>
      <c r="H7" s="155"/>
      <c r="I7" s="155"/>
    </row>
    <row r="8" spans="1:9" ht="20.100000000000001" customHeight="1">
      <c r="A8" s="158" t="str">
        <f>底稿目录!A9</f>
        <v>土地使用权</v>
      </c>
      <c r="B8" s="159">
        <f>'明细表I1-2'!C20</f>
        <v>0</v>
      </c>
      <c r="C8" s="159">
        <f>'明细表I1-2'!I20</f>
        <v>0</v>
      </c>
      <c r="D8" s="159">
        <f>'明细表I1-2'!L20</f>
        <v>0</v>
      </c>
      <c r="E8" s="159">
        <f>'明细表I1-2'!H20</f>
        <v>0</v>
      </c>
      <c r="F8" s="159">
        <f>'明细表I1-2'!I20+'明细表I1-2'!J20-'明细表I1-2'!K20</f>
        <v>0</v>
      </c>
      <c r="G8" s="159">
        <f>'明细表I1-2'!O20</f>
        <v>0</v>
      </c>
      <c r="H8" s="42">
        <f t="shared" ref="H8:H18" si="0">G8-D8</f>
        <v>0</v>
      </c>
      <c r="I8" s="161">
        <f t="shared" ref="I8:I18" si="1">IF(AND(D8=0,H8=0),0,IF(AND(D8=0,H8&gt;0),1,H8/D8))</f>
        <v>0</v>
      </c>
    </row>
    <row r="9" spans="1:9" ht="20.100000000000001" customHeight="1">
      <c r="A9" s="158" t="str">
        <f>底稿目录!A10</f>
        <v>住房使用权</v>
      </c>
      <c r="B9" s="159">
        <f>'明细表I1-2'!C21</f>
        <v>0</v>
      </c>
      <c r="C9" s="159">
        <f>'明细表I1-2'!I21</f>
        <v>0</v>
      </c>
      <c r="D9" s="159">
        <f>'明细表I1-2'!L21</f>
        <v>0</v>
      </c>
      <c r="E9" s="159">
        <f>'明细表I1-2'!H21</f>
        <v>0</v>
      </c>
      <c r="F9" s="159">
        <f>'明细表I1-2'!I21+'明细表I1-2'!J21-'明细表I1-2'!K21</f>
        <v>0</v>
      </c>
      <c r="G9" s="159">
        <f>'明细表I1-2'!O21</f>
        <v>0</v>
      </c>
      <c r="H9" s="42">
        <f t="shared" si="0"/>
        <v>0</v>
      </c>
      <c r="I9" s="161">
        <f t="shared" si="1"/>
        <v>0</v>
      </c>
    </row>
    <row r="10" spans="1:9" ht="20.100000000000001" customHeight="1">
      <c r="A10" s="158" t="str">
        <f>底稿目录!A11</f>
        <v>专利权</v>
      </c>
      <c r="B10" s="159">
        <f>'明细表I1-2'!C22</f>
        <v>0</v>
      </c>
      <c r="C10" s="159">
        <f>'明细表I1-2'!I22</f>
        <v>0</v>
      </c>
      <c r="D10" s="159">
        <f>'明细表I1-2'!L22</f>
        <v>0</v>
      </c>
      <c r="E10" s="159">
        <f>'明细表I1-2'!H22</f>
        <v>0</v>
      </c>
      <c r="F10" s="159">
        <f>'明细表I1-2'!I22+'明细表I1-2'!J22-'明细表I1-2'!K22</f>
        <v>0</v>
      </c>
      <c r="G10" s="159">
        <f>'明细表I1-2'!O22</f>
        <v>0</v>
      </c>
      <c r="H10" s="42">
        <f t="shared" si="0"/>
        <v>0</v>
      </c>
      <c r="I10" s="161">
        <f t="shared" si="1"/>
        <v>0</v>
      </c>
    </row>
    <row r="11" spans="1:9" ht="20.100000000000001" customHeight="1">
      <c r="A11" s="158" t="str">
        <f>底稿目录!A12</f>
        <v>非专利技术</v>
      </c>
      <c r="B11" s="159">
        <f>'明细表I1-2'!C23</f>
        <v>0</v>
      </c>
      <c r="C11" s="159">
        <f>'明细表I1-2'!I23</f>
        <v>0</v>
      </c>
      <c r="D11" s="159">
        <f>'明细表I1-2'!L23</f>
        <v>0</v>
      </c>
      <c r="E11" s="159">
        <f>'明细表I1-2'!H23</f>
        <v>0</v>
      </c>
      <c r="F11" s="159">
        <f>'明细表I1-2'!I23+'明细表I1-2'!J23-'明细表I1-2'!K23</f>
        <v>0</v>
      </c>
      <c r="G11" s="159">
        <f>'明细表I1-2'!O23</f>
        <v>0</v>
      </c>
      <c r="H11" s="42">
        <f t="shared" si="0"/>
        <v>0</v>
      </c>
      <c r="I11" s="161">
        <f t="shared" si="1"/>
        <v>0</v>
      </c>
    </row>
    <row r="12" spans="1:9" ht="20.100000000000001" customHeight="1">
      <c r="A12" s="158" t="str">
        <f>底稿目录!A13</f>
        <v>商标权</v>
      </c>
      <c r="B12" s="159">
        <f>'明细表I1-2'!C24</f>
        <v>0</v>
      </c>
      <c r="C12" s="159">
        <f>'明细表I1-2'!I24</f>
        <v>0</v>
      </c>
      <c r="D12" s="159">
        <f>'明细表I1-2'!L24</f>
        <v>0</v>
      </c>
      <c r="E12" s="159">
        <f>'明细表I1-2'!H24</f>
        <v>0</v>
      </c>
      <c r="F12" s="159">
        <f>'明细表I1-2'!I24+'明细表I1-2'!J24-'明细表I1-2'!K24</f>
        <v>0</v>
      </c>
      <c r="G12" s="159">
        <f>'明细表I1-2'!O24</f>
        <v>0</v>
      </c>
      <c r="H12" s="42">
        <f t="shared" si="0"/>
        <v>0</v>
      </c>
      <c r="I12" s="161">
        <f t="shared" si="1"/>
        <v>0</v>
      </c>
    </row>
    <row r="13" spans="1:9" ht="20.100000000000001" customHeight="1">
      <c r="A13" s="158" t="str">
        <f>底稿目录!A14</f>
        <v>著作权</v>
      </c>
      <c r="B13" s="159">
        <f>'明细表I1-2'!C25</f>
        <v>0</v>
      </c>
      <c r="C13" s="159">
        <f>'明细表I1-2'!I25</f>
        <v>0</v>
      </c>
      <c r="D13" s="159">
        <f>'明细表I1-2'!L25</f>
        <v>0</v>
      </c>
      <c r="E13" s="159">
        <f>'明细表I1-2'!H25</f>
        <v>0</v>
      </c>
      <c r="F13" s="159">
        <f>'明细表I1-2'!I25+'明细表I1-2'!J25-'明细表I1-2'!K25</f>
        <v>0</v>
      </c>
      <c r="G13" s="159">
        <f>'明细表I1-2'!O25</f>
        <v>0</v>
      </c>
      <c r="H13" s="42">
        <f t="shared" si="0"/>
        <v>0</v>
      </c>
      <c r="I13" s="161">
        <f t="shared" si="1"/>
        <v>0</v>
      </c>
    </row>
    <row r="14" spans="1:9" ht="20.100000000000001" customHeight="1">
      <c r="A14" s="158" t="str">
        <f>底稿目录!A15</f>
        <v>特许经营权</v>
      </c>
      <c r="B14" s="159">
        <f>'明细表I1-2'!C26</f>
        <v>0</v>
      </c>
      <c r="C14" s="159">
        <f>'明细表I1-2'!I26</f>
        <v>0</v>
      </c>
      <c r="D14" s="159">
        <f>'明细表I1-2'!L26</f>
        <v>0</v>
      </c>
      <c r="E14" s="159">
        <f>'明细表I1-2'!H26</f>
        <v>0</v>
      </c>
      <c r="F14" s="159">
        <f>'明细表I1-2'!I26+'明细表I1-2'!J26-'明细表I1-2'!K26</f>
        <v>0</v>
      </c>
      <c r="G14" s="159">
        <f>'明细表I1-2'!O26</f>
        <v>0</v>
      </c>
      <c r="H14" s="42">
        <f t="shared" si="0"/>
        <v>0</v>
      </c>
      <c r="I14" s="161">
        <f t="shared" si="1"/>
        <v>0</v>
      </c>
    </row>
    <row r="15" spans="1:9" ht="20.100000000000001" customHeight="1">
      <c r="A15" s="158" t="str">
        <f>底稿目录!A16</f>
        <v>软件</v>
      </c>
      <c r="B15" s="159">
        <f>'明细表I1-2'!C27</f>
        <v>0</v>
      </c>
      <c r="C15" s="159">
        <f>'明细表I1-2'!I27</f>
        <v>0</v>
      </c>
      <c r="D15" s="159">
        <f>'明细表I1-2'!L27</f>
        <v>0</v>
      </c>
      <c r="E15" s="159">
        <f>'明细表I1-2'!H27</f>
        <v>0</v>
      </c>
      <c r="F15" s="159">
        <f>'明细表I1-2'!I27+'明细表I1-2'!J27-'明细表I1-2'!K27</f>
        <v>0</v>
      </c>
      <c r="G15" s="159">
        <f>'明细表I1-2'!O27</f>
        <v>0</v>
      </c>
      <c r="H15" s="42">
        <f t="shared" si="0"/>
        <v>0</v>
      </c>
      <c r="I15" s="161">
        <f t="shared" si="1"/>
        <v>0</v>
      </c>
    </row>
    <row r="16" spans="1:9" ht="20.100000000000001" customHeight="1">
      <c r="A16" s="158" t="str">
        <f>底稿目录!A17</f>
        <v>矿产权</v>
      </c>
      <c r="B16" s="159">
        <f>'明细表I1-2'!C28</f>
        <v>0</v>
      </c>
      <c r="C16" s="159">
        <f>'明细表I1-2'!I28</f>
        <v>0</v>
      </c>
      <c r="D16" s="159">
        <f>'明细表I1-2'!L28</f>
        <v>0</v>
      </c>
      <c r="E16" s="159">
        <f>'明细表I1-2'!H28</f>
        <v>0</v>
      </c>
      <c r="F16" s="159">
        <f>'明细表I1-2'!I28+'明细表I1-2'!J28-'明细表I1-2'!K28</f>
        <v>0</v>
      </c>
      <c r="G16" s="159">
        <f>'明细表I1-2'!O28</f>
        <v>0</v>
      </c>
      <c r="H16" s="42">
        <f t="shared" si="0"/>
        <v>0</v>
      </c>
      <c r="I16" s="161">
        <f t="shared" si="1"/>
        <v>0</v>
      </c>
    </row>
    <row r="17" spans="1:9" ht="20.100000000000001" customHeight="1">
      <c r="A17" s="158" t="str">
        <f>底稿目录!A19</f>
        <v>其他</v>
      </c>
      <c r="B17" s="159">
        <f>'明细表I1-2'!C30</f>
        <v>0</v>
      </c>
      <c r="C17" s="159">
        <f>'明细表I1-2'!I30</f>
        <v>0</v>
      </c>
      <c r="D17" s="159">
        <f>'明细表I1-2'!L30</f>
        <v>0</v>
      </c>
      <c r="E17" s="159">
        <f>'明细表I1-2'!H30</f>
        <v>0</v>
      </c>
      <c r="F17" s="159">
        <f>'明细表I1-2'!I30+'明细表I1-2'!J30-'明细表I1-2'!K30</f>
        <v>0</v>
      </c>
      <c r="G17" s="159">
        <f>'明细表I1-2'!O30</f>
        <v>0</v>
      </c>
      <c r="H17" s="42">
        <f t="shared" si="0"/>
        <v>0</v>
      </c>
      <c r="I17" s="161">
        <f t="shared" si="1"/>
        <v>0</v>
      </c>
    </row>
    <row r="18" spans="1:9" s="1" customFormat="1" ht="20.100000000000001" customHeight="1">
      <c r="A18" s="160" t="s">
        <v>100</v>
      </c>
      <c r="B18" s="159">
        <f>SUM(B8:B17)</f>
        <v>0</v>
      </c>
      <c r="C18" s="159">
        <f t="shared" ref="C18:D18" si="2">SUM(C8:C17)</f>
        <v>0</v>
      </c>
      <c r="D18" s="159">
        <f t="shared" si="2"/>
        <v>0</v>
      </c>
      <c r="E18" s="159">
        <f t="shared" ref="E18:G18" si="3">SUM(E8:E17)</f>
        <v>0</v>
      </c>
      <c r="F18" s="159">
        <f t="shared" si="3"/>
        <v>0</v>
      </c>
      <c r="G18" s="159">
        <f t="shared" si="3"/>
        <v>0</v>
      </c>
      <c r="H18" s="42">
        <f t="shared" si="0"/>
        <v>0</v>
      </c>
      <c r="I18" s="161">
        <f t="shared" si="1"/>
        <v>0</v>
      </c>
    </row>
    <row r="19" spans="1:9" s="1" customFormat="1" ht="20.100000000000001" customHeight="1">
      <c r="A19" s="155" t="s">
        <v>101</v>
      </c>
      <c r="B19" s="155"/>
      <c r="C19" s="155"/>
      <c r="D19" s="155"/>
      <c r="E19" s="155"/>
      <c r="F19" s="155"/>
      <c r="G19" s="155"/>
      <c r="H19" s="155"/>
      <c r="I19" s="161"/>
    </row>
    <row r="20" spans="1:9" ht="20.100000000000001" customHeight="1">
      <c r="A20" s="17" t="str">
        <f t="shared" ref="A20:A29" si="4">A8</f>
        <v>土地使用权</v>
      </c>
      <c r="B20" s="159">
        <f>'明细表I1-2'!P20</f>
        <v>0</v>
      </c>
      <c r="C20" s="159">
        <f>'明细表I1-2'!V20</f>
        <v>0</v>
      </c>
      <c r="D20" s="159">
        <f>'明细表I1-2'!Y20</f>
        <v>0</v>
      </c>
      <c r="E20" s="159">
        <f>'明细表I1-2'!U20</f>
        <v>0</v>
      </c>
      <c r="F20" s="159">
        <f>'明细表I1-2'!V20+'明细表I1-2'!W20-'明细表I1-2'!X20</f>
        <v>0</v>
      </c>
      <c r="G20" s="159">
        <f>'明细表I1-2'!AB20</f>
        <v>0</v>
      </c>
      <c r="H20" s="42">
        <f t="shared" ref="H20:H30" si="5">G20-D20</f>
        <v>0</v>
      </c>
      <c r="I20" s="161">
        <f t="shared" ref="I20:I30" si="6">IF(AND(D20=0,H20=0),0,IF(AND(D20=0,H20&gt;0),1,H20/D20))</f>
        <v>0</v>
      </c>
    </row>
    <row r="21" spans="1:9" ht="20.100000000000001" customHeight="1">
      <c r="A21" s="17" t="str">
        <f t="shared" si="4"/>
        <v>住房使用权</v>
      </c>
      <c r="B21" s="159">
        <f>'明细表I1-2'!P21</f>
        <v>0</v>
      </c>
      <c r="C21" s="159">
        <f>'明细表I1-2'!V21</f>
        <v>0</v>
      </c>
      <c r="D21" s="159">
        <f>'明细表I1-2'!Y21</f>
        <v>0</v>
      </c>
      <c r="E21" s="159">
        <f>'明细表I1-2'!U21</f>
        <v>0</v>
      </c>
      <c r="F21" s="159">
        <f>'明细表I1-2'!V21+'明细表I1-2'!W21-'明细表I1-2'!X21</f>
        <v>0</v>
      </c>
      <c r="G21" s="159">
        <f>'明细表I1-2'!AB21</f>
        <v>0</v>
      </c>
      <c r="H21" s="42">
        <f t="shared" si="5"/>
        <v>0</v>
      </c>
      <c r="I21" s="161">
        <f t="shared" si="6"/>
        <v>0</v>
      </c>
    </row>
    <row r="22" spans="1:9" ht="20.100000000000001" customHeight="1">
      <c r="A22" s="17" t="str">
        <f t="shared" si="4"/>
        <v>专利权</v>
      </c>
      <c r="B22" s="159">
        <f>'明细表I1-2'!P22</f>
        <v>0</v>
      </c>
      <c r="C22" s="159">
        <f>'明细表I1-2'!V22</f>
        <v>0</v>
      </c>
      <c r="D22" s="159">
        <f>'明细表I1-2'!Y22</f>
        <v>0</v>
      </c>
      <c r="E22" s="159">
        <f>'明细表I1-2'!U22</f>
        <v>0</v>
      </c>
      <c r="F22" s="159">
        <f>'明细表I1-2'!V22+'明细表I1-2'!W22-'明细表I1-2'!X22</f>
        <v>0</v>
      </c>
      <c r="G22" s="159">
        <f>'明细表I1-2'!AB22</f>
        <v>0</v>
      </c>
      <c r="H22" s="42">
        <f t="shared" si="5"/>
        <v>0</v>
      </c>
      <c r="I22" s="161">
        <f t="shared" si="6"/>
        <v>0</v>
      </c>
    </row>
    <row r="23" spans="1:9" ht="20.100000000000001" customHeight="1">
      <c r="A23" s="17" t="str">
        <f t="shared" si="4"/>
        <v>非专利技术</v>
      </c>
      <c r="B23" s="159">
        <f>'明细表I1-2'!P23</f>
        <v>0</v>
      </c>
      <c r="C23" s="159">
        <f>'明细表I1-2'!V23</f>
        <v>0</v>
      </c>
      <c r="D23" s="159">
        <f>'明细表I1-2'!Y23</f>
        <v>0</v>
      </c>
      <c r="E23" s="159">
        <f>'明细表I1-2'!U23</f>
        <v>0</v>
      </c>
      <c r="F23" s="159">
        <f>'明细表I1-2'!V23+'明细表I1-2'!W23-'明细表I1-2'!X23</f>
        <v>0</v>
      </c>
      <c r="G23" s="159">
        <f>'明细表I1-2'!AB23</f>
        <v>0</v>
      </c>
      <c r="H23" s="42">
        <f t="shared" si="5"/>
        <v>0</v>
      </c>
      <c r="I23" s="161">
        <f t="shared" si="6"/>
        <v>0</v>
      </c>
    </row>
    <row r="24" spans="1:9" ht="20.100000000000001" customHeight="1">
      <c r="A24" s="17" t="str">
        <f t="shared" si="4"/>
        <v>商标权</v>
      </c>
      <c r="B24" s="159">
        <f>'明细表I1-2'!P24</f>
        <v>0</v>
      </c>
      <c r="C24" s="159">
        <f>'明细表I1-2'!V24</f>
        <v>0</v>
      </c>
      <c r="D24" s="159">
        <f>'明细表I1-2'!Y24</f>
        <v>0</v>
      </c>
      <c r="E24" s="159">
        <f>'明细表I1-2'!U24</f>
        <v>0</v>
      </c>
      <c r="F24" s="159">
        <f>'明细表I1-2'!V24+'明细表I1-2'!W24-'明细表I1-2'!X24</f>
        <v>0</v>
      </c>
      <c r="G24" s="159">
        <f>'明细表I1-2'!AB24</f>
        <v>0</v>
      </c>
      <c r="H24" s="42">
        <f t="shared" si="5"/>
        <v>0</v>
      </c>
      <c r="I24" s="161">
        <f t="shared" si="6"/>
        <v>0</v>
      </c>
    </row>
    <row r="25" spans="1:9" ht="20.100000000000001" customHeight="1">
      <c r="A25" s="17" t="str">
        <f t="shared" si="4"/>
        <v>著作权</v>
      </c>
      <c r="B25" s="159">
        <f>'明细表I1-2'!P25</f>
        <v>0</v>
      </c>
      <c r="C25" s="159">
        <f>'明细表I1-2'!V25</f>
        <v>0</v>
      </c>
      <c r="D25" s="159">
        <f>'明细表I1-2'!Y25</f>
        <v>0</v>
      </c>
      <c r="E25" s="159">
        <f>'明细表I1-2'!U25</f>
        <v>0</v>
      </c>
      <c r="F25" s="159">
        <f>'明细表I1-2'!V25+'明细表I1-2'!W25-'明细表I1-2'!X25</f>
        <v>0</v>
      </c>
      <c r="G25" s="159">
        <f>'明细表I1-2'!AB25</f>
        <v>0</v>
      </c>
      <c r="H25" s="42">
        <f t="shared" si="5"/>
        <v>0</v>
      </c>
      <c r="I25" s="161">
        <f t="shared" si="6"/>
        <v>0</v>
      </c>
    </row>
    <row r="26" spans="1:9" ht="20.100000000000001" customHeight="1">
      <c r="A26" s="17" t="str">
        <f t="shared" si="4"/>
        <v>特许经营权</v>
      </c>
      <c r="B26" s="159">
        <f>'明细表I1-2'!P26</f>
        <v>0</v>
      </c>
      <c r="C26" s="159">
        <f>'明细表I1-2'!V26</f>
        <v>0</v>
      </c>
      <c r="D26" s="159">
        <f>'明细表I1-2'!Y26</f>
        <v>0</v>
      </c>
      <c r="E26" s="159">
        <f>'明细表I1-2'!U26</f>
        <v>0</v>
      </c>
      <c r="F26" s="159">
        <f>'明细表I1-2'!V26+'明细表I1-2'!W26-'明细表I1-2'!X26</f>
        <v>0</v>
      </c>
      <c r="G26" s="159">
        <f>'明细表I1-2'!AB26</f>
        <v>0</v>
      </c>
      <c r="H26" s="42">
        <f t="shared" si="5"/>
        <v>0</v>
      </c>
      <c r="I26" s="161">
        <f t="shared" si="6"/>
        <v>0</v>
      </c>
    </row>
    <row r="27" spans="1:9" ht="20.100000000000001" customHeight="1">
      <c r="A27" s="17" t="str">
        <f t="shared" si="4"/>
        <v>软件</v>
      </c>
      <c r="B27" s="159">
        <f>'明细表I1-2'!P27</f>
        <v>0</v>
      </c>
      <c r="C27" s="159">
        <f>'明细表I1-2'!V27</f>
        <v>0</v>
      </c>
      <c r="D27" s="159">
        <f>'明细表I1-2'!Y27</f>
        <v>0</v>
      </c>
      <c r="E27" s="159">
        <f>'明细表I1-2'!U27</f>
        <v>0</v>
      </c>
      <c r="F27" s="159">
        <f>'明细表I1-2'!V27+'明细表I1-2'!W27-'明细表I1-2'!X27</f>
        <v>0</v>
      </c>
      <c r="G27" s="159">
        <f>'明细表I1-2'!AB27</f>
        <v>0</v>
      </c>
      <c r="H27" s="42">
        <f t="shared" si="5"/>
        <v>0</v>
      </c>
      <c r="I27" s="161">
        <f t="shared" si="6"/>
        <v>0</v>
      </c>
    </row>
    <row r="28" spans="1:9" ht="20.100000000000001" customHeight="1">
      <c r="A28" s="17" t="str">
        <f t="shared" si="4"/>
        <v>矿产权</v>
      </c>
      <c r="B28" s="159">
        <f>'明细表I1-2'!P28</f>
        <v>0</v>
      </c>
      <c r="C28" s="159">
        <f>'明细表I1-2'!V28</f>
        <v>0</v>
      </c>
      <c r="D28" s="159">
        <f>'明细表I1-2'!Y28</f>
        <v>0</v>
      </c>
      <c r="E28" s="159">
        <f>'明细表I1-2'!U28</f>
        <v>0</v>
      </c>
      <c r="F28" s="159">
        <f>'明细表I1-2'!V28+'明细表I1-2'!W28-'明细表I1-2'!X28</f>
        <v>0</v>
      </c>
      <c r="G28" s="159">
        <f>'明细表I1-2'!AB28</f>
        <v>0</v>
      </c>
      <c r="H28" s="42">
        <f t="shared" si="5"/>
        <v>0</v>
      </c>
      <c r="I28" s="161">
        <f t="shared" si="6"/>
        <v>0</v>
      </c>
    </row>
    <row r="29" spans="1:9" ht="20.100000000000001" customHeight="1">
      <c r="A29" s="17" t="str">
        <f t="shared" si="4"/>
        <v>其他</v>
      </c>
      <c r="B29" s="159">
        <f>'明细表I1-2'!P30</f>
        <v>0</v>
      </c>
      <c r="C29" s="159">
        <f>'明细表I1-2'!V30</f>
        <v>0</v>
      </c>
      <c r="D29" s="159">
        <f>'明细表I1-2'!Y30</f>
        <v>0</v>
      </c>
      <c r="E29" s="159">
        <f>'明细表I1-2'!U30</f>
        <v>0</v>
      </c>
      <c r="F29" s="159">
        <f>'明细表I1-2'!V30+'明细表I1-2'!W30-'明细表I1-2'!X30</f>
        <v>0</v>
      </c>
      <c r="G29" s="159">
        <f>'明细表I1-2'!AB30</f>
        <v>0</v>
      </c>
      <c r="H29" s="42">
        <f t="shared" si="5"/>
        <v>0</v>
      </c>
      <c r="I29" s="161">
        <f t="shared" si="6"/>
        <v>0</v>
      </c>
    </row>
    <row r="30" spans="1:9" s="1" customFormat="1" ht="20.100000000000001" customHeight="1">
      <c r="A30" s="160" t="s">
        <v>100</v>
      </c>
      <c r="B30" s="159">
        <f>SUM(B20:B29)</f>
        <v>0</v>
      </c>
      <c r="C30" s="159">
        <f t="shared" ref="C30:G30" si="7">SUM(C20:C29)</f>
        <v>0</v>
      </c>
      <c r="D30" s="159">
        <f t="shared" si="7"/>
        <v>0</v>
      </c>
      <c r="E30" s="159">
        <f t="shared" si="7"/>
        <v>0</v>
      </c>
      <c r="F30" s="159">
        <f t="shared" si="7"/>
        <v>0</v>
      </c>
      <c r="G30" s="159">
        <f t="shared" si="7"/>
        <v>0</v>
      </c>
      <c r="H30" s="42">
        <f t="shared" si="5"/>
        <v>0</v>
      </c>
      <c r="I30" s="161">
        <f t="shared" si="6"/>
        <v>0</v>
      </c>
    </row>
    <row r="31" spans="1:9" s="1" customFormat="1" ht="20.100000000000001" customHeight="1">
      <c r="A31" s="155" t="s">
        <v>102</v>
      </c>
      <c r="B31" s="155"/>
      <c r="C31" s="155"/>
      <c r="D31" s="155"/>
      <c r="E31" s="155"/>
      <c r="F31" s="155"/>
      <c r="G31" s="155"/>
      <c r="H31" s="155"/>
      <c r="I31" s="161"/>
    </row>
    <row r="32" spans="1:9" ht="20.100000000000001" customHeight="1">
      <c r="A32" s="17" t="str">
        <f t="shared" ref="A32:A41" si="8">A8</f>
        <v>土地使用权</v>
      </c>
      <c r="B32" s="159">
        <f>'明细表I1-2'!AC20</f>
        <v>0</v>
      </c>
      <c r="C32" s="159">
        <f>'明细表I1-2'!AI20</f>
        <v>0</v>
      </c>
      <c r="D32" s="159">
        <f>'明细表I1-2'!AL20</f>
        <v>0</v>
      </c>
      <c r="E32" s="159">
        <f>'明细表I1-2'!AH20</f>
        <v>0</v>
      </c>
      <c r="F32" s="159">
        <f>'明细表I1-2'!AI20+'明细表I1-2'!AJ20-'明细表I1-2'!AK20</f>
        <v>0</v>
      </c>
      <c r="G32" s="159">
        <f>'明细表I1-2'!AO20</f>
        <v>0</v>
      </c>
      <c r="H32" s="42">
        <f t="shared" ref="H32:H42" si="9">G32-D32</f>
        <v>0</v>
      </c>
      <c r="I32" s="161">
        <f t="shared" ref="I32:I42" si="10">IF(AND(D32=0,H32=0),0,IF(AND(D32=0,H32&gt;0),1,H32/D32))</f>
        <v>0</v>
      </c>
    </row>
    <row r="33" spans="1:9" ht="20.100000000000001" customHeight="1">
      <c r="A33" s="17" t="str">
        <f t="shared" si="8"/>
        <v>住房使用权</v>
      </c>
      <c r="B33" s="159">
        <f>'明细表I1-2'!AC21</f>
        <v>0</v>
      </c>
      <c r="C33" s="159">
        <f>'明细表I1-2'!AI21</f>
        <v>0</v>
      </c>
      <c r="D33" s="159">
        <f>'明细表I1-2'!AL21</f>
        <v>0</v>
      </c>
      <c r="E33" s="159">
        <f>'明细表I1-2'!AH21</f>
        <v>0</v>
      </c>
      <c r="F33" s="159">
        <f>'明细表I1-2'!AI21+'明细表I1-2'!AJ21-'明细表I1-2'!AK21</f>
        <v>0</v>
      </c>
      <c r="G33" s="159">
        <f>'明细表I1-2'!AO21</f>
        <v>0</v>
      </c>
      <c r="H33" s="42">
        <f t="shared" si="9"/>
        <v>0</v>
      </c>
      <c r="I33" s="161">
        <f t="shared" si="10"/>
        <v>0</v>
      </c>
    </row>
    <row r="34" spans="1:9" ht="20.100000000000001" customHeight="1">
      <c r="A34" s="17" t="str">
        <f t="shared" si="8"/>
        <v>专利权</v>
      </c>
      <c r="B34" s="159">
        <f>'明细表I1-2'!AC22</f>
        <v>0</v>
      </c>
      <c r="C34" s="159">
        <f>'明细表I1-2'!AI22</f>
        <v>0</v>
      </c>
      <c r="D34" s="159">
        <f>'明细表I1-2'!AL22</f>
        <v>0</v>
      </c>
      <c r="E34" s="159">
        <f>'明细表I1-2'!AH22</f>
        <v>0</v>
      </c>
      <c r="F34" s="159">
        <f>'明细表I1-2'!AI22+'明细表I1-2'!AJ22-'明细表I1-2'!AK22</f>
        <v>0</v>
      </c>
      <c r="G34" s="159">
        <f>'明细表I1-2'!AO22</f>
        <v>0</v>
      </c>
      <c r="H34" s="42">
        <f t="shared" si="9"/>
        <v>0</v>
      </c>
      <c r="I34" s="161">
        <f t="shared" si="10"/>
        <v>0</v>
      </c>
    </row>
    <row r="35" spans="1:9" ht="20.100000000000001" customHeight="1">
      <c r="A35" s="17" t="str">
        <f t="shared" si="8"/>
        <v>非专利技术</v>
      </c>
      <c r="B35" s="159">
        <f>'明细表I1-2'!AC23</f>
        <v>0</v>
      </c>
      <c r="C35" s="159">
        <f>'明细表I1-2'!AI23</f>
        <v>0</v>
      </c>
      <c r="D35" s="159">
        <f>'明细表I1-2'!AL23</f>
        <v>0</v>
      </c>
      <c r="E35" s="159">
        <f>'明细表I1-2'!AH23</f>
        <v>0</v>
      </c>
      <c r="F35" s="159">
        <f>'明细表I1-2'!AI23+'明细表I1-2'!AJ23-'明细表I1-2'!AK23</f>
        <v>0</v>
      </c>
      <c r="G35" s="159">
        <f>'明细表I1-2'!AO23</f>
        <v>0</v>
      </c>
      <c r="H35" s="42">
        <f t="shared" si="9"/>
        <v>0</v>
      </c>
      <c r="I35" s="161">
        <f t="shared" si="10"/>
        <v>0</v>
      </c>
    </row>
    <row r="36" spans="1:9" ht="20.100000000000001" customHeight="1">
      <c r="A36" s="17" t="str">
        <f t="shared" si="8"/>
        <v>商标权</v>
      </c>
      <c r="B36" s="159">
        <f>'明细表I1-2'!AC24</f>
        <v>0</v>
      </c>
      <c r="C36" s="159">
        <f>'明细表I1-2'!AI24</f>
        <v>0</v>
      </c>
      <c r="D36" s="159">
        <f>'明细表I1-2'!AL24</f>
        <v>0</v>
      </c>
      <c r="E36" s="159">
        <f>'明细表I1-2'!AH24</f>
        <v>0</v>
      </c>
      <c r="F36" s="159">
        <f>'明细表I1-2'!AI24+'明细表I1-2'!AJ24-'明细表I1-2'!AK24</f>
        <v>0</v>
      </c>
      <c r="G36" s="159">
        <f>'明细表I1-2'!AO24</f>
        <v>0</v>
      </c>
      <c r="H36" s="42">
        <f t="shared" si="9"/>
        <v>0</v>
      </c>
      <c r="I36" s="161">
        <f t="shared" si="10"/>
        <v>0</v>
      </c>
    </row>
    <row r="37" spans="1:9" ht="20.100000000000001" customHeight="1">
      <c r="A37" s="17" t="str">
        <f t="shared" si="8"/>
        <v>著作权</v>
      </c>
      <c r="B37" s="159">
        <f>'明细表I1-2'!AC25</f>
        <v>0</v>
      </c>
      <c r="C37" s="159">
        <f>'明细表I1-2'!AI25</f>
        <v>0</v>
      </c>
      <c r="D37" s="159">
        <f>'明细表I1-2'!AL25</f>
        <v>0</v>
      </c>
      <c r="E37" s="159">
        <f>'明细表I1-2'!AH25</f>
        <v>0</v>
      </c>
      <c r="F37" s="159">
        <f>'明细表I1-2'!AI25+'明细表I1-2'!AJ25-'明细表I1-2'!AK25</f>
        <v>0</v>
      </c>
      <c r="G37" s="159">
        <f>'明细表I1-2'!AO25</f>
        <v>0</v>
      </c>
      <c r="H37" s="42">
        <f t="shared" si="9"/>
        <v>0</v>
      </c>
      <c r="I37" s="161">
        <f t="shared" si="10"/>
        <v>0</v>
      </c>
    </row>
    <row r="38" spans="1:9" ht="20.100000000000001" customHeight="1">
      <c r="A38" s="17" t="str">
        <f t="shared" si="8"/>
        <v>特许经营权</v>
      </c>
      <c r="B38" s="159">
        <f>'明细表I1-2'!AC26</f>
        <v>0</v>
      </c>
      <c r="C38" s="159">
        <f>'明细表I1-2'!AI26</f>
        <v>0</v>
      </c>
      <c r="D38" s="159">
        <f>'明细表I1-2'!AL26</f>
        <v>0</v>
      </c>
      <c r="E38" s="159">
        <f>'明细表I1-2'!AH26</f>
        <v>0</v>
      </c>
      <c r="F38" s="159">
        <f>'明细表I1-2'!AI26+'明细表I1-2'!AJ26-'明细表I1-2'!AK26</f>
        <v>0</v>
      </c>
      <c r="G38" s="159">
        <f>'明细表I1-2'!AO26</f>
        <v>0</v>
      </c>
      <c r="H38" s="42">
        <f t="shared" si="9"/>
        <v>0</v>
      </c>
      <c r="I38" s="161">
        <f t="shared" si="10"/>
        <v>0</v>
      </c>
    </row>
    <row r="39" spans="1:9" ht="20.100000000000001" customHeight="1">
      <c r="A39" s="17" t="str">
        <f t="shared" si="8"/>
        <v>软件</v>
      </c>
      <c r="B39" s="159">
        <f>'明细表I1-2'!AC27</f>
        <v>0</v>
      </c>
      <c r="C39" s="159">
        <f>'明细表I1-2'!AI27</f>
        <v>0</v>
      </c>
      <c r="D39" s="159">
        <f>'明细表I1-2'!AL27</f>
        <v>0</v>
      </c>
      <c r="E39" s="159">
        <f>'明细表I1-2'!AH27</f>
        <v>0</v>
      </c>
      <c r="F39" s="159">
        <f>'明细表I1-2'!AI27+'明细表I1-2'!AJ27-'明细表I1-2'!AK27</f>
        <v>0</v>
      </c>
      <c r="G39" s="159">
        <f>'明细表I1-2'!AO27</f>
        <v>0</v>
      </c>
      <c r="H39" s="42">
        <f t="shared" si="9"/>
        <v>0</v>
      </c>
      <c r="I39" s="161">
        <f t="shared" si="10"/>
        <v>0</v>
      </c>
    </row>
    <row r="40" spans="1:9" ht="20.100000000000001" customHeight="1">
      <c r="A40" s="17" t="str">
        <f t="shared" si="8"/>
        <v>矿产权</v>
      </c>
      <c r="B40" s="159">
        <f>'明细表I1-2'!AC28</f>
        <v>0</v>
      </c>
      <c r="C40" s="159">
        <f>'明细表I1-2'!AI28</f>
        <v>0</v>
      </c>
      <c r="D40" s="159">
        <f>'明细表I1-2'!AL28</f>
        <v>0</v>
      </c>
      <c r="E40" s="159">
        <f>'明细表I1-2'!AH28</f>
        <v>0</v>
      </c>
      <c r="F40" s="159">
        <f>'明细表I1-2'!AI28+'明细表I1-2'!AJ28-'明细表I1-2'!AK28</f>
        <v>0</v>
      </c>
      <c r="G40" s="159">
        <f>'明细表I1-2'!AO28</f>
        <v>0</v>
      </c>
      <c r="H40" s="42">
        <f t="shared" si="9"/>
        <v>0</v>
      </c>
      <c r="I40" s="161">
        <f t="shared" si="10"/>
        <v>0</v>
      </c>
    </row>
    <row r="41" spans="1:9" ht="20.100000000000001" customHeight="1">
      <c r="A41" s="17" t="str">
        <f t="shared" si="8"/>
        <v>其他</v>
      </c>
      <c r="B41" s="159">
        <f>'明细表I1-2'!AC30</f>
        <v>0</v>
      </c>
      <c r="C41" s="159">
        <f>'明细表I1-2'!AI30</f>
        <v>0</v>
      </c>
      <c r="D41" s="159">
        <f>'明细表I1-2'!AL30</f>
        <v>0</v>
      </c>
      <c r="E41" s="159">
        <f>'明细表I1-2'!AH30</f>
        <v>0</v>
      </c>
      <c r="F41" s="159">
        <f>'明细表I1-2'!AI30+'明细表I1-2'!AJ30-'明细表I1-2'!AK30</f>
        <v>0</v>
      </c>
      <c r="G41" s="159">
        <f>'明细表I1-2'!AO30</f>
        <v>0</v>
      </c>
      <c r="H41" s="42">
        <f t="shared" si="9"/>
        <v>0</v>
      </c>
      <c r="I41" s="161">
        <f t="shared" si="10"/>
        <v>0</v>
      </c>
    </row>
    <row r="42" spans="1:9" s="1" customFormat="1" ht="20.100000000000001" customHeight="1">
      <c r="A42" s="160" t="s">
        <v>100</v>
      </c>
      <c r="B42" s="159">
        <f t="shared" ref="B42:D42" si="11">SUM(B32:B39)</f>
        <v>0</v>
      </c>
      <c r="C42" s="159">
        <f t="shared" si="11"/>
        <v>0</v>
      </c>
      <c r="D42" s="159">
        <f t="shared" si="11"/>
        <v>0</v>
      </c>
      <c r="E42" s="159"/>
      <c r="F42" s="159"/>
      <c r="G42" s="159"/>
      <c r="H42" s="42">
        <f t="shared" si="9"/>
        <v>0</v>
      </c>
      <c r="I42" s="161">
        <f t="shared" si="10"/>
        <v>0</v>
      </c>
    </row>
    <row r="43" spans="1:9" s="1" customFormat="1" ht="20.100000000000001" customHeight="1">
      <c r="A43" s="155" t="s">
        <v>103</v>
      </c>
      <c r="B43" s="155"/>
      <c r="C43" s="155"/>
      <c r="D43" s="155"/>
      <c r="E43" s="155"/>
      <c r="F43" s="155"/>
      <c r="G43" s="155"/>
      <c r="H43" s="155"/>
      <c r="I43" s="161"/>
    </row>
    <row r="44" spans="1:9" ht="20.100000000000001" customHeight="1">
      <c r="A44" s="17" t="str">
        <f t="shared" ref="A44:A53" si="12">A8</f>
        <v>土地使用权</v>
      </c>
      <c r="B44" s="159">
        <f>B8-B20-B32</f>
        <v>0</v>
      </c>
      <c r="C44" s="159">
        <f t="shared" ref="C44:G44" si="13">C8-C20-C32</f>
        <v>0</v>
      </c>
      <c r="D44" s="159">
        <f t="shared" si="13"/>
        <v>0</v>
      </c>
      <c r="E44" s="159">
        <f t="shared" si="13"/>
        <v>0</v>
      </c>
      <c r="F44" s="159">
        <f t="shared" si="13"/>
        <v>0</v>
      </c>
      <c r="G44" s="159">
        <f t="shared" si="13"/>
        <v>0</v>
      </c>
      <c r="H44" s="42">
        <f t="shared" ref="H44:H54" si="14">G44-D44</f>
        <v>0</v>
      </c>
      <c r="I44" s="161">
        <f t="shared" ref="I44:I54" si="15">IF(AND(D44=0,H44=0),0,IF(AND(D44=0,H44&gt;0),1,H44/D44))</f>
        <v>0</v>
      </c>
    </row>
    <row r="45" spans="1:9" ht="20.100000000000001" customHeight="1">
      <c r="A45" s="17" t="str">
        <f t="shared" si="12"/>
        <v>住房使用权</v>
      </c>
      <c r="B45" s="159">
        <f t="shared" ref="B45:G53" si="16">B9-B21-B33</f>
        <v>0</v>
      </c>
      <c r="C45" s="159">
        <f t="shared" si="16"/>
        <v>0</v>
      </c>
      <c r="D45" s="159">
        <f t="shared" si="16"/>
        <v>0</v>
      </c>
      <c r="E45" s="159">
        <f t="shared" si="16"/>
        <v>0</v>
      </c>
      <c r="F45" s="159">
        <f t="shared" si="16"/>
        <v>0</v>
      </c>
      <c r="G45" s="159">
        <f t="shared" si="16"/>
        <v>0</v>
      </c>
      <c r="H45" s="42">
        <f t="shared" si="14"/>
        <v>0</v>
      </c>
      <c r="I45" s="161">
        <f t="shared" si="15"/>
        <v>0</v>
      </c>
    </row>
    <row r="46" spans="1:9" ht="20.100000000000001" customHeight="1">
      <c r="A46" s="17" t="str">
        <f t="shared" si="12"/>
        <v>专利权</v>
      </c>
      <c r="B46" s="159">
        <f t="shared" si="16"/>
        <v>0</v>
      </c>
      <c r="C46" s="159">
        <f t="shared" si="16"/>
        <v>0</v>
      </c>
      <c r="D46" s="159">
        <f t="shared" si="16"/>
        <v>0</v>
      </c>
      <c r="E46" s="159">
        <f t="shared" si="16"/>
        <v>0</v>
      </c>
      <c r="F46" s="159">
        <f t="shared" si="16"/>
        <v>0</v>
      </c>
      <c r="G46" s="159">
        <f t="shared" si="16"/>
        <v>0</v>
      </c>
      <c r="H46" s="42">
        <f t="shared" si="14"/>
        <v>0</v>
      </c>
      <c r="I46" s="161">
        <f t="shared" si="15"/>
        <v>0</v>
      </c>
    </row>
    <row r="47" spans="1:9" ht="20.100000000000001" customHeight="1">
      <c r="A47" s="17" t="str">
        <f t="shared" si="12"/>
        <v>非专利技术</v>
      </c>
      <c r="B47" s="159">
        <f t="shared" si="16"/>
        <v>0</v>
      </c>
      <c r="C47" s="159">
        <f t="shared" si="16"/>
        <v>0</v>
      </c>
      <c r="D47" s="159">
        <f t="shared" si="16"/>
        <v>0</v>
      </c>
      <c r="E47" s="159">
        <f t="shared" si="16"/>
        <v>0</v>
      </c>
      <c r="F47" s="159">
        <f t="shared" si="16"/>
        <v>0</v>
      </c>
      <c r="G47" s="159">
        <f t="shared" si="16"/>
        <v>0</v>
      </c>
      <c r="H47" s="42">
        <f t="shared" si="14"/>
        <v>0</v>
      </c>
      <c r="I47" s="161">
        <f t="shared" si="15"/>
        <v>0</v>
      </c>
    </row>
    <row r="48" spans="1:9" ht="20.100000000000001" customHeight="1">
      <c r="A48" s="17" t="str">
        <f t="shared" si="12"/>
        <v>商标权</v>
      </c>
      <c r="B48" s="159">
        <f t="shared" si="16"/>
        <v>0</v>
      </c>
      <c r="C48" s="159">
        <f t="shared" si="16"/>
        <v>0</v>
      </c>
      <c r="D48" s="159">
        <f t="shared" si="16"/>
        <v>0</v>
      </c>
      <c r="E48" s="159">
        <f t="shared" si="16"/>
        <v>0</v>
      </c>
      <c r="F48" s="159">
        <f t="shared" si="16"/>
        <v>0</v>
      </c>
      <c r="G48" s="159">
        <f t="shared" si="16"/>
        <v>0</v>
      </c>
      <c r="H48" s="42">
        <f t="shared" si="14"/>
        <v>0</v>
      </c>
      <c r="I48" s="161">
        <f t="shared" si="15"/>
        <v>0</v>
      </c>
    </row>
    <row r="49" spans="1:9" ht="20.100000000000001" customHeight="1">
      <c r="A49" s="17" t="str">
        <f t="shared" si="12"/>
        <v>著作权</v>
      </c>
      <c r="B49" s="159">
        <f t="shared" si="16"/>
        <v>0</v>
      </c>
      <c r="C49" s="159">
        <f t="shared" si="16"/>
        <v>0</v>
      </c>
      <c r="D49" s="159">
        <f t="shared" si="16"/>
        <v>0</v>
      </c>
      <c r="E49" s="159">
        <f t="shared" si="16"/>
        <v>0</v>
      </c>
      <c r="F49" s="159">
        <f t="shared" si="16"/>
        <v>0</v>
      </c>
      <c r="G49" s="159">
        <f t="shared" si="16"/>
        <v>0</v>
      </c>
      <c r="H49" s="42">
        <f t="shared" si="14"/>
        <v>0</v>
      </c>
      <c r="I49" s="161">
        <f t="shared" si="15"/>
        <v>0</v>
      </c>
    </row>
    <row r="50" spans="1:9" ht="20.100000000000001" customHeight="1">
      <c r="A50" s="17" t="str">
        <f t="shared" si="12"/>
        <v>特许经营权</v>
      </c>
      <c r="B50" s="159">
        <f t="shared" si="16"/>
        <v>0</v>
      </c>
      <c r="C50" s="159">
        <f t="shared" si="16"/>
        <v>0</v>
      </c>
      <c r="D50" s="159">
        <f t="shared" si="16"/>
        <v>0</v>
      </c>
      <c r="E50" s="159">
        <f t="shared" si="16"/>
        <v>0</v>
      </c>
      <c r="F50" s="159">
        <f t="shared" si="16"/>
        <v>0</v>
      </c>
      <c r="G50" s="159">
        <f t="shared" si="16"/>
        <v>0</v>
      </c>
      <c r="H50" s="42">
        <f t="shared" si="14"/>
        <v>0</v>
      </c>
      <c r="I50" s="161">
        <f t="shared" si="15"/>
        <v>0</v>
      </c>
    </row>
    <row r="51" spans="1:9" ht="20.100000000000001" customHeight="1">
      <c r="A51" s="210" t="str">
        <f t="shared" si="12"/>
        <v>软件</v>
      </c>
      <c r="B51" s="211">
        <f t="shared" si="16"/>
        <v>0</v>
      </c>
      <c r="C51" s="211">
        <f t="shared" si="16"/>
        <v>0</v>
      </c>
      <c r="D51" s="211">
        <f t="shared" si="16"/>
        <v>0</v>
      </c>
      <c r="E51" s="211">
        <f t="shared" si="16"/>
        <v>0</v>
      </c>
      <c r="F51" s="211">
        <f t="shared" si="16"/>
        <v>0</v>
      </c>
      <c r="G51" s="211">
        <f t="shared" si="16"/>
        <v>0</v>
      </c>
      <c r="H51" s="212">
        <f t="shared" si="14"/>
        <v>0</v>
      </c>
      <c r="I51" s="213">
        <f t="shared" si="15"/>
        <v>0</v>
      </c>
    </row>
    <row r="52" spans="1:9" ht="20.100000000000001" customHeight="1">
      <c r="A52" s="210" t="str">
        <f t="shared" si="12"/>
        <v>矿产权</v>
      </c>
      <c r="B52" s="211">
        <f t="shared" si="16"/>
        <v>0</v>
      </c>
      <c r="C52" s="211">
        <f t="shared" si="16"/>
        <v>0</v>
      </c>
      <c r="D52" s="211">
        <f t="shared" si="16"/>
        <v>0</v>
      </c>
      <c r="E52" s="211">
        <f t="shared" si="16"/>
        <v>0</v>
      </c>
      <c r="F52" s="211">
        <f t="shared" si="16"/>
        <v>0</v>
      </c>
      <c r="G52" s="211">
        <f t="shared" si="16"/>
        <v>0</v>
      </c>
      <c r="H52" s="212">
        <f t="shared" si="14"/>
        <v>0</v>
      </c>
      <c r="I52" s="213">
        <f t="shared" si="15"/>
        <v>0</v>
      </c>
    </row>
    <row r="53" spans="1:9" ht="20.100000000000001" customHeight="1">
      <c r="A53" s="210" t="str">
        <f t="shared" si="12"/>
        <v>其他</v>
      </c>
      <c r="B53" s="211">
        <f t="shared" si="16"/>
        <v>0</v>
      </c>
      <c r="C53" s="211">
        <f t="shared" si="16"/>
        <v>0</v>
      </c>
      <c r="D53" s="211">
        <f t="shared" si="16"/>
        <v>0</v>
      </c>
      <c r="E53" s="211">
        <f t="shared" si="16"/>
        <v>0</v>
      </c>
      <c r="F53" s="211">
        <f t="shared" si="16"/>
        <v>0</v>
      </c>
      <c r="G53" s="211">
        <f t="shared" si="16"/>
        <v>0</v>
      </c>
      <c r="H53" s="212">
        <f t="shared" si="14"/>
        <v>0</v>
      </c>
      <c r="I53" s="213">
        <f t="shared" si="15"/>
        <v>0</v>
      </c>
    </row>
    <row r="54" spans="1:9" s="1" customFormat="1" ht="20.100000000000001" customHeight="1">
      <c r="A54" s="214" t="s">
        <v>100</v>
      </c>
      <c r="B54" s="211">
        <f>SUM(B44:B53)</f>
        <v>0</v>
      </c>
      <c r="C54" s="211">
        <f t="shared" ref="C54:G54" si="17">SUM(C44:C53)</f>
        <v>0</v>
      </c>
      <c r="D54" s="211">
        <f t="shared" si="17"/>
        <v>0</v>
      </c>
      <c r="E54" s="211">
        <f t="shared" si="17"/>
        <v>0</v>
      </c>
      <c r="F54" s="211">
        <f t="shared" si="17"/>
        <v>0</v>
      </c>
      <c r="G54" s="211">
        <f t="shared" si="17"/>
        <v>0</v>
      </c>
      <c r="H54" s="212">
        <f t="shared" si="14"/>
        <v>0</v>
      </c>
      <c r="I54" s="213">
        <f t="shared" si="15"/>
        <v>0</v>
      </c>
    </row>
    <row r="55" spans="1:9" s="1" customFormat="1" ht="20.100000000000001" customHeight="1">
      <c r="A55" s="214" t="s">
        <v>104</v>
      </c>
      <c r="B55" s="210"/>
      <c r="C55" s="210"/>
      <c r="D55" s="210"/>
      <c r="E55" s="210"/>
      <c r="F55" s="210"/>
      <c r="G55" s="210"/>
      <c r="H55" s="210"/>
      <c r="I55" s="210"/>
    </row>
    <row r="56" spans="1:9" s="1" customFormat="1" ht="20.100000000000001" customHeight="1">
      <c r="A56" s="215" t="s">
        <v>105</v>
      </c>
      <c r="B56" s="216">
        <f>B54-B55</f>
        <v>0</v>
      </c>
      <c r="C56" s="216">
        <f t="shared" ref="C56:G56" si="18">C54-C55</f>
        <v>0</v>
      </c>
      <c r="D56" s="216">
        <f t="shared" si="18"/>
        <v>0</v>
      </c>
      <c r="E56" s="216">
        <f t="shared" si="18"/>
        <v>0</v>
      </c>
      <c r="F56" s="216">
        <f t="shared" si="18"/>
        <v>0</v>
      </c>
      <c r="G56" s="216">
        <f t="shared" si="18"/>
        <v>0</v>
      </c>
      <c r="H56" s="210"/>
      <c r="I56" s="210"/>
    </row>
    <row r="57" spans="1:9" s="1" customFormat="1" ht="20.100000000000001" customHeight="1">
      <c r="A57" s="1" t="s">
        <v>106</v>
      </c>
    </row>
    <row r="58" spans="1:9" ht="20.100000000000001" customHeight="1">
      <c r="A58" s="7" t="s">
        <v>107</v>
      </c>
    </row>
    <row r="59" spans="1:9" ht="20.100000000000001" customHeight="1">
      <c r="A59" s="7" t="s">
        <v>108</v>
      </c>
    </row>
    <row r="60" spans="1:9" ht="20.100000000000001" customHeight="1"/>
    <row r="61" spans="1:9" ht="20.100000000000001" customHeight="1">
      <c r="A61" s="7" t="s">
        <v>109</v>
      </c>
    </row>
    <row r="62" spans="1:9" ht="20.100000000000001" customHeight="1"/>
    <row r="63" spans="1:9" ht="20.100000000000001" customHeight="1">
      <c r="A63" s="7" t="s">
        <v>110</v>
      </c>
    </row>
    <row r="64" spans="1:9" ht="20.100000000000001" customHeight="1"/>
    <row r="65" spans="1:9" s="1" customFormat="1" ht="20.100000000000001" customHeight="1">
      <c r="A65" s="1" t="s">
        <v>111</v>
      </c>
    </row>
    <row r="66" spans="1:9" ht="20.100000000000001" customHeight="1"/>
    <row r="67" spans="1:9" ht="20.100000000000001" customHeight="1"/>
    <row r="69" spans="1:9" ht="13.8">
      <c r="A69" s="162" t="s">
        <v>112</v>
      </c>
      <c r="B69" s="162"/>
      <c r="C69" s="162"/>
      <c r="D69" s="162"/>
      <c r="E69" s="162"/>
      <c r="F69" s="162"/>
      <c r="G69" s="162"/>
      <c r="H69" s="162"/>
      <c r="I69" s="162"/>
    </row>
    <row r="70" spans="1:9" ht="13.8">
      <c r="A70" s="234" t="s">
        <v>113</v>
      </c>
      <c r="B70" s="234"/>
      <c r="C70" s="234"/>
      <c r="D70" s="234"/>
      <c r="E70" s="234"/>
      <c r="F70" s="234"/>
      <c r="G70" s="234"/>
      <c r="H70" s="234"/>
      <c r="I70" s="234"/>
    </row>
    <row r="71" spans="1:9" ht="13.8">
      <c r="A71" s="234" t="s">
        <v>114</v>
      </c>
      <c r="B71" s="234"/>
      <c r="C71" s="234"/>
      <c r="D71" s="234"/>
      <c r="E71" s="234"/>
      <c r="F71" s="234"/>
      <c r="G71" s="234"/>
      <c r="H71" s="234"/>
      <c r="I71" s="234"/>
    </row>
    <row r="72" spans="1:9" ht="13.8">
      <c r="A72" s="234" t="s">
        <v>115</v>
      </c>
      <c r="B72" s="234"/>
      <c r="C72" s="234"/>
      <c r="D72" s="234"/>
      <c r="E72" s="234"/>
      <c r="F72" s="234"/>
      <c r="G72" s="234"/>
      <c r="H72" s="234"/>
      <c r="I72" s="234"/>
    </row>
    <row r="73" spans="1:9" ht="13.8">
      <c r="A73" s="234" t="s">
        <v>116</v>
      </c>
      <c r="B73" s="234"/>
      <c r="C73" s="234"/>
      <c r="D73" s="234"/>
      <c r="E73" s="234"/>
      <c r="F73" s="234"/>
      <c r="G73" s="234"/>
      <c r="H73" s="234"/>
      <c r="I73" s="234"/>
    </row>
    <row r="74" spans="1:9" ht="13.8">
      <c r="A74" s="234" t="s">
        <v>117</v>
      </c>
      <c r="B74" s="234"/>
      <c r="C74" s="234"/>
      <c r="D74" s="234"/>
      <c r="E74" s="234"/>
      <c r="F74" s="234"/>
      <c r="G74" s="234"/>
      <c r="H74" s="234"/>
      <c r="I74" s="234"/>
    </row>
    <row r="75" spans="1:9" ht="13.8">
      <c r="A75" s="234" t="s">
        <v>118</v>
      </c>
      <c r="B75" s="234"/>
      <c r="C75" s="234"/>
      <c r="D75" s="234"/>
      <c r="E75" s="234"/>
      <c r="F75" s="234"/>
      <c r="G75" s="234"/>
      <c r="H75" s="234"/>
      <c r="I75" s="234"/>
    </row>
    <row r="76" spans="1:9" ht="13.8">
      <c r="A76" s="234"/>
      <c r="B76" s="234"/>
      <c r="C76" s="234"/>
      <c r="D76" s="234"/>
      <c r="E76" s="234"/>
      <c r="F76" s="234"/>
      <c r="G76" s="234"/>
      <c r="H76" s="234"/>
      <c r="I76" s="234"/>
    </row>
    <row r="77" spans="1:9" ht="13.8">
      <c r="A77" s="234" t="s">
        <v>119</v>
      </c>
      <c r="B77" s="234"/>
      <c r="C77" s="234"/>
      <c r="D77" s="234"/>
      <c r="E77" s="234"/>
      <c r="F77" s="234"/>
      <c r="G77" s="234"/>
      <c r="H77" s="234"/>
      <c r="I77" s="234"/>
    </row>
    <row r="78" spans="1:9" ht="13.8">
      <c r="A78" s="234" t="s">
        <v>120</v>
      </c>
      <c r="B78" s="234"/>
      <c r="C78" s="234"/>
      <c r="D78" s="234"/>
      <c r="E78" s="234"/>
      <c r="F78" s="234"/>
      <c r="G78" s="234"/>
      <c r="H78" s="234"/>
      <c r="I78" s="234"/>
    </row>
    <row r="79" spans="1:9" ht="13.8">
      <c r="A79" s="234" t="s">
        <v>121</v>
      </c>
      <c r="B79" s="234"/>
      <c r="C79" s="234"/>
      <c r="D79" s="234"/>
      <c r="E79" s="234"/>
      <c r="F79" s="234"/>
      <c r="G79" s="234"/>
      <c r="H79" s="234"/>
      <c r="I79" s="234"/>
    </row>
    <row r="80" spans="1:9" ht="13.8">
      <c r="A80" s="234" t="s">
        <v>122</v>
      </c>
      <c r="B80" s="234"/>
      <c r="C80" s="234"/>
      <c r="D80" s="234"/>
      <c r="E80" s="234"/>
      <c r="F80" s="234"/>
      <c r="G80" s="234"/>
      <c r="H80" s="234"/>
      <c r="I80" s="234"/>
    </row>
    <row r="81" spans="1:9" ht="13.8">
      <c r="A81" s="234" t="s">
        <v>123</v>
      </c>
      <c r="B81" s="234"/>
      <c r="C81" s="234"/>
      <c r="D81" s="234"/>
      <c r="E81" s="234"/>
      <c r="F81" s="234"/>
      <c r="G81" s="234"/>
      <c r="H81" s="234"/>
      <c r="I81" s="234"/>
    </row>
    <row r="82" spans="1:9" ht="13.8">
      <c r="A82" s="234" t="s">
        <v>124</v>
      </c>
      <c r="B82" s="234"/>
      <c r="C82" s="234"/>
      <c r="D82" s="234"/>
      <c r="E82" s="234"/>
      <c r="F82" s="234"/>
      <c r="G82" s="234"/>
      <c r="H82" s="234"/>
      <c r="I82" s="234"/>
    </row>
    <row r="83" spans="1:9" ht="13.8">
      <c r="A83" s="234" t="s">
        <v>125</v>
      </c>
      <c r="B83" s="234"/>
      <c r="C83" s="234"/>
      <c r="D83" s="234"/>
      <c r="E83" s="234"/>
      <c r="F83" s="234"/>
      <c r="G83" s="234"/>
      <c r="H83" s="234"/>
      <c r="I83" s="234"/>
    </row>
    <row r="84" spans="1:9" ht="13.8">
      <c r="A84" s="234" t="s">
        <v>126</v>
      </c>
      <c r="B84" s="234"/>
      <c r="C84" s="234"/>
      <c r="D84" s="234"/>
      <c r="E84" s="234"/>
      <c r="F84" s="234"/>
      <c r="G84" s="234"/>
      <c r="H84" s="234"/>
      <c r="I84" s="234"/>
    </row>
    <row r="85" spans="1:9" ht="13.8">
      <c r="A85" s="234" t="s">
        <v>127</v>
      </c>
      <c r="B85" s="234"/>
      <c r="C85" s="234"/>
      <c r="D85" s="234"/>
      <c r="E85" s="234"/>
      <c r="F85" s="234"/>
      <c r="G85" s="234"/>
      <c r="H85" s="234"/>
      <c r="I85" s="234"/>
    </row>
    <row r="86" spans="1:9" ht="13.8">
      <c r="A86" s="234" t="s">
        <v>128</v>
      </c>
      <c r="B86" s="234"/>
      <c r="C86" s="234"/>
      <c r="D86" s="234"/>
      <c r="E86" s="234"/>
      <c r="F86" s="234"/>
      <c r="G86" s="234"/>
      <c r="H86" s="234"/>
      <c r="I86" s="234"/>
    </row>
    <row r="87" spans="1:9" ht="13.8">
      <c r="A87" s="234" t="s">
        <v>129</v>
      </c>
      <c r="B87" s="234"/>
      <c r="C87" s="234"/>
      <c r="D87" s="234"/>
      <c r="E87" s="234"/>
      <c r="F87" s="234"/>
      <c r="G87" s="234"/>
      <c r="H87" s="234"/>
      <c r="I87" s="234"/>
    </row>
    <row r="88" spans="1:9" ht="13.8">
      <c r="A88" s="234" t="s">
        <v>130</v>
      </c>
      <c r="B88" s="234"/>
      <c r="C88" s="234"/>
      <c r="D88" s="234"/>
      <c r="E88" s="234"/>
      <c r="F88" s="234"/>
      <c r="G88" s="234"/>
      <c r="H88" s="234"/>
      <c r="I88" s="234"/>
    </row>
    <row r="89" spans="1:9" ht="13.8">
      <c r="A89" s="234" t="s">
        <v>131</v>
      </c>
      <c r="B89" s="234"/>
      <c r="C89" s="234"/>
      <c r="D89" s="234"/>
      <c r="E89" s="234"/>
      <c r="F89" s="234"/>
      <c r="G89" s="234"/>
      <c r="H89" s="234"/>
      <c r="I89" s="234"/>
    </row>
    <row r="90" spans="1:9" ht="13.8">
      <c r="A90" s="234" t="s">
        <v>132</v>
      </c>
      <c r="B90" s="234"/>
      <c r="C90" s="234"/>
      <c r="D90" s="234"/>
      <c r="E90" s="234"/>
      <c r="F90" s="234"/>
      <c r="G90" s="234"/>
      <c r="H90" s="234"/>
      <c r="I90" s="234"/>
    </row>
    <row r="91" spans="1:9" ht="13.8">
      <c r="A91" s="234" t="s">
        <v>133</v>
      </c>
      <c r="B91" s="234"/>
      <c r="C91" s="234"/>
      <c r="D91" s="234"/>
      <c r="E91" s="234"/>
      <c r="F91" s="234"/>
      <c r="G91" s="234"/>
      <c r="H91" s="234"/>
      <c r="I91" s="234"/>
    </row>
    <row r="92" spans="1:9" ht="18" customHeight="1">
      <c r="A92" s="282" t="s">
        <v>134</v>
      </c>
      <c r="B92" s="282"/>
      <c r="C92" s="282"/>
      <c r="D92" s="282"/>
      <c r="E92" s="282"/>
      <c r="F92" s="282"/>
      <c r="G92" s="282"/>
      <c r="H92" s="282"/>
      <c r="I92" s="282"/>
    </row>
    <row r="93" spans="1:9" ht="18" customHeight="1">
      <c r="A93" s="282"/>
      <c r="B93" s="282"/>
      <c r="C93" s="282"/>
      <c r="D93" s="282"/>
      <c r="E93" s="282"/>
      <c r="F93" s="282"/>
      <c r="G93" s="282"/>
      <c r="H93" s="282"/>
      <c r="I93" s="282"/>
    </row>
  </sheetData>
  <mergeCells count="7">
    <mergeCell ref="A92:I93"/>
    <mergeCell ref="A1:I1"/>
    <mergeCell ref="A2:I2"/>
    <mergeCell ref="B5:D5"/>
    <mergeCell ref="E5:G5"/>
    <mergeCell ref="H5:I5"/>
    <mergeCell ref="A5:A6"/>
  </mergeCells>
  <phoneticPr fontId="75" type="noConversion"/>
  <conditionalFormatting sqref="B56:G56">
    <cfRule type="cellIs" dxfId="0" priority="1" operator="notEqual">
      <formula>0</formula>
    </cfRule>
  </conditionalFormatting>
  <dataValidations count="1">
    <dataValidation type="list" allowBlank="1" showInputMessage="1" showErrorMessage="1" sqref="B65">
      <formula1>$B$89:$B$91</formula1>
    </dataValidation>
  </dataValidations>
  <hyperlinks>
    <hyperlink ref="I3" location="底稿目录!A1" display="I1-1"/>
  </hyperlinks>
  <printOptions horizontalCentered="1"/>
  <pageMargins left="0.59055118110236227" right="0.59055118110236227" top="0.78740157480314965" bottom="0.39370078740157483" header="0.51181102362204722" footer="0.31496062992125984"/>
  <pageSetup paperSize="9" scale="70" fitToHeight="6" orientation="portrait" blackAndWhite="1" r:id="rId1"/>
  <headerFooter>
    <oddFooter>&amp;C&amp;P/&amp;N</oddFooter>
  </headerFooter>
  <rowBreaks count="1" manualBreakCount="1">
    <brk id="4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V64"/>
  <sheetViews>
    <sheetView view="pageBreakPreview" topLeftCell="A6" zoomScaleNormal="100" workbookViewId="0">
      <pane xSplit="1" ySplit="5" topLeftCell="B11" activePane="bottomRight" state="frozen"/>
      <selection pane="topRight"/>
      <selection pane="bottomLeft"/>
      <selection pane="bottomRight" activeCell="E26" sqref="E26"/>
    </sheetView>
  </sheetViews>
  <sheetFormatPr defaultColWidth="9" defaultRowHeight="13.8"/>
  <cols>
    <col min="1" max="1" width="53.21875" style="7" customWidth="1"/>
    <col min="2" max="2" width="14.44140625" style="7" customWidth="1"/>
    <col min="3" max="3" width="13.44140625" style="7" customWidth="1"/>
    <col min="4" max="4" width="11.6640625" style="7" customWidth="1"/>
    <col min="5" max="5" width="15.21875" style="7" customWidth="1"/>
    <col min="6" max="7" width="11.44140625" style="7" customWidth="1"/>
    <col min="8" max="8" width="14.21875" style="7" customWidth="1"/>
    <col min="9" max="12" width="11.44140625" style="7" customWidth="1"/>
    <col min="13" max="13" width="15.6640625" style="7" customWidth="1"/>
    <col min="14" max="16384" width="9" style="7"/>
  </cols>
  <sheetData>
    <row r="1" spans="1:22" s="1" customFormat="1">
      <c r="A1" s="292" t="s">
        <v>86</v>
      </c>
      <c r="B1" s="292"/>
      <c r="C1" s="292"/>
      <c r="D1" s="292"/>
      <c r="E1" s="292"/>
      <c r="F1" s="292"/>
      <c r="G1" s="292"/>
      <c r="H1" s="292"/>
      <c r="I1" s="292"/>
      <c r="J1" s="292"/>
      <c r="K1" s="292"/>
      <c r="L1" s="292"/>
      <c r="M1" s="292"/>
      <c r="N1" s="5"/>
      <c r="O1" s="5"/>
      <c r="P1" s="5"/>
      <c r="Q1" s="5"/>
      <c r="R1" s="5"/>
      <c r="S1" s="5"/>
      <c r="T1" s="5"/>
      <c r="U1" s="5"/>
      <c r="V1" s="5"/>
    </row>
    <row r="2" spans="1:22" s="2" customFormat="1" ht="15.6">
      <c r="A2" s="283" t="s">
        <v>135</v>
      </c>
      <c r="B2" s="283"/>
      <c r="C2" s="283"/>
      <c r="D2" s="283"/>
      <c r="E2" s="283"/>
      <c r="F2" s="283"/>
      <c r="G2" s="283"/>
      <c r="H2" s="283"/>
      <c r="I2" s="283"/>
      <c r="J2" s="283"/>
      <c r="K2" s="283"/>
      <c r="L2" s="283"/>
      <c r="M2" s="283"/>
      <c r="N2" s="8"/>
      <c r="O2" s="8"/>
      <c r="P2" s="8"/>
      <c r="Q2" s="8"/>
      <c r="R2" s="8"/>
      <c r="S2" s="8"/>
      <c r="T2" s="8"/>
      <c r="U2" s="8"/>
      <c r="V2" s="8"/>
    </row>
    <row r="3" spans="1:22">
      <c r="A3" s="7" t="str">
        <f>底稿目录!A2</f>
        <v>被审计单位：</v>
      </c>
      <c r="D3" s="7" t="str">
        <f>底稿目录!A4</f>
        <v>编制人：</v>
      </c>
      <c r="H3" s="7" t="str">
        <f>底稿目录!A5</f>
        <v>编制日期：</v>
      </c>
      <c r="L3" s="7" t="s">
        <v>88</v>
      </c>
      <c r="M3" s="26" t="s">
        <v>85</v>
      </c>
    </row>
    <row r="4" spans="1:22">
      <c r="A4" s="7" t="str">
        <f>底稿目录!A3</f>
        <v>截止日：202X年12月31日</v>
      </c>
      <c r="D4" s="7" t="str">
        <f>底稿目录!A6</f>
        <v>复核人：</v>
      </c>
      <c r="H4" s="133" t="str">
        <f>底稿目录!A7</f>
        <v>复核日期：</v>
      </c>
      <c r="L4" s="7" t="s">
        <v>136</v>
      </c>
      <c r="M4" s="26"/>
    </row>
    <row r="5" spans="1:22" ht="16.2">
      <c r="A5" s="134" t="s">
        <v>137</v>
      </c>
      <c r="B5" s="135"/>
      <c r="C5" s="135"/>
      <c r="D5" s="135"/>
      <c r="E5" s="135"/>
      <c r="F5" s="135"/>
      <c r="G5" s="135"/>
      <c r="H5" s="135"/>
      <c r="I5" s="135"/>
      <c r="J5" s="135"/>
      <c r="K5" s="135"/>
      <c r="L5" s="135"/>
      <c r="M5" s="135"/>
    </row>
    <row r="6" spans="1:22" ht="15.6" customHeight="1">
      <c r="A6" s="292" t="s">
        <v>86</v>
      </c>
      <c r="B6" s="292"/>
      <c r="C6" s="292"/>
      <c r="D6" s="292"/>
      <c r="E6" s="292"/>
      <c r="F6" s="292"/>
      <c r="G6" s="292"/>
      <c r="H6" s="292"/>
      <c r="I6" s="292"/>
      <c r="J6" s="292"/>
      <c r="K6" s="292"/>
      <c r="L6" s="292"/>
      <c r="M6" s="292"/>
    </row>
    <row r="7" spans="1:22" ht="15.6">
      <c r="A7" s="283" t="s">
        <v>138</v>
      </c>
      <c r="B7" s="283"/>
      <c r="C7" s="283"/>
      <c r="D7" s="283"/>
      <c r="E7" s="283"/>
      <c r="F7" s="283"/>
      <c r="G7" s="283"/>
      <c r="H7" s="283"/>
      <c r="I7" s="283"/>
      <c r="J7" s="283"/>
      <c r="K7" s="283"/>
      <c r="L7" s="283"/>
      <c r="M7" s="283"/>
    </row>
    <row r="8" spans="1:22" ht="15.6">
      <c r="A8" s="7" t="str">
        <f>底稿目录!A2</f>
        <v>被审计单位：</v>
      </c>
      <c r="B8" s="7" t="str">
        <f>底稿目录!A4</f>
        <v>编制人：</v>
      </c>
      <c r="E8" s="7" t="str">
        <f>底稿目录!A6</f>
        <v>复核人：</v>
      </c>
      <c r="F8" s="135"/>
      <c r="G8" s="135"/>
      <c r="H8" s="135"/>
      <c r="I8" s="135"/>
      <c r="J8" s="135"/>
      <c r="K8" s="135"/>
      <c r="L8" s="7" t="s">
        <v>88</v>
      </c>
      <c r="M8" s="26"/>
    </row>
    <row r="9" spans="1:22" ht="15.6">
      <c r="A9" s="7" t="str">
        <f>底稿目录!A3</f>
        <v>截止日：202X年12月31日</v>
      </c>
      <c r="B9" s="7" t="str">
        <f>底稿目录!A5</f>
        <v>编制日期：</v>
      </c>
      <c r="E9" s="7" t="str">
        <f>底稿目录!A7</f>
        <v>复核日期：</v>
      </c>
      <c r="F9" s="135"/>
      <c r="G9" s="135"/>
      <c r="H9" s="135"/>
      <c r="I9" s="135"/>
      <c r="J9" s="135"/>
      <c r="K9" s="135"/>
      <c r="L9" s="7" t="s">
        <v>136</v>
      </c>
      <c r="M9" s="26"/>
    </row>
    <row r="10" spans="1:22" s="120" customFormat="1" ht="12">
      <c r="A10" s="136" t="s">
        <v>139</v>
      </c>
      <c r="B10" s="136" t="str">
        <f>底稿目录!A9</f>
        <v>土地使用权</v>
      </c>
      <c r="C10" s="136" t="str">
        <f>底稿目录!A10</f>
        <v>住房使用权</v>
      </c>
      <c r="D10" s="136" t="str">
        <f>底稿目录!A11</f>
        <v>专利权</v>
      </c>
      <c r="E10" s="136" t="str">
        <f>底稿目录!A12</f>
        <v>非专利技术</v>
      </c>
      <c r="F10" s="136" t="str">
        <f>底稿目录!A13</f>
        <v>商标权</v>
      </c>
      <c r="G10" s="136" t="str">
        <f>底稿目录!A14</f>
        <v>著作权</v>
      </c>
      <c r="H10" s="136" t="str">
        <f>底稿目录!A15</f>
        <v>特许经营权</v>
      </c>
      <c r="I10" s="136" t="str">
        <f>底稿目录!A16</f>
        <v>软件</v>
      </c>
      <c r="J10" s="136" t="str">
        <f>底稿目录!A17</f>
        <v>矿产权</v>
      </c>
      <c r="K10" s="136" t="s">
        <v>32</v>
      </c>
      <c r="L10" s="136" t="str">
        <f>底稿目录!A19</f>
        <v>其他</v>
      </c>
      <c r="M10" s="136" t="s">
        <v>140</v>
      </c>
    </row>
    <row r="11" spans="1:22" s="120" customFormat="1">
      <c r="A11" s="127" t="s">
        <v>141</v>
      </c>
      <c r="B11" s="137"/>
      <c r="C11" s="137"/>
      <c r="D11" s="137"/>
      <c r="E11" s="137"/>
      <c r="F11" s="137"/>
      <c r="G11" s="137"/>
      <c r="H11" s="137"/>
      <c r="I11" s="137"/>
      <c r="J11" s="137"/>
      <c r="K11" s="137"/>
      <c r="L11" s="137"/>
      <c r="M11" s="138"/>
    </row>
    <row r="12" spans="1:22" s="120" customFormat="1">
      <c r="A12" s="127" t="s">
        <v>142</v>
      </c>
      <c r="B12" s="138">
        <f>'明细表I1-2'!L20</f>
        <v>0</v>
      </c>
      <c r="C12" s="138">
        <f>'明细表I1-2'!L21</f>
        <v>0</v>
      </c>
      <c r="D12" s="138">
        <f>'明细表I1-2'!L22</f>
        <v>0</v>
      </c>
      <c r="E12" s="138">
        <f>'明细表I1-2'!L23</f>
        <v>0</v>
      </c>
      <c r="F12" s="138">
        <f>'明细表I1-2'!L24</f>
        <v>0</v>
      </c>
      <c r="G12" s="138">
        <f>'明细表I1-2'!L25</f>
        <v>0</v>
      </c>
      <c r="H12" s="138">
        <f>'明细表I1-2'!L26</f>
        <v>0</v>
      </c>
      <c r="I12" s="138">
        <f>'明细表I1-2'!L27</f>
        <v>0</v>
      </c>
      <c r="J12" s="138">
        <f>'明细表I1-2'!L28</f>
        <v>0</v>
      </c>
      <c r="K12" s="152">
        <f>'明细表I1-2'!M29</f>
        <v>0</v>
      </c>
      <c r="L12" s="138">
        <f>'明细表I1-2'!L30</f>
        <v>0</v>
      </c>
      <c r="M12" s="138">
        <f>SUM(B12:L12)</f>
        <v>0</v>
      </c>
    </row>
    <row r="13" spans="1:22" s="120" customFormat="1">
      <c r="A13" s="127" t="s">
        <v>143</v>
      </c>
      <c r="B13" s="139">
        <f>SUM(B14:B18)</f>
        <v>0</v>
      </c>
      <c r="C13" s="139">
        <f t="shared" ref="C13:E13" si="0">SUM(C14:C18)</f>
        <v>0</v>
      </c>
      <c r="D13" s="139">
        <f t="shared" si="0"/>
        <v>0</v>
      </c>
      <c r="E13" s="139">
        <f t="shared" si="0"/>
        <v>0</v>
      </c>
      <c r="F13" s="139">
        <f t="shared" ref="F13" si="1">SUM(F14:F18)</f>
        <v>0</v>
      </c>
      <c r="G13" s="139">
        <f t="shared" ref="G13" si="2">SUM(G14:G18)</f>
        <v>0</v>
      </c>
      <c r="H13" s="139">
        <f t="shared" ref="H13" si="3">SUM(H14:H18)</f>
        <v>0</v>
      </c>
      <c r="I13" s="139">
        <f t="shared" ref="I13" si="4">SUM(I14:I18)</f>
        <v>0</v>
      </c>
      <c r="J13" s="139">
        <f t="shared" ref="J13:K13" si="5">SUM(J14:J18)</f>
        <v>0</v>
      </c>
      <c r="K13" s="139">
        <f t="shared" si="5"/>
        <v>0</v>
      </c>
      <c r="L13" s="139">
        <f t="shared" ref="L13" si="6">SUM(L14:L18)</f>
        <v>0</v>
      </c>
      <c r="M13" s="138">
        <f>SUM(B13:L13)</f>
        <v>0</v>
      </c>
    </row>
    <row r="14" spans="1:22" s="120" customFormat="1">
      <c r="A14" s="127" t="s">
        <v>144</v>
      </c>
      <c r="B14" s="139">
        <f>IF('明细表I1-2'!$E$20="购置",'明细表I1-2'!$M$20,0)</f>
        <v>0</v>
      </c>
      <c r="C14" s="139">
        <f>IF('明细表I1-2'!$E$21="购置",'明细表I1-2'!$M$21,0)</f>
        <v>0</v>
      </c>
      <c r="D14" s="139">
        <f>IF('明细表I1-2'!$E$22="购置",'明细表I1-2'!$M$22,0)</f>
        <v>0</v>
      </c>
      <c r="E14" s="139">
        <f>IF('明细表I1-2'!$E$23="购置",'明细表I1-2'!$M$23,0)</f>
        <v>0</v>
      </c>
      <c r="F14" s="139">
        <f>IF('明细表I1-2'!$E$24="购置",'明细表I1-2'!$M$24,0)</f>
        <v>0</v>
      </c>
      <c r="G14" s="139">
        <f>IF('明细表I1-2'!$E$25="购置",'明细表I1-2'!$M$25,0)</f>
        <v>0</v>
      </c>
      <c r="H14" s="139">
        <f>IF('明细表I1-2'!$E$26="购置",'明细表I1-2'!$M$26,0)</f>
        <v>0</v>
      </c>
      <c r="I14" s="139">
        <f>IF('明细表I1-2'!$E$27="购置",'明细表I1-2'!$M$27,0)</f>
        <v>0</v>
      </c>
      <c r="J14" s="139">
        <f>IF('明细表I1-2'!$E$28="购置",'明细表I1-2'!$M$28,0)</f>
        <v>0</v>
      </c>
      <c r="K14" s="153">
        <f>IF('明细表I1-2'!$E$29="购置",'明细表I1-2'!$M$29,0)</f>
        <v>0</v>
      </c>
      <c r="L14" s="139">
        <f>IF('明细表I1-2'!$E$30="购置",'明细表I1-2'!$M$30,0)</f>
        <v>0</v>
      </c>
      <c r="M14" s="138">
        <f t="shared" ref="M14:M48" si="7">SUM(B14:L14)</f>
        <v>0</v>
      </c>
    </row>
    <row r="15" spans="1:22" s="120" customFormat="1">
      <c r="A15" s="127" t="s">
        <v>145</v>
      </c>
      <c r="B15" s="139">
        <f>IF('明细表I1-2'!$E$20="内部研发",'明细表I1-2'!$M$20,0)</f>
        <v>0</v>
      </c>
      <c r="C15" s="139">
        <f>IF('明细表I1-2'!$E$21="内部研发",'明细表I1-2'!$M$21,0)</f>
        <v>0</v>
      </c>
      <c r="D15" s="139">
        <f>IF('明细表I1-2'!$E$22="内部研发",'明细表I1-2'!$M$22,0)</f>
        <v>0</v>
      </c>
      <c r="E15" s="139">
        <f>IF('明细表I1-2'!$E$23="内部研发",'明细表I1-2'!$M$23,0)</f>
        <v>0</v>
      </c>
      <c r="F15" s="139">
        <f>IF('明细表I1-2'!$E$24="内部研发",'明细表I1-2'!$M$24,0)</f>
        <v>0</v>
      </c>
      <c r="G15" s="139">
        <f>IF('明细表I1-2'!$E$25="内部研发",'明细表I1-2'!$M$25,0)</f>
        <v>0</v>
      </c>
      <c r="H15" s="139">
        <f>IF('明细表I1-2'!$E$26="内部研发",'明细表I1-2'!$M$26,0)</f>
        <v>0</v>
      </c>
      <c r="I15" s="139">
        <f>IF('明细表I1-2'!$E$27="内部研发",'明细表I1-2'!$M$27,0)</f>
        <v>0</v>
      </c>
      <c r="J15" s="139">
        <f>IF('明细表I1-2'!$E$28="内部研发",'明细表I1-2'!$M$28,0)</f>
        <v>0</v>
      </c>
      <c r="K15" s="153">
        <f>IF('明细表I1-2'!$E$29="内部研发",'明细表I1-2'!$M$29,0)</f>
        <v>0</v>
      </c>
      <c r="L15" s="139">
        <f>IF('明细表I1-2'!$E$30="内部研发",'明细表I1-2'!$M$30,0)</f>
        <v>0</v>
      </c>
      <c r="M15" s="138">
        <f t="shared" si="7"/>
        <v>0</v>
      </c>
    </row>
    <row r="16" spans="1:22" s="120" customFormat="1">
      <c r="A16" s="127" t="s">
        <v>146</v>
      </c>
      <c r="B16" s="139">
        <f>IF('明细表I1-2'!$E$20="企业合并增加",'明细表I1-2'!$M$20,0)</f>
        <v>0</v>
      </c>
      <c r="C16" s="139">
        <f>IF('明细表I1-2'!$E$21="企业合并增加",'明细表I1-2'!$M$21,0)</f>
        <v>0</v>
      </c>
      <c r="D16" s="139">
        <f>IF('明细表I1-2'!$E$22="企业合并增加",'明细表I1-2'!$M$22,0)</f>
        <v>0</v>
      </c>
      <c r="E16" s="139">
        <f>IF('明细表I1-2'!$E$23="企业合并增加",'明细表I1-2'!$M$23,0)</f>
        <v>0</v>
      </c>
      <c r="F16" s="139">
        <f>IF('明细表I1-2'!$E$24="企业合并增加",'明细表I1-2'!$M$24,0)</f>
        <v>0</v>
      </c>
      <c r="G16" s="139">
        <f>IF('明细表I1-2'!$E$25="企业合并增加",'明细表I1-2'!$M$25,0)</f>
        <v>0</v>
      </c>
      <c r="H16" s="139">
        <f>IF('明细表I1-2'!$E$26="企业合并增加",'明细表I1-2'!$M$26,0)</f>
        <v>0</v>
      </c>
      <c r="I16" s="139">
        <f>IF('明细表I1-2'!$E$27="企业合并增加",'明细表I1-2'!$M$27,0)</f>
        <v>0</v>
      </c>
      <c r="J16" s="139">
        <f>IF('明细表I1-2'!$E$28="企业合并增加",'明细表I1-2'!$M$28,0)</f>
        <v>0</v>
      </c>
      <c r="K16" s="153">
        <f>IF('明细表I1-2'!$E$29="企业合并增加",'明细表I1-2'!$M$29,0)</f>
        <v>0</v>
      </c>
      <c r="L16" s="139">
        <f>IF('明细表I1-2'!$E$30="企业合并增加",'明细表I1-2'!$M$30,0)</f>
        <v>0</v>
      </c>
      <c r="M16" s="138">
        <f t="shared" si="7"/>
        <v>0</v>
      </c>
    </row>
    <row r="17" spans="1:13" s="120" customFormat="1">
      <c r="A17" s="127" t="s">
        <v>147</v>
      </c>
      <c r="B17" s="139">
        <f>IF('明细表I1-2'!$E$20="其他增加",'明细表I1-2'!$M$20,0)</f>
        <v>0</v>
      </c>
      <c r="C17" s="139">
        <f>IF('明细表I1-2'!$E$21="其他增加",'明细表I1-2'!$M$21,0)</f>
        <v>0</v>
      </c>
      <c r="D17" s="139">
        <f>IF('明细表I1-2'!$E$22="其他增加",'明细表I1-2'!$M$22,0)</f>
        <v>0</v>
      </c>
      <c r="E17" s="139">
        <f>IF('明细表I1-2'!$E$23="其他增加",'明细表I1-2'!$M$23,0)</f>
        <v>0</v>
      </c>
      <c r="F17" s="139">
        <f>IF('明细表I1-2'!$E$24="其他增加",'明细表I1-2'!$M$24,0)</f>
        <v>0</v>
      </c>
      <c r="G17" s="139">
        <f>IF('明细表I1-2'!$E$25="其他增加",'明细表I1-2'!$M$25,0)</f>
        <v>0</v>
      </c>
      <c r="H17" s="139">
        <f>IF('明细表I1-2'!$E$26="其他增加",'明细表I1-2'!$M$26,0)</f>
        <v>0</v>
      </c>
      <c r="I17" s="139">
        <f>IF('明细表I1-2'!$E$27="其他增加",'明细表I1-2'!$M$27,0)</f>
        <v>0</v>
      </c>
      <c r="J17" s="139">
        <f>IF('明细表I1-2'!$E$28="其他增加",'明细表I1-2'!$M$28,0)</f>
        <v>0</v>
      </c>
      <c r="K17" s="153">
        <f>IF('明细表I1-2'!$E$29="其他增加",'明细表I1-2'!$M$29,0)</f>
        <v>0</v>
      </c>
      <c r="L17" s="139">
        <f>IF('明细表I1-2'!$E$30="其他增加",'明细表I1-2'!$M$30,0)</f>
        <v>0</v>
      </c>
      <c r="M17" s="138">
        <f t="shared" si="7"/>
        <v>0</v>
      </c>
    </row>
    <row r="18" spans="1:13" s="120" customFormat="1">
      <c r="A18" s="127" t="s">
        <v>148</v>
      </c>
      <c r="B18" s="140"/>
      <c r="C18" s="140"/>
      <c r="D18" s="140"/>
      <c r="E18" s="140"/>
      <c r="F18" s="140"/>
      <c r="G18" s="140"/>
      <c r="H18" s="140"/>
      <c r="I18" s="140"/>
      <c r="J18" s="140"/>
      <c r="K18" s="140"/>
      <c r="L18" s="140"/>
      <c r="M18" s="138">
        <f t="shared" si="7"/>
        <v>0</v>
      </c>
    </row>
    <row r="19" spans="1:13" s="120" customFormat="1">
      <c r="A19" s="127" t="s">
        <v>149</v>
      </c>
      <c r="B19" s="139">
        <f>SUM(B20:B22)</f>
        <v>0</v>
      </c>
      <c r="C19" s="139">
        <f t="shared" ref="C19:L19" si="8">SUM(C20:C22)</f>
        <v>0</v>
      </c>
      <c r="D19" s="139">
        <f t="shared" si="8"/>
        <v>0</v>
      </c>
      <c r="E19" s="139">
        <f t="shared" si="8"/>
        <v>0</v>
      </c>
      <c r="F19" s="139">
        <f t="shared" si="8"/>
        <v>0</v>
      </c>
      <c r="G19" s="139">
        <f t="shared" si="8"/>
        <v>0</v>
      </c>
      <c r="H19" s="139">
        <f t="shared" si="8"/>
        <v>0</v>
      </c>
      <c r="I19" s="139">
        <f t="shared" si="8"/>
        <v>0</v>
      </c>
      <c r="J19" s="139">
        <f t="shared" si="8"/>
        <v>0</v>
      </c>
      <c r="K19" s="139">
        <f t="shared" si="8"/>
        <v>0</v>
      </c>
      <c r="L19" s="139">
        <f t="shared" si="8"/>
        <v>0</v>
      </c>
      <c r="M19" s="138">
        <f t="shared" si="7"/>
        <v>0</v>
      </c>
    </row>
    <row r="20" spans="1:13" s="120" customFormat="1">
      <c r="A20" s="127" t="s">
        <v>150</v>
      </c>
      <c r="B20" s="139">
        <f>IF('明细表I1-2'!$G$20="处置",'明细表I1-2'!$N$20,0)</f>
        <v>0</v>
      </c>
      <c r="C20" s="139">
        <f>IF('明细表I1-2'!$G$21="处置",'明细表I1-2'!$N$21,0)</f>
        <v>0</v>
      </c>
      <c r="D20" s="139">
        <f>IF('明细表I1-2'!$G$22="购置",'明细表I1-2'!$N$22,0)</f>
        <v>0</v>
      </c>
      <c r="E20" s="139">
        <f>IF('明细表I1-2'!$G$23="购置",'明细表I1-2'!$N$23,0)</f>
        <v>0</v>
      </c>
      <c r="F20" s="139">
        <f>IF('明细表I1-2'!$G$24="购置",'明细表I1-2'!$N$24,0)</f>
        <v>0</v>
      </c>
      <c r="G20" s="139">
        <f>IF('明细表I1-2'!$G$25="购置",'明细表I1-2'!$N$25,0)</f>
        <v>0</v>
      </c>
      <c r="H20" s="139">
        <f>IF('明细表I1-2'!$G$26="购置",'明细表I1-2'!$N$26,0)</f>
        <v>0</v>
      </c>
      <c r="I20" s="139">
        <f>IF('明细表I1-2'!$G$27="购置",'明细表I1-2'!$N$27,0)</f>
        <v>0</v>
      </c>
      <c r="J20" s="139">
        <f>IF('明细表I1-2'!$G$28="购置",'明细表I1-2'!$N$28,0)</f>
        <v>0</v>
      </c>
      <c r="K20" s="153">
        <f>IF('明细表I1-2'!$G$29="购置",'明细表I1-2'!$N$29,0)</f>
        <v>0</v>
      </c>
      <c r="L20" s="139">
        <f>IF('明细表I1-2'!$G$30="购置",'明细表I1-2'!$N$30,0)</f>
        <v>0</v>
      </c>
      <c r="M20" s="138">
        <f t="shared" si="7"/>
        <v>0</v>
      </c>
    </row>
    <row r="21" spans="1:13" s="120" customFormat="1">
      <c r="A21" s="127" t="s">
        <v>151</v>
      </c>
      <c r="B21" s="139">
        <f>IF('明细表I1-2'!$G$20="失效且终止确认的部分",'明细表I1-2'!$N$20,0)</f>
        <v>0</v>
      </c>
      <c r="C21" s="139">
        <f>IF('明细表I1-2'!$G$21="失效且终止确认的部分",'明细表I1-2'!$N$21,0)</f>
        <v>0</v>
      </c>
      <c r="D21" s="139">
        <f>IF('明细表I1-2'!$G$22="失效且终止确认的部分",'明细表I1-2'!$N$22,0)</f>
        <v>0</v>
      </c>
      <c r="E21" s="139">
        <f>IF('明细表I1-2'!$G$23="失效且终止确认的部分",'明细表I1-2'!$N$23,0)</f>
        <v>0</v>
      </c>
      <c r="F21" s="139">
        <f>IF('明细表I1-2'!$G$24="失效且终止确认的部分",'明细表I1-2'!$N$24,0)</f>
        <v>0</v>
      </c>
      <c r="G21" s="139">
        <f>IF('明细表I1-2'!$G$25="失效且终止确认的部分",'明细表I1-2'!$N$25,0)</f>
        <v>0</v>
      </c>
      <c r="H21" s="139">
        <f>IF('明细表I1-2'!$G$26="失效且终止确认的部分",'明细表I1-2'!$N$26,0)</f>
        <v>0</v>
      </c>
      <c r="I21" s="139">
        <f>IF('明细表I1-2'!$G$27="失效且终止确认的部分",'明细表I1-2'!$N$27,0)</f>
        <v>0</v>
      </c>
      <c r="J21" s="139">
        <f>IF('明细表I1-2'!$G$28="失效且终止确认的部分",'明细表I1-2'!$N$28,0)</f>
        <v>0</v>
      </c>
      <c r="K21" s="153">
        <f>IF('明细表I1-2'!$G$29="失效且终止确认的部分",'明细表I1-2'!$N$29,0)</f>
        <v>0</v>
      </c>
      <c r="L21" s="139">
        <f>IF('明细表I1-2'!$G$30="失效且终止确认的部分",'明细表I1-2'!$N$30,0)</f>
        <v>0</v>
      </c>
      <c r="M21" s="138">
        <f t="shared" si="7"/>
        <v>0</v>
      </c>
    </row>
    <row r="22" spans="1:13" s="120" customFormat="1">
      <c r="A22" s="127" t="s">
        <v>152</v>
      </c>
      <c r="B22" s="139">
        <f>IF('明细表I1-2'!$G$20="其他减少",'明细表I1-2'!$N$20,0)</f>
        <v>0</v>
      </c>
      <c r="C22" s="139">
        <f>IF('明细表I1-2'!$G$21="其他减少",'明细表I1-2'!$N$21,0)</f>
        <v>0</v>
      </c>
      <c r="D22" s="139">
        <f>IF('明细表I1-2'!$G$22="其他减少",'明细表I1-2'!$N$22,0)</f>
        <v>0</v>
      </c>
      <c r="E22" s="139">
        <f>IF('明细表I1-2'!$G$23="其他减少",'明细表I1-2'!$N$23,0)</f>
        <v>0</v>
      </c>
      <c r="F22" s="139">
        <f>IF('明细表I1-2'!$G$24="其他减少",'明细表I1-2'!$N$24,0)</f>
        <v>0</v>
      </c>
      <c r="G22" s="139">
        <f>IF('明细表I1-2'!$G$25="其他减少",'明细表I1-2'!$N$25,0)</f>
        <v>0</v>
      </c>
      <c r="H22" s="139">
        <f>IF('明细表I1-2'!$G$26="其他减少",'明细表I1-2'!$N$26,0)</f>
        <v>0</v>
      </c>
      <c r="I22" s="139">
        <f>IF('明细表I1-2'!$G$27="其他减少",'明细表I1-2'!$N$27,0)</f>
        <v>0</v>
      </c>
      <c r="J22" s="139">
        <f>IF('明细表I1-2'!$G$28="其他减少",'明细表I1-2'!$N$28,0)</f>
        <v>0</v>
      </c>
      <c r="K22" s="153">
        <f>IF('明细表I1-2'!$G$29="其他减少",'明细表I1-2'!$N$29,0)</f>
        <v>0</v>
      </c>
      <c r="L22" s="139">
        <f>IF('明细表I1-2'!$G$30="其他减少",'明细表I1-2'!$N$30,0)</f>
        <v>0</v>
      </c>
      <c r="M22" s="138">
        <f t="shared" si="7"/>
        <v>0</v>
      </c>
    </row>
    <row r="23" spans="1:13" s="120" customFormat="1">
      <c r="A23" s="127" t="s">
        <v>153</v>
      </c>
      <c r="B23" s="138">
        <f>B12+B13-B19</f>
        <v>0</v>
      </c>
      <c r="C23" s="138">
        <f t="shared" ref="C23:L23" si="9">C12+C13-C19</f>
        <v>0</v>
      </c>
      <c r="D23" s="138">
        <f t="shared" si="9"/>
        <v>0</v>
      </c>
      <c r="E23" s="138">
        <f t="shared" si="9"/>
        <v>0</v>
      </c>
      <c r="F23" s="138">
        <f t="shared" si="9"/>
        <v>0</v>
      </c>
      <c r="G23" s="138">
        <f t="shared" si="9"/>
        <v>0</v>
      </c>
      <c r="H23" s="138">
        <f t="shared" si="9"/>
        <v>0</v>
      </c>
      <c r="I23" s="138">
        <f t="shared" si="9"/>
        <v>0</v>
      </c>
      <c r="J23" s="138">
        <f t="shared" si="9"/>
        <v>0</v>
      </c>
      <c r="K23" s="138">
        <f t="shared" ref="K23" si="10">K12+K13-K19</f>
        <v>0</v>
      </c>
      <c r="L23" s="138">
        <f t="shared" si="9"/>
        <v>0</v>
      </c>
      <c r="M23" s="138">
        <f t="shared" si="7"/>
        <v>0</v>
      </c>
    </row>
    <row r="24" spans="1:13" s="120" customFormat="1">
      <c r="A24" s="127" t="s">
        <v>154</v>
      </c>
      <c r="B24" s="140"/>
      <c r="C24" s="140"/>
      <c r="D24" s="140"/>
      <c r="E24" s="140"/>
      <c r="F24" s="140"/>
      <c r="G24" s="140"/>
      <c r="H24" s="140"/>
      <c r="I24" s="140"/>
      <c r="J24" s="140"/>
      <c r="K24" s="140"/>
      <c r="L24" s="140"/>
      <c r="M24" s="138">
        <f t="shared" si="7"/>
        <v>0</v>
      </c>
    </row>
    <row r="25" spans="1:13" s="120" customFormat="1">
      <c r="A25" s="127" t="s">
        <v>142</v>
      </c>
      <c r="B25" s="138">
        <f>'明细表I1-2'!Y20</f>
        <v>0</v>
      </c>
      <c r="C25" s="138">
        <f>'明细表I1-2'!Y21</f>
        <v>0</v>
      </c>
      <c r="D25" s="138">
        <f>'明细表I1-2'!Y22</f>
        <v>0</v>
      </c>
      <c r="E25" s="138">
        <f>'明细表I1-2'!Y23</f>
        <v>0</v>
      </c>
      <c r="F25" s="138">
        <f>'明细表I1-2'!Y24</f>
        <v>0</v>
      </c>
      <c r="G25" s="138">
        <f>'明细表I1-2'!Y25</f>
        <v>0</v>
      </c>
      <c r="H25" s="138">
        <f>'明细表I1-2'!Y26</f>
        <v>0</v>
      </c>
      <c r="I25" s="138">
        <f>'明细表I1-2'!Y27</f>
        <v>0</v>
      </c>
      <c r="J25" s="138">
        <f>'明细表I1-2'!Y28</f>
        <v>0</v>
      </c>
      <c r="K25" s="152">
        <f>'明细表I1-2'!Z29</f>
        <v>0</v>
      </c>
      <c r="L25" s="138">
        <f>'明细表I1-2'!Y30</f>
        <v>0</v>
      </c>
      <c r="M25" s="138">
        <f t="shared" si="7"/>
        <v>0</v>
      </c>
    </row>
    <row r="26" spans="1:13" s="120" customFormat="1">
      <c r="A26" s="127" t="s">
        <v>143</v>
      </c>
      <c r="B26" s="139">
        <f>SUM(B27:B29)</f>
        <v>0</v>
      </c>
      <c r="C26" s="139">
        <f t="shared" ref="C26:L26" si="11">SUM(C27:C29)</f>
        <v>0</v>
      </c>
      <c r="D26" s="139">
        <f t="shared" si="11"/>
        <v>0</v>
      </c>
      <c r="E26" s="139">
        <f t="shared" si="11"/>
        <v>0</v>
      </c>
      <c r="F26" s="139">
        <f t="shared" si="11"/>
        <v>0</v>
      </c>
      <c r="G26" s="139">
        <f t="shared" si="11"/>
        <v>0</v>
      </c>
      <c r="H26" s="139">
        <f t="shared" si="11"/>
        <v>0</v>
      </c>
      <c r="I26" s="139">
        <f t="shared" si="11"/>
        <v>0</v>
      </c>
      <c r="J26" s="139">
        <f t="shared" si="11"/>
        <v>0</v>
      </c>
      <c r="K26" s="139">
        <f t="shared" ref="K26" si="12">SUM(K27:K29)</f>
        <v>0</v>
      </c>
      <c r="L26" s="139">
        <f t="shared" si="11"/>
        <v>0</v>
      </c>
      <c r="M26" s="138">
        <f t="shared" si="7"/>
        <v>0</v>
      </c>
    </row>
    <row r="27" spans="1:13" s="120" customFormat="1">
      <c r="A27" s="127" t="s">
        <v>155</v>
      </c>
      <c r="B27" s="139"/>
      <c r="C27" s="139"/>
      <c r="D27" s="139"/>
      <c r="E27" s="139"/>
      <c r="F27" s="139"/>
      <c r="G27" s="139"/>
      <c r="H27" s="139"/>
      <c r="I27" s="139"/>
      <c r="J27" s="139"/>
      <c r="K27" s="139"/>
      <c r="L27" s="139"/>
      <c r="M27" s="138">
        <f t="shared" si="7"/>
        <v>0</v>
      </c>
    </row>
    <row r="28" spans="1:13" s="120" customFormat="1">
      <c r="A28" s="127" t="s">
        <v>156</v>
      </c>
      <c r="B28" s="139"/>
      <c r="C28" s="139"/>
      <c r="D28" s="139"/>
      <c r="E28" s="139"/>
      <c r="F28" s="139"/>
      <c r="G28" s="139"/>
      <c r="H28" s="139"/>
      <c r="I28" s="139"/>
      <c r="J28" s="139"/>
      <c r="K28" s="139"/>
      <c r="L28" s="139"/>
      <c r="M28" s="138">
        <f t="shared" si="7"/>
        <v>0</v>
      </c>
    </row>
    <row r="29" spans="1:13" s="120" customFormat="1">
      <c r="A29" s="127" t="s">
        <v>148</v>
      </c>
      <c r="B29" s="140"/>
      <c r="C29" s="140"/>
      <c r="D29" s="140"/>
      <c r="E29" s="140"/>
      <c r="F29" s="140"/>
      <c r="G29" s="140"/>
      <c r="H29" s="140"/>
      <c r="I29" s="140"/>
      <c r="J29" s="140"/>
      <c r="K29" s="140"/>
      <c r="L29" s="140"/>
      <c r="M29" s="138">
        <f t="shared" si="7"/>
        <v>0</v>
      </c>
    </row>
    <row r="30" spans="1:13" s="120" customFormat="1">
      <c r="A30" s="127" t="s">
        <v>149</v>
      </c>
      <c r="B30" s="139">
        <f>SUM(B31:B33)</f>
        <v>0</v>
      </c>
      <c r="C30" s="139">
        <f t="shared" ref="C30:L30" si="13">SUM(C31:C33)</f>
        <v>0</v>
      </c>
      <c r="D30" s="139">
        <f t="shared" si="13"/>
        <v>0</v>
      </c>
      <c r="E30" s="139">
        <f t="shared" si="13"/>
        <v>0</v>
      </c>
      <c r="F30" s="139">
        <f t="shared" si="13"/>
        <v>0</v>
      </c>
      <c r="G30" s="139">
        <f t="shared" si="13"/>
        <v>0</v>
      </c>
      <c r="H30" s="139">
        <f t="shared" si="13"/>
        <v>0</v>
      </c>
      <c r="I30" s="139">
        <f t="shared" si="13"/>
        <v>0</v>
      </c>
      <c r="J30" s="139">
        <f t="shared" si="13"/>
        <v>0</v>
      </c>
      <c r="K30" s="139">
        <f t="shared" ref="K30" si="14">SUM(K31:K33)</f>
        <v>0</v>
      </c>
      <c r="L30" s="139">
        <f t="shared" si="13"/>
        <v>0</v>
      </c>
      <c r="M30" s="138">
        <f t="shared" si="7"/>
        <v>0</v>
      </c>
    </row>
    <row r="31" spans="1:13" s="120" customFormat="1">
      <c r="A31" s="127" t="s">
        <v>150</v>
      </c>
      <c r="B31" s="139"/>
      <c r="C31" s="139"/>
      <c r="D31" s="139"/>
      <c r="E31" s="139"/>
      <c r="F31" s="139"/>
      <c r="G31" s="139"/>
      <c r="H31" s="139"/>
      <c r="I31" s="139"/>
      <c r="J31" s="139"/>
      <c r="K31" s="139"/>
      <c r="L31" s="139"/>
      <c r="M31" s="138">
        <f t="shared" si="7"/>
        <v>0</v>
      </c>
    </row>
    <row r="32" spans="1:13" s="120" customFormat="1">
      <c r="A32" s="127" t="s">
        <v>151</v>
      </c>
      <c r="B32" s="139"/>
      <c r="C32" s="139"/>
      <c r="D32" s="139"/>
      <c r="E32" s="139"/>
      <c r="F32" s="139"/>
      <c r="G32" s="139"/>
      <c r="H32" s="139"/>
      <c r="I32" s="139"/>
      <c r="J32" s="139"/>
      <c r="K32" s="139"/>
      <c r="L32" s="139"/>
      <c r="M32" s="138">
        <f t="shared" si="7"/>
        <v>0</v>
      </c>
    </row>
    <row r="33" spans="1:13" s="120" customFormat="1">
      <c r="A33" s="127" t="s">
        <v>152</v>
      </c>
      <c r="B33" s="140"/>
      <c r="C33" s="140"/>
      <c r="D33" s="140"/>
      <c r="E33" s="140"/>
      <c r="F33" s="140"/>
      <c r="G33" s="140"/>
      <c r="H33" s="140"/>
      <c r="I33" s="140"/>
      <c r="J33" s="140"/>
      <c r="K33" s="140"/>
      <c r="L33" s="140"/>
      <c r="M33" s="138">
        <f t="shared" si="7"/>
        <v>0</v>
      </c>
    </row>
    <row r="34" spans="1:13" s="120" customFormat="1">
      <c r="A34" s="127" t="s">
        <v>157</v>
      </c>
      <c r="B34" s="138">
        <f>B25+B26-B30</f>
        <v>0</v>
      </c>
      <c r="C34" s="138">
        <f t="shared" ref="C34:L34" si="15">C25+C26-C30</f>
        <v>0</v>
      </c>
      <c r="D34" s="138">
        <f t="shared" si="15"/>
        <v>0</v>
      </c>
      <c r="E34" s="138">
        <f t="shared" si="15"/>
        <v>0</v>
      </c>
      <c r="F34" s="138">
        <f t="shared" si="15"/>
        <v>0</v>
      </c>
      <c r="G34" s="138">
        <f t="shared" si="15"/>
        <v>0</v>
      </c>
      <c r="H34" s="138">
        <f t="shared" si="15"/>
        <v>0</v>
      </c>
      <c r="I34" s="138">
        <f t="shared" si="15"/>
        <v>0</v>
      </c>
      <c r="J34" s="138">
        <f t="shared" si="15"/>
        <v>0</v>
      </c>
      <c r="K34" s="138">
        <f t="shared" ref="K34" si="16">K25+K26-K30</f>
        <v>0</v>
      </c>
      <c r="L34" s="138">
        <f t="shared" si="15"/>
        <v>0</v>
      </c>
      <c r="M34" s="138">
        <f t="shared" si="7"/>
        <v>0</v>
      </c>
    </row>
    <row r="35" spans="1:13" s="120" customFormat="1">
      <c r="A35" s="127" t="s">
        <v>158</v>
      </c>
      <c r="B35" s="140"/>
      <c r="C35" s="140"/>
      <c r="D35" s="140"/>
      <c r="E35" s="140"/>
      <c r="F35" s="140"/>
      <c r="G35" s="140"/>
      <c r="H35" s="140"/>
      <c r="I35" s="140"/>
      <c r="J35" s="140"/>
      <c r="K35" s="140"/>
      <c r="L35" s="140"/>
      <c r="M35" s="138">
        <f t="shared" si="7"/>
        <v>0</v>
      </c>
    </row>
    <row r="36" spans="1:13" s="120" customFormat="1">
      <c r="A36" s="127" t="s">
        <v>142</v>
      </c>
      <c r="B36" s="138">
        <f>'明细表I1-2'!AL20</f>
        <v>0</v>
      </c>
      <c r="C36" s="138">
        <f>'明细表I1-2'!AL21</f>
        <v>0</v>
      </c>
      <c r="D36" s="138">
        <f>'明细表I1-2'!AL22</f>
        <v>0</v>
      </c>
      <c r="E36" s="138">
        <f>'明细表I1-2'!AL23</f>
        <v>0</v>
      </c>
      <c r="F36" s="138">
        <f>'明细表I1-2'!AL24</f>
        <v>0</v>
      </c>
      <c r="G36" s="138">
        <f>'明细表I1-2'!AL25</f>
        <v>0</v>
      </c>
      <c r="H36" s="138">
        <f>'明细表I1-2'!AL26</f>
        <v>0</v>
      </c>
      <c r="I36" s="138">
        <f>'明细表I1-2'!AL27</f>
        <v>0</v>
      </c>
      <c r="J36" s="138">
        <f>'明细表I1-2'!AL28</f>
        <v>0</v>
      </c>
      <c r="K36" s="152">
        <f>'明细表I1-2'!AM29</f>
        <v>0</v>
      </c>
      <c r="L36" s="138">
        <f>'明细表I1-2'!AL30</f>
        <v>0</v>
      </c>
      <c r="M36" s="138">
        <f t="shared" si="7"/>
        <v>0</v>
      </c>
    </row>
    <row r="37" spans="1:13" s="120" customFormat="1">
      <c r="A37" s="127" t="s">
        <v>143</v>
      </c>
      <c r="B37" s="139">
        <f>SUM(B38:B40)</f>
        <v>0</v>
      </c>
      <c r="C37" s="139">
        <f t="shared" ref="C37" si="17">SUM(C38:C40)</f>
        <v>0</v>
      </c>
      <c r="D37" s="139">
        <f t="shared" ref="D37" si="18">SUM(D38:D40)</f>
        <v>0</v>
      </c>
      <c r="E37" s="139">
        <f t="shared" ref="E37" si="19">SUM(E38:E40)</f>
        <v>0</v>
      </c>
      <c r="F37" s="139">
        <f t="shared" ref="F37" si="20">SUM(F38:F40)</f>
        <v>0</v>
      </c>
      <c r="G37" s="139">
        <f t="shared" ref="G37" si="21">SUM(G38:G40)</f>
        <v>0</v>
      </c>
      <c r="H37" s="139">
        <f t="shared" ref="H37" si="22">SUM(H38:H40)</f>
        <v>0</v>
      </c>
      <c r="I37" s="139">
        <f t="shared" ref="I37" si="23">SUM(I38:I40)</f>
        <v>0</v>
      </c>
      <c r="J37" s="139">
        <f t="shared" ref="J37:K37" si="24">SUM(J38:J40)</f>
        <v>0</v>
      </c>
      <c r="K37" s="139">
        <f t="shared" si="24"/>
        <v>0</v>
      </c>
      <c r="L37" s="139">
        <f t="shared" ref="L37" si="25">SUM(L38:L40)</f>
        <v>0</v>
      </c>
      <c r="M37" s="138">
        <f t="shared" si="7"/>
        <v>0</v>
      </c>
    </row>
    <row r="38" spans="1:13" s="120" customFormat="1">
      <c r="A38" s="127" t="s">
        <v>159</v>
      </c>
      <c r="B38" s="139"/>
      <c r="C38" s="139"/>
      <c r="D38" s="139"/>
      <c r="E38" s="139"/>
      <c r="F38" s="139"/>
      <c r="G38" s="139"/>
      <c r="H38" s="139"/>
      <c r="I38" s="139"/>
      <c r="J38" s="139"/>
      <c r="K38" s="139"/>
      <c r="L38" s="139"/>
      <c r="M38" s="138">
        <f t="shared" si="7"/>
        <v>0</v>
      </c>
    </row>
    <row r="39" spans="1:13" s="120" customFormat="1">
      <c r="A39" s="127" t="s">
        <v>156</v>
      </c>
      <c r="B39" s="139"/>
      <c r="C39" s="139"/>
      <c r="D39" s="139"/>
      <c r="E39" s="139"/>
      <c r="F39" s="139"/>
      <c r="G39" s="139"/>
      <c r="H39" s="139"/>
      <c r="I39" s="139"/>
      <c r="J39" s="139"/>
      <c r="K39" s="139"/>
      <c r="L39" s="139"/>
      <c r="M39" s="138">
        <f t="shared" si="7"/>
        <v>0</v>
      </c>
    </row>
    <row r="40" spans="1:13" s="120" customFormat="1">
      <c r="A40" s="127" t="s">
        <v>148</v>
      </c>
      <c r="B40" s="140"/>
      <c r="C40" s="140"/>
      <c r="D40" s="140"/>
      <c r="E40" s="140"/>
      <c r="F40" s="140"/>
      <c r="G40" s="140"/>
      <c r="H40" s="140"/>
      <c r="I40" s="140"/>
      <c r="J40" s="140"/>
      <c r="K40" s="140"/>
      <c r="L40" s="140"/>
      <c r="M40" s="138">
        <f t="shared" si="7"/>
        <v>0</v>
      </c>
    </row>
    <row r="41" spans="1:13" s="120" customFormat="1">
      <c r="A41" s="127" t="s">
        <v>149</v>
      </c>
      <c r="B41" s="139">
        <f>SUM(B42:B44)</f>
        <v>0</v>
      </c>
      <c r="C41" s="139">
        <f t="shared" ref="C41" si="26">SUM(C42:C44)</f>
        <v>0</v>
      </c>
      <c r="D41" s="139">
        <f t="shared" ref="D41" si="27">SUM(D42:D44)</f>
        <v>0</v>
      </c>
      <c r="E41" s="139">
        <f t="shared" ref="E41" si="28">SUM(E42:E44)</f>
        <v>0</v>
      </c>
      <c r="F41" s="139">
        <f t="shared" ref="F41" si="29">SUM(F42:F44)</f>
        <v>0</v>
      </c>
      <c r="G41" s="139">
        <f t="shared" ref="G41" si="30">SUM(G42:G44)</f>
        <v>0</v>
      </c>
      <c r="H41" s="139">
        <f t="shared" ref="H41" si="31">SUM(H42:H44)</f>
        <v>0</v>
      </c>
      <c r="I41" s="139">
        <f t="shared" ref="I41" si="32">SUM(I42:I44)</f>
        <v>0</v>
      </c>
      <c r="J41" s="139">
        <f t="shared" ref="J41:K41" si="33">SUM(J42:J44)</f>
        <v>0</v>
      </c>
      <c r="K41" s="139">
        <f t="shared" si="33"/>
        <v>0</v>
      </c>
      <c r="L41" s="139">
        <f t="shared" ref="L41" si="34">SUM(L42:L44)</f>
        <v>0</v>
      </c>
      <c r="M41" s="138">
        <f t="shared" si="7"/>
        <v>0</v>
      </c>
    </row>
    <row r="42" spans="1:13" s="120" customFormat="1">
      <c r="A42" s="127" t="s">
        <v>150</v>
      </c>
      <c r="B42" s="139"/>
      <c r="C42" s="139"/>
      <c r="D42" s="139"/>
      <c r="E42" s="139"/>
      <c r="F42" s="139"/>
      <c r="G42" s="139"/>
      <c r="H42" s="139"/>
      <c r="I42" s="139"/>
      <c r="J42" s="139"/>
      <c r="K42" s="139"/>
      <c r="L42" s="139"/>
      <c r="M42" s="138">
        <f t="shared" si="7"/>
        <v>0</v>
      </c>
    </row>
    <row r="43" spans="1:13" s="120" customFormat="1">
      <c r="A43" s="127" t="s">
        <v>151</v>
      </c>
      <c r="B43" s="139"/>
      <c r="C43" s="139"/>
      <c r="D43" s="139"/>
      <c r="E43" s="139"/>
      <c r="F43" s="139"/>
      <c r="G43" s="139"/>
      <c r="H43" s="139"/>
      <c r="I43" s="139"/>
      <c r="J43" s="139"/>
      <c r="K43" s="139"/>
      <c r="L43" s="139"/>
      <c r="M43" s="138">
        <f t="shared" si="7"/>
        <v>0</v>
      </c>
    </row>
    <row r="44" spans="1:13" s="120" customFormat="1">
      <c r="A44" s="127" t="s">
        <v>152</v>
      </c>
      <c r="B44" s="140"/>
      <c r="C44" s="140"/>
      <c r="D44" s="140"/>
      <c r="E44" s="140"/>
      <c r="F44" s="140"/>
      <c r="G44" s="140"/>
      <c r="H44" s="140"/>
      <c r="I44" s="140"/>
      <c r="J44" s="140"/>
      <c r="K44" s="140"/>
      <c r="L44" s="140"/>
      <c r="M44" s="138">
        <f t="shared" si="7"/>
        <v>0</v>
      </c>
    </row>
    <row r="45" spans="1:13" s="120" customFormat="1">
      <c r="A45" s="127" t="s">
        <v>157</v>
      </c>
      <c r="B45" s="138">
        <f>B36+B37-B41</f>
        <v>0</v>
      </c>
      <c r="C45" s="138">
        <f t="shared" ref="C45:L45" si="35">C36+C37-C41</f>
        <v>0</v>
      </c>
      <c r="D45" s="138">
        <f t="shared" si="35"/>
        <v>0</v>
      </c>
      <c r="E45" s="138">
        <f t="shared" si="35"/>
        <v>0</v>
      </c>
      <c r="F45" s="138">
        <f t="shared" si="35"/>
        <v>0</v>
      </c>
      <c r="G45" s="138">
        <f t="shared" si="35"/>
        <v>0</v>
      </c>
      <c r="H45" s="138">
        <f t="shared" si="35"/>
        <v>0</v>
      </c>
      <c r="I45" s="138">
        <f t="shared" si="35"/>
        <v>0</v>
      </c>
      <c r="J45" s="138">
        <f t="shared" si="35"/>
        <v>0</v>
      </c>
      <c r="K45" s="138">
        <f t="shared" si="35"/>
        <v>0</v>
      </c>
      <c r="L45" s="138">
        <f t="shared" si="35"/>
        <v>0</v>
      </c>
      <c r="M45" s="138">
        <f t="shared" si="7"/>
        <v>0</v>
      </c>
    </row>
    <row r="46" spans="1:13" s="120" customFormat="1">
      <c r="A46" s="127" t="s">
        <v>160</v>
      </c>
      <c r="B46" s="140"/>
      <c r="C46" s="140"/>
      <c r="D46" s="140"/>
      <c r="E46" s="140"/>
      <c r="F46" s="140"/>
      <c r="G46" s="140"/>
      <c r="H46" s="140"/>
      <c r="I46" s="140"/>
      <c r="J46" s="140"/>
      <c r="K46" s="140"/>
      <c r="L46" s="140"/>
      <c r="M46" s="138">
        <f t="shared" si="7"/>
        <v>0</v>
      </c>
    </row>
    <row r="47" spans="1:13" s="120" customFormat="1">
      <c r="A47" s="127" t="s">
        <v>161</v>
      </c>
      <c r="B47" s="138">
        <f>B23-B34-B45</f>
        <v>0</v>
      </c>
      <c r="C47" s="138">
        <f t="shared" ref="C47:L47" si="36">C23-C34-C45</f>
        <v>0</v>
      </c>
      <c r="D47" s="138">
        <f t="shared" si="36"/>
        <v>0</v>
      </c>
      <c r="E47" s="138">
        <f t="shared" si="36"/>
        <v>0</v>
      </c>
      <c r="F47" s="138">
        <f t="shared" si="36"/>
        <v>0</v>
      </c>
      <c r="G47" s="138">
        <f t="shared" si="36"/>
        <v>0</v>
      </c>
      <c r="H47" s="138">
        <f t="shared" si="36"/>
        <v>0</v>
      </c>
      <c r="I47" s="138">
        <f t="shared" si="36"/>
        <v>0</v>
      </c>
      <c r="J47" s="138">
        <f t="shared" si="36"/>
        <v>0</v>
      </c>
      <c r="K47" s="138">
        <f t="shared" ref="K47" si="37">K23-K34-K45</f>
        <v>0</v>
      </c>
      <c r="L47" s="138">
        <f t="shared" si="36"/>
        <v>0</v>
      </c>
      <c r="M47" s="138">
        <f t="shared" si="7"/>
        <v>0</v>
      </c>
    </row>
    <row r="48" spans="1:13" s="120" customFormat="1">
      <c r="A48" s="130" t="s">
        <v>162</v>
      </c>
      <c r="B48" s="141">
        <f>B12-B25-B36</f>
        <v>0</v>
      </c>
      <c r="C48" s="141">
        <f t="shared" ref="C48:L48" si="38">C12-C25-C36</f>
        <v>0</v>
      </c>
      <c r="D48" s="141">
        <f t="shared" si="38"/>
        <v>0</v>
      </c>
      <c r="E48" s="141">
        <f t="shared" si="38"/>
        <v>0</v>
      </c>
      <c r="F48" s="141">
        <f t="shared" si="38"/>
        <v>0</v>
      </c>
      <c r="G48" s="141">
        <f t="shared" si="38"/>
        <v>0</v>
      </c>
      <c r="H48" s="141">
        <f t="shared" si="38"/>
        <v>0</v>
      </c>
      <c r="I48" s="141">
        <f t="shared" si="38"/>
        <v>0</v>
      </c>
      <c r="J48" s="141">
        <f t="shared" si="38"/>
        <v>0</v>
      </c>
      <c r="K48" s="141">
        <f t="shared" ref="K48" si="39">K12-K25-K36</f>
        <v>0</v>
      </c>
      <c r="L48" s="141">
        <f t="shared" si="38"/>
        <v>0</v>
      </c>
      <c r="M48" s="141">
        <f t="shared" si="7"/>
        <v>0</v>
      </c>
    </row>
    <row r="49" spans="1:13" s="120" customFormat="1" ht="12">
      <c r="A49" s="122" t="s">
        <v>163</v>
      </c>
    </row>
    <row r="50" spans="1:13" s="120" customFormat="1" ht="12">
      <c r="A50" s="293" t="s">
        <v>164</v>
      </c>
      <c r="B50" s="293"/>
      <c r="C50" s="293"/>
      <c r="D50" s="293"/>
      <c r="E50" s="293"/>
      <c r="F50" s="293"/>
      <c r="G50" s="293"/>
      <c r="H50" s="293"/>
      <c r="I50" s="293"/>
      <c r="J50" s="293"/>
      <c r="K50" s="293"/>
      <c r="L50" s="293"/>
      <c r="M50" s="293"/>
    </row>
    <row r="51" spans="1:13" s="120" customFormat="1" ht="12">
      <c r="A51" s="294" t="s">
        <v>165</v>
      </c>
      <c r="B51" s="294"/>
      <c r="C51" s="294"/>
      <c r="D51" s="294"/>
      <c r="E51" s="294"/>
      <c r="F51" s="294"/>
      <c r="G51" s="294"/>
      <c r="H51" s="294"/>
      <c r="I51" s="294"/>
      <c r="J51" s="294"/>
      <c r="K51" s="294"/>
      <c r="L51" s="294"/>
      <c r="M51" s="294"/>
    </row>
    <row r="52" spans="1:13" s="120" customFormat="1" ht="12">
      <c r="A52" s="294" t="s">
        <v>166</v>
      </c>
      <c r="B52" s="294"/>
      <c r="C52" s="294"/>
      <c r="D52" s="294"/>
      <c r="E52" s="294"/>
      <c r="F52" s="294"/>
      <c r="G52" s="294"/>
      <c r="H52" s="294"/>
      <c r="I52" s="294"/>
      <c r="J52" s="294"/>
      <c r="K52" s="294"/>
      <c r="L52" s="294"/>
      <c r="M52" s="294"/>
    </row>
    <row r="53" spans="1:13" s="120" customFormat="1" ht="12">
      <c r="A53" s="295" t="s">
        <v>167</v>
      </c>
      <c r="B53" s="295"/>
      <c r="C53" s="295"/>
      <c r="D53" s="295"/>
      <c r="E53" s="295"/>
      <c r="F53" s="295"/>
      <c r="G53" s="295"/>
      <c r="H53" s="295"/>
      <c r="I53" s="295"/>
      <c r="J53" s="295"/>
      <c r="K53" s="295"/>
      <c r="L53" s="295"/>
      <c r="M53" s="295"/>
    </row>
    <row r="54" spans="1:13" s="120" customFormat="1" ht="12">
      <c r="A54" s="296" t="s">
        <v>168</v>
      </c>
      <c r="B54" s="296"/>
      <c r="C54" s="296"/>
      <c r="D54" s="296"/>
      <c r="E54" s="296"/>
      <c r="F54" s="296"/>
      <c r="G54" s="296"/>
      <c r="H54" s="296"/>
      <c r="I54" s="296"/>
      <c r="J54" s="296"/>
      <c r="K54" s="296"/>
      <c r="L54" s="296"/>
      <c r="M54" s="296"/>
    </row>
    <row r="55" spans="1:13" s="120" customFormat="1" ht="12">
      <c r="A55" s="296" t="s">
        <v>169</v>
      </c>
      <c r="B55" s="296"/>
      <c r="C55" s="296"/>
      <c r="D55" s="296"/>
      <c r="E55" s="296"/>
      <c r="F55" s="296"/>
      <c r="G55" s="296"/>
      <c r="H55" s="296"/>
      <c r="I55" s="296"/>
      <c r="J55" s="296"/>
      <c r="K55" s="296"/>
      <c r="L55" s="296"/>
      <c r="M55" s="296"/>
    </row>
    <row r="56" spans="1:13" s="120" customFormat="1" ht="14.4">
      <c r="A56" s="142" t="s">
        <v>170</v>
      </c>
      <c r="B56" s="143" t="s">
        <v>171</v>
      </c>
      <c r="C56" s="144" t="s">
        <v>172</v>
      </c>
      <c r="D56" s="132"/>
      <c r="E56" s="132"/>
      <c r="F56" s="132"/>
      <c r="G56" s="132"/>
      <c r="H56" s="132"/>
      <c r="I56" s="132"/>
      <c r="J56" s="132"/>
      <c r="K56" s="132"/>
      <c r="L56" s="132"/>
      <c r="M56" s="132"/>
    </row>
    <row r="57" spans="1:13" s="120" customFormat="1">
      <c r="A57" s="145"/>
      <c r="B57" s="146"/>
      <c r="C57" s="146"/>
      <c r="D57" s="132"/>
      <c r="E57" s="132"/>
      <c r="F57" s="132"/>
      <c r="G57" s="132"/>
      <c r="H57" s="132"/>
      <c r="I57" s="132"/>
      <c r="J57" s="132"/>
      <c r="K57" s="132"/>
      <c r="L57" s="132"/>
      <c r="M57" s="132"/>
    </row>
    <row r="58" spans="1:13" s="120" customFormat="1">
      <c r="A58" s="145"/>
      <c r="B58" s="146"/>
      <c r="C58" s="146"/>
      <c r="D58" s="132"/>
      <c r="E58" s="132"/>
      <c r="F58" s="132"/>
      <c r="G58" s="132"/>
      <c r="H58" s="132"/>
      <c r="I58" s="132"/>
      <c r="J58" s="132"/>
      <c r="K58" s="132"/>
      <c r="L58" s="132"/>
      <c r="M58" s="132"/>
    </row>
    <row r="59" spans="1:13" s="120" customFormat="1">
      <c r="A59" s="147"/>
      <c r="B59" s="148"/>
      <c r="C59" s="148"/>
      <c r="D59" s="132"/>
      <c r="E59" s="132"/>
      <c r="F59" s="132"/>
      <c r="G59" s="132"/>
      <c r="H59" s="132"/>
      <c r="I59" s="132"/>
      <c r="J59" s="132"/>
      <c r="K59" s="132"/>
      <c r="L59" s="132"/>
      <c r="M59" s="132"/>
    </row>
    <row r="60" spans="1:13" s="120" customFormat="1" ht="12">
      <c r="A60" s="293" t="s">
        <v>173</v>
      </c>
      <c r="B60" s="293"/>
      <c r="C60" s="293"/>
      <c r="D60" s="293"/>
      <c r="E60" s="293"/>
      <c r="F60" s="293"/>
      <c r="G60" s="293"/>
      <c r="H60" s="293"/>
      <c r="I60" s="293"/>
      <c r="J60" s="293"/>
      <c r="K60" s="293"/>
      <c r="L60" s="293"/>
      <c r="M60" s="293"/>
    </row>
    <row r="61" spans="1:13" s="120" customFormat="1" ht="12">
      <c r="A61" s="294" t="s">
        <v>174</v>
      </c>
      <c r="B61" s="294"/>
      <c r="C61" s="294"/>
      <c r="D61" s="294"/>
      <c r="E61" s="294"/>
      <c r="F61" s="294"/>
      <c r="G61" s="294"/>
      <c r="H61" s="294"/>
      <c r="I61" s="294"/>
      <c r="J61" s="294"/>
      <c r="K61" s="294"/>
      <c r="L61" s="294"/>
      <c r="M61" s="294"/>
    </row>
    <row r="62" spans="1:13" s="120" customFormat="1" ht="24">
      <c r="A62" s="123" t="s">
        <v>175</v>
      </c>
      <c r="B62" s="123" t="s">
        <v>171</v>
      </c>
      <c r="C62" s="149" t="s">
        <v>176</v>
      </c>
    </row>
    <row r="63" spans="1:13" s="120" customFormat="1">
      <c r="A63" s="127"/>
      <c r="B63" s="150"/>
      <c r="C63" s="127"/>
    </row>
    <row r="64" spans="1:13" s="120" customFormat="1">
      <c r="A64" s="130"/>
      <c r="B64" s="151"/>
      <c r="C64" s="130"/>
    </row>
  </sheetData>
  <mergeCells count="12">
    <mergeCell ref="A60:M60"/>
    <mergeCell ref="A61:M61"/>
    <mergeCell ref="A51:M51"/>
    <mergeCell ref="A52:M52"/>
    <mergeCell ref="A53:M53"/>
    <mergeCell ref="A54:M54"/>
    <mergeCell ref="A55:M55"/>
    <mergeCell ref="A1:M1"/>
    <mergeCell ref="A2:M2"/>
    <mergeCell ref="A6:M6"/>
    <mergeCell ref="A7:M7"/>
    <mergeCell ref="A50:M50"/>
  </mergeCells>
  <phoneticPr fontId="75" type="noConversion"/>
  <printOptions horizontalCentered="1"/>
  <pageMargins left="0.59055118110236204" right="0.59055118110236204" top="0.78740157480314998" bottom="0.39370078740157499" header="0.511811023622047" footer="0.31496062992126"/>
  <pageSetup paperSize="9" scale="66" orientation="landscape" blackAndWhite="1" r:id="rId1"/>
  <rowBreaks count="1" manualBreakCount="1">
    <brk id="33" max="11"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N67"/>
  <sheetViews>
    <sheetView view="pageBreakPreview" zoomScaleNormal="100" workbookViewId="0">
      <selection activeCell="G23" sqref="G23"/>
    </sheetView>
  </sheetViews>
  <sheetFormatPr defaultColWidth="9" defaultRowHeight="18" customHeight="1"/>
  <cols>
    <col min="1" max="1" width="25.6640625" style="7" customWidth="1"/>
    <col min="2" max="5" width="14.6640625" style="7" customWidth="1"/>
    <col min="6" max="16384" width="9" style="7"/>
  </cols>
  <sheetData>
    <row r="1" spans="1:14" s="1" customFormat="1" ht="20.100000000000001" customHeight="1">
      <c r="A1" s="292" t="s">
        <v>86</v>
      </c>
      <c r="B1" s="292"/>
      <c r="C1" s="292"/>
      <c r="D1" s="292"/>
      <c r="E1" s="292"/>
      <c r="F1" s="5"/>
      <c r="G1" s="5"/>
      <c r="H1" s="5"/>
      <c r="I1" s="5"/>
      <c r="J1" s="5"/>
      <c r="K1" s="5"/>
      <c r="L1" s="5"/>
      <c r="M1" s="5"/>
      <c r="N1" s="5"/>
    </row>
    <row r="2" spans="1:14" s="2" customFormat="1" ht="25.05" customHeight="1">
      <c r="A2" s="283" t="s">
        <v>138</v>
      </c>
      <c r="B2" s="268"/>
      <c r="C2" s="268"/>
      <c r="D2" s="268"/>
      <c r="E2" s="268"/>
      <c r="F2" s="8"/>
      <c r="G2" s="8"/>
      <c r="H2" s="8"/>
      <c r="I2" s="8"/>
      <c r="J2" s="8"/>
      <c r="K2" s="8"/>
      <c r="L2" s="8"/>
      <c r="M2" s="8"/>
      <c r="N2" s="8"/>
    </row>
    <row r="3" spans="1:14" ht="20.100000000000001" customHeight="1">
      <c r="A3" s="7" t="str">
        <f>底稿目录!A2</f>
        <v>被审计单位：</v>
      </c>
      <c r="B3" s="7" t="str">
        <f>底稿目录!A4</f>
        <v>编制人：</v>
      </c>
      <c r="C3" s="7" t="str">
        <f>底稿目录!A5</f>
        <v>编制日期：</v>
      </c>
      <c r="D3" s="7" t="s">
        <v>88</v>
      </c>
      <c r="E3" s="26"/>
    </row>
    <row r="4" spans="1:14" ht="20.100000000000001" customHeight="1">
      <c r="A4" s="7" t="str">
        <f>底稿目录!A3</f>
        <v>截止日：202X年12月31日</v>
      </c>
      <c r="B4" s="7" t="str">
        <f>底稿目录!A6</f>
        <v>复核人：</v>
      </c>
      <c r="C4" s="7" t="str">
        <f>底稿目录!A7</f>
        <v>复核日期：</v>
      </c>
      <c r="D4" s="7" t="s">
        <v>136</v>
      </c>
      <c r="E4" s="26"/>
    </row>
    <row r="5" spans="1:14" s="120" customFormat="1" ht="20.100000000000001" customHeight="1">
      <c r="A5" s="121" t="s">
        <v>41</v>
      </c>
    </row>
    <row r="6" spans="1:14" s="120" customFormat="1" ht="20.100000000000001" customHeight="1">
      <c r="A6" s="122" t="s">
        <v>177</v>
      </c>
    </row>
    <row r="7" spans="1:14" s="120" customFormat="1" ht="20.100000000000001" customHeight="1">
      <c r="A7" s="123" t="s">
        <v>175</v>
      </c>
      <c r="B7" s="124" t="s">
        <v>67</v>
      </c>
      <c r="C7" s="124" t="s">
        <v>178</v>
      </c>
      <c r="D7" s="124" t="s">
        <v>179</v>
      </c>
      <c r="E7" s="124" t="s">
        <v>180</v>
      </c>
    </row>
    <row r="8" spans="1:14" s="120" customFormat="1" ht="20.100000000000001" customHeight="1">
      <c r="A8" s="125" t="s">
        <v>181</v>
      </c>
      <c r="B8" s="126">
        <f>SUM(B9:B20)</f>
        <v>0</v>
      </c>
      <c r="C8" s="126">
        <f t="shared" ref="C8:E8" si="0">SUM(C9:C20)</f>
        <v>0</v>
      </c>
      <c r="D8" s="126">
        <f t="shared" si="0"/>
        <v>0</v>
      </c>
      <c r="E8" s="126">
        <f t="shared" si="0"/>
        <v>0</v>
      </c>
    </row>
    <row r="9" spans="1:14" s="120" customFormat="1" ht="20.100000000000001" customHeight="1">
      <c r="A9" s="127" t="s">
        <v>182</v>
      </c>
      <c r="B9" s="128">
        <f>'明细表I1-2'!L20</f>
        <v>0</v>
      </c>
      <c r="C9" s="128">
        <f>'明细表I1-2'!M20</f>
        <v>0</v>
      </c>
      <c r="D9" s="128">
        <f>'明细表I1-2'!N20</f>
        <v>0</v>
      </c>
      <c r="E9" s="126">
        <f>B9+C9-D9</f>
        <v>0</v>
      </c>
    </row>
    <row r="10" spans="1:14" s="120" customFormat="1" ht="20.100000000000001" customHeight="1">
      <c r="A10" s="129" t="s">
        <v>15</v>
      </c>
      <c r="B10" s="128">
        <f>'明细表I1-2'!L21</f>
        <v>0</v>
      </c>
      <c r="C10" s="128">
        <f>'明细表I1-2'!M21</f>
        <v>0</v>
      </c>
      <c r="D10" s="128">
        <f>'明细表I1-2'!N21</f>
        <v>0</v>
      </c>
      <c r="E10" s="126">
        <f t="shared" ref="E10:E20" si="1">B10+C10-D10</f>
        <v>0</v>
      </c>
    </row>
    <row r="11" spans="1:14" s="120" customFormat="1" ht="20.100000000000001" customHeight="1">
      <c r="A11" s="129" t="s">
        <v>18</v>
      </c>
      <c r="B11" s="128">
        <f>'明细表I1-2'!L22</f>
        <v>0</v>
      </c>
      <c r="C11" s="128">
        <f>'明细表I1-2'!M22</f>
        <v>0</v>
      </c>
      <c r="D11" s="128">
        <f>'明细表I1-2'!N22</f>
        <v>0</v>
      </c>
      <c r="E11" s="126">
        <f t="shared" si="1"/>
        <v>0</v>
      </c>
    </row>
    <row r="12" spans="1:14" s="120" customFormat="1" ht="20.100000000000001" customHeight="1">
      <c r="A12" s="129" t="s">
        <v>20</v>
      </c>
      <c r="B12" s="128">
        <f>'明细表I1-2'!L23</f>
        <v>0</v>
      </c>
      <c r="C12" s="128">
        <f>'明细表I1-2'!M23</f>
        <v>0</v>
      </c>
      <c r="D12" s="128">
        <f>'明细表I1-2'!N23</f>
        <v>0</v>
      </c>
      <c r="E12" s="126">
        <f t="shared" si="1"/>
        <v>0</v>
      </c>
    </row>
    <row r="13" spans="1:14" s="120" customFormat="1" ht="20.100000000000001" customHeight="1">
      <c r="A13" s="129" t="s">
        <v>22</v>
      </c>
      <c r="B13" s="128">
        <f>'明细表I1-2'!L24</f>
        <v>0</v>
      </c>
      <c r="C13" s="128">
        <f>'明细表I1-2'!M24</f>
        <v>0</v>
      </c>
      <c r="D13" s="128">
        <f>'明细表I1-2'!N24</f>
        <v>0</v>
      </c>
      <c r="E13" s="126">
        <f t="shared" si="1"/>
        <v>0</v>
      </c>
    </row>
    <row r="14" spans="1:14" s="120" customFormat="1" ht="20.100000000000001" customHeight="1">
      <c r="A14" s="129" t="s">
        <v>24</v>
      </c>
      <c r="B14" s="128">
        <f>'明细表I1-2'!L25</f>
        <v>0</v>
      </c>
      <c r="C14" s="128">
        <f>'明细表I1-2'!M25</f>
        <v>0</v>
      </c>
      <c r="D14" s="128">
        <f>'明细表I1-2'!N25</f>
        <v>0</v>
      </c>
      <c r="E14" s="126">
        <f t="shared" si="1"/>
        <v>0</v>
      </c>
    </row>
    <row r="15" spans="1:14" s="120" customFormat="1" ht="20.100000000000001" customHeight="1">
      <c r="A15" s="129" t="s">
        <v>26</v>
      </c>
      <c r="B15" s="128">
        <f>'明细表I1-2'!L26</f>
        <v>0</v>
      </c>
      <c r="C15" s="128">
        <f>'明细表I1-2'!M26</f>
        <v>0</v>
      </c>
      <c r="D15" s="128">
        <f>'明细表I1-2'!N26</f>
        <v>0</v>
      </c>
      <c r="E15" s="126">
        <f t="shared" si="1"/>
        <v>0</v>
      </c>
    </row>
    <row r="16" spans="1:14" s="120" customFormat="1" ht="20.100000000000001" customHeight="1">
      <c r="A16" s="129" t="s">
        <v>28</v>
      </c>
      <c r="B16" s="128">
        <f>'明细表I1-2'!L27</f>
        <v>0</v>
      </c>
      <c r="C16" s="128">
        <f>'明细表I1-2'!M27</f>
        <v>0</v>
      </c>
      <c r="D16" s="128">
        <f>'明细表I1-2'!N27</f>
        <v>0</v>
      </c>
      <c r="E16" s="126">
        <f t="shared" si="1"/>
        <v>0</v>
      </c>
    </row>
    <row r="17" spans="1:5" s="120" customFormat="1" ht="20.100000000000001" customHeight="1">
      <c r="A17" s="129" t="s">
        <v>30</v>
      </c>
      <c r="B17" s="128">
        <f>'明细表I1-2'!L28</f>
        <v>0</v>
      </c>
      <c r="C17" s="128">
        <f>'明细表I1-2'!M28</f>
        <v>0</v>
      </c>
      <c r="D17" s="128">
        <f>'明细表I1-2'!N28</f>
        <v>0</v>
      </c>
      <c r="E17" s="126">
        <f t="shared" si="1"/>
        <v>0</v>
      </c>
    </row>
    <row r="18" spans="1:5" s="120" customFormat="1" ht="20.100000000000001" customHeight="1">
      <c r="A18" s="129" t="s">
        <v>32</v>
      </c>
      <c r="B18" s="128">
        <f>'明细表I1-2'!L29</f>
        <v>0</v>
      </c>
      <c r="C18" s="128">
        <f>'明细表I1-2'!M29</f>
        <v>0</v>
      </c>
      <c r="D18" s="128">
        <f>'明细表I1-2'!N29</f>
        <v>0</v>
      </c>
      <c r="E18" s="126">
        <f t="shared" si="1"/>
        <v>0</v>
      </c>
    </row>
    <row r="19" spans="1:5" s="120" customFormat="1" ht="20.100000000000001" customHeight="1">
      <c r="A19" s="129" t="s">
        <v>34</v>
      </c>
      <c r="B19" s="128">
        <f>'明细表I1-2'!L30</f>
        <v>0</v>
      </c>
      <c r="C19" s="128">
        <f>'明细表I1-2'!M30</f>
        <v>0</v>
      </c>
      <c r="D19" s="128">
        <f>'明细表I1-2'!N30</f>
        <v>0</v>
      </c>
      <c r="E19" s="126">
        <f t="shared" si="1"/>
        <v>0</v>
      </c>
    </row>
    <row r="20" spans="1:5" s="120" customFormat="1" ht="20.100000000000001" customHeight="1">
      <c r="A20" s="127" t="s">
        <v>36</v>
      </c>
      <c r="B20" s="128">
        <f>'明细表I1-2'!L31</f>
        <v>0</v>
      </c>
      <c r="C20" s="128">
        <f>'明细表I1-2'!M31</f>
        <v>0</v>
      </c>
      <c r="D20" s="128">
        <f>'明细表I1-2'!N31</f>
        <v>0</v>
      </c>
      <c r="E20" s="126">
        <f t="shared" si="1"/>
        <v>0</v>
      </c>
    </row>
    <row r="21" spans="1:5" s="120" customFormat="1" ht="20.100000000000001" customHeight="1">
      <c r="A21" s="125" t="s">
        <v>183</v>
      </c>
      <c r="B21" s="126">
        <f>SUM(B22:B33)</f>
        <v>0</v>
      </c>
      <c r="C21" s="126">
        <f t="shared" ref="C21:E21" si="2">SUM(C22:C33)</f>
        <v>0</v>
      </c>
      <c r="D21" s="126">
        <f t="shared" si="2"/>
        <v>0</v>
      </c>
      <c r="E21" s="126">
        <f t="shared" si="2"/>
        <v>0</v>
      </c>
    </row>
    <row r="22" spans="1:5" s="120" customFormat="1" ht="20.100000000000001" customHeight="1">
      <c r="A22" s="127" t="s">
        <v>182</v>
      </c>
      <c r="B22" s="128">
        <f>'明细表I1-2'!Y20</f>
        <v>0</v>
      </c>
      <c r="C22" s="128">
        <f>'明细表I1-2'!Z20</f>
        <v>0</v>
      </c>
      <c r="D22" s="128">
        <f>'明细表I1-2'!AA20</f>
        <v>0</v>
      </c>
      <c r="E22" s="126">
        <f>B22+C22-D22</f>
        <v>0</v>
      </c>
    </row>
    <row r="23" spans="1:5" s="120" customFormat="1" ht="20.100000000000001" customHeight="1">
      <c r="A23" s="129" t="s">
        <v>15</v>
      </c>
      <c r="B23" s="128">
        <f>'明细表I1-2'!Y21</f>
        <v>0</v>
      </c>
      <c r="C23" s="128">
        <f>'明细表I1-2'!Z21</f>
        <v>0</v>
      </c>
      <c r="D23" s="128">
        <f>'明细表I1-2'!AA21</f>
        <v>0</v>
      </c>
      <c r="E23" s="126">
        <f t="shared" ref="E23:E33" si="3">B23+C23-D23</f>
        <v>0</v>
      </c>
    </row>
    <row r="24" spans="1:5" s="120" customFormat="1" ht="20.100000000000001" customHeight="1">
      <c r="A24" s="129" t="s">
        <v>18</v>
      </c>
      <c r="B24" s="128">
        <f>'明细表I1-2'!Y22</f>
        <v>0</v>
      </c>
      <c r="C24" s="128">
        <f>'明细表I1-2'!Z22</f>
        <v>0</v>
      </c>
      <c r="D24" s="128">
        <f>'明细表I1-2'!AA22</f>
        <v>0</v>
      </c>
      <c r="E24" s="126">
        <f t="shared" si="3"/>
        <v>0</v>
      </c>
    </row>
    <row r="25" spans="1:5" s="120" customFormat="1" ht="20.100000000000001" customHeight="1">
      <c r="A25" s="129" t="s">
        <v>20</v>
      </c>
      <c r="B25" s="128">
        <f>'明细表I1-2'!Y23</f>
        <v>0</v>
      </c>
      <c r="C25" s="128">
        <f>'明细表I1-2'!Z23</f>
        <v>0</v>
      </c>
      <c r="D25" s="128">
        <f>'明细表I1-2'!AA23</f>
        <v>0</v>
      </c>
      <c r="E25" s="126">
        <f t="shared" si="3"/>
        <v>0</v>
      </c>
    </row>
    <row r="26" spans="1:5" s="120" customFormat="1" ht="20.100000000000001" customHeight="1">
      <c r="A26" s="129" t="s">
        <v>22</v>
      </c>
      <c r="B26" s="128">
        <f>'明细表I1-2'!Y24</f>
        <v>0</v>
      </c>
      <c r="C26" s="128">
        <f>'明细表I1-2'!Z24</f>
        <v>0</v>
      </c>
      <c r="D26" s="128">
        <f>'明细表I1-2'!AA24</f>
        <v>0</v>
      </c>
      <c r="E26" s="126">
        <f t="shared" si="3"/>
        <v>0</v>
      </c>
    </row>
    <row r="27" spans="1:5" s="120" customFormat="1" ht="20.100000000000001" customHeight="1">
      <c r="A27" s="129" t="s">
        <v>24</v>
      </c>
      <c r="B27" s="128">
        <f>'明细表I1-2'!Y25</f>
        <v>0</v>
      </c>
      <c r="C27" s="128">
        <f>'明细表I1-2'!Z25</f>
        <v>0</v>
      </c>
      <c r="D27" s="128">
        <f>'明细表I1-2'!AA25</f>
        <v>0</v>
      </c>
      <c r="E27" s="126">
        <f t="shared" si="3"/>
        <v>0</v>
      </c>
    </row>
    <row r="28" spans="1:5" s="120" customFormat="1" ht="20.100000000000001" customHeight="1">
      <c r="A28" s="129" t="s">
        <v>26</v>
      </c>
      <c r="B28" s="128">
        <f>'明细表I1-2'!Y26</f>
        <v>0</v>
      </c>
      <c r="C28" s="128">
        <f>'明细表I1-2'!Z26</f>
        <v>0</v>
      </c>
      <c r="D28" s="128">
        <f>'明细表I1-2'!AA26</f>
        <v>0</v>
      </c>
      <c r="E28" s="126">
        <f t="shared" si="3"/>
        <v>0</v>
      </c>
    </row>
    <row r="29" spans="1:5" s="120" customFormat="1" ht="20.100000000000001" customHeight="1">
      <c r="A29" s="129" t="s">
        <v>28</v>
      </c>
      <c r="B29" s="128">
        <f>'明细表I1-2'!Y27</f>
        <v>0</v>
      </c>
      <c r="C29" s="128">
        <f>'明细表I1-2'!Z27</f>
        <v>0</v>
      </c>
      <c r="D29" s="128">
        <f>'明细表I1-2'!AA27</f>
        <v>0</v>
      </c>
      <c r="E29" s="126">
        <f t="shared" si="3"/>
        <v>0</v>
      </c>
    </row>
    <row r="30" spans="1:5" s="120" customFormat="1" ht="20.100000000000001" customHeight="1">
      <c r="A30" s="129" t="s">
        <v>30</v>
      </c>
      <c r="B30" s="128">
        <f>'明细表I1-2'!Y28</f>
        <v>0</v>
      </c>
      <c r="C30" s="128">
        <f>'明细表I1-2'!Z28</f>
        <v>0</v>
      </c>
      <c r="D30" s="128">
        <f>'明细表I1-2'!AA28</f>
        <v>0</v>
      </c>
      <c r="E30" s="126">
        <f t="shared" si="3"/>
        <v>0</v>
      </c>
    </row>
    <row r="31" spans="1:5" s="120" customFormat="1" ht="20.100000000000001" customHeight="1">
      <c r="A31" s="129" t="s">
        <v>32</v>
      </c>
      <c r="B31" s="128">
        <f>'明细表I1-2'!Y29</f>
        <v>0</v>
      </c>
      <c r="C31" s="128">
        <f>'明细表I1-2'!Z29</f>
        <v>0</v>
      </c>
      <c r="D31" s="128">
        <f>'明细表I1-2'!AA29</f>
        <v>0</v>
      </c>
      <c r="E31" s="126">
        <f t="shared" ref="E31" si="4">B31+C31-D31</f>
        <v>0</v>
      </c>
    </row>
    <row r="32" spans="1:5" s="120" customFormat="1" ht="20.100000000000001" customHeight="1">
      <c r="A32" s="129" t="s">
        <v>34</v>
      </c>
      <c r="B32" s="128">
        <f>'明细表I1-2'!Y30</f>
        <v>0</v>
      </c>
      <c r="C32" s="128">
        <f>'明细表I1-2'!Z30</f>
        <v>0</v>
      </c>
      <c r="D32" s="128">
        <f>'明细表I1-2'!AA30</f>
        <v>0</v>
      </c>
      <c r="E32" s="126">
        <f t="shared" si="3"/>
        <v>0</v>
      </c>
    </row>
    <row r="33" spans="1:5" s="120" customFormat="1" ht="20.100000000000001" customHeight="1">
      <c r="A33" s="127" t="s">
        <v>36</v>
      </c>
      <c r="B33" s="128">
        <f>'明细表I1-2'!Y31</f>
        <v>0</v>
      </c>
      <c r="C33" s="128">
        <f>'明细表I1-2'!Z31</f>
        <v>0</v>
      </c>
      <c r="D33" s="128">
        <f>'明细表I1-2'!AA31</f>
        <v>0</v>
      </c>
      <c r="E33" s="126">
        <f t="shared" si="3"/>
        <v>0</v>
      </c>
    </row>
    <row r="34" spans="1:5" s="120" customFormat="1" ht="20.100000000000001" customHeight="1">
      <c r="A34" s="127" t="s">
        <v>184</v>
      </c>
      <c r="B34" s="126">
        <f>SUM(B35:B46)</f>
        <v>0</v>
      </c>
      <c r="C34" s="126">
        <f t="shared" ref="C34" si="5">SUM(C35:C46)</f>
        <v>0</v>
      </c>
      <c r="D34" s="126">
        <f t="shared" ref="D34:E34" si="6">SUM(D35:D46)</f>
        <v>0</v>
      </c>
      <c r="E34" s="126">
        <f t="shared" si="6"/>
        <v>0</v>
      </c>
    </row>
    <row r="35" spans="1:5" s="120" customFormat="1" ht="20.100000000000001" customHeight="1">
      <c r="A35" s="127" t="s">
        <v>182</v>
      </c>
      <c r="B35" s="128">
        <f>'明细表I1-2'!AL20</f>
        <v>0</v>
      </c>
      <c r="C35" s="128">
        <f>'明细表I1-2'!AM20</f>
        <v>0</v>
      </c>
      <c r="D35" s="128">
        <f>'明细表I1-2'!AN20</f>
        <v>0</v>
      </c>
      <c r="E35" s="126">
        <f>B35+C35-D35</f>
        <v>0</v>
      </c>
    </row>
    <row r="36" spans="1:5" s="120" customFormat="1" ht="20.100000000000001" customHeight="1">
      <c r="A36" s="129" t="s">
        <v>15</v>
      </c>
      <c r="B36" s="128">
        <f>'明细表I1-2'!AL21</f>
        <v>0</v>
      </c>
      <c r="C36" s="128">
        <f>'明细表I1-2'!AM21</f>
        <v>0</v>
      </c>
      <c r="D36" s="128">
        <f>'明细表I1-2'!AN21</f>
        <v>0</v>
      </c>
      <c r="E36" s="126">
        <f t="shared" ref="E36:E46" si="7">B36+C36-D36</f>
        <v>0</v>
      </c>
    </row>
    <row r="37" spans="1:5" s="120" customFormat="1" ht="20.100000000000001" customHeight="1">
      <c r="A37" s="129" t="s">
        <v>18</v>
      </c>
      <c r="B37" s="128">
        <f>'明细表I1-2'!AL22</f>
        <v>0</v>
      </c>
      <c r="C37" s="128">
        <f>'明细表I1-2'!AM22</f>
        <v>0</v>
      </c>
      <c r="D37" s="128">
        <f>'明细表I1-2'!AN22</f>
        <v>0</v>
      </c>
      <c r="E37" s="126">
        <f t="shared" si="7"/>
        <v>0</v>
      </c>
    </row>
    <row r="38" spans="1:5" s="120" customFormat="1" ht="20.100000000000001" customHeight="1">
      <c r="A38" s="129" t="s">
        <v>20</v>
      </c>
      <c r="B38" s="128">
        <f>'明细表I1-2'!AL23</f>
        <v>0</v>
      </c>
      <c r="C38" s="128">
        <f>'明细表I1-2'!AM23</f>
        <v>0</v>
      </c>
      <c r="D38" s="128">
        <f>'明细表I1-2'!AN23</f>
        <v>0</v>
      </c>
      <c r="E38" s="126">
        <f t="shared" si="7"/>
        <v>0</v>
      </c>
    </row>
    <row r="39" spans="1:5" s="120" customFormat="1" ht="20.100000000000001" customHeight="1">
      <c r="A39" s="129" t="s">
        <v>22</v>
      </c>
      <c r="B39" s="128">
        <f>'明细表I1-2'!AL24</f>
        <v>0</v>
      </c>
      <c r="C39" s="128">
        <f>'明细表I1-2'!AM24</f>
        <v>0</v>
      </c>
      <c r="D39" s="128">
        <f>'明细表I1-2'!AN24</f>
        <v>0</v>
      </c>
      <c r="E39" s="126">
        <f t="shared" si="7"/>
        <v>0</v>
      </c>
    </row>
    <row r="40" spans="1:5" s="120" customFormat="1" ht="20.100000000000001" customHeight="1">
      <c r="A40" s="129" t="s">
        <v>24</v>
      </c>
      <c r="B40" s="128">
        <f>'明细表I1-2'!AL25</f>
        <v>0</v>
      </c>
      <c r="C40" s="128">
        <f>'明细表I1-2'!AM25</f>
        <v>0</v>
      </c>
      <c r="D40" s="128">
        <f>'明细表I1-2'!AN25</f>
        <v>0</v>
      </c>
      <c r="E40" s="126">
        <f t="shared" si="7"/>
        <v>0</v>
      </c>
    </row>
    <row r="41" spans="1:5" s="120" customFormat="1" ht="20.100000000000001" customHeight="1">
      <c r="A41" s="129" t="s">
        <v>26</v>
      </c>
      <c r="B41" s="128">
        <f>'明细表I1-2'!AL26</f>
        <v>0</v>
      </c>
      <c r="C41" s="128">
        <f>'明细表I1-2'!AM26</f>
        <v>0</v>
      </c>
      <c r="D41" s="128">
        <f>'明细表I1-2'!AN26</f>
        <v>0</v>
      </c>
      <c r="E41" s="126">
        <f t="shared" si="7"/>
        <v>0</v>
      </c>
    </row>
    <row r="42" spans="1:5" s="120" customFormat="1" ht="20.100000000000001" customHeight="1">
      <c r="A42" s="129" t="s">
        <v>28</v>
      </c>
      <c r="B42" s="128">
        <f>'明细表I1-2'!AL27</f>
        <v>0</v>
      </c>
      <c r="C42" s="128">
        <f>'明细表I1-2'!AM27</f>
        <v>0</v>
      </c>
      <c r="D42" s="128">
        <f>'明细表I1-2'!AN27</f>
        <v>0</v>
      </c>
      <c r="E42" s="126">
        <f t="shared" si="7"/>
        <v>0</v>
      </c>
    </row>
    <row r="43" spans="1:5" s="120" customFormat="1" ht="20.100000000000001" customHeight="1">
      <c r="A43" s="129" t="s">
        <v>30</v>
      </c>
      <c r="B43" s="128">
        <f>'明细表I1-2'!AL28</f>
        <v>0</v>
      </c>
      <c r="C43" s="128">
        <f>'明细表I1-2'!AM28</f>
        <v>0</v>
      </c>
      <c r="D43" s="128">
        <f>'明细表I1-2'!AN28</f>
        <v>0</v>
      </c>
      <c r="E43" s="126">
        <f t="shared" si="7"/>
        <v>0</v>
      </c>
    </row>
    <row r="44" spans="1:5" s="120" customFormat="1" ht="20.100000000000001" customHeight="1">
      <c r="A44" s="129" t="s">
        <v>32</v>
      </c>
      <c r="B44" s="128">
        <f>'明细表I1-2'!AL29</f>
        <v>0</v>
      </c>
      <c r="C44" s="128">
        <f>'明细表I1-2'!AM29</f>
        <v>0</v>
      </c>
      <c r="D44" s="128">
        <f>'明细表I1-2'!AN29</f>
        <v>0</v>
      </c>
      <c r="E44" s="126">
        <f t="shared" ref="E44" si="8">B44+C44-D44</f>
        <v>0</v>
      </c>
    </row>
    <row r="45" spans="1:5" s="120" customFormat="1" ht="20.100000000000001" customHeight="1">
      <c r="A45" s="129" t="s">
        <v>34</v>
      </c>
      <c r="B45" s="128">
        <f>'明细表I1-2'!AL30</f>
        <v>0</v>
      </c>
      <c r="C45" s="128">
        <f>'明细表I1-2'!AM30</f>
        <v>0</v>
      </c>
      <c r="D45" s="128">
        <f>'明细表I1-2'!AN30</f>
        <v>0</v>
      </c>
      <c r="E45" s="126">
        <f t="shared" si="7"/>
        <v>0</v>
      </c>
    </row>
    <row r="46" spans="1:5" s="120" customFormat="1" ht="20.100000000000001" customHeight="1">
      <c r="A46" s="127" t="s">
        <v>36</v>
      </c>
      <c r="B46" s="128">
        <f>'明细表I1-2'!AL31</f>
        <v>0</v>
      </c>
      <c r="C46" s="128">
        <f>'明细表I1-2'!AM31</f>
        <v>0</v>
      </c>
      <c r="D46" s="128">
        <f>'明细表I1-2'!AN31</f>
        <v>0</v>
      </c>
      <c r="E46" s="126">
        <f t="shared" si="7"/>
        <v>0</v>
      </c>
    </row>
    <row r="47" spans="1:5" s="120" customFormat="1" ht="20.100000000000001" customHeight="1">
      <c r="A47" s="127" t="s">
        <v>185</v>
      </c>
      <c r="B47" s="126">
        <f>SUM(B48:B59)</f>
        <v>0</v>
      </c>
      <c r="C47" s="126"/>
      <c r="D47" s="126"/>
      <c r="E47" s="126">
        <f>SUM(E48:E59)</f>
        <v>0</v>
      </c>
    </row>
    <row r="48" spans="1:5" s="120" customFormat="1" ht="20.100000000000001" customHeight="1">
      <c r="A48" s="127" t="s">
        <v>182</v>
      </c>
      <c r="B48" s="128">
        <f t="shared" ref="B48:B59" si="9">B9-B22-B35</f>
        <v>0</v>
      </c>
      <c r="C48" s="128"/>
      <c r="D48" s="128"/>
      <c r="E48" s="126">
        <f t="shared" ref="E48:E59" si="10">E9-E22-E35</f>
        <v>0</v>
      </c>
    </row>
    <row r="49" spans="1:5" s="120" customFormat="1" ht="20.100000000000001" customHeight="1">
      <c r="A49" s="129" t="s">
        <v>15</v>
      </c>
      <c r="B49" s="128">
        <f t="shared" si="9"/>
        <v>0</v>
      </c>
      <c r="C49" s="128"/>
      <c r="D49" s="128"/>
      <c r="E49" s="126">
        <f t="shared" si="10"/>
        <v>0</v>
      </c>
    </row>
    <row r="50" spans="1:5" s="120" customFormat="1" ht="20.100000000000001" customHeight="1">
      <c r="A50" s="129" t="s">
        <v>18</v>
      </c>
      <c r="B50" s="128">
        <f t="shared" si="9"/>
        <v>0</v>
      </c>
      <c r="C50" s="128"/>
      <c r="D50" s="128"/>
      <c r="E50" s="126">
        <f t="shared" si="10"/>
        <v>0</v>
      </c>
    </row>
    <row r="51" spans="1:5" s="120" customFormat="1" ht="20.100000000000001" customHeight="1">
      <c r="A51" s="129" t="s">
        <v>20</v>
      </c>
      <c r="B51" s="128">
        <f t="shared" si="9"/>
        <v>0</v>
      </c>
      <c r="C51" s="128"/>
      <c r="D51" s="128"/>
      <c r="E51" s="126">
        <f t="shared" si="10"/>
        <v>0</v>
      </c>
    </row>
    <row r="52" spans="1:5" s="120" customFormat="1" ht="20.100000000000001" customHeight="1">
      <c r="A52" s="129" t="s">
        <v>22</v>
      </c>
      <c r="B52" s="128">
        <f t="shared" si="9"/>
        <v>0</v>
      </c>
      <c r="C52" s="128"/>
      <c r="D52" s="128"/>
      <c r="E52" s="126">
        <f t="shared" si="10"/>
        <v>0</v>
      </c>
    </row>
    <row r="53" spans="1:5" s="120" customFormat="1" ht="20.100000000000001" customHeight="1">
      <c r="A53" s="129" t="s">
        <v>24</v>
      </c>
      <c r="B53" s="128">
        <f t="shared" si="9"/>
        <v>0</v>
      </c>
      <c r="C53" s="128"/>
      <c r="D53" s="128"/>
      <c r="E53" s="126">
        <f t="shared" si="10"/>
        <v>0</v>
      </c>
    </row>
    <row r="54" spans="1:5" s="120" customFormat="1" ht="20.100000000000001" customHeight="1">
      <c r="A54" s="129" t="s">
        <v>26</v>
      </c>
      <c r="B54" s="128">
        <f t="shared" si="9"/>
        <v>0</v>
      </c>
      <c r="C54" s="128"/>
      <c r="D54" s="128"/>
      <c r="E54" s="126">
        <f t="shared" si="10"/>
        <v>0</v>
      </c>
    </row>
    <row r="55" spans="1:5" s="120" customFormat="1" ht="20.100000000000001" customHeight="1">
      <c r="A55" s="129" t="s">
        <v>28</v>
      </c>
      <c r="B55" s="128">
        <f t="shared" si="9"/>
        <v>0</v>
      </c>
      <c r="C55" s="128"/>
      <c r="D55" s="128"/>
      <c r="E55" s="126">
        <f t="shared" si="10"/>
        <v>0</v>
      </c>
    </row>
    <row r="56" spans="1:5" s="120" customFormat="1" ht="20.100000000000001" customHeight="1">
      <c r="A56" s="129" t="s">
        <v>30</v>
      </c>
      <c r="B56" s="128">
        <f t="shared" si="9"/>
        <v>0</v>
      </c>
      <c r="C56" s="128"/>
      <c r="D56" s="128"/>
      <c r="E56" s="126">
        <f t="shared" si="10"/>
        <v>0</v>
      </c>
    </row>
    <row r="57" spans="1:5" s="120" customFormat="1" ht="20.100000000000001" customHeight="1">
      <c r="A57" s="129" t="s">
        <v>32</v>
      </c>
      <c r="B57" s="128">
        <f t="shared" si="9"/>
        <v>0</v>
      </c>
      <c r="C57" s="128"/>
      <c r="D57" s="128"/>
      <c r="E57" s="126">
        <f t="shared" si="10"/>
        <v>0</v>
      </c>
    </row>
    <row r="58" spans="1:5" s="120" customFormat="1" ht="20.100000000000001" customHeight="1">
      <c r="A58" s="129" t="s">
        <v>34</v>
      </c>
      <c r="B58" s="128">
        <f t="shared" si="9"/>
        <v>0</v>
      </c>
      <c r="C58" s="128"/>
      <c r="D58" s="128"/>
      <c r="E58" s="126">
        <f t="shared" si="10"/>
        <v>0</v>
      </c>
    </row>
    <row r="59" spans="1:5" s="120" customFormat="1" ht="20.100000000000001" customHeight="1">
      <c r="A59" s="130" t="s">
        <v>36</v>
      </c>
      <c r="B59" s="131">
        <f t="shared" si="9"/>
        <v>0</v>
      </c>
      <c r="C59" s="131"/>
      <c r="D59" s="131"/>
      <c r="E59" s="131">
        <f t="shared" si="10"/>
        <v>0</v>
      </c>
    </row>
    <row r="60" spans="1:5" s="120" customFormat="1" ht="20.100000000000001" customHeight="1">
      <c r="A60" s="122" t="s">
        <v>163</v>
      </c>
    </row>
    <row r="61" spans="1:5" s="120" customFormat="1" ht="20.100000000000001" customHeight="1">
      <c r="A61" s="294" t="s">
        <v>186</v>
      </c>
      <c r="B61" s="294"/>
      <c r="C61" s="294"/>
      <c r="D61" s="294"/>
      <c r="E61" s="294"/>
    </row>
    <row r="62" spans="1:5" s="120" customFormat="1" ht="20.100000000000001" customHeight="1">
      <c r="A62" s="294" t="s">
        <v>187</v>
      </c>
      <c r="B62" s="294"/>
      <c r="C62" s="294"/>
      <c r="D62" s="294"/>
      <c r="E62" s="294"/>
    </row>
    <row r="63" spans="1:5" s="120" customFormat="1" ht="36.75" customHeight="1">
      <c r="A63" s="296" t="s">
        <v>188</v>
      </c>
      <c r="B63" s="296"/>
      <c r="C63" s="296"/>
      <c r="D63" s="296"/>
      <c r="E63" s="296"/>
    </row>
    <row r="64" spans="1:5" s="120" customFormat="1" ht="20.100000000000001" customHeight="1">
      <c r="A64" s="294" t="s">
        <v>189</v>
      </c>
      <c r="B64" s="294"/>
      <c r="C64" s="294"/>
      <c r="D64" s="294"/>
      <c r="E64" s="294"/>
    </row>
    <row r="65" spans="1:5" s="120" customFormat="1" ht="20.100000000000001" customHeight="1">
      <c r="A65" s="294" t="s">
        <v>190</v>
      </c>
      <c r="B65" s="294"/>
      <c r="C65" s="294"/>
      <c r="D65" s="294"/>
      <c r="E65" s="294"/>
    </row>
    <row r="66" spans="1:5" s="120" customFormat="1" ht="33" customHeight="1">
      <c r="A66" s="296" t="s">
        <v>191</v>
      </c>
      <c r="B66" s="296"/>
      <c r="C66" s="296"/>
      <c r="D66" s="296"/>
      <c r="E66" s="296"/>
    </row>
    <row r="67" spans="1:5" s="120" customFormat="1" ht="20.100000000000001" customHeight="1">
      <c r="A67" s="294" t="s">
        <v>192</v>
      </c>
      <c r="B67" s="294"/>
      <c r="C67" s="294"/>
      <c r="D67" s="294"/>
      <c r="E67" s="294"/>
    </row>
  </sheetData>
  <mergeCells count="9">
    <mergeCell ref="A64:E64"/>
    <mergeCell ref="A65:E65"/>
    <mergeCell ref="A66:E66"/>
    <mergeCell ref="A67:E67"/>
    <mergeCell ref="A1:E1"/>
    <mergeCell ref="A2:E2"/>
    <mergeCell ref="A61:E61"/>
    <mergeCell ref="A62:E62"/>
    <mergeCell ref="A63:E63"/>
  </mergeCells>
  <phoneticPr fontId="75" type="noConversion"/>
  <pageMargins left="0.70866141732283505" right="0.70866141732283505" top="0.74803149606299202" bottom="0.74803149606299202" header="0.31496062992126" footer="0.31496062992126"/>
  <pageSetup paperSize="9" orientation="portrait" blackAndWhite="1"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BD41"/>
  <sheetViews>
    <sheetView view="pageBreakPreview" zoomScaleNormal="100" workbookViewId="0">
      <selection sqref="A1:O1"/>
    </sheetView>
  </sheetViews>
  <sheetFormatPr defaultColWidth="9" defaultRowHeight="18" customHeight="1"/>
  <cols>
    <col min="1" max="2" width="18.77734375" style="7" customWidth="1"/>
    <col min="3" max="4" width="8.88671875" style="7" customWidth="1"/>
    <col min="5" max="5" width="9.6640625" style="7" customWidth="1"/>
    <col min="6" max="8" width="8.88671875" style="7" customWidth="1"/>
    <col min="9" max="9" width="9.33203125" style="7" customWidth="1"/>
    <col min="10" max="11" width="8.44140625" style="7" customWidth="1"/>
    <col min="12" max="15" width="8.77734375" style="7" customWidth="1"/>
    <col min="16" max="16" width="8.33203125" style="7" customWidth="1"/>
    <col min="17" max="17" width="8.21875" style="7" customWidth="1"/>
    <col min="18" max="19" width="7.6640625" style="7" customWidth="1"/>
    <col min="20" max="20" width="8" style="7" customWidth="1"/>
    <col min="21" max="21" width="7.6640625" style="7" customWidth="1"/>
    <col min="22" max="22" width="8.6640625" style="7" customWidth="1"/>
    <col min="23" max="23" width="8.44140625" style="7" customWidth="1"/>
    <col min="24" max="24" width="7.6640625" style="7" customWidth="1"/>
    <col min="25" max="16384" width="9" style="7"/>
  </cols>
  <sheetData>
    <row r="1" spans="1:56" s="1" customFormat="1" ht="20.100000000000001" customHeight="1">
      <c r="A1" s="283" t="s">
        <v>86</v>
      </c>
      <c r="B1" s="283"/>
      <c r="C1" s="283"/>
      <c r="D1" s="283"/>
      <c r="E1" s="283"/>
      <c r="F1" s="283"/>
      <c r="G1" s="283"/>
      <c r="H1" s="283"/>
      <c r="I1" s="283"/>
      <c r="J1" s="283"/>
      <c r="K1" s="283"/>
      <c r="L1" s="283"/>
      <c r="M1" s="283"/>
      <c r="N1" s="283"/>
      <c r="O1" s="283"/>
      <c r="P1" s="283" t="s">
        <v>86</v>
      </c>
      <c r="Q1" s="283"/>
      <c r="R1" s="283"/>
      <c r="S1" s="283"/>
      <c r="T1" s="283"/>
      <c r="U1" s="283"/>
      <c r="V1" s="283"/>
      <c r="W1" s="283"/>
      <c r="X1" s="283"/>
      <c r="Y1" s="283"/>
      <c r="Z1" s="283"/>
      <c r="AA1" s="283"/>
      <c r="AB1" s="283"/>
      <c r="AC1" s="297" t="s">
        <v>86</v>
      </c>
      <c r="AD1" s="297"/>
      <c r="AE1" s="297"/>
      <c r="AF1" s="297"/>
      <c r="AG1" s="297"/>
      <c r="AH1" s="297"/>
      <c r="AI1" s="297"/>
      <c r="AJ1" s="297"/>
      <c r="AK1" s="297"/>
      <c r="AL1" s="297"/>
      <c r="AM1" s="297"/>
      <c r="AN1" s="297"/>
      <c r="AO1" s="297"/>
      <c r="AP1" s="297"/>
      <c r="AQ1" s="297"/>
      <c r="AR1" s="297"/>
      <c r="AS1" s="297"/>
      <c r="AT1" s="297"/>
      <c r="AU1" s="297"/>
    </row>
    <row r="2" spans="1:56" s="2" customFormat="1" ht="25.05" customHeight="1">
      <c r="A2" s="284" t="s">
        <v>193</v>
      </c>
      <c r="B2" s="284"/>
      <c r="C2" s="284"/>
      <c r="D2" s="284"/>
      <c r="E2" s="284"/>
      <c r="F2" s="284"/>
      <c r="G2" s="284"/>
      <c r="H2" s="284"/>
      <c r="I2" s="284"/>
      <c r="J2" s="284"/>
      <c r="K2" s="284"/>
      <c r="L2" s="284"/>
      <c r="M2" s="284"/>
      <c r="N2" s="284"/>
      <c r="O2" s="284"/>
      <c r="P2" s="284" t="s">
        <v>193</v>
      </c>
      <c r="Q2" s="284"/>
      <c r="R2" s="284"/>
      <c r="S2" s="284"/>
      <c r="T2" s="284"/>
      <c r="U2" s="284"/>
      <c r="V2" s="284"/>
      <c r="W2" s="284"/>
      <c r="X2" s="284"/>
      <c r="Y2" s="284"/>
      <c r="Z2" s="284"/>
      <c r="AA2" s="284"/>
      <c r="AB2" s="284"/>
      <c r="AC2" s="284" t="s">
        <v>193</v>
      </c>
      <c r="AD2" s="284"/>
      <c r="AE2" s="284"/>
      <c r="AF2" s="284"/>
      <c r="AG2" s="284"/>
      <c r="AH2" s="284"/>
      <c r="AI2" s="284"/>
      <c r="AJ2" s="284"/>
      <c r="AK2" s="284"/>
      <c r="AL2" s="284"/>
      <c r="AM2" s="284"/>
      <c r="AN2" s="284"/>
      <c r="AO2" s="284"/>
      <c r="AP2" s="284"/>
      <c r="AQ2" s="284"/>
      <c r="AR2" s="284"/>
      <c r="AS2" s="284"/>
      <c r="AT2" s="284"/>
      <c r="AU2" s="284"/>
      <c r="AV2" s="118"/>
      <c r="AW2" s="118"/>
      <c r="AX2" s="118"/>
      <c r="AY2" s="118"/>
      <c r="AZ2" s="118"/>
      <c r="BA2" s="118"/>
      <c r="BB2" s="118"/>
      <c r="BC2" s="118"/>
      <c r="BD2" s="118"/>
    </row>
    <row r="3" spans="1:56" ht="20.100000000000001" customHeight="1">
      <c r="A3" s="7" t="str">
        <f>底稿目录!A2</f>
        <v>被审计单位：</v>
      </c>
      <c r="G3" s="7" t="str">
        <f>底稿目录!A4</f>
        <v>编制人：</v>
      </c>
      <c r="K3" s="25" t="str">
        <f>底稿目录!A5</f>
        <v>编制日期：</v>
      </c>
      <c r="N3" s="25" t="s">
        <v>88</v>
      </c>
      <c r="O3" s="197" t="s">
        <v>10</v>
      </c>
      <c r="U3" s="7" t="str">
        <f>G3</f>
        <v>编制人：</v>
      </c>
      <c r="AA3" s="7" t="s">
        <v>88</v>
      </c>
      <c r="AB3" s="90" t="s">
        <v>10</v>
      </c>
      <c r="AH3" s="7" t="str">
        <f>G3</f>
        <v>编制人：</v>
      </c>
      <c r="AN3" s="7" t="str">
        <f>K3</f>
        <v>编制日期：</v>
      </c>
      <c r="AT3" s="7" t="s">
        <v>88</v>
      </c>
      <c r="AU3" s="267" t="s">
        <v>573</v>
      </c>
      <c r="BC3" s="86"/>
      <c r="BD3" s="26"/>
    </row>
    <row r="4" spans="1:56" ht="20.100000000000001" customHeight="1">
      <c r="A4" s="7" t="str">
        <f>底稿目录!A3</f>
        <v>截止日：202X年12月31日</v>
      </c>
      <c r="G4" s="7" t="str">
        <f>底稿目录!A6</f>
        <v>复核人：</v>
      </c>
      <c r="K4" s="25" t="str">
        <f>底稿目录!A7</f>
        <v>复核日期：</v>
      </c>
      <c r="N4" s="25" t="s">
        <v>136</v>
      </c>
      <c r="O4" s="26"/>
      <c r="P4" s="116"/>
      <c r="U4" s="7" t="str">
        <f>底稿目录!A6</f>
        <v>复核人：</v>
      </c>
      <c r="AA4" s="7" t="s">
        <v>136</v>
      </c>
      <c r="AB4" s="26"/>
      <c r="AH4" s="7" t="str">
        <f>底稿目录!A6</f>
        <v>复核人：</v>
      </c>
      <c r="AN4" s="7" t="str">
        <f>底稿目录!A7</f>
        <v>复核日期：</v>
      </c>
      <c r="AT4" s="7" t="s">
        <v>136</v>
      </c>
      <c r="AU4" s="26"/>
      <c r="BC4" s="86"/>
      <c r="BD4" s="26"/>
    </row>
    <row r="5" spans="1:56" s="3" customFormat="1" ht="20.100000000000001" customHeight="1">
      <c r="A5" s="9" t="s">
        <v>194</v>
      </c>
      <c r="E5" s="11"/>
      <c r="H5" s="27"/>
      <c r="I5" s="27"/>
      <c r="P5" s="9" t="s">
        <v>194</v>
      </c>
      <c r="R5" s="32"/>
      <c r="S5" s="32"/>
      <c r="T5" s="32"/>
      <c r="U5" s="32"/>
      <c r="V5" s="32"/>
      <c r="AC5" s="9" t="s">
        <v>194</v>
      </c>
      <c r="AP5" s="9"/>
    </row>
    <row r="6" spans="1:56" s="3" customFormat="1" ht="20.100000000000001" customHeight="1">
      <c r="A6" s="12" t="s">
        <v>195</v>
      </c>
      <c r="B6" s="12"/>
      <c r="E6" s="11"/>
      <c r="H6" s="27"/>
      <c r="I6" s="27"/>
      <c r="P6" s="12" t="s">
        <v>195</v>
      </c>
      <c r="Q6" s="12"/>
      <c r="R6" s="32"/>
      <c r="S6" s="32"/>
      <c r="T6" s="32"/>
      <c r="U6" s="32"/>
      <c r="V6" s="32"/>
      <c r="AC6" s="51">
        <v>1</v>
      </c>
      <c r="AD6" s="12" t="s">
        <v>195</v>
      </c>
      <c r="AP6" s="51"/>
      <c r="AQ6" s="12"/>
    </row>
    <row r="7" spans="1:56" s="3" customFormat="1" ht="20.100000000000001" customHeight="1">
      <c r="A7" s="13" t="s">
        <v>196</v>
      </c>
      <c r="E7" s="11"/>
      <c r="H7" s="27"/>
      <c r="I7" s="27"/>
      <c r="P7" s="13" t="s">
        <v>196</v>
      </c>
      <c r="R7" s="32"/>
      <c r="S7" s="32"/>
      <c r="T7" s="32"/>
      <c r="U7" s="32"/>
      <c r="V7" s="32"/>
      <c r="AC7" s="13" t="s">
        <v>196</v>
      </c>
      <c r="AP7" s="13"/>
    </row>
    <row r="8" spans="1:56" s="5" customFormat="1" ht="20.100000000000001" customHeight="1">
      <c r="A8" s="306" t="s">
        <v>197</v>
      </c>
      <c r="B8" s="307" t="s">
        <v>198</v>
      </c>
      <c r="C8" s="299" t="s">
        <v>199</v>
      </c>
      <c r="D8" s="299"/>
      <c r="E8" s="299"/>
      <c r="F8" s="299"/>
      <c r="G8" s="299"/>
      <c r="H8" s="299"/>
      <c r="I8" s="299"/>
      <c r="J8" s="299"/>
      <c r="K8" s="299"/>
      <c r="L8" s="299"/>
      <c r="M8" s="299"/>
      <c r="N8" s="299"/>
      <c r="O8" s="299"/>
      <c r="P8" s="298" t="s">
        <v>200</v>
      </c>
      <c r="Q8" s="290"/>
      <c r="R8" s="290"/>
      <c r="S8" s="290"/>
      <c r="T8" s="290"/>
      <c r="U8" s="290"/>
      <c r="V8" s="290"/>
      <c r="W8" s="290"/>
      <c r="X8" s="290"/>
      <c r="Y8" s="290"/>
      <c r="Z8" s="290"/>
      <c r="AA8" s="290"/>
      <c r="AB8" s="290"/>
      <c r="AC8" s="298" t="s">
        <v>201</v>
      </c>
      <c r="AD8" s="290"/>
      <c r="AE8" s="290"/>
      <c r="AF8" s="290"/>
      <c r="AG8" s="290"/>
      <c r="AH8" s="290"/>
      <c r="AI8" s="290"/>
      <c r="AJ8" s="290"/>
      <c r="AK8" s="290"/>
      <c r="AL8" s="290"/>
      <c r="AM8" s="290"/>
      <c r="AN8" s="290"/>
      <c r="AO8" s="290"/>
      <c r="AP8" s="298" t="s">
        <v>202</v>
      </c>
      <c r="AQ8" s="298"/>
      <c r="AR8" s="298" t="s">
        <v>203</v>
      </c>
      <c r="AS8" s="298"/>
      <c r="AT8" s="307" t="s">
        <v>204</v>
      </c>
      <c r="AU8" s="307" t="s">
        <v>205</v>
      </c>
    </row>
    <row r="9" spans="1:56" s="5" customFormat="1" ht="20.100000000000001" customHeight="1">
      <c r="A9" s="306"/>
      <c r="B9" s="308"/>
      <c r="C9" s="299" t="s">
        <v>206</v>
      </c>
      <c r="D9" s="299"/>
      <c r="E9" s="299"/>
      <c r="F9" s="299"/>
      <c r="G9" s="299"/>
      <c r="H9" s="299"/>
      <c r="I9" s="117" t="s">
        <v>207</v>
      </c>
      <c r="J9" s="300" t="s">
        <v>208</v>
      </c>
      <c r="K9" s="301"/>
      <c r="L9" s="300" t="s">
        <v>209</v>
      </c>
      <c r="M9" s="301"/>
      <c r="N9" s="301"/>
      <c r="O9" s="301"/>
      <c r="P9" s="298" t="s">
        <v>206</v>
      </c>
      <c r="Q9" s="290"/>
      <c r="R9" s="290"/>
      <c r="S9" s="290"/>
      <c r="T9" s="290"/>
      <c r="U9" s="290"/>
      <c r="V9" s="117" t="s">
        <v>207</v>
      </c>
      <c r="W9" s="300" t="s">
        <v>208</v>
      </c>
      <c r="X9" s="301"/>
      <c r="Y9" s="300" t="s">
        <v>209</v>
      </c>
      <c r="Z9" s="301"/>
      <c r="AA9" s="301"/>
      <c r="AB9" s="301"/>
      <c r="AC9" s="298" t="s">
        <v>206</v>
      </c>
      <c r="AD9" s="290"/>
      <c r="AE9" s="290"/>
      <c r="AF9" s="290"/>
      <c r="AG9" s="290"/>
      <c r="AH9" s="290"/>
      <c r="AI9" s="117" t="s">
        <v>207</v>
      </c>
      <c r="AJ9" s="300" t="s">
        <v>208</v>
      </c>
      <c r="AK9" s="301"/>
      <c r="AL9" s="300" t="s">
        <v>209</v>
      </c>
      <c r="AM9" s="301"/>
      <c r="AN9" s="301"/>
      <c r="AO9" s="301"/>
      <c r="AP9" s="298"/>
      <c r="AQ9" s="298"/>
      <c r="AR9" s="298"/>
      <c r="AS9" s="298"/>
      <c r="AT9" s="308"/>
      <c r="AU9" s="308"/>
    </row>
    <row r="10" spans="1:56" s="5" customFormat="1" ht="20.100000000000001" customHeight="1">
      <c r="A10" s="306"/>
      <c r="B10" s="308"/>
      <c r="C10" s="301" t="s">
        <v>210</v>
      </c>
      <c r="D10" s="298" t="s">
        <v>178</v>
      </c>
      <c r="E10" s="290"/>
      <c r="F10" s="298" t="s">
        <v>179</v>
      </c>
      <c r="G10" s="290"/>
      <c r="H10" s="298" t="s">
        <v>211</v>
      </c>
      <c r="I10" s="300" t="s">
        <v>208</v>
      </c>
      <c r="J10" s="301" t="s">
        <v>212</v>
      </c>
      <c r="K10" s="301" t="s">
        <v>213</v>
      </c>
      <c r="L10" s="301" t="s">
        <v>210</v>
      </c>
      <c r="M10" s="300" t="s">
        <v>178</v>
      </c>
      <c r="N10" s="300" t="s">
        <v>179</v>
      </c>
      <c r="O10" s="300" t="s">
        <v>211</v>
      </c>
      <c r="P10" s="301" t="s">
        <v>210</v>
      </c>
      <c r="Q10" s="290" t="s">
        <v>212</v>
      </c>
      <c r="R10" s="290"/>
      <c r="S10" s="298" t="s">
        <v>179</v>
      </c>
      <c r="T10" s="290"/>
      <c r="U10" s="300" t="s">
        <v>211</v>
      </c>
      <c r="V10" s="300" t="s">
        <v>208</v>
      </c>
      <c r="W10" s="302" t="s">
        <v>212</v>
      </c>
      <c r="X10" s="304" t="s">
        <v>179</v>
      </c>
      <c r="Y10" s="301" t="s">
        <v>210</v>
      </c>
      <c r="Z10" s="302" t="s">
        <v>212</v>
      </c>
      <c r="AA10" s="304" t="s">
        <v>179</v>
      </c>
      <c r="AB10" s="300" t="s">
        <v>211</v>
      </c>
      <c r="AC10" s="301" t="s">
        <v>210</v>
      </c>
      <c r="AD10" s="290" t="s">
        <v>212</v>
      </c>
      <c r="AE10" s="290"/>
      <c r="AF10" s="298" t="s">
        <v>179</v>
      </c>
      <c r="AG10" s="290"/>
      <c r="AH10" s="300" t="s">
        <v>211</v>
      </c>
      <c r="AI10" s="300" t="s">
        <v>208</v>
      </c>
      <c r="AJ10" s="301" t="s">
        <v>212</v>
      </c>
      <c r="AK10" s="301" t="s">
        <v>213</v>
      </c>
      <c r="AL10" s="301" t="s">
        <v>210</v>
      </c>
      <c r="AM10" s="300" t="s">
        <v>178</v>
      </c>
      <c r="AN10" s="300" t="s">
        <v>179</v>
      </c>
      <c r="AO10" s="300" t="s">
        <v>211</v>
      </c>
      <c r="AP10" s="306" t="s">
        <v>214</v>
      </c>
      <c r="AQ10" s="306" t="s">
        <v>215</v>
      </c>
      <c r="AR10" s="306" t="s">
        <v>214</v>
      </c>
      <c r="AS10" s="306" t="s">
        <v>215</v>
      </c>
      <c r="AT10" s="308"/>
      <c r="AU10" s="308"/>
    </row>
    <row r="11" spans="1:56" s="5" customFormat="1" ht="20.100000000000001" customHeight="1">
      <c r="A11" s="306"/>
      <c r="B11" s="309"/>
      <c r="C11" s="301"/>
      <c r="D11" s="83" t="s">
        <v>216</v>
      </c>
      <c r="E11" s="113" t="s">
        <v>217</v>
      </c>
      <c r="F11" s="83" t="s">
        <v>216</v>
      </c>
      <c r="G11" s="113" t="s">
        <v>218</v>
      </c>
      <c r="H11" s="290"/>
      <c r="I11" s="300"/>
      <c r="J11" s="301"/>
      <c r="K11" s="301"/>
      <c r="L11" s="301"/>
      <c r="M11" s="301"/>
      <c r="N11" s="301"/>
      <c r="O11" s="301"/>
      <c r="P11" s="301"/>
      <c r="Q11" s="15" t="s">
        <v>219</v>
      </c>
      <c r="R11" s="15" t="s">
        <v>220</v>
      </c>
      <c r="S11" s="83" t="s">
        <v>221</v>
      </c>
      <c r="T11" s="83" t="s">
        <v>222</v>
      </c>
      <c r="U11" s="301"/>
      <c r="V11" s="300"/>
      <c r="W11" s="303"/>
      <c r="X11" s="303"/>
      <c r="Y11" s="301"/>
      <c r="Z11" s="303"/>
      <c r="AA11" s="303"/>
      <c r="AB11" s="301"/>
      <c r="AC11" s="301"/>
      <c r="AD11" s="83" t="s">
        <v>223</v>
      </c>
      <c r="AE11" s="15" t="s">
        <v>220</v>
      </c>
      <c r="AF11" s="83" t="s">
        <v>221</v>
      </c>
      <c r="AG11" s="83" t="s">
        <v>222</v>
      </c>
      <c r="AH11" s="301"/>
      <c r="AI11" s="300"/>
      <c r="AJ11" s="301"/>
      <c r="AK11" s="301"/>
      <c r="AL11" s="301"/>
      <c r="AM11" s="301"/>
      <c r="AN11" s="301"/>
      <c r="AO11" s="301"/>
      <c r="AP11" s="306"/>
      <c r="AQ11" s="306"/>
      <c r="AR11" s="306"/>
      <c r="AS11" s="306"/>
      <c r="AT11" s="309"/>
      <c r="AU11" s="309"/>
    </row>
    <row r="12" spans="1:56" ht="20.100000000000001" customHeight="1">
      <c r="A12" s="17" t="s">
        <v>224</v>
      </c>
      <c r="B12" s="17"/>
      <c r="C12" s="35"/>
      <c r="D12" s="35"/>
      <c r="E12" s="114"/>
      <c r="F12" s="35"/>
      <c r="G12" s="114"/>
      <c r="H12" s="42">
        <f>SUM(C12:D12)-F12</f>
        <v>0</v>
      </c>
      <c r="I12" s="35"/>
      <c r="J12" s="35"/>
      <c r="K12" s="35"/>
      <c r="L12" s="42">
        <f>C12+I12</f>
        <v>0</v>
      </c>
      <c r="M12" s="42">
        <f>D12+J12</f>
        <v>0</v>
      </c>
      <c r="N12" s="42">
        <f t="shared" ref="N12:N17" si="0">F12+K12</f>
        <v>0</v>
      </c>
      <c r="O12" s="42">
        <f>L12+M12-N12</f>
        <v>0</v>
      </c>
      <c r="P12" s="35"/>
      <c r="Q12" s="35"/>
      <c r="R12" s="35"/>
      <c r="S12" s="35"/>
      <c r="T12" s="35"/>
      <c r="U12" s="42">
        <f t="shared" ref="U12:U17" si="1">SUM(P12:Q12)-S12</f>
        <v>0</v>
      </c>
      <c r="V12" s="35"/>
      <c r="W12" s="35"/>
      <c r="X12" s="35"/>
      <c r="Y12" s="42">
        <f>P12+V12</f>
        <v>0</v>
      </c>
      <c r="Z12" s="42">
        <f t="shared" ref="Z12:Z17" si="2">Q12+W12+R12</f>
        <v>0</v>
      </c>
      <c r="AA12" s="42">
        <f t="shared" ref="AA12:AA17" si="3">S12+X12+T12</f>
        <v>0</v>
      </c>
      <c r="AB12" s="42">
        <f t="shared" ref="AB12:AB17" si="4">Y12+Z12-AA12</f>
        <v>0</v>
      </c>
      <c r="AC12" s="35"/>
      <c r="AD12" s="35"/>
      <c r="AE12" s="35"/>
      <c r="AF12" s="35"/>
      <c r="AG12" s="35"/>
      <c r="AH12" s="42">
        <f>SUM(AC12:AE12)-SUM(AF12:AG12)</f>
        <v>0</v>
      </c>
      <c r="AI12" s="35"/>
      <c r="AJ12" s="35"/>
      <c r="AK12" s="35"/>
      <c r="AL12" s="42">
        <f>AC12+AI12</f>
        <v>0</v>
      </c>
      <c r="AM12" s="42">
        <f t="shared" ref="AM12:AM17" si="5">AD12+AJ12+AE12</f>
        <v>0</v>
      </c>
      <c r="AN12" s="42">
        <f t="shared" ref="AN12:AN17" si="6">AF12+AK12+AG12</f>
        <v>0</v>
      </c>
      <c r="AO12" s="42">
        <f>AL12+AM12-AN12</f>
        <v>0</v>
      </c>
      <c r="AP12" s="42">
        <f t="shared" ref="AP12:AP17" si="7">C12-P12-AC12</f>
        <v>0</v>
      </c>
      <c r="AQ12" s="42">
        <f t="shared" ref="AQ12:AQ17" si="8">L12-Y12-AL12</f>
        <v>0</v>
      </c>
      <c r="AR12" s="42">
        <f t="shared" ref="AR12:AR17" si="9">H12-U12-AH12</f>
        <v>0</v>
      </c>
      <c r="AS12" s="42">
        <f t="shared" ref="AS12:AS17" si="10">O12-AB12-AO12</f>
        <v>0</v>
      </c>
      <c r="AT12" s="35"/>
      <c r="AU12" s="35"/>
      <c r="AV12" s="5"/>
      <c r="AW12" s="5"/>
      <c r="AX12" s="5"/>
      <c r="AY12" s="5"/>
      <c r="AZ12" s="5"/>
      <c r="BA12" s="5"/>
      <c r="BB12" s="5"/>
      <c r="BC12" s="5"/>
      <c r="BD12" s="5"/>
    </row>
    <row r="13" spans="1:56" ht="20.100000000000001" customHeight="1">
      <c r="A13" s="17" t="s">
        <v>80</v>
      </c>
      <c r="B13" s="17"/>
      <c r="C13" s="35"/>
      <c r="D13" s="35"/>
      <c r="E13" s="114"/>
      <c r="F13" s="35"/>
      <c r="G13" s="114"/>
      <c r="H13" s="42">
        <f t="shared" ref="H13:H15" si="11">SUM(C13:D13)-F13</f>
        <v>0</v>
      </c>
      <c r="I13" s="35"/>
      <c r="J13" s="35"/>
      <c r="K13" s="35"/>
      <c r="L13" s="42">
        <f t="shared" ref="L13:L15" si="12">C13+I13</f>
        <v>0</v>
      </c>
      <c r="M13" s="42">
        <f t="shared" ref="M13:M17" si="13">D13+J13</f>
        <v>0</v>
      </c>
      <c r="N13" s="42">
        <f t="shared" si="0"/>
        <v>0</v>
      </c>
      <c r="O13" s="42">
        <f t="shared" ref="O13:O16" si="14">L13+M13-N13</f>
        <v>0</v>
      </c>
      <c r="P13" s="35"/>
      <c r="Q13" s="35"/>
      <c r="R13" s="35"/>
      <c r="S13" s="35"/>
      <c r="T13" s="35"/>
      <c r="U13" s="42">
        <f t="shared" si="1"/>
        <v>0</v>
      </c>
      <c r="V13" s="35"/>
      <c r="W13" s="35"/>
      <c r="X13" s="35"/>
      <c r="Y13" s="42">
        <f t="shared" ref="Y13:Y15" si="15">P13+V13</f>
        <v>0</v>
      </c>
      <c r="Z13" s="42">
        <f t="shared" si="2"/>
        <v>0</v>
      </c>
      <c r="AA13" s="42">
        <f t="shared" si="3"/>
        <v>0</v>
      </c>
      <c r="AB13" s="42">
        <f t="shared" si="4"/>
        <v>0</v>
      </c>
      <c r="AC13" s="35"/>
      <c r="AD13" s="35"/>
      <c r="AE13" s="35"/>
      <c r="AF13" s="35"/>
      <c r="AG13" s="35"/>
      <c r="AH13" s="42">
        <f t="shared" ref="AH13:AH15" si="16">SUM(AC13:AE13)-SUM(AF13:AG13)</f>
        <v>0</v>
      </c>
      <c r="AI13" s="35"/>
      <c r="AJ13" s="35"/>
      <c r="AK13" s="35"/>
      <c r="AL13" s="42">
        <f t="shared" ref="AL13:AL15" si="17">AC13+AI13</f>
        <v>0</v>
      </c>
      <c r="AM13" s="42">
        <f t="shared" si="5"/>
        <v>0</v>
      </c>
      <c r="AN13" s="42">
        <f t="shared" si="6"/>
        <v>0</v>
      </c>
      <c r="AO13" s="42">
        <f t="shared" ref="AO13:AO16" si="18">AL13+AM13-AN13</f>
        <v>0</v>
      </c>
      <c r="AP13" s="42">
        <f t="shared" si="7"/>
        <v>0</v>
      </c>
      <c r="AQ13" s="42">
        <f t="shared" si="8"/>
        <v>0</v>
      </c>
      <c r="AR13" s="42">
        <f t="shared" si="9"/>
        <v>0</v>
      </c>
      <c r="AS13" s="42">
        <f t="shared" si="10"/>
        <v>0</v>
      </c>
      <c r="AT13" s="35"/>
      <c r="AU13" s="35"/>
      <c r="AV13" s="5"/>
      <c r="AW13" s="5"/>
      <c r="AX13" s="5"/>
      <c r="AY13" s="5"/>
      <c r="AZ13" s="5"/>
      <c r="BA13" s="5"/>
      <c r="BB13" s="5"/>
      <c r="BC13" s="5"/>
      <c r="BD13" s="5"/>
    </row>
    <row r="14" spans="1:56" ht="20.100000000000001" customHeight="1">
      <c r="A14" s="17" t="s">
        <v>82</v>
      </c>
      <c r="B14" s="17"/>
      <c r="C14" s="35"/>
      <c r="D14" s="35"/>
      <c r="E14" s="114"/>
      <c r="F14" s="35"/>
      <c r="G14" s="114"/>
      <c r="H14" s="42">
        <f t="shared" si="11"/>
        <v>0</v>
      </c>
      <c r="I14" s="35"/>
      <c r="J14" s="35"/>
      <c r="K14" s="35"/>
      <c r="L14" s="42">
        <f t="shared" si="12"/>
        <v>0</v>
      </c>
      <c r="M14" s="42">
        <f t="shared" si="13"/>
        <v>0</v>
      </c>
      <c r="N14" s="42">
        <f t="shared" si="0"/>
        <v>0</v>
      </c>
      <c r="O14" s="42">
        <f t="shared" si="14"/>
        <v>0</v>
      </c>
      <c r="P14" s="35"/>
      <c r="Q14" s="35"/>
      <c r="R14" s="35"/>
      <c r="S14" s="35"/>
      <c r="T14" s="35"/>
      <c r="U14" s="42">
        <f t="shared" si="1"/>
        <v>0</v>
      </c>
      <c r="V14" s="35"/>
      <c r="W14" s="35"/>
      <c r="X14" s="35"/>
      <c r="Y14" s="42">
        <f t="shared" si="15"/>
        <v>0</v>
      </c>
      <c r="Z14" s="42">
        <f t="shared" si="2"/>
        <v>0</v>
      </c>
      <c r="AA14" s="42">
        <f t="shared" si="3"/>
        <v>0</v>
      </c>
      <c r="AB14" s="42">
        <f t="shared" si="4"/>
        <v>0</v>
      </c>
      <c r="AC14" s="35"/>
      <c r="AD14" s="35"/>
      <c r="AE14" s="35"/>
      <c r="AF14" s="35"/>
      <c r="AG14" s="35"/>
      <c r="AH14" s="42">
        <f t="shared" si="16"/>
        <v>0</v>
      </c>
      <c r="AI14" s="35"/>
      <c r="AJ14" s="35"/>
      <c r="AK14" s="35"/>
      <c r="AL14" s="42">
        <f t="shared" si="17"/>
        <v>0</v>
      </c>
      <c r="AM14" s="42">
        <f t="shared" si="5"/>
        <v>0</v>
      </c>
      <c r="AN14" s="42">
        <f t="shared" si="6"/>
        <v>0</v>
      </c>
      <c r="AO14" s="42">
        <f t="shared" si="18"/>
        <v>0</v>
      </c>
      <c r="AP14" s="42">
        <f t="shared" si="7"/>
        <v>0</v>
      </c>
      <c r="AQ14" s="42">
        <f t="shared" si="8"/>
        <v>0</v>
      </c>
      <c r="AR14" s="42">
        <f t="shared" si="9"/>
        <v>0</v>
      </c>
      <c r="AS14" s="42">
        <f t="shared" si="10"/>
        <v>0</v>
      </c>
      <c r="AT14" s="35"/>
      <c r="AU14" s="35"/>
      <c r="AV14" s="5"/>
      <c r="AW14" s="5"/>
      <c r="AX14" s="5"/>
      <c r="AY14" s="5"/>
      <c r="AZ14" s="5"/>
      <c r="BA14" s="5"/>
      <c r="BB14" s="5"/>
      <c r="BC14" s="5"/>
      <c r="BD14" s="5"/>
    </row>
    <row r="15" spans="1:56" ht="20.100000000000001" customHeight="1">
      <c r="A15" s="17" t="s">
        <v>81</v>
      </c>
      <c r="B15" s="17"/>
      <c r="C15" s="35"/>
      <c r="D15" s="35"/>
      <c r="E15" s="114"/>
      <c r="F15" s="35"/>
      <c r="G15" s="114"/>
      <c r="H15" s="42">
        <f t="shared" si="11"/>
        <v>0</v>
      </c>
      <c r="I15" s="35"/>
      <c r="J15" s="35"/>
      <c r="K15" s="35"/>
      <c r="L15" s="42">
        <f t="shared" si="12"/>
        <v>0</v>
      </c>
      <c r="M15" s="42">
        <f t="shared" si="13"/>
        <v>0</v>
      </c>
      <c r="N15" s="42">
        <f t="shared" si="0"/>
        <v>0</v>
      </c>
      <c r="O15" s="42">
        <f t="shared" si="14"/>
        <v>0</v>
      </c>
      <c r="P15" s="35"/>
      <c r="Q15" s="35"/>
      <c r="R15" s="35"/>
      <c r="S15" s="35"/>
      <c r="T15" s="35"/>
      <c r="U15" s="42">
        <f t="shared" si="1"/>
        <v>0</v>
      </c>
      <c r="V15" s="35"/>
      <c r="W15" s="35"/>
      <c r="X15" s="35"/>
      <c r="Y15" s="42">
        <f t="shared" si="15"/>
        <v>0</v>
      </c>
      <c r="Z15" s="42">
        <f t="shared" si="2"/>
        <v>0</v>
      </c>
      <c r="AA15" s="42">
        <f t="shared" si="3"/>
        <v>0</v>
      </c>
      <c r="AB15" s="42">
        <f t="shared" si="4"/>
        <v>0</v>
      </c>
      <c r="AC15" s="35"/>
      <c r="AD15" s="35"/>
      <c r="AE15" s="35"/>
      <c r="AF15" s="35"/>
      <c r="AG15" s="35"/>
      <c r="AH15" s="42">
        <f t="shared" si="16"/>
        <v>0</v>
      </c>
      <c r="AI15" s="35"/>
      <c r="AJ15" s="35"/>
      <c r="AK15" s="35"/>
      <c r="AL15" s="42">
        <f t="shared" si="17"/>
        <v>0</v>
      </c>
      <c r="AM15" s="42">
        <f t="shared" si="5"/>
        <v>0</v>
      </c>
      <c r="AN15" s="42">
        <f t="shared" si="6"/>
        <v>0</v>
      </c>
      <c r="AO15" s="42">
        <f t="shared" si="18"/>
        <v>0</v>
      </c>
      <c r="AP15" s="42">
        <f t="shared" si="7"/>
        <v>0</v>
      </c>
      <c r="AQ15" s="42">
        <f t="shared" si="8"/>
        <v>0</v>
      </c>
      <c r="AR15" s="42">
        <f t="shared" si="9"/>
        <v>0</v>
      </c>
      <c r="AS15" s="42">
        <f t="shared" si="10"/>
        <v>0</v>
      </c>
      <c r="AT15" s="35"/>
      <c r="AU15" s="35"/>
      <c r="AV15" s="5"/>
      <c r="AW15" s="5"/>
      <c r="AX15" s="5"/>
      <c r="AY15" s="5"/>
      <c r="AZ15" s="5"/>
      <c r="BA15" s="5"/>
      <c r="BB15" s="5"/>
      <c r="BC15" s="5"/>
      <c r="BD15" s="5"/>
    </row>
    <row r="16" spans="1:56" ht="20.100000000000001" customHeight="1">
      <c r="A16" s="17" t="s">
        <v>225</v>
      </c>
      <c r="B16" s="17"/>
      <c r="C16" s="35"/>
      <c r="D16" s="35"/>
      <c r="E16" s="114"/>
      <c r="F16" s="35"/>
      <c r="G16" s="114"/>
      <c r="H16" s="42">
        <f t="shared" ref="H16:H17" si="19">SUM(C16:D16)-F16</f>
        <v>0</v>
      </c>
      <c r="I16" s="35"/>
      <c r="J16" s="35"/>
      <c r="K16" s="35"/>
      <c r="L16" s="42">
        <f t="shared" ref="L16:L17" si="20">C16+I16</f>
        <v>0</v>
      </c>
      <c r="M16" s="42">
        <f t="shared" si="13"/>
        <v>0</v>
      </c>
      <c r="N16" s="42">
        <f t="shared" si="0"/>
        <v>0</v>
      </c>
      <c r="O16" s="42">
        <f t="shared" si="14"/>
        <v>0</v>
      </c>
      <c r="P16" s="35"/>
      <c r="Q16" s="35"/>
      <c r="R16" s="35"/>
      <c r="S16" s="35"/>
      <c r="T16" s="35"/>
      <c r="U16" s="42">
        <f t="shared" si="1"/>
        <v>0</v>
      </c>
      <c r="V16" s="35"/>
      <c r="W16" s="35"/>
      <c r="X16" s="35"/>
      <c r="Y16" s="42">
        <f t="shared" ref="Y16:Y17" si="21">P16+V16</f>
        <v>0</v>
      </c>
      <c r="Z16" s="42">
        <f t="shared" si="2"/>
        <v>0</v>
      </c>
      <c r="AA16" s="42">
        <f t="shared" si="3"/>
        <v>0</v>
      </c>
      <c r="AB16" s="42">
        <f t="shared" si="4"/>
        <v>0</v>
      </c>
      <c r="AC16" s="35"/>
      <c r="AD16" s="35"/>
      <c r="AE16" s="35"/>
      <c r="AF16" s="35"/>
      <c r="AG16" s="35"/>
      <c r="AH16" s="42">
        <f t="shared" ref="AH16:AH17" si="22">SUM(AC16:AE16)-SUM(AF16:AG16)</f>
        <v>0</v>
      </c>
      <c r="AI16" s="35"/>
      <c r="AJ16" s="35"/>
      <c r="AK16" s="35"/>
      <c r="AL16" s="42">
        <f t="shared" ref="AL16:AL17" si="23">AC16+AI16</f>
        <v>0</v>
      </c>
      <c r="AM16" s="42">
        <f t="shared" si="5"/>
        <v>0</v>
      </c>
      <c r="AN16" s="42">
        <f t="shared" si="6"/>
        <v>0</v>
      </c>
      <c r="AO16" s="42">
        <f t="shared" si="18"/>
        <v>0</v>
      </c>
      <c r="AP16" s="42">
        <f t="shared" si="7"/>
        <v>0</v>
      </c>
      <c r="AQ16" s="42">
        <f t="shared" si="8"/>
        <v>0</v>
      </c>
      <c r="AR16" s="42">
        <f t="shared" si="9"/>
        <v>0</v>
      </c>
      <c r="AS16" s="42">
        <f t="shared" si="10"/>
        <v>0</v>
      </c>
      <c r="AT16" s="35"/>
      <c r="AU16" s="35"/>
      <c r="AV16" s="5"/>
      <c r="AW16" s="5"/>
      <c r="AX16" s="5"/>
      <c r="AY16" s="5"/>
      <c r="AZ16" s="5"/>
      <c r="BA16" s="5"/>
      <c r="BB16" s="5"/>
      <c r="BC16" s="5"/>
      <c r="BD16" s="5"/>
    </row>
    <row r="17" spans="1:56" ht="20.100000000000001" customHeight="1">
      <c r="A17" s="17"/>
      <c r="B17" s="17"/>
      <c r="C17" s="35"/>
      <c r="D17" s="35"/>
      <c r="E17" s="114"/>
      <c r="F17" s="35"/>
      <c r="G17" s="114"/>
      <c r="H17" s="42">
        <f t="shared" si="19"/>
        <v>0</v>
      </c>
      <c r="I17" s="35"/>
      <c r="J17" s="35"/>
      <c r="K17" s="35"/>
      <c r="L17" s="42">
        <f t="shared" si="20"/>
        <v>0</v>
      </c>
      <c r="M17" s="42">
        <f t="shared" si="13"/>
        <v>0</v>
      </c>
      <c r="N17" s="42">
        <f t="shared" si="0"/>
        <v>0</v>
      </c>
      <c r="O17" s="42">
        <f t="shared" ref="O17" si="24">L17+M17-N17</f>
        <v>0</v>
      </c>
      <c r="P17" s="35"/>
      <c r="Q17" s="35"/>
      <c r="R17" s="35"/>
      <c r="S17" s="35"/>
      <c r="T17" s="35"/>
      <c r="U17" s="42">
        <f t="shared" si="1"/>
        <v>0</v>
      </c>
      <c r="V17" s="35"/>
      <c r="W17" s="35"/>
      <c r="X17" s="35"/>
      <c r="Y17" s="42">
        <f t="shared" si="21"/>
        <v>0</v>
      </c>
      <c r="Z17" s="42">
        <f t="shared" si="2"/>
        <v>0</v>
      </c>
      <c r="AA17" s="42">
        <f t="shared" si="3"/>
        <v>0</v>
      </c>
      <c r="AB17" s="42">
        <f t="shared" si="4"/>
        <v>0</v>
      </c>
      <c r="AC17" s="35"/>
      <c r="AD17" s="35"/>
      <c r="AE17" s="35"/>
      <c r="AF17" s="35"/>
      <c r="AG17" s="35"/>
      <c r="AH17" s="42">
        <f t="shared" si="22"/>
        <v>0</v>
      </c>
      <c r="AI17" s="35"/>
      <c r="AJ17" s="35"/>
      <c r="AK17" s="35"/>
      <c r="AL17" s="42">
        <f t="shared" si="23"/>
        <v>0</v>
      </c>
      <c r="AM17" s="42">
        <f t="shared" si="5"/>
        <v>0</v>
      </c>
      <c r="AN17" s="42">
        <f t="shared" si="6"/>
        <v>0</v>
      </c>
      <c r="AO17" s="42">
        <f t="shared" ref="AO17" si="25">AL17+AM17-AN17</f>
        <v>0</v>
      </c>
      <c r="AP17" s="42">
        <f t="shared" si="7"/>
        <v>0</v>
      </c>
      <c r="AQ17" s="42">
        <f t="shared" si="8"/>
        <v>0</v>
      </c>
      <c r="AR17" s="42">
        <f t="shared" si="9"/>
        <v>0</v>
      </c>
      <c r="AS17" s="42">
        <f t="shared" si="10"/>
        <v>0</v>
      </c>
      <c r="AT17" s="35"/>
      <c r="AU17" s="35"/>
      <c r="AV17" s="5"/>
      <c r="AW17" s="5"/>
      <c r="AX17" s="5"/>
      <c r="AY17" s="5"/>
      <c r="AZ17" s="5"/>
      <c r="BA17" s="5"/>
      <c r="BB17" s="5"/>
      <c r="BC17" s="5"/>
      <c r="BD17" s="5"/>
    </row>
    <row r="18" spans="1:56" s="88" customFormat="1" ht="20.100000000000001" customHeight="1">
      <c r="A18" s="15" t="s">
        <v>140</v>
      </c>
      <c r="B18" s="15"/>
      <c r="C18" s="42">
        <f>SUM(C12:C17)</f>
        <v>0</v>
      </c>
      <c r="D18" s="42">
        <f>SUM(D12:D17)</f>
        <v>0</v>
      </c>
      <c r="E18" s="114"/>
      <c r="F18" s="42">
        <f>SUM(F12:F17)</f>
        <v>0</v>
      </c>
      <c r="G18" s="114"/>
      <c r="H18" s="42">
        <f t="shared" ref="H18:AS18" si="26">SUM(H12:H17)</f>
        <v>0</v>
      </c>
      <c r="I18" s="42">
        <f t="shared" si="26"/>
        <v>0</v>
      </c>
      <c r="J18" s="42">
        <f t="shared" si="26"/>
        <v>0</v>
      </c>
      <c r="K18" s="42">
        <f t="shared" si="26"/>
        <v>0</v>
      </c>
      <c r="L18" s="42">
        <f t="shared" si="26"/>
        <v>0</v>
      </c>
      <c r="M18" s="42">
        <f t="shared" si="26"/>
        <v>0</v>
      </c>
      <c r="N18" s="42">
        <f t="shared" si="26"/>
        <v>0</v>
      </c>
      <c r="O18" s="42">
        <f t="shared" si="26"/>
        <v>0</v>
      </c>
      <c r="P18" s="42">
        <f t="shared" si="26"/>
        <v>0</v>
      </c>
      <c r="Q18" s="42">
        <f t="shared" si="26"/>
        <v>0</v>
      </c>
      <c r="R18" s="42">
        <f t="shared" si="26"/>
        <v>0</v>
      </c>
      <c r="S18" s="42">
        <f t="shared" si="26"/>
        <v>0</v>
      </c>
      <c r="T18" s="42">
        <f t="shared" si="26"/>
        <v>0</v>
      </c>
      <c r="U18" s="42">
        <f t="shared" si="26"/>
        <v>0</v>
      </c>
      <c r="V18" s="42">
        <f t="shared" si="26"/>
        <v>0</v>
      </c>
      <c r="W18" s="42">
        <f t="shared" si="26"/>
        <v>0</v>
      </c>
      <c r="X18" s="42">
        <f t="shared" si="26"/>
        <v>0</v>
      </c>
      <c r="Y18" s="42">
        <f t="shared" si="26"/>
        <v>0</v>
      </c>
      <c r="Z18" s="42">
        <f t="shared" si="26"/>
        <v>0</v>
      </c>
      <c r="AA18" s="42">
        <f t="shared" si="26"/>
        <v>0</v>
      </c>
      <c r="AB18" s="42">
        <f t="shared" si="26"/>
        <v>0</v>
      </c>
      <c r="AC18" s="42">
        <f t="shared" si="26"/>
        <v>0</v>
      </c>
      <c r="AD18" s="42">
        <f t="shared" si="26"/>
        <v>0</v>
      </c>
      <c r="AE18" s="42">
        <f t="shared" si="26"/>
        <v>0</v>
      </c>
      <c r="AF18" s="42">
        <f t="shared" si="26"/>
        <v>0</v>
      </c>
      <c r="AG18" s="42">
        <f t="shared" si="26"/>
        <v>0</v>
      </c>
      <c r="AH18" s="42">
        <f t="shared" si="26"/>
        <v>0</v>
      </c>
      <c r="AI18" s="42">
        <f t="shared" si="26"/>
        <v>0</v>
      </c>
      <c r="AJ18" s="42">
        <f t="shared" si="26"/>
        <v>0</v>
      </c>
      <c r="AK18" s="42">
        <f t="shared" si="26"/>
        <v>0</v>
      </c>
      <c r="AL18" s="42">
        <f t="shared" si="26"/>
        <v>0</v>
      </c>
      <c r="AM18" s="42">
        <f t="shared" si="26"/>
        <v>0</v>
      </c>
      <c r="AN18" s="42">
        <f t="shared" si="26"/>
        <v>0</v>
      </c>
      <c r="AO18" s="42">
        <f t="shared" si="26"/>
        <v>0</v>
      </c>
      <c r="AP18" s="42">
        <f t="shared" si="26"/>
        <v>0</v>
      </c>
      <c r="AQ18" s="42">
        <f t="shared" si="26"/>
        <v>0</v>
      </c>
      <c r="AR18" s="42">
        <f t="shared" si="26"/>
        <v>0</v>
      </c>
      <c r="AS18" s="42">
        <f t="shared" si="26"/>
        <v>0</v>
      </c>
      <c r="AT18" s="35"/>
      <c r="AU18" s="35"/>
      <c r="AV18" s="5"/>
      <c r="AW18" s="5"/>
      <c r="AX18" s="5"/>
      <c r="AY18" s="5"/>
      <c r="AZ18" s="5"/>
      <c r="BA18" s="5"/>
      <c r="BB18" s="5"/>
      <c r="BC18" s="5"/>
      <c r="BD18" s="5"/>
    </row>
    <row r="19" spans="1:56" s="88" customFormat="1" ht="20.100000000000001" customHeight="1">
      <c r="A19" s="115" t="s">
        <v>226</v>
      </c>
      <c r="B19" s="5"/>
      <c r="C19" s="36"/>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119"/>
      <c r="AU19" s="119"/>
      <c r="AV19" s="5"/>
      <c r="AW19" s="5"/>
      <c r="AX19" s="5"/>
      <c r="AY19" s="5"/>
      <c r="AZ19" s="5"/>
      <c r="BA19" s="5"/>
      <c r="BB19" s="5"/>
      <c r="BC19" s="5"/>
      <c r="BD19" s="5"/>
    </row>
    <row r="20" spans="1:56" s="88" customFormat="1" ht="20.100000000000001" customHeight="1">
      <c r="A20" s="305" t="str">
        <f>底稿目录!A9</f>
        <v>土地使用权</v>
      </c>
      <c r="B20" s="305"/>
      <c r="C20" s="42" cm="1">
        <f t="array" ref="C20">SUMPRODUCT(($B$12:$B$17=$A20)*(C$12:C$17))</f>
        <v>0</v>
      </c>
      <c r="D20" s="42" cm="1">
        <f t="array" ref="D20">SUMPRODUCT(($B$12:$B$17=$A20)*(D$12:D$17))</f>
        <v>0</v>
      </c>
      <c r="E20" s="114"/>
      <c r="F20" s="42">
        <f>SUMPRODUCT(($B$12:$B$17=$A20)*(F$12:F$17))</f>
        <v>0</v>
      </c>
      <c r="G20" s="114"/>
      <c r="H20" s="42" cm="1">
        <f t="array" ref="H20">SUMPRODUCT(($B$12:$B$17=$A20)*(H$12:H$17))</f>
        <v>0</v>
      </c>
      <c r="I20" s="42" cm="1">
        <f t="array" ref="I20">SUMPRODUCT(($B$12:$B$17=$A20)*(I$12:I$17))</f>
        <v>0</v>
      </c>
      <c r="J20" s="42" cm="1">
        <f t="array" ref="J20">SUMPRODUCT(($B$12:$B$17=$A20)*(J$12:J$17))</f>
        <v>0</v>
      </c>
      <c r="K20" s="42" cm="1">
        <f t="array" ref="K20">SUMPRODUCT(($B$12:$B$17=$A20)*(K$12:K$17))</f>
        <v>0</v>
      </c>
      <c r="L20" s="42" cm="1">
        <f t="array" ref="L20">SUMPRODUCT(($B$12:$B$17=$A20)*(L$12:L$17))</f>
        <v>0</v>
      </c>
      <c r="M20" s="42" cm="1">
        <f t="array" ref="M20">SUMPRODUCT(($B$12:$B$17=$A20)*(M$12:M$17))</f>
        <v>0</v>
      </c>
      <c r="N20" s="42" cm="1">
        <f t="array" ref="N20">SUMPRODUCT(($B$12:$B$17=$A20)*(N$12:N$17))</f>
        <v>0</v>
      </c>
      <c r="O20" s="42" cm="1">
        <f t="array" ref="O20">SUMPRODUCT(($B$12:$B$17=$A20)*(O$12:O$17))</f>
        <v>0</v>
      </c>
      <c r="P20" s="42" cm="1">
        <f t="array" ref="P20">SUMPRODUCT(($B$12:$B$17=$A20)*(P$12:P$17))</f>
        <v>0</v>
      </c>
      <c r="Q20" s="42" cm="1">
        <f t="array" ref="Q20">SUMPRODUCT(($B$12:$B$17=$A20)*(Q$12:Q$17))</f>
        <v>0</v>
      </c>
      <c r="R20" s="42" cm="1">
        <f t="array" ref="R20">SUMPRODUCT(($B$12:$B$17=$A20)*(R$12:R$17))</f>
        <v>0</v>
      </c>
      <c r="S20" s="42" cm="1">
        <f t="array" ref="S20">SUMPRODUCT(($B$12:$B$17=$A20)*(S$12:S$17))</f>
        <v>0</v>
      </c>
      <c r="T20" s="42" cm="1">
        <f t="array" ref="T20">SUMPRODUCT(($B$12:$B$17=$A20)*(T$12:T$17))</f>
        <v>0</v>
      </c>
      <c r="U20" s="42" cm="1">
        <f t="array" ref="U20">SUMPRODUCT(($B$12:$B$17=$A20)*(U$12:U$17))</f>
        <v>0</v>
      </c>
      <c r="V20" s="42" cm="1">
        <f t="array" ref="V20">SUMPRODUCT(($B$12:$B$17=$A20)*(V$12:V$17))</f>
        <v>0</v>
      </c>
      <c r="W20" s="42" cm="1">
        <f t="array" ref="W20">SUMPRODUCT(($B$12:$B$17=$A20)*(W$12:W$17))</f>
        <v>0</v>
      </c>
      <c r="X20" s="42" cm="1">
        <f t="array" ref="X20">SUMPRODUCT(($B$12:$B$17=$A20)*(X$12:X$17))</f>
        <v>0</v>
      </c>
      <c r="Y20" s="42" cm="1">
        <f t="array" ref="Y20">SUMPRODUCT(($B$12:$B$17=$A20)*(Y$12:Y$17))</f>
        <v>0</v>
      </c>
      <c r="Z20" s="42">
        <f>SUMPRODUCT(($B$12:$B$17=$A20)*(Z$12:Z$17))</f>
        <v>0</v>
      </c>
      <c r="AA20" s="42" cm="1">
        <f t="array" ref="AA20">SUMPRODUCT(($B$12:$B$17=$A20)*(AA$12:AA$17))</f>
        <v>0</v>
      </c>
      <c r="AB20" s="42" cm="1">
        <f t="array" ref="AB20">SUMPRODUCT(($B$12:$B$17=$A20)*(AB$12:AB$17))</f>
        <v>0</v>
      </c>
      <c r="AC20" s="42" cm="1">
        <f t="array" ref="AC20">SUMPRODUCT(($B$12:$B$17=$A20)*(AC$12:AC$17))</f>
        <v>0</v>
      </c>
      <c r="AD20" s="42" cm="1">
        <f t="array" ref="AD20">SUMPRODUCT(($B$12:$B$17=$A20)*(AD$12:AD$17))</f>
        <v>0</v>
      </c>
      <c r="AE20" s="42" cm="1">
        <f t="array" ref="AE20">SUMPRODUCT(($B$12:$B$17=$A20)*(AE$12:AE$17))</f>
        <v>0</v>
      </c>
      <c r="AF20" s="42" cm="1">
        <f t="array" ref="AF20">SUMPRODUCT(($B$12:$B$17=$A20)*(AF$12:AF$17))</f>
        <v>0</v>
      </c>
      <c r="AG20" s="42" cm="1">
        <f t="array" ref="AG20">SUMPRODUCT(($B$12:$B$17=$A20)*(AG$12:AG$17))</f>
        <v>0</v>
      </c>
      <c r="AH20" s="42" cm="1">
        <f t="array" ref="AH20">SUMPRODUCT(($B$12:$B$17=$A20)*(AH$12:AH$17))</f>
        <v>0</v>
      </c>
      <c r="AI20" s="42" cm="1">
        <f t="array" ref="AI20">SUMPRODUCT(($B$12:$B$17=$A20)*(AI$12:AI$17))</f>
        <v>0</v>
      </c>
      <c r="AJ20" s="42" cm="1">
        <f t="array" ref="AJ20">SUMPRODUCT(($B$12:$B$17=$A20)*(AJ$12:AJ$17))</f>
        <v>0</v>
      </c>
      <c r="AK20" s="42" cm="1">
        <f t="array" ref="AK20">SUMPRODUCT(($B$12:$B$17=$A20)*(AK$12:AK$17))</f>
        <v>0</v>
      </c>
      <c r="AL20" s="42" cm="1">
        <f t="array" ref="AL20">SUMPRODUCT(($B$12:$B$17=$A20)*(AL$12:AL$17))</f>
        <v>0</v>
      </c>
      <c r="AM20" s="42" cm="1">
        <f t="array" ref="AM20">SUMPRODUCT(($B$12:$B$17=$A20)*(AM$12:AM$17))</f>
        <v>0</v>
      </c>
      <c r="AN20" s="42" cm="1">
        <f t="array" ref="AN20">SUMPRODUCT(($B$12:$B$17=$A20)*(AN$12:AN$17))</f>
        <v>0</v>
      </c>
      <c r="AO20" s="42" cm="1">
        <f t="array" ref="AO20">SUMPRODUCT(($B$12:$B$17=$A20)*(AO$12:AO$17))</f>
        <v>0</v>
      </c>
      <c r="AP20" s="42" cm="1">
        <f t="array" ref="AP20">SUMPRODUCT(($B$12:$B$17=$A20)*(AP$12:AP$17))</f>
        <v>0</v>
      </c>
      <c r="AQ20" s="42" cm="1">
        <f t="array" ref="AQ20">SUMPRODUCT(($B$12:$B$17=$A20)*(AQ$12:AQ$17))</f>
        <v>0</v>
      </c>
      <c r="AR20" s="42" cm="1">
        <f t="array" ref="AR20">SUMPRODUCT(($B$12:$B$17=$A20)*(AR$12:AR$17))</f>
        <v>0</v>
      </c>
      <c r="AS20" s="42" cm="1">
        <f t="array" ref="AS20">SUMPRODUCT(($B$12:$B$17=$A20)*(AS$12:AS$17))</f>
        <v>0</v>
      </c>
      <c r="AT20" s="35"/>
      <c r="AU20" s="35"/>
      <c r="AV20" s="5"/>
      <c r="AW20" s="5"/>
      <c r="AX20" s="5"/>
      <c r="AY20" s="5"/>
      <c r="AZ20" s="5"/>
      <c r="BA20" s="5"/>
      <c r="BB20" s="5"/>
      <c r="BC20" s="5"/>
      <c r="BD20" s="5"/>
    </row>
    <row r="21" spans="1:56" s="88" customFormat="1" ht="20.100000000000001" customHeight="1">
      <c r="A21" s="305" t="str">
        <f>底稿目录!A10</f>
        <v>住房使用权</v>
      </c>
      <c r="B21" s="305"/>
      <c r="C21" s="42" cm="1">
        <f t="array" ref="C21">SUMPRODUCT(($B$12:$B$17=$A21)*(C$12:C$17))</f>
        <v>0</v>
      </c>
      <c r="D21" s="42" cm="1">
        <f t="array" ref="D21">SUMPRODUCT(($B$12:$B$17=$A21)*(D$12:D$17))</f>
        <v>0</v>
      </c>
      <c r="E21" s="114"/>
      <c r="F21" s="42" cm="1">
        <f t="array" ref="F21">SUMPRODUCT(($B$12:$B$17=$A21)*(F$12:F$17))</f>
        <v>0</v>
      </c>
      <c r="G21" s="114"/>
      <c r="H21" s="42" cm="1">
        <f t="array" ref="H21">SUMPRODUCT(($B$12:$B$17=$A21)*(H$12:H$17))</f>
        <v>0</v>
      </c>
      <c r="I21" s="42" cm="1">
        <f t="array" ref="I21">SUMPRODUCT(($B$12:$B$17=$A21)*(I$12:I$17))</f>
        <v>0</v>
      </c>
      <c r="J21" s="42" cm="1">
        <f t="array" ref="J21">SUMPRODUCT(($B$12:$B$17=$A21)*(J$12:J$17))</f>
        <v>0</v>
      </c>
      <c r="K21" s="42" cm="1">
        <f t="array" ref="K21">SUMPRODUCT(($B$12:$B$17=$A21)*(K$12:K$17))</f>
        <v>0</v>
      </c>
      <c r="L21" s="42" cm="1">
        <f t="array" ref="L21">SUMPRODUCT(($B$12:$B$17=$A21)*(L$12:L$17))</f>
        <v>0</v>
      </c>
      <c r="M21" s="42" cm="1">
        <f t="array" ref="M21">SUMPRODUCT(($B$12:$B$17=$A21)*(M$12:M$17))</f>
        <v>0</v>
      </c>
      <c r="N21" s="42" cm="1">
        <f t="array" ref="N21">SUMPRODUCT(($B$12:$B$17=$A21)*(N$12:N$17))</f>
        <v>0</v>
      </c>
      <c r="O21" s="42" cm="1">
        <f t="array" ref="O21">SUMPRODUCT(($B$12:$B$17=$A21)*(O$12:O$17))</f>
        <v>0</v>
      </c>
      <c r="P21" s="42" cm="1">
        <f t="array" ref="P21">SUMPRODUCT(($B$12:$B$17=$A21)*(P$12:P$17))</f>
        <v>0</v>
      </c>
      <c r="Q21" s="42" cm="1">
        <f t="array" ref="Q21">SUMPRODUCT(($B$12:$B$17=$A21)*(Q$12:Q$17))</f>
        <v>0</v>
      </c>
      <c r="R21" s="42" cm="1">
        <f t="array" ref="R21">SUMPRODUCT(($B$12:$B$17=$A21)*(R$12:R$17))</f>
        <v>0</v>
      </c>
      <c r="S21" s="42" cm="1">
        <f t="array" ref="S21">SUMPRODUCT(($B$12:$B$17=$A21)*(S$12:S$17))</f>
        <v>0</v>
      </c>
      <c r="T21" s="42" cm="1">
        <f t="array" ref="T21">SUMPRODUCT(($B$12:$B$17=$A21)*(T$12:T$17))</f>
        <v>0</v>
      </c>
      <c r="U21" s="42" cm="1">
        <f t="array" ref="U21">SUMPRODUCT(($B$12:$B$17=$A21)*(U$12:U$17))</f>
        <v>0</v>
      </c>
      <c r="V21" s="42" cm="1">
        <f t="array" ref="V21">SUMPRODUCT(($B$12:$B$17=$A21)*(V$12:V$17))</f>
        <v>0</v>
      </c>
      <c r="W21" s="42" cm="1">
        <f t="array" ref="W21">SUMPRODUCT(($B$12:$B$17=$A21)*(W$12:W$17))</f>
        <v>0</v>
      </c>
      <c r="X21" s="42" cm="1">
        <f t="array" ref="X21">SUMPRODUCT(($B$12:$B$17=$A21)*(X$12:X$17))</f>
        <v>0</v>
      </c>
      <c r="Y21" s="42" cm="1">
        <f t="array" ref="Y21">SUMPRODUCT(($B$12:$B$17=$A21)*(Y$12:Y$17))</f>
        <v>0</v>
      </c>
      <c r="Z21" s="42" cm="1">
        <f t="array" ref="Z21">SUMPRODUCT(($B$12:$B$17=$A21)*(Z$12:Z$17))</f>
        <v>0</v>
      </c>
      <c r="AA21" s="42" cm="1">
        <f t="array" ref="AA21">SUMPRODUCT(($B$12:$B$17=$A21)*(AA$12:AA$17))</f>
        <v>0</v>
      </c>
      <c r="AB21" s="42" cm="1">
        <f t="array" ref="AB21">SUMPRODUCT(($B$12:$B$17=$A21)*(AB$12:AB$17))</f>
        <v>0</v>
      </c>
      <c r="AC21" s="42" cm="1">
        <f t="array" ref="AC21">SUMPRODUCT(($B$12:$B$17=$A21)*(AC$12:AC$17))</f>
        <v>0</v>
      </c>
      <c r="AD21" s="42" cm="1">
        <f t="array" ref="AD21">SUMPRODUCT(($B$12:$B$17=$A21)*(AD$12:AD$17))</f>
        <v>0</v>
      </c>
      <c r="AE21" s="42" cm="1">
        <f t="array" ref="AE21">SUMPRODUCT(($B$12:$B$17=$A21)*(AE$12:AE$17))</f>
        <v>0</v>
      </c>
      <c r="AF21" s="42" cm="1">
        <f t="array" ref="AF21">SUMPRODUCT(($B$12:$B$17=$A21)*(AF$12:AF$17))</f>
        <v>0</v>
      </c>
      <c r="AG21" s="42" cm="1">
        <f t="array" ref="AG21">SUMPRODUCT(($B$12:$B$17=$A21)*(AG$12:AG$17))</f>
        <v>0</v>
      </c>
      <c r="AH21" s="42" cm="1">
        <f t="array" ref="AH21">SUMPRODUCT(($B$12:$B$17=$A21)*(AH$12:AH$17))</f>
        <v>0</v>
      </c>
      <c r="AI21" s="42" cm="1">
        <f t="array" ref="AI21">SUMPRODUCT(($B$12:$B$17=$A21)*(AI$12:AI$17))</f>
        <v>0</v>
      </c>
      <c r="AJ21" s="42" cm="1">
        <f t="array" ref="AJ21">SUMPRODUCT(($B$12:$B$17=$A21)*(AJ$12:AJ$17))</f>
        <v>0</v>
      </c>
      <c r="AK21" s="42" cm="1">
        <f t="array" ref="AK21">SUMPRODUCT(($B$12:$B$17=$A21)*(AK$12:AK$17))</f>
        <v>0</v>
      </c>
      <c r="AL21" s="42" cm="1">
        <f t="array" ref="AL21">SUMPRODUCT(($B$12:$B$17=$A21)*(AL$12:AL$17))</f>
        <v>0</v>
      </c>
      <c r="AM21" s="42" cm="1">
        <f t="array" ref="AM21">SUMPRODUCT(($B$12:$B$17=$A21)*(AM$12:AM$17))</f>
        <v>0</v>
      </c>
      <c r="AN21" s="42" cm="1">
        <f t="array" ref="AN21">SUMPRODUCT(($B$12:$B$17=$A21)*(AN$12:AN$17))</f>
        <v>0</v>
      </c>
      <c r="AO21" s="42" cm="1">
        <f t="array" ref="AO21">SUMPRODUCT(($B$12:$B$17=$A21)*(AO$12:AO$17))</f>
        <v>0</v>
      </c>
      <c r="AP21" s="42" cm="1">
        <f t="array" ref="AP21">SUMPRODUCT(($B$12:$B$17=$A21)*(AP$12:AP$17))</f>
        <v>0</v>
      </c>
      <c r="AQ21" s="42" cm="1">
        <f t="array" ref="AQ21">SUMPRODUCT(($B$12:$B$17=$A21)*(AQ$12:AQ$17))</f>
        <v>0</v>
      </c>
      <c r="AR21" s="42" cm="1">
        <f t="array" ref="AR21">SUMPRODUCT(($B$12:$B$17=$A21)*(AR$12:AR$17))</f>
        <v>0</v>
      </c>
      <c r="AS21" s="42" cm="1">
        <f t="array" ref="AS21">SUMPRODUCT(($B$12:$B$17=$A21)*(AS$12:AS$17))</f>
        <v>0</v>
      </c>
      <c r="AT21" s="35"/>
      <c r="AU21" s="35"/>
      <c r="AV21" s="5"/>
      <c r="AW21" s="5"/>
      <c r="AX21" s="5"/>
      <c r="AY21" s="5"/>
      <c r="AZ21" s="5"/>
      <c r="BA21" s="5"/>
      <c r="BB21" s="5"/>
      <c r="BC21" s="5"/>
      <c r="BD21" s="5"/>
    </row>
    <row r="22" spans="1:56" s="88" customFormat="1" ht="20.100000000000001" customHeight="1">
      <c r="A22" s="305" t="str">
        <f>底稿目录!A11</f>
        <v>专利权</v>
      </c>
      <c r="B22" s="305"/>
      <c r="C22" s="42" cm="1">
        <f t="array" ref="C22">SUMPRODUCT(($B$12:$B$17=$A22)*(C$12:C$17))</f>
        <v>0</v>
      </c>
      <c r="D22" s="42" cm="1">
        <f t="array" ref="D22">SUMPRODUCT(($B$12:$B$17=$A22)*(D$12:D$17))</f>
        <v>0</v>
      </c>
      <c r="E22" s="114"/>
      <c r="F22" s="42" cm="1">
        <f t="array" ref="F22">SUMPRODUCT(($B$12:$B$17=$A22)*(F$12:F$17))</f>
        <v>0</v>
      </c>
      <c r="G22" s="114"/>
      <c r="H22" s="42" cm="1">
        <f t="array" ref="H22">SUMPRODUCT(($B$12:$B$17=$A22)*(H$12:H$17))</f>
        <v>0</v>
      </c>
      <c r="I22" s="42" cm="1">
        <f t="array" ref="I22">SUMPRODUCT(($B$12:$B$17=$A22)*(I$12:I$17))</f>
        <v>0</v>
      </c>
      <c r="J22" s="42" cm="1">
        <f t="array" ref="J22">SUMPRODUCT(($B$12:$B$17=$A22)*(J$12:J$17))</f>
        <v>0</v>
      </c>
      <c r="K22" s="42" cm="1">
        <f t="array" ref="K22">SUMPRODUCT(($B$12:$B$17=$A22)*(K$12:K$17))</f>
        <v>0</v>
      </c>
      <c r="L22" s="42" cm="1">
        <f t="array" ref="L22">SUMPRODUCT(($B$12:$B$17=$A22)*(L$12:L$17))</f>
        <v>0</v>
      </c>
      <c r="M22" s="42" cm="1">
        <f t="array" ref="M22">SUMPRODUCT(($B$12:$B$17=$A22)*(M$12:M$17))</f>
        <v>0</v>
      </c>
      <c r="N22" s="42" cm="1">
        <f t="array" ref="N22">SUMPRODUCT(($B$12:$B$17=$A22)*(N$12:N$17))</f>
        <v>0</v>
      </c>
      <c r="O22" s="42" cm="1">
        <f t="array" ref="O22">SUMPRODUCT(($B$12:$B$17=$A22)*(O$12:O$17))</f>
        <v>0</v>
      </c>
      <c r="P22" s="42" cm="1">
        <f t="array" ref="P22">SUMPRODUCT(($B$12:$B$17=$A22)*(P$12:P$17))</f>
        <v>0</v>
      </c>
      <c r="Q22" s="42" cm="1">
        <f t="array" ref="Q22">SUMPRODUCT(($B$12:$B$17=$A22)*(Q$12:Q$17))</f>
        <v>0</v>
      </c>
      <c r="R22" s="42" cm="1">
        <f t="array" ref="R22">SUMPRODUCT(($B$12:$B$17=$A22)*(R$12:R$17))</f>
        <v>0</v>
      </c>
      <c r="S22" s="42" cm="1">
        <f t="array" ref="S22">SUMPRODUCT(($B$12:$B$17=$A22)*(S$12:S$17))</f>
        <v>0</v>
      </c>
      <c r="T22" s="42" cm="1">
        <f t="array" ref="T22">SUMPRODUCT(($B$12:$B$17=$A22)*(T$12:T$17))</f>
        <v>0</v>
      </c>
      <c r="U22" s="42" cm="1">
        <f t="array" ref="U22">SUMPRODUCT(($B$12:$B$17=$A22)*(U$12:U$17))</f>
        <v>0</v>
      </c>
      <c r="V22" s="42" cm="1">
        <f t="array" ref="V22">SUMPRODUCT(($B$12:$B$17=$A22)*(V$12:V$17))</f>
        <v>0</v>
      </c>
      <c r="W22" s="42" cm="1">
        <f t="array" ref="W22">SUMPRODUCT(($B$12:$B$17=$A22)*(W$12:W$17))</f>
        <v>0</v>
      </c>
      <c r="X22" s="42" cm="1">
        <f t="array" ref="X22">SUMPRODUCT(($B$12:$B$17=$A22)*(X$12:X$17))</f>
        <v>0</v>
      </c>
      <c r="Y22" s="42" cm="1">
        <f t="array" ref="Y22">SUMPRODUCT(($B$12:$B$17=$A22)*(Y$12:Y$17))</f>
        <v>0</v>
      </c>
      <c r="Z22" s="42" cm="1">
        <f t="array" ref="Z22">SUMPRODUCT(($B$12:$B$17=$A22)*(Z$12:Z$17))</f>
        <v>0</v>
      </c>
      <c r="AA22" s="42" cm="1">
        <f t="array" ref="AA22">SUMPRODUCT(($B$12:$B$17=$A22)*(AA$12:AA$17))</f>
        <v>0</v>
      </c>
      <c r="AB22" s="42" cm="1">
        <f t="array" ref="AB22">SUMPRODUCT(($B$12:$B$17=$A22)*(AB$12:AB$17))</f>
        <v>0</v>
      </c>
      <c r="AC22" s="42" cm="1">
        <f t="array" ref="AC22">SUMPRODUCT(($B$12:$B$17=$A22)*(AC$12:AC$17))</f>
        <v>0</v>
      </c>
      <c r="AD22" s="42" cm="1">
        <f t="array" ref="AD22">SUMPRODUCT(($B$12:$B$17=$A22)*(AD$12:AD$17))</f>
        <v>0</v>
      </c>
      <c r="AE22" s="42" cm="1">
        <f t="array" ref="AE22">SUMPRODUCT(($B$12:$B$17=$A22)*(AE$12:AE$17))</f>
        <v>0</v>
      </c>
      <c r="AF22" s="42" cm="1">
        <f t="array" ref="AF22">SUMPRODUCT(($B$12:$B$17=$A22)*(AF$12:AF$17))</f>
        <v>0</v>
      </c>
      <c r="AG22" s="42" cm="1">
        <f t="array" ref="AG22">SUMPRODUCT(($B$12:$B$17=$A22)*(AG$12:AG$17))</f>
        <v>0</v>
      </c>
      <c r="AH22" s="42" cm="1">
        <f t="array" ref="AH22">SUMPRODUCT(($B$12:$B$17=$A22)*(AH$12:AH$17))</f>
        <v>0</v>
      </c>
      <c r="AI22" s="42" cm="1">
        <f t="array" ref="AI22">SUMPRODUCT(($B$12:$B$17=$A22)*(AI$12:AI$17))</f>
        <v>0</v>
      </c>
      <c r="AJ22" s="42" cm="1">
        <f t="array" ref="AJ22">SUMPRODUCT(($B$12:$B$17=$A22)*(AJ$12:AJ$17))</f>
        <v>0</v>
      </c>
      <c r="AK22" s="42" cm="1">
        <f t="array" ref="AK22">SUMPRODUCT(($B$12:$B$17=$A22)*(AK$12:AK$17))</f>
        <v>0</v>
      </c>
      <c r="AL22" s="42" cm="1">
        <f t="array" ref="AL22">SUMPRODUCT(($B$12:$B$17=$A22)*(AL$12:AL$17))</f>
        <v>0</v>
      </c>
      <c r="AM22" s="42" cm="1">
        <f t="array" ref="AM22">SUMPRODUCT(($B$12:$B$17=$A22)*(AM$12:AM$17))</f>
        <v>0</v>
      </c>
      <c r="AN22" s="42" cm="1">
        <f t="array" ref="AN22">SUMPRODUCT(($B$12:$B$17=$A22)*(AN$12:AN$17))</f>
        <v>0</v>
      </c>
      <c r="AO22" s="42" cm="1">
        <f t="array" ref="AO22">SUMPRODUCT(($B$12:$B$17=$A22)*(AO$12:AO$17))</f>
        <v>0</v>
      </c>
      <c r="AP22" s="42" cm="1">
        <f t="array" ref="AP22">SUMPRODUCT(($B$12:$B$17=$A22)*(AP$12:AP$17))</f>
        <v>0</v>
      </c>
      <c r="AQ22" s="42" cm="1">
        <f t="array" ref="AQ22">SUMPRODUCT(($B$12:$B$17=$A22)*(AQ$12:AQ$17))</f>
        <v>0</v>
      </c>
      <c r="AR22" s="42" cm="1">
        <f t="array" ref="AR22">SUMPRODUCT(($B$12:$B$17=$A22)*(AR$12:AR$17))</f>
        <v>0</v>
      </c>
      <c r="AS22" s="42" cm="1">
        <f t="array" ref="AS22">SUMPRODUCT(($B$12:$B$17=$A22)*(AS$12:AS$17))</f>
        <v>0</v>
      </c>
      <c r="AT22" s="35"/>
      <c r="AU22" s="35"/>
      <c r="AV22" s="5"/>
      <c r="AW22" s="5"/>
      <c r="AX22" s="5"/>
      <c r="AY22" s="5"/>
      <c r="AZ22" s="5"/>
      <c r="BA22" s="5"/>
      <c r="BB22" s="5"/>
      <c r="BC22" s="5"/>
      <c r="BD22" s="5"/>
    </row>
    <row r="23" spans="1:56" s="88" customFormat="1" ht="20.100000000000001" customHeight="1">
      <c r="A23" s="305" t="str">
        <f>底稿目录!A12</f>
        <v>非专利技术</v>
      </c>
      <c r="B23" s="305"/>
      <c r="C23" s="42" cm="1">
        <f t="array" ref="C23">SUMPRODUCT(($B$12:$B$17=$A23)*(C$12:C$17))</f>
        <v>0</v>
      </c>
      <c r="D23" s="42" cm="1">
        <f t="array" ref="D23">SUMPRODUCT(($B$12:$B$17=$A23)*(D$12:D$17))</f>
        <v>0</v>
      </c>
      <c r="E23" s="114"/>
      <c r="F23" s="42" cm="1">
        <f t="array" ref="F23">SUMPRODUCT(($B$12:$B$17=$A23)*(F$12:F$17))</f>
        <v>0</v>
      </c>
      <c r="G23" s="114"/>
      <c r="H23" s="42" cm="1">
        <f t="array" ref="H23">SUMPRODUCT(($B$12:$B$17=$A23)*(H$12:H$17))</f>
        <v>0</v>
      </c>
      <c r="I23" s="42" cm="1">
        <f t="array" ref="I23">SUMPRODUCT(($B$12:$B$17=$A23)*(I$12:I$17))</f>
        <v>0</v>
      </c>
      <c r="J23" s="42" cm="1">
        <f t="array" ref="J23">SUMPRODUCT(($B$12:$B$17=$A23)*(J$12:J$17))</f>
        <v>0</v>
      </c>
      <c r="K23" s="42" cm="1">
        <f t="array" ref="K23">SUMPRODUCT(($B$12:$B$17=$A23)*(K$12:K$17))</f>
        <v>0</v>
      </c>
      <c r="L23" s="42" cm="1">
        <f t="array" ref="L23">SUMPRODUCT(($B$12:$B$17=$A23)*(L$12:L$17))</f>
        <v>0</v>
      </c>
      <c r="M23" s="42" cm="1">
        <f t="array" ref="M23">SUMPRODUCT(($B$12:$B$17=$A23)*(M$12:M$17))</f>
        <v>0</v>
      </c>
      <c r="N23" s="42" cm="1">
        <f t="array" ref="N23">SUMPRODUCT(($B$12:$B$17=$A23)*(N$12:N$17))</f>
        <v>0</v>
      </c>
      <c r="O23" s="42" cm="1">
        <f t="array" ref="O23">SUMPRODUCT(($B$12:$B$17=$A23)*(O$12:O$17))</f>
        <v>0</v>
      </c>
      <c r="P23" s="42" cm="1">
        <f t="array" ref="P23">SUMPRODUCT(($B$12:$B$17=$A23)*(P$12:P$17))</f>
        <v>0</v>
      </c>
      <c r="Q23" s="42" cm="1">
        <f t="array" ref="Q23">SUMPRODUCT(($B$12:$B$17=$A23)*(Q$12:Q$17))</f>
        <v>0</v>
      </c>
      <c r="R23" s="42" cm="1">
        <f t="array" ref="R23">SUMPRODUCT(($B$12:$B$17=$A23)*(R$12:R$17))</f>
        <v>0</v>
      </c>
      <c r="S23" s="42" cm="1">
        <f t="array" ref="S23">SUMPRODUCT(($B$12:$B$17=$A23)*(S$12:S$17))</f>
        <v>0</v>
      </c>
      <c r="T23" s="42" cm="1">
        <f t="array" ref="T23">SUMPRODUCT(($B$12:$B$17=$A23)*(T$12:T$17))</f>
        <v>0</v>
      </c>
      <c r="U23" s="42" cm="1">
        <f t="array" ref="U23">SUMPRODUCT(($B$12:$B$17=$A23)*(U$12:U$17))</f>
        <v>0</v>
      </c>
      <c r="V23" s="42" cm="1">
        <f t="array" ref="V23">SUMPRODUCT(($B$12:$B$17=$A23)*(V$12:V$17))</f>
        <v>0</v>
      </c>
      <c r="W23" s="42" cm="1">
        <f t="array" ref="W23">SUMPRODUCT(($B$12:$B$17=$A23)*(W$12:W$17))</f>
        <v>0</v>
      </c>
      <c r="X23" s="42" cm="1">
        <f t="array" ref="X23">SUMPRODUCT(($B$12:$B$17=$A23)*(X$12:X$17))</f>
        <v>0</v>
      </c>
      <c r="Y23" s="42" cm="1">
        <f t="array" ref="Y23">SUMPRODUCT(($B$12:$B$17=$A23)*(Y$12:Y$17))</f>
        <v>0</v>
      </c>
      <c r="Z23" s="42" cm="1">
        <f t="array" ref="Z23">SUMPRODUCT(($B$12:$B$17=$A23)*(Z$12:Z$17))</f>
        <v>0</v>
      </c>
      <c r="AA23" s="42" cm="1">
        <f t="array" ref="AA23">SUMPRODUCT(($B$12:$B$17=$A23)*(AA$12:AA$17))</f>
        <v>0</v>
      </c>
      <c r="AB23" s="42" cm="1">
        <f t="array" ref="AB23">SUMPRODUCT(($B$12:$B$17=$A23)*(AB$12:AB$17))</f>
        <v>0</v>
      </c>
      <c r="AC23" s="42" cm="1">
        <f t="array" ref="AC23">SUMPRODUCT(($B$12:$B$17=$A23)*(AC$12:AC$17))</f>
        <v>0</v>
      </c>
      <c r="AD23" s="42" cm="1">
        <f t="array" ref="AD23">SUMPRODUCT(($B$12:$B$17=$A23)*(AD$12:AD$17))</f>
        <v>0</v>
      </c>
      <c r="AE23" s="42" cm="1">
        <f t="array" ref="AE23">SUMPRODUCT(($B$12:$B$17=$A23)*(AE$12:AE$17))</f>
        <v>0</v>
      </c>
      <c r="AF23" s="42" cm="1">
        <f t="array" ref="AF23">SUMPRODUCT(($B$12:$B$17=$A23)*(AF$12:AF$17))</f>
        <v>0</v>
      </c>
      <c r="AG23" s="42" cm="1">
        <f t="array" ref="AG23">SUMPRODUCT(($B$12:$B$17=$A23)*(AG$12:AG$17))</f>
        <v>0</v>
      </c>
      <c r="AH23" s="42" cm="1">
        <f t="array" ref="AH23">SUMPRODUCT(($B$12:$B$17=$A23)*(AH$12:AH$17))</f>
        <v>0</v>
      </c>
      <c r="AI23" s="42" cm="1">
        <f t="array" ref="AI23">SUMPRODUCT(($B$12:$B$17=$A23)*(AI$12:AI$17))</f>
        <v>0</v>
      </c>
      <c r="AJ23" s="42" cm="1">
        <f t="array" ref="AJ23">SUMPRODUCT(($B$12:$B$17=$A23)*(AJ$12:AJ$17))</f>
        <v>0</v>
      </c>
      <c r="AK23" s="42" cm="1">
        <f t="array" ref="AK23">SUMPRODUCT(($B$12:$B$17=$A23)*(AK$12:AK$17))</f>
        <v>0</v>
      </c>
      <c r="AL23" s="42" cm="1">
        <f t="array" ref="AL23">SUMPRODUCT(($B$12:$B$17=$A23)*(AL$12:AL$17))</f>
        <v>0</v>
      </c>
      <c r="AM23" s="42" cm="1">
        <f t="array" ref="AM23">SUMPRODUCT(($B$12:$B$17=$A23)*(AM$12:AM$17))</f>
        <v>0</v>
      </c>
      <c r="AN23" s="42" cm="1">
        <f t="array" ref="AN23">SUMPRODUCT(($B$12:$B$17=$A23)*(AN$12:AN$17))</f>
        <v>0</v>
      </c>
      <c r="AO23" s="42" cm="1">
        <f t="array" ref="AO23">SUMPRODUCT(($B$12:$B$17=$A23)*(AO$12:AO$17))</f>
        <v>0</v>
      </c>
      <c r="AP23" s="42" cm="1">
        <f t="array" ref="AP23">SUMPRODUCT(($B$12:$B$17=$A23)*(AP$12:AP$17))</f>
        <v>0</v>
      </c>
      <c r="AQ23" s="42" cm="1">
        <f t="array" ref="AQ23">SUMPRODUCT(($B$12:$B$17=$A23)*(AQ$12:AQ$17))</f>
        <v>0</v>
      </c>
      <c r="AR23" s="42" cm="1">
        <f t="array" ref="AR23">SUMPRODUCT(($B$12:$B$17=$A23)*(AR$12:AR$17))</f>
        <v>0</v>
      </c>
      <c r="AS23" s="42" cm="1">
        <f t="array" ref="AS23">SUMPRODUCT(($B$12:$B$17=$A23)*(AS$12:AS$17))</f>
        <v>0</v>
      </c>
      <c r="AT23" s="35"/>
      <c r="AU23" s="35"/>
      <c r="AV23" s="5"/>
      <c r="AW23" s="5"/>
      <c r="AX23" s="5"/>
      <c r="AY23" s="5"/>
      <c r="AZ23" s="5"/>
      <c r="BA23" s="5"/>
      <c r="BB23" s="5"/>
      <c r="BC23" s="5"/>
      <c r="BD23" s="5"/>
    </row>
    <row r="24" spans="1:56" s="88" customFormat="1" ht="20.100000000000001" customHeight="1">
      <c r="A24" s="305" t="str">
        <f>底稿目录!A13</f>
        <v>商标权</v>
      </c>
      <c r="B24" s="305"/>
      <c r="C24" s="42" cm="1">
        <f t="array" ref="C24">SUMPRODUCT(($B$12:$B$17=$A24)*(C$12:C$17))</f>
        <v>0</v>
      </c>
      <c r="D24" s="42" cm="1">
        <f t="array" ref="D24">SUMPRODUCT(($B$12:$B$17=$A24)*(D$12:D$17))</f>
        <v>0</v>
      </c>
      <c r="E24" s="114"/>
      <c r="F24" s="42" cm="1">
        <f t="array" ref="F24">SUMPRODUCT(($B$12:$B$17=$A24)*(F$12:F$17))</f>
        <v>0</v>
      </c>
      <c r="G24" s="114"/>
      <c r="H24" s="42" cm="1">
        <f t="array" ref="H24">SUMPRODUCT(($B$12:$B$17=$A24)*(H$12:H$17))</f>
        <v>0</v>
      </c>
      <c r="I24" s="42" cm="1">
        <f t="array" ref="I24">SUMPRODUCT(($B$12:$B$17=$A24)*(I$12:I$17))</f>
        <v>0</v>
      </c>
      <c r="J24" s="42" cm="1">
        <f t="array" ref="J24">SUMPRODUCT(($B$12:$B$17=$A24)*(J$12:J$17))</f>
        <v>0</v>
      </c>
      <c r="K24" s="42" cm="1">
        <f t="array" ref="K24">SUMPRODUCT(($B$12:$B$17=$A24)*(K$12:K$17))</f>
        <v>0</v>
      </c>
      <c r="L24" s="42" cm="1">
        <f t="array" ref="L24">SUMPRODUCT(($B$12:$B$17=$A24)*(L$12:L$17))</f>
        <v>0</v>
      </c>
      <c r="M24" s="42" cm="1">
        <f t="array" ref="M24">SUMPRODUCT(($B$12:$B$17=$A24)*(M$12:M$17))</f>
        <v>0</v>
      </c>
      <c r="N24" s="42" cm="1">
        <f t="array" ref="N24">SUMPRODUCT(($B$12:$B$17=$A24)*(N$12:N$17))</f>
        <v>0</v>
      </c>
      <c r="O24" s="42" cm="1">
        <f t="array" ref="O24">SUMPRODUCT(($B$12:$B$17=$A24)*(O$12:O$17))</f>
        <v>0</v>
      </c>
      <c r="P24" s="42" cm="1">
        <f t="array" ref="P24">SUMPRODUCT(($B$12:$B$17=$A24)*(P$12:P$17))</f>
        <v>0</v>
      </c>
      <c r="Q24" s="42" cm="1">
        <f t="array" ref="Q24">SUMPRODUCT(($B$12:$B$17=$A24)*(Q$12:Q$17))</f>
        <v>0</v>
      </c>
      <c r="R24" s="42" cm="1">
        <f t="array" ref="R24">SUMPRODUCT(($B$12:$B$17=$A24)*(R$12:R$17))</f>
        <v>0</v>
      </c>
      <c r="S24" s="42" cm="1">
        <f t="array" ref="S24">SUMPRODUCT(($B$12:$B$17=$A24)*(S$12:S$17))</f>
        <v>0</v>
      </c>
      <c r="T24" s="42" cm="1">
        <f t="array" ref="T24">SUMPRODUCT(($B$12:$B$17=$A24)*(T$12:T$17))</f>
        <v>0</v>
      </c>
      <c r="U24" s="42" cm="1">
        <f t="array" ref="U24">SUMPRODUCT(($B$12:$B$17=$A24)*(U$12:U$17))</f>
        <v>0</v>
      </c>
      <c r="V24" s="42" cm="1">
        <f t="array" ref="V24">SUMPRODUCT(($B$12:$B$17=$A24)*(V$12:V$17))</f>
        <v>0</v>
      </c>
      <c r="W24" s="42" cm="1">
        <f t="array" ref="W24">SUMPRODUCT(($B$12:$B$17=$A24)*(W$12:W$17))</f>
        <v>0</v>
      </c>
      <c r="X24" s="42" cm="1">
        <f t="array" ref="X24">SUMPRODUCT(($B$12:$B$17=$A24)*(X$12:X$17))</f>
        <v>0</v>
      </c>
      <c r="Y24" s="42" cm="1">
        <f t="array" ref="Y24">SUMPRODUCT(($B$12:$B$17=$A24)*(Y$12:Y$17))</f>
        <v>0</v>
      </c>
      <c r="Z24" s="42" cm="1">
        <f t="array" ref="Z24">SUMPRODUCT(($B$12:$B$17=$A24)*(Z$12:Z$17))</f>
        <v>0</v>
      </c>
      <c r="AA24" s="42" cm="1">
        <f t="array" ref="AA24">SUMPRODUCT(($B$12:$B$17=$A24)*(AA$12:AA$17))</f>
        <v>0</v>
      </c>
      <c r="AB24" s="42" cm="1">
        <f t="array" ref="AB24">SUMPRODUCT(($B$12:$B$17=$A24)*(AB$12:AB$17))</f>
        <v>0</v>
      </c>
      <c r="AC24" s="42" cm="1">
        <f t="array" ref="AC24">SUMPRODUCT(($B$12:$B$17=$A24)*(AC$12:AC$17))</f>
        <v>0</v>
      </c>
      <c r="AD24" s="42" cm="1">
        <f t="array" ref="AD24">SUMPRODUCT(($B$12:$B$17=$A24)*(AD$12:AD$17))</f>
        <v>0</v>
      </c>
      <c r="AE24" s="42" cm="1">
        <f t="array" ref="AE24">SUMPRODUCT(($B$12:$B$17=$A24)*(AE$12:AE$17))</f>
        <v>0</v>
      </c>
      <c r="AF24" s="42" cm="1">
        <f t="array" ref="AF24">SUMPRODUCT(($B$12:$B$17=$A24)*(AF$12:AF$17))</f>
        <v>0</v>
      </c>
      <c r="AG24" s="42" cm="1">
        <f t="array" ref="AG24">SUMPRODUCT(($B$12:$B$17=$A24)*(AG$12:AG$17))</f>
        <v>0</v>
      </c>
      <c r="AH24" s="42" cm="1">
        <f t="array" ref="AH24">SUMPRODUCT(($B$12:$B$17=$A24)*(AH$12:AH$17))</f>
        <v>0</v>
      </c>
      <c r="AI24" s="42" cm="1">
        <f t="array" ref="AI24">SUMPRODUCT(($B$12:$B$17=$A24)*(AI$12:AI$17))</f>
        <v>0</v>
      </c>
      <c r="AJ24" s="42" cm="1">
        <f t="array" ref="AJ24">SUMPRODUCT(($B$12:$B$17=$A24)*(AJ$12:AJ$17))</f>
        <v>0</v>
      </c>
      <c r="AK24" s="42" cm="1">
        <f t="array" ref="AK24">SUMPRODUCT(($B$12:$B$17=$A24)*(AK$12:AK$17))</f>
        <v>0</v>
      </c>
      <c r="AL24" s="42" cm="1">
        <f t="array" ref="AL24">SUMPRODUCT(($B$12:$B$17=$A24)*(AL$12:AL$17))</f>
        <v>0</v>
      </c>
      <c r="AM24" s="42" cm="1">
        <f t="array" ref="AM24">SUMPRODUCT(($B$12:$B$17=$A24)*(AM$12:AM$17))</f>
        <v>0</v>
      </c>
      <c r="AN24" s="42" cm="1">
        <f t="array" ref="AN24">SUMPRODUCT(($B$12:$B$17=$A24)*(AN$12:AN$17))</f>
        <v>0</v>
      </c>
      <c r="AO24" s="42" cm="1">
        <f t="array" ref="AO24">SUMPRODUCT(($B$12:$B$17=$A24)*(AO$12:AO$17))</f>
        <v>0</v>
      </c>
      <c r="AP24" s="42" cm="1">
        <f t="array" ref="AP24">SUMPRODUCT(($B$12:$B$17=$A24)*(AP$12:AP$17))</f>
        <v>0</v>
      </c>
      <c r="AQ24" s="42" cm="1">
        <f t="array" ref="AQ24">SUMPRODUCT(($B$12:$B$17=$A24)*(AQ$12:AQ$17))</f>
        <v>0</v>
      </c>
      <c r="AR24" s="42" cm="1">
        <f t="array" ref="AR24">SUMPRODUCT(($B$12:$B$17=$A24)*(AR$12:AR$17))</f>
        <v>0</v>
      </c>
      <c r="AS24" s="42" cm="1">
        <f t="array" ref="AS24">SUMPRODUCT(($B$12:$B$17=$A24)*(AS$12:AS$17))</f>
        <v>0</v>
      </c>
      <c r="AT24" s="35"/>
      <c r="AU24" s="35"/>
      <c r="AV24" s="5"/>
      <c r="AW24" s="5"/>
      <c r="AX24" s="5"/>
      <c r="AY24" s="5"/>
      <c r="AZ24" s="5"/>
      <c r="BA24" s="5"/>
      <c r="BB24" s="5"/>
      <c r="BC24" s="5"/>
      <c r="BD24" s="5"/>
    </row>
    <row r="25" spans="1:56" s="88" customFormat="1" ht="20.100000000000001" customHeight="1">
      <c r="A25" s="305" t="str">
        <f>底稿目录!A14</f>
        <v>著作权</v>
      </c>
      <c r="B25" s="305"/>
      <c r="C25" s="42" cm="1">
        <f t="array" ref="C25">SUMPRODUCT(($B$12:$B$17=$A25)*(C$12:C$17))</f>
        <v>0</v>
      </c>
      <c r="D25" s="42" cm="1">
        <f t="array" ref="D25">SUMPRODUCT(($B$12:$B$17=$A25)*(D$12:D$17))</f>
        <v>0</v>
      </c>
      <c r="E25" s="114"/>
      <c r="F25" s="42" cm="1">
        <f t="array" ref="F25">SUMPRODUCT(($B$12:$B$17=$A25)*(F$12:F$17))</f>
        <v>0</v>
      </c>
      <c r="G25" s="114"/>
      <c r="H25" s="42" cm="1">
        <f t="array" ref="H25">SUMPRODUCT(($B$12:$B$17=$A25)*(H$12:H$17))</f>
        <v>0</v>
      </c>
      <c r="I25" s="42" cm="1">
        <f t="array" ref="I25">SUMPRODUCT(($B$12:$B$17=$A25)*(I$12:I$17))</f>
        <v>0</v>
      </c>
      <c r="J25" s="42" cm="1">
        <f t="array" ref="J25">SUMPRODUCT(($B$12:$B$17=$A25)*(J$12:J$17))</f>
        <v>0</v>
      </c>
      <c r="K25" s="42" cm="1">
        <f t="array" ref="K25">SUMPRODUCT(($B$12:$B$17=$A25)*(K$12:K$17))</f>
        <v>0</v>
      </c>
      <c r="L25" s="42" cm="1">
        <f t="array" ref="L25">SUMPRODUCT(($B$12:$B$17=$A25)*(L$12:L$17))</f>
        <v>0</v>
      </c>
      <c r="M25" s="42" cm="1">
        <f t="array" ref="M25">SUMPRODUCT(($B$12:$B$17=$A25)*(M$12:M$17))</f>
        <v>0</v>
      </c>
      <c r="N25" s="42" cm="1">
        <f t="array" ref="N25">SUMPRODUCT(($B$12:$B$17=$A25)*(N$12:N$17))</f>
        <v>0</v>
      </c>
      <c r="O25" s="42" cm="1">
        <f t="array" ref="O25">SUMPRODUCT(($B$12:$B$17=$A25)*(O$12:O$17))</f>
        <v>0</v>
      </c>
      <c r="P25" s="42" cm="1">
        <f t="array" ref="P25">SUMPRODUCT(($B$12:$B$17=$A25)*(P$12:P$17))</f>
        <v>0</v>
      </c>
      <c r="Q25" s="42" cm="1">
        <f t="array" ref="Q25">SUMPRODUCT(($B$12:$B$17=$A25)*(Q$12:Q$17))</f>
        <v>0</v>
      </c>
      <c r="R25" s="42" cm="1">
        <f t="array" ref="R25">SUMPRODUCT(($B$12:$B$17=$A25)*(R$12:R$17))</f>
        <v>0</v>
      </c>
      <c r="S25" s="42" cm="1">
        <f t="array" ref="S25">SUMPRODUCT(($B$12:$B$17=$A25)*(S$12:S$17))</f>
        <v>0</v>
      </c>
      <c r="T25" s="42" cm="1">
        <f t="array" ref="T25">SUMPRODUCT(($B$12:$B$17=$A25)*(T$12:T$17))</f>
        <v>0</v>
      </c>
      <c r="U25" s="42" cm="1">
        <f t="array" ref="U25">SUMPRODUCT(($B$12:$B$17=$A25)*(U$12:U$17))</f>
        <v>0</v>
      </c>
      <c r="V25" s="42" cm="1">
        <f t="array" ref="V25">SUMPRODUCT(($B$12:$B$17=$A25)*(V$12:V$17))</f>
        <v>0</v>
      </c>
      <c r="W25" s="42" cm="1">
        <f t="array" ref="W25">SUMPRODUCT(($B$12:$B$17=$A25)*(W$12:W$17))</f>
        <v>0</v>
      </c>
      <c r="X25" s="42" cm="1">
        <f t="array" ref="X25">SUMPRODUCT(($B$12:$B$17=$A25)*(X$12:X$17))</f>
        <v>0</v>
      </c>
      <c r="Y25" s="42" cm="1">
        <f t="array" ref="Y25">SUMPRODUCT(($B$12:$B$17=$A25)*(Y$12:Y$17))</f>
        <v>0</v>
      </c>
      <c r="Z25" s="42" cm="1">
        <f t="array" ref="Z25">SUMPRODUCT(($B$12:$B$17=$A25)*(Z$12:Z$17))</f>
        <v>0</v>
      </c>
      <c r="AA25" s="42" cm="1">
        <f t="array" ref="AA25">SUMPRODUCT(($B$12:$B$17=$A25)*(AA$12:AA$17))</f>
        <v>0</v>
      </c>
      <c r="AB25" s="42" cm="1">
        <f t="array" ref="AB25">SUMPRODUCT(($B$12:$B$17=$A25)*(AB$12:AB$17))</f>
        <v>0</v>
      </c>
      <c r="AC25" s="42" cm="1">
        <f t="array" ref="AC25">SUMPRODUCT(($B$12:$B$17=$A25)*(AC$12:AC$17))</f>
        <v>0</v>
      </c>
      <c r="AD25" s="42" cm="1">
        <f t="array" ref="AD25">SUMPRODUCT(($B$12:$B$17=$A25)*(AD$12:AD$17))</f>
        <v>0</v>
      </c>
      <c r="AE25" s="42" cm="1">
        <f t="array" ref="AE25">SUMPRODUCT(($B$12:$B$17=$A25)*(AE$12:AE$17))</f>
        <v>0</v>
      </c>
      <c r="AF25" s="42" cm="1">
        <f t="array" ref="AF25">SUMPRODUCT(($B$12:$B$17=$A25)*(AF$12:AF$17))</f>
        <v>0</v>
      </c>
      <c r="AG25" s="42" cm="1">
        <f t="array" ref="AG25">SUMPRODUCT(($B$12:$B$17=$A25)*(AG$12:AG$17))</f>
        <v>0</v>
      </c>
      <c r="AH25" s="42" cm="1">
        <f t="array" ref="AH25">SUMPRODUCT(($B$12:$B$17=$A25)*(AH$12:AH$17))</f>
        <v>0</v>
      </c>
      <c r="AI25" s="42" cm="1">
        <f t="array" ref="AI25">SUMPRODUCT(($B$12:$B$17=$A25)*(AI$12:AI$17))</f>
        <v>0</v>
      </c>
      <c r="AJ25" s="42" cm="1">
        <f t="array" ref="AJ25">SUMPRODUCT(($B$12:$B$17=$A25)*(AJ$12:AJ$17))</f>
        <v>0</v>
      </c>
      <c r="AK25" s="42" cm="1">
        <f t="array" ref="AK25">SUMPRODUCT(($B$12:$B$17=$A25)*(AK$12:AK$17))</f>
        <v>0</v>
      </c>
      <c r="AL25" s="42" cm="1">
        <f t="array" ref="AL25">SUMPRODUCT(($B$12:$B$17=$A25)*(AL$12:AL$17))</f>
        <v>0</v>
      </c>
      <c r="AM25" s="42" cm="1">
        <f t="array" ref="AM25">SUMPRODUCT(($B$12:$B$17=$A25)*(AM$12:AM$17))</f>
        <v>0</v>
      </c>
      <c r="AN25" s="42" cm="1">
        <f t="array" ref="AN25">SUMPRODUCT(($B$12:$B$17=$A25)*(AN$12:AN$17))</f>
        <v>0</v>
      </c>
      <c r="AO25" s="42" cm="1">
        <f t="array" ref="AO25">SUMPRODUCT(($B$12:$B$17=$A25)*(AO$12:AO$17))</f>
        <v>0</v>
      </c>
      <c r="AP25" s="42" cm="1">
        <f t="array" ref="AP25">SUMPRODUCT(($B$12:$B$17=$A25)*(AP$12:AP$17))</f>
        <v>0</v>
      </c>
      <c r="AQ25" s="42" cm="1">
        <f t="array" ref="AQ25">SUMPRODUCT(($B$12:$B$17=$A25)*(AQ$12:AQ$17))</f>
        <v>0</v>
      </c>
      <c r="AR25" s="42" cm="1">
        <f t="array" ref="AR25">SUMPRODUCT(($B$12:$B$17=$A25)*(AR$12:AR$17))</f>
        <v>0</v>
      </c>
      <c r="AS25" s="42" cm="1">
        <f t="array" ref="AS25">SUMPRODUCT(($B$12:$B$17=$A25)*(AS$12:AS$17))</f>
        <v>0</v>
      </c>
      <c r="AT25" s="35"/>
      <c r="AU25" s="35"/>
      <c r="AV25" s="5"/>
      <c r="AW25" s="5"/>
      <c r="AX25" s="5"/>
      <c r="AY25" s="5"/>
      <c r="AZ25" s="5"/>
      <c r="BA25" s="5"/>
      <c r="BB25" s="5"/>
      <c r="BC25" s="5"/>
      <c r="BD25" s="5"/>
    </row>
    <row r="26" spans="1:56" s="88" customFormat="1" ht="20.100000000000001" customHeight="1">
      <c r="A26" s="305" t="str">
        <f>底稿目录!A15</f>
        <v>特许经营权</v>
      </c>
      <c r="B26" s="305"/>
      <c r="C26" s="42" cm="1">
        <f t="array" ref="C26">SUMPRODUCT(($B$12:$B$17=$A26)*(C$12:C$17))</f>
        <v>0</v>
      </c>
      <c r="D26" s="42" cm="1">
        <f t="array" ref="D26">SUMPRODUCT(($B$12:$B$17=$A26)*(D$12:D$17))</f>
        <v>0</v>
      </c>
      <c r="E26" s="114"/>
      <c r="F26" s="42" cm="1">
        <f t="array" ref="F26">SUMPRODUCT(($B$12:$B$17=$A26)*(F$12:F$17))</f>
        <v>0</v>
      </c>
      <c r="G26" s="114"/>
      <c r="H26" s="42" cm="1">
        <f t="array" ref="H26">SUMPRODUCT(($B$12:$B$17=$A26)*(H$12:H$17))</f>
        <v>0</v>
      </c>
      <c r="I26" s="42" cm="1">
        <f t="array" ref="I26">SUMPRODUCT(($B$12:$B$17=$A26)*(I$12:I$17))</f>
        <v>0</v>
      </c>
      <c r="J26" s="42" cm="1">
        <f t="array" ref="J26">SUMPRODUCT(($B$12:$B$17=$A26)*(J$12:J$17))</f>
        <v>0</v>
      </c>
      <c r="K26" s="42" cm="1">
        <f t="array" ref="K26">SUMPRODUCT(($B$12:$B$17=$A26)*(K$12:K$17))</f>
        <v>0</v>
      </c>
      <c r="L26" s="42" cm="1">
        <f t="array" ref="L26">SUMPRODUCT(($B$12:$B$17=$A26)*(L$12:L$17))</f>
        <v>0</v>
      </c>
      <c r="M26" s="42" cm="1">
        <f t="array" ref="M26">SUMPRODUCT(($B$12:$B$17=$A26)*(M$12:M$17))</f>
        <v>0</v>
      </c>
      <c r="N26" s="42" cm="1">
        <f t="array" ref="N26">SUMPRODUCT(($B$12:$B$17=$A26)*(N$12:N$17))</f>
        <v>0</v>
      </c>
      <c r="O26" s="42" cm="1">
        <f t="array" ref="O26">SUMPRODUCT(($B$12:$B$17=$A26)*(O$12:O$17))</f>
        <v>0</v>
      </c>
      <c r="P26" s="42" cm="1">
        <f t="array" ref="P26">SUMPRODUCT(($B$12:$B$17=$A26)*(P$12:P$17))</f>
        <v>0</v>
      </c>
      <c r="Q26" s="42" cm="1">
        <f t="array" ref="Q26">SUMPRODUCT(($B$12:$B$17=$A26)*(Q$12:Q$17))</f>
        <v>0</v>
      </c>
      <c r="R26" s="42" cm="1">
        <f t="array" ref="R26">SUMPRODUCT(($B$12:$B$17=$A26)*(R$12:R$17))</f>
        <v>0</v>
      </c>
      <c r="S26" s="42" cm="1">
        <f t="array" ref="S26">SUMPRODUCT(($B$12:$B$17=$A26)*(S$12:S$17))</f>
        <v>0</v>
      </c>
      <c r="T26" s="42" cm="1">
        <f t="array" ref="T26">SUMPRODUCT(($B$12:$B$17=$A26)*(T$12:T$17))</f>
        <v>0</v>
      </c>
      <c r="U26" s="42" cm="1">
        <f t="array" ref="U26">SUMPRODUCT(($B$12:$B$17=$A26)*(U$12:U$17))</f>
        <v>0</v>
      </c>
      <c r="V26" s="42" cm="1">
        <f t="array" ref="V26">SUMPRODUCT(($B$12:$B$17=$A26)*(V$12:V$17))</f>
        <v>0</v>
      </c>
      <c r="W26" s="42" cm="1">
        <f t="array" ref="W26">SUMPRODUCT(($B$12:$B$17=$A26)*(W$12:W$17))</f>
        <v>0</v>
      </c>
      <c r="X26" s="42" cm="1">
        <f t="array" ref="X26">SUMPRODUCT(($B$12:$B$17=$A26)*(X$12:X$17))</f>
        <v>0</v>
      </c>
      <c r="Y26" s="42" cm="1">
        <f t="array" ref="Y26">SUMPRODUCT(($B$12:$B$17=$A26)*(Y$12:Y$17))</f>
        <v>0</v>
      </c>
      <c r="Z26" s="42" cm="1">
        <f t="array" ref="Z26">SUMPRODUCT(($B$12:$B$17=$A26)*(Z$12:Z$17))</f>
        <v>0</v>
      </c>
      <c r="AA26" s="42" cm="1">
        <f t="array" ref="AA26">SUMPRODUCT(($B$12:$B$17=$A26)*(AA$12:AA$17))</f>
        <v>0</v>
      </c>
      <c r="AB26" s="42" cm="1">
        <f t="array" ref="AB26">SUMPRODUCT(($B$12:$B$17=$A26)*(AB$12:AB$17))</f>
        <v>0</v>
      </c>
      <c r="AC26" s="42" cm="1">
        <f t="array" ref="AC26">SUMPRODUCT(($B$12:$B$17=$A26)*(AC$12:AC$17))</f>
        <v>0</v>
      </c>
      <c r="AD26" s="42" cm="1">
        <f t="array" ref="AD26">SUMPRODUCT(($B$12:$B$17=$A26)*(AD$12:AD$17))</f>
        <v>0</v>
      </c>
      <c r="AE26" s="42" cm="1">
        <f t="array" ref="AE26">SUMPRODUCT(($B$12:$B$17=$A26)*(AE$12:AE$17))</f>
        <v>0</v>
      </c>
      <c r="AF26" s="42" cm="1">
        <f t="array" ref="AF26">SUMPRODUCT(($B$12:$B$17=$A26)*(AF$12:AF$17))</f>
        <v>0</v>
      </c>
      <c r="AG26" s="42" cm="1">
        <f t="array" ref="AG26">SUMPRODUCT(($B$12:$B$17=$A26)*(AG$12:AG$17))</f>
        <v>0</v>
      </c>
      <c r="AH26" s="42" cm="1">
        <f t="array" ref="AH26">SUMPRODUCT(($B$12:$B$17=$A26)*(AH$12:AH$17))</f>
        <v>0</v>
      </c>
      <c r="AI26" s="42" cm="1">
        <f t="array" ref="AI26">SUMPRODUCT(($B$12:$B$17=$A26)*(AI$12:AI$17))</f>
        <v>0</v>
      </c>
      <c r="AJ26" s="42" cm="1">
        <f t="array" ref="AJ26">SUMPRODUCT(($B$12:$B$17=$A26)*(AJ$12:AJ$17))</f>
        <v>0</v>
      </c>
      <c r="AK26" s="42" cm="1">
        <f t="array" ref="AK26">SUMPRODUCT(($B$12:$B$17=$A26)*(AK$12:AK$17))</f>
        <v>0</v>
      </c>
      <c r="AL26" s="42" cm="1">
        <f t="array" ref="AL26">SUMPRODUCT(($B$12:$B$17=$A26)*(AL$12:AL$17))</f>
        <v>0</v>
      </c>
      <c r="AM26" s="42" cm="1">
        <f t="array" ref="AM26">SUMPRODUCT(($B$12:$B$17=$A26)*(AM$12:AM$17))</f>
        <v>0</v>
      </c>
      <c r="AN26" s="42" cm="1">
        <f t="array" ref="AN26">SUMPRODUCT(($B$12:$B$17=$A26)*(AN$12:AN$17))</f>
        <v>0</v>
      </c>
      <c r="AO26" s="42" cm="1">
        <f t="array" ref="AO26">SUMPRODUCT(($B$12:$B$17=$A26)*(AO$12:AO$17))</f>
        <v>0</v>
      </c>
      <c r="AP26" s="42" cm="1">
        <f t="array" ref="AP26">SUMPRODUCT(($B$12:$B$17=$A26)*(AP$12:AP$17))</f>
        <v>0</v>
      </c>
      <c r="AQ26" s="42" cm="1">
        <f t="array" ref="AQ26">SUMPRODUCT(($B$12:$B$17=$A26)*(AQ$12:AQ$17))</f>
        <v>0</v>
      </c>
      <c r="AR26" s="42" cm="1">
        <f t="array" ref="AR26">SUMPRODUCT(($B$12:$B$17=$A26)*(AR$12:AR$17))</f>
        <v>0</v>
      </c>
      <c r="AS26" s="42" cm="1">
        <f t="array" ref="AS26">SUMPRODUCT(($B$12:$B$17=$A26)*(AS$12:AS$17))</f>
        <v>0</v>
      </c>
      <c r="AT26" s="35"/>
      <c r="AU26" s="35"/>
      <c r="AV26" s="5"/>
      <c r="AW26" s="5"/>
      <c r="AX26" s="5"/>
      <c r="AY26" s="5"/>
      <c r="AZ26" s="5"/>
      <c r="BA26" s="5"/>
      <c r="BB26" s="5"/>
      <c r="BC26" s="5"/>
      <c r="BD26" s="5"/>
    </row>
    <row r="27" spans="1:56" s="88" customFormat="1" ht="20.100000000000001" customHeight="1">
      <c r="A27" s="305" t="str">
        <f>底稿目录!A16</f>
        <v>软件</v>
      </c>
      <c r="B27" s="305"/>
      <c r="C27" s="42" cm="1">
        <f t="array" ref="C27">SUMPRODUCT(($B$12:$B$17=$A27)*(C$12:C$17))</f>
        <v>0</v>
      </c>
      <c r="D27" s="42" cm="1">
        <f t="array" ref="D27">SUMPRODUCT(($B$12:$B$17=$A27)*(D$12:D$17))</f>
        <v>0</v>
      </c>
      <c r="E27" s="114"/>
      <c r="F27" s="42" cm="1">
        <f t="array" ref="F27">SUMPRODUCT(($B$12:$B$17=$A27)*(F$12:F$17))</f>
        <v>0</v>
      </c>
      <c r="G27" s="114"/>
      <c r="H27" s="42" cm="1">
        <f t="array" ref="H27">SUMPRODUCT(($B$12:$B$17=$A27)*(H$12:H$17))</f>
        <v>0</v>
      </c>
      <c r="I27" s="42" cm="1">
        <f t="array" ref="I27">SUMPRODUCT(($B$12:$B$17=$A27)*(I$12:I$17))</f>
        <v>0</v>
      </c>
      <c r="J27" s="42" cm="1">
        <f t="array" ref="J27">SUMPRODUCT(($B$12:$B$17=$A27)*(J$12:J$17))</f>
        <v>0</v>
      </c>
      <c r="K27" s="42" cm="1">
        <f t="array" ref="K27">SUMPRODUCT(($B$12:$B$17=$A27)*(K$12:K$17))</f>
        <v>0</v>
      </c>
      <c r="L27" s="42" cm="1">
        <f t="array" ref="L27">SUMPRODUCT(($B$12:$B$17=$A27)*(L$12:L$17))</f>
        <v>0</v>
      </c>
      <c r="M27" s="42" cm="1">
        <f t="array" ref="M27">SUMPRODUCT(($B$12:$B$17=$A27)*(M$12:M$17))</f>
        <v>0</v>
      </c>
      <c r="N27" s="42" cm="1">
        <f t="array" ref="N27">SUMPRODUCT(($B$12:$B$17=$A27)*(N$12:N$17))</f>
        <v>0</v>
      </c>
      <c r="O27" s="42" cm="1">
        <f t="array" ref="O27">SUMPRODUCT(($B$12:$B$17=$A27)*(O$12:O$17))</f>
        <v>0</v>
      </c>
      <c r="P27" s="42" cm="1">
        <f t="array" ref="P27">SUMPRODUCT(($B$12:$B$17=$A27)*(P$12:P$17))</f>
        <v>0</v>
      </c>
      <c r="Q27" s="42" cm="1">
        <f t="array" ref="Q27">SUMPRODUCT(($B$12:$B$17=$A27)*(Q$12:Q$17))</f>
        <v>0</v>
      </c>
      <c r="R27" s="42" cm="1">
        <f t="array" ref="R27">SUMPRODUCT(($B$12:$B$17=$A27)*(R$12:R$17))</f>
        <v>0</v>
      </c>
      <c r="S27" s="42" cm="1">
        <f t="array" ref="S27">SUMPRODUCT(($B$12:$B$17=$A27)*(S$12:S$17))</f>
        <v>0</v>
      </c>
      <c r="T27" s="42" cm="1">
        <f t="array" ref="T27">SUMPRODUCT(($B$12:$B$17=$A27)*(T$12:T$17))</f>
        <v>0</v>
      </c>
      <c r="U27" s="42" cm="1">
        <f t="array" ref="U27">SUMPRODUCT(($B$12:$B$17=$A27)*(U$12:U$17))</f>
        <v>0</v>
      </c>
      <c r="V27" s="42" cm="1">
        <f t="array" ref="V27">SUMPRODUCT(($B$12:$B$17=$A27)*(V$12:V$17))</f>
        <v>0</v>
      </c>
      <c r="W27" s="42" cm="1">
        <f t="array" ref="W27">SUMPRODUCT(($B$12:$B$17=$A27)*(W$12:W$17))</f>
        <v>0</v>
      </c>
      <c r="X27" s="42" cm="1">
        <f t="array" ref="X27">SUMPRODUCT(($B$12:$B$17=$A27)*(X$12:X$17))</f>
        <v>0</v>
      </c>
      <c r="Y27" s="42" cm="1">
        <f t="array" ref="Y27">SUMPRODUCT(($B$12:$B$17=$A27)*(Y$12:Y$17))</f>
        <v>0</v>
      </c>
      <c r="Z27" s="42" cm="1">
        <f t="array" ref="Z27">SUMPRODUCT(($B$12:$B$17=$A27)*(Z$12:Z$17))</f>
        <v>0</v>
      </c>
      <c r="AA27" s="42" cm="1">
        <f t="array" ref="AA27">SUMPRODUCT(($B$12:$B$17=$A27)*(AA$12:AA$17))</f>
        <v>0</v>
      </c>
      <c r="AB27" s="42" cm="1">
        <f t="array" ref="AB27">SUMPRODUCT(($B$12:$B$17=$A27)*(AB$12:AB$17))</f>
        <v>0</v>
      </c>
      <c r="AC27" s="42" cm="1">
        <f t="array" ref="AC27">SUMPRODUCT(($B$12:$B$17=$A27)*(AC$12:AC$17))</f>
        <v>0</v>
      </c>
      <c r="AD27" s="42" cm="1">
        <f t="array" ref="AD27">SUMPRODUCT(($B$12:$B$17=$A27)*(AD$12:AD$17))</f>
        <v>0</v>
      </c>
      <c r="AE27" s="42" cm="1">
        <f t="array" ref="AE27">SUMPRODUCT(($B$12:$B$17=$A27)*(AE$12:AE$17))</f>
        <v>0</v>
      </c>
      <c r="AF27" s="42" cm="1">
        <f t="array" ref="AF27">SUMPRODUCT(($B$12:$B$17=$A27)*(AF$12:AF$17))</f>
        <v>0</v>
      </c>
      <c r="AG27" s="42" cm="1">
        <f t="array" ref="AG27">SUMPRODUCT(($B$12:$B$17=$A27)*(AG$12:AG$17))</f>
        <v>0</v>
      </c>
      <c r="AH27" s="42" cm="1">
        <f t="array" ref="AH27">SUMPRODUCT(($B$12:$B$17=$A27)*(AH$12:AH$17))</f>
        <v>0</v>
      </c>
      <c r="AI27" s="42" cm="1">
        <f t="array" ref="AI27">SUMPRODUCT(($B$12:$B$17=$A27)*(AI$12:AI$17))</f>
        <v>0</v>
      </c>
      <c r="AJ27" s="42" cm="1">
        <f t="array" ref="AJ27">SUMPRODUCT(($B$12:$B$17=$A27)*(AJ$12:AJ$17))</f>
        <v>0</v>
      </c>
      <c r="AK27" s="42" cm="1">
        <f t="array" ref="AK27">SUMPRODUCT(($B$12:$B$17=$A27)*(AK$12:AK$17))</f>
        <v>0</v>
      </c>
      <c r="AL27" s="42" cm="1">
        <f t="array" ref="AL27">SUMPRODUCT(($B$12:$B$17=$A27)*(AL$12:AL$17))</f>
        <v>0</v>
      </c>
      <c r="AM27" s="42" cm="1">
        <f t="array" ref="AM27">SUMPRODUCT(($B$12:$B$17=$A27)*(AM$12:AM$17))</f>
        <v>0</v>
      </c>
      <c r="AN27" s="42" cm="1">
        <f t="array" ref="AN27">SUMPRODUCT(($B$12:$B$17=$A27)*(AN$12:AN$17))</f>
        <v>0</v>
      </c>
      <c r="AO27" s="42" cm="1">
        <f t="array" ref="AO27">SUMPRODUCT(($B$12:$B$17=$A27)*(AO$12:AO$17))</f>
        <v>0</v>
      </c>
      <c r="AP27" s="42" cm="1">
        <f t="array" ref="AP27">SUMPRODUCT(($B$12:$B$17=$A27)*(AP$12:AP$17))</f>
        <v>0</v>
      </c>
      <c r="AQ27" s="42" cm="1">
        <f t="array" ref="AQ27">SUMPRODUCT(($B$12:$B$17=$A27)*(AQ$12:AQ$17))</f>
        <v>0</v>
      </c>
      <c r="AR27" s="42" cm="1">
        <f t="array" ref="AR27">SUMPRODUCT(($B$12:$B$17=$A27)*(AR$12:AR$17))</f>
        <v>0</v>
      </c>
      <c r="AS27" s="42" cm="1">
        <f t="array" ref="AS27">SUMPRODUCT(($B$12:$B$17=$A27)*(AS$12:AS$17))</f>
        <v>0</v>
      </c>
      <c r="AT27" s="35"/>
      <c r="AU27" s="35"/>
      <c r="AV27" s="5"/>
      <c r="AW27" s="5"/>
      <c r="AX27" s="5"/>
      <c r="AY27" s="5"/>
      <c r="AZ27" s="5"/>
      <c r="BA27" s="5"/>
      <c r="BB27" s="5"/>
      <c r="BC27" s="5"/>
      <c r="BD27" s="5"/>
    </row>
    <row r="28" spans="1:56" s="88" customFormat="1" ht="20.100000000000001" customHeight="1">
      <c r="A28" s="305" t="str">
        <f>底稿目录!A17</f>
        <v>矿产权</v>
      </c>
      <c r="B28" s="305"/>
      <c r="C28" s="42" cm="1">
        <f t="array" ref="C28">SUMPRODUCT(($B$12:$B$17=$A28)*(C$12:C$17))</f>
        <v>0</v>
      </c>
      <c r="D28" s="42" cm="1">
        <f t="array" ref="D28">SUMPRODUCT(($B$12:$B$17=$A28)*(D$12:D$17))</f>
        <v>0</v>
      </c>
      <c r="E28" s="114"/>
      <c r="F28" s="42" cm="1">
        <f t="array" ref="F28">SUMPRODUCT(($B$12:$B$17=$A28)*(F$12:F$17))</f>
        <v>0</v>
      </c>
      <c r="G28" s="114"/>
      <c r="H28" s="42" cm="1">
        <f t="array" ref="H28">SUMPRODUCT(($B$12:$B$17=$A28)*(H$12:H$17))</f>
        <v>0</v>
      </c>
      <c r="I28" s="42" cm="1">
        <f t="array" ref="I28">SUMPRODUCT(($B$12:$B$17=$A28)*(I$12:I$17))</f>
        <v>0</v>
      </c>
      <c r="J28" s="42" cm="1">
        <f t="array" ref="J28">SUMPRODUCT(($B$12:$B$17=$A28)*(J$12:J$17))</f>
        <v>0</v>
      </c>
      <c r="K28" s="42" cm="1">
        <f t="array" ref="K28">SUMPRODUCT(($B$12:$B$17=$A28)*(K$12:K$17))</f>
        <v>0</v>
      </c>
      <c r="L28" s="42" cm="1">
        <f t="array" ref="L28">SUMPRODUCT(($B$12:$B$17=$A28)*(L$12:L$17))</f>
        <v>0</v>
      </c>
      <c r="M28" s="42" cm="1">
        <f t="array" ref="M28">SUMPRODUCT(($B$12:$B$17=$A28)*(M$12:M$17))</f>
        <v>0</v>
      </c>
      <c r="N28" s="42" cm="1">
        <f t="array" ref="N28">SUMPRODUCT(($B$12:$B$17=$A28)*(N$12:N$17))</f>
        <v>0</v>
      </c>
      <c r="O28" s="42" cm="1">
        <f t="array" ref="O28">SUMPRODUCT(($B$12:$B$17=$A28)*(O$12:O$17))</f>
        <v>0</v>
      </c>
      <c r="P28" s="42" cm="1">
        <f t="array" ref="P28">SUMPRODUCT(($B$12:$B$17=$A28)*(P$12:P$17))</f>
        <v>0</v>
      </c>
      <c r="Q28" s="42" cm="1">
        <f t="array" ref="Q28">SUMPRODUCT(($B$12:$B$17=$A28)*(Q$12:Q$17))</f>
        <v>0</v>
      </c>
      <c r="R28" s="42" cm="1">
        <f t="array" ref="R28">SUMPRODUCT(($B$12:$B$17=$A28)*(R$12:R$17))</f>
        <v>0</v>
      </c>
      <c r="S28" s="42" cm="1">
        <f t="array" ref="S28">SUMPRODUCT(($B$12:$B$17=$A28)*(S$12:S$17))</f>
        <v>0</v>
      </c>
      <c r="T28" s="42" cm="1">
        <f t="array" ref="T28">SUMPRODUCT(($B$12:$B$17=$A28)*(T$12:T$17))</f>
        <v>0</v>
      </c>
      <c r="U28" s="42" cm="1">
        <f t="array" ref="U28">SUMPRODUCT(($B$12:$B$17=$A28)*(U$12:U$17))</f>
        <v>0</v>
      </c>
      <c r="V28" s="42" cm="1">
        <f t="array" ref="V28">SUMPRODUCT(($B$12:$B$17=$A28)*(V$12:V$17))</f>
        <v>0</v>
      </c>
      <c r="W28" s="42" cm="1">
        <f t="array" ref="W28">SUMPRODUCT(($B$12:$B$17=$A28)*(W$12:W$17))</f>
        <v>0</v>
      </c>
      <c r="X28" s="42" cm="1">
        <f t="array" ref="X28">SUMPRODUCT(($B$12:$B$17=$A28)*(X$12:X$17))</f>
        <v>0</v>
      </c>
      <c r="Y28" s="42" cm="1">
        <f t="array" ref="Y28">SUMPRODUCT(($B$12:$B$17=$A28)*(Y$12:Y$17))</f>
        <v>0</v>
      </c>
      <c r="Z28" s="42" cm="1">
        <f t="array" ref="Z28">SUMPRODUCT(($B$12:$B$17=$A28)*(Z$12:Z$17))</f>
        <v>0</v>
      </c>
      <c r="AA28" s="42" cm="1">
        <f t="array" ref="AA28">SUMPRODUCT(($B$12:$B$17=$A28)*(AA$12:AA$17))</f>
        <v>0</v>
      </c>
      <c r="AB28" s="42" cm="1">
        <f t="array" ref="AB28">SUMPRODUCT(($B$12:$B$17=$A28)*(AB$12:AB$17))</f>
        <v>0</v>
      </c>
      <c r="AC28" s="42" cm="1">
        <f t="array" ref="AC28">SUMPRODUCT(($B$12:$B$17=$A28)*(AC$12:AC$17))</f>
        <v>0</v>
      </c>
      <c r="AD28" s="42" cm="1">
        <f t="array" ref="AD28">SUMPRODUCT(($B$12:$B$17=$A28)*(AD$12:AD$17))</f>
        <v>0</v>
      </c>
      <c r="AE28" s="42" cm="1">
        <f t="array" ref="AE28">SUMPRODUCT(($B$12:$B$17=$A28)*(AE$12:AE$17))</f>
        <v>0</v>
      </c>
      <c r="AF28" s="42" cm="1">
        <f t="array" ref="AF28">SUMPRODUCT(($B$12:$B$17=$A28)*(AF$12:AF$17))</f>
        <v>0</v>
      </c>
      <c r="AG28" s="42" cm="1">
        <f t="array" ref="AG28">SUMPRODUCT(($B$12:$B$17=$A28)*(AG$12:AG$17))</f>
        <v>0</v>
      </c>
      <c r="AH28" s="42" cm="1">
        <f t="array" ref="AH28">SUMPRODUCT(($B$12:$B$17=$A28)*(AH$12:AH$17))</f>
        <v>0</v>
      </c>
      <c r="AI28" s="42" cm="1">
        <f t="array" ref="AI28">SUMPRODUCT(($B$12:$B$17=$A28)*(AI$12:AI$17))</f>
        <v>0</v>
      </c>
      <c r="AJ28" s="42" cm="1">
        <f t="array" ref="AJ28">SUMPRODUCT(($B$12:$B$17=$A28)*(AJ$12:AJ$17))</f>
        <v>0</v>
      </c>
      <c r="AK28" s="42" cm="1">
        <f t="array" ref="AK28">SUMPRODUCT(($B$12:$B$17=$A28)*(AK$12:AK$17))</f>
        <v>0</v>
      </c>
      <c r="AL28" s="42" cm="1">
        <f t="array" ref="AL28">SUMPRODUCT(($B$12:$B$17=$A28)*(AL$12:AL$17))</f>
        <v>0</v>
      </c>
      <c r="AM28" s="42" cm="1">
        <f t="array" ref="AM28">SUMPRODUCT(($B$12:$B$17=$A28)*(AM$12:AM$17))</f>
        <v>0</v>
      </c>
      <c r="AN28" s="42" cm="1">
        <f t="array" ref="AN28">SUMPRODUCT(($B$12:$B$17=$A28)*(AN$12:AN$17))</f>
        <v>0</v>
      </c>
      <c r="AO28" s="42" cm="1">
        <f t="array" ref="AO28">SUMPRODUCT(($B$12:$B$17=$A28)*(AO$12:AO$17))</f>
        <v>0</v>
      </c>
      <c r="AP28" s="42" cm="1">
        <f t="array" ref="AP28">SUMPRODUCT(($B$12:$B$17=$A28)*(AP$12:AP$17))</f>
        <v>0</v>
      </c>
      <c r="AQ28" s="42" cm="1">
        <f t="array" ref="AQ28">SUMPRODUCT(($B$12:$B$17=$A28)*(AQ$12:AQ$17))</f>
        <v>0</v>
      </c>
      <c r="AR28" s="42" cm="1">
        <f t="array" ref="AR28">SUMPRODUCT(($B$12:$B$17=$A28)*(AR$12:AR$17))</f>
        <v>0</v>
      </c>
      <c r="AS28" s="42" cm="1">
        <f t="array" ref="AS28">SUMPRODUCT(($B$12:$B$17=$A28)*(AS$12:AS$17))</f>
        <v>0</v>
      </c>
      <c r="AT28" s="35"/>
      <c r="AU28" s="35"/>
      <c r="AV28" s="5"/>
      <c r="AW28" s="5"/>
      <c r="AX28" s="5"/>
      <c r="AY28" s="5"/>
      <c r="AZ28" s="5"/>
      <c r="BA28" s="5"/>
      <c r="BB28" s="5"/>
      <c r="BC28" s="5"/>
      <c r="BD28" s="5"/>
    </row>
    <row r="29" spans="1:56" s="88" customFormat="1" ht="20.100000000000001" customHeight="1">
      <c r="A29" s="305" t="s">
        <v>32</v>
      </c>
      <c r="B29" s="305"/>
      <c r="C29" s="42" cm="1">
        <f t="array" ref="C29">SUMPRODUCT(($B$12:$B$17=$A29)*(C$12:C$17))</f>
        <v>0</v>
      </c>
      <c r="D29" s="42" cm="1">
        <f t="array" ref="D29">SUMPRODUCT(($B$12:$B$17=$A29)*(D$12:D$17))</f>
        <v>0</v>
      </c>
      <c r="E29" s="114"/>
      <c r="F29" s="42" cm="1">
        <f t="array" ref="F29">SUMPRODUCT(($B$12:$B$17=$A29)*(F$12:F$17))</f>
        <v>0</v>
      </c>
      <c r="G29" s="114"/>
      <c r="H29" s="42" cm="1">
        <f t="array" ref="H29">SUMPRODUCT(($B$12:$B$17=$A29)*(H$12:H$17))</f>
        <v>0</v>
      </c>
      <c r="I29" s="42" cm="1">
        <f t="array" ref="I29">SUMPRODUCT(($B$12:$B$17=$A29)*(I$12:I$17))</f>
        <v>0</v>
      </c>
      <c r="J29" s="42" cm="1">
        <f t="array" ref="J29">SUMPRODUCT(($B$12:$B$17=$A29)*(J$12:J$17))</f>
        <v>0</v>
      </c>
      <c r="K29" s="42" cm="1">
        <f t="array" ref="K29">SUMPRODUCT(($B$12:$B$17=$A29)*(K$12:K$17))</f>
        <v>0</v>
      </c>
      <c r="L29" s="42" cm="1">
        <f t="array" ref="L29">SUMPRODUCT(($B$12:$B$17=$A29)*(L$12:L$17))</f>
        <v>0</v>
      </c>
      <c r="M29" s="42" cm="1">
        <f t="array" ref="M29">SUMPRODUCT(($B$12:$B$17=$A29)*(M$12:M$17))</f>
        <v>0</v>
      </c>
      <c r="N29" s="42" cm="1">
        <f t="array" ref="N29">SUMPRODUCT(($B$12:$B$17=$A29)*(N$12:N$17))</f>
        <v>0</v>
      </c>
      <c r="O29" s="42" cm="1">
        <f t="array" ref="O29">SUMPRODUCT(($B$12:$B$17=$A29)*(O$12:O$17))</f>
        <v>0</v>
      </c>
      <c r="P29" s="42" cm="1">
        <f t="array" ref="P29">SUMPRODUCT(($B$12:$B$17=$A29)*(P$12:P$17))</f>
        <v>0</v>
      </c>
      <c r="Q29" s="42" cm="1">
        <f t="array" ref="Q29">SUMPRODUCT(($B$12:$B$17=$A29)*(Q$12:Q$17))</f>
        <v>0</v>
      </c>
      <c r="R29" s="42" cm="1">
        <f t="array" ref="R29">SUMPRODUCT(($B$12:$B$17=$A29)*(R$12:R$17))</f>
        <v>0</v>
      </c>
      <c r="S29" s="42" cm="1">
        <f t="array" ref="S29">SUMPRODUCT(($B$12:$B$17=$A29)*(S$12:S$17))</f>
        <v>0</v>
      </c>
      <c r="T29" s="42" cm="1">
        <f t="array" ref="T29">SUMPRODUCT(($B$12:$B$17=$A29)*(T$12:T$17))</f>
        <v>0</v>
      </c>
      <c r="U29" s="42" cm="1">
        <f t="array" ref="U29">SUMPRODUCT(($B$12:$B$17=$A29)*(U$12:U$17))</f>
        <v>0</v>
      </c>
      <c r="V29" s="42" cm="1">
        <f t="array" ref="V29">SUMPRODUCT(($B$12:$B$17=$A29)*(V$12:V$17))</f>
        <v>0</v>
      </c>
      <c r="W29" s="42" cm="1">
        <f t="array" ref="W29">SUMPRODUCT(($B$12:$B$17=$A29)*(W$12:W$17))</f>
        <v>0</v>
      </c>
      <c r="X29" s="42" cm="1">
        <f t="array" ref="X29">SUMPRODUCT(($B$12:$B$17=$A29)*(X$12:X$17))</f>
        <v>0</v>
      </c>
      <c r="Y29" s="42" cm="1">
        <f t="array" ref="Y29">SUMPRODUCT(($B$12:$B$17=$A29)*(Y$12:Y$17))</f>
        <v>0</v>
      </c>
      <c r="Z29" s="42" cm="1">
        <f t="array" ref="Z29">SUMPRODUCT(($B$12:$B$17=$A29)*(Z$12:Z$17))</f>
        <v>0</v>
      </c>
      <c r="AA29" s="42" cm="1">
        <f t="array" ref="AA29">SUMPRODUCT(($B$12:$B$17=$A29)*(AA$12:AA$17))</f>
        <v>0</v>
      </c>
      <c r="AB29" s="42" cm="1">
        <f t="array" ref="AB29">SUMPRODUCT(($B$12:$B$17=$A29)*(AB$12:AB$17))</f>
        <v>0</v>
      </c>
      <c r="AC29" s="42" cm="1">
        <f t="array" ref="AC29">SUMPRODUCT(($B$12:$B$17=$A29)*(AC$12:AC$17))</f>
        <v>0</v>
      </c>
      <c r="AD29" s="42" cm="1">
        <f t="array" ref="AD29">SUMPRODUCT(($B$12:$B$17=$A29)*(AD$12:AD$17))</f>
        <v>0</v>
      </c>
      <c r="AE29" s="42" cm="1">
        <f t="array" ref="AE29">SUMPRODUCT(($B$12:$B$17=$A29)*(AE$12:AE$17))</f>
        <v>0</v>
      </c>
      <c r="AF29" s="42" cm="1">
        <f t="array" ref="AF29">SUMPRODUCT(($B$12:$B$17=$A29)*(AF$12:AF$17))</f>
        <v>0</v>
      </c>
      <c r="AG29" s="42" cm="1">
        <f t="array" ref="AG29">SUMPRODUCT(($B$12:$B$17=$A29)*(AG$12:AG$17))</f>
        <v>0</v>
      </c>
      <c r="AH29" s="42" cm="1">
        <f t="array" ref="AH29">SUMPRODUCT(($B$12:$B$17=$A29)*(AH$12:AH$17))</f>
        <v>0</v>
      </c>
      <c r="AI29" s="42" cm="1">
        <f t="array" ref="AI29">SUMPRODUCT(($B$12:$B$17=$A29)*(AI$12:AI$17))</f>
        <v>0</v>
      </c>
      <c r="AJ29" s="42" cm="1">
        <f t="array" ref="AJ29">SUMPRODUCT(($B$12:$B$17=$A29)*(AJ$12:AJ$17))</f>
        <v>0</v>
      </c>
      <c r="AK29" s="42" cm="1">
        <f t="array" ref="AK29">SUMPRODUCT(($B$12:$B$17=$A29)*(AK$12:AK$17))</f>
        <v>0</v>
      </c>
      <c r="AL29" s="42" cm="1">
        <f t="array" ref="AL29">SUMPRODUCT(($B$12:$B$17=$A29)*(AL$12:AL$17))</f>
        <v>0</v>
      </c>
      <c r="AM29" s="42" cm="1">
        <f t="array" ref="AM29">SUMPRODUCT(($B$12:$B$17=$A29)*(AM$12:AM$17))</f>
        <v>0</v>
      </c>
      <c r="AN29" s="42" cm="1">
        <f t="array" ref="AN29">SUMPRODUCT(($B$12:$B$17=$A29)*(AN$12:AN$17))</f>
        <v>0</v>
      </c>
      <c r="AO29" s="42" cm="1">
        <f t="array" ref="AO29">SUMPRODUCT(($B$12:$B$17=$A29)*(AO$12:AO$17))</f>
        <v>0</v>
      </c>
      <c r="AP29" s="42" cm="1">
        <f t="array" ref="AP29">SUMPRODUCT(($B$12:$B$17=$A29)*(AP$12:AP$17))</f>
        <v>0</v>
      </c>
      <c r="AQ29" s="42" cm="1">
        <f t="array" ref="AQ29">SUMPRODUCT(($B$12:$B$17=$A29)*(AQ$12:AQ$17))</f>
        <v>0</v>
      </c>
      <c r="AR29" s="42" cm="1">
        <f t="array" ref="AR29">SUMPRODUCT(($B$12:$B$17=$A29)*(AR$12:AR$17))</f>
        <v>0</v>
      </c>
      <c r="AS29" s="42" cm="1">
        <f t="array" ref="AS29">SUMPRODUCT(($B$12:$B$17=$A29)*(AS$12:AS$17))</f>
        <v>0</v>
      </c>
      <c r="AT29" s="35"/>
      <c r="AU29" s="35"/>
      <c r="AV29" s="5"/>
      <c r="AW29" s="5"/>
      <c r="AX29" s="5"/>
      <c r="AY29" s="5"/>
      <c r="AZ29" s="5"/>
      <c r="BA29" s="5"/>
      <c r="BB29" s="5"/>
      <c r="BC29" s="5"/>
      <c r="BD29" s="5"/>
    </row>
    <row r="30" spans="1:56" s="88" customFormat="1" ht="20.100000000000001" customHeight="1">
      <c r="A30" s="305" t="str">
        <f>底稿目录!A19</f>
        <v>其他</v>
      </c>
      <c r="B30" s="305"/>
      <c r="C30" s="42" cm="1">
        <f t="array" ref="C30">SUMPRODUCT(($B$12:$B$17=$A30)*(C$12:C$17))</f>
        <v>0</v>
      </c>
      <c r="D30" s="42" cm="1">
        <f t="array" ref="D30">SUMPRODUCT(($B$12:$B$17=$A30)*(D$12:D$17))</f>
        <v>0</v>
      </c>
      <c r="E30" s="114"/>
      <c r="F30" s="42" cm="1">
        <f t="array" ref="F30">SUMPRODUCT(($B$12:$B$17=$A30)*(F$12:F$17))</f>
        <v>0</v>
      </c>
      <c r="G30" s="114"/>
      <c r="H30" s="42" cm="1">
        <f t="array" ref="H30">SUMPRODUCT(($B$12:$B$17=$A30)*(H$12:H$17))</f>
        <v>0</v>
      </c>
      <c r="I30" s="42" cm="1">
        <f t="array" ref="I30">SUMPRODUCT(($B$12:$B$17=$A30)*(I$12:I$17))</f>
        <v>0</v>
      </c>
      <c r="J30" s="42" cm="1">
        <f t="array" ref="J30">SUMPRODUCT(($B$12:$B$17=$A30)*(J$12:J$17))</f>
        <v>0</v>
      </c>
      <c r="K30" s="42" cm="1">
        <f t="array" ref="K30">SUMPRODUCT(($B$12:$B$17=$A30)*(K$12:K$17))</f>
        <v>0</v>
      </c>
      <c r="L30" s="42" cm="1">
        <f t="array" ref="L30">SUMPRODUCT(($B$12:$B$17=$A30)*(L$12:L$17))</f>
        <v>0</v>
      </c>
      <c r="M30" s="42" cm="1">
        <f t="array" ref="M30">SUMPRODUCT(($B$12:$B$17=$A30)*(M$12:M$17))</f>
        <v>0</v>
      </c>
      <c r="N30" s="42" cm="1">
        <f t="array" ref="N30">SUMPRODUCT(($B$12:$B$17=$A30)*(N$12:N$17))</f>
        <v>0</v>
      </c>
      <c r="O30" s="42" cm="1">
        <f t="array" ref="O30">SUMPRODUCT(($B$12:$B$17=$A30)*(O$12:O$17))</f>
        <v>0</v>
      </c>
      <c r="P30" s="42" cm="1">
        <f t="array" ref="P30">SUMPRODUCT(($B$12:$B$17=$A30)*(P$12:P$17))</f>
        <v>0</v>
      </c>
      <c r="Q30" s="42" cm="1">
        <f t="array" ref="Q30">SUMPRODUCT(($B$12:$B$17=$A30)*(Q$12:Q$17))</f>
        <v>0</v>
      </c>
      <c r="R30" s="42" cm="1">
        <f t="array" ref="R30">SUMPRODUCT(($B$12:$B$17=$A30)*(R$12:R$17))</f>
        <v>0</v>
      </c>
      <c r="S30" s="42" cm="1">
        <f t="array" ref="S30">SUMPRODUCT(($B$12:$B$17=$A30)*(S$12:S$17))</f>
        <v>0</v>
      </c>
      <c r="T30" s="42" cm="1">
        <f t="array" ref="T30">SUMPRODUCT(($B$12:$B$17=$A30)*(T$12:T$17))</f>
        <v>0</v>
      </c>
      <c r="U30" s="42" cm="1">
        <f t="array" ref="U30">SUMPRODUCT(($B$12:$B$17=$A30)*(U$12:U$17))</f>
        <v>0</v>
      </c>
      <c r="V30" s="42" cm="1">
        <f t="array" ref="V30">SUMPRODUCT(($B$12:$B$17=$A30)*(V$12:V$17))</f>
        <v>0</v>
      </c>
      <c r="W30" s="42" cm="1">
        <f t="array" ref="W30">SUMPRODUCT(($B$12:$B$17=$A30)*(W$12:W$17))</f>
        <v>0</v>
      </c>
      <c r="X30" s="42" cm="1">
        <f t="array" ref="X30">SUMPRODUCT(($B$12:$B$17=$A30)*(X$12:X$17))</f>
        <v>0</v>
      </c>
      <c r="Y30" s="42" cm="1">
        <f t="array" ref="Y30">SUMPRODUCT(($B$12:$B$17=$A30)*(Y$12:Y$17))</f>
        <v>0</v>
      </c>
      <c r="Z30" s="42" cm="1">
        <f t="array" ref="Z30">SUMPRODUCT(($B$12:$B$17=$A30)*(Z$12:Z$17))</f>
        <v>0</v>
      </c>
      <c r="AA30" s="42" cm="1">
        <f t="array" ref="AA30">SUMPRODUCT(($B$12:$B$17=$A30)*(AA$12:AA$17))</f>
        <v>0</v>
      </c>
      <c r="AB30" s="42" cm="1">
        <f t="array" ref="AB30">SUMPRODUCT(($B$12:$B$17=$A30)*(AB$12:AB$17))</f>
        <v>0</v>
      </c>
      <c r="AC30" s="42" cm="1">
        <f t="array" ref="AC30">SUMPRODUCT(($B$12:$B$17=$A30)*(AC$12:AC$17))</f>
        <v>0</v>
      </c>
      <c r="AD30" s="42" cm="1">
        <f t="array" ref="AD30">SUMPRODUCT(($B$12:$B$17=$A30)*(AD$12:AD$17))</f>
        <v>0</v>
      </c>
      <c r="AE30" s="42" cm="1">
        <f t="array" ref="AE30">SUMPRODUCT(($B$12:$B$17=$A30)*(AE$12:AE$17))</f>
        <v>0</v>
      </c>
      <c r="AF30" s="42" cm="1">
        <f t="array" ref="AF30">SUMPRODUCT(($B$12:$B$17=$A30)*(AF$12:AF$17))</f>
        <v>0</v>
      </c>
      <c r="AG30" s="42" cm="1">
        <f t="array" ref="AG30">SUMPRODUCT(($B$12:$B$17=$A30)*(AG$12:AG$17))</f>
        <v>0</v>
      </c>
      <c r="AH30" s="42" cm="1">
        <f t="array" ref="AH30">SUMPRODUCT(($B$12:$B$17=$A30)*(AH$12:AH$17))</f>
        <v>0</v>
      </c>
      <c r="AI30" s="42" cm="1">
        <f t="array" ref="AI30">SUMPRODUCT(($B$12:$B$17=$A30)*(AI$12:AI$17))</f>
        <v>0</v>
      </c>
      <c r="AJ30" s="42" cm="1">
        <f t="array" ref="AJ30">SUMPRODUCT(($B$12:$B$17=$A30)*(AJ$12:AJ$17))</f>
        <v>0</v>
      </c>
      <c r="AK30" s="42" cm="1">
        <f t="array" ref="AK30">SUMPRODUCT(($B$12:$B$17=$A30)*(AK$12:AK$17))</f>
        <v>0</v>
      </c>
      <c r="AL30" s="42" cm="1">
        <f t="array" ref="AL30">SUMPRODUCT(($B$12:$B$17=$A30)*(AL$12:AL$17))</f>
        <v>0</v>
      </c>
      <c r="AM30" s="42" cm="1">
        <f t="array" ref="AM30">SUMPRODUCT(($B$12:$B$17=$A30)*(AM$12:AM$17))</f>
        <v>0</v>
      </c>
      <c r="AN30" s="42" cm="1">
        <f t="array" ref="AN30">SUMPRODUCT(($B$12:$B$17=$A30)*(AN$12:AN$17))</f>
        <v>0</v>
      </c>
      <c r="AO30" s="42" cm="1">
        <f t="array" ref="AO30">SUMPRODUCT(($B$12:$B$17=$A30)*(AO$12:AO$17))</f>
        <v>0</v>
      </c>
      <c r="AP30" s="42" cm="1">
        <f t="array" ref="AP30">SUMPRODUCT(($B$12:$B$17=$A30)*(AP$12:AP$17))</f>
        <v>0</v>
      </c>
      <c r="AQ30" s="42" cm="1">
        <f t="array" ref="AQ30">SUMPRODUCT(($B$12:$B$17=$A30)*(AQ$12:AQ$17))</f>
        <v>0</v>
      </c>
      <c r="AR30" s="42" cm="1">
        <f t="array" ref="AR30">SUMPRODUCT(($B$12:$B$17=$A30)*(AR$12:AR$17))</f>
        <v>0</v>
      </c>
      <c r="AS30" s="42" cm="1">
        <f t="array" ref="AS30">SUMPRODUCT(($B$12:$B$17=$A30)*(AS$12:AS$17))</f>
        <v>0</v>
      </c>
      <c r="AT30" s="35"/>
      <c r="AU30" s="35"/>
      <c r="AV30" s="5"/>
      <c r="AW30" s="5"/>
      <c r="AX30" s="5"/>
      <c r="AY30" s="5"/>
      <c r="AZ30" s="5"/>
      <c r="BA30" s="5"/>
      <c r="BB30" s="5"/>
      <c r="BC30" s="5"/>
      <c r="BD30" s="5"/>
    </row>
    <row r="31" spans="1:56" s="1" customFormat="1" ht="20.100000000000001" customHeight="1">
      <c r="A31" s="24" t="s">
        <v>227</v>
      </c>
      <c r="B31" s="24"/>
      <c r="AV31" s="5"/>
      <c r="AW31" s="5"/>
      <c r="AX31" s="5"/>
      <c r="AY31" s="5"/>
      <c r="AZ31" s="5"/>
      <c r="BA31" s="5"/>
      <c r="BB31" s="5"/>
      <c r="BC31" s="5"/>
      <c r="BD31" s="5"/>
    </row>
    <row r="32" spans="1:56" ht="20.100000000000001" customHeight="1">
      <c r="A32" s="3"/>
      <c r="B32" s="3"/>
      <c r="AV32" s="5"/>
      <c r="AW32" s="5"/>
      <c r="AX32" s="5"/>
      <c r="AY32" s="5"/>
      <c r="AZ32" s="5"/>
      <c r="BA32" s="5"/>
      <c r="BB32" s="5"/>
      <c r="BC32" s="5"/>
      <c r="BD32" s="5"/>
    </row>
    <row r="33" spans="1:56" ht="20.100000000000001" customHeight="1">
      <c r="A33" s="24" t="s">
        <v>228</v>
      </c>
      <c r="B33" s="24"/>
      <c r="AV33" s="5"/>
      <c r="AW33" s="5"/>
      <c r="AX33" s="5"/>
      <c r="AY33" s="5"/>
      <c r="AZ33" s="5"/>
      <c r="BA33" s="5"/>
      <c r="BB33" s="5"/>
      <c r="BC33" s="5"/>
      <c r="BD33" s="5"/>
    </row>
    <row r="34" spans="1:56" ht="20.100000000000001" customHeight="1">
      <c r="A34" s="3"/>
      <c r="B34" s="3"/>
      <c r="AV34" s="5"/>
      <c r="AW34" s="5"/>
      <c r="AX34" s="5"/>
      <c r="AY34" s="5"/>
      <c r="AZ34" s="5"/>
      <c r="BA34" s="5"/>
      <c r="BB34" s="5"/>
      <c r="BC34" s="5"/>
      <c r="BD34" s="5"/>
    </row>
    <row r="38" spans="1:56" ht="18" customHeight="1">
      <c r="A38" s="7" t="s">
        <v>229</v>
      </c>
    </row>
    <row r="39" spans="1:56" ht="18" customHeight="1">
      <c r="A39" s="7" t="s">
        <v>230</v>
      </c>
    </row>
    <row r="40" spans="1:56" ht="18" customHeight="1">
      <c r="A40" s="7" t="s">
        <v>231</v>
      </c>
    </row>
    <row r="41" spans="1:56" ht="18" customHeight="1">
      <c r="A41" s="7" t="s">
        <v>232</v>
      </c>
    </row>
  </sheetData>
  <mergeCells count="72">
    <mergeCell ref="AR10:AR11"/>
    <mergeCell ref="AS10:AS11"/>
    <mergeCell ref="AT8:AT11"/>
    <mergeCell ref="AU8:AU11"/>
    <mergeCell ref="AP8:AQ9"/>
    <mergeCell ref="AR8:AS9"/>
    <mergeCell ref="AM10:AM11"/>
    <mergeCell ref="AN10:AN11"/>
    <mergeCell ref="AO10:AO11"/>
    <mergeCell ref="AP10:AP11"/>
    <mergeCell ref="AQ10:AQ11"/>
    <mergeCell ref="AH10:AH11"/>
    <mergeCell ref="AI10:AI11"/>
    <mergeCell ref="AJ10:AJ11"/>
    <mergeCell ref="AK10:AK11"/>
    <mergeCell ref="AL10:AL11"/>
    <mergeCell ref="A29:B29"/>
    <mergeCell ref="A30:B30"/>
    <mergeCell ref="A8:A11"/>
    <mergeCell ref="B8:B11"/>
    <mergeCell ref="C10:C11"/>
    <mergeCell ref="A24:B24"/>
    <mergeCell ref="A25:B25"/>
    <mergeCell ref="A26:B26"/>
    <mergeCell ref="A27:B27"/>
    <mergeCell ref="A28:B28"/>
    <mergeCell ref="C8:O8"/>
    <mergeCell ref="D10:E10"/>
    <mergeCell ref="F10:G10"/>
    <mergeCell ref="AF10:AG10"/>
    <mergeCell ref="A20:B20"/>
    <mergeCell ref="A21:B21"/>
    <mergeCell ref="A22:B22"/>
    <mergeCell ref="A23:B23"/>
    <mergeCell ref="H10:H11"/>
    <mergeCell ref="I10:I11"/>
    <mergeCell ref="J10:J11"/>
    <mergeCell ref="K10:K11"/>
    <mergeCell ref="L10:L11"/>
    <mergeCell ref="M10:M11"/>
    <mergeCell ref="N10:N11"/>
    <mergeCell ref="O10:O11"/>
    <mergeCell ref="P10:P11"/>
    <mergeCell ref="U10:U11"/>
    <mergeCell ref="V10:V11"/>
    <mergeCell ref="Q10:R10"/>
    <mergeCell ref="S10:T10"/>
    <mergeCell ref="AD10:AE10"/>
    <mergeCell ref="W10:W11"/>
    <mergeCell ref="X10:X11"/>
    <mergeCell ref="Y10:Y11"/>
    <mergeCell ref="Z10:Z11"/>
    <mergeCell ref="AA10:AA11"/>
    <mergeCell ref="AB10:AB11"/>
    <mergeCell ref="AC10:AC11"/>
    <mergeCell ref="P8:AB8"/>
    <mergeCell ref="AC8:AO8"/>
    <mergeCell ref="C9:H9"/>
    <mergeCell ref="J9:K9"/>
    <mergeCell ref="L9:O9"/>
    <mergeCell ref="P9:U9"/>
    <mergeCell ref="W9:X9"/>
    <mergeCell ref="Y9:AB9"/>
    <mergeCell ref="AC9:AH9"/>
    <mergeCell ref="AJ9:AK9"/>
    <mergeCell ref="AL9:AO9"/>
    <mergeCell ref="P1:AB1"/>
    <mergeCell ref="AC1:AU1"/>
    <mergeCell ref="P2:AB2"/>
    <mergeCell ref="AC2:AU2"/>
    <mergeCell ref="A1:O1"/>
    <mergeCell ref="A2:O2"/>
  </mergeCells>
  <phoneticPr fontId="75" type="noConversion"/>
  <dataValidations count="4">
    <dataValidation type="list" allowBlank="1" showInputMessage="1" showErrorMessage="1" prompt="如要修改下列框的选项，单击“数据-数据有效性-设置-序列-来源”。_x000a_" sqref="G12 G16">
      <formula1>"处置,其他减少"</formula1>
    </dataValidation>
    <dataValidation type="list" allowBlank="1" showInputMessage="1" showErrorMessage="1" sqref="G17 G13:G15">
      <formula1>"处置,其他减少"</formula1>
    </dataValidation>
    <dataValidation type="list" allowBlank="1" showInputMessage="1" showErrorMessage="1" prompt="如要修改下列框的选项，单击“数据-数据有效性-设置-序列-来源”。" sqref="E12:E17">
      <formula1>"购置,内部研发,企业合并增加,其他增加"</formula1>
    </dataValidation>
    <dataValidation type="list" allowBlank="1" showInputMessage="1" showErrorMessage="1" sqref="AT12:AU30">
      <formula1>"√,X"</formula1>
    </dataValidation>
  </dataValidations>
  <hyperlinks>
    <hyperlink ref="O3" location="底稿目录!A1" display="I1-2"/>
    <hyperlink ref="AU3" location="底稿目录!A1" display="I1-2"/>
  </hyperlinks>
  <printOptions horizontalCentered="1"/>
  <pageMargins left="0.39370078740157483" right="0.19685039370078741" top="0.78740157480314965" bottom="0.39370078740157483" header="0.51181102362204722" footer="0.31496062992125984"/>
  <pageSetup paperSize="9" scale="63" fitToHeight="4" orientation="landscape" blackAndWhite="1" r:id="rId1"/>
  <headerFooter>
    <oddFooter>&amp;C&amp;P/&amp;N</oddFooter>
  </headerFooter>
  <colBreaks count="3" manualBreakCount="3">
    <brk id="15" max="75" man="1"/>
    <brk id="28" max="75" man="1"/>
    <brk id="47" max="75" man="1"/>
  </colBreaks>
  <extLst>
    <ext xmlns:x14="http://schemas.microsoft.com/office/spreadsheetml/2009/9/main" uri="{CCE6A557-97BC-4b89-ADB6-D9C93CAAB3DF}">
      <x14:dataValidations xmlns:xm="http://schemas.microsoft.com/office/excel/2006/main" count="1">
        <x14:dataValidation type="list" allowBlank="1" showInputMessage="1" showErrorMessage="1">
          <x14:formula1>
            <xm:f>底稿目录!$A$9:$A$20</xm:f>
          </x14:formula1>
          <xm:sqref>B12:B17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J21"/>
  <sheetViews>
    <sheetView view="pageBreakPreview" zoomScaleNormal="100" workbookViewId="0">
      <selection sqref="A1:J1"/>
    </sheetView>
  </sheetViews>
  <sheetFormatPr defaultColWidth="8.88671875" defaultRowHeight="19.95" customHeight="1"/>
  <cols>
    <col min="1" max="1" width="23" style="104" customWidth="1"/>
    <col min="2" max="2" width="17.5546875" style="104" customWidth="1"/>
    <col min="3" max="3" width="12.6640625" style="104" customWidth="1"/>
    <col min="4" max="4" width="11.77734375" style="104" customWidth="1"/>
    <col min="5" max="5" width="11.88671875" style="104" customWidth="1"/>
    <col min="6" max="6" width="8.88671875" style="104"/>
    <col min="7" max="7" width="10.77734375" style="104" customWidth="1"/>
    <col min="8" max="8" width="11.5546875" style="104" customWidth="1"/>
    <col min="9" max="9" width="8.88671875" style="104"/>
    <col min="10" max="10" width="12.88671875" style="104" customWidth="1"/>
    <col min="11" max="16384" width="8.88671875" style="104"/>
  </cols>
  <sheetData>
    <row r="1" spans="1:10" ht="19.95" customHeight="1">
      <c r="A1" s="310" t="s">
        <v>86</v>
      </c>
      <c r="B1" s="310"/>
      <c r="C1" s="310"/>
      <c r="D1" s="310"/>
      <c r="E1" s="310"/>
      <c r="F1" s="310"/>
      <c r="G1" s="310"/>
      <c r="H1" s="310"/>
      <c r="I1" s="310"/>
      <c r="J1" s="310"/>
    </row>
    <row r="2" spans="1:10" ht="19.95" customHeight="1">
      <c r="A2" s="311" t="s">
        <v>233</v>
      </c>
      <c r="B2" s="311"/>
      <c r="C2" s="311"/>
      <c r="D2" s="311"/>
      <c r="E2" s="311"/>
      <c r="F2" s="311"/>
      <c r="G2" s="311"/>
      <c r="H2" s="311"/>
      <c r="I2" s="311"/>
      <c r="J2" s="311"/>
    </row>
    <row r="3" spans="1:10" ht="19.95" customHeight="1">
      <c r="A3" s="7" t="str">
        <f>底稿目录!A2</f>
        <v>被审计单位：</v>
      </c>
      <c r="C3" s="7" t="str">
        <f>底稿目录!A4</f>
        <v>编制人：</v>
      </c>
      <c r="F3" s="7" t="str">
        <f>底稿目录!A5</f>
        <v>编制日期：</v>
      </c>
      <c r="G3" s="105"/>
      <c r="H3" s="105"/>
      <c r="I3" s="7" t="s">
        <v>88</v>
      </c>
      <c r="J3" s="267" t="s">
        <v>572</v>
      </c>
    </row>
    <row r="4" spans="1:10" ht="19.95" customHeight="1">
      <c r="A4" s="7" t="str">
        <f>底稿目录!A3</f>
        <v>截止日：202X年12月31日</v>
      </c>
      <c r="C4" s="7" t="str">
        <f>底稿目录!A6</f>
        <v>复核人：</v>
      </c>
      <c r="F4" s="7" t="str">
        <f>底稿目录!A7</f>
        <v>复核日期：</v>
      </c>
      <c r="G4" s="105"/>
      <c r="H4" s="105"/>
      <c r="I4" s="7" t="s">
        <v>136</v>
      </c>
      <c r="J4" s="26"/>
    </row>
    <row r="5" spans="1:10" s="103" customFormat="1" ht="24">
      <c r="A5" s="106" t="s">
        <v>234</v>
      </c>
      <c r="B5" s="106" t="s">
        <v>235</v>
      </c>
      <c r="C5" s="106" t="s">
        <v>236</v>
      </c>
      <c r="D5" s="107" t="s">
        <v>237</v>
      </c>
      <c r="E5" s="107" t="s">
        <v>238</v>
      </c>
      <c r="F5" s="108" t="s">
        <v>36</v>
      </c>
      <c r="G5" s="107" t="s">
        <v>239</v>
      </c>
      <c r="H5" s="107" t="s">
        <v>240</v>
      </c>
      <c r="I5" s="107" t="s">
        <v>241</v>
      </c>
      <c r="J5" s="107" t="s">
        <v>242</v>
      </c>
    </row>
    <row r="6" spans="1:10" ht="19.95" customHeight="1">
      <c r="A6" s="109"/>
      <c r="B6" s="109"/>
      <c r="C6" s="109"/>
      <c r="D6" s="109"/>
      <c r="E6" s="109"/>
      <c r="F6" s="109"/>
      <c r="G6" s="109"/>
      <c r="H6" s="109"/>
      <c r="I6" s="109"/>
      <c r="J6" s="109"/>
    </row>
    <row r="7" spans="1:10" ht="19.95" customHeight="1">
      <c r="A7" s="110"/>
      <c r="B7" s="109"/>
      <c r="C7" s="109"/>
      <c r="D7" s="109"/>
      <c r="E7" s="109"/>
      <c r="F7" s="109"/>
      <c r="G7" s="109"/>
      <c r="H7" s="109"/>
      <c r="I7" s="109"/>
      <c r="J7" s="109"/>
    </row>
    <row r="8" spans="1:10" ht="19.95" customHeight="1">
      <c r="A8" s="111"/>
      <c r="B8" s="109"/>
      <c r="C8" s="109"/>
      <c r="D8" s="109"/>
      <c r="E8" s="109"/>
      <c r="F8" s="109"/>
      <c r="G8" s="109"/>
      <c r="H8" s="109"/>
      <c r="I8" s="109"/>
      <c r="J8" s="109"/>
    </row>
    <row r="9" spans="1:10" ht="19.95" customHeight="1">
      <c r="A9" s="111"/>
      <c r="B9" s="109"/>
      <c r="C9" s="109"/>
      <c r="D9" s="109"/>
      <c r="E9" s="109"/>
      <c r="F9" s="109"/>
      <c r="G9" s="109"/>
      <c r="H9" s="109"/>
      <c r="I9" s="109"/>
      <c r="J9" s="109"/>
    </row>
    <row r="10" spans="1:10" ht="19.95" customHeight="1">
      <c r="A10" s="111"/>
      <c r="B10" s="109"/>
      <c r="C10" s="109"/>
      <c r="D10" s="109"/>
      <c r="E10" s="109"/>
      <c r="F10" s="109"/>
      <c r="G10" s="109"/>
      <c r="H10" s="109"/>
      <c r="I10" s="109"/>
      <c r="J10" s="109"/>
    </row>
    <row r="11" spans="1:10" ht="19.95" customHeight="1">
      <c r="A11" s="112"/>
      <c r="B11" s="109"/>
      <c r="C11" s="109"/>
      <c r="D11" s="109"/>
      <c r="E11" s="109"/>
      <c r="F11" s="109"/>
      <c r="G11" s="109"/>
      <c r="H11" s="109"/>
      <c r="I11" s="109"/>
      <c r="J11" s="109"/>
    </row>
    <row r="12" spans="1:10" ht="19.95" customHeight="1">
      <c r="A12" s="111"/>
      <c r="B12" s="109"/>
      <c r="C12" s="109"/>
      <c r="D12" s="109"/>
      <c r="E12" s="109"/>
      <c r="F12" s="109"/>
      <c r="G12" s="109"/>
      <c r="H12" s="109"/>
      <c r="I12" s="109"/>
      <c r="J12" s="109"/>
    </row>
    <row r="13" spans="1:10" ht="19.95" customHeight="1">
      <c r="A13" s="111"/>
      <c r="B13" s="109"/>
      <c r="C13" s="109"/>
      <c r="D13" s="109"/>
      <c r="E13" s="109"/>
      <c r="F13" s="109"/>
      <c r="G13" s="109"/>
      <c r="H13" s="109"/>
      <c r="I13" s="109"/>
      <c r="J13" s="109"/>
    </row>
    <row r="14" spans="1:10" ht="19.95" customHeight="1">
      <c r="A14" s="111"/>
      <c r="B14" s="109"/>
      <c r="C14" s="109"/>
      <c r="D14" s="109"/>
      <c r="E14" s="109"/>
      <c r="F14" s="109"/>
      <c r="G14" s="109"/>
      <c r="H14" s="109"/>
      <c r="I14" s="109"/>
      <c r="J14" s="109"/>
    </row>
    <row r="15" spans="1:10" ht="19.95" customHeight="1">
      <c r="A15" s="111"/>
      <c r="B15" s="109"/>
      <c r="C15" s="109"/>
      <c r="D15" s="109"/>
      <c r="E15" s="109"/>
      <c r="F15" s="109"/>
      <c r="G15" s="109"/>
      <c r="H15" s="109"/>
      <c r="I15" s="109"/>
      <c r="J15" s="109"/>
    </row>
    <row r="16" spans="1:10" ht="19.95" customHeight="1">
      <c r="A16" s="111"/>
      <c r="B16" s="109"/>
      <c r="C16" s="109"/>
      <c r="D16" s="109"/>
      <c r="E16" s="109"/>
      <c r="F16" s="109"/>
      <c r="G16" s="109"/>
      <c r="H16" s="109"/>
      <c r="I16" s="109"/>
      <c r="J16" s="109"/>
    </row>
    <row r="17" spans="1:10" ht="19.95" customHeight="1">
      <c r="A17" s="111"/>
      <c r="B17" s="109"/>
      <c r="C17" s="109"/>
      <c r="D17" s="109"/>
      <c r="E17" s="109"/>
      <c r="F17" s="109"/>
      <c r="G17" s="109"/>
      <c r="H17" s="109"/>
      <c r="I17" s="109"/>
      <c r="J17" s="109"/>
    </row>
    <row r="18" spans="1:10" ht="19.95" customHeight="1">
      <c r="A18" s="111"/>
      <c r="B18" s="109"/>
      <c r="C18" s="109"/>
      <c r="D18" s="109"/>
      <c r="E18" s="109"/>
      <c r="F18" s="109"/>
      <c r="G18" s="109"/>
      <c r="H18" s="109"/>
      <c r="I18" s="109"/>
      <c r="J18" s="109"/>
    </row>
    <row r="19" spans="1:10" ht="19.95" customHeight="1">
      <c r="A19" s="111"/>
      <c r="B19" s="109"/>
      <c r="C19" s="109"/>
      <c r="D19" s="109"/>
      <c r="E19" s="109"/>
      <c r="F19" s="109"/>
      <c r="G19" s="109"/>
      <c r="H19" s="109"/>
      <c r="I19" s="109"/>
      <c r="J19" s="109"/>
    </row>
    <row r="20" spans="1:10" ht="19.95" customHeight="1">
      <c r="A20" s="111"/>
      <c r="B20" s="109"/>
      <c r="C20" s="109"/>
      <c r="D20" s="109"/>
      <c r="E20" s="109"/>
      <c r="F20" s="109"/>
      <c r="G20" s="109"/>
      <c r="H20" s="109"/>
      <c r="I20" s="109"/>
      <c r="J20" s="109"/>
    </row>
    <row r="21" spans="1:10" ht="15.6">
      <c r="A21" s="312" t="s">
        <v>243</v>
      </c>
      <c r="B21" s="313"/>
      <c r="C21" s="313"/>
      <c r="D21" s="313"/>
      <c r="E21" s="313"/>
      <c r="F21" s="313"/>
      <c r="G21" s="313"/>
      <c r="H21" s="313"/>
      <c r="I21" s="313"/>
      <c r="J21" s="313"/>
    </row>
  </sheetData>
  <mergeCells count="3">
    <mergeCell ref="A1:J1"/>
    <mergeCell ref="A2:J2"/>
    <mergeCell ref="A21:J21"/>
  </mergeCells>
  <phoneticPr fontId="75" type="noConversion"/>
  <dataValidations count="1">
    <dataValidation type="list" allowBlank="1" showInputMessage="1" showErrorMessage="1" sqref="B6:B20">
      <formula1>"账项调整,报表调整,其他"</formula1>
    </dataValidation>
  </dataValidations>
  <hyperlinks>
    <hyperlink ref="J3" location="底稿目录!A1" display="I1-3"/>
  </hyperlinks>
  <pageMargins left="0.70866141732283472" right="0.70866141732283472" top="0.74803149606299213" bottom="0.74803149606299213" header="0.31496062992125984" footer="0.31496062992125984"/>
  <pageSetup paperSize="9" scale="95"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O33"/>
  <sheetViews>
    <sheetView view="pageBreakPreview" zoomScaleNormal="100" workbookViewId="0">
      <selection sqref="A1:J1"/>
    </sheetView>
  </sheetViews>
  <sheetFormatPr defaultColWidth="9" defaultRowHeight="13.8"/>
  <cols>
    <col min="1" max="1" width="7.88671875" style="91" customWidth="1"/>
    <col min="2" max="2" width="13.21875" style="7" customWidth="1"/>
    <col min="3" max="3" width="11.33203125" style="7" customWidth="1"/>
    <col min="4" max="4" width="13.109375" style="7" customWidth="1"/>
    <col min="5" max="6" width="15.6640625" style="7" customWidth="1"/>
    <col min="7" max="10" width="14.6640625" style="7" customWidth="1"/>
    <col min="11" max="11" width="9.44140625" style="7" customWidth="1"/>
    <col min="12" max="16384" width="9" style="7"/>
  </cols>
  <sheetData>
    <row r="1" spans="1:15" s="1" customFormat="1" ht="20.100000000000001" customHeight="1">
      <c r="A1" s="314" t="s">
        <v>549</v>
      </c>
      <c r="B1" s="314"/>
      <c r="C1" s="314"/>
      <c r="D1" s="314"/>
      <c r="E1" s="314"/>
      <c r="F1" s="314"/>
      <c r="G1" s="314"/>
      <c r="H1" s="314"/>
      <c r="I1" s="314"/>
      <c r="J1" s="314"/>
      <c r="K1" s="235"/>
    </row>
    <row r="2" spans="1:15" s="2" customFormat="1" ht="25.05" customHeight="1">
      <c r="A2" s="284" t="s">
        <v>550</v>
      </c>
      <c r="B2" s="284"/>
      <c r="C2" s="284"/>
      <c r="D2" s="284"/>
      <c r="E2" s="284"/>
      <c r="F2" s="284"/>
      <c r="G2" s="284"/>
      <c r="H2" s="284"/>
      <c r="I2" s="284"/>
      <c r="J2" s="284"/>
      <c r="K2" s="236"/>
    </row>
    <row r="3" spans="1:15" ht="20.100000000000001" customHeight="1">
      <c r="A3" s="91" t="str">
        <f>底稿目录!A2</f>
        <v>被审计单位：</v>
      </c>
      <c r="D3" s="7" t="str">
        <f>底稿目录!A4</f>
        <v>编制人：</v>
      </c>
      <c r="G3" s="7" t="str">
        <f>底稿目录!A5</f>
        <v>编制日期：</v>
      </c>
      <c r="I3" s="7" t="s">
        <v>88</v>
      </c>
      <c r="J3" s="267" t="s">
        <v>537</v>
      </c>
    </row>
    <row r="4" spans="1:15" ht="20.100000000000001" customHeight="1">
      <c r="A4" s="91" t="str">
        <f>底稿目录!A3</f>
        <v>截止日：202X年12月31日</v>
      </c>
      <c r="D4" s="7" t="str">
        <f>底稿目录!A6</f>
        <v>复核人：</v>
      </c>
      <c r="G4" s="7" t="str">
        <f>底稿目录!A7</f>
        <v>复核日期：</v>
      </c>
      <c r="I4" s="7" t="s">
        <v>136</v>
      </c>
      <c r="J4" s="102"/>
    </row>
    <row r="5" spans="1:15" s="14" customFormat="1" ht="20.100000000000001" customHeight="1">
      <c r="A5" s="92" t="s">
        <v>194</v>
      </c>
      <c r="B5" s="10"/>
      <c r="H5" s="50"/>
      <c r="L5" s="84"/>
      <c r="O5" s="85"/>
    </row>
    <row r="6" spans="1:15" s="14" customFormat="1" ht="20.100000000000001" customHeight="1">
      <c r="A6" s="12" t="s">
        <v>244</v>
      </c>
      <c r="H6" s="50"/>
      <c r="L6" s="84"/>
      <c r="O6" s="85"/>
    </row>
    <row r="7" spans="1:15" s="14" customFormat="1" ht="20.100000000000001" customHeight="1">
      <c r="A7" s="93" t="s">
        <v>196</v>
      </c>
      <c r="H7" s="11"/>
      <c r="L7" s="84"/>
      <c r="O7" s="85"/>
    </row>
    <row r="8" spans="1:15" s="14" customFormat="1" ht="20.100000000000001" customHeight="1">
      <c r="A8" s="94" t="s">
        <v>245</v>
      </c>
      <c r="H8" s="11"/>
      <c r="L8" s="84"/>
      <c r="O8" s="85"/>
    </row>
    <row r="9" spans="1:15" s="14" customFormat="1" ht="48">
      <c r="A9" s="95" t="s">
        <v>55</v>
      </c>
      <c r="B9" s="96" t="s">
        <v>246</v>
      </c>
      <c r="C9" s="96" t="s">
        <v>247</v>
      </c>
      <c r="D9" s="96" t="s">
        <v>248</v>
      </c>
      <c r="E9" s="97" t="s">
        <v>249</v>
      </c>
      <c r="F9" s="97" t="s">
        <v>250</v>
      </c>
      <c r="G9" s="97" t="s">
        <v>251</v>
      </c>
      <c r="H9" s="97" t="s">
        <v>252</v>
      </c>
      <c r="I9" s="97" t="s">
        <v>253</v>
      </c>
      <c r="J9" s="97" t="s">
        <v>242</v>
      </c>
      <c r="L9" s="84"/>
      <c r="O9" s="85"/>
    </row>
    <row r="10" spans="1:15" s="14" customFormat="1" ht="20.100000000000001" customHeight="1">
      <c r="A10" s="217">
        <v>1</v>
      </c>
      <c r="B10" s="98"/>
      <c r="C10" s="99"/>
      <c r="D10" s="99"/>
      <c r="E10" s="35"/>
      <c r="F10" s="35"/>
      <c r="G10" s="35"/>
      <c r="H10" s="35"/>
      <c r="I10" s="35"/>
      <c r="J10" s="99"/>
      <c r="L10" s="84"/>
      <c r="O10" s="85"/>
    </row>
    <row r="11" spans="1:15" s="14" customFormat="1" ht="20.100000000000001" customHeight="1">
      <c r="A11" s="217">
        <v>2</v>
      </c>
      <c r="B11" s="98"/>
      <c r="C11" s="99"/>
      <c r="D11" s="99"/>
      <c r="E11" s="35"/>
      <c r="F11" s="35"/>
      <c r="G11" s="35"/>
      <c r="H11" s="35"/>
      <c r="I11" s="35"/>
      <c r="J11" s="99"/>
      <c r="L11" s="84"/>
      <c r="O11" s="85"/>
    </row>
    <row r="12" spans="1:15" s="14" customFormat="1" ht="20.100000000000001" customHeight="1">
      <c r="A12" s="217">
        <v>3</v>
      </c>
      <c r="B12" s="98"/>
      <c r="C12" s="99"/>
      <c r="D12" s="99"/>
      <c r="E12" s="35"/>
      <c r="F12" s="35"/>
      <c r="G12" s="35"/>
      <c r="H12" s="35"/>
      <c r="I12" s="35"/>
      <c r="J12" s="99"/>
      <c r="L12" s="84"/>
      <c r="O12" s="85"/>
    </row>
    <row r="13" spans="1:15" s="14" customFormat="1" ht="20.100000000000001" customHeight="1">
      <c r="A13" s="217">
        <v>4</v>
      </c>
      <c r="B13" s="98"/>
      <c r="C13" s="99"/>
      <c r="D13" s="99"/>
      <c r="E13" s="35"/>
      <c r="F13" s="35"/>
      <c r="G13" s="35"/>
      <c r="H13" s="35"/>
      <c r="I13" s="35"/>
      <c r="J13" s="99"/>
      <c r="L13" s="84"/>
      <c r="O13" s="85"/>
    </row>
    <row r="14" spans="1:15" s="14" customFormat="1" ht="20.100000000000001" customHeight="1">
      <c r="A14" s="217">
        <v>5</v>
      </c>
      <c r="B14" s="98"/>
      <c r="C14" s="99"/>
      <c r="D14" s="99"/>
      <c r="E14" s="35"/>
      <c r="F14" s="35"/>
      <c r="G14" s="35"/>
      <c r="H14" s="35"/>
      <c r="I14" s="35"/>
      <c r="J14" s="99"/>
      <c r="L14" s="84"/>
      <c r="O14" s="85"/>
    </row>
    <row r="15" spans="1:15" s="14" customFormat="1" ht="20.100000000000001" customHeight="1">
      <c r="A15" s="217">
        <v>6</v>
      </c>
      <c r="B15" s="98"/>
      <c r="C15" s="99"/>
      <c r="D15" s="99"/>
      <c r="E15" s="35"/>
      <c r="F15" s="35"/>
      <c r="G15" s="35"/>
      <c r="H15" s="35"/>
      <c r="I15" s="35"/>
      <c r="J15" s="99"/>
      <c r="L15" s="84"/>
      <c r="O15" s="85"/>
    </row>
    <row r="16" spans="1:15" s="14" customFormat="1" ht="20.100000000000001" customHeight="1">
      <c r="A16" s="94" t="s">
        <v>254</v>
      </c>
      <c r="C16" s="100"/>
      <c r="D16" s="100"/>
      <c r="H16" s="11"/>
      <c r="L16" s="84"/>
      <c r="O16" s="85"/>
    </row>
    <row r="17" spans="1:15" s="14" customFormat="1" ht="20.100000000000001" customHeight="1">
      <c r="A17" s="318" t="s">
        <v>55</v>
      </c>
      <c r="B17" s="320" t="s">
        <v>246</v>
      </c>
      <c r="C17" s="315" t="s">
        <v>255</v>
      </c>
      <c r="D17" s="316"/>
      <c r="E17" s="317" t="s">
        <v>256</v>
      </c>
      <c r="F17" s="316"/>
      <c r="G17" s="317" t="s">
        <v>257</v>
      </c>
      <c r="H17" s="316"/>
      <c r="I17" s="317" t="s">
        <v>258</v>
      </c>
      <c r="J17" s="316"/>
      <c r="L17" s="84"/>
      <c r="O17" s="85"/>
    </row>
    <row r="18" spans="1:15" s="14" customFormat="1" ht="20.100000000000001" customHeight="1">
      <c r="A18" s="319"/>
      <c r="B18" s="321"/>
      <c r="C18" s="96" t="s">
        <v>247</v>
      </c>
      <c r="D18" s="96" t="s">
        <v>248</v>
      </c>
      <c r="E18" s="96" t="s">
        <v>247</v>
      </c>
      <c r="F18" s="96" t="s">
        <v>248</v>
      </c>
      <c r="G18" s="96" t="s">
        <v>247</v>
      </c>
      <c r="H18" s="96" t="s">
        <v>248</v>
      </c>
      <c r="I18" s="96" t="s">
        <v>247</v>
      </c>
      <c r="J18" s="96" t="s">
        <v>248</v>
      </c>
      <c r="L18" s="84"/>
      <c r="O18" s="85"/>
    </row>
    <row r="19" spans="1:15" s="14" customFormat="1" ht="20.100000000000001" customHeight="1">
      <c r="A19" s="217">
        <v>1</v>
      </c>
      <c r="B19" s="89"/>
      <c r="C19" s="99"/>
      <c r="D19" s="99"/>
      <c r="E19" s="99"/>
      <c r="F19" s="99"/>
      <c r="G19" s="99"/>
      <c r="H19" s="99"/>
      <c r="I19" s="99"/>
      <c r="J19" s="99"/>
      <c r="L19" s="84"/>
      <c r="O19" s="85"/>
    </row>
    <row r="20" spans="1:15" s="14" customFormat="1" ht="20.100000000000001" customHeight="1">
      <c r="A20" s="217">
        <v>2</v>
      </c>
      <c r="B20" s="89"/>
      <c r="C20" s="99"/>
      <c r="D20" s="99"/>
      <c r="E20" s="99"/>
      <c r="F20" s="99"/>
      <c r="G20" s="99"/>
      <c r="H20" s="99"/>
      <c r="I20" s="99"/>
      <c r="J20" s="99"/>
      <c r="L20" s="84"/>
      <c r="O20" s="85"/>
    </row>
    <row r="21" spans="1:15" s="14" customFormat="1" ht="20.100000000000001" customHeight="1">
      <c r="A21" s="217">
        <v>3</v>
      </c>
      <c r="B21" s="89"/>
      <c r="C21" s="99"/>
      <c r="D21" s="99"/>
      <c r="E21" s="99"/>
      <c r="F21" s="99"/>
      <c r="G21" s="99"/>
      <c r="H21" s="99"/>
      <c r="I21" s="99"/>
      <c r="J21" s="99"/>
      <c r="L21" s="84"/>
      <c r="O21" s="85"/>
    </row>
    <row r="22" spans="1:15" s="14" customFormat="1" ht="20.100000000000001" customHeight="1">
      <c r="A22" s="217">
        <v>4</v>
      </c>
      <c r="B22" s="89"/>
      <c r="C22" s="99"/>
      <c r="D22" s="99"/>
      <c r="E22" s="99"/>
      <c r="F22" s="99"/>
      <c r="G22" s="99"/>
      <c r="H22" s="99"/>
      <c r="I22" s="99"/>
      <c r="J22" s="99"/>
      <c r="L22" s="84"/>
      <c r="O22" s="85"/>
    </row>
    <row r="23" spans="1:15" s="14" customFormat="1" ht="20.100000000000001" customHeight="1">
      <c r="A23" s="94" t="s">
        <v>259</v>
      </c>
      <c r="C23" s="100"/>
      <c r="D23" s="100"/>
      <c r="H23" s="11"/>
      <c r="L23" s="84"/>
      <c r="O23" s="85"/>
    </row>
    <row r="24" spans="1:15" s="14" customFormat="1" ht="20.100000000000001" customHeight="1">
      <c r="A24" s="95" t="s">
        <v>55</v>
      </c>
      <c r="B24" s="96" t="s">
        <v>246</v>
      </c>
      <c r="C24" s="96" t="s">
        <v>247</v>
      </c>
      <c r="D24" s="96" t="s">
        <v>248</v>
      </c>
      <c r="H24" s="11"/>
      <c r="L24" s="84"/>
      <c r="O24" s="85"/>
    </row>
    <row r="25" spans="1:15" s="14" customFormat="1" ht="20.100000000000001" customHeight="1">
      <c r="A25" s="217">
        <v>1</v>
      </c>
      <c r="B25" s="89"/>
      <c r="C25" s="99"/>
      <c r="D25" s="99"/>
      <c r="H25" s="11"/>
      <c r="L25" s="84"/>
      <c r="O25" s="85"/>
    </row>
    <row r="26" spans="1:15" s="14" customFormat="1" ht="20.100000000000001" customHeight="1">
      <c r="A26" s="217">
        <v>2</v>
      </c>
      <c r="B26" s="89"/>
      <c r="C26" s="99"/>
      <c r="D26" s="99"/>
      <c r="H26" s="11"/>
      <c r="L26" s="84"/>
      <c r="O26" s="85"/>
    </row>
    <row r="27" spans="1:15" s="14" customFormat="1" ht="20.100000000000001" customHeight="1">
      <c r="A27" s="217">
        <v>3</v>
      </c>
      <c r="B27" s="89"/>
      <c r="C27" s="99"/>
      <c r="D27" s="99"/>
      <c r="H27" s="11"/>
      <c r="L27" s="84"/>
      <c r="O27" s="85"/>
    </row>
    <row r="28" spans="1:15" s="14" customFormat="1" ht="20.100000000000001" customHeight="1">
      <c r="A28" s="217">
        <v>4</v>
      </c>
      <c r="B28" s="89"/>
      <c r="C28" s="99"/>
      <c r="D28" s="99"/>
      <c r="H28" s="11"/>
      <c r="L28" s="84"/>
      <c r="O28" s="85"/>
    </row>
    <row r="29" spans="1:15" s="1" customFormat="1" ht="20.100000000000001" customHeight="1">
      <c r="A29" s="101" t="s">
        <v>227</v>
      </c>
    </row>
    <row r="30" spans="1:15" ht="20.100000000000001" customHeight="1">
      <c r="A30" s="82"/>
    </row>
    <row r="31" spans="1:15" ht="20.100000000000001" customHeight="1">
      <c r="A31" s="82"/>
    </row>
    <row r="32" spans="1:15" ht="20.100000000000001" customHeight="1">
      <c r="A32" s="101" t="s">
        <v>228</v>
      </c>
    </row>
    <row r="33" ht="20.100000000000001" customHeight="1"/>
  </sheetData>
  <mergeCells count="8">
    <mergeCell ref="A1:J1"/>
    <mergeCell ref="A2:J2"/>
    <mergeCell ref="C17:D17"/>
    <mergeCell ref="E17:F17"/>
    <mergeCell ref="G17:H17"/>
    <mergeCell ref="I17:J17"/>
    <mergeCell ref="A17:A18"/>
    <mergeCell ref="B17:B18"/>
  </mergeCells>
  <phoneticPr fontId="75" type="noConversion"/>
  <dataValidations count="1">
    <dataValidation type="list" allowBlank="1" showInputMessage="1" showErrorMessage="1" sqref="E10:I15">
      <formula1>"√,×"</formula1>
    </dataValidation>
  </dataValidations>
  <hyperlinks>
    <hyperlink ref="J3" location="底稿目录!A1" display="I1-4"/>
  </hyperlinks>
  <pageMargins left="0.70866141732283472" right="0.70866141732283472" top="0.74803149606299213" bottom="0.74803149606299213" header="0.31496062992125984" footer="0.31496062992125984"/>
  <pageSetup paperSize="9" scale="90" orientation="landscape" blackAndWhite="1" r:id="rId1"/>
  <headerFooter>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底稿目录!$A$9:$A$20</xm:f>
          </x14:formula1>
          <xm:sqref>B10:B15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S37"/>
  <sheetViews>
    <sheetView view="pageBreakPreview" zoomScaleNormal="100" workbookViewId="0">
      <selection sqref="A1:S1"/>
    </sheetView>
  </sheetViews>
  <sheetFormatPr defaultColWidth="9" defaultRowHeight="18" customHeight="1"/>
  <cols>
    <col min="1" max="1" width="15.6640625" style="7" customWidth="1"/>
    <col min="2" max="2" width="14.6640625" style="7" customWidth="1"/>
    <col min="3" max="8" width="9" style="7"/>
    <col min="9" max="12" width="9.33203125" style="7" customWidth="1"/>
    <col min="13" max="13" width="11.44140625" style="7" customWidth="1"/>
    <col min="14" max="14" width="14.33203125" style="7" customWidth="1"/>
    <col min="15" max="15" width="12.77734375" style="7" customWidth="1"/>
    <col min="16" max="16" width="11.6640625" style="7" customWidth="1"/>
    <col min="17" max="18" width="9" style="7"/>
    <col min="19" max="19" width="25.6640625" style="7" customWidth="1"/>
    <col min="20" max="16384" width="9" style="7"/>
  </cols>
  <sheetData>
    <row r="1" spans="1:19" s="1" customFormat="1" ht="20.100000000000001" customHeight="1">
      <c r="A1" s="314" t="s">
        <v>86</v>
      </c>
      <c r="B1" s="314"/>
      <c r="C1" s="314"/>
      <c r="D1" s="314"/>
      <c r="E1" s="314"/>
      <c r="F1" s="314"/>
      <c r="G1" s="314"/>
      <c r="H1" s="314"/>
      <c r="I1" s="314"/>
      <c r="J1" s="314"/>
      <c r="K1" s="314"/>
      <c r="L1" s="314"/>
      <c r="M1" s="314"/>
      <c r="N1" s="314"/>
      <c r="O1" s="314"/>
      <c r="P1" s="314"/>
      <c r="Q1" s="314"/>
      <c r="R1" s="314"/>
      <c r="S1" s="314"/>
    </row>
    <row r="2" spans="1:19" s="2" customFormat="1" ht="25.05" customHeight="1">
      <c r="A2" s="284" t="s">
        <v>260</v>
      </c>
      <c r="B2" s="322"/>
      <c r="C2" s="322"/>
      <c r="D2" s="322"/>
      <c r="E2" s="322"/>
      <c r="F2" s="322"/>
      <c r="G2" s="322"/>
      <c r="H2" s="322"/>
      <c r="I2" s="322"/>
      <c r="J2" s="322"/>
      <c r="K2" s="322"/>
      <c r="L2" s="322"/>
      <c r="M2" s="322"/>
      <c r="N2" s="322"/>
      <c r="O2" s="322"/>
      <c r="P2" s="322"/>
      <c r="Q2" s="322"/>
      <c r="R2" s="322"/>
      <c r="S2" s="322"/>
    </row>
    <row r="3" spans="1:19" ht="20.100000000000001" customHeight="1">
      <c r="A3" s="7" t="str">
        <f>底稿目录!A2</f>
        <v>被审计单位：</v>
      </c>
      <c r="E3" s="7" t="str">
        <f>底稿目录!A4</f>
        <v>编制人：</v>
      </c>
      <c r="L3" s="25" t="str">
        <f>底稿目录!A5</f>
        <v>编制日期：</v>
      </c>
      <c r="M3" s="25"/>
      <c r="N3" s="25"/>
      <c r="O3" s="25"/>
      <c r="P3" s="25"/>
      <c r="R3" s="7" t="s">
        <v>88</v>
      </c>
      <c r="S3" s="267" t="s">
        <v>571</v>
      </c>
    </row>
    <row r="4" spans="1:19" ht="20.100000000000001" customHeight="1">
      <c r="A4" s="7" t="str">
        <f>底稿目录!A3</f>
        <v>截止日：202X年12月31日</v>
      </c>
      <c r="E4" s="7" t="str">
        <f>底稿目录!A6</f>
        <v>复核人：</v>
      </c>
      <c r="L4" s="25" t="str">
        <f>底稿目录!A7</f>
        <v>复核日期：</v>
      </c>
      <c r="M4" s="25"/>
      <c r="N4" s="25"/>
      <c r="O4" s="25"/>
      <c r="P4" s="25"/>
      <c r="R4" s="7" t="s">
        <v>136</v>
      </c>
      <c r="S4" s="26"/>
    </row>
    <row r="5" spans="1:19" s="14" customFormat="1" ht="20.100000000000001" customHeight="1">
      <c r="A5" s="9" t="s">
        <v>194</v>
      </c>
      <c r="B5" s="10"/>
      <c r="H5" s="50"/>
      <c r="L5" s="84"/>
      <c r="M5" s="84"/>
      <c r="N5" s="84"/>
      <c r="O5" s="84"/>
      <c r="R5" s="85"/>
    </row>
    <row r="6" spans="1:19" s="14" customFormat="1" ht="20.100000000000001" customHeight="1">
      <c r="A6" s="12" t="s">
        <v>261</v>
      </c>
      <c r="B6" s="12"/>
      <c r="H6" s="50"/>
      <c r="L6" s="84"/>
      <c r="M6" s="84"/>
      <c r="N6" s="84"/>
      <c r="O6" s="84"/>
      <c r="R6" s="85"/>
    </row>
    <row r="7" spans="1:19" s="14" customFormat="1" ht="20.100000000000001" customHeight="1">
      <c r="A7" s="9" t="s">
        <v>196</v>
      </c>
      <c r="H7" s="11"/>
      <c r="L7" s="84"/>
      <c r="M7" s="84"/>
      <c r="N7" s="84"/>
      <c r="O7" s="84"/>
      <c r="R7" s="85"/>
    </row>
    <row r="8" spans="1:19" s="4" customFormat="1" ht="20.100000000000001" customHeight="1">
      <c r="A8" s="324" t="s">
        <v>540</v>
      </c>
      <c r="B8" s="323" t="s">
        <v>263</v>
      </c>
      <c r="C8" s="323" t="s">
        <v>264</v>
      </c>
      <c r="D8" s="323"/>
      <c r="E8" s="323"/>
      <c r="F8" s="323" t="s">
        <v>265</v>
      </c>
      <c r="G8" s="323"/>
      <c r="H8" s="323"/>
      <c r="I8" s="323" t="s">
        <v>266</v>
      </c>
      <c r="J8" s="323"/>
      <c r="K8" s="323"/>
      <c r="L8" s="323"/>
      <c r="M8" s="306" t="s">
        <v>267</v>
      </c>
      <c r="N8" s="323"/>
      <c r="O8" s="323"/>
      <c r="P8" s="323" t="s">
        <v>268</v>
      </c>
      <c r="Q8" s="323"/>
      <c r="R8" s="323" t="s">
        <v>5</v>
      </c>
      <c r="S8" s="323" t="s">
        <v>269</v>
      </c>
    </row>
    <row r="9" spans="1:19" s="4" customFormat="1" ht="27" customHeight="1">
      <c r="A9" s="325"/>
      <c r="B9" s="323"/>
      <c r="C9" s="16" t="s">
        <v>270</v>
      </c>
      <c r="D9" s="16" t="s">
        <v>271</v>
      </c>
      <c r="E9" s="16" t="s">
        <v>272</v>
      </c>
      <c r="F9" s="16" t="s">
        <v>273</v>
      </c>
      <c r="G9" s="16" t="s">
        <v>274</v>
      </c>
      <c r="H9" s="16" t="s">
        <v>275</v>
      </c>
      <c r="I9" s="16" t="s">
        <v>263</v>
      </c>
      <c r="J9" s="16" t="s">
        <v>276</v>
      </c>
      <c r="K9" s="16" t="s">
        <v>277</v>
      </c>
      <c r="L9" s="16" t="s">
        <v>278</v>
      </c>
      <c r="M9" s="16" t="s">
        <v>279</v>
      </c>
      <c r="N9" s="40" t="s">
        <v>280</v>
      </c>
      <c r="O9" s="40" t="s">
        <v>281</v>
      </c>
      <c r="P9" s="16" t="s">
        <v>282</v>
      </c>
      <c r="Q9" s="16" t="s">
        <v>283</v>
      </c>
      <c r="R9" s="323"/>
      <c r="S9" s="323"/>
    </row>
    <row r="10" spans="1:19" ht="20.100000000000001" customHeight="1">
      <c r="A10" s="17"/>
      <c r="B10" s="255"/>
      <c r="C10" s="35"/>
      <c r="D10" s="35"/>
      <c r="E10" s="35"/>
      <c r="F10" s="35"/>
      <c r="G10" s="35"/>
      <c r="H10" s="35"/>
      <c r="I10" s="20"/>
      <c r="J10" s="17"/>
      <c r="K10" s="20"/>
      <c r="L10" s="20"/>
      <c r="M10" s="20"/>
      <c r="N10" s="20"/>
      <c r="O10" s="20"/>
      <c r="P10" s="89"/>
      <c r="Q10" s="35"/>
      <c r="R10" s="17"/>
      <c r="S10" s="17"/>
    </row>
    <row r="11" spans="1:19" ht="20.100000000000001" customHeight="1">
      <c r="A11" s="210"/>
      <c r="B11" s="259"/>
      <c r="C11" s="260"/>
      <c r="D11" s="260"/>
      <c r="E11" s="260"/>
      <c r="F11" s="260"/>
      <c r="G11" s="260"/>
      <c r="H11" s="260"/>
      <c r="I11" s="261"/>
      <c r="J11" s="210"/>
      <c r="K11" s="261"/>
      <c r="L11" s="261"/>
      <c r="M11" s="261"/>
      <c r="N11" s="261"/>
      <c r="O11" s="261"/>
      <c r="P11" s="262"/>
      <c r="Q11" s="260"/>
      <c r="R11" s="210"/>
      <c r="S11" s="210"/>
    </row>
    <row r="12" spans="1:19" ht="20.100000000000001" customHeight="1">
      <c r="A12" s="210"/>
      <c r="B12" s="259"/>
      <c r="C12" s="260"/>
      <c r="D12" s="260"/>
      <c r="E12" s="260"/>
      <c r="F12" s="260"/>
      <c r="G12" s="260"/>
      <c r="H12" s="260"/>
      <c r="I12" s="261"/>
      <c r="J12" s="210"/>
      <c r="K12" s="261"/>
      <c r="L12" s="261"/>
      <c r="M12" s="261"/>
      <c r="N12" s="261"/>
      <c r="O12" s="261"/>
      <c r="P12" s="262"/>
      <c r="Q12" s="260"/>
      <c r="R12" s="210"/>
      <c r="S12" s="210"/>
    </row>
    <row r="13" spans="1:19" ht="20.100000000000001" customHeight="1">
      <c r="A13" s="210"/>
      <c r="B13" s="259"/>
      <c r="C13" s="260"/>
      <c r="D13" s="260"/>
      <c r="E13" s="260"/>
      <c r="F13" s="260"/>
      <c r="G13" s="260"/>
      <c r="H13" s="260"/>
      <c r="I13" s="261"/>
      <c r="J13" s="210"/>
      <c r="K13" s="261"/>
      <c r="L13" s="261"/>
      <c r="M13" s="261"/>
      <c r="N13" s="261"/>
      <c r="O13" s="261"/>
      <c r="P13" s="262"/>
      <c r="Q13" s="260"/>
      <c r="R13" s="210"/>
      <c r="S13" s="210"/>
    </row>
    <row r="14" spans="1:19" ht="20.100000000000001" customHeight="1">
      <c r="A14" s="210"/>
      <c r="B14" s="259"/>
      <c r="C14" s="260"/>
      <c r="D14" s="260"/>
      <c r="E14" s="260"/>
      <c r="F14" s="260"/>
      <c r="G14" s="260"/>
      <c r="H14" s="260"/>
      <c r="I14" s="261"/>
      <c r="J14" s="210"/>
      <c r="K14" s="261"/>
      <c r="L14" s="261"/>
      <c r="M14" s="261"/>
      <c r="N14" s="261"/>
      <c r="O14" s="261"/>
      <c r="P14" s="262"/>
      <c r="Q14" s="260"/>
      <c r="R14" s="210"/>
      <c r="S14" s="210"/>
    </row>
    <row r="15" spans="1:19" ht="20.100000000000001" customHeight="1">
      <c r="A15" s="210"/>
      <c r="B15" s="259"/>
      <c r="C15" s="260"/>
      <c r="D15" s="260"/>
      <c r="E15" s="260"/>
      <c r="F15" s="260"/>
      <c r="G15" s="260"/>
      <c r="H15" s="260"/>
      <c r="I15" s="261"/>
      <c r="J15" s="210"/>
      <c r="K15" s="261"/>
      <c r="L15" s="261"/>
      <c r="M15" s="261"/>
      <c r="N15" s="261"/>
      <c r="O15" s="261"/>
      <c r="P15" s="262"/>
      <c r="Q15" s="260"/>
      <c r="R15" s="210"/>
      <c r="S15" s="210"/>
    </row>
    <row r="16" spans="1:19" ht="20.100000000000001" customHeight="1">
      <c r="A16" s="17"/>
      <c r="B16" s="255"/>
      <c r="C16" s="35"/>
      <c r="D16" s="35"/>
      <c r="E16" s="35"/>
      <c r="F16" s="35"/>
      <c r="G16" s="35"/>
      <c r="H16" s="35"/>
      <c r="I16" s="20"/>
      <c r="J16" s="17"/>
      <c r="K16" s="20"/>
      <c r="L16" s="20"/>
      <c r="M16" s="20"/>
      <c r="N16" s="20"/>
      <c r="O16" s="20"/>
      <c r="P16" s="17"/>
      <c r="Q16" s="35"/>
      <c r="R16" s="17"/>
      <c r="S16" s="17"/>
    </row>
    <row r="17" spans="1:19" ht="20.100000000000001" customHeight="1">
      <c r="A17" s="17"/>
      <c r="B17" s="255"/>
      <c r="C17" s="35"/>
      <c r="D17" s="35"/>
      <c r="E17" s="35"/>
      <c r="F17" s="35"/>
      <c r="G17" s="35"/>
      <c r="H17" s="35"/>
      <c r="I17" s="20"/>
      <c r="J17" s="17"/>
      <c r="K17" s="20"/>
      <c r="L17" s="20"/>
      <c r="M17" s="20"/>
      <c r="N17" s="20"/>
      <c r="O17" s="20"/>
      <c r="P17" s="17"/>
      <c r="Q17" s="35"/>
      <c r="R17" s="17"/>
      <c r="S17" s="17"/>
    </row>
    <row r="18" spans="1:19" ht="20.100000000000001" customHeight="1">
      <c r="A18" s="17"/>
      <c r="B18" s="255"/>
      <c r="C18" s="35"/>
      <c r="D18" s="35"/>
      <c r="E18" s="35"/>
      <c r="F18" s="35"/>
      <c r="G18" s="35"/>
      <c r="H18" s="35"/>
      <c r="I18" s="20"/>
      <c r="J18" s="17"/>
      <c r="K18" s="20"/>
      <c r="L18" s="20"/>
      <c r="M18" s="20"/>
      <c r="N18" s="20"/>
      <c r="O18" s="20"/>
      <c r="P18" s="17"/>
      <c r="Q18" s="35"/>
      <c r="R18" s="17"/>
      <c r="S18" s="17"/>
    </row>
    <row r="19" spans="1:19" ht="20.100000000000001" customHeight="1">
      <c r="A19" s="17"/>
      <c r="B19" s="255"/>
      <c r="C19" s="35"/>
      <c r="D19" s="35"/>
      <c r="E19" s="35"/>
      <c r="F19" s="35"/>
      <c r="G19" s="35"/>
      <c r="H19" s="35"/>
      <c r="I19" s="20"/>
      <c r="J19" s="17"/>
      <c r="K19" s="20"/>
      <c r="L19" s="20"/>
      <c r="M19" s="20"/>
      <c r="N19" s="20"/>
      <c r="O19" s="20"/>
      <c r="P19" s="17"/>
      <c r="Q19" s="35"/>
      <c r="R19" s="17"/>
      <c r="S19" s="17"/>
    </row>
    <row r="20" spans="1:19" ht="20.100000000000001" customHeight="1">
      <c r="A20" s="17"/>
      <c r="B20" s="255"/>
      <c r="C20" s="35"/>
      <c r="D20" s="35"/>
      <c r="E20" s="35"/>
      <c r="F20" s="35"/>
      <c r="G20" s="35"/>
      <c r="H20" s="35"/>
      <c r="I20" s="20"/>
      <c r="J20" s="17"/>
      <c r="K20" s="20"/>
      <c r="L20" s="20"/>
      <c r="M20" s="20"/>
      <c r="N20" s="20"/>
      <c r="O20" s="20"/>
      <c r="P20" s="17"/>
      <c r="Q20" s="35"/>
      <c r="R20" s="17"/>
      <c r="S20" s="17"/>
    </row>
    <row r="21" spans="1:19" ht="20.100000000000001" customHeight="1">
      <c r="A21" s="17"/>
      <c r="B21" s="255"/>
      <c r="C21" s="35"/>
      <c r="D21" s="35"/>
      <c r="E21" s="35"/>
      <c r="F21" s="35"/>
      <c r="G21" s="35"/>
      <c r="H21" s="35"/>
      <c r="I21" s="20"/>
      <c r="J21" s="17"/>
      <c r="K21" s="20"/>
      <c r="L21" s="20"/>
      <c r="M21" s="20"/>
      <c r="N21" s="20"/>
      <c r="O21" s="20"/>
      <c r="P21" s="17"/>
      <c r="Q21" s="35"/>
      <c r="R21" s="17"/>
      <c r="S21" s="17"/>
    </row>
    <row r="22" spans="1:19" ht="20.100000000000001" customHeight="1">
      <c r="A22" s="17"/>
      <c r="B22" s="255"/>
      <c r="C22" s="35"/>
      <c r="D22" s="35"/>
      <c r="E22" s="35"/>
      <c r="F22" s="35"/>
      <c r="G22" s="35"/>
      <c r="H22" s="35"/>
      <c r="I22" s="20"/>
      <c r="J22" s="17"/>
      <c r="K22" s="20"/>
      <c r="L22" s="20"/>
      <c r="M22" s="20"/>
      <c r="N22" s="20"/>
      <c r="O22" s="20"/>
      <c r="P22" s="17"/>
      <c r="Q22" s="35"/>
      <c r="R22" s="17"/>
      <c r="S22" s="17"/>
    </row>
    <row r="23" spans="1:19" s="218" customFormat="1" ht="20.100000000000001" customHeight="1">
      <c r="A23" s="256" t="s">
        <v>140</v>
      </c>
      <c r="B23" s="257">
        <f>SUM(B10:B22)</f>
        <v>0</v>
      </c>
      <c r="C23" s="257"/>
      <c r="D23" s="257"/>
      <c r="E23" s="257"/>
      <c r="F23" s="257"/>
      <c r="G23" s="257"/>
      <c r="H23" s="257"/>
      <c r="I23" s="257">
        <f>SUM(I10:I22)</f>
        <v>0</v>
      </c>
      <c r="J23" s="257"/>
      <c r="K23" s="257">
        <f>SUM(K10:K22)</f>
        <v>0</v>
      </c>
      <c r="L23" s="257">
        <f>SUM(L10:L22)</f>
        <v>0</v>
      </c>
      <c r="M23" s="257"/>
      <c r="N23" s="257"/>
      <c r="O23" s="257"/>
      <c r="P23" s="257"/>
      <c r="Q23" s="257"/>
      <c r="R23" s="257"/>
      <c r="S23" s="257"/>
    </row>
    <row r="24" spans="1:19" s="218" customFormat="1" ht="20.100000000000001" customHeight="1">
      <c r="A24" s="256" t="s">
        <v>568</v>
      </c>
      <c r="B24" s="257">
        <f>'明细表I1-2'!AM18</f>
        <v>0</v>
      </c>
      <c r="C24" s="257"/>
      <c r="D24" s="257"/>
      <c r="E24" s="257"/>
      <c r="F24" s="257"/>
      <c r="G24" s="257"/>
      <c r="H24" s="257"/>
      <c r="I24" s="257"/>
      <c r="J24" s="257"/>
      <c r="K24" s="257"/>
      <c r="L24" s="257"/>
      <c r="M24" s="257"/>
      <c r="N24" s="257"/>
      <c r="O24" s="257"/>
      <c r="P24" s="257"/>
      <c r="Q24" s="257"/>
      <c r="R24" s="257"/>
      <c r="S24" s="257"/>
    </row>
    <row r="25" spans="1:19" s="218" customFormat="1" ht="20.100000000000001" customHeight="1">
      <c r="A25" s="256" t="s">
        <v>569</v>
      </c>
      <c r="B25" s="258" t="e">
        <f>B23/B24</f>
        <v>#DIV/0!</v>
      </c>
      <c r="C25" s="257"/>
      <c r="D25" s="257"/>
      <c r="E25" s="257"/>
      <c r="F25" s="257"/>
      <c r="G25" s="257"/>
      <c r="H25" s="257"/>
      <c r="I25" s="257"/>
      <c r="J25" s="257"/>
      <c r="K25" s="257"/>
      <c r="L25" s="257"/>
      <c r="M25" s="257"/>
      <c r="N25" s="257"/>
      <c r="O25" s="257"/>
      <c r="P25" s="257"/>
      <c r="Q25" s="257"/>
      <c r="R25" s="257"/>
      <c r="S25" s="257"/>
    </row>
    <row r="26" spans="1:19" s="1" customFormat="1" ht="20.100000000000001" customHeight="1">
      <c r="A26" s="44" t="s">
        <v>227</v>
      </c>
      <c r="B26" s="45"/>
      <c r="C26" s="45"/>
      <c r="D26" s="45"/>
      <c r="E26" s="45"/>
      <c r="F26" s="45"/>
      <c r="G26" s="45"/>
      <c r="H26" s="45"/>
      <c r="I26" s="45"/>
      <c r="J26" s="45"/>
      <c r="K26" s="45"/>
      <c r="L26" s="45"/>
      <c r="M26" s="45"/>
      <c r="N26" s="45"/>
      <c r="O26" s="45"/>
      <c r="P26" s="45"/>
      <c r="Q26" s="45"/>
      <c r="R26" s="45"/>
      <c r="S26" s="45"/>
    </row>
    <row r="27" spans="1:19" ht="20.100000000000001" customHeight="1">
      <c r="A27" s="3"/>
    </row>
    <row r="28" spans="1:19" ht="20.100000000000001" customHeight="1">
      <c r="A28" s="3"/>
    </row>
    <row r="29" spans="1:19" ht="20.100000000000001" customHeight="1">
      <c r="A29" s="24" t="s">
        <v>228</v>
      </c>
    </row>
    <row r="30" spans="1:19" ht="20.100000000000001" customHeight="1"/>
    <row r="31" spans="1:19" ht="18" customHeight="1">
      <c r="A31" s="368" t="s">
        <v>580</v>
      </c>
    </row>
    <row r="32" spans="1:19" ht="18" customHeight="1">
      <c r="A32" s="367" t="s">
        <v>576</v>
      </c>
    </row>
    <row r="33" spans="1:1" ht="18" customHeight="1">
      <c r="A33" s="367" t="s">
        <v>577</v>
      </c>
    </row>
    <row r="34" spans="1:1" ht="18" customHeight="1">
      <c r="A34" s="367" t="s">
        <v>578</v>
      </c>
    </row>
    <row r="35" spans="1:1" ht="18" customHeight="1">
      <c r="A35" s="367" t="s">
        <v>579</v>
      </c>
    </row>
    <row r="36" spans="1:1" ht="18" customHeight="1">
      <c r="A36" s="365" t="s">
        <v>575</v>
      </c>
    </row>
    <row r="37" spans="1:1" ht="18" customHeight="1">
      <c r="A37" s="366" t="s">
        <v>574</v>
      </c>
    </row>
  </sheetData>
  <mergeCells count="11">
    <mergeCell ref="A1:S1"/>
    <mergeCell ref="A2:S2"/>
    <mergeCell ref="C8:E8"/>
    <mergeCell ref="F8:H8"/>
    <mergeCell ref="I8:L8"/>
    <mergeCell ref="M8:O8"/>
    <mergeCell ref="P8:Q8"/>
    <mergeCell ref="A8:A9"/>
    <mergeCell ref="B8:B9"/>
    <mergeCell ref="R8:R9"/>
    <mergeCell ref="S8:S9"/>
  </mergeCells>
  <phoneticPr fontId="75" type="noConversion"/>
  <dataValidations count="1">
    <dataValidation type="list" allowBlank="1" showInputMessage="1" showErrorMessage="1" sqref="Q10:Q22 C10:H22">
      <formula1>"√,×"</formula1>
    </dataValidation>
  </dataValidations>
  <hyperlinks>
    <hyperlink ref="S3" location="底稿目录!A1" display="I1-5"/>
  </hyperlinks>
  <printOptions horizontalCentered="1"/>
  <pageMargins left="0.59055118110236227" right="0.59055118110236227" top="0.78740157480314965" bottom="0.39370078740157483" header="0.51181102362204722" footer="0.31496062992125984"/>
  <pageSetup paperSize="9" scale="63" fitToHeight="3" orientation="landscape"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N41"/>
  <sheetViews>
    <sheetView view="pageBreakPreview" zoomScaleNormal="100" workbookViewId="0">
      <selection sqref="A1:N1"/>
    </sheetView>
  </sheetViews>
  <sheetFormatPr defaultColWidth="9" defaultRowHeight="18" customHeight="1"/>
  <cols>
    <col min="1" max="1" width="18.109375" style="7" customWidth="1"/>
    <col min="2" max="9" width="9" style="7"/>
    <col min="10" max="10" width="11.6640625" style="7" customWidth="1"/>
    <col min="11" max="13" width="9" style="7"/>
    <col min="14" max="14" width="20.6640625" style="7" customWidth="1"/>
    <col min="15" max="16384" width="9" style="7"/>
  </cols>
  <sheetData>
    <row r="1" spans="1:14" s="1" customFormat="1" ht="20.100000000000001" customHeight="1">
      <c r="A1" s="314" t="s">
        <v>86</v>
      </c>
      <c r="B1" s="314"/>
      <c r="C1" s="314"/>
      <c r="D1" s="314"/>
      <c r="E1" s="314"/>
      <c r="F1" s="314"/>
      <c r="G1" s="314"/>
      <c r="H1" s="314"/>
      <c r="I1" s="314"/>
      <c r="J1" s="314"/>
      <c r="K1" s="314"/>
      <c r="L1" s="314"/>
      <c r="M1" s="314"/>
      <c r="N1" s="314"/>
    </row>
    <row r="2" spans="1:14" s="2" customFormat="1" ht="25.05" customHeight="1">
      <c r="A2" s="284" t="s">
        <v>285</v>
      </c>
      <c r="B2" s="322"/>
      <c r="C2" s="322"/>
      <c r="D2" s="322"/>
      <c r="E2" s="322"/>
      <c r="F2" s="322"/>
      <c r="G2" s="322"/>
      <c r="H2" s="322"/>
      <c r="I2" s="322"/>
      <c r="J2" s="322"/>
      <c r="K2" s="322"/>
      <c r="L2" s="322"/>
      <c r="M2" s="322"/>
      <c r="N2" s="322"/>
    </row>
    <row r="3" spans="1:14" ht="20.100000000000001" customHeight="1">
      <c r="A3" s="7" t="str">
        <f>底稿目录!A2</f>
        <v>被审计单位：</v>
      </c>
      <c r="D3" s="7" t="str">
        <f>底稿目录!A4</f>
        <v>编制人：</v>
      </c>
      <c r="I3" s="25" t="str">
        <f>底稿目录!A5</f>
        <v>编制日期：</v>
      </c>
      <c r="J3" s="25"/>
      <c r="L3" s="86"/>
      <c r="M3" s="7" t="s">
        <v>88</v>
      </c>
      <c r="N3" s="267" t="s">
        <v>570</v>
      </c>
    </row>
    <row r="4" spans="1:14" ht="20.100000000000001" customHeight="1">
      <c r="A4" s="7" t="str">
        <f>底稿目录!A3</f>
        <v>截止日：202X年12月31日</v>
      </c>
      <c r="D4" s="7" t="str">
        <f>底稿目录!A6</f>
        <v>复核人：</v>
      </c>
      <c r="I4" s="25" t="str">
        <f>底稿目录!A7</f>
        <v>复核日期：</v>
      </c>
      <c r="J4" s="25"/>
      <c r="L4" s="86"/>
      <c r="M4" s="7" t="s">
        <v>136</v>
      </c>
      <c r="N4" s="87"/>
    </row>
    <row r="5" spans="1:14" s="14" customFormat="1" ht="20.100000000000001" customHeight="1">
      <c r="A5" s="9" t="s">
        <v>194</v>
      </c>
      <c r="E5" s="50"/>
      <c r="I5" s="84"/>
      <c r="N5" s="85"/>
    </row>
    <row r="6" spans="1:14" s="14" customFormat="1" ht="20.100000000000001" customHeight="1">
      <c r="A6" s="12" t="s">
        <v>286</v>
      </c>
      <c r="E6" s="50"/>
      <c r="I6" s="84"/>
      <c r="N6" s="85"/>
    </row>
    <row r="7" spans="1:14" s="14" customFormat="1" ht="20.100000000000001" customHeight="1">
      <c r="A7" s="9" t="s">
        <v>196</v>
      </c>
      <c r="E7" s="11"/>
      <c r="I7" s="84"/>
      <c r="N7" s="85"/>
    </row>
    <row r="8" spans="1:14" s="4" customFormat="1" ht="20.100000000000001" customHeight="1">
      <c r="A8" s="324" t="s">
        <v>541</v>
      </c>
      <c r="B8" s="323" t="s">
        <v>287</v>
      </c>
      <c r="C8" s="323"/>
      <c r="D8" s="323"/>
      <c r="E8" s="323"/>
      <c r="F8" s="323" t="s">
        <v>288</v>
      </c>
      <c r="G8" s="323"/>
      <c r="H8" s="323"/>
      <c r="I8" s="323" t="s">
        <v>289</v>
      </c>
      <c r="J8" s="323"/>
      <c r="K8" s="329" t="s">
        <v>5</v>
      </c>
      <c r="L8" s="306" t="s">
        <v>290</v>
      </c>
      <c r="M8" s="323" t="s">
        <v>291</v>
      </c>
      <c r="N8" s="307" t="s">
        <v>292</v>
      </c>
    </row>
    <row r="9" spans="1:14" s="4" customFormat="1" ht="30.75" customHeight="1">
      <c r="A9" s="325"/>
      <c r="B9" s="16" t="s">
        <v>293</v>
      </c>
      <c r="C9" s="16" t="s">
        <v>294</v>
      </c>
      <c r="D9" s="16" t="s">
        <v>295</v>
      </c>
      <c r="E9" s="16" t="s">
        <v>272</v>
      </c>
      <c r="F9" s="16" t="s">
        <v>294</v>
      </c>
      <c r="G9" s="16" t="s">
        <v>274</v>
      </c>
      <c r="H9" s="16" t="s">
        <v>275</v>
      </c>
      <c r="I9" s="16" t="s">
        <v>296</v>
      </c>
      <c r="J9" s="16" t="s">
        <v>283</v>
      </c>
      <c r="K9" s="326"/>
      <c r="L9" s="323"/>
      <c r="M9" s="323"/>
      <c r="N9" s="326"/>
    </row>
    <row r="10" spans="1:14" ht="20.100000000000001" customHeight="1">
      <c r="A10" s="17"/>
      <c r="B10" s="17"/>
      <c r="C10" s="35"/>
      <c r="D10" s="35"/>
      <c r="E10" s="35"/>
      <c r="F10" s="35"/>
      <c r="G10" s="35"/>
      <c r="H10" s="35"/>
      <c r="I10" s="17"/>
      <c r="J10" s="35"/>
      <c r="K10" s="17"/>
      <c r="L10" s="43"/>
      <c r="M10" s="17"/>
      <c r="N10" s="17"/>
    </row>
    <row r="11" spans="1:14" ht="20.100000000000001" customHeight="1">
      <c r="A11" s="17"/>
      <c r="B11" s="17"/>
      <c r="C11" s="35"/>
      <c r="D11" s="35"/>
      <c r="E11" s="35"/>
      <c r="F11" s="35"/>
      <c r="G11" s="35"/>
      <c r="H11" s="35"/>
      <c r="I11" s="17"/>
      <c r="J11" s="35"/>
      <c r="K11" s="17"/>
      <c r="L11" s="43"/>
      <c r="M11" s="17"/>
      <c r="N11" s="17"/>
    </row>
    <row r="12" spans="1:14" ht="20.100000000000001" customHeight="1">
      <c r="A12" s="17"/>
      <c r="B12" s="17"/>
      <c r="C12" s="35"/>
      <c r="D12" s="35"/>
      <c r="E12" s="35"/>
      <c r="F12" s="35"/>
      <c r="G12" s="35"/>
      <c r="H12" s="35"/>
      <c r="I12" s="17"/>
      <c r="J12" s="35"/>
      <c r="K12" s="17"/>
      <c r="L12" s="43"/>
      <c r="M12" s="17"/>
      <c r="N12" s="17"/>
    </row>
    <row r="13" spans="1:14" ht="20.100000000000001" customHeight="1">
      <c r="A13" s="17"/>
      <c r="B13" s="17"/>
      <c r="C13" s="35"/>
      <c r="D13" s="35"/>
      <c r="E13" s="35"/>
      <c r="F13" s="35"/>
      <c r="G13" s="35"/>
      <c r="H13" s="35"/>
      <c r="I13" s="17"/>
      <c r="J13" s="35"/>
      <c r="K13" s="17"/>
      <c r="L13" s="43"/>
      <c r="M13" s="17"/>
      <c r="N13" s="17"/>
    </row>
    <row r="14" spans="1:14" ht="20.100000000000001" customHeight="1">
      <c r="A14" s="17"/>
      <c r="B14" s="17"/>
      <c r="C14" s="35"/>
      <c r="D14" s="35"/>
      <c r="E14" s="35"/>
      <c r="F14" s="35"/>
      <c r="G14" s="35"/>
      <c r="H14" s="35"/>
      <c r="I14" s="17"/>
      <c r="J14" s="35"/>
      <c r="K14" s="17"/>
      <c r="L14" s="43"/>
      <c r="M14" s="17"/>
      <c r="N14" s="17"/>
    </row>
    <row r="15" spans="1:14" ht="20.100000000000001" customHeight="1">
      <c r="A15" s="17"/>
      <c r="B15" s="17"/>
      <c r="C15" s="35"/>
      <c r="D15" s="35"/>
      <c r="E15" s="35"/>
      <c r="F15" s="35"/>
      <c r="G15" s="35"/>
      <c r="H15" s="35"/>
      <c r="I15" s="17"/>
      <c r="J15" s="35"/>
      <c r="K15" s="17"/>
      <c r="L15" s="43"/>
      <c r="M15" s="17"/>
      <c r="N15" s="17"/>
    </row>
    <row r="16" spans="1:14" ht="20.100000000000001" customHeight="1">
      <c r="A16" s="17"/>
      <c r="B16" s="17"/>
      <c r="C16" s="35"/>
      <c r="D16" s="35"/>
      <c r="E16" s="35"/>
      <c r="F16" s="35"/>
      <c r="G16" s="35"/>
      <c r="H16" s="35"/>
      <c r="I16" s="17"/>
      <c r="J16" s="35"/>
      <c r="K16" s="17"/>
      <c r="L16" s="43"/>
      <c r="M16" s="17"/>
      <c r="N16" s="17"/>
    </row>
    <row r="17" spans="1:14" ht="20.100000000000001" customHeight="1">
      <c r="A17" s="17"/>
      <c r="B17" s="17"/>
      <c r="C17" s="35"/>
      <c r="D17" s="35"/>
      <c r="E17" s="35"/>
      <c r="F17" s="35"/>
      <c r="G17" s="35"/>
      <c r="H17" s="35"/>
      <c r="I17" s="17"/>
      <c r="J17" s="35"/>
      <c r="K17" s="17"/>
      <c r="L17" s="43"/>
      <c r="M17" s="17"/>
      <c r="N17" s="17"/>
    </row>
    <row r="18" spans="1:14" s="1" customFormat="1" ht="20.100000000000001" customHeight="1">
      <c r="A18" s="15" t="s">
        <v>140</v>
      </c>
      <c r="B18" s="38"/>
      <c r="C18" s="38"/>
      <c r="D18" s="38"/>
      <c r="E18" s="38"/>
      <c r="F18" s="38"/>
      <c r="G18" s="38"/>
      <c r="H18" s="38"/>
      <c r="I18" s="38"/>
      <c r="J18" s="38"/>
      <c r="K18" s="38"/>
      <c r="L18" s="38"/>
      <c r="M18" s="38"/>
      <c r="N18" s="38"/>
    </row>
    <row r="19" spans="1:14" s="1" customFormat="1" ht="20.100000000000001" customHeight="1">
      <c r="A19" s="324" t="s">
        <v>329</v>
      </c>
      <c r="B19" s="306" t="s">
        <v>297</v>
      </c>
      <c r="C19" s="306"/>
      <c r="D19" s="306"/>
      <c r="E19" s="306"/>
      <c r="F19" s="307" t="s">
        <v>298</v>
      </c>
      <c r="G19" s="327" t="s">
        <v>299</v>
      </c>
      <c r="H19" s="327" t="s">
        <v>300</v>
      </c>
      <c r="I19" s="307" t="s">
        <v>301</v>
      </c>
      <c r="J19" s="307" t="s">
        <v>302</v>
      </c>
    </row>
    <row r="20" spans="1:14" s="1" customFormat="1" ht="20.100000000000001" customHeight="1">
      <c r="A20" s="324"/>
      <c r="B20" s="198" t="s">
        <v>303</v>
      </c>
      <c r="C20" s="198" t="s">
        <v>200</v>
      </c>
      <c r="D20" s="198" t="s">
        <v>201</v>
      </c>
      <c r="E20" s="198" t="s">
        <v>171</v>
      </c>
      <c r="F20" s="309"/>
      <c r="G20" s="328"/>
      <c r="H20" s="328"/>
      <c r="I20" s="309"/>
      <c r="J20" s="309"/>
    </row>
    <row r="21" spans="1:14" s="1" customFormat="1" ht="20.100000000000001" customHeight="1">
      <c r="A21" s="17"/>
      <c r="B21" s="17"/>
      <c r="C21" s="17"/>
      <c r="D21" s="17"/>
      <c r="E21" s="42">
        <f>B21-C21-D21</f>
        <v>0</v>
      </c>
      <c r="F21" s="43"/>
      <c r="G21" s="17"/>
      <c r="H21" s="17"/>
      <c r="I21" s="42">
        <f>H21-G21-E21</f>
        <v>0</v>
      </c>
      <c r="J21" s="35"/>
    </row>
    <row r="22" spans="1:14" s="1" customFormat="1" ht="20.100000000000001" customHeight="1">
      <c r="A22" s="17"/>
      <c r="B22" s="17"/>
      <c r="C22" s="17"/>
      <c r="D22" s="17"/>
      <c r="E22" s="42">
        <f t="shared" ref="E22:E28" si="0">B22-C22-D22</f>
        <v>0</v>
      </c>
      <c r="F22" s="43"/>
      <c r="G22" s="17"/>
      <c r="H22" s="17"/>
      <c r="I22" s="42">
        <f t="shared" ref="I22:I28" si="1">H22-G22-E22</f>
        <v>0</v>
      </c>
      <c r="J22" s="35"/>
    </row>
    <row r="23" spans="1:14" s="1" customFormat="1" ht="20.100000000000001" customHeight="1">
      <c r="A23" s="17"/>
      <c r="B23" s="17"/>
      <c r="C23" s="17"/>
      <c r="D23" s="17"/>
      <c r="E23" s="42">
        <f t="shared" si="0"/>
        <v>0</v>
      </c>
      <c r="F23" s="43"/>
      <c r="G23" s="17"/>
      <c r="H23" s="17"/>
      <c r="I23" s="42">
        <f t="shared" si="1"/>
        <v>0</v>
      </c>
      <c r="J23" s="35"/>
    </row>
    <row r="24" spans="1:14" s="1" customFormat="1" ht="20.100000000000001" customHeight="1">
      <c r="A24" s="17"/>
      <c r="B24" s="17"/>
      <c r="C24" s="17"/>
      <c r="D24" s="17"/>
      <c r="E24" s="42">
        <f t="shared" si="0"/>
        <v>0</v>
      </c>
      <c r="F24" s="43"/>
      <c r="G24" s="17"/>
      <c r="H24" s="17"/>
      <c r="I24" s="42">
        <f t="shared" si="1"/>
        <v>0</v>
      </c>
      <c r="J24" s="35"/>
    </row>
    <row r="25" spans="1:14" s="1" customFormat="1" ht="20.100000000000001" customHeight="1">
      <c r="A25" s="17"/>
      <c r="B25" s="17"/>
      <c r="C25" s="17"/>
      <c r="D25" s="17"/>
      <c r="E25" s="42">
        <f t="shared" si="0"/>
        <v>0</v>
      </c>
      <c r="F25" s="43"/>
      <c r="G25" s="17"/>
      <c r="H25" s="17"/>
      <c r="I25" s="42">
        <f t="shared" si="1"/>
        <v>0</v>
      </c>
      <c r="J25" s="35"/>
    </row>
    <row r="26" spans="1:14" s="1" customFormat="1" ht="20.100000000000001" customHeight="1">
      <c r="A26" s="17"/>
      <c r="B26" s="17"/>
      <c r="C26" s="17"/>
      <c r="D26" s="17"/>
      <c r="E26" s="42">
        <f t="shared" si="0"/>
        <v>0</v>
      </c>
      <c r="F26" s="43"/>
      <c r="G26" s="17"/>
      <c r="H26" s="17"/>
      <c r="I26" s="42">
        <f t="shared" si="1"/>
        <v>0</v>
      </c>
      <c r="J26" s="35"/>
    </row>
    <row r="27" spans="1:14" s="1" customFormat="1" ht="20.100000000000001" customHeight="1">
      <c r="A27" s="17"/>
      <c r="B27" s="17"/>
      <c r="C27" s="17"/>
      <c r="D27" s="17"/>
      <c r="E27" s="42">
        <f t="shared" si="0"/>
        <v>0</v>
      </c>
      <c r="F27" s="43"/>
      <c r="G27" s="17"/>
      <c r="H27" s="17"/>
      <c r="I27" s="42">
        <f t="shared" si="1"/>
        <v>0</v>
      </c>
      <c r="J27" s="35"/>
    </row>
    <row r="28" spans="1:14" s="1" customFormat="1" ht="20.100000000000001" customHeight="1">
      <c r="A28" s="17"/>
      <c r="B28" s="17"/>
      <c r="C28" s="17"/>
      <c r="D28" s="17"/>
      <c r="E28" s="42">
        <f t="shared" si="0"/>
        <v>0</v>
      </c>
      <c r="F28" s="43"/>
      <c r="G28" s="17"/>
      <c r="H28" s="17"/>
      <c r="I28" s="42">
        <f t="shared" si="1"/>
        <v>0</v>
      </c>
      <c r="J28" s="35"/>
    </row>
    <row r="29" spans="1:14" s="1" customFormat="1" ht="20.100000000000001" customHeight="1">
      <c r="A29" s="15" t="s">
        <v>140</v>
      </c>
      <c r="B29" s="42">
        <f>SUM(B21:B28)</f>
        <v>0</v>
      </c>
      <c r="C29" s="42">
        <f t="shared" ref="C29:I29" si="2">SUM(C21:C28)</f>
        <v>0</v>
      </c>
      <c r="D29" s="42">
        <f t="shared" si="2"/>
        <v>0</v>
      </c>
      <c r="E29" s="42">
        <f t="shared" si="2"/>
        <v>0</v>
      </c>
      <c r="F29" s="42"/>
      <c r="G29" s="42">
        <f t="shared" si="2"/>
        <v>0</v>
      </c>
      <c r="H29" s="42">
        <f t="shared" si="2"/>
        <v>0</v>
      </c>
      <c r="I29" s="42">
        <f t="shared" si="2"/>
        <v>0</v>
      </c>
      <c r="J29" s="42"/>
    </row>
    <row r="30" spans="1:14" s="1" customFormat="1" ht="20.100000000000001" customHeight="1">
      <c r="A30" s="24" t="s">
        <v>227</v>
      </c>
    </row>
    <row r="31" spans="1:14" s="1" customFormat="1" ht="20.100000000000001" customHeight="1">
      <c r="A31" s="24"/>
    </row>
    <row r="32" spans="1:14" s="1" customFormat="1" ht="20.100000000000001" customHeight="1">
      <c r="A32" s="24"/>
    </row>
    <row r="33" spans="1:1" ht="20.100000000000001" customHeight="1">
      <c r="A33" s="3"/>
    </row>
    <row r="34" spans="1:1" ht="20.100000000000001" customHeight="1">
      <c r="A34" s="3"/>
    </row>
    <row r="35" spans="1:1" ht="20.100000000000001" customHeight="1">
      <c r="A35" s="24" t="s">
        <v>228</v>
      </c>
    </row>
    <row r="36" spans="1:1" ht="20.100000000000001" customHeight="1"/>
    <row r="37" spans="1:1" ht="20.100000000000001" customHeight="1"/>
    <row r="39" spans="1:1" ht="18" customHeight="1">
      <c r="A39" s="6" t="s">
        <v>284</v>
      </c>
    </row>
    <row r="40" spans="1:1" ht="18" customHeight="1">
      <c r="A40" s="6" t="s">
        <v>304</v>
      </c>
    </row>
    <row r="41" spans="1:1" ht="18" customHeight="1">
      <c r="A41" s="6" t="s">
        <v>305</v>
      </c>
    </row>
  </sheetData>
  <mergeCells count="17">
    <mergeCell ref="H19:H20"/>
    <mergeCell ref="I19:I20"/>
    <mergeCell ref="J19:J20"/>
    <mergeCell ref="K8:K9"/>
    <mergeCell ref="L8:L9"/>
    <mergeCell ref="B19:E19"/>
    <mergeCell ref="A8:A9"/>
    <mergeCell ref="A19:A20"/>
    <mergeCell ref="F19:F20"/>
    <mergeCell ref="G19:G20"/>
    <mergeCell ref="A1:N1"/>
    <mergeCell ref="A2:N2"/>
    <mergeCell ref="B8:E8"/>
    <mergeCell ref="F8:H8"/>
    <mergeCell ref="I8:J8"/>
    <mergeCell ref="M8:M9"/>
    <mergeCell ref="N8:N9"/>
  </mergeCells>
  <phoneticPr fontId="75" type="noConversion"/>
  <dataValidations count="1">
    <dataValidation type="list" allowBlank="1" showInputMessage="1" showErrorMessage="1" sqref="J10:J17 J21:J28 C10:H17">
      <formula1>"√,×"</formula1>
    </dataValidation>
  </dataValidations>
  <hyperlinks>
    <hyperlink ref="N3" location="底稿目录!A1" display="I1-6"/>
  </hyperlinks>
  <printOptions horizontalCentered="1"/>
  <pageMargins left="0.59055118110236204" right="0.59055118110236204" top="0.78740157480314998" bottom="0.39370078740157499" header="0.511811023622047" footer="0.31496062992126"/>
  <pageSetup paperSize="9" scale="91" orientation="landscape" blackAndWhite="1" r:id="rId1"/>
  <rowBreaks count="1" manualBreakCount="1">
    <brk id="18" max="1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Q28"/>
  <sheetViews>
    <sheetView view="pageBreakPreview" zoomScaleNormal="100" workbookViewId="0">
      <selection sqref="A1:M1"/>
    </sheetView>
  </sheetViews>
  <sheetFormatPr defaultColWidth="9" defaultRowHeight="18" customHeight="1"/>
  <cols>
    <col min="1" max="1" width="20.6640625" style="7" customWidth="1"/>
    <col min="2" max="2" width="15.33203125" style="7" customWidth="1"/>
    <col min="3" max="4" width="10.77734375" style="7" customWidth="1"/>
    <col min="5" max="5" width="9.109375" style="7" customWidth="1"/>
    <col min="6" max="6" width="15.88671875" style="7" customWidth="1"/>
    <col min="7" max="7" width="10.44140625" style="7" customWidth="1"/>
    <col min="8" max="8" width="11.6640625" style="7" customWidth="1"/>
    <col min="9" max="9" width="9.109375" style="7" customWidth="1"/>
    <col min="10" max="10" width="10.21875" style="7" customWidth="1"/>
    <col min="11" max="11" width="17.109375" style="7" customWidth="1"/>
    <col min="12" max="12" width="9.44140625" style="7" customWidth="1"/>
    <col min="13" max="13" width="9" style="7" customWidth="1"/>
    <col min="14" max="16384" width="9" style="7"/>
  </cols>
  <sheetData>
    <row r="1" spans="1:17" s="1" customFormat="1" ht="20.100000000000001" customHeight="1">
      <c r="A1" s="283" t="s">
        <v>86</v>
      </c>
      <c r="B1" s="283"/>
      <c r="C1" s="283"/>
      <c r="D1" s="283"/>
      <c r="E1" s="283"/>
      <c r="F1" s="283"/>
      <c r="G1" s="283"/>
      <c r="H1" s="283"/>
      <c r="I1" s="283"/>
      <c r="J1" s="283"/>
      <c r="K1" s="283"/>
      <c r="L1" s="283"/>
      <c r="M1" s="283"/>
    </row>
    <row r="2" spans="1:17" s="2" customFormat="1" ht="25.05" customHeight="1">
      <c r="A2" s="284" t="s">
        <v>306</v>
      </c>
      <c r="B2" s="284"/>
      <c r="C2" s="284"/>
      <c r="D2" s="284"/>
      <c r="E2" s="284"/>
      <c r="F2" s="284"/>
      <c r="G2" s="284"/>
      <c r="H2" s="284"/>
      <c r="I2" s="284"/>
      <c r="J2" s="284"/>
      <c r="K2" s="284"/>
      <c r="L2" s="284"/>
      <c r="M2" s="284"/>
    </row>
    <row r="3" spans="1:17" ht="20.100000000000001" customHeight="1">
      <c r="A3" s="7" t="str">
        <f>底稿目录!A2</f>
        <v>被审计单位：</v>
      </c>
      <c r="D3" s="7" t="str">
        <f>底稿目录!A4</f>
        <v>编制人：</v>
      </c>
      <c r="G3" s="25" t="str">
        <f>底稿目录!A5</f>
        <v>编制日期：</v>
      </c>
      <c r="H3" s="25"/>
      <c r="L3" s="7" t="s">
        <v>88</v>
      </c>
      <c r="M3" s="267" t="s">
        <v>519</v>
      </c>
    </row>
    <row r="4" spans="1:17" ht="20.100000000000001" customHeight="1">
      <c r="A4" s="7" t="str">
        <f>底稿目录!A3</f>
        <v>截止日：202X年12月31日</v>
      </c>
      <c r="D4" s="7" t="str">
        <f>底稿目录!A6</f>
        <v>复核人：</v>
      </c>
      <c r="G4" s="25" t="str">
        <f>底稿目录!A7</f>
        <v>复核日期：</v>
      </c>
      <c r="H4" s="25"/>
      <c r="L4" s="7" t="s">
        <v>136</v>
      </c>
      <c r="M4" s="87"/>
    </row>
    <row r="5" spans="1:17" s="14" customFormat="1" ht="20.100000000000001" customHeight="1">
      <c r="A5" s="9" t="s">
        <v>194</v>
      </c>
      <c r="B5" s="10"/>
      <c r="H5" s="50"/>
      <c r="N5" s="84"/>
      <c r="Q5" s="85"/>
    </row>
    <row r="6" spans="1:17" s="14" customFormat="1" ht="20.100000000000001" customHeight="1">
      <c r="A6" s="12" t="s">
        <v>307</v>
      </c>
      <c r="H6" s="50"/>
      <c r="N6" s="84"/>
      <c r="Q6" s="85"/>
    </row>
    <row r="7" spans="1:17" s="14" customFormat="1" ht="20.100000000000001" customHeight="1">
      <c r="A7" s="13" t="s">
        <v>196</v>
      </c>
      <c r="H7" s="11"/>
      <c r="N7" s="84"/>
      <c r="Q7" s="85"/>
    </row>
    <row r="8" spans="1:17" s="4" customFormat="1" ht="20.100000000000001" customHeight="1">
      <c r="A8" s="324" t="s">
        <v>541</v>
      </c>
      <c r="B8" s="323" t="s">
        <v>308</v>
      </c>
      <c r="C8" s="323"/>
      <c r="D8" s="323"/>
      <c r="E8" s="323" t="s">
        <v>309</v>
      </c>
      <c r="F8" s="323"/>
      <c r="G8" s="323"/>
      <c r="H8" s="323" t="s">
        <v>310</v>
      </c>
      <c r="I8" s="323"/>
      <c r="J8" s="323" t="s">
        <v>311</v>
      </c>
      <c r="K8" s="337" t="s">
        <v>551</v>
      </c>
      <c r="L8" s="306" t="s">
        <v>312</v>
      </c>
      <c r="M8" s="323" t="s">
        <v>5</v>
      </c>
    </row>
    <row r="9" spans="1:17" s="4" customFormat="1" ht="29.25" customHeight="1">
      <c r="A9" s="325"/>
      <c r="B9" s="16" t="s">
        <v>313</v>
      </c>
      <c r="C9" s="16" t="s">
        <v>314</v>
      </c>
      <c r="D9" s="16" t="s">
        <v>315</v>
      </c>
      <c r="E9" s="16" t="s">
        <v>313</v>
      </c>
      <c r="F9" s="16" t="s">
        <v>316</v>
      </c>
      <c r="G9" s="16" t="s">
        <v>315</v>
      </c>
      <c r="H9" s="16" t="s">
        <v>317</v>
      </c>
      <c r="I9" s="16" t="s">
        <v>318</v>
      </c>
      <c r="J9" s="323"/>
      <c r="K9" s="338"/>
      <c r="L9" s="323"/>
      <c r="M9" s="323"/>
    </row>
    <row r="10" spans="1:17" ht="20.100000000000001" customHeight="1">
      <c r="A10" s="17"/>
      <c r="B10" s="35"/>
      <c r="C10" s="17"/>
      <c r="D10" s="17"/>
      <c r="E10" s="35"/>
      <c r="F10" s="17"/>
      <c r="G10" s="17"/>
      <c r="H10" s="35"/>
      <c r="I10" s="35"/>
      <c r="J10" s="35"/>
      <c r="K10" s="17"/>
      <c r="L10" s="17"/>
      <c r="M10" s="17"/>
    </row>
    <row r="11" spans="1:17" ht="20.100000000000001" customHeight="1">
      <c r="A11" s="17"/>
      <c r="B11" s="35"/>
      <c r="C11" s="17"/>
      <c r="D11" s="17"/>
      <c r="E11" s="35"/>
      <c r="F11" s="17"/>
      <c r="G11" s="17"/>
      <c r="H11" s="35"/>
      <c r="I11" s="35"/>
      <c r="J11" s="35"/>
      <c r="K11" s="17"/>
      <c r="L11" s="17"/>
      <c r="M11" s="17"/>
    </row>
    <row r="12" spans="1:17" ht="20.100000000000001" customHeight="1">
      <c r="A12" s="17"/>
      <c r="B12" s="35"/>
      <c r="C12" s="17"/>
      <c r="D12" s="17"/>
      <c r="E12" s="35"/>
      <c r="F12" s="17"/>
      <c r="G12" s="17"/>
      <c r="H12" s="35"/>
      <c r="I12" s="35"/>
      <c r="J12" s="35"/>
      <c r="K12" s="17"/>
      <c r="L12" s="17"/>
      <c r="M12" s="17"/>
    </row>
    <row r="13" spans="1:17" ht="20.100000000000001" customHeight="1">
      <c r="A13" s="17"/>
      <c r="B13" s="35"/>
      <c r="C13" s="17"/>
      <c r="D13" s="17"/>
      <c r="E13" s="35"/>
      <c r="F13" s="17"/>
      <c r="G13" s="17"/>
      <c r="H13" s="35"/>
      <c r="I13" s="35"/>
      <c r="J13" s="35"/>
      <c r="K13" s="17"/>
      <c r="L13" s="17"/>
      <c r="M13" s="17"/>
    </row>
    <row r="14" spans="1:17" ht="20.100000000000001" customHeight="1">
      <c r="A14" s="17"/>
      <c r="B14" s="35"/>
      <c r="C14" s="17"/>
      <c r="D14" s="17"/>
      <c r="E14" s="35"/>
      <c r="F14" s="17"/>
      <c r="G14" s="17"/>
      <c r="H14" s="35"/>
      <c r="I14" s="35"/>
      <c r="J14" s="35"/>
      <c r="K14" s="17"/>
      <c r="L14" s="17"/>
      <c r="M14" s="17"/>
    </row>
    <row r="15" spans="1:17" ht="20.100000000000001" customHeight="1">
      <c r="A15" s="17"/>
      <c r="B15" s="35"/>
      <c r="C15" s="17"/>
      <c r="D15" s="17"/>
      <c r="E15" s="35"/>
      <c r="F15" s="17"/>
      <c r="G15" s="17"/>
      <c r="H15" s="35"/>
      <c r="I15" s="35"/>
      <c r="J15" s="35"/>
      <c r="K15" s="17"/>
      <c r="L15" s="17"/>
      <c r="M15" s="17"/>
    </row>
    <row r="16" spans="1:17" ht="20.100000000000001" customHeight="1">
      <c r="A16" s="17"/>
      <c r="B16" s="35"/>
      <c r="C16" s="17"/>
      <c r="D16" s="17"/>
      <c r="E16" s="35"/>
      <c r="F16" s="17"/>
      <c r="G16" s="17"/>
      <c r="H16" s="35"/>
      <c r="I16" s="35"/>
      <c r="J16" s="35"/>
      <c r="K16" s="17"/>
      <c r="L16" s="17"/>
      <c r="M16" s="17"/>
    </row>
    <row r="17" spans="1:17" ht="20.100000000000001" customHeight="1">
      <c r="A17" s="17"/>
      <c r="B17" s="35"/>
      <c r="C17" s="17"/>
      <c r="D17" s="17"/>
      <c r="E17" s="35"/>
      <c r="F17" s="17"/>
      <c r="G17" s="17"/>
      <c r="H17" s="35"/>
      <c r="I17" s="35"/>
      <c r="J17" s="35"/>
      <c r="K17" s="17"/>
      <c r="L17" s="17"/>
      <c r="M17" s="17"/>
    </row>
    <row r="18" spans="1:17" s="14" customFormat="1" ht="20.100000000000001" customHeight="1">
      <c r="A18" s="12" t="s">
        <v>319</v>
      </c>
      <c r="H18" s="11"/>
      <c r="N18" s="84"/>
      <c r="Q18" s="85"/>
    </row>
    <row r="19" spans="1:17" ht="20.100000000000001" customHeight="1">
      <c r="A19" s="324" t="s">
        <v>541</v>
      </c>
      <c r="B19" s="306" t="s">
        <v>320</v>
      </c>
      <c r="C19" s="298" t="s">
        <v>321</v>
      </c>
      <c r="D19" s="290"/>
      <c r="E19" s="290"/>
      <c r="F19" s="290"/>
      <c r="G19" s="290"/>
      <c r="H19" s="290"/>
      <c r="I19" s="290"/>
      <c r="J19" s="290"/>
      <c r="K19" s="290"/>
      <c r="L19" s="290"/>
      <c r="M19" s="290"/>
    </row>
    <row r="20" spans="1:17" ht="31.5" customHeight="1">
      <c r="A20" s="325"/>
      <c r="B20" s="323"/>
      <c r="C20" s="330" t="s">
        <v>322</v>
      </c>
      <c r="D20" s="331"/>
      <c r="E20" s="332"/>
      <c r="F20" s="330" t="s">
        <v>323</v>
      </c>
      <c r="G20" s="331"/>
      <c r="H20" s="332"/>
      <c r="I20" s="317" t="s">
        <v>324</v>
      </c>
      <c r="J20" s="333"/>
      <c r="K20" s="333"/>
      <c r="L20" s="333"/>
      <c r="M20" s="334"/>
    </row>
    <row r="21" spans="1:17" ht="20.100000000000001" customHeight="1">
      <c r="A21" s="17"/>
      <c r="B21" s="35"/>
      <c r="C21" s="335"/>
      <c r="D21" s="335"/>
      <c r="E21" s="335"/>
      <c r="F21" s="335"/>
      <c r="G21" s="335"/>
      <c r="H21" s="335"/>
      <c r="I21" s="336"/>
      <c r="J21" s="336"/>
      <c r="K21" s="336"/>
      <c r="L21" s="336"/>
      <c r="M21" s="336"/>
    </row>
    <row r="22" spans="1:17" ht="20.100000000000001" customHeight="1">
      <c r="A22" s="17"/>
      <c r="B22" s="17"/>
      <c r="C22" s="335"/>
      <c r="D22" s="335"/>
      <c r="E22" s="335"/>
      <c r="F22" s="335"/>
      <c r="G22" s="335"/>
      <c r="H22" s="335"/>
      <c r="I22" s="336"/>
      <c r="J22" s="336"/>
      <c r="K22" s="336"/>
      <c r="L22" s="336"/>
      <c r="M22" s="336"/>
    </row>
    <row r="23" spans="1:17" ht="20.100000000000001" customHeight="1">
      <c r="A23" s="17"/>
      <c r="B23" s="17"/>
      <c r="C23" s="335"/>
      <c r="D23" s="335"/>
      <c r="E23" s="335"/>
      <c r="F23" s="335"/>
      <c r="G23" s="335"/>
      <c r="H23" s="335"/>
      <c r="I23" s="336"/>
      <c r="J23" s="336"/>
      <c r="K23" s="336"/>
      <c r="L23" s="336"/>
      <c r="M23" s="336"/>
    </row>
    <row r="24" spans="1:17" ht="20.100000000000001" customHeight="1">
      <c r="A24" s="17"/>
      <c r="B24" s="17"/>
      <c r="C24" s="335"/>
      <c r="D24" s="335"/>
      <c r="E24" s="335"/>
      <c r="F24" s="335"/>
      <c r="G24" s="335"/>
      <c r="H24" s="335"/>
      <c r="I24" s="336"/>
      <c r="J24" s="336"/>
      <c r="K24" s="336"/>
      <c r="L24" s="336"/>
      <c r="M24" s="336"/>
    </row>
    <row r="25" spans="1:17" s="1" customFormat="1" ht="20.100000000000001" customHeight="1">
      <c r="A25" s="44" t="s">
        <v>227</v>
      </c>
      <c r="B25" s="45"/>
      <c r="C25" s="45"/>
      <c r="D25" s="45"/>
      <c r="E25" s="45"/>
      <c r="F25" s="45"/>
      <c r="G25" s="45"/>
      <c r="H25" s="45"/>
      <c r="I25" s="45"/>
      <c r="J25" s="45"/>
      <c r="K25" s="45"/>
      <c r="L25" s="45"/>
      <c r="M25" s="45"/>
    </row>
    <row r="26" spans="1:17" ht="20.100000000000001" customHeight="1">
      <c r="A26" s="3"/>
    </row>
    <row r="27" spans="1:17" ht="20.100000000000001" customHeight="1">
      <c r="A27" s="24" t="s">
        <v>228</v>
      </c>
    </row>
    <row r="28" spans="1:17" ht="20.100000000000001" customHeight="1"/>
  </sheetData>
  <mergeCells count="28">
    <mergeCell ref="C24:E24"/>
    <mergeCell ref="F24:H24"/>
    <mergeCell ref="I24:M24"/>
    <mergeCell ref="A8:A9"/>
    <mergeCell ref="A19:A20"/>
    <mergeCell ref="B19:B20"/>
    <mergeCell ref="J8:J9"/>
    <mergeCell ref="K8:K9"/>
    <mergeCell ref="L8:L9"/>
    <mergeCell ref="M8:M9"/>
    <mergeCell ref="C22:E22"/>
    <mergeCell ref="F22:H22"/>
    <mergeCell ref="I22:M22"/>
    <mergeCell ref="C23:E23"/>
    <mergeCell ref="F23:H23"/>
    <mergeCell ref="I23:M23"/>
    <mergeCell ref="C19:M19"/>
    <mergeCell ref="C20:E20"/>
    <mergeCell ref="F20:H20"/>
    <mergeCell ref="I20:M20"/>
    <mergeCell ref="C21:E21"/>
    <mergeCell ref="F21:H21"/>
    <mergeCell ref="I21:M21"/>
    <mergeCell ref="A1:M1"/>
    <mergeCell ref="A2:M2"/>
    <mergeCell ref="B8:D8"/>
    <mergeCell ref="E8:G8"/>
    <mergeCell ref="H8:I8"/>
  </mergeCells>
  <phoneticPr fontId="75" type="noConversion"/>
  <dataValidations count="1">
    <dataValidation type="list" allowBlank="1" showInputMessage="1" showErrorMessage="1" sqref="C21:H24">
      <formula1>"√,X"</formula1>
    </dataValidation>
  </dataValidations>
  <hyperlinks>
    <hyperlink ref="M3" location="底稿目录!A1" display="I1-7"/>
  </hyperlinks>
  <pageMargins left="0.59055118110236227" right="0.59055118110236227" top="0.78740157480314965" bottom="0.39370078740157483" header="0.51181102362204722" footer="0.31496062992125984"/>
  <pageSetup paperSize="9" scale="85" orientation="landscape" blackAndWhite="1" r:id="rId1"/>
  <headerFooter>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U94"/>
  <sheetViews>
    <sheetView view="pageBreakPreview" zoomScaleNormal="100" workbookViewId="0">
      <selection sqref="A1:M1"/>
    </sheetView>
  </sheetViews>
  <sheetFormatPr defaultColWidth="9" defaultRowHeight="15.6"/>
  <cols>
    <col min="1" max="1" width="22.77734375" style="63" customWidth="1"/>
    <col min="2" max="5" width="11.88671875" style="63" customWidth="1"/>
    <col min="6" max="6" width="11" style="63" customWidth="1"/>
    <col min="7" max="13" width="11.88671875" style="63" customWidth="1"/>
    <col min="14" max="16384" width="9" style="63"/>
  </cols>
  <sheetData>
    <row r="1" spans="1:21" s="60" customFormat="1" ht="20.100000000000001" customHeight="1">
      <c r="A1" s="341" t="s">
        <v>86</v>
      </c>
      <c r="B1" s="341"/>
      <c r="C1" s="341"/>
      <c r="D1" s="341"/>
      <c r="E1" s="341"/>
      <c r="F1" s="341"/>
      <c r="G1" s="341"/>
      <c r="H1" s="341"/>
      <c r="I1" s="341"/>
      <c r="J1" s="341"/>
      <c r="K1" s="341"/>
      <c r="L1" s="341"/>
      <c r="M1" s="341"/>
    </row>
    <row r="2" spans="1:21" s="61" customFormat="1" ht="25.05" customHeight="1">
      <c r="A2" s="342" t="s">
        <v>325</v>
      </c>
      <c r="B2" s="342"/>
      <c r="C2" s="342"/>
      <c r="D2" s="342"/>
      <c r="E2" s="342"/>
      <c r="F2" s="342"/>
      <c r="G2" s="342"/>
      <c r="H2" s="342"/>
      <c r="I2" s="342"/>
      <c r="J2" s="342"/>
      <c r="K2" s="342"/>
      <c r="L2" s="342"/>
      <c r="M2" s="342"/>
    </row>
    <row r="3" spans="1:21" s="3" customFormat="1" ht="20.100000000000001" customHeight="1">
      <c r="A3" s="3" t="str">
        <f>底稿目录!A2</f>
        <v>被审计单位：</v>
      </c>
      <c r="B3" s="64"/>
      <c r="D3" s="3" t="str">
        <f>底稿目录!A4</f>
        <v>编制人：</v>
      </c>
      <c r="H3" s="65" t="str">
        <f>底稿目录!A5</f>
        <v>编制日期：</v>
      </c>
      <c r="I3" s="65"/>
      <c r="L3" s="81" t="s">
        <v>326</v>
      </c>
      <c r="M3" s="267" t="s">
        <v>25</v>
      </c>
    </row>
    <row r="4" spans="1:21" s="3" customFormat="1" ht="20.100000000000001" customHeight="1">
      <c r="A4" s="3" t="str">
        <f>底稿目录!A3</f>
        <v>截止日：202X年12月31日</v>
      </c>
      <c r="B4" s="64"/>
      <c r="D4" s="27" t="str">
        <f>底稿目录!A6</f>
        <v>复核人：</v>
      </c>
      <c r="H4" s="66" t="str">
        <f>底稿目录!A7</f>
        <v>复核日期：</v>
      </c>
      <c r="I4" s="65"/>
      <c r="L4" s="81" t="s">
        <v>136</v>
      </c>
      <c r="M4" s="82"/>
    </row>
    <row r="5" spans="1:21" s="62" customFormat="1" ht="20.100000000000001" customHeight="1">
      <c r="A5" s="9" t="s">
        <v>194</v>
      </c>
      <c r="B5" s="67"/>
      <c r="C5" s="67"/>
      <c r="D5" s="67"/>
      <c r="E5" s="67"/>
      <c r="F5" s="67"/>
      <c r="G5" s="67"/>
      <c r="H5" s="67"/>
      <c r="I5" s="67"/>
      <c r="J5" s="67"/>
      <c r="K5" s="67"/>
    </row>
    <row r="6" spans="1:21" s="62" customFormat="1" ht="20.100000000000001" customHeight="1">
      <c r="A6" s="68" t="s">
        <v>327</v>
      </c>
      <c r="C6" s="68"/>
      <c r="D6" s="68"/>
      <c r="E6" s="68"/>
      <c r="F6" s="68"/>
      <c r="G6" s="68"/>
      <c r="H6" s="68"/>
      <c r="I6" s="68"/>
      <c r="J6" s="68"/>
      <c r="K6" s="68"/>
    </row>
    <row r="7" spans="1:21" s="62" customFormat="1" ht="20.100000000000001" customHeight="1">
      <c r="A7" s="69" t="s">
        <v>328</v>
      </c>
      <c r="C7" s="67"/>
      <c r="D7" s="67"/>
      <c r="E7" s="67"/>
      <c r="F7" s="67"/>
      <c r="G7" s="67"/>
      <c r="H7" s="67"/>
      <c r="I7" s="67"/>
      <c r="J7" s="67"/>
      <c r="K7" s="67"/>
    </row>
    <row r="8" spans="1:21" s="3" customFormat="1" ht="20.100000000000001" customHeight="1">
      <c r="A8" s="340" t="s">
        <v>329</v>
      </c>
      <c r="B8" s="340" t="s">
        <v>330</v>
      </c>
      <c r="C8" s="340"/>
      <c r="D8" s="340"/>
      <c r="E8" s="340"/>
      <c r="F8" s="340"/>
      <c r="G8" s="343" t="s">
        <v>331</v>
      </c>
      <c r="H8" s="343"/>
      <c r="I8" s="343"/>
      <c r="J8" s="344"/>
      <c r="K8" s="340" t="s">
        <v>332</v>
      </c>
      <c r="L8" s="340"/>
      <c r="M8" s="340"/>
    </row>
    <row r="9" spans="1:21" s="3" customFormat="1" ht="20.100000000000001" customHeight="1">
      <c r="A9" s="340"/>
      <c r="B9" s="70" t="s">
        <v>333</v>
      </c>
      <c r="C9" s="70" t="s">
        <v>334</v>
      </c>
      <c r="D9" s="70" t="s">
        <v>335</v>
      </c>
      <c r="E9" s="70" t="s">
        <v>336</v>
      </c>
      <c r="F9" s="219" t="s">
        <v>337</v>
      </c>
      <c r="G9" s="70" t="s">
        <v>338</v>
      </c>
      <c r="H9" s="71" t="s">
        <v>339</v>
      </c>
      <c r="I9" s="70" t="s">
        <v>201</v>
      </c>
      <c r="J9" s="70" t="s">
        <v>340</v>
      </c>
      <c r="K9" s="70" t="s">
        <v>205</v>
      </c>
      <c r="L9" s="70" t="s">
        <v>341</v>
      </c>
      <c r="M9" s="70" t="s">
        <v>342</v>
      </c>
    </row>
    <row r="10" spans="1:21" s="3" customFormat="1" ht="20.100000000000001" customHeight="1">
      <c r="A10" s="72"/>
      <c r="B10" s="72"/>
      <c r="C10" s="72"/>
      <c r="D10" s="73"/>
      <c r="E10" s="74"/>
      <c r="F10" s="75"/>
      <c r="G10" s="74"/>
      <c r="H10" s="74"/>
      <c r="I10" s="74"/>
      <c r="J10" s="42">
        <f>G10-H10-I10</f>
        <v>0</v>
      </c>
      <c r="K10" s="74"/>
      <c r="L10" s="74"/>
      <c r="M10" s="74"/>
    </row>
    <row r="11" spans="1:21" s="3" customFormat="1" ht="20.100000000000001" customHeight="1">
      <c r="A11" s="72"/>
      <c r="B11" s="72"/>
      <c r="C11" s="72"/>
      <c r="D11" s="73"/>
      <c r="E11" s="74"/>
      <c r="F11" s="75"/>
      <c r="G11" s="74"/>
      <c r="H11" s="74"/>
      <c r="I11" s="74"/>
      <c r="J11" s="42">
        <f t="shared" ref="J11:J17" si="0">G11-H11-I11</f>
        <v>0</v>
      </c>
      <c r="K11" s="74"/>
      <c r="L11" s="74"/>
      <c r="M11" s="74"/>
    </row>
    <row r="12" spans="1:21" s="3" customFormat="1" ht="20.100000000000001" customHeight="1">
      <c r="A12" s="72"/>
      <c r="B12" s="72"/>
      <c r="C12" s="72"/>
      <c r="D12" s="73"/>
      <c r="E12" s="74"/>
      <c r="F12" s="75"/>
      <c r="G12" s="74"/>
      <c r="H12" s="74"/>
      <c r="I12" s="74"/>
      <c r="J12" s="42">
        <f t="shared" si="0"/>
        <v>0</v>
      </c>
      <c r="K12" s="74"/>
      <c r="L12" s="74"/>
      <c r="M12" s="74"/>
    </row>
    <row r="13" spans="1:21" s="3" customFormat="1" ht="20.100000000000001" customHeight="1">
      <c r="A13" s="72"/>
      <c r="B13" s="72"/>
      <c r="C13" s="72"/>
      <c r="D13" s="73"/>
      <c r="E13" s="74"/>
      <c r="F13" s="75"/>
      <c r="G13" s="74"/>
      <c r="H13" s="74"/>
      <c r="I13" s="74"/>
      <c r="J13" s="42">
        <f t="shared" si="0"/>
        <v>0</v>
      </c>
      <c r="K13" s="74"/>
      <c r="L13" s="74"/>
      <c r="M13" s="74"/>
    </row>
    <row r="14" spans="1:21" s="3" customFormat="1" ht="20.100000000000001" customHeight="1">
      <c r="A14" s="72"/>
      <c r="B14" s="72"/>
      <c r="C14" s="72"/>
      <c r="D14" s="73"/>
      <c r="E14" s="74"/>
      <c r="F14" s="75"/>
      <c r="G14" s="74"/>
      <c r="H14" s="74"/>
      <c r="I14" s="74"/>
      <c r="J14" s="42">
        <f t="shared" si="0"/>
        <v>0</v>
      </c>
      <c r="K14" s="74"/>
      <c r="L14" s="74"/>
      <c r="M14" s="74"/>
    </row>
    <row r="15" spans="1:21" s="3" customFormat="1" ht="20.100000000000001" customHeight="1">
      <c r="A15" s="72"/>
      <c r="B15" s="72"/>
      <c r="C15" s="72"/>
      <c r="D15" s="73"/>
      <c r="E15" s="74"/>
      <c r="F15" s="75"/>
      <c r="G15" s="74"/>
      <c r="H15" s="74"/>
      <c r="I15" s="74"/>
      <c r="J15" s="42">
        <f t="shared" si="0"/>
        <v>0</v>
      </c>
      <c r="K15" s="74"/>
      <c r="L15" s="74"/>
      <c r="M15" s="74"/>
      <c r="U15" s="51"/>
    </row>
    <row r="16" spans="1:21" s="3" customFormat="1" ht="20.100000000000001" customHeight="1">
      <c r="A16" s="72"/>
      <c r="B16" s="72"/>
      <c r="C16" s="72"/>
      <c r="D16" s="73"/>
      <c r="E16" s="74"/>
      <c r="F16" s="75"/>
      <c r="G16" s="74"/>
      <c r="H16" s="74"/>
      <c r="I16" s="74"/>
      <c r="J16" s="42">
        <f t="shared" si="0"/>
        <v>0</v>
      </c>
      <c r="K16" s="74"/>
      <c r="L16" s="74"/>
      <c r="M16" s="74"/>
    </row>
    <row r="17" spans="1:13" s="224" customFormat="1" ht="20.100000000000001" customHeight="1">
      <c r="A17" s="220" t="s">
        <v>542</v>
      </c>
      <c r="B17" s="221"/>
      <c r="C17" s="221"/>
      <c r="D17" s="220"/>
      <c r="E17" s="222"/>
      <c r="F17" s="223"/>
      <c r="G17" s="222"/>
      <c r="H17" s="222"/>
      <c r="I17" s="222"/>
      <c r="J17" s="193">
        <f t="shared" si="0"/>
        <v>0</v>
      </c>
      <c r="K17" s="222"/>
      <c r="L17" s="222"/>
      <c r="M17" s="222"/>
    </row>
    <row r="18" spans="1:13" s="3" customFormat="1" ht="20.100000000000001" customHeight="1">
      <c r="A18" s="69" t="s">
        <v>227</v>
      </c>
      <c r="B18" s="76"/>
      <c r="C18" s="76"/>
      <c r="D18" s="76"/>
      <c r="E18" s="76"/>
      <c r="F18" s="76"/>
      <c r="G18" s="76"/>
      <c r="H18" s="76"/>
      <c r="I18" s="76"/>
      <c r="J18" s="76"/>
      <c r="K18" s="76"/>
    </row>
    <row r="19" spans="1:13" s="3" customFormat="1" ht="20.100000000000001" customHeight="1">
      <c r="A19" s="51"/>
      <c r="B19" s="77"/>
      <c r="C19" s="76"/>
      <c r="D19" s="76"/>
      <c r="E19" s="76"/>
      <c r="F19" s="76"/>
      <c r="G19" s="76"/>
      <c r="H19" s="76"/>
      <c r="I19" s="76"/>
      <c r="J19" s="76"/>
      <c r="K19" s="76"/>
    </row>
    <row r="20" spans="1:13" s="3" customFormat="1" ht="20.100000000000001" customHeight="1">
      <c r="A20" s="51"/>
      <c r="B20" s="77"/>
      <c r="C20" s="78"/>
      <c r="D20" s="78"/>
      <c r="E20" s="78"/>
      <c r="F20" s="78"/>
      <c r="G20" s="78"/>
      <c r="H20" s="78"/>
      <c r="I20" s="78"/>
      <c r="J20" s="78"/>
      <c r="K20" s="78"/>
    </row>
    <row r="21" spans="1:13" s="3" customFormat="1" ht="20.100000000000001" customHeight="1">
      <c r="A21" s="69" t="s">
        <v>228</v>
      </c>
      <c r="B21" s="79"/>
      <c r="C21" s="78"/>
      <c r="D21" s="78"/>
      <c r="E21" s="78"/>
      <c r="F21" s="78"/>
      <c r="G21" s="78"/>
      <c r="H21" s="78"/>
      <c r="I21" s="78"/>
      <c r="J21" s="78"/>
      <c r="K21" s="78"/>
    </row>
    <row r="22" spans="1:13" s="3" customFormat="1" ht="20.100000000000001" customHeight="1">
      <c r="A22" s="51"/>
      <c r="B22" s="79"/>
      <c r="C22" s="78"/>
      <c r="D22" s="78"/>
      <c r="E22" s="78"/>
      <c r="F22" s="78"/>
      <c r="G22" s="78"/>
      <c r="H22" s="78"/>
      <c r="I22" s="78"/>
      <c r="J22" s="78"/>
      <c r="K22" s="78"/>
    </row>
    <row r="23" spans="1:13">
      <c r="A23" s="69"/>
      <c r="B23" s="80"/>
      <c r="C23" s="80"/>
      <c r="D23" s="80"/>
      <c r="E23" s="80"/>
      <c r="F23" s="80"/>
      <c r="G23" s="80"/>
      <c r="H23" s="80"/>
      <c r="I23" s="80"/>
      <c r="J23" s="80"/>
      <c r="K23" s="80"/>
    </row>
    <row r="24" spans="1:13">
      <c r="A24" s="80"/>
      <c r="B24" s="80"/>
      <c r="C24" s="80"/>
      <c r="D24" s="80"/>
      <c r="E24" s="80"/>
      <c r="F24" s="80"/>
      <c r="G24" s="80"/>
      <c r="H24" s="80"/>
      <c r="I24" s="80"/>
      <c r="J24" s="80"/>
      <c r="K24" s="80"/>
    </row>
    <row r="25" spans="1:13" ht="6" customHeight="1">
      <c r="A25" s="80"/>
      <c r="B25" s="80"/>
      <c r="C25" s="80"/>
      <c r="D25" s="80"/>
      <c r="E25" s="80"/>
      <c r="F25" s="80"/>
      <c r="G25" s="80"/>
      <c r="H25" s="80"/>
      <c r="I25" s="80"/>
      <c r="J25" s="80"/>
      <c r="K25" s="80"/>
    </row>
    <row r="26" spans="1:13" hidden="1">
      <c r="A26" s="80"/>
      <c r="B26" s="80"/>
      <c r="C26" s="80"/>
      <c r="D26" s="80"/>
      <c r="E26" s="80"/>
      <c r="F26" s="80"/>
      <c r="G26" s="80"/>
      <c r="H26" s="80"/>
      <c r="I26" s="80"/>
      <c r="J26" s="80"/>
      <c r="K26" s="80"/>
    </row>
    <row r="27" spans="1:13" ht="124.5" customHeight="1">
      <c r="A27" s="339" t="s">
        <v>343</v>
      </c>
      <c r="B27" s="339"/>
      <c r="C27" s="339"/>
      <c r="D27" s="339"/>
      <c r="E27" s="339"/>
      <c r="F27" s="339"/>
      <c r="G27" s="339"/>
      <c r="H27" s="339"/>
      <c r="I27" s="339"/>
      <c r="J27" s="339"/>
      <c r="K27" s="339"/>
      <c r="L27" s="339"/>
      <c r="M27" s="339"/>
    </row>
    <row r="28" spans="1:13">
      <c r="A28" s="80"/>
      <c r="B28" s="80"/>
      <c r="C28" s="80"/>
      <c r="D28" s="80"/>
      <c r="E28" s="80"/>
      <c r="F28" s="80"/>
      <c r="G28" s="80"/>
      <c r="H28" s="80"/>
      <c r="I28" s="80"/>
      <c r="J28" s="80"/>
      <c r="K28" s="80"/>
    </row>
    <row r="29" spans="1:13">
      <c r="A29" s="80"/>
      <c r="B29" s="80"/>
      <c r="C29" s="80"/>
      <c r="D29" s="80"/>
      <c r="E29" s="80"/>
      <c r="F29" s="80"/>
      <c r="G29" s="80"/>
      <c r="H29" s="80"/>
      <c r="I29" s="80"/>
      <c r="J29" s="80"/>
      <c r="K29" s="80"/>
    </row>
    <row r="30" spans="1:13">
      <c r="A30" s="80"/>
      <c r="B30" s="80"/>
      <c r="C30" s="80"/>
      <c r="D30" s="80"/>
      <c r="E30" s="80"/>
      <c r="F30" s="80"/>
      <c r="G30" s="80"/>
      <c r="H30" s="80"/>
      <c r="I30" s="80"/>
      <c r="J30" s="80"/>
      <c r="K30" s="80"/>
    </row>
    <row r="31" spans="1:13">
      <c r="A31" s="80"/>
      <c r="B31" s="80"/>
      <c r="C31" s="80"/>
      <c r="D31" s="80"/>
      <c r="E31" s="80"/>
      <c r="F31" s="80"/>
      <c r="G31" s="80"/>
      <c r="H31" s="80"/>
      <c r="I31" s="80"/>
      <c r="J31" s="80"/>
      <c r="K31" s="80"/>
    </row>
    <row r="32" spans="1:13">
      <c r="A32" s="80"/>
      <c r="B32" s="80"/>
      <c r="C32" s="80"/>
      <c r="D32" s="80"/>
      <c r="E32" s="80"/>
      <c r="F32" s="80"/>
      <c r="G32" s="80"/>
      <c r="H32" s="80"/>
      <c r="I32" s="80"/>
      <c r="J32" s="80"/>
      <c r="K32" s="80"/>
    </row>
    <row r="33" spans="1:11">
      <c r="A33" s="80"/>
      <c r="B33" s="80"/>
      <c r="C33" s="80"/>
      <c r="D33" s="80"/>
      <c r="E33" s="80"/>
      <c r="F33" s="80"/>
      <c r="G33" s="80"/>
      <c r="H33" s="80"/>
      <c r="I33" s="80"/>
      <c r="J33" s="80"/>
      <c r="K33" s="80"/>
    </row>
    <row r="34" spans="1:11">
      <c r="A34" s="80"/>
      <c r="B34" s="80"/>
      <c r="C34" s="80"/>
      <c r="D34" s="80"/>
      <c r="E34" s="80"/>
      <c r="F34" s="80"/>
      <c r="G34" s="80"/>
      <c r="H34" s="80"/>
      <c r="I34" s="80"/>
      <c r="J34" s="80"/>
      <c r="K34" s="80"/>
    </row>
    <row r="35" spans="1:11">
      <c r="A35" s="80"/>
      <c r="B35" s="80"/>
      <c r="C35" s="80"/>
      <c r="D35" s="80"/>
      <c r="E35" s="80"/>
      <c r="F35" s="80"/>
      <c r="G35" s="80"/>
      <c r="H35" s="80"/>
      <c r="I35" s="80"/>
      <c r="J35" s="80"/>
      <c r="K35" s="80"/>
    </row>
    <row r="36" spans="1:11">
      <c r="A36" s="80"/>
      <c r="B36" s="80"/>
      <c r="C36" s="80"/>
      <c r="D36" s="80"/>
      <c r="E36" s="80"/>
      <c r="F36" s="80"/>
      <c r="G36" s="80"/>
      <c r="H36" s="80"/>
      <c r="I36" s="80"/>
      <c r="J36" s="80"/>
      <c r="K36" s="80"/>
    </row>
    <row r="37" spans="1:11">
      <c r="A37" s="80"/>
      <c r="B37" s="80"/>
      <c r="C37" s="80"/>
      <c r="D37" s="80"/>
      <c r="E37" s="80"/>
      <c r="F37" s="80"/>
      <c r="G37" s="80"/>
      <c r="H37" s="80"/>
      <c r="I37" s="80"/>
      <c r="J37" s="80"/>
      <c r="K37" s="80"/>
    </row>
    <row r="38" spans="1:11">
      <c r="A38" s="80"/>
      <c r="B38" s="80"/>
      <c r="C38" s="80"/>
      <c r="D38" s="80"/>
      <c r="E38" s="80"/>
      <c r="F38" s="80"/>
      <c r="G38" s="80"/>
      <c r="H38" s="80"/>
      <c r="I38" s="80"/>
      <c r="J38" s="80"/>
      <c r="K38" s="80"/>
    </row>
    <row r="39" spans="1:11">
      <c r="A39" s="80"/>
      <c r="B39" s="80"/>
      <c r="C39" s="80"/>
      <c r="D39" s="80"/>
      <c r="E39" s="80"/>
      <c r="F39" s="80"/>
      <c r="G39" s="80"/>
      <c r="H39" s="80"/>
      <c r="I39" s="80"/>
      <c r="J39" s="80"/>
      <c r="K39" s="80"/>
    </row>
    <row r="40" spans="1:11">
      <c r="A40" s="80"/>
      <c r="B40" s="80"/>
      <c r="C40" s="80"/>
      <c r="D40" s="80"/>
      <c r="E40" s="80"/>
      <c r="F40" s="80"/>
      <c r="G40" s="80"/>
      <c r="H40" s="80"/>
      <c r="I40" s="80"/>
      <c r="J40" s="80"/>
      <c r="K40" s="80"/>
    </row>
    <row r="41" spans="1:11">
      <c r="A41" s="80"/>
      <c r="B41" s="80"/>
      <c r="C41" s="80"/>
      <c r="D41" s="80"/>
      <c r="E41" s="80"/>
      <c r="F41" s="80"/>
      <c r="G41" s="80"/>
      <c r="H41" s="80"/>
      <c r="I41" s="80"/>
      <c r="J41" s="80"/>
      <c r="K41" s="80"/>
    </row>
    <row r="42" spans="1:11">
      <c r="A42" s="80"/>
      <c r="B42" s="80"/>
      <c r="C42" s="80"/>
      <c r="D42" s="80"/>
      <c r="E42" s="80"/>
      <c r="F42" s="80"/>
      <c r="G42" s="80"/>
      <c r="H42" s="80"/>
      <c r="I42" s="80"/>
      <c r="J42" s="80"/>
      <c r="K42" s="80"/>
    </row>
    <row r="43" spans="1:11">
      <c r="A43" s="80"/>
      <c r="B43" s="80"/>
      <c r="C43" s="80"/>
      <c r="D43" s="80"/>
      <c r="E43" s="80"/>
      <c r="F43" s="80"/>
      <c r="G43" s="80"/>
      <c r="H43" s="80"/>
      <c r="I43" s="80"/>
      <c r="J43" s="80"/>
      <c r="K43" s="80"/>
    </row>
    <row r="44" spans="1:11">
      <c r="A44" s="80"/>
      <c r="B44" s="80"/>
      <c r="C44" s="80"/>
      <c r="D44" s="80"/>
      <c r="E44" s="80"/>
      <c r="F44" s="80"/>
      <c r="G44" s="80"/>
      <c r="H44" s="80"/>
      <c r="I44" s="80"/>
      <c r="J44" s="80"/>
      <c r="K44" s="80"/>
    </row>
    <row r="45" spans="1:11">
      <c r="A45" s="80"/>
      <c r="B45" s="80"/>
      <c r="C45" s="80"/>
      <c r="D45" s="80"/>
      <c r="E45" s="80"/>
      <c r="F45" s="80"/>
      <c r="G45" s="80"/>
      <c r="H45" s="80"/>
      <c r="I45" s="80"/>
      <c r="J45" s="80"/>
      <c r="K45" s="80"/>
    </row>
    <row r="46" spans="1:11">
      <c r="A46" s="80"/>
      <c r="B46" s="80"/>
      <c r="C46" s="80"/>
      <c r="D46" s="80"/>
      <c r="E46" s="80"/>
      <c r="F46" s="80"/>
      <c r="G46" s="80"/>
      <c r="H46" s="80"/>
      <c r="I46" s="80"/>
      <c r="J46" s="80"/>
      <c r="K46" s="80"/>
    </row>
    <row r="47" spans="1:11">
      <c r="A47" s="80"/>
      <c r="B47" s="80"/>
      <c r="C47" s="80"/>
      <c r="D47" s="80"/>
      <c r="E47" s="80"/>
      <c r="F47" s="80"/>
      <c r="G47" s="80"/>
      <c r="H47" s="80"/>
      <c r="I47" s="80"/>
      <c r="J47" s="80"/>
      <c r="K47" s="80"/>
    </row>
    <row r="48" spans="1:11">
      <c r="A48" s="80"/>
      <c r="B48" s="80"/>
      <c r="C48" s="80"/>
      <c r="D48" s="80"/>
      <c r="E48" s="80"/>
      <c r="F48" s="80"/>
      <c r="G48" s="80"/>
      <c r="H48" s="80"/>
      <c r="I48" s="80"/>
      <c r="J48" s="80"/>
      <c r="K48" s="80"/>
    </row>
    <row r="49" spans="1:11">
      <c r="A49" s="80"/>
      <c r="B49" s="80"/>
      <c r="C49" s="80"/>
      <c r="D49" s="80"/>
      <c r="E49" s="80"/>
      <c r="F49" s="80"/>
      <c r="G49" s="80"/>
      <c r="H49" s="80"/>
      <c r="I49" s="80"/>
      <c r="J49" s="80"/>
      <c r="K49" s="80"/>
    </row>
    <row r="50" spans="1:11">
      <c r="A50" s="80"/>
      <c r="B50" s="80"/>
      <c r="C50" s="80"/>
      <c r="D50" s="80"/>
      <c r="E50" s="80"/>
      <c r="F50" s="80"/>
      <c r="G50" s="80"/>
      <c r="H50" s="80"/>
      <c r="I50" s="80"/>
      <c r="J50" s="80"/>
      <c r="K50" s="80"/>
    </row>
    <row r="51" spans="1:11">
      <c r="A51" s="80"/>
      <c r="B51" s="80"/>
      <c r="C51" s="80"/>
      <c r="D51" s="80"/>
      <c r="E51" s="80"/>
      <c r="F51" s="80"/>
      <c r="G51" s="80"/>
      <c r="H51" s="80"/>
      <c r="I51" s="80"/>
      <c r="J51" s="80"/>
      <c r="K51" s="80"/>
    </row>
    <row r="52" spans="1:11">
      <c r="A52" s="80"/>
      <c r="B52" s="80"/>
      <c r="C52" s="80"/>
      <c r="D52" s="80"/>
      <c r="E52" s="80"/>
      <c r="F52" s="80"/>
      <c r="G52" s="80"/>
      <c r="H52" s="80"/>
      <c r="I52" s="80"/>
      <c r="J52" s="80"/>
      <c r="K52" s="80"/>
    </row>
    <row r="53" spans="1:11">
      <c r="A53" s="80"/>
      <c r="B53" s="80"/>
      <c r="C53" s="80"/>
      <c r="D53" s="80"/>
      <c r="E53" s="80"/>
      <c r="F53" s="80"/>
      <c r="G53" s="80"/>
      <c r="H53" s="80"/>
      <c r="I53" s="80"/>
      <c r="J53" s="80"/>
      <c r="K53" s="80"/>
    </row>
    <row r="54" spans="1:11">
      <c r="A54" s="80"/>
      <c r="B54" s="80"/>
      <c r="C54" s="80"/>
      <c r="D54" s="80"/>
      <c r="E54" s="80"/>
      <c r="F54" s="80"/>
      <c r="G54" s="80"/>
      <c r="H54" s="80"/>
      <c r="I54" s="80"/>
      <c r="J54" s="80"/>
      <c r="K54" s="80"/>
    </row>
    <row r="55" spans="1:11">
      <c r="A55" s="80"/>
      <c r="B55" s="80"/>
      <c r="C55" s="80"/>
      <c r="D55" s="80"/>
      <c r="E55" s="80"/>
      <c r="F55" s="80"/>
      <c r="G55" s="80"/>
      <c r="H55" s="80"/>
      <c r="I55" s="80"/>
      <c r="J55" s="80"/>
      <c r="K55" s="80"/>
    </row>
    <row r="56" spans="1:11">
      <c r="A56" s="80"/>
      <c r="B56" s="80"/>
      <c r="C56" s="80"/>
      <c r="D56" s="80"/>
      <c r="E56" s="80"/>
      <c r="F56" s="80"/>
      <c r="G56" s="80"/>
      <c r="H56" s="80"/>
      <c r="I56" s="80"/>
      <c r="J56" s="80"/>
      <c r="K56" s="80"/>
    </row>
    <row r="57" spans="1:11">
      <c r="A57" s="80"/>
      <c r="B57" s="80"/>
      <c r="C57" s="80"/>
      <c r="D57" s="80"/>
      <c r="E57" s="80"/>
      <c r="F57" s="80"/>
      <c r="G57" s="80"/>
      <c r="H57" s="80"/>
      <c r="I57" s="80"/>
      <c r="J57" s="80"/>
      <c r="K57" s="80"/>
    </row>
    <row r="58" spans="1:11">
      <c r="A58" s="80"/>
      <c r="B58" s="80"/>
      <c r="C58" s="80"/>
      <c r="D58" s="80"/>
      <c r="E58" s="80"/>
      <c r="F58" s="80"/>
      <c r="G58" s="80"/>
      <c r="H58" s="80"/>
      <c r="I58" s="80"/>
      <c r="J58" s="80"/>
      <c r="K58" s="80"/>
    </row>
    <row r="59" spans="1:11">
      <c r="A59" s="80"/>
      <c r="B59" s="80"/>
      <c r="C59" s="80"/>
      <c r="D59" s="80"/>
      <c r="E59" s="80"/>
      <c r="F59" s="80"/>
      <c r="G59" s="80"/>
      <c r="H59" s="80"/>
      <c r="I59" s="80"/>
      <c r="J59" s="80"/>
      <c r="K59" s="80"/>
    </row>
    <row r="60" spans="1:11">
      <c r="A60" s="80"/>
      <c r="B60" s="80"/>
      <c r="C60" s="80"/>
      <c r="D60" s="80"/>
      <c r="E60" s="80"/>
      <c r="F60" s="80"/>
      <c r="G60" s="80"/>
      <c r="H60" s="80"/>
      <c r="I60" s="80"/>
      <c r="J60" s="80"/>
      <c r="K60" s="80"/>
    </row>
    <row r="61" spans="1:11">
      <c r="A61" s="80"/>
      <c r="B61" s="80"/>
      <c r="C61" s="80"/>
      <c r="D61" s="80"/>
      <c r="E61" s="80"/>
      <c r="F61" s="80"/>
      <c r="G61" s="80"/>
      <c r="H61" s="80"/>
      <c r="I61" s="80"/>
      <c r="J61" s="80"/>
      <c r="K61" s="80"/>
    </row>
    <row r="62" spans="1:11">
      <c r="A62" s="80"/>
      <c r="B62" s="80"/>
      <c r="C62" s="80"/>
      <c r="D62" s="80"/>
      <c r="E62" s="80"/>
      <c r="F62" s="80"/>
      <c r="G62" s="80"/>
      <c r="H62" s="80"/>
      <c r="I62" s="80"/>
      <c r="J62" s="80"/>
      <c r="K62" s="80"/>
    </row>
    <row r="63" spans="1:11">
      <c r="A63" s="80"/>
      <c r="B63" s="80"/>
      <c r="C63" s="80"/>
      <c r="D63" s="80"/>
      <c r="E63" s="80"/>
      <c r="F63" s="80"/>
      <c r="G63" s="80"/>
      <c r="H63" s="80"/>
      <c r="I63" s="80"/>
      <c r="J63" s="80"/>
      <c r="K63" s="80"/>
    </row>
    <row r="64" spans="1:11">
      <c r="A64" s="80"/>
      <c r="B64" s="80"/>
      <c r="C64" s="80"/>
      <c r="D64" s="80"/>
      <c r="E64" s="80"/>
      <c r="F64" s="80"/>
      <c r="G64" s="80"/>
      <c r="H64" s="80"/>
      <c r="I64" s="80"/>
      <c r="J64" s="80"/>
      <c r="K64" s="80"/>
    </row>
    <row r="65" spans="1:11">
      <c r="A65" s="80"/>
      <c r="B65" s="80"/>
      <c r="C65" s="80"/>
      <c r="D65" s="80"/>
      <c r="E65" s="80"/>
      <c r="F65" s="80"/>
      <c r="G65" s="80"/>
      <c r="H65" s="80"/>
      <c r="I65" s="80"/>
      <c r="J65" s="80"/>
      <c r="K65" s="80"/>
    </row>
    <row r="66" spans="1:11">
      <c r="A66" s="80"/>
      <c r="B66" s="80"/>
      <c r="C66" s="80"/>
      <c r="D66" s="80"/>
      <c r="E66" s="80"/>
      <c r="F66" s="80"/>
      <c r="G66" s="80"/>
      <c r="H66" s="80"/>
      <c r="I66" s="80"/>
      <c r="J66" s="80"/>
      <c r="K66" s="80"/>
    </row>
    <row r="67" spans="1:11">
      <c r="A67" s="80"/>
      <c r="B67" s="80"/>
      <c r="C67" s="80"/>
      <c r="D67" s="80"/>
      <c r="E67" s="80"/>
      <c r="F67" s="80"/>
      <c r="G67" s="80"/>
      <c r="H67" s="80"/>
      <c r="I67" s="80"/>
      <c r="J67" s="80"/>
      <c r="K67" s="80"/>
    </row>
    <row r="68" spans="1:11">
      <c r="A68" s="80"/>
      <c r="B68" s="80"/>
      <c r="C68" s="80"/>
      <c r="D68" s="80"/>
      <c r="E68" s="80"/>
      <c r="F68" s="80"/>
      <c r="G68" s="80"/>
      <c r="H68" s="80"/>
      <c r="I68" s="80"/>
      <c r="J68" s="80"/>
      <c r="K68" s="80"/>
    </row>
    <row r="69" spans="1:11">
      <c r="A69" s="80"/>
      <c r="B69" s="80"/>
      <c r="C69" s="80"/>
      <c r="D69" s="80"/>
      <c r="E69" s="80"/>
      <c r="F69" s="80"/>
      <c r="G69" s="80"/>
      <c r="H69" s="80"/>
      <c r="I69" s="80"/>
      <c r="J69" s="80"/>
      <c r="K69" s="80"/>
    </row>
    <row r="70" spans="1:11">
      <c r="A70" s="80"/>
      <c r="B70" s="80"/>
      <c r="C70" s="80"/>
      <c r="D70" s="80"/>
      <c r="E70" s="80"/>
      <c r="F70" s="80"/>
      <c r="G70" s="80"/>
      <c r="H70" s="80"/>
      <c r="I70" s="80"/>
      <c r="J70" s="80"/>
      <c r="K70" s="80"/>
    </row>
    <row r="71" spans="1:11">
      <c r="A71" s="80"/>
      <c r="B71" s="80"/>
      <c r="C71" s="80"/>
      <c r="D71" s="80"/>
      <c r="E71" s="80"/>
      <c r="F71" s="80"/>
      <c r="G71" s="80"/>
      <c r="H71" s="80"/>
      <c r="I71" s="80"/>
      <c r="J71" s="80"/>
      <c r="K71" s="80"/>
    </row>
    <row r="72" spans="1:11">
      <c r="A72" s="80"/>
      <c r="B72" s="80"/>
      <c r="C72" s="80"/>
      <c r="D72" s="80"/>
      <c r="E72" s="80"/>
      <c r="F72" s="80"/>
      <c r="G72" s="80"/>
      <c r="H72" s="80"/>
      <c r="I72" s="80"/>
      <c r="J72" s="80"/>
      <c r="K72" s="80"/>
    </row>
    <row r="73" spans="1:11">
      <c r="A73" s="80"/>
      <c r="B73" s="80"/>
      <c r="C73" s="80"/>
      <c r="D73" s="80"/>
      <c r="E73" s="80"/>
      <c r="F73" s="80"/>
      <c r="G73" s="80"/>
      <c r="H73" s="80"/>
      <c r="I73" s="80"/>
      <c r="J73" s="80"/>
      <c r="K73" s="80"/>
    </row>
    <row r="74" spans="1:11">
      <c r="A74" s="80"/>
      <c r="B74" s="80"/>
      <c r="C74" s="80"/>
      <c r="D74" s="80"/>
      <c r="E74" s="80"/>
      <c r="F74" s="80"/>
      <c r="G74" s="80"/>
      <c r="H74" s="80"/>
      <c r="I74" s="80"/>
      <c r="J74" s="80"/>
      <c r="K74" s="80"/>
    </row>
    <row r="75" spans="1:11">
      <c r="A75" s="80"/>
      <c r="B75" s="80"/>
      <c r="C75" s="80"/>
      <c r="D75" s="80"/>
      <c r="E75" s="80"/>
      <c r="F75" s="80"/>
      <c r="G75" s="80"/>
      <c r="H75" s="80"/>
      <c r="I75" s="80"/>
      <c r="J75" s="80"/>
      <c r="K75" s="80"/>
    </row>
    <row r="76" spans="1:11">
      <c r="A76" s="80"/>
      <c r="B76" s="80"/>
      <c r="C76" s="80"/>
      <c r="D76" s="80"/>
      <c r="E76" s="80"/>
      <c r="F76" s="80"/>
      <c r="G76" s="80"/>
      <c r="H76" s="80"/>
      <c r="I76" s="80"/>
      <c r="J76" s="80"/>
      <c r="K76" s="80"/>
    </row>
    <row r="77" spans="1:11">
      <c r="A77" s="80"/>
      <c r="B77" s="80"/>
      <c r="C77" s="80"/>
      <c r="D77" s="80"/>
      <c r="E77" s="80"/>
      <c r="F77" s="80"/>
      <c r="G77" s="80"/>
      <c r="H77" s="80"/>
      <c r="I77" s="80"/>
      <c r="J77" s="80"/>
      <c r="K77" s="80"/>
    </row>
    <row r="78" spans="1:11">
      <c r="A78" s="80"/>
      <c r="B78" s="80"/>
      <c r="C78" s="80"/>
      <c r="D78" s="80"/>
      <c r="E78" s="80"/>
      <c r="F78" s="80"/>
      <c r="G78" s="80"/>
      <c r="H78" s="80"/>
      <c r="I78" s="80"/>
      <c r="J78" s="80"/>
      <c r="K78" s="80"/>
    </row>
    <row r="79" spans="1:11">
      <c r="A79" s="80"/>
      <c r="B79" s="80"/>
      <c r="C79" s="80"/>
      <c r="D79" s="80"/>
      <c r="E79" s="80"/>
      <c r="F79" s="80"/>
      <c r="G79" s="80"/>
      <c r="H79" s="80"/>
      <c r="I79" s="80"/>
      <c r="J79" s="80"/>
      <c r="K79" s="80"/>
    </row>
    <row r="80" spans="1:11">
      <c r="A80" s="80"/>
      <c r="B80" s="80"/>
      <c r="C80" s="80"/>
      <c r="D80" s="80"/>
      <c r="E80" s="80"/>
      <c r="F80" s="80"/>
      <c r="G80" s="80"/>
      <c r="H80" s="80"/>
      <c r="I80" s="80"/>
      <c r="J80" s="80"/>
      <c r="K80" s="80"/>
    </row>
    <row r="81" spans="1:11">
      <c r="A81" s="80"/>
      <c r="B81" s="80"/>
      <c r="C81" s="80"/>
      <c r="D81" s="80"/>
      <c r="E81" s="80"/>
      <c r="F81" s="80"/>
      <c r="G81" s="80"/>
      <c r="H81" s="80"/>
      <c r="I81" s="80"/>
      <c r="J81" s="80"/>
      <c r="K81" s="80"/>
    </row>
    <row r="82" spans="1:11">
      <c r="A82" s="80"/>
      <c r="B82" s="80"/>
      <c r="C82" s="80"/>
      <c r="D82" s="80"/>
      <c r="E82" s="80"/>
      <c r="F82" s="80"/>
      <c r="G82" s="80"/>
      <c r="H82" s="80"/>
      <c r="I82" s="80"/>
      <c r="J82" s="80"/>
      <c r="K82" s="80"/>
    </row>
    <row r="83" spans="1:11">
      <c r="A83" s="80"/>
      <c r="B83" s="80"/>
      <c r="C83" s="80"/>
      <c r="D83" s="80"/>
      <c r="E83" s="80"/>
      <c r="F83" s="80"/>
      <c r="G83" s="80"/>
      <c r="H83" s="80"/>
      <c r="I83" s="80"/>
      <c r="J83" s="80"/>
      <c r="K83" s="80"/>
    </row>
    <row r="84" spans="1:11">
      <c r="A84" s="80"/>
      <c r="B84" s="80"/>
      <c r="C84" s="80"/>
      <c r="D84" s="80"/>
      <c r="E84" s="80"/>
      <c r="F84" s="80"/>
      <c r="G84" s="80"/>
      <c r="H84" s="80"/>
      <c r="I84" s="80"/>
      <c r="J84" s="80"/>
      <c r="K84" s="80"/>
    </row>
    <row r="85" spans="1:11">
      <c r="A85" s="80"/>
      <c r="B85" s="80"/>
      <c r="C85" s="80"/>
      <c r="D85" s="80"/>
      <c r="E85" s="80"/>
      <c r="F85" s="80"/>
      <c r="G85" s="80"/>
      <c r="H85" s="80"/>
      <c r="I85" s="80"/>
      <c r="J85" s="80"/>
      <c r="K85" s="80"/>
    </row>
    <row r="86" spans="1:11">
      <c r="A86" s="80"/>
      <c r="B86" s="80"/>
      <c r="C86" s="80"/>
      <c r="D86" s="80"/>
      <c r="E86" s="80"/>
      <c r="F86" s="80"/>
      <c r="G86" s="80"/>
      <c r="H86" s="80"/>
      <c r="I86" s="80"/>
      <c r="J86" s="80"/>
      <c r="K86" s="80"/>
    </row>
    <row r="87" spans="1:11">
      <c r="A87" s="80"/>
      <c r="B87" s="80"/>
      <c r="C87" s="80"/>
      <c r="D87" s="80"/>
      <c r="E87" s="80"/>
      <c r="F87" s="80"/>
      <c r="G87" s="80"/>
      <c r="H87" s="80"/>
      <c r="I87" s="80"/>
      <c r="J87" s="80"/>
      <c r="K87" s="80"/>
    </row>
    <row r="88" spans="1:11">
      <c r="A88" s="80"/>
      <c r="B88" s="80"/>
      <c r="C88" s="80"/>
      <c r="D88" s="80"/>
      <c r="E88" s="80"/>
      <c r="F88" s="80"/>
      <c r="G88" s="80"/>
      <c r="H88" s="80"/>
      <c r="I88" s="80"/>
      <c r="J88" s="80"/>
      <c r="K88" s="80"/>
    </row>
    <row r="89" spans="1:11">
      <c r="A89" s="80"/>
      <c r="B89" s="80"/>
      <c r="C89" s="80"/>
      <c r="D89" s="80"/>
      <c r="E89" s="80"/>
      <c r="F89" s="80"/>
      <c r="G89" s="80"/>
      <c r="H89" s="80"/>
      <c r="I89" s="80"/>
      <c r="J89" s="80"/>
      <c r="K89" s="80"/>
    </row>
    <row r="90" spans="1:11">
      <c r="A90" s="80"/>
      <c r="B90" s="80"/>
      <c r="C90" s="80"/>
      <c r="D90" s="80"/>
      <c r="E90" s="80"/>
      <c r="F90" s="80"/>
      <c r="G90" s="80"/>
      <c r="H90" s="80"/>
      <c r="I90" s="80"/>
      <c r="J90" s="80"/>
      <c r="K90" s="80"/>
    </row>
    <row r="91" spans="1:11">
      <c r="A91" s="80"/>
      <c r="B91" s="80"/>
      <c r="C91" s="80"/>
      <c r="D91" s="80"/>
      <c r="E91" s="80"/>
      <c r="F91" s="80"/>
      <c r="G91" s="80"/>
      <c r="H91" s="80"/>
      <c r="I91" s="80"/>
      <c r="J91" s="80"/>
      <c r="K91" s="80"/>
    </row>
    <row r="92" spans="1:11">
      <c r="A92" s="80"/>
      <c r="B92" s="80"/>
      <c r="C92" s="80"/>
      <c r="D92" s="80"/>
      <c r="E92" s="80"/>
      <c r="F92" s="80"/>
      <c r="G92" s="80"/>
      <c r="H92" s="80"/>
      <c r="I92" s="80"/>
      <c r="J92" s="80"/>
      <c r="K92" s="80"/>
    </row>
    <row r="93" spans="1:11">
      <c r="A93" s="80"/>
      <c r="B93" s="80"/>
      <c r="C93" s="80"/>
      <c r="D93" s="80"/>
      <c r="E93" s="80"/>
      <c r="F93" s="80"/>
      <c r="G93" s="80"/>
      <c r="H93" s="80"/>
      <c r="I93" s="80"/>
      <c r="J93" s="80"/>
      <c r="K93" s="80"/>
    </row>
    <row r="94" spans="1:11">
      <c r="A94" s="80"/>
      <c r="B94" s="80"/>
      <c r="C94" s="80"/>
      <c r="D94" s="80"/>
      <c r="E94" s="80"/>
      <c r="F94" s="80"/>
      <c r="G94" s="80"/>
      <c r="H94" s="80"/>
      <c r="I94" s="80"/>
      <c r="J94" s="80"/>
      <c r="K94" s="80"/>
    </row>
  </sheetData>
  <mergeCells count="7">
    <mergeCell ref="A27:M27"/>
    <mergeCell ref="A8:A9"/>
    <mergeCell ref="A1:M1"/>
    <mergeCell ref="A2:M2"/>
    <mergeCell ref="B8:F8"/>
    <mergeCell ref="G8:J8"/>
    <mergeCell ref="K8:M8"/>
  </mergeCells>
  <phoneticPr fontId="75" type="noConversion"/>
  <dataValidations count="1">
    <dataValidation type="list" allowBlank="1" showInputMessage="1" showErrorMessage="1" sqref="K10:K17">
      <formula1>"√,X"</formula1>
    </dataValidation>
  </dataValidations>
  <hyperlinks>
    <hyperlink ref="M3" location="底稿目录!A1" display="I1-8"/>
  </hyperlinks>
  <printOptions horizontalCentered="1"/>
  <pageMargins left="0.70866141732283505" right="0.70866141732283505" top="0.74803149606299202" bottom="0.74803149606299202" header="0.31496062992126" footer="0.31496062992126"/>
  <pageSetup paperSize="9" scale="80" orientation="landscape" blackAndWhite="1"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J29"/>
  <sheetViews>
    <sheetView view="pageBreakPreview" zoomScaleNormal="100" workbookViewId="0">
      <selection sqref="A1:J1"/>
    </sheetView>
  </sheetViews>
  <sheetFormatPr defaultColWidth="9" defaultRowHeight="14.4"/>
  <cols>
    <col min="1" max="1" width="6.77734375" customWidth="1"/>
    <col min="2" max="2" width="26.21875" customWidth="1"/>
    <col min="3" max="10" width="17" customWidth="1"/>
  </cols>
  <sheetData>
    <row r="1" spans="1:10" ht="20.100000000000001" customHeight="1">
      <c r="A1" s="283" t="s">
        <v>86</v>
      </c>
      <c r="B1" s="283"/>
      <c r="C1" s="283"/>
      <c r="D1" s="283"/>
      <c r="E1" s="283"/>
      <c r="F1" s="283"/>
      <c r="G1" s="283"/>
      <c r="H1" s="283"/>
      <c r="I1" s="283"/>
      <c r="J1" s="283"/>
    </row>
    <row r="2" spans="1:10" ht="25.05" customHeight="1">
      <c r="A2" s="284" t="s">
        <v>344</v>
      </c>
      <c r="B2" s="284"/>
      <c r="C2" s="284"/>
      <c r="D2" s="284"/>
      <c r="E2" s="284"/>
      <c r="F2" s="284"/>
      <c r="G2" s="284"/>
      <c r="H2" s="284"/>
      <c r="I2" s="284"/>
      <c r="J2" s="284"/>
    </row>
    <row r="3" spans="1:10" ht="20.100000000000001" customHeight="1">
      <c r="A3" s="7" t="str">
        <f>底稿目录!A2</f>
        <v>被审计单位：</v>
      </c>
      <c r="B3" s="7"/>
      <c r="C3" s="7"/>
      <c r="D3" s="7" t="str">
        <f>底稿目录!A4</f>
        <v>编制人：</v>
      </c>
      <c r="E3" s="7"/>
      <c r="F3" s="7"/>
      <c r="G3" s="25" t="str">
        <f>底稿目录!A5</f>
        <v>编制日期：</v>
      </c>
      <c r="H3" s="25"/>
      <c r="I3" s="7" t="s">
        <v>88</v>
      </c>
      <c r="J3" s="267" t="s">
        <v>27</v>
      </c>
    </row>
    <row r="4" spans="1:10" ht="20.100000000000001" customHeight="1">
      <c r="A4" s="7" t="str">
        <f>底稿目录!A3</f>
        <v>截止日：202X年12月31日</v>
      </c>
      <c r="B4" s="7"/>
      <c r="C4" s="7"/>
      <c r="D4" s="7" t="str">
        <f>底稿目录!A6</f>
        <v>复核人：</v>
      </c>
      <c r="E4" s="7"/>
      <c r="F4" s="7"/>
      <c r="G4" s="25" t="str">
        <f>底稿目录!A7</f>
        <v>复核日期：</v>
      </c>
      <c r="H4" s="25"/>
      <c r="I4" s="7" t="s">
        <v>136</v>
      </c>
      <c r="J4" s="87"/>
    </row>
    <row r="5" spans="1:10" ht="20.100000000000001" customHeight="1">
      <c r="A5" s="9" t="s">
        <v>194</v>
      </c>
      <c r="B5" s="10"/>
      <c r="C5" s="14"/>
      <c r="D5" s="14"/>
      <c r="E5" s="14"/>
      <c r="F5" s="14"/>
      <c r="G5" s="14"/>
      <c r="H5" s="50"/>
      <c r="I5" s="14"/>
      <c r="J5" s="14"/>
    </row>
    <row r="6" spans="1:10" ht="20.100000000000001" customHeight="1">
      <c r="A6" s="225" t="s">
        <v>543</v>
      </c>
      <c r="B6" s="12"/>
      <c r="C6" s="14"/>
      <c r="D6" s="14"/>
      <c r="E6" s="14"/>
      <c r="F6" s="14"/>
      <c r="G6" s="14"/>
      <c r="H6" s="50"/>
      <c r="I6" s="14"/>
      <c r="J6" s="14"/>
    </row>
    <row r="7" spans="1:10" ht="20.100000000000001" customHeight="1">
      <c r="A7" s="13" t="s">
        <v>196</v>
      </c>
      <c r="B7" s="14"/>
      <c r="C7" s="14"/>
      <c r="D7" s="14"/>
      <c r="E7" s="14"/>
      <c r="F7" s="14"/>
      <c r="G7" s="14"/>
      <c r="H7" s="11"/>
      <c r="I7" s="14"/>
      <c r="J7" s="14"/>
    </row>
    <row r="8" spans="1:10" ht="20.100000000000001" customHeight="1">
      <c r="A8" s="226" t="s">
        <v>544</v>
      </c>
      <c r="B8" s="12"/>
      <c r="C8" s="14"/>
      <c r="D8" s="14"/>
      <c r="E8" s="14"/>
      <c r="F8" s="14"/>
      <c r="G8" s="14"/>
      <c r="H8" s="11"/>
    </row>
    <row r="9" spans="1:10" ht="20.100000000000001" customHeight="1">
      <c r="A9" s="226" t="s">
        <v>545</v>
      </c>
      <c r="B9" s="12"/>
      <c r="C9" s="14"/>
      <c r="D9" s="14"/>
      <c r="E9" s="14"/>
      <c r="F9" s="14"/>
      <c r="G9" s="14"/>
      <c r="H9" s="11"/>
    </row>
    <row r="10" spans="1:10" ht="20.100000000000001" customHeight="1">
      <c r="A10" s="24" t="s">
        <v>345</v>
      </c>
      <c r="B10" s="24"/>
      <c r="C10" s="3"/>
      <c r="D10" s="3"/>
      <c r="E10" s="27"/>
      <c r="F10" s="3"/>
      <c r="G10" s="3"/>
      <c r="H10" s="3"/>
    </row>
    <row r="11" spans="1:10" ht="20.100000000000001" customHeight="1">
      <c r="A11" s="33" t="s">
        <v>55</v>
      </c>
      <c r="B11" s="33" t="s">
        <v>198</v>
      </c>
      <c r="C11" s="33" t="s">
        <v>346</v>
      </c>
      <c r="D11" s="33" t="s">
        <v>347</v>
      </c>
      <c r="E11" s="33" t="s">
        <v>348</v>
      </c>
      <c r="F11" s="33" t="s">
        <v>349</v>
      </c>
      <c r="G11" s="33" t="s">
        <v>350</v>
      </c>
      <c r="H11" s="33" t="s">
        <v>225</v>
      </c>
      <c r="I11" s="33" t="s">
        <v>140</v>
      </c>
      <c r="J11" s="33" t="s">
        <v>242</v>
      </c>
    </row>
    <row r="12" spans="1:10" ht="20.100000000000001" customHeight="1">
      <c r="A12" s="52">
        <v>1</v>
      </c>
      <c r="B12" s="53" t="s">
        <v>11</v>
      </c>
      <c r="C12" s="54"/>
      <c r="D12" s="54"/>
      <c r="E12" s="54"/>
      <c r="F12" s="54"/>
      <c r="G12" s="54"/>
      <c r="H12" s="54"/>
      <c r="I12" s="42">
        <f>SUM(C12:H12)</f>
        <v>0</v>
      </c>
      <c r="J12" s="54"/>
    </row>
    <row r="13" spans="1:10" ht="20.100000000000001" customHeight="1">
      <c r="A13" s="52">
        <v>2</v>
      </c>
      <c r="B13" s="53" t="s">
        <v>15</v>
      </c>
      <c r="C13" s="54"/>
      <c r="D13" s="54"/>
      <c r="E13" s="54"/>
      <c r="F13" s="54"/>
      <c r="G13" s="54"/>
      <c r="H13" s="54"/>
      <c r="I13" s="42">
        <f t="shared" ref="I13:I22" si="0">SUM(C13:H13)</f>
        <v>0</v>
      </c>
      <c r="J13" s="54"/>
    </row>
    <row r="14" spans="1:10" ht="20.100000000000001" customHeight="1">
      <c r="A14" s="52">
        <v>3</v>
      </c>
      <c r="B14" s="53" t="s">
        <v>18</v>
      </c>
      <c r="C14" s="54"/>
      <c r="D14" s="54"/>
      <c r="E14" s="54"/>
      <c r="F14" s="54"/>
      <c r="G14" s="54"/>
      <c r="H14" s="54"/>
      <c r="I14" s="42">
        <f t="shared" si="0"/>
        <v>0</v>
      </c>
      <c r="J14" s="54"/>
    </row>
    <row r="15" spans="1:10" ht="20.100000000000001" customHeight="1">
      <c r="A15" s="52">
        <v>4</v>
      </c>
      <c r="B15" s="53" t="s">
        <v>20</v>
      </c>
      <c r="C15" s="54"/>
      <c r="D15" s="54"/>
      <c r="E15" s="54"/>
      <c r="F15" s="54"/>
      <c r="G15" s="54"/>
      <c r="H15" s="54"/>
      <c r="I15" s="42">
        <f t="shared" si="0"/>
        <v>0</v>
      </c>
      <c r="J15" s="54"/>
    </row>
    <row r="16" spans="1:10" ht="20.100000000000001" customHeight="1">
      <c r="A16" s="52">
        <v>5</v>
      </c>
      <c r="B16" s="53" t="s">
        <v>22</v>
      </c>
      <c r="C16" s="54"/>
      <c r="D16" s="54"/>
      <c r="E16" s="54"/>
      <c r="F16" s="54"/>
      <c r="G16" s="54"/>
      <c r="H16" s="54"/>
      <c r="I16" s="42">
        <f t="shared" si="0"/>
        <v>0</v>
      </c>
      <c r="J16" s="54"/>
    </row>
    <row r="17" spans="1:10" ht="20.100000000000001" customHeight="1">
      <c r="A17" s="55">
        <v>6</v>
      </c>
      <c r="B17" s="56" t="s">
        <v>24</v>
      </c>
      <c r="C17" s="54"/>
      <c r="D17" s="54"/>
      <c r="E17" s="54"/>
      <c r="F17" s="54"/>
      <c r="G17" s="54"/>
      <c r="H17" s="54"/>
      <c r="I17" s="42">
        <f t="shared" si="0"/>
        <v>0</v>
      </c>
      <c r="J17" s="54"/>
    </row>
    <row r="18" spans="1:10" ht="20.100000000000001" customHeight="1">
      <c r="A18" s="55">
        <v>7</v>
      </c>
      <c r="B18" s="56" t="s">
        <v>26</v>
      </c>
      <c r="C18" s="54"/>
      <c r="D18" s="54"/>
      <c r="E18" s="54"/>
      <c r="F18" s="54"/>
      <c r="G18" s="54"/>
      <c r="H18" s="54"/>
      <c r="I18" s="42">
        <f t="shared" si="0"/>
        <v>0</v>
      </c>
      <c r="J18" s="54"/>
    </row>
    <row r="19" spans="1:10" ht="20.100000000000001" customHeight="1">
      <c r="A19" s="55">
        <v>8</v>
      </c>
      <c r="B19" s="56" t="s">
        <v>28</v>
      </c>
      <c r="C19" s="54"/>
      <c r="D19" s="54"/>
      <c r="E19" s="54"/>
      <c r="F19" s="54"/>
      <c r="G19" s="54"/>
      <c r="H19" s="54"/>
      <c r="I19" s="42">
        <f t="shared" si="0"/>
        <v>0</v>
      </c>
      <c r="J19" s="54"/>
    </row>
    <row r="20" spans="1:10" ht="20.100000000000001" customHeight="1">
      <c r="A20" s="55">
        <v>9</v>
      </c>
      <c r="B20" s="56" t="s">
        <v>30</v>
      </c>
      <c r="C20" s="54"/>
      <c r="D20" s="54"/>
      <c r="E20" s="54"/>
      <c r="F20" s="54"/>
      <c r="G20" s="54"/>
      <c r="H20" s="54"/>
      <c r="I20" s="42">
        <f t="shared" si="0"/>
        <v>0</v>
      </c>
      <c r="J20" s="54"/>
    </row>
    <row r="21" spans="1:10" ht="20.100000000000001" customHeight="1">
      <c r="A21" s="52">
        <v>10</v>
      </c>
      <c r="B21" s="56" t="s">
        <v>32</v>
      </c>
      <c r="C21" s="54"/>
      <c r="D21" s="54"/>
      <c r="E21" s="54"/>
      <c r="F21" s="54"/>
      <c r="G21" s="54"/>
      <c r="H21" s="54"/>
      <c r="I21" s="42">
        <f t="shared" si="0"/>
        <v>0</v>
      </c>
      <c r="J21" s="54"/>
    </row>
    <row r="22" spans="1:10" ht="20.100000000000001" customHeight="1">
      <c r="A22" s="52">
        <v>11</v>
      </c>
      <c r="B22" s="56" t="s">
        <v>34</v>
      </c>
      <c r="C22" s="54"/>
      <c r="D22" s="54"/>
      <c r="E22" s="54"/>
      <c r="F22" s="54"/>
      <c r="G22" s="54"/>
      <c r="H22" s="54"/>
      <c r="I22" s="42">
        <f t="shared" si="0"/>
        <v>0</v>
      </c>
      <c r="J22" s="54"/>
    </row>
    <row r="23" spans="1:10" ht="20.100000000000001" customHeight="1">
      <c r="A23" s="345" t="s">
        <v>140</v>
      </c>
      <c r="B23" s="346"/>
      <c r="C23" s="42">
        <f>SUM(C12:C22)</f>
        <v>0</v>
      </c>
      <c r="D23" s="42">
        <f t="shared" ref="D23:I23" si="1">SUM(D12:D22)</f>
        <v>0</v>
      </c>
      <c r="E23" s="42">
        <f t="shared" si="1"/>
        <v>0</v>
      </c>
      <c r="F23" s="42">
        <f t="shared" si="1"/>
        <v>0</v>
      </c>
      <c r="G23" s="42">
        <f t="shared" si="1"/>
        <v>0</v>
      </c>
      <c r="H23" s="42">
        <f t="shared" si="1"/>
        <v>0</v>
      </c>
      <c r="I23" s="42">
        <f t="shared" si="1"/>
        <v>0</v>
      </c>
      <c r="J23" s="59"/>
    </row>
    <row r="24" spans="1:10" ht="20.100000000000001" customHeight="1">
      <c r="A24" s="44" t="s">
        <v>227</v>
      </c>
      <c r="B24" s="57"/>
      <c r="C24" s="57"/>
      <c r="D24" s="57"/>
      <c r="E24" s="57"/>
      <c r="F24" s="57"/>
      <c r="G24" s="57"/>
      <c r="H24" s="57"/>
      <c r="I24" s="57"/>
      <c r="J24" s="57"/>
    </row>
    <row r="25" spans="1:10" ht="20.100000000000001" customHeight="1">
      <c r="A25" s="3"/>
    </row>
    <row r="26" spans="1:10" ht="20.100000000000001" customHeight="1">
      <c r="A26" s="24" t="s">
        <v>228</v>
      </c>
    </row>
    <row r="27" spans="1:10" ht="20.100000000000001" customHeight="1"/>
    <row r="28" spans="1:10">
      <c r="A28" s="58"/>
    </row>
    <row r="29" spans="1:10">
      <c r="A29" s="58" t="s">
        <v>351</v>
      </c>
    </row>
  </sheetData>
  <mergeCells count="3">
    <mergeCell ref="A1:J1"/>
    <mergeCell ref="A2:J2"/>
    <mergeCell ref="A23:B23"/>
  </mergeCells>
  <phoneticPr fontId="75" type="noConversion"/>
  <dataValidations count="1">
    <dataValidation type="list" allowBlank="1" showInputMessage="1" showErrorMessage="1" sqref="C12:C22 F12:F22">
      <formula1>"√,×"</formula1>
    </dataValidation>
  </dataValidations>
  <hyperlinks>
    <hyperlink ref="J3" location="底稿目录!A1" display="I1-9"/>
  </hyperlinks>
  <printOptions horizontalCentered="1" verticalCentered="1"/>
  <pageMargins left="0.70866141732283472" right="0.70866141732283472" top="0.74803149606299213" bottom="0.74803149606299213" header="0.31496062992125984" footer="0.31496062992125984"/>
  <pageSetup paperSize="9" scale="75" orientation="landscape" blackAndWhite="1" r:id="rId1"/>
  <headerFooter>
    <oddFooter>&amp;C&amp;P/&amp;N</oddFooter>
  </headerFooter>
  <rowBreaks count="1" manualBreakCount="1">
    <brk id="27" max="9"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AB33"/>
  <sheetViews>
    <sheetView view="pageBreakPreview" zoomScaleNormal="100" workbookViewId="0">
      <selection sqref="A1:P1"/>
    </sheetView>
  </sheetViews>
  <sheetFormatPr defaultColWidth="9" defaultRowHeight="18" customHeight="1"/>
  <cols>
    <col min="1" max="1" width="11.77734375" style="7" customWidth="1"/>
    <col min="2" max="2" width="17.77734375" style="7" customWidth="1"/>
    <col min="3" max="3" width="10.77734375" style="7" customWidth="1"/>
    <col min="4" max="4" width="13.109375" style="7" customWidth="1"/>
    <col min="5" max="6" width="8.109375" style="7" customWidth="1"/>
    <col min="7" max="7" width="10.77734375" style="7" customWidth="1"/>
    <col min="8" max="8" width="12.33203125" style="7" customWidth="1"/>
    <col min="9" max="9" width="9.88671875" style="7" customWidth="1"/>
    <col min="10" max="10" width="10.21875" style="7" customWidth="1"/>
    <col min="11" max="15" width="10" style="7" customWidth="1"/>
    <col min="16" max="16384" width="9" style="7"/>
  </cols>
  <sheetData>
    <row r="1" spans="1:28" s="1" customFormat="1" ht="20.100000000000001" customHeight="1">
      <c r="A1" s="283" t="s">
        <v>86</v>
      </c>
      <c r="B1" s="283"/>
      <c r="C1" s="283"/>
      <c r="D1" s="283"/>
      <c r="E1" s="283"/>
      <c r="F1" s="283"/>
      <c r="G1" s="283"/>
      <c r="H1" s="283"/>
      <c r="I1" s="283"/>
      <c r="J1" s="283"/>
      <c r="K1" s="283"/>
      <c r="L1" s="283"/>
      <c r="M1" s="283"/>
      <c r="N1" s="283"/>
      <c r="O1" s="283"/>
      <c r="P1" s="283"/>
    </row>
    <row r="2" spans="1:28" s="2" customFormat="1" ht="25.05" customHeight="1">
      <c r="A2" s="284" t="s">
        <v>352</v>
      </c>
      <c r="B2" s="284"/>
      <c r="C2" s="284"/>
      <c r="D2" s="284"/>
      <c r="E2" s="284"/>
      <c r="F2" s="284"/>
      <c r="G2" s="284"/>
      <c r="H2" s="284"/>
      <c r="I2" s="284"/>
      <c r="J2" s="284"/>
      <c r="K2" s="284"/>
      <c r="L2" s="284"/>
      <c r="M2" s="284"/>
      <c r="N2" s="284"/>
      <c r="O2" s="284"/>
      <c r="P2" s="284"/>
    </row>
    <row r="3" spans="1:28" ht="20.100000000000001" customHeight="1">
      <c r="A3" s="7" t="str">
        <f>底稿目录!A2</f>
        <v>被审计单位：</v>
      </c>
      <c r="D3" s="7" t="str">
        <f>底稿目录!A4</f>
        <v>编制人：</v>
      </c>
      <c r="K3" s="25" t="str">
        <f>底稿目录!A5</f>
        <v>编制日期：</v>
      </c>
      <c r="L3" s="25"/>
      <c r="O3" s="25" t="s">
        <v>88</v>
      </c>
      <c r="P3" s="267" t="s">
        <v>29</v>
      </c>
    </row>
    <row r="4" spans="1:28" ht="20.100000000000001" customHeight="1">
      <c r="A4" s="7" t="str">
        <f>底稿目录!A3</f>
        <v>截止日：202X年12月31日</v>
      </c>
      <c r="D4" s="7" t="str">
        <f>底稿目录!A6</f>
        <v>复核人：</v>
      </c>
      <c r="K4" s="25" t="str">
        <f>底稿目录!A7</f>
        <v>复核日期：</v>
      </c>
      <c r="L4" s="25"/>
      <c r="O4" s="25" t="s">
        <v>136</v>
      </c>
      <c r="P4" s="26"/>
    </row>
    <row r="5" spans="1:28" s="3" customFormat="1" ht="20.100000000000001" customHeight="1">
      <c r="A5" s="9" t="s">
        <v>194</v>
      </c>
      <c r="G5" s="11"/>
      <c r="J5" s="27"/>
      <c r="K5" s="28"/>
      <c r="L5" s="29"/>
      <c r="O5" s="27"/>
      <c r="V5" s="32"/>
      <c r="W5" s="32"/>
      <c r="X5" s="32"/>
      <c r="Y5" s="32"/>
      <c r="Z5" s="32"/>
      <c r="AA5" s="32"/>
      <c r="AB5" s="32"/>
    </row>
    <row r="6" spans="1:28" s="3" customFormat="1" ht="20.100000000000001" customHeight="1">
      <c r="A6" s="12" t="s">
        <v>353</v>
      </c>
      <c r="G6" s="11"/>
      <c r="J6" s="27"/>
      <c r="K6" s="28"/>
      <c r="L6" s="29"/>
      <c r="O6" s="27"/>
      <c r="V6" s="32"/>
      <c r="W6" s="32"/>
      <c r="X6" s="32"/>
      <c r="Y6" s="32"/>
      <c r="Z6" s="32"/>
      <c r="AA6" s="32"/>
      <c r="AB6" s="32"/>
    </row>
    <row r="7" spans="1:28" s="3" customFormat="1" ht="20.100000000000001" customHeight="1">
      <c r="A7" s="13" t="s">
        <v>196</v>
      </c>
      <c r="G7" s="11"/>
      <c r="J7" s="27"/>
      <c r="K7" s="28"/>
      <c r="L7" s="29"/>
      <c r="O7" s="27"/>
      <c r="V7" s="32"/>
      <c r="W7" s="32"/>
      <c r="X7" s="32"/>
      <c r="Y7" s="32"/>
      <c r="Z7" s="32"/>
      <c r="AA7" s="32"/>
      <c r="AB7" s="32"/>
    </row>
    <row r="8" spans="1:28" ht="20.100000000000001" customHeight="1">
      <c r="A8" s="39" t="s">
        <v>354</v>
      </c>
      <c r="B8" s="227">
        <v>45658</v>
      </c>
      <c r="C8" s="39" t="s">
        <v>355</v>
      </c>
      <c r="D8" s="228">
        <v>46022</v>
      </c>
    </row>
    <row r="9" spans="1:28" s="4" customFormat="1" ht="20.100000000000001" customHeight="1">
      <c r="A9" s="306" t="s">
        <v>198</v>
      </c>
      <c r="B9" s="329" t="s">
        <v>356</v>
      </c>
      <c r="C9" s="350" t="s">
        <v>357</v>
      </c>
      <c r="D9" s="351"/>
      <c r="E9" s="351"/>
      <c r="F9" s="352"/>
      <c r="G9" s="323" t="s">
        <v>358</v>
      </c>
      <c r="H9" s="323" t="s">
        <v>359</v>
      </c>
      <c r="I9" s="323" t="s">
        <v>360</v>
      </c>
      <c r="J9" s="323" t="s">
        <v>361</v>
      </c>
      <c r="K9" s="323" t="s">
        <v>362</v>
      </c>
      <c r="L9" s="323" t="s">
        <v>363</v>
      </c>
      <c r="M9" s="323" t="s">
        <v>364</v>
      </c>
      <c r="N9" s="323" t="s">
        <v>365</v>
      </c>
      <c r="O9" s="323" t="s">
        <v>366</v>
      </c>
      <c r="P9" s="349" t="s">
        <v>367</v>
      </c>
    </row>
    <row r="10" spans="1:28" s="4" customFormat="1" ht="20.100000000000001" customHeight="1">
      <c r="A10" s="323"/>
      <c r="B10" s="326"/>
      <c r="C10" s="16" t="s">
        <v>368</v>
      </c>
      <c r="D10" s="16" t="s">
        <v>369</v>
      </c>
      <c r="E10" s="16" t="s">
        <v>370</v>
      </c>
      <c r="F10" s="16" t="s">
        <v>371</v>
      </c>
      <c r="G10" s="323"/>
      <c r="H10" s="323"/>
      <c r="I10" s="323"/>
      <c r="J10" s="323"/>
      <c r="K10" s="323"/>
      <c r="L10" s="323"/>
      <c r="M10" s="323"/>
      <c r="N10" s="323"/>
      <c r="O10" s="323"/>
      <c r="P10" s="323"/>
    </row>
    <row r="11" spans="1:28" ht="20.100000000000001" customHeight="1">
      <c r="A11" s="17"/>
      <c r="B11" s="20" t="str">
        <f>'明细表I1-2'!A12</f>
        <v>A</v>
      </c>
      <c r="C11" s="42">
        <f>'明细表I1-2'!L12</f>
        <v>0</v>
      </c>
      <c r="D11" s="42">
        <f>'明细表I1-2'!Y12</f>
        <v>0</v>
      </c>
      <c r="E11" s="42">
        <f>'明细表I1-2'!AL12</f>
        <v>0</v>
      </c>
      <c r="F11" s="42">
        <f t="shared" ref="F11:F16" si="0">C11-D11-E11</f>
        <v>0</v>
      </c>
      <c r="G11" s="43"/>
      <c r="H11" s="17"/>
      <c r="I11" s="42">
        <f t="shared" ref="I11:I12" si="1">IF(H11=0,0,IF(RIGHT(H11,1)&lt;&gt;"年",H11*12,IF(LEN(H11)=3,VALUE(LEFT(H11,2))*12,IF(LEN(H11)=2,VALUE(LEFT(H11,1))*12,"??"))))</f>
        <v>0</v>
      </c>
      <c r="J11" s="42">
        <f t="shared" ref="J11:J16" si="2">IF(I11=0,,I11-((YEAR($B$8)-YEAR(G11))*12+MONTH($B$8)-MONTH(G11)))</f>
        <v>0</v>
      </c>
      <c r="K11" s="42">
        <f t="shared" ref="K11:K16" si="3">IF(F11=0,0,F11/J11)</f>
        <v>0</v>
      </c>
      <c r="L11" s="42">
        <f>IF(G11="",0,DATEDIF(G11,$D$8,"M")+1)</f>
        <v>0</v>
      </c>
      <c r="M11" s="42">
        <f>K11*L11</f>
        <v>0</v>
      </c>
      <c r="N11" s="42">
        <f>'明细表I1-2'!Q12+'明细表I1-2'!R12</f>
        <v>0</v>
      </c>
      <c r="O11" s="42">
        <f t="shared" ref="O11:O16" si="4">M11-N11</f>
        <v>0</v>
      </c>
      <c r="P11" s="17"/>
    </row>
    <row r="12" spans="1:28" ht="20.100000000000001" customHeight="1">
      <c r="A12" s="17"/>
      <c r="B12" s="20" t="str">
        <f>'明细表I1-2'!A13</f>
        <v>B</v>
      </c>
      <c r="C12" s="42">
        <f>'明细表I1-2'!L13</f>
        <v>0</v>
      </c>
      <c r="D12" s="42">
        <f>'明细表I1-2'!Y13</f>
        <v>0</v>
      </c>
      <c r="E12" s="42">
        <f>'明细表I1-2'!AL13</f>
        <v>0</v>
      </c>
      <c r="F12" s="42">
        <f t="shared" si="0"/>
        <v>0</v>
      </c>
      <c r="G12" s="43"/>
      <c r="H12" s="17"/>
      <c r="I12" s="42">
        <f t="shared" si="1"/>
        <v>0</v>
      </c>
      <c r="J12" s="42">
        <f t="shared" si="2"/>
        <v>0</v>
      </c>
      <c r="K12" s="42">
        <f t="shared" si="3"/>
        <v>0</v>
      </c>
      <c r="L12" s="42">
        <f t="shared" ref="L12:L16" si="5">IF(G12="",0,DATEDIF(G12,$D$8,"M")+1)</f>
        <v>0</v>
      </c>
      <c r="M12" s="42">
        <f t="shared" ref="M12:M16" si="6">K12*L12</f>
        <v>0</v>
      </c>
      <c r="N12" s="42">
        <f>'明细表I1-2'!Q13+'明细表I1-2'!R13</f>
        <v>0</v>
      </c>
      <c r="O12" s="42">
        <f t="shared" ref="O12:O15" si="7">M12-N12</f>
        <v>0</v>
      </c>
      <c r="P12" s="17"/>
    </row>
    <row r="13" spans="1:28" ht="20.100000000000001" customHeight="1">
      <c r="A13" s="17"/>
      <c r="B13" s="20" t="str">
        <f>'明细表I1-2'!A14</f>
        <v>C</v>
      </c>
      <c r="C13" s="42">
        <f>'明细表I1-2'!L14</f>
        <v>0</v>
      </c>
      <c r="D13" s="42">
        <f>'明细表I1-2'!Y14</f>
        <v>0</v>
      </c>
      <c r="E13" s="42">
        <f>'明细表I1-2'!AL14</f>
        <v>0</v>
      </c>
      <c r="F13" s="42">
        <f t="shared" si="0"/>
        <v>0</v>
      </c>
      <c r="G13" s="43"/>
      <c r="H13" s="17"/>
      <c r="I13" s="42">
        <f t="shared" ref="I13:I16" si="8">IF(H13=0,0,IF(RIGHT(H13,1)&lt;&gt;"年",H13*12,IF(LEN(H13)=3,VALUE(LEFT(H13,2))*12,IF(LEN(H13)=2,VALUE(LEFT(H13,1))*12,"??"))))</f>
        <v>0</v>
      </c>
      <c r="J13" s="42">
        <f t="shared" si="2"/>
        <v>0</v>
      </c>
      <c r="K13" s="42">
        <f t="shared" si="3"/>
        <v>0</v>
      </c>
      <c r="L13" s="42">
        <f t="shared" si="5"/>
        <v>0</v>
      </c>
      <c r="M13" s="42">
        <f t="shared" si="6"/>
        <v>0</v>
      </c>
      <c r="N13" s="42">
        <f>'明细表I1-2'!Q14+'明细表I1-2'!R14</f>
        <v>0</v>
      </c>
      <c r="O13" s="42">
        <f t="shared" si="4"/>
        <v>0</v>
      </c>
      <c r="P13" s="17"/>
    </row>
    <row r="14" spans="1:28" ht="20.100000000000001" customHeight="1">
      <c r="A14" s="17"/>
      <c r="B14" s="20" t="str">
        <f>'明细表I1-2'!A15</f>
        <v>D</v>
      </c>
      <c r="C14" s="42">
        <f>'明细表I1-2'!L15</f>
        <v>0</v>
      </c>
      <c r="D14" s="42">
        <f>'明细表I1-2'!Y15</f>
        <v>0</v>
      </c>
      <c r="E14" s="42">
        <f>'明细表I1-2'!AL15</f>
        <v>0</v>
      </c>
      <c r="F14" s="42">
        <f t="shared" si="0"/>
        <v>0</v>
      </c>
      <c r="G14" s="43"/>
      <c r="H14" s="17"/>
      <c r="I14" s="42">
        <f t="shared" si="8"/>
        <v>0</v>
      </c>
      <c r="J14" s="42">
        <f t="shared" si="2"/>
        <v>0</v>
      </c>
      <c r="K14" s="42">
        <f t="shared" si="3"/>
        <v>0</v>
      </c>
      <c r="L14" s="42">
        <f t="shared" si="5"/>
        <v>0</v>
      </c>
      <c r="M14" s="42">
        <f t="shared" si="6"/>
        <v>0</v>
      </c>
      <c r="N14" s="42">
        <f>'明细表I1-2'!Q15+'明细表I1-2'!R15</f>
        <v>0</v>
      </c>
      <c r="O14" s="42">
        <f t="shared" si="7"/>
        <v>0</v>
      </c>
      <c r="P14" s="17"/>
    </row>
    <row r="15" spans="1:28" ht="20.100000000000001" customHeight="1">
      <c r="A15" s="17"/>
      <c r="B15" s="20" t="str">
        <f>'明细表I1-2'!A16</f>
        <v>…</v>
      </c>
      <c r="C15" s="42">
        <f>'明细表I1-2'!L16</f>
        <v>0</v>
      </c>
      <c r="D15" s="42">
        <f>'明细表I1-2'!Y16</f>
        <v>0</v>
      </c>
      <c r="E15" s="42">
        <f>'明细表I1-2'!AL16</f>
        <v>0</v>
      </c>
      <c r="F15" s="42">
        <f t="shared" si="0"/>
        <v>0</v>
      </c>
      <c r="G15" s="43"/>
      <c r="H15" s="17"/>
      <c r="I15" s="42">
        <f t="shared" si="8"/>
        <v>0</v>
      </c>
      <c r="J15" s="42">
        <f t="shared" si="2"/>
        <v>0</v>
      </c>
      <c r="K15" s="42">
        <f t="shared" si="3"/>
        <v>0</v>
      </c>
      <c r="L15" s="42">
        <f t="shared" si="5"/>
        <v>0</v>
      </c>
      <c r="M15" s="42">
        <f t="shared" si="6"/>
        <v>0</v>
      </c>
      <c r="N15" s="42">
        <f>'明细表I1-2'!Q16+'明细表I1-2'!R16</f>
        <v>0</v>
      </c>
      <c r="O15" s="42">
        <f t="shared" si="7"/>
        <v>0</v>
      </c>
      <c r="P15" s="17"/>
    </row>
    <row r="16" spans="1:28" ht="20.100000000000001" customHeight="1">
      <c r="A16" s="17"/>
      <c r="B16" s="20">
        <f>'明细表I1-2'!A17</f>
        <v>0</v>
      </c>
      <c r="C16" s="42">
        <f>'明细表I1-2'!L17</f>
        <v>0</v>
      </c>
      <c r="D16" s="42">
        <f>'明细表I1-2'!Y17</f>
        <v>0</v>
      </c>
      <c r="E16" s="42">
        <f>'明细表I1-2'!AL17</f>
        <v>0</v>
      </c>
      <c r="F16" s="42">
        <f t="shared" si="0"/>
        <v>0</v>
      </c>
      <c r="G16" s="43"/>
      <c r="H16" s="17"/>
      <c r="I16" s="42">
        <f t="shared" si="8"/>
        <v>0</v>
      </c>
      <c r="J16" s="42">
        <f t="shared" si="2"/>
        <v>0</v>
      </c>
      <c r="K16" s="42">
        <f t="shared" si="3"/>
        <v>0</v>
      </c>
      <c r="L16" s="42">
        <f t="shared" si="5"/>
        <v>0</v>
      </c>
      <c r="M16" s="42">
        <f t="shared" si="6"/>
        <v>0</v>
      </c>
      <c r="N16" s="42">
        <f>'明细表I1-2'!Q17+'明细表I1-2'!R17</f>
        <v>0</v>
      </c>
      <c r="O16" s="42">
        <f t="shared" si="4"/>
        <v>0</v>
      </c>
      <c r="P16" s="17"/>
    </row>
    <row r="17" spans="1:16" s="48" customFormat="1" ht="20.100000000000001" customHeight="1">
      <c r="A17" s="315" t="s">
        <v>140</v>
      </c>
      <c r="B17" s="316"/>
      <c r="C17" s="42">
        <f>SUM(C11:C16)</f>
        <v>0</v>
      </c>
      <c r="D17" s="42">
        <f>SUM(D11:D16)</f>
        <v>0</v>
      </c>
      <c r="E17" s="42">
        <f>SUM(E11:E16)</f>
        <v>0</v>
      </c>
      <c r="F17" s="42">
        <f>SUM(F11:F16)</f>
        <v>0</v>
      </c>
      <c r="G17" s="38"/>
      <c r="H17" s="38"/>
      <c r="I17" s="38"/>
      <c r="J17" s="38"/>
      <c r="K17" s="42">
        <f>SUM(K11:K16)</f>
        <v>0</v>
      </c>
      <c r="L17" s="38"/>
      <c r="M17" s="42">
        <f>SUM(M11:M16)</f>
        <v>0</v>
      </c>
      <c r="N17" s="42">
        <f>SUM(N11:N16)</f>
        <v>0</v>
      </c>
      <c r="O17" s="42">
        <f>SUM(O11:O16)</f>
        <v>0</v>
      </c>
      <c r="P17" s="42">
        <f>SUM(P11:P16)</f>
        <v>0</v>
      </c>
    </row>
    <row r="18" spans="1:16" s="48" customFormat="1" ht="20.100000000000001" customHeight="1">
      <c r="A18" s="347" t="s">
        <v>226</v>
      </c>
      <c r="B18" s="348"/>
      <c r="C18" s="49"/>
      <c r="D18" s="49"/>
      <c r="E18" s="49"/>
      <c r="F18" s="49"/>
      <c r="G18" s="49"/>
      <c r="H18" s="49"/>
      <c r="I18" s="49"/>
      <c r="J18" s="49"/>
      <c r="K18" s="49"/>
      <c r="L18" s="49"/>
      <c r="M18" s="49"/>
      <c r="N18" s="49"/>
      <c r="O18" s="49"/>
      <c r="P18" s="49"/>
    </row>
    <row r="19" spans="1:16" s="48" customFormat="1" ht="20.100000000000001" customHeight="1">
      <c r="A19" s="347" t="str">
        <f>底稿目录!A9</f>
        <v>土地使用权</v>
      </c>
      <c r="B19" s="348"/>
      <c r="C19" s="42" cm="1">
        <f t="array" ref="C19">SUMPRODUCT(($A$11:$A$16=$A19)*(C$11:C$16))</f>
        <v>0</v>
      </c>
      <c r="D19" s="42" cm="1">
        <f t="array" ref="D19">SUMPRODUCT(($A$11:$A$16=$A19)*(D$11:D$16))</f>
        <v>0</v>
      </c>
      <c r="E19" s="42" cm="1">
        <f t="array" ref="E19">SUMPRODUCT(($A$11:$A$16=$A19)*(E$11:E$16))</f>
        <v>0</v>
      </c>
      <c r="F19" s="42" cm="1">
        <f t="array" ref="F19">SUMPRODUCT(($A$11:$A$16=$A19)*(F$11:F$16))</f>
        <v>0</v>
      </c>
      <c r="G19" s="38"/>
      <c r="H19" s="38"/>
      <c r="I19" s="38"/>
      <c r="J19" s="38"/>
      <c r="K19" s="42" cm="1">
        <f t="array" ref="K19">SUMPRODUCT(($A$11:$A$16=$A19)*(K$11:K$16))</f>
        <v>0</v>
      </c>
      <c r="L19" s="38"/>
      <c r="M19" s="42" cm="1">
        <f t="array" ref="M19">SUMPRODUCT(($A$11:$A$16=$A19)*(M$11:M$16))</f>
        <v>0</v>
      </c>
      <c r="N19" s="42" cm="1">
        <f t="array" ref="N19">SUMPRODUCT(($A$11:$A$16=$A19)*(N$11:N$16))</f>
        <v>0</v>
      </c>
      <c r="O19" s="42" cm="1">
        <f t="array" ref="O19">SUMPRODUCT(($A$11:$A$16=$A19)*(O$11:O$16))</f>
        <v>0</v>
      </c>
      <c r="P19" s="42" cm="1">
        <f t="array" ref="P19">SUMPRODUCT(($A$11:$A$16=$A19)*(P$11:P$16))</f>
        <v>0</v>
      </c>
    </row>
    <row r="20" spans="1:16" s="48" customFormat="1" ht="20.100000000000001" customHeight="1">
      <c r="A20" s="347" t="str">
        <f>底稿目录!A10</f>
        <v>住房使用权</v>
      </c>
      <c r="B20" s="348"/>
      <c r="C20" s="42" cm="1">
        <f t="array" ref="C20">SUMPRODUCT(($A$11:$A$16=$A20)*(C$11:C$16))</f>
        <v>0</v>
      </c>
      <c r="D20" s="42" cm="1">
        <f t="array" ref="D20">SUMPRODUCT(($A$11:$A$16=$A20)*(D$11:D$16))</f>
        <v>0</v>
      </c>
      <c r="E20" s="42" cm="1">
        <f t="array" ref="E20">SUMPRODUCT(($A$11:$A$16=$A20)*(E$11:E$16))</f>
        <v>0</v>
      </c>
      <c r="F20" s="42" cm="1">
        <f t="array" ref="F20">SUMPRODUCT(($A$11:$A$16=$A20)*(F$11:F$16))</f>
        <v>0</v>
      </c>
      <c r="G20" s="38"/>
      <c r="H20" s="38"/>
      <c r="I20" s="38"/>
      <c r="J20" s="38"/>
      <c r="K20" s="42" cm="1">
        <f t="array" ref="K20">SUMPRODUCT(($A$11:$A$16=$A20)*(K$11:K$16))</f>
        <v>0</v>
      </c>
      <c r="L20" s="38"/>
      <c r="M20" s="42" cm="1">
        <f t="array" ref="M20">SUMPRODUCT(($A$11:$A$16=$A20)*(M$11:M$16))</f>
        <v>0</v>
      </c>
      <c r="N20" s="42" cm="1">
        <f t="array" ref="N20">SUMPRODUCT(($A$11:$A$16=$A20)*(N$11:N$16))</f>
        <v>0</v>
      </c>
      <c r="O20" s="42" cm="1">
        <f t="array" ref="O20">SUMPRODUCT(($A$11:$A$16=$A20)*(O$11:O$16))</f>
        <v>0</v>
      </c>
      <c r="P20" s="42" cm="1">
        <f t="array" ref="P20">SUMPRODUCT(($A$11:$A$16=$A20)*(P$11:P$16))</f>
        <v>0</v>
      </c>
    </row>
    <row r="21" spans="1:16" s="48" customFormat="1" ht="20.100000000000001" customHeight="1">
      <c r="A21" s="347" t="str">
        <f>底稿目录!A11</f>
        <v>专利权</v>
      </c>
      <c r="B21" s="348"/>
      <c r="C21" s="42" cm="1">
        <f t="array" ref="C21">SUMPRODUCT(($A$11:$A$16=$A21)*(C$11:C$16))</f>
        <v>0</v>
      </c>
      <c r="D21" s="42" cm="1">
        <f t="array" ref="D21">SUMPRODUCT(($A$11:$A$16=$A21)*(D$11:D$16))</f>
        <v>0</v>
      </c>
      <c r="E21" s="42" cm="1">
        <f t="array" ref="E21">SUMPRODUCT(($A$11:$A$16=$A21)*(E$11:E$16))</f>
        <v>0</v>
      </c>
      <c r="F21" s="42" cm="1">
        <f t="array" ref="F21">SUMPRODUCT(($A$11:$A$16=$A21)*(F$11:F$16))</f>
        <v>0</v>
      </c>
      <c r="G21" s="38"/>
      <c r="H21" s="38"/>
      <c r="I21" s="38"/>
      <c r="J21" s="38"/>
      <c r="K21" s="42" cm="1">
        <f t="array" ref="K21">SUMPRODUCT(($A$11:$A$16=$A21)*(K$11:K$16))</f>
        <v>0</v>
      </c>
      <c r="L21" s="38"/>
      <c r="M21" s="42" cm="1">
        <f t="array" ref="M21">SUMPRODUCT(($A$11:$A$16=$A21)*(M$11:M$16))</f>
        <v>0</v>
      </c>
      <c r="N21" s="42" cm="1">
        <f t="array" ref="N21">SUMPRODUCT(($A$11:$A$16=$A21)*(N$11:N$16))</f>
        <v>0</v>
      </c>
      <c r="O21" s="42" cm="1">
        <f t="array" ref="O21">SUMPRODUCT(($A$11:$A$16=$A21)*(O$11:O$16))</f>
        <v>0</v>
      </c>
      <c r="P21" s="42" cm="1">
        <f t="array" ref="P21">SUMPRODUCT(($A$11:$A$16=$A21)*(P$11:P$16))</f>
        <v>0</v>
      </c>
    </row>
    <row r="22" spans="1:16" s="48" customFormat="1" ht="20.100000000000001" customHeight="1">
      <c r="A22" s="347" t="str">
        <f>底稿目录!A12</f>
        <v>非专利技术</v>
      </c>
      <c r="B22" s="348"/>
      <c r="C22" s="42" cm="1">
        <f t="array" ref="C22">SUMPRODUCT(($A$11:$A$16=$A22)*(C$11:C$16))</f>
        <v>0</v>
      </c>
      <c r="D22" s="42" cm="1">
        <f t="array" ref="D22">SUMPRODUCT(($A$11:$A$16=$A22)*(D$11:D$16))</f>
        <v>0</v>
      </c>
      <c r="E22" s="42" cm="1">
        <f t="array" ref="E22">SUMPRODUCT(($A$11:$A$16=$A22)*(E$11:E$16))</f>
        <v>0</v>
      </c>
      <c r="F22" s="42" cm="1">
        <f t="array" ref="F22">SUMPRODUCT(($A$11:$A$16=$A22)*(F$11:F$16))</f>
        <v>0</v>
      </c>
      <c r="G22" s="38"/>
      <c r="H22" s="38"/>
      <c r="I22" s="38"/>
      <c r="J22" s="38"/>
      <c r="K22" s="42" cm="1">
        <f t="array" ref="K22">SUMPRODUCT(($A$11:$A$16=$A22)*(K$11:K$16))</f>
        <v>0</v>
      </c>
      <c r="L22" s="38"/>
      <c r="M22" s="42" cm="1">
        <f t="array" ref="M22">SUMPRODUCT(($A$11:$A$16=$A22)*(M$11:M$16))</f>
        <v>0</v>
      </c>
      <c r="N22" s="42" cm="1">
        <f t="array" ref="N22">SUMPRODUCT(($A$11:$A$16=$A22)*(N$11:N$16))</f>
        <v>0</v>
      </c>
      <c r="O22" s="42" cm="1">
        <f t="array" ref="O22">SUMPRODUCT(($A$11:$A$16=$A22)*(O$11:O$16))</f>
        <v>0</v>
      </c>
      <c r="P22" s="42" cm="1">
        <f t="array" ref="P22">SUMPRODUCT(($A$11:$A$16=$A22)*(P$11:P$16))</f>
        <v>0</v>
      </c>
    </row>
    <row r="23" spans="1:16" s="48" customFormat="1" ht="20.100000000000001" customHeight="1">
      <c r="A23" s="347" t="str">
        <f>底稿目录!A13</f>
        <v>商标权</v>
      </c>
      <c r="B23" s="348"/>
      <c r="C23" s="42" cm="1">
        <f t="array" ref="C23">SUMPRODUCT(($A$11:$A$16=$A23)*(C$11:C$16))</f>
        <v>0</v>
      </c>
      <c r="D23" s="42" cm="1">
        <f t="array" ref="D23">SUMPRODUCT(($A$11:$A$16=$A23)*(D$11:D$16))</f>
        <v>0</v>
      </c>
      <c r="E23" s="42" cm="1">
        <f t="array" ref="E23">SUMPRODUCT(($A$11:$A$16=$A23)*(E$11:E$16))</f>
        <v>0</v>
      </c>
      <c r="F23" s="42" cm="1">
        <f t="array" ref="F23">SUMPRODUCT(($A$11:$A$16=$A23)*(F$11:F$16))</f>
        <v>0</v>
      </c>
      <c r="G23" s="38"/>
      <c r="H23" s="38"/>
      <c r="I23" s="38"/>
      <c r="J23" s="38"/>
      <c r="K23" s="42" cm="1">
        <f t="array" ref="K23">SUMPRODUCT(($A$11:$A$16=$A23)*(K$11:K$16))</f>
        <v>0</v>
      </c>
      <c r="L23" s="38"/>
      <c r="M23" s="42" cm="1">
        <f t="array" ref="M23">SUMPRODUCT(($A$11:$A$16=$A23)*(M$11:M$16))</f>
        <v>0</v>
      </c>
      <c r="N23" s="42" cm="1">
        <f t="array" ref="N23">SUMPRODUCT(($A$11:$A$16=$A23)*(N$11:N$16))</f>
        <v>0</v>
      </c>
      <c r="O23" s="42" cm="1">
        <f t="array" ref="O23">SUMPRODUCT(($A$11:$A$16=$A23)*(O$11:O$16))</f>
        <v>0</v>
      </c>
      <c r="P23" s="42" cm="1">
        <f t="array" ref="P23">SUMPRODUCT(($A$11:$A$16=$A23)*(P$11:P$16))</f>
        <v>0</v>
      </c>
    </row>
    <row r="24" spans="1:16" s="48" customFormat="1" ht="20.100000000000001" customHeight="1">
      <c r="A24" s="347" t="str">
        <f>底稿目录!A14</f>
        <v>著作权</v>
      </c>
      <c r="B24" s="348"/>
      <c r="C24" s="42" cm="1">
        <f t="array" ref="C24">SUMPRODUCT(($A$11:$A$16=$A24)*(C$11:C$16))</f>
        <v>0</v>
      </c>
      <c r="D24" s="42" cm="1">
        <f t="array" ref="D24">SUMPRODUCT(($A$11:$A$16=$A24)*(D$11:D$16))</f>
        <v>0</v>
      </c>
      <c r="E24" s="42" cm="1">
        <f t="array" ref="E24">SUMPRODUCT(($A$11:$A$16=$A24)*(E$11:E$16))</f>
        <v>0</v>
      </c>
      <c r="F24" s="42" cm="1">
        <f t="array" ref="F24">SUMPRODUCT(($A$11:$A$16=$A24)*(F$11:F$16))</f>
        <v>0</v>
      </c>
      <c r="G24" s="38"/>
      <c r="H24" s="38"/>
      <c r="I24" s="38"/>
      <c r="J24" s="38"/>
      <c r="K24" s="42" cm="1">
        <f t="array" ref="K24">SUMPRODUCT(($A$11:$A$16=$A24)*(K$11:K$16))</f>
        <v>0</v>
      </c>
      <c r="L24" s="38"/>
      <c r="M24" s="42" cm="1">
        <f t="array" ref="M24">SUMPRODUCT(($A$11:$A$16=$A24)*(M$11:M$16))</f>
        <v>0</v>
      </c>
      <c r="N24" s="42" cm="1">
        <f t="array" ref="N24">SUMPRODUCT(($A$11:$A$16=$A24)*(N$11:N$16))</f>
        <v>0</v>
      </c>
      <c r="O24" s="42" cm="1">
        <f t="array" ref="O24">SUMPRODUCT(($A$11:$A$16=$A24)*(O$11:O$16))</f>
        <v>0</v>
      </c>
      <c r="P24" s="42" cm="1">
        <f t="array" ref="P24">SUMPRODUCT(($A$11:$A$16=$A24)*(P$11:P$16))</f>
        <v>0</v>
      </c>
    </row>
    <row r="25" spans="1:16" s="48" customFormat="1" ht="20.100000000000001" customHeight="1">
      <c r="A25" s="347" t="str">
        <f>底稿目录!A15</f>
        <v>特许经营权</v>
      </c>
      <c r="B25" s="348"/>
      <c r="C25" s="42" cm="1">
        <f t="array" ref="C25">SUMPRODUCT(($A$11:$A$16=$A25)*(C$11:C$16))</f>
        <v>0</v>
      </c>
      <c r="D25" s="42" cm="1">
        <f t="array" ref="D25">SUMPRODUCT(($A$11:$A$16=$A25)*(D$11:D$16))</f>
        <v>0</v>
      </c>
      <c r="E25" s="42" cm="1">
        <f t="array" ref="E25">SUMPRODUCT(($A$11:$A$16=$A25)*(E$11:E$16))</f>
        <v>0</v>
      </c>
      <c r="F25" s="42" cm="1">
        <f t="array" ref="F25">SUMPRODUCT(($A$11:$A$16=$A25)*(F$11:F$16))</f>
        <v>0</v>
      </c>
      <c r="G25" s="38"/>
      <c r="H25" s="38"/>
      <c r="I25" s="38"/>
      <c r="J25" s="38"/>
      <c r="K25" s="42" cm="1">
        <f t="array" ref="K25">SUMPRODUCT(($A$11:$A$16=$A25)*(K$11:K$16))</f>
        <v>0</v>
      </c>
      <c r="L25" s="38"/>
      <c r="M25" s="42" cm="1">
        <f t="array" ref="M25">SUMPRODUCT(($A$11:$A$16=$A25)*(M$11:M$16))</f>
        <v>0</v>
      </c>
      <c r="N25" s="42" cm="1">
        <f t="array" ref="N25">SUMPRODUCT(($A$11:$A$16=$A25)*(N$11:N$16))</f>
        <v>0</v>
      </c>
      <c r="O25" s="42" cm="1">
        <f t="array" ref="O25">SUMPRODUCT(($A$11:$A$16=$A25)*(O$11:O$16))</f>
        <v>0</v>
      </c>
      <c r="P25" s="42" cm="1">
        <f t="array" ref="P25">SUMPRODUCT(($A$11:$A$16=$A25)*(P$11:P$16))</f>
        <v>0</v>
      </c>
    </row>
    <row r="26" spans="1:16" s="48" customFormat="1" ht="20.100000000000001" customHeight="1">
      <c r="A26" s="347" t="str">
        <f>底稿目录!A16</f>
        <v>软件</v>
      </c>
      <c r="B26" s="348"/>
      <c r="C26" s="42" cm="1">
        <f t="array" ref="C26">SUMPRODUCT(($A$11:$A$16=$A26)*(C$11:C$16))</f>
        <v>0</v>
      </c>
      <c r="D26" s="42" cm="1">
        <f t="array" ref="D26">SUMPRODUCT(($A$11:$A$16=$A26)*(D$11:D$16))</f>
        <v>0</v>
      </c>
      <c r="E26" s="42" cm="1">
        <f t="array" ref="E26">SUMPRODUCT(($A$11:$A$16=$A26)*(E$11:E$16))</f>
        <v>0</v>
      </c>
      <c r="F26" s="42" cm="1">
        <f t="array" ref="F26">SUMPRODUCT(($A$11:$A$16=$A26)*(F$11:F$16))</f>
        <v>0</v>
      </c>
      <c r="G26" s="38"/>
      <c r="H26" s="38"/>
      <c r="I26" s="38"/>
      <c r="J26" s="38"/>
      <c r="K26" s="42" cm="1">
        <f t="array" ref="K26">SUMPRODUCT(($A$11:$A$16=$A26)*(K$11:K$16))</f>
        <v>0</v>
      </c>
      <c r="L26" s="38"/>
      <c r="M26" s="42" cm="1">
        <f t="array" ref="M26">SUMPRODUCT(($A$11:$A$16=$A26)*(M$11:M$16))</f>
        <v>0</v>
      </c>
      <c r="N26" s="42" cm="1">
        <f t="array" ref="N26">SUMPRODUCT(($A$11:$A$16=$A26)*(N$11:N$16))</f>
        <v>0</v>
      </c>
      <c r="O26" s="42" cm="1">
        <f t="array" ref="O26">SUMPRODUCT(($A$11:$A$16=$A26)*(O$11:O$16))</f>
        <v>0</v>
      </c>
      <c r="P26" s="42" cm="1">
        <f t="array" ref="P26">SUMPRODUCT(($A$11:$A$16=$A26)*(P$11:P$16))</f>
        <v>0</v>
      </c>
    </row>
    <row r="27" spans="1:16" s="48" customFormat="1" ht="20.100000000000001" customHeight="1">
      <c r="A27" s="347" t="str">
        <f>底稿目录!A17</f>
        <v>矿产权</v>
      </c>
      <c r="B27" s="348"/>
      <c r="C27" s="42" cm="1">
        <f t="array" ref="C27">SUMPRODUCT(($A$11:$A$16=$A27)*(C$11:C$16))</f>
        <v>0</v>
      </c>
      <c r="D27" s="42" cm="1">
        <f t="array" ref="D27">SUMPRODUCT(($A$11:$A$16=$A27)*(D$11:D$16))</f>
        <v>0</v>
      </c>
      <c r="E27" s="42" cm="1">
        <f t="array" ref="E27">SUMPRODUCT(($A$11:$A$16=$A27)*(E$11:E$16))</f>
        <v>0</v>
      </c>
      <c r="F27" s="42" cm="1">
        <f t="array" ref="F27">SUMPRODUCT(($A$11:$A$16=$A27)*(F$11:F$16))</f>
        <v>0</v>
      </c>
      <c r="G27" s="38"/>
      <c r="H27" s="38"/>
      <c r="I27" s="38"/>
      <c r="J27" s="38"/>
      <c r="K27" s="42" cm="1">
        <f t="array" ref="K27">SUMPRODUCT(($A$11:$A$16=$A27)*(K$11:K$16))</f>
        <v>0</v>
      </c>
      <c r="L27" s="38"/>
      <c r="M27" s="42" cm="1">
        <f t="array" ref="M27">SUMPRODUCT(($A$11:$A$16=$A27)*(M$11:M$16))</f>
        <v>0</v>
      </c>
      <c r="N27" s="42" cm="1">
        <f t="array" ref="N27">SUMPRODUCT(($A$11:$A$16=$A27)*(N$11:N$16))</f>
        <v>0</v>
      </c>
      <c r="O27" s="42" cm="1">
        <f t="array" ref="O27">SUMPRODUCT(($A$11:$A$16=$A27)*(O$11:O$16))</f>
        <v>0</v>
      </c>
      <c r="P27" s="42" cm="1">
        <f t="array" ref="P27">SUMPRODUCT(($A$11:$A$16=$A27)*(P$11:P$16))</f>
        <v>0</v>
      </c>
    </row>
    <row r="28" spans="1:16" s="48" customFormat="1" ht="20.100000000000001" customHeight="1">
      <c r="A28" s="353" t="s">
        <v>32</v>
      </c>
      <c r="B28" s="348"/>
      <c r="C28" s="42" cm="1">
        <f t="array" ref="C28">SUMPRODUCT(($A$11:$A$16=$A28)*(C$11:C$16))</f>
        <v>0</v>
      </c>
      <c r="D28" s="42" cm="1">
        <f t="array" ref="D28">SUMPRODUCT(($A$11:$A$16=$A28)*(D$11:D$16))</f>
        <v>0</v>
      </c>
      <c r="E28" s="42" cm="1">
        <f t="array" ref="E28">SUMPRODUCT(($A$11:$A$16=$A28)*(E$11:E$16))</f>
        <v>0</v>
      </c>
      <c r="F28" s="42" cm="1">
        <f t="array" ref="F28">SUMPRODUCT(($A$11:$A$16=$A28)*(F$11:F$16))</f>
        <v>0</v>
      </c>
      <c r="G28" s="38"/>
      <c r="H28" s="38"/>
      <c r="I28" s="38"/>
      <c r="J28" s="38"/>
      <c r="K28" s="42" cm="1">
        <f t="array" ref="K28">SUMPRODUCT(($A$11:$A$16=$A28)*(K$11:K$16))</f>
        <v>0</v>
      </c>
      <c r="L28" s="38"/>
      <c r="M28" s="42" cm="1">
        <f t="array" ref="M28">SUMPRODUCT(($A$11:$A$16=$A28)*(M$11:M$16))</f>
        <v>0</v>
      </c>
      <c r="N28" s="42" cm="1">
        <f t="array" ref="N28">SUMPRODUCT(($A$11:$A$16=$A28)*(N$11:N$16))</f>
        <v>0</v>
      </c>
      <c r="O28" s="42" cm="1">
        <f t="array" ref="O28">SUMPRODUCT(($A$11:$A$16=$A28)*(O$11:O$16))</f>
        <v>0</v>
      </c>
      <c r="P28" s="42" cm="1">
        <f t="array" ref="P28">SUMPRODUCT(($A$11:$A$16=$A28)*(P$11:P$16))</f>
        <v>0</v>
      </c>
    </row>
    <row r="29" spans="1:16" s="48" customFormat="1" ht="20.100000000000001" customHeight="1">
      <c r="A29" s="347" t="str">
        <f>底稿目录!A19</f>
        <v>其他</v>
      </c>
      <c r="B29" s="348"/>
      <c r="C29" s="42" cm="1">
        <f t="array" ref="C29">SUMPRODUCT(($A$11:$A$16=$A29)*(C$11:C$16))</f>
        <v>0</v>
      </c>
      <c r="D29" s="42" cm="1">
        <f t="array" ref="D29">SUMPRODUCT(($A$11:$A$16=$A29)*(D$11:D$16))</f>
        <v>0</v>
      </c>
      <c r="E29" s="42" cm="1">
        <f t="array" ref="E29">SUMPRODUCT(($A$11:$A$16=$A29)*(E$11:E$16))</f>
        <v>0</v>
      </c>
      <c r="F29" s="42" cm="1">
        <f t="array" ref="F29">SUMPRODUCT(($A$11:$A$16=$A29)*(F$11:F$16))</f>
        <v>0</v>
      </c>
      <c r="G29" s="38"/>
      <c r="H29" s="38"/>
      <c r="I29" s="38"/>
      <c r="J29" s="38"/>
      <c r="K29" s="42" cm="1">
        <f t="array" ref="K29">SUMPRODUCT(($A$11:$A$16=$A29)*(K$11:K$16))</f>
        <v>0</v>
      </c>
      <c r="L29" s="38"/>
      <c r="M29" s="42" cm="1">
        <f t="array" ref="M29">SUMPRODUCT(($A$11:$A$16=$A29)*(M$11:M$16))</f>
        <v>0</v>
      </c>
      <c r="N29" s="42" cm="1">
        <f t="array" ref="N29">SUMPRODUCT(($A$11:$A$16=$A29)*(N$11:N$16))</f>
        <v>0</v>
      </c>
      <c r="O29" s="42" cm="1">
        <f t="array" ref="O29">SUMPRODUCT(($A$11:$A$16=$A29)*(O$11:O$16))</f>
        <v>0</v>
      </c>
      <c r="P29" s="42" cm="1">
        <f t="array" ref="P29">SUMPRODUCT(($A$11:$A$16=$A29)*(P$11:P$16))</f>
        <v>0</v>
      </c>
    </row>
    <row r="30" spans="1:16" s="1" customFormat="1" ht="18" customHeight="1">
      <c r="A30" s="44" t="s">
        <v>227</v>
      </c>
      <c r="B30" s="45"/>
    </row>
    <row r="31" spans="1:16" ht="18" customHeight="1">
      <c r="A31" s="3"/>
    </row>
    <row r="32" spans="1:16" ht="18" customHeight="1">
      <c r="A32" s="3"/>
    </row>
    <row r="33" spans="1:1" ht="18" customHeight="1">
      <c r="A33" s="24" t="s">
        <v>228</v>
      </c>
    </row>
  </sheetData>
  <mergeCells count="28">
    <mergeCell ref="A29:B29"/>
    <mergeCell ref="A9:A10"/>
    <mergeCell ref="B9:B10"/>
    <mergeCell ref="G9:G10"/>
    <mergeCell ref="H9:H10"/>
    <mergeCell ref="A24:B24"/>
    <mergeCell ref="A25:B25"/>
    <mergeCell ref="A26:B26"/>
    <mergeCell ref="A27:B27"/>
    <mergeCell ref="A28:B28"/>
    <mergeCell ref="A19:B19"/>
    <mergeCell ref="A20:B20"/>
    <mergeCell ref="A21:B21"/>
    <mergeCell ref="A22:B22"/>
    <mergeCell ref="A23:B23"/>
    <mergeCell ref="A17:B17"/>
    <mergeCell ref="A18:B18"/>
    <mergeCell ref="I9:I10"/>
    <mergeCell ref="J9:J10"/>
    <mergeCell ref="P9:P10"/>
    <mergeCell ref="A1:P1"/>
    <mergeCell ref="A2:P2"/>
    <mergeCell ref="K9:K10"/>
    <mergeCell ref="L9:L10"/>
    <mergeCell ref="M9:M10"/>
    <mergeCell ref="N9:N10"/>
    <mergeCell ref="O9:O10"/>
    <mergeCell ref="C9:F9"/>
  </mergeCells>
  <phoneticPr fontId="75" type="noConversion"/>
  <hyperlinks>
    <hyperlink ref="P3" location="底稿目录!A1" display="I1-10"/>
  </hyperlinks>
  <printOptions horizontalCentered="1"/>
  <pageMargins left="0.59055118110236227" right="0.59055118110236227" top="0.78740157480314965" bottom="0.39370078740157483" header="0.51181102362204722" footer="0.31496062992125984"/>
  <pageSetup paperSize="9" scale="73" orientation="landscape" blackAndWhite="1" r:id="rId1"/>
  <headerFooter>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底稿目录!$A$9:$A$20</xm:f>
          </x14:formula1>
          <xm:sqref>A11:A16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AB33"/>
  <sheetViews>
    <sheetView view="pageBreakPreview" zoomScaleNormal="100" workbookViewId="0">
      <selection sqref="A1:W1"/>
    </sheetView>
  </sheetViews>
  <sheetFormatPr defaultColWidth="9" defaultRowHeight="18" customHeight="1"/>
  <cols>
    <col min="1" max="1" width="15.6640625" style="7" customWidth="1"/>
    <col min="2" max="2" width="14.21875" style="7" customWidth="1"/>
    <col min="3" max="4" width="10.44140625" style="7" customWidth="1"/>
    <col min="5" max="5" width="19.88671875" style="7" customWidth="1"/>
    <col min="6" max="6" width="9.44140625" style="7" customWidth="1"/>
    <col min="7" max="7" width="8.6640625" style="7" customWidth="1"/>
    <col min="8" max="8" width="10.33203125" style="7" customWidth="1"/>
    <col min="9" max="9" width="9.21875" style="7" customWidth="1"/>
    <col min="10" max="10" width="9.44140625" style="7" customWidth="1"/>
    <col min="11" max="15" width="9.21875" style="7" customWidth="1"/>
    <col min="16" max="16" width="9.109375" style="7" customWidth="1"/>
    <col min="17" max="23" width="12.6640625" style="7" customWidth="1"/>
    <col min="24" max="16384" width="9" style="7"/>
  </cols>
  <sheetData>
    <row r="1" spans="1:28" s="1" customFormat="1" ht="20.100000000000001" customHeight="1">
      <c r="A1" s="283" t="s">
        <v>86</v>
      </c>
      <c r="B1" s="283"/>
      <c r="C1" s="283"/>
      <c r="D1" s="283"/>
      <c r="E1" s="283"/>
      <c r="F1" s="283"/>
      <c r="G1" s="283"/>
      <c r="H1" s="283"/>
      <c r="I1" s="283"/>
      <c r="J1" s="283"/>
      <c r="K1" s="283"/>
      <c r="L1" s="283"/>
      <c r="M1" s="283"/>
      <c r="N1" s="283"/>
      <c r="O1" s="283"/>
      <c r="P1" s="283"/>
      <c r="Q1" s="283"/>
      <c r="R1" s="283"/>
      <c r="S1" s="283"/>
      <c r="T1" s="283"/>
      <c r="U1" s="283"/>
      <c r="V1" s="283"/>
      <c r="W1" s="283"/>
    </row>
    <row r="2" spans="1:28" s="2" customFormat="1" ht="25.05" customHeight="1">
      <c r="A2" s="284" t="s">
        <v>372</v>
      </c>
      <c r="B2" s="284"/>
      <c r="C2" s="284"/>
      <c r="D2" s="284"/>
      <c r="E2" s="284"/>
      <c r="F2" s="284"/>
      <c r="G2" s="284"/>
      <c r="H2" s="284"/>
      <c r="I2" s="284"/>
      <c r="J2" s="284"/>
      <c r="K2" s="284"/>
      <c r="L2" s="284"/>
      <c r="M2" s="284"/>
      <c r="N2" s="284"/>
      <c r="O2" s="284"/>
      <c r="P2" s="284"/>
      <c r="Q2" s="284"/>
      <c r="R2" s="284"/>
      <c r="S2" s="284"/>
      <c r="T2" s="284"/>
      <c r="U2" s="284"/>
      <c r="V2" s="284"/>
      <c r="W2" s="284"/>
    </row>
    <row r="3" spans="1:28" ht="20.100000000000001" customHeight="1">
      <c r="A3" s="7" t="str">
        <f>底稿目录!A2</f>
        <v>被审计单位：</v>
      </c>
      <c r="H3" s="7" t="str">
        <f>底稿目录!A4</f>
        <v>编制人：</v>
      </c>
      <c r="Q3" s="25" t="str">
        <f>底稿目录!A5</f>
        <v>编制日期：</v>
      </c>
      <c r="R3" s="25"/>
      <c r="W3" s="7" t="s">
        <v>88</v>
      </c>
      <c r="X3" s="267" t="s">
        <v>31</v>
      </c>
    </row>
    <row r="4" spans="1:28" ht="20.100000000000001" customHeight="1">
      <c r="A4" s="7" t="str">
        <f>底稿目录!A3</f>
        <v>截止日：202X年12月31日</v>
      </c>
      <c r="H4" s="7" t="str">
        <f>底稿目录!A6</f>
        <v>复核人：</v>
      </c>
      <c r="Q4" s="25" t="str">
        <f>底稿目录!A7</f>
        <v>复核日期：</v>
      </c>
      <c r="R4" s="25"/>
      <c r="W4" s="7" t="s">
        <v>136</v>
      </c>
      <c r="X4" s="26"/>
    </row>
    <row r="5" spans="1:28" s="3" customFormat="1" ht="20.100000000000001" customHeight="1">
      <c r="A5" s="9" t="s">
        <v>194</v>
      </c>
      <c r="B5" s="10"/>
      <c r="G5" s="11"/>
      <c r="J5" s="27"/>
      <c r="K5" s="28"/>
      <c r="L5" s="29"/>
      <c r="O5" s="27"/>
      <c r="V5" s="32"/>
      <c r="W5" s="32"/>
      <c r="X5" s="32"/>
      <c r="Y5" s="32"/>
      <c r="Z5" s="32"/>
      <c r="AA5" s="32"/>
      <c r="AB5" s="32"/>
    </row>
    <row r="6" spans="1:28" s="3" customFormat="1" ht="20.100000000000001" customHeight="1">
      <c r="A6" s="12" t="s">
        <v>353</v>
      </c>
      <c r="G6" s="11"/>
      <c r="J6" s="27"/>
      <c r="K6" s="28"/>
      <c r="L6" s="29"/>
      <c r="O6" s="27"/>
      <c r="V6" s="32"/>
      <c r="W6" s="32"/>
      <c r="X6" s="32"/>
      <c r="Y6" s="32"/>
      <c r="Z6" s="32"/>
      <c r="AA6" s="32"/>
      <c r="AB6" s="32"/>
    </row>
    <row r="7" spans="1:28" s="3" customFormat="1" ht="20.100000000000001" customHeight="1">
      <c r="A7" s="13" t="s">
        <v>196</v>
      </c>
      <c r="B7" s="14"/>
      <c r="G7" s="11"/>
      <c r="J7" s="27"/>
      <c r="K7" s="28"/>
      <c r="L7" s="29"/>
      <c r="O7" s="27"/>
      <c r="V7" s="32"/>
      <c r="W7" s="32"/>
      <c r="X7" s="32"/>
      <c r="Y7" s="32"/>
      <c r="Z7" s="32"/>
      <c r="AA7" s="32"/>
      <c r="AB7" s="32"/>
    </row>
    <row r="8" spans="1:28" ht="20.100000000000001" customHeight="1">
      <c r="A8" s="39" t="s">
        <v>373</v>
      </c>
      <c r="B8" s="227">
        <v>43831</v>
      </c>
      <c r="C8" s="39" t="s">
        <v>374</v>
      </c>
      <c r="D8" s="228">
        <v>44196</v>
      </c>
      <c r="E8" s="39" t="s">
        <v>375</v>
      </c>
      <c r="F8" s="227">
        <v>43529</v>
      </c>
    </row>
    <row r="9" spans="1:28" s="4" customFormat="1" ht="51" customHeight="1">
      <c r="A9" s="40" t="s">
        <v>198</v>
      </c>
      <c r="B9" s="34" t="s">
        <v>356</v>
      </c>
      <c r="C9" s="34" t="s">
        <v>368</v>
      </c>
      <c r="D9" s="34" t="s">
        <v>369</v>
      </c>
      <c r="E9" s="34" t="s">
        <v>370</v>
      </c>
      <c r="F9" s="34" t="s">
        <v>358</v>
      </c>
      <c r="G9" s="229" t="s">
        <v>376</v>
      </c>
      <c r="H9" s="16" t="s">
        <v>377</v>
      </c>
      <c r="I9" s="46" t="s">
        <v>378</v>
      </c>
      <c r="J9" s="16" t="s">
        <v>379</v>
      </c>
      <c r="K9" s="16" t="s">
        <v>380</v>
      </c>
      <c r="L9" s="16" t="s">
        <v>361</v>
      </c>
      <c r="M9" s="16" t="s">
        <v>381</v>
      </c>
      <c r="N9" s="16" t="s">
        <v>382</v>
      </c>
      <c r="O9" s="16" t="s">
        <v>383</v>
      </c>
      <c r="P9" s="16" t="s">
        <v>384</v>
      </c>
      <c r="Q9" s="16" t="s">
        <v>385</v>
      </c>
      <c r="R9" s="16" t="s">
        <v>386</v>
      </c>
      <c r="S9" s="16" t="s">
        <v>387</v>
      </c>
      <c r="T9" s="16" t="s">
        <v>388</v>
      </c>
      <c r="U9" s="16" t="s">
        <v>389</v>
      </c>
      <c r="V9" s="16" t="s">
        <v>369</v>
      </c>
      <c r="W9" s="16" t="s">
        <v>390</v>
      </c>
      <c r="X9" s="47" t="s">
        <v>367</v>
      </c>
    </row>
    <row r="10" spans="1:28" ht="20.100000000000001" customHeight="1">
      <c r="A10" s="17"/>
      <c r="B10" s="41" t="str">
        <f>'明细表I1-2'!A12</f>
        <v>A</v>
      </c>
      <c r="C10" s="42">
        <f>'明细表I1-2'!O12</f>
        <v>0</v>
      </c>
      <c r="D10" s="42">
        <f>'明细表I1-2'!U12</f>
        <v>0</v>
      </c>
      <c r="E10" s="42">
        <f>'明细表I1-2'!AH12</f>
        <v>0</v>
      </c>
      <c r="F10" s="43"/>
      <c r="G10" s="17"/>
      <c r="H10" s="20"/>
      <c r="I10" s="42">
        <f t="shared" ref="I10:I15" si="0">IF(G10=0,0,IF(RIGHT(G10,1)&lt;&gt;"年",G10*12,IF(LEN(G10)=3,VALUE(LEFT(G10,2))*12,IF(LEN(G10)=2,VALUE(LEFT(G10,1))*12,"??"))))</f>
        <v>0</v>
      </c>
      <c r="J10" s="42">
        <f>IF(F10=0,0,DATE(YEAR(F10),MONTH(F10)+I10,DAY(F10)-1))</f>
        <v>0</v>
      </c>
      <c r="K10" s="42">
        <f t="shared" ref="K10:K15" si="1">IF(F10=0,0,IF(J10&gt;$D$8,VALUE(DATEDIF(F10,MIN($D$8,J10),"m")+1),VALUE(DATEDIF(F10,MIN($D$8,J10),"m")+1)))</f>
        <v>0</v>
      </c>
      <c r="L10" s="42">
        <f t="shared" ref="L10:L15" si="2">I10-K10</f>
        <v>0</v>
      </c>
      <c r="M10" s="42">
        <f t="shared" ref="M10:M15" si="3">IF(F10=0,0,VALUE(DATEDIF(F10,$F$8,"m")+1))</f>
        <v>0</v>
      </c>
      <c r="N10" s="42">
        <f t="shared" ref="N10:N15" si="4">IF(F10=0,0,IF(AND(F10&lt;$B$8,J10&gt;$D$8),VALUE(DATEDIF($B$8,$D$8,"m")+1),IF(AND(F10&lt;$B$8,J10&lt;=$D$8),VALUE(DATEDIF($B$8,J10,"m")+1),IF(AND(F10&gt;=$B$8,J10&gt;$D$8),VALUE(DATEDIF(F10,$D$8,"m")+1),IF(AND(F10&gt;=$B$8,J10&lt;=$D$8),VALUE(DATEDIF(F10,J10,"m")+1),)))))</f>
        <v>0</v>
      </c>
      <c r="O10" s="42">
        <f t="shared" ref="O10:O15" si="5">N10-P10</f>
        <v>0</v>
      </c>
      <c r="P10" s="42">
        <f t="shared" ref="P10:P15" si="6">IF(F10=0,0,IF($F$8&lt;$B$8,N10,DATEDIF(MAX(F10,$F$8),MIN(J10,$D$8),"m")))</f>
        <v>0</v>
      </c>
      <c r="Q10" s="42">
        <f t="shared" ref="Q10:Q15" si="7">IF(I10=0,0,ROUND(((1-0)/I10)*C10,4))</f>
        <v>0</v>
      </c>
      <c r="R10" s="42">
        <f t="shared" ref="R10:R15" si="8">ROUND(Q10*M10,2)</f>
        <v>0</v>
      </c>
      <c r="S10" s="42">
        <f t="shared" ref="S10:S15" si="9">IF((C10*(1-0)-R10-E10)&gt;0,(C10*(1-0)-R10-E10)/(I10-M10),0)</f>
        <v>0</v>
      </c>
      <c r="T10" s="42">
        <f t="shared" ref="T10:T15" si="10">ROUND(Q10*O10,2)+ROUND(S10*P10,2)</f>
        <v>0</v>
      </c>
      <c r="U10" s="42">
        <f t="shared" ref="U10:U15" si="11">ROUND(H10-S10,2)</f>
        <v>0</v>
      </c>
      <c r="V10" s="42">
        <f t="shared" ref="V10:V15" si="12">ROUND(Q10*M10,2)+ROUND(S10*(K10-M10),2)</f>
        <v>0</v>
      </c>
      <c r="W10" s="42">
        <f t="shared" ref="W10:W15" si="13">ROUND(D10-V10,2)</f>
        <v>0</v>
      </c>
      <c r="X10" s="17"/>
    </row>
    <row r="11" spans="1:28" ht="20.100000000000001" customHeight="1">
      <c r="A11" s="17"/>
      <c r="B11" s="41" t="str">
        <f>'明细表I1-2'!A13</f>
        <v>B</v>
      </c>
      <c r="C11" s="42">
        <f>'明细表I1-2'!O13</f>
        <v>0</v>
      </c>
      <c r="D11" s="42">
        <f>'明细表I1-2'!U13</f>
        <v>0</v>
      </c>
      <c r="E11" s="42">
        <f>'明细表I1-2'!AH13</f>
        <v>0</v>
      </c>
      <c r="F11" s="43"/>
      <c r="G11" s="17"/>
      <c r="H11" s="20"/>
      <c r="I11" s="42">
        <f t="shared" si="0"/>
        <v>0</v>
      </c>
      <c r="J11" s="42">
        <f t="shared" ref="J11:J15" si="14">IF(F11=0,0,DATE(YEAR(F11),MONTH(F11)+I11,DAY(F11)-1))</f>
        <v>0</v>
      </c>
      <c r="K11" s="42">
        <f t="shared" si="1"/>
        <v>0</v>
      </c>
      <c r="L11" s="42">
        <f t="shared" si="2"/>
        <v>0</v>
      </c>
      <c r="M11" s="42">
        <f t="shared" si="3"/>
        <v>0</v>
      </c>
      <c r="N11" s="42">
        <f t="shared" si="4"/>
        <v>0</v>
      </c>
      <c r="O11" s="42">
        <f t="shared" si="5"/>
        <v>0</v>
      </c>
      <c r="P11" s="42">
        <f t="shared" si="6"/>
        <v>0</v>
      </c>
      <c r="Q11" s="42">
        <f t="shared" si="7"/>
        <v>0</v>
      </c>
      <c r="R11" s="42">
        <f t="shared" si="8"/>
        <v>0</v>
      </c>
      <c r="S11" s="42">
        <f t="shared" si="9"/>
        <v>0</v>
      </c>
      <c r="T11" s="42">
        <f t="shared" si="10"/>
        <v>0</v>
      </c>
      <c r="U11" s="42">
        <f t="shared" si="11"/>
        <v>0</v>
      </c>
      <c r="V11" s="42">
        <f t="shared" si="12"/>
        <v>0</v>
      </c>
      <c r="W11" s="42">
        <f t="shared" si="13"/>
        <v>0</v>
      </c>
      <c r="X11" s="17"/>
    </row>
    <row r="12" spans="1:28" ht="20.100000000000001" customHeight="1">
      <c r="A12" s="17"/>
      <c r="B12" s="41" t="str">
        <f>'明细表I1-2'!A14</f>
        <v>C</v>
      </c>
      <c r="C12" s="42">
        <f>'明细表I1-2'!O14</f>
        <v>0</v>
      </c>
      <c r="D12" s="42">
        <f>'明细表I1-2'!U14</f>
        <v>0</v>
      </c>
      <c r="E12" s="42">
        <f>'明细表I1-2'!AH14</f>
        <v>0</v>
      </c>
      <c r="F12" s="43"/>
      <c r="G12" s="17"/>
      <c r="H12" s="20"/>
      <c r="I12" s="42">
        <f t="shared" si="0"/>
        <v>0</v>
      </c>
      <c r="J12" s="42">
        <f t="shared" si="14"/>
        <v>0</v>
      </c>
      <c r="K12" s="42">
        <f t="shared" si="1"/>
        <v>0</v>
      </c>
      <c r="L12" s="42">
        <f t="shared" si="2"/>
        <v>0</v>
      </c>
      <c r="M12" s="42">
        <f t="shared" si="3"/>
        <v>0</v>
      </c>
      <c r="N12" s="42">
        <f t="shared" si="4"/>
        <v>0</v>
      </c>
      <c r="O12" s="42">
        <f t="shared" si="5"/>
        <v>0</v>
      </c>
      <c r="P12" s="42">
        <f t="shared" si="6"/>
        <v>0</v>
      </c>
      <c r="Q12" s="42">
        <f t="shared" si="7"/>
        <v>0</v>
      </c>
      <c r="R12" s="42">
        <f t="shared" si="8"/>
        <v>0</v>
      </c>
      <c r="S12" s="42">
        <f t="shared" si="9"/>
        <v>0</v>
      </c>
      <c r="T12" s="42">
        <f t="shared" si="10"/>
        <v>0</v>
      </c>
      <c r="U12" s="42">
        <f t="shared" si="11"/>
        <v>0</v>
      </c>
      <c r="V12" s="42">
        <f t="shared" si="12"/>
        <v>0</v>
      </c>
      <c r="W12" s="42">
        <f t="shared" si="13"/>
        <v>0</v>
      </c>
      <c r="X12" s="17"/>
    </row>
    <row r="13" spans="1:28" ht="20.100000000000001" customHeight="1">
      <c r="A13" s="17"/>
      <c r="B13" s="41" t="str">
        <f>'明细表I1-2'!A15</f>
        <v>D</v>
      </c>
      <c r="C13" s="42">
        <f>'明细表I1-2'!O15</f>
        <v>0</v>
      </c>
      <c r="D13" s="42">
        <f>'明细表I1-2'!U15</f>
        <v>0</v>
      </c>
      <c r="E13" s="42">
        <f>'明细表I1-2'!AH15</f>
        <v>0</v>
      </c>
      <c r="F13" s="43"/>
      <c r="G13" s="17"/>
      <c r="H13" s="20"/>
      <c r="I13" s="42">
        <f t="shared" si="0"/>
        <v>0</v>
      </c>
      <c r="J13" s="42">
        <f t="shared" si="14"/>
        <v>0</v>
      </c>
      <c r="K13" s="42">
        <f t="shared" si="1"/>
        <v>0</v>
      </c>
      <c r="L13" s="42">
        <f t="shared" si="2"/>
        <v>0</v>
      </c>
      <c r="M13" s="42">
        <f t="shared" si="3"/>
        <v>0</v>
      </c>
      <c r="N13" s="42">
        <f t="shared" si="4"/>
        <v>0</v>
      </c>
      <c r="O13" s="42">
        <f t="shared" si="5"/>
        <v>0</v>
      </c>
      <c r="P13" s="42">
        <f t="shared" si="6"/>
        <v>0</v>
      </c>
      <c r="Q13" s="42">
        <f t="shared" si="7"/>
        <v>0</v>
      </c>
      <c r="R13" s="42">
        <f t="shared" si="8"/>
        <v>0</v>
      </c>
      <c r="S13" s="42">
        <f t="shared" si="9"/>
        <v>0</v>
      </c>
      <c r="T13" s="42">
        <f t="shared" si="10"/>
        <v>0</v>
      </c>
      <c r="U13" s="42">
        <f t="shared" si="11"/>
        <v>0</v>
      </c>
      <c r="V13" s="42">
        <f t="shared" si="12"/>
        <v>0</v>
      </c>
      <c r="W13" s="42">
        <f t="shared" si="13"/>
        <v>0</v>
      </c>
      <c r="X13" s="17"/>
    </row>
    <row r="14" spans="1:28" ht="20.100000000000001" customHeight="1">
      <c r="A14" s="17"/>
      <c r="B14" s="41" t="str">
        <f>'明细表I1-2'!A16</f>
        <v>…</v>
      </c>
      <c r="C14" s="42">
        <f>'明细表I1-2'!O16</f>
        <v>0</v>
      </c>
      <c r="D14" s="42">
        <f>'明细表I1-2'!U16</f>
        <v>0</v>
      </c>
      <c r="E14" s="42">
        <f>'明细表I1-2'!AH16</f>
        <v>0</v>
      </c>
      <c r="F14" s="43"/>
      <c r="G14" s="17"/>
      <c r="H14" s="20"/>
      <c r="I14" s="42">
        <f t="shared" si="0"/>
        <v>0</v>
      </c>
      <c r="J14" s="42">
        <f t="shared" si="14"/>
        <v>0</v>
      </c>
      <c r="K14" s="42">
        <f t="shared" si="1"/>
        <v>0</v>
      </c>
      <c r="L14" s="42">
        <f t="shared" si="2"/>
        <v>0</v>
      </c>
      <c r="M14" s="42">
        <f t="shared" si="3"/>
        <v>0</v>
      </c>
      <c r="N14" s="42">
        <f t="shared" si="4"/>
        <v>0</v>
      </c>
      <c r="O14" s="42">
        <f t="shared" si="5"/>
        <v>0</v>
      </c>
      <c r="P14" s="42">
        <f t="shared" si="6"/>
        <v>0</v>
      </c>
      <c r="Q14" s="42">
        <f t="shared" si="7"/>
        <v>0</v>
      </c>
      <c r="R14" s="42">
        <f t="shared" si="8"/>
        <v>0</v>
      </c>
      <c r="S14" s="42">
        <f t="shared" si="9"/>
        <v>0</v>
      </c>
      <c r="T14" s="42">
        <f t="shared" si="10"/>
        <v>0</v>
      </c>
      <c r="U14" s="42">
        <f t="shared" si="11"/>
        <v>0</v>
      </c>
      <c r="V14" s="42">
        <f t="shared" si="12"/>
        <v>0</v>
      </c>
      <c r="W14" s="42">
        <f t="shared" si="13"/>
        <v>0</v>
      </c>
      <c r="X14" s="17"/>
    </row>
    <row r="15" spans="1:28" ht="20.100000000000001" customHeight="1">
      <c r="A15" s="17"/>
      <c r="B15" s="41">
        <f>'明细表I1-2'!A17</f>
        <v>0</v>
      </c>
      <c r="C15" s="42">
        <f>'明细表I1-2'!O17</f>
        <v>0</v>
      </c>
      <c r="D15" s="42">
        <f>'明细表I1-2'!U17</f>
        <v>0</v>
      </c>
      <c r="E15" s="42">
        <f>'明细表I1-2'!AH17</f>
        <v>0</v>
      </c>
      <c r="F15" s="43"/>
      <c r="G15" s="17"/>
      <c r="H15" s="20"/>
      <c r="I15" s="42">
        <f t="shared" si="0"/>
        <v>0</v>
      </c>
      <c r="J15" s="42">
        <f t="shared" si="14"/>
        <v>0</v>
      </c>
      <c r="K15" s="42">
        <f t="shared" si="1"/>
        <v>0</v>
      </c>
      <c r="L15" s="42">
        <f t="shared" si="2"/>
        <v>0</v>
      </c>
      <c r="M15" s="42">
        <f t="shared" si="3"/>
        <v>0</v>
      </c>
      <c r="N15" s="42">
        <f t="shared" si="4"/>
        <v>0</v>
      </c>
      <c r="O15" s="42">
        <f t="shared" si="5"/>
        <v>0</v>
      </c>
      <c r="P15" s="42">
        <f t="shared" si="6"/>
        <v>0</v>
      </c>
      <c r="Q15" s="42">
        <f t="shared" si="7"/>
        <v>0</v>
      </c>
      <c r="R15" s="42">
        <f t="shared" si="8"/>
        <v>0</v>
      </c>
      <c r="S15" s="42">
        <f t="shared" si="9"/>
        <v>0</v>
      </c>
      <c r="T15" s="42">
        <f t="shared" si="10"/>
        <v>0</v>
      </c>
      <c r="U15" s="42">
        <f t="shared" si="11"/>
        <v>0</v>
      </c>
      <c r="V15" s="42">
        <f t="shared" si="12"/>
        <v>0</v>
      </c>
      <c r="W15" s="42">
        <f t="shared" si="13"/>
        <v>0</v>
      </c>
      <c r="X15" s="17"/>
    </row>
    <row r="16" spans="1:28" s="1" customFormat="1" ht="20.100000000000001" customHeight="1">
      <c r="A16" s="315" t="s">
        <v>140</v>
      </c>
      <c r="B16" s="316"/>
      <c r="C16" s="42">
        <f>SUM(C10:C15)</f>
        <v>0</v>
      </c>
      <c r="D16" s="42">
        <f>SUM(D10:D15)</f>
        <v>0</v>
      </c>
      <c r="E16" s="42">
        <f>SUM(E10:E15)</f>
        <v>0</v>
      </c>
      <c r="F16" s="38"/>
      <c r="G16" s="38"/>
      <c r="H16" s="38"/>
      <c r="I16" s="38"/>
      <c r="J16" s="38"/>
      <c r="K16" s="38"/>
      <c r="L16" s="38"/>
      <c r="M16" s="38"/>
      <c r="N16" s="38"/>
      <c r="O16" s="42">
        <f t="shared" ref="O16:X16" si="15">SUM(O10:O15)</f>
        <v>0</v>
      </c>
      <c r="P16" s="42">
        <f t="shared" si="15"/>
        <v>0</v>
      </c>
      <c r="Q16" s="42">
        <f t="shared" si="15"/>
        <v>0</v>
      </c>
      <c r="R16" s="42">
        <f t="shared" si="15"/>
        <v>0</v>
      </c>
      <c r="S16" s="42">
        <f t="shared" si="15"/>
        <v>0</v>
      </c>
      <c r="T16" s="42">
        <f t="shared" si="15"/>
        <v>0</v>
      </c>
      <c r="U16" s="42">
        <f t="shared" si="15"/>
        <v>0</v>
      </c>
      <c r="V16" s="42">
        <f t="shared" si="15"/>
        <v>0</v>
      </c>
      <c r="W16" s="42">
        <f t="shared" si="15"/>
        <v>0</v>
      </c>
      <c r="X16" s="42">
        <f t="shared" si="15"/>
        <v>0</v>
      </c>
    </row>
    <row r="17" spans="1:24" s="1" customFormat="1" ht="20.100000000000001" customHeight="1">
      <c r="A17" s="347" t="s">
        <v>226</v>
      </c>
      <c r="B17" s="354"/>
      <c r="C17" s="36"/>
      <c r="D17" s="36"/>
      <c r="E17" s="36"/>
      <c r="F17" s="36"/>
      <c r="G17" s="36"/>
      <c r="H17" s="36"/>
      <c r="I17" s="36"/>
      <c r="J17" s="36"/>
      <c r="K17" s="36"/>
      <c r="L17" s="36"/>
      <c r="M17" s="36"/>
      <c r="N17" s="36"/>
      <c r="O17" s="36"/>
      <c r="P17" s="36"/>
      <c r="Q17" s="36"/>
      <c r="R17" s="36"/>
      <c r="S17" s="36"/>
      <c r="T17" s="36"/>
      <c r="U17" s="36"/>
      <c r="V17" s="36"/>
      <c r="W17" s="36"/>
      <c r="X17" s="36"/>
    </row>
    <row r="18" spans="1:24" s="1" customFormat="1" ht="20.100000000000001" customHeight="1">
      <c r="A18" s="355" t="str">
        <f>底稿目录!A9</f>
        <v>土地使用权</v>
      </c>
      <c r="B18" s="355"/>
      <c r="C18" s="212" cm="1">
        <f t="array" ref="C18">SUMPRODUCT(($A$10:$A$15=$A18)*(C$10:C$15))</f>
        <v>0</v>
      </c>
      <c r="D18" s="212" cm="1">
        <f t="array" ref="D18">SUMPRODUCT(($A$10:$A$15=$A18)*(D$10:D$15))</f>
        <v>0</v>
      </c>
      <c r="E18" s="212" cm="1">
        <f t="array" ref="E18">SUMPRODUCT(($A$10:$A$15=$A18)*(E$10:E$15))</f>
        <v>0</v>
      </c>
      <c r="F18" s="38"/>
      <c r="G18" s="38"/>
      <c r="H18" s="38"/>
      <c r="I18" s="38"/>
      <c r="J18" s="38"/>
      <c r="K18" s="38"/>
      <c r="L18" s="38"/>
      <c r="M18" s="38"/>
      <c r="N18" s="38"/>
      <c r="O18" s="42" cm="1">
        <f t="array" ref="O18">SUMPRODUCT(($A$10:$A$15=$A18)*(O$10:O$15))</f>
        <v>0</v>
      </c>
      <c r="P18" s="42" cm="1">
        <f t="array" ref="P18">SUMPRODUCT(($A$10:$A$15=$A18)*(P$10:P$15))</f>
        <v>0</v>
      </c>
      <c r="Q18" s="42" cm="1">
        <f t="array" ref="Q18">SUMPRODUCT(($A$10:$A$15=$A18)*(Q$10:Q$15))</f>
        <v>0</v>
      </c>
      <c r="R18" s="42" cm="1">
        <f t="array" ref="R18">SUMPRODUCT(($A$10:$A$15=$A18)*(R$10:R$15))</f>
        <v>0</v>
      </c>
      <c r="S18" s="42" cm="1">
        <f t="array" ref="S18">SUMPRODUCT(($A$10:$A$15=$A18)*(S$10:S$15))</f>
        <v>0</v>
      </c>
      <c r="T18" s="42" cm="1">
        <f t="array" ref="T18">SUMPRODUCT(($A$10:$A$15=$A18)*(T$10:T$15))</f>
        <v>0</v>
      </c>
      <c r="U18" s="42" cm="1">
        <f t="array" ref="U18">SUMPRODUCT(($A$10:$A$15=$A18)*(U$10:U$15))</f>
        <v>0</v>
      </c>
      <c r="V18" s="42" cm="1">
        <f t="array" ref="V18">SUMPRODUCT(($A$10:$A$15=$A18)*(V$10:V$15))</f>
        <v>0</v>
      </c>
      <c r="W18" s="42" cm="1">
        <f t="array" ref="W18">SUMPRODUCT(($A$10:$A$15=$A18)*(W$10:W$15))</f>
        <v>0</v>
      </c>
      <c r="X18" s="42" cm="1">
        <f t="array" ref="X18">SUMPRODUCT(($A$10:$A$15=$A18)*(X$10:X$15))</f>
        <v>0</v>
      </c>
    </row>
    <row r="19" spans="1:24" s="1" customFormat="1" ht="20.100000000000001" customHeight="1">
      <c r="A19" s="355" t="str">
        <f>底稿目录!A10</f>
        <v>住房使用权</v>
      </c>
      <c r="B19" s="355"/>
      <c r="C19" s="212" cm="1">
        <f t="array" ref="C19">SUMPRODUCT(($A$10:$A$15=$A19)*(C$10:C$15))</f>
        <v>0</v>
      </c>
      <c r="D19" s="212" cm="1">
        <f t="array" ref="D19">SUMPRODUCT(($A$10:$A$15=$A19)*(D$10:D$15))</f>
        <v>0</v>
      </c>
      <c r="E19" s="212" cm="1">
        <f t="array" ref="E19">SUMPRODUCT(($A$10:$A$15=$A19)*(E$10:E$15))</f>
        <v>0</v>
      </c>
      <c r="F19" s="38"/>
      <c r="G19" s="38"/>
      <c r="H19" s="38"/>
      <c r="I19" s="38"/>
      <c r="J19" s="38"/>
      <c r="K19" s="38"/>
      <c r="L19" s="38"/>
      <c r="M19" s="38"/>
      <c r="N19" s="38"/>
      <c r="O19" s="42" cm="1">
        <f t="array" ref="O19">SUMPRODUCT(($A$10:$A$15=$A19)*(O$10:O$15))</f>
        <v>0</v>
      </c>
      <c r="P19" s="42" cm="1">
        <f t="array" ref="P19">SUMPRODUCT(($A$10:$A$15=$A19)*(P$10:P$15))</f>
        <v>0</v>
      </c>
      <c r="Q19" s="42" cm="1">
        <f t="array" ref="Q19">SUMPRODUCT(($A$10:$A$15=$A19)*(Q$10:Q$15))</f>
        <v>0</v>
      </c>
      <c r="R19" s="42" cm="1">
        <f t="array" ref="R19">SUMPRODUCT(($A$10:$A$15=$A19)*(R$10:R$15))</f>
        <v>0</v>
      </c>
      <c r="S19" s="42" cm="1">
        <f t="array" ref="S19">SUMPRODUCT(($A$10:$A$15=$A19)*(S$10:S$15))</f>
        <v>0</v>
      </c>
      <c r="T19" s="42" cm="1">
        <f t="array" ref="T19">SUMPRODUCT(($A$10:$A$15=$A19)*(T$10:T$15))</f>
        <v>0</v>
      </c>
      <c r="U19" s="42" cm="1">
        <f t="array" ref="U19">SUMPRODUCT(($A$10:$A$15=$A19)*(U$10:U$15))</f>
        <v>0</v>
      </c>
      <c r="V19" s="42" cm="1">
        <f t="array" ref="V19">SUMPRODUCT(($A$10:$A$15=$A19)*(V$10:V$15))</f>
        <v>0</v>
      </c>
      <c r="W19" s="42" cm="1">
        <f t="array" ref="W19">SUMPRODUCT(($A$10:$A$15=$A19)*(W$10:W$15))</f>
        <v>0</v>
      </c>
      <c r="X19" s="42" cm="1">
        <f t="array" ref="X19">SUMPRODUCT(($A$10:$A$15=$A19)*(X$10:X$15))</f>
        <v>0</v>
      </c>
    </row>
    <row r="20" spans="1:24" s="1" customFormat="1" ht="20.100000000000001" customHeight="1">
      <c r="A20" s="355" t="str">
        <f>底稿目录!A11</f>
        <v>专利权</v>
      </c>
      <c r="B20" s="355"/>
      <c r="C20" s="212" cm="1">
        <f t="array" ref="C20">SUMPRODUCT(($A$10:$A$15=$A20)*(C$10:C$15))</f>
        <v>0</v>
      </c>
      <c r="D20" s="212" cm="1">
        <f t="array" ref="D20">SUMPRODUCT(($A$10:$A$15=$A20)*(D$10:D$15))</f>
        <v>0</v>
      </c>
      <c r="E20" s="212" cm="1">
        <f t="array" ref="E20">SUMPRODUCT(($A$10:$A$15=$A20)*(E$10:E$15))</f>
        <v>0</v>
      </c>
      <c r="F20" s="38"/>
      <c r="G20" s="38"/>
      <c r="H20" s="38"/>
      <c r="I20" s="38"/>
      <c r="J20" s="38"/>
      <c r="K20" s="38"/>
      <c r="L20" s="38"/>
      <c r="M20" s="38"/>
      <c r="N20" s="38"/>
      <c r="O20" s="42" cm="1">
        <f t="array" ref="O20">SUMPRODUCT(($A$10:$A$15=$A20)*(O$10:O$15))</f>
        <v>0</v>
      </c>
      <c r="P20" s="42" cm="1">
        <f t="array" ref="P20">SUMPRODUCT(($A$10:$A$15=$A20)*(P$10:P$15))</f>
        <v>0</v>
      </c>
      <c r="Q20" s="42" cm="1">
        <f t="array" ref="Q20">SUMPRODUCT(($A$10:$A$15=$A20)*(Q$10:Q$15))</f>
        <v>0</v>
      </c>
      <c r="R20" s="42" cm="1">
        <f t="array" ref="R20">SUMPRODUCT(($A$10:$A$15=$A20)*(R$10:R$15))</f>
        <v>0</v>
      </c>
      <c r="S20" s="42" cm="1">
        <f t="array" ref="S20">SUMPRODUCT(($A$10:$A$15=$A20)*(S$10:S$15))</f>
        <v>0</v>
      </c>
      <c r="T20" s="42" cm="1">
        <f t="array" ref="T20">SUMPRODUCT(($A$10:$A$15=$A20)*(T$10:T$15))</f>
        <v>0</v>
      </c>
      <c r="U20" s="42" cm="1">
        <f t="array" ref="U20">SUMPRODUCT(($A$10:$A$15=$A20)*(U$10:U$15))</f>
        <v>0</v>
      </c>
      <c r="V20" s="42" cm="1">
        <f t="array" ref="V20">SUMPRODUCT(($A$10:$A$15=$A20)*(V$10:V$15))</f>
        <v>0</v>
      </c>
      <c r="W20" s="42" cm="1">
        <f t="array" ref="W20">SUMPRODUCT(($A$10:$A$15=$A20)*(W$10:W$15))</f>
        <v>0</v>
      </c>
      <c r="X20" s="42" cm="1">
        <f t="array" ref="X20">SUMPRODUCT(($A$10:$A$15=$A20)*(X$10:X$15))</f>
        <v>0</v>
      </c>
    </row>
    <row r="21" spans="1:24" s="1" customFormat="1" ht="20.100000000000001" customHeight="1">
      <c r="A21" s="355" t="str">
        <f>底稿目录!A12</f>
        <v>非专利技术</v>
      </c>
      <c r="B21" s="355"/>
      <c r="C21" s="212" cm="1">
        <f t="array" ref="C21">SUMPRODUCT(($A$10:$A$15=$A21)*(C$10:C$15))</f>
        <v>0</v>
      </c>
      <c r="D21" s="212" cm="1">
        <f t="array" ref="D21">SUMPRODUCT(($A$10:$A$15=$A21)*(D$10:D$15))</f>
        <v>0</v>
      </c>
      <c r="E21" s="212" cm="1">
        <f t="array" ref="E21">SUMPRODUCT(($A$10:$A$15=$A21)*(E$10:E$15))</f>
        <v>0</v>
      </c>
      <c r="F21" s="38"/>
      <c r="G21" s="38"/>
      <c r="H21" s="38"/>
      <c r="I21" s="38"/>
      <c r="J21" s="38"/>
      <c r="K21" s="38"/>
      <c r="L21" s="38"/>
      <c r="M21" s="38"/>
      <c r="N21" s="38"/>
      <c r="O21" s="42" cm="1">
        <f t="array" ref="O21">SUMPRODUCT(($A$10:$A$15=$A21)*(O$10:O$15))</f>
        <v>0</v>
      </c>
      <c r="P21" s="42" cm="1">
        <f t="array" ref="P21">SUMPRODUCT(($A$10:$A$15=$A21)*(P$10:P$15))</f>
        <v>0</v>
      </c>
      <c r="Q21" s="42" cm="1">
        <f t="array" ref="Q21">SUMPRODUCT(($A$10:$A$15=$A21)*(Q$10:Q$15))</f>
        <v>0</v>
      </c>
      <c r="R21" s="42" cm="1">
        <f t="array" ref="R21">SUMPRODUCT(($A$10:$A$15=$A21)*(R$10:R$15))</f>
        <v>0</v>
      </c>
      <c r="S21" s="42" cm="1">
        <f t="array" ref="S21">SUMPRODUCT(($A$10:$A$15=$A21)*(S$10:S$15))</f>
        <v>0</v>
      </c>
      <c r="T21" s="42" cm="1">
        <f t="array" ref="T21">SUMPRODUCT(($A$10:$A$15=$A21)*(T$10:T$15))</f>
        <v>0</v>
      </c>
      <c r="U21" s="42" cm="1">
        <f t="array" ref="U21">SUMPRODUCT(($A$10:$A$15=$A21)*(U$10:U$15))</f>
        <v>0</v>
      </c>
      <c r="V21" s="42" cm="1">
        <f t="array" ref="V21">SUMPRODUCT(($A$10:$A$15=$A21)*(V$10:V$15))</f>
        <v>0</v>
      </c>
      <c r="W21" s="42" cm="1">
        <f t="array" ref="W21">SUMPRODUCT(($A$10:$A$15=$A21)*(W$10:W$15))</f>
        <v>0</v>
      </c>
      <c r="X21" s="42" cm="1">
        <f t="array" ref="X21">SUMPRODUCT(($A$10:$A$15=$A21)*(X$10:X$15))</f>
        <v>0</v>
      </c>
    </row>
    <row r="22" spans="1:24" s="1" customFormat="1" ht="20.100000000000001" customHeight="1">
      <c r="A22" s="355" t="str">
        <f>底稿目录!A13</f>
        <v>商标权</v>
      </c>
      <c r="B22" s="355"/>
      <c r="C22" s="212" cm="1">
        <f t="array" ref="C22">SUMPRODUCT(($A$10:$A$15=$A22)*(C$10:C$15))</f>
        <v>0</v>
      </c>
      <c r="D22" s="212" cm="1">
        <f t="array" ref="D22">SUMPRODUCT(($A$10:$A$15=$A22)*(D$10:D$15))</f>
        <v>0</v>
      </c>
      <c r="E22" s="212" cm="1">
        <f t="array" ref="E22">SUMPRODUCT(($A$10:$A$15=$A22)*(E$10:E$15))</f>
        <v>0</v>
      </c>
      <c r="F22" s="38"/>
      <c r="G22" s="38"/>
      <c r="H22" s="38"/>
      <c r="I22" s="38"/>
      <c r="J22" s="38"/>
      <c r="K22" s="38"/>
      <c r="L22" s="38"/>
      <c r="M22" s="38"/>
      <c r="N22" s="38"/>
      <c r="O22" s="42" cm="1">
        <f t="array" ref="O22">SUMPRODUCT(($A$10:$A$15=$A22)*(O$10:O$15))</f>
        <v>0</v>
      </c>
      <c r="P22" s="42" cm="1">
        <f t="array" ref="P22">SUMPRODUCT(($A$10:$A$15=$A22)*(P$10:P$15))</f>
        <v>0</v>
      </c>
      <c r="Q22" s="42" cm="1">
        <f t="array" ref="Q22">SUMPRODUCT(($A$10:$A$15=$A22)*(Q$10:Q$15))</f>
        <v>0</v>
      </c>
      <c r="R22" s="42" cm="1">
        <f t="array" ref="R22">SUMPRODUCT(($A$10:$A$15=$A22)*(R$10:R$15))</f>
        <v>0</v>
      </c>
      <c r="S22" s="42" cm="1">
        <f t="array" ref="S22">SUMPRODUCT(($A$10:$A$15=$A22)*(S$10:S$15))</f>
        <v>0</v>
      </c>
      <c r="T22" s="42" cm="1">
        <f t="array" ref="T22">SUMPRODUCT(($A$10:$A$15=$A22)*(T$10:T$15))</f>
        <v>0</v>
      </c>
      <c r="U22" s="42" cm="1">
        <f t="array" ref="U22">SUMPRODUCT(($A$10:$A$15=$A22)*(U$10:U$15))</f>
        <v>0</v>
      </c>
      <c r="V22" s="42" cm="1">
        <f t="array" ref="V22">SUMPRODUCT(($A$10:$A$15=$A22)*(V$10:V$15))</f>
        <v>0</v>
      </c>
      <c r="W22" s="42" cm="1">
        <f t="array" ref="W22">SUMPRODUCT(($A$10:$A$15=$A22)*(W$10:W$15))</f>
        <v>0</v>
      </c>
      <c r="X22" s="42" cm="1">
        <f t="array" ref="X22">SUMPRODUCT(($A$10:$A$15=$A22)*(X$10:X$15))</f>
        <v>0</v>
      </c>
    </row>
    <row r="23" spans="1:24" s="1" customFormat="1" ht="20.100000000000001" customHeight="1">
      <c r="A23" s="355" t="str">
        <f>底稿目录!A14</f>
        <v>著作权</v>
      </c>
      <c r="B23" s="355"/>
      <c r="C23" s="212" cm="1">
        <f t="array" ref="C23">SUMPRODUCT(($A$10:$A$15=$A23)*(C$10:C$15))</f>
        <v>0</v>
      </c>
      <c r="D23" s="212" cm="1">
        <f t="array" ref="D23">SUMPRODUCT(($A$10:$A$15=$A23)*(D$10:D$15))</f>
        <v>0</v>
      </c>
      <c r="E23" s="212" cm="1">
        <f t="array" ref="E23">SUMPRODUCT(($A$10:$A$15=$A23)*(E$10:E$15))</f>
        <v>0</v>
      </c>
      <c r="F23" s="38"/>
      <c r="G23" s="38"/>
      <c r="H23" s="38"/>
      <c r="I23" s="38"/>
      <c r="J23" s="38"/>
      <c r="K23" s="38"/>
      <c r="L23" s="38"/>
      <c r="M23" s="38"/>
      <c r="N23" s="38"/>
      <c r="O23" s="42" cm="1">
        <f t="array" ref="O23">SUMPRODUCT(($A$10:$A$15=$A23)*(O$10:O$15))</f>
        <v>0</v>
      </c>
      <c r="P23" s="42" cm="1">
        <f t="array" ref="P23">SUMPRODUCT(($A$10:$A$15=$A23)*(P$10:P$15))</f>
        <v>0</v>
      </c>
      <c r="Q23" s="42" cm="1">
        <f t="array" ref="Q23">SUMPRODUCT(($A$10:$A$15=$A23)*(Q$10:Q$15))</f>
        <v>0</v>
      </c>
      <c r="R23" s="42" cm="1">
        <f t="array" ref="R23">SUMPRODUCT(($A$10:$A$15=$A23)*(R$10:R$15))</f>
        <v>0</v>
      </c>
      <c r="S23" s="42" cm="1">
        <f t="array" ref="S23">SUMPRODUCT(($A$10:$A$15=$A23)*(S$10:S$15))</f>
        <v>0</v>
      </c>
      <c r="T23" s="42" cm="1">
        <f t="array" ref="T23">SUMPRODUCT(($A$10:$A$15=$A23)*(T$10:T$15))</f>
        <v>0</v>
      </c>
      <c r="U23" s="42" cm="1">
        <f t="array" ref="U23">SUMPRODUCT(($A$10:$A$15=$A23)*(U$10:U$15))</f>
        <v>0</v>
      </c>
      <c r="V23" s="42" cm="1">
        <f t="array" ref="V23">SUMPRODUCT(($A$10:$A$15=$A23)*(V$10:V$15))</f>
        <v>0</v>
      </c>
      <c r="W23" s="42" cm="1">
        <f t="array" ref="W23">SUMPRODUCT(($A$10:$A$15=$A23)*(W$10:W$15))</f>
        <v>0</v>
      </c>
      <c r="X23" s="42" cm="1">
        <f t="array" ref="X23">SUMPRODUCT(($A$10:$A$15=$A23)*(X$10:X$15))</f>
        <v>0</v>
      </c>
    </row>
    <row r="24" spans="1:24" s="1" customFormat="1" ht="20.100000000000001" customHeight="1">
      <c r="A24" s="355" t="str">
        <f>底稿目录!A15</f>
        <v>特许经营权</v>
      </c>
      <c r="B24" s="355"/>
      <c r="C24" s="212" cm="1">
        <f t="array" ref="C24">SUMPRODUCT(($A$10:$A$15=$A24)*(C$10:C$15))</f>
        <v>0</v>
      </c>
      <c r="D24" s="212" cm="1">
        <f t="array" ref="D24">SUMPRODUCT(($A$10:$A$15=$A24)*(D$10:D$15))</f>
        <v>0</v>
      </c>
      <c r="E24" s="212" cm="1">
        <f t="array" ref="E24">SUMPRODUCT(($A$10:$A$15=$A24)*(E$10:E$15))</f>
        <v>0</v>
      </c>
      <c r="F24" s="38"/>
      <c r="G24" s="38"/>
      <c r="H24" s="38"/>
      <c r="I24" s="38"/>
      <c r="J24" s="38"/>
      <c r="K24" s="38"/>
      <c r="L24" s="38"/>
      <c r="M24" s="38"/>
      <c r="N24" s="38"/>
      <c r="O24" s="42" cm="1">
        <f t="array" ref="O24">SUMPRODUCT(($A$10:$A$15=$A24)*(O$10:O$15))</f>
        <v>0</v>
      </c>
      <c r="P24" s="42" cm="1">
        <f t="array" ref="P24">SUMPRODUCT(($A$10:$A$15=$A24)*(P$10:P$15))</f>
        <v>0</v>
      </c>
      <c r="Q24" s="42" cm="1">
        <f t="array" ref="Q24">SUMPRODUCT(($A$10:$A$15=$A24)*(Q$10:Q$15))</f>
        <v>0</v>
      </c>
      <c r="R24" s="42" cm="1">
        <f t="array" ref="R24">SUMPRODUCT(($A$10:$A$15=$A24)*(R$10:R$15))</f>
        <v>0</v>
      </c>
      <c r="S24" s="42" cm="1">
        <f t="array" ref="S24">SUMPRODUCT(($A$10:$A$15=$A24)*(S$10:S$15))</f>
        <v>0</v>
      </c>
      <c r="T24" s="42" cm="1">
        <f t="array" ref="T24">SUMPRODUCT(($A$10:$A$15=$A24)*(T$10:T$15))</f>
        <v>0</v>
      </c>
      <c r="U24" s="42" cm="1">
        <f t="array" ref="U24">SUMPRODUCT(($A$10:$A$15=$A24)*(U$10:U$15))</f>
        <v>0</v>
      </c>
      <c r="V24" s="42" cm="1">
        <f t="array" ref="V24">SUMPRODUCT(($A$10:$A$15=$A24)*(V$10:V$15))</f>
        <v>0</v>
      </c>
      <c r="W24" s="42" cm="1">
        <f t="array" ref="W24">SUMPRODUCT(($A$10:$A$15=$A24)*(W$10:W$15))</f>
        <v>0</v>
      </c>
      <c r="X24" s="42" cm="1">
        <f t="array" ref="X24">SUMPRODUCT(($A$10:$A$15=$A24)*(X$10:X$15))</f>
        <v>0</v>
      </c>
    </row>
    <row r="25" spans="1:24" s="1" customFormat="1" ht="20.100000000000001" customHeight="1">
      <c r="A25" s="355" t="str">
        <f>底稿目录!A16</f>
        <v>软件</v>
      </c>
      <c r="B25" s="355"/>
      <c r="C25" s="212" cm="1">
        <f t="array" ref="C25">SUMPRODUCT(($A$10:$A$15=$A25)*(C$10:C$15))</f>
        <v>0</v>
      </c>
      <c r="D25" s="212" cm="1">
        <f t="array" ref="D25">SUMPRODUCT(($A$10:$A$15=$A25)*(D$10:D$15))</f>
        <v>0</v>
      </c>
      <c r="E25" s="212" cm="1">
        <f t="array" ref="E25">SUMPRODUCT(($A$10:$A$15=$A25)*(E$10:E$15))</f>
        <v>0</v>
      </c>
      <c r="F25" s="38"/>
      <c r="G25" s="38"/>
      <c r="H25" s="38"/>
      <c r="I25" s="38"/>
      <c r="J25" s="38"/>
      <c r="K25" s="38"/>
      <c r="L25" s="38"/>
      <c r="M25" s="38"/>
      <c r="N25" s="38"/>
      <c r="O25" s="42" cm="1">
        <f t="array" ref="O25">SUMPRODUCT(($A$10:$A$15=$A25)*(O$10:O$15))</f>
        <v>0</v>
      </c>
      <c r="P25" s="42" cm="1">
        <f t="array" ref="P25">SUMPRODUCT(($A$10:$A$15=$A25)*(P$10:P$15))</f>
        <v>0</v>
      </c>
      <c r="Q25" s="42" cm="1">
        <f t="array" ref="Q25">SUMPRODUCT(($A$10:$A$15=$A25)*(Q$10:Q$15))</f>
        <v>0</v>
      </c>
      <c r="R25" s="42" cm="1">
        <f t="array" ref="R25">SUMPRODUCT(($A$10:$A$15=$A25)*(R$10:R$15))</f>
        <v>0</v>
      </c>
      <c r="S25" s="42" cm="1">
        <f t="array" ref="S25">SUMPRODUCT(($A$10:$A$15=$A25)*(S$10:S$15))</f>
        <v>0</v>
      </c>
      <c r="T25" s="42" cm="1">
        <f t="array" ref="T25">SUMPRODUCT(($A$10:$A$15=$A25)*(T$10:T$15))</f>
        <v>0</v>
      </c>
      <c r="U25" s="42" cm="1">
        <f t="array" ref="U25">SUMPRODUCT(($A$10:$A$15=$A25)*(U$10:U$15))</f>
        <v>0</v>
      </c>
      <c r="V25" s="42" cm="1">
        <f t="array" ref="V25">SUMPRODUCT(($A$10:$A$15=$A25)*(V$10:V$15))</f>
        <v>0</v>
      </c>
      <c r="W25" s="42" cm="1">
        <f t="array" ref="W25">SUMPRODUCT(($A$10:$A$15=$A25)*(W$10:W$15))</f>
        <v>0</v>
      </c>
      <c r="X25" s="42" cm="1">
        <f t="array" ref="X25">SUMPRODUCT(($A$10:$A$15=$A25)*(X$10:X$15))</f>
        <v>0</v>
      </c>
    </row>
    <row r="26" spans="1:24" s="1" customFormat="1" ht="20.100000000000001" customHeight="1">
      <c r="A26" s="355" t="str">
        <f>底稿目录!A17</f>
        <v>矿产权</v>
      </c>
      <c r="B26" s="355"/>
      <c r="C26" s="212" cm="1">
        <f t="array" ref="C26">SUMPRODUCT(($A$10:$A$15=$A26)*(C$10:C$15))</f>
        <v>0</v>
      </c>
      <c r="D26" s="212" cm="1">
        <f t="array" ref="D26">SUMPRODUCT(($A$10:$A$15=$A26)*(D$10:D$15))</f>
        <v>0</v>
      </c>
      <c r="E26" s="212" cm="1">
        <f t="array" ref="E26">SUMPRODUCT(($A$10:$A$15=$A26)*(E$10:E$15))</f>
        <v>0</v>
      </c>
      <c r="F26" s="38"/>
      <c r="G26" s="38"/>
      <c r="H26" s="38"/>
      <c r="I26" s="38"/>
      <c r="J26" s="38"/>
      <c r="K26" s="38"/>
      <c r="L26" s="38"/>
      <c r="M26" s="38"/>
      <c r="N26" s="38"/>
      <c r="O26" s="42" cm="1">
        <f t="array" ref="O26">SUMPRODUCT(($A$10:$A$15=$A26)*(O$10:O$15))</f>
        <v>0</v>
      </c>
      <c r="P26" s="42" cm="1">
        <f t="array" ref="P26">SUMPRODUCT(($A$10:$A$15=$A26)*(P$10:P$15))</f>
        <v>0</v>
      </c>
      <c r="Q26" s="42" cm="1">
        <f t="array" ref="Q26">SUMPRODUCT(($A$10:$A$15=$A26)*(Q$10:Q$15))</f>
        <v>0</v>
      </c>
      <c r="R26" s="42" cm="1">
        <f t="array" ref="R26">SUMPRODUCT(($A$10:$A$15=$A26)*(R$10:R$15))</f>
        <v>0</v>
      </c>
      <c r="S26" s="42" cm="1">
        <f t="array" ref="S26">SUMPRODUCT(($A$10:$A$15=$A26)*(S$10:S$15))</f>
        <v>0</v>
      </c>
      <c r="T26" s="42" cm="1">
        <f t="array" ref="T26">SUMPRODUCT(($A$10:$A$15=$A26)*(T$10:T$15))</f>
        <v>0</v>
      </c>
      <c r="U26" s="42" cm="1">
        <f t="array" ref="U26">SUMPRODUCT(($A$10:$A$15=$A26)*(U$10:U$15))</f>
        <v>0</v>
      </c>
      <c r="V26" s="42" cm="1">
        <f t="array" ref="V26">SUMPRODUCT(($A$10:$A$15=$A26)*(V$10:V$15))</f>
        <v>0</v>
      </c>
      <c r="W26" s="42" cm="1">
        <f t="array" ref="W26">SUMPRODUCT(($A$10:$A$15=$A26)*(W$10:W$15))</f>
        <v>0</v>
      </c>
      <c r="X26" s="42" cm="1">
        <f t="array" ref="X26">SUMPRODUCT(($A$10:$A$15=$A26)*(X$10:X$15))</f>
        <v>0</v>
      </c>
    </row>
    <row r="27" spans="1:24" s="1" customFormat="1" ht="20.100000000000001" customHeight="1">
      <c r="A27" s="356" t="s">
        <v>32</v>
      </c>
      <c r="B27" s="355"/>
      <c r="C27" s="212" cm="1">
        <f t="array" ref="C27">SUMPRODUCT(($A$10:$A$15=$A27)*(C$10:C$15))</f>
        <v>0</v>
      </c>
      <c r="D27" s="212" cm="1">
        <f t="array" ref="D27">SUMPRODUCT(($A$10:$A$15=$A27)*(D$10:D$15))</f>
        <v>0</v>
      </c>
      <c r="E27" s="212" cm="1">
        <f t="array" ref="E27">SUMPRODUCT(($A$10:$A$15=$A27)*(E$10:E$15))</f>
        <v>0</v>
      </c>
      <c r="F27" s="38"/>
      <c r="G27" s="38"/>
      <c r="H27" s="38"/>
      <c r="I27" s="38"/>
      <c r="J27" s="38"/>
      <c r="K27" s="38"/>
      <c r="L27" s="38"/>
      <c r="M27" s="38"/>
      <c r="N27" s="38"/>
      <c r="O27" s="42" cm="1">
        <f t="array" ref="O27">SUMPRODUCT(($A$10:$A$15=$A27)*(O$10:O$15))</f>
        <v>0</v>
      </c>
      <c r="P27" s="42" cm="1">
        <f t="array" ref="P27">SUMPRODUCT(($A$10:$A$15=$A27)*(P$10:P$15))</f>
        <v>0</v>
      </c>
      <c r="Q27" s="42" cm="1">
        <f t="array" ref="Q27">SUMPRODUCT(($A$10:$A$15=$A27)*(Q$10:Q$15))</f>
        <v>0</v>
      </c>
      <c r="R27" s="42" cm="1">
        <f t="array" ref="R27">SUMPRODUCT(($A$10:$A$15=$A27)*(R$10:R$15))</f>
        <v>0</v>
      </c>
      <c r="S27" s="42" cm="1">
        <f t="array" ref="S27">SUMPRODUCT(($A$10:$A$15=$A27)*(S$10:S$15))</f>
        <v>0</v>
      </c>
      <c r="T27" s="42" cm="1">
        <f t="array" ref="T27">SUMPRODUCT(($A$10:$A$15=$A27)*(T$10:T$15))</f>
        <v>0</v>
      </c>
      <c r="U27" s="42" cm="1">
        <f t="array" ref="U27">SUMPRODUCT(($A$10:$A$15=$A27)*(U$10:U$15))</f>
        <v>0</v>
      </c>
      <c r="V27" s="42" cm="1">
        <f t="array" ref="V27">SUMPRODUCT(($A$10:$A$15=$A27)*(V$10:V$15))</f>
        <v>0</v>
      </c>
      <c r="W27" s="42" cm="1">
        <f t="array" ref="W27">SUMPRODUCT(($A$10:$A$15=$A27)*(W$10:W$15))</f>
        <v>0</v>
      </c>
      <c r="X27" s="42" cm="1">
        <f t="array" ref="X27">SUMPRODUCT(($A$10:$A$15=$A27)*(X$10:X$15))</f>
        <v>0</v>
      </c>
    </row>
    <row r="28" spans="1:24" s="1" customFormat="1" ht="20.100000000000001" customHeight="1">
      <c r="A28" s="355" t="str">
        <f>底稿目录!A19</f>
        <v>其他</v>
      </c>
      <c r="B28" s="355"/>
      <c r="C28" s="212" cm="1">
        <f t="array" ref="C28">SUMPRODUCT(($A$10:$A$15=$A28)*(C$10:C$15))</f>
        <v>0</v>
      </c>
      <c r="D28" s="212" cm="1">
        <f t="array" ref="D28">SUMPRODUCT(($A$10:$A$15=$A28)*(D$10:D$15))</f>
        <v>0</v>
      </c>
      <c r="E28" s="212" cm="1">
        <f t="array" ref="E28">SUMPRODUCT(($A$10:$A$15=$A28)*(E$10:E$15))</f>
        <v>0</v>
      </c>
      <c r="F28" s="38"/>
      <c r="G28" s="38"/>
      <c r="H28" s="38"/>
      <c r="I28" s="38"/>
      <c r="J28" s="38"/>
      <c r="K28" s="38"/>
      <c r="L28" s="38"/>
      <c r="M28" s="38"/>
      <c r="N28" s="38"/>
      <c r="O28" s="42" cm="1">
        <f t="array" ref="O28">SUMPRODUCT(($A$10:$A$15=$A28)*(O$10:O$15))</f>
        <v>0</v>
      </c>
      <c r="P28" s="42" cm="1">
        <f t="array" ref="P28">SUMPRODUCT(($A$10:$A$15=$A28)*(P$10:P$15))</f>
        <v>0</v>
      </c>
      <c r="Q28" s="42" cm="1">
        <f t="array" ref="Q28">SUMPRODUCT(($A$10:$A$15=$A28)*(Q$10:Q$15))</f>
        <v>0</v>
      </c>
      <c r="R28" s="42" cm="1">
        <f t="array" ref="R28">SUMPRODUCT(($A$10:$A$15=$A28)*(R$10:R$15))</f>
        <v>0</v>
      </c>
      <c r="S28" s="42" cm="1">
        <f t="array" ref="S28">SUMPRODUCT(($A$10:$A$15=$A28)*(S$10:S$15))</f>
        <v>0</v>
      </c>
      <c r="T28" s="42" cm="1">
        <f t="array" ref="T28">SUMPRODUCT(($A$10:$A$15=$A28)*(T$10:T$15))</f>
        <v>0</v>
      </c>
      <c r="U28" s="42" cm="1">
        <f t="array" ref="U28">SUMPRODUCT(($A$10:$A$15=$A28)*(U$10:U$15))</f>
        <v>0</v>
      </c>
      <c r="V28" s="42" cm="1">
        <f t="array" ref="V28">SUMPRODUCT(($A$10:$A$15=$A28)*(V$10:V$15))</f>
        <v>0</v>
      </c>
      <c r="W28" s="42" cm="1">
        <f t="array" ref="W28">SUMPRODUCT(($A$10:$A$15=$A28)*(W$10:W$15))</f>
        <v>0</v>
      </c>
      <c r="X28" s="42" cm="1">
        <f t="array" ref="X28">SUMPRODUCT(($A$10:$A$15=$A28)*(X$10:X$15))</f>
        <v>0</v>
      </c>
    </row>
    <row r="29" spans="1:24" s="1" customFormat="1" ht="20.100000000000001" customHeight="1">
      <c r="A29" s="44" t="s">
        <v>227</v>
      </c>
      <c r="B29" s="45"/>
    </row>
    <row r="30" spans="1:24" ht="20.100000000000001" customHeight="1">
      <c r="A30" s="3"/>
    </row>
    <row r="31" spans="1:24" ht="20.100000000000001" customHeight="1">
      <c r="A31" s="3"/>
    </row>
    <row r="32" spans="1:24" ht="20.100000000000001" customHeight="1">
      <c r="A32" s="24" t="s">
        <v>228</v>
      </c>
    </row>
    <row r="33" ht="20.100000000000001" customHeight="1"/>
  </sheetData>
  <mergeCells count="15">
    <mergeCell ref="A24:B24"/>
    <mergeCell ref="A25:B25"/>
    <mergeCell ref="A26:B26"/>
    <mergeCell ref="A27:B27"/>
    <mergeCell ref="A28:B28"/>
    <mergeCell ref="A19:B19"/>
    <mergeCell ref="A20:B20"/>
    <mergeCell ref="A21:B21"/>
    <mergeCell ref="A22:B22"/>
    <mergeCell ref="A23:B23"/>
    <mergeCell ref="A1:W1"/>
    <mergeCell ref="A2:W2"/>
    <mergeCell ref="A16:B16"/>
    <mergeCell ref="A17:B17"/>
    <mergeCell ref="A18:B18"/>
  </mergeCells>
  <phoneticPr fontId="75" type="noConversion"/>
  <hyperlinks>
    <hyperlink ref="X3" location="底稿目录!A1" display="I1-11"/>
  </hyperlinks>
  <printOptions horizontalCentered="1"/>
  <pageMargins left="0.59055118110236227" right="0.59055118110236227" top="0.78740157480314965" bottom="0.39370078740157483" header="0.51181102362204722" footer="0.31496062992125984"/>
  <pageSetup paperSize="9" scale="48" orientation="landscape" blackAndWhite="1" r:id="rId1"/>
  <headerFooter>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底稿目录!$A$9:$A$20</xm:f>
          </x14:formula1>
          <xm:sqref>A10:A15</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AF43"/>
  <sheetViews>
    <sheetView view="pageBreakPreview" zoomScaleNormal="100" workbookViewId="0">
      <selection activeCell="O3" sqref="O3"/>
    </sheetView>
  </sheetViews>
  <sheetFormatPr defaultColWidth="9" defaultRowHeight="18" customHeight="1"/>
  <cols>
    <col min="1" max="1" width="13.77734375" style="7" customWidth="1"/>
    <col min="2" max="2" width="18.109375" style="7" customWidth="1"/>
    <col min="3" max="4" width="9.33203125" style="7" customWidth="1"/>
    <col min="5" max="5" width="12.33203125" style="7" customWidth="1"/>
    <col min="6" max="6" width="14.6640625" style="7" customWidth="1"/>
    <col min="7" max="7" width="11.44140625" style="7" customWidth="1"/>
    <col min="8" max="9" width="13.44140625" style="7" customWidth="1"/>
    <col min="10" max="10" width="14.21875" style="7" customWidth="1"/>
    <col min="11" max="13" width="14.6640625" style="7" customWidth="1"/>
    <col min="14" max="14" width="10.21875" style="7" customWidth="1"/>
    <col min="15" max="15" width="14.6640625" style="7" customWidth="1"/>
    <col min="16" max="16384" width="9" style="7"/>
  </cols>
  <sheetData>
    <row r="1" spans="1:32" s="1" customFormat="1" ht="20.100000000000001" customHeight="1">
      <c r="A1" s="283" t="s">
        <v>86</v>
      </c>
      <c r="B1" s="283"/>
      <c r="C1" s="283"/>
      <c r="D1" s="283"/>
      <c r="E1" s="283"/>
      <c r="F1" s="283"/>
      <c r="G1" s="283"/>
      <c r="H1" s="283"/>
      <c r="I1" s="283"/>
      <c r="J1" s="283"/>
      <c r="K1" s="283"/>
      <c r="L1" s="283"/>
      <c r="M1" s="283"/>
      <c r="N1" s="283"/>
      <c r="O1" s="283"/>
    </row>
    <row r="2" spans="1:32" s="2" customFormat="1" ht="25.05" customHeight="1">
      <c r="A2" s="284" t="s">
        <v>547</v>
      </c>
      <c r="B2" s="284"/>
      <c r="C2" s="284"/>
      <c r="D2" s="284"/>
      <c r="E2" s="284"/>
      <c r="F2" s="284"/>
      <c r="G2" s="284"/>
      <c r="H2" s="284"/>
      <c r="I2" s="284"/>
      <c r="J2" s="284"/>
      <c r="K2" s="284"/>
      <c r="L2" s="284"/>
      <c r="M2" s="284"/>
      <c r="N2" s="284"/>
      <c r="O2" s="284"/>
    </row>
    <row r="3" spans="1:32" ht="20.100000000000001" customHeight="1">
      <c r="A3" s="25" t="str">
        <f>底稿目录!A2</f>
        <v>被审计单位：</v>
      </c>
      <c r="B3" s="25"/>
      <c r="C3" s="25"/>
      <c r="D3" s="25"/>
      <c r="E3" s="25"/>
      <c r="F3" s="25"/>
      <c r="G3" s="25" t="str">
        <f>底稿目录!A4</f>
        <v>编制人：</v>
      </c>
      <c r="H3" s="25"/>
      <c r="I3" s="25"/>
      <c r="J3" s="25"/>
      <c r="K3" s="25" t="str">
        <f>底稿目录!A5</f>
        <v>编制日期：</v>
      </c>
      <c r="L3" s="25"/>
      <c r="M3" s="25"/>
      <c r="N3" s="25" t="s">
        <v>88</v>
      </c>
      <c r="O3" s="267" t="s">
        <v>33</v>
      </c>
    </row>
    <row r="4" spans="1:32" ht="20.100000000000001" customHeight="1">
      <c r="A4" s="25" t="str">
        <f>底稿目录!A3</f>
        <v>截止日：202X年12月31日</v>
      </c>
      <c r="B4" s="25"/>
      <c r="C4" s="25"/>
      <c r="D4" s="25"/>
      <c r="E4" s="25"/>
      <c r="F4" s="25"/>
      <c r="G4" s="25" t="str">
        <f>底稿目录!A6</f>
        <v>复核人：</v>
      </c>
      <c r="H4" s="25"/>
      <c r="I4" s="25"/>
      <c r="J4" s="25"/>
      <c r="K4" s="25" t="str">
        <f>底稿目录!A7</f>
        <v>复核日期：</v>
      </c>
      <c r="L4" s="25"/>
      <c r="M4" s="25"/>
      <c r="N4" s="25" t="s">
        <v>136</v>
      </c>
      <c r="O4" s="26"/>
    </row>
    <row r="5" spans="1:32" s="3" customFormat="1" ht="20.100000000000001" customHeight="1">
      <c r="A5" s="9" t="s">
        <v>194</v>
      </c>
      <c r="B5" s="10"/>
      <c r="C5" s="10"/>
      <c r="E5" s="10"/>
      <c r="J5" s="11"/>
      <c r="N5" s="27"/>
      <c r="O5" s="28"/>
      <c r="P5" s="29"/>
      <c r="S5" s="27"/>
      <c r="Z5" s="32"/>
      <c r="AA5" s="32"/>
      <c r="AB5" s="32"/>
      <c r="AC5" s="32"/>
      <c r="AD5" s="32"/>
      <c r="AE5" s="32"/>
      <c r="AF5" s="32"/>
    </row>
    <row r="6" spans="1:32" s="3" customFormat="1" ht="20.100000000000001" customHeight="1">
      <c r="A6" s="12" t="s">
        <v>391</v>
      </c>
      <c r="C6" s="12"/>
      <c r="E6" s="12"/>
      <c r="J6" s="11"/>
      <c r="N6" s="27"/>
      <c r="O6" s="28"/>
      <c r="P6" s="29"/>
      <c r="S6" s="27"/>
      <c r="Z6" s="32"/>
      <c r="AA6" s="32"/>
      <c r="AB6" s="32"/>
      <c r="AC6" s="32"/>
      <c r="AD6" s="32"/>
      <c r="AE6" s="32"/>
      <c r="AF6" s="32"/>
    </row>
    <row r="7" spans="1:32" s="3" customFormat="1" ht="20.100000000000001" customHeight="1">
      <c r="A7" s="13" t="s">
        <v>196</v>
      </c>
      <c r="B7" s="14"/>
      <c r="C7" s="14"/>
      <c r="E7" s="14"/>
      <c r="J7" s="11"/>
      <c r="N7" s="27"/>
      <c r="O7" s="28"/>
      <c r="P7" s="29"/>
      <c r="S7" s="27"/>
      <c r="Z7" s="32"/>
      <c r="AA7" s="32"/>
      <c r="AB7" s="32"/>
      <c r="AC7" s="32"/>
      <c r="AD7" s="32"/>
      <c r="AE7" s="32"/>
      <c r="AF7" s="32"/>
    </row>
    <row r="8" spans="1:32" s="4" customFormat="1" ht="20.100000000000001" customHeight="1">
      <c r="A8" s="358" t="s">
        <v>198</v>
      </c>
      <c r="B8" s="329" t="s">
        <v>262</v>
      </c>
      <c r="C8" s="329" t="s">
        <v>392</v>
      </c>
      <c r="D8" s="307" t="s">
        <v>393</v>
      </c>
      <c r="E8" s="307" t="s">
        <v>394</v>
      </c>
      <c r="F8" s="307" t="s">
        <v>395</v>
      </c>
      <c r="G8" s="360" t="s">
        <v>171</v>
      </c>
      <c r="H8" s="345" t="s">
        <v>396</v>
      </c>
      <c r="I8" s="357"/>
      <c r="J8" s="346"/>
      <c r="K8" s="362" t="s">
        <v>397</v>
      </c>
      <c r="L8" s="362" t="s">
        <v>398</v>
      </c>
      <c r="M8" s="362" t="s">
        <v>399</v>
      </c>
      <c r="N8" s="323" t="s">
        <v>400</v>
      </c>
      <c r="O8" s="323" t="s">
        <v>5</v>
      </c>
    </row>
    <row r="9" spans="1:32" s="5" customFormat="1" ht="32.25" customHeight="1">
      <c r="A9" s="359"/>
      <c r="B9" s="359"/>
      <c r="C9" s="359"/>
      <c r="D9" s="308"/>
      <c r="E9" s="308"/>
      <c r="F9" s="308"/>
      <c r="G9" s="361"/>
      <c r="H9" s="33" t="s">
        <v>401</v>
      </c>
      <c r="I9" s="33" t="s">
        <v>402</v>
      </c>
      <c r="J9" s="33" t="s">
        <v>403</v>
      </c>
      <c r="K9" s="363"/>
      <c r="L9" s="363" t="s">
        <v>404</v>
      </c>
      <c r="M9" s="363"/>
      <c r="N9" s="323"/>
      <c r="O9" s="323"/>
    </row>
    <row r="10" spans="1:32" s="5" customFormat="1" ht="20.100000000000001" customHeight="1">
      <c r="A10" s="326"/>
      <c r="B10" s="326"/>
      <c r="C10" s="326"/>
      <c r="D10" s="309"/>
      <c r="E10" s="309"/>
      <c r="F10" s="309"/>
      <c r="G10" s="33" t="s">
        <v>405</v>
      </c>
      <c r="H10" s="33" t="s">
        <v>406</v>
      </c>
      <c r="I10" s="33" t="s">
        <v>407</v>
      </c>
      <c r="J10" s="33" t="s">
        <v>408</v>
      </c>
      <c r="K10" s="33" t="s">
        <v>409</v>
      </c>
      <c r="L10" s="33" t="s">
        <v>410</v>
      </c>
      <c r="M10" s="33" t="s">
        <v>411</v>
      </c>
      <c r="N10" s="16"/>
      <c r="O10" s="16"/>
    </row>
    <row r="11" spans="1:32" ht="20.100000000000001" customHeight="1">
      <c r="A11" s="17"/>
      <c r="B11" s="192" t="str">
        <f>'明细表I1-2'!A12</f>
        <v>A</v>
      </c>
      <c r="C11" s="35"/>
      <c r="D11" s="35"/>
      <c r="E11" s="20"/>
      <c r="F11" s="35"/>
      <c r="G11" s="20"/>
      <c r="H11" s="20"/>
      <c r="I11" s="20"/>
      <c r="J11" s="193">
        <f t="shared" ref="J11:J12" si="0">MAX(H11,I11)</f>
        <v>0</v>
      </c>
      <c r="K11" s="193">
        <f>IF(J11&gt;G11,0,G11-J11)</f>
        <v>0</v>
      </c>
      <c r="L11" s="38"/>
      <c r="M11" s="193">
        <f t="shared" ref="M11:M16" si="1">K11-L11</f>
        <v>0</v>
      </c>
      <c r="N11" s="17"/>
      <c r="O11" s="17"/>
    </row>
    <row r="12" spans="1:32" ht="20.100000000000001" customHeight="1">
      <c r="A12" s="17"/>
      <c r="B12" s="192" t="str">
        <f>'明细表I1-2'!A13</f>
        <v>B</v>
      </c>
      <c r="C12" s="35"/>
      <c r="D12" s="35"/>
      <c r="E12" s="20"/>
      <c r="F12" s="35"/>
      <c r="G12" s="20"/>
      <c r="H12" s="20"/>
      <c r="I12" s="20"/>
      <c r="J12" s="193">
        <f t="shared" si="0"/>
        <v>0</v>
      </c>
      <c r="K12" s="193">
        <f t="shared" ref="K12:K13" si="2">IF(J12&gt;G12,0,G12-J12)</f>
        <v>0</v>
      </c>
      <c r="L12" s="38"/>
      <c r="M12" s="193">
        <f t="shared" si="1"/>
        <v>0</v>
      </c>
      <c r="N12" s="17"/>
      <c r="O12" s="17"/>
    </row>
    <row r="13" spans="1:32" ht="20.100000000000001" customHeight="1">
      <c r="A13" s="17"/>
      <c r="B13" s="192" t="str">
        <f>'明细表I1-2'!A14</f>
        <v>C</v>
      </c>
      <c r="C13" s="35"/>
      <c r="D13" s="35"/>
      <c r="E13" s="20"/>
      <c r="F13" s="35"/>
      <c r="G13" s="20"/>
      <c r="H13" s="20"/>
      <c r="I13" s="20"/>
      <c r="J13" s="193">
        <f t="shared" ref="J13:J16" si="3">MAX(H13,I13)</f>
        <v>0</v>
      </c>
      <c r="K13" s="193">
        <f t="shared" si="2"/>
        <v>0</v>
      </c>
      <c r="L13" s="38"/>
      <c r="M13" s="193">
        <f t="shared" si="1"/>
        <v>0</v>
      </c>
      <c r="N13" s="17"/>
      <c r="O13" s="17"/>
    </row>
    <row r="14" spans="1:32" ht="20.100000000000001" customHeight="1">
      <c r="A14" s="17"/>
      <c r="B14" s="192" t="str">
        <f>'明细表I1-2'!A15</f>
        <v>D</v>
      </c>
      <c r="C14" s="35"/>
      <c r="D14" s="35"/>
      <c r="E14" s="20"/>
      <c r="F14" s="35"/>
      <c r="G14" s="20"/>
      <c r="H14" s="20"/>
      <c r="I14" s="20"/>
      <c r="J14" s="193">
        <f t="shared" si="3"/>
        <v>0</v>
      </c>
      <c r="K14" s="193">
        <f t="shared" ref="K14:K16" si="4">IF(J14&gt;G14,0,G14-J14)</f>
        <v>0</v>
      </c>
      <c r="L14" s="38"/>
      <c r="M14" s="193">
        <f t="shared" si="1"/>
        <v>0</v>
      </c>
      <c r="N14" s="17"/>
      <c r="O14" s="17"/>
    </row>
    <row r="15" spans="1:32" ht="20.100000000000001" customHeight="1">
      <c r="A15" s="17"/>
      <c r="B15" s="192" t="str">
        <f>'明细表I1-2'!A16</f>
        <v>…</v>
      </c>
      <c r="C15" s="35"/>
      <c r="D15" s="35"/>
      <c r="E15" s="20"/>
      <c r="F15" s="35"/>
      <c r="G15" s="20"/>
      <c r="H15" s="20"/>
      <c r="I15" s="20"/>
      <c r="J15" s="193">
        <f t="shared" si="3"/>
        <v>0</v>
      </c>
      <c r="K15" s="193">
        <f t="shared" si="4"/>
        <v>0</v>
      </c>
      <c r="L15" s="38"/>
      <c r="M15" s="193">
        <f t="shared" si="1"/>
        <v>0</v>
      </c>
      <c r="N15" s="17"/>
      <c r="O15" s="17"/>
    </row>
    <row r="16" spans="1:32" ht="20.100000000000001" customHeight="1">
      <c r="A16" s="17"/>
      <c r="B16" s="192">
        <f>'明细表I1-2'!A17</f>
        <v>0</v>
      </c>
      <c r="C16" s="35"/>
      <c r="D16" s="35"/>
      <c r="E16" s="20"/>
      <c r="F16" s="35"/>
      <c r="G16" s="20"/>
      <c r="H16" s="20"/>
      <c r="I16" s="20"/>
      <c r="J16" s="193">
        <f t="shared" si="3"/>
        <v>0</v>
      </c>
      <c r="K16" s="193">
        <f t="shared" si="4"/>
        <v>0</v>
      </c>
      <c r="L16" s="38"/>
      <c r="M16" s="193">
        <f t="shared" si="1"/>
        <v>0</v>
      </c>
      <c r="N16" s="17"/>
      <c r="O16" s="17"/>
    </row>
    <row r="17" spans="1:15" s="1" customFormat="1" ht="20.100000000000001" customHeight="1">
      <c r="A17" s="15" t="s">
        <v>140</v>
      </c>
      <c r="B17" s="21"/>
      <c r="C17" s="21"/>
      <c r="D17" s="21"/>
      <c r="E17" s="21"/>
      <c r="F17" s="21"/>
      <c r="G17" s="193">
        <f t="shared" ref="G17:M17" si="5">SUM(G11:G16)</f>
        <v>0</v>
      </c>
      <c r="H17" s="193">
        <f t="shared" si="5"/>
        <v>0</v>
      </c>
      <c r="I17" s="193">
        <f t="shared" si="5"/>
        <v>0</v>
      </c>
      <c r="J17" s="193">
        <f t="shared" si="5"/>
        <v>0</v>
      </c>
      <c r="K17" s="193">
        <f t="shared" si="5"/>
        <v>0</v>
      </c>
      <c r="L17" s="193">
        <f t="shared" si="5"/>
        <v>0</v>
      </c>
      <c r="M17" s="193">
        <f t="shared" si="5"/>
        <v>0</v>
      </c>
      <c r="N17" s="21"/>
      <c r="O17" s="21"/>
    </row>
    <row r="18" spans="1:15" s="1" customFormat="1" ht="20.100000000000001" customHeight="1">
      <c r="A18" s="263" t="s">
        <v>226</v>
      </c>
      <c r="B18" s="264"/>
      <c r="G18" s="36"/>
      <c r="H18" s="36"/>
      <c r="I18" s="36"/>
      <c r="J18" s="36"/>
      <c r="K18" s="36"/>
      <c r="L18" s="36"/>
      <c r="M18" s="36"/>
    </row>
    <row r="19" spans="1:15" s="1" customFormat="1" ht="20.100000000000001" customHeight="1">
      <c r="A19" s="265" t="str">
        <f>底稿目录!A9</f>
        <v>土地使用权</v>
      </c>
      <c r="B19" s="264"/>
      <c r="C19" s="37"/>
      <c r="D19" s="21"/>
      <c r="E19" s="21"/>
      <c r="F19" s="21"/>
      <c r="G19" s="193" cm="1">
        <f t="array" ref="G19">SUMPRODUCT(($A$11:$A$16=$A19)*(G$11:G$16))</f>
        <v>0</v>
      </c>
      <c r="H19" s="193" cm="1">
        <f t="array" ref="H19">SUMPRODUCT(($A$11:$A$16=$A19)*(H$11:H$16))</f>
        <v>0</v>
      </c>
      <c r="I19" s="193" cm="1">
        <f t="array" ref="I19">SUMPRODUCT(($A$11:$A$16=$A19)*(I$11:I$16))</f>
        <v>0</v>
      </c>
      <c r="J19" s="193" cm="1">
        <f t="array" ref="J19">SUMPRODUCT(($A$11:$A$16=$A19)*(J$11:J$16))</f>
        <v>0</v>
      </c>
      <c r="K19" s="193" cm="1">
        <f t="array" ref="K19">SUMPRODUCT(($A$11:$A$16=$A19)*(K$11:K$16))</f>
        <v>0</v>
      </c>
      <c r="L19" s="193" cm="1">
        <f t="array" ref="L19">SUMPRODUCT(($A$11:$A$16=$A19)*(L$11:L$16))</f>
        <v>0</v>
      </c>
      <c r="M19" s="193" cm="1">
        <f t="array" ref="M19">SUMPRODUCT(($A$11:$A$16=$A19)*(M$11:M$16))</f>
        <v>0</v>
      </c>
      <c r="N19" s="21"/>
      <c r="O19" s="21"/>
    </row>
    <row r="20" spans="1:15" s="1" customFormat="1" ht="20.100000000000001" customHeight="1">
      <c r="A20" s="265" t="str">
        <f>底稿目录!A10</f>
        <v>住房使用权</v>
      </c>
      <c r="B20" s="264"/>
      <c r="C20" s="37"/>
      <c r="D20" s="21"/>
      <c r="E20" s="21"/>
      <c r="F20" s="21"/>
      <c r="G20" s="193" cm="1">
        <f t="array" ref="G20">SUMPRODUCT(($A$11:$A$16=$A20)*(G$11:G$16))</f>
        <v>0</v>
      </c>
      <c r="H20" s="193" cm="1">
        <f t="array" ref="H20">SUMPRODUCT(($A$11:$A$16=$A20)*(H$11:H$16))</f>
        <v>0</v>
      </c>
      <c r="I20" s="193" cm="1">
        <f t="array" ref="I20">SUMPRODUCT(($A$11:$A$16=$A20)*(I$11:I$16))</f>
        <v>0</v>
      </c>
      <c r="J20" s="193" cm="1">
        <f t="array" ref="J20">SUMPRODUCT(($A$11:$A$16=$A20)*(J$11:J$16))</f>
        <v>0</v>
      </c>
      <c r="K20" s="193" cm="1">
        <f t="array" ref="K20">SUMPRODUCT(($A$11:$A$16=$A20)*(K$11:K$16))</f>
        <v>0</v>
      </c>
      <c r="L20" s="193" cm="1">
        <f t="array" ref="L20">SUMPRODUCT(($A$11:$A$16=$A20)*(L$11:L$16))</f>
        <v>0</v>
      </c>
      <c r="M20" s="193" cm="1">
        <f t="array" ref="M20">SUMPRODUCT(($A$11:$A$16=$A20)*(M$11:M$16))</f>
        <v>0</v>
      </c>
      <c r="N20" s="21"/>
      <c r="O20" s="21"/>
    </row>
    <row r="21" spans="1:15" s="1" customFormat="1" ht="20.100000000000001" customHeight="1">
      <c r="A21" s="265" t="str">
        <f>底稿目录!A11</f>
        <v>专利权</v>
      </c>
      <c r="B21" s="264"/>
      <c r="C21" s="37"/>
      <c r="D21" s="21"/>
      <c r="E21" s="21"/>
      <c r="F21" s="21"/>
      <c r="G21" s="193" cm="1">
        <f t="array" ref="G21">SUMPRODUCT(($A$11:$A$16=$A21)*(G$11:G$16))</f>
        <v>0</v>
      </c>
      <c r="H21" s="193" cm="1">
        <f t="array" ref="H21">SUMPRODUCT(($A$11:$A$16=$A21)*(H$11:H$16))</f>
        <v>0</v>
      </c>
      <c r="I21" s="193" cm="1">
        <f t="array" ref="I21">SUMPRODUCT(($A$11:$A$16=$A21)*(I$11:I$16))</f>
        <v>0</v>
      </c>
      <c r="J21" s="193" cm="1">
        <f t="array" ref="J21">SUMPRODUCT(($A$11:$A$16=$A21)*(J$11:J$16))</f>
        <v>0</v>
      </c>
      <c r="K21" s="193" cm="1">
        <f t="array" ref="K21">SUMPRODUCT(($A$11:$A$16=$A21)*(K$11:K$16))</f>
        <v>0</v>
      </c>
      <c r="L21" s="193" cm="1">
        <f t="array" ref="L21">SUMPRODUCT(($A$11:$A$16=$A21)*(L$11:L$16))</f>
        <v>0</v>
      </c>
      <c r="M21" s="193" cm="1">
        <f t="array" ref="M21">SUMPRODUCT(($A$11:$A$16=$A21)*(M$11:M$16))</f>
        <v>0</v>
      </c>
      <c r="N21" s="21"/>
      <c r="O21" s="21"/>
    </row>
    <row r="22" spans="1:15" s="1" customFormat="1" ht="20.100000000000001" customHeight="1">
      <c r="A22" s="265" t="str">
        <f>底稿目录!A12</f>
        <v>非专利技术</v>
      </c>
      <c r="B22" s="264"/>
      <c r="C22" s="37"/>
      <c r="D22" s="21"/>
      <c r="E22" s="21"/>
      <c r="F22" s="21"/>
      <c r="G22" s="193" cm="1">
        <f t="array" ref="G22">SUMPRODUCT(($A$11:$A$16=$A22)*(G$11:G$16))</f>
        <v>0</v>
      </c>
      <c r="H22" s="193" cm="1">
        <f t="array" ref="H22">SUMPRODUCT(($A$11:$A$16=$A22)*(H$11:H$16))</f>
        <v>0</v>
      </c>
      <c r="I22" s="193" cm="1">
        <f t="array" ref="I22">SUMPRODUCT(($A$11:$A$16=$A22)*(I$11:I$16))</f>
        <v>0</v>
      </c>
      <c r="J22" s="193" cm="1">
        <f t="array" ref="J22">SUMPRODUCT(($A$11:$A$16=$A22)*(J$11:J$16))</f>
        <v>0</v>
      </c>
      <c r="K22" s="193" cm="1">
        <f t="array" ref="K22">SUMPRODUCT(($A$11:$A$16=$A22)*(K$11:K$16))</f>
        <v>0</v>
      </c>
      <c r="L22" s="193" cm="1">
        <f t="array" ref="L22">SUMPRODUCT(($A$11:$A$16=$A22)*(L$11:L$16))</f>
        <v>0</v>
      </c>
      <c r="M22" s="193" cm="1">
        <f t="array" ref="M22">SUMPRODUCT(($A$11:$A$16=$A22)*(M$11:M$16))</f>
        <v>0</v>
      </c>
      <c r="N22" s="21"/>
      <c r="O22" s="21"/>
    </row>
    <row r="23" spans="1:15" s="1" customFormat="1" ht="20.100000000000001" customHeight="1">
      <c r="A23" s="265" t="str">
        <f>底稿目录!A13</f>
        <v>商标权</v>
      </c>
      <c r="B23" s="264"/>
      <c r="C23" s="37"/>
      <c r="D23" s="21"/>
      <c r="E23" s="21"/>
      <c r="F23" s="21"/>
      <c r="G23" s="193" cm="1">
        <f t="array" ref="G23">SUMPRODUCT(($A$11:$A$16=$A23)*(G$11:G$16))</f>
        <v>0</v>
      </c>
      <c r="H23" s="193" cm="1">
        <f t="array" ref="H23">SUMPRODUCT(($A$11:$A$16=$A23)*(H$11:H$16))</f>
        <v>0</v>
      </c>
      <c r="I23" s="193" cm="1">
        <f t="array" ref="I23">SUMPRODUCT(($A$11:$A$16=$A23)*(I$11:I$16))</f>
        <v>0</v>
      </c>
      <c r="J23" s="193" cm="1">
        <f t="array" ref="J23">SUMPRODUCT(($A$11:$A$16=$A23)*(J$11:J$16))</f>
        <v>0</v>
      </c>
      <c r="K23" s="193" cm="1">
        <f t="array" ref="K23">SUMPRODUCT(($A$11:$A$16=$A23)*(K$11:K$16))</f>
        <v>0</v>
      </c>
      <c r="L23" s="193" cm="1">
        <f t="array" ref="L23">SUMPRODUCT(($A$11:$A$16=$A23)*(L$11:L$16))</f>
        <v>0</v>
      </c>
      <c r="M23" s="193" cm="1">
        <f t="array" ref="M23">SUMPRODUCT(($A$11:$A$16=$A23)*(M$11:M$16))</f>
        <v>0</v>
      </c>
      <c r="N23" s="21"/>
      <c r="O23" s="21"/>
    </row>
    <row r="24" spans="1:15" s="1" customFormat="1" ht="20.100000000000001" customHeight="1">
      <c r="A24" s="265" t="str">
        <f>底稿目录!A14</f>
        <v>著作权</v>
      </c>
      <c r="B24" s="264"/>
      <c r="C24" s="37"/>
      <c r="D24" s="21"/>
      <c r="E24" s="21"/>
      <c r="F24" s="21"/>
      <c r="G24" s="193" cm="1">
        <f t="array" ref="G24">SUMPRODUCT(($A$11:$A$16=$A24)*(G$11:G$16))</f>
        <v>0</v>
      </c>
      <c r="H24" s="193" cm="1">
        <f t="array" ref="H24">SUMPRODUCT(($A$11:$A$16=$A24)*(H$11:H$16))</f>
        <v>0</v>
      </c>
      <c r="I24" s="193" cm="1">
        <f t="array" ref="I24">SUMPRODUCT(($A$11:$A$16=$A24)*(I$11:I$16))</f>
        <v>0</v>
      </c>
      <c r="J24" s="193" cm="1">
        <f t="array" ref="J24">SUMPRODUCT(($A$11:$A$16=$A24)*(J$11:J$16))</f>
        <v>0</v>
      </c>
      <c r="K24" s="193" cm="1">
        <f t="array" ref="K24">SUMPRODUCT(($A$11:$A$16=$A24)*(K$11:K$16))</f>
        <v>0</v>
      </c>
      <c r="L24" s="193" cm="1">
        <f t="array" ref="L24">SUMPRODUCT(($A$11:$A$16=$A24)*(L$11:L$16))</f>
        <v>0</v>
      </c>
      <c r="M24" s="193" cm="1">
        <f t="array" ref="M24">SUMPRODUCT(($A$11:$A$16=$A24)*(M$11:M$16))</f>
        <v>0</v>
      </c>
      <c r="N24" s="21"/>
      <c r="O24" s="21"/>
    </row>
    <row r="25" spans="1:15" s="1" customFormat="1" ht="20.100000000000001" customHeight="1">
      <c r="A25" s="265" t="str">
        <f>底稿目录!A15</f>
        <v>特许经营权</v>
      </c>
      <c r="B25" s="264"/>
      <c r="C25" s="37"/>
      <c r="D25" s="21"/>
      <c r="E25" s="21"/>
      <c r="F25" s="21"/>
      <c r="G25" s="193" cm="1">
        <f t="array" ref="G25">SUMPRODUCT(($A$11:$A$16=$A25)*(G$11:G$16))</f>
        <v>0</v>
      </c>
      <c r="H25" s="193" cm="1">
        <f t="array" ref="H25">SUMPRODUCT(($A$11:$A$16=$A25)*(H$11:H$16))</f>
        <v>0</v>
      </c>
      <c r="I25" s="193" cm="1">
        <f t="array" ref="I25">SUMPRODUCT(($A$11:$A$16=$A25)*(I$11:I$16))</f>
        <v>0</v>
      </c>
      <c r="J25" s="193" cm="1">
        <f t="array" ref="J25">SUMPRODUCT(($A$11:$A$16=$A25)*(J$11:J$16))</f>
        <v>0</v>
      </c>
      <c r="K25" s="193" cm="1">
        <f t="array" ref="K25">SUMPRODUCT(($A$11:$A$16=$A25)*(K$11:K$16))</f>
        <v>0</v>
      </c>
      <c r="L25" s="193" cm="1">
        <f t="array" ref="L25">SUMPRODUCT(($A$11:$A$16=$A25)*(L$11:L$16))</f>
        <v>0</v>
      </c>
      <c r="M25" s="193" cm="1">
        <f t="array" ref="M25">SUMPRODUCT(($A$11:$A$16=$A25)*(M$11:M$16))</f>
        <v>0</v>
      </c>
      <c r="N25" s="21"/>
      <c r="O25" s="21"/>
    </row>
    <row r="26" spans="1:15" s="1" customFormat="1" ht="20.100000000000001" customHeight="1">
      <c r="A26" s="265" t="str">
        <f>底稿目录!A16</f>
        <v>软件</v>
      </c>
      <c r="B26" s="264"/>
      <c r="C26" s="37"/>
      <c r="D26" s="21"/>
      <c r="E26" s="21"/>
      <c r="F26" s="21"/>
      <c r="G26" s="193" cm="1">
        <f t="array" ref="G26">SUMPRODUCT(($A$11:$A$16=$A26)*(G$11:G$16))</f>
        <v>0</v>
      </c>
      <c r="H26" s="193" cm="1">
        <f t="array" ref="H26">SUMPRODUCT(($A$11:$A$16=$A26)*(H$11:H$16))</f>
        <v>0</v>
      </c>
      <c r="I26" s="193" cm="1">
        <f t="array" ref="I26">SUMPRODUCT(($A$11:$A$16=$A26)*(I$11:I$16))</f>
        <v>0</v>
      </c>
      <c r="J26" s="193" cm="1">
        <f t="array" ref="J26">SUMPRODUCT(($A$11:$A$16=$A26)*(J$11:J$16))</f>
        <v>0</v>
      </c>
      <c r="K26" s="193" cm="1">
        <f t="array" ref="K26">SUMPRODUCT(($A$11:$A$16=$A26)*(K$11:K$16))</f>
        <v>0</v>
      </c>
      <c r="L26" s="193" cm="1">
        <f t="array" ref="L26">SUMPRODUCT(($A$11:$A$16=$A26)*(L$11:L$16))</f>
        <v>0</v>
      </c>
      <c r="M26" s="193" cm="1">
        <f t="array" ref="M26">SUMPRODUCT(($A$11:$A$16=$A26)*(M$11:M$16))</f>
        <v>0</v>
      </c>
      <c r="N26" s="21"/>
      <c r="O26" s="21"/>
    </row>
    <row r="27" spans="1:15" s="1" customFormat="1" ht="20.100000000000001" customHeight="1">
      <c r="A27" s="265" t="str">
        <f>底稿目录!A17</f>
        <v>矿产权</v>
      </c>
      <c r="B27" s="264"/>
      <c r="C27" s="37"/>
      <c r="D27" s="21"/>
      <c r="E27" s="21"/>
      <c r="F27" s="21"/>
      <c r="G27" s="193" cm="1">
        <f t="array" ref="G27">SUMPRODUCT(($A$11:$A$16=$A27)*(G$11:G$16))</f>
        <v>0</v>
      </c>
      <c r="H27" s="193" cm="1">
        <f t="array" ref="H27">SUMPRODUCT(($A$11:$A$16=$A27)*(H$11:H$16))</f>
        <v>0</v>
      </c>
      <c r="I27" s="193" cm="1">
        <f t="array" ref="I27">SUMPRODUCT(($A$11:$A$16=$A27)*(I$11:I$16))</f>
        <v>0</v>
      </c>
      <c r="J27" s="193" cm="1">
        <f t="array" ref="J27">SUMPRODUCT(($A$11:$A$16=$A27)*(J$11:J$16))</f>
        <v>0</v>
      </c>
      <c r="K27" s="193" cm="1">
        <f t="array" ref="K27">SUMPRODUCT(($A$11:$A$16=$A27)*(K$11:K$16))</f>
        <v>0</v>
      </c>
      <c r="L27" s="193" cm="1">
        <f t="array" ref="L27">SUMPRODUCT(($A$11:$A$16=$A27)*(L$11:L$16))</f>
        <v>0</v>
      </c>
      <c r="M27" s="193" cm="1">
        <f t="array" ref="M27">SUMPRODUCT(($A$11:$A$16=$A27)*(M$11:M$16))</f>
        <v>0</v>
      </c>
      <c r="N27" s="21"/>
      <c r="O27" s="21"/>
    </row>
    <row r="28" spans="1:15" s="1" customFormat="1" ht="20.100000000000001" customHeight="1">
      <c r="A28" s="266" t="s">
        <v>32</v>
      </c>
      <c r="B28" s="264"/>
      <c r="C28" s="37"/>
      <c r="D28" s="21"/>
      <c r="E28" s="21"/>
      <c r="F28" s="21"/>
      <c r="G28" s="193" cm="1">
        <f t="array" ref="G28">SUMPRODUCT(($A$11:$A$16=$A28)*(G$11:G$16))</f>
        <v>0</v>
      </c>
      <c r="H28" s="193" cm="1">
        <f t="array" ref="H28">SUMPRODUCT(($A$11:$A$16=$A28)*(H$11:H$16))</f>
        <v>0</v>
      </c>
      <c r="I28" s="193" cm="1">
        <f t="array" ref="I28">SUMPRODUCT(($A$11:$A$16=$A28)*(I$11:I$16))</f>
        <v>0</v>
      </c>
      <c r="J28" s="193" cm="1">
        <f t="array" ref="J28">SUMPRODUCT(($A$11:$A$16=$A28)*(J$11:J$16))</f>
        <v>0</v>
      </c>
      <c r="K28" s="193" cm="1">
        <f t="array" ref="K28">SUMPRODUCT(($A$11:$A$16=$A28)*(K$11:K$16))</f>
        <v>0</v>
      </c>
      <c r="L28" s="193" cm="1">
        <f t="array" ref="L28">SUMPRODUCT(($A$11:$A$16=$A28)*(L$11:L$16))</f>
        <v>0</v>
      </c>
      <c r="M28" s="193" cm="1">
        <f t="array" ref="M28">SUMPRODUCT(($A$11:$A$16=$A28)*(M$11:M$16))</f>
        <v>0</v>
      </c>
      <c r="N28" s="21"/>
      <c r="O28" s="21"/>
    </row>
    <row r="29" spans="1:15" s="1" customFormat="1" ht="20.100000000000001" customHeight="1">
      <c r="A29" s="265" t="str">
        <f>底稿目录!A19</f>
        <v>其他</v>
      </c>
      <c r="B29" s="264"/>
      <c r="C29" s="37"/>
      <c r="D29" s="21"/>
      <c r="E29" s="21"/>
      <c r="F29" s="21"/>
      <c r="G29" s="193" cm="1">
        <f t="array" ref="G29">SUMPRODUCT(($A$11:$A$16=$A29)*(G$11:G$16))</f>
        <v>0</v>
      </c>
      <c r="H29" s="193" cm="1">
        <f t="array" ref="H29">SUMPRODUCT(($A$11:$A$16=$A29)*(H$11:H$16))</f>
        <v>0</v>
      </c>
      <c r="I29" s="193" cm="1">
        <f t="array" ref="I29">SUMPRODUCT(($A$11:$A$16=$A29)*(I$11:I$16))</f>
        <v>0</v>
      </c>
      <c r="J29" s="193" cm="1">
        <f t="array" ref="J29">SUMPRODUCT(($A$11:$A$16=$A29)*(J$11:J$16))</f>
        <v>0</v>
      </c>
      <c r="K29" s="193" cm="1">
        <f t="array" ref="K29">SUMPRODUCT(($A$11:$A$16=$A29)*(K$11:K$16))</f>
        <v>0</v>
      </c>
      <c r="L29" s="193" cm="1">
        <f t="array" ref="L29">SUMPRODUCT(($A$11:$A$16=$A29)*(L$11:L$16))</f>
        <v>0</v>
      </c>
      <c r="M29" s="193" cm="1">
        <f t="array" ref="M29">SUMPRODUCT(($A$11:$A$16=$A29)*(M$11:M$16))</f>
        <v>0</v>
      </c>
      <c r="N29" s="21"/>
      <c r="O29" s="21"/>
    </row>
    <row r="30" spans="1:15" s="1" customFormat="1" ht="20.100000000000001" customHeight="1">
      <c r="B30" s="24" t="s">
        <v>227</v>
      </c>
    </row>
    <row r="31" spans="1:15" ht="20.100000000000001" customHeight="1">
      <c r="B31" s="3"/>
    </row>
    <row r="32" spans="1:15" ht="20.100000000000001" customHeight="1">
      <c r="B32" s="3"/>
    </row>
    <row r="33" spans="2:2" ht="20.100000000000001" customHeight="1">
      <c r="B33" s="24" t="s">
        <v>228</v>
      </c>
    </row>
    <row r="34" spans="2:2" ht="20.100000000000001" customHeight="1"/>
    <row r="37" spans="2:2" ht="18" customHeight="1">
      <c r="B37" s="7" t="s">
        <v>412</v>
      </c>
    </row>
    <row r="38" spans="2:2" ht="18" customHeight="1">
      <c r="B38" s="7" t="s">
        <v>413</v>
      </c>
    </row>
    <row r="39" spans="2:2" ht="18" customHeight="1">
      <c r="B39" s="7" t="s">
        <v>414</v>
      </c>
    </row>
    <row r="40" spans="2:2" ht="18" customHeight="1">
      <c r="B40" s="7" t="s">
        <v>415</v>
      </c>
    </row>
    <row r="41" spans="2:2" ht="18" customHeight="1">
      <c r="B41" s="7" t="s">
        <v>416</v>
      </c>
    </row>
    <row r="42" spans="2:2" ht="18" customHeight="1">
      <c r="B42" s="7" t="s">
        <v>417</v>
      </c>
    </row>
    <row r="43" spans="2:2" ht="18" customHeight="1">
      <c r="B43" s="7" t="s">
        <v>418</v>
      </c>
    </row>
  </sheetData>
  <mergeCells count="15">
    <mergeCell ref="A1:O1"/>
    <mergeCell ref="A2:O2"/>
    <mergeCell ref="H8:J8"/>
    <mergeCell ref="A8:A10"/>
    <mergeCell ref="B8:B10"/>
    <mergeCell ref="C8:C10"/>
    <mergeCell ref="D8:D10"/>
    <mergeCell ref="E8:E10"/>
    <mergeCell ref="F8:F10"/>
    <mergeCell ref="G8:G9"/>
    <mergeCell ref="K8:K9"/>
    <mergeCell ref="L8:L9"/>
    <mergeCell ref="M8:M9"/>
    <mergeCell ref="N8:N9"/>
    <mergeCell ref="O8:O9"/>
  </mergeCells>
  <phoneticPr fontId="75" type="noConversion"/>
  <dataValidations count="3">
    <dataValidation type="list" allowBlank="1" showInputMessage="1" showErrorMessage="1" sqref="C11:C16">
      <formula1>"√,×"</formula1>
    </dataValidation>
    <dataValidation type="list" allowBlank="1" showInputMessage="1" showErrorMessage="1" prompt="对于使用寿命有限的无形资产，逐项检查是否存在减值迹象，并作出详细记录；对于使用寿命不确定的无形资产，无论是否存在减值迹象，是否都进行减值测试；" sqref="D11:D16">
      <formula1>"√,×"</formula1>
    </dataValidation>
    <dataValidation type="list" allowBlank="1" showInputMessage="1" showErrorMessage="1" prompt="对于存在减值迹象的使用寿命有限的无形资产，需要进行减值测试；对于使用寿命不确定的无形资产，无论是否存在减值迹象，是否都进行减值测试；" sqref="F11:F16">
      <formula1>"√,×"</formula1>
    </dataValidation>
  </dataValidations>
  <hyperlinks>
    <hyperlink ref="O3" location="底稿目录!A1" display="I1-12"/>
  </hyperlinks>
  <printOptions horizontalCentered="1"/>
  <pageMargins left="0.59055118110236227" right="0.59055118110236227" top="0.78740157480314965" bottom="0.39370078740157483" header="0.51181102362204722" footer="0.31496062992125984"/>
  <pageSetup paperSize="9" scale="64" orientation="landscape" blackAndWhite="1" r:id="rId1"/>
  <headerFooter>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底稿目录!$A$9:$A$20</xm:f>
          </x14:formula1>
          <xm:sqref>A11:A16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AB51"/>
  <sheetViews>
    <sheetView view="pageBreakPreview" zoomScaleNormal="100" workbookViewId="0">
      <selection activeCell="O3" sqref="O3"/>
    </sheetView>
  </sheetViews>
  <sheetFormatPr defaultColWidth="9" defaultRowHeight="18" customHeight="1"/>
  <cols>
    <col min="1" max="1" width="20.6640625" style="7" customWidth="1"/>
    <col min="2" max="15" width="10.6640625" style="7" customWidth="1"/>
    <col min="16" max="16384" width="9" style="7"/>
  </cols>
  <sheetData>
    <row r="1" spans="1:28" s="1" customFormat="1" ht="20.100000000000001" customHeight="1">
      <c r="A1" s="283" t="s">
        <v>86</v>
      </c>
      <c r="B1" s="283"/>
      <c r="C1" s="283"/>
      <c r="D1" s="283"/>
      <c r="E1" s="283"/>
      <c r="F1" s="283"/>
      <c r="G1" s="283"/>
      <c r="H1" s="283"/>
      <c r="I1" s="283"/>
      <c r="J1" s="283"/>
      <c r="K1" s="283"/>
      <c r="L1" s="283"/>
      <c r="M1" s="283"/>
      <c r="N1" s="283"/>
      <c r="O1" s="283"/>
    </row>
    <row r="2" spans="1:28" s="2" customFormat="1" ht="25.05" customHeight="1">
      <c r="A2" s="284" t="s">
        <v>546</v>
      </c>
      <c r="B2" s="284"/>
      <c r="C2" s="284"/>
      <c r="D2" s="284"/>
      <c r="E2" s="284"/>
      <c r="F2" s="284"/>
      <c r="G2" s="284"/>
      <c r="H2" s="284"/>
      <c r="I2" s="284"/>
      <c r="J2" s="284"/>
      <c r="K2" s="284"/>
      <c r="L2" s="284"/>
      <c r="M2" s="284"/>
      <c r="N2" s="284"/>
      <c r="O2" s="284"/>
    </row>
    <row r="3" spans="1:28" ht="20.100000000000001" customHeight="1">
      <c r="A3" s="7" t="str">
        <f>底稿目录!A2</f>
        <v>被审计单位：</v>
      </c>
      <c r="E3" s="7" t="str">
        <f>底稿目录!A4</f>
        <v>编制人：</v>
      </c>
      <c r="J3" s="25" t="str">
        <f>底稿目录!A5</f>
        <v>编制日期：</v>
      </c>
      <c r="K3" s="25"/>
      <c r="N3" s="7" t="s">
        <v>88</v>
      </c>
      <c r="O3" s="267" t="s">
        <v>35</v>
      </c>
    </row>
    <row r="4" spans="1:28" ht="20.100000000000001" customHeight="1">
      <c r="A4" s="7" t="str">
        <f>底稿目录!A3</f>
        <v>截止日：202X年12月31日</v>
      </c>
      <c r="E4" s="7" t="str">
        <f>底稿目录!A6</f>
        <v>复核人：</v>
      </c>
      <c r="J4" s="25" t="str">
        <f>底稿目录!A7</f>
        <v>复核日期：</v>
      </c>
      <c r="K4" s="25"/>
      <c r="N4" s="7" t="s">
        <v>136</v>
      </c>
      <c r="O4" s="26"/>
    </row>
    <row r="5" spans="1:28" s="3" customFormat="1" ht="20.100000000000001" customHeight="1">
      <c r="A5" s="9" t="s">
        <v>194</v>
      </c>
      <c r="B5" s="10"/>
      <c r="G5" s="11"/>
      <c r="J5" s="27"/>
      <c r="K5" s="28"/>
      <c r="L5" s="29"/>
      <c r="O5" s="27"/>
      <c r="V5" s="32"/>
      <c r="W5" s="32"/>
      <c r="X5" s="32"/>
      <c r="Y5" s="32"/>
      <c r="Z5" s="32"/>
      <c r="AA5" s="32"/>
      <c r="AB5" s="32"/>
    </row>
    <row r="6" spans="1:28" s="3" customFormat="1" ht="20.100000000000001" customHeight="1">
      <c r="A6" s="12" t="s">
        <v>391</v>
      </c>
      <c r="G6" s="11"/>
      <c r="J6" s="27"/>
      <c r="K6" s="28"/>
      <c r="L6" s="29"/>
      <c r="O6" s="27"/>
      <c r="V6" s="32"/>
      <c r="W6" s="32"/>
      <c r="X6" s="32"/>
      <c r="Y6" s="32"/>
      <c r="Z6" s="32"/>
      <c r="AA6" s="32"/>
      <c r="AB6" s="32"/>
    </row>
    <row r="7" spans="1:28" s="3" customFormat="1" ht="20.100000000000001" customHeight="1">
      <c r="A7" s="13" t="s">
        <v>196</v>
      </c>
      <c r="B7" s="14"/>
      <c r="G7" s="11"/>
      <c r="J7" s="27"/>
      <c r="K7" s="28"/>
      <c r="L7" s="29"/>
      <c r="O7" s="27"/>
      <c r="V7" s="32"/>
      <c r="W7" s="32"/>
      <c r="X7" s="32"/>
      <c r="Y7" s="32"/>
      <c r="Z7" s="32"/>
      <c r="AA7" s="32"/>
      <c r="AB7" s="32"/>
    </row>
    <row r="8" spans="1:28" s="1" customFormat="1" ht="20.100000000000001" customHeight="1">
      <c r="A8" s="1" t="s">
        <v>419</v>
      </c>
    </row>
    <row r="9" spans="1:28" s="1" customFormat="1" ht="20.100000000000001" customHeight="1">
      <c r="A9" s="290" t="s">
        <v>262</v>
      </c>
      <c r="B9" s="290" t="s">
        <v>420</v>
      </c>
      <c r="C9" s="290"/>
      <c r="D9" s="290"/>
      <c r="E9" s="290"/>
      <c r="F9" s="290"/>
      <c r="G9" s="290"/>
      <c r="H9" s="290" t="s">
        <v>421</v>
      </c>
      <c r="I9" s="290"/>
      <c r="J9" s="290"/>
      <c r="K9" s="290"/>
      <c r="L9" s="290"/>
      <c r="M9" s="290"/>
      <c r="N9" s="323" t="s">
        <v>422</v>
      </c>
      <c r="O9" s="290" t="s">
        <v>5</v>
      </c>
    </row>
    <row r="10" spans="1:28" s="4" customFormat="1" ht="30" customHeight="1">
      <c r="A10" s="290"/>
      <c r="B10" s="16" t="s">
        <v>423</v>
      </c>
      <c r="C10" s="16" t="s">
        <v>424</v>
      </c>
      <c r="D10" s="16" t="s">
        <v>425</v>
      </c>
      <c r="E10" s="16" t="s">
        <v>424</v>
      </c>
      <c r="F10" s="16" t="s">
        <v>426</v>
      </c>
      <c r="G10" s="16" t="s">
        <v>424</v>
      </c>
      <c r="H10" s="16" t="s">
        <v>427</v>
      </c>
      <c r="I10" s="16" t="s">
        <v>428</v>
      </c>
      <c r="J10" s="16" t="s">
        <v>429</v>
      </c>
      <c r="K10" s="16" t="s">
        <v>430</v>
      </c>
      <c r="L10" s="16" t="s">
        <v>431</v>
      </c>
      <c r="M10" s="16" t="s">
        <v>432</v>
      </c>
      <c r="N10" s="323"/>
      <c r="O10" s="290"/>
    </row>
    <row r="11" spans="1:28" ht="20.100000000000001" customHeight="1">
      <c r="A11" s="17"/>
      <c r="B11" s="18">
        <v>1000</v>
      </c>
      <c r="C11" s="19"/>
      <c r="D11" s="18">
        <v>990</v>
      </c>
      <c r="E11" s="19"/>
      <c r="F11" s="18">
        <v>990</v>
      </c>
      <c r="G11" s="17"/>
      <c r="H11" s="18">
        <v>10</v>
      </c>
      <c r="I11" s="30">
        <v>20</v>
      </c>
      <c r="J11" s="31">
        <v>10</v>
      </c>
      <c r="K11" s="30">
        <v>10</v>
      </c>
      <c r="L11" s="31">
        <v>10</v>
      </c>
      <c r="M11" s="193">
        <f>SUM(H11:L11)</f>
        <v>60</v>
      </c>
      <c r="N11" s="193">
        <f>IF(B11&gt;0,B11,IF(D11&gt;0,D11,F11))-M11</f>
        <v>940</v>
      </c>
      <c r="O11" s="17"/>
    </row>
    <row r="12" spans="1:28" ht="20.100000000000001" customHeight="1">
      <c r="A12" s="17"/>
      <c r="B12" s="20"/>
      <c r="C12" s="17"/>
      <c r="D12" s="20"/>
      <c r="E12" s="17"/>
      <c r="F12" s="20"/>
      <c r="G12" s="17"/>
      <c r="H12" s="20"/>
      <c r="I12" s="20"/>
      <c r="J12" s="20"/>
      <c r="K12" s="20"/>
      <c r="L12" s="20"/>
      <c r="M12" s="193">
        <f>SUM(H12:L12)</f>
        <v>0</v>
      </c>
      <c r="N12" s="193">
        <f>IF(B12&gt;0,B12,IF(D12&gt;0,D12,F12))-M12</f>
        <v>0</v>
      </c>
      <c r="O12" s="17"/>
    </row>
    <row r="13" spans="1:28" ht="20.100000000000001" customHeight="1">
      <c r="A13" s="17"/>
      <c r="B13" s="20"/>
      <c r="C13" s="17"/>
      <c r="D13" s="20"/>
      <c r="E13" s="17"/>
      <c r="F13" s="20"/>
      <c r="G13" s="17"/>
      <c r="H13" s="20"/>
      <c r="I13" s="20"/>
      <c r="J13" s="20"/>
      <c r="K13" s="20"/>
      <c r="L13" s="20"/>
      <c r="M13" s="193">
        <f>SUM(H13:L13)</f>
        <v>0</v>
      </c>
      <c r="N13" s="193">
        <f>IF(B13&gt;0,B13,IF(D13&gt;0,D13,F13))-M13</f>
        <v>0</v>
      </c>
      <c r="O13" s="17"/>
    </row>
    <row r="14" spans="1:28" s="1" customFormat="1" ht="20.100000000000001" customHeight="1">
      <c r="A14" s="15" t="s">
        <v>140</v>
      </c>
      <c r="B14" s="193">
        <f>SUM(B11:B13)</f>
        <v>1000</v>
      </c>
      <c r="C14" s="21"/>
      <c r="D14" s="193">
        <f>SUM(D11:D13)</f>
        <v>990</v>
      </c>
      <c r="E14" s="21"/>
      <c r="F14" s="193">
        <f>SUM(F11:F13)</f>
        <v>990</v>
      </c>
      <c r="G14" s="21"/>
      <c r="H14" s="193">
        <f t="shared" ref="H14:N14" si="0">SUM(H11:H13)</f>
        <v>10</v>
      </c>
      <c r="I14" s="193">
        <f t="shared" si="0"/>
        <v>20</v>
      </c>
      <c r="J14" s="193">
        <f t="shared" si="0"/>
        <v>10</v>
      </c>
      <c r="K14" s="193">
        <f t="shared" si="0"/>
        <v>10</v>
      </c>
      <c r="L14" s="193">
        <f t="shared" si="0"/>
        <v>10</v>
      </c>
      <c r="M14" s="193">
        <f t="shared" si="0"/>
        <v>60</v>
      </c>
      <c r="N14" s="193">
        <f t="shared" si="0"/>
        <v>940</v>
      </c>
      <c r="O14" s="21"/>
    </row>
    <row r="15" spans="1:28" s="1" customFormat="1" ht="20.100000000000001" customHeight="1">
      <c r="A15" s="1" t="s">
        <v>433</v>
      </c>
    </row>
    <row r="16" spans="1:28" s="5" customFormat="1" ht="20.100000000000001" customHeight="1">
      <c r="A16" s="290" t="s">
        <v>434</v>
      </c>
      <c r="B16" s="290" t="s">
        <v>435</v>
      </c>
      <c r="C16" s="290"/>
      <c r="D16" s="290"/>
      <c r="E16" s="290"/>
      <c r="F16" s="290"/>
      <c r="G16" s="290" t="s">
        <v>436</v>
      </c>
      <c r="H16" s="290"/>
      <c r="I16" s="323" t="s">
        <v>437</v>
      </c>
      <c r="J16" s="323" t="s">
        <v>438</v>
      </c>
      <c r="K16" s="323" t="s">
        <v>439</v>
      </c>
      <c r="L16" s="323" t="s">
        <v>440</v>
      </c>
      <c r="M16" s="323" t="s">
        <v>441</v>
      </c>
      <c r="N16" s="323"/>
      <c r="O16" s="290" t="s">
        <v>5</v>
      </c>
    </row>
    <row r="17" spans="1:15" s="5" customFormat="1" ht="20.100000000000001" customHeight="1">
      <c r="A17" s="290"/>
      <c r="B17" s="15" t="s">
        <v>442</v>
      </c>
      <c r="C17" s="15" t="s">
        <v>443</v>
      </c>
      <c r="D17" s="15" t="s">
        <v>444</v>
      </c>
      <c r="E17" s="15" t="s">
        <v>445</v>
      </c>
      <c r="F17" s="15" t="s">
        <v>446</v>
      </c>
      <c r="G17" s="15" t="s">
        <v>447</v>
      </c>
      <c r="H17" s="15" t="s">
        <v>448</v>
      </c>
      <c r="I17" s="323"/>
      <c r="J17" s="323"/>
      <c r="K17" s="323"/>
      <c r="L17" s="323"/>
      <c r="M17" s="323"/>
      <c r="N17" s="323"/>
      <c r="O17" s="290"/>
    </row>
    <row r="18" spans="1:15" ht="20.100000000000001" customHeight="1">
      <c r="A18" s="17" t="s">
        <v>449</v>
      </c>
      <c r="B18" s="18">
        <v>200</v>
      </c>
      <c r="C18" s="18">
        <v>200</v>
      </c>
      <c r="D18" s="18">
        <v>200</v>
      </c>
      <c r="E18" s="18">
        <v>200</v>
      </c>
      <c r="F18" s="18">
        <v>200</v>
      </c>
      <c r="G18" s="193">
        <f>F18</f>
        <v>200</v>
      </c>
      <c r="H18" s="17"/>
      <c r="I18" s="17"/>
      <c r="J18" s="17"/>
      <c r="K18" s="17"/>
      <c r="L18" s="17"/>
      <c r="M18" s="364"/>
      <c r="N18" s="364"/>
      <c r="O18" s="17"/>
    </row>
    <row r="19" spans="1:15" ht="20.100000000000001" customHeight="1">
      <c r="A19" s="17" t="s">
        <v>450</v>
      </c>
      <c r="B19" s="18">
        <f>1/(1+$K$23)^1</f>
        <v>0.47498416719442699</v>
      </c>
      <c r="C19" s="18">
        <f>1/(1+$K$23)^2</f>
        <v>0.22560995908538301</v>
      </c>
      <c r="D19" s="18">
        <f>1/(1+$K$23)^3</f>
        <v>0.107161158526939</v>
      </c>
      <c r="E19" s="18">
        <f>1/(1+$K$23)^4</f>
        <v>5.0899853638508297E-2</v>
      </c>
      <c r="F19" s="18">
        <f>1/(1+$K$23)^5</f>
        <v>2.41766245908051E-2</v>
      </c>
      <c r="G19" s="193">
        <f>(1+H18)/((K23-H18)*(1+K23)^5)</f>
        <v>2.18727001726222E-2</v>
      </c>
      <c r="H19" s="22" t="s">
        <v>451</v>
      </c>
      <c r="I19" s="17"/>
      <c r="J19" s="17"/>
      <c r="K19" s="17"/>
      <c r="L19" s="17"/>
      <c r="M19" s="17"/>
      <c r="N19" s="17"/>
      <c r="O19" s="17"/>
    </row>
    <row r="20" spans="1:15" ht="20.100000000000001" customHeight="1">
      <c r="A20" s="17" t="s">
        <v>452</v>
      </c>
      <c r="B20" s="193">
        <f t="shared" ref="B20:G20" si="1">B18*B19</f>
        <v>94.996833438885403</v>
      </c>
      <c r="C20" s="193">
        <f t="shared" si="1"/>
        <v>45.121991817076598</v>
      </c>
      <c r="D20" s="193">
        <f t="shared" si="1"/>
        <v>21.432231705387899</v>
      </c>
      <c r="E20" s="193">
        <f t="shared" si="1"/>
        <v>10.179970727701701</v>
      </c>
      <c r="F20" s="193">
        <f t="shared" si="1"/>
        <v>4.8353249181610201</v>
      </c>
      <c r="G20" s="193">
        <f t="shared" si="1"/>
        <v>4.3745400345244398</v>
      </c>
      <c r="H20" s="22" t="s">
        <v>453</v>
      </c>
      <c r="I20" s="17"/>
      <c r="J20" s="17"/>
      <c r="K20" s="17"/>
      <c r="L20" s="17"/>
      <c r="M20" s="17"/>
      <c r="N20" s="20">
        <f>SUM(B20:G20)</f>
        <v>180.94089264173701</v>
      </c>
      <c r="O20" s="17"/>
    </row>
    <row r="21" spans="1:15" s="4" customFormat="1" ht="20.100000000000001" customHeight="1">
      <c r="A21" s="323" t="s">
        <v>454</v>
      </c>
      <c r="B21" s="323" t="s">
        <v>455</v>
      </c>
      <c r="C21" s="323" t="s">
        <v>456</v>
      </c>
      <c r="D21" s="323" t="s">
        <v>457</v>
      </c>
      <c r="E21" s="323" t="s">
        <v>458</v>
      </c>
      <c r="F21" s="323" t="s">
        <v>459</v>
      </c>
      <c r="G21" s="323" t="s">
        <v>460</v>
      </c>
      <c r="H21" s="323" t="s">
        <v>461</v>
      </c>
      <c r="I21" s="323" t="s">
        <v>462</v>
      </c>
      <c r="J21" s="323" t="s">
        <v>463</v>
      </c>
      <c r="K21" s="323" t="s">
        <v>464</v>
      </c>
      <c r="L21" s="323" t="s">
        <v>465</v>
      </c>
      <c r="M21" s="323"/>
      <c r="N21" s="323" t="s">
        <v>466</v>
      </c>
      <c r="O21" s="323" t="s">
        <v>5</v>
      </c>
    </row>
    <row r="22" spans="1:15" s="4" customFormat="1" ht="20.100000000000001" customHeight="1">
      <c r="A22" s="323"/>
      <c r="B22" s="323"/>
      <c r="C22" s="323"/>
      <c r="D22" s="323"/>
      <c r="E22" s="323"/>
      <c r="F22" s="323"/>
      <c r="G22" s="323"/>
      <c r="H22" s="323"/>
      <c r="I22" s="323"/>
      <c r="J22" s="323"/>
      <c r="K22" s="323"/>
      <c r="L22" s="16" t="s">
        <v>467</v>
      </c>
      <c r="M22" s="16" t="s">
        <v>468</v>
      </c>
      <c r="N22" s="323"/>
      <c r="O22" s="323"/>
    </row>
    <row r="23" spans="1:15" ht="20.100000000000001" customHeight="1">
      <c r="A23" s="17" t="s">
        <v>469</v>
      </c>
      <c r="B23" s="193">
        <v>0.25</v>
      </c>
      <c r="C23" s="193">
        <v>500</v>
      </c>
      <c r="D23" s="193">
        <v>1000</v>
      </c>
      <c r="E23" s="194">
        <v>0.1</v>
      </c>
      <c r="F23" s="194">
        <v>0.04</v>
      </c>
      <c r="G23" s="193">
        <v>1.1000000000000001</v>
      </c>
      <c r="H23" s="193">
        <v>1.1000000000000001</v>
      </c>
      <c r="I23" s="193">
        <f>F23+G23*(H23-F23)</f>
        <v>1.206</v>
      </c>
      <c r="J23" s="195">
        <f>((C23*E23*(1-B23)+D23*I23))/(C23+D23)</f>
        <v>0.82899999999999996</v>
      </c>
      <c r="K23" s="193">
        <f>J23/(1-(B23+L23))</f>
        <v>1.1053333333333299</v>
      </c>
      <c r="L23" s="17"/>
      <c r="M23" s="17"/>
      <c r="N23" s="193">
        <f>MAX(N14,N20)</f>
        <v>940</v>
      </c>
      <c r="O23" s="17"/>
    </row>
    <row r="24" spans="1:15" s="1" customFormat="1" ht="20.100000000000001" customHeight="1">
      <c r="A24" s="23" t="s">
        <v>227</v>
      </c>
    </row>
    <row r="25" spans="1:15" ht="20.100000000000001" customHeight="1"/>
    <row r="26" spans="1:15" ht="20.100000000000001" customHeight="1"/>
    <row r="27" spans="1:15" ht="20.100000000000001" customHeight="1">
      <c r="A27" s="24" t="s">
        <v>228</v>
      </c>
    </row>
    <row r="28" spans="1:15" ht="20.100000000000001" customHeight="1">
      <c r="A28" s="24"/>
    </row>
    <row r="29" spans="1:15" ht="20.100000000000001" customHeight="1"/>
    <row r="32" spans="1:15" s="6" customFormat="1" ht="18" customHeight="1">
      <c r="A32" s="6" t="s">
        <v>284</v>
      </c>
    </row>
    <row r="33" spans="1:1" s="6" customFormat="1" ht="18" customHeight="1">
      <c r="A33" s="6" t="s">
        <v>470</v>
      </c>
    </row>
    <row r="34" spans="1:1" s="6" customFormat="1" ht="18" customHeight="1"/>
    <row r="35" spans="1:1" s="6" customFormat="1" ht="18" customHeight="1">
      <c r="A35" s="6" t="s">
        <v>471</v>
      </c>
    </row>
    <row r="36" spans="1:1" s="6" customFormat="1" ht="18" customHeight="1">
      <c r="A36" s="6" t="s">
        <v>472</v>
      </c>
    </row>
    <row r="37" spans="1:1" s="6" customFormat="1" ht="18" customHeight="1">
      <c r="A37" s="6" t="s">
        <v>473</v>
      </c>
    </row>
    <row r="38" spans="1:1" s="6" customFormat="1" ht="18" customHeight="1">
      <c r="A38" s="6" t="s">
        <v>474</v>
      </c>
    </row>
    <row r="39" spans="1:1" s="6" customFormat="1" ht="18" customHeight="1">
      <c r="A39" s="6" t="s">
        <v>475</v>
      </c>
    </row>
    <row r="40" spans="1:1" s="6" customFormat="1" ht="18" customHeight="1"/>
    <row r="41" spans="1:1" s="6" customFormat="1" ht="18" customHeight="1">
      <c r="A41" s="6" t="s">
        <v>476</v>
      </c>
    </row>
    <row r="42" spans="1:1" s="6" customFormat="1" ht="18" customHeight="1">
      <c r="A42" s="6" t="s">
        <v>477</v>
      </c>
    </row>
    <row r="43" spans="1:1" s="6" customFormat="1" ht="18" customHeight="1">
      <c r="A43" s="6" t="s">
        <v>478</v>
      </c>
    </row>
    <row r="44" spans="1:1" s="6" customFormat="1" ht="18" customHeight="1">
      <c r="A44" s="6" t="s">
        <v>479</v>
      </c>
    </row>
    <row r="45" spans="1:1" s="6" customFormat="1" ht="18" customHeight="1">
      <c r="A45" s="6" t="s">
        <v>480</v>
      </c>
    </row>
    <row r="46" spans="1:1" s="6" customFormat="1" ht="18" customHeight="1">
      <c r="A46" s="6" t="s">
        <v>481</v>
      </c>
    </row>
    <row r="47" spans="1:1" s="6" customFormat="1" ht="18" customHeight="1">
      <c r="A47" s="6" t="s">
        <v>482</v>
      </c>
    </row>
    <row r="48" spans="1:1" s="6" customFormat="1" ht="18" customHeight="1">
      <c r="A48" s="6" t="s">
        <v>483</v>
      </c>
    </row>
    <row r="49" spans="1:1" s="6" customFormat="1" ht="18" customHeight="1">
      <c r="A49" s="6" t="s">
        <v>484</v>
      </c>
    </row>
    <row r="50" spans="1:1" s="6" customFormat="1" ht="18" customHeight="1">
      <c r="A50" s="6" t="s">
        <v>485</v>
      </c>
    </row>
    <row r="51" spans="1:1" s="6" customFormat="1" ht="18" customHeight="1">
      <c r="A51" s="6" t="s">
        <v>486</v>
      </c>
    </row>
  </sheetData>
  <mergeCells count="31">
    <mergeCell ref="K21:K22"/>
    <mergeCell ref="L16:L17"/>
    <mergeCell ref="N9:N10"/>
    <mergeCell ref="N21:N22"/>
    <mergeCell ref="O9:O10"/>
    <mergeCell ref="O16:O17"/>
    <mergeCell ref="O21:O22"/>
    <mergeCell ref="M16:N17"/>
    <mergeCell ref="M18:N18"/>
    <mergeCell ref="L21:M21"/>
    <mergeCell ref="A9:A10"/>
    <mergeCell ref="A16:A17"/>
    <mergeCell ref="A21:A22"/>
    <mergeCell ref="B21:B22"/>
    <mergeCell ref="C21:C22"/>
    <mergeCell ref="I16:I17"/>
    <mergeCell ref="I21:I22"/>
    <mergeCell ref="J16:J17"/>
    <mergeCell ref="J21:J22"/>
    <mergeCell ref="A1:O1"/>
    <mergeCell ref="A2:O2"/>
    <mergeCell ref="B9:G9"/>
    <mergeCell ref="H9:M9"/>
    <mergeCell ref="B16:F16"/>
    <mergeCell ref="G16:H16"/>
    <mergeCell ref="K16:K17"/>
    <mergeCell ref="D21:D22"/>
    <mergeCell ref="E21:E22"/>
    <mergeCell ref="F21:F22"/>
    <mergeCell ref="G21:G22"/>
    <mergeCell ref="H21:H22"/>
  </mergeCells>
  <phoneticPr fontId="75" type="noConversion"/>
  <hyperlinks>
    <hyperlink ref="O3" location="底稿目录!A1" display="I1-13"/>
  </hyperlinks>
  <printOptions horizontalCentered="1"/>
  <pageMargins left="0.59055118110236227" right="0.59055118110236227" top="0.78740157480314965" bottom="0.39370078740157483" header="0.51181102362204722" footer="0.31496062992125984"/>
  <pageSetup paperSize="9" scale="80" orientation="landscape" blackAndWhite="1" r:id="rId1"/>
  <headerFooter>
    <oddFooter>&amp;C&amp;P/&amp;N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B8"/>
  <sheetViews>
    <sheetView workbookViewId="0"/>
  </sheetViews>
  <sheetFormatPr defaultColWidth="9" defaultRowHeight="14.4"/>
  <sheetData>
    <row r="1" spans="1:2">
      <c r="A1" t="s">
        <v>487</v>
      </c>
      <c r="B1" t="s">
        <v>488</v>
      </c>
    </row>
    <row r="2" spans="1:2">
      <c r="A2" t="s">
        <v>489</v>
      </c>
      <c r="B2" t="s">
        <v>490</v>
      </c>
    </row>
    <row r="3" spans="1:2">
      <c r="A3" t="s">
        <v>491</v>
      </c>
      <c r="B3" t="s">
        <v>492</v>
      </c>
    </row>
    <row r="4" spans="1:2">
      <c r="A4" t="s">
        <v>493</v>
      </c>
      <c r="B4" t="s">
        <v>494</v>
      </c>
    </row>
    <row r="5" spans="1:2">
      <c r="A5" t="s">
        <v>495</v>
      </c>
      <c r="B5" t="s">
        <v>496</v>
      </c>
    </row>
    <row r="6" spans="1:2">
      <c r="A6" t="s">
        <v>497</v>
      </c>
      <c r="B6" t="s">
        <v>498</v>
      </c>
    </row>
    <row r="7" spans="1:2">
      <c r="A7" t="s">
        <v>499</v>
      </c>
      <c r="B7" t="s">
        <v>500</v>
      </c>
    </row>
    <row r="8" spans="1:2">
      <c r="A8" t="s">
        <v>501</v>
      </c>
      <c r="B8" t="s">
        <v>502</v>
      </c>
    </row>
  </sheetData>
  <phoneticPr fontId="7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18</vt:i4>
      </vt:variant>
      <vt:variant>
        <vt:lpstr>命名范围</vt:lpstr>
      </vt:variant>
      <vt:variant>
        <vt:i4>17</vt:i4>
      </vt:variant>
    </vt:vector>
  </HeadingPairs>
  <TitlesOfParts>
    <vt:vector size="35" baseType="lpstr">
      <vt:lpstr>底稿目录</vt:lpstr>
      <vt:lpstr>无形资产实质性程序 I1A</vt:lpstr>
      <vt:lpstr>审定表I1</vt:lpstr>
      <vt:lpstr>附注披露信息（上市公司）</vt:lpstr>
      <vt:lpstr>附注披露信息（国有企业）</vt:lpstr>
      <vt:lpstr>明细表I1-2</vt:lpstr>
      <vt:lpstr>调整分录汇总I1-3</vt:lpstr>
      <vt:lpstr>无形资产摊销减值政策检查表I1-4</vt:lpstr>
      <vt:lpstr>无形资产增加检查表I1-5</vt:lpstr>
      <vt:lpstr>无形资产减少明细表I1-6</vt:lpstr>
      <vt:lpstr>使用寿命检查表I1-7</vt:lpstr>
      <vt:lpstr>无形资产权属检查表I1-8</vt:lpstr>
      <vt:lpstr>摊销分配分析表I1-9</vt:lpstr>
      <vt:lpstr>摊销测算表（不含减值）I1-10（剩余年限法）</vt:lpstr>
      <vt:lpstr>摊销测算表（含减值）I1-11</vt:lpstr>
      <vt:lpstr>减值准备测试表I1-12</vt:lpstr>
      <vt:lpstr>可收回金额测试I1-13</vt:lpstr>
      <vt:lpstr>GT_Custom</vt:lpstr>
      <vt:lpstr>'调整分录汇总I1-3'!Print_Area</vt:lpstr>
      <vt:lpstr>'附注披露信息（国有企业）'!Print_Area</vt:lpstr>
      <vt:lpstr>'减值准备测试表I1-12'!Print_Area</vt:lpstr>
      <vt:lpstr>'可收回金额测试I1-13'!Print_Area</vt:lpstr>
      <vt:lpstr>'明细表I1-2'!Print_Area</vt:lpstr>
      <vt:lpstr>审定表I1!Print_Area</vt:lpstr>
      <vt:lpstr>'使用寿命检查表I1-7'!Print_Area</vt:lpstr>
      <vt:lpstr>'摊销测算表（不含减值）I1-10（剩余年限法）'!Print_Area</vt:lpstr>
      <vt:lpstr>'摊销测算表（含减值）I1-11'!Print_Area</vt:lpstr>
      <vt:lpstr>'摊销分配分析表I1-9'!Print_Area</vt:lpstr>
      <vt:lpstr>'无形资产减少明细表I1-6'!Print_Area</vt:lpstr>
      <vt:lpstr>'无形资产权属检查表I1-8'!Print_Area</vt:lpstr>
      <vt:lpstr>'无形资产实质性程序 I1A'!Print_Area</vt:lpstr>
      <vt:lpstr>'无形资产摊销减值政策检查表I1-4'!Print_Area</vt:lpstr>
      <vt:lpstr>'无形资产增加检查表I1-5'!Print_Area</vt:lpstr>
      <vt:lpstr>'明细表I1-2'!Print_Titles</vt:lpstr>
      <vt:lpstr>'无形资产实质性程序 I1A'!Print_Titles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何先琴</cp:lastModifiedBy>
  <cp:lastPrinted>2025-10-31T01:44:36Z</cp:lastPrinted>
  <dcterms:created xsi:type="dcterms:W3CDTF">2006-09-13T11:21:00Z</dcterms:created>
  <dcterms:modified xsi:type="dcterms:W3CDTF">2025-10-31T03:43:41Z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8F9E67D7875A4DBD982E7524653FF2C4_12</vt:lpwstr>
  </property>
  <property fmtid="{D5CDD505-2E9C-101B-9397-08002B2CF9AE}" pid="3" name="KSOProductBuildVer">
    <vt:lpwstr>2052-12.1.0.22529</vt:lpwstr>
  </property>
</Properties>
</file>