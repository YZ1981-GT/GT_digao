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I 无形资产循环\"/>
    </mc:Choice>
  </mc:AlternateContent>
  <bookViews>
    <workbookView xWindow="0" yWindow="0" windowWidth="20748" windowHeight="9696" tabRatio="859"/>
  </bookViews>
  <sheets>
    <sheet name="底稿目录" sheetId="8" r:id="rId1"/>
    <sheet name="研发费用实质性程序 I6A" sheetId="18" r:id="rId2"/>
    <sheet name="附注披露（上市公司）" sheetId="11" r:id="rId3"/>
    <sheet name="附注披露（国有企业）" sheetId="9" r:id="rId4"/>
    <sheet name="审定表I6-1" sheetId="5" r:id="rId5"/>
    <sheet name="明细表I6-2" sheetId="6" r:id="rId6"/>
    <sheet name="调整分录汇总I6-3" sheetId="19" r:id="rId7"/>
    <sheet name="其他针对性检查表I6-4" sheetId="7" r:id="rId8"/>
    <sheet name="截止性测试（账到单据）I6-5" sheetId="27" r:id="rId9"/>
    <sheet name="截止性测试（单据到账）I6-6" sheetId="17" r:id="rId10"/>
    <sheet name="GT_Custom" sheetId="10" state="hidden" r:id="rId11"/>
  </sheets>
  <definedNames>
    <definedName name="_xlnm.Print_Area" localSheetId="6">'调整分录汇总I6-3'!$A$1:$J$20</definedName>
    <definedName name="_xlnm.Print_Area" localSheetId="3">'附注披露（国有企业）'!$A$1:$E$16</definedName>
    <definedName name="_xlnm.Print_Area" localSheetId="2">'附注披露（上市公司）'!$A$1:$F$16</definedName>
    <definedName name="_xlnm.Print_Area" localSheetId="9">'截止性测试（单据到账）I6-6'!$A$1:$J$40</definedName>
    <definedName name="_xlnm.Print_Area" localSheetId="8">'截止性测试（账到单据）I6-5'!$A$1:$J$42</definedName>
    <definedName name="_xlnm.Print_Area" localSheetId="5">'明细表I6-2'!$A$1:$Z$36</definedName>
    <definedName name="_xlnm.Print_Area" localSheetId="7">'其他针对性检查表I6-4'!$A$1:$P$38</definedName>
    <definedName name="_xlnm.Print_Area" localSheetId="4">'审定表I6-1'!$A$1:$K$26</definedName>
    <definedName name="_xlnm.Print_Area" localSheetId="1">'研发费用实质性程序 I6A'!$A$1:$I$32</definedName>
    <definedName name="_xlnm.Print_Titles" localSheetId="1">'研发费用实质性程序 I6A'!$15:$16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7" l="1"/>
  <c r="J3" i="17"/>
  <c r="P3" i="7" l="1"/>
  <c r="J3" i="19"/>
  <c r="Z3" i="6"/>
  <c r="K3" i="5"/>
  <c r="I3" i="18"/>
  <c r="G31" i="7" l="1"/>
  <c r="B19" i="6" l="1"/>
  <c r="C19" i="6"/>
  <c r="D19" i="6"/>
  <c r="E19" i="6"/>
  <c r="F19" i="6"/>
  <c r="G19" i="6"/>
  <c r="H19" i="6"/>
  <c r="I19" i="6"/>
  <c r="J19" i="6"/>
  <c r="K19" i="6"/>
  <c r="L19" i="6"/>
  <c r="M19" i="6"/>
  <c r="O19" i="6"/>
  <c r="P19" i="6"/>
  <c r="S19" i="6"/>
  <c r="T19" i="6"/>
  <c r="U19" i="6"/>
  <c r="F4" i="27" l="1"/>
  <c r="D4" i="27"/>
  <c r="A4" i="27"/>
  <c r="F3" i="27"/>
  <c r="D3" i="27"/>
  <c r="A3" i="27"/>
  <c r="F4" i="17"/>
  <c r="D4" i="17"/>
  <c r="A4" i="17"/>
  <c r="F3" i="17"/>
  <c r="D3" i="17"/>
  <c r="A3" i="17"/>
  <c r="E4" i="18"/>
  <c r="C4" i="18"/>
  <c r="A4" i="18"/>
  <c r="E3" i="18"/>
  <c r="C3" i="18"/>
  <c r="A3" i="18"/>
  <c r="G4" i="7"/>
  <c r="D4" i="7"/>
  <c r="A4" i="7"/>
  <c r="G3" i="7"/>
  <c r="D3" i="7"/>
  <c r="A3" i="7"/>
  <c r="F4" i="19"/>
  <c r="D4" i="19"/>
  <c r="A4" i="19"/>
  <c r="F3" i="19"/>
  <c r="D3" i="19"/>
  <c r="A3" i="19"/>
  <c r="Y19" i="6"/>
  <c r="X19" i="6"/>
  <c r="V19" i="6"/>
  <c r="W18" i="6"/>
  <c r="N18" i="6"/>
  <c r="Q18" i="6" s="1"/>
  <c r="R18" i="6" s="1"/>
  <c r="W17" i="6"/>
  <c r="N17" i="6"/>
  <c r="Q17" i="6" s="1"/>
  <c r="R17" i="6" s="1"/>
  <c r="W16" i="6"/>
  <c r="N16" i="6"/>
  <c r="Q16" i="6" s="1"/>
  <c r="R16" i="6" s="1"/>
  <c r="W15" i="6"/>
  <c r="N15" i="6"/>
  <c r="Q15" i="6" s="1"/>
  <c r="R15" i="6" s="1"/>
  <c r="W14" i="6"/>
  <c r="N14" i="6"/>
  <c r="Q14" i="6" s="1"/>
  <c r="R14" i="6" s="1"/>
  <c r="W13" i="6"/>
  <c r="N13" i="6"/>
  <c r="Q13" i="6" s="1"/>
  <c r="R13" i="6" s="1"/>
  <c r="W12" i="6"/>
  <c r="N12" i="6"/>
  <c r="Q12" i="6" s="1"/>
  <c r="R12" i="6" s="1"/>
  <c r="W11" i="6"/>
  <c r="N11" i="6"/>
  <c r="Q11" i="6" s="1"/>
  <c r="R11" i="6" s="1"/>
  <c r="W10" i="6"/>
  <c r="N10" i="6"/>
  <c r="Q10" i="6" s="1"/>
  <c r="R10" i="6" s="1"/>
  <c r="W9" i="6"/>
  <c r="W19" i="6" s="1"/>
  <c r="N9" i="6"/>
  <c r="Q9" i="6" s="1"/>
  <c r="O4" i="6"/>
  <c r="H4" i="6"/>
  <c r="A4" i="6"/>
  <c r="O3" i="6"/>
  <c r="H3" i="6"/>
  <c r="A3" i="6"/>
  <c r="A15" i="9"/>
  <c r="A14" i="9"/>
  <c r="A13" i="9"/>
  <c r="A12" i="9"/>
  <c r="A11" i="9"/>
  <c r="A10" i="9"/>
  <c r="A9" i="9"/>
  <c r="A8" i="9"/>
  <c r="A7" i="9"/>
  <c r="D4" i="9"/>
  <c r="C4" i="9"/>
  <c r="A4" i="9"/>
  <c r="D3" i="9"/>
  <c r="C3" i="9"/>
  <c r="A3" i="9"/>
  <c r="A15" i="11"/>
  <c r="A14" i="11"/>
  <c r="A13" i="11"/>
  <c r="A12" i="11"/>
  <c r="A11" i="11"/>
  <c r="A10" i="11"/>
  <c r="A9" i="11"/>
  <c r="A8" i="11"/>
  <c r="A7" i="11"/>
  <c r="E4" i="11"/>
  <c r="C4" i="11"/>
  <c r="A4" i="11"/>
  <c r="E3" i="11"/>
  <c r="C3" i="11"/>
  <c r="A3" i="11"/>
  <c r="H16" i="5"/>
  <c r="G16" i="5"/>
  <c r="F16" i="5"/>
  <c r="D16" i="5"/>
  <c r="C16" i="5"/>
  <c r="B16" i="5"/>
  <c r="A16" i="5"/>
  <c r="H15" i="5"/>
  <c r="G15" i="5"/>
  <c r="D15" i="5"/>
  <c r="C15" i="5"/>
  <c r="B15" i="5"/>
  <c r="A15" i="5"/>
  <c r="H14" i="5"/>
  <c r="G14" i="5"/>
  <c r="F14" i="5"/>
  <c r="D14" i="5"/>
  <c r="C14" i="5"/>
  <c r="B14" i="5"/>
  <c r="A14" i="5"/>
  <c r="H13" i="5"/>
  <c r="G13" i="5"/>
  <c r="F13" i="5"/>
  <c r="D13" i="5"/>
  <c r="C13" i="5"/>
  <c r="B13" i="5"/>
  <c r="A13" i="5"/>
  <c r="H12" i="5"/>
  <c r="G12" i="5"/>
  <c r="F12" i="5"/>
  <c r="D12" i="5"/>
  <c r="C12" i="5"/>
  <c r="B12" i="5"/>
  <c r="A12" i="5"/>
  <c r="H11" i="5"/>
  <c r="G11" i="5"/>
  <c r="D11" i="5"/>
  <c r="C11" i="5"/>
  <c r="B11" i="5"/>
  <c r="A11" i="5"/>
  <c r="H10" i="5"/>
  <c r="G10" i="5"/>
  <c r="D10" i="5"/>
  <c r="C10" i="5"/>
  <c r="B10" i="5"/>
  <c r="A10" i="5"/>
  <c r="H9" i="5"/>
  <c r="G9" i="5"/>
  <c r="F9" i="5"/>
  <c r="D9" i="5"/>
  <c r="C9" i="5"/>
  <c r="B9" i="5"/>
  <c r="A9" i="5"/>
  <c r="H8" i="5"/>
  <c r="G8" i="5"/>
  <c r="F8" i="5"/>
  <c r="D8" i="5"/>
  <c r="C8" i="5"/>
  <c r="B8" i="5"/>
  <c r="A8" i="5"/>
  <c r="H7" i="5"/>
  <c r="G7" i="5"/>
  <c r="D7" i="5"/>
  <c r="C7" i="5"/>
  <c r="B7" i="5"/>
  <c r="A7" i="5"/>
  <c r="G4" i="5"/>
  <c r="E4" i="5"/>
  <c r="A4" i="5"/>
  <c r="G3" i="5"/>
  <c r="E3" i="5"/>
  <c r="A3" i="5"/>
  <c r="C14" i="9" l="1"/>
  <c r="F7" i="5"/>
  <c r="F11" i="5"/>
  <c r="I11" i="5" s="1"/>
  <c r="C11" i="11"/>
  <c r="C12" i="11"/>
  <c r="C13" i="9"/>
  <c r="C7" i="9"/>
  <c r="C15" i="9"/>
  <c r="C14" i="11"/>
  <c r="F15" i="5"/>
  <c r="C8" i="9"/>
  <c r="C13" i="11"/>
  <c r="C9" i="9"/>
  <c r="C9" i="11"/>
  <c r="C10" i="9"/>
  <c r="C8" i="11"/>
  <c r="C11" i="9"/>
  <c r="E16" i="5"/>
  <c r="I8" i="5"/>
  <c r="E10" i="5"/>
  <c r="I12" i="5"/>
  <c r="I14" i="5"/>
  <c r="H17" i="5"/>
  <c r="H19" i="5" s="1"/>
  <c r="E8" i="5"/>
  <c r="E15" i="5"/>
  <c r="E9" i="5"/>
  <c r="C17" i="5"/>
  <c r="C19" i="5" s="1"/>
  <c r="I9" i="5"/>
  <c r="E12" i="5"/>
  <c r="E14" i="5"/>
  <c r="I16" i="5"/>
  <c r="B17" i="5"/>
  <c r="B19" i="5" s="1"/>
  <c r="G17" i="5"/>
  <c r="G19" i="5" s="1"/>
  <c r="E11" i="5"/>
  <c r="E13" i="5"/>
  <c r="I15" i="5"/>
  <c r="J12" i="5"/>
  <c r="I13" i="5"/>
  <c r="I7" i="5"/>
  <c r="D17" i="5"/>
  <c r="D19" i="5" s="1"/>
  <c r="C7" i="11"/>
  <c r="C15" i="11"/>
  <c r="C10" i="11"/>
  <c r="B13" i="11"/>
  <c r="B7" i="9"/>
  <c r="C12" i="9"/>
  <c r="E7" i="5"/>
  <c r="R9" i="6"/>
  <c r="R19" i="6" s="1"/>
  <c r="Q19" i="6"/>
  <c r="G32" i="7" s="1"/>
  <c r="G33" i="7" s="1"/>
  <c r="B14" i="11"/>
  <c r="B8" i="9"/>
  <c r="F10" i="5"/>
  <c r="I10" i="5" s="1"/>
  <c r="N19" i="6"/>
  <c r="J15" i="5" l="1"/>
  <c r="K15" i="5" s="1"/>
  <c r="J11" i="5"/>
  <c r="K11" i="5" s="1"/>
  <c r="J14" i="5"/>
  <c r="J8" i="5"/>
  <c r="K8" i="5" s="1"/>
  <c r="J10" i="5"/>
  <c r="K10" i="5" s="1"/>
  <c r="B12" i="9"/>
  <c r="B8" i="11"/>
  <c r="B7" i="11"/>
  <c r="B9" i="9"/>
  <c r="B11" i="9"/>
  <c r="B15" i="9"/>
  <c r="C16" i="9"/>
  <c r="J16" i="5"/>
  <c r="K16" i="5" s="1"/>
  <c r="B10" i="11"/>
  <c r="B15" i="11"/>
  <c r="J9" i="5"/>
  <c r="K9" i="5" s="1"/>
  <c r="K12" i="5"/>
  <c r="J13" i="5"/>
  <c r="K13" i="5" s="1"/>
  <c r="K14" i="5"/>
  <c r="I17" i="5"/>
  <c r="J7" i="5"/>
  <c r="K7" i="5" s="1"/>
  <c r="F17" i="5"/>
  <c r="F19" i="5" s="1"/>
  <c r="E17" i="5"/>
  <c r="B14" i="9"/>
  <c r="B12" i="11"/>
  <c r="B13" i="9"/>
  <c r="B11" i="11"/>
  <c r="E20" i="6"/>
  <c r="F20" i="6"/>
  <c r="G20" i="6"/>
  <c r="J20" i="6"/>
  <c r="K20" i="6"/>
  <c r="L20" i="6"/>
  <c r="M20" i="6"/>
  <c r="H20" i="6"/>
  <c r="I20" i="6"/>
  <c r="B20" i="6"/>
  <c r="C20" i="6"/>
  <c r="D20" i="6"/>
  <c r="N20" i="6"/>
  <c r="C16" i="11"/>
  <c r="B9" i="11"/>
  <c r="B10" i="9"/>
  <c r="B16" i="11" l="1"/>
  <c r="B16" i="9"/>
  <c r="I19" i="5"/>
  <c r="J17" i="5"/>
  <c r="J19" i="5" s="1"/>
  <c r="E19" i="5"/>
  <c r="K17" i="5" l="1"/>
  <c r="K19" i="5"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<sst xmlns="http://schemas.openxmlformats.org/spreadsheetml/2006/main" count="418" uniqueCount="303">
  <si>
    <r>
      <rPr>
        <b/>
        <sz val="12"/>
        <rFont val="宋体"/>
        <family val="3"/>
        <charset val="134"/>
      </rPr>
      <t>底稿开列时，可先在以下单元格填写有关内容，以便其他底稿引用有关数据：</t>
    </r>
  </si>
  <si>
    <r>
      <rPr>
        <b/>
        <sz val="12"/>
        <color indexed="8"/>
        <rFont val="宋体"/>
        <family val="3"/>
        <charset val="134"/>
      </rPr>
      <t>目录</t>
    </r>
  </si>
  <si>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</si>
  <si>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</si>
  <si>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</si>
  <si>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</si>
  <si>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研发费用实质性程序</t>
  </si>
  <si>
    <t>研发费用审定表</t>
  </si>
  <si>
    <t>研发费用附注披露表（上市公司）</t>
  </si>
  <si>
    <t>无需打印</t>
  </si>
  <si>
    <t>研发费用附注披露表（国有企业）</t>
  </si>
  <si>
    <t>研发费用明细表</t>
  </si>
  <si>
    <t>调整分录汇总</t>
  </si>
  <si>
    <t>备选</t>
  </si>
  <si>
    <t>序号</t>
  </si>
  <si>
    <t>备注</t>
  </si>
  <si>
    <t>致同会计师事务所</t>
  </si>
  <si>
    <t>索引号：</t>
  </si>
  <si>
    <t>页次：</t>
  </si>
  <si>
    <t>类别</t>
  </si>
  <si>
    <r>
      <rPr>
        <b/>
        <sz val="10"/>
        <rFont val="宋体"/>
        <family val="3"/>
        <charset val="134"/>
      </rPr>
      <t>上期数</t>
    </r>
  </si>
  <si>
    <r>
      <rPr>
        <b/>
        <sz val="10"/>
        <rFont val="宋体"/>
        <family val="3"/>
        <charset val="134"/>
      </rPr>
      <t>本期数</t>
    </r>
  </si>
  <si>
    <t>本期审定数与上期
审定数的比较</t>
  </si>
  <si>
    <t>未审数</t>
  </si>
  <si>
    <t>账项调整</t>
  </si>
  <si>
    <t>重分类调整</t>
  </si>
  <si>
    <t>审定数</t>
  </si>
  <si>
    <t>变动额</t>
  </si>
  <si>
    <t>变动率</t>
  </si>
  <si>
    <t>合计</t>
  </si>
  <si>
    <r>
      <rPr>
        <b/>
        <sz val="10"/>
        <color indexed="8"/>
        <rFont val="宋体"/>
        <family val="3"/>
        <charset val="134"/>
        <scheme val="minor"/>
      </rPr>
      <t>TB</t>
    </r>
    <r>
      <rPr>
        <b/>
        <sz val="10"/>
        <color rgb="FF000000"/>
        <rFont val="宋体"/>
        <family val="3"/>
        <charset val="134"/>
      </rPr>
      <t>数据：</t>
    </r>
  </si>
  <si>
    <t>差异</t>
  </si>
  <si>
    <r>
      <rPr>
        <b/>
        <sz val="10"/>
        <rFont val="Arial Narrow"/>
        <family val="2"/>
      </rPr>
      <t>1.</t>
    </r>
    <r>
      <rPr>
        <b/>
        <sz val="10"/>
        <rFont val="宋体"/>
        <family val="3"/>
        <charset val="134"/>
      </rPr>
      <t>审计说明</t>
    </r>
  </si>
  <si>
    <r>
      <rPr>
        <sz val="10"/>
        <rFont val="宋体"/>
        <family val="3"/>
        <charset val="134"/>
      </rPr>
      <t>主要原因</t>
    </r>
    <r>
      <rPr>
        <sz val="10"/>
        <color indexed="10"/>
        <rFont val="宋体"/>
        <family val="3"/>
        <charset val="134"/>
      </rPr>
      <t>（比例超过30%的）</t>
    </r>
    <r>
      <rPr>
        <sz val="10"/>
        <rFont val="宋体"/>
        <family val="3"/>
        <charset val="134"/>
      </rPr>
      <t>：</t>
    </r>
  </si>
  <si>
    <r>
      <rPr>
        <b/>
        <sz val="10"/>
        <color indexed="8"/>
        <rFont val="Arial Narrow"/>
        <family val="2"/>
      </rPr>
      <t>2.</t>
    </r>
    <r>
      <rPr>
        <b/>
        <sz val="10"/>
        <color indexed="8"/>
        <rFont val="宋体"/>
        <family val="3"/>
        <charset val="134"/>
      </rPr>
      <t>审计结论：</t>
    </r>
  </si>
  <si>
    <r>
      <rPr>
        <sz val="10"/>
        <color indexed="8"/>
        <rFont val="宋体"/>
        <family val="3"/>
        <charset val="134"/>
      </rPr>
      <t>注：具体披露要求可参考《企业会计准则</t>
    </r>
    <r>
      <rPr>
        <sz val="10"/>
        <color indexed="8"/>
        <rFont val="Arial Narrow"/>
        <family val="2"/>
      </rPr>
      <t>30</t>
    </r>
    <r>
      <rPr>
        <sz val="10"/>
        <color indexed="8"/>
        <rFont val="宋体"/>
        <family val="3"/>
        <charset val="134"/>
      </rPr>
      <t>号</t>
    </r>
    <r>
      <rPr>
        <sz val="10"/>
        <color indexed="8"/>
        <rFont val="Arial Narrow"/>
        <family val="2"/>
      </rPr>
      <t>-</t>
    </r>
    <r>
      <rPr>
        <sz val="10"/>
        <color indexed="8"/>
        <rFont val="宋体"/>
        <family val="3"/>
        <charset val="134"/>
      </rPr>
      <t>财务报表列报》和证监会的有关规定。</t>
    </r>
  </si>
  <si>
    <t>研发费用（按费用性质列示）</t>
  </si>
  <si>
    <r>
      <rPr>
        <b/>
        <sz val="10"/>
        <color rgb="FF000000"/>
        <rFont val="宋体"/>
        <family val="3"/>
        <charset val="134"/>
        <scheme val="minor"/>
      </rPr>
      <t>项</t>
    </r>
    <r>
      <rPr>
        <b/>
        <sz val="10"/>
        <color indexed="8"/>
        <rFont val="宋体"/>
        <family val="3"/>
        <charset val="134"/>
        <scheme val="minor"/>
      </rPr>
      <t>目</t>
    </r>
  </si>
  <si>
    <t>本期发生额</t>
  </si>
  <si>
    <t>上期发生额</t>
  </si>
  <si>
    <r>
      <rPr>
        <b/>
        <sz val="10"/>
        <color rgb="FF000000"/>
        <rFont val="宋体"/>
        <family val="3"/>
        <charset val="134"/>
        <scheme val="minor"/>
      </rPr>
      <t>合</t>
    </r>
    <r>
      <rPr>
        <b/>
        <sz val="10"/>
        <color indexed="8"/>
        <rFont val="宋体"/>
        <family val="3"/>
        <charset val="134"/>
        <scheme val="minor"/>
      </rPr>
      <t xml:space="preserve">  计</t>
    </r>
  </si>
  <si>
    <t>【增减变动因素可根据实际情况自行添加】</t>
  </si>
  <si>
    <t>【提示：根据财会〔2019〕6号，“研发费用”项目，反映企业进行研究与开发过程中发生的费用化支出，以及计入管理费用的自行开发无形资产的摊销。】</t>
  </si>
  <si>
    <t>【提示：注意与附注“研发支出”对应。】</t>
  </si>
  <si>
    <r>
      <rPr>
        <sz val="10"/>
        <color indexed="8"/>
        <rFont val="宋体"/>
        <family val="3"/>
        <charset val="134"/>
      </rPr>
      <t>索引号：</t>
    </r>
  </si>
  <si>
    <r>
      <rPr>
        <b/>
        <sz val="10"/>
        <color indexed="8"/>
        <rFont val="宋体"/>
        <family val="3"/>
        <charset val="134"/>
      </rPr>
      <t>一、审计目标</t>
    </r>
    <r>
      <rPr>
        <b/>
        <sz val="10"/>
        <color indexed="8"/>
        <rFont val="Arial Narrow"/>
        <family val="2"/>
      </rPr>
      <t>:</t>
    </r>
  </si>
  <si>
    <r>
      <rPr>
        <sz val="10"/>
        <rFont val="Arial Narrow"/>
        <family val="2"/>
      </rPr>
      <t>1.</t>
    </r>
    <r>
      <rPr>
        <sz val="10"/>
        <rFont val="宋体"/>
        <family val="3"/>
        <charset val="134"/>
      </rPr>
      <t>所有应当记录的研发费用均已记录，所有应当包括在财务报表中的相关披露均已包括；</t>
    </r>
  </si>
  <si>
    <r>
      <rPr>
        <sz val="10"/>
        <rFont val="Arial Narrow"/>
        <family val="2"/>
      </rPr>
      <t>2.</t>
    </r>
    <r>
      <rPr>
        <sz val="10"/>
        <rFont val="宋体"/>
        <family val="3"/>
        <charset val="134"/>
      </rPr>
      <t>与研发费用有关的金额及其他数据已恰当记录，相关披露已得到恰当计量和描述。</t>
    </r>
  </si>
  <si>
    <r>
      <rPr>
        <b/>
        <sz val="10"/>
        <rFont val="宋体"/>
        <family val="3"/>
        <charset val="134"/>
      </rPr>
      <t>二、审计过程：</t>
    </r>
  </si>
  <si>
    <r>
      <rPr>
        <b/>
        <sz val="10"/>
        <rFont val="Arial Narrow"/>
        <family val="2"/>
      </rPr>
      <t>1</t>
    </r>
    <r>
      <rPr>
        <b/>
        <sz val="10"/>
        <rFont val="宋体"/>
        <family val="3"/>
        <charset val="134"/>
      </rPr>
      <t>月</t>
    </r>
  </si>
  <si>
    <r>
      <rPr>
        <b/>
        <sz val="10"/>
        <rFont val="Arial Narrow"/>
        <family val="2"/>
      </rPr>
      <t>2</t>
    </r>
    <r>
      <rPr>
        <b/>
        <sz val="10"/>
        <rFont val="宋体"/>
        <family val="3"/>
        <charset val="134"/>
      </rPr>
      <t>月</t>
    </r>
  </si>
  <si>
    <r>
      <rPr>
        <b/>
        <sz val="10"/>
        <rFont val="Arial Narrow"/>
        <family val="2"/>
      </rPr>
      <t>3</t>
    </r>
    <r>
      <rPr>
        <b/>
        <sz val="10"/>
        <rFont val="宋体"/>
        <family val="3"/>
        <charset val="134"/>
      </rPr>
      <t>月</t>
    </r>
  </si>
  <si>
    <r>
      <rPr>
        <b/>
        <sz val="10"/>
        <rFont val="Arial Narrow"/>
        <family val="2"/>
      </rPr>
      <t>4</t>
    </r>
    <r>
      <rPr>
        <b/>
        <sz val="10"/>
        <rFont val="宋体"/>
        <family val="3"/>
        <charset val="134"/>
      </rPr>
      <t>月</t>
    </r>
  </si>
  <si>
    <r>
      <rPr>
        <b/>
        <sz val="10"/>
        <rFont val="Arial Narrow"/>
        <family val="2"/>
      </rPr>
      <t>5</t>
    </r>
    <r>
      <rPr>
        <b/>
        <sz val="10"/>
        <rFont val="宋体"/>
        <family val="3"/>
        <charset val="134"/>
      </rPr>
      <t>月</t>
    </r>
  </si>
  <si>
    <r>
      <rPr>
        <b/>
        <sz val="10"/>
        <rFont val="Arial Narrow"/>
        <family val="2"/>
      </rPr>
      <t>6</t>
    </r>
    <r>
      <rPr>
        <b/>
        <sz val="10"/>
        <rFont val="宋体"/>
        <family val="3"/>
        <charset val="134"/>
      </rPr>
      <t>月</t>
    </r>
  </si>
  <si>
    <r>
      <rPr>
        <b/>
        <sz val="10"/>
        <rFont val="Arial Narrow"/>
        <family val="2"/>
      </rPr>
      <t>7</t>
    </r>
    <r>
      <rPr>
        <b/>
        <sz val="10"/>
        <rFont val="宋体"/>
        <family val="3"/>
        <charset val="134"/>
      </rPr>
      <t>月</t>
    </r>
  </si>
  <si>
    <r>
      <rPr>
        <b/>
        <sz val="10"/>
        <rFont val="Arial Narrow"/>
        <family val="2"/>
      </rPr>
      <t>8</t>
    </r>
    <r>
      <rPr>
        <b/>
        <sz val="10"/>
        <rFont val="宋体"/>
        <family val="3"/>
        <charset val="134"/>
      </rPr>
      <t>月</t>
    </r>
  </si>
  <si>
    <r>
      <rPr>
        <b/>
        <sz val="10"/>
        <rFont val="Arial Narrow"/>
        <family val="2"/>
      </rPr>
      <t>9</t>
    </r>
    <r>
      <rPr>
        <b/>
        <sz val="10"/>
        <rFont val="宋体"/>
        <family val="3"/>
        <charset val="134"/>
      </rPr>
      <t>月</t>
    </r>
  </si>
  <si>
    <r>
      <rPr>
        <b/>
        <sz val="10"/>
        <rFont val="Arial Narrow"/>
        <family val="2"/>
      </rPr>
      <t>10</t>
    </r>
    <r>
      <rPr>
        <b/>
        <sz val="10"/>
        <rFont val="宋体"/>
        <family val="3"/>
        <charset val="134"/>
      </rPr>
      <t>月</t>
    </r>
  </si>
  <si>
    <r>
      <rPr>
        <b/>
        <sz val="10"/>
        <rFont val="Arial Narrow"/>
        <family val="2"/>
      </rPr>
      <t>11</t>
    </r>
    <r>
      <rPr>
        <b/>
        <sz val="10"/>
        <rFont val="宋体"/>
        <family val="3"/>
        <charset val="134"/>
      </rPr>
      <t>月</t>
    </r>
  </si>
  <si>
    <r>
      <rPr>
        <b/>
        <sz val="10"/>
        <rFont val="Arial Narrow"/>
        <family val="2"/>
      </rPr>
      <t>12</t>
    </r>
    <r>
      <rPr>
        <b/>
        <sz val="10"/>
        <rFont val="宋体"/>
        <family val="3"/>
        <charset val="134"/>
      </rPr>
      <t>月</t>
    </r>
  </si>
  <si>
    <r>
      <rPr>
        <b/>
        <sz val="10"/>
        <rFont val="宋体"/>
        <family val="3"/>
        <charset val="134"/>
      </rPr>
      <t>本期未审合计</t>
    </r>
  </si>
  <si>
    <r>
      <rPr>
        <b/>
        <sz val="10"/>
        <rFont val="宋体"/>
        <family val="3"/>
        <charset val="134"/>
      </rPr>
      <t>账项调整</t>
    </r>
  </si>
  <si>
    <t>本期审定数</t>
  </si>
  <si>
    <r>
      <rPr>
        <b/>
        <sz val="10"/>
        <rFont val="宋体"/>
        <family val="3"/>
        <charset val="134"/>
      </rPr>
      <t>各项目占比</t>
    </r>
  </si>
  <si>
    <r>
      <rPr>
        <b/>
        <sz val="10"/>
        <rFont val="宋体"/>
        <family val="3"/>
        <charset val="134"/>
      </rPr>
      <t>与相关科目勾稽</t>
    </r>
  </si>
  <si>
    <t>上期未审数</t>
  </si>
  <si>
    <t>上期账项调整</t>
  </si>
  <si>
    <t>上期重分类调整</t>
  </si>
  <si>
    <t>上期审定数</t>
  </si>
  <si>
    <t>个别报表下的重分类</t>
  </si>
  <si>
    <t>合并报表下的重分类</t>
  </si>
  <si>
    <t>人工费</t>
  </si>
  <si>
    <t>开发支出等</t>
  </si>
  <si>
    <t>材料费</t>
  </si>
  <si>
    <t>制造费用分摊</t>
  </si>
  <si>
    <t>无形资产摊销</t>
  </si>
  <si>
    <t>各月比例</t>
  </si>
  <si>
    <t>三、审计说明：</t>
  </si>
  <si>
    <t>四、审计结论：</t>
  </si>
  <si>
    <r>
      <rPr>
        <sz val="10"/>
        <color indexed="8"/>
        <rFont val="宋体"/>
        <family val="3"/>
        <charset val="134"/>
      </rPr>
      <t>编制说明：</t>
    </r>
  </si>
  <si>
    <r>
      <rPr>
        <sz val="10"/>
        <color indexed="12"/>
        <rFont val="宋体"/>
        <family val="3"/>
        <charset val="134"/>
      </rPr>
      <t>1</t>
    </r>
    <r>
      <rPr>
        <sz val="10"/>
        <color indexed="8"/>
        <rFont val="宋体"/>
        <family val="3"/>
        <charset val="134"/>
      </rPr>
      <t>、本科目核算企业进行研究与开发无形资产过程中发生的各项支出。</t>
    </r>
  </si>
  <si>
    <r>
      <rPr>
        <sz val="10"/>
        <color indexed="8"/>
        <rFont val="宋体"/>
        <family val="3"/>
        <charset val="134"/>
      </rPr>
      <t>本科目可按研究开发项目，分别</t>
    </r>
    <r>
      <rPr>
        <sz val="10"/>
        <color indexed="8"/>
        <rFont val="Arial Narrow"/>
        <family val="2"/>
      </rPr>
      <t>“</t>
    </r>
    <r>
      <rPr>
        <sz val="10"/>
        <color indexed="8"/>
        <rFont val="宋体"/>
        <family val="3"/>
        <charset val="134"/>
      </rPr>
      <t>费用化支出</t>
    </r>
    <r>
      <rPr>
        <sz val="10"/>
        <color indexed="8"/>
        <rFont val="Arial Narrow"/>
        <family val="2"/>
      </rPr>
      <t>”</t>
    </r>
    <r>
      <rPr>
        <sz val="10"/>
        <color indexed="8"/>
        <rFont val="宋体"/>
        <family val="3"/>
        <charset val="134"/>
      </rPr>
      <t>、</t>
    </r>
    <r>
      <rPr>
        <sz val="10"/>
        <color indexed="8"/>
        <rFont val="Arial Narrow"/>
        <family val="2"/>
      </rPr>
      <t>“</t>
    </r>
    <r>
      <rPr>
        <sz val="10"/>
        <color indexed="8"/>
        <rFont val="宋体"/>
        <family val="3"/>
        <charset val="134"/>
      </rPr>
      <t>资本化支出</t>
    </r>
    <r>
      <rPr>
        <sz val="10"/>
        <color indexed="8"/>
        <rFont val="Arial Narrow"/>
        <family val="2"/>
      </rPr>
      <t>”</t>
    </r>
    <r>
      <rPr>
        <sz val="10"/>
        <color indexed="8"/>
        <rFont val="宋体"/>
        <family val="3"/>
        <charset val="134"/>
      </rPr>
      <t>进行明细核算。</t>
    </r>
  </si>
  <si>
    <r>
      <rPr>
        <sz val="10"/>
        <color indexed="8"/>
        <rFont val="宋体"/>
        <family val="3"/>
        <charset val="134"/>
      </rPr>
      <t>期（月）末，应将本科目归集的费用化支出金额转入</t>
    </r>
    <r>
      <rPr>
        <sz val="10"/>
        <color indexed="8"/>
        <rFont val="Arial Narrow"/>
        <family val="2"/>
      </rPr>
      <t>“</t>
    </r>
    <r>
      <rPr>
        <sz val="10"/>
        <color indexed="8"/>
        <rFont val="宋体"/>
        <family val="3"/>
        <charset val="134"/>
      </rPr>
      <t>管理费用</t>
    </r>
    <r>
      <rPr>
        <sz val="10"/>
        <color indexed="8"/>
        <rFont val="Arial Narrow"/>
        <family val="2"/>
      </rPr>
      <t>”</t>
    </r>
    <r>
      <rPr>
        <sz val="10"/>
        <color indexed="8"/>
        <rFont val="宋体"/>
        <family val="3"/>
        <charset val="134"/>
      </rPr>
      <t>科目，借记</t>
    </r>
    <r>
      <rPr>
        <sz val="10"/>
        <color indexed="8"/>
        <rFont val="Arial Narrow"/>
        <family val="2"/>
      </rPr>
      <t>“</t>
    </r>
    <r>
      <rPr>
        <sz val="10"/>
        <color indexed="8"/>
        <rFont val="宋体"/>
        <family val="3"/>
        <charset val="134"/>
      </rPr>
      <t>管理费用</t>
    </r>
    <r>
      <rPr>
        <sz val="10"/>
        <color indexed="8"/>
        <rFont val="Arial Narrow"/>
        <family val="2"/>
      </rPr>
      <t>”</t>
    </r>
    <r>
      <rPr>
        <sz val="10"/>
        <color indexed="8"/>
        <rFont val="宋体"/>
        <family val="3"/>
        <charset val="134"/>
      </rPr>
      <t>科目，贷记本科目（费用化支出）。</t>
    </r>
  </si>
  <si>
    <r>
      <rPr>
        <sz val="10"/>
        <color indexed="12"/>
        <rFont val="宋体"/>
        <family val="3"/>
        <charset val="134"/>
      </rPr>
      <t>2</t>
    </r>
    <r>
      <rPr>
        <sz val="10"/>
        <color indexed="8"/>
        <rFont val="宋体"/>
        <family val="3"/>
        <charset val="134"/>
      </rPr>
      <t>、本工作底稿应列入开发支出的每一明细账户，经审核后，作为本底稿附件。</t>
    </r>
  </si>
  <si>
    <r>
      <rPr>
        <sz val="10"/>
        <color indexed="12"/>
        <rFont val="宋体"/>
        <family val="3"/>
        <charset val="134"/>
      </rPr>
      <t>3</t>
    </r>
    <r>
      <rPr>
        <sz val="10"/>
        <color indexed="8"/>
        <rFont val="宋体"/>
        <family val="3"/>
        <charset val="134"/>
      </rPr>
      <t>、备注栏可填写项目内容及异常情况说明。</t>
    </r>
  </si>
  <si>
    <t>研发费用调整分录汇总表</t>
  </si>
  <si>
    <t>调整事项说明</t>
  </si>
  <si>
    <t>类别（报表调整/账项调整/其他）</t>
  </si>
  <si>
    <t>科目名称</t>
  </si>
  <si>
    <t>附注项目</t>
  </si>
  <si>
    <t>……</t>
  </si>
  <si>
    <t>借方调整金额</t>
  </si>
  <si>
    <t>贷方调整金额</t>
  </si>
  <si>
    <t>索引</t>
  </si>
  <si>
    <t>【注：本底稿适用于调整分录较多、较复杂的项目，且仅列示与本报表项目相关的审计调整。项目组可根据项目实际情况选择是否使用该底稿。】</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</si>
  <si>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</si>
  <si>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</si>
  <si>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r>
      <rPr>
        <sz val="10"/>
        <rFont val="Arial Narrow"/>
        <family val="2"/>
      </rPr>
      <t>1.</t>
    </r>
    <r>
      <rPr>
        <sz val="10"/>
        <rFont val="宋体"/>
        <family val="3"/>
        <charset val="134"/>
      </rPr>
      <t>利润表中记录的研发费用已发生，且与被审计单位有关，已记录于恰当的账户。</t>
    </r>
    <r>
      <rPr>
        <sz val="10"/>
        <rFont val="Arial Narrow"/>
        <family val="2"/>
      </rPr>
      <t xml:space="preserve"> </t>
    </r>
  </si>
  <si>
    <t>二、样本选取标准与规模：</t>
  </si>
  <si>
    <t>测试总体：</t>
  </si>
  <si>
    <t>特定样本：</t>
  </si>
  <si>
    <t>抽样总体：</t>
  </si>
  <si>
    <t>测试总体扣除特定样本以外的样本，共XX笔、金额XX</t>
  </si>
  <si>
    <t>抽样方法：</t>
  </si>
  <si>
    <t>记账凭证</t>
  </si>
  <si>
    <t>索引号</t>
  </si>
  <si>
    <t>是否异常</t>
  </si>
  <si>
    <t>凭证编号</t>
  </si>
  <si>
    <t>业务内容</t>
  </si>
  <si>
    <t>对方科目</t>
  </si>
  <si>
    <t>对方明细科目</t>
  </si>
  <si>
    <t>四、审计说明：</t>
  </si>
  <si>
    <t>研发费用针对性检查表</t>
  </si>
  <si>
    <r>
      <rPr>
        <b/>
        <sz val="10"/>
        <color indexed="8"/>
        <rFont val="宋体"/>
        <family val="3"/>
        <charset val="134"/>
      </rPr>
      <t>一、测试目标：</t>
    </r>
  </si>
  <si>
    <r>
      <rPr>
        <b/>
        <sz val="10"/>
        <color indexed="8"/>
        <rFont val="宋体"/>
        <family val="3"/>
        <charset val="134"/>
      </rPr>
      <t>二、样本选取标准与规模：</t>
    </r>
  </si>
  <si>
    <r>
      <rPr>
        <b/>
        <sz val="10"/>
        <color indexed="8"/>
        <rFont val="宋体"/>
        <family val="3"/>
        <charset val="134"/>
      </rPr>
      <t>三、测试：</t>
    </r>
  </si>
  <si>
    <r>
      <rPr>
        <b/>
        <sz val="10"/>
        <color indexed="8"/>
        <rFont val="宋体"/>
        <family val="3"/>
        <charset val="134"/>
      </rPr>
      <t>四、审计说明：</t>
    </r>
  </si>
  <si>
    <r>
      <rPr>
        <b/>
        <sz val="10"/>
        <color indexed="8"/>
        <rFont val="宋体"/>
        <family val="3"/>
        <charset val="134"/>
      </rPr>
      <t>五、审计结论：</t>
    </r>
  </si>
  <si>
    <t>一、本账户涉及的科目</t>
  </si>
  <si>
    <t>研发费用</t>
  </si>
  <si>
    <t>二、审计目标与认定的对应关系</t>
  </si>
  <si>
    <t>审计目标</t>
  </si>
  <si>
    <t>财务报表的认定　</t>
  </si>
  <si>
    <t>发生</t>
  </si>
  <si>
    <t>完整性</t>
  </si>
  <si>
    <t>准确性</t>
  </si>
  <si>
    <t>截止</t>
  </si>
  <si>
    <t>列报</t>
  </si>
  <si>
    <t>程序分类</t>
  </si>
  <si>
    <t>财务报表的认定</t>
  </si>
  <si>
    <t>底稿索引号</t>
  </si>
  <si>
    <t>1</t>
  </si>
  <si>
    <t>获取或编制研发费用细表，复核加计是否正确，并与总账数和明细账合计数核对是否相符，编制审定表，结合研发费用报表数核对是否相符。</t>
  </si>
  <si>
    <t>常规★</t>
  </si>
  <si>
    <t>√</t>
  </si>
  <si>
    <t>2</t>
  </si>
  <si>
    <r>
      <rPr>
        <sz val="10"/>
        <color indexed="8"/>
        <rFont val="宋体"/>
        <family val="3"/>
        <charset val="134"/>
      </rPr>
      <t>常规</t>
    </r>
    <r>
      <rPr>
        <b/>
        <sz val="10"/>
        <color indexed="8"/>
        <rFont val="宋体"/>
        <family val="3"/>
        <charset val="134"/>
      </rPr>
      <t>★</t>
    </r>
  </si>
  <si>
    <t>T1</t>
  </si>
  <si>
    <r>
      <rPr>
        <sz val="10"/>
        <color indexed="12"/>
        <rFont val="宋体"/>
        <family val="3"/>
        <charset val="134"/>
      </rPr>
      <t>可参见《审计手册》</t>
    </r>
    <r>
      <rPr>
        <sz val="10"/>
        <color indexed="12"/>
        <rFont val="Arial Narrow"/>
        <family val="2"/>
      </rPr>
      <t>4.2.6</t>
    </r>
    <r>
      <rPr>
        <sz val="10"/>
        <color indexed="12"/>
        <rFont val="宋体"/>
        <family val="3"/>
        <charset val="134"/>
      </rPr>
      <t xml:space="preserve">，由被审计单位生成的信息可能是由系统生成的、或手工编制的、或二者兼而有之的方式生成的。例如，由被审计单位生成的信息可能包括：
</t>
    </r>
    <r>
      <rPr>
        <sz val="10"/>
        <color indexed="12"/>
        <rFont val="Arial Narrow"/>
        <family val="2"/>
      </rPr>
      <t xml:space="preserve">• </t>
    </r>
    <r>
      <rPr>
        <sz val="10"/>
        <color indexed="12"/>
        <rFont val="宋体"/>
        <family val="3"/>
        <charset val="134"/>
      </rPr>
      <t xml:space="preserve">不涉及自定义的、由系统生成的报告（如，固定格式报告）；
</t>
    </r>
    <r>
      <rPr>
        <sz val="10"/>
        <color indexed="12"/>
        <rFont val="Arial Narrow"/>
        <family val="2"/>
      </rPr>
      <t xml:space="preserve">• </t>
    </r>
    <r>
      <rPr>
        <sz val="10"/>
        <color indexed="12"/>
        <rFont val="宋体"/>
        <family val="3"/>
        <charset val="134"/>
      </rPr>
      <t xml:space="preserve">可能通过人工自定义的、由系统生成的报告，例如，（计算机）查询信息或特别定制的报告；
</t>
    </r>
    <r>
      <rPr>
        <sz val="10"/>
        <color indexed="12"/>
        <rFont val="Arial Narrow"/>
        <family val="2"/>
      </rPr>
      <t xml:space="preserve">• </t>
    </r>
    <r>
      <rPr>
        <sz val="10"/>
        <color indexed="12"/>
        <rFont val="宋体"/>
        <family val="3"/>
        <charset val="134"/>
      </rPr>
      <t xml:space="preserve">手工编制的信息，例如，汇总信息的电子表格或用以支持分配、计算以及调节的电子表格；
</t>
    </r>
    <r>
      <rPr>
        <sz val="10"/>
        <color indexed="12"/>
        <rFont val="Arial Narrow"/>
        <family val="2"/>
      </rPr>
      <t xml:space="preserve">• </t>
    </r>
    <r>
      <rPr>
        <sz val="10"/>
        <color indexed="12"/>
        <rFont val="宋体"/>
        <family val="3"/>
        <charset val="134"/>
      </rPr>
      <t xml:space="preserve">其他系统生成或手工编制的信息，例如，由被审计单位编制的客户发票；
</t>
    </r>
    <r>
      <rPr>
        <sz val="10"/>
        <color indexed="12"/>
        <rFont val="Arial Narrow"/>
        <family val="2"/>
      </rPr>
      <t xml:space="preserve">• </t>
    </r>
    <r>
      <rPr>
        <sz val="10"/>
        <color indexed="12"/>
        <rFont val="宋体"/>
        <family val="3"/>
        <charset val="134"/>
      </rPr>
      <t>通过影印、拍摄、扫描或其他方式转换成电子形式的文件记录。</t>
    </r>
  </si>
  <si>
    <r>
      <rPr>
        <sz val="10"/>
        <color indexed="12"/>
        <rFont val="宋体"/>
        <family val="3"/>
        <charset val="134"/>
      </rPr>
      <t xml:space="preserve">由被审计单位生成的信息不包括：
</t>
    </r>
    <r>
      <rPr>
        <sz val="10"/>
        <color indexed="12"/>
        <rFont val="Arial Narrow"/>
        <family val="2"/>
      </rPr>
      <t xml:space="preserve">• </t>
    </r>
    <r>
      <rPr>
        <sz val="10"/>
        <color indexed="12"/>
        <rFont val="宋体"/>
        <family val="3"/>
        <charset val="134"/>
      </rPr>
      <t xml:space="preserve">总分类账或明细分类账、试算平衡表、或经审计的财务报表；
</t>
    </r>
    <r>
      <rPr>
        <sz val="10"/>
        <color indexed="12"/>
        <rFont val="Arial Narrow"/>
        <family val="2"/>
      </rPr>
      <t xml:space="preserve">• </t>
    </r>
    <r>
      <rPr>
        <sz val="10"/>
        <color indexed="12"/>
        <rFont val="宋体"/>
        <family val="3"/>
        <charset val="134"/>
      </rPr>
      <t xml:space="preserve">第三方（除了服务机构）的报表或报告，例如，原始银行对账单，或函证的回函；
</t>
    </r>
    <r>
      <rPr>
        <sz val="10"/>
        <color indexed="12"/>
        <rFont val="Arial Narrow"/>
        <family val="2"/>
      </rPr>
      <t xml:space="preserve">• </t>
    </r>
    <r>
      <rPr>
        <sz val="10"/>
        <color indexed="12"/>
        <rFont val="宋体"/>
        <family val="3"/>
        <charset val="134"/>
      </rPr>
      <t>外部数据（例如，第三方发布的数据，如，定价来源）。</t>
    </r>
  </si>
  <si>
    <t>4</t>
  </si>
  <si>
    <t>研发费用截止测试</t>
  </si>
  <si>
    <r>
      <rPr>
        <sz val="10"/>
        <rFont val="宋体"/>
        <family val="3"/>
        <charset val="134"/>
      </rPr>
      <t xml:space="preserve">页 </t>
    </r>
    <r>
      <rPr>
        <sz val="10"/>
        <rFont val="宋体"/>
        <family val="3"/>
        <charset val="134"/>
      </rPr>
      <t xml:space="preserve"> </t>
    </r>
    <r>
      <rPr>
        <sz val="10"/>
        <rFont val="宋体"/>
        <family val="3"/>
        <charset val="134"/>
      </rPr>
      <t>次：</t>
    </r>
  </si>
  <si>
    <t>一、审计目标：</t>
  </si>
  <si>
    <t>确认研发费用已记录于正确的会计期间。</t>
  </si>
  <si>
    <t>1.抽取资产负债表日前（______）天、后（______）天，且金额大于______元的支出凭单等与研发费用记账凭证核对确认研发费用是否记入了恰当的期间；</t>
  </si>
  <si>
    <t>2.对于首次承接的客户，执行前期期末的截止性测试。（适用于首次承接）</t>
  </si>
  <si>
    <t>三、测试：</t>
  </si>
  <si>
    <t>支出凭单</t>
  </si>
  <si>
    <t>是否跨期</t>
  </si>
  <si>
    <t>跨期金额</t>
  </si>
  <si>
    <t>凭单编号</t>
  </si>
  <si>
    <t>凭单日期</t>
  </si>
  <si>
    <t>金额</t>
  </si>
  <si>
    <t>日期</t>
  </si>
  <si>
    <t>凭证号</t>
  </si>
  <si>
    <t>摘要</t>
  </si>
  <si>
    <r>
      <rPr>
        <b/>
        <sz val="10"/>
        <rFont val="Arial Narrow"/>
        <family val="2"/>
      </rPr>
      <t>——————</t>
    </r>
    <r>
      <rPr>
        <b/>
        <sz val="10"/>
        <rFont val="宋体"/>
        <family val="3"/>
        <charset val="134"/>
      </rPr>
      <t>截止日期：</t>
    </r>
    <r>
      <rPr>
        <b/>
        <sz val="10"/>
        <rFont val="Arial Narrow"/>
        <family val="2"/>
      </rPr>
      <t>20XX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宋体"/>
        <family val="3"/>
        <charset val="134"/>
      </rPr>
      <t>——————</t>
    </r>
  </si>
  <si>
    <t>五、审计结论</t>
  </si>
  <si>
    <t>提示：如果存在跨期舞弊风险或者所检查样本中发现有跨期的，应扩大测试期间和样本，甚至可以考虑将截止测试期间延长至审计报告日。同时考虑是否存在内控缺陷。</t>
  </si>
  <si>
    <t>1.获取资产负债表日前（______）天、后（______）天，且金额大于______元的研发费用记账凭证与支出凭单等核对确认研发费用是否记入了恰当的期间；</t>
  </si>
  <si>
    <t>编号</t>
  </si>
  <si>
    <t>C1</t>
  </si>
  <si>
    <t>Custom 1</t>
  </si>
  <si>
    <t>C2</t>
  </si>
  <si>
    <t>Custom 2</t>
  </si>
  <si>
    <t>C3</t>
  </si>
  <si>
    <t>Custom 3</t>
  </si>
  <si>
    <t>C4</t>
  </si>
  <si>
    <t>Custom 4</t>
  </si>
  <si>
    <t>C5</t>
  </si>
  <si>
    <t>Custom 5</t>
  </si>
  <si>
    <t>C6</t>
  </si>
  <si>
    <t>Custom 6</t>
  </si>
  <si>
    <t>C7</t>
  </si>
  <si>
    <t>Custom 7</t>
  </si>
  <si>
    <t>C8</t>
  </si>
  <si>
    <t>Custom 8</t>
  </si>
  <si>
    <t>报表项目</t>
    <phoneticPr fontId="105" type="noConversion"/>
  </si>
  <si>
    <t>5</t>
  </si>
  <si>
    <t>6</t>
  </si>
  <si>
    <t>7</t>
  </si>
  <si>
    <t>8</t>
  </si>
  <si>
    <t>9</t>
  </si>
  <si>
    <t>对于研发人员认定，根据具体情况，需要检查的支持性文件包括但不限于：
（1）获取研发人员花名册、劳动合同、工作职责、工时记录，核实研发人员身份真实性；
（2）核实研发人员专业背景和工作经历是否与发行人研发活动相匹配等情形，重点关注相关人员是否具备从事研发活动的能力，是否真正从事研发活动并作出实际贡献，是否属于发行人研发工作所需的必要人员，发行人研发人员数量和占比是否符合行业特点；
（3）核实研发人员学历、专业、从业和任职年限、全时与非全时分布等是否符合行业特点；研发人员普遍任职年限较短的，应关注原因及对发行人研发能力的影响；研发人员主要由非全时人员或未签订劳动合同人员构成的，应关注其合理性。</t>
    <phoneticPr fontId="105" type="noConversion"/>
  </si>
  <si>
    <t>对于研发工时，根据具体情况，需要检查的支持性文件包括但不限于：
（1）获取研发人员工资计提表，检查研发人员认定、工时统计、薪酬分摊是否准确合理；
（2）检查研发人员考勤记录等，验证其是否真实参与研发活动；
（3）结合应付职工薪酬审计，将薪酬计提与支付记录、社保缴纳记录等进行核对；
（4）检查是否存在非研发人员（如高管）薪酬计入研发费用，若存在，检查其工时记录及分摊的合理性。</t>
    <phoneticPr fontId="105" type="noConversion"/>
  </si>
  <si>
    <t>对于研发材料投入，根据具体情况，需要检查的支持性文件包括但不限于：
（1）获取研发领料单，检查其审批流程是否完整、领用部门是否为研发部门；
（2）抽取样本检查领料单与研发项目的对应关系，验证其合理性；
（3）检查研发材料实际使用情况，是否存在挪用于生产或其他用途；
（4）研发形成产品或副产品的，检查其成本是否已从研发费用中转出</t>
    <phoneticPr fontId="105" type="noConversion"/>
  </si>
  <si>
    <t>对于委托研发，根据具体情况，需要检查的支持性文件包括但不限于：
（1）检查委托开发合同，关注研发成果所有权归属，判断支出应计入研发费用还是营业成本；
（2）检查付款审批记录、发票、验收证明等支持性文件；
（3）对受托方执行函证程序，确认交易真实性、金额准确性。</t>
    <phoneticPr fontId="105" type="noConversion"/>
  </si>
  <si>
    <t>10</t>
  </si>
  <si>
    <t>检查研发费用是否已按企业会计准则或其他适用的规定在财务报表中做出恰当列报和披露。</t>
  </si>
  <si>
    <t>其他针对性检查表</t>
    <phoneticPr fontId="105" type="noConversion"/>
  </si>
  <si>
    <t>截止性测试（单据到账）</t>
    <phoneticPr fontId="105" type="noConversion"/>
  </si>
  <si>
    <r>
      <t xml:space="preserve">A. </t>
    </r>
    <r>
      <rPr>
        <sz val="10"/>
        <rFont val="宋体"/>
        <family val="3"/>
        <charset val="134"/>
      </rPr>
      <t>利润表中记录的研发费用已发生，且与被审计单位有关，已记录于恰当的账户</t>
    </r>
    <phoneticPr fontId="105" type="noConversion"/>
  </si>
  <si>
    <t>备选</t>
    <phoneticPr fontId="105" type="noConversion"/>
  </si>
  <si>
    <t>对于存在委外研发、在研发过程中产出的产品或副产品、按照客户需求进行定制化研发、履行定制化研发合同过程中发生的研发支出、承担由国家或指定方拨付款项的研发项目等情形，重点核查相关会计处理是否符合《企业会计准则》相关规定。</t>
    <phoneticPr fontId="105" type="noConversion"/>
  </si>
  <si>
    <t>研发费用的截止测试：
（1）获取资产负债表日前后若干天、一定金额以上的会计记录，与相关支出凭单等信息核对，确定研发费用是否记入了恰当的期间。
（2）获取资产负债表日前后若干天、一定金额以上的相关支出凭单等，与会计记录信息核对，确定是否存在研发费用跨期。</t>
    <phoneticPr fontId="105" type="noConversion"/>
  </si>
  <si>
    <t>3</t>
    <phoneticPr fontId="105" type="noConversion"/>
  </si>
  <si>
    <t>11</t>
  </si>
  <si>
    <t>12</t>
  </si>
  <si>
    <r>
      <t>（</t>
    </r>
    <r>
      <rPr>
        <sz val="10"/>
        <rFont val="Arial Narrow"/>
        <family val="2"/>
      </rPr>
      <t>1</t>
    </r>
    <r>
      <rPr>
        <sz val="10"/>
        <rFont val="宋体"/>
        <family val="3"/>
        <charset val="134"/>
      </rPr>
      <t>）研发费用本期较上期增加（负数为减少）：</t>
    </r>
    <phoneticPr fontId="105" type="noConversion"/>
  </si>
  <si>
    <t>根据评估的舞弊风险等因素增加的审计程序。</t>
  </si>
  <si>
    <t>IPO/上市/新三板/重组/舞弊应对</t>
  </si>
  <si>
    <t>三、计划实施的实质性程序</t>
    <phoneticPr fontId="32" type="noConversion"/>
  </si>
  <si>
    <r>
      <t>实施分析性程序：
（</t>
    </r>
    <r>
      <rPr>
        <sz val="10"/>
        <rFont val="Arial Narrow"/>
        <family val="2"/>
      </rPr>
      <t>1</t>
    </r>
    <r>
      <rPr>
        <sz val="10"/>
        <rFont val="宋体"/>
        <family val="3"/>
        <charset val="134"/>
      </rPr>
      <t>）将本期明细表与上期审定数据、本期各明细项目占主营业务收入的比重与上年同期的占比进行比较，分析两期波动的原因及合理性；
（</t>
    </r>
    <r>
      <rPr>
        <sz val="10"/>
        <rFont val="Arial Narrow"/>
        <family val="2"/>
      </rPr>
      <t>2</t>
    </r>
    <r>
      <rPr>
        <sz val="10"/>
        <rFont val="宋体"/>
        <family val="3"/>
        <charset val="134"/>
      </rPr>
      <t>）计算各类费用增长率，与主营业务收入增长率进行比较，并与同行业公司进行比较，分析总体合理性；
（</t>
    </r>
    <r>
      <rPr>
        <sz val="10"/>
        <rFont val="Arial Narrow"/>
        <family val="2"/>
      </rPr>
      <t>3</t>
    </r>
    <r>
      <rPr>
        <sz val="10"/>
        <rFont val="宋体"/>
        <family val="3"/>
        <charset val="134"/>
      </rPr>
      <t>）分析明细中是否存在不符合往年常态的项目，不符合企业经营状况，存在异常变动的项目，检查相关支持性文件；
（</t>
    </r>
    <r>
      <rPr>
        <sz val="10"/>
        <rFont val="Arial Narrow"/>
        <family val="2"/>
      </rPr>
      <t>4</t>
    </r>
    <r>
      <rPr>
        <sz val="10"/>
        <rFont val="宋体"/>
        <family val="3"/>
        <charset val="134"/>
      </rPr>
      <t>）计算人均经费、平均薪酬等，与上年同期数据进行比较，并与同行业公司进行比较；
（</t>
    </r>
    <r>
      <rPr>
        <sz val="10"/>
        <rFont val="Arial Narrow"/>
        <family val="2"/>
      </rPr>
      <t>5</t>
    </r>
    <r>
      <rPr>
        <sz val="10"/>
        <rFont val="宋体"/>
        <family val="3"/>
        <charset val="134"/>
      </rPr>
      <t>）将费用实际金额与预算金额进行比较，对具体费用项目与相关财务数据及非财务数据的匹配性进行测试。</t>
    </r>
    <phoneticPr fontId="105" type="noConversion"/>
  </si>
  <si>
    <r>
      <t>A1-1/</t>
    </r>
    <r>
      <rPr>
        <sz val="10"/>
        <color indexed="10"/>
        <rFont val="Arial Narrow"/>
        <family val="2"/>
      </rPr>
      <t>A1-15 /A1-16</t>
    </r>
  </si>
  <si>
    <r>
      <t>（</t>
    </r>
    <r>
      <rPr>
        <sz val="10"/>
        <rFont val="Arial Narrow"/>
        <family val="2"/>
      </rPr>
      <t>2</t>
    </r>
    <r>
      <rPr>
        <sz val="10"/>
        <rFont val="宋体"/>
        <family val="3"/>
        <charset val="134"/>
      </rPr>
      <t>）重大事项说明。</t>
    </r>
    <phoneticPr fontId="105" type="noConversion"/>
  </si>
  <si>
    <r>
      <t>测试内容说明：</t>
    </r>
    <r>
      <rPr>
        <sz val="10"/>
        <color indexed="10"/>
        <rFont val="Arial Narrow"/>
        <family val="2"/>
      </rPr>
      <t>1.</t>
    </r>
    <r>
      <rPr>
        <sz val="10"/>
        <color indexed="10"/>
        <rFont val="宋体"/>
        <family val="2"/>
      </rPr>
      <t>原始凭证是否齐全；</t>
    </r>
    <r>
      <rPr>
        <sz val="10"/>
        <color indexed="10"/>
        <rFont val="Arial Narrow"/>
        <family val="2"/>
      </rPr>
      <t xml:space="preserve"> 2.</t>
    </r>
    <r>
      <rPr>
        <sz val="10"/>
        <color indexed="10"/>
        <rFont val="宋体"/>
        <family val="2"/>
      </rPr>
      <t>记账凭证与原始凭证是否相符；</t>
    </r>
    <r>
      <rPr>
        <sz val="10"/>
        <color indexed="10"/>
        <rFont val="Arial Narrow"/>
        <family val="2"/>
      </rPr>
      <t>3.</t>
    </r>
    <r>
      <rPr>
        <sz val="10"/>
        <color indexed="10"/>
        <rFont val="宋体"/>
        <family val="2"/>
      </rPr>
      <t>账务处理是否正确；</t>
    </r>
    <r>
      <rPr>
        <sz val="10"/>
        <color indexed="10"/>
        <rFont val="Arial Narrow"/>
        <family val="2"/>
      </rPr>
      <t>4.</t>
    </r>
    <r>
      <rPr>
        <sz val="10"/>
        <color indexed="10"/>
        <rFont val="宋体"/>
        <family val="2"/>
      </rPr>
      <t>是否记录于恰当的会计期间；</t>
    </r>
    <r>
      <rPr>
        <sz val="10"/>
        <color indexed="10"/>
        <rFont val="Arial Narrow"/>
        <family val="2"/>
      </rPr>
      <t>5.……</t>
    </r>
  </si>
  <si>
    <t>支持性文件</t>
  </si>
  <si>
    <t>核对内容</t>
  </si>
  <si>
    <t>备注说明</t>
  </si>
  <si>
    <t>借方金额</t>
  </si>
  <si>
    <t>致同会计师事务所</t>
    <phoneticPr fontId="105" type="noConversion"/>
  </si>
  <si>
    <r>
      <t>XX</t>
    </r>
    <r>
      <rPr>
        <sz val="10"/>
        <color indexed="12"/>
        <rFont val="宋体"/>
        <family val="2"/>
      </rPr>
      <t>金额以上（大额）、关联方</t>
    </r>
    <r>
      <rPr>
        <sz val="10"/>
        <color indexed="12"/>
        <rFont val="Arial Narrow"/>
        <family val="2"/>
      </rPr>
      <t>/</t>
    </r>
    <r>
      <rPr>
        <sz val="10"/>
        <color indexed="12"/>
        <rFont val="宋体"/>
        <family val="2"/>
      </rPr>
      <t>关联交易形成的款项、</t>
    </r>
    <r>
      <rPr>
        <sz val="10"/>
        <color indexed="12"/>
        <rFont val="Arial Narrow"/>
        <family val="2"/>
      </rPr>
      <t>XX</t>
    </r>
    <r>
      <rPr>
        <sz val="10"/>
        <color indexed="12"/>
        <rFont val="宋体"/>
        <family val="2"/>
      </rPr>
      <t>异常款项全部测试，共</t>
    </r>
    <r>
      <rPr>
        <sz val="10"/>
        <color indexed="12"/>
        <rFont val="Arial Narrow"/>
        <family val="2"/>
      </rPr>
      <t>XX</t>
    </r>
    <r>
      <rPr>
        <sz val="10"/>
        <color indexed="12"/>
        <rFont val="宋体"/>
        <family val="2"/>
      </rPr>
      <t>笔；</t>
    </r>
  </si>
  <si>
    <t>确定的抽样样本量：</t>
    <phoneticPr fontId="105" type="noConversion"/>
  </si>
  <si>
    <t>抽样过程：</t>
    <phoneticPr fontId="105" type="noConversion"/>
  </si>
  <si>
    <r>
      <rPr>
        <sz val="10"/>
        <color indexed="12"/>
        <rFont val="宋体"/>
        <family val="3"/>
        <charset val="134"/>
      </rPr>
      <t>使用</t>
    </r>
    <r>
      <rPr>
        <sz val="10"/>
        <color indexed="12"/>
        <rFont val="Arial Narrow"/>
        <family val="2"/>
      </rPr>
      <t>IDEA</t>
    </r>
    <r>
      <rPr>
        <sz val="10"/>
        <color indexed="12"/>
        <rFont val="宋体"/>
        <family val="3"/>
        <charset val="134"/>
      </rPr>
      <t>（</t>
    </r>
    <r>
      <rPr>
        <sz val="10"/>
        <color indexed="12"/>
        <rFont val="Arial Narrow"/>
        <family val="2"/>
      </rPr>
      <t>XX</t>
    </r>
    <r>
      <rPr>
        <sz val="10"/>
        <color indexed="12"/>
        <rFont val="宋体"/>
        <family val="3"/>
        <charset val="134"/>
      </rPr>
      <t>抽样工具）选择</t>
    </r>
    <r>
      <rPr>
        <sz val="10"/>
        <color indexed="12"/>
        <rFont val="Arial Narrow"/>
        <family val="2"/>
      </rPr>
      <t>XX</t>
    </r>
    <r>
      <rPr>
        <sz val="10"/>
        <color indexed="12"/>
        <rFont val="宋体"/>
        <family val="3"/>
        <charset val="134"/>
      </rPr>
      <t>数量、金额</t>
    </r>
    <r>
      <rPr>
        <sz val="10"/>
        <color indexed="12"/>
        <rFont val="Arial Narrow"/>
        <family val="2"/>
      </rPr>
      <t>XX</t>
    </r>
    <r>
      <rPr>
        <sz val="10"/>
        <color indexed="12"/>
        <rFont val="宋体"/>
        <family val="3"/>
        <charset val="134"/>
      </rPr>
      <t>的样本进行测试，抽样工具中的样本选择过程和结果见</t>
    </r>
    <r>
      <rPr>
        <sz val="10"/>
        <color indexed="12"/>
        <rFont val="Arial Narrow"/>
        <family val="2"/>
      </rPr>
      <t>&lt;XX&gt;</t>
    </r>
    <r>
      <rPr>
        <sz val="10"/>
        <color indexed="12"/>
        <rFont val="宋体"/>
        <family val="3"/>
        <charset val="134"/>
      </rPr>
      <t>底稿</t>
    </r>
    <phoneticPr fontId="105" type="noConversion"/>
  </si>
  <si>
    <t>致同会计师事务所</t>
    <phoneticPr fontId="105" type="noConversion"/>
  </si>
  <si>
    <t>研发费用截止测试</t>
    <phoneticPr fontId="105" type="noConversion"/>
  </si>
  <si>
    <t>致同会计师事务所</t>
    <phoneticPr fontId="105" type="noConversion"/>
  </si>
  <si>
    <t>研发费用明细表</t>
    <phoneticPr fontId="105" type="noConversion"/>
  </si>
  <si>
    <t>研发费用实质性程序</t>
    <phoneticPr fontId="105" type="noConversion"/>
  </si>
  <si>
    <t>研发项目明细</t>
    <phoneticPr fontId="105" type="noConversion"/>
  </si>
  <si>
    <r>
      <rPr>
        <sz val="10"/>
        <rFont val="宋体"/>
        <family val="3"/>
        <charset val="134"/>
      </rPr>
      <t>被审计单位：</t>
    </r>
    <r>
      <rPr>
        <sz val="10"/>
        <rFont val="Arial Narrow"/>
        <family val="2"/>
      </rPr>
      <t/>
    </r>
    <phoneticPr fontId="105" type="noConversion"/>
  </si>
  <si>
    <t>编制人：</t>
    <phoneticPr fontId="105" type="noConversion"/>
  </si>
  <si>
    <t>编制日期：</t>
    <phoneticPr fontId="105" type="noConversion"/>
  </si>
  <si>
    <t>复核人：</t>
    <phoneticPr fontId="105" type="noConversion"/>
  </si>
  <si>
    <t>复核日期：</t>
    <phoneticPr fontId="105" type="noConversion"/>
  </si>
  <si>
    <r>
      <t xml:space="preserve">B. </t>
    </r>
    <r>
      <rPr>
        <sz val="10"/>
        <rFont val="宋体"/>
        <family val="3"/>
        <charset val="134"/>
      </rPr>
      <t>所有应当记录的研发费用均已记录，所有应当包括在财务报表中的相关披露均已包括</t>
    </r>
    <phoneticPr fontId="105" type="noConversion"/>
  </si>
  <si>
    <r>
      <t xml:space="preserve">C. </t>
    </r>
    <r>
      <rPr>
        <sz val="10"/>
        <rFont val="宋体"/>
        <family val="3"/>
        <charset val="134"/>
      </rPr>
      <t>与研发费用有关的金额及其他数据已恰当记录，相关披露已得到恰当计量和描述</t>
    </r>
    <phoneticPr fontId="105" type="noConversion"/>
  </si>
  <si>
    <r>
      <t xml:space="preserve">D. </t>
    </r>
    <r>
      <rPr>
        <sz val="10"/>
        <rFont val="宋体"/>
        <family val="3"/>
        <charset val="134"/>
      </rPr>
      <t>研发费用已记录于正确的会计期间</t>
    </r>
    <phoneticPr fontId="105" type="noConversion"/>
  </si>
  <si>
    <r>
      <t xml:space="preserve">E. </t>
    </r>
    <r>
      <rPr>
        <sz val="10"/>
        <rFont val="宋体"/>
        <family val="3"/>
        <charset val="134"/>
      </rPr>
      <t>研发费用已被恰当地汇总或分解且表述清楚，相关披露在按照企业会计准则的编制基础下是相关的、可理解的</t>
    </r>
    <phoneticPr fontId="105" type="noConversion"/>
  </si>
  <si>
    <r>
      <t>结合开发支出期初余额审计和研发费用本期审计，确定研发费用前期期末的截止是否恰当。</t>
    </r>
    <r>
      <rPr>
        <sz val="10"/>
        <color indexed="10"/>
        <rFont val="宋体"/>
        <family val="3"/>
        <charset val="134"/>
      </rPr>
      <t>（适用于首次承接）</t>
    </r>
    <phoneticPr fontId="105" type="noConversion"/>
  </si>
  <si>
    <t>关注会计政策、会计估计合理性、一贯性，关注其是否利用会计政策和会计估计及其变更操纵利润：
（1）检查研发支出资本化的时点、条件等会计政策是否符合会计准则要求，是否符合研发业务特点，是否符合行业惯例；检查研究阶段和开发阶段界定时点是否合理，开发完成的时点的界定是否合理；
（2）将被审计单位本期的会计政策、会计估计与前期进行对比，分析其是否前后一致。对于存在会计政策、会计估计变更的情形，判断是否合理，会计处理是否正确；
（3）与同行业其他公司的会计政策、会计估计进行对比，关注其是否利用会计政策和会计估计变更操纵利润；</t>
    <phoneticPr fontId="105" type="noConversion"/>
  </si>
  <si>
    <t>如借方发生额所有凭证共XX笔金额XX</t>
    <phoneticPr fontId="105" type="noConversion"/>
  </si>
  <si>
    <r>
      <t>1.</t>
    </r>
    <r>
      <rPr>
        <b/>
        <sz val="10"/>
        <rFont val="宋体"/>
        <family val="2"/>
      </rPr>
      <t>本期其他费用发生额检查</t>
    </r>
    <phoneticPr fontId="105" type="noConversion"/>
  </si>
  <si>
    <t>检查比例</t>
    <phoneticPr fontId="105" type="noConversion"/>
  </si>
  <si>
    <t>本期发生额</t>
    <phoneticPr fontId="105" type="noConversion"/>
  </si>
  <si>
    <t>I6A</t>
  </si>
  <si>
    <t>I6-1</t>
  </si>
  <si>
    <t>I6-2</t>
  </si>
  <si>
    <t>I6-3</t>
  </si>
  <si>
    <t>I6-1
/I6-2</t>
  </si>
  <si>
    <t>I6-6
/I6-7</t>
    <phoneticPr fontId="105" type="noConversion"/>
  </si>
  <si>
    <t>I2-4</t>
    <phoneticPr fontId="105" type="noConversion"/>
  </si>
  <si>
    <t>I2-5</t>
    <phoneticPr fontId="105" type="noConversion"/>
  </si>
  <si>
    <t>I2-8</t>
  </si>
  <si>
    <t>I2-9</t>
  </si>
  <si>
    <t>I2-10</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</si>
  <si>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05" type="noConversion"/>
  </si>
  <si>
    <t>……</t>
    <phoneticPr fontId="105" type="noConversion"/>
  </si>
  <si>
    <r>
      <rPr>
        <sz val="10"/>
        <rFont val="宋体"/>
        <family val="3"/>
        <charset val="134"/>
      </rPr>
      <t>会计期间：</t>
    </r>
    <r>
      <rPr>
        <sz val="10"/>
        <rFont val="Arial Narrow"/>
        <family val="2"/>
      </rPr>
      <t>202X</t>
    </r>
    <r>
      <rPr>
        <sz val="10"/>
        <rFont val="宋体"/>
        <family val="3"/>
        <charset val="134"/>
      </rPr>
      <t>年度</t>
    </r>
    <phoneticPr fontId="32" type="noConversion"/>
  </si>
  <si>
    <t>关于工作底稿与审计程序索引号对应的说明</t>
    <phoneticPr fontId="32"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</si>
  <si>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32"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</si>
  <si>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32"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</si>
  <si>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32" type="noConversion"/>
  </si>
  <si>
    <t>根据被审计单位实际情况和风险评估情况裁剪、修改或增加审计程序</t>
    <phoneticPr fontId="32" type="noConversion"/>
  </si>
  <si>
    <t>审计程序</t>
    <phoneticPr fontId="123" type="noConversion"/>
  </si>
  <si>
    <t>对于研发项目资本化时点的判断，根据具体情况，需要检查的支持性文件包括但不限于：
（1）获取有关协议和董事会纪要、可行性研究报告等文件，检查企业研发活动的立项情况，确定研发项目处于研究阶段还是开发阶段；
（2）关注资本化的条件和依据，检查研究阶段和开发阶段界定时点是否合理，开发完成的时点的界定是否合理；检查开发阶段的支出资本化，是否满足准则规定的“五个条件”，并获取通过研发活动明显增强盈利能力、明显改善资产质量的证据（如研发形成专利，开发出新的产品，产品档次明显提升等）；对于确实无法区分研究阶段的支出和开发阶段的支出，检查是否将其所发生的研发支出全部费用化。</t>
    <phoneticPr fontId="105" type="noConversion"/>
  </si>
  <si>
    <t>检查本期新增其他研发费用的记账凭证和相关支持性文件，关注会计处理是否正确、划分为研发费用是否合理。</t>
    <phoneticPr fontId="105" type="noConversion"/>
  </si>
  <si>
    <t>I6-5</t>
    <phoneticPr fontId="105" type="noConversion"/>
  </si>
  <si>
    <t>13</t>
  </si>
  <si>
    <t>14</t>
  </si>
  <si>
    <t>15</t>
  </si>
  <si>
    <t>16</t>
  </si>
  <si>
    <t>取得或编制研发项目支出构成明细表，判断研发支出构成是否合理。</t>
    <phoneticPr fontId="105" type="noConversion"/>
  </si>
  <si>
    <r>
      <t>1.分析复核会计政策、会计估计合理性、一贯性，关注被审计单位是否利用会计政策和会计估计及其变更操纵利润。详见</t>
    </r>
    <r>
      <rPr>
        <sz val="10"/>
        <color rgb="FFFF0000"/>
        <rFont val="宋体"/>
        <family val="3"/>
        <charset val="134"/>
      </rPr>
      <t>&lt;会计政策检查I2-4&gt;</t>
    </r>
    <phoneticPr fontId="105" type="noConversion"/>
  </si>
  <si>
    <t>随机选样/系统选样/货币单元抽样/随意选样（非统计抽样适用）</t>
    <phoneticPr fontId="32" type="noConversion"/>
  </si>
  <si>
    <t>抽取XX笔（如果使用了样本计算器计算样本量，样本量计算过程见&lt;XX&gt;底稿）</t>
    <phoneticPr fontId="32" type="noConversion"/>
  </si>
  <si>
    <t>……</t>
    <phoneticPr fontId="105" type="noConversion"/>
  </si>
  <si>
    <t>截止性测试（账到单据）</t>
    <phoneticPr fontId="105" type="noConversion"/>
  </si>
  <si>
    <t>研发项目资本化时点判断</t>
  </si>
  <si>
    <t>研发项目构成明细表</t>
  </si>
  <si>
    <t>研发材料投入检查表</t>
  </si>
  <si>
    <t>研发人员认定检查表</t>
  </si>
  <si>
    <t>研发人员工时检查表</t>
  </si>
  <si>
    <t>委外研发检查表</t>
  </si>
  <si>
    <t>会计政策检查</t>
  </si>
  <si>
    <t>实质性分析</t>
    <phoneticPr fontId="105" type="noConversion"/>
  </si>
  <si>
    <t>I6-4</t>
    <phoneticPr fontId="105" type="noConversion"/>
  </si>
  <si>
    <t>I6-5</t>
    <phoneticPr fontId="105" type="noConversion"/>
  </si>
  <si>
    <t>I6-6</t>
    <phoneticPr fontId="105" type="noConversion"/>
  </si>
  <si>
    <t>I2-4</t>
  </si>
  <si>
    <t>I2-5</t>
  </si>
  <si>
    <t>I2-6</t>
  </si>
  <si>
    <t>I2-7</t>
  </si>
  <si>
    <t>I2-11</t>
  </si>
  <si>
    <t>I2-6</t>
    <phoneticPr fontId="105" type="noConversion"/>
  </si>
  <si>
    <t>I2-7</t>
    <phoneticPr fontId="105" type="noConversion"/>
  </si>
  <si>
    <t>I2-8</t>
    <phoneticPr fontId="105" type="noConversion"/>
  </si>
  <si>
    <t>I2-9</t>
    <phoneticPr fontId="105" type="noConversion"/>
  </si>
  <si>
    <t>I2-10</t>
    <phoneticPr fontId="105" type="noConversion"/>
  </si>
  <si>
    <t>I2-11</t>
    <phoneticPr fontId="105" type="noConversion"/>
  </si>
  <si>
    <r>
      <t>提示：</t>
    </r>
    <r>
      <rPr>
        <sz val="10"/>
        <color rgb="FF0000FF"/>
        <rFont val="Arial Narrow"/>
        <family val="2"/>
      </rPr>
      <t>I2-4</t>
    </r>
    <r>
      <rPr>
        <sz val="10"/>
        <color rgb="FF0000FF"/>
        <rFont val="宋体"/>
        <family val="3"/>
        <charset val="134"/>
      </rPr>
      <t>至</t>
    </r>
    <r>
      <rPr>
        <sz val="10"/>
        <color rgb="FF0000FF"/>
        <rFont val="Arial Narrow"/>
        <family val="2"/>
      </rPr>
      <t>I2-11</t>
    </r>
    <r>
      <rPr>
        <sz val="10"/>
        <color rgb="FF0000FF"/>
        <rFont val="宋体"/>
        <family val="3"/>
        <charset val="134"/>
      </rPr>
      <t>稿模板在开发支出底稿中，如果被审计单位既有开发支出又有研发费用可在开发支出中综合完成研发相关的主要底稿，研发费用交叉索引；如果被审计单位研发活动全部计入研发费用可将该部分底稿从开发支出底稿模板中移至研发费用中完成。</t>
    </r>
    <phoneticPr fontId="105" type="noConversion"/>
  </si>
  <si>
    <r>
      <t>2.分析研发费用变动情况、与收入占比、人均经费、与预算比较等。详见</t>
    </r>
    <r>
      <rPr>
        <sz val="10"/>
        <color rgb="FFFF0000"/>
        <rFont val="宋体"/>
        <family val="3"/>
        <charset val="134"/>
      </rPr>
      <t>&lt;实质性分析I2-5&gt;</t>
    </r>
    <phoneticPr fontId="105" type="noConversion"/>
  </si>
  <si>
    <r>
      <t>2.检查相关支持性文件，判断研发项目资本化时点的准确性。详见</t>
    </r>
    <r>
      <rPr>
        <sz val="10"/>
        <color rgb="FFFF0000"/>
        <rFont val="宋体"/>
        <family val="3"/>
        <charset val="134"/>
      </rPr>
      <t>&lt;研发项目资本化时点判断I2-6&gt;</t>
    </r>
    <phoneticPr fontId="105" type="noConversion"/>
  </si>
  <si>
    <r>
      <t>3.获取或编制研发项目支出构成明细表，详见</t>
    </r>
    <r>
      <rPr>
        <sz val="10"/>
        <color rgb="FFFF0000"/>
        <rFont val="宋体"/>
        <family val="3"/>
        <charset val="134"/>
      </rPr>
      <t>&lt;研发项目构成明细表I2-7&gt;</t>
    </r>
    <phoneticPr fontId="105" type="noConversion"/>
  </si>
  <si>
    <r>
      <t>3.检查研发材料投入，详见&lt;</t>
    </r>
    <r>
      <rPr>
        <sz val="10"/>
        <color rgb="FFFF0000"/>
        <rFont val="宋体"/>
        <family val="3"/>
        <charset val="134"/>
      </rPr>
      <t>研发材料投入检查表I2-8&gt;</t>
    </r>
    <phoneticPr fontId="105" type="noConversion"/>
  </si>
  <si>
    <r>
      <t>4.检查研发人员认定，详见</t>
    </r>
    <r>
      <rPr>
        <sz val="10"/>
        <color rgb="FFFF0000"/>
        <rFont val="宋体"/>
        <family val="3"/>
        <charset val="134"/>
      </rPr>
      <t>&lt;研发人员认定检查表I2-9&gt;</t>
    </r>
    <phoneticPr fontId="105" type="noConversion"/>
  </si>
  <si>
    <r>
      <t>5.检查研发工时投入，详见</t>
    </r>
    <r>
      <rPr>
        <sz val="10"/>
        <color rgb="FFFF0000"/>
        <rFont val="宋体"/>
        <family val="3"/>
        <charset val="134"/>
      </rPr>
      <t>&lt;研发人员工时检查表I2-10&gt;</t>
    </r>
    <phoneticPr fontId="105" type="noConversion"/>
  </si>
  <si>
    <r>
      <t>6.检查委外研发情况，详见&lt;</t>
    </r>
    <r>
      <rPr>
        <sz val="10"/>
        <color rgb="FFFF0000"/>
        <rFont val="宋体"/>
        <family val="3"/>
        <charset val="134"/>
      </rPr>
      <t>委外研发检查表I2-11&gt;</t>
    </r>
    <phoneticPr fontId="105" type="noConversion"/>
  </si>
  <si>
    <t>注：以下底稿模板在开发支出底稿中，如果被审计单位既有开发支出又有研发费用可在开发支出中综合完成研发相关的主要底稿，研发费用交叉索引；如果被审计单位研发活动全部计入研发费用可将该部分底稿从开发支出底稿模板中移至研发费用中完成。</t>
    <phoneticPr fontId="105" type="noConversion"/>
  </si>
  <si>
    <t>提示：该部分底稿模板在开发支出底稿中，如果被审计单位既有开发支出又有研发费用可在开发支出中综合完成研发相关的主要底稿，研发费用交叉索引；如果被审计单位研发活动全部计入研发费用可将该部分底稿从开发支出底稿模板中移至研发费用中完成。</t>
    <phoneticPr fontId="10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</si>
</sst>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6">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Red]\¥\-#,##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8" formatCode="#,##0_ "/>
    <numFmt numFmtId="209" formatCode="_ * #,##0.0000_ ;_ * \-#,##0.0000_ ;_ * &quot;-&quot;??_ ;_ @_ "/>
  </numFmts>
  <fonts count="127">
    <font>
      <sz val="11"/>
      <color theme="1"/>
      <name val="宋体"/>
      <charset val="134"/>
      <scheme val="minor"/>
    </font>
    <font>
      <sz val="11"/>
      <color theme="1"/>
      <name val="宋体"/>
      <family val="2"/>
      <charset val="134"/>
      <scheme val="minor"/>
    </font>
    <font>
      <sz val="10"/>
      <name val="Arial Narrow"/>
      <family val="2"/>
    </font>
    <font>
      <sz val="12"/>
      <name val="Arial Narrow"/>
      <family val="2"/>
    </font>
    <font>
      <b/>
      <sz val="10"/>
      <name val="Arial Narrow"/>
      <family val="2"/>
    </font>
    <font>
      <sz val="10"/>
      <color indexed="12"/>
      <name val="Arial Narrow"/>
      <family val="2"/>
    </font>
    <font>
      <b/>
      <sz val="10"/>
      <name val="宋体"/>
      <family val="3"/>
      <charset val="134"/>
    </font>
    <font>
      <b/>
      <sz val="12"/>
      <name val="宋体"/>
      <family val="3"/>
      <charset val="134"/>
    </font>
    <font>
      <b/>
      <sz val="12"/>
      <name val="Arial Narrow"/>
      <family val="2"/>
    </font>
    <font>
      <sz val="10"/>
      <name val="宋体"/>
      <family val="3"/>
      <charset val="134"/>
    </font>
    <font>
      <sz val="9"/>
      <color indexed="8"/>
      <name val="宋体"/>
      <family val="3"/>
      <charset val="134"/>
    </font>
    <font>
      <sz val="10"/>
      <color rgb="FFFF0000"/>
      <name val="宋体"/>
      <family val="3"/>
      <charset val="134"/>
    </font>
    <font>
      <b/>
      <sz val="10"/>
      <color rgb="FFFF0000"/>
      <name val="宋体"/>
      <family val="3"/>
      <charset val="134"/>
    </font>
    <font>
      <sz val="10"/>
      <color rgb="FF3333FF"/>
      <name val="宋体"/>
      <family val="3"/>
      <charset val="134"/>
    </font>
    <font>
      <i/>
      <sz val="10"/>
      <color indexed="12"/>
      <name val="宋体"/>
      <family val="3"/>
      <charset val="134"/>
    </font>
    <font>
      <sz val="10"/>
      <color indexed="12"/>
      <name val="宋体"/>
      <family val="3"/>
      <charset val="134"/>
    </font>
    <font>
      <b/>
      <sz val="10"/>
      <color indexed="12"/>
      <name val="宋体"/>
      <family val="3"/>
      <charset val="134"/>
    </font>
    <font>
      <sz val="10"/>
      <color indexed="10"/>
      <name val="宋体"/>
      <family val="3"/>
      <charset val="134"/>
    </font>
    <font>
      <sz val="10"/>
      <color indexed="8"/>
      <name val="Arial Narrow"/>
      <family val="2"/>
    </font>
    <font>
      <sz val="11"/>
      <color indexed="8"/>
      <name val="Arial Narrow"/>
      <family val="2"/>
    </font>
    <font>
      <sz val="10"/>
      <name val="Arial"/>
      <family val="2"/>
    </font>
    <font>
      <b/>
      <sz val="10"/>
      <color indexed="8"/>
      <name val="Arial Narrow"/>
      <family val="2"/>
    </font>
    <font>
      <b/>
      <sz val="10"/>
      <name val="Arial"/>
      <family val="2"/>
    </font>
    <font>
      <sz val="10"/>
      <name val="Arial Narrow"/>
      <family val="2"/>
    </font>
    <font>
      <sz val="10"/>
      <color indexed="8"/>
      <name val="宋体"/>
      <family val="3"/>
      <charset val="134"/>
    </font>
    <font>
      <b/>
      <sz val="10"/>
      <name val="宋体"/>
      <family val="3"/>
      <charset val="134"/>
    </font>
    <font>
      <b/>
      <sz val="10"/>
      <color indexed="8"/>
      <name val="宋体"/>
      <family val="3"/>
      <charset val="134"/>
    </font>
    <font>
      <b/>
      <sz val="10"/>
      <color rgb="FF000000"/>
      <name val="宋体"/>
      <family val="3"/>
      <charset val="134"/>
    </font>
    <font>
      <b/>
      <sz val="10"/>
      <color indexed="10"/>
      <name val="Arial Narrow"/>
      <family val="2"/>
    </font>
    <font>
      <b/>
      <sz val="12"/>
      <color indexed="8"/>
      <name val="Arial Narrow"/>
      <family val="2"/>
    </font>
    <font>
      <b/>
      <sz val="12"/>
      <color indexed="8"/>
      <name val="宋体"/>
      <family val="3"/>
      <charset val="134"/>
    </font>
    <font>
      <sz val="12"/>
      <name val="宋体"/>
      <family val="3"/>
      <charset val="134"/>
    </font>
    <font>
      <sz val="9"/>
      <name val="宋体"/>
      <family val="3"/>
      <charset val="134"/>
    </font>
    <font>
      <b/>
      <sz val="14"/>
      <name val="宋体"/>
      <family val="3"/>
      <charset val="134"/>
    </font>
    <font>
      <sz val="10"/>
      <color indexed="10"/>
      <name val="Arial Narrow"/>
      <family val="2"/>
    </font>
    <font>
      <sz val="12"/>
      <color indexed="12"/>
      <name val="宋体"/>
      <family val="3"/>
      <charset val="134"/>
    </font>
    <font>
      <b/>
      <sz val="10"/>
      <color rgb="FFE92841"/>
      <name val="Arial Narrow"/>
      <family val="2"/>
    </font>
    <font>
      <i/>
      <sz val="10"/>
      <color rgb="FFFF0000"/>
      <name val="宋体"/>
      <family val="3"/>
      <charset val="134"/>
    </font>
    <font>
      <b/>
      <sz val="10"/>
      <color rgb="FFFF0000"/>
      <name val="Arial Narrow"/>
      <family val="2"/>
    </font>
    <font>
      <i/>
      <sz val="10"/>
      <color rgb="FFFF0000"/>
      <name val="Arial Narrow"/>
      <family val="2"/>
    </font>
    <font>
      <sz val="10"/>
      <color indexed="8"/>
      <name val="宋体"/>
      <family val="3"/>
      <charset val="134"/>
      <scheme val="minor"/>
    </font>
    <font>
      <b/>
      <sz val="10"/>
      <color rgb="FF000000"/>
      <name val="宋体"/>
      <family val="3"/>
      <charset val="134"/>
      <scheme val="minor"/>
    </font>
    <font>
      <sz val="10"/>
      <color theme="3" tint="0.39994506668294322"/>
      <name val="宋体"/>
      <family val="3"/>
      <charset val="134"/>
      <scheme val="minor"/>
    </font>
    <font>
      <sz val="10"/>
      <color rgb="FF000000"/>
      <name val="Arial Narrow"/>
      <family val="2"/>
    </font>
    <font>
      <b/>
      <sz val="10"/>
      <color rgb="FF000000"/>
      <name val="Arial Narrow"/>
      <family val="2"/>
    </font>
    <font>
      <sz val="10"/>
      <color rgb="FF0000FF"/>
      <name val="宋体"/>
      <family val="3"/>
      <charset val="134"/>
      <scheme val="minor"/>
    </font>
    <font>
      <sz val="11"/>
      <color theme="1"/>
      <name val="宋体"/>
      <family val="3"/>
      <charset val="134"/>
      <scheme val="minor"/>
    </font>
    <font>
      <sz val="10"/>
      <color indexed="30"/>
      <name val="Arial Narrow"/>
      <family val="2"/>
    </font>
    <font>
      <b/>
      <sz val="10"/>
      <color indexed="8"/>
      <name val="宋体"/>
      <family val="3"/>
      <charset val="134"/>
      <scheme val="minor"/>
    </font>
    <font>
      <sz val="11"/>
      <color indexed="8"/>
      <name val="宋体"/>
      <family val="3"/>
      <charset val="134"/>
    </font>
    <font>
      <u/>
      <sz val="11"/>
      <color theme="10"/>
      <name val="宋体"/>
      <family val="3"/>
      <charset val="134"/>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1"/>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8"/>
      <name val="Century Schoolbook"/>
      <family val="1"/>
    </font>
    <font>
      <sz val="11"/>
      <color theme="1"/>
      <name val="宋体"/>
      <family val="3"/>
      <charset val="134"/>
      <scheme val="minor"/>
    </font>
    <font>
      <sz val="10"/>
      <color indexed="8"/>
      <name val="Tahoma"/>
      <family val="2"/>
    </font>
    <font>
      <sz val="11"/>
      <color indexed="8"/>
      <name val="宋体"/>
      <family val="3"/>
      <charset val="134"/>
    </font>
    <font>
      <sz val="12"/>
      <name val="Times New Roman"/>
      <family val="1"/>
    </font>
    <font>
      <u/>
      <sz val="10"/>
      <color indexed="12"/>
      <name val="宋体"/>
      <family val="3"/>
      <charset val="134"/>
    </font>
    <font>
      <u/>
      <sz val="12"/>
      <color indexed="12"/>
      <name val="宋体"/>
      <family val="3"/>
      <charset val="134"/>
    </font>
    <font>
      <u/>
      <sz val="11"/>
      <color theme="10"/>
      <name val="宋体"/>
      <family val="3"/>
      <charset val="134"/>
    </font>
    <font>
      <sz val="11"/>
      <name val="蹈框"/>
      <charset val="134"/>
    </font>
    <font>
      <sz val="11"/>
      <name val="ＭＳ Ｐゴシック"/>
      <family val="2"/>
    </font>
    <font>
      <sz val="12"/>
      <name val="바탕체"/>
      <family val="3"/>
    </font>
    <font>
      <sz val="9"/>
      <name val="宋体"/>
      <family val="3"/>
      <charset val="134"/>
      <scheme val="minor"/>
    </font>
    <font>
      <sz val="10"/>
      <color rgb="FFFF0000"/>
      <name val="Arial Narrow"/>
      <family val="2"/>
    </font>
    <font>
      <sz val="10"/>
      <color indexed="12"/>
      <name val="宋体"/>
      <family val="2"/>
    </font>
    <font>
      <sz val="10"/>
      <color indexed="8"/>
      <name val="Tahoma"/>
      <family val="2"/>
      <charset val="134"/>
    </font>
    <font>
      <sz val="11"/>
      <color indexed="8"/>
      <name val="宋体"/>
      <family val="2"/>
      <charset val="134"/>
    </font>
    <font>
      <sz val="11"/>
      <color theme="1"/>
      <name val="宋体"/>
      <family val="2"/>
      <scheme val="minor"/>
    </font>
    <font>
      <sz val="10"/>
      <color rgb="FF0000FF"/>
      <name val="Arial Narrow"/>
      <family val="2"/>
    </font>
    <font>
      <sz val="10"/>
      <color rgb="FF0000FF"/>
      <name val="宋体"/>
      <family val="3"/>
      <charset val="134"/>
    </font>
    <font>
      <sz val="10"/>
      <color indexed="10"/>
      <name val="宋体"/>
      <family val="2"/>
    </font>
    <font>
      <b/>
      <sz val="10"/>
      <color indexed="10"/>
      <name val="宋体"/>
      <family val="2"/>
    </font>
    <font>
      <b/>
      <sz val="10"/>
      <name val="宋体"/>
      <family val="2"/>
    </font>
    <font>
      <b/>
      <sz val="14"/>
      <color indexed="8"/>
      <name val="宋体"/>
      <family val="3"/>
      <charset val="134"/>
    </font>
    <font>
      <sz val="10"/>
      <name val="宋体"/>
      <family val="2"/>
    </font>
    <font>
      <b/>
      <sz val="14"/>
      <name val="Arial Narrow"/>
      <family val="2"/>
    </font>
    <font>
      <b/>
      <sz val="14"/>
      <color indexed="8"/>
      <name val="Arial Narrow"/>
      <family val="2"/>
    </font>
    <font>
      <sz val="12"/>
      <color rgb="FFFF0000"/>
      <name val="宋体"/>
      <family val="3"/>
      <charset val="134"/>
    </font>
    <font>
      <sz val="10"/>
      <color indexed="12"/>
      <name val="仿宋_GB2312"/>
      <family val="3"/>
      <charset val="134"/>
    </font>
    <font>
      <sz val="10"/>
      <color theme="1"/>
      <name val="宋体"/>
      <family val="3"/>
      <charset val="134"/>
      <scheme val="minor"/>
    </font>
    <font>
      <sz val="9"/>
      <name val="宋体"/>
      <family val="2"/>
      <charset val="134"/>
      <scheme val="minor"/>
    </font>
    <font>
      <b/>
      <sz val="9"/>
      <color indexed="81"/>
      <name val="宋体"/>
      <family val="3"/>
      <charset val="134"/>
    </font>
    <font>
      <sz val="9"/>
      <color indexed="81"/>
      <name val="宋体"/>
      <family val="3"/>
      <charset val="134"/>
    </font>
    <font>
      <sz val="10"/>
      <color theme="10"/>
      <name val="Arial Narrow"/>
      <family val="2"/>
    </font>
  </fonts>
  <fills count="30">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rgb="FFD9D9D9"/>
        <bgColor indexed="64"/>
      </patternFill>
    </fill>
    <fill>
      <patternFill patternType="solid">
        <fgColor indexed="14"/>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43"/>
        <bgColor indexed="64"/>
      </patternFill>
    </fill>
    <fill>
      <patternFill patternType="solid">
        <fgColor theme="7" tint="0.79998168889431442"/>
        <bgColor indexed="64"/>
      </patternFill>
    </fill>
  </fills>
  <borders count="37">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medium">
        <color auto="1"/>
      </top>
      <bottom style="medium">
        <color auto="1"/>
      </bottom>
      <diagonal/>
    </border>
    <border>
      <left/>
      <right/>
      <top/>
      <bottom style="medium">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style="hair">
        <color auto="1"/>
      </right>
      <top style="hair">
        <color auto="1"/>
      </top>
      <bottom style="hair">
        <color auto="1"/>
      </bottom>
      <diagonal/>
    </border>
    <border>
      <left style="hair">
        <color auto="1"/>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02">
    <xf numFmtId="0" fontId="0" fillId="0" borderId="0">
      <alignment vertical="center"/>
    </xf>
    <xf numFmtId="43" fontId="49" fillId="0" borderId="0" applyFont="0" applyFill="0" applyBorder="0" applyAlignment="0" applyProtection="0">
      <alignment vertical="center"/>
    </xf>
    <xf numFmtId="9" fontId="46"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20" fillId="0" borderId="0"/>
    <xf numFmtId="0" fontId="20" fillId="0" borderId="0"/>
    <xf numFmtId="0" fontId="20" fillId="0" borderId="0"/>
    <xf numFmtId="0" fontId="20" fillId="0" borderId="0"/>
    <xf numFmtId="49" fontId="51" fillId="0" borderId="0" applyProtection="0">
      <alignment horizontal="left"/>
    </xf>
    <xf numFmtId="0" fontId="52" fillId="0" borderId="0">
      <alignment vertical="top"/>
      <protection locked="0"/>
    </xf>
    <xf numFmtId="0" fontId="52" fillId="0" borderId="0">
      <alignment vertical="top"/>
      <protection locked="0"/>
    </xf>
    <xf numFmtId="0" fontId="52" fillId="0" borderId="0">
      <alignment vertical="top"/>
      <protection locked="0"/>
    </xf>
    <xf numFmtId="0" fontId="52" fillId="0" borderId="0">
      <alignment vertical="top"/>
    </xf>
    <xf numFmtId="0" fontId="52" fillId="0" borderId="0">
      <alignment vertical="top"/>
    </xf>
    <xf numFmtId="0" fontId="52" fillId="0" borderId="0">
      <alignment vertical="top"/>
      <protection locked="0"/>
    </xf>
    <xf numFmtId="0" fontId="52" fillId="0" borderId="0">
      <alignment vertical="top"/>
    </xf>
    <xf numFmtId="0" fontId="52" fillId="0" borderId="0">
      <alignment vertical="top"/>
    </xf>
    <xf numFmtId="0" fontId="52" fillId="0" borderId="0">
      <alignment vertical="top"/>
      <protection locked="0"/>
    </xf>
    <xf numFmtId="0" fontId="52" fillId="0" borderId="0">
      <alignment vertical="top"/>
      <protection locked="0"/>
    </xf>
    <xf numFmtId="0" fontId="52" fillId="0" borderId="0">
      <alignment vertical="top"/>
      <protection locked="0"/>
    </xf>
    <xf numFmtId="0" fontId="52" fillId="0" borderId="0">
      <alignment vertical="top"/>
    </xf>
    <xf numFmtId="0" fontId="52" fillId="0" borderId="0">
      <alignment vertical="top"/>
    </xf>
    <xf numFmtId="0" fontId="52" fillId="0" borderId="0">
      <alignment vertical="top"/>
      <protection locked="0"/>
    </xf>
    <xf numFmtId="0" fontId="52" fillId="0" borderId="0">
      <alignment vertical="top"/>
    </xf>
    <xf numFmtId="0" fontId="52" fillId="0" borderId="0">
      <alignment vertical="top"/>
    </xf>
    <xf numFmtId="0" fontId="52" fillId="0" borderId="0">
      <alignment vertical="top"/>
    </xf>
    <xf numFmtId="0" fontId="52" fillId="0" borderId="0">
      <alignment vertical="top"/>
      <protection locked="0"/>
    </xf>
    <xf numFmtId="0" fontId="52" fillId="0" borderId="0">
      <alignment vertical="top"/>
    </xf>
    <xf numFmtId="0" fontId="52" fillId="0" borderId="0">
      <alignment vertical="top"/>
      <protection locked="0"/>
    </xf>
    <xf numFmtId="0" fontId="52" fillId="0" borderId="0">
      <alignment vertical="top"/>
      <protection locked="0"/>
    </xf>
    <xf numFmtId="0" fontId="52" fillId="0" borderId="0">
      <alignment vertical="top"/>
      <protection locked="0"/>
    </xf>
    <xf numFmtId="0" fontId="52" fillId="0" borderId="0">
      <alignment vertical="top"/>
    </xf>
    <xf numFmtId="0" fontId="52" fillId="0" borderId="0">
      <alignment vertical="top"/>
    </xf>
    <xf numFmtId="0" fontId="52" fillId="0" borderId="0">
      <alignment vertical="top"/>
    </xf>
    <xf numFmtId="0" fontId="52" fillId="0" borderId="0">
      <alignment vertical="top"/>
    </xf>
    <xf numFmtId="0" fontId="52" fillId="0" borderId="0">
      <alignment vertical="top"/>
      <protection locked="0"/>
    </xf>
    <xf numFmtId="0" fontId="52" fillId="0" borderId="0">
      <alignment vertical="top"/>
      <protection locked="0"/>
    </xf>
    <xf numFmtId="0" fontId="52" fillId="0" borderId="0">
      <alignment vertical="top"/>
    </xf>
    <xf numFmtId="0" fontId="52" fillId="0" borderId="0">
      <alignment vertical="top"/>
      <protection locked="0"/>
    </xf>
    <xf numFmtId="176" fontId="51" fillId="0" borderId="0" applyFill="0" applyBorder="0" applyProtection="0">
      <alignment horizontal="right"/>
    </xf>
    <xf numFmtId="177" fontId="51" fillId="0" borderId="0" applyFill="0" applyBorder="0" applyProtection="0">
      <alignment horizontal="right"/>
    </xf>
    <xf numFmtId="178" fontId="53" fillId="0" borderId="0" applyFill="0" applyBorder="0" applyProtection="0">
      <alignment horizontal="center"/>
    </xf>
    <xf numFmtId="179" fontId="53" fillId="0" borderId="0" applyFill="0" applyBorder="0" applyProtection="0">
      <alignment horizontal="center"/>
    </xf>
    <xf numFmtId="180" fontId="54" fillId="0" borderId="0" applyFill="0" applyBorder="0" applyProtection="0">
      <alignment horizontal="right"/>
    </xf>
    <xf numFmtId="181" fontId="51" fillId="0" borderId="0" applyFill="0" applyBorder="0" applyProtection="0">
      <alignment horizontal="right"/>
    </xf>
    <xf numFmtId="182" fontId="51" fillId="0" borderId="0" applyFill="0" applyBorder="0" applyProtection="0">
      <alignment horizontal="right"/>
    </xf>
    <xf numFmtId="183" fontId="51" fillId="0" borderId="0" applyFill="0" applyBorder="0" applyProtection="0">
      <alignment horizontal="right"/>
    </xf>
    <xf numFmtId="184" fontId="51" fillId="0" borderId="0" applyFill="0" applyBorder="0" applyProtection="0">
      <alignment horizontal="right"/>
    </xf>
    <xf numFmtId="185" fontId="55" fillId="0" borderId="0" applyFont="0" applyFill="0" applyBorder="0" applyAlignment="0" applyProtection="0"/>
    <xf numFmtId="186" fontId="55" fillId="0" borderId="0" applyFont="0" applyFill="0" applyBorder="0" applyAlignment="0" applyProtection="0"/>
    <xf numFmtId="10" fontId="55" fillId="0" borderId="0" applyFont="0" applyFill="0" applyBorder="0" applyAlignment="0" applyProtection="0"/>
    <xf numFmtId="0" fontId="56" fillId="6" borderId="0" applyNumberFormat="0" applyBorder="0" applyAlignment="0" applyProtection="0"/>
    <xf numFmtId="0" fontId="56" fillId="7" borderId="0" applyNumberFormat="0" applyBorder="0" applyAlignment="0" applyProtection="0"/>
    <xf numFmtId="0" fontId="56" fillId="8" borderId="0" applyNumberFormat="0" applyBorder="0" applyAlignment="0" applyProtection="0"/>
    <xf numFmtId="0" fontId="56" fillId="9" borderId="0" applyNumberFormat="0" applyBorder="0" applyAlignment="0" applyProtection="0"/>
    <xf numFmtId="0" fontId="56" fillId="10" borderId="0" applyNumberFormat="0" applyBorder="0" applyAlignment="0" applyProtection="0"/>
    <xf numFmtId="0" fontId="56" fillId="11" borderId="0" applyNumberFormat="0" applyBorder="0" applyAlignment="0" applyProtection="0"/>
    <xf numFmtId="0" fontId="56" fillId="12"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9" borderId="0" applyNumberFormat="0" applyBorder="0" applyAlignment="0" applyProtection="0"/>
    <xf numFmtId="0" fontId="56" fillId="12" borderId="0" applyNumberFormat="0" applyBorder="0" applyAlignment="0" applyProtection="0"/>
    <xf numFmtId="0" fontId="56" fillId="15" borderId="0" applyNumberFormat="0" applyBorder="0" applyAlignment="0" applyProtection="0"/>
    <xf numFmtId="0" fontId="57" fillId="16" borderId="0" applyNumberFormat="0" applyBorder="0" applyAlignment="0" applyProtection="0"/>
    <xf numFmtId="0" fontId="57" fillId="13" borderId="0" applyNumberFormat="0" applyBorder="0" applyAlignment="0" applyProtection="0"/>
    <xf numFmtId="0" fontId="57" fillId="14" borderId="0" applyNumberFormat="0" applyBorder="0" applyAlignment="0" applyProtection="0"/>
    <xf numFmtId="0" fontId="57" fillId="17" borderId="0" applyNumberFormat="0" applyBorder="0" applyAlignment="0" applyProtection="0"/>
    <xf numFmtId="0" fontId="57" fillId="18" borderId="0" applyNumberFormat="0" applyBorder="0" applyAlignment="0" applyProtection="0"/>
    <xf numFmtId="0" fontId="57" fillId="19" borderId="0" applyNumberFormat="0" applyBorder="0" applyAlignment="0" applyProtection="0"/>
    <xf numFmtId="0" fontId="57" fillId="20" borderId="0" applyNumberFormat="0" applyBorder="0" applyAlignment="0" applyProtection="0"/>
    <xf numFmtId="0" fontId="57" fillId="21" borderId="0" applyNumberFormat="0" applyBorder="0" applyAlignment="0" applyProtection="0"/>
    <xf numFmtId="0" fontId="57" fillId="22" borderId="0" applyNumberFormat="0" applyBorder="0" applyAlignment="0" applyProtection="0"/>
    <xf numFmtId="0" fontId="57" fillId="17" borderId="0" applyNumberFormat="0" applyBorder="0" applyAlignment="0" applyProtection="0"/>
    <xf numFmtId="0" fontId="57" fillId="18" borderId="0" applyNumberFormat="0" applyBorder="0" applyAlignment="0" applyProtection="0"/>
    <xf numFmtId="0" fontId="57" fillId="23" borderId="0" applyNumberFormat="0" applyBorder="0" applyAlignment="0" applyProtection="0"/>
    <xf numFmtId="0" fontId="58" fillId="7" borderId="0" applyNumberFormat="0" applyBorder="0" applyAlignment="0" applyProtection="0"/>
    <xf numFmtId="3" fontId="59" fillId="0" borderId="0"/>
    <xf numFmtId="187" fontId="60" fillId="0" borderId="11" applyAlignment="0" applyProtection="0"/>
    <xf numFmtId="188" fontId="52" fillId="0" borderId="0" applyFill="0" applyBorder="0" applyAlignment="0"/>
    <xf numFmtId="0" fontId="61" fillId="24" borderId="12" applyNumberFormat="0" applyAlignment="0" applyProtection="0"/>
    <xf numFmtId="0" fontId="62" fillId="25" borderId="13" applyNumberFormat="0" applyAlignment="0" applyProtection="0"/>
    <xf numFmtId="0" fontId="63" fillId="0" borderId="10" applyNumberFormat="0" applyFill="0" applyProtection="0">
      <alignment horizontal="center"/>
    </xf>
    <xf numFmtId="0" fontId="64" fillId="0" borderId="14">
      <alignment horizontal="center"/>
    </xf>
    <xf numFmtId="189" fontId="20" fillId="0" borderId="0"/>
    <xf numFmtId="189" fontId="20" fillId="0" borderId="0"/>
    <xf numFmtId="189" fontId="20" fillId="0" borderId="0"/>
    <xf numFmtId="189" fontId="20" fillId="0" borderId="0"/>
    <xf numFmtId="189" fontId="20" fillId="0" borderId="0"/>
    <xf numFmtId="189" fontId="20" fillId="0" borderId="0"/>
    <xf numFmtId="189" fontId="20" fillId="0" borderId="0"/>
    <xf numFmtId="189" fontId="20" fillId="0" borderId="0"/>
    <xf numFmtId="38" fontId="65" fillId="0" borderId="0" applyFont="0" applyFill="0" applyBorder="0" applyAlignment="0" applyProtection="0"/>
    <xf numFmtId="37" fontId="55" fillId="0" borderId="0" applyFont="0" applyFill="0" applyBorder="0" applyAlignment="0" applyProtection="0"/>
    <xf numFmtId="190" fontId="55" fillId="0" borderId="0" applyFont="0" applyFill="0" applyBorder="0" applyAlignment="0" applyProtection="0"/>
    <xf numFmtId="39" fontId="55" fillId="0" borderId="0" applyFont="0" applyFill="0" applyBorder="0" applyAlignment="0" applyProtection="0"/>
    <xf numFmtId="40" fontId="65" fillId="0" borderId="0" applyFont="0" applyFill="0" applyBorder="0" applyAlignment="0" applyProtection="0"/>
    <xf numFmtId="191" fontId="31" fillId="0" borderId="0" applyFont="0" applyFill="0" applyBorder="0" applyAlignment="0" applyProtection="0"/>
    <xf numFmtId="187" fontId="55" fillId="0" borderId="0" applyFont="0" applyFill="0" applyBorder="0" applyAlignment="0" applyProtection="0"/>
    <xf numFmtId="192" fontId="55" fillId="0" borderId="0" applyFont="0" applyFill="0" applyBorder="0" applyAlignment="0" applyProtection="0"/>
    <xf numFmtId="193" fontId="31"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0" fontId="66" fillId="0" borderId="0">
      <alignment horizontal="left"/>
    </xf>
    <xf numFmtId="0" fontId="67" fillId="26" borderId="9"/>
    <xf numFmtId="194" fontId="51" fillId="0" borderId="0" applyFont="0" applyFill="0" applyBorder="0" applyAlignment="0" applyProtection="0"/>
    <xf numFmtId="0" fontId="68" fillId="0" borderId="0" applyNumberFormat="0" applyFill="0" applyBorder="0" applyAlignment="0" applyProtection="0"/>
    <xf numFmtId="194" fontId="69" fillId="0" borderId="0" applyNumberFormat="0" applyFill="0" applyBorder="0" applyAlignment="0" applyProtection="0">
      <alignment vertical="top"/>
      <protection locked="0"/>
    </xf>
    <xf numFmtId="0" fontId="70" fillId="8" borderId="0" applyNumberFormat="0" applyBorder="0" applyAlignment="0" applyProtection="0"/>
    <xf numFmtId="38" fontId="67" fillId="24" borderId="0" applyNumberFormat="0" applyBorder="0" applyAlignment="0" applyProtection="0"/>
    <xf numFmtId="0" fontId="71" fillId="0" borderId="7" applyNumberFormat="0" applyAlignment="0" applyProtection="0">
      <alignment horizontal="left" vertical="center"/>
    </xf>
    <xf numFmtId="0" fontId="71" fillId="0" borderId="15">
      <alignment horizontal="left" vertical="center"/>
    </xf>
    <xf numFmtId="14" fontId="22" fillId="10" borderId="8">
      <alignment horizontal="center" vertical="center" wrapText="1"/>
    </xf>
    <xf numFmtId="0" fontId="72" fillId="0" borderId="16" applyNumberFormat="0" applyFill="0" applyAlignment="0" applyProtection="0"/>
    <xf numFmtId="0" fontId="73" fillId="0" borderId="17" applyNumberFormat="0" applyFill="0" applyAlignment="0" applyProtection="0"/>
    <xf numFmtId="0" fontId="74" fillId="0" borderId="18" applyNumberFormat="0" applyFill="0" applyAlignment="0" applyProtection="0"/>
    <xf numFmtId="0" fontId="74" fillId="0" borderId="0" applyNumberFormat="0" applyFill="0" applyBorder="0" applyAlignment="0" applyProtection="0"/>
    <xf numFmtId="194" fontId="75" fillId="0" borderId="0" applyNumberFormat="0" applyFill="0" applyBorder="0" applyAlignment="0" applyProtection="0">
      <alignment vertical="top"/>
      <protection locked="0"/>
    </xf>
    <xf numFmtId="0" fontId="76" fillId="11" borderId="12" applyNumberFormat="0" applyAlignment="0" applyProtection="0"/>
    <xf numFmtId="10" fontId="67" fillId="27" borderId="9" applyNumberFormat="0" applyBorder="0" applyAlignment="0" applyProtection="0"/>
    <xf numFmtId="0" fontId="51" fillId="0" borderId="0" applyNumberFormat="0" applyFont="0" applyFill="0" applyBorder="0" applyProtection="0">
      <alignment horizontal="left" vertical="center"/>
    </xf>
    <xf numFmtId="0" fontId="77" fillId="0" borderId="19" applyNumberFormat="0" applyFill="0" applyAlignment="0" applyProtection="0"/>
    <xf numFmtId="41" fontId="20" fillId="0" borderId="0" applyFont="0" applyFill="0" applyBorder="0" applyAlignment="0" applyProtection="0"/>
    <xf numFmtId="43" fontId="20" fillId="0" borderId="0" applyFont="0" applyFill="0" applyBorder="0" applyAlignment="0" applyProtection="0"/>
    <xf numFmtId="195" fontId="31" fillId="0" borderId="0" applyFont="0" applyFill="0" applyBorder="0" applyAlignment="0" applyProtection="0"/>
    <xf numFmtId="196" fontId="31" fillId="0" borderId="0" applyFont="0" applyFill="0" applyBorder="0" applyAlignment="0" applyProtection="0"/>
    <xf numFmtId="197" fontId="20" fillId="0" borderId="0" applyFont="0" applyFill="0" applyBorder="0" applyAlignment="0" applyProtection="0"/>
    <xf numFmtId="198" fontId="20" fillId="0" borderId="0" applyFont="0" applyFill="0" applyBorder="0" applyAlignment="0" applyProtection="0"/>
    <xf numFmtId="199" fontId="20" fillId="0" borderId="0" applyFont="0" applyFill="0" applyBorder="0" applyAlignment="0" applyProtection="0"/>
    <xf numFmtId="200" fontId="31" fillId="0" borderId="0" applyFont="0" applyFill="0" applyBorder="0" applyAlignment="0" applyProtection="0"/>
    <xf numFmtId="0" fontId="78" fillId="28" borderId="0" applyNumberFormat="0" applyBorder="0" applyAlignment="0" applyProtection="0"/>
    <xf numFmtId="37" fontId="79" fillId="0" borderId="0"/>
    <xf numFmtId="194" fontId="80" fillId="0" borderId="0"/>
    <xf numFmtId="201" fontId="31" fillId="0" borderId="0"/>
    <xf numFmtId="0" fontId="65" fillId="0" borderId="0"/>
    <xf numFmtId="0" fontId="81" fillId="0" borderId="0"/>
    <xf numFmtId="0" fontId="20" fillId="27" borderId="20" applyNumberFormat="0" applyFont="0" applyAlignment="0" applyProtection="0"/>
    <xf numFmtId="0" fontId="82" fillId="24" borderId="21" applyNumberFormat="0" applyAlignment="0" applyProtection="0"/>
    <xf numFmtId="202" fontId="20" fillId="0" borderId="0" applyFont="0" applyFill="0" applyBorder="0" applyAlignment="0" applyProtection="0"/>
    <xf numFmtId="10" fontId="20" fillId="0" borderId="0" applyFont="0" applyFill="0" applyBorder="0" applyAlignment="0" applyProtection="0"/>
    <xf numFmtId="0" fontId="67" fillId="24" borderId="9"/>
    <xf numFmtId="4" fontId="66" fillId="0" borderId="0">
      <alignment horizontal="right"/>
    </xf>
    <xf numFmtId="3" fontId="83" fillId="0" borderId="0"/>
    <xf numFmtId="4" fontId="84" fillId="0" borderId="0">
      <alignment horizontal="right"/>
    </xf>
    <xf numFmtId="0" fontId="85" fillId="0" borderId="0">
      <alignment horizontal="left"/>
    </xf>
    <xf numFmtId="0" fontId="86" fillId="0" borderId="9">
      <alignment horizontal="center"/>
    </xf>
    <xf numFmtId="0" fontId="86" fillId="0" borderId="0">
      <alignment horizontal="center" vertical="center"/>
    </xf>
    <xf numFmtId="0" fontId="87" fillId="0" borderId="0" applyNumberFormat="0" applyFill="0">
      <alignment horizontal="left" vertical="center"/>
    </xf>
    <xf numFmtId="0" fontId="88" fillId="0" borderId="0" applyFill="0" applyBorder="0" applyProtection="0">
      <alignment horizontal="left" vertical="top"/>
    </xf>
    <xf numFmtId="0" fontId="89" fillId="0" borderId="0">
      <alignment horizontal="center"/>
    </xf>
    <xf numFmtId="0" fontId="90" fillId="0" borderId="22" applyNumberFormat="0" applyFill="0" applyAlignment="0" applyProtection="0"/>
    <xf numFmtId="0" fontId="91" fillId="0" borderId="0" applyNumberFormat="0" applyFill="0" applyBorder="0" applyAlignment="0" applyProtection="0"/>
    <xf numFmtId="0" fontId="92" fillId="0" borderId="0" applyNumberFormat="0" applyFont="0" applyFill="0" applyBorder="0" applyProtection="0">
      <alignment horizontal="center" vertical="center" wrapText="1"/>
    </xf>
    <xf numFmtId="9" fontId="93" fillId="0" borderId="0" applyFont="0" applyFill="0" applyBorder="0" applyAlignment="0" applyProtection="0"/>
    <xf numFmtId="9" fontId="31" fillId="0" borderId="0" applyFont="0" applyFill="0" applyBorder="0" applyAlignment="0" applyProtection="0"/>
    <xf numFmtId="4" fontId="94" fillId="0" borderId="0">
      <alignment horizontal="right"/>
    </xf>
    <xf numFmtId="194" fontId="95" fillId="0" borderId="0">
      <alignment vertical="center"/>
    </xf>
    <xf numFmtId="0" fontId="31" fillId="0" borderId="0">
      <protection locked="0"/>
    </xf>
    <xf numFmtId="0" fontId="95" fillId="0" borderId="0"/>
    <xf numFmtId="0" fontId="31" fillId="0" borderId="0">
      <protection locked="0"/>
    </xf>
    <xf numFmtId="0" fontId="31" fillId="0" borderId="0">
      <protection locked="0"/>
    </xf>
    <xf numFmtId="194" fontId="46" fillId="0" borderId="0">
      <alignment vertical="center"/>
    </xf>
    <xf numFmtId="194" fontId="31" fillId="0" borderId="0"/>
    <xf numFmtId="194" fontId="96" fillId="0" borderId="0">
      <alignment vertical="center"/>
    </xf>
    <xf numFmtId="194" fontId="97" fillId="0" borderId="0">
      <alignment vertical="center"/>
    </xf>
    <xf numFmtId="0" fontId="46" fillId="0" borderId="0">
      <alignment vertical="center"/>
    </xf>
    <xf numFmtId="0" fontId="31" fillId="0" borderId="0">
      <alignment vertical="center"/>
    </xf>
    <xf numFmtId="0" fontId="31" fillId="0" borderId="0">
      <alignment vertical="center"/>
    </xf>
    <xf numFmtId="0" fontId="31" fillId="0" borderId="0"/>
    <xf numFmtId="0" fontId="31" fillId="0" borderId="0" applyFill="0" applyBorder="0"/>
    <xf numFmtId="0" fontId="31" fillId="0" borderId="0">
      <alignment vertical="center"/>
    </xf>
    <xf numFmtId="0" fontId="99" fillId="0" borderId="0" applyNumberFormat="0" applyFill="0" applyBorder="0" applyAlignment="0" applyProtection="0">
      <alignment vertical="top"/>
      <protection locked="0"/>
    </xf>
    <xf numFmtId="194"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194" fontId="101" fillId="0" borderId="0" applyNumberFormat="0" applyFill="0" applyBorder="0" applyAlignment="0" applyProtection="0">
      <alignment vertical="center"/>
    </xf>
    <xf numFmtId="0" fontId="100" fillId="0" borderId="0" applyNumberFormat="0" applyFill="0" applyBorder="0" applyAlignment="0" applyProtection="0">
      <alignment vertical="top"/>
      <protection locked="0"/>
    </xf>
    <xf numFmtId="0" fontId="60" fillId="0" borderId="0" applyNumberFormat="0" applyFill="0" applyBorder="0" applyAlignment="0" applyProtection="0"/>
    <xf numFmtId="4" fontId="92" fillId="0" borderId="0" applyFont="0" applyFill="0" applyBorder="0" applyAlignment="0" applyProtection="0"/>
    <xf numFmtId="41" fontId="20" fillId="0" borderId="0" applyFont="0" applyFill="0" applyBorder="0" applyAlignment="0" applyProtection="0"/>
    <xf numFmtId="203" fontId="98" fillId="0" borderId="0" applyFont="0" applyFill="0" applyBorder="0" applyAlignment="0" applyProtection="0"/>
    <xf numFmtId="204" fontId="31" fillId="0" borderId="0" applyFont="0" applyFill="0" applyBorder="0" applyAlignment="0" applyProtection="0"/>
    <xf numFmtId="205" fontId="98" fillId="0" borderId="0" applyFont="0" applyFill="0" applyBorder="0" applyAlignment="0" applyProtection="0"/>
    <xf numFmtId="206" fontId="98" fillId="0" borderId="0" applyFont="0" applyFill="0" applyBorder="0" applyAlignment="0" applyProtection="0"/>
    <xf numFmtId="0" fontId="51" fillId="0" borderId="0"/>
    <xf numFmtId="41" fontId="51" fillId="0" borderId="0" applyFont="0" applyFill="0" applyBorder="0" applyAlignment="0" applyProtection="0"/>
    <xf numFmtId="43" fontId="51"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102" fillId="0" borderId="0"/>
    <xf numFmtId="198" fontId="20" fillId="0" borderId="0" applyFont="0" applyFill="0" applyBorder="0" applyAlignment="0" applyProtection="0"/>
    <xf numFmtId="207" fontId="92" fillId="0" borderId="0" applyFont="0" applyFill="0" applyBorder="0" applyAlignment="0" applyProtection="0"/>
    <xf numFmtId="194" fontId="52" fillId="0" borderId="0">
      <alignment vertical="top"/>
    </xf>
    <xf numFmtId="38" fontId="103" fillId="0" borderId="0" applyFont="0" applyFill="0" applyBorder="0" applyAlignment="0" applyProtection="0"/>
    <xf numFmtId="40" fontId="103"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104" fillId="0" borderId="0"/>
    <xf numFmtId="194" fontId="108" fillId="0" borderId="0">
      <alignment vertical="center"/>
    </xf>
    <xf numFmtId="194" fontId="109" fillId="0" borderId="0">
      <alignment vertical="center"/>
    </xf>
    <xf numFmtId="0" fontId="110" fillId="0" borderId="0"/>
    <xf numFmtId="194" fontId="31" fillId="0" borderId="0">
      <protection locked="0"/>
    </xf>
    <xf numFmtId="194" fontId="1" fillId="0" borderId="0">
      <alignment vertical="center"/>
    </xf>
    <xf numFmtId="0" fontId="46" fillId="0" borderId="0">
      <alignment vertical="center"/>
    </xf>
  </cellStyleXfs>
  <cellXfs count="311">
    <xf numFmtId="0" fontId="0" fillId="0" borderId="0" xfId="0">
      <alignment vertical="center"/>
    </xf>
    <xf numFmtId="0" fontId="2" fillId="0" borderId="0" xfId="166" applyFont="1">
      <alignment vertical="center"/>
    </xf>
    <xf numFmtId="0" fontId="3" fillId="0" borderId="0" xfId="166" applyFont="1">
      <alignment vertical="center"/>
    </xf>
    <xf numFmtId="0" fontId="2" fillId="0" borderId="0" xfId="167" applyFont="1" applyAlignment="1" applyProtection="1">
      <alignment vertical="center"/>
      <protection locked="0"/>
    </xf>
    <xf numFmtId="0" fontId="4" fillId="0" borderId="0" xfId="156" applyFont="1" applyAlignment="1">
      <alignment vertical="center"/>
      <protection locked="0"/>
    </xf>
    <xf numFmtId="0" fontId="5" fillId="0" borderId="0" xfId="156" applyFont="1" applyAlignment="1">
      <alignment vertical="center"/>
      <protection locked="0"/>
    </xf>
    <xf numFmtId="0" fontId="5" fillId="0" borderId="0" xfId="156" applyFont="1">
      <protection locked="0"/>
    </xf>
    <xf numFmtId="0" fontId="2" fillId="0" borderId="0" xfId="156" applyFont="1" applyAlignment="1">
      <alignment vertical="center"/>
      <protection locked="0"/>
    </xf>
    <xf numFmtId="14" fontId="9" fillId="0" borderId="0" xfId="156" applyNumberFormat="1" applyFont="1" applyAlignment="1">
      <alignment vertical="center"/>
      <protection locked="0"/>
    </xf>
    <xf numFmtId="0" fontId="2" fillId="0" borderId="0" xfId="156" applyFont="1" applyAlignment="1">
      <alignment vertical="center" wrapText="1"/>
      <protection locked="0"/>
    </xf>
    <xf numFmtId="0" fontId="2" fillId="0" borderId="0" xfId="169" applyFont="1">
      <alignment vertical="center"/>
    </xf>
    <xf numFmtId="14" fontId="2" fillId="0" borderId="0" xfId="156" applyNumberFormat="1" applyFont="1" applyAlignment="1">
      <alignment vertical="center"/>
      <protection locked="0"/>
    </xf>
    <xf numFmtId="0" fontId="9" fillId="0" borderId="0" xfId="156" applyFont="1" applyAlignment="1">
      <alignment vertical="center"/>
      <protection locked="0"/>
    </xf>
    <xf numFmtId="0" fontId="6" fillId="0" borderId="0" xfId="167" applyFont="1" applyAlignment="1">
      <alignment vertical="center"/>
    </xf>
    <xf numFmtId="0" fontId="4" fillId="0" borderId="0" xfId="167" applyFont="1" applyAlignment="1">
      <alignment vertical="center"/>
    </xf>
    <xf numFmtId="0" fontId="10" fillId="0" borderId="0" xfId="0" applyFont="1" applyAlignment="1">
      <alignment horizontal="left" vertical="center"/>
    </xf>
    <xf numFmtId="0" fontId="2" fillId="0" borderId="0" xfId="156" applyFont="1" applyAlignment="1" applyProtection="1">
      <alignment horizontal="right" vertical="center"/>
    </xf>
    <xf numFmtId="0" fontId="9" fillId="0" borderId="0" xfId="156" applyFont="1" applyAlignment="1" applyProtection="1">
      <alignment vertical="center"/>
    </xf>
    <xf numFmtId="194" fontId="11" fillId="0" borderId="0" xfId="0" applyNumberFormat="1" applyFont="1" applyFill="1" applyBorder="1" applyAlignment="1" applyProtection="1">
      <alignment horizontal="left" vertical="center"/>
    </xf>
    <xf numFmtId="0" fontId="12" fillId="0" borderId="0" xfId="167" applyFont="1" applyAlignment="1">
      <alignment vertical="center"/>
    </xf>
    <xf numFmtId="0" fontId="11" fillId="0" borderId="0" xfId="0" applyNumberFormat="1" applyFont="1" applyFill="1" applyBorder="1" applyAlignment="1" applyProtection="1">
      <alignment horizontal="left" vertical="center"/>
    </xf>
    <xf numFmtId="0" fontId="5" fillId="0" borderId="0" xfId="167" applyFont="1" applyAlignment="1" applyProtection="1">
      <alignment horizontal="center" vertical="center"/>
      <protection hidden="1"/>
    </xf>
    <xf numFmtId="0" fontId="2" fillId="0" borderId="0" xfId="167" applyFont="1" applyAlignment="1" applyProtection="1">
      <alignment horizontal="left" vertical="center"/>
      <protection hidden="1"/>
    </xf>
    <xf numFmtId="0" fontId="5" fillId="0" borderId="0" xfId="167" applyFont="1" applyAlignment="1" applyProtection="1">
      <alignment horizontal="left" vertical="center"/>
      <protection locked="0"/>
    </xf>
    <xf numFmtId="0" fontId="6" fillId="2" borderId="1" xfId="156" applyFont="1" applyFill="1" applyBorder="1" applyAlignment="1">
      <alignment horizontal="center" vertical="center"/>
      <protection locked="0"/>
    </xf>
    <xf numFmtId="0" fontId="2" fillId="0" borderId="1" xfId="156" applyFont="1" applyBorder="1" applyAlignment="1">
      <alignment horizontal="center" vertical="center"/>
      <protection locked="0"/>
    </xf>
    <xf numFmtId="43" fontId="2" fillId="0" borderId="1" xfId="156" applyNumberFormat="1" applyFont="1" applyBorder="1" applyAlignment="1">
      <alignment horizontal="center" vertical="center"/>
      <protection locked="0"/>
    </xf>
    <xf numFmtId="0" fontId="2" fillId="0" borderId="1" xfId="156" applyFont="1" applyBorder="1" applyAlignment="1">
      <alignment vertical="center"/>
      <protection locked="0"/>
    </xf>
    <xf numFmtId="43" fontId="2" fillId="0" borderId="1" xfId="156" applyNumberFormat="1" applyFont="1" applyBorder="1" applyAlignment="1">
      <alignment vertical="center"/>
      <protection locked="0"/>
    </xf>
    <xf numFmtId="0" fontId="4" fillId="2" borderId="2" xfId="156" applyFont="1" applyFill="1" applyBorder="1" applyAlignment="1">
      <alignment horizontal="centerContinuous" vertical="center"/>
      <protection locked="0"/>
    </xf>
    <xf numFmtId="0" fontId="4" fillId="2" borderId="3" xfId="156" applyFont="1" applyFill="1" applyBorder="1" applyAlignment="1">
      <alignment horizontal="centerContinuous" vertical="center"/>
      <protection locked="0"/>
    </xf>
    <xf numFmtId="0" fontId="2" fillId="0" borderId="1" xfId="156" applyFont="1" applyBorder="1" applyAlignment="1">
      <alignment horizontal="justify" vertical="center"/>
      <protection locked="0"/>
    </xf>
    <xf numFmtId="0" fontId="6" fillId="0" borderId="0" xfId="156" applyFont="1" applyAlignment="1">
      <alignment vertical="center"/>
      <protection locked="0"/>
    </xf>
    <xf numFmtId="0" fontId="13" fillId="0" borderId="0" xfId="167" applyFont="1" applyAlignment="1">
      <alignment vertical="center"/>
    </xf>
    <xf numFmtId="0" fontId="14" fillId="0" borderId="0" xfId="156" applyFont="1" applyAlignment="1">
      <alignment vertical="center"/>
      <protection locked="0"/>
    </xf>
    <xf numFmtId="0" fontId="15" fillId="0" borderId="0" xfId="156" applyFont="1" applyAlignment="1">
      <alignment vertical="center"/>
      <protection locked="0"/>
    </xf>
    <xf numFmtId="0" fontId="16" fillId="0" borderId="0" xfId="156" applyFont="1" applyAlignment="1">
      <alignment horizontal="left"/>
      <protection locked="0"/>
    </xf>
    <xf numFmtId="0" fontId="5" fillId="0" borderId="0" xfId="156" applyFont="1" applyAlignment="1">
      <alignment horizontal="right"/>
      <protection locked="0"/>
    </xf>
    <xf numFmtId="0" fontId="15" fillId="0" borderId="0" xfId="156" applyFont="1">
      <protection locked="0"/>
    </xf>
    <xf numFmtId="0" fontId="9" fillId="0" borderId="0" xfId="156" applyFont="1" applyAlignment="1">
      <alignment horizontal="right" vertical="center"/>
      <protection locked="0"/>
    </xf>
    <xf numFmtId="0" fontId="2" fillId="0" borderId="1" xfId="156" applyFont="1" applyBorder="1" applyAlignment="1">
      <alignment horizontal="center" vertical="center" wrapText="1"/>
      <protection locked="0"/>
    </xf>
    <xf numFmtId="0" fontId="4" fillId="2" borderId="4" xfId="156" applyFont="1" applyFill="1" applyBorder="1" applyAlignment="1">
      <alignment horizontal="centerContinuous" vertical="center"/>
      <protection locked="0"/>
    </xf>
    <xf numFmtId="0" fontId="17" fillId="0" borderId="0" xfId="0" applyNumberFormat="1" applyFont="1" applyFill="1" applyBorder="1" applyAlignment="1" applyProtection="1">
      <alignment horizontal="left" vertical="center"/>
    </xf>
    <xf numFmtId="0" fontId="18" fillId="0" borderId="0" xfId="162" applyNumberFormat="1" applyFont="1">
      <alignment vertical="center"/>
    </xf>
    <xf numFmtId="194" fontId="19" fillId="0" borderId="0" xfId="0" applyNumberFormat="1" applyFont="1" applyFill="1" applyBorder="1" applyAlignment="1" applyProtection="1">
      <alignment vertical="center"/>
    </xf>
    <xf numFmtId="194" fontId="20" fillId="0" borderId="0" xfId="0" applyNumberFormat="1" applyFont="1" applyFill="1" applyBorder="1" applyAlignment="1" applyProtection="1">
      <alignment vertical="center"/>
      <protection locked="0"/>
    </xf>
    <xf numFmtId="194" fontId="2" fillId="0" borderId="0" xfId="162" applyFont="1" applyProtection="1">
      <alignment vertical="center"/>
      <protection locked="0"/>
    </xf>
    <xf numFmtId="49" fontId="18" fillId="0" borderId="0" xfId="162" applyNumberFormat="1" applyFont="1" applyAlignment="1">
      <alignment horizontal="center" vertical="center"/>
    </xf>
    <xf numFmtId="194" fontId="18" fillId="0" borderId="0" xfId="162" applyFont="1">
      <alignment vertical="center"/>
    </xf>
    <xf numFmtId="194" fontId="18" fillId="0" borderId="0" xfId="162" applyFont="1" applyAlignment="1">
      <alignment horizontal="center" vertical="center"/>
    </xf>
    <xf numFmtId="0" fontId="23" fillId="0" borderId="0" xfId="162" applyNumberFormat="1" applyFont="1" applyProtection="1">
      <alignment vertical="center"/>
      <protection locked="0"/>
    </xf>
    <xf numFmtId="194" fontId="2" fillId="0" borderId="0" xfId="162" applyFont="1" applyAlignment="1" applyProtection="1">
      <alignment horizontal="left" vertical="center"/>
      <protection locked="0"/>
    </xf>
    <xf numFmtId="194" fontId="2" fillId="0" borderId="0" xfId="162" applyFont="1" applyAlignment="1">
      <alignment horizontal="center" vertical="center"/>
    </xf>
    <xf numFmtId="194" fontId="2" fillId="0" borderId="0" xfId="162" applyFont="1">
      <alignment vertical="center"/>
    </xf>
    <xf numFmtId="194" fontId="2" fillId="0" borderId="0" xfId="162" applyFont="1" applyAlignment="1">
      <alignment horizontal="left" vertical="center"/>
    </xf>
    <xf numFmtId="0" fontId="2" fillId="0" borderId="0" xfId="162" applyNumberFormat="1" applyFont="1" applyProtection="1">
      <alignment vertical="center"/>
      <protection locked="0"/>
    </xf>
    <xf numFmtId="0" fontId="2" fillId="0" borderId="0" xfId="162" applyNumberFormat="1" applyFont="1" applyAlignment="1">
      <alignment horizontal="center" vertical="center"/>
    </xf>
    <xf numFmtId="0" fontId="2" fillId="0" borderId="0" xfId="162" applyNumberFormat="1" applyFont="1">
      <alignment vertical="center"/>
    </xf>
    <xf numFmtId="0" fontId="2" fillId="0" borderId="0" xfId="162" applyNumberFormat="1" applyFont="1" applyAlignment="1">
      <alignment horizontal="left" vertical="center"/>
    </xf>
    <xf numFmtId="0" fontId="6" fillId="0" borderId="0" xfId="0" applyNumberFormat="1" applyFont="1" applyFill="1" applyBorder="1" applyAlignment="1" applyProtection="1">
      <alignment vertical="center"/>
      <protection locked="0"/>
    </xf>
    <xf numFmtId="194" fontId="2" fillId="0" borderId="0" xfId="0" applyNumberFormat="1" applyFont="1" applyFill="1" applyBorder="1" applyAlignment="1" applyProtection="1">
      <alignment vertical="center"/>
      <protection locked="0"/>
    </xf>
    <xf numFmtId="194" fontId="24"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horizontal="left" vertical="center"/>
      <protection locked="0"/>
    </xf>
    <xf numFmtId="194" fontId="4" fillId="0" borderId="0" xfId="0" applyNumberFormat="1" applyFont="1" applyFill="1" applyBorder="1" applyAlignment="1" applyProtection="1">
      <alignment horizontal="justify" vertical="center"/>
      <protection locked="0"/>
    </xf>
    <xf numFmtId="194" fontId="9" fillId="0" borderId="1" xfId="162" applyFont="1" applyBorder="1" applyAlignment="1">
      <alignment horizontal="center" vertical="center"/>
    </xf>
    <xf numFmtId="194" fontId="9" fillId="0" borderId="3" xfId="162" applyFont="1" applyBorder="1" applyAlignment="1">
      <alignment horizontal="center" vertical="center"/>
    </xf>
    <xf numFmtId="194" fontId="6" fillId="3" borderId="1" xfId="0" applyNumberFormat="1" applyFont="1" applyFill="1" applyBorder="1" applyAlignment="1" applyProtection="1">
      <alignment horizontal="center" vertical="center"/>
      <protection locked="0"/>
    </xf>
    <xf numFmtId="194" fontId="6" fillId="3" borderId="1" xfId="0" applyNumberFormat="1" applyFont="1" applyFill="1" applyBorder="1" applyAlignment="1" applyProtection="1">
      <alignment horizontal="center" vertical="center" wrapText="1"/>
      <protection locked="0"/>
    </xf>
    <xf numFmtId="49" fontId="2" fillId="0" borderId="1" xfId="0" applyNumberFormat="1" applyFont="1" applyFill="1" applyBorder="1" applyAlignment="1" applyProtection="1">
      <alignment horizontal="center" vertical="center"/>
      <protection locked="0"/>
    </xf>
    <xf numFmtId="194" fontId="24" fillId="0" borderId="1" xfId="0" applyNumberFormat="1" applyFont="1" applyFill="1" applyBorder="1" applyAlignment="1" applyProtection="1">
      <alignment vertical="center" wrapText="1"/>
    </xf>
    <xf numFmtId="194" fontId="24" fillId="0" borderId="1" xfId="0" applyNumberFormat="1" applyFont="1" applyFill="1" applyBorder="1" applyAlignment="1" applyProtection="1">
      <alignment horizontal="center" vertical="center" wrapText="1"/>
    </xf>
    <xf numFmtId="194" fontId="26" fillId="0" borderId="1" xfId="0" applyNumberFormat="1" applyFont="1" applyFill="1" applyBorder="1" applyAlignment="1" applyProtection="1">
      <alignment horizontal="center" vertical="center" wrapText="1"/>
    </xf>
    <xf numFmtId="194" fontId="18" fillId="0" borderId="1" xfId="0" applyNumberFormat="1" applyFont="1" applyFill="1" applyBorder="1" applyAlignment="1" applyProtection="1">
      <alignment horizontal="center" vertical="center" wrapText="1"/>
    </xf>
    <xf numFmtId="194" fontId="9" fillId="0" borderId="2" xfId="0" applyNumberFormat="1" applyFont="1" applyFill="1" applyBorder="1" applyAlignment="1" applyProtection="1">
      <alignment horizontal="center" vertical="center" wrapText="1" shrinkToFit="1"/>
      <protection locked="0"/>
    </xf>
    <xf numFmtId="194" fontId="9" fillId="0" borderId="1" xfId="0" applyNumberFormat="1" applyFont="1" applyFill="1" applyBorder="1" applyAlignment="1" applyProtection="1">
      <alignment horizontal="center" vertical="center" wrapText="1"/>
      <protection locked="0"/>
    </xf>
    <xf numFmtId="194" fontId="6" fillId="0" borderId="1" xfId="0" applyNumberFormat="1" applyFont="1" applyFill="1" applyBorder="1" applyAlignment="1" applyProtection="1">
      <alignment horizontal="center" vertical="center" wrapText="1"/>
      <protection locked="0"/>
    </xf>
    <xf numFmtId="194" fontId="2" fillId="0" borderId="1" xfId="0" applyNumberFormat="1" applyFont="1" applyFill="1" applyBorder="1" applyAlignment="1" applyProtection="1">
      <alignment horizontal="center" vertical="center" wrapText="1"/>
    </xf>
    <xf numFmtId="194" fontId="2" fillId="0" borderId="1" xfId="0" applyNumberFormat="1" applyFont="1" applyFill="1" applyBorder="1" applyAlignment="1" applyProtection="1">
      <alignment horizontal="center" vertical="center" wrapText="1"/>
      <protection locked="0"/>
    </xf>
    <xf numFmtId="0" fontId="21" fillId="0" borderId="0" xfId="0" applyFont="1">
      <alignment vertical="center"/>
    </xf>
    <xf numFmtId="0" fontId="29" fillId="0" borderId="0" xfId="0" applyFont="1">
      <alignment vertical="center"/>
    </xf>
    <xf numFmtId="0" fontId="18" fillId="0" borderId="0" xfId="0" applyFont="1">
      <alignment vertical="center"/>
    </xf>
    <xf numFmtId="0" fontId="21" fillId="0" borderId="0" xfId="0" applyFont="1" applyAlignment="1">
      <alignment horizontal="center" vertical="center"/>
    </xf>
    <xf numFmtId="14" fontId="18" fillId="0" borderId="0" xfId="0" applyNumberFormat="1" applyFont="1">
      <alignment vertical="center"/>
    </xf>
    <xf numFmtId="194" fontId="2" fillId="0" borderId="0" xfId="0" applyNumberFormat="1" applyFont="1" applyFill="1" applyBorder="1" applyAlignment="1" applyProtection="1">
      <alignment vertical="center"/>
    </xf>
    <xf numFmtId="0" fontId="9" fillId="0" borderId="0" xfId="0" applyNumberFormat="1" applyFont="1" applyFill="1" applyBorder="1" applyAlignment="1" applyProtection="1">
      <alignment horizontal="left" vertical="center"/>
    </xf>
    <xf numFmtId="0" fontId="15" fillId="0" borderId="0" xfId="0" applyNumberFormat="1" applyFont="1" applyFill="1" applyBorder="1" applyAlignment="1" applyProtection="1">
      <alignment horizontal="left" vertical="center"/>
    </xf>
    <xf numFmtId="0" fontId="31" fillId="0" borderId="0" xfId="0" applyNumberFormat="1" applyFont="1" applyFill="1" applyBorder="1" applyAlignment="1" applyProtection="1">
      <protection locked="0"/>
    </xf>
    <xf numFmtId="0" fontId="18" fillId="0" borderId="1" xfId="0" applyFont="1" applyBorder="1">
      <alignment vertical="center"/>
    </xf>
    <xf numFmtId="0" fontId="2" fillId="0" borderId="0" xfId="0" applyNumberFormat="1" applyFont="1" applyFill="1" applyBorder="1" applyAlignment="1" applyProtection="1">
      <alignment horizontal="left" vertical="center"/>
      <protection locked="0"/>
    </xf>
    <xf numFmtId="194" fontId="2" fillId="0" borderId="0" xfId="0" applyNumberFormat="1" applyFont="1" applyFill="1" applyBorder="1" applyAlignment="1" applyProtection="1">
      <alignment vertical="center" wrapText="1"/>
      <protection locked="0"/>
    </xf>
    <xf numFmtId="0" fontId="6" fillId="0" borderId="0" xfId="0" applyFont="1" applyProtection="1">
      <alignment vertical="center"/>
      <protection locked="0"/>
    </xf>
    <xf numFmtId="0" fontId="2" fillId="0" borderId="0" xfId="0" applyFont="1" applyProtection="1">
      <alignment vertical="center"/>
      <protection locked="0"/>
    </xf>
    <xf numFmtId="43" fontId="15" fillId="0" borderId="0" xfId="0" applyNumberFormat="1" applyFont="1" applyFill="1" applyBorder="1" applyAlignment="1" applyProtection="1">
      <alignment vertical="center"/>
    </xf>
    <xf numFmtId="0" fontId="5" fillId="0" borderId="0" xfId="0" applyNumberFormat="1" applyFont="1" applyFill="1" applyBorder="1" applyAlignment="1" applyProtection="1">
      <protection locked="0"/>
    </xf>
    <xf numFmtId="0" fontId="35" fillId="0" borderId="0" xfId="0" applyNumberFormat="1" applyFont="1" applyFill="1" applyBorder="1" applyAlignment="1" applyProtection="1">
      <protection locked="0"/>
    </xf>
    <xf numFmtId="0" fontId="31" fillId="0" borderId="0" xfId="158">
      <protection locked="0"/>
    </xf>
    <xf numFmtId="0" fontId="18" fillId="0" borderId="0" xfId="164" applyFont="1">
      <alignment vertical="center"/>
    </xf>
    <xf numFmtId="14" fontId="18" fillId="0" borderId="0" xfId="164" applyNumberFormat="1" applyFont="1">
      <alignment vertical="center"/>
    </xf>
    <xf numFmtId="43" fontId="2" fillId="0" borderId="0" xfId="168" applyNumberFormat="1" applyFont="1" applyBorder="1" applyAlignment="1">
      <alignment vertical="center"/>
    </xf>
    <xf numFmtId="0" fontId="24" fillId="0" borderId="0" xfId="164" applyFont="1">
      <alignment vertical="center"/>
    </xf>
    <xf numFmtId="0" fontId="26" fillId="2" borderId="1" xfId="158" applyFont="1" applyFill="1" applyBorder="1" applyAlignment="1" applyProtection="1">
      <alignment vertical="center"/>
    </xf>
    <xf numFmtId="0" fontId="26" fillId="2" borderId="1" xfId="158" applyFont="1" applyFill="1" applyBorder="1" applyAlignment="1" applyProtection="1">
      <alignment vertical="center" wrapText="1"/>
    </xf>
    <xf numFmtId="194" fontId="6" fillId="2" borderId="1" xfId="161" applyFont="1" applyFill="1" applyBorder="1" applyAlignment="1" applyProtection="1">
      <alignment horizontal="center" vertical="center" wrapText="1"/>
      <protection locked="0"/>
    </xf>
    <xf numFmtId="194" fontId="36" fillId="2" borderId="1" xfId="161" applyFont="1" applyFill="1" applyBorder="1" applyAlignment="1" applyProtection="1">
      <alignment horizontal="center" vertical="center" wrapText="1"/>
      <protection locked="0"/>
    </xf>
    <xf numFmtId="0" fontId="24" fillId="0" borderId="1" xfId="158" applyFont="1" applyBorder="1" applyAlignment="1" applyProtection="1">
      <alignment vertical="center"/>
    </xf>
    <xf numFmtId="0" fontId="9" fillId="0" borderId="1" xfId="158" applyFont="1" applyBorder="1" applyAlignment="1" applyProtection="1">
      <alignment vertical="center"/>
    </xf>
    <xf numFmtId="0" fontId="11" fillId="0" borderId="1" xfId="158" applyFont="1" applyBorder="1" applyAlignment="1" applyProtection="1">
      <alignment horizontal="left" vertical="center" indent="1"/>
    </xf>
    <xf numFmtId="0" fontId="21" fillId="0" borderId="1" xfId="158" applyFont="1" applyBorder="1" applyAlignment="1" applyProtection="1">
      <alignment horizontal="center" vertical="center"/>
    </xf>
    <xf numFmtId="194" fontId="28" fillId="0" borderId="0" xfId="160" applyFont="1">
      <alignment vertical="center"/>
    </xf>
    <xf numFmtId="0" fontId="21" fillId="0" borderId="0" xfId="156" applyFont="1" applyAlignment="1" applyProtection="1">
      <alignment vertical="center"/>
    </xf>
    <xf numFmtId="0" fontId="9" fillId="0" borderId="0" xfId="0" applyFont="1" applyProtection="1">
      <alignment vertical="center"/>
      <protection locked="0"/>
    </xf>
    <xf numFmtId="194" fontId="9" fillId="0" borderId="0" xfId="0" applyNumberFormat="1" applyFont="1" applyFill="1" applyBorder="1" applyAlignment="1" applyProtection="1">
      <alignment vertical="center"/>
    </xf>
    <xf numFmtId="0" fontId="4" fillId="0" borderId="0" xfId="156" applyFont="1" applyAlignment="1" applyProtection="1">
      <alignment horizontal="left" vertical="center"/>
    </xf>
    <xf numFmtId="0" fontId="28" fillId="0" borderId="0" xfId="0" applyFont="1">
      <alignment vertical="center"/>
    </xf>
    <xf numFmtId="0" fontId="9" fillId="0" borderId="0" xfId="0" applyFont="1" applyAlignment="1" applyProtection="1">
      <alignment horizontal="right" vertical="center"/>
      <protection locked="0"/>
    </xf>
    <xf numFmtId="0" fontId="40" fillId="0" borderId="0" xfId="0" applyFont="1">
      <alignment vertical="center"/>
    </xf>
    <xf numFmtId="0" fontId="41" fillId="0" borderId="7" xfId="0" applyFont="1" applyBorder="1" applyAlignment="1">
      <alignment horizontal="center" vertical="center" wrapText="1"/>
    </xf>
    <xf numFmtId="0" fontId="42" fillId="0" borderId="0" xfId="0" applyFont="1" applyAlignment="1">
      <alignment horizontal="justify" vertical="center" wrapText="1"/>
    </xf>
    <xf numFmtId="43" fontId="43" fillId="0" borderId="0" xfId="0" applyNumberFormat="1" applyFont="1">
      <alignment vertical="center"/>
    </xf>
    <xf numFmtId="0" fontId="41" fillId="0" borderId="7" xfId="0" applyFont="1" applyBorder="1" applyAlignment="1">
      <alignment horizontal="justify" vertical="center" wrapText="1"/>
    </xf>
    <xf numFmtId="43" fontId="44" fillId="0" borderId="7" xfId="0" applyNumberFormat="1" applyFont="1" applyBorder="1">
      <alignment vertical="center"/>
    </xf>
    <xf numFmtId="0" fontId="42" fillId="0" borderId="8" xfId="0" applyFont="1" applyBorder="1" applyAlignment="1">
      <alignment horizontal="justify" vertical="center" wrapText="1"/>
    </xf>
    <xf numFmtId="0" fontId="41" fillId="0" borderId="8" xfId="0" applyFont="1" applyBorder="1" applyAlignment="1">
      <alignment horizontal="justify" vertical="center" wrapText="1"/>
    </xf>
    <xf numFmtId="0" fontId="45" fillId="0" borderId="0" xfId="0" applyFont="1" applyAlignment="1">
      <alignment horizontal="left" vertical="center"/>
    </xf>
    <xf numFmtId="0" fontId="47" fillId="0" borderId="0" xfId="0" applyFont="1">
      <alignment vertical="center"/>
    </xf>
    <xf numFmtId="194" fontId="6" fillId="2" borderId="1" xfId="160" applyFont="1" applyFill="1" applyBorder="1" applyAlignment="1" applyProtection="1">
      <alignment horizontal="center" vertical="center" wrapText="1"/>
      <protection locked="0"/>
    </xf>
    <xf numFmtId="43" fontId="18" fillId="2" borderId="1" xfId="1" applyFont="1" applyFill="1" applyBorder="1" applyAlignment="1">
      <alignment horizontal="right" vertical="center"/>
    </xf>
    <xf numFmtId="43" fontId="18" fillId="0" borderId="1" xfId="1" applyFont="1" applyBorder="1">
      <alignment vertical="center"/>
    </xf>
    <xf numFmtId="43" fontId="21" fillId="2" borderId="1" xfId="1" applyFont="1" applyFill="1" applyBorder="1" applyAlignment="1">
      <alignment horizontal="center" vertical="center"/>
    </xf>
    <xf numFmtId="0" fontId="48" fillId="0" borderId="1" xfId="0" applyFont="1" applyBorder="1" applyAlignment="1">
      <alignment horizontal="center" vertical="center"/>
    </xf>
    <xf numFmtId="0" fontId="18" fillId="0" borderId="6" xfId="0" applyFont="1" applyBorder="1">
      <alignment vertical="center"/>
    </xf>
    <xf numFmtId="209" fontId="18" fillId="2" borderId="1" xfId="1" applyNumberFormat="1" applyFont="1" applyFill="1" applyBorder="1" applyAlignment="1">
      <alignment horizontal="right" vertical="center"/>
    </xf>
    <xf numFmtId="194" fontId="4" fillId="0" borderId="0" xfId="0" applyNumberFormat="1" applyFont="1" applyFill="1" applyBorder="1" applyAlignment="1" applyProtection="1">
      <alignment vertical="center"/>
    </xf>
    <xf numFmtId="194" fontId="9" fillId="0" borderId="0" xfId="0" applyNumberFormat="1" applyFont="1" applyFill="1" applyBorder="1" applyAlignment="1" applyProtection="1">
      <alignment horizontal="left" vertical="center"/>
    </xf>
    <xf numFmtId="0" fontId="21" fillId="0" borderId="0" xfId="0" applyFont="1" applyFill="1">
      <alignment vertical="center"/>
    </xf>
    <xf numFmtId="0" fontId="28" fillId="0" borderId="0" xfId="0" applyFont="1" applyAlignment="1">
      <alignment horizontal="left" vertical="center"/>
    </xf>
    <xf numFmtId="194" fontId="26" fillId="2" borderId="1" xfId="159" applyNumberFormat="1" applyFont="1" applyFill="1" applyBorder="1" applyAlignment="1">
      <alignment horizontal="center" vertical="center" wrapText="1"/>
      <protection locked="0"/>
    </xf>
    <xf numFmtId="194" fontId="6" fillId="2" borderId="1" xfId="159" applyNumberFormat="1" applyFont="1" applyFill="1" applyBorder="1" applyAlignment="1">
      <alignment horizontal="center" vertical="center"/>
      <protection locked="0"/>
    </xf>
    <xf numFmtId="43" fontId="2" fillId="2" borderId="1" xfId="1" applyFont="1" applyFill="1" applyBorder="1" applyAlignment="1">
      <alignment horizontal="right" vertical="center" wrapText="1"/>
    </xf>
    <xf numFmtId="10" fontId="2" fillId="2" borderId="1" xfId="2" applyNumberFormat="1" applyFont="1" applyFill="1" applyBorder="1" applyAlignment="1">
      <alignment horizontal="right" vertical="center" wrapText="1"/>
    </xf>
    <xf numFmtId="0" fontId="29" fillId="0" borderId="0" xfId="0" applyFont="1" applyAlignment="1">
      <alignment horizontal="left" vertical="center"/>
    </xf>
    <xf numFmtId="0" fontId="21" fillId="0" borderId="0" xfId="0" applyFont="1" applyAlignment="1">
      <alignment horizontal="left" vertical="center"/>
    </xf>
    <xf numFmtId="0" fontId="18" fillId="0" borderId="0" xfId="0" applyFont="1" applyAlignment="1">
      <alignment horizontal="center" vertical="center"/>
    </xf>
    <xf numFmtId="0" fontId="8" fillId="0" borderId="0" xfId="0" applyFont="1" applyProtection="1">
      <alignment vertical="center"/>
      <protection locked="0"/>
    </xf>
    <xf numFmtId="0" fontId="2" fillId="5" borderId="0" xfId="0" applyFont="1" applyFill="1" applyAlignment="1" applyProtection="1">
      <alignment horizontal="justify" vertical="center" wrapText="1"/>
      <protection locked="0"/>
    </xf>
    <xf numFmtId="0" fontId="21" fillId="0" borderId="10" xfId="0" applyFont="1" applyBorder="1" applyAlignment="1">
      <alignment horizontal="center" vertical="center"/>
    </xf>
    <xf numFmtId="0" fontId="21" fillId="0" borderId="9" xfId="0" applyFont="1" applyBorder="1" applyAlignment="1">
      <alignment horizontal="center" vertical="center"/>
    </xf>
    <xf numFmtId="0" fontId="9" fillId="5" borderId="0" xfId="0" applyFont="1" applyFill="1" applyAlignment="1" applyProtection="1">
      <alignment horizontal="justify" vertical="center" wrapText="1"/>
      <protection locked="0"/>
    </xf>
    <xf numFmtId="0" fontId="18" fillId="0" borderId="9" xfId="0" applyFont="1" applyBorder="1" applyAlignment="1">
      <alignment horizontal="center" vertical="center"/>
    </xf>
    <xf numFmtId="0" fontId="18" fillId="0" borderId="9" xfId="0" applyFont="1" applyBorder="1">
      <alignment vertical="center"/>
    </xf>
    <xf numFmtId="0" fontId="24" fillId="0" borderId="0" xfId="0" applyFont="1">
      <alignment vertical="center"/>
    </xf>
    <xf numFmtId="10" fontId="18" fillId="29" borderId="6" xfId="2" applyNumberFormat="1" applyFont="1" applyFill="1" applyBorder="1" applyAlignment="1">
      <alignment horizontal="right" vertical="center"/>
    </xf>
    <xf numFmtId="43" fontId="18" fillId="29" borderId="6" xfId="1" applyFont="1" applyFill="1" applyBorder="1" applyAlignment="1">
      <alignment horizontal="right" vertical="center"/>
    </xf>
    <xf numFmtId="0" fontId="18" fillId="29" borderId="6" xfId="1" applyNumberFormat="1" applyFont="1" applyFill="1" applyBorder="1" applyAlignment="1">
      <alignment horizontal="right" vertical="center"/>
    </xf>
    <xf numFmtId="0" fontId="24" fillId="0" borderId="23" xfId="0" applyNumberFormat="1" applyFont="1" applyFill="1" applyBorder="1" applyAlignment="1" applyProtection="1">
      <alignment horizontal="center" vertical="center" wrapText="1"/>
      <protection locked="0"/>
    </xf>
    <xf numFmtId="0" fontId="2" fillId="0" borderId="23" xfId="0" applyNumberFormat="1" applyFont="1" applyFill="1" applyBorder="1" applyAlignment="1" applyProtection="1">
      <alignment horizontal="center" vertical="center" wrapText="1"/>
      <protection locked="0"/>
    </xf>
    <xf numFmtId="0" fontId="6" fillId="0" borderId="23" xfId="0" applyNumberFormat="1" applyFont="1" applyFill="1" applyBorder="1" applyAlignment="1" applyProtection="1">
      <alignment horizontal="center" vertical="center" wrapText="1"/>
      <protection locked="0"/>
    </xf>
    <xf numFmtId="0" fontId="18" fillId="0" borderId="0" xfId="0" applyNumberFormat="1" applyFont="1" applyFill="1" applyBorder="1" applyAlignment="1" applyProtection="1">
      <alignment vertical="center"/>
    </xf>
    <xf numFmtId="0" fontId="21" fillId="0" borderId="0" xfId="0" applyNumberFormat="1" applyFont="1" applyFill="1" applyBorder="1" applyAlignment="1" applyProtection="1">
      <alignment vertical="center"/>
    </xf>
    <xf numFmtId="194" fontId="6" fillId="0" borderId="1" xfId="0" applyNumberFormat="1" applyFont="1" applyFill="1" applyBorder="1" applyAlignment="1" applyProtection="1">
      <alignment horizontal="left" vertical="center" wrapText="1"/>
      <protection locked="0"/>
    </xf>
    <xf numFmtId="0" fontId="50" fillId="0" borderId="9" xfId="3" applyBorder="1" applyAlignment="1" applyProtection="1">
      <alignment vertical="center"/>
    </xf>
    <xf numFmtId="49" fontId="2" fillId="0" borderId="23" xfId="0" applyNumberFormat="1" applyFont="1" applyFill="1" applyBorder="1" applyAlignment="1" applyProtection="1">
      <alignment horizontal="center" vertical="center"/>
      <protection locked="0"/>
    </xf>
    <xf numFmtId="194" fontId="9" fillId="0" borderId="23" xfId="0" applyNumberFormat="1" applyFont="1" applyFill="1" applyBorder="1" applyAlignment="1" applyProtection="1">
      <alignment horizontal="center" vertical="center" wrapText="1"/>
      <protection locked="0"/>
    </xf>
    <xf numFmtId="194" fontId="24" fillId="0" borderId="23" xfId="0" applyNumberFormat="1" applyFont="1" applyFill="1" applyBorder="1" applyAlignment="1" applyProtection="1">
      <alignment horizontal="center" vertical="center" wrapText="1"/>
    </xf>
    <xf numFmtId="194" fontId="2" fillId="0" borderId="23" xfId="0" applyNumberFormat="1" applyFont="1" applyFill="1" applyBorder="1" applyAlignment="1" applyProtection="1">
      <alignment horizontal="center" vertical="center" wrapText="1"/>
      <protection locked="0"/>
    </xf>
    <xf numFmtId="194" fontId="24" fillId="0" borderId="25" xfId="0" applyNumberFormat="1" applyFont="1" applyFill="1" applyBorder="1" applyAlignment="1" applyProtection="1">
      <alignment horizontal="center" vertical="center" wrapText="1"/>
    </xf>
    <xf numFmtId="194" fontId="18" fillId="0" borderId="23" xfId="0" applyNumberFormat="1" applyFont="1" applyFill="1" applyBorder="1" applyAlignment="1" applyProtection="1">
      <alignment horizontal="center" vertical="center" wrapText="1"/>
    </xf>
    <xf numFmtId="194" fontId="26" fillId="0" borderId="23" xfId="0" applyNumberFormat="1" applyFont="1" applyFill="1" applyBorder="1" applyAlignment="1" applyProtection="1">
      <alignment horizontal="center" vertical="center" wrapText="1"/>
    </xf>
    <xf numFmtId="194" fontId="18" fillId="0" borderId="26" xfId="0" applyNumberFormat="1" applyFont="1" applyFill="1" applyBorder="1" applyAlignment="1" applyProtection="1">
      <alignment horizontal="center" vertical="center" wrapText="1"/>
    </xf>
    <xf numFmtId="194" fontId="2" fillId="0" borderId="23" xfId="0" applyNumberFormat="1" applyFont="1" applyFill="1" applyBorder="1" applyAlignment="1" applyProtection="1">
      <alignment horizontal="center" vertical="center" wrapText="1"/>
    </xf>
    <xf numFmtId="0" fontId="29" fillId="0" borderId="0" xfId="0" applyFont="1" applyAlignment="1">
      <alignment vertical="center"/>
    </xf>
    <xf numFmtId="0" fontId="21" fillId="0" borderId="0" xfId="0" applyFont="1" applyAlignment="1">
      <alignment vertical="center"/>
    </xf>
    <xf numFmtId="0" fontId="111" fillId="0" borderId="0" xfId="0" applyFont="1">
      <alignment vertical="center"/>
    </xf>
    <xf numFmtId="194" fontId="24" fillId="0" borderId="28" xfId="0" applyNumberFormat="1" applyFont="1" applyFill="1" applyBorder="1" applyAlignment="1" applyProtection="1">
      <alignment vertical="center" wrapText="1"/>
    </xf>
    <xf numFmtId="0" fontId="24" fillId="0" borderId="28" xfId="0" applyNumberFormat="1" applyFont="1" applyFill="1" applyBorder="1" applyAlignment="1" applyProtection="1">
      <alignment horizontal="center" vertical="center" wrapText="1"/>
    </xf>
    <xf numFmtId="194" fontId="18" fillId="0" borderId="28" xfId="0" applyNumberFormat="1" applyFont="1" applyFill="1" applyBorder="1" applyAlignment="1" applyProtection="1">
      <alignment horizontal="center" vertical="center" wrapText="1"/>
    </xf>
    <xf numFmtId="194" fontId="2" fillId="0" borderId="28" xfId="0" applyNumberFormat="1" applyFont="1" applyFill="1" applyBorder="1" applyAlignment="1" applyProtection="1">
      <alignment horizontal="center" vertical="center" wrapText="1"/>
    </xf>
    <xf numFmtId="194" fontId="9" fillId="0" borderId="27" xfId="162" applyFont="1" applyBorder="1" applyAlignment="1">
      <alignment horizontal="center" vertical="center"/>
    </xf>
    <xf numFmtId="194" fontId="9" fillId="0" borderId="23" xfId="0" applyNumberFormat="1" applyFont="1" applyFill="1" applyBorder="1" applyAlignment="1" applyProtection="1">
      <alignment vertical="center" wrapText="1"/>
    </xf>
    <xf numFmtId="194" fontId="9" fillId="0" borderId="1" xfId="0" applyNumberFormat="1" applyFont="1" applyFill="1" applyBorder="1" applyAlignment="1" applyProtection="1">
      <alignment horizontal="left" vertical="center" wrapText="1"/>
      <protection locked="0"/>
    </xf>
    <xf numFmtId="194" fontId="9" fillId="0" borderId="23" xfId="0" applyNumberFormat="1" applyFont="1" applyFill="1" applyBorder="1" applyAlignment="1" applyProtection="1">
      <alignment horizontal="left" vertical="center" wrapText="1"/>
      <protection locked="0"/>
    </xf>
    <xf numFmtId="0" fontId="9" fillId="0" borderId="23" xfId="0" applyNumberFormat="1" applyFont="1" applyFill="1" applyBorder="1" applyAlignment="1" applyProtection="1">
      <alignment horizontal="justify" vertical="center" wrapText="1"/>
      <protection locked="0"/>
    </xf>
    <xf numFmtId="0" fontId="26" fillId="2" borderId="28" xfId="0" applyFont="1" applyFill="1" applyBorder="1">
      <alignment vertical="center"/>
    </xf>
    <xf numFmtId="0" fontId="4" fillId="2" borderId="28" xfId="156" applyFont="1" applyFill="1" applyBorder="1" applyAlignment="1">
      <alignment horizontal="center" vertical="center" wrapText="1"/>
      <protection locked="0"/>
    </xf>
    <xf numFmtId="0" fontId="25" fillId="2" borderId="28" xfId="156" applyFont="1" applyFill="1" applyBorder="1" applyAlignment="1">
      <alignment horizontal="center" vertical="center" wrapText="1"/>
      <protection locked="0"/>
    </xf>
    <xf numFmtId="0" fontId="6" fillId="2" borderId="28" xfId="156" applyFont="1" applyFill="1" applyBorder="1" applyAlignment="1">
      <alignment horizontal="center" vertical="center" wrapText="1"/>
      <protection locked="0"/>
    </xf>
    <xf numFmtId="0" fontId="11" fillId="0" borderId="28" xfId="0" applyFont="1" applyBorder="1">
      <alignment vertical="center"/>
    </xf>
    <xf numFmtId="43" fontId="2" fillId="0" borderId="28" xfId="1" applyFont="1" applyBorder="1" applyAlignment="1">
      <alignment vertical="center"/>
    </xf>
    <xf numFmtId="43" fontId="18" fillId="29" borderId="28" xfId="1" applyFont="1" applyFill="1" applyBorder="1" applyAlignment="1">
      <alignment horizontal="right" vertical="center"/>
    </xf>
    <xf numFmtId="43" fontId="4" fillId="0" borderId="28" xfId="1" applyFont="1" applyBorder="1" applyAlignment="1">
      <alignment vertical="center"/>
    </xf>
    <xf numFmtId="208" fontId="37" fillId="0" borderId="28" xfId="165" applyNumberFormat="1" applyFont="1" applyBorder="1" applyAlignment="1">
      <alignment horizontal="left" vertical="center" shrinkToFit="1"/>
    </xf>
    <xf numFmtId="43" fontId="38" fillId="0" borderId="28" xfId="1" applyFont="1" applyBorder="1" applyAlignment="1">
      <alignment vertical="center"/>
    </xf>
    <xf numFmtId="0" fontId="39" fillId="0" borderId="28" xfId="165" applyFont="1" applyBorder="1" applyAlignment="1">
      <alignment horizontal="left" vertical="center" shrinkToFit="1"/>
    </xf>
    <xf numFmtId="0" fontId="38" fillId="0" borderId="28" xfId="1" applyNumberFormat="1" applyFont="1" applyBorder="1" applyAlignment="1">
      <alignment vertical="center"/>
    </xf>
    <xf numFmtId="208" fontId="39" fillId="0" borderId="28" xfId="165" applyNumberFormat="1" applyFont="1" applyBorder="1" applyAlignment="1">
      <alignment horizontal="left" vertical="center" shrinkToFit="1"/>
    </xf>
    <xf numFmtId="0" fontId="18" fillId="0" borderId="28" xfId="0" applyFont="1" applyBorder="1">
      <alignment vertical="center"/>
    </xf>
    <xf numFmtId="0" fontId="21" fillId="2" borderId="28" xfId="0" applyFont="1" applyFill="1" applyBorder="1">
      <alignment vertical="center"/>
    </xf>
    <xf numFmtId="0" fontId="18" fillId="29" borderId="28" xfId="1" applyNumberFormat="1" applyFont="1" applyFill="1" applyBorder="1" applyAlignment="1">
      <alignment horizontal="right" vertical="center"/>
    </xf>
    <xf numFmtId="0" fontId="27" fillId="2" borderId="28" xfId="0" applyFont="1" applyFill="1" applyBorder="1">
      <alignment vertical="center"/>
    </xf>
    <xf numFmtId="0" fontId="112" fillId="0" borderId="0" xfId="167" applyFont="1" applyAlignment="1">
      <alignment vertical="center" wrapText="1"/>
    </xf>
    <xf numFmtId="194" fontId="114" fillId="0" borderId="0" xfId="0" applyNumberFormat="1" applyFont="1" applyFill="1" applyBorder="1" applyAlignment="1" applyProtection="1">
      <alignment horizontal="left" vertical="center"/>
      <protection locked="0"/>
    </xf>
    <xf numFmtId="194" fontId="4" fillId="0" borderId="29" xfId="0" applyNumberFormat="1" applyFont="1" applyFill="1" applyBorder="1" applyAlignment="1" applyProtection="1">
      <alignment vertical="center"/>
    </xf>
    <xf numFmtId="0" fontId="4" fillId="3" borderId="30" xfId="0" applyNumberFormat="1" applyFont="1" applyFill="1" applyBorder="1" applyAlignment="1" applyProtection="1">
      <alignment horizontal="center" vertical="center"/>
      <protection locked="0"/>
    </xf>
    <xf numFmtId="194" fontId="5" fillId="0" borderId="0" xfId="0" applyNumberFormat="1" applyFont="1" applyFill="1" applyBorder="1" applyAlignment="1" applyProtection="1">
      <alignment horizontal="left"/>
      <protection locked="0"/>
    </xf>
    <xf numFmtId="194" fontId="2" fillId="0" borderId="30" xfId="0" applyNumberFormat="1" applyFont="1" applyFill="1" applyBorder="1" applyAlignment="1" applyProtection="1">
      <alignment vertical="center"/>
      <protection locked="0"/>
    </xf>
    <xf numFmtId="14" fontId="2" fillId="0" borderId="30" xfId="0" applyNumberFormat="1" applyFont="1" applyFill="1" applyBorder="1" applyAlignment="1" applyProtection="1">
      <alignment horizontal="center" vertical="center"/>
      <protection locked="0"/>
    </xf>
    <xf numFmtId="49" fontId="2" fillId="0" borderId="30" xfId="0" applyNumberFormat="1" applyFont="1" applyFill="1" applyBorder="1" applyAlignment="1" applyProtection="1">
      <alignment horizontal="center" vertical="center"/>
      <protection locked="0"/>
    </xf>
    <xf numFmtId="43" fontId="2" fillId="0" borderId="30" xfId="0" applyNumberFormat="1" applyFont="1" applyFill="1" applyBorder="1" applyAlignment="1" applyProtection="1">
      <alignment vertical="center"/>
      <protection locked="0"/>
    </xf>
    <xf numFmtId="194" fontId="2" fillId="0" borderId="30" xfId="0" applyNumberFormat="1" applyFont="1" applyFill="1" applyBorder="1" applyAlignment="1" applyProtection="1">
      <alignment horizontal="center" vertical="center"/>
      <protection locked="0"/>
    </xf>
    <xf numFmtId="49" fontId="2" fillId="0" borderId="30" xfId="0" applyNumberFormat="1" applyFont="1" applyFill="1" applyBorder="1" applyAlignment="1" applyProtection="1">
      <alignment vertical="center"/>
      <protection locked="0"/>
    </xf>
    <xf numFmtId="43" fontId="4" fillId="3" borderId="30" xfId="0" applyNumberFormat="1" applyFont="1" applyFill="1" applyBorder="1" applyAlignment="1" applyProtection="1">
      <alignment vertical="center"/>
      <protection locked="0"/>
    </xf>
    <xf numFmtId="194" fontId="31" fillId="0" borderId="0" xfId="0" applyNumberFormat="1" applyFont="1" applyFill="1" applyBorder="1" applyAlignment="1" applyProtection="1">
      <protection locked="0"/>
    </xf>
    <xf numFmtId="194" fontId="9" fillId="0" borderId="0" xfId="0" applyNumberFormat="1" applyFont="1" applyFill="1" applyBorder="1" applyAlignment="1" applyProtection="1">
      <protection locked="0"/>
    </xf>
    <xf numFmtId="194" fontId="6" fillId="3" borderId="30" xfId="0" applyNumberFormat="1" applyFont="1" applyFill="1" applyBorder="1" applyAlignment="1" applyProtection="1">
      <alignment horizontal="center" vertical="center"/>
      <protection locked="0"/>
    </xf>
    <xf numFmtId="194" fontId="6" fillId="3" borderId="30" xfId="0" applyNumberFormat="1" applyFont="1" applyFill="1" applyBorder="1" applyAlignment="1" applyProtection="1">
      <alignment horizontal="center" vertical="center" wrapText="1"/>
      <protection locked="0"/>
    </xf>
    <xf numFmtId="194" fontId="9" fillId="0" borderId="0" xfId="0" applyNumberFormat="1" applyFont="1" applyFill="1" applyBorder="1" applyAlignment="1" applyProtection="1">
      <alignment horizontal="center"/>
      <protection locked="0"/>
    </xf>
    <xf numFmtId="194" fontId="6" fillId="3" borderId="30" xfId="0" applyNumberFormat="1" applyFont="1" applyFill="1" applyBorder="1" applyAlignment="1" applyProtection="1">
      <alignment horizontal="center" vertical="center"/>
    </xf>
    <xf numFmtId="194" fontId="9" fillId="3" borderId="30" xfId="0" applyNumberFormat="1" applyFont="1" applyFill="1" applyBorder="1" applyAlignment="1" applyProtection="1">
      <alignment vertical="center"/>
      <protection locked="0"/>
    </xf>
    <xf numFmtId="194" fontId="6" fillId="3" borderId="30" xfId="0" applyNumberFormat="1" applyFont="1" applyFill="1" applyBorder="1" applyAlignment="1" applyProtection="1">
      <alignment vertical="center"/>
      <protection locked="0"/>
    </xf>
    <xf numFmtId="194" fontId="117" fillId="0" borderId="0" xfId="0" applyNumberFormat="1" applyFont="1" applyFill="1" applyBorder="1" applyAlignment="1" applyProtection="1">
      <alignment horizontal="left" vertical="center"/>
    </xf>
    <xf numFmtId="194" fontId="5" fillId="0" borderId="0" xfId="0" applyNumberFormat="1" applyFont="1" applyFill="1" applyBorder="1" applyAlignment="1" applyProtection="1">
      <alignment horizontal="left" vertical="center"/>
    </xf>
    <xf numFmtId="194" fontId="9" fillId="0" borderId="28" xfId="0" applyNumberFormat="1" applyFont="1" applyFill="1" applyBorder="1" applyAlignment="1" applyProtection="1">
      <alignment vertical="center" wrapText="1"/>
    </xf>
    <xf numFmtId="0" fontId="12" fillId="0" borderId="0" xfId="0" applyFont="1" applyProtection="1">
      <alignment vertical="center"/>
      <protection locked="0"/>
    </xf>
    <xf numFmtId="194" fontId="9" fillId="0" borderId="30" xfId="0" applyNumberFormat="1" applyFont="1" applyFill="1" applyBorder="1" applyAlignment="1" applyProtection="1">
      <alignment horizontal="center" vertical="center" wrapText="1"/>
      <protection locked="0"/>
    </xf>
    <xf numFmtId="0" fontId="12" fillId="0" borderId="0" xfId="0" applyFont="1" applyFill="1" applyProtection="1">
      <alignment vertical="center"/>
      <protection locked="0"/>
    </xf>
    <xf numFmtId="194" fontId="120" fillId="0" borderId="0" xfId="0" applyNumberFormat="1" applyFont="1" applyFill="1" applyBorder="1" applyAlignment="1" applyProtection="1">
      <protection locked="0"/>
    </xf>
    <xf numFmtId="0" fontId="30" fillId="0" borderId="0" xfId="0" applyFont="1" applyAlignment="1">
      <alignment vertical="center"/>
    </xf>
    <xf numFmtId="0" fontId="33" fillId="0" borderId="0" xfId="0" applyFont="1" applyAlignment="1" applyProtection="1">
      <alignment horizontal="center" vertical="center"/>
      <protection locked="0"/>
    </xf>
    <xf numFmtId="194" fontId="112" fillId="0" borderId="0" xfId="200" applyFont="1" applyFill="1" applyAlignment="1">
      <alignment horizontal="left" vertical="center"/>
    </xf>
    <xf numFmtId="194" fontId="9" fillId="0" borderId="30" xfId="0" applyNumberFormat="1" applyFont="1" applyFill="1" applyBorder="1" applyAlignment="1" applyProtection="1">
      <alignment horizontal="left" vertical="center" wrapText="1"/>
      <protection locked="0"/>
    </xf>
    <xf numFmtId="194" fontId="24" fillId="0" borderId="30" xfId="0" applyNumberFormat="1" applyFont="1" applyFill="1" applyBorder="1" applyAlignment="1" applyProtection="1">
      <alignment horizontal="center" vertical="center" wrapText="1"/>
    </xf>
    <xf numFmtId="194" fontId="2" fillId="0" borderId="30" xfId="0" applyNumberFormat="1" applyFont="1" applyFill="1" applyBorder="1" applyAlignment="1" applyProtection="1">
      <alignment horizontal="center" vertical="center" wrapText="1"/>
      <protection locked="0"/>
    </xf>
    <xf numFmtId="0" fontId="112" fillId="0" borderId="0" xfId="167" applyFont="1" applyAlignment="1">
      <alignment horizontal="left" vertical="center"/>
    </xf>
    <xf numFmtId="0" fontId="2" fillId="0" borderId="30" xfId="156" applyFont="1" applyBorder="1" applyAlignment="1">
      <alignment horizontal="center" vertical="center"/>
      <protection locked="0"/>
    </xf>
    <xf numFmtId="43" fontId="2" fillId="0" borderId="30" xfId="156" applyNumberFormat="1" applyFont="1" applyBorder="1" applyAlignment="1">
      <alignment horizontal="center" vertical="center"/>
      <protection locked="0"/>
    </xf>
    <xf numFmtId="0" fontId="2" fillId="0" borderId="30" xfId="156" applyFont="1" applyBorder="1" applyAlignment="1">
      <alignment horizontal="center" vertical="center" wrapText="1"/>
      <protection locked="0"/>
    </xf>
    <xf numFmtId="0" fontId="126" fillId="0" borderId="0" xfId="3" applyFont="1" applyAlignment="1">
      <alignment vertical="center"/>
      <protection locked="0"/>
    </xf>
    <xf numFmtId="0" fontId="0" fillId="0" borderId="9" xfId="0" applyBorder="1" applyAlignment="1">
      <alignment vertical="center"/>
    </xf>
    <xf numFmtId="0" fontId="106" fillId="0" borderId="9" xfId="0" applyFont="1" applyBorder="1" applyAlignment="1">
      <alignment horizontal="center" vertical="center"/>
    </xf>
    <xf numFmtId="194" fontId="112" fillId="0" borderId="0" xfId="162" applyFont="1" applyAlignment="1" applyProtection="1">
      <alignment vertical="center" wrapText="1"/>
      <protection locked="0"/>
    </xf>
    <xf numFmtId="194" fontId="106" fillId="0" borderId="1" xfId="0" applyNumberFormat="1" applyFont="1" applyFill="1" applyBorder="1" applyAlignment="1" applyProtection="1">
      <alignment horizontal="center" vertical="center" wrapText="1"/>
    </xf>
    <xf numFmtId="194" fontId="106" fillId="0" borderId="23" xfId="0" applyNumberFormat="1" applyFont="1" applyFill="1" applyBorder="1" applyAlignment="1" applyProtection="1">
      <alignment horizontal="center" vertical="center" wrapText="1"/>
      <protection locked="0"/>
    </xf>
    <xf numFmtId="194" fontId="106" fillId="0" borderId="30" xfId="0" applyNumberFormat="1" applyFont="1" applyFill="1" applyBorder="1" applyAlignment="1" applyProtection="1">
      <alignment horizontal="center" vertical="center" wrapText="1"/>
      <protection locked="0"/>
    </xf>
    <xf numFmtId="194" fontId="106" fillId="0" borderId="1" xfId="0" applyNumberFormat="1" applyFont="1" applyFill="1" applyBorder="1" applyAlignment="1" applyProtection="1">
      <alignment horizontal="center" vertical="center" wrapText="1"/>
      <protection locked="0"/>
    </xf>
    <xf numFmtId="0" fontId="11" fillId="0" borderId="0" xfId="0" applyFont="1" applyProtection="1">
      <alignment vertical="center"/>
      <protection locked="0"/>
    </xf>
    <xf numFmtId="0" fontId="29" fillId="0" borderId="0" xfId="0" applyFont="1" applyAlignment="1">
      <alignment horizontal="center" vertical="center"/>
    </xf>
    <xf numFmtId="0" fontId="8"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11" fillId="0" borderId="14" xfId="0" applyFont="1" applyBorder="1" applyAlignment="1">
      <alignment horizontal="left" vertical="center" wrapText="1"/>
    </xf>
    <xf numFmtId="0" fontId="106" fillId="0" borderId="35" xfId="0" applyFont="1" applyBorder="1" applyAlignment="1">
      <alignment horizontal="left" vertical="center" wrapText="1"/>
    </xf>
    <xf numFmtId="0" fontId="106" fillId="0" borderId="36" xfId="0" applyFont="1" applyBorder="1" applyAlignment="1">
      <alignment horizontal="left" vertical="center" wrapText="1"/>
    </xf>
    <xf numFmtId="194" fontId="15" fillId="4" borderId="24" xfId="0" applyNumberFormat="1" applyFont="1" applyFill="1" applyBorder="1" applyAlignment="1" applyProtection="1">
      <alignment horizontal="left" vertical="top" wrapText="1"/>
      <protection locked="0"/>
    </xf>
    <xf numFmtId="194" fontId="15" fillId="4" borderId="0" xfId="0" applyNumberFormat="1" applyFont="1" applyFill="1" applyBorder="1" applyAlignment="1" applyProtection="1">
      <alignment horizontal="left" vertical="top" wrapText="1"/>
      <protection locked="0"/>
    </xf>
    <xf numFmtId="194" fontId="15" fillId="4" borderId="24" xfId="0" applyNumberFormat="1" applyFont="1" applyFill="1" applyBorder="1" applyAlignment="1" applyProtection="1">
      <alignment horizontal="left" vertical="center" wrapText="1"/>
      <protection locked="0"/>
    </xf>
    <xf numFmtId="194" fontId="15" fillId="4" borderId="0" xfId="0" applyNumberFormat="1" applyFont="1" applyFill="1" applyBorder="1" applyAlignment="1" applyProtection="1">
      <alignment horizontal="left" vertical="center" wrapText="1"/>
      <protection locked="0"/>
    </xf>
    <xf numFmtId="194" fontId="7" fillId="0" borderId="0" xfId="162" applyFont="1" applyAlignment="1">
      <alignment horizontal="center" vertical="center"/>
    </xf>
    <xf numFmtId="194" fontId="8" fillId="0" borderId="0" xfId="162" applyFont="1" applyAlignment="1">
      <alignment horizontal="center" vertical="center"/>
    </xf>
    <xf numFmtId="194" fontId="33" fillId="0" borderId="0" xfId="162" applyFont="1" applyAlignment="1">
      <alignment horizontal="center" vertical="center"/>
    </xf>
    <xf numFmtId="194" fontId="118" fillId="0" borderId="0" xfId="162" applyFont="1" applyAlignment="1">
      <alignment horizontal="center" vertical="center"/>
    </xf>
    <xf numFmtId="194" fontId="9" fillId="0" borderId="30" xfId="0" applyNumberFormat="1" applyFont="1" applyFill="1" applyBorder="1" applyAlignment="1" applyProtection="1">
      <alignment horizontal="center" vertical="center" wrapText="1"/>
      <protection locked="0"/>
    </xf>
    <xf numFmtId="0" fontId="6" fillId="0" borderId="27" xfId="164" applyFont="1" applyFill="1" applyBorder="1" applyAlignment="1" applyProtection="1">
      <alignment horizontal="left" vertical="center" wrapText="1"/>
      <protection locked="0"/>
    </xf>
    <xf numFmtId="194" fontId="9" fillId="0" borderId="27" xfId="162" applyFont="1" applyBorder="1" applyAlignment="1">
      <alignment horizontal="center" vertical="center"/>
    </xf>
    <xf numFmtId="194" fontId="6" fillId="3" borderId="2" xfId="0" applyNumberFormat="1" applyFont="1" applyFill="1" applyBorder="1" applyAlignment="1" applyProtection="1">
      <alignment horizontal="center" vertical="center"/>
      <protection locked="0"/>
    </xf>
    <xf numFmtId="194" fontId="6" fillId="3" borderId="3" xfId="0" applyNumberFormat="1" applyFont="1" applyFill="1" applyBorder="1" applyAlignment="1" applyProtection="1">
      <alignment horizontal="center" vertical="center"/>
      <protection locked="0"/>
    </xf>
    <xf numFmtId="194" fontId="6" fillId="3" borderId="4" xfId="0" applyNumberFormat="1" applyFont="1" applyFill="1" applyBorder="1" applyAlignment="1" applyProtection="1">
      <alignment horizontal="center" vertical="center"/>
      <protection locked="0"/>
    </xf>
    <xf numFmtId="49" fontId="6" fillId="3" borderId="5" xfId="0" applyNumberFormat="1" applyFont="1" applyFill="1" applyBorder="1" applyAlignment="1" applyProtection="1">
      <alignment horizontal="center" vertical="center"/>
      <protection locked="0"/>
    </xf>
    <xf numFmtId="49" fontId="6" fillId="3" borderId="6" xfId="0" applyNumberFormat="1" applyFont="1" applyFill="1" applyBorder="1" applyAlignment="1" applyProtection="1">
      <alignment horizontal="center" vertical="center"/>
      <protection locked="0"/>
    </xf>
    <xf numFmtId="0" fontId="6" fillId="29" borderId="30" xfId="201" applyFont="1" applyFill="1" applyBorder="1" applyAlignment="1" applyProtection="1">
      <alignment horizontal="center" vertical="center" wrapText="1"/>
      <protection locked="0"/>
    </xf>
    <xf numFmtId="194" fontId="6" fillId="3" borderId="5" xfId="0" applyNumberFormat="1" applyFont="1" applyFill="1" applyBorder="1" applyAlignment="1" applyProtection="1">
      <alignment horizontal="center" vertical="center" wrapText="1"/>
      <protection locked="0"/>
    </xf>
    <xf numFmtId="194" fontId="6" fillId="3" borderId="6" xfId="0" applyNumberFormat="1" applyFont="1" applyFill="1" applyBorder="1" applyAlignment="1" applyProtection="1">
      <alignment horizontal="center" vertical="center" wrapText="1"/>
      <protection locked="0"/>
    </xf>
    <xf numFmtId="194" fontId="25" fillId="29" borderId="30" xfId="0" applyNumberFormat="1" applyFont="1" applyFill="1" applyBorder="1" applyAlignment="1" applyProtection="1">
      <alignment horizontal="center" vertical="center" wrapText="1"/>
      <protection locked="0"/>
    </xf>
    <xf numFmtId="194" fontId="20" fillId="0" borderId="30" xfId="0" applyNumberFormat="1" applyFont="1" applyFill="1" applyBorder="1" applyAlignment="1" applyProtection="1">
      <alignment horizontal="left" vertical="center" wrapText="1"/>
      <protection locked="0"/>
    </xf>
    <xf numFmtId="194" fontId="6" fillId="29" borderId="30" xfId="0" applyNumberFormat="1" applyFont="1" applyFill="1" applyBorder="1" applyAlignment="1" applyProtection="1">
      <alignment horizontal="center" vertical="center" wrapText="1"/>
      <protection locked="0"/>
    </xf>
    <xf numFmtId="0" fontId="21" fillId="0" borderId="0" xfId="0" applyFont="1" applyAlignment="1">
      <alignment horizontal="center" vertical="center"/>
    </xf>
    <xf numFmtId="0" fontId="30" fillId="0" borderId="0" xfId="0" applyFont="1" applyAlignment="1">
      <alignment horizontal="center" vertical="center"/>
    </xf>
    <xf numFmtId="0" fontId="26" fillId="0" borderId="0" xfId="0" applyFont="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194" fontId="4" fillId="2" borderId="2" xfId="160" applyFont="1" applyFill="1" applyBorder="1" applyAlignment="1" applyProtection="1">
      <alignment horizontal="center" vertical="center" wrapText="1"/>
      <protection locked="0"/>
    </xf>
    <xf numFmtId="194" fontId="4" fillId="2" borderId="3" xfId="160" applyFont="1" applyFill="1" applyBorder="1" applyAlignment="1" applyProtection="1">
      <alignment horizontal="center" vertical="center" wrapText="1"/>
      <protection locked="0"/>
    </xf>
    <xf numFmtId="194" fontId="4" fillId="2" borderId="4" xfId="160" applyFont="1" applyFill="1" applyBorder="1" applyAlignment="1" applyProtection="1">
      <alignment horizontal="center" vertical="center" wrapText="1"/>
      <protection locked="0"/>
    </xf>
    <xf numFmtId="194" fontId="26" fillId="2" borderId="1" xfId="159" applyNumberFormat="1" applyFont="1" applyFill="1" applyBorder="1" applyAlignment="1">
      <alignment horizontal="center" vertical="center" wrapText="1"/>
      <protection locked="0"/>
    </xf>
    <xf numFmtId="0" fontId="6" fillId="2" borderId="1" xfId="159" applyFont="1" applyFill="1" applyBorder="1" applyAlignment="1">
      <alignment horizontal="center" vertical="center" wrapText="1"/>
      <protection locked="0"/>
    </xf>
    <xf numFmtId="0" fontId="26" fillId="2" borderId="1" xfId="0" applyFont="1" applyFill="1" applyBorder="1" applyAlignment="1">
      <alignment horizontal="center" vertical="center"/>
    </xf>
    <xf numFmtId="0" fontId="21" fillId="2" borderId="1" xfId="0" applyFont="1" applyFill="1" applyBorder="1">
      <alignment vertical="center"/>
    </xf>
    <xf numFmtId="43" fontId="33" fillId="0" borderId="0" xfId="168" applyNumberFormat="1" applyFont="1" applyBorder="1" applyAlignment="1">
      <alignment horizontal="center" vertical="center"/>
    </xf>
    <xf numFmtId="0" fontId="121" fillId="0" borderId="0" xfId="158" applyFont="1" applyAlignment="1">
      <alignment horizontal="left" vertical="center" wrapText="1"/>
      <protection locked="0"/>
    </xf>
    <xf numFmtId="0" fontId="2" fillId="0" borderId="0" xfId="158" applyFont="1" applyAlignment="1">
      <alignment horizontal="left" vertical="center" wrapText="1"/>
      <protection locked="0"/>
    </xf>
    <xf numFmtId="194" fontId="6" fillId="3" borderId="33" xfId="0" applyNumberFormat="1" applyFont="1" applyFill="1" applyBorder="1" applyAlignment="1" applyProtection="1">
      <alignment horizontal="center" vertical="center"/>
      <protection locked="0"/>
    </xf>
    <xf numFmtId="194" fontId="6" fillId="3" borderId="34" xfId="0" applyNumberFormat="1" applyFont="1" applyFill="1" applyBorder="1" applyAlignment="1" applyProtection="1">
      <alignment horizontal="center" vertical="center"/>
      <protection locked="0"/>
    </xf>
    <xf numFmtId="194" fontId="6" fillId="3" borderId="31" xfId="0" applyNumberFormat="1" applyFont="1" applyFill="1" applyBorder="1" applyAlignment="1" applyProtection="1">
      <alignment horizontal="center" vertical="center"/>
      <protection locked="0"/>
    </xf>
    <xf numFmtId="194" fontId="6" fillId="3" borderId="32" xfId="0" applyNumberFormat="1" applyFont="1" applyFill="1" applyBorder="1" applyAlignment="1" applyProtection="1">
      <alignment horizontal="center" vertical="center"/>
      <protection locked="0"/>
    </xf>
    <xf numFmtId="194" fontId="6" fillId="3" borderId="33" xfId="0" applyNumberFormat="1" applyFont="1" applyFill="1" applyBorder="1" applyAlignment="1" applyProtection="1">
      <alignment horizontal="center" vertical="center" wrapText="1"/>
      <protection locked="0"/>
    </xf>
    <xf numFmtId="194" fontId="6" fillId="3" borderId="34" xfId="0" applyNumberFormat="1" applyFont="1" applyFill="1" applyBorder="1" applyAlignment="1" applyProtection="1">
      <alignment horizontal="center" vertical="center" wrapText="1"/>
      <protection locked="0"/>
    </xf>
    <xf numFmtId="194" fontId="115" fillId="3" borderId="31" xfId="0" applyNumberFormat="1" applyFont="1" applyFill="1" applyBorder="1" applyAlignment="1" applyProtection="1">
      <alignment horizontal="center" vertical="center"/>
      <protection locked="0"/>
    </xf>
    <xf numFmtId="194" fontId="115" fillId="3" borderId="32" xfId="0" applyNumberFormat="1" applyFont="1" applyFill="1" applyBorder="1" applyAlignment="1" applyProtection="1">
      <alignment horizontal="center" vertical="center"/>
      <protection locked="0"/>
    </xf>
    <xf numFmtId="194" fontId="6" fillId="3" borderId="33" xfId="0" applyNumberFormat="1" applyFont="1" applyFill="1" applyBorder="1" applyAlignment="1" applyProtection="1">
      <alignment horizontal="center" vertical="center" wrapText="1"/>
    </xf>
    <xf numFmtId="194" fontId="6" fillId="3" borderId="34" xfId="0" applyNumberFormat="1" applyFont="1" applyFill="1" applyBorder="1" applyAlignment="1" applyProtection="1">
      <alignment horizontal="center" vertical="center" wrapText="1"/>
    </xf>
    <xf numFmtId="0" fontId="6" fillId="2" borderId="1" xfId="156" applyFont="1" applyFill="1" applyBorder="1" applyAlignment="1">
      <alignment horizontal="center" vertical="center" wrapText="1"/>
      <protection locked="0"/>
    </xf>
    <xf numFmtId="0" fontId="4" fillId="2" borderId="1" xfId="156" applyFont="1" applyFill="1" applyBorder="1" applyAlignment="1">
      <alignment horizontal="center" vertical="center" wrapText="1"/>
      <protection locked="0"/>
    </xf>
    <xf numFmtId="0" fontId="7" fillId="0" borderId="0" xfId="166" applyFont="1" applyAlignment="1">
      <alignment horizontal="center" vertical="center"/>
    </xf>
    <xf numFmtId="0" fontId="8" fillId="0" borderId="0" xfId="166" applyFont="1" applyAlignment="1">
      <alignment horizontal="center" vertical="center"/>
    </xf>
    <xf numFmtId="0" fontId="33" fillId="0" borderId="0" xfId="166" applyFont="1" applyAlignment="1">
      <alignment horizontal="center" vertical="center" wrapText="1"/>
    </xf>
    <xf numFmtId="0" fontId="118" fillId="0" borderId="0" xfId="166" applyFont="1" applyAlignment="1">
      <alignment horizontal="center" vertical="center"/>
    </xf>
    <xf numFmtId="0" fontId="6" fillId="2" borderId="2" xfId="156" applyFont="1" applyFill="1" applyBorder="1" applyAlignment="1">
      <alignment horizontal="center" vertical="center"/>
      <protection locked="0"/>
    </xf>
    <xf numFmtId="0" fontId="6" fillId="2" borderId="3" xfId="156" applyFont="1" applyFill="1" applyBorder="1" applyAlignment="1">
      <alignment horizontal="center" vertical="center"/>
      <protection locked="0"/>
    </xf>
    <xf numFmtId="0" fontId="6" fillId="2" borderId="4" xfId="156" applyFont="1" applyFill="1" applyBorder="1" applyAlignment="1">
      <alignment horizontal="center" vertical="center"/>
      <protection locked="0"/>
    </xf>
    <xf numFmtId="0" fontId="6" fillId="2" borderId="1" xfId="156" applyFont="1" applyFill="1" applyBorder="1" applyAlignment="1">
      <alignment horizontal="center" vertical="center"/>
      <protection locked="0"/>
    </xf>
    <xf numFmtId="0" fontId="4" fillId="2" borderId="1" xfId="156" applyFont="1" applyFill="1" applyBorder="1" applyAlignment="1">
      <alignment horizontal="center" vertical="center"/>
      <protection locked="0"/>
    </xf>
    <xf numFmtId="0" fontId="112" fillId="0" borderId="0" xfId="167" applyFont="1" applyAlignment="1">
      <alignment horizontal="left" vertical="center" wrapText="1"/>
    </xf>
    <xf numFmtId="43" fontId="7" fillId="0" borderId="0" xfId="168" applyNumberFormat="1" applyFont="1" applyBorder="1" applyAlignment="1">
      <alignment horizontal="center" vertical="center"/>
    </xf>
  </cellXfs>
  <cellStyles count="202">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51"/>
    <cellStyle name="20% - Accent2" xfId="52"/>
    <cellStyle name="20% - Accent3" xfId="53"/>
    <cellStyle name="20% - Accent4" xfId="54"/>
    <cellStyle name="20% - Accent5" xfId="55"/>
    <cellStyle name="20% - Accent6" xfId="56"/>
    <cellStyle name="40% - Accent1" xfId="57"/>
    <cellStyle name="40% - Accent2" xfId="58"/>
    <cellStyle name="40% - Accent3" xfId="59"/>
    <cellStyle name="40% - Accent4" xfId="60"/>
    <cellStyle name="40% - Accent5" xfId="61"/>
    <cellStyle name="40% - Accent6" xfId="62"/>
    <cellStyle name="60% - Accent1" xfId="63"/>
    <cellStyle name="60% - Accent2" xfId="64"/>
    <cellStyle name="60% - Accent3" xfId="65"/>
    <cellStyle name="60% - Accent4" xfId="66"/>
    <cellStyle name="60% - Accent5" xfId="67"/>
    <cellStyle name="60% - Accent6" xfId="68"/>
    <cellStyle name="Accent1" xfId="69"/>
    <cellStyle name="Accent2" xfId="70"/>
    <cellStyle name="Accent3" xfId="71"/>
    <cellStyle name="Accent4" xfId="72"/>
    <cellStyle name="Accent5" xfId="73"/>
    <cellStyle name="Accent6" xfId="74"/>
    <cellStyle name="Bad" xfId="75"/>
    <cellStyle name="Black" xfId="76"/>
    <cellStyle name="Border" xfId="77"/>
    <cellStyle name="Calc Currency (0)" xfId="78"/>
    <cellStyle name="Calculation" xfId="79"/>
    <cellStyle name="Check Cell" xfId="80"/>
    <cellStyle name="Col Heads" xfId="81"/>
    <cellStyle name="Column_Title" xfId="82"/>
    <cellStyle name="Comma  - Style1" xfId="83"/>
    <cellStyle name="Comma  - Style2" xfId="84"/>
    <cellStyle name="Comma  - Style3" xfId="85"/>
    <cellStyle name="Comma  - Style4" xfId="86"/>
    <cellStyle name="Comma  - Style5" xfId="87"/>
    <cellStyle name="Comma  - Style6" xfId="88"/>
    <cellStyle name="Comma  - Style7" xfId="89"/>
    <cellStyle name="Comma  - Style8" xfId="90"/>
    <cellStyle name="Comma [0]_ rislugp" xfId="91"/>
    <cellStyle name="Comma,0" xfId="92"/>
    <cellStyle name="Comma,1" xfId="93"/>
    <cellStyle name="Comma,2" xfId="94"/>
    <cellStyle name="Comma_ rislugp" xfId="95"/>
    <cellStyle name="Currency [0]_ rislugp" xfId="96"/>
    <cellStyle name="Currency,0" xfId="97"/>
    <cellStyle name="Currency,2" xfId="98"/>
    <cellStyle name="Currency_ rislugp" xfId="99"/>
    <cellStyle name="Dezimal [0]_laroux" xfId="100"/>
    <cellStyle name="Dezimal_laroux" xfId="101"/>
    <cellStyle name="entry" xfId="102"/>
    <cellStyle name="entry box" xfId="103"/>
    <cellStyle name="Euro" xfId="104"/>
    <cellStyle name="Explanatory Text" xfId="105"/>
    <cellStyle name="Followed Hyperlink_AheadBehind.xls Chart 23" xfId="106"/>
    <cellStyle name="Good" xfId="107"/>
    <cellStyle name="Grey" xfId="108"/>
    <cellStyle name="Header1" xfId="109"/>
    <cellStyle name="Header2" xfId="110"/>
    <cellStyle name="Heading" xfId="111"/>
    <cellStyle name="Heading 1" xfId="112"/>
    <cellStyle name="Heading 2" xfId="113"/>
    <cellStyle name="Heading 3" xfId="114"/>
    <cellStyle name="Heading 4" xfId="115"/>
    <cellStyle name="Hyperlink_AheadBehind.xls Chart 23" xfId="116"/>
    <cellStyle name="Input" xfId="117"/>
    <cellStyle name="Input [yellow]" xfId="118"/>
    <cellStyle name="left" xfId="119"/>
    <cellStyle name="Linked Cell" xfId="120"/>
    <cellStyle name="Millares [0]_laroux" xfId="121"/>
    <cellStyle name="Millares_laroux" xfId="122"/>
    <cellStyle name="Milliers [0]_laroux" xfId="123"/>
    <cellStyle name="Milliers_laroux" xfId="124"/>
    <cellStyle name="Moneda [0]_laroux" xfId="125"/>
    <cellStyle name="Moneda_laroux" xfId="126"/>
    <cellStyle name="Mon閠aire [0]_laroux" xfId="127"/>
    <cellStyle name="Mon閠aire_laroux" xfId="128"/>
    <cellStyle name="Neutral" xfId="129"/>
    <cellStyle name="no dec" xfId="130"/>
    <cellStyle name="Non défini" xfId="131"/>
    <cellStyle name="Normal - Style1" xfId="132"/>
    <cellStyle name="Normal_ rislugp" xfId="133"/>
    <cellStyle name="Normalny_Arkusz1" xfId="134"/>
    <cellStyle name="Note" xfId="135"/>
    <cellStyle name="Output" xfId="136"/>
    <cellStyle name="Percent (0)" xfId="137"/>
    <cellStyle name="Percent [2]" xfId="138"/>
    <cellStyle name="Prefilled" xfId="139"/>
    <cellStyle name="price" xfId="140"/>
    <cellStyle name="Red" xfId="141"/>
    <cellStyle name="revised" xfId="142"/>
    <cellStyle name="section" xfId="143"/>
    <cellStyle name="style" xfId="144"/>
    <cellStyle name="style1" xfId="145"/>
    <cellStyle name="style2" xfId="146"/>
    <cellStyle name="Tickmark" xfId="147"/>
    <cellStyle name="title" xfId="148"/>
    <cellStyle name="Total" xfId="149"/>
    <cellStyle name="Warning Text" xfId="150"/>
    <cellStyle name="wrap" xfId="151"/>
    <cellStyle name="パーセント_laroux" xfId="152"/>
    <cellStyle name="百分比" xfId="2" builtinId="5"/>
    <cellStyle name="百分比 2" xfId="153"/>
    <cellStyle name="標準_１１月価格表" xfId="154"/>
    <cellStyle name="常规" xfId="0" builtinId="0"/>
    <cellStyle name="常规 11 5" xfId="200"/>
    <cellStyle name="常规 2" xfId="155"/>
    <cellStyle name="常规 2 2" xfId="156"/>
    <cellStyle name="常规 2 3" xfId="157"/>
    <cellStyle name="常规 2 3 2" xfId="198"/>
    <cellStyle name="常规 2 8" xfId="158"/>
    <cellStyle name="常规 3" xfId="159"/>
    <cellStyle name="常规 3 2 2" xfId="199"/>
    <cellStyle name="常规 4" xfId="160"/>
    <cellStyle name="常规 4 2" xfId="161"/>
    <cellStyle name="常规 5" xfId="162"/>
    <cellStyle name="常规 5 2" xfId="196"/>
    <cellStyle name="常规 6" xfId="163"/>
    <cellStyle name="常规 6 2" xfId="197"/>
    <cellStyle name="常规 7" xfId="164"/>
    <cellStyle name="常规 7 2" xfId="201"/>
    <cellStyle name="常规_2-1项目审定表－模板" xfId="165"/>
    <cellStyle name="常规_Book1" xfId="166"/>
    <cellStyle name="常规_进一步审计程序--销售与收款循环" xfId="167"/>
    <cellStyle name="常规_新审定表" xfId="168"/>
    <cellStyle name="常规_制造费用" xfId="169"/>
    <cellStyle name="超级链接_B4-1审计项目工时预算与控制表(集团)" xfId="170"/>
    <cellStyle name="超链接" xfId="3" builtinId="8"/>
    <cellStyle name="超链接 2" xfId="171"/>
    <cellStyle name="超链接 2 2" xfId="172"/>
    <cellStyle name="超链接 3" xfId="173"/>
    <cellStyle name="超链接 3 2" xfId="174"/>
    <cellStyle name="分级显示行_1_4附件二凯旋评估表" xfId="175"/>
    <cellStyle name="桁区切り [0.00]_１１月価格表" xfId="176"/>
    <cellStyle name="桁区切り_１１月価格表" xfId="177"/>
    <cellStyle name="霓付 [0]_97MBO" xfId="178"/>
    <cellStyle name="霓付_97MBO" xfId="179"/>
    <cellStyle name="烹拳 [0]_97MBO" xfId="180"/>
    <cellStyle name="烹拳_97MBO" xfId="181"/>
    <cellStyle name="普通_ 白土" xfId="182"/>
    <cellStyle name="千分位[0]_ 白土" xfId="183"/>
    <cellStyle name="千分位_ 白土" xfId="184"/>
    <cellStyle name="千位[0]_97汇总" xfId="185"/>
    <cellStyle name="千位_97汇总" xfId="186"/>
    <cellStyle name="千位分隔" xfId="1" builtinId="3"/>
    <cellStyle name="钎霖_laroux" xfId="187"/>
    <cellStyle name="通貨 [0.00]_１１月価格表" xfId="188"/>
    <cellStyle name="通貨_１１月価格表" xfId="189"/>
    <cellStyle name="样式 1" xfId="190"/>
    <cellStyle name="콤마 [0]_BOILER-CO1" xfId="191"/>
    <cellStyle name="콤마_BOILER-CO1" xfId="192"/>
    <cellStyle name="통화 [0]_BOILER-CO1" xfId="193"/>
    <cellStyle name="통화_BOILER-CO1" xfId="194"/>
    <cellStyle name="표준_0N-HANDLING " xfId="195"/>
  </cellStyles>
  <dxfs count="1">
    <dxf>
      <font>
        <color rgb="FFFF0000"/>
      </font>
      <numFmt numFmtId="210" formatCode="0.00_ "/>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34</xdr:row>
      <xdr:rowOff>0</xdr:rowOff>
    </xdr:from>
    <xdr:to>
      <xdr:col>25</xdr:col>
      <xdr:colOff>371474</xdr:colOff>
      <xdr:row>37</xdr:row>
      <xdr:rowOff>165100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a:xfrm>
          <a:off x="18554700" y="8846185"/>
          <a:ext cx="7914640" cy="11049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0"/>
  <sheetViews>
    <sheetView tabSelected="1" workbookViewId="0"/>
  </sheetViews>
  <sheetFormatPr defaultColWidth="9" defaultRowHeight="18" customHeight="1"/>
  <cols>
    <col min="1" max="1" width="80.77734375" style="80" customWidth="1"/>
    <col min="2" max="2" width="9" style="142"/>
    <col min="3" max="3" width="32.109375" style="80" customWidth="1"/>
    <col min="4" max="4" width="9" style="142"/>
    <col min="5" max="5" width="29.44140625" style="80" customWidth="1"/>
    <col min="6" max="16384" width="9" style="80"/>
  </cols>
  <sheetData>
    <row r="1" spans="1:6" s="140" customFormat="1" ht="18" customHeight="1">
      <c r="A1" s="143" t="s">
        <v>0</v>
      </c>
      <c r="B1" s="245" t="s">
        <v>1</v>
      </c>
      <c r="C1" s="245"/>
      <c r="D1" s="245"/>
      <c r="E1" s="245"/>
    </row>
    <row r="2" spans="1:6" s="141" customFormat="1" ht="18" customHeight="1">
      <c r="A2" s="144" t="s">
        <v>223</v>
      </c>
      <c r="B2" s="145"/>
      <c r="C2" s="145"/>
      <c r="D2" s="145"/>
      <c r="E2" s="145"/>
    </row>
    <row r="3" spans="1:6" s="81" customFormat="1" ht="18" customHeight="1">
      <c r="A3" s="144" t="s">
        <v>251</v>
      </c>
      <c r="B3" s="146" t="s">
        <v>2</v>
      </c>
      <c r="C3" s="146" t="s">
        <v>3</v>
      </c>
      <c r="D3" s="146" t="s">
        <v>4</v>
      </c>
      <c r="E3" s="146" t="s">
        <v>5</v>
      </c>
    </row>
    <row r="4" spans="1:6" ht="18" customHeight="1">
      <c r="A4" s="147" t="s">
        <v>224</v>
      </c>
      <c r="B4" s="148">
        <v>1</v>
      </c>
      <c r="C4" s="160" t="s">
        <v>6</v>
      </c>
      <c r="D4" s="148" t="s">
        <v>238</v>
      </c>
      <c r="E4" s="149"/>
    </row>
    <row r="5" spans="1:6" ht="18" customHeight="1">
      <c r="A5" s="147" t="s">
        <v>225</v>
      </c>
      <c r="B5" s="148">
        <v>2</v>
      </c>
      <c r="C5" s="160" t="s">
        <v>7</v>
      </c>
      <c r="D5" s="148" t="s">
        <v>239</v>
      </c>
      <c r="E5" s="149"/>
    </row>
    <row r="6" spans="1:6" ht="18" customHeight="1">
      <c r="A6" s="147" t="s">
        <v>226</v>
      </c>
      <c r="B6" s="148">
        <v>3</v>
      </c>
      <c r="C6" s="160" t="s">
        <v>8</v>
      </c>
      <c r="D6" s="148"/>
      <c r="E6" s="149" t="s">
        <v>9</v>
      </c>
      <c r="F6" s="150"/>
    </row>
    <row r="7" spans="1:6" ht="18" customHeight="1">
      <c r="A7" s="147" t="s">
        <v>227</v>
      </c>
      <c r="B7" s="148">
        <v>4</v>
      </c>
      <c r="C7" s="160" t="s">
        <v>10</v>
      </c>
      <c r="D7" s="148"/>
      <c r="E7" s="149" t="s">
        <v>9</v>
      </c>
      <c r="F7" s="150"/>
    </row>
    <row r="8" spans="1:6" ht="18" customHeight="1">
      <c r="B8" s="148">
        <v>5</v>
      </c>
      <c r="C8" s="160" t="s">
        <v>11</v>
      </c>
      <c r="D8" s="148" t="s">
        <v>240</v>
      </c>
      <c r="E8" s="149"/>
    </row>
    <row r="9" spans="1:6" ht="18" customHeight="1">
      <c r="A9" s="227" t="s">
        <v>252</v>
      </c>
      <c r="B9" s="148">
        <v>6</v>
      </c>
      <c r="C9" s="160" t="s">
        <v>12</v>
      </c>
      <c r="D9" s="148" t="s">
        <v>241</v>
      </c>
      <c r="E9" s="149" t="s">
        <v>13</v>
      </c>
    </row>
    <row r="10" spans="1:6" ht="18" customHeight="1">
      <c r="A10" s="246" t="s">
        <v>253</v>
      </c>
      <c r="B10" s="148">
        <v>7</v>
      </c>
      <c r="C10" s="237" t="s">
        <v>277</v>
      </c>
      <c r="D10" s="238" t="s">
        <v>282</v>
      </c>
      <c r="E10" s="248" t="s">
        <v>302</v>
      </c>
    </row>
    <row r="11" spans="1:6" ht="18" customHeight="1">
      <c r="A11" s="246"/>
      <c r="B11" s="148">
        <v>8</v>
      </c>
      <c r="C11" s="237" t="s">
        <v>278</v>
      </c>
      <c r="D11" s="238" t="s">
        <v>283</v>
      </c>
      <c r="E11" s="249"/>
    </row>
    <row r="12" spans="1:6" ht="18" customHeight="1">
      <c r="A12" s="246"/>
      <c r="B12" s="148">
        <v>9</v>
      </c>
      <c r="C12" s="237" t="s">
        <v>271</v>
      </c>
      <c r="D12" s="238" t="s">
        <v>284</v>
      </c>
      <c r="E12" s="249"/>
    </row>
    <row r="13" spans="1:6" ht="18" customHeight="1">
      <c r="A13" s="246"/>
      <c r="B13" s="148">
        <v>10</v>
      </c>
      <c r="C13" s="237" t="s">
        <v>272</v>
      </c>
      <c r="D13" s="238" t="s">
        <v>285</v>
      </c>
      <c r="E13" s="249"/>
    </row>
    <row r="14" spans="1:6" ht="18" customHeight="1">
      <c r="A14" s="246" t="s">
        <v>254</v>
      </c>
      <c r="B14" s="148">
        <v>11</v>
      </c>
      <c r="C14" s="237" t="s">
        <v>273</v>
      </c>
      <c r="D14" s="238" t="s">
        <v>246</v>
      </c>
      <c r="E14" s="249"/>
    </row>
    <row r="15" spans="1:6" ht="18" customHeight="1">
      <c r="A15" s="246"/>
      <c r="B15" s="148">
        <v>12</v>
      </c>
      <c r="C15" s="237" t="s">
        <v>274</v>
      </c>
      <c r="D15" s="238" t="s">
        <v>247</v>
      </c>
      <c r="E15" s="249"/>
    </row>
    <row r="16" spans="1:6" ht="18" customHeight="1">
      <c r="A16" s="246"/>
      <c r="B16" s="148">
        <v>13</v>
      </c>
      <c r="C16" s="237" t="s">
        <v>275</v>
      </c>
      <c r="D16" s="238" t="s">
        <v>248</v>
      </c>
      <c r="E16" s="249"/>
    </row>
    <row r="17" spans="1:5" ht="18" customHeight="1">
      <c r="A17" s="247" t="s">
        <v>255</v>
      </c>
      <c r="B17" s="148">
        <v>14</v>
      </c>
      <c r="C17" s="237" t="s">
        <v>276</v>
      </c>
      <c r="D17" s="238" t="s">
        <v>286</v>
      </c>
      <c r="E17" s="250"/>
    </row>
    <row r="18" spans="1:5" ht="18" customHeight="1">
      <c r="A18" s="247"/>
      <c r="B18" s="148">
        <v>15</v>
      </c>
      <c r="C18" s="160" t="s">
        <v>191</v>
      </c>
      <c r="D18" s="148" t="s">
        <v>279</v>
      </c>
      <c r="E18" s="149"/>
    </row>
    <row r="19" spans="1:5" ht="18" customHeight="1">
      <c r="A19" s="247"/>
      <c r="B19" s="148">
        <v>16</v>
      </c>
      <c r="C19" s="160" t="s">
        <v>270</v>
      </c>
      <c r="D19" s="148" t="s">
        <v>280</v>
      </c>
      <c r="E19" s="149"/>
    </row>
    <row r="20" spans="1:5" ht="18" customHeight="1">
      <c r="B20" s="148">
        <v>17</v>
      </c>
      <c r="C20" s="160" t="s">
        <v>192</v>
      </c>
      <c r="D20" s="148" t="s">
        <v>281</v>
      </c>
      <c r="E20" s="149"/>
    </row>
  </sheetData>
  <mergeCells count="5">
    <mergeCell ref="B1:E1"/>
    <mergeCell ref="A10:A13"/>
    <mergeCell ref="A14:A16"/>
    <mergeCell ref="A17:A19"/>
    <mergeCell ref="E10:E17"/>
  </mergeCells>
  <phoneticPr fontId="105" type="noConversion"/>
  <hyperlinks>
    <hyperlink ref="C5" location="'审定表I6-1'!A1" display="研发费用审定表"/>
    <hyperlink ref="C8" location="'明细表I6-2'!A1" display="研发费用明细表"/>
    <hyperlink ref="C6" location="'附注披露（上市公司）'!A1" display="研发费用附注披露表（上市公司）"/>
    <hyperlink ref="C7" location="'附注披露（国有企业）'!A1" display="研发费用附注披露表（国有企业）"/>
    <hyperlink ref="C4" location="'研发费用实质性程序 I6A'!A1" display="研发费用实质性程序"/>
    <hyperlink ref="C9" location="'调整分录汇总I6-3'!A1" display="调整分录汇总"/>
    <hyperlink ref="C18" location="'其他针对性检查表I6-5'!A1" display="其他针对性检查表"/>
    <hyperlink ref="C19" location="'截止性测试（账到单据）I6-6'!A1" display="截止性测试（账到单据）"/>
    <hyperlink ref="C20" location="'截止性测试（单据到账）I6-7'!A1" display="截止性测试（单据到账）"/>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L34"/>
  <sheetViews>
    <sheetView view="pageBreakPreview" zoomScaleNormal="100" zoomScaleSheetLayoutView="100" workbookViewId="0">
      <selection sqref="A1:I1"/>
    </sheetView>
  </sheetViews>
  <sheetFormatPr defaultColWidth="9" defaultRowHeight="24.9" customHeight="1"/>
  <cols>
    <col min="1" max="1" width="5.33203125" style="47" customWidth="1"/>
    <col min="2" max="2" width="70.88671875" style="48" customWidth="1"/>
    <col min="3" max="3" width="11.21875" style="49" customWidth="1"/>
    <col min="4" max="4" width="6.6640625" style="49" customWidth="1"/>
    <col min="5" max="5" width="6.6640625" style="48" customWidth="1"/>
    <col min="6" max="6" width="8" style="48" customWidth="1"/>
    <col min="7" max="7" width="6.6640625" style="48" customWidth="1"/>
    <col min="8" max="8" width="7.44140625" style="48" customWidth="1"/>
    <col min="9" max="9" width="8" style="48" customWidth="1"/>
    <col min="10" max="10" width="66.21875" style="48" customWidth="1"/>
    <col min="11" max="11" width="11.21875" style="48" customWidth="1"/>
    <col min="12" max="12" width="19.88671875" style="48" customWidth="1"/>
    <col min="13" max="16384" width="9" style="48"/>
  </cols>
  <sheetData>
    <row r="1" spans="1:10" ht="20.100000000000001" customHeight="1">
      <c r="A1" s="255" t="s">
        <v>219</v>
      </c>
      <c r="B1" s="256"/>
      <c r="C1" s="256"/>
      <c r="D1" s="256"/>
      <c r="E1" s="256"/>
      <c r="F1" s="256"/>
      <c r="G1" s="256"/>
      <c r="H1" s="256"/>
      <c r="I1" s="256"/>
    </row>
    <row r="2" spans="1:10" ht="24.9" customHeight="1">
      <c r="A2" s="257" t="s">
        <v>221</v>
      </c>
      <c r="B2" s="258"/>
      <c r="C2" s="258"/>
      <c r="D2" s="258"/>
      <c r="E2" s="258"/>
      <c r="F2" s="258"/>
      <c r="G2" s="258"/>
      <c r="H2" s="258"/>
      <c r="I2" s="258"/>
    </row>
    <row r="3" spans="1:10" ht="20.100000000000001" customHeight="1">
      <c r="A3" s="50" t="str">
        <f>底稿目录!A2</f>
        <v>被审计单位：</v>
      </c>
      <c r="B3" s="46"/>
      <c r="C3" s="51" t="str">
        <f>底稿目录!A4</f>
        <v>编制人：</v>
      </c>
      <c r="D3" s="52"/>
      <c r="E3" s="53" t="str">
        <f>底稿目录!A5</f>
        <v>编制日期：</v>
      </c>
      <c r="G3" s="53"/>
      <c r="H3" s="54" t="s">
        <v>96</v>
      </c>
      <c r="I3" s="236" t="str">
        <f>底稿目录!D4</f>
        <v>I6A</v>
      </c>
    </row>
    <row r="4" spans="1:10" s="43" customFormat="1" ht="20.100000000000001" customHeight="1">
      <c r="A4" s="55" t="str">
        <f>底稿目录!A3</f>
        <v>会计期间：202X年度</v>
      </c>
      <c r="B4" s="55"/>
      <c r="C4" s="55" t="str">
        <f>底稿目录!A6</f>
        <v>复核人：</v>
      </c>
      <c r="D4" s="56"/>
      <c r="E4" s="57" t="str">
        <f>底稿目录!A7</f>
        <v>复核日期：</v>
      </c>
      <c r="G4" s="57"/>
      <c r="H4" s="58" t="s">
        <v>97</v>
      </c>
    </row>
    <row r="5" spans="1:10" s="44" customFormat="1" ht="20.100000000000001" customHeight="1">
      <c r="A5" s="59" t="s">
        <v>119</v>
      </c>
      <c r="B5" s="60"/>
      <c r="C5" s="60"/>
      <c r="D5" s="60"/>
      <c r="E5" s="60"/>
      <c r="F5" s="60"/>
      <c r="G5" s="60"/>
      <c r="H5" s="60"/>
      <c r="I5" s="60"/>
    </row>
    <row r="6" spans="1:10" s="44" customFormat="1" ht="20.100000000000001" customHeight="1">
      <c r="A6" s="61" t="s">
        <v>120</v>
      </c>
      <c r="B6" s="60"/>
      <c r="C6" s="60"/>
      <c r="D6" s="60"/>
      <c r="E6" s="60"/>
      <c r="F6" s="60"/>
      <c r="G6" s="60"/>
      <c r="H6" s="60"/>
      <c r="I6" s="60"/>
    </row>
    <row r="7" spans="1:10" s="44" customFormat="1" ht="20.100000000000001" customHeight="1">
      <c r="A7" s="62" t="s">
        <v>121</v>
      </c>
      <c r="B7" s="63"/>
      <c r="C7" s="60"/>
      <c r="D7" s="60"/>
      <c r="E7" s="60"/>
      <c r="F7" s="60"/>
      <c r="G7" s="60"/>
      <c r="H7" s="60"/>
      <c r="I7" s="60"/>
    </row>
    <row r="8" spans="1:10" s="45" customFormat="1" ht="19.95" customHeight="1">
      <c r="A8" s="272" t="s">
        <v>122</v>
      </c>
      <c r="B8" s="272"/>
      <c r="C8" s="272"/>
      <c r="D8" s="272"/>
      <c r="E8" s="272"/>
      <c r="F8" s="272"/>
      <c r="G8" s="270" t="s">
        <v>123</v>
      </c>
      <c r="H8" s="270"/>
      <c r="I8" s="270"/>
    </row>
    <row r="9" spans="1:10" s="45" customFormat="1" ht="19.95" customHeight="1">
      <c r="A9" s="271" t="s">
        <v>193</v>
      </c>
      <c r="B9" s="271"/>
      <c r="C9" s="271"/>
      <c r="D9" s="271"/>
      <c r="E9" s="271"/>
      <c r="F9" s="271"/>
      <c r="G9" s="259" t="s">
        <v>124</v>
      </c>
      <c r="H9" s="259"/>
      <c r="I9" s="259"/>
    </row>
    <row r="10" spans="1:10" s="45" customFormat="1" ht="19.95" customHeight="1">
      <c r="A10" s="271" t="s">
        <v>228</v>
      </c>
      <c r="B10" s="271"/>
      <c r="C10" s="271"/>
      <c r="D10" s="271"/>
      <c r="E10" s="271"/>
      <c r="F10" s="271"/>
      <c r="G10" s="259" t="s">
        <v>125</v>
      </c>
      <c r="H10" s="259"/>
      <c r="I10" s="259"/>
    </row>
    <row r="11" spans="1:10" s="45" customFormat="1" ht="19.95" customHeight="1">
      <c r="A11" s="271" t="s">
        <v>229</v>
      </c>
      <c r="B11" s="271"/>
      <c r="C11" s="271"/>
      <c r="D11" s="271"/>
      <c r="E11" s="271"/>
      <c r="F11" s="271"/>
      <c r="G11" s="259" t="s">
        <v>126</v>
      </c>
      <c r="H11" s="259"/>
      <c r="I11" s="259"/>
    </row>
    <row r="12" spans="1:10" s="45" customFormat="1" ht="19.95" customHeight="1">
      <c r="A12" s="271" t="s">
        <v>230</v>
      </c>
      <c r="B12" s="271"/>
      <c r="C12" s="271"/>
      <c r="D12" s="271"/>
      <c r="E12" s="271"/>
      <c r="F12" s="271"/>
      <c r="G12" s="259" t="s">
        <v>127</v>
      </c>
      <c r="H12" s="259"/>
      <c r="I12" s="259"/>
    </row>
    <row r="13" spans="1:10" s="45" customFormat="1" ht="19.95" customHeight="1">
      <c r="A13" s="271" t="s">
        <v>231</v>
      </c>
      <c r="B13" s="271"/>
      <c r="C13" s="271"/>
      <c r="D13" s="271"/>
      <c r="E13" s="271"/>
      <c r="F13" s="271"/>
      <c r="G13" s="259" t="s">
        <v>128</v>
      </c>
      <c r="H13" s="259"/>
      <c r="I13" s="259"/>
    </row>
    <row r="14" spans="1:10" s="46" customFormat="1" ht="21" customHeight="1">
      <c r="A14" s="260" t="s">
        <v>203</v>
      </c>
      <c r="B14" s="260"/>
      <c r="C14" s="177"/>
      <c r="D14" s="177"/>
      <c r="E14" s="177"/>
      <c r="F14" s="177"/>
      <c r="G14" s="261"/>
      <c r="H14" s="261"/>
      <c r="I14" s="261"/>
    </row>
    <row r="15" spans="1:10" s="46" customFormat="1" ht="21" customHeight="1">
      <c r="A15" s="265" t="s">
        <v>14</v>
      </c>
      <c r="B15" s="267" t="s">
        <v>257</v>
      </c>
      <c r="C15" s="268" t="s">
        <v>129</v>
      </c>
      <c r="D15" s="262" t="s">
        <v>130</v>
      </c>
      <c r="E15" s="263"/>
      <c r="F15" s="263"/>
      <c r="G15" s="263"/>
      <c r="H15" s="264"/>
      <c r="I15" s="268" t="s">
        <v>131</v>
      </c>
    </row>
    <row r="16" spans="1:10" s="46" customFormat="1" ht="21" customHeight="1">
      <c r="A16" s="266"/>
      <c r="B16" s="267"/>
      <c r="C16" s="269"/>
      <c r="D16" s="66" t="s">
        <v>124</v>
      </c>
      <c r="E16" s="66" t="s">
        <v>125</v>
      </c>
      <c r="F16" s="67" t="s">
        <v>126</v>
      </c>
      <c r="G16" s="67" t="s">
        <v>127</v>
      </c>
      <c r="H16" s="67" t="s">
        <v>128</v>
      </c>
      <c r="I16" s="269"/>
      <c r="J16" s="228" t="s">
        <v>256</v>
      </c>
    </row>
    <row r="17" spans="1:12" s="46" customFormat="1" ht="40.200000000000003" customHeight="1">
      <c r="A17" s="68" t="s">
        <v>132</v>
      </c>
      <c r="B17" s="69" t="s">
        <v>133</v>
      </c>
      <c r="C17" s="70" t="s">
        <v>134</v>
      </c>
      <c r="D17" s="70" t="s">
        <v>135</v>
      </c>
      <c r="E17" s="70" t="s">
        <v>135</v>
      </c>
      <c r="F17" s="71" t="s">
        <v>135</v>
      </c>
      <c r="G17" s="65"/>
      <c r="H17" s="65"/>
      <c r="I17" s="76" t="s">
        <v>242</v>
      </c>
    </row>
    <row r="18" spans="1:12" s="46" customFormat="1" ht="45" customHeight="1">
      <c r="A18" s="68" t="s">
        <v>136</v>
      </c>
      <c r="B18" s="69" t="s">
        <v>249</v>
      </c>
      <c r="C18" s="70" t="s">
        <v>137</v>
      </c>
      <c r="D18" s="72"/>
      <c r="E18" s="71" t="s">
        <v>135</v>
      </c>
      <c r="F18" s="70" t="s">
        <v>135</v>
      </c>
      <c r="G18" s="70"/>
      <c r="H18" s="72"/>
      <c r="I18" s="76" t="s">
        <v>138</v>
      </c>
      <c r="J18" s="251" t="s">
        <v>139</v>
      </c>
      <c r="K18" s="252"/>
      <c r="L18" s="252"/>
    </row>
    <row r="19" spans="1:12" s="46" customFormat="1" ht="31.2" customHeight="1">
      <c r="A19" s="161" t="s">
        <v>197</v>
      </c>
      <c r="B19" s="221" t="s">
        <v>232</v>
      </c>
      <c r="C19" s="165" t="s">
        <v>194</v>
      </c>
      <c r="D19" s="166"/>
      <c r="E19" s="167"/>
      <c r="F19" s="163"/>
      <c r="G19" s="71" t="s">
        <v>135</v>
      </c>
      <c r="H19" s="168"/>
      <c r="I19" s="169"/>
      <c r="J19" s="253" t="s">
        <v>140</v>
      </c>
      <c r="K19" s="254"/>
      <c r="L19" s="254"/>
    </row>
    <row r="20" spans="1:12" s="46" customFormat="1" ht="119.4" customHeight="1">
      <c r="A20" s="68" t="s">
        <v>141</v>
      </c>
      <c r="B20" s="178" t="s">
        <v>233</v>
      </c>
      <c r="C20" s="73" t="s">
        <v>134</v>
      </c>
      <c r="D20" s="70" t="s">
        <v>135</v>
      </c>
      <c r="E20" s="70" t="s">
        <v>135</v>
      </c>
      <c r="F20" s="71" t="s">
        <v>135</v>
      </c>
      <c r="G20" s="70"/>
      <c r="H20" s="65"/>
      <c r="I20" s="240" t="s">
        <v>244</v>
      </c>
      <c r="J20" s="239" t="s">
        <v>293</v>
      </c>
    </row>
    <row r="21" spans="1:12" s="46" customFormat="1" ht="148.80000000000001" customHeight="1">
      <c r="A21" s="161" t="s">
        <v>180</v>
      </c>
      <c r="B21" s="179" t="s">
        <v>204</v>
      </c>
      <c r="C21" s="74" t="s">
        <v>134</v>
      </c>
      <c r="D21" s="71" t="s">
        <v>135</v>
      </c>
      <c r="E21" s="70" t="s">
        <v>135</v>
      </c>
      <c r="F21" s="74" t="s">
        <v>135</v>
      </c>
      <c r="G21" s="74"/>
      <c r="H21" s="74"/>
      <c r="I21" s="241" t="s">
        <v>245</v>
      </c>
    </row>
    <row r="22" spans="1:12" s="46" customFormat="1" ht="120" customHeight="1">
      <c r="A22" s="68" t="s">
        <v>181</v>
      </c>
      <c r="B22" s="229" t="s">
        <v>258</v>
      </c>
      <c r="C22" s="74" t="s">
        <v>134</v>
      </c>
      <c r="D22" s="71" t="s">
        <v>135</v>
      </c>
      <c r="E22" s="70" t="s">
        <v>135</v>
      </c>
      <c r="F22" s="75" t="s">
        <v>135</v>
      </c>
      <c r="G22" s="74" t="s">
        <v>135</v>
      </c>
      <c r="H22" s="162"/>
      <c r="I22" s="241" t="s">
        <v>287</v>
      </c>
    </row>
    <row r="23" spans="1:12" s="46" customFormat="1" ht="27.6" customHeight="1">
      <c r="A23" s="161" t="s">
        <v>182</v>
      </c>
      <c r="B23" s="229" t="s">
        <v>265</v>
      </c>
      <c r="C23" s="74" t="s">
        <v>134</v>
      </c>
      <c r="D23" s="71" t="s">
        <v>135</v>
      </c>
      <c r="E23" s="230"/>
      <c r="F23" s="223" t="s">
        <v>135</v>
      </c>
      <c r="G23" s="223"/>
      <c r="H23" s="223"/>
      <c r="I23" s="242" t="s">
        <v>288</v>
      </c>
    </row>
    <row r="24" spans="1:12" s="46" customFormat="1" ht="70.2" customHeight="1">
      <c r="A24" s="68" t="s">
        <v>183</v>
      </c>
      <c r="B24" s="179" t="s">
        <v>187</v>
      </c>
      <c r="C24" s="74" t="s">
        <v>134</v>
      </c>
      <c r="D24" s="71" t="s">
        <v>135</v>
      </c>
      <c r="E24" s="70" t="s">
        <v>135</v>
      </c>
      <c r="F24" s="75" t="s">
        <v>135</v>
      </c>
      <c r="G24" s="74" t="s">
        <v>135</v>
      </c>
      <c r="H24" s="162"/>
      <c r="I24" s="243" t="s">
        <v>289</v>
      </c>
    </row>
    <row r="25" spans="1:12" s="46" customFormat="1" ht="137.4" customHeight="1">
      <c r="A25" s="161" t="s">
        <v>184</v>
      </c>
      <c r="B25" s="179" t="s">
        <v>185</v>
      </c>
      <c r="C25" s="74" t="s">
        <v>134</v>
      </c>
      <c r="D25" s="71" t="s">
        <v>135</v>
      </c>
      <c r="E25" s="70" t="s">
        <v>135</v>
      </c>
      <c r="F25" s="75" t="s">
        <v>135</v>
      </c>
      <c r="G25" s="74" t="s">
        <v>135</v>
      </c>
      <c r="H25" s="74"/>
      <c r="I25" s="243" t="s">
        <v>290</v>
      </c>
    </row>
    <row r="26" spans="1:12" s="46" customFormat="1" ht="91.8" customHeight="1">
      <c r="A26" s="68" t="s">
        <v>189</v>
      </c>
      <c r="B26" s="179" t="s">
        <v>186</v>
      </c>
      <c r="C26" s="74" t="s">
        <v>134</v>
      </c>
      <c r="D26" s="71" t="s">
        <v>135</v>
      </c>
      <c r="E26" s="70" t="s">
        <v>135</v>
      </c>
      <c r="F26" s="75" t="s">
        <v>135</v>
      </c>
      <c r="G26" s="74" t="s">
        <v>135</v>
      </c>
      <c r="H26" s="74"/>
      <c r="I26" s="243" t="s">
        <v>291</v>
      </c>
    </row>
    <row r="27" spans="1:12" s="46" customFormat="1" ht="67.8" customHeight="1">
      <c r="A27" s="161" t="s">
        <v>198</v>
      </c>
      <c r="B27" s="179" t="s">
        <v>188</v>
      </c>
      <c r="C27" s="74" t="s">
        <v>134</v>
      </c>
      <c r="D27" s="71" t="s">
        <v>135</v>
      </c>
      <c r="E27" s="70" t="s">
        <v>135</v>
      </c>
      <c r="F27" s="75" t="s">
        <v>135</v>
      </c>
      <c r="G27" s="74" t="s">
        <v>135</v>
      </c>
      <c r="H27" s="74"/>
      <c r="I27" s="243" t="s">
        <v>292</v>
      </c>
    </row>
    <row r="28" spans="1:12" s="46" customFormat="1" ht="45" customHeight="1">
      <c r="A28" s="68" t="s">
        <v>199</v>
      </c>
      <c r="B28" s="180" t="s">
        <v>195</v>
      </c>
      <c r="C28" s="162" t="s">
        <v>194</v>
      </c>
      <c r="D28" s="70" t="s">
        <v>135</v>
      </c>
      <c r="E28" s="74"/>
      <c r="F28" s="75" t="s">
        <v>135</v>
      </c>
      <c r="G28" s="162"/>
      <c r="H28" s="162"/>
      <c r="I28" s="164"/>
    </row>
    <row r="29" spans="1:12" s="46" customFormat="1" ht="32.4" customHeight="1">
      <c r="A29" s="161" t="s">
        <v>261</v>
      </c>
      <c r="B29" s="229" t="s">
        <v>259</v>
      </c>
      <c r="C29" s="74" t="s">
        <v>134</v>
      </c>
      <c r="D29" s="71" t="s">
        <v>135</v>
      </c>
      <c r="E29" s="223"/>
      <c r="F29" s="70" t="s">
        <v>135</v>
      </c>
      <c r="G29" s="223"/>
      <c r="H29" s="223"/>
      <c r="I29" s="231" t="s">
        <v>260</v>
      </c>
    </row>
    <row r="30" spans="1:12" s="46" customFormat="1" ht="63" customHeight="1">
      <c r="A30" s="68" t="s">
        <v>262</v>
      </c>
      <c r="B30" s="181" t="s">
        <v>196</v>
      </c>
      <c r="C30" s="154" t="s">
        <v>134</v>
      </c>
      <c r="D30" s="155"/>
      <c r="E30" s="155"/>
      <c r="F30" s="155"/>
      <c r="G30" s="156" t="s">
        <v>135</v>
      </c>
      <c r="H30" s="155"/>
      <c r="I30" s="77" t="s">
        <v>243</v>
      </c>
    </row>
    <row r="31" spans="1:12" s="46" customFormat="1" ht="43.8" customHeight="1">
      <c r="A31" s="161" t="s">
        <v>263</v>
      </c>
      <c r="B31" s="173" t="s">
        <v>201</v>
      </c>
      <c r="C31" s="174" t="s">
        <v>202</v>
      </c>
      <c r="D31" s="175"/>
      <c r="E31" s="175"/>
      <c r="F31" s="175"/>
      <c r="G31" s="175"/>
      <c r="H31" s="175"/>
      <c r="I31" s="176"/>
    </row>
    <row r="32" spans="1:12" s="46" customFormat="1" ht="31.2" customHeight="1">
      <c r="A32" s="68" t="s">
        <v>264</v>
      </c>
      <c r="B32" s="69" t="s">
        <v>190</v>
      </c>
      <c r="C32" s="70" t="s">
        <v>134</v>
      </c>
      <c r="D32" s="72"/>
      <c r="E32" s="72"/>
      <c r="F32" s="72"/>
      <c r="G32" s="72"/>
      <c r="H32" s="71" t="s">
        <v>135</v>
      </c>
      <c r="I32" s="176" t="s">
        <v>205</v>
      </c>
    </row>
    <row r="33" spans="1:9" s="46" customFormat="1" ht="21" customHeight="1">
      <c r="A33" s="159"/>
      <c r="B33" s="159"/>
      <c r="C33" s="64"/>
      <c r="D33" s="64"/>
      <c r="E33" s="64"/>
      <c r="F33" s="64"/>
      <c r="G33" s="64"/>
      <c r="H33" s="64"/>
      <c r="I33" s="64"/>
    </row>
    <row r="34" spans="1:9" s="46" customFormat="1" ht="21" customHeight="1">
      <c r="A34" s="159"/>
      <c r="B34" s="159"/>
      <c r="C34" s="64"/>
      <c r="D34" s="64"/>
      <c r="E34" s="64"/>
      <c r="F34" s="64"/>
      <c r="G34" s="64"/>
      <c r="H34" s="64"/>
      <c r="I34" s="64"/>
    </row>
  </sheetData>
  <mergeCells count="23">
    <mergeCell ref="G12:I12"/>
    <mergeCell ref="A13:F13"/>
    <mergeCell ref="A8:F8"/>
    <mergeCell ref="A9:F9"/>
    <mergeCell ref="A10:F10"/>
    <mergeCell ref="A11:F11"/>
    <mergeCell ref="A12:F12"/>
    <mergeCell ref="J18:L18"/>
    <mergeCell ref="J19:L19"/>
    <mergeCell ref="A1:I1"/>
    <mergeCell ref="A2:I2"/>
    <mergeCell ref="G13:I13"/>
    <mergeCell ref="A14:B14"/>
    <mergeCell ref="G14:I14"/>
    <mergeCell ref="D15:H15"/>
    <mergeCell ref="A15:A16"/>
    <mergeCell ref="B15:B16"/>
    <mergeCell ref="C15:C16"/>
    <mergeCell ref="I15:I16"/>
    <mergeCell ref="G8:I8"/>
    <mergeCell ref="G9:I9"/>
    <mergeCell ref="G10:I10"/>
    <mergeCell ref="G11:I11"/>
  </mergeCells>
  <phoneticPr fontId="105" type="noConversion"/>
  <hyperlinks>
    <hyperlink ref="I3" location="底稿目录!A1" display="I7A"/>
  </hyperlinks>
  <pageMargins left="0.62992125984251968" right="0.47244094488188981" top="0.74803149606299213" bottom="0.59055118110236227" header="0.31496062992125984" footer="0.31496062992125984"/>
  <pageSetup paperSize="9" scale="70" fitToWidth="0" fitToHeight="0" orientation="portrait" blackAndWhite="1" r:id="rId1"/>
  <headerFooter alignWithMargins="0">
    <oddFooter>&amp;C&amp;P/&amp;N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19"/>
  <sheetViews>
    <sheetView view="pageBreakPreview" zoomScaleNormal="100" workbookViewId="0">
      <selection activeCell="E11" sqref="E11"/>
    </sheetView>
  </sheetViews>
  <sheetFormatPr defaultColWidth="9" defaultRowHeight="18" customHeight="1"/>
  <cols>
    <col min="1" max="1" width="20.6640625" style="80" customWidth="1"/>
    <col min="2" max="2" width="14.6640625" style="80" customWidth="1"/>
    <col min="3" max="3" width="13.77734375" style="80" customWidth="1"/>
    <col min="4" max="4" width="12.44140625" style="80" customWidth="1"/>
    <col min="5" max="5" width="16.77734375" style="80" customWidth="1"/>
    <col min="6" max="6" width="14.6640625" style="80" customWidth="1"/>
    <col min="7" max="16384" width="9" style="80"/>
  </cols>
  <sheetData>
    <row r="1" spans="1:7" s="78" customFormat="1" ht="20.100000000000001" customHeight="1">
      <c r="A1" s="273" t="s">
        <v>16</v>
      </c>
      <c r="B1" s="273"/>
      <c r="C1" s="273"/>
      <c r="D1" s="273"/>
      <c r="E1" s="273"/>
      <c r="F1" s="273"/>
      <c r="G1" s="171"/>
    </row>
    <row r="2" spans="1:7" s="79" customFormat="1" ht="24.9" customHeight="1">
      <c r="A2" s="274" t="s">
        <v>8</v>
      </c>
      <c r="B2" s="274"/>
      <c r="C2" s="274"/>
      <c r="D2" s="274"/>
      <c r="E2" s="274"/>
      <c r="F2" s="274"/>
      <c r="G2" s="226"/>
    </row>
    <row r="3" spans="1:7" ht="20.100000000000001" customHeight="1">
      <c r="A3" s="80" t="str">
        <f>底稿目录!A2</f>
        <v>被审计单位：</v>
      </c>
      <c r="C3" s="80" t="str">
        <f>底稿目录!A4</f>
        <v>编制人：</v>
      </c>
      <c r="E3" s="82" t="str">
        <f>底稿目录!A5</f>
        <v>编制日期：</v>
      </c>
      <c r="F3" s="82"/>
      <c r="G3" s="113"/>
    </row>
    <row r="4" spans="1:7" ht="20.100000000000001" customHeight="1">
      <c r="A4" s="80" t="str">
        <f>底稿目录!A3</f>
        <v>会计期间：202X年度</v>
      </c>
      <c r="C4" s="80" t="str">
        <f>底稿目录!A6</f>
        <v>复核人：</v>
      </c>
      <c r="E4" s="82" t="str">
        <f>底稿目录!A7</f>
        <v>复核日期：</v>
      </c>
      <c r="F4" s="82"/>
      <c r="G4" s="113"/>
    </row>
    <row r="5" spans="1:7" s="115" customFormat="1" ht="20.100000000000001" customHeight="1">
      <c r="A5" s="115" t="s">
        <v>36</v>
      </c>
    </row>
    <row r="6" spans="1:7" s="115" customFormat="1" ht="20.100000000000001" customHeight="1">
      <c r="A6" s="116" t="s">
        <v>37</v>
      </c>
      <c r="B6" s="116" t="s">
        <v>38</v>
      </c>
      <c r="C6" s="116" t="s">
        <v>39</v>
      </c>
    </row>
    <row r="7" spans="1:7" s="115" customFormat="1" ht="20.100000000000001" customHeight="1">
      <c r="A7" s="117">
        <f>'明细表I6-2'!X9</f>
        <v>0</v>
      </c>
      <c r="B7" s="118">
        <f>SUMIF('明细表I6-2'!$X:$X,$A7,'明细表I6-2'!$Q:$Q)</f>
        <v>0</v>
      </c>
      <c r="C7" s="118">
        <f>SUMIF('明细表I6-2'!$X:$X,$A7,'明细表I6-2'!$W:$W)</f>
        <v>0</v>
      </c>
    </row>
    <row r="8" spans="1:7" s="115" customFormat="1" ht="20.100000000000001" customHeight="1">
      <c r="A8" s="117">
        <f>'明细表I6-2'!X10</f>
        <v>0</v>
      </c>
      <c r="B8" s="118">
        <f>SUMIF('明细表I6-2'!$X:$X,$A8,'明细表I6-2'!$Q:$Q)</f>
        <v>0</v>
      </c>
      <c r="C8" s="118">
        <f>SUMIF('明细表I6-2'!$X:$X,$A8,'明细表I6-2'!$W:$W)</f>
        <v>0</v>
      </c>
    </row>
    <row r="9" spans="1:7" s="115" customFormat="1" ht="20.100000000000001" customHeight="1">
      <c r="A9" s="117">
        <f>'明细表I6-2'!X11</f>
        <v>0</v>
      </c>
      <c r="B9" s="118">
        <f>SUMIF('明细表I6-2'!$X:$X,$A9,'明细表I6-2'!$Q:$Q)</f>
        <v>0</v>
      </c>
      <c r="C9" s="118">
        <f>SUMIF('明细表I6-2'!$X:$X,$A9,'明细表I6-2'!$W:$W)</f>
        <v>0</v>
      </c>
    </row>
    <row r="10" spans="1:7" s="115" customFormat="1" ht="20.100000000000001" customHeight="1">
      <c r="A10" s="117">
        <f>'明细表I6-2'!X12</f>
        <v>0</v>
      </c>
      <c r="B10" s="118">
        <f>SUMIF('明细表I6-2'!$X:$X,$A10,'明细表I6-2'!$Q:$Q)</f>
        <v>0</v>
      </c>
      <c r="C10" s="118">
        <f>SUMIF('明细表I6-2'!$X:$X,$A10,'明细表I6-2'!$W:$W)</f>
        <v>0</v>
      </c>
    </row>
    <row r="11" spans="1:7" s="115" customFormat="1" ht="20.100000000000001" customHeight="1">
      <c r="A11" s="117">
        <f>'明细表I6-2'!X13</f>
        <v>0</v>
      </c>
      <c r="B11" s="118">
        <f>SUMIF('明细表I6-2'!$X:$X,$A11,'明细表I6-2'!$Q:$Q)</f>
        <v>0</v>
      </c>
      <c r="C11" s="118">
        <f>SUMIF('明细表I6-2'!$X:$X,$A11,'明细表I6-2'!$W:$W)</f>
        <v>0</v>
      </c>
    </row>
    <row r="12" spans="1:7" s="115" customFormat="1" ht="20.100000000000001" customHeight="1">
      <c r="A12" s="117">
        <f>'明细表I6-2'!X14</f>
        <v>0</v>
      </c>
      <c r="B12" s="118">
        <f>SUMIF('明细表I6-2'!$X:$X,$A12,'明细表I6-2'!$Q:$Q)</f>
        <v>0</v>
      </c>
      <c r="C12" s="118">
        <f>SUMIF('明细表I6-2'!$X:$X,$A12,'明细表I6-2'!$W:$W)</f>
        <v>0</v>
      </c>
    </row>
    <row r="13" spans="1:7" s="115" customFormat="1" ht="20.100000000000001" customHeight="1">
      <c r="A13" s="117">
        <f>'明细表I6-2'!X15</f>
        <v>0</v>
      </c>
      <c r="B13" s="118">
        <f>SUMIF('明细表I6-2'!$X:$X,$A13,'明细表I6-2'!$Q:$Q)</f>
        <v>0</v>
      </c>
      <c r="C13" s="118">
        <f>SUMIF('明细表I6-2'!$X:$X,$A13,'明细表I6-2'!$W:$W)</f>
        <v>0</v>
      </c>
    </row>
    <row r="14" spans="1:7" s="115" customFormat="1" ht="20.100000000000001" customHeight="1">
      <c r="A14" s="117">
        <f>'明细表I6-2'!X16</f>
        <v>0</v>
      </c>
      <c r="B14" s="118">
        <f>SUMIF('明细表I6-2'!$X:$X,$A14,'明细表I6-2'!$Q:$Q)</f>
        <v>0</v>
      </c>
      <c r="C14" s="118">
        <f>SUMIF('明细表I6-2'!$X:$X,$A14,'明细表I6-2'!$W:$W)</f>
        <v>0</v>
      </c>
    </row>
    <row r="15" spans="1:7" s="115" customFormat="1" ht="20.100000000000001" customHeight="1">
      <c r="A15" s="121">
        <f>'明细表I6-2'!X17</f>
        <v>0</v>
      </c>
      <c r="B15" s="118">
        <f>SUMIF('明细表I6-2'!$X:$X,$A15,'明细表I6-2'!$Q:$Q)</f>
        <v>0</v>
      </c>
      <c r="C15" s="118">
        <f>SUMIF('明细表I6-2'!$X:$X,$A15,'明细表I6-2'!$W:$W)</f>
        <v>0</v>
      </c>
    </row>
    <row r="16" spans="1:7" s="115" customFormat="1" ht="20.100000000000001" customHeight="1">
      <c r="A16" s="122" t="s">
        <v>40</v>
      </c>
      <c r="B16" s="120">
        <f>SUM(B7:B15)</f>
        <v>0</v>
      </c>
      <c r="C16" s="120">
        <f t="shared" ref="C16" si="0">SUM(C7:C15)</f>
        <v>0</v>
      </c>
    </row>
    <row r="17" spans="1:1" s="115" customFormat="1" ht="20.100000000000001" customHeight="1">
      <c r="A17" s="123" t="s">
        <v>41</v>
      </c>
    </row>
    <row r="18" spans="1:1" ht="18" customHeight="1">
      <c r="A18" s="123" t="s">
        <v>42</v>
      </c>
    </row>
    <row r="19" spans="1:1" ht="18" customHeight="1">
      <c r="A19" s="123" t="s">
        <v>43</v>
      </c>
    </row>
  </sheetData>
  <mergeCells count="2">
    <mergeCell ref="A1:F1"/>
    <mergeCell ref="A2:F2"/>
  </mergeCells>
  <phoneticPr fontId="105" type="noConversion"/>
  <printOptions horizontalCentered="1"/>
  <pageMargins left="0.70866141732283505" right="0.70866141732283505" top="0.74803149606299202" bottom="0.74803149606299202" header="0.31496062992126" footer="0.31496062992126"/>
  <pageSetup paperSize="9" scale="79" orientation="portrait"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16"/>
  <sheetViews>
    <sheetView view="pageBreakPreview" zoomScaleNormal="100" workbookViewId="0">
      <selection activeCell="D11" sqref="D11"/>
    </sheetView>
  </sheetViews>
  <sheetFormatPr defaultColWidth="9" defaultRowHeight="18" customHeight="1"/>
  <cols>
    <col min="1" max="1" width="20.6640625" style="80" customWidth="1"/>
    <col min="2" max="3" width="14.6640625" style="80" customWidth="1"/>
    <col min="4" max="4" width="20.21875" style="80" customWidth="1"/>
    <col min="5" max="6" width="14.6640625" style="80" customWidth="1"/>
    <col min="7" max="16384" width="9" style="80"/>
  </cols>
  <sheetData>
    <row r="1" spans="1:6" s="78" customFormat="1" ht="20.100000000000001" customHeight="1">
      <c r="A1" s="275" t="s">
        <v>16</v>
      </c>
      <c r="B1" s="275"/>
      <c r="C1" s="275"/>
      <c r="D1" s="275"/>
      <c r="E1" s="275"/>
      <c r="F1" s="171"/>
    </row>
    <row r="2" spans="1:6" s="79" customFormat="1" ht="24.9" customHeight="1">
      <c r="A2" s="274" t="s">
        <v>10</v>
      </c>
      <c r="B2" s="274"/>
      <c r="C2" s="274"/>
      <c r="D2" s="274"/>
      <c r="E2" s="274"/>
      <c r="F2" s="170"/>
    </row>
    <row r="3" spans="1:6" ht="20.100000000000001" customHeight="1">
      <c r="A3" s="12" t="str">
        <f>底稿目录!A2</f>
        <v>被审计单位：</v>
      </c>
      <c r="B3" s="12"/>
      <c r="C3" s="12" t="str">
        <f>底稿目录!A4</f>
        <v>编制人：</v>
      </c>
      <c r="D3" s="12" t="str">
        <f>底稿目录!A5</f>
        <v>编制日期：</v>
      </c>
      <c r="E3" s="82"/>
      <c r="F3" s="113"/>
    </row>
    <row r="4" spans="1:6" ht="20.100000000000001" customHeight="1">
      <c r="A4" s="12" t="str">
        <f>底稿目录!A3</f>
        <v>会计期间：202X年度</v>
      </c>
      <c r="B4" s="12"/>
      <c r="C4" s="12" t="str">
        <f>底稿目录!A6</f>
        <v>复核人：</v>
      </c>
      <c r="D4" s="12" t="str">
        <f>底稿目录!A7</f>
        <v>复核日期：</v>
      </c>
      <c r="E4" s="82"/>
      <c r="F4" s="113"/>
    </row>
    <row r="5" spans="1:6" s="115" customFormat="1" ht="20.100000000000001" customHeight="1">
      <c r="A5" s="115" t="s">
        <v>36</v>
      </c>
    </row>
    <row r="6" spans="1:6" s="115" customFormat="1" ht="20.100000000000001" customHeight="1">
      <c r="A6" s="116" t="s">
        <v>37</v>
      </c>
      <c r="B6" s="116" t="s">
        <v>38</v>
      </c>
      <c r="C6" s="116" t="s">
        <v>39</v>
      </c>
    </row>
    <row r="7" spans="1:6" s="115" customFormat="1" ht="20.100000000000001" customHeight="1">
      <c r="A7" s="117">
        <f>'明细表I6-2'!X9</f>
        <v>0</v>
      </c>
      <c r="B7" s="118">
        <f>SUMIF('明细表I6-2'!$X:$X,$A7,'明细表I6-2'!$Q:$Q)</f>
        <v>0</v>
      </c>
      <c r="C7" s="118">
        <f>SUMIF('明细表I6-2'!$X:$X,$A7,'明细表I6-2'!$W:$W)</f>
        <v>0</v>
      </c>
    </row>
    <row r="8" spans="1:6" s="115" customFormat="1" ht="20.100000000000001" customHeight="1">
      <c r="A8" s="117">
        <f>'明细表I6-2'!X10</f>
        <v>0</v>
      </c>
      <c r="B8" s="118">
        <f>SUMIF('明细表I6-2'!$X:$X,$A8,'明细表I6-2'!$Q:$Q)</f>
        <v>0</v>
      </c>
      <c r="C8" s="118">
        <f>SUMIF('明细表I6-2'!$X:$X,$A8,'明细表I6-2'!$W:$W)</f>
        <v>0</v>
      </c>
    </row>
    <row r="9" spans="1:6" s="115" customFormat="1" ht="20.100000000000001" customHeight="1">
      <c r="A9" s="117">
        <f>'明细表I6-2'!X11</f>
        <v>0</v>
      </c>
      <c r="B9" s="118">
        <f>SUMIF('明细表I6-2'!$X:$X,$A9,'明细表I6-2'!$Q:$Q)</f>
        <v>0</v>
      </c>
      <c r="C9" s="118">
        <f>SUMIF('明细表I6-2'!$X:$X,$A9,'明细表I6-2'!$W:$W)</f>
        <v>0</v>
      </c>
    </row>
    <row r="10" spans="1:6" s="115" customFormat="1" ht="20.100000000000001" customHeight="1">
      <c r="A10" s="117">
        <f>'明细表I6-2'!X12</f>
        <v>0</v>
      </c>
      <c r="B10" s="118">
        <f>SUMIF('明细表I6-2'!$X:$X,$A10,'明细表I6-2'!$Q:$Q)</f>
        <v>0</v>
      </c>
      <c r="C10" s="118">
        <f>SUMIF('明细表I6-2'!$X:$X,$A10,'明细表I6-2'!$W:$W)</f>
        <v>0</v>
      </c>
    </row>
    <row r="11" spans="1:6" s="115" customFormat="1" ht="20.100000000000001" customHeight="1">
      <c r="A11" s="117">
        <f>'明细表I6-2'!X13</f>
        <v>0</v>
      </c>
      <c r="B11" s="118">
        <f>SUMIF('明细表I6-2'!$X:$X,$A11,'明细表I6-2'!$Q:$Q)</f>
        <v>0</v>
      </c>
      <c r="C11" s="118">
        <f>SUMIF('明细表I6-2'!$X:$X,$A11,'明细表I6-2'!$W:$W)</f>
        <v>0</v>
      </c>
    </row>
    <row r="12" spans="1:6" s="115" customFormat="1" ht="20.100000000000001" customHeight="1">
      <c r="A12" s="117">
        <f>'明细表I6-2'!X14</f>
        <v>0</v>
      </c>
      <c r="B12" s="118">
        <f>SUMIF('明细表I6-2'!$X:$X,$A12,'明细表I6-2'!$Q:$Q)</f>
        <v>0</v>
      </c>
      <c r="C12" s="118">
        <f>SUMIF('明细表I6-2'!$X:$X,$A12,'明细表I6-2'!$W:$W)</f>
        <v>0</v>
      </c>
    </row>
    <row r="13" spans="1:6" s="115" customFormat="1" ht="20.100000000000001" customHeight="1">
      <c r="A13" s="117">
        <f>'明细表I6-2'!X15</f>
        <v>0</v>
      </c>
      <c r="B13" s="118">
        <f>SUMIF('明细表I6-2'!$X:$X,$A13,'明细表I6-2'!$Q:$Q)</f>
        <v>0</v>
      </c>
      <c r="C13" s="118">
        <f>SUMIF('明细表I6-2'!$X:$X,$A13,'明细表I6-2'!$W:$W)</f>
        <v>0</v>
      </c>
    </row>
    <row r="14" spans="1:6" s="115" customFormat="1" ht="20.100000000000001" customHeight="1">
      <c r="A14" s="117">
        <f>'明细表I6-2'!X16</f>
        <v>0</v>
      </c>
      <c r="B14" s="118">
        <f>SUMIF('明细表I6-2'!$X:$X,$A14,'明细表I6-2'!$Q:$Q)</f>
        <v>0</v>
      </c>
      <c r="C14" s="118">
        <f>SUMIF('明细表I6-2'!$X:$X,$A14,'明细表I6-2'!$W:$W)</f>
        <v>0</v>
      </c>
    </row>
    <row r="15" spans="1:6" s="115" customFormat="1" ht="20.100000000000001" customHeight="1">
      <c r="A15" s="117">
        <f>'明细表I6-2'!X17</f>
        <v>0</v>
      </c>
      <c r="B15" s="118">
        <f>SUMIF('明细表I6-2'!$X:$X,$A15,'明细表I6-2'!$Q:$Q)</f>
        <v>0</v>
      </c>
      <c r="C15" s="118">
        <f>SUMIF('明细表I6-2'!$X:$X,$A15,'明细表I6-2'!$W:$W)</f>
        <v>0</v>
      </c>
    </row>
    <row r="16" spans="1:6" s="115" customFormat="1" ht="20.100000000000001" customHeight="1">
      <c r="A16" s="119" t="s">
        <v>40</v>
      </c>
      <c r="B16" s="120">
        <f t="shared" ref="B16:C16" si="0">SUM(B7:B15)</f>
        <v>0</v>
      </c>
      <c r="C16" s="120">
        <f t="shared" si="0"/>
        <v>0</v>
      </c>
    </row>
  </sheetData>
  <mergeCells count="2">
    <mergeCell ref="A1:E1"/>
    <mergeCell ref="A2:E2"/>
  </mergeCells>
  <phoneticPr fontId="105" type="noConversion"/>
  <pageMargins left="0.70866141732283505" right="0.70866141732283505" top="0.74803149606299202" bottom="0.74803149606299202" header="0.31496062992126" footer="0.31496062992126"/>
  <pageSetup paperSize="9" scale="89"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27"/>
  <sheetViews>
    <sheetView view="pageBreakPreview" zoomScaleNormal="85" workbookViewId="0">
      <selection sqref="A1:K1"/>
    </sheetView>
  </sheetViews>
  <sheetFormatPr defaultColWidth="9" defaultRowHeight="18" customHeight="1"/>
  <cols>
    <col min="1" max="1" width="15.6640625" style="80" customWidth="1"/>
    <col min="2" max="9" width="10.44140625" style="80" customWidth="1"/>
    <col min="10" max="10" width="11.6640625" style="80" customWidth="1"/>
    <col min="11" max="11" width="10.109375" style="80" customWidth="1"/>
    <col min="12" max="16384" width="9" style="80"/>
  </cols>
  <sheetData>
    <row r="1" spans="1:11" s="78" customFormat="1" ht="20.100000000000001" customHeight="1">
      <c r="A1" s="274" t="s">
        <v>212</v>
      </c>
      <c r="B1" s="245"/>
      <c r="C1" s="245"/>
      <c r="D1" s="245"/>
      <c r="E1" s="245"/>
      <c r="F1" s="245"/>
      <c r="G1" s="245"/>
      <c r="H1" s="245"/>
      <c r="I1" s="245"/>
      <c r="J1" s="245"/>
      <c r="K1" s="245"/>
    </row>
    <row r="2" spans="1:11" s="79" customFormat="1" ht="24.9" customHeight="1">
      <c r="A2" s="276" t="s">
        <v>7</v>
      </c>
      <c r="B2" s="277"/>
      <c r="C2" s="277"/>
      <c r="D2" s="277"/>
      <c r="E2" s="277"/>
      <c r="F2" s="277"/>
      <c r="G2" s="277"/>
      <c r="H2" s="277"/>
      <c r="I2" s="277"/>
      <c r="J2" s="277"/>
      <c r="K2" s="277"/>
    </row>
    <row r="3" spans="1:11" ht="20.100000000000001" customHeight="1">
      <c r="A3" s="80" t="str">
        <f>底稿目录!A2</f>
        <v>被审计单位：</v>
      </c>
      <c r="E3" s="80" t="str">
        <f>底稿目录!A4</f>
        <v>编制人：</v>
      </c>
      <c r="G3" s="82" t="str">
        <f>底稿目录!A5</f>
        <v>编制日期：</v>
      </c>
      <c r="J3" s="82" t="s">
        <v>17</v>
      </c>
      <c r="K3" s="236" t="str">
        <f>底稿目录!D5</f>
        <v>I6-1</v>
      </c>
    </row>
    <row r="4" spans="1:11" ht="20.100000000000001" customHeight="1">
      <c r="A4" s="80" t="str">
        <f>底稿目录!A3</f>
        <v>会计期间：202X年度</v>
      </c>
      <c r="E4" s="80" t="str">
        <f>底稿目录!A6</f>
        <v>复核人：</v>
      </c>
      <c r="G4" s="82" t="str">
        <f>底稿目录!A7</f>
        <v>复核日期：</v>
      </c>
      <c r="J4" s="82" t="s">
        <v>18</v>
      </c>
      <c r="K4" s="135"/>
    </row>
    <row r="5" spans="1:11" s="81" customFormat="1" ht="32.25" customHeight="1">
      <c r="A5" s="283" t="s">
        <v>19</v>
      </c>
      <c r="B5" s="278" t="s">
        <v>20</v>
      </c>
      <c r="C5" s="279"/>
      <c r="D5" s="279"/>
      <c r="E5" s="280"/>
      <c r="F5" s="278" t="s">
        <v>21</v>
      </c>
      <c r="G5" s="279"/>
      <c r="H5" s="279"/>
      <c r="I5" s="280"/>
      <c r="J5" s="281" t="s">
        <v>22</v>
      </c>
      <c r="K5" s="282"/>
    </row>
    <row r="6" spans="1:11" s="81" customFormat="1" ht="20.100000000000001" customHeight="1">
      <c r="A6" s="284"/>
      <c r="B6" s="125" t="s">
        <v>23</v>
      </c>
      <c r="C6" s="125" t="s">
        <v>24</v>
      </c>
      <c r="D6" s="125" t="s">
        <v>25</v>
      </c>
      <c r="E6" s="125" t="s">
        <v>26</v>
      </c>
      <c r="F6" s="125" t="s">
        <v>23</v>
      </c>
      <c r="G6" s="125" t="s">
        <v>24</v>
      </c>
      <c r="H6" s="125" t="s">
        <v>25</v>
      </c>
      <c r="I6" s="125" t="s">
        <v>26</v>
      </c>
      <c r="J6" s="137" t="s">
        <v>27</v>
      </c>
      <c r="K6" s="136" t="s">
        <v>28</v>
      </c>
    </row>
    <row r="7" spans="1:11" s="81" customFormat="1" ht="20.100000000000001" customHeight="1">
      <c r="A7" s="87" t="str">
        <f>'明细表I6-2'!A9</f>
        <v>人工费</v>
      </c>
      <c r="B7" s="126">
        <f>'明细表I6-2'!T9</f>
        <v>0</v>
      </c>
      <c r="C7" s="126">
        <f>'明细表I6-2'!U9</f>
        <v>0</v>
      </c>
      <c r="D7" s="126">
        <f>'明细表I6-2'!V9</f>
        <v>0</v>
      </c>
      <c r="E7" s="126">
        <f>B7+C7+D7</f>
        <v>0</v>
      </c>
      <c r="F7" s="126">
        <f>'明细表I6-2'!N9</f>
        <v>0</v>
      </c>
      <c r="G7" s="126">
        <f>'明细表I6-2'!O9</f>
        <v>0</v>
      </c>
      <c r="H7" s="126">
        <f>'明细表I6-2'!P9</f>
        <v>0</v>
      </c>
      <c r="I7" s="126">
        <f>F7+G7+H7</f>
        <v>0</v>
      </c>
      <c r="J7" s="138">
        <f t="shared" ref="J7:J17" si="0">I7-E7</f>
        <v>0</v>
      </c>
      <c r="K7" s="139">
        <f t="shared" ref="K7:K17" si="1">IF(AND(E7=0,J7=0),0,IF(AND(E7=0,J7&gt;0),1,J7/E7))</f>
        <v>0</v>
      </c>
    </row>
    <row r="8" spans="1:11" ht="20.100000000000001" customHeight="1">
      <c r="A8" s="87" t="str">
        <f>'明细表I6-2'!A10</f>
        <v>材料费</v>
      </c>
      <c r="B8" s="126">
        <f>'明细表I6-2'!T10</f>
        <v>0</v>
      </c>
      <c r="C8" s="126">
        <f>'明细表I6-2'!U10</f>
        <v>0</v>
      </c>
      <c r="D8" s="126">
        <f>'明细表I6-2'!V10</f>
        <v>0</v>
      </c>
      <c r="E8" s="126">
        <f t="shared" ref="E8:E16" si="2">B8+C8+D8</f>
        <v>0</v>
      </c>
      <c r="F8" s="126">
        <f>'明细表I6-2'!N10</f>
        <v>0</v>
      </c>
      <c r="G8" s="126">
        <f>'明细表I6-2'!O10</f>
        <v>0</v>
      </c>
      <c r="H8" s="126">
        <f>'明细表I6-2'!P10</f>
        <v>0</v>
      </c>
      <c r="I8" s="126">
        <f t="shared" ref="I8:I16" si="3">F8+G8+H8</f>
        <v>0</v>
      </c>
      <c r="J8" s="138">
        <f t="shared" si="0"/>
        <v>0</v>
      </c>
      <c r="K8" s="139">
        <f t="shared" si="1"/>
        <v>0</v>
      </c>
    </row>
    <row r="9" spans="1:11" ht="20.100000000000001" customHeight="1">
      <c r="A9" s="87" t="str">
        <f>'明细表I6-2'!A11</f>
        <v>制造费用分摊</v>
      </c>
      <c r="B9" s="126">
        <f>'明细表I6-2'!T11</f>
        <v>0</v>
      </c>
      <c r="C9" s="126">
        <f>'明细表I6-2'!U11</f>
        <v>0</v>
      </c>
      <c r="D9" s="126">
        <f>'明细表I6-2'!V11</f>
        <v>0</v>
      </c>
      <c r="E9" s="126">
        <f t="shared" si="2"/>
        <v>0</v>
      </c>
      <c r="F9" s="126">
        <f>'明细表I6-2'!N11</f>
        <v>0</v>
      </c>
      <c r="G9" s="126">
        <f>'明细表I6-2'!O11</f>
        <v>0</v>
      </c>
      <c r="H9" s="126">
        <f>'明细表I6-2'!P11</f>
        <v>0</v>
      </c>
      <c r="I9" s="126">
        <f t="shared" si="3"/>
        <v>0</v>
      </c>
      <c r="J9" s="138">
        <f t="shared" si="0"/>
        <v>0</v>
      </c>
      <c r="K9" s="139">
        <f t="shared" si="1"/>
        <v>0</v>
      </c>
    </row>
    <row r="10" spans="1:11" ht="20.100000000000001" customHeight="1">
      <c r="A10" s="87" t="str">
        <f>'明细表I6-2'!A12</f>
        <v>无形资产摊销</v>
      </c>
      <c r="B10" s="126">
        <f>'明细表I6-2'!T12</f>
        <v>0</v>
      </c>
      <c r="C10" s="126">
        <f>'明细表I6-2'!U12</f>
        <v>0</v>
      </c>
      <c r="D10" s="126">
        <f>'明细表I6-2'!V12</f>
        <v>0</v>
      </c>
      <c r="E10" s="126">
        <f t="shared" si="2"/>
        <v>0</v>
      </c>
      <c r="F10" s="126">
        <f>'明细表I6-2'!N12</f>
        <v>0</v>
      </c>
      <c r="G10" s="126">
        <f>'明细表I6-2'!O12</f>
        <v>0</v>
      </c>
      <c r="H10" s="126">
        <f>'明细表I6-2'!P12</f>
        <v>0</v>
      </c>
      <c r="I10" s="126">
        <f t="shared" si="3"/>
        <v>0</v>
      </c>
      <c r="J10" s="138">
        <f t="shared" si="0"/>
        <v>0</v>
      </c>
      <c r="K10" s="139">
        <f t="shared" si="1"/>
        <v>0</v>
      </c>
    </row>
    <row r="11" spans="1:11" ht="20.100000000000001" customHeight="1">
      <c r="A11" s="127">
        <f>'明细表I6-2'!A13</f>
        <v>0</v>
      </c>
      <c r="B11" s="126">
        <f>'明细表I6-2'!T13</f>
        <v>0</v>
      </c>
      <c r="C11" s="126">
        <f>'明细表I6-2'!U13</f>
        <v>0</v>
      </c>
      <c r="D11" s="126">
        <f>'明细表I6-2'!V13</f>
        <v>0</v>
      </c>
      <c r="E11" s="126">
        <f t="shared" si="2"/>
        <v>0</v>
      </c>
      <c r="F11" s="126">
        <f>'明细表I6-2'!N13</f>
        <v>0</v>
      </c>
      <c r="G11" s="126">
        <f>'明细表I6-2'!O13</f>
        <v>0</v>
      </c>
      <c r="H11" s="126">
        <f>'明细表I6-2'!P13</f>
        <v>0</v>
      </c>
      <c r="I11" s="126">
        <f t="shared" si="3"/>
        <v>0</v>
      </c>
      <c r="J11" s="138">
        <f t="shared" si="0"/>
        <v>0</v>
      </c>
      <c r="K11" s="139">
        <f t="shared" si="1"/>
        <v>0</v>
      </c>
    </row>
    <row r="12" spans="1:11" ht="20.100000000000001" customHeight="1">
      <c r="A12" s="127">
        <f>'明细表I6-2'!A14</f>
        <v>0</v>
      </c>
      <c r="B12" s="126">
        <f>'明细表I6-2'!T14</f>
        <v>0</v>
      </c>
      <c r="C12" s="126">
        <f>'明细表I6-2'!U14</f>
        <v>0</v>
      </c>
      <c r="D12" s="126">
        <f>'明细表I6-2'!V14</f>
        <v>0</v>
      </c>
      <c r="E12" s="126">
        <f t="shared" si="2"/>
        <v>0</v>
      </c>
      <c r="F12" s="126">
        <f>'明细表I6-2'!N14</f>
        <v>0</v>
      </c>
      <c r="G12" s="126">
        <f>'明细表I6-2'!O14</f>
        <v>0</v>
      </c>
      <c r="H12" s="126">
        <f>'明细表I6-2'!P14</f>
        <v>0</v>
      </c>
      <c r="I12" s="126">
        <f t="shared" si="3"/>
        <v>0</v>
      </c>
      <c r="J12" s="138">
        <f t="shared" si="0"/>
        <v>0</v>
      </c>
      <c r="K12" s="139">
        <f t="shared" si="1"/>
        <v>0</v>
      </c>
    </row>
    <row r="13" spans="1:11" ht="20.100000000000001" customHeight="1">
      <c r="A13" s="127">
        <f>'明细表I6-2'!A15</f>
        <v>0</v>
      </c>
      <c r="B13" s="126">
        <f>'明细表I6-2'!T15</f>
        <v>0</v>
      </c>
      <c r="C13" s="126">
        <f>'明细表I6-2'!U15</f>
        <v>0</v>
      </c>
      <c r="D13" s="126">
        <f>'明细表I6-2'!V15</f>
        <v>0</v>
      </c>
      <c r="E13" s="126">
        <f t="shared" si="2"/>
        <v>0</v>
      </c>
      <c r="F13" s="126">
        <f>'明细表I6-2'!N15</f>
        <v>0</v>
      </c>
      <c r="G13" s="126">
        <f>'明细表I6-2'!O15</f>
        <v>0</v>
      </c>
      <c r="H13" s="126">
        <f>'明细表I6-2'!P15</f>
        <v>0</v>
      </c>
      <c r="I13" s="126">
        <f t="shared" si="3"/>
        <v>0</v>
      </c>
      <c r="J13" s="138">
        <f t="shared" si="0"/>
        <v>0</v>
      </c>
      <c r="K13" s="139">
        <f t="shared" si="1"/>
        <v>0</v>
      </c>
    </row>
    <row r="14" spans="1:11" ht="20.100000000000001" customHeight="1">
      <c r="A14" s="127">
        <f>'明细表I6-2'!A16</f>
        <v>0</v>
      </c>
      <c r="B14" s="126">
        <f>'明细表I6-2'!T16</f>
        <v>0</v>
      </c>
      <c r="C14" s="126">
        <f>'明细表I6-2'!U16</f>
        <v>0</v>
      </c>
      <c r="D14" s="126">
        <f>'明细表I6-2'!V16</f>
        <v>0</v>
      </c>
      <c r="E14" s="126">
        <f t="shared" si="2"/>
        <v>0</v>
      </c>
      <c r="F14" s="126">
        <f>'明细表I6-2'!N16</f>
        <v>0</v>
      </c>
      <c r="G14" s="126">
        <f>'明细表I6-2'!O16</f>
        <v>0</v>
      </c>
      <c r="H14" s="126">
        <f>'明细表I6-2'!P16</f>
        <v>0</v>
      </c>
      <c r="I14" s="126">
        <f t="shared" si="3"/>
        <v>0</v>
      </c>
      <c r="J14" s="138">
        <f t="shared" si="0"/>
        <v>0</v>
      </c>
      <c r="K14" s="139">
        <f t="shared" si="1"/>
        <v>0</v>
      </c>
    </row>
    <row r="15" spans="1:11" ht="20.100000000000001" customHeight="1">
      <c r="A15" s="127">
        <f>'明细表I6-2'!A17</f>
        <v>0</v>
      </c>
      <c r="B15" s="126">
        <f>'明细表I6-2'!T17</f>
        <v>0</v>
      </c>
      <c r="C15" s="126">
        <f>'明细表I6-2'!U17</f>
        <v>0</v>
      </c>
      <c r="D15" s="126">
        <f>'明细表I6-2'!V17</f>
        <v>0</v>
      </c>
      <c r="E15" s="126">
        <f t="shared" si="2"/>
        <v>0</v>
      </c>
      <c r="F15" s="126">
        <f>'明细表I6-2'!N17</f>
        <v>0</v>
      </c>
      <c r="G15" s="126">
        <f>'明细表I6-2'!O17</f>
        <v>0</v>
      </c>
      <c r="H15" s="126">
        <f>'明细表I6-2'!P17</f>
        <v>0</v>
      </c>
      <c r="I15" s="126">
        <f t="shared" si="3"/>
        <v>0</v>
      </c>
      <c r="J15" s="138">
        <f t="shared" si="0"/>
        <v>0</v>
      </c>
      <c r="K15" s="139">
        <f t="shared" si="1"/>
        <v>0</v>
      </c>
    </row>
    <row r="16" spans="1:11" ht="20.100000000000001" customHeight="1">
      <c r="A16" s="127">
        <f>'明细表I6-2'!A18</f>
        <v>0</v>
      </c>
      <c r="B16" s="126">
        <f>'明细表I6-2'!T18</f>
        <v>0</v>
      </c>
      <c r="C16" s="126">
        <f>'明细表I6-2'!U18</f>
        <v>0</v>
      </c>
      <c r="D16" s="126">
        <f>'明细表I6-2'!V18</f>
        <v>0</v>
      </c>
      <c r="E16" s="126">
        <f t="shared" si="2"/>
        <v>0</v>
      </c>
      <c r="F16" s="126">
        <f>'明细表I6-2'!N18</f>
        <v>0</v>
      </c>
      <c r="G16" s="126">
        <f>'明细表I6-2'!O18</f>
        <v>0</v>
      </c>
      <c r="H16" s="126">
        <f>'明细表I6-2'!P18</f>
        <v>0</v>
      </c>
      <c r="I16" s="126">
        <f t="shared" si="3"/>
        <v>0</v>
      </c>
      <c r="J16" s="138">
        <f t="shared" si="0"/>
        <v>0</v>
      </c>
      <c r="K16" s="139">
        <f t="shared" si="1"/>
        <v>0</v>
      </c>
    </row>
    <row r="17" spans="1:11" s="78" customFormat="1" ht="20.100000000000001" customHeight="1">
      <c r="A17" s="128" t="s">
        <v>29</v>
      </c>
      <c r="B17" s="126">
        <f t="shared" ref="B17:I17" si="4">SUM(B7:B16)</f>
        <v>0</v>
      </c>
      <c r="C17" s="126">
        <f t="shared" si="4"/>
        <v>0</v>
      </c>
      <c r="D17" s="126">
        <f t="shared" si="4"/>
        <v>0</v>
      </c>
      <c r="E17" s="126">
        <f t="shared" si="4"/>
        <v>0</v>
      </c>
      <c r="F17" s="126">
        <f t="shared" si="4"/>
        <v>0</v>
      </c>
      <c r="G17" s="126">
        <f t="shared" si="4"/>
        <v>0</v>
      </c>
      <c r="H17" s="126">
        <f t="shared" si="4"/>
        <v>0</v>
      </c>
      <c r="I17" s="126">
        <f t="shared" si="4"/>
        <v>0</v>
      </c>
      <c r="J17" s="138">
        <f t="shared" si="0"/>
        <v>0</v>
      </c>
      <c r="K17" s="139">
        <f t="shared" si="1"/>
        <v>0</v>
      </c>
    </row>
    <row r="18" spans="1:11" s="78" customFormat="1" ht="20.100000000000001" customHeight="1">
      <c r="A18" s="129" t="s">
        <v>30</v>
      </c>
      <c r="B18" s="130"/>
      <c r="C18" s="130"/>
      <c r="D18" s="130"/>
      <c r="E18" s="130"/>
      <c r="F18" s="130"/>
      <c r="G18" s="130"/>
      <c r="H18" s="130"/>
      <c r="I18" s="130"/>
      <c r="J18" s="130"/>
      <c r="K18" s="130"/>
    </row>
    <row r="19" spans="1:11" s="78" customFormat="1" ht="20.100000000000001" customHeight="1">
      <c r="A19" s="129" t="s">
        <v>31</v>
      </c>
      <c r="B19" s="131">
        <f t="shared" ref="B19:C19" si="5">B17-B18</f>
        <v>0</v>
      </c>
      <c r="C19" s="131">
        <f t="shared" si="5"/>
        <v>0</v>
      </c>
      <c r="D19" s="131">
        <f t="shared" ref="D19" si="6">D17-D18</f>
        <v>0</v>
      </c>
      <c r="E19" s="131">
        <f t="shared" ref="E19" si="7">E17-E18</f>
        <v>0</v>
      </c>
      <c r="F19" s="131">
        <f t="shared" ref="F19" si="8">F17-F18</f>
        <v>0</v>
      </c>
      <c r="G19" s="131">
        <f t="shared" ref="G19" si="9">G17-G18</f>
        <v>0</v>
      </c>
      <c r="H19" s="131">
        <f t="shared" ref="H19" si="10">H17-H18</f>
        <v>0</v>
      </c>
      <c r="I19" s="131">
        <f t="shared" ref="I19" si="11">I17-I18</f>
        <v>0</v>
      </c>
      <c r="J19" s="131">
        <f t="shared" ref="J19" si="12">J17-J18</f>
        <v>0</v>
      </c>
      <c r="K19" s="131">
        <f t="shared" ref="K19" si="13">K17-K18</f>
        <v>0</v>
      </c>
    </row>
    <row r="20" spans="1:11" ht="18" customHeight="1">
      <c r="A20" s="132" t="s">
        <v>32</v>
      </c>
    </row>
    <row r="21" spans="1:11" ht="18" customHeight="1">
      <c r="A21" s="111" t="s">
        <v>200</v>
      </c>
    </row>
    <row r="22" spans="1:11" ht="18" customHeight="1">
      <c r="A22" s="111" t="s">
        <v>33</v>
      </c>
    </row>
    <row r="23" spans="1:11" ht="18" customHeight="1">
      <c r="A23" s="133" t="s">
        <v>206</v>
      </c>
    </row>
    <row r="24" spans="1:11" s="124" customFormat="1" ht="18" customHeight="1">
      <c r="A24" s="172"/>
    </row>
    <row r="25" spans="1:11" s="78" customFormat="1" ht="18" customHeight="1">
      <c r="A25" s="78" t="s">
        <v>34</v>
      </c>
      <c r="C25" s="134"/>
      <c r="D25" s="134"/>
    </row>
    <row r="27" spans="1:11" ht="18" customHeight="1">
      <c r="A27" s="80" t="s">
        <v>35</v>
      </c>
    </row>
  </sheetData>
  <mergeCells count="6">
    <mergeCell ref="A1:K1"/>
    <mergeCell ref="A2:K2"/>
    <mergeCell ref="B5:E5"/>
    <mergeCell ref="F5:I5"/>
    <mergeCell ref="J5:K5"/>
    <mergeCell ref="A5:A6"/>
  </mergeCells>
  <phoneticPr fontId="105" type="noConversion"/>
  <conditionalFormatting sqref="B19:K19">
    <cfRule type="cellIs" dxfId="0" priority="1" operator="notEqual">
      <formula>0</formula>
    </cfRule>
  </conditionalFormatting>
  <dataValidations count="1">
    <dataValidation type="list" allowBlank="1" showInputMessage="1" showErrorMessage="1" sqref="C25:D25">
      <formula1>#REF!</formula1>
    </dataValidation>
  </dataValidations>
  <hyperlinks>
    <hyperlink ref="K3" location="底稿目录!A1" display="I7-1"/>
  </hyperlinks>
  <printOptions horizontalCentered="1"/>
  <pageMargins left="0.59055118110236227" right="0.31496062992125984" top="0.78740157480314965" bottom="0.39370078740157483" header="0.51181102362204722" footer="0.31496062992125984"/>
  <pageSetup paperSize="9" fitToHeight="4"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M44"/>
  <sheetViews>
    <sheetView view="pageBreakPreview" zoomScaleNormal="100" workbookViewId="0">
      <selection sqref="A1:Z1"/>
    </sheetView>
  </sheetViews>
  <sheetFormatPr defaultColWidth="9" defaultRowHeight="18" customHeight="1"/>
  <cols>
    <col min="1" max="1" width="14.6640625" style="80" customWidth="1"/>
    <col min="2" max="13" width="9.21875" style="80" customWidth="1"/>
    <col min="14" max="14" width="11.88671875" style="80" customWidth="1"/>
    <col min="15" max="16" width="12.21875" style="80" customWidth="1"/>
    <col min="17" max="17" width="11.109375" style="80" customWidth="1"/>
    <col min="18" max="18" width="8.6640625" style="80" customWidth="1"/>
    <col min="19" max="19" width="11.88671875" style="80" customWidth="1"/>
    <col min="20" max="23" width="12.21875" style="80" customWidth="1"/>
    <col min="24" max="24" width="10.5546875" style="80" customWidth="1"/>
    <col min="25" max="25" width="10.33203125" style="80" customWidth="1"/>
    <col min="26" max="16384" width="9" style="80"/>
  </cols>
  <sheetData>
    <row r="1" spans="1:65" s="78" customFormat="1" ht="20.100000000000001" customHeight="1">
      <c r="A1" s="274" t="s">
        <v>219</v>
      </c>
      <c r="B1" s="245"/>
      <c r="C1" s="245"/>
      <c r="D1" s="245"/>
      <c r="E1" s="245"/>
      <c r="F1" s="245"/>
      <c r="G1" s="245"/>
      <c r="H1" s="245"/>
      <c r="I1" s="245"/>
      <c r="J1" s="245"/>
      <c r="K1" s="245"/>
      <c r="L1" s="245"/>
      <c r="M1" s="245"/>
      <c r="N1" s="245"/>
      <c r="O1" s="245"/>
      <c r="P1" s="245"/>
      <c r="Q1" s="245"/>
      <c r="R1" s="245"/>
      <c r="S1" s="245"/>
      <c r="T1" s="245"/>
      <c r="U1" s="245"/>
      <c r="V1" s="245"/>
      <c r="W1" s="245"/>
      <c r="X1" s="245"/>
      <c r="Y1" s="245"/>
      <c r="Z1" s="245"/>
    </row>
    <row r="2" spans="1:65" s="79" customFormat="1" ht="24.9" customHeight="1">
      <c r="A2" s="276" t="s">
        <v>220</v>
      </c>
      <c r="B2" s="277"/>
      <c r="C2" s="277"/>
      <c r="D2" s="277"/>
      <c r="E2" s="277"/>
      <c r="F2" s="277"/>
      <c r="G2" s="277"/>
      <c r="H2" s="277"/>
      <c r="I2" s="277"/>
      <c r="J2" s="277"/>
      <c r="K2" s="277"/>
      <c r="L2" s="277"/>
      <c r="M2" s="277"/>
      <c r="N2" s="277"/>
      <c r="O2" s="277"/>
      <c r="P2" s="277"/>
      <c r="Q2" s="277"/>
      <c r="R2" s="277"/>
      <c r="S2" s="277"/>
      <c r="T2" s="277"/>
      <c r="U2" s="277"/>
      <c r="V2" s="277"/>
      <c r="W2" s="277"/>
      <c r="X2" s="277"/>
      <c r="Y2" s="277"/>
      <c r="Z2" s="277"/>
    </row>
    <row r="3" spans="1:65" ht="20.100000000000001" customHeight="1">
      <c r="A3" s="12" t="str">
        <f>底稿目录!A2</f>
        <v>被审计单位：</v>
      </c>
      <c r="B3" s="12"/>
      <c r="C3" s="12"/>
      <c r="D3" s="12"/>
      <c r="E3" s="12"/>
      <c r="F3" s="12"/>
      <c r="G3" s="12"/>
      <c r="H3" s="12" t="str">
        <f>底稿目录!A4</f>
        <v>编制人：</v>
      </c>
      <c r="I3" s="12"/>
      <c r="J3" s="12"/>
      <c r="K3" s="12"/>
      <c r="L3" s="12"/>
      <c r="M3" s="12"/>
      <c r="N3" s="12"/>
      <c r="O3" s="12" t="str">
        <f>底稿目录!A5</f>
        <v>编制日期：</v>
      </c>
      <c r="P3" s="82"/>
      <c r="Y3" s="80" t="s">
        <v>44</v>
      </c>
      <c r="Z3" s="236" t="str">
        <f>底稿目录!D8</f>
        <v>I6-2</v>
      </c>
    </row>
    <row r="4" spans="1:65" ht="20.100000000000001" customHeight="1">
      <c r="A4" s="12" t="str">
        <f>底稿目录!A3</f>
        <v>会计期间：202X年度</v>
      </c>
      <c r="B4" s="12"/>
      <c r="C4" s="12"/>
      <c r="D4" s="12"/>
      <c r="E4" s="12"/>
      <c r="F4" s="12"/>
      <c r="G4" s="12"/>
      <c r="H4" s="12" t="str">
        <f>底稿目录!A6</f>
        <v>复核人：</v>
      </c>
      <c r="I4" s="12"/>
      <c r="J4" s="12"/>
      <c r="K4" s="12"/>
      <c r="L4" s="12"/>
      <c r="M4" s="12"/>
      <c r="N4" s="12"/>
      <c r="O4" s="12" t="str">
        <f>底稿目录!A7</f>
        <v>复核日期：</v>
      </c>
      <c r="P4" s="82"/>
      <c r="Y4" s="80" t="s">
        <v>18</v>
      </c>
    </row>
    <row r="5" spans="1:65" s="91" customFormat="1" ht="20.100000000000001" customHeight="1">
      <c r="A5" s="109" t="s">
        <v>45</v>
      </c>
      <c r="C5" s="10"/>
      <c r="D5" s="10"/>
      <c r="G5" s="110"/>
      <c r="H5" s="110"/>
      <c r="I5" s="110"/>
      <c r="J5" s="110"/>
      <c r="K5" s="110"/>
      <c r="L5" s="110"/>
      <c r="M5" s="110"/>
      <c r="N5" s="110"/>
      <c r="O5" s="110"/>
      <c r="P5" s="110"/>
      <c r="Q5" s="10"/>
      <c r="T5" s="110"/>
      <c r="U5" s="110"/>
      <c r="V5" s="110"/>
      <c r="AA5" s="110"/>
      <c r="AG5" s="109"/>
      <c r="AI5" s="114"/>
      <c r="AJ5" s="114"/>
      <c r="AK5" s="114"/>
      <c r="AL5" s="114"/>
      <c r="AM5" s="114"/>
      <c r="AN5" s="114"/>
      <c r="AW5" s="109"/>
      <c r="BM5" s="109"/>
    </row>
    <row r="6" spans="1:65" s="91" customFormat="1" ht="20.100000000000001" customHeight="1">
      <c r="A6" s="83" t="s">
        <v>46</v>
      </c>
      <c r="B6" s="111"/>
      <c r="C6" s="60"/>
      <c r="D6" s="60"/>
      <c r="E6" s="60"/>
      <c r="F6" s="89"/>
      <c r="G6" s="60"/>
      <c r="H6" s="60"/>
      <c r="I6" s="60"/>
      <c r="J6" s="83" t="s">
        <v>47</v>
      </c>
      <c r="K6" s="60"/>
      <c r="L6" s="110"/>
      <c r="M6" s="110"/>
      <c r="N6" s="110"/>
      <c r="O6" s="110"/>
      <c r="P6" s="110"/>
      <c r="Q6" s="10"/>
      <c r="T6" s="110"/>
      <c r="U6" s="110"/>
      <c r="V6" s="110"/>
      <c r="AA6" s="110"/>
      <c r="AG6" s="109"/>
      <c r="AI6" s="114"/>
      <c r="AJ6" s="114"/>
      <c r="AK6" s="114"/>
      <c r="AL6" s="114"/>
      <c r="AM6" s="114"/>
      <c r="AN6" s="114"/>
      <c r="AW6" s="109"/>
      <c r="BM6" s="109"/>
    </row>
    <row r="7" spans="1:65" s="91" customFormat="1" ht="20.100000000000001" customHeight="1">
      <c r="A7" s="112" t="s">
        <v>48</v>
      </c>
      <c r="C7" s="10"/>
      <c r="D7" s="10"/>
      <c r="G7" s="110"/>
      <c r="H7" s="110"/>
      <c r="I7" s="110"/>
      <c r="J7" s="110"/>
      <c r="K7" s="110"/>
      <c r="L7" s="110"/>
      <c r="M7" s="110"/>
      <c r="N7" s="110"/>
      <c r="O7" s="110"/>
      <c r="P7" s="110"/>
      <c r="Q7" s="10"/>
      <c r="T7" s="110"/>
      <c r="U7" s="110"/>
      <c r="V7" s="110"/>
      <c r="AA7" s="110"/>
      <c r="AG7" s="112"/>
      <c r="AI7" s="114"/>
      <c r="AJ7" s="114"/>
      <c r="AK7" s="114"/>
      <c r="AL7" s="114"/>
      <c r="AM7" s="114"/>
      <c r="AN7" s="114"/>
      <c r="AW7" s="112"/>
      <c r="BM7" s="112"/>
    </row>
    <row r="8" spans="1:65" s="81" customFormat="1" ht="33.75" customHeight="1">
      <c r="A8" s="182" t="s">
        <v>19</v>
      </c>
      <c r="B8" s="183" t="s">
        <v>49</v>
      </c>
      <c r="C8" s="183" t="s">
        <v>50</v>
      </c>
      <c r="D8" s="183" t="s">
        <v>51</v>
      </c>
      <c r="E8" s="183" t="s">
        <v>52</v>
      </c>
      <c r="F8" s="183" t="s">
        <v>53</v>
      </c>
      <c r="G8" s="183" t="s">
        <v>54</v>
      </c>
      <c r="H8" s="183" t="s">
        <v>55</v>
      </c>
      <c r="I8" s="183" t="s">
        <v>56</v>
      </c>
      <c r="J8" s="183" t="s">
        <v>57</v>
      </c>
      <c r="K8" s="183" t="s">
        <v>58</v>
      </c>
      <c r="L8" s="183" t="s">
        <v>59</v>
      </c>
      <c r="M8" s="183" t="s">
        <v>60</v>
      </c>
      <c r="N8" s="183" t="s">
        <v>61</v>
      </c>
      <c r="O8" s="183" t="s">
        <v>62</v>
      </c>
      <c r="P8" s="184" t="s">
        <v>25</v>
      </c>
      <c r="Q8" s="185" t="s">
        <v>63</v>
      </c>
      <c r="R8" s="183" t="s">
        <v>64</v>
      </c>
      <c r="S8" s="183" t="s">
        <v>65</v>
      </c>
      <c r="T8" s="185" t="s">
        <v>66</v>
      </c>
      <c r="U8" s="185" t="s">
        <v>67</v>
      </c>
      <c r="V8" s="185" t="s">
        <v>68</v>
      </c>
      <c r="W8" s="185" t="s">
        <v>69</v>
      </c>
      <c r="X8" s="185" t="s">
        <v>70</v>
      </c>
      <c r="Y8" s="185" t="s">
        <v>71</v>
      </c>
      <c r="Z8" s="185" t="s">
        <v>15</v>
      </c>
    </row>
    <row r="9" spans="1:65" ht="20.100000000000001" customHeight="1">
      <c r="A9" s="186" t="s">
        <v>72</v>
      </c>
      <c r="B9" s="187"/>
      <c r="C9" s="187"/>
      <c r="D9" s="187"/>
      <c r="E9" s="187"/>
      <c r="F9" s="187"/>
      <c r="G9" s="187"/>
      <c r="H9" s="187"/>
      <c r="I9" s="187"/>
      <c r="J9" s="187"/>
      <c r="K9" s="187"/>
      <c r="L9" s="187"/>
      <c r="M9" s="187"/>
      <c r="N9" s="188">
        <f t="shared" ref="N9:N11" si="0">SUM(B9:M9)</f>
        <v>0</v>
      </c>
      <c r="O9" s="189"/>
      <c r="P9" s="189"/>
      <c r="Q9" s="188">
        <f>N9+O9+P9</f>
        <v>0</v>
      </c>
      <c r="R9" s="188">
        <f>IF(Q9=0,0,Q9/$Q$19)</f>
        <v>0</v>
      </c>
      <c r="S9" s="190" t="s">
        <v>73</v>
      </c>
      <c r="T9" s="191"/>
      <c r="U9" s="191"/>
      <c r="V9" s="191"/>
      <c r="W9" s="188">
        <f>T9+U9+V9</f>
        <v>0</v>
      </c>
      <c r="X9" s="192"/>
      <c r="Y9" s="192"/>
      <c r="Z9" s="193"/>
    </row>
    <row r="10" spans="1:65" ht="20.100000000000001" customHeight="1">
      <c r="A10" s="186" t="s">
        <v>74</v>
      </c>
      <c r="B10" s="187"/>
      <c r="C10" s="187"/>
      <c r="D10" s="187"/>
      <c r="E10" s="187"/>
      <c r="F10" s="187"/>
      <c r="G10" s="187"/>
      <c r="H10" s="187"/>
      <c r="I10" s="187"/>
      <c r="J10" s="187"/>
      <c r="K10" s="187"/>
      <c r="L10" s="187"/>
      <c r="M10" s="187"/>
      <c r="N10" s="188">
        <f t="shared" si="0"/>
        <v>0</v>
      </c>
      <c r="O10" s="189"/>
      <c r="P10" s="189"/>
      <c r="Q10" s="188">
        <f t="shared" ref="Q10:Q18" si="1">N10+O10+P10</f>
        <v>0</v>
      </c>
      <c r="R10" s="188">
        <f t="shared" ref="R10:R18" si="2">IF(Q10=0,0,Q10/$Q$19)</f>
        <v>0</v>
      </c>
      <c r="S10" s="191"/>
      <c r="T10" s="191"/>
      <c r="U10" s="191"/>
      <c r="V10" s="191"/>
      <c r="W10" s="188">
        <f t="shared" ref="W10:W18" si="3">T10+U10+V10</f>
        <v>0</v>
      </c>
      <c r="X10" s="192"/>
      <c r="Y10" s="192"/>
      <c r="Z10" s="193"/>
    </row>
    <row r="11" spans="1:65" ht="20.100000000000001" customHeight="1">
      <c r="A11" s="186" t="s">
        <v>75</v>
      </c>
      <c r="B11" s="187"/>
      <c r="C11" s="187"/>
      <c r="D11" s="187"/>
      <c r="E11" s="187"/>
      <c r="F11" s="187"/>
      <c r="G11" s="187"/>
      <c r="H11" s="187"/>
      <c r="I11" s="187"/>
      <c r="J11" s="187"/>
      <c r="K11" s="187"/>
      <c r="L11" s="187"/>
      <c r="M11" s="187"/>
      <c r="N11" s="188">
        <f t="shared" si="0"/>
        <v>0</v>
      </c>
      <c r="O11" s="189"/>
      <c r="P11" s="189"/>
      <c r="Q11" s="188">
        <f t="shared" si="1"/>
        <v>0</v>
      </c>
      <c r="R11" s="188">
        <f t="shared" si="2"/>
        <v>0</v>
      </c>
      <c r="S11" s="190"/>
      <c r="T11" s="194"/>
      <c r="U11" s="194"/>
      <c r="V11" s="194"/>
      <c r="W11" s="188">
        <f t="shared" si="3"/>
        <v>0</v>
      </c>
      <c r="X11" s="192"/>
      <c r="Y11" s="192"/>
      <c r="Z11" s="192"/>
    </row>
    <row r="12" spans="1:65" ht="20.100000000000001" customHeight="1">
      <c r="A12" s="186" t="s">
        <v>76</v>
      </c>
      <c r="B12" s="187"/>
      <c r="C12" s="187"/>
      <c r="D12" s="187"/>
      <c r="E12" s="187"/>
      <c r="F12" s="187"/>
      <c r="G12" s="187"/>
      <c r="H12" s="187"/>
      <c r="I12" s="187"/>
      <c r="J12" s="187"/>
      <c r="K12" s="187"/>
      <c r="L12" s="187"/>
      <c r="M12" s="187"/>
      <c r="N12" s="188">
        <f t="shared" ref="N12:N18" si="4">SUM(B12:M12)</f>
        <v>0</v>
      </c>
      <c r="O12" s="189"/>
      <c r="P12" s="189"/>
      <c r="Q12" s="188">
        <f t="shared" si="1"/>
        <v>0</v>
      </c>
      <c r="R12" s="188">
        <f t="shared" si="2"/>
        <v>0</v>
      </c>
      <c r="S12" s="190"/>
      <c r="T12" s="194"/>
      <c r="U12" s="194"/>
      <c r="V12" s="194"/>
      <c r="W12" s="188">
        <f t="shared" si="3"/>
        <v>0</v>
      </c>
      <c r="X12" s="192"/>
      <c r="Y12" s="192"/>
      <c r="Z12" s="192"/>
    </row>
    <row r="13" spans="1:65" ht="20.100000000000001" customHeight="1">
      <c r="A13" s="195"/>
      <c r="B13" s="187"/>
      <c r="C13" s="187"/>
      <c r="D13" s="187"/>
      <c r="E13" s="187"/>
      <c r="F13" s="187"/>
      <c r="G13" s="187"/>
      <c r="H13" s="187"/>
      <c r="I13" s="187"/>
      <c r="J13" s="187"/>
      <c r="K13" s="187"/>
      <c r="L13" s="187"/>
      <c r="M13" s="187"/>
      <c r="N13" s="188">
        <f t="shared" si="4"/>
        <v>0</v>
      </c>
      <c r="O13" s="189"/>
      <c r="P13" s="189"/>
      <c r="Q13" s="188">
        <f t="shared" si="1"/>
        <v>0</v>
      </c>
      <c r="R13" s="188">
        <f t="shared" si="2"/>
        <v>0</v>
      </c>
      <c r="S13" s="190"/>
      <c r="T13" s="194"/>
      <c r="U13" s="194"/>
      <c r="V13" s="194"/>
      <c r="W13" s="188">
        <f t="shared" si="3"/>
        <v>0</v>
      </c>
      <c r="X13" s="192"/>
      <c r="Y13" s="192"/>
      <c r="Z13" s="192"/>
    </row>
    <row r="14" spans="1:65" ht="20.100000000000001" customHeight="1">
      <c r="A14" s="195"/>
      <c r="B14" s="187"/>
      <c r="C14" s="187"/>
      <c r="D14" s="187"/>
      <c r="E14" s="187"/>
      <c r="F14" s="187"/>
      <c r="G14" s="187"/>
      <c r="H14" s="187"/>
      <c r="I14" s="187"/>
      <c r="J14" s="187"/>
      <c r="K14" s="187"/>
      <c r="L14" s="187"/>
      <c r="M14" s="187"/>
      <c r="N14" s="188">
        <f t="shared" si="4"/>
        <v>0</v>
      </c>
      <c r="O14" s="189"/>
      <c r="P14" s="189"/>
      <c r="Q14" s="188">
        <f t="shared" si="1"/>
        <v>0</v>
      </c>
      <c r="R14" s="188">
        <f t="shared" si="2"/>
        <v>0</v>
      </c>
      <c r="S14" s="190"/>
      <c r="T14" s="194"/>
      <c r="U14" s="194"/>
      <c r="V14" s="194"/>
      <c r="W14" s="188">
        <f t="shared" si="3"/>
        <v>0</v>
      </c>
      <c r="X14" s="192"/>
      <c r="Y14" s="192"/>
      <c r="Z14" s="192"/>
    </row>
    <row r="15" spans="1:65" ht="20.100000000000001" customHeight="1">
      <c r="A15" s="195"/>
      <c r="B15" s="187"/>
      <c r="C15" s="187"/>
      <c r="D15" s="187"/>
      <c r="E15" s="187"/>
      <c r="F15" s="187"/>
      <c r="G15" s="187"/>
      <c r="H15" s="187"/>
      <c r="I15" s="187"/>
      <c r="J15" s="187"/>
      <c r="K15" s="187"/>
      <c r="L15" s="187"/>
      <c r="M15" s="187"/>
      <c r="N15" s="188">
        <f t="shared" si="4"/>
        <v>0</v>
      </c>
      <c r="O15" s="189"/>
      <c r="P15" s="189"/>
      <c r="Q15" s="188">
        <f t="shared" si="1"/>
        <v>0</v>
      </c>
      <c r="R15" s="188">
        <f t="shared" si="2"/>
        <v>0</v>
      </c>
      <c r="S15" s="190"/>
      <c r="T15" s="194"/>
      <c r="U15" s="194"/>
      <c r="V15" s="194"/>
      <c r="W15" s="188">
        <f t="shared" si="3"/>
        <v>0</v>
      </c>
      <c r="X15" s="192"/>
      <c r="Y15" s="192"/>
      <c r="Z15" s="192"/>
    </row>
    <row r="16" spans="1:65" ht="20.100000000000001" customHeight="1">
      <c r="A16" s="195"/>
      <c r="B16" s="187"/>
      <c r="C16" s="187"/>
      <c r="D16" s="187"/>
      <c r="E16" s="187"/>
      <c r="F16" s="187"/>
      <c r="G16" s="187"/>
      <c r="H16" s="187"/>
      <c r="I16" s="187"/>
      <c r="J16" s="187"/>
      <c r="K16" s="187"/>
      <c r="L16" s="187"/>
      <c r="M16" s="187"/>
      <c r="N16" s="188">
        <f t="shared" si="4"/>
        <v>0</v>
      </c>
      <c r="O16" s="189"/>
      <c r="P16" s="189"/>
      <c r="Q16" s="188">
        <f t="shared" si="1"/>
        <v>0</v>
      </c>
      <c r="R16" s="188">
        <f t="shared" si="2"/>
        <v>0</v>
      </c>
      <c r="S16" s="190"/>
      <c r="T16" s="194"/>
      <c r="U16" s="194"/>
      <c r="V16" s="194"/>
      <c r="W16" s="188">
        <f t="shared" si="3"/>
        <v>0</v>
      </c>
      <c r="X16" s="192"/>
      <c r="Y16" s="192"/>
      <c r="Z16" s="192"/>
    </row>
    <row r="17" spans="1:26" ht="20.100000000000001" customHeight="1">
      <c r="A17" s="195"/>
      <c r="B17" s="187"/>
      <c r="C17" s="187"/>
      <c r="D17" s="187"/>
      <c r="E17" s="187"/>
      <c r="F17" s="187"/>
      <c r="G17" s="187"/>
      <c r="H17" s="187"/>
      <c r="I17" s="187"/>
      <c r="J17" s="187"/>
      <c r="K17" s="187"/>
      <c r="L17" s="187"/>
      <c r="M17" s="187"/>
      <c r="N17" s="188">
        <f t="shared" si="4"/>
        <v>0</v>
      </c>
      <c r="O17" s="189"/>
      <c r="P17" s="189"/>
      <c r="Q17" s="188">
        <f t="shared" si="1"/>
        <v>0</v>
      </c>
      <c r="R17" s="188">
        <f t="shared" si="2"/>
        <v>0</v>
      </c>
      <c r="S17" s="190"/>
      <c r="T17" s="194"/>
      <c r="U17" s="194"/>
      <c r="V17" s="194"/>
      <c r="W17" s="188">
        <f t="shared" si="3"/>
        <v>0</v>
      </c>
      <c r="X17" s="192"/>
      <c r="Y17" s="192"/>
      <c r="Z17" s="192"/>
    </row>
    <row r="18" spans="1:26" ht="20.100000000000001" customHeight="1">
      <c r="A18" s="195"/>
      <c r="B18" s="187"/>
      <c r="C18" s="187"/>
      <c r="D18" s="187"/>
      <c r="E18" s="187"/>
      <c r="F18" s="187"/>
      <c r="G18" s="187"/>
      <c r="H18" s="187"/>
      <c r="I18" s="187"/>
      <c r="J18" s="187"/>
      <c r="K18" s="187"/>
      <c r="L18" s="187"/>
      <c r="M18" s="187"/>
      <c r="N18" s="188">
        <f t="shared" si="4"/>
        <v>0</v>
      </c>
      <c r="O18" s="189"/>
      <c r="P18" s="189"/>
      <c r="Q18" s="188">
        <f t="shared" si="1"/>
        <v>0</v>
      </c>
      <c r="R18" s="188">
        <f t="shared" si="2"/>
        <v>0</v>
      </c>
      <c r="S18" s="190"/>
      <c r="T18" s="194"/>
      <c r="U18" s="194"/>
      <c r="V18" s="194"/>
      <c r="W18" s="188">
        <f t="shared" si="3"/>
        <v>0</v>
      </c>
      <c r="X18" s="192"/>
      <c r="Y18" s="192"/>
      <c r="Z18" s="192"/>
    </row>
    <row r="19" spans="1:26" s="78" customFormat="1" ht="20.100000000000001" customHeight="1">
      <c r="A19" s="196" t="s">
        <v>29</v>
      </c>
      <c r="B19" s="188">
        <f>SUM(B9:B18)</f>
        <v>0</v>
      </c>
      <c r="C19" s="188">
        <f t="shared" ref="C19:N19" si="5">SUM(C9:C18)</f>
        <v>0</v>
      </c>
      <c r="D19" s="188">
        <f t="shared" si="5"/>
        <v>0</v>
      </c>
      <c r="E19" s="188">
        <f t="shared" si="5"/>
        <v>0</v>
      </c>
      <c r="F19" s="188">
        <f t="shared" si="5"/>
        <v>0</v>
      </c>
      <c r="G19" s="188">
        <f t="shared" si="5"/>
        <v>0</v>
      </c>
      <c r="H19" s="188">
        <f t="shared" si="5"/>
        <v>0</v>
      </c>
      <c r="I19" s="188">
        <f t="shared" si="5"/>
        <v>0</v>
      </c>
      <c r="J19" s="188">
        <f t="shared" si="5"/>
        <v>0</v>
      </c>
      <c r="K19" s="188">
        <f t="shared" si="5"/>
        <v>0</v>
      </c>
      <c r="L19" s="188">
        <f t="shared" si="5"/>
        <v>0</v>
      </c>
      <c r="M19" s="188">
        <f t="shared" si="5"/>
        <v>0</v>
      </c>
      <c r="N19" s="188">
        <f t="shared" si="5"/>
        <v>0</v>
      </c>
      <c r="O19" s="188">
        <f t="shared" ref="O19:W19" si="6">SUM(O9:O18)</f>
        <v>0</v>
      </c>
      <c r="P19" s="188">
        <f t="shared" si="6"/>
        <v>0</v>
      </c>
      <c r="Q19" s="188">
        <f t="shared" si="6"/>
        <v>0</v>
      </c>
      <c r="R19" s="188">
        <f t="shared" si="6"/>
        <v>0</v>
      </c>
      <c r="S19" s="188">
        <f t="shared" si="6"/>
        <v>0</v>
      </c>
      <c r="T19" s="188">
        <f t="shared" si="6"/>
        <v>0</v>
      </c>
      <c r="U19" s="188">
        <f t="shared" si="6"/>
        <v>0</v>
      </c>
      <c r="V19" s="188">
        <f t="shared" si="6"/>
        <v>0</v>
      </c>
      <c r="W19" s="188">
        <f t="shared" si="6"/>
        <v>0</v>
      </c>
      <c r="X19" s="188">
        <f t="shared" ref="X19" si="7">SUM(X9:X18)</f>
        <v>0</v>
      </c>
      <c r="Y19" s="188">
        <f t="shared" ref="Y19" si="8">SUM(Y9:Y18)</f>
        <v>0</v>
      </c>
      <c r="Z19" s="197"/>
    </row>
    <row r="20" spans="1:26" s="78" customFormat="1" ht="20.100000000000001" customHeight="1">
      <c r="A20" s="198" t="s">
        <v>77</v>
      </c>
      <c r="B20" s="151">
        <f>IF($N$19=0,0,B19/$N$19)</f>
        <v>0</v>
      </c>
      <c r="C20" s="151">
        <f t="shared" ref="C20:N20" si="9">IF($N$19=0,0,C19/$N$19)</f>
        <v>0</v>
      </c>
      <c r="D20" s="151">
        <f t="shared" si="9"/>
        <v>0</v>
      </c>
      <c r="E20" s="151">
        <f t="shared" si="9"/>
        <v>0</v>
      </c>
      <c r="F20" s="151">
        <f t="shared" si="9"/>
        <v>0</v>
      </c>
      <c r="G20" s="151">
        <f t="shared" si="9"/>
        <v>0</v>
      </c>
      <c r="H20" s="151">
        <f t="shared" si="9"/>
        <v>0</v>
      </c>
      <c r="I20" s="151">
        <f t="shared" si="9"/>
        <v>0</v>
      </c>
      <c r="J20" s="151">
        <f t="shared" si="9"/>
        <v>0</v>
      </c>
      <c r="K20" s="151">
        <f t="shared" si="9"/>
        <v>0</v>
      </c>
      <c r="L20" s="151">
        <f t="shared" si="9"/>
        <v>0</v>
      </c>
      <c r="M20" s="151">
        <f t="shared" si="9"/>
        <v>0</v>
      </c>
      <c r="N20" s="151">
        <f t="shared" si="9"/>
        <v>0</v>
      </c>
      <c r="O20" s="152"/>
      <c r="P20" s="152"/>
      <c r="Q20" s="152"/>
      <c r="R20" s="152"/>
      <c r="S20" s="152"/>
      <c r="T20" s="152"/>
      <c r="U20" s="152"/>
      <c r="V20" s="152"/>
      <c r="W20" s="152"/>
      <c r="X20" s="152"/>
      <c r="Y20" s="152"/>
      <c r="Z20" s="153"/>
    </row>
    <row r="21" spans="1:26" s="78" customFormat="1" ht="20.100000000000001" customHeight="1">
      <c r="A21" s="90" t="s">
        <v>78</v>
      </c>
    </row>
    <row r="22" spans="1:26" s="78" customFormat="1" ht="20.100000000000001" customHeight="1">
      <c r="A22" s="244" t="s">
        <v>301</v>
      </c>
    </row>
    <row r="23" spans="1:26" s="78" customFormat="1" ht="20.100000000000001" customHeight="1">
      <c r="A23" s="110" t="s">
        <v>266</v>
      </c>
    </row>
    <row r="24" spans="1:26" s="78" customFormat="1" ht="20.100000000000001" customHeight="1">
      <c r="A24" s="110" t="s">
        <v>294</v>
      </c>
    </row>
    <row r="25" spans="1:26" s="78" customFormat="1" ht="20.100000000000001" customHeight="1">
      <c r="A25" s="110" t="s">
        <v>295</v>
      </c>
    </row>
    <row r="26" spans="1:26" s="78" customFormat="1" ht="20.100000000000001" customHeight="1">
      <c r="A26" s="110" t="s">
        <v>296</v>
      </c>
    </row>
    <row r="27" spans="1:26" s="78" customFormat="1" ht="20.100000000000001" customHeight="1">
      <c r="A27" s="110" t="s">
        <v>297</v>
      </c>
    </row>
    <row r="28" spans="1:26" s="78" customFormat="1" ht="20.100000000000001" customHeight="1">
      <c r="A28" s="110" t="s">
        <v>298</v>
      </c>
    </row>
    <row r="29" spans="1:26" s="78" customFormat="1" ht="20.100000000000001" customHeight="1">
      <c r="A29" s="110" t="s">
        <v>299</v>
      </c>
    </row>
    <row r="30" spans="1:26" s="78" customFormat="1" ht="20.100000000000001" customHeight="1">
      <c r="A30" s="110" t="s">
        <v>300</v>
      </c>
    </row>
    <row r="31" spans="1:26" s="78" customFormat="1" ht="20.100000000000001" customHeight="1">
      <c r="A31" s="222" t="s">
        <v>250</v>
      </c>
    </row>
    <row r="32" spans="1:26" ht="20.100000000000001" customHeight="1">
      <c r="A32" s="91"/>
    </row>
    <row r="33" spans="1:1" ht="20.100000000000001" customHeight="1">
      <c r="A33" s="90" t="s">
        <v>79</v>
      </c>
    </row>
    <row r="34" spans="1:1" ht="20.100000000000001" customHeight="1"/>
    <row r="35" spans="1:1" ht="20.100000000000001" customHeight="1"/>
    <row r="36" spans="1:1" ht="20.100000000000001" customHeight="1"/>
    <row r="38" spans="1:1" ht="18" customHeight="1">
      <c r="A38" s="92" t="s">
        <v>80</v>
      </c>
    </row>
    <row r="39" spans="1:1" ht="18" customHeight="1">
      <c r="A39" s="92" t="s">
        <v>81</v>
      </c>
    </row>
    <row r="40" spans="1:1" ht="18" customHeight="1">
      <c r="A40" s="92" t="s">
        <v>82</v>
      </c>
    </row>
    <row r="41" spans="1:1" ht="18" customHeight="1">
      <c r="A41" s="92" t="s">
        <v>83</v>
      </c>
    </row>
    <row r="42" spans="1:1" ht="18" customHeight="1">
      <c r="A42" s="92"/>
    </row>
    <row r="43" spans="1:1" ht="18" customHeight="1">
      <c r="A43" s="92" t="s">
        <v>84</v>
      </c>
    </row>
    <row r="44" spans="1:1" ht="18" customHeight="1">
      <c r="A44" s="92" t="s">
        <v>85</v>
      </c>
    </row>
  </sheetData>
  <mergeCells count="2">
    <mergeCell ref="A1:Z1"/>
    <mergeCell ref="A2:Z2"/>
  </mergeCells>
  <phoneticPr fontId="105" type="noConversion"/>
  <hyperlinks>
    <hyperlink ref="Z3" location="底稿目录!A1" display="底稿目录!A1"/>
  </hyperlinks>
  <printOptions horizontalCentered="1"/>
  <pageMargins left="0.59055118110236227" right="0.59055118110236227" top="0.78740157480314965" bottom="0.39370078740157483" header="0.51181102362204722" footer="0.31496062992125984"/>
  <pageSetup paperSize="9" scale="50" fitToHeight="4"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1"/>
  <sheetViews>
    <sheetView view="pageBreakPreview" zoomScaleNormal="100" workbookViewId="0">
      <selection sqref="A1:J1"/>
    </sheetView>
  </sheetViews>
  <sheetFormatPr defaultColWidth="8.88671875" defaultRowHeight="15.6"/>
  <cols>
    <col min="1" max="1" width="23" style="95" customWidth="1"/>
    <col min="2" max="2" width="20.44140625" style="95" customWidth="1"/>
    <col min="3" max="3" width="8.88671875" style="95" customWidth="1"/>
    <col min="4" max="6" width="8.88671875" style="95"/>
    <col min="7" max="7" width="13" style="95" customWidth="1"/>
    <col min="8" max="8" width="12.21875" style="95" customWidth="1"/>
    <col min="9" max="16384" width="8.88671875" style="95"/>
  </cols>
  <sheetData>
    <row r="1" spans="1:10" ht="19.95" customHeight="1">
      <c r="A1" s="310" t="s">
        <v>16</v>
      </c>
      <c r="B1" s="310"/>
      <c r="C1" s="310"/>
      <c r="D1" s="310"/>
      <c r="E1" s="310"/>
      <c r="F1" s="310"/>
      <c r="G1" s="310"/>
      <c r="H1" s="310"/>
      <c r="I1" s="310"/>
      <c r="J1" s="310"/>
    </row>
    <row r="2" spans="1:10" ht="19.95" customHeight="1">
      <c r="A2" s="285" t="s">
        <v>86</v>
      </c>
      <c r="B2" s="285"/>
      <c r="C2" s="285"/>
      <c r="D2" s="285"/>
      <c r="E2" s="285"/>
      <c r="F2" s="285"/>
      <c r="G2" s="285"/>
      <c r="H2" s="285"/>
      <c r="I2" s="285"/>
      <c r="J2" s="285"/>
    </row>
    <row r="3" spans="1:10" ht="19.95" customHeight="1">
      <c r="A3" s="96" t="str">
        <f>底稿目录!A2</f>
        <v>被审计单位：</v>
      </c>
      <c r="B3" s="96"/>
      <c r="C3" s="96"/>
      <c r="D3" s="96" t="str">
        <f>底稿目录!A4</f>
        <v>编制人：</v>
      </c>
      <c r="E3" s="96"/>
      <c r="F3" s="97" t="str">
        <f>底稿目录!A5</f>
        <v>编制日期：</v>
      </c>
      <c r="H3" s="98"/>
      <c r="I3" s="97" t="s">
        <v>44</v>
      </c>
      <c r="J3" s="236" t="str">
        <f>底稿目录!D9</f>
        <v>I6-3</v>
      </c>
    </row>
    <row r="4" spans="1:10" ht="19.95" customHeight="1">
      <c r="A4" s="96" t="str">
        <f>底稿目录!A3</f>
        <v>会计期间：202X年度</v>
      </c>
      <c r="B4" s="96"/>
      <c r="C4" s="96"/>
      <c r="D4" s="99" t="str">
        <f>底稿目录!A6</f>
        <v>复核人：</v>
      </c>
      <c r="E4" s="96"/>
      <c r="F4" s="97" t="str">
        <f>底稿目录!A7</f>
        <v>复核日期：</v>
      </c>
      <c r="H4" s="98"/>
      <c r="I4" s="97" t="s">
        <v>18</v>
      </c>
      <c r="J4" s="108"/>
    </row>
    <row r="5" spans="1:10" ht="24">
      <c r="A5" s="100" t="s">
        <v>87</v>
      </c>
      <c r="B5" s="101" t="s">
        <v>88</v>
      </c>
      <c r="C5" s="101" t="s">
        <v>179</v>
      </c>
      <c r="D5" s="102" t="s">
        <v>89</v>
      </c>
      <c r="E5" s="102" t="s">
        <v>90</v>
      </c>
      <c r="F5" s="103" t="s">
        <v>91</v>
      </c>
      <c r="G5" s="102" t="s">
        <v>92</v>
      </c>
      <c r="H5" s="102" t="s">
        <v>93</v>
      </c>
      <c r="I5" s="102" t="s">
        <v>94</v>
      </c>
      <c r="J5" s="102" t="s">
        <v>15</v>
      </c>
    </row>
    <row r="6" spans="1:10" ht="19.95" customHeight="1">
      <c r="A6" s="104"/>
      <c r="B6" s="104"/>
      <c r="C6" s="104"/>
      <c r="D6" s="104"/>
      <c r="E6" s="104"/>
      <c r="F6" s="104"/>
      <c r="G6" s="104"/>
      <c r="H6" s="104"/>
      <c r="I6" s="104"/>
      <c r="J6" s="104"/>
    </row>
    <row r="7" spans="1:10" ht="19.95" customHeight="1">
      <c r="A7" s="105"/>
      <c r="B7" s="104"/>
      <c r="C7" s="104"/>
      <c r="D7" s="104"/>
      <c r="E7" s="104"/>
      <c r="F7" s="104"/>
      <c r="G7" s="104"/>
      <c r="H7" s="104"/>
      <c r="I7" s="104"/>
      <c r="J7" s="104"/>
    </row>
    <row r="8" spans="1:10" ht="19.95" customHeight="1">
      <c r="A8" s="106"/>
      <c r="B8" s="104"/>
      <c r="C8" s="104"/>
      <c r="D8" s="104"/>
      <c r="E8" s="104"/>
      <c r="F8" s="104"/>
      <c r="G8" s="104"/>
      <c r="H8" s="104"/>
      <c r="I8" s="104"/>
      <c r="J8" s="104"/>
    </row>
    <row r="9" spans="1:10" ht="19.95" customHeight="1">
      <c r="A9" s="106"/>
      <c r="B9" s="104"/>
      <c r="C9" s="104"/>
      <c r="D9" s="104"/>
      <c r="E9" s="104"/>
      <c r="F9" s="104"/>
      <c r="G9" s="104"/>
      <c r="H9" s="104"/>
      <c r="I9" s="104"/>
      <c r="J9" s="104"/>
    </row>
    <row r="10" spans="1:10" ht="19.95" customHeight="1">
      <c r="A10" s="106"/>
      <c r="B10" s="104"/>
      <c r="C10" s="104"/>
      <c r="D10" s="104"/>
      <c r="E10" s="104"/>
      <c r="F10" s="104"/>
      <c r="G10" s="104"/>
      <c r="H10" s="104"/>
      <c r="I10" s="104"/>
      <c r="J10" s="104"/>
    </row>
    <row r="11" spans="1:10" ht="19.95" customHeight="1">
      <c r="A11" s="107"/>
      <c r="B11" s="104"/>
      <c r="C11" s="104"/>
      <c r="D11" s="104"/>
      <c r="E11" s="104"/>
      <c r="F11" s="104"/>
      <c r="G11" s="104"/>
      <c r="H11" s="104"/>
      <c r="I11" s="104"/>
      <c r="J11" s="104"/>
    </row>
    <row r="12" spans="1:10" ht="19.95" customHeight="1">
      <c r="A12" s="106"/>
      <c r="B12" s="104"/>
      <c r="C12" s="104"/>
      <c r="D12" s="104"/>
      <c r="E12" s="104"/>
      <c r="F12" s="104"/>
      <c r="G12" s="104"/>
      <c r="H12" s="104"/>
      <c r="I12" s="104"/>
      <c r="J12" s="104"/>
    </row>
    <row r="13" spans="1:10" ht="19.95" customHeight="1">
      <c r="A13" s="106"/>
      <c r="B13" s="104"/>
      <c r="C13" s="104"/>
      <c r="D13" s="104"/>
      <c r="E13" s="104"/>
      <c r="F13" s="104"/>
      <c r="G13" s="104"/>
      <c r="H13" s="104"/>
      <c r="I13" s="104"/>
      <c r="J13" s="104"/>
    </row>
    <row r="14" spans="1:10" ht="19.95" customHeight="1">
      <c r="A14" s="106"/>
      <c r="B14" s="104"/>
      <c r="C14" s="104"/>
      <c r="D14" s="104"/>
      <c r="E14" s="104"/>
      <c r="F14" s="104"/>
      <c r="G14" s="104"/>
      <c r="H14" s="104"/>
      <c r="I14" s="104"/>
      <c r="J14" s="104"/>
    </row>
    <row r="15" spans="1:10" ht="19.95" customHeight="1">
      <c r="A15" s="106"/>
      <c r="B15" s="104"/>
      <c r="C15" s="104"/>
      <c r="D15" s="104"/>
      <c r="E15" s="104"/>
      <c r="F15" s="104"/>
      <c r="G15" s="104"/>
      <c r="H15" s="104"/>
      <c r="I15" s="104"/>
      <c r="J15" s="104"/>
    </row>
    <row r="16" spans="1:10" ht="19.95" customHeight="1">
      <c r="A16" s="106"/>
      <c r="B16" s="104"/>
      <c r="C16" s="104"/>
      <c r="D16" s="104"/>
      <c r="E16" s="104"/>
      <c r="F16" s="104"/>
      <c r="G16" s="104"/>
      <c r="H16" s="104"/>
      <c r="I16" s="104"/>
      <c r="J16" s="104"/>
    </row>
    <row r="17" spans="1:10" ht="19.95" customHeight="1">
      <c r="A17" s="106"/>
      <c r="B17" s="104"/>
      <c r="C17" s="104"/>
      <c r="D17" s="104"/>
      <c r="E17" s="104"/>
      <c r="F17" s="104"/>
      <c r="G17" s="104"/>
      <c r="H17" s="104"/>
      <c r="I17" s="104"/>
      <c r="J17" s="104"/>
    </row>
    <row r="18" spans="1:10" ht="19.95" customHeight="1">
      <c r="A18" s="106"/>
      <c r="B18" s="104"/>
      <c r="C18" s="104"/>
      <c r="D18" s="104"/>
      <c r="E18" s="104"/>
      <c r="F18" s="104"/>
      <c r="G18" s="104"/>
      <c r="H18" s="104"/>
      <c r="I18" s="104"/>
      <c r="J18" s="104"/>
    </row>
    <row r="19" spans="1:10" ht="19.95" customHeight="1">
      <c r="A19" s="106"/>
      <c r="B19" s="104"/>
      <c r="C19" s="104"/>
      <c r="D19" s="104"/>
      <c r="E19" s="104"/>
      <c r="F19" s="104"/>
      <c r="G19" s="104"/>
      <c r="H19" s="104"/>
      <c r="I19" s="104"/>
      <c r="J19" s="104"/>
    </row>
    <row r="20" spans="1:10" ht="19.95" customHeight="1">
      <c r="A20" s="106"/>
      <c r="B20" s="104"/>
      <c r="C20" s="104"/>
      <c r="D20" s="104"/>
      <c r="E20" s="104"/>
      <c r="F20" s="104"/>
      <c r="G20" s="104"/>
      <c r="H20" s="104"/>
      <c r="I20" s="104"/>
      <c r="J20" s="104"/>
    </row>
    <row r="21" spans="1:10" ht="28.5" customHeight="1">
      <c r="A21" s="286" t="s">
        <v>95</v>
      </c>
      <c r="B21" s="287"/>
      <c r="C21" s="287"/>
      <c r="D21" s="287"/>
      <c r="E21" s="287"/>
      <c r="F21" s="287"/>
      <c r="G21" s="287"/>
      <c r="H21" s="287"/>
      <c r="I21" s="287"/>
      <c r="J21" s="287"/>
    </row>
  </sheetData>
  <mergeCells count="3">
    <mergeCell ref="A1:J1"/>
    <mergeCell ref="A2:J2"/>
    <mergeCell ref="A21:J21"/>
  </mergeCells>
  <phoneticPr fontId="105" type="noConversion"/>
  <dataValidations count="1">
    <dataValidation type="list" allowBlank="1" showInputMessage="1" showErrorMessage="1" sqref="B6:B20">
      <formula1>"账项调整,报表调整,其他"</formula1>
    </dataValidation>
  </dataValidations>
  <hyperlinks>
    <hyperlink ref="J3" location="底稿目录!A1" display="I7-4"/>
  </hyperlinks>
  <pageMargins left="0.70866141732283472" right="0.70866141732283472" top="0.74803149606299213" bottom="0.74803149606299213" header="0.31496062992125984" footer="0.31496062992125984"/>
  <pageSetup paperSize="9" scale="73" orientation="portrait"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48"/>
  <sheetViews>
    <sheetView view="pageBreakPreview" zoomScaleNormal="100" workbookViewId="0">
      <selection sqref="A1:P1"/>
    </sheetView>
  </sheetViews>
  <sheetFormatPr defaultColWidth="9" defaultRowHeight="13.8"/>
  <cols>
    <col min="1" max="1" width="12.88671875" style="80" customWidth="1"/>
    <col min="2" max="2" width="9" style="80"/>
    <col min="3" max="3" width="9.6640625" style="80" customWidth="1"/>
    <col min="4" max="4" width="16" style="80" customWidth="1"/>
    <col min="5" max="5" width="9.6640625" style="80" customWidth="1"/>
    <col min="6" max="6" width="15.21875" style="80" customWidth="1"/>
    <col min="7" max="7" width="9.6640625" style="80" customWidth="1"/>
    <col min="8" max="8" width="25.44140625" style="80" customWidth="1"/>
    <col min="9" max="13" width="3.6640625" style="80" customWidth="1"/>
    <col min="14" max="14" width="9.6640625" style="80" customWidth="1"/>
    <col min="15" max="15" width="6.5546875" style="80" customWidth="1"/>
    <col min="16" max="16" width="12.44140625" style="80" customWidth="1"/>
    <col min="17" max="16384" width="9" style="80"/>
  </cols>
  <sheetData>
    <row r="1" spans="1:18" s="78" customFormat="1" ht="20.100000000000001" customHeight="1">
      <c r="A1" s="274" t="s">
        <v>212</v>
      </c>
      <c r="B1" s="274"/>
      <c r="C1" s="274"/>
      <c r="D1" s="274"/>
      <c r="E1" s="274"/>
      <c r="F1" s="274"/>
      <c r="G1" s="274"/>
      <c r="H1" s="274"/>
      <c r="I1" s="274"/>
      <c r="J1" s="274"/>
      <c r="K1" s="274"/>
      <c r="L1" s="274"/>
      <c r="M1" s="274"/>
      <c r="N1" s="274"/>
      <c r="O1" s="274"/>
      <c r="P1" s="274"/>
    </row>
    <row r="2" spans="1:18" s="79" customFormat="1" ht="24.9" customHeight="1">
      <c r="A2" s="276" t="s">
        <v>113</v>
      </c>
      <c r="B2" s="276"/>
      <c r="C2" s="276"/>
      <c r="D2" s="276"/>
      <c r="E2" s="276"/>
      <c r="F2" s="276"/>
      <c r="G2" s="276"/>
      <c r="H2" s="276"/>
      <c r="I2" s="276"/>
      <c r="J2" s="276"/>
      <c r="K2" s="276"/>
      <c r="L2" s="276"/>
      <c r="M2" s="276"/>
      <c r="N2" s="276"/>
      <c r="O2" s="276"/>
      <c r="P2" s="276"/>
    </row>
    <row r="3" spans="1:18" ht="20.100000000000001" customHeight="1">
      <c r="A3" s="8" t="str">
        <f>底稿目录!A2</f>
        <v>被审计单位：</v>
      </c>
      <c r="D3" s="8" t="str">
        <f>底稿目录!A4</f>
        <v>编制人：</v>
      </c>
      <c r="E3" s="8"/>
      <c r="F3" s="8"/>
      <c r="G3" s="8" t="str">
        <f>底稿目录!A5</f>
        <v>编制日期：</v>
      </c>
      <c r="H3" s="8"/>
      <c r="I3" s="8"/>
      <c r="K3" s="82"/>
      <c r="O3" s="54" t="s">
        <v>96</v>
      </c>
      <c r="P3" s="236" t="str">
        <f>底稿目录!D18</f>
        <v>I6-4</v>
      </c>
    </row>
    <row r="4" spans="1:18" ht="20.100000000000001" customHeight="1">
      <c r="A4" s="8" t="str">
        <f>底稿目录!A3</f>
        <v>会计期间：202X年度</v>
      </c>
      <c r="D4" s="8" t="str">
        <f>底稿目录!A6</f>
        <v>复核人：</v>
      </c>
      <c r="E4" s="8"/>
      <c r="F4" s="8"/>
      <c r="G4" s="8" t="str">
        <f>底稿目录!A7</f>
        <v>复核日期：</v>
      </c>
      <c r="H4" s="8"/>
      <c r="I4" s="8"/>
      <c r="K4" s="82"/>
      <c r="O4" s="58" t="s">
        <v>97</v>
      </c>
      <c r="P4" s="88"/>
    </row>
    <row r="5" spans="1:18" s="78" customFormat="1" ht="20.100000000000001" customHeight="1">
      <c r="A5" s="78" t="s">
        <v>114</v>
      </c>
    </row>
    <row r="6" spans="1:18" s="78" customFormat="1" ht="20.100000000000001" customHeight="1">
      <c r="A6" s="83" t="s">
        <v>98</v>
      </c>
    </row>
    <row r="7" spans="1:18" s="78" customFormat="1" ht="20.100000000000001" customHeight="1">
      <c r="A7" s="60" t="s">
        <v>47</v>
      </c>
    </row>
    <row r="8" spans="1:18" s="78" customFormat="1" ht="20.100000000000001" customHeight="1">
      <c r="A8" s="78" t="s">
        <v>115</v>
      </c>
    </row>
    <row r="9" spans="1:18" s="78" customFormat="1" ht="20.100000000000001" customHeight="1">
      <c r="A9" s="84" t="s">
        <v>100</v>
      </c>
      <c r="B9" s="85" t="s">
        <v>234</v>
      </c>
      <c r="C9" s="86"/>
      <c r="D9" s="86"/>
      <c r="E9" s="86"/>
      <c r="F9" s="85"/>
      <c r="G9" s="219" t="s">
        <v>101</v>
      </c>
      <c r="H9" s="220" t="s">
        <v>213</v>
      </c>
      <c r="I9" s="84"/>
      <c r="K9" s="86"/>
      <c r="N9" s="86"/>
      <c r="O9" s="86"/>
      <c r="P9" s="86"/>
      <c r="Q9" s="86"/>
      <c r="R9" s="86"/>
    </row>
    <row r="10" spans="1:18" s="78" customFormat="1" ht="20.100000000000001" customHeight="1">
      <c r="A10" s="84" t="s">
        <v>102</v>
      </c>
      <c r="B10" s="85" t="s">
        <v>103</v>
      </c>
      <c r="C10" s="86"/>
      <c r="D10" s="86"/>
      <c r="E10" s="86"/>
      <c r="F10" s="85"/>
      <c r="G10" s="133" t="s">
        <v>214</v>
      </c>
      <c r="H10" s="232" t="s">
        <v>268</v>
      </c>
      <c r="I10" s="232"/>
      <c r="J10" s="85"/>
      <c r="L10" s="86"/>
      <c r="N10" s="85"/>
      <c r="O10" s="86"/>
      <c r="P10" s="86"/>
      <c r="Q10" s="86"/>
      <c r="R10" s="86"/>
    </row>
    <row r="11" spans="1:18" ht="20.100000000000001" customHeight="1">
      <c r="A11" s="84" t="s">
        <v>104</v>
      </c>
      <c r="B11" s="232" t="s">
        <v>267</v>
      </c>
      <c r="C11" s="86"/>
      <c r="D11" s="86"/>
      <c r="E11" s="86"/>
      <c r="F11" s="85"/>
      <c r="G11" s="133" t="s">
        <v>215</v>
      </c>
      <c r="H11" s="220" t="s">
        <v>216</v>
      </c>
      <c r="I11" s="84"/>
      <c r="K11" s="86"/>
      <c r="N11" s="86"/>
      <c r="O11" s="86"/>
      <c r="P11" s="86"/>
      <c r="Q11" s="86"/>
      <c r="R11" s="86"/>
    </row>
    <row r="12" spans="1:18" s="78" customFormat="1" ht="20.100000000000001" customHeight="1">
      <c r="A12" s="78" t="s">
        <v>116</v>
      </c>
    </row>
    <row r="13" spans="1:18" s="211" customFormat="1" ht="20.100000000000001" customHeight="1">
      <c r="A13" s="200" t="s">
        <v>207</v>
      </c>
    </row>
    <row r="14" spans="1:18" s="211" customFormat="1" ht="20.100000000000001" customHeight="1">
      <c r="A14" s="201" t="s">
        <v>235</v>
      </c>
      <c r="D14" s="225"/>
    </row>
    <row r="15" spans="1:18" s="212" customFormat="1" ht="20.100000000000001" customHeight="1">
      <c r="A15" s="290" t="s">
        <v>105</v>
      </c>
      <c r="B15" s="291"/>
      <c r="C15" s="291"/>
      <c r="D15" s="291"/>
      <c r="E15" s="291"/>
      <c r="F15" s="291"/>
      <c r="G15" s="291"/>
      <c r="H15" s="292" t="s">
        <v>208</v>
      </c>
      <c r="I15" s="294" t="s">
        <v>209</v>
      </c>
      <c r="J15" s="295"/>
      <c r="K15" s="295"/>
      <c r="L15" s="295"/>
      <c r="M15" s="295"/>
      <c r="N15" s="296" t="s">
        <v>106</v>
      </c>
      <c r="O15" s="296" t="s">
        <v>107</v>
      </c>
      <c r="P15" s="288" t="s">
        <v>210</v>
      </c>
    </row>
    <row r="16" spans="1:18" s="215" customFormat="1" ht="20.100000000000001" customHeight="1">
      <c r="A16" s="216" t="s">
        <v>222</v>
      </c>
      <c r="B16" s="213" t="s">
        <v>155</v>
      </c>
      <c r="C16" s="213" t="s">
        <v>108</v>
      </c>
      <c r="D16" s="213" t="s">
        <v>109</v>
      </c>
      <c r="E16" s="213" t="s">
        <v>110</v>
      </c>
      <c r="F16" s="213" t="s">
        <v>111</v>
      </c>
      <c r="G16" s="214" t="s">
        <v>211</v>
      </c>
      <c r="H16" s="293"/>
      <c r="I16" s="202">
        <v>1</v>
      </c>
      <c r="J16" s="202">
        <v>2</v>
      </c>
      <c r="K16" s="202">
        <v>3</v>
      </c>
      <c r="L16" s="202">
        <v>4</v>
      </c>
      <c r="M16" s="202">
        <v>5</v>
      </c>
      <c r="N16" s="297"/>
      <c r="O16" s="297"/>
      <c r="P16" s="289"/>
      <c r="Q16" s="203"/>
    </row>
    <row r="17" spans="1:16" s="212" customFormat="1" ht="20.100000000000001" customHeight="1">
      <c r="A17" s="204"/>
      <c r="B17" s="205"/>
      <c r="C17" s="206"/>
      <c r="D17" s="204"/>
      <c r="E17" s="204"/>
      <c r="F17" s="204"/>
      <c r="G17" s="207"/>
      <c r="H17" s="206"/>
      <c r="I17" s="208"/>
      <c r="J17" s="208"/>
      <c r="K17" s="208"/>
      <c r="L17" s="208"/>
      <c r="M17" s="208"/>
      <c r="N17" s="206"/>
      <c r="O17" s="209"/>
      <c r="P17" s="209"/>
    </row>
    <row r="18" spans="1:16" s="212" customFormat="1" ht="20.100000000000001" customHeight="1">
      <c r="A18" s="204"/>
      <c r="B18" s="205"/>
      <c r="C18" s="206"/>
      <c r="D18" s="204"/>
      <c r="E18" s="204"/>
      <c r="F18" s="204"/>
      <c r="G18" s="207"/>
      <c r="H18" s="206"/>
      <c r="I18" s="208"/>
      <c r="J18" s="208"/>
      <c r="K18" s="208"/>
      <c r="L18" s="208"/>
      <c r="M18" s="208"/>
      <c r="N18" s="206"/>
      <c r="O18" s="209"/>
      <c r="P18" s="209"/>
    </row>
    <row r="19" spans="1:16" s="212" customFormat="1" ht="20.100000000000001" customHeight="1">
      <c r="A19" s="204"/>
      <c r="B19" s="205"/>
      <c r="C19" s="206"/>
      <c r="D19" s="204"/>
      <c r="E19" s="204"/>
      <c r="F19" s="204"/>
      <c r="G19" s="207"/>
      <c r="H19" s="206"/>
      <c r="I19" s="208"/>
      <c r="J19" s="208"/>
      <c r="K19" s="208"/>
      <c r="L19" s="208"/>
      <c r="M19" s="208"/>
      <c r="N19" s="206"/>
      <c r="O19" s="209"/>
      <c r="P19" s="209"/>
    </row>
    <row r="20" spans="1:16" s="212" customFormat="1" ht="20.100000000000001" customHeight="1">
      <c r="A20" s="204"/>
      <c r="B20" s="205"/>
      <c r="C20" s="206"/>
      <c r="D20" s="204"/>
      <c r="E20" s="204"/>
      <c r="F20" s="204"/>
      <c r="G20" s="207"/>
      <c r="H20" s="206"/>
      <c r="I20" s="208"/>
      <c r="J20" s="208"/>
      <c r="K20" s="208"/>
      <c r="L20" s="208"/>
      <c r="M20" s="208"/>
      <c r="N20" s="206"/>
      <c r="O20" s="209"/>
      <c r="P20" s="209"/>
    </row>
    <row r="21" spans="1:16" s="212" customFormat="1" ht="20.100000000000001" customHeight="1">
      <c r="A21" s="204"/>
      <c r="B21" s="205"/>
      <c r="C21" s="206"/>
      <c r="D21" s="204"/>
      <c r="E21" s="204"/>
      <c r="F21" s="204"/>
      <c r="G21" s="207"/>
      <c r="H21" s="206"/>
      <c r="I21" s="208"/>
      <c r="J21" s="208"/>
      <c r="K21" s="208"/>
      <c r="L21" s="208"/>
      <c r="M21" s="208"/>
      <c r="N21" s="206"/>
      <c r="O21" s="209"/>
      <c r="P21" s="209"/>
    </row>
    <row r="22" spans="1:16" s="212" customFormat="1" ht="20.100000000000001" customHeight="1">
      <c r="A22" s="204"/>
      <c r="B22" s="205"/>
      <c r="C22" s="206"/>
      <c r="D22" s="204"/>
      <c r="E22" s="204"/>
      <c r="F22" s="204"/>
      <c r="G22" s="207"/>
      <c r="H22" s="206"/>
      <c r="I22" s="208"/>
      <c r="J22" s="208"/>
      <c r="K22" s="208"/>
      <c r="L22" s="208"/>
      <c r="M22" s="208"/>
      <c r="N22" s="206"/>
      <c r="O22" s="209"/>
      <c r="P22" s="209"/>
    </row>
    <row r="23" spans="1:16" s="212" customFormat="1" ht="20.100000000000001" customHeight="1">
      <c r="A23" s="204"/>
      <c r="B23" s="205"/>
      <c r="C23" s="206"/>
      <c r="D23" s="204"/>
      <c r="E23" s="204"/>
      <c r="F23" s="204"/>
      <c r="G23" s="207"/>
      <c r="H23" s="206"/>
      <c r="I23" s="208"/>
      <c r="J23" s="208"/>
      <c r="K23" s="208"/>
      <c r="L23" s="208"/>
      <c r="M23" s="208"/>
      <c r="N23" s="206"/>
      <c r="O23" s="209"/>
      <c r="P23" s="209"/>
    </row>
    <row r="24" spans="1:16" s="212" customFormat="1" ht="20.100000000000001" customHeight="1">
      <c r="A24" s="204"/>
      <c r="B24" s="205"/>
      <c r="C24" s="206"/>
      <c r="D24" s="204"/>
      <c r="E24" s="204"/>
      <c r="F24" s="204"/>
      <c r="G24" s="207"/>
      <c r="H24" s="206"/>
      <c r="I24" s="208"/>
      <c r="J24" s="208"/>
      <c r="K24" s="208"/>
      <c r="L24" s="208"/>
      <c r="M24" s="208"/>
      <c r="N24" s="206"/>
      <c r="O24" s="209"/>
      <c r="P24" s="209"/>
    </row>
    <row r="25" spans="1:16" s="212" customFormat="1" ht="20.100000000000001" customHeight="1">
      <c r="A25" s="204"/>
      <c r="B25" s="205"/>
      <c r="C25" s="206"/>
      <c r="D25" s="204"/>
      <c r="E25" s="204"/>
      <c r="F25" s="204"/>
      <c r="G25" s="207"/>
      <c r="H25" s="206"/>
      <c r="I25" s="208"/>
      <c r="J25" s="208"/>
      <c r="K25" s="208"/>
      <c r="L25" s="208"/>
      <c r="M25" s="208"/>
      <c r="N25" s="206"/>
      <c r="O25" s="209"/>
      <c r="P25" s="209"/>
    </row>
    <row r="26" spans="1:16" s="212" customFormat="1" ht="20.100000000000001" customHeight="1">
      <c r="A26" s="204"/>
      <c r="B26" s="205"/>
      <c r="C26" s="206"/>
      <c r="D26" s="204"/>
      <c r="E26" s="204"/>
      <c r="F26" s="204"/>
      <c r="G26" s="207"/>
      <c r="H26" s="206"/>
      <c r="I26" s="208"/>
      <c r="J26" s="208"/>
      <c r="K26" s="208"/>
      <c r="L26" s="208"/>
      <c r="M26" s="208"/>
      <c r="N26" s="206"/>
      <c r="O26" s="209"/>
      <c r="P26" s="209"/>
    </row>
    <row r="27" spans="1:16" s="212" customFormat="1" ht="20.100000000000001" customHeight="1">
      <c r="A27" s="204"/>
      <c r="B27" s="205"/>
      <c r="C27" s="206"/>
      <c r="D27" s="204"/>
      <c r="E27" s="204"/>
      <c r="F27" s="204"/>
      <c r="G27" s="207"/>
      <c r="H27" s="206"/>
      <c r="I27" s="208"/>
      <c r="J27" s="208"/>
      <c r="K27" s="208"/>
      <c r="L27" s="208"/>
      <c r="M27" s="208"/>
      <c r="N27" s="206"/>
      <c r="O27" s="209"/>
      <c r="P27" s="209"/>
    </row>
    <row r="28" spans="1:16" s="212" customFormat="1" ht="20.100000000000001" customHeight="1">
      <c r="A28" s="204"/>
      <c r="B28" s="205"/>
      <c r="C28" s="206"/>
      <c r="D28" s="204"/>
      <c r="E28" s="204"/>
      <c r="F28" s="204"/>
      <c r="G28" s="207"/>
      <c r="H28" s="206"/>
      <c r="I28" s="208"/>
      <c r="J28" s="208"/>
      <c r="K28" s="208"/>
      <c r="L28" s="208"/>
      <c r="M28" s="208"/>
      <c r="N28" s="206"/>
      <c r="O28" s="209"/>
      <c r="P28" s="209"/>
    </row>
    <row r="29" spans="1:16" s="212" customFormat="1" ht="20.100000000000001" customHeight="1">
      <c r="A29" s="204"/>
      <c r="B29" s="205"/>
      <c r="C29" s="206"/>
      <c r="D29" s="204"/>
      <c r="E29" s="204"/>
      <c r="F29" s="204"/>
      <c r="G29" s="207"/>
      <c r="H29" s="206"/>
      <c r="I29" s="208"/>
      <c r="J29" s="208"/>
      <c r="K29" s="208"/>
      <c r="L29" s="208"/>
      <c r="M29" s="208"/>
      <c r="N29" s="206"/>
      <c r="O29" s="209"/>
      <c r="P29" s="209"/>
    </row>
    <row r="30" spans="1:16" s="212" customFormat="1" ht="20.100000000000001" customHeight="1">
      <c r="A30" s="204"/>
      <c r="B30" s="205"/>
      <c r="C30" s="206"/>
      <c r="D30" s="204"/>
      <c r="E30" s="204"/>
      <c r="F30" s="204"/>
      <c r="G30" s="207"/>
      <c r="H30" s="206"/>
      <c r="I30" s="208"/>
      <c r="J30" s="208"/>
      <c r="K30" s="208"/>
      <c r="L30" s="208"/>
      <c r="M30" s="208"/>
      <c r="N30" s="206"/>
      <c r="O30" s="209"/>
      <c r="P30" s="209"/>
    </row>
    <row r="31" spans="1:16" s="212" customFormat="1" ht="19.95" customHeight="1">
      <c r="A31" s="213" t="s">
        <v>29</v>
      </c>
      <c r="B31" s="217"/>
      <c r="C31" s="217"/>
      <c r="D31" s="217"/>
      <c r="E31" s="217"/>
      <c r="F31" s="217"/>
      <c r="G31" s="210">
        <f>SUM(G17:G30)</f>
        <v>0</v>
      </c>
      <c r="H31" s="218"/>
      <c r="I31" s="218"/>
      <c r="J31" s="218"/>
      <c r="K31" s="210"/>
      <c r="L31" s="218"/>
      <c r="M31" s="218"/>
      <c r="N31" s="210"/>
      <c r="O31" s="218"/>
      <c r="P31" s="218"/>
    </row>
    <row r="32" spans="1:16" s="212" customFormat="1" ht="19.95" customHeight="1">
      <c r="A32" s="213" t="s">
        <v>237</v>
      </c>
      <c r="B32" s="217"/>
      <c r="C32" s="217"/>
      <c r="D32" s="217"/>
      <c r="E32" s="217"/>
      <c r="F32" s="217"/>
      <c r="G32" s="210">
        <f>'明细表I6-2'!Q19</f>
        <v>0</v>
      </c>
      <c r="H32" s="218"/>
      <c r="I32" s="218"/>
      <c r="J32" s="218"/>
      <c r="K32" s="210"/>
      <c r="L32" s="218"/>
      <c r="M32" s="218"/>
      <c r="N32" s="210"/>
      <c r="O32" s="218"/>
      <c r="P32" s="218"/>
    </row>
    <row r="33" spans="1:16" s="212" customFormat="1" ht="19.95" customHeight="1">
      <c r="A33" s="213" t="s">
        <v>236</v>
      </c>
      <c r="B33" s="217"/>
      <c r="C33" s="217"/>
      <c r="D33" s="217"/>
      <c r="E33" s="217"/>
      <c r="F33" s="217"/>
      <c r="G33" s="210" t="e">
        <f>G31/G32</f>
        <v>#DIV/0!</v>
      </c>
      <c r="H33" s="218"/>
      <c r="I33" s="218"/>
      <c r="J33" s="218"/>
      <c r="K33" s="210"/>
      <c r="L33" s="218"/>
      <c r="M33" s="218"/>
      <c r="N33" s="210"/>
      <c r="O33" s="218"/>
      <c r="P33" s="218"/>
    </row>
    <row r="34" spans="1:16" s="78" customFormat="1" ht="20.100000000000001" customHeight="1">
      <c r="A34" s="78" t="s">
        <v>117</v>
      </c>
      <c r="G34" s="224"/>
      <c r="J34" s="59"/>
      <c r="K34" s="158"/>
      <c r="L34" s="158"/>
    </row>
    <row r="35" spans="1:16" ht="20.100000000000001" customHeight="1">
      <c r="B35" s="150"/>
      <c r="J35" s="93"/>
      <c r="K35" s="86"/>
      <c r="L35" s="93"/>
    </row>
    <row r="36" spans="1:16" ht="20.100000000000001" customHeight="1">
      <c r="J36" s="93"/>
      <c r="K36" s="94"/>
      <c r="L36" s="157"/>
    </row>
    <row r="37" spans="1:16" ht="20.100000000000001" customHeight="1">
      <c r="A37" s="78" t="s">
        <v>118</v>
      </c>
    </row>
    <row r="38" spans="1:16" ht="20.100000000000001" customHeight="1"/>
    <row r="40" spans="1:16" ht="18" customHeight="1"/>
    <row r="41" spans="1:16" ht="18" customHeight="1"/>
    <row r="43" spans="1:16" ht="18" customHeight="1"/>
    <row r="44" spans="1:16" ht="18" customHeight="1"/>
    <row r="45" spans="1:16" ht="18" customHeight="1"/>
    <row r="46" spans="1:16" ht="18" customHeight="1"/>
    <row r="47" spans="1:16" ht="18" customHeight="1"/>
    <row r="48" spans="1:16" ht="18" customHeight="1"/>
  </sheetData>
  <mergeCells count="8">
    <mergeCell ref="P15:P16"/>
    <mergeCell ref="A1:P1"/>
    <mergeCell ref="A2:P2"/>
    <mergeCell ref="A15:G15"/>
    <mergeCell ref="H15:H16"/>
    <mergeCell ref="I15:M15"/>
    <mergeCell ref="N15:N16"/>
    <mergeCell ref="O15:O16"/>
  </mergeCells>
  <phoneticPr fontId="105" type="noConversion"/>
  <hyperlinks>
    <hyperlink ref="P3" location="底稿目录!A1" display="I7-10"/>
  </hyperlinks>
  <printOptions horizontalCentered="1"/>
  <pageMargins left="0.59055118110236227" right="0.59055118110236227" top="0.78740157480314965" bottom="0.39370078740157483" header="0.51181102362204722" footer="0.31496062992125984"/>
  <pageSetup paperSize="9" scale="75" fitToHeight="4"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51"/>
  <sheetViews>
    <sheetView view="pageBreakPreview" zoomScaleNormal="100" workbookViewId="0">
      <selection sqref="A1:I1"/>
    </sheetView>
  </sheetViews>
  <sheetFormatPr defaultColWidth="9" defaultRowHeight="13.8"/>
  <cols>
    <col min="1" max="1" width="4.44140625" style="7" customWidth="1"/>
    <col min="2" max="2" width="20" style="7" customWidth="1"/>
    <col min="3" max="9" width="12.21875" style="7" customWidth="1"/>
    <col min="10" max="16384" width="9" style="7"/>
  </cols>
  <sheetData>
    <row r="1" spans="1:10" s="1" customFormat="1" ht="20.100000000000001" customHeight="1">
      <c r="A1" s="300" t="s">
        <v>16</v>
      </c>
      <c r="B1" s="301"/>
      <c r="C1" s="301"/>
      <c r="D1" s="301"/>
      <c r="E1" s="301"/>
      <c r="F1" s="301"/>
      <c r="G1" s="301"/>
      <c r="H1" s="301"/>
      <c r="I1" s="301"/>
    </row>
    <row r="2" spans="1:10" s="2" customFormat="1" ht="24.9" customHeight="1">
      <c r="A2" s="302" t="s">
        <v>142</v>
      </c>
      <c r="B2" s="303"/>
      <c r="C2" s="303"/>
      <c r="D2" s="303"/>
      <c r="E2" s="303"/>
      <c r="F2" s="303"/>
      <c r="G2" s="303"/>
      <c r="H2" s="303"/>
      <c r="I2" s="303"/>
    </row>
    <row r="3" spans="1:10" ht="20.100000000000001" customHeight="1">
      <c r="A3" s="8" t="str">
        <f>底稿目录!A2</f>
        <v>被审计单位：</v>
      </c>
      <c r="B3" s="9"/>
      <c r="D3" s="8" t="str">
        <f>底稿目录!A4</f>
        <v>编制人：</v>
      </c>
      <c r="E3" s="10"/>
      <c r="F3" s="8" t="str">
        <f>底稿目录!A5</f>
        <v>编制日期：</v>
      </c>
      <c r="G3" s="11"/>
      <c r="I3" s="39" t="s">
        <v>17</v>
      </c>
      <c r="J3" s="236" t="str">
        <f>底稿目录!D19</f>
        <v>I6-5</v>
      </c>
    </row>
    <row r="4" spans="1:10" ht="20.100000000000001" customHeight="1">
      <c r="A4" s="8" t="str">
        <f>底稿目录!A3</f>
        <v>会计期间：202X年度</v>
      </c>
      <c r="B4" s="9"/>
      <c r="D4" s="12" t="str">
        <f>底稿目录!A6</f>
        <v>复核人：</v>
      </c>
      <c r="E4" s="10"/>
      <c r="F4" s="8" t="str">
        <f>底稿目录!A7</f>
        <v>复核日期：</v>
      </c>
      <c r="G4" s="11"/>
      <c r="I4" s="39" t="s">
        <v>143</v>
      </c>
    </row>
    <row r="5" spans="1:10" s="3" customFormat="1" ht="20.100000000000001" customHeight="1">
      <c r="A5" s="13" t="s">
        <v>144</v>
      </c>
      <c r="B5" s="14"/>
      <c r="C5" s="14"/>
      <c r="D5" s="14"/>
      <c r="E5" s="14"/>
      <c r="F5" s="14"/>
      <c r="G5" s="14"/>
      <c r="H5" s="14"/>
      <c r="I5" s="14"/>
    </row>
    <row r="6" spans="1:10" s="3" customFormat="1" ht="20.100000000000001" customHeight="1">
      <c r="A6" s="15" t="s">
        <v>145</v>
      </c>
      <c r="C6" s="16"/>
      <c r="D6" s="17"/>
      <c r="E6" s="16"/>
      <c r="F6" s="17"/>
      <c r="G6" s="16"/>
      <c r="H6" s="17"/>
      <c r="I6" s="16"/>
    </row>
    <row r="7" spans="1:10" s="3" customFormat="1" ht="20.100000000000001" customHeight="1">
      <c r="A7" s="13" t="s">
        <v>99</v>
      </c>
      <c r="B7" s="13"/>
      <c r="C7" s="13"/>
      <c r="D7" s="13"/>
      <c r="E7" s="13"/>
      <c r="F7" s="13"/>
      <c r="G7" s="13"/>
      <c r="H7" s="13"/>
      <c r="I7" s="13"/>
    </row>
    <row r="8" spans="1:10" s="3" customFormat="1" ht="20.100000000000001" customHeight="1">
      <c r="A8" s="18" t="s">
        <v>161</v>
      </c>
      <c r="B8" s="19"/>
      <c r="C8" s="13"/>
      <c r="D8" s="13"/>
      <c r="E8" s="13"/>
      <c r="F8" s="13"/>
      <c r="G8" s="13"/>
      <c r="H8" s="13"/>
      <c r="I8" s="13"/>
    </row>
    <row r="9" spans="1:10" s="3" customFormat="1" ht="20.100000000000001" customHeight="1">
      <c r="A9" s="20" t="s">
        <v>147</v>
      </c>
      <c r="B9" s="19"/>
      <c r="C9" s="13"/>
      <c r="D9" s="13"/>
      <c r="E9" s="13"/>
      <c r="F9" s="13"/>
      <c r="G9" s="13"/>
      <c r="H9" s="13"/>
      <c r="I9" s="13"/>
    </row>
    <row r="10" spans="1:10" s="3" customFormat="1" ht="30" customHeight="1">
      <c r="A10" s="309" t="s">
        <v>160</v>
      </c>
      <c r="B10" s="309"/>
      <c r="C10" s="309"/>
      <c r="D10" s="309"/>
      <c r="E10" s="309"/>
      <c r="F10" s="309"/>
      <c r="G10" s="309"/>
      <c r="H10" s="309"/>
      <c r="I10" s="309"/>
      <c r="J10" s="309"/>
    </row>
    <row r="11" spans="1:10" s="3" customFormat="1" ht="20.100000000000001" customHeight="1">
      <c r="A11" s="13" t="s">
        <v>148</v>
      </c>
      <c r="B11" s="21"/>
      <c r="C11" s="21"/>
      <c r="D11" s="22"/>
      <c r="E11" s="23"/>
    </row>
    <row r="12" spans="1:10" s="4" customFormat="1" ht="20.100000000000001" customHeight="1">
      <c r="A12" s="307" t="s">
        <v>14</v>
      </c>
      <c r="B12" s="304" t="s">
        <v>105</v>
      </c>
      <c r="C12" s="305"/>
      <c r="D12" s="305"/>
      <c r="E12" s="306"/>
      <c r="F12" s="307" t="s">
        <v>149</v>
      </c>
      <c r="G12" s="308"/>
      <c r="H12" s="308"/>
      <c r="I12" s="298" t="s">
        <v>150</v>
      </c>
      <c r="J12" s="298" t="s">
        <v>151</v>
      </c>
    </row>
    <row r="13" spans="1:10" s="4" customFormat="1" ht="20.100000000000001" customHeight="1">
      <c r="A13" s="308"/>
      <c r="B13" s="24" t="s">
        <v>155</v>
      </c>
      <c r="C13" s="24" t="s">
        <v>162</v>
      </c>
      <c r="D13" s="24" t="s">
        <v>154</v>
      </c>
      <c r="E13" s="24" t="s">
        <v>157</v>
      </c>
      <c r="F13" s="24" t="s">
        <v>152</v>
      </c>
      <c r="G13" s="24" t="s">
        <v>153</v>
      </c>
      <c r="H13" s="24" t="s">
        <v>154</v>
      </c>
      <c r="I13" s="299"/>
      <c r="J13" s="299"/>
    </row>
    <row r="14" spans="1:10" ht="20.100000000000001" customHeight="1">
      <c r="A14" s="25">
        <v>1</v>
      </c>
      <c r="B14" s="25"/>
      <c r="C14" s="25"/>
      <c r="D14" s="25"/>
      <c r="E14" s="26"/>
      <c r="F14" s="25"/>
      <c r="G14" s="25"/>
      <c r="H14" s="26"/>
      <c r="I14" s="40"/>
      <c r="J14" s="26"/>
    </row>
    <row r="15" spans="1:10" ht="20.100000000000001" customHeight="1">
      <c r="A15" s="233">
        <v>2</v>
      </c>
      <c r="B15" s="233"/>
      <c r="C15" s="233"/>
      <c r="D15" s="233"/>
      <c r="E15" s="234"/>
      <c r="F15" s="233"/>
      <c r="G15" s="233"/>
      <c r="H15" s="234"/>
      <c r="I15" s="235"/>
      <c r="J15" s="234"/>
    </row>
    <row r="16" spans="1:10" ht="20.100000000000001" customHeight="1">
      <c r="A16" s="25">
        <v>3</v>
      </c>
      <c r="B16" s="233"/>
      <c r="C16" s="233"/>
      <c r="D16" s="233"/>
      <c r="E16" s="234"/>
      <c r="F16" s="233"/>
      <c r="G16" s="233"/>
      <c r="H16" s="234"/>
      <c r="I16" s="235"/>
      <c r="J16" s="234"/>
    </row>
    <row r="17" spans="1:10" ht="20.100000000000001" customHeight="1">
      <c r="A17" s="233">
        <v>4</v>
      </c>
      <c r="B17" s="233"/>
      <c r="C17" s="233"/>
      <c r="D17" s="233"/>
      <c r="E17" s="234"/>
      <c r="F17" s="233"/>
      <c r="G17" s="233"/>
      <c r="H17" s="234"/>
      <c r="I17" s="235"/>
      <c r="J17" s="234"/>
    </row>
    <row r="18" spans="1:10" ht="20.100000000000001" customHeight="1">
      <c r="A18" s="25">
        <v>5</v>
      </c>
      <c r="B18" s="233"/>
      <c r="C18" s="233"/>
      <c r="D18" s="233"/>
      <c r="E18" s="234"/>
      <c r="F18" s="233"/>
      <c r="G18" s="233"/>
      <c r="H18" s="234"/>
      <c r="I18" s="235"/>
      <c r="J18" s="234"/>
    </row>
    <row r="19" spans="1:10" ht="20.100000000000001" customHeight="1">
      <c r="A19" s="233">
        <v>6</v>
      </c>
      <c r="B19" s="233"/>
      <c r="C19" s="233"/>
      <c r="D19" s="233"/>
      <c r="E19" s="234"/>
      <c r="F19" s="233"/>
      <c r="G19" s="233"/>
      <c r="H19" s="234"/>
      <c r="I19" s="235"/>
      <c r="J19" s="234"/>
    </row>
    <row r="20" spans="1:10" ht="20.100000000000001" customHeight="1">
      <c r="A20" s="25">
        <v>7</v>
      </c>
      <c r="B20" s="25"/>
      <c r="C20" s="25"/>
      <c r="D20" s="25"/>
      <c r="E20" s="26"/>
      <c r="F20" s="25"/>
      <c r="G20" s="25"/>
      <c r="H20" s="26"/>
      <c r="I20" s="40"/>
      <c r="J20" s="26"/>
    </row>
    <row r="21" spans="1:10" ht="20.100000000000001" customHeight="1">
      <c r="A21" s="233">
        <v>8</v>
      </c>
      <c r="B21" s="25"/>
      <c r="C21" s="25"/>
      <c r="D21" s="25"/>
      <c r="E21" s="26"/>
      <c r="F21" s="25"/>
      <c r="G21" s="25"/>
      <c r="H21" s="26"/>
      <c r="I21" s="40"/>
      <c r="J21" s="26"/>
    </row>
    <row r="22" spans="1:10" ht="20.100000000000001" customHeight="1">
      <c r="A22" s="233">
        <v>9</v>
      </c>
      <c r="B22" s="25"/>
      <c r="C22" s="25"/>
      <c r="D22" s="25"/>
      <c r="E22" s="26"/>
      <c r="F22" s="25"/>
      <c r="G22" s="25"/>
      <c r="H22" s="26"/>
      <c r="I22" s="40"/>
      <c r="J22" s="26"/>
    </row>
    <row r="23" spans="1:10" ht="20.100000000000001" customHeight="1">
      <c r="A23" s="25">
        <v>10</v>
      </c>
      <c r="B23" s="233"/>
      <c r="C23" s="233"/>
      <c r="D23" s="233"/>
      <c r="E23" s="234"/>
      <c r="F23" s="233"/>
      <c r="G23" s="233"/>
      <c r="H23" s="234"/>
      <c r="I23" s="235"/>
      <c r="J23" s="234"/>
    </row>
    <row r="24" spans="1:10" ht="20.100000000000001" customHeight="1">
      <c r="A24" s="233" t="s">
        <v>269</v>
      </c>
      <c r="B24" s="27"/>
      <c r="C24" s="27"/>
      <c r="D24" s="27"/>
      <c r="E24" s="28"/>
      <c r="F24" s="27"/>
      <c r="G24" s="27"/>
      <c r="H24" s="28"/>
      <c r="I24" s="40"/>
      <c r="J24" s="26"/>
    </row>
    <row r="25" spans="1:10" ht="20.100000000000001" customHeight="1">
      <c r="A25" s="29" t="s">
        <v>158</v>
      </c>
      <c r="B25" s="30"/>
      <c r="C25" s="30"/>
      <c r="D25" s="30"/>
      <c r="E25" s="30"/>
      <c r="F25" s="30"/>
      <c r="G25" s="30"/>
      <c r="H25" s="30"/>
      <c r="I25" s="41"/>
      <c r="J25" s="41"/>
    </row>
    <row r="26" spans="1:10" ht="20.100000000000001" customHeight="1">
      <c r="A26" s="25">
        <v>1</v>
      </c>
      <c r="B26" s="25"/>
      <c r="C26" s="25"/>
      <c r="D26" s="25"/>
      <c r="E26" s="26"/>
      <c r="F26" s="25"/>
      <c r="G26" s="25"/>
      <c r="H26" s="26"/>
      <c r="I26" s="40"/>
      <c r="J26" s="26"/>
    </row>
    <row r="27" spans="1:10" ht="20.100000000000001" customHeight="1">
      <c r="A27" s="233">
        <v>2</v>
      </c>
      <c r="B27" s="233"/>
      <c r="C27" s="233"/>
      <c r="D27" s="233"/>
      <c r="E27" s="234"/>
      <c r="F27" s="233"/>
      <c r="G27" s="233"/>
      <c r="H27" s="234"/>
      <c r="I27" s="235"/>
      <c r="J27" s="234"/>
    </row>
    <row r="28" spans="1:10" ht="20.100000000000001" customHeight="1">
      <c r="A28" s="25">
        <v>3</v>
      </c>
      <c r="B28" s="233"/>
      <c r="C28" s="233"/>
      <c r="D28" s="233"/>
      <c r="E28" s="234"/>
      <c r="F28" s="233"/>
      <c r="G28" s="233"/>
      <c r="H28" s="234"/>
      <c r="I28" s="235"/>
      <c r="J28" s="234"/>
    </row>
    <row r="29" spans="1:10" ht="20.100000000000001" customHeight="1">
      <c r="A29" s="233">
        <v>4</v>
      </c>
      <c r="B29" s="233"/>
      <c r="C29" s="233"/>
      <c r="D29" s="233"/>
      <c r="E29" s="234"/>
      <c r="F29" s="233"/>
      <c r="G29" s="233"/>
      <c r="H29" s="234"/>
      <c r="I29" s="235"/>
      <c r="J29" s="234"/>
    </row>
    <row r="30" spans="1:10" ht="20.100000000000001" customHeight="1">
      <c r="A30" s="25">
        <v>5</v>
      </c>
      <c r="B30" s="233"/>
      <c r="C30" s="233"/>
      <c r="D30" s="233"/>
      <c r="E30" s="234"/>
      <c r="F30" s="233"/>
      <c r="G30" s="233"/>
      <c r="H30" s="234"/>
      <c r="I30" s="235"/>
      <c r="J30" s="234"/>
    </row>
    <row r="31" spans="1:10" ht="20.100000000000001" customHeight="1">
      <c r="A31" s="233">
        <v>6</v>
      </c>
      <c r="B31" s="233"/>
      <c r="C31" s="233"/>
      <c r="D31" s="233"/>
      <c r="E31" s="234"/>
      <c r="F31" s="233"/>
      <c r="G31" s="233"/>
      <c r="H31" s="234"/>
      <c r="I31" s="235"/>
      <c r="J31" s="234"/>
    </row>
    <row r="32" spans="1:10" ht="20.100000000000001" customHeight="1">
      <c r="A32" s="25">
        <v>7</v>
      </c>
      <c r="B32" s="233"/>
      <c r="C32" s="233"/>
      <c r="D32" s="233"/>
      <c r="E32" s="234"/>
      <c r="F32" s="233"/>
      <c r="G32" s="233"/>
      <c r="H32" s="234"/>
      <c r="I32" s="235"/>
      <c r="J32" s="234"/>
    </row>
    <row r="33" spans="1:13" ht="20.100000000000001" customHeight="1">
      <c r="A33" s="233">
        <v>8</v>
      </c>
      <c r="B33" s="25"/>
      <c r="C33" s="25"/>
      <c r="D33" s="25"/>
      <c r="E33" s="26"/>
      <c r="F33" s="25"/>
      <c r="G33" s="25"/>
      <c r="H33" s="26"/>
      <c r="I33" s="40"/>
      <c r="J33" s="26"/>
    </row>
    <row r="34" spans="1:13" ht="20.100000000000001" customHeight="1">
      <c r="A34" s="233">
        <v>9</v>
      </c>
      <c r="B34" s="25"/>
      <c r="C34" s="25"/>
      <c r="D34" s="25"/>
      <c r="E34" s="26"/>
      <c r="F34" s="25"/>
      <c r="G34" s="25"/>
      <c r="H34" s="26"/>
      <c r="I34" s="40"/>
      <c r="J34" s="26"/>
    </row>
    <row r="35" spans="1:13" ht="20.100000000000001" customHeight="1">
      <c r="A35" s="25">
        <v>10</v>
      </c>
      <c r="B35" s="31"/>
      <c r="C35" s="31"/>
      <c r="D35" s="31"/>
      <c r="E35" s="26"/>
      <c r="F35" s="31"/>
      <c r="G35" s="31"/>
      <c r="H35" s="26"/>
      <c r="I35" s="40"/>
      <c r="J35" s="26"/>
      <c r="M35" s="26"/>
    </row>
    <row r="36" spans="1:13" ht="20.100000000000001" customHeight="1">
      <c r="A36" s="233" t="s">
        <v>269</v>
      </c>
      <c r="B36" s="31"/>
      <c r="C36" s="31"/>
      <c r="D36" s="31"/>
      <c r="E36" s="28"/>
      <c r="F36" s="31"/>
      <c r="G36" s="31"/>
      <c r="H36" s="28"/>
      <c r="I36" s="40"/>
      <c r="J36" s="26"/>
    </row>
    <row r="37" spans="1:13" ht="20.100000000000001" customHeight="1">
      <c r="A37" s="32" t="s">
        <v>112</v>
      </c>
    </row>
    <row r="38" spans="1:13" ht="20.100000000000001" customHeight="1"/>
    <row r="39" spans="1:13" ht="20.100000000000001" customHeight="1"/>
    <row r="40" spans="1:13" ht="20.100000000000001" customHeight="1">
      <c r="A40" s="32" t="s">
        <v>159</v>
      </c>
    </row>
    <row r="41" spans="1:13" ht="20.100000000000001" customHeight="1"/>
    <row r="42" spans="1:13" ht="20.100000000000001" customHeight="1"/>
    <row r="43" spans="1:13" ht="18" customHeight="1">
      <c r="A43" s="33" t="s">
        <v>160</v>
      </c>
    </row>
    <row r="44" spans="1:13" ht="18" customHeight="1">
      <c r="A44" s="34"/>
    </row>
    <row r="45" spans="1:13" ht="18" customHeight="1">
      <c r="A45" s="35"/>
    </row>
    <row r="46" spans="1:13" s="5" customFormat="1" ht="18" customHeight="1"/>
    <row r="47" spans="1:13" s="6" customFormat="1" ht="18" customHeight="1"/>
    <row r="48" spans="1:13" s="6" customFormat="1" ht="18" customHeight="1">
      <c r="A48" s="36"/>
    </row>
    <row r="49" spans="1:2" s="6" customFormat="1" ht="18" customHeight="1">
      <c r="A49" s="37"/>
      <c r="B49" s="38"/>
    </row>
    <row r="50" spans="1:2" s="6" customFormat="1" ht="18" customHeight="1">
      <c r="A50" s="37"/>
      <c r="B50" s="38"/>
    </row>
    <row r="51" spans="1:2" s="6" customFormat="1" ht="18" customHeight="1">
      <c r="A51" s="37"/>
      <c r="B51" s="38"/>
    </row>
  </sheetData>
  <mergeCells count="8">
    <mergeCell ref="J12:J13"/>
    <mergeCell ref="A1:I1"/>
    <mergeCell ref="A2:I2"/>
    <mergeCell ref="B12:E12"/>
    <mergeCell ref="F12:H12"/>
    <mergeCell ref="A12:A13"/>
    <mergeCell ref="I12:I13"/>
    <mergeCell ref="A10:J10"/>
  </mergeCells>
  <phoneticPr fontId="105" type="noConversion"/>
  <dataValidations count="1">
    <dataValidation type="list" allowBlank="1" showInputMessage="1" showErrorMessage="1" sqref="I14:I24 I26:I36">
      <formula1>"√,×"</formula1>
    </dataValidation>
  </dataValidations>
  <hyperlinks>
    <hyperlink ref="J3" location="底稿目录!A1" display="I7-12"/>
  </hyperlinks>
  <pageMargins left="0.70866141732283472" right="0.70866141732283472" top="0.74803149606299213" bottom="0.74803149606299213" header="0.31496062992125984" footer="0.31496062992125984"/>
  <pageSetup paperSize="9" scale="74"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49"/>
  <sheetViews>
    <sheetView view="pageBreakPreview" zoomScaleNormal="100" workbookViewId="0">
      <selection activeCell="J3" sqref="J3"/>
    </sheetView>
  </sheetViews>
  <sheetFormatPr defaultColWidth="9" defaultRowHeight="13.8"/>
  <cols>
    <col min="1" max="1" width="4.44140625" style="7" customWidth="1"/>
    <col min="2" max="2" width="20" style="7" customWidth="1"/>
    <col min="3" max="9" width="12.21875" style="7" customWidth="1"/>
    <col min="10" max="16384" width="9" style="7"/>
  </cols>
  <sheetData>
    <row r="1" spans="1:11" s="1" customFormat="1" ht="20.100000000000001" customHeight="1">
      <c r="A1" s="300" t="s">
        <v>217</v>
      </c>
      <c r="B1" s="301"/>
      <c r="C1" s="301"/>
      <c r="D1" s="301"/>
      <c r="E1" s="301"/>
      <c r="F1" s="301"/>
      <c r="G1" s="301"/>
      <c r="H1" s="301"/>
      <c r="I1" s="301"/>
    </row>
    <row r="2" spans="1:11" s="2" customFormat="1" ht="24.9" customHeight="1">
      <c r="A2" s="302" t="s">
        <v>218</v>
      </c>
      <c r="B2" s="303"/>
      <c r="C2" s="303"/>
      <c r="D2" s="303"/>
      <c r="E2" s="303"/>
      <c r="F2" s="303"/>
      <c r="G2" s="303"/>
      <c r="H2" s="303"/>
      <c r="I2" s="303"/>
    </row>
    <row r="3" spans="1:11" ht="20.100000000000001" customHeight="1">
      <c r="A3" s="8" t="str">
        <f>底稿目录!A2</f>
        <v>被审计单位：</v>
      </c>
      <c r="B3" s="8"/>
      <c r="C3" s="8"/>
      <c r="D3" s="8" t="str">
        <f>底稿目录!A4</f>
        <v>编制人：</v>
      </c>
      <c r="E3" s="8"/>
      <c r="F3" s="8" t="str">
        <f>底稿目录!A5</f>
        <v>编制日期：</v>
      </c>
      <c r="G3" s="11"/>
      <c r="I3" s="39" t="s">
        <v>17</v>
      </c>
      <c r="J3" s="236" t="str">
        <f>底稿目录!D20</f>
        <v>I6-6</v>
      </c>
    </row>
    <row r="4" spans="1:11" ht="20.100000000000001" customHeight="1">
      <c r="A4" s="8" t="str">
        <f>底稿目录!A3</f>
        <v>会计期间：202X年度</v>
      </c>
      <c r="B4" s="8"/>
      <c r="D4" s="12" t="str">
        <f>底稿目录!A6</f>
        <v>复核人：</v>
      </c>
      <c r="E4" s="10"/>
      <c r="F4" s="8" t="str">
        <f>底稿目录!A7</f>
        <v>复核日期：</v>
      </c>
      <c r="G4" s="11"/>
      <c r="I4" s="39" t="s">
        <v>143</v>
      </c>
    </row>
    <row r="5" spans="1:11" s="3" customFormat="1" ht="20.100000000000001" customHeight="1">
      <c r="A5" s="13" t="s">
        <v>144</v>
      </c>
      <c r="B5" s="14"/>
      <c r="C5" s="14"/>
      <c r="D5" s="14"/>
      <c r="E5" s="14"/>
      <c r="F5" s="14"/>
      <c r="G5" s="14"/>
      <c r="H5" s="14"/>
      <c r="I5" s="14"/>
    </row>
    <row r="6" spans="1:11" s="3" customFormat="1" ht="20.100000000000001" customHeight="1">
      <c r="A6" s="15" t="s">
        <v>145</v>
      </c>
      <c r="C6" s="16"/>
      <c r="D6" s="17"/>
      <c r="E6" s="16"/>
      <c r="F6" s="17"/>
      <c r="G6" s="16"/>
      <c r="H6" s="17"/>
      <c r="I6" s="16"/>
    </row>
    <row r="7" spans="1:11" s="3" customFormat="1" ht="20.100000000000001" customHeight="1">
      <c r="A7" s="13" t="s">
        <v>99</v>
      </c>
      <c r="B7" s="13"/>
      <c r="C7" s="13"/>
      <c r="D7" s="13"/>
      <c r="E7" s="13"/>
      <c r="F7" s="13"/>
      <c r="G7" s="13"/>
      <c r="H7" s="13"/>
      <c r="I7" s="13"/>
    </row>
    <row r="8" spans="1:11" s="3" customFormat="1" ht="20.100000000000001" customHeight="1">
      <c r="A8" s="42" t="s">
        <v>146</v>
      </c>
      <c r="B8" s="13"/>
      <c r="C8" s="13"/>
      <c r="D8" s="13"/>
      <c r="E8" s="13"/>
      <c r="F8" s="13"/>
      <c r="G8" s="13"/>
      <c r="H8" s="13"/>
      <c r="I8" s="13"/>
    </row>
    <row r="9" spans="1:11" s="3" customFormat="1" ht="20.100000000000001" customHeight="1">
      <c r="A9" s="20" t="s">
        <v>147</v>
      </c>
      <c r="B9" s="13"/>
      <c r="C9" s="13"/>
      <c r="D9" s="13"/>
      <c r="E9" s="13"/>
      <c r="F9" s="13"/>
      <c r="G9" s="13"/>
      <c r="H9" s="13"/>
      <c r="I9" s="13"/>
    </row>
    <row r="10" spans="1:11" s="3" customFormat="1" ht="31.8" customHeight="1">
      <c r="A10" s="309" t="s">
        <v>160</v>
      </c>
      <c r="B10" s="309"/>
      <c r="C10" s="309"/>
      <c r="D10" s="309"/>
      <c r="E10" s="309"/>
      <c r="F10" s="309"/>
      <c r="G10" s="309"/>
      <c r="H10" s="309"/>
      <c r="I10" s="309"/>
      <c r="J10" s="309"/>
      <c r="K10" s="199"/>
    </row>
    <row r="11" spans="1:11" s="3" customFormat="1" ht="20.100000000000001" customHeight="1">
      <c r="A11" s="13" t="s">
        <v>148</v>
      </c>
      <c r="B11" s="21"/>
      <c r="C11" s="21"/>
      <c r="D11" s="22"/>
      <c r="E11" s="23"/>
    </row>
    <row r="12" spans="1:11" s="3" customFormat="1" ht="20.100000000000001" customHeight="1">
      <c r="A12" s="307" t="s">
        <v>14</v>
      </c>
      <c r="B12" s="307" t="s">
        <v>149</v>
      </c>
      <c r="C12" s="308"/>
      <c r="D12" s="308"/>
      <c r="E12" s="304" t="s">
        <v>105</v>
      </c>
      <c r="F12" s="305"/>
      <c r="G12" s="305"/>
      <c r="H12" s="306"/>
      <c r="I12" s="298" t="s">
        <v>150</v>
      </c>
      <c r="J12" s="298" t="s">
        <v>151</v>
      </c>
    </row>
    <row r="13" spans="1:11" s="3" customFormat="1" ht="20.100000000000001" customHeight="1">
      <c r="A13" s="308"/>
      <c r="B13" s="24" t="s">
        <v>152</v>
      </c>
      <c r="C13" s="24" t="s">
        <v>153</v>
      </c>
      <c r="D13" s="24" t="s">
        <v>154</v>
      </c>
      <c r="E13" s="24" t="s">
        <v>155</v>
      </c>
      <c r="F13" s="24" t="s">
        <v>156</v>
      </c>
      <c r="G13" s="24" t="s">
        <v>154</v>
      </c>
      <c r="H13" s="24" t="s">
        <v>157</v>
      </c>
      <c r="I13" s="299"/>
      <c r="J13" s="299"/>
    </row>
    <row r="14" spans="1:11" ht="20.100000000000001" customHeight="1">
      <c r="A14" s="25">
        <v>1</v>
      </c>
      <c r="B14" s="25"/>
      <c r="C14" s="25"/>
      <c r="D14" s="25"/>
      <c r="E14" s="26"/>
      <c r="F14" s="25"/>
      <c r="G14" s="25"/>
      <c r="H14" s="26"/>
      <c r="I14" s="40"/>
      <c r="J14" s="26"/>
    </row>
    <row r="15" spans="1:11" ht="20.100000000000001" customHeight="1">
      <c r="A15" s="233">
        <v>2</v>
      </c>
      <c r="B15" s="233"/>
      <c r="C15" s="233"/>
      <c r="D15" s="233"/>
      <c r="E15" s="234"/>
      <c r="F15" s="233"/>
      <c r="G15" s="233"/>
      <c r="H15" s="234"/>
      <c r="I15" s="235"/>
      <c r="J15" s="234"/>
    </row>
    <row r="16" spans="1:11" ht="20.100000000000001" customHeight="1">
      <c r="A16" s="25">
        <v>3</v>
      </c>
      <c r="B16" s="233"/>
      <c r="C16" s="233"/>
      <c r="D16" s="233"/>
      <c r="E16" s="234"/>
      <c r="F16" s="233"/>
      <c r="G16" s="233"/>
      <c r="H16" s="234"/>
      <c r="I16" s="235"/>
      <c r="J16" s="234"/>
    </row>
    <row r="17" spans="1:10" ht="20.100000000000001" customHeight="1">
      <c r="A17" s="233">
        <v>4</v>
      </c>
      <c r="B17" s="233"/>
      <c r="C17" s="233"/>
      <c r="D17" s="233"/>
      <c r="E17" s="234"/>
      <c r="F17" s="233"/>
      <c r="G17" s="233"/>
      <c r="H17" s="234"/>
      <c r="I17" s="235"/>
      <c r="J17" s="234"/>
    </row>
    <row r="18" spans="1:10" ht="20.100000000000001" customHeight="1">
      <c r="A18" s="25">
        <v>5</v>
      </c>
      <c r="B18" s="233"/>
      <c r="C18" s="233"/>
      <c r="D18" s="233"/>
      <c r="E18" s="234"/>
      <c r="F18" s="233"/>
      <c r="G18" s="233"/>
      <c r="H18" s="234"/>
      <c r="I18" s="235"/>
      <c r="J18" s="234"/>
    </row>
    <row r="19" spans="1:10" ht="20.100000000000001" customHeight="1">
      <c r="A19" s="233">
        <v>6</v>
      </c>
      <c r="B19" s="233"/>
      <c r="C19" s="233"/>
      <c r="D19" s="233"/>
      <c r="E19" s="234"/>
      <c r="F19" s="233"/>
      <c r="G19" s="233"/>
      <c r="H19" s="234"/>
      <c r="I19" s="235"/>
      <c r="J19" s="234"/>
    </row>
    <row r="20" spans="1:10" ht="20.100000000000001" customHeight="1">
      <c r="A20" s="25">
        <v>7</v>
      </c>
      <c r="B20" s="25"/>
      <c r="C20" s="25"/>
      <c r="D20" s="25"/>
      <c r="E20" s="26"/>
      <c r="F20" s="25"/>
      <c r="G20" s="25"/>
      <c r="H20" s="26"/>
      <c r="I20" s="40"/>
      <c r="J20" s="26"/>
    </row>
    <row r="21" spans="1:10" ht="20.100000000000001" customHeight="1">
      <c r="A21" s="233">
        <v>8</v>
      </c>
      <c r="B21" s="25"/>
      <c r="C21" s="25"/>
      <c r="D21" s="25"/>
      <c r="E21" s="26"/>
      <c r="F21" s="25"/>
      <c r="G21" s="25"/>
      <c r="H21" s="26"/>
      <c r="I21" s="40"/>
      <c r="J21" s="26"/>
    </row>
    <row r="22" spans="1:10" ht="20.100000000000001" customHeight="1">
      <c r="A22" s="25">
        <v>9</v>
      </c>
      <c r="B22" s="25"/>
      <c r="C22" s="25"/>
      <c r="D22" s="25"/>
      <c r="E22" s="26"/>
      <c r="F22" s="25"/>
      <c r="G22" s="25"/>
      <c r="H22" s="26"/>
      <c r="I22" s="40"/>
      <c r="J22" s="26"/>
    </row>
    <row r="23" spans="1:10" ht="20.100000000000001" customHeight="1">
      <c r="A23" s="233">
        <v>10</v>
      </c>
      <c r="B23" s="27"/>
      <c r="C23" s="27"/>
      <c r="D23" s="27"/>
      <c r="E23" s="28"/>
      <c r="F23" s="27"/>
      <c r="G23" s="27"/>
      <c r="H23" s="28"/>
      <c r="I23" s="40"/>
      <c r="J23" s="26"/>
    </row>
    <row r="24" spans="1:10" ht="20.100000000000001" customHeight="1">
      <c r="A24" s="29" t="s">
        <v>158</v>
      </c>
      <c r="B24" s="30"/>
      <c r="C24" s="30"/>
      <c r="D24" s="30"/>
      <c r="E24" s="30"/>
      <c r="F24" s="30"/>
      <c r="G24" s="30"/>
      <c r="H24" s="30"/>
      <c r="I24" s="41"/>
      <c r="J24" s="41"/>
    </row>
    <row r="25" spans="1:10" ht="20.100000000000001" customHeight="1">
      <c r="A25" s="25">
        <v>1</v>
      </c>
      <c r="B25" s="25"/>
      <c r="C25" s="25"/>
      <c r="D25" s="25"/>
      <c r="E25" s="26"/>
      <c r="F25" s="25"/>
      <c r="G25" s="25"/>
      <c r="H25" s="26"/>
      <c r="I25" s="40"/>
      <c r="J25" s="26"/>
    </row>
    <row r="26" spans="1:10" ht="20.100000000000001" customHeight="1">
      <c r="A26" s="233">
        <v>2</v>
      </c>
      <c r="B26" s="233"/>
      <c r="C26" s="233"/>
      <c r="D26" s="233"/>
      <c r="E26" s="234"/>
      <c r="F26" s="233"/>
      <c r="G26" s="233"/>
      <c r="H26" s="234"/>
      <c r="I26" s="235"/>
      <c r="J26" s="234"/>
    </row>
    <row r="27" spans="1:10" ht="20.100000000000001" customHeight="1">
      <c r="A27" s="25">
        <v>3</v>
      </c>
      <c r="B27" s="233"/>
      <c r="C27" s="233"/>
      <c r="D27" s="233"/>
      <c r="E27" s="234"/>
      <c r="F27" s="233"/>
      <c r="G27" s="233"/>
      <c r="H27" s="234"/>
      <c r="I27" s="235"/>
      <c r="J27" s="234"/>
    </row>
    <row r="28" spans="1:10" ht="20.100000000000001" customHeight="1">
      <c r="A28" s="233">
        <v>4</v>
      </c>
      <c r="B28" s="233"/>
      <c r="C28" s="233"/>
      <c r="D28" s="233"/>
      <c r="E28" s="234"/>
      <c r="F28" s="233"/>
      <c r="G28" s="233"/>
      <c r="H28" s="234"/>
      <c r="I28" s="235"/>
      <c r="J28" s="234"/>
    </row>
    <row r="29" spans="1:10" ht="20.100000000000001" customHeight="1">
      <c r="A29" s="25">
        <v>5</v>
      </c>
      <c r="B29" s="233"/>
      <c r="C29" s="233"/>
      <c r="D29" s="233"/>
      <c r="E29" s="234"/>
      <c r="F29" s="233"/>
      <c r="G29" s="233"/>
      <c r="H29" s="234"/>
      <c r="I29" s="235"/>
      <c r="J29" s="234"/>
    </row>
    <row r="30" spans="1:10" ht="20.100000000000001" customHeight="1">
      <c r="A30" s="233">
        <v>6</v>
      </c>
      <c r="B30" s="233"/>
      <c r="C30" s="233"/>
      <c r="D30" s="233"/>
      <c r="E30" s="234"/>
      <c r="F30" s="233"/>
      <c r="G30" s="233"/>
      <c r="H30" s="234"/>
      <c r="I30" s="235"/>
      <c r="J30" s="234"/>
    </row>
    <row r="31" spans="1:10" ht="20.100000000000001" customHeight="1">
      <c r="A31" s="25">
        <v>7</v>
      </c>
      <c r="B31" s="25"/>
      <c r="C31" s="25"/>
      <c r="D31" s="25"/>
      <c r="E31" s="26"/>
      <c r="F31" s="25"/>
      <c r="G31" s="25"/>
      <c r="H31" s="26"/>
      <c r="I31" s="40"/>
      <c r="J31" s="26"/>
    </row>
    <row r="32" spans="1:10" ht="20.100000000000001" customHeight="1">
      <c r="A32" s="233">
        <v>8</v>
      </c>
      <c r="B32" s="25"/>
      <c r="C32" s="25"/>
      <c r="D32" s="25"/>
      <c r="E32" s="26"/>
      <c r="F32" s="25"/>
      <c r="G32" s="25"/>
      <c r="H32" s="26"/>
      <c r="I32" s="40"/>
      <c r="J32" s="26"/>
    </row>
    <row r="33" spans="1:13" ht="20.100000000000001" customHeight="1">
      <c r="A33" s="25">
        <v>9</v>
      </c>
      <c r="B33" s="31"/>
      <c r="C33" s="31"/>
      <c r="D33" s="31"/>
      <c r="E33" s="26"/>
      <c r="F33" s="31"/>
      <c r="G33" s="31"/>
      <c r="H33" s="26"/>
      <c r="I33" s="40"/>
      <c r="J33" s="26"/>
      <c r="M33" s="26"/>
    </row>
    <row r="34" spans="1:13" ht="20.100000000000001" customHeight="1">
      <c r="A34" s="233">
        <v>10</v>
      </c>
      <c r="B34" s="31"/>
      <c r="C34" s="31"/>
      <c r="D34" s="31"/>
      <c r="E34" s="28"/>
      <c r="F34" s="31"/>
      <c r="G34" s="31"/>
      <c r="H34" s="28"/>
      <c r="I34" s="40"/>
      <c r="J34" s="26"/>
    </row>
    <row r="35" spans="1:13" ht="20.100000000000001" customHeight="1">
      <c r="A35" s="32" t="s">
        <v>112</v>
      </c>
    </row>
    <row r="36" spans="1:13" ht="20.100000000000001" customHeight="1"/>
    <row r="37" spans="1:13" ht="20.100000000000001" customHeight="1"/>
    <row r="38" spans="1:13" ht="20.100000000000001" customHeight="1">
      <c r="A38" s="32" t="s">
        <v>159</v>
      </c>
    </row>
    <row r="39" spans="1:13" ht="20.100000000000001" customHeight="1"/>
    <row r="40" spans="1:13" ht="20.100000000000001" customHeight="1"/>
    <row r="41" spans="1:13" ht="18" customHeight="1">
      <c r="A41" s="33" t="s">
        <v>160</v>
      </c>
    </row>
    <row r="42" spans="1:13" ht="18" customHeight="1">
      <c r="A42" s="34"/>
    </row>
    <row r="43" spans="1:13" ht="18" customHeight="1">
      <c r="A43" s="35"/>
    </row>
    <row r="44" spans="1:13" s="5" customFormat="1" ht="18" customHeight="1"/>
    <row r="45" spans="1:13" s="6" customFormat="1" ht="18" customHeight="1"/>
    <row r="46" spans="1:13" s="6" customFormat="1" ht="18" customHeight="1">
      <c r="A46" s="36"/>
    </row>
    <row r="47" spans="1:13" s="6" customFormat="1" ht="18" customHeight="1">
      <c r="A47" s="37"/>
      <c r="B47" s="38"/>
    </row>
    <row r="48" spans="1:13" s="6" customFormat="1" ht="18" customHeight="1">
      <c r="A48" s="37"/>
      <c r="B48" s="38"/>
    </row>
    <row r="49" spans="1:2" s="6" customFormat="1" ht="18" customHeight="1">
      <c r="A49" s="37"/>
      <c r="B49" s="38"/>
    </row>
  </sheetData>
  <mergeCells count="8">
    <mergeCell ref="J12:J13"/>
    <mergeCell ref="A1:I1"/>
    <mergeCell ref="A2:I2"/>
    <mergeCell ref="B12:D12"/>
    <mergeCell ref="E12:H12"/>
    <mergeCell ref="A12:A13"/>
    <mergeCell ref="I12:I13"/>
    <mergeCell ref="A10:J10"/>
  </mergeCells>
  <phoneticPr fontId="105" type="noConversion"/>
  <dataValidations count="1">
    <dataValidation type="list" allowBlank="1" showInputMessage="1" showErrorMessage="1" sqref="I14:I23 I25:I34">
      <formula1>"√,×"</formula1>
    </dataValidation>
  </dataValidations>
  <hyperlinks>
    <hyperlink ref="J3" location="底稿目录!A1" display="I7-11"/>
  </hyperlinks>
  <pageMargins left="0.70866141732283472" right="0.70866141732283472" top="0.74803149606299213" bottom="0.74803149606299213" header="0.31496062992125984" footer="0.31496062992125984"/>
  <pageSetup paperSize="9" scale="74" orientation="portrait"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8"/>
  <sheetViews>
    <sheetView workbookViewId="0"/>
  </sheetViews>
  <sheetFormatPr defaultColWidth="9" defaultRowHeight="14.4"/>
  <sheetData>
    <row r="1" spans="1:2">
      <c r="A1" t="s">
        <v>163</v>
      </c>
      <c r="B1" t="s">
        <v>164</v>
      </c>
    </row>
    <row r="2" spans="1:2">
      <c r="A2" t="s">
        <v>165</v>
      </c>
      <c r="B2" t="s">
        <v>166</v>
      </c>
    </row>
    <row r="3" spans="1:2">
      <c r="A3" t="s">
        <v>167</v>
      </c>
      <c r="B3" t="s">
        <v>168</v>
      </c>
    </row>
    <row r="4" spans="1:2">
      <c r="A4" t="s">
        <v>169</v>
      </c>
      <c r="B4" t="s">
        <v>170</v>
      </c>
    </row>
    <row r="5" spans="1:2">
      <c r="A5" t="s">
        <v>171</v>
      </c>
      <c r="B5" t="s">
        <v>172</v>
      </c>
    </row>
    <row r="6" spans="1:2">
      <c r="A6" t="s">
        <v>173</v>
      </c>
      <c r="B6" t="s">
        <v>174</v>
      </c>
    </row>
    <row r="7" spans="1:2">
      <c r="A7" t="s">
        <v>175</v>
      </c>
      <c r="B7" t="s">
        <v>176</v>
      </c>
    </row>
    <row r="8" spans="1:2">
      <c r="A8" t="s">
        <v>177</v>
      </c>
      <c r="B8" t="s">
        <v>178</v>
      </c>
    </row>
  </sheetData>
  <phoneticPr fontId="10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研发费用实质性程序 I6A</vt:lpstr>
      <vt:lpstr>附注披露（上市公司）</vt:lpstr>
      <vt:lpstr>附注披露（国有企业）</vt:lpstr>
      <vt:lpstr>审定表I6-1</vt:lpstr>
      <vt:lpstr>明细表I6-2</vt:lpstr>
      <vt:lpstr>调整分录汇总I6-3</vt:lpstr>
      <vt:lpstr>其他针对性检查表I6-4</vt:lpstr>
      <vt:lpstr>截止性测试（账到单据）I6-5</vt:lpstr>
      <vt:lpstr>截止性测试（单据到账）I6-6</vt:lpstr>
      <vt:lpstr>GT_Custom</vt:lpstr>
      <vt:lpstr>'调整分录汇总I6-3'!Print_Area</vt:lpstr>
      <vt:lpstr>'附注披露（国有企业）'!Print_Area</vt:lpstr>
      <vt:lpstr>'附注披露（上市公司）'!Print_Area</vt:lpstr>
      <vt:lpstr>'截止性测试（单据到账）I6-6'!Print_Area</vt:lpstr>
      <vt:lpstr>'截止性测试（账到单据）I6-5'!Print_Area</vt:lpstr>
      <vt:lpstr>'明细表I6-2'!Print_Area</vt:lpstr>
      <vt:lpstr>'其他针对性检查表I6-4'!Print_Area</vt:lpstr>
      <vt:lpstr>'审定表I6-1'!Print_Area</vt:lpstr>
      <vt:lpstr>'研发费用实质性程序 I6A'!Print_Area</vt:lpstr>
      <vt:lpstr>'研发费用实质性程序 I6A'!Print_Titles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cp:lastPrinted>2025-10-31T03:36:38Z</cp:lastPrinted>
  <dcterms:created xsi:type="dcterms:W3CDTF">2006-09-13T11:21:00Z</dcterms:created>
  <dcterms:modified xsi:type="dcterms:W3CDTF">2025-11-05T06:40:31Z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3F3AB20D9D0A4BAAADD2F24F86FB02BE_12</vt:lpwstr>
  </property>
  <property fmtid="{D5CDD505-2E9C-101B-9397-08002B2CF9AE}" pid="3" name="KSOProductBuildVer">
    <vt:lpwstr>2052-12.1.0.22529</vt:lpwstr>
  </property>
</Properties>
</file>