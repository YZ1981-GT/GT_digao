
<file path=[Content_Types].xml><?xml version="1.0" encoding="utf-8"?>
<Types xmlns="http://schemas.openxmlformats.org/package/2006/content-types">
  <Default Extension="bin" ContentType="application/vnd.openxmlformats-officedocument.spreadsheetml.printerSettings"/>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omments2.xml" ContentType="application/vnd.openxmlformats-officedocument.spreadsheetml.comments+xml"/>
  <Override PartName="/xl/drawings/drawing2.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embeddings/oleObject12.bin" ContentType="application/vnd.openxmlformats-officedocument.oleObject"/>
  <Override PartName="/xl/embeddings/oleObject13.bin" ContentType="application/vnd.openxmlformats-officedocument.oleObject"/>
  <Override PartName="/xl/embeddings/oleObject14.bin" ContentType="application/vnd.openxmlformats-officedocument.oleObject"/>
  <Override PartName="/xl/embeddings/oleObject15.bin" ContentType="application/vnd.openxmlformats-officedocument.oleObject"/>
  <Override PartName="/xl/embeddings/oleObject16.bin" ContentType="application/vnd.openxmlformats-officedocument.oleObject"/>
  <Override PartName="/xl/embeddings/oleObject17.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I 无形资产循环\"/>
    </mc:Choice>
  </mc:AlternateContent>
  <bookViews>
    <workbookView xWindow="0" yWindow="0" windowWidth="20748" windowHeight="9696" tabRatio="755"/>
  </bookViews>
  <sheets>
    <sheet name="底稿目录" sheetId="4" r:id="rId1"/>
    <sheet name="商誉实质性程序 I3A" sheetId="28" r:id="rId2"/>
    <sheet name="审定表I3-1" sheetId="5" r:id="rId3"/>
    <sheet name="附注披露（上市公司）" sheetId="11" r:id="rId4"/>
    <sheet name="附注披露（国有企业）" sheetId="12" r:id="rId5"/>
    <sheet name="明细表I3-2" sheetId="6" r:id="rId6"/>
    <sheet name="调整分录汇总I3-3" sheetId="27" r:id="rId7"/>
    <sheet name="入账价值测算表I3-4" sheetId="8" r:id="rId8"/>
    <sheet name="针对性检查表I3-5" sheetId="7" r:id="rId9"/>
    <sheet name="商誉减值测试I3-6" sheetId="19" r:id="rId10"/>
    <sheet name="可收回金额测试I3-7" sheetId="20" r:id="rId11"/>
    <sheet name="复核公司减值测试过程及结论I3-8" sheetId="24" r:id="rId12"/>
    <sheet name="市场平均收益率2017" sheetId="22" state="hidden" r:id="rId13"/>
    <sheet name="参考－商誉减值测试示例" sheetId="17" r:id="rId14"/>
    <sheet name="GT_Custom" sheetId="13" state="hidden" r:id="rId15"/>
  </sheets>
  <definedNames>
    <definedName name="_xlnm.Print_Area" localSheetId="13">'参考－商誉减值测试示例'!$A$1:$P$101</definedName>
    <definedName name="_xlnm.Print_Area" localSheetId="6">'调整分录汇总I3-3'!$A$1:$J$22</definedName>
    <definedName name="_xlnm.Print_Area" localSheetId="3">'附注披露（上市公司）'!$A$1:$H$41</definedName>
    <definedName name="_xlnm.Print_Area" localSheetId="11">'复核公司减值测试过程及结论I3-8'!$A$1:$K$127</definedName>
    <definedName name="_xlnm.Print_Area" localSheetId="10">'可收回金额测试I3-7'!$A$1:$O$49</definedName>
    <definedName name="_xlnm.Print_Area" localSheetId="5">'明细表I3-2'!$A$1:$AD$26</definedName>
    <definedName name="_xlnm.Print_Area" localSheetId="7">'入账价值测算表I3-4'!$A$1:$M$22</definedName>
    <definedName name="_xlnm.Print_Area" localSheetId="9">'商誉减值测试I3-6'!$A$1:$L$38</definedName>
    <definedName name="_xlnm.Print_Area" localSheetId="1">'商誉实质性程序 I3A'!$A$1:$I$25</definedName>
    <definedName name="_xlnm.Print_Area" localSheetId="2">'审定表I3-1'!$A$1:$M$48</definedName>
    <definedName name="_xlnm.Print_Area" localSheetId="12">市场平均收益率2017!$A$1:$M$167</definedName>
    <definedName name="_xlnm.Print_Area" localSheetId="8">'针对性检查表I3-5'!$A$1:$Q$29</definedName>
    <definedName name="_xlnm.Print_Titles" localSheetId="5">'明细表I3-2'!$1:$9</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 i="20" l="1"/>
  <c r="H22" i="7" l="1"/>
  <c r="H21" i="7"/>
  <c r="G21" i="7"/>
  <c r="H20" i="7"/>
  <c r="G20" i="7"/>
  <c r="G22" i="7" s="1"/>
  <c r="Q15" i="6"/>
  <c r="Q16" i="6"/>
  <c r="Q17" i="6"/>
  <c r="Q18" i="6"/>
  <c r="Q19" i="6"/>
  <c r="Q20" i="6"/>
  <c r="Q21" i="6"/>
  <c r="Q22" i="6"/>
  <c r="Q14" i="6"/>
  <c r="I89" i="17" l="1"/>
  <c r="D89" i="17"/>
  <c r="B89" i="17"/>
  <c r="I88" i="17"/>
  <c r="D88" i="17"/>
  <c r="B88" i="17"/>
  <c r="M87" i="17"/>
  <c r="L87" i="17"/>
  <c r="J87" i="17"/>
  <c r="G87" i="17"/>
  <c r="F87" i="17"/>
  <c r="D87" i="17"/>
  <c r="B87" i="17"/>
  <c r="M86" i="17"/>
  <c r="L86" i="17"/>
  <c r="J86" i="17"/>
  <c r="I86" i="17"/>
  <c r="H86" i="17"/>
  <c r="G86" i="17"/>
  <c r="F86" i="17"/>
  <c r="M85" i="17"/>
  <c r="L85" i="17"/>
  <c r="J85" i="17"/>
  <c r="I85" i="17"/>
  <c r="H85" i="17"/>
  <c r="G85" i="17"/>
  <c r="F85" i="17"/>
  <c r="M84" i="17"/>
  <c r="L84" i="17"/>
  <c r="J84" i="17"/>
  <c r="I84" i="17"/>
  <c r="H84" i="17"/>
  <c r="G84" i="17"/>
  <c r="F84" i="17"/>
  <c r="M83" i="17"/>
  <c r="L83" i="17"/>
  <c r="J83" i="17"/>
  <c r="I83" i="17"/>
  <c r="H83" i="17"/>
  <c r="G83" i="17"/>
  <c r="F83" i="17"/>
  <c r="M82" i="17"/>
  <c r="L82" i="17"/>
  <c r="J82" i="17"/>
  <c r="I82" i="17"/>
  <c r="H82" i="17"/>
  <c r="G82" i="17"/>
  <c r="F82" i="17"/>
  <c r="M81" i="17"/>
  <c r="L81" i="17"/>
  <c r="J81" i="17"/>
  <c r="I81" i="17"/>
  <c r="H81" i="17"/>
  <c r="G81" i="17"/>
  <c r="F81" i="17"/>
  <c r="D70" i="17"/>
  <c r="D69" i="17"/>
  <c r="G43" i="17"/>
  <c r="F43" i="17"/>
  <c r="E43" i="17"/>
  <c r="D43" i="17"/>
  <c r="C43" i="17"/>
  <c r="G40" i="17"/>
  <c r="F40" i="17"/>
  <c r="E40" i="17"/>
  <c r="D40" i="17"/>
  <c r="C40" i="17"/>
  <c r="G38" i="17"/>
  <c r="F38" i="17"/>
  <c r="E38" i="17"/>
  <c r="D38" i="17"/>
  <c r="C38" i="17"/>
  <c r="B38" i="17"/>
  <c r="B26" i="17"/>
  <c r="N22" i="17"/>
  <c r="K22" i="17"/>
  <c r="J22" i="17"/>
  <c r="I22" i="17"/>
  <c r="N19" i="17"/>
  <c r="G19" i="17"/>
  <c r="F19" i="17"/>
  <c r="E19" i="17"/>
  <c r="D19" i="17"/>
  <c r="C19" i="17"/>
  <c r="B19" i="17"/>
  <c r="G18" i="17"/>
  <c r="F18" i="17"/>
  <c r="E18" i="17"/>
  <c r="D18" i="17"/>
  <c r="C18" i="17"/>
  <c r="B18" i="17"/>
  <c r="G17" i="17"/>
  <c r="F17" i="17"/>
  <c r="E17" i="17"/>
  <c r="N11" i="17"/>
  <c r="M11" i="17"/>
  <c r="L11" i="17"/>
  <c r="K11" i="17"/>
  <c r="J11" i="17"/>
  <c r="I11" i="17"/>
  <c r="H11" i="17"/>
  <c r="F11" i="17"/>
  <c r="D11" i="17"/>
  <c r="B11" i="17"/>
  <c r="N10" i="17"/>
  <c r="M10" i="17"/>
  <c r="N9" i="17"/>
  <c r="M9" i="17"/>
  <c r="N8" i="17"/>
  <c r="M8" i="17"/>
  <c r="H4" i="24"/>
  <c r="E4" i="24"/>
  <c r="A4" i="24"/>
  <c r="H3" i="24"/>
  <c r="E3" i="24"/>
  <c r="A3" i="24"/>
  <c r="N41" i="20"/>
  <c r="K41" i="20"/>
  <c r="J41" i="20"/>
  <c r="I41" i="20"/>
  <c r="N38" i="20"/>
  <c r="G38" i="20"/>
  <c r="F38" i="20"/>
  <c r="E38" i="20"/>
  <c r="D38" i="20"/>
  <c r="C38" i="20"/>
  <c r="B38" i="20"/>
  <c r="G37" i="20"/>
  <c r="F37" i="20"/>
  <c r="E37" i="20"/>
  <c r="D37" i="20"/>
  <c r="C37" i="20"/>
  <c r="B37" i="20"/>
  <c r="G36" i="20"/>
  <c r="B33" i="20"/>
  <c r="N32" i="20"/>
  <c r="K32" i="20"/>
  <c r="J32" i="20"/>
  <c r="I32" i="20"/>
  <c r="N29" i="20"/>
  <c r="G29" i="20"/>
  <c r="F29" i="20"/>
  <c r="E29" i="20"/>
  <c r="D29" i="20"/>
  <c r="C29" i="20"/>
  <c r="B29" i="20"/>
  <c r="G28" i="20"/>
  <c r="F28" i="20"/>
  <c r="E28" i="20"/>
  <c r="D28" i="20"/>
  <c r="C28" i="20"/>
  <c r="B28" i="20"/>
  <c r="G27" i="20"/>
  <c r="B24" i="20"/>
  <c r="N23" i="20"/>
  <c r="K23" i="20"/>
  <c r="J23" i="20"/>
  <c r="I23" i="20"/>
  <c r="N20" i="20"/>
  <c r="G20" i="20"/>
  <c r="F20" i="20"/>
  <c r="E20" i="20"/>
  <c r="D20" i="20"/>
  <c r="C20" i="20"/>
  <c r="B20" i="20"/>
  <c r="G19" i="20"/>
  <c r="F19" i="20"/>
  <c r="E19" i="20"/>
  <c r="D19" i="20"/>
  <c r="C19" i="20"/>
  <c r="G18" i="20"/>
  <c r="B15" i="20"/>
  <c r="N11" i="20"/>
  <c r="M11" i="20"/>
  <c r="L11" i="20"/>
  <c r="K11" i="20"/>
  <c r="J11" i="20"/>
  <c r="I11" i="20"/>
  <c r="H11" i="20"/>
  <c r="F11" i="20"/>
  <c r="D11" i="20"/>
  <c r="B11" i="20"/>
  <c r="N10" i="20"/>
  <c r="M10" i="20"/>
  <c r="N9" i="20"/>
  <c r="M9" i="20"/>
  <c r="N8" i="20"/>
  <c r="M8" i="20"/>
  <c r="J4" i="20"/>
  <c r="E4" i="20"/>
  <c r="K26" i="19"/>
  <c r="J26" i="19"/>
  <c r="I26" i="19"/>
  <c r="H26" i="19"/>
  <c r="G26" i="19"/>
  <c r="F26" i="19"/>
  <c r="E26" i="19"/>
  <c r="D26" i="19"/>
  <c r="C26" i="19"/>
  <c r="K25" i="19"/>
  <c r="J25" i="19"/>
  <c r="I25" i="19"/>
  <c r="H25" i="19"/>
  <c r="E25" i="19"/>
  <c r="K24" i="19"/>
  <c r="J24" i="19"/>
  <c r="I24" i="19"/>
  <c r="H24" i="19"/>
  <c r="E24" i="19"/>
  <c r="K23" i="19"/>
  <c r="J23" i="19"/>
  <c r="I23" i="19"/>
  <c r="H23" i="19"/>
  <c r="E23" i="19"/>
  <c r="K22" i="19"/>
  <c r="J22" i="19"/>
  <c r="I22" i="19"/>
  <c r="H22" i="19"/>
  <c r="E22" i="19"/>
  <c r="K21" i="19"/>
  <c r="J21" i="19"/>
  <c r="H21" i="19"/>
  <c r="E21" i="19"/>
  <c r="J17" i="19"/>
  <c r="I17" i="19"/>
  <c r="H17" i="19"/>
  <c r="G17" i="19"/>
  <c r="F17" i="19"/>
  <c r="E17" i="19"/>
  <c r="D17" i="19"/>
  <c r="C17" i="19"/>
  <c r="J16" i="19"/>
  <c r="I16" i="19"/>
  <c r="G16" i="19"/>
  <c r="F16" i="19"/>
  <c r="J15" i="19"/>
  <c r="I15" i="19"/>
  <c r="G15" i="19"/>
  <c r="F15" i="19"/>
  <c r="J14" i="19"/>
  <c r="I14" i="19"/>
  <c r="H14" i="19"/>
  <c r="G14" i="19"/>
  <c r="F14" i="19"/>
  <c r="H4" i="19"/>
  <c r="E4" i="19"/>
  <c r="A4" i="19"/>
  <c r="A4" i="20" s="1"/>
  <c r="H3" i="19"/>
  <c r="J3" i="20" s="1"/>
  <c r="E3" i="19"/>
  <c r="E3" i="20" s="1"/>
  <c r="A3" i="19"/>
  <c r="A3" i="20" s="1"/>
  <c r="I4" i="7"/>
  <c r="G4" i="7"/>
  <c r="A4" i="7"/>
  <c r="I3" i="7"/>
  <c r="G3" i="7"/>
  <c r="A3" i="7"/>
  <c r="K18" i="8"/>
  <c r="J18" i="8"/>
  <c r="H18" i="8"/>
  <c r="G18" i="8"/>
  <c r="C18" i="8"/>
  <c r="K17" i="8"/>
  <c r="J17" i="8"/>
  <c r="K16" i="8"/>
  <c r="J16" i="8"/>
  <c r="K15" i="8"/>
  <c r="J15" i="8"/>
  <c r="K14" i="8"/>
  <c r="J14" i="8"/>
  <c r="K13" i="8"/>
  <c r="J13" i="8"/>
  <c r="K12" i="8"/>
  <c r="J12" i="8"/>
  <c r="K11" i="8"/>
  <c r="J11" i="8"/>
  <c r="K10" i="8"/>
  <c r="J10" i="8"/>
  <c r="I4" i="8"/>
  <c r="E4" i="8"/>
  <c r="A4" i="8"/>
  <c r="I3" i="8"/>
  <c r="E3" i="8"/>
  <c r="A3" i="8"/>
  <c r="F4" i="27"/>
  <c r="D4" i="27"/>
  <c r="A4" i="27"/>
  <c r="F3" i="27"/>
  <c r="D3" i="27"/>
  <c r="A3" i="27"/>
  <c r="AD23" i="6"/>
  <c r="AC23" i="6"/>
  <c r="AB23" i="6"/>
  <c r="AA23" i="6"/>
  <c r="Z23" i="6"/>
  <c r="Y23" i="6"/>
  <c r="X23" i="6"/>
  <c r="V23" i="6"/>
  <c r="U23" i="6"/>
  <c r="T23" i="6"/>
  <c r="S23" i="6"/>
  <c r="R23" i="6"/>
  <c r="L23" i="6"/>
  <c r="K23" i="6"/>
  <c r="J23" i="6"/>
  <c r="M23" i="6" s="1"/>
  <c r="G23" i="6"/>
  <c r="I23" i="6" s="1"/>
  <c r="E23" i="6"/>
  <c r="AC22" i="6"/>
  <c r="AB22" i="6"/>
  <c r="AA22" i="6"/>
  <c r="AD22" i="6" s="1"/>
  <c r="W22" i="6"/>
  <c r="O22" i="6"/>
  <c r="D16" i="12" s="1"/>
  <c r="N22" i="6"/>
  <c r="C16" i="12" s="1"/>
  <c r="M22" i="6"/>
  <c r="I22" i="6"/>
  <c r="AC21" i="6"/>
  <c r="AB21" i="6"/>
  <c r="C27" i="12" s="1"/>
  <c r="AA21" i="6"/>
  <c r="W21" i="6"/>
  <c r="O21" i="6"/>
  <c r="P21" i="6" s="1"/>
  <c r="N21" i="6"/>
  <c r="M21" i="6"/>
  <c r="I21" i="6"/>
  <c r="AC20" i="6"/>
  <c r="AB20" i="6"/>
  <c r="AA20" i="6"/>
  <c r="B29" i="11" s="1"/>
  <c r="G29" i="11" s="1"/>
  <c r="W20" i="6"/>
  <c r="O20" i="6"/>
  <c r="D14" i="12" s="1"/>
  <c r="N20" i="6"/>
  <c r="M20" i="6"/>
  <c r="I20" i="6"/>
  <c r="AC19" i="6"/>
  <c r="D25" i="12" s="1"/>
  <c r="AB19" i="6"/>
  <c r="AA19" i="6"/>
  <c r="AD19" i="6" s="1"/>
  <c r="W19" i="6"/>
  <c r="O19" i="6"/>
  <c r="D13" i="12" s="1"/>
  <c r="N19" i="6"/>
  <c r="M19" i="6"/>
  <c r="I19" i="6"/>
  <c r="AC18" i="6"/>
  <c r="AB18" i="6"/>
  <c r="AA18" i="6"/>
  <c r="AD18" i="6" s="1"/>
  <c r="W18" i="6"/>
  <c r="O18" i="6"/>
  <c r="N18" i="6"/>
  <c r="C12" i="12" s="1"/>
  <c r="M18" i="6"/>
  <c r="I18" i="6"/>
  <c r="AC17" i="6"/>
  <c r="AB17" i="6"/>
  <c r="AA17" i="6"/>
  <c r="W17" i="6"/>
  <c r="P17" i="6"/>
  <c r="O17" i="6"/>
  <c r="N17" i="6"/>
  <c r="M17" i="6"/>
  <c r="I17" i="6"/>
  <c r="AC16" i="6"/>
  <c r="AB16" i="6"/>
  <c r="AA16" i="6"/>
  <c r="B22" i="12" s="1"/>
  <c r="W16" i="6"/>
  <c r="O16" i="6"/>
  <c r="N16" i="6"/>
  <c r="M16" i="6"/>
  <c r="B11" i="11" s="1"/>
  <c r="I16" i="6"/>
  <c r="AC15" i="6"/>
  <c r="D21" i="12" s="1"/>
  <c r="AB15" i="6"/>
  <c r="AA15" i="6"/>
  <c r="AD15" i="6" s="1"/>
  <c r="W15" i="6"/>
  <c r="O15" i="6"/>
  <c r="N15" i="6"/>
  <c r="M15" i="6"/>
  <c r="I15" i="6"/>
  <c r="AC14" i="6"/>
  <c r="AB14" i="6"/>
  <c r="AA14" i="6"/>
  <c r="AD14" i="6" s="1"/>
  <c r="W14" i="6"/>
  <c r="O14" i="6"/>
  <c r="N14" i="6"/>
  <c r="C8" i="12" s="1"/>
  <c r="M14" i="6"/>
  <c r="Z4" i="6"/>
  <c r="W4" i="6"/>
  <c r="Q4" i="6"/>
  <c r="L4" i="6"/>
  <c r="F4" i="6"/>
  <c r="A4" i="6"/>
  <c r="Z3" i="6"/>
  <c r="W3" i="6"/>
  <c r="Q3" i="6"/>
  <c r="L3" i="6"/>
  <c r="F3" i="6"/>
  <c r="A3" i="6"/>
  <c r="D28" i="12"/>
  <c r="C28" i="12"/>
  <c r="B28" i="12"/>
  <c r="D27" i="12"/>
  <c r="B27" i="12"/>
  <c r="D26" i="12"/>
  <c r="C26" i="12"/>
  <c r="C25" i="12"/>
  <c r="B25" i="12"/>
  <c r="D24" i="12"/>
  <c r="C24" i="12"/>
  <c r="B24" i="12"/>
  <c r="D23" i="12"/>
  <c r="B23" i="12"/>
  <c r="D22" i="12"/>
  <c r="C22" i="12"/>
  <c r="C21" i="12"/>
  <c r="D20" i="12"/>
  <c r="C20" i="12"/>
  <c r="B16" i="12"/>
  <c r="A16" i="12"/>
  <c r="A28" i="12" s="1"/>
  <c r="C15" i="12"/>
  <c r="B15" i="12"/>
  <c r="A15" i="12"/>
  <c r="A27" i="12" s="1"/>
  <c r="C14" i="12"/>
  <c r="A14" i="12"/>
  <c r="A26" i="12" s="1"/>
  <c r="C13" i="12"/>
  <c r="B13" i="12"/>
  <c r="A13" i="12"/>
  <c r="A25" i="12" s="1"/>
  <c r="D12" i="12"/>
  <c r="B12" i="12"/>
  <c r="A12" i="12"/>
  <c r="A24" i="12" s="1"/>
  <c r="D11" i="12"/>
  <c r="C11" i="12"/>
  <c r="B11" i="12"/>
  <c r="A11" i="12"/>
  <c r="A23" i="12" s="1"/>
  <c r="D10" i="12"/>
  <c r="C10" i="12"/>
  <c r="A10" i="12"/>
  <c r="A22" i="12" s="1"/>
  <c r="D9" i="12"/>
  <c r="C9" i="12"/>
  <c r="B9" i="12"/>
  <c r="A9" i="12"/>
  <c r="A21" i="12" s="1"/>
  <c r="D8" i="12"/>
  <c r="B8" i="12"/>
  <c r="A8" i="12"/>
  <c r="A20" i="12" s="1"/>
  <c r="E4" i="12"/>
  <c r="C4" i="12"/>
  <c r="A4" i="12"/>
  <c r="E3" i="12"/>
  <c r="C3" i="12"/>
  <c r="A3" i="12"/>
  <c r="F32" i="11"/>
  <c r="E32" i="11"/>
  <c r="D32" i="11"/>
  <c r="C32" i="11"/>
  <c r="B31" i="11"/>
  <c r="G31" i="11" s="1"/>
  <c r="B30" i="11"/>
  <c r="G30" i="11" s="1"/>
  <c r="B28" i="11"/>
  <c r="G28" i="11" s="1"/>
  <c r="B27" i="11"/>
  <c r="G27" i="11" s="1"/>
  <c r="B26" i="11"/>
  <c r="G26" i="11" s="1"/>
  <c r="G17" i="11"/>
  <c r="F17" i="11"/>
  <c r="E17" i="11"/>
  <c r="D17" i="11"/>
  <c r="C17" i="11"/>
  <c r="B17" i="11"/>
  <c r="A17" i="11"/>
  <c r="A31" i="11" s="1"/>
  <c r="G16" i="11"/>
  <c r="F16" i="11"/>
  <c r="E16" i="11"/>
  <c r="D16" i="11"/>
  <c r="C16" i="11"/>
  <c r="B16" i="11"/>
  <c r="A16" i="11"/>
  <c r="A30" i="11" s="1"/>
  <c r="G15" i="11"/>
  <c r="F15" i="11"/>
  <c r="E15" i="11"/>
  <c r="D15" i="11"/>
  <c r="C15" i="11"/>
  <c r="B15" i="11"/>
  <c r="A15" i="11"/>
  <c r="A29" i="11" s="1"/>
  <c r="G14" i="11"/>
  <c r="F14" i="11"/>
  <c r="E14" i="11"/>
  <c r="D14" i="11"/>
  <c r="C14" i="11"/>
  <c r="B14" i="11"/>
  <c r="A14" i="11"/>
  <c r="A28" i="11" s="1"/>
  <c r="G13" i="11"/>
  <c r="F13" i="11"/>
  <c r="E13" i="11"/>
  <c r="D13" i="11"/>
  <c r="C13" i="11"/>
  <c r="B13" i="11"/>
  <c r="A13" i="11"/>
  <c r="A27" i="11" s="1"/>
  <c r="G12" i="11"/>
  <c r="F12" i="11"/>
  <c r="E12" i="11"/>
  <c r="D12" i="11"/>
  <c r="C12" i="11"/>
  <c r="B12" i="11"/>
  <c r="A12" i="11"/>
  <c r="A26" i="11" s="1"/>
  <c r="G11" i="11"/>
  <c r="F11" i="11"/>
  <c r="E11" i="11"/>
  <c r="D11" i="11"/>
  <c r="C11" i="11"/>
  <c r="A11" i="11"/>
  <c r="A25" i="11" s="1"/>
  <c r="G10" i="11"/>
  <c r="F10" i="11"/>
  <c r="E10" i="11"/>
  <c r="D10" i="11"/>
  <c r="C10" i="11"/>
  <c r="B10" i="11"/>
  <c r="A10" i="11"/>
  <c r="A24" i="11" s="1"/>
  <c r="G9" i="11"/>
  <c r="F9" i="11"/>
  <c r="E9" i="11"/>
  <c r="D9" i="11"/>
  <c r="C9" i="11"/>
  <c r="B9" i="11"/>
  <c r="A9" i="11"/>
  <c r="A23" i="11" s="1"/>
  <c r="E4" i="11"/>
  <c r="C4" i="11"/>
  <c r="A4" i="11"/>
  <c r="E3" i="11"/>
  <c r="C3" i="11"/>
  <c r="A3" i="11"/>
  <c r="I27" i="5"/>
  <c r="H27" i="5"/>
  <c r="G27" i="5"/>
  <c r="E27" i="5"/>
  <c r="L27" i="5" s="1"/>
  <c r="D27" i="5"/>
  <c r="C27" i="5"/>
  <c r="I26" i="5"/>
  <c r="H26" i="5"/>
  <c r="G26" i="5"/>
  <c r="E26" i="5"/>
  <c r="D26" i="5"/>
  <c r="C26" i="5"/>
  <c r="J26" i="5" s="1"/>
  <c r="I25" i="5"/>
  <c r="H25" i="5"/>
  <c r="G25" i="5"/>
  <c r="E25" i="5"/>
  <c r="D25" i="5"/>
  <c r="C25" i="5"/>
  <c r="I24" i="5"/>
  <c r="H24" i="5"/>
  <c r="G24" i="5"/>
  <c r="E24" i="5"/>
  <c r="D24" i="5"/>
  <c r="C24" i="5"/>
  <c r="I23" i="5"/>
  <c r="H23" i="5"/>
  <c r="G23" i="5"/>
  <c r="E23" i="5"/>
  <c r="L23" i="5" s="1"/>
  <c r="D23" i="5"/>
  <c r="C23" i="5"/>
  <c r="I22" i="5"/>
  <c r="H22" i="5"/>
  <c r="G22" i="5"/>
  <c r="E22" i="5"/>
  <c r="D22" i="5"/>
  <c r="C22" i="5"/>
  <c r="I21" i="5"/>
  <c r="H21" i="5"/>
  <c r="G21" i="5"/>
  <c r="E21" i="5"/>
  <c r="D21" i="5"/>
  <c r="C21" i="5"/>
  <c r="I20" i="5"/>
  <c r="H20" i="5"/>
  <c r="G20" i="5"/>
  <c r="E20" i="5"/>
  <c r="D20" i="5"/>
  <c r="C20" i="5"/>
  <c r="I19" i="5"/>
  <c r="H19" i="5"/>
  <c r="G19" i="5"/>
  <c r="E19" i="5"/>
  <c r="L19" i="5" s="1"/>
  <c r="D19" i="5"/>
  <c r="C19" i="5"/>
  <c r="I16" i="5"/>
  <c r="I38" i="5" s="1"/>
  <c r="H16" i="5"/>
  <c r="G16" i="5"/>
  <c r="E16" i="5"/>
  <c r="D16" i="5"/>
  <c r="C16" i="5"/>
  <c r="J16" i="5" s="1"/>
  <c r="A16" i="5"/>
  <c r="A27" i="5" s="1"/>
  <c r="I15" i="5"/>
  <c r="H15" i="5"/>
  <c r="G15" i="5"/>
  <c r="G37" i="5" s="1"/>
  <c r="E15" i="5"/>
  <c r="D15" i="5"/>
  <c r="C15" i="5"/>
  <c r="A15" i="5"/>
  <c r="A37" i="5" s="1"/>
  <c r="I14" i="5"/>
  <c r="I36" i="5" s="1"/>
  <c r="H14" i="5"/>
  <c r="G14" i="5"/>
  <c r="G36" i="5" s="1"/>
  <c r="E14" i="5"/>
  <c r="D14" i="5"/>
  <c r="C14" i="5"/>
  <c r="A14" i="5"/>
  <c r="A25" i="5" s="1"/>
  <c r="K13" i="5"/>
  <c r="I13" i="5"/>
  <c r="H13" i="5"/>
  <c r="G13" i="5"/>
  <c r="E13" i="5"/>
  <c r="E35" i="5" s="1"/>
  <c r="D13" i="5"/>
  <c r="C13" i="5"/>
  <c r="A13" i="5"/>
  <c r="A35" i="5" s="1"/>
  <c r="I12" i="5"/>
  <c r="I34" i="5" s="1"/>
  <c r="H12" i="5"/>
  <c r="G12" i="5"/>
  <c r="E12" i="5"/>
  <c r="D12" i="5"/>
  <c r="C12" i="5"/>
  <c r="J12" i="5" s="1"/>
  <c r="A12" i="5"/>
  <c r="A23" i="5" s="1"/>
  <c r="I11" i="5"/>
  <c r="H11" i="5"/>
  <c r="G11" i="5"/>
  <c r="G33" i="5" s="1"/>
  <c r="E11" i="5"/>
  <c r="D11" i="5"/>
  <c r="C11" i="5"/>
  <c r="A11" i="5"/>
  <c r="A33" i="5" s="1"/>
  <c r="I10" i="5"/>
  <c r="H10" i="5"/>
  <c r="G10" i="5"/>
  <c r="E10" i="5"/>
  <c r="D10" i="5"/>
  <c r="C10" i="5"/>
  <c r="A10" i="5"/>
  <c r="A21" i="5" s="1"/>
  <c r="I9" i="5"/>
  <c r="H9" i="5"/>
  <c r="G9" i="5"/>
  <c r="E9" i="5"/>
  <c r="E31" i="5" s="1"/>
  <c r="D9" i="5"/>
  <c r="C9" i="5"/>
  <c r="A9" i="5"/>
  <c r="A31" i="5" s="1"/>
  <c r="I8" i="5"/>
  <c r="I30" i="5" s="1"/>
  <c r="H8" i="5"/>
  <c r="G8" i="5"/>
  <c r="E8" i="5"/>
  <c r="L8" i="5" s="1"/>
  <c r="D8" i="5"/>
  <c r="C8" i="5"/>
  <c r="A8" i="5"/>
  <c r="A19" i="5" s="1"/>
  <c r="I4" i="5"/>
  <c r="E4" i="5"/>
  <c r="A4" i="5"/>
  <c r="I3" i="5"/>
  <c r="E3" i="5"/>
  <c r="A3" i="5"/>
  <c r="E4" i="28"/>
  <c r="C4" i="28"/>
  <c r="A4" i="28"/>
  <c r="E3" i="28"/>
  <c r="C3" i="28"/>
  <c r="A3" i="28"/>
  <c r="G31" i="5" l="1"/>
  <c r="I32" i="5"/>
  <c r="D15" i="12"/>
  <c r="K11" i="5"/>
  <c r="E28" i="12"/>
  <c r="E22" i="12"/>
  <c r="AD17" i="6"/>
  <c r="O23" i="6"/>
  <c r="B23" i="11"/>
  <c r="B20" i="12"/>
  <c r="B24" i="11"/>
  <c r="G24" i="11" s="1"/>
  <c r="P15" i="6"/>
  <c r="J21" i="5"/>
  <c r="L22" i="5"/>
  <c r="J25" i="5"/>
  <c r="L26" i="5"/>
  <c r="P19" i="6"/>
  <c r="P20" i="6"/>
  <c r="N23" i="6"/>
  <c r="B21" i="12"/>
  <c r="P22" i="6"/>
  <c r="W23" i="6"/>
  <c r="D35" i="5"/>
  <c r="B25" i="11"/>
  <c r="G25" i="11" s="1"/>
  <c r="E25" i="12"/>
  <c r="E15" i="12"/>
  <c r="C23" i="12"/>
  <c r="C29" i="12" s="1"/>
  <c r="B26" i="12"/>
  <c r="E26" i="12" s="1"/>
  <c r="P14" i="6"/>
  <c r="P18" i="6"/>
  <c r="AD16" i="6"/>
  <c r="AD20" i="6"/>
  <c r="D31" i="5"/>
  <c r="B10" i="12"/>
  <c r="E10" i="12" s="1"/>
  <c r="B14" i="12"/>
  <c r="E14" i="12" s="1"/>
  <c r="AD21" i="6"/>
  <c r="G32" i="5"/>
  <c r="F22" i="5"/>
  <c r="P16" i="6"/>
  <c r="F15" i="5"/>
  <c r="G28" i="5"/>
  <c r="E27" i="12"/>
  <c r="H37" i="5"/>
  <c r="H11" i="11"/>
  <c r="H33" i="5"/>
  <c r="G18" i="11"/>
  <c r="H16" i="11"/>
  <c r="E16" i="12"/>
  <c r="K26" i="5"/>
  <c r="F13" i="5"/>
  <c r="E11" i="12"/>
  <c r="E13" i="12"/>
  <c r="K22" i="5"/>
  <c r="K33" i="5" s="1"/>
  <c r="H15" i="11"/>
  <c r="H14" i="11"/>
  <c r="E12" i="12"/>
  <c r="B18" i="11"/>
  <c r="H13" i="11"/>
  <c r="E24" i="12"/>
  <c r="F24" i="5"/>
  <c r="C18" i="11"/>
  <c r="H12" i="11"/>
  <c r="G23" i="11"/>
  <c r="C17" i="12"/>
  <c r="D29" i="12"/>
  <c r="D18" i="11"/>
  <c r="E18" i="11"/>
  <c r="H10" i="11"/>
  <c r="F18" i="11"/>
  <c r="H17" i="11"/>
  <c r="B17" i="12"/>
  <c r="D17" i="12"/>
  <c r="D37" i="5"/>
  <c r="E37" i="5"/>
  <c r="G38" i="5"/>
  <c r="E21" i="12"/>
  <c r="J10" i="5"/>
  <c r="D33" i="5"/>
  <c r="K12" i="5"/>
  <c r="L14" i="5"/>
  <c r="H38" i="5"/>
  <c r="J20" i="5"/>
  <c r="L21" i="5"/>
  <c r="L25" i="5"/>
  <c r="H28" i="5"/>
  <c r="E9" i="12"/>
  <c r="K10" i="5"/>
  <c r="E33" i="5"/>
  <c r="L12" i="5"/>
  <c r="L34" i="5" s="1"/>
  <c r="G35" i="5"/>
  <c r="K20" i="5"/>
  <c r="K24" i="5"/>
  <c r="K35" i="5" s="1"/>
  <c r="E8" i="12"/>
  <c r="H31" i="5"/>
  <c r="J8" i="5"/>
  <c r="G34" i="5"/>
  <c r="H35" i="5"/>
  <c r="J19" i="5"/>
  <c r="L20" i="5"/>
  <c r="J23" i="5"/>
  <c r="J34" i="5" s="1"/>
  <c r="L24" i="5"/>
  <c r="J27" i="5"/>
  <c r="J38" i="5" s="1"/>
  <c r="H9" i="11"/>
  <c r="K8" i="5"/>
  <c r="L10" i="5"/>
  <c r="H36" i="5"/>
  <c r="I37" i="5"/>
  <c r="I28" i="5"/>
  <c r="J22" i="5"/>
  <c r="J24" i="5"/>
  <c r="H34" i="5"/>
  <c r="I35" i="5"/>
  <c r="K15" i="5"/>
  <c r="D17" i="5"/>
  <c r="A20" i="5"/>
  <c r="A22" i="5"/>
  <c r="A24" i="5"/>
  <c r="A26" i="5"/>
  <c r="C28" i="5"/>
  <c r="G17" i="5"/>
  <c r="H32" i="5"/>
  <c r="I33" i="5"/>
  <c r="F20" i="5"/>
  <c r="F26" i="5"/>
  <c r="F37" i="5" s="1"/>
  <c r="E28" i="5"/>
  <c r="H17" i="5"/>
  <c r="K19" i="5"/>
  <c r="K21" i="5"/>
  <c r="K23" i="5"/>
  <c r="K25" i="5"/>
  <c r="M25" i="5" s="1"/>
  <c r="K27" i="5"/>
  <c r="I17" i="5"/>
  <c r="K9" i="5"/>
  <c r="J14" i="5"/>
  <c r="J36" i="5" s="1"/>
  <c r="K16" i="5"/>
  <c r="F11" i="5"/>
  <c r="K14" i="5"/>
  <c r="L16" i="5"/>
  <c r="L38" i="5" s="1"/>
  <c r="F19" i="5"/>
  <c r="F21" i="5"/>
  <c r="F23" i="5"/>
  <c r="F25" i="5"/>
  <c r="F27" i="5"/>
  <c r="I31" i="5"/>
  <c r="F9" i="5"/>
  <c r="L30" i="5"/>
  <c r="G30" i="5"/>
  <c r="G39" i="5" s="1"/>
  <c r="G41" i="5" s="1"/>
  <c r="C31" i="5"/>
  <c r="C33" i="5"/>
  <c r="C35" i="5"/>
  <c r="C37" i="5"/>
  <c r="F8" i="5"/>
  <c r="J9" i="5"/>
  <c r="F10" i="5"/>
  <c r="J11" i="5"/>
  <c r="F12" i="5"/>
  <c r="F34" i="5" s="1"/>
  <c r="J13" i="5"/>
  <c r="F14" i="5"/>
  <c r="J15" i="5"/>
  <c r="F16" i="5"/>
  <c r="C17" i="5"/>
  <c r="D28" i="5"/>
  <c r="H30" i="5"/>
  <c r="L9" i="5"/>
  <c r="L31" i="5" s="1"/>
  <c r="L11" i="5"/>
  <c r="L13" i="5"/>
  <c r="L15" i="5"/>
  <c r="E17" i="5"/>
  <c r="A30" i="5"/>
  <c r="A32" i="5"/>
  <c r="A34" i="5"/>
  <c r="A36" i="5"/>
  <c r="A38" i="5"/>
  <c r="C30" i="5"/>
  <c r="C32" i="5"/>
  <c r="C34" i="5"/>
  <c r="C36" i="5"/>
  <c r="C38" i="5"/>
  <c r="D30" i="5"/>
  <c r="D32" i="5"/>
  <c r="D34" i="5"/>
  <c r="D36" i="5"/>
  <c r="D38" i="5"/>
  <c r="E30" i="5"/>
  <c r="E32" i="5"/>
  <c r="E34" i="5"/>
  <c r="E36" i="5"/>
  <c r="E38" i="5"/>
  <c r="L33" i="5" l="1"/>
  <c r="M8" i="5"/>
  <c r="G32" i="11"/>
  <c r="M27" i="5"/>
  <c r="P23" i="6"/>
  <c r="F31" i="5"/>
  <c r="B29" i="12"/>
  <c r="L37" i="5"/>
  <c r="F33" i="5"/>
  <c r="M26" i="5"/>
  <c r="K17" i="5"/>
  <c r="J32" i="5"/>
  <c r="F35" i="5"/>
  <c r="J30" i="5"/>
  <c r="E20" i="12"/>
  <c r="E29" i="12" s="1"/>
  <c r="M19" i="5"/>
  <c r="M30" i="5" s="1"/>
  <c r="B32" i="11"/>
  <c r="E23" i="12"/>
  <c r="K34" i="5"/>
  <c r="I39" i="5"/>
  <c r="I41" i="5" s="1"/>
  <c r="K32" i="5"/>
  <c r="K37" i="5"/>
  <c r="M22" i="5"/>
  <c r="L28" i="5"/>
  <c r="E17" i="12"/>
  <c r="F32" i="5"/>
  <c r="K36" i="5"/>
  <c r="L32" i="5"/>
  <c r="H18" i="11"/>
  <c r="L35" i="5"/>
  <c r="K31" i="5"/>
  <c r="M20" i="5"/>
  <c r="M16" i="5"/>
  <c r="M10" i="5"/>
  <c r="K38" i="5"/>
  <c r="L36" i="5"/>
  <c r="M14" i="5"/>
  <c r="M36" i="5" s="1"/>
  <c r="M12" i="5"/>
  <c r="M34" i="5" s="1"/>
  <c r="J28" i="5"/>
  <c r="F28" i="5"/>
  <c r="M24" i="5"/>
  <c r="K28" i="5"/>
  <c r="M23" i="5"/>
  <c r="K30" i="5"/>
  <c r="M21" i="5"/>
  <c r="M32" i="5" s="1"/>
  <c r="H39" i="5"/>
  <c r="H41" i="5" s="1"/>
  <c r="F38" i="5"/>
  <c r="F36" i="5"/>
  <c r="L17" i="5"/>
  <c r="J33" i="5"/>
  <c r="M11" i="5"/>
  <c r="J31" i="5"/>
  <c r="M9" i="5"/>
  <c r="J35" i="5"/>
  <c r="M13" i="5"/>
  <c r="D39" i="5"/>
  <c r="D41" i="5" s="1"/>
  <c r="F30" i="5"/>
  <c r="F17" i="5"/>
  <c r="J37" i="5"/>
  <c r="M15" i="5"/>
  <c r="M37" i="5" s="1"/>
  <c r="E39" i="5"/>
  <c r="E41" i="5" s="1"/>
  <c r="C39" i="5"/>
  <c r="C41" i="5" s="1"/>
  <c r="J17" i="5"/>
  <c r="M38" i="5" l="1"/>
  <c r="M33" i="5"/>
  <c r="L39" i="5"/>
  <c r="L41" i="5" s="1"/>
  <c r="M35" i="5"/>
  <c r="J39" i="5"/>
  <c r="J41" i="5" s="1"/>
  <c r="K39" i="5"/>
  <c r="K41" i="5" s="1"/>
  <c r="M28" i="5"/>
  <c r="M31" i="5"/>
  <c r="F39" i="5"/>
  <c r="F41" i="5" s="1"/>
  <c r="M17" i="5"/>
  <c r="M39" i="5" l="1"/>
  <c r="M41" i="5" s="1"/>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何先琴</author>
  </authors>
  <commentList>
    <comment ref="D16" authorId="0" shapeId="0">
      <text>
        <r>
          <rPr>
            <b/>
            <sz val="9"/>
            <color indexed="81"/>
            <rFont val="宋体"/>
            <family val="3"/>
            <charset val="134"/>
          </rPr>
          <t>专业技术部:</t>
        </r>
        <r>
          <rPr>
            <sz val="9"/>
            <color indexed="81"/>
            <rFont val="宋体"/>
            <family val="3"/>
            <charset val="134"/>
          </rPr>
          <t xml:space="preserve">
根据《中国注册会计师审计准则问题解答第18号——识别和应对第三方配合实施财务舞弊》：如果预计未来现金流量依赖于在手订单，关注被审计单位是否可能在第三方配合下，以虚假订单支持高估的未来现金流量。</t>
        </r>
      </text>
    </comment>
  </commentList>
</comments>
</file>

<file path=xl/sharedStrings.xml><?xml version="1.0" encoding="utf-8"?>
<sst xmlns="http://schemas.openxmlformats.org/spreadsheetml/2006/main" count="1012" uniqueCount="666">
  <si>
    <t>底稿开列时，可先在以下单元格填写有关内容，以便其他底稿引用有关数据：</t>
  </si>
  <si>
    <r>
      <rPr>
        <b/>
        <sz val="12"/>
        <color indexed="8"/>
        <rFont val="宋体"/>
        <family val="3"/>
        <charset val="134"/>
      </rPr>
      <t>目录</t>
    </r>
  </si>
  <si>
    <r>
      <rPr>
        <b/>
        <sz val="10"/>
        <color indexed="8"/>
        <rFont val="宋体"/>
        <family val="3"/>
        <charset val="134"/>
      </rPr>
      <t>序号</t>
    </r>
  </si>
  <si>
    <t>内容</t>
  </si>
  <si>
    <r>
      <rPr>
        <b/>
        <sz val="10"/>
        <color indexed="8"/>
        <rFont val="宋体"/>
        <family val="3"/>
        <charset val="134"/>
      </rPr>
      <t>索引号</t>
    </r>
  </si>
  <si>
    <r>
      <rPr>
        <b/>
        <sz val="10"/>
        <color indexed="8"/>
        <rFont val="宋体"/>
        <family val="3"/>
        <charset val="134"/>
      </rPr>
      <t>备注</t>
    </r>
  </si>
  <si>
    <t>商誉实质性程序</t>
  </si>
  <si>
    <t>I3A</t>
  </si>
  <si>
    <t>I3-1</t>
  </si>
  <si>
    <t>商誉附注披露表（上市公司）</t>
  </si>
  <si>
    <t>商誉附注披露表（国有企业）</t>
  </si>
  <si>
    <t>商誉明细表</t>
  </si>
  <si>
    <t>I3-2</t>
  </si>
  <si>
    <t>调整分录汇总</t>
  </si>
  <si>
    <t>I3-3</t>
  </si>
  <si>
    <t>备选</t>
  </si>
  <si>
    <t>入账价值测算表</t>
  </si>
  <si>
    <t>I3-4</t>
  </si>
  <si>
    <t>商誉针对性检查表</t>
  </si>
  <si>
    <t>I3-5</t>
  </si>
  <si>
    <t>商誉减值准备测试表</t>
  </si>
  <si>
    <t>I3-6</t>
  </si>
  <si>
    <t>商誉减值准备测试表-可收回金额</t>
  </si>
  <si>
    <t>I3-7</t>
  </si>
  <si>
    <t>复核公司减值测试过程及结论</t>
  </si>
  <si>
    <t>I3-8</t>
  </si>
  <si>
    <r>
      <rPr>
        <sz val="10"/>
        <rFont val="宋体"/>
        <family val="3"/>
        <charset val="134"/>
      </rPr>
      <t>索引号：</t>
    </r>
  </si>
  <si>
    <r>
      <rPr>
        <sz val="10"/>
        <rFont val="宋体"/>
        <family val="3"/>
        <charset val="134"/>
      </rPr>
      <t>页</t>
    </r>
    <r>
      <rPr>
        <sz val="10"/>
        <rFont val="Arial Narrow"/>
        <family val="2"/>
      </rPr>
      <t xml:space="preserve">    </t>
    </r>
    <r>
      <rPr>
        <sz val="10"/>
        <rFont val="宋体"/>
        <family val="3"/>
        <charset val="134"/>
      </rPr>
      <t>次：</t>
    </r>
  </si>
  <si>
    <t>一、本账户涉及的科目</t>
  </si>
  <si>
    <t>商誉</t>
  </si>
  <si>
    <t>二、审计目标与认定的对应关系</t>
  </si>
  <si>
    <t>审计目标</t>
  </si>
  <si>
    <t>财务报表的认定　</t>
  </si>
  <si>
    <r>
      <rPr>
        <sz val="10"/>
        <rFont val="Arial"/>
        <family val="2"/>
      </rPr>
      <t xml:space="preserve">A. </t>
    </r>
    <r>
      <rPr>
        <sz val="10"/>
        <rFont val="宋体"/>
        <family val="3"/>
        <charset val="134"/>
      </rPr>
      <t>资产负债表中记录的商誉是存在的，且已经记录在恰当的账户中</t>
    </r>
  </si>
  <si>
    <t>存在</t>
  </si>
  <si>
    <r>
      <rPr>
        <sz val="10"/>
        <rFont val="Arial"/>
        <family val="2"/>
      </rPr>
      <t xml:space="preserve">B. </t>
    </r>
    <r>
      <rPr>
        <sz val="10"/>
        <rFont val="宋体"/>
        <family val="3"/>
        <charset val="134"/>
      </rPr>
      <t>所有应记录的商誉均已记录，所有应当包括在财务报表中的相关披露均已包括</t>
    </r>
  </si>
  <si>
    <t>完整性</t>
  </si>
  <si>
    <r>
      <rPr>
        <sz val="10"/>
        <rFont val="Arial"/>
        <family val="2"/>
      </rPr>
      <t xml:space="preserve">C. </t>
    </r>
    <r>
      <rPr>
        <sz val="10"/>
        <rFont val="宋体"/>
        <family val="3"/>
        <charset val="134"/>
      </rPr>
      <t>记录的商誉由被审计单位拥有或控制</t>
    </r>
  </si>
  <si>
    <t>权利和义务</t>
  </si>
  <si>
    <r>
      <rPr>
        <sz val="10"/>
        <rFont val="Arial"/>
        <family val="2"/>
      </rPr>
      <t xml:space="preserve">D. </t>
    </r>
    <r>
      <rPr>
        <sz val="10"/>
        <rFont val="宋体"/>
        <family val="3"/>
        <charset val="134"/>
      </rPr>
      <t>商誉以恰当的金额包括在财务报表中，与之相关的计价或分摊调整已恰当记录，相关披露已得到恰当计量和描述</t>
    </r>
    <r>
      <rPr>
        <sz val="10"/>
        <rFont val="Arial"/>
        <family val="2"/>
      </rPr>
      <t xml:space="preserve"> </t>
    </r>
  </si>
  <si>
    <t>准确性、计价和分摊</t>
  </si>
  <si>
    <r>
      <rPr>
        <sz val="10"/>
        <rFont val="Arial"/>
        <family val="2"/>
      </rPr>
      <t xml:space="preserve">E. </t>
    </r>
    <r>
      <rPr>
        <sz val="10"/>
        <rFont val="宋体"/>
        <family val="3"/>
        <charset val="134"/>
      </rPr>
      <t>商誉已被恰当地汇总或分解且表述清楚，相关披露在按照企业会计准则的编制基础下是相关的、可理解的</t>
    </r>
  </si>
  <si>
    <t>列报</t>
  </si>
  <si>
    <t>序号</t>
  </si>
  <si>
    <t>程序分类</t>
  </si>
  <si>
    <t>财务报表的认定</t>
  </si>
  <si>
    <t>底稿索引号</t>
  </si>
  <si>
    <t>权利和
义务</t>
  </si>
  <si>
    <t>1</t>
  </si>
  <si>
    <t>获取或编制应付账款的明细表，复核加计是否正确，与总账、明细账合计数核对是否相符，期初余额与上期审定期末余额是否相符，并编制审定表。</t>
  </si>
  <si>
    <t>常规★</t>
  </si>
  <si>
    <t>√</t>
  </si>
  <si>
    <t>2</t>
  </si>
  <si>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</si>
  <si>
    <t>T1</t>
  </si>
  <si>
    <r>
      <rPr>
        <sz val="10"/>
        <color indexed="12"/>
        <rFont val="宋体"/>
        <family val="3"/>
        <charset val="134"/>
      </rPr>
      <t>可参见《审计手册》</t>
    </r>
    <r>
      <rPr>
        <sz val="10"/>
        <color indexed="12"/>
        <rFont val="Arial Narrow"/>
        <family val="2"/>
      </rPr>
      <t>4.2.6</t>
    </r>
    <r>
      <rPr>
        <sz val="10"/>
        <color indexed="12"/>
        <rFont val="宋体"/>
        <family val="3"/>
        <charset val="134"/>
      </rPr>
      <t xml:space="preserve">，由被审计单位生成的信息可能是由系统生成的、或手工编制的、或二者兼而有之的方式生成的。例如，由被审计单位生成的信息可能包括：
</t>
    </r>
    <r>
      <rPr>
        <sz val="10"/>
        <color indexed="12"/>
        <rFont val="Arial Narrow"/>
        <family val="2"/>
      </rPr>
      <t xml:space="preserve">• </t>
    </r>
    <r>
      <rPr>
        <sz val="10"/>
        <color indexed="12"/>
        <rFont val="宋体"/>
        <family val="3"/>
        <charset val="134"/>
      </rPr>
      <t xml:space="preserve">不涉及自定义的、由系统生成的报告（如，固定格式报告）；
</t>
    </r>
    <r>
      <rPr>
        <sz val="10"/>
        <color indexed="12"/>
        <rFont val="Arial Narrow"/>
        <family val="2"/>
      </rPr>
      <t xml:space="preserve">• </t>
    </r>
    <r>
      <rPr>
        <sz val="10"/>
        <color indexed="12"/>
        <rFont val="宋体"/>
        <family val="3"/>
        <charset val="134"/>
      </rPr>
      <t xml:space="preserve">可能通过人工自定义的、由系统生成的报告，例如，（计算机）查询信息或特别定制的报告；
</t>
    </r>
    <r>
      <rPr>
        <sz val="10"/>
        <color indexed="12"/>
        <rFont val="Arial Narrow"/>
        <family val="2"/>
      </rPr>
      <t xml:space="preserve">• </t>
    </r>
    <r>
      <rPr>
        <sz val="10"/>
        <color indexed="12"/>
        <rFont val="宋体"/>
        <family val="3"/>
        <charset val="134"/>
      </rPr>
      <t xml:space="preserve">手工编制的信息，例如，汇总信息的电子表格或用以支持分配、计算以及调节的电子表格；
</t>
    </r>
    <r>
      <rPr>
        <sz val="10"/>
        <color indexed="12"/>
        <rFont val="Arial Narrow"/>
        <family val="2"/>
      </rPr>
      <t xml:space="preserve">• </t>
    </r>
    <r>
      <rPr>
        <sz val="10"/>
        <color indexed="12"/>
        <rFont val="宋体"/>
        <family val="3"/>
        <charset val="134"/>
      </rPr>
      <t xml:space="preserve">其他系统生成或手工编制的信息，例如，由被审计单位编制的客户发票；
</t>
    </r>
    <r>
      <rPr>
        <sz val="10"/>
        <color indexed="12"/>
        <rFont val="Arial Narrow"/>
        <family val="2"/>
      </rPr>
      <t xml:space="preserve">• </t>
    </r>
    <r>
      <rPr>
        <sz val="10"/>
        <color indexed="12"/>
        <rFont val="宋体"/>
        <family val="3"/>
        <charset val="134"/>
      </rPr>
      <t>通过影印、拍摄、扫描或其他方式转换成电子形式的文件记录。</t>
    </r>
  </si>
  <si>
    <t>3</t>
  </si>
  <si>
    <r>
      <rPr>
        <sz val="10"/>
        <color indexed="12"/>
        <rFont val="宋体"/>
        <family val="3"/>
        <charset val="134"/>
      </rPr>
      <t xml:space="preserve">由被审计单位生成的信息不包括：
</t>
    </r>
    <r>
      <rPr>
        <sz val="10"/>
        <color indexed="12"/>
        <rFont val="Arial Narrow"/>
        <family val="2"/>
      </rPr>
      <t xml:space="preserve">• </t>
    </r>
    <r>
      <rPr>
        <sz val="10"/>
        <color indexed="12"/>
        <rFont val="宋体"/>
        <family val="3"/>
        <charset val="134"/>
      </rPr>
      <t xml:space="preserve">总分类账或明细分类账、试算平衡表、或经审计的财务报表；
</t>
    </r>
    <r>
      <rPr>
        <sz val="10"/>
        <color indexed="12"/>
        <rFont val="Arial Narrow"/>
        <family val="2"/>
      </rPr>
      <t xml:space="preserve">• </t>
    </r>
    <r>
      <rPr>
        <sz val="10"/>
        <color indexed="12"/>
        <rFont val="宋体"/>
        <family val="3"/>
        <charset val="134"/>
      </rPr>
      <t xml:space="preserve">第三方（除了服务机构）的报表或报告，例如，原始银行对账单，或函证的回函；
</t>
    </r>
    <r>
      <rPr>
        <sz val="10"/>
        <color indexed="12"/>
        <rFont val="Arial Narrow"/>
        <family val="2"/>
      </rPr>
      <t xml:space="preserve">• </t>
    </r>
    <r>
      <rPr>
        <sz val="10"/>
        <color indexed="12"/>
        <rFont val="宋体"/>
        <family val="3"/>
        <charset val="134"/>
      </rPr>
      <t>外部数据（例如，第三方发布的数据，如，定价来源）。</t>
    </r>
  </si>
  <si>
    <t>4</t>
  </si>
  <si>
    <t>5</t>
  </si>
  <si>
    <t>6</t>
  </si>
  <si>
    <t>7</t>
  </si>
  <si>
    <t>检查商誉是否已按企业会计准则或其他适用的规定在财务报表中做出恰当列报和披露。</t>
  </si>
  <si>
    <r>
      <rPr>
        <b/>
        <sz val="10"/>
        <rFont val="宋体"/>
        <family val="3"/>
        <charset val="134"/>
      </rPr>
      <t>索引号</t>
    </r>
  </si>
  <si>
    <r>
      <rPr>
        <b/>
        <sz val="10"/>
        <rFont val="宋体"/>
        <family val="3"/>
        <charset val="134"/>
      </rPr>
      <t>序号</t>
    </r>
  </si>
  <si>
    <t>致同会计师事务所</t>
  </si>
  <si>
    <t>商誉审定表</t>
  </si>
  <si>
    <r>
      <rPr>
        <sz val="10"/>
        <color indexed="8"/>
        <rFont val="宋体"/>
        <family val="3"/>
        <charset val="134"/>
      </rPr>
      <t>索引号：</t>
    </r>
  </si>
  <si>
    <t>页次：</t>
  </si>
  <si>
    <t>账项调整</t>
  </si>
  <si>
    <r>
      <rPr>
        <b/>
        <sz val="10"/>
        <color indexed="8"/>
        <rFont val="宋体"/>
        <family val="3"/>
        <charset val="134"/>
      </rPr>
      <t>期初数</t>
    </r>
  </si>
  <si>
    <r>
      <rPr>
        <b/>
        <sz val="10"/>
        <color indexed="8"/>
        <rFont val="宋体"/>
        <family val="3"/>
        <charset val="134"/>
      </rPr>
      <t>本期增加</t>
    </r>
  </si>
  <si>
    <r>
      <rPr>
        <b/>
        <sz val="10"/>
        <color indexed="8"/>
        <rFont val="宋体"/>
        <family val="3"/>
        <charset val="134"/>
      </rPr>
      <t>本期减少</t>
    </r>
  </si>
  <si>
    <t>差异</t>
  </si>
  <si>
    <r>
      <rPr>
        <b/>
        <sz val="10"/>
        <color indexed="8"/>
        <rFont val="Arial Narrow"/>
        <family val="2"/>
      </rPr>
      <t>1</t>
    </r>
    <r>
      <rPr>
        <b/>
        <sz val="10"/>
        <color indexed="8"/>
        <rFont val="宋体"/>
        <family val="3"/>
        <charset val="134"/>
      </rPr>
      <t>、审计说明</t>
    </r>
  </si>
  <si>
    <r>
      <rPr>
        <b/>
        <sz val="10"/>
        <color indexed="8"/>
        <rFont val="Arial Narrow"/>
        <family val="2"/>
      </rPr>
      <t>2</t>
    </r>
    <r>
      <rPr>
        <b/>
        <sz val="10"/>
        <color indexed="8"/>
        <rFont val="宋体"/>
        <family val="3"/>
        <charset val="134"/>
      </rPr>
      <t>、审计结论：</t>
    </r>
  </si>
  <si>
    <r>
      <rPr>
        <sz val="10"/>
        <color indexed="8"/>
        <rFont val="宋体"/>
        <family val="3"/>
        <charset val="134"/>
      </rPr>
      <t>未见异常，可以确认。</t>
    </r>
  </si>
  <si>
    <r>
      <rPr>
        <sz val="10"/>
        <color indexed="8"/>
        <rFont val="宋体"/>
        <family val="3"/>
        <charset val="134"/>
      </rPr>
      <t>经审计调整后可确认。</t>
    </r>
  </si>
  <si>
    <r>
      <rPr>
        <sz val="10"/>
        <color indexed="8"/>
        <rFont val="宋体"/>
        <family val="3"/>
        <charset val="134"/>
      </rPr>
      <t>由于存在上述重大未调整事项（或审计范围受到限制无法获取充分、适当证据），不可确认。</t>
    </r>
  </si>
  <si>
    <r>
      <rPr>
        <sz val="10"/>
        <color rgb="FF3333FF"/>
        <rFont val="Arial Narrow"/>
        <family val="2"/>
      </rPr>
      <t>1</t>
    </r>
    <r>
      <rPr>
        <b/>
        <sz val="10"/>
        <color indexed="8"/>
        <rFont val="宋体"/>
        <family val="3"/>
        <charset val="134"/>
      </rPr>
      <t>、重大事项说明</t>
    </r>
    <r>
      <rPr>
        <b/>
        <sz val="10"/>
        <color rgb="FF3333FF"/>
        <rFont val="宋体"/>
        <family val="3"/>
        <charset val="134"/>
      </rPr>
      <t>（如适用，根据</t>
    </r>
    <r>
      <rPr>
        <b/>
        <sz val="10"/>
        <color rgb="FF3333FF"/>
        <rFont val="Arial Narrow"/>
        <family val="2"/>
      </rPr>
      <t>1131</t>
    </r>
    <r>
      <rPr>
        <b/>
        <sz val="10"/>
        <color rgb="FF3333FF"/>
        <rFont val="宋体"/>
        <family val="3"/>
        <charset val="134"/>
      </rPr>
      <t>号等审计准则和指南的要求编制，说明涉及事项内容、应对措施、审计结论或解决方法，以及可能对审计报告的影响）</t>
    </r>
  </si>
  <si>
    <r>
      <rPr>
        <sz val="10"/>
        <color rgb="FF3333FF"/>
        <rFont val="Arial Narrow"/>
        <family val="2"/>
      </rPr>
      <t>A</t>
    </r>
    <r>
      <rPr>
        <sz val="10"/>
        <color rgb="FF3333FF"/>
        <rFont val="宋体"/>
        <family val="3"/>
        <charset val="134"/>
      </rPr>
      <t>、风险评估结果和内控了解、测试情况（不适用则说明：不存在重大错报风险。</t>
    </r>
    <r>
      <rPr>
        <sz val="10"/>
        <color rgb="FF3333FF"/>
        <rFont val="Arial Narrow"/>
        <family val="2"/>
      </rPr>
      <t>)</t>
    </r>
  </si>
  <si>
    <t>(识别和实际评估的重大错报风险、尤其识特别风险，以及对内控了解和控制测试情况〔采用综合方案时〕）；</t>
  </si>
  <si>
    <r>
      <rPr>
        <sz val="10"/>
        <color rgb="FF3333FF"/>
        <rFont val="宋体"/>
        <family val="3"/>
        <charset val="134"/>
      </rPr>
      <t>（提示：</t>
    </r>
    <r>
      <rPr>
        <sz val="10"/>
        <color rgb="FF3333FF"/>
        <rFont val="Arial Narrow"/>
        <family val="2"/>
      </rPr>
      <t>a</t>
    </r>
    <r>
      <rPr>
        <sz val="10"/>
        <color rgb="FF3333FF"/>
        <rFont val="宋体"/>
        <family val="3"/>
        <charset val="134"/>
      </rPr>
      <t>、收入科目应当假定存在舞弊的特别风险，如不存在，应说明理由）</t>
    </r>
  </si>
  <si>
    <t>b、涉及特别风险时，应当重点说明有关事项、应当措施、结果〔可索引有关底稿〕。特别风险涉及的事项包括但不限于：(1)舞弊风险（如1141准则的示例）；(2)重大非常规交易（如企业购并、债务重组、非货币性资产交换、重大或有事项、持续经营、违反法律法规等）；(3)重大关联交易；(4)重大判断事项（如重大会计估计、会计政策及其变更）；(5)重大复杂交易；(6)仅通过实质性程序无法应对的重大错报风险（如日常交易采用高度自动化处理）等等）)</t>
  </si>
  <si>
    <r>
      <rPr>
        <sz val="10"/>
        <color rgb="FF3333FF"/>
        <rFont val="Arial Narrow"/>
        <family val="2"/>
      </rPr>
      <t>B</t>
    </r>
    <r>
      <rPr>
        <sz val="10"/>
        <color rgb="FF3333FF"/>
        <rFont val="宋体"/>
        <family val="3"/>
        <charset val="134"/>
      </rPr>
      <t>、发现的重大不符事项（如适用）</t>
    </r>
  </si>
  <si>
    <r>
      <rPr>
        <sz val="10"/>
        <color rgb="FF3333FF"/>
        <rFont val="宋体"/>
        <family val="3"/>
        <charset val="134"/>
      </rPr>
      <t>（按调整事项，逐笔概述调整原因及对本科目的调整金额，并说明相关底稿的索引号〔即具体事项内容和调整分录，见经索引的本科目或相关科目的检查表或测算表〕）；</t>
    </r>
  </si>
  <si>
    <t>商誉附注披露（上市公司）</t>
  </si>
  <si>
    <t>（1）商誉账面原值</t>
  </si>
  <si>
    <t>被投资单位名称或形成商誉的事项</t>
  </si>
  <si>
    <t>期初余额</t>
  </si>
  <si>
    <t>本期增加</t>
  </si>
  <si>
    <t>本期减少</t>
  </si>
  <si>
    <t>期末余额</t>
  </si>
  <si>
    <t>企业合并形成</t>
  </si>
  <si>
    <t>取得构成业务的共同经营的利益份额形成</t>
  </si>
  <si>
    <t>其他</t>
  </si>
  <si>
    <t>处置</t>
  </si>
  <si>
    <t>合  计</t>
  </si>
  <si>
    <t>（提示：其他增减变动原因包括境外子公司汇率变化的影响等）</t>
  </si>
  <si>
    <t>（2）商誉减值准备</t>
  </si>
  <si>
    <t>计提</t>
  </si>
  <si>
    <t>其他增加</t>
  </si>
  <si>
    <t>其他减少</t>
  </si>
  <si>
    <t>（公司应披露商誉减值测试过程、参数及商誉减值损失的确认方法，包括但不限于以下内容：
1.商誉所属资产组或资产组组合的构成,所属经营分部和依据，以及是否与以前年度保持一致。资产组或资产组组合发生变化的，应披露变化前后的构成，以及导致变化的客观事实及依据。
2.可收回金额的具体确定方法。可收回金额按公允价值减去处置费用后的净额确定的，应披露公允价值和处置费用的确定方式、关键参数及其确定依据；若可收回金额按预计未来现金流量的现值确定的，应披露预测期的年限及预测期内的收入增长率、利润率等参数及其确定依据，以及稳定期增长率、利润率、折现率等参数及其确定依据。前述信息与以前年度减值测试采用的信息或外部信息明显不一致的，或公司以前年度减值测试采用信息与当年实际情况明显不一致的，应披露差异原因。
3.形成商誉时存在业绩承诺，且报告期或报告期上一期间处于业绩承诺期内的，应披露业绩承诺完成情况，以及报告期或报告期上一期间商誉减值情况。（15号文第十九条（二十））</t>
  </si>
  <si>
    <t>说明：商誉所在资产组或资产组组合的相关信息</t>
  </si>
  <si>
    <t>【提示：会计监管风险提示第8号要求，应充分披露商誉所在资产组或资产组组合的相关信息，包括该资产组或资产组组合的构成、账面金额、确定方法，并明确说明该资产组或资产组组合是否与购买日、以前年度商誉减值测试时所确定的资产组或资产组组合一致。如果资产组或资产组组合的构成发生变化，应在披露前后会计期间资产组或资产组组合构成的同时，充分披露导致其变化的主要事实与依据。】</t>
  </si>
  <si>
    <t>说明：（商誉减值测试过程、参数及商誉减值损失的确认方法）</t>
  </si>
  <si>
    <t>本公司采用预计未来现金流现值的方法计算资产组的可收回金额。本公司根据管理层批准的财务预算预计未来5年内现金流量，其后年度采用的现金流量增长率预计为XX%（上期：XX%），不会超过资产组经营业务的长期平均增长率。管理层根据过往表现及其对市场发展的预期编制上述财务预算。计算未来现金流现值所采用的税前折现率为XX%（上期：XX%），已反映了相对于有关分部的风险。根据减值测试的结果，本期期末商誉未发生减值（上期期末：无）。【或：本期期末对商誉计提减值准备XX元（上期期末：XX元）。】</t>
  </si>
  <si>
    <t>【提示：会计监管风险提示第8号要求，详细披露商誉减值测试的过程与方法，包括但不限于可收回金额的确定方法、重要假设及其合理理由、关键参数（如预计未来现金流量现值时的预测期增长率、稳定期增长率、利润率、折现率、预测期等）及其确定依据等信息。如果前述信息与形成商誉时或以前年度商誉减值测试时的信息、公司历史经验或外部信息明显不一致，还应披露存在的差异及其原因。】</t>
  </si>
  <si>
    <t>说明：（商誉减值测试的影响）</t>
  </si>
  <si>
    <t>【提示：会计监管风险提示第8号要求，形成商誉时的并购重组相关方有业绩承诺的，应充分披露业绩承诺的完成情况及其对商誉减值测试的影响。】</t>
  </si>
  <si>
    <t>【提示：当商誉源自多个不同资产组或资产组组合时，应分别披露前述信息；当公司基于资产评估机构的评估结果进行商誉减值测试时，应在披露评估结果的同时，充分披露前述信息；当商誉金额重大时，无论商誉是否存在减值，均应详细披露前述信息。】</t>
  </si>
  <si>
    <t>商誉附注披露（国有企业）</t>
  </si>
  <si>
    <t xml:space="preserve"> （1）商誉账面价值 </t>
  </si>
  <si>
    <t xml:space="preserve"> 被投资单位名称或形成商誉的事项 </t>
  </si>
  <si>
    <t xml:space="preserve"> 期初余额 </t>
  </si>
  <si>
    <t xml:space="preserve"> 本期增加 </t>
  </si>
  <si>
    <t xml:space="preserve"> 本期减少 </t>
  </si>
  <si>
    <t xml:space="preserve"> 期末余额 </t>
  </si>
  <si>
    <t xml:space="preserve"> 合  计 </t>
  </si>
  <si>
    <t xml:space="preserve"> （2）商誉减值准备 </t>
  </si>
  <si>
    <r>
      <rPr>
        <sz val="10"/>
        <color indexed="8"/>
        <rFont val="宋体"/>
        <family val="3"/>
        <charset val="134"/>
        <scheme val="minor"/>
      </rPr>
      <t>说明：</t>
    </r>
    <r>
      <rPr>
        <sz val="10"/>
        <color indexed="12"/>
        <rFont val="宋体"/>
        <family val="3"/>
        <charset val="134"/>
        <scheme val="minor"/>
      </rPr>
      <t>（商誉的减值测试方法和减值准备计提方法，详细说明减值原因、减值金额确认依据。）</t>
    </r>
  </si>
  <si>
    <r>
      <rPr>
        <sz val="10"/>
        <color rgb="FF0000FF"/>
        <rFont val="宋体"/>
        <family val="3"/>
        <charset val="134"/>
        <scheme val="minor"/>
      </rPr>
      <t>本公</t>
    </r>
    <r>
      <rPr>
        <sz val="10"/>
        <color indexed="12"/>
        <rFont val="宋体"/>
        <family val="3"/>
        <charset val="134"/>
        <scheme val="minor"/>
      </rPr>
      <t>司采用预计未来现金流现值的方法计算资产组的可收回金额。本公司根据管理层批准的财务预算预计未来5年内现金流量，其后年度采用的现金流量增长率预计为XX%（上期：XX%），不会超过资产组经营业务的长期平均增长率。管理层根据过往表现及其对市场发展的预期编制上述财务预算。计算未来现金流现值所采用的税前折现率为XX%（上期：XX%），已反映了相对于有关分部的风险。根据减值测试的结果，本期期末商誉未发生减值（上期期末：无）。【或：本期期末对商誉计提减值准备XX元（上期期末：XX元）。】</t>
    </r>
  </si>
  <si>
    <t>商誉明细表（原值）</t>
  </si>
  <si>
    <t>商誉明细表（减值准备）</t>
  </si>
  <si>
    <r>
      <rPr>
        <b/>
        <sz val="10"/>
        <color indexed="8"/>
        <rFont val="宋体"/>
        <family val="3"/>
        <charset val="134"/>
      </rPr>
      <t>一、审计目标</t>
    </r>
    <r>
      <rPr>
        <b/>
        <sz val="10"/>
        <color indexed="8"/>
        <rFont val="Arial Narrow"/>
        <family val="2"/>
      </rPr>
      <t>:</t>
    </r>
  </si>
  <si>
    <r>
      <rPr>
        <sz val="10"/>
        <rFont val="Arial Narrow"/>
        <family val="2"/>
      </rPr>
      <t xml:space="preserve">1. </t>
    </r>
    <r>
      <rPr>
        <sz val="10"/>
        <rFont val="宋体"/>
        <family val="3"/>
        <charset val="134"/>
      </rPr>
      <t>资产负债表中记录的商誉是存在的，且已经记录在恰当的账户中；</t>
    </r>
  </si>
  <si>
    <r>
      <rPr>
        <sz val="10"/>
        <rFont val="Arial Narrow"/>
        <family val="2"/>
      </rPr>
      <t xml:space="preserve">2. </t>
    </r>
    <r>
      <rPr>
        <sz val="10"/>
        <rFont val="宋体"/>
        <family val="3"/>
        <charset val="134"/>
      </rPr>
      <t>所有应记录的商誉均已记录，所有应当包括在财务报表中的相关披露均已包括；</t>
    </r>
  </si>
  <si>
    <r>
      <rPr>
        <sz val="10"/>
        <rFont val="Arial Narrow"/>
        <family val="2"/>
      </rPr>
      <t xml:space="preserve">3. </t>
    </r>
    <r>
      <rPr>
        <sz val="10"/>
        <rFont val="宋体"/>
        <family val="3"/>
        <charset val="134"/>
      </rPr>
      <t>商誉以恰当的金额包括在财务报表中，与之相关的计价或分摊调整已恰当记录，相关披露已得到恰当计量和描述</t>
    </r>
    <r>
      <rPr>
        <sz val="10"/>
        <rFont val="Arial Narrow"/>
        <family val="2"/>
      </rPr>
      <t xml:space="preserve"> </t>
    </r>
  </si>
  <si>
    <t>二、审计过程：</t>
  </si>
  <si>
    <t>商誉原值</t>
  </si>
  <si>
    <t>减值准备</t>
  </si>
  <si>
    <r>
      <rPr>
        <b/>
        <sz val="10"/>
        <color indexed="8"/>
        <rFont val="宋体"/>
        <family val="3"/>
        <charset val="134"/>
      </rPr>
      <t>发生日期</t>
    </r>
  </si>
  <si>
    <t>未审数</t>
  </si>
  <si>
    <t>期初调整</t>
  </si>
  <si>
    <t>审定数</t>
  </si>
  <si>
    <t>期末数</t>
  </si>
  <si>
    <t>金额</t>
  </si>
  <si>
    <t>增加方式</t>
  </si>
  <si>
    <t>减少方式</t>
  </si>
  <si>
    <t>本期计提</t>
  </si>
  <si>
    <r>
      <rPr>
        <b/>
        <sz val="10"/>
        <color indexed="8"/>
        <rFont val="宋体"/>
        <family val="3"/>
        <charset val="134"/>
      </rPr>
      <t>其他增加</t>
    </r>
  </si>
  <si>
    <t>合计</t>
  </si>
  <si>
    <t>三、审计说明：</t>
  </si>
  <si>
    <t>四、审计结论：</t>
  </si>
  <si>
    <r>
      <rPr>
        <sz val="10"/>
        <color rgb="FF3333FF"/>
        <rFont val="宋体"/>
        <family val="3"/>
        <charset val="134"/>
      </rPr>
      <t>编制说明：</t>
    </r>
  </si>
  <si>
    <r>
      <rPr>
        <sz val="10"/>
        <color rgb="FF3333FF"/>
        <rFont val="Arial Narrow"/>
        <family val="2"/>
      </rPr>
      <t>1</t>
    </r>
    <r>
      <rPr>
        <sz val="10"/>
        <color rgb="FF3333FF"/>
        <rFont val="宋体"/>
        <family val="3"/>
        <charset val="134"/>
      </rPr>
      <t>、在</t>
    </r>
    <r>
      <rPr>
        <sz val="10"/>
        <color rgb="FF3333FF"/>
        <rFont val="Arial Narrow"/>
        <family val="2"/>
      </rPr>
      <t>“</t>
    </r>
    <r>
      <rPr>
        <sz val="10"/>
        <color rgb="FF3333FF"/>
        <rFont val="宋体"/>
        <family val="3"/>
        <charset val="134"/>
      </rPr>
      <t>备注</t>
    </r>
    <r>
      <rPr>
        <sz val="10"/>
        <color rgb="FF3333FF"/>
        <rFont val="Arial Narrow"/>
        <family val="2"/>
      </rPr>
      <t>”</t>
    </r>
    <r>
      <rPr>
        <sz val="10"/>
        <color rgb="FF3333FF"/>
        <rFont val="宋体"/>
        <family val="3"/>
        <charset val="134"/>
      </rPr>
      <t>中注明非同一控制下企业合并情况。</t>
    </r>
  </si>
  <si>
    <r>
      <rPr>
        <sz val="10"/>
        <color rgb="FF3333FF"/>
        <rFont val="Arial Narrow"/>
        <family val="2"/>
      </rPr>
      <t>2</t>
    </r>
    <r>
      <rPr>
        <sz val="10"/>
        <color rgb="FF3333FF"/>
        <rFont val="宋体"/>
        <family val="3"/>
        <charset val="134"/>
      </rPr>
      <t>、对于通过非同一控制下企业合并形成的商誉，应列示商誉的计算过程。</t>
    </r>
  </si>
  <si>
    <r>
      <rPr>
        <b/>
        <sz val="10"/>
        <rFont val="宋体"/>
        <family val="3"/>
        <charset val="134"/>
      </rPr>
      <t>致同会计师事务所</t>
    </r>
  </si>
  <si>
    <t>商誉调整分录汇总表</t>
  </si>
  <si>
    <t>调整事项说明</t>
  </si>
  <si>
    <t>类别（报表调整/账项调整/其他）</t>
  </si>
  <si>
    <t>报表项目</t>
  </si>
  <si>
    <t>科目名称</t>
  </si>
  <si>
    <t>附注项目</t>
  </si>
  <si>
    <t>……</t>
  </si>
  <si>
    <t>借方调整金额</t>
  </si>
  <si>
    <t>贷方调整金额</t>
  </si>
  <si>
    <t>索引</t>
  </si>
  <si>
    <t>备注</t>
  </si>
  <si>
    <t>【注：本底稿适用于调整分录较多、较复杂的项目，且仅列示与本报表项目相关的审计调整。项目组可根据项目实际情况选择是否使用该底稿。】</t>
  </si>
  <si>
    <t>商誉入账价值测算表</t>
  </si>
  <si>
    <t>一、审计目标：</t>
  </si>
  <si>
    <t>确定商誉是否存在，计价是否准确。</t>
  </si>
  <si>
    <r>
      <rPr>
        <b/>
        <sz val="10"/>
        <color indexed="8"/>
        <rFont val="宋体"/>
        <family val="3"/>
        <charset val="134"/>
      </rPr>
      <t>项目名称</t>
    </r>
  </si>
  <si>
    <r>
      <rPr>
        <b/>
        <sz val="10"/>
        <color indexed="8"/>
        <rFont val="宋体"/>
        <family val="3"/>
        <charset val="134"/>
      </rPr>
      <t>入账金额</t>
    </r>
  </si>
  <si>
    <r>
      <rPr>
        <b/>
        <sz val="10"/>
        <color indexed="8"/>
        <rFont val="宋体"/>
        <family val="3"/>
        <charset val="134"/>
      </rPr>
      <t>是否属于同一控制</t>
    </r>
  </si>
  <si>
    <r>
      <rPr>
        <b/>
        <sz val="10"/>
        <color indexed="8"/>
        <rFont val="宋体"/>
        <family val="3"/>
        <charset val="134"/>
      </rPr>
      <t>购买日的确定</t>
    </r>
  </si>
  <si>
    <r>
      <rPr>
        <b/>
        <sz val="10"/>
        <color indexed="8"/>
        <rFont val="宋体"/>
        <family val="3"/>
        <charset val="134"/>
      </rPr>
      <t>商誉的确定</t>
    </r>
  </si>
  <si>
    <r>
      <rPr>
        <b/>
        <sz val="10"/>
        <color indexed="8"/>
        <rFont val="宋体"/>
        <family val="3"/>
        <charset val="134"/>
      </rPr>
      <t>具体日期</t>
    </r>
  </si>
  <si>
    <r>
      <rPr>
        <b/>
        <sz val="10"/>
        <color indexed="8"/>
        <rFont val="宋体"/>
        <family val="3"/>
        <charset val="134"/>
      </rPr>
      <t>是否符合规定</t>
    </r>
  </si>
  <si>
    <r>
      <rPr>
        <b/>
        <sz val="10"/>
        <color indexed="8"/>
        <rFont val="宋体"/>
        <family val="3"/>
        <charset val="134"/>
      </rPr>
      <t>合并成本
①</t>
    </r>
  </si>
  <si>
    <r>
      <rPr>
        <b/>
        <sz val="10"/>
        <color indexed="8"/>
        <rFont val="宋体"/>
        <family val="3"/>
        <charset val="134"/>
      </rPr>
      <t>被购买方可辨认净资产公允价值②</t>
    </r>
  </si>
  <si>
    <r>
      <rPr>
        <b/>
        <sz val="10"/>
        <color indexed="8"/>
        <rFont val="宋体"/>
        <family val="3"/>
        <charset val="134"/>
      </rPr>
      <t>股权比例③</t>
    </r>
  </si>
  <si>
    <r>
      <rPr>
        <b/>
        <sz val="10"/>
        <color indexed="8"/>
        <rFont val="宋体"/>
        <family val="3"/>
        <charset val="134"/>
      </rPr>
      <t>应占份额
④</t>
    </r>
    <r>
      <rPr>
        <b/>
        <sz val="10"/>
        <color indexed="8"/>
        <rFont val="Arial Narrow"/>
        <family val="2"/>
      </rPr>
      <t>=</t>
    </r>
    <r>
      <rPr>
        <b/>
        <sz val="10"/>
        <color indexed="8"/>
        <rFont val="宋体"/>
        <family val="3"/>
        <charset val="134"/>
      </rPr>
      <t>②</t>
    </r>
    <r>
      <rPr>
        <b/>
        <sz val="10"/>
        <color indexed="8"/>
        <rFont val="Arial Narrow"/>
        <family val="2"/>
      </rPr>
      <t>*</t>
    </r>
    <r>
      <rPr>
        <b/>
        <sz val="10"/>
        <color indexed="8"/>
        <rFont val="宋体"/>
        <family val="3"/>
        <charset val="134"/>
      </rPr>
      <t>③</t>
    </r>
  </si>
  <si>
    <r>
      <rPr>
        <b/>
        <sz val="10"/>
        <color indexed="8"/>
        <rFont val="宋体"/>
        <family val="3"/>
        <charset val="134"/>
      </rPr>
      <t>商誉</t>
    </r>
    <r>
      <rPr>
        <b/>
        <sz val="10"/>
        <color indexed="8"/>
        <rFont val="Arial Narrow"/>
        <family val="2"/>
      </rPr>
      <t>(</t>
    </r>
    <r>
      <rPr>
        <b/>
        <sz val="10"/>
        <color indexed="8"/>
        <rFont val="宋体"/>
        <family val="3"/>
        <charset val="134"/>
      </rPr>
      <t>⑤</t>
    </r>
    <r>
      <rPr>
        <b/>
        <sz val="10"/>
        <color indexed="8"/>
        <rFont val="Arial Narrow"/>
        <family val="2"/>
      </rPr>
      <t xml:space="preserve">&gt;0)
</t>
    </r>
    <r>
      <rPr>
        <b/>
        <sz val="10"/>
        <color indexed="8"/>
        <rFont val="宋体"/>
        <family val="3"/>
        <charset val="134"/>
      </rPr>
      <t>⑤</t>
    </r>
    <r>
      <rPr>
        <b/>
        <sz val="10"/>
        <color indexed="8"/>
        <rFont val="Arial Narrow"/>
        <family val="2"/>
      </rPr>
      <t>=</t>
    </r>
    <r>
      <rPr>
        <b/>
        <sz val="10"/>
        <color indexed="8"/>
        <rFont val="宋体"/>
        <family val="3"/>
        <charset val="134"/>
      </rPr>
      <t>①</t>
    </r>
    <r>
      <rPr>
        <b/>
        <sz val="10"/>
        <color indexed="8"/>
        <rFont val="Arial Narrow"/>
        <family val="2"/>
      </rPr>
      <t>-</t>
    </r>
    <r>
      <rPr>
        <b/>
        <sz val="10"/>
        <color indexed="8"/>
        <rFont val="宋体"/>
        <family val="3"/>
        <charset val="134"/>
      </rPr>
      <t>④</t>
    </r>
  </si>
  <si>
    <r>
      <rPr>
        <b/>
        <sz val="10"/>
        <color indexed="8"/>
        <rFont val="宋体"/>
        <family val="3"/>
        <charset val="134"/>
      </rPr>
      <t>商誉的确定是否符合规定</t>
    </r>
  </si>
  <si>
    <r>
      <rPr>
        <sz val="10"/>
        <color rgb="FFFF0000"/>
        <rFont val="Arial Narrow"/>
        <family val="2"/>
      </rPr>
      <t>AAA</t>
    </r>
    <r>
      <rPr>
        <sz val="10"/>
        <color rgb="FFFF0000"/>
        <rFont val="宋体"/>
        <family val="3"/>
        <charset val="134"/>
      </rPr>
      <t>公司</t>
    </r>
  </si>
  <si>
    <r>
      <rPr>
        <sz val="10"/>
        <color rgb="FFFF0000"/>
        <rFont val="宋体"/>
        <family val="3"/>
        <charset val="134"/>
      </rPr>
      <t>否</t>
    </r>
  </si>
  <si>
    <r>
      <rPr>
        <sz val="10"/>
        <color rgb="FFFF0000"/>
        <rFont val="宋体"/>
        <family val="3"/>
        <charset val="134"/>
      </rPr>
      <t>是</t>
    </r>
  </si>
  <si>
    <t>四、审计结论</t>
  </si>
  <si>
    <r>
      <rPr>
        <b/>
        <sz val="10"/>
        <color indexed="8"/>
        <rFont val="宋体"/>
        <family val="3"/>
        <charset val="134"/>
      </rPr>
      <t>一、测试目标：</t>
    </r>
  </si>
  <si>
    <r>
      <rPr>
        <sz val="10"/>
        <color indexed="8"/>
        <rFont val="宋体"/>
        <family val="3"/>
        <charset val="134"/>
      </rPr>
      <t>通过针对性测试，验证商誉的存在</t>
    </r>
    <r>
      <rPr>
        <sz val="10"/>
        <color indexed="8"/>
        <rFont val="Arial Narrow"/>
        <family val="2"/>
      </rPr>
      <t>/</t>
    </r>
    <r>
      <rPr>
        <sz val="10"/>
        <color indexed="8"/>
        <rFont val="宋体"/>
        <family val="3"/>
        <charset val="134"/>
      </rPr>
      <t>发生计价和分摊。</t>
    </r>
  </si>
  <si>
    <t>记账凭证</t>
  </si>
  <si>
    <t>日期</t>
  </si>
  <si>
    <r>
      <rPr>
        <b/>
        <sz val="10"/>
        <color indexed="8"/>
        <rFont val="宋体"/>
        <family val="3"/>
        <charset val="134"/>
      </rPr>
      <t>四、审计说明：</t>
    </r>
  </si>
  <si>
    <r>
      <rPr>
        <b/>
        <sz val="10"/>
        <color indexed="8"/>
        <rFont val="宋体"/>
        <family val="3"/>
        <charset val="134"/>
      </rPr>
      <t>五、审计结论：</t>
    </r>
  </si>
  <si>
    <r>
      <rPr>
        <b/>
        <sz val="10"/>
        <rFont val="宋体"/>
        <family val="3"/>
        <charset val="134"/>
      </rPr>
      <t>一、审计目标</t>
    </r>
  </si>
  <si>
    <r>
      <rPr>
        <sz val="10"/>
        <rFont val="宋体"/>
        <family val="3"/>
        <charset val="134"/>
      </rPr>
      <t>确定商誉是否发生减值，减值金额计量是否恰当。</t>
    </r>
  </si>
  <si>
    <r>
      <rPr>
        <b/>
        <sz val="10"/>
        <rFont val="宋体"/>
        <family val="3"/>
        <charset val="134"/>
      </rPr>
      <t>二、审计过程：</t>
    </r>
  </si>
  <si>
    <r>
      <rPr>
        <b/>
        <sz val="10"/>
        <rFont val="宋体"/>
        <family val="3"/>
        <charset val="134"/>
      </rPr>
      <t>（一）内外部环境变化可能对商誉减值产生的影响</t>
    </r>
  </si>
  <si>
    <r>
      <rPr>
        <b/>
        <sz val="10"/>
        <rFont val="宋体"/>
        <family val="3"/>
        <charset val="134"/>
      </rPr>
      <t>（二）商誉减值测试</t>
    </r>
  </si>
  <si>
    <r>
      <rPr>
        <b/>
        <sz val="10"/>
        <rFont val="宋体"/>
        <family val="3"/>
        <charset val="134"/>
      </rPr>
      <t>项目名称</t>
    </r>
  </si>
  <si>
    <r>
      <rPr>
        <b/>
        <sz val="10"/>
        <rFont val="宋体"/>
        <family val="3"/>
        <charset val="134"/>
      </rPr>
      <t>账面价值：（</t>
    </r>
    <r>
      <rPr>
        <b/>
        <sz val="10"/>
        <rFont val="Arial Narrow"/>
        <family val="2"/>
      </rPr>
      <t>1</t>
    </r>
    <r>
      <rPr>
        <b/>
        <sz val="10"/>
        <rFont val="宋体"/>
        <family val="3"/>
        <charset val="134"/>
      </rPr>
      <t>）</t>
    </r>
  </si>
  <si>
    <r>
      <rPr>
        <b/>
        <sz val="10"/>
        <rFont val="宋体"/>
        <family val="3"/>
        <charset val="134"/>
      </rPr>
      <t>可收回金额（</t>
    </r>
    <r>
      <rPr>
        <b/>
        <sz val="10"/>
        <rFont val="Arial Narrow"/>
        <family val="2"/>
      </rPr>
      <t>2</t>
    </r>
    <r>
      <rPr>
        <b/>
        <sz val="10"/>
        <rFont val="宋体"/>
        <family val="3"/>
        <charset val="134"/>
      </rPr>
      <t>）</t>
    </r>
  </si>
  <si>
    <r>
      <rPr>
        <b/>
        <sz val="10"/>
        <rFont val="宋体"/>
        <family val="3"/>
        <charset val="134"/>
      </rPr>
      <t>（</t>
    </r>
    <r>
      <rPr>
        <b/>
        <sz val="10"/>
        <rFont val="Arial Narrow"/>
        <family val="2"/>
      </rPr>
      <t>3</t>
    </r>
    <r>
      <rPr>
        <b/>
        <sz val="10"/>
        <rFont val="宋体"/>
        <family val="3"/>
        <charset val="134"/>
      </rPr>
      <t>）</t>
    </r>
    <r>
      <rPr>
        <b/>
        <sz val="10"/>
        <rFont val="Arial Narrow"/>
        <family val="2"/>
      </rPr>
      <t>=</t>
    </r>
    <r>
      <rPr>
        <b/>
        <sz val="10"/>
        <rFont val="宋体"/>
        <family val="3"/>
        <charset val="134"/>
      </rPr>
      <t>（</t>
    </r>
    <r>
      <rPr>
        <b/>
        <sz val="10"/>
        <rFont val="Arial Narrow"/>
        <family val="2"/>
      </rPr>
      <t>1</t>
    </r>
    <r>
      <rPr>
        <b/>
        <sz val="10"/>
        <rFont val="宋体"/>
        <family val="3"/>
        <charset val="134"/>
      </rPr>
      <t>）</t>
    </r>
    <r>
      <rPr>
        <b/>
        <sz val="10"/>
        <rFont val="Arial Narrow"/>
        <family val="2"/>
      </rPr>
      <t>-</t>
    </r>
    <r>
      <rPr>
        <b/>
        <sz val="10"/>
        <rFont val="宋体"/>
        <family val="3"/>
        <charset val="134"/>
      </rPr>
      <t>（</t>
    </r>
    <r>
      <rPr>
        <b/>
        <sz val="10"/>
        <rFont val="Arial Narrow"/>
        <family val="2"/>
      </rPr>
      <t>2</t>
    </r>
    <r>
      <rPr>
        <b/>
        <sz val="10"/>
        <rFont val="宋体"/>
        <family val="3"/>
        <charset val="134"/>
      </rPr>
      <t>）</t>
    </r>
  </si>
  <si>
    <r>
      <rPr>
        <b/>
        <sz val="10"/>
        <rFont val="宋体"/>
        <family val="3"/>
        <charset val="134"/>
      </rPr>
      <t>计提的减值准备</t>
    </r>
    <r>
      <rPr>
        <b/>
        <sz val="10"/>
        <rFont val="Arial Narrow"/>
        <family val="2"/>
      </rPr>
      <t>[</t>
    </r>
    <r>
      <rPr>
        <b/>
        <sz val="10"/>
        <rFont val="宋体"/>
        <family val="3"/>
        <charset val="134"/>
      </rPr>
      <t>（</t>
    </r>
    <r>
      <rPr>
        <b/>
        <sz val="10"/>
        <rFont val="Arial Narrow"/>
        <family val="2"/>
      </rPr>
      <t>3</t>
    </r>
    <r>
      <rPr>
        <b/>
        <sz val="10"/>
        <rFont val="宋体"/>
        <family val="3"/>
        <charset val="134"/>
      </rPr>
      <t>）</t>
    </r>
    <r>
      <rPr>
        <b/>
        <sz val="10"/>
        <rFont val="Arial Narrow"/>
        <family val="2"/>
      </rPr>
      <t>&gt;0]</t>
    </r>
  </si>
  <si>
    <r>
      <rPr>
        <b/>
        <sz val="10"/>
        <rFont val="宋体"/>
        <family val="3"/>
        <charset val="134"/>
      </rPr>
      <t>导致资产减值的原因</t>
    </r>
  </si>
  <si>
    <r>
      <rPr>
        <b/>
        <sz val="10"/>
        <rFont val="宋体"/>
        <family val="3"/>
        <charset val="134"/>
      </rPr>
      <t>备注</t>
    </r>
  </si>
  <si>
    <r>
      <rPr>
        <b/>
        <sz val="10"/>
        <rFont val="宋体"/>
        <family val="3"/>
        <charset val="134"/>
      </rPr>
      <t>对应资产组的账面价值</t>
    </r>
    <r>
      <rPr>
        <b/>
        <sz val="10"/>
        <rFont val="Arial Narrow"/>
        <family val="2"/>
      </rPr>
      <t>(A)</t>
    </r>
  </si>
  <si>
    <r>
      <rPr>
        <b/>
        <sz val="10"/>
        <rFont val="宋体"/>
        <family val="3"/>
        <charset val="134"/>
      </rPr>
      <t>应分配的商誉账面价值</t>
    </r>
    <r>
      <rPr>
        <b/>
        <sz val="10"/>
        <rFont val="Arial Narrow"/>
        <family val="2"/>
      </rPr>
      <t>(B1)</t>
    </r>
  </si>
  <si>
    <r>
      <rPr>
        <b/>
        <sz val="10"/>
        <rFont val="宋体"/>
        <family val="3"/>
        <charset val="134"/>
      </rPr>
      <t>未确认的归属于少数股东权益的商誉价值</t>
    </r>
    <r>
      <rPr>
        <b/>
        <sz val="10"/>
        <rFont val="Arial Narrow"/>
        <family val="2"/>
      </rPr>
      <t>(B2)</t>
    </r>
  </si>
  <si>
    <r>
      <rPr>
        <b/>
        <sz val="10"/>
        <rFont val="宋体"/>
        <family val="3"/>
        <charset val="134"/>
      </rPr>
      <t>合计</t>
    </r>
  </si>
  <si>
    <r>
      <rPr>
        <b/>
        <sz val="10"/>
        <rFont val="宋体"/>
        <family val="3"/>
        <charset val="134"/>
      </rPr>
      <t>①</t>
    </r>
  </si>
  <si>
    <r>
      <rPr>
        <b/>
        <sz val="10"/>
        <rFont val="宋体"/>
        <family val="3"/>
        <charset val="134"/>
      </rPr>
      <t>②</t>
    </r>
  </si>
  <si>
    <t>(A+B1+B2)</t>
  </si>
  <si>
    <r>
      <rPr>
        <b/>
        <sz val="10"/>
        <rFont val="宋体"/>
        <family val="3"/>
        <charset val="134"/>
      </rPr>
      <t>合</t>
    </r>
    <r>
      <rPr>
        <b/>
        <sz val="10"/>
        <rFont val="Arial Narrow"/>
        <family val="2"/>
      </rPr>
      <t xml:space="preserve">  </t>
    </r>
    <r>
      <rPr>
        <b/>
        <sz val="10"/>
        <rFont val="宋体"/>
        <family val="3"/>
        <charset val="134"/>
      </rPr>
      <t>计</t>
    </r>
  </si>
  <si>
    <r>
      <rPr>
        <b/>
        <sz val="10"/>
        <color rgb="FFFF0000"/>
        <rFont val="宋体"/>
        <family val="3"/>
        <charset val="134"/>
      </rPr>
      <t>其中：</t>
    </r>
    <r>
      <rPr>
        <b/>
        <sz val="10"/>
        <color indexed="10"/>
        <rFont val="Arial Narrow"/>
        <family val="2"/>
      </rPr>
      <t>(A)</t>
    </r>
    <r>
      <rPr>
        <b/>
        <sz val="10"/>
        <color indexed="10"/>
        <rFont val="宋体"/>
        <family val="3"/>
        <charset val="134"/>
      </rPr>
      <t>资产组的账面价值应是其在合并报表层面的账面价值，即资产组在购买日公允价值基础上持续计算的在本期资产负债表日的金额。</t>
    </r>
  </si>
  <si>
    <r>
      <rPr>
        <sz val="10"/>
        <rFont val="宋体"/>
        <family val="3"/>
        <charset val="134"/>
      </rPr>
      <t>①为资产的公允价值减去处置费用后的净额；②资产预计未来现金流量的现值。</t>
    </r>
  </si>
  <si>
    <r>
      <rPr>
        <b/>
        <sz val="10"/>
        <rFont val="宋体"/>
        <family val="3"/>
        <charset val="134"/>
      </rPr>
      <t>商誉的分摊</t>
    </r>
  </si>
  <si>
    <r>
      <rPr>
        <b/>
        <sz val="10"/>
        <rFont val="宋体"/>
        <family val="3"/>
        <charset val="134"/>
      </rPr>
      <t>账面价值</t>
    </r>
  </si>
  <si>
    <r>
      <rPr>
        <b/>
        <sz val="10"/>
        <rFont val="宋体"/>
        <family val="3"/>
        <charset val="134"/>
      </rPr>
      <t>未确认的少数股东权益</t>
    </r>
  </si>
  <si>
    <r>
      <rPr>
        <b/>
        <sz val="10"/>
        <rFont val="宋体"/>
        <family val="3"/>
        <charset val="134"/>
      </rPr>
      <t>调整后的名义账面价值</t>
    </r>
  </si>
  <si>
    <r>
      <rPr>
        <b/>
        <sz val="10"/>
        <rFont val="宋体"/>
        <family val="3"/>
        <charset val="134"/>
      </rPr>
      <t>可收回金额</t>
    </r>
  </si>
  <si>
    <r>
      <rPr>
        <b/>
        <sz val="10"/>
        <rFont val="宋体"/>
        <family val="3"/>
        <charset val="134"/>
      </rPr>
      <t>减值损失</t>
    </r>
  </si>
  <si>
    <r>
      <rPr>
        <b/>
        <sz val="10"/>
        <rFont val="宋体"/>
        <family val="3"/>
        <charset val="134"/>
      </rPr>
      <t>减值损失第一分配</t>
    </r>
  </si>
  <si>
    <r>
      <rPr>
        <b/>
        <sz val="10"/>
        <rFont val="宋体"/>
        <family val="3"/>
        <charset val="134"/>
      </rPr>
      <t>减值损失第二分配</t>
    </r>
  </si>
  <si>
    <r>
      <rPr>
        <b/>
        <sz val="10"/>
        <rFont val="宋体"/>
        <family val="3"/>
        <charset val="134"/>
      </rPr>
      <t>减值损失调整后</t>
    </r>
  </si>
  <si>
    <r>
      <rPr>
        <b/>
        <sz val="10"/>
        <rFont val="宋体"/>
        <family val="3"/>
        <charset val="134"/>
      </rPr>
      <t>合并报表确认减值损失</t>
    </r>
  </si>
  <si>
    <r>
      <rPr>
        <sz val="10"/>
        <rFont val="宋体"/>
        <family val="3"/>
        <charset val="134"/>
      </rPr>
      <t>流动资产</t>
    </r>
  </si>
  <si>
    <r>
      <rPr>
        <sz val="10"/>
        <rFont val="宋体"/>
        <family val="3"/>
        <charset val="134"/>
      </rPr>
      <t>固定资产</t>
    </r>
  </si>
  <si>
    <r>
      <rPr>
        <sz val="10"/>
        <rFont val="宋体"/>
        <family val="3"/>
        <charset val="134"/>
      </rPr>
      <t>无形资产</t>
    </r>
  </si>
  <si>
    <r>
      <rPr>
        <sz val="10"/>
        <rFont val="宋体"/>
        <family val="3"/>
        <charset val="134"/>
      </rPr>
      <t>商誉</t>
    </r>
  </si>
  <si>
    <r>
      <rPr>
        <b/>
        <sz val="10"/>
        <rFont val="宋体"/>
        <family val="3"/>
        <charset val="134"/>
      </rPr>
      <t>审计说明：</t>
    </r>
  </si>
  <si>
    <r>
      <rPr>
        <b/>
        <sz val="10"/>
        <rFont val="宋体"/>
        <family val="3"/>
        <charset val="134"/>
      </rPr>
      <t>（三）商誉的可收回金额测试</t>
    </r>
  </si>
  <si>
    <r>
      <rPr>
        <sz val="10"/>
        <rFont val="宋体"/>
        <family val="3"/>
        <charset val="134"/>
      </rPr>
      <t>见“</t>
    </r>
    <r>
      <rPr>
        <sz val="10"/>
        <rFont val="Arial Narrow"/>
        <family val="2"/>
      </rPr>
      <t>K3-5-3</t>
    </r>
    <r>
      <rPr>
        <sz val="10"/>
        <rFont val="宋体"/>
        <family val="3"/>
        <charset val="134"/>
      </rPr>
      <t>商誉减值准备测试表</t>
    </r>
    <r>
      <rPr>
        <sz val="10"/>
        <rFont val="Arial Narrow"/>
        <family val="2"/>
      </rPr>
      <t>-</t>
    </r>
    <r>
      <rPr>
        <sz val="10"/>
        <rFont val="宋体"/>
        <family val="3"/>
        <charset val="134"/>
      </rPr>
      <t>可收回金额”</t>
    </r>
  </si>
  <si>
    <r>
      <rPr>
        <b/>
        <sz val="10"/>
        <rFont val="宋体"/>
        <family val="3"/>
        <charset val="134"/>
      </rPr>
      <t>（四）利用专家的工作</t>
    </r>
    <r>
      <rPr>
        <b/>
        <sz val="10"/>
        <color rgb="FFFF0000"/>
        <rFont val="宋体"/>
        <family val="3"/>
        <charset val="134"/>
      </rPr>
      <t>（如适用）</t>
    </r>
  </si>
  <si>
    <r>
      <rPr>
        <b/>
        <sz val="10"/>
        <rFont val="宋体"/>
        <family val="3"/>
        <charset val="134"/>
      </rPr>
      <t>项目</t>
    </r>
  </si>
  <si>
    <t>利用专家（注册会计师的专家）的工作</t>
  </si>
  <si>
    <t>S12</t>
  </si>
  <si>
    <t>利用管理层的专家编制的信息形成审计证据</t>
  </si>
  <si>
    <t>S13</t>
  </si>
  <si>
    <r>
      <rPr>
        <b/>
        <sz val="10"/>
        <rFont val="宋体"/>
        <family val="3"/>
        <charset val="134"/>
      </rPr>
      <t>三、审计说明：</t>
    </r>
  </si>
  <si>
    <t>若认为商誉减值事项存在特别风险，还应当了解被审计单位与该风险相关的控制（包括控制活动）。详见B23-8、C9，B21、C25。</t>
  </si>
  <si>
    <r>
      <rPr>
        <b/>
        <sz val="10"/>
        <rFont val="宋体"/>
        <family val="3"/>
        <charset val="134"/>
      </rPr>
      <t>四、审计结论：</t>
    </r>
  </si>
  <si>
    <r>
      <rPr>
        <i/>
        <sz val="10"/>
        <color indexed="12"/>
        <rFont val="宋体"/>
        <family val="3"/>
        <charset val="134"/>
      </rPr>
      <t>编制说明：</t>
    </r>
  </si>
  <si>
    <r>
      <rPr>
        <b/>
        <sz val="10"/>
        <color indexed="12"/>
        <rFont val="Arial Narrow"/>
        <family val="2"/>
      </rPr>
      <t>1</t>
    </r>
    <r>
      <rPr>
        <b/>
        <sz val="10"/>
        <color indexed="12"/>
        <rFont val="宋体"/>
        <family val="3"/>
        <charset val="134"/>
      </rPr>
      <t>、无论是否存在减值迹象，年末必须对</t>
    </r>
    <r>
      <rPr>
        <b/>
        <sz val="10"/>
        <color indexed="12"/>
        <rFont val="Arial Narrow"/>
        <family val="2"/>
      </rPr>
      <t>“</t>
    </r>
    <r>
      <rPr>
        <b/>
        <sz val="10"/>
        <color indexed="12"/>
        <rFont val="宋体"/>
        <family val="3"/>
        <charset val="134"/>
      </rPr>
      <t>商誉</t>
    </r>
    <r>
      <rPr>
        <b/>
        <sz val="10"/>
        <color indexed="12"/>
        <rFont val="Arial Narrow"/>
        <family val="2"/>
      </rPr>
      <t>”</t>
    </r>
    <r>
      <rPr>
        <b/>
        <sz val="10"/>
        <color indexed="12"/>
        <rFont val="宋体"/>
        <family val="3"/>
        <charset val="134"/>
      </rPr>
      <t>进行减值测试。</t>
    </r>
  </si>
  <si>
    <r>
      <rPr>
        <b/>
        <sz val="10"/>
        <color indexed="12"/>
        <rFont val="Arial Narrow"/>
        <family val="2"/>
      </rPr>
      <t>2</t>
    </r>
    <r>
      <rPr>
        <b/>
        <sz val="10"/>
        <color indexed="12"/>
        <rFont val="宋体"/>
        <family val="3"/>
        <charset val="134"/>
      </rPr>
      <t>、</t>
    </r>
    <r>
      <rPr>
        <sz val="10"/>
        <color indexed="12"/>
        <rFont val="宋体"/>
        <family val="3"/>
        <charset val="134"/>
      </rPr>
      <t>导致商誉发生减值的原因：</t>
    </r>
  </si>
  <si>
    <r>
      <rPr>
        <sz val="10"/>
        <color indexed="12"/>
        <rFont val="宋体"/>
        <family val="3"/>
        <charset val="134"/>
      </rPr>
      <t>（</t>
    </r>
    <r>
      <rPr>
        <sz val="10"/>
        <color indexed="12"/>
        <rFont val="Arial Narrow"/>
        <family val="2"/>
      </rPr>
      <t>1</t>
    </r>
    <r>
      <rPr>
        <sz val="10"/>
        <color indexed="12"/>
        <rFont val="宋体"/>
        <family val="3"/>
        <charset val="134"/>
      </rPr>
      <t>）被审计单位经营所处的经济、技术或者法律等环境发生重大变化，从而对企业产生不利影响；</t>
    </r>
  </si>
  <si>
    <r>
      <rPr>
        <sz val="10"/>
        <color indexed="12"/>
        <rFont val="宋体"/>
        <family val="3"/>
        <charset val="134"/>
      </rPr>
      <t>（</t>
    </r>
    <r>
      <rPr>
        <sz val="10"/>
        <color indexed="12"/>
        <rFont val="Arial Narrow"/>
        <family val="2"/>
      </rPr>
      <t>2</t>
    </r>
    <r>
      <rPr>
        <sz val="10"/>
        <color indexed="12"/>
        <rFont val="宋体"/>
        <family val="3"/>
        <charset val="134"/>
      </rPr>
      <t>）监管当局采取的不利行动和评价；</t>
    </r>
  </si>
  <si>
    <r>
      <rPr>
        <sz val="10"/>
        <color indexed="12"/>
        <rFont val="宋体"/>
        <family val="3"/>
        <charset val="134"/>
      </rPr>
      <t>（</t>
    </r>
    <r>
      <rPr>
        <sz val="10"/>
        <color indexed="12"/>
        <rFont val="Arial Narrow"/>
        <family val="2"/>
      </rPr>
      <t>3</t>
    </r>
    <r>
      <rPr>
        <sz val="10"/>
        <color indexed="12"/>
        <rFont val="宋体"/>
        <family val="3"/>
        <charset val="134"/>
      </rPr>
      <t>）不可预期的竞争；</t>
    </r>
  </si>
  <si>
    <r>
      <rPr>
        <sz val="10"/>
        <color indexed="12"/>
        <rFont val="宋体"/>
        <family val="3"/>
        <charset val="134"/>
      </rPr>
      <t>（</t>
    </r>
    <r>
      <rPr>
        <sz val="10"/>
        <color indexed="12"/>
        <rFont val="Arial Narrow"/>
        <family val="2"/>
      </rPr>
      <t>4</t>
    </r>
    <r>
      <rPr>
        <sz val="10"/>
        <color indexed="12"/>
        <rFont val="宋体"/>
        <family val="3"/>
        <charset val="134"/>
      </rPr>
      <t>）核心人员流失；</t>
    </r>
  </si>
  <si>
    <r>
      <rPr>
        <sz val="10"/>
        <color indexed="12"/>
        <rFont val="宋体"/>
        <family val="3"/>
        <charset val="134"/>
      </rPr>
      <t>（</t>
    </r>
    <r>
      <rPr>
        <sz val="10"/>
        <color indexed="12"/>
        <rFont val="Arial Narrow"/>
        <family val="2"/>
      </rPr>
      <t>5</t>
    </r>
    <r>
      <rPr>
        <sz val="10"/>
        <color indexed="12"/>
        <rFont val="宋体"/>
        <family val="3"/>
        <charset val="134"/>
      </rPr>
      <t>）被审计单位或其重要组成部分极有可能被变卖或处置；</t>
    </r>
  </si>
  <si>
    <r>
      <rPr>
        <sz val="10"/>
        <color indexed="12"/>
        <rFont val="宋体"/>
        <family val="3"/>
        <charset val="134"/>
      </rPr>
      <t>（</t>
    </r>
    <r>
      <rPr>
        <sz val="10"/>
        <color indexed="12"/>
        <rFont val="Arial Narrow"/>
        <family val="2"/>
      </rPr>
      <t>6</t>
    </r>
    <r>
      <rPr>
        <sz val="10"/>
        <color indexed="12"/>
        <rFont val="宋体"/>
        <family val="3"/>
        <charset val="134"/>
      </rPr>
      <t>）被审计单位重要的资产组已进行了可收回性测试；</t>
    </r>
  </si>
  <si>
    <r>
      <rPr>
        <sz val="10"/>
        <color indexed="12"/>
        <rFont val="宋体"/>
        <family val="3"/>
        <charset val="134"/>
      </rPr>
      <t>（</t>
    </r>
    <r>
      <rPr>
        <sz val="10"/>
        <color indexed="12"/>
        <rFont val="Arial Narrow"/>
        <family val="2"/>
      </rPr>
      <t>7</t>
    </r>
    <r>
      <rPr>
        <sz val="10"/>
        <color indexed="12"/>
        <rFont val="宋体"/>
        <family val="3"/>
        <charset val="134"/>
      </rPr>
      <t>）被审计单位子公司已确认了商誉减值；</t>
    </r>
  </si>
  <si>
    <r>
      <rPr>
        <sz val="10"/>
        <color indexed="12"/>
        <rFont val="宋体"/>
        <family val="3"/>
        <charset val="134"/>
      </rPr>
      <t>（</t>
    </r>
    <r>
      <rPr>
        <sz val="10"/>
        <color indexed="12"/>
        <rFont val="Arial Narrow"/>
        <family val="2"/>
      </rPr>
      <t>8</t>
    </r>
    <r>
      <rPr>
        <sz val="10"/>
        <color indexed="12"/>
        <rFont val="宋体"/>
        <family val="3"/>
        <charset val="134"/>
      </rPr>
      <t>）已被分配商誉的资产组将被处置；</t>
    </r>
  </si>
  <si>
    <r>
      <rPr>
        <sz val="10"/>
        <color indexed="12"/>
        <rFont val="宋体"/>
        <family val="3"/>
        <charset val="134"/>
      </rPr>
      <t>（</t>
    </r>
    <r>
      <rPr>
        <sz val="10"/>
        <color indexed="12"/>
        <rFont val="Arial Narrow"/>
        <family val="2"/>
      </rPr>
      <t>9</t>
    </r>
    <r>
      <rPr>
        <sz val="10"/>
        <color indexed="12"/>
        <rFont val="宋体"/>
        <family val="3"/>
        <charset val="134"/>
      </rPr>
      <t>）其他。</t>
    </r>
  </si>
  <si>
    <r>
      <rPr>
        <sz val="10"/>
        <color indexed="12"/>
        <rFont val="Arial Narrow"/>
        <family val="2"/>
      </rPr>
      <t>3</t>
    </r>
    <r>
      <rPr>
        <sz val="10"/>
        <color indexed="12"/>
        <rFont val="宋体"/>
        <family val="3"/>
        <charset val="134"/>
      </rPr>
      <t>、商誉应当结合与其相关的资产组或者资产组组合进行减值测试。相关的资产组或者资产组组合应当是能够从企业合并的协同效应中受益的资产组或者资产组组合，</t>
    </r>
  </si>
  <si>
    <r>
      <rPr>
        <sz val="10"/>
        <color indexed="12"/>
        <rFont val="宋体"/>
        <family val="3"/>
        <charset val="134"/>
      </rPr>
      <t>不应当大于按照《企业会计准则第</t>
    </r>
    <r>
      <rPr>
        <sz val="10"/>
        <color indexed="12"/>
        <rFont val="Arial Narrow"/>
        <family val="2"/>
      </rPr>
      <t xml:space="preserve">35 </t>
    </r>
    <r>
      <rPr>
        <sz val="10"/>
        <color indexed="12"/>
        <rFont val="宋体"/>
        <family val="3"/>
        <charset val="134"/>
      </rPr>
      <t>号</t>
    </r>
    <r>
      <rPr>
        <sz val="10"/>
        <color indexed="12"/>
        <rFont val="Arial Narrow"/>
        <family val="2"/>
      </rPr>
      <t>——</t>
    </r>
    <r>
      <rPr>
        <sz val="10"/>
        <color indexed="12"/>
        <rFont val="宋体"/>
        <family val="3"/>
        <charset val="134"/>
      </rPr>
      <t>分部报告》所确定的报告分部。</t>
    </r>
  </si>
  <si>
    <r>
      <rPr>
        <sz val="10"/>
        <color indexed="12"/>
        <rFont val="Arial Narrow"/>
        <family val="2"/>
      </rPr>
      <t>4</t>
    </r>
    <r>
      <rPr>
        <sz val="10"/>
        <color indexed="12"/>
        <rFont val="宋体"/>
        <family val="3"/>
        <charset val="134"/>
      </rPr>
      <t>、资产组，是指企业可以认定的最小资产组合，其产生的现金流入应当基本上独立于其他资产或者资产组产生的现金流入。</t>
    </r>
  </si>
  <si>
    <r>
      <rPr>
        <sz val="10"/>
        <color indexed="12"/>
        <rFont val="Arial Narrow"/>
        <family val="2"/>
      </rPr>
      <t>5</t>
    </r>
    <r>
      <rPr>
        <sz val="10"/>
        <color indexed="12"/>
        <rFont val="宋体"/>
        <family val="3"/>
        <charset val="134"/>
      </rPr>
      <t>、总部资产和商誉均不独立产生现金流；确定相关的资产组或资产组组合，再分摊至资产组或资产组组合。</t>
    </r>
  </si>
  <si>
    <r>
      <rPr>
        <b/>
        <sz val="10"/>
        <color indexed="12"/>
        <rFont val="Arial Narrow"/>
        <family val="2"/>
      </rPr>
      <t>6</t>
    </r>
    <r>
      <rPr>
        <b/>
        <sz val="10"/>
        <color indexed="12"/>
        <rFont val="宋体"/>
        <family val="3"/>
        <charset val="134"/>
      </rPr>
      <t>、商誉分摊方法：协同效应</t>
    </r>
    <r>
      <rPr>
        <b/>
        <sz val="10"/>
        <color indexed="12"/>
        <rFont val="Arial Narrow"/>
        <family val="2"/>
      </rPr>
      <t>—</t>
    </r>
    <r>
      <rPr>
        <b/>
        <sz val="10"/>
        <color indexed="12"/>
        <rFont val="宋体"/>
        <family val="3"/>
        <charset val="134"/>
      </rPr>
      <t>企业合并时点，确定商誉的理由决定其减值测试时分摊的依据。</t>
    </r>
  </si>
  <si>
    <r>
      <rPr>
        <sz val="10"/>
        <color indexed="12"/>
        <rFont val="Arial Narrow"/>
        <family val="2"/>
      </rPr>
      <t>7</t>
    </r>
    <r>
      <rPr>
        <sz val="10"/>
        <color indexed="12"/>
        <rFont val="宋体"/>
        <family val="3"/>
        <charset val="134"/>
      </rPr>
      <t>、公司应合理区分并分别处理商誉减值事项和并购重组相关方的业绩补偿事项，不得以业绩补偿承诺为由，不进行商誉减值测试。</t>
    </r>
  </si>
  <si>
    <r>
      <rPr>
        <sz val="10"/>
        <color indexed="12"/>
        <rFont val="Arial Narrow"/>
        <family val="2"/>
      </rPr>
      <t>8</t>
    </r>
    <r>
      <rPr>
        <sz val="10"/>
        <color indexed="12"/>
        <rFont val="宋体"/>
        <family val="3"/>
        <charset val="134"/>
      </rPr>
      <t>、参照以下所内审计提示：</t>
    </r>
  </si>
  <si>
    <r>
      <rPr>
        <sz val="10"/>
        <color indexed="12"/>
        <rFont val="Arial Narrow"/>
        <family val="2"/>
      </rPr>
      <t xml:space="preserve">      </t>
    </r>
    <r>
      <rPr>
        <sz val="10"/>
        <color indexed="12"/>
        <rFont val="宋体"/>
        <family val="3"/>
        <charset val="134"/>
      </rPr>
      <t>审计指引第</t>
    </r>
    <r>
      <rPr>
        <sz val="10"/>
        <color indexed="12"/>
        <rFont val="Arial Narrow"/>
        <family val="2"/>
      </rPr>
      <t>43</t>
    </r>
    <r>
      <rPr>
        <sz val="10"/>
        <color indexed="12"/>
        <rFont val="宋体"/>
        <family val="3"/>
        <charset val="134"/>
      </rPr>
      <t>号</t>
    </r>
    <r>
      <rPr>
        <sz val="10"/>
        <color indexed="12"/>
        <rFont val="Arial Narrow"/>
        <family val="2"/>
      </rPr>
      <t>—</t>
    </r>
    <r>
      <rPr>
        <sz val="10"/>
        <color indexed="12"/>
        <rFont val="宋体"/>
        <family val="3"/>
        <charset val="134"/>
      </rPr>
      <t>商誉减值审计</t>
    </r>
  </si>
  <si>
    <t>https://www.gt-china.com.cn/article_view.php?id=8385</t>
  </si>
  <si>
    <r>
      <rPr>
        <sz val="10"/>
        <color indexed="12"/>
        <rFont val="Arial Narrow"/>
        <family val="2"/>
      </rPr>
      <t xml:space="preserve">      </t>
    </r>
    <r>
      <rPr>
        <sz val="10"/>
        <color indexed="12"/>
        <rFont val="宋体"/>
        <family val="3"/>
        <charset val="134"/>
      </rPr>
      <t>审计指引第</t>
    </r>
    <r>
      <rPr>
        <sz val="10"/>
        <color indexed="12"/>
        <rFont val="Arial Narrow"/>
        <family val="2"/>
      </rPr>
      <t>44</t>
    </r>
    <r>
      <rPr>
        <sz val="10"/>
        <color indexed="12"/>
        <rFont val="宋体"/>
        <family val="3"/>
        <charset val="134"/>
      </rPr>
      <t>号</t>
    </r>
    <r>
      <rPr>
        <sz val="10"/>
        <color indexed="12"/>
        <rFont val="Arial Narrow"/>
        <family val="2"/>
      </rPr>
      <t>—</t>
    </r>
    <r>
      <rPr>
        <sz val="10"/>
        <color indexed="12"/>
        <rFont val="宋体"/>
        <family val="3"/>
        <charset val="134"/>
      </rPr>
      <t>利用评估专家工作</t>
    </r>
    <r>
      <rPr>
        <sz val="10"/>
        <color indexed="12"/>
        <rFont val="Arial Narrow"/>
        <family val="2"/>
      </rPr>
      <t xml:space="preserve"> </t>
    </r>
  </si>
  <si>
    <t>https://www.gt-china.com.cn/article_view.php?id=8386</t>
  </si>
  <si>
    <t>索引号：</t>
  </si>
  <si>
    <r>
      <rPr>
        <b/>
        <sz val="10"/>
        <rFont val="宋体"/>
        <family val="3"/>
        <charset val="134"/>
      </rPr>
      <t>（一）资产的公允价值减去处置费用后的净额</t>
    </r>
  </si>
  <si>
    <r>
      <rPr>
        <b/>
        <sz val="10"/>
        <rFont val="宋体"/>
        <family val="3"/>
        <charset val="134"/>
      </rPr>
      <t>公允价值</t>
    </r>
  </si>
  <si>
    <r>
      <rPr>
        <b/>
        <sz val="10"/>
        <rFont val="宋体"/>
        <family val="3"/>
        <charset val="134"/>
      </rPr>
      <t>处置费用（资产处置的直接归属费用）</t>
    </r>
  </si>
  <si>
    <r>
      <rPr>
        <b/>
        <sz val="10"/>
        <rFont val="宋体"/>
        <family val="3"/>
        <charset val="134"/>
      </rPr>
      <t>公允价值</t>
    </r>
    <r>
      <rPr>
        <b/>
        <sz val="10"/>
        <rFont val="Arial Narrow"/>
        <family val="2"/>
      </rPr>
      <t>-</t>
    </r>
    <r>
      <rPr>
        <b/>
        <sz val="10"/>
        <rFont val="宋体"/>
        <family val="3"/>
        <charset val="134"/>
      </rPr>
      <t>处置费用</t>
    </r>
  </si>
  <si>
    <r>
      <rPr>
        <b/>
        <sz val="10"/>
        <rFont val="宋体"/>
        <family val="3"/>
        <charset val="134"/>
      </rPr>
      <t>销售协议价格</t>
    </r>
  </si>
  <si>
    <r>
      <rPr>
        <b/>
        <sz val="10"/>
        <rFont val="宋体"/>
        <family val="3"/>
        <charset val="134"/>
      </rPr>
      <t>说明</t>
    </r>
  </si>
  <si>
    <r>
      <rPr>
        <b/>
        <sz val="10"/>
        <rFont val="宋体"/>
        <family val="3"/>
        <charset val="134"/>
      </rPr>
      <t>资产活跃市场价格</t>
    </r>
  </si>
  <si>
    <r>
      <rPr>
        <b/>
        <sz val="10"/>
        <rFont val="宋体"/>
        <family val="3"/>
        <charset val="134"/>
      </rPr>
      <t>估计价格</t>
    </r>
  </si>
  <si>
    <r>
      <rPr>
        <b/>
        <sz val="10"/>
        <rFont val="宋体"/>
        <family val="3"/>
        <charset val="134"/>
      </rPr>
      <t>法律费用</t>
    </r>
  </si>
  <si>
    <r>
      <rPr>
        <b/>
        <sz val="10"/>
        <rFont val="宋体"/>
        <family val="3"/>
        <charset val="134"/>
      </rPr>
      <t>相关税费</t>
    </r>
  </si>
  <si>
    <r>
      <rPr>
        <b/>
        <sz val="10"/>
        <rFont val="宋体"/>
        <family val="3"/>
        <charset val="134"/>
      </rPr>
      <t>搬运费</t>
    </r>
  </si>
  <si>
    <r>
      <rPr>
        <b/>
        <sz val="10"/>
        <rFont val="宋体"/>
        <family val="3"/>
        <charset val="134"/>
      </rPr>
      <t>直接费用</t>
    </r>
  </si>
  <si>
    <r>
      <rPr>
        <b/>
        <sz val="10"/>
        <rFont val="宋体"/>
        <family val="3"/>
        <charset val="134"/>
      </rPr>
      <t>其他费用</t>
    </r>
  </si>
  <si>
    <r>
      <rPr>
        <b/>
        <sz val="10"/>
        <rFont val="宋体"/>
        <family val="3"/>
        <charset val="134"/>
      </rPr>
      <t>处置费用合计</t>
    </r>
  </si>
  <si>
    <r>
      <rPr>
        <b/>
        <sz val="10"/>
        <rFont val="宋体"/>
        <family val="3"/>
        <charset val="134"/>
      </rPr>
      <t>（二）资产预计未来现金流量的现值</t>
    </r>
  </si>
  <si>
    <r>
      <rPr>
        <b/>
        <sz val="10"/>
        <rFont val="Arial Narrow"/>
        <family val="2"/>
      </rPr>
      <t>1</t>
    </r>
    <r>
      <rPr>
        <b/>
        <sz val="10"/>
        <rFont val="宋体"/>
        <family val="3"/>
        <charset val="134"/>
      </rPr>
      <t>、项目名称：</t>
    </r>
  </si>
  <si>
    <r>
      <rPr>
        <b/>
        <sz val="10"/>
        <rFont val="宋体"/>
        <family val="3"/>
        <charset val="134"/>
      </rPr>
      <t>预计未来现金流量</t>
    </r>
  </si>
  <si>
    <r>
      <rPr>
        <b/>
        <sz val="10"/>
        <rFont val="宋体"/>
        <family val="3"/>
        <charset val="134"/>
      </rPr>
      <t>预算或者预测期</t>
    </r>
  </si>
  <si>
    <r>
      <rPr>
        <b/>
        <sz val="10"/>
        <rFont val="宋体"/>
        <family val="3"/>
        <charset val="134"/>
      </rPr>
      <t>以后年度</t>
    </r>
  </si>
  <si>
    <r>
      <rPr>
        <sz val="10"/>
        <rFont val="宋体"/>
        <family val="3"/>
        <charset val="134"/>
      </rPr>
      <t>行业的长期平均增长率</t>
    </r>
  </si>
  <si>
    <r>
      <rPr>
        <sz val="10"/>
        <rFont val="宋体"/>
        <family val="3"/>
        <charset val="134"/>
      </rPr>
      <t>市场长期平均增长率</t>
    </r>
  </si>
  <si>
    <r>
      <rPr>
        <sz val="10"/>
        <rFont val="宋体"/>
        <family val="3"/>
        <charset val="134"/>
      </rPr>
      <t>所在国家或地区的长期平均增长率</t>
    </r>
  </si>
  <si>
    <r>
      <rPr>
        <b/>
        <sz val="10"/>
        <rFont val="宋体"/>
        <family val="3"/>
        <charset val="134"/>
      </rPr>
      <t>增长率确定依据</t>
    </r>
  </si>
  <si>
    <r>
      <rPr>
        <b/>
        <sz val="10"/>
        <rFont val="宋体"/>
        <family val="3"/>
        <charset val="134"/>
      </rPr>
      <t>预计未来现金流量的现值</t>
    </r>
  </si>
  <si>
    <r>
      <rPr>
        <b/>
        <sz val="10"/>
        <rFont val="宋体"/>
        <family val="3"/>
        <charset val="134"/>
      </rPr>
      <t>第一年</t>
    </r>
  </si>
  <si>
    <r>
      <rPr>
        <b/>
        <sz val="10"/>
        <rFont val="宋体"/>
        <family val="3"/>
        <charset val="134"/>
      </rPr>
      <t>第二年</t>
    </r>
  </si>
  <si>
    <r>
      <rPr>
        <b/>
        <sz val="10"/>
        <rFont val="宋体"/>
        <family val="3"/>
        <charset val="134"/>
      </rPr>
      <t>第三年</t>
    </r>
  </si>
  <si>
    <r>
      <rPr>
        <b/>
        <sz val="10"/>
        <rFont val="宋体"/>
        <family val="3"/>
        <charset val="134"/>
      </rPr>
      <t>第四年</t>
    </r>
  </si>
  <si>
    <r>
      <rPr>
        <b/>
        <sz val="10"/>
        <rFont val="宋体"/>
        <family val="3"/>
        <charset val="134"/>
      </rPr>
      <t>第五年</t>
    </r>
  </si>
  <si>
    <r>
      <rPr>
        <b/>
        <sz val="10"/>
        <rFont val="宋体"/>
        <family val="3"/>
        <charset val="134"/>
      </rPr>
      <t>基数</t>
    </r>
  </si>
  <si>
    <r>
      <rPr>
        <b/>
        <sz val="10"/>
        <rFont val="宋体"/>
        <family val="3"/>
        <charset val="134"/>
      </rPr>
      <t>增长率</t>
    </r>
  </si>
  <si>
    <r>
      <rPr>
        <sz val="10"/>
        <rFont val="宋体"/>
        <family val="3"/>
        <charset val="134"/>
      </rPr>
      <t>现金净流量（税前）</t>
    </r>
  </si>
  <si>
    <r>
      <rPr>
        <sz val="10"/>
        <rFont val="宋体"/>
        <family val="3"/>
        <charset val="134"/>
      </rPr>
      <t>折现系数</t>
    </r>
  </si>
  <si>
    <r>
      <rPr>
        <sz val="9"/>
        <color indexed="12"/>
        <rFont val="宋体"/>
        <family val="3"/>
        <charset val="134"/>
      </rPr>
      <t>（企业管理层如能证明递增的增长率是合理的，可以以递增的增长率为基础。）</t>
    </r>
  </si>
  <si>
    <r>
      <rPr>
        <sz val="10"/>
        <rFont val="宋体"/>
        <family val="3"/>
        <charset val="134"/>
      </rPr>
      <t>现值</t>
    </r>
  </si>
  <si>
    <r>
      <rPr>
        <sz val="9"/>
        <color indexed="12"/>
        <rFont val="宋体"/>
        <family val="3"/>
        <charset val="134"/>
      </rPr>
      <t>（建立在预算或者预测基础上的预计现金流量最多涵盖</t>
    </r>
    <r>
      <rPr>
        <sz val="9"/>
        <color indexed="12"/>
        <rFont val="Arial Narrow"/>
        <family val="2"/>
      </rPr>
      <t>5</t>
    </r>
    <r>
      <rPr>
        <sz val="9"/>
        <color indexed="12"/>
        <rFont val="宋体"/>
        <family val="3"/>
        <charset val="134"/>
      </rPr>
      <t>年。）</t>
    </r>
  </si>
  <si>
    <r>
      <rPr>
        <b/>
        <sz val="10"/>
        <rFont val="宋体"/>
        <family val="3"/>
        <charset val="134"/>
      </rPr>
      <t>折现率</t>
    </r>
  </si>
  <si>
    <r>
      <rPr>
        <b/>
        <sz val="10"/>
        <rFont val="宋体"/>
        <family val="3"/>
        <charset val="134"/>
      </rPr>
      <t>所得税率</t>
    </r>
  </si>
  <si>
    <r>
      <rPr>
        <b/>
        <sz val="10"/>
        <rFont val="宋体"/>
        <family val="3"/>
        <charset val="134"/>
      </rPr>
      <t xml:space="preserve">债务总额
</t>
    </r>
    <r>
      <rPr>
        <b/>
        <sz val="10"/>
        <rFont val="Arial Narrow"/>
        <family val="2"/>
      </rPr>
      <t>D</t>
    </r>
  </si>
  <si>
    <r>
      <rPr>
        <b/>
        <sz val="10"/>
        <rFont val="宋体"/>
        <family val="3"/>
        <charset val="134"/>
      </rPr>
      <t xml:space="preserve">资本总额
</t>
    </r>
    <r>
      <rPr>
        <b/>
        <sz val="10"/>
        <rFont val="Arial Narrow"/>
        <family val="2"/>
      </rPr>
      <t>E</t>
    </r>
  </si>
  <si>
    <r>
      <rPr>
        <b/>
        <sz val="10"/>
        <rFont val="宋体"/>
        <family val="3"/>
        <charset val="134"/>
      </rPr>
      <t>债务成本</t>
    </r>
    <r>
      <rPr>
        <b/>
        <sz val="10"/>
        <rFont val="Arial Narrow"/>
        <family val="2"/>
      </rPr>
      <t>K</t>
    </r>
    <r>
      <rPr>
        <b/>
        <sz val="8"/>
        <rFont val="Arial Narrow"/>
        <family val="2"/>
      </rPr>
      <t>d</t>
    </r>
  </si>
  <si>
    <r>
      <rPr>
        <b/>
        <sz val="10"/>
        <rFont val="宋体"/>
        <family val="3"/>
        <charset val="134"/>
      </rPr>
      <t>无风险报酬率</t>
    </r>
    <r>
      <rPr>
        <b/>
        <sz val="10"/>
        <rFont val="Arial Narrow"/>
        <family val="2"/>
      </rPr>
      <t>R</t>
    </r>
    <r>
      <rPr>
        <b/>
        <sz val="8"/>
        <rFont val="Arial Narrow"/>
        <family val="2"/>
      </rPr>
      <t>f</t>
    </r>
  </si>
  <si>
    <r>
      <rPr>
        <b/>
        <sz val="10"/>
        <rFont val="Arial Narrow"/>
        <family val="2"/>
      </rPr>
      <t>β</t>
    </r>
    <r>
      <rPr>
        <b/>
        <sz val="10"/>
        <rFont val="宋体"/>
        <family val="3"/>
        <charset val="134"/>
      </rPr>
      <t>系数</t>
    </r>
  </si>
  <si>
    <r>
      <rPr>
        <b/>
        <sz val="10"/>
        <rFont val="宋体"/>
        <family val="3"/>
        <charset val="134"/>
      </rPr>
      <t>市场平均收益率</t>
    </r>
    <r>
      <rPr>
        <b/>
        <sz val="10"/>
        <rFont val="Arial Narrow"/>
        <family val="2"/>
      </rPr>
      <t>R</t>
    </r>
    <r>
      <rPr>
        <b/>
        <sz val="8"/>
        <rFont val="Arial Narrow"/>
        <family val="2"/>
      </rPr>
      <t>m</t>
    </r>
  </si>
  <si>
    <r>
      <rPr>
        <b/>
        <sz val="10"/>
        <rFont val="宋体"/>
        <family val="3"/>
        <charset val="134"/>
      </rPr>
      <t>资本成本</t>
    </r>
    <r>
      <rPr>
        <b/>
        <sz val="10"/>
        <rFont val="Arial Narrow"/>
        <family val="2"/>
      </rPr>
      <t>Ke</t>
    </r>
  </si>
  <si>
    <r>
      <rPr>
        <b/>
        <sz val="10"/>
        <rFont val="Arial Narrow"/>
        <family val="2"/>
      </rPr>
      <t>WACC
(</t>
    </r>
    <r>
      <rPr>
        <b/>
        <sz val="10"/>
        <rFont val="宋体"/>
        <family val="3"/>
        <charset val="134"/>
      </rPr>
      <t>税后</t>
    </r>
    <r>
      <rPr>
        <b/>
        <sz val="10"/>
        <rFont val="Arial Narrow"/>
        <family val="2"/>
      </rPr>
      <t>)</t>
    </r>
  </si>
  <si>
    <r>
      <rPr>
        <sz val="10"/>
        <rFont val="宋体"/>
        <family val="3"/>
        <charset val="134"/>
      </rPr>
      <t>折现率</t>
    </r>
    <r>
      <rPr>
        <sz val="10"/>
        <rFont val="Arial Narrow"/>
        <family val="2"/>
      </rPr>
      <t xml:space="preserve">
(</t>
    </r>
    <r>
      <rPr>
        <sz val="10"/>
        <rFont val="宋体"/>
        <family val="3"/>
        <charset val="134"/>
      </rPr>
      <t>税前</t>
    </r>
    <r>
      <rPr>
        <sz val="10"/>
        <rFont val="Arial Narrow"/>
        <family val="2"/>
      </rPr>
      <t>)</t>
    </r>
  </si>
  <si>
    <r>
      <rPr>
        <b/>
        <sz val="10"/>
        <rFont val="宋体"/>
        <family val="3"/>
        <charset val="134"/>
      </rPr>
      <t>税后折税前调整说明</t>
    </r>
  </si>
  <si>
    <r>
      <rPr>
        <b/>
        <sz val="10"/>
        <rFont val="宋体"/>
        <family val="3"/>
        <charset val="134"/>
      </rPr>
      <t>适用税率</t>
    </r>
  </si>
  <si>
    <r>
      <rPr>
        <b/>
        <sz val="10"/>
        <rFont val="宋体"/>
        <family val="3"/>
        <charset val="134"/>
      </rPr>
      <t>税率调整</t>
    </r>
  </si>
  <si>
    <r>
      <rPr>
        <b/>
        <sz val="10"/>
        <rFont val="宋体"/>
        <family val="3"/>
        <charset val="134"/>
      </rPr>
      <t>调整说明</t>
    </r>
  </si>
  <si>
    <r>
      <rPr>
        <sz val="10"/>
        <rFont val="宋体"/>
        <family val="3"/>
        <charset val="134"/>
      </rPr>
      <t>加权平均资金成本</t>
    </r>
  </si>
  <si>
    <r>
      <rPr>
        <b/>
        <sz val="10"/>
        <rFont val="Arial Narrow"/>
        <family val="2"/>
      </rPr>
      <t>2</t>
    </r>
    <r>
      <rPr>
        <b/>
        <sz val="10"/>
        <rFont val="宋体"/>
        <family val="3"/>
        <charset val="134"/>
      </rPr>
      <t>、项目名称：</t>
    </r>
  </si>
  <si>
    <r>
      <rPr>
        <b/>
        <sz val="10"/>
        <rFont val="Arial Narrow"/>
        <family val="2"/>
      </rPr>
      <t>3</t>
    </r>
    <r>
      <rPr>
        <b/>
        <sz val="10"/>
        <rFont val="宋体"/>
        <family val="3"/>
        <charset val="134"/>
      </rPr>
      <t>、项目名称：</t>
    </r>
  </si>
  <si>
    <r>
      <rPr>
        <sz val="10"/>
        <color indexed="12"/>
        <rFont val="Arial Narrow"/>
        <family val="2"/>
      </rPr>
      <t>1</t>
    </r>
    <r>
      <rPr>
        <sz val="10"/>
        <color indexed="12"/>
        <rFont val="宋体"/>
        <family val="3"/>
        <charset val="134"/>
      </rPr>
      <t>、可收回金额应当根据资产的公允价值减去处置费用后的净额与资产预计未来现金流量的现值两者之间较高者确定。</t>
    </r>
  </si>
  <si>
    <r>
      <rPr>
        <sz val="10"/>
        <color indexed="12"/>
        <rFont val="Arial Narrow"/>
        <family val="2"/>
      </rPr>
      <t>2</t>
    </r>
    <r>
      <rPr>
        <sz val="10"/>
        <color indexed="12"/>
        <rFont val="宋体"/>
        <family val="3"/>
        <charset val="134"/>
      </rPr>
      <t>、资产的公允价值减去处置费用后的净额，应当根据公平交易中销售协议价格减去可直接归属于该资产处置费用的金额确定。不存在销售协议但存在资产活跃市场的，</t>
    </r>
  </si>
  <si>
    <r>
      <rPr>
        <sz val="10"/>
        <color indexed="12"/>
        <rFont val="宋体"/>
        <family val="3"/>
        <charset val="134"/>
      </rPr>
      <t>应当按照该资产的市场价格减去处置费用后的金额确定。资产的市场价格通常应当根据资产的买方出价确定。在不存在销售协议和资产活跃市场的情况下，应当</t>
    </r>
  </si>
  <si>
    <r>
      <rPr>
        <sz val="10"/>
        <color indexed="12"/>
        <rFont val="宋体"/>
        <family val="3"/>
        <charset val="134"/>
      </rPr>
      <t>以可获取的最佳信息为基础，估计资产的公允价值减去处置费用后的净额，该净额可以参考同行业类似资产的最近交易价格或者结果进行估计。企业按照上述规定</t>
    </r>
  </si>
  <si>
    <r>
      <rPr>
        <sz val="10"/>
        <color indexed="12"/>
        <rFont val="宋体"/>
        <family val="3"/>
        <charset val="134"/>
      </rPr>
      <t>仍然无法可靠估计资产的公允价值减去处置费用后的净额的，应当以该资产预计未来现金流量的现值作为其可收回金额。</t>
    </r>
  </si>
  <si>
    <r>
      <rPr>
        <sz val="10"/>
        <color indexed="12"/>
        <rFont val="Arial Narrow"/>
        <family val="2"/>
      </rPr>
      <t>3</t>
    </r>
    <r>
      <rPr>
        <sz val="10"/>
        <color indexed="12"/>
        <rFont val="宋体"/>
        <family val="3"/>
        <charset val="134"/>
      </rPr>
      <t>、处置费用包括与资产处置有关的法律费用、相关税费、搬运费以及为使资产达到可销售状态所发生的直接费用等。</t>
    </r>
  </si>
  <si>
    <r>
      <rPr>
        <sz val="10"/>
        <color indexed="12"/>
        <rFont val="Arial Narrow"/>
        <family val="2"/>
      </rPr>
      <t>4</t>
    </r>
    <r>
      <rPr>
        <sz val="10"/>
        <color indexed="12"/>
        <rFont val="宋体"/>
        <family val="3"/>
        <charset val="134"/>
      </rPr>
      <t>、资产预计未来现金流量的现值，应当按照资产在持续使用过程中和最终处置时所产生的预计未来现金流量，选择恰当的折现率对其进行折现后的金额加以确定。</t>
    </r>
  </si>
  <si>
    <r>
      <rPr>
        <sz val="10"/>
        <color indexed="12"/>
        <rFont val="Arial Narrow"/>
        <family val="2"/>
      </rPr>
      <t>5</t>
    </r>
    <r>
      <rPr>
        <sz val="10"/>
        <color indexed="12"/>
        <rFont val="宋体"/>
        <family val="3"/>
        <charset val="134"/>
      </rPr>
      <t>、预计资产的未来现金流量，应当以经企业管理层批准的最近财务预算或者预测数据，以及该预算或者预测期之后年份稳定的或者递减的增长率为基础。</t>
    </r>
  </si>
  <si>
    <r>
      <rPr>
        <sz val="10"/>
        <color indexed="12"/>
        <rFont val="宋体"/>
        <family val="3"/>
        <charset val="134"/>
      </rPr>
      <t>预计的资产未来现金流量应当包括下列各项：</t>
    </r>
  </si>
  <si>
    <r>
      <rPr>
        <sz val="10"/>
        <color indexed="12"/>
        <rFont val="宋体"/>
        <family val="3"/>
        <charset val="134"/>
      </rPr>
      <t>　　（一）资产持续使用过程中预计产生的现金流入。</t>
    </r>
  </si>
  <si>
    <r>
      <rPr>
        <sz val="10"/>
        <color indexed="12"/>
        <rFont val="宋体"/>
        <family val="3"/>
        <charset val="134"/>
      </rPr>
      <t>　　（二）为实现资产持续使用过程中产生的现金流入所必需的预计现金流出（包括为使资产达到预定可使用状态所发生的现金流出）。该现金流出应当是可直接归属</t>
    </r>
  </si>
  <si>
    <r>
      <rPr>
        <sz val="10"/>
        <color indexed="12"/>
        <rFont val="宋体"/>
        <family val="3"/>
        <charset val="134"/>
      </rPr>
      <t>于或者可通过合理和一致的基础分配到资产中的现金流出。</t>
    </r>
  </si>
  <si>
    <r>
      <rPr>
        <sz val="10"/>
        <color indexed="12"/>
        <rFont val="宋体"/>
        <family val="3"/>
        <charset val="134"/>
      </rPr>
      <t>　　（三）资产使用寿命结束时，处置资产所收到或者支付的净现金流量。该现金流量应当是在公平交易中，熟悉情况的交易双方自愿进行交易时，企业预期可从资产的</t>
    </r>
  </si>
  <si>
    <r>
      <rPr>
        <sz val="10"/>
        <color indexed="12"/>
        <rFont val="宋体"/>
        <family val="3"/>
        <charset val="134"/>
      </rPr>
      <t>处置中获取或者支付的、减去预计处置费用后的金额。</t>
    </r>
  </si>
  <si>
    <r>
      <rPr>
        <sz val="10"/>
        <rFont val="宋体"/>
        <family val="3"/>
        <charset val="134"/>
      </rPr>
      <t>建立在预算或者预测基础上的预计现金流量最多涵盖</t>
    </r>
    <r>
      <rPr>
        <sz val="10"/>
        <rFont val="Arial Narrow"/>
        <family val="2"/>
      </rPr>
      <t>5</t>
    </r>
    <r>
      <rPr>
        <sz val="10"/>
        <rFont val="宋体"/>
        <family val="3"/>
        <charset val="134"/>
      </rPr>
      <t>年（涵盖更长的期间需证明合理性）。</t>
    </r>
  </si>
  <si>
    <r>
      <rPr>
        <sz val="10"/>
        <color indexed="12"/>
        <rFont val="Arial Narrow"/>
        <family val="2"/>
      </rPr>
      <t>6</t>
    </r>
    <r>
      <rPr>
        <sz val="10"/>
        <color indexed="12"/>
        <rFont val="宋体"/>
        <family val="3"/>
        <charset val="134"/>
      </rPr>
      <t>、折现率是反映当前市场货币时间价值和资产特定风险的税前利率。该折现率是企业在购置或者投资资产时所要求的必要报酬率。</t>
    </r>
  </si>
  <si>
    <r>
      <rPr>
        <sz val="10"/>
        <color indexed="12"/>
        <rFont val="宋体"/>
        <family val="3"/>
        <charset val="134"/>
      </rPr>
      <t>折现率的确定通常应当以该资产的市场利率为依据。无法从市场获得的，可以使用替代利率估计折现率。</t>
    </r>
  </si>
  <si>
    <r>
      <rPr>
        <sz val="10"/>
        <color indexed="12"/>
        <rFont val="宋体"/>
        <family val="3"/>
        <charset val="134"/>
      </rPr>
      <t>加权平均资金成本（税后）</t>
    </r>
    <r>
      <rPr>
        <sz val="10"/>
        <color indexed="12"/>
        <rFont val="Arial Narrow"/>
        <family val="2"/>
      </rPr>
      <t>:</t>
    </r>
  </si>
  <si>
    <r>
      <rPr>
        <sz val="10"/>
        <rFont val="宋体"/>
        <family val="3"/>
        <charset val="134"/>
      </rPr>
      <t>折现率应当反映与内含在预计现金流量中的假设相一致的假设</t>
    </r>
  </si>
  <si>
    <r>
      <rPr>
        <sz val="10"/>
        <rFont val="宋体"/>
        <family val="3"/>
        <charset val="134"/>
      </rPr>
      <t>折现率的口径应与现金流的口径一致，即现金流若为税后则相应折现率取税后。</t>
    </r>
  </si>
  <si>
    <r>
      <rPr>
        <b/>
        <sz val="10"/>
        <rFont val="宋体"/>
        <family val="3"/>
        <charset val="134"/>
      </rPr>
      <t>债务总额（</t>
    </r>
    <r>
      <rPr>
        <b/>
        <sz val="10"/>
        <rFont val="Arial Narrow"/>
        <family val="2"/>
      </rPr>
      <t>D</t>
    </r>
    <r>
      <rPr>
        <b/>
        <sz val="10"/>
        <rFont val="宋体"/>
        <family val="3"/>
        <charset val="134"/>
      </rPr>
      <t>）</t>
    </r>
  </si>
  <si>
    <r>
      <rPr>
        <sz val="10"/>
        <rFont val="Arial Narrow"/>
        <family val="2"/>
      </rPr>
      <t>Capital Employed</t>
    </r>
    <r>
      <rPr>
        <sz val="10"/>
        <rFont val="宋体"/>
        <family val="3"/>
        <charset val="134"/>
      </rPr>
      <t>（</t>
    </r>
    <r>
      <rPr>
        <sz val="10"/>
        <rFont val="Arial Narrow"/>
        <family val="2"/>
      </rPr>
      <t>CE</t>
    </r>
    <r>
      <rPr>
        <sz val="10"/>
        <rFont val="宋体"/>
        <family val="3"/>
        <charset val="134"/>
      </rPr>
      <t>）中债权人享有的部分，指有息债务总额，一般指长期占用的有息负债；</t>
    </r>
  </si>
  <si>
    <r>
      <rPr>
        <sz val="10"/>
        <rFont val="宋体"/>
        <family val="3"/>
        <charset val="134"/>
      </rPr>
      <t>如果企业的长期资产有一部分是由短期负债支撑的，可以用短期借款</t>
    </r>
    <r>
      <rPr>
        <sz val="10"/>
        <rFont val="Arial Narrow"/>
        <family val="2"/>
      </rPr>
      <t>+</t>
    </r>
    <r>
      <rPr>
        <sz val="10"/>
        <rFont val="宋体"/>
        <family val="3"/>
        <charset val="134"/>
      </rPr>
      <t>长期借款。</t>
    </r>
  </si>
  <si>
    <r>
      <rPr>
        <sz val="10"/>
        <rFont val="宋体"/>
        <family val="3"/>
        <charset val="134"/>
      </rPr>
      <t>严格来说，计算</t>
    </r>
    <r>
      <rPr>
        <sz val="10"/>
        <rFont val="Arial Narrow"/>
        <family val="2"/>
      </rPr>
      <t>WACC</t>
    </r>
    <r>
      <rPr>
        <sz val="10"/>
        <rFont val="宋体"/>
        <family val="3"/>
        <charset val="134"/>
      </rPr>
      <t>应使用债务总额的市场价值；一般认为负债的市场价值和账面价值相同。</t>
    </r>
  </si>
  <si>
    <r>
      <rPr>
        <b/>
        <sz val="10"/>
        <rFont val="宋体"/>
        <family val="3"/>
        <charset val="134"/>
      </rPr>
      <t>资本总额（</t>
    </r>
    <r>
      <rPr>
        <b/>
        <sz val="10"/>
        <rFont val="Arial Narrow"/>
        <family val="2"/>
      </rPr>
      <t>E</t>
    </r>
    <r>
      <rPr>
        <b/>
        <sz val="10"/>
        <rFont val="宋体"/>
        <family val="3"/>
        <charset val="134"/>
      </rPr>
      <t>）</t>
    </r>
  </si>
  <si>
    <r>
      <rPr>
        <sz val="10"/>
        <rFont val="Arial Narrow"/>
        <family val="2"/>
      </rPr>
      <t>Capital Employed</t>
    </r>
    <r>
      <rPr>
        <sz val="10"/>
        <rFont val="宋体"/>
        <family val="3"/>
        <charset val="134"/>
      </rPr>
      <t>（</t>
    </r>
    <r>
      <rPr>
        <sz val="10"/>
        <rFont val="Arial Narrow"/>
        <family val="2"/>
      </rPr>
      <t>CE</t>
    </r>
    <r>
      <rPr>
        <sz val="10"/>
        <rFont val="宋体"/>
        <family val="3"/>
        <charset val="134"/>
      </rPr>
      <t>）中股东投入的部分，包含股本、股本溢价及留存收益。</t>
    </r>
  </si>
  <si>
    <r>
      <rPr>
        <sz val="10"/>
        <rFont val="宋体"/>
        <family val="3"/>
        <charset val="134"/>
      </rPr>
      <t>严格来说，计算</t>
    </r>
    <r>
      <rPr>
        <sz val="10"/>
        <rFont val="Arial Narrow"/>
        <family val="2"/>
      </rPr>
      <t>WACC</t>
    </r>
    <r>
      <rPr>
        <sz val="10"/>
        <rFont val="宋体"/>
        <family val="3"/>
        <charset val="134"/>
      </rPr>
      <t>应使用资本总额的市场价值；一般认为资本的市场价值就是股票市值。</t>
    </r>
  </si>
  <si>
    <r>
      <rPr>
        <b/>
        <sz val="10"/>
        <rFont val="宋体"/>
        <family val="3"/>
        <charset val="134"/>
      </rPr>
      <t>税前债务成本（</t>
    </r>
    <r>
      <rPr>
        <b/>
        <sz val="10"/>
        <rFont val="Arial Narrow"/>
        <family val="2"/>
      </rPr>
      <t>Kd</t>
    </r>
    <r>
      <rPr>
        <b/>
        <sz val="10"/>
        <rFont val="宋体"/>
        <family val="3"/>
        <charset val="134"/>
      </rPr>
      <t>）</t>
    </r>
  </si>
  <si>
    <r>
      <rPr>
        <sz val="10"/>
        <rFont val="宋体"/>
        <family val="3"/>
        <charset val="134"/>
      </rPr>
      <t>应当是未来的增量资金的边际成本，不是已经筹集资金的历史成本。</t>
    </r>
  </si>
  <si>
    <r>
      <rPr>
        <sz val="10"/>
        <rFont val="宋体"/>
        <family val="3"/>
        <charset val="134"/>
      </rPr>
      <t>实务中可以选择企业或可比企业发行的长期债券的到期收益率（将债券在预期存续期间内的未来现金流量，折现为该债券当前市价所使用的利率）。</t>
    </r>
  </si>
  <si>
    <r>
      <rPr>
        <sz val="10"/>
        <rFont val="宋体"/>
        <family val="3"/>
        <charset val="134"/>
      </rPr>
      <t>若企业没有上市的债券，也找不到合适的可比公司，则可以使用增量借款利率或企业最近一次借款的利率。</t>
    </r>
  </si>
  <si>
    <r>
      <rPr>
        <b/>
        <sz val="10"/>
        <rFont val="宋体"/>
        <family val="3"/>
        <charset val="134"/>
      </rPr>
      <t>无风险报酬率</t>
    </r>
    <r>
      <rPr>
        <b/>
        <sz val="10"/>
        <rFont val="Arial Narrow"/>
        <family val="2"/>
      </rPr>
      <t>Rf</t>
    </r>
  </si>
  <si>
    <r>
      <rPr>
        <sz val="10"/>
        <rFont val="宋体"/>
        <family val="3"/>
        <charset val="134"/>
      </rPr>
      <t>通常可选择上市交易的政府长期债券的</t>
    </r>
    <r>
      <rPr>
        <b/>
        <sz val="10"/>
        <rFont val="宋体"/>
        <family val="3"/>
        <charset val="134"/>
      </rPr>
      <t>到期收益率</t>
    </r>
    <r>
      <rPr>
        <sz val="10"/>
        <rFont val="宋体"/>
        <family val="3"/>
        <charset val="134"/>
      </rPr>
      <t>（</t>
    </r>
    <r>
      <rPr>
        <sz val="10"/>
        <rFont val="Arial Narrow"/>
        <family val="2"/>
      </rPr>
      <t>10</t>
    </r>
    <r>
      <rPr>
        <sz val="10"/>
        <rFont val="宋体"/>
        <family val="3"/>
        <charset val="134"/>
      </rPr>
      <t>年期财政部债券名义利率）。</t>
    </r>
  </si>
  <si>
    <r>
      <rPr>
        <b/>
        <sz val="10"/>
        <rFont val="宋体"/>
        <family val="3"/>
        <charset val="134"/>
      </rPr>
      <t>市场平均收益率</t>
    </r>
    <r>
      <rPr>
        <b/>
        <sz val="10"/>
        <rFont val="Arial Narrow"/>
        <family val="2"/>
      </rPr>
      <t>Rm</t>
    </r>
  </si>
  <si>
    <r>
      <rPr>
        <sz val="10"/>
        <rFont val="宋体"/>
        <family val="3"/>
        <charset val="134"/>
      </rPr>
      <t>指</t>
    </r>
    <r>
      <rPr>
        <sz val="10"/>
        <rFont val="Arial Narrow"/>
        <family val="2"/>
      </rPr>
      <t>β=1</t>
    </r>
    <r>
      <rPr>
        <sz val="10"/>
        <rFont val="宋体"/>
        <family val="3"/>
        <charset val="134"/>
      </rPr>
      <t>的股票要求的收益率，也是指包括所有股票的组合即市场组合要求的收益率。</t>
    </r>
  </si>
  <si>
    <r>
      <rPr>
        <sz val="10"/>
        <rFont val="宋体"/>
        <family val="3"/>
        <charset val="134"/>
      </rPr>
      <t>建议采用几何平均收益率，并应选择较长的时间跨度（既包括经济繁荣时期，也包括经济衰退时期）。</t>
    </r>
  </si>
  <si>
    <r>
      <rPr>
        <sz val="10"/>
        <rFont val="宋体"/>
        <family val="3"/>
        <charset val="134"/>
      </rPr>
      <t>资产组的收益率与市场组合之间的相关性，反映了相对于市场组合而言特定资产的系统风险。</t>
    </r>
  </si>
  <si>
    <r>
      <rPr>
        <sz val="10"/>
        <rFont val="宋体"/>
        <family val="3"/>
        <charset val="134"/>
      </rPr>
      <t>计算</t>
    </r>
    <r>
      <rPr>
        <sz val="10"/>
        <rFont val="Arial Narrow"/>
        <family val="2"/>
      </rPr>
      <t>β</t>
    </r>
    <r>
      <rPr>
        <sz val="10"/>
        <rFont val="宋体"/>
        <family val="3"/>
        <charset val="134"/>
      </rPr>
      <t>值时，需要考虑有关预测期间的长度和收益计量的时间间隔。在公司风险特征无重大变化时，可以采用</t>
    </r>
    <r>
      <rPr>
        <sz val="10"/>
        <rFont val="Arial Narrow"/>
        <family val="2"/>
      </rPr>
      <t>5</t>
    </r>
    <r>
      <rPr>
        <sz val="10"/>
        <rFont val="宋体"/>
        <family val="3"/>
        <charset val="134"/>
      </rPr>
      <t>年或更长的预测期长度；</t>
    </r>
  </si>
  <si>
    <r>
      <rPr>
        <sz val="10"/>
        <rFont val="宋体"/>
        <family val="3"/>
        <charset val="134"/>
      </rPr>
      <t>收益计量的时间间隔一般使用每周或每月的收益率。</t>
    </r>
  </si>
  <si>
    <r>
      <rPr>
        <sz val="10"/>
        <color indexed="12"/>
        <rFont val="宋体"/>
        <family val="3"/>
        <charset val="134"/>
      </rPr>
      <t>资产组，是指企业可以认定的最小资产组合，其产生的现金流入应当基本上独立于其他资产或者资产组产生的现金流入。</t>
    </r>
  </si>
  <si>
    <t>复核被审计单位减值测试过程及结论</t>
  </si>
  <si>
    <t>一、关注并复核公司商誉减值测试工作过程（适用于管理层和注册会计师均未利用专家的工作）</t>
  </si>
  <si>
    <t>若管理层利用了专家的工作，则该底稿被S13-3-1或S13-3-2替代。</t>
  </si>
  <si>
    <t>若项目组利用专家（注册会计师的专家）的工作，则该底稿被S12-3-1或S12-3-2替代。</t>
  </si>
  <si>
    <r>
      <rPr>
        <b/>
        <sz val="10"/>
        <rFont val="Arial Narrow"/>
        <family val="2"/>
      </rPr>
      <t>1</t>
    </r>
    <r>
      <rPr>
        <b/>
        <sz val="10"/>
        <rFont val="宋体"/>
        <family val="3"/>
        <charset val="134"/>
      </rPr>
      <t>、公司对商誉减值迹象的判断是否合理</t>
    </r>
  </si>
  <si>
    <t>当存在减值迹象时，应随时进行减值测试。</t>
  </si>
  <si>
    <r>
      <rPr>
        <b/>
        <sz val="10"/>
        <rFont val="Arial Narrow"/>
        <family val="2"/>
      </rPr>
      <t>2</t>
    </r>
    <r>
      <rPr>
        <b/>
        <sz val="10"/>
        <rFont val="宋体"/>
        <family val="3"/>
        <charset val="134"/>
      </rPr>
      <t>、公司对商誉所在资产组或资产组组合的划分是否合理，是否将商誉账面价值在资产组或资产组组合之间恰当分摊</t>
    </r>
  </si>
  <si>
    <t>因企业合并形成的商誉的账面价值，应当自购买日起按照合理的方法分摊至相关的资产组（购买方预计受益于企业合并的协同效应的资产组，可以包括购买方原有业务中的资产组）。
商誉的分摊，详见《会计提示第73号—商誉减值测试》附录2</t>
  </si>
  <si>
    <r>
      <rPr>
        <b/>
        <sz val="10"/>
        <rFont val="Arial Narrow"/>
        <family val="2"/>
      </rPr>
      <t>3</t>
    </r>
    <r>
      <rPr>
        <b/>
        <sz val="10"/>
        <rFont val="宋体"/>
        <family val="3"/>
        <charset val="134"/>
      </rPr>
      <t>、公司确定的减值测试方法与模型是否恰当</t>
    </r>
  </si>
  <si>
    <r>
      <rPr>
        <sz val="10"/>
        <color rgb="FF3333FF"/>
        <rFont val="宋体"/>
        <family val="3"/>
        <charset val="134"/>
      </rPr>
      <t>将原收购的标的公司</t>
    </r>
    <r>
      <rPr>
        <sz val="10"/>
        <color rgb="FF3333FF"/>
        <rFont val="Arial Narrow"/>
        <family val="2"/>
      </rPr>
      <t>“</t>
    </r>
    <r>
      <rPr>
        <sz val="10"/>
        <color rgb="FF3333FF"/>
        <rFont val="宋体"/>
        <family val="3"/>
        <charset val="134"/>
      </rPr>
      <t>全部资产和全部负债组成的资产组（股东权益）</t>
    </r>
    <r>
      <rPr>
        <sz val="10"/>
        <color rgb="FF3333FF"/>
        <rFont val="Arial Narrow"/>
        <family val="2"/>
      </rPr>
      <t>”</t>
    </r>
    <r>
      <rPr>
        <sz val="10"/>
        <color rgb="FF3333FF"/>
        <rFont val="宋体"/>
        <family val="3"/>
        <charset val="134"/>
      </rPr>
      <t>界定为评估对象采用股东权益价值方法，不符合会计准则的要求。商誉减值测试的范围不是原标的公司的股权，而是被分摊商誉的资产组或资产组组合。</t>
    </r>
  </si>
  <si>
    <r>
      <rPr>
        <b/>
        <sz val="10"/>
        <rFont val="Arial Narrow"/>
        <family val="2"/>
      </rPr>
      <t>5</t>
    </r>
    <r>
      <rPr>
        <b/>
        <sz val="10"/>
        <rFont val="宋体"/>
        <family val="3"/>
        <charset val="134"/>
      </rPr>
      <t>、评价计算使用价值（预计未来现金流量的现值）选用的参数和具体处理</t>
    </r>
  </si>
  <si>
    <r>
      <rPr>
        <b/>
        <sz val="10"/>
        <rFont val="宋体"/>
        <family val="3"/>
        <charset val="134"/>
      </rPr>
      <t>（</t>
    </r>
    <r>
      <rPr>
        <b/>
        <sz val="10"/>
        <rFont val="Arial Narrow"/>
        <family val="2"/>
      </rPr>
      <t>1</t>
    </r>
    <r>
      <rPr>
        <b/>
        <sz val="10"/>
        <rFont val="宋体"/>
        <family val="3"/>
        <charset val="134"/>
      </rPr>
      <t>）盈利预测是否有可靠的数据来源，是否与历史数据、运营计划、商业机会、行业数据、行业研究报告、宏观经济运行状况相符</t>
    </r>
  </si>
  <si>
    <t>资产组价值=企业自由现金流评估值（经营性资产价值）－期初营运资金
其中，企业自由现金流评估值（经营性资产价值）＝EBIT +折旧及摊销－营运资本增加额－资本性支出
EBIT=营业务收入－营业务成本－税金及附加－销售费用－管理费用
（为了便于评估资产组的未来现金流量，可以将营运资金纳入其现金流预测模型不予扣除，那么此时用于对比的包含商誉的资产组账面价值中也应包含营运资金）</t>
  </si>
  <si>
    <t>（2）对于营运资金的口径判断是否与非经营性资产负债一致</t>
  </si>
  <si>
    <t>若在确定可收回金额的未来现金流量时考虑了期初营运资金的影响，则资产组的账面价值中也应包括营运资金，即资产组也不得扣除与经营相关的流动资产和流动负债。</t>
  </si>
  <si>
    <t>（3）资本性支出预测是否与预算、运营计划一致</t>
  </si>
  <si>
    <r>
      <rPr>
        <sz val="9"/>
        <rFont val="宋体"/>
        <family val="3"/>
        <charset val="134"/>
      </rPr>
      <t>资本性支出</t>
    </r>
    <r>
      <rPr>
        <sz val="9"/>
        <rFont val="Arial Narrow"/>
        <family val="2"/>
      </rPr>
      <t>=</t>
    </r>
    <r>
      <rPr>
        <sz val="9"/>
        <rFont val="宋体"/>
        <family val="3"/>
        <charset val="134"/>
      </rPr>
      <t>资产性更新投资</t>
    </r>
    <r>
      <rPr>
        <sz val="9"/>
        <rFont val="Arial Narrow"/>
        <family val="2"/>
      </rPr>
      <t>+</t>
    </r>
    <r>
      <rPr>
        <sz val="9"/>
        <rFont val="宋体"/>
        <family val="3"/>
        <charset val="134"/>
      </rPr>
      <t>新增长期资产投资（新增固定资产或其他长期资产）</t>
    </r>
  </si>
  <si>
    <t>（4）折旧摊销费用预测是否合理</t>
  </si>
  <si>
    <t>（5）收益期（增长期及永续期）选择是否合理</t>
  </si>
  <si>
    <r>
      <rPr>
        <sz val="9"/>
        <rFont val="宋体"/>
        <family val="3"/>
        <charset val="134"/>
      </rPr>
      <t>在确定未来现金净流量的预测期时，应建立在经管理层批准的最近财务预算或预测数据基础上，原则上最多涵盖</t>
    </r>
    <r>
      <rPr>
        <sz val="9"/>
        <rFont val="Arial Narrow"/>
        <family val="2"/>
      </rPr>
      <t>5</t>
    </r>
    <r>
      <rPr>
        <sz val="9"/>
        <rFont val="宋体"/>
        <family val="3"/>
        <charset val="134"/>
      </rPr>
      <t>年。</t>
    </r>
  </si>
  <si>
    <t>（6）可比公司或可比交易的选择是否合理</t>
  </si>
  <si>
    <t>（7）折现率计算是否合理</t>
  </si>
  <si>
    <t>对折现率预测时，是否与相应的宏观、行业、地域、特定市场、特定市场主体的风险因素相匹配，是否与未来现金净流量均一致采用税前口径。</t>
  </si>
  <si>
    <t>（8）终值的处理是否合理</t>
  </si>
  <si>
    <t>假设使用后续现金流量永续增长模型，根据销售增长率估计现金流量增长率。绝大多数可以持续生存的企业，其销售增长率可以按宏观经济增长率估计。</t>
  </si>
  <si>
    <t>（9）对关键假设（如增长率、毛利率、折现率等）的敏感性分析结果</t>
  </si>
  <si>
    <r>
      <rPr>
        <b/>
        <sz val="10"/>
        <rFont val="Arial Narrow"/>
        <family val="2"/>
      </rPr>
      <t>6</t>
    </r>
    <r>
      <rPr>
        <b/>
        <sz val="10"/>
        <rFont val="宋体"/>
        <family val="3"/>
        <charset val="134"/>
      </rPr>
      <t>、评价使用收益法确定公允价值的参数和具体处理【若适用】</t>
    </r>
  </si>
  <si>
    <t>对未来现金净流量预测时，应以资产的当前状况为基础，以税前口径为预测依据，并充分关注选取的关键参数（包括但不限于销量、价格、成本、费用、预测期增长率、稳定期增长率）是否有可靠的数据来源，是否与历史数据、运营计划、商业机会、行业数据、行业研究报告、宏观经济运行状况相符；与此相关的重大假设是否与可获取的内部、外部信息相符，在不符时是否有合理理由支持。</t>
  </si>
  <si>
    <r>
      <rPr>
        <b/>
        <sz val="10"/>
        <rFont val="Arial Narrow"/>
        <family val="2"/>
      </rPr>
      <t>7</t>
    </r>
    <r>
      <rPr>
        <b/>
        <sz val="10"/>
        <rFont val="宋体"/>
        <family val="3"/>
        <charset val="134"/>
      </rPr>
      <t>、评价使用市场法确定公允价值选用的参数和具体处理【若适用】</t>
    </r>
  </si>
  <si>
    <r>
      <rPr>
        <b/>
        <sz val="10"/>
        <rFont val="宋体"/>
        <family val="3"/>
        <charset val="134"/>
      </rPr>
      <t>（</t>
    </r>
    <r>
      <rPr>
        <b/>
        <sz val="10"/>
        <rFont val="Arial Narrow"/>
        <family val="2"/>
      </rPr>
      <t>1</t>
    </r>
    <r>
      <rPr>
        <b/>
        <sz val="10"/>
        <rFont val="宋体"/>
        <family val="3"/>
        <charset val="134"/>
      </rPr>
      <t>）价值乘数的选择是否合理</t>
    </r>
  </si>
  <si>
    <t>在不存在销售协议和资产活跃市场的情况下，应当以可获取的最佳信息为基础，估计资产的公允价值减去处置费用后的净额，该净额可以参考同行业类似资产的最近交易价格或者结果进行估计。</t>
  </si>
  <si>
    <t>（2）可比公司或可比交易的选择是否与收益法中一致，是否合理</t>
  </si>
  <si>
    <t>资产的公允价值减去处置费用后的净额，应当根据公平交易中销售协议价格减去可直接归属于该资产处置费用的金额确定。不存在销售协议但存在资产活跃市场的，应当按照该资产的市场价格减去处置费用后的金额确定。</t>
  </si>
  <si>
    <t>（3）价值乘数的计算时间是否合理</t>
  </si>
  <si>
    <t>（4）对价值乘数的调整是否合理</t>
  </si>
  <si>
    <t>（5）对关键假设的敏感性分析结果</t>
  </si>
  <si>
    <r>
      <rPr>
        <b/>
        <sz val="10"/>
        <rFont val="Arial Narrow"/>
        <family val="2"/>
      </rPr>
      <t>8</t>
    </r>
    <r>
      <rPr>
        <b/>
        <sz val="10"/>
        <rFont val="宋体"/>
        <family val="3"/>
        <charset val="134"/>
      </rPr>
      <t>、评价以公允价值减去处置费用后的净额估计的可收回金额</t>
    </r>
  </si>
  <si>
    <r>
      <rPr>
        <b/>
        <sz val="10"/>
        <rFont val="宋体"/>
        <family val="3"/>
        <charset val="134"/>
      </rPr>
      <t>（</t>
    </r>
    <r>
      <rPr>
        <b/>
        <sz val="10"/>
        <rFont val="Arial Narrow"/>
        <family val="2"/>
      </rPr>
      <t>1</t>
    </r>
    <r>
      <rPr>
        <b/>
        <sz val="10"/>
        <rFont val="宋体"/>
        <family val="3"/>
        <charset val="134"/>
      </rPr>
      <t>）公允价值的确定是否合理</t>
    </r>
  </si>
  <si>
    <t>资产组的公允价值是指市场参与者在计量日发生的有序交易中，出售一项资产所能收到或者转移一项负债所需支付的价格。</t>
  </si>
  <si>
    <t>（2）处置费用的预测是否合理，是否有充分、适当的证据支持</t>
  </si>
  <si>
    <t>处置费用是指可以直接归属于资产组处置的增量费用，包括与资产组处置有关的法律费用、相关税费、搬运费以及为使资产组达到可销售状态所发生的直接费用等。</t>
  </si>
  <si>
    <r>
      <rPr>
        <b/>
        <sz val="10"/>
        <rFont val="Arial Narrow"/>
        <family val="2"/>
      </rPr>
      <t>9</t>
    </r>
    <r>
      <rPr>
        <b/>
        <sz val="10"/>
        <rFont val="宋体"/>
        <family val="3"/>
        <charset val="134"/>
      </rPr>
      <t>、最终选择可回收金额计算方法的理由是否合理</t>
    </r>
  </si>
  <si>
    <t>资产的公允价值减去处置费用后的净额，应当根据公平交易中销售协议价格减去可直接归属于该资产处置费用的金额确定。不存在销售协议但存在资产活跃市场的，应当按照该资产的市场价格减去处置费用后的金额确定。资产的市场价格通常应当根据资产的买方出价确定。在不存在销售协议和资产活跃市场的情况下，应当以可获取的最佳信息为基础，估计资产的公允价值减去处置费用后的净额，该净额可以参考同行业类似资产的最近交易价格或者结果进行估计。企业按照上述规定仍然无法可靠估计资产的公允价值减去处置费用后的净额的，应当以该资产预计未来现金流量的现值作为其可收回金额。</t>
  </si>
  <si>
    <r>
      <rPr>
        <b/>
        <sz val="10"/>
        <rFont val="Arial Narrow"/>
        <family val="2"/>
      </rPr>
      <t>10</t>
    </r>
    <r>
      <rPr>
        <b/>
        <sz val="10"/>
        <rFont val="宋体"/>
        <family val="3"/>
        <charset val="134"/>
      </rPr>
      <t>、评价资产组的确定及商誉的分摊</t>
    </r>
  </si>
  <si>
    <r>
      <rPr>
        <b/>
        <sz val="10"/>
        <rFont val="宋体"/>
        <family val="3"/>
        <charset val="134"/>
      </rPr>
      <t>（</t>
    </r>
    <r>
      <rPr>
        <b/>
        <sz val="10"/>
        <rFont val="Arial Narrow"/>
        <family val="2"/>
      </rPr>
      <t>1</t>
    </r>
    <r>
      <rPr>
        <b/>
        <sz val="10"/>
        <rFont val="宋体"/>
        <family val="3"/>
        <charset val="134"/>
      </rPr>
      <t>）商誉所在资产组或资产组组合的划分是否合理</t>
    </r>
  </si>
  <si>
    <t>分摊商誉的资产组应当代表企业基于内部管理目的对商誉进行监控的最低水平，并且不应大于按《企业会计准则第35号——分部报告》所确定的报告分部。</t>
  </si>
  <si>
    <t>（2）将商誉分摊至相关的资产组的方法是否合理</t>
  </si>
  <si>
    <t>公司应在充分考虑能够受益于企业合并的协同效应的资产组或资产组组合基础上，将商誉账面价值按各资产组或资产组组合的公允价值所占比例进行分摊。</t>
  </si>
  <si>
    <t>（3）资产组或资产组组合的可收回金额与其账面价值的确定基础是否一致</t>
  </si>
  <si>
    <t>资产组或资产组组合的可收回金额与其账面价值的确定基础应保持一致，即二者应包括相同的资产和负债，且应按照与资产组或资产组组合内资产和负债一致的基础预测未来现金流量。</t>
  </si>
  <si>
    <t>（4）是否将归属于少数股东的商誉调整计入相关资产组或资产组组合账面价值</t>
  </si>
  <si>
    <t>公司在将商誉分摊至相关资产组或资产组组合时，应充分关注归属于少数股东的商誉，先将归属于母公司股东的商誉账面价值调整为全部商誉账面价值，再合理分摊至相关资产组或资产组组合</t>
  </si>
  <si>
    <t>（5）商誉所在资产组或资产组组合的构成发生改变时，是否重新对商誉账面价值进行合理分摊</t>
  </si>
  <si>
    <t>因重组等原因，公司经营组成部分发生变化，继而影响到已分摊商誉所在的资产组或资产组组合构成的，应将商誉账面价值重新分摊至受影响的资产组或资产组组合，并充分披露相关理由及依据</t>
  </si>
  <si>
    <t>（6）商誉减值的分配是否合理</t>
  </si>
  <si>
    <t>合并财务报表只反映归属于母公司的商誉减值损失，因此应当将商誉减值损失在可归属于母公司和少数股东权益部分之间按比例进行分摊。
存在少数股东权益下的商誉减值，详见《会计提示第73号—商誉减值测试》附录3；商誉减值二次分配，详见《会计提示第73号—商誉减值测试》附录4</t>
  </si>
  <si>
    <t>减值损失金额应当先抵减分摊至资产组或者资产组组合中商誉的账面价值，再根据资产组或者资产组组合中除商誉之外的其他各项资产的账面价值所占比重，按比例抵减其他各项资产的账面价值，并合理确定归属于母公司股东的商誉和归属于少数股东的商誉的减值金额。</t>
  </si>
  <si>
    <r>
      <rPr>
        <b/>
        <sz val="10"/>
        <rFont val="Arial Narrow"/>
        <family val="2"/>
      </rPr>
      <t>11</t>
    </r>
    <r>
      <rPr>
        <b/>
        <sz val="10"/>
        <rFont val="宋体"/>
        <family val="3"/>
        <charset val="134"/>
      </rPr>
      <t>、评价管理层的工作</t>
    </r>
  </si>
  <si>
    <r>
      <rPr>
        <b/>
        <sz val="10"/>
        <rFont val="宋体"/>
        <family val="3"/>
        <charset val="134"/>
      </rPr>
      <t>（</t>
    </r>
    <r>
      <rPr>
        <b/>
        <sz val="10"/>
        <rFont val="Arial Narrow"/>
        <family val="2"/>
      </rPr>
      <t>1</t>
    </r>
    <r>
      <rPr>
        <b/>
        <sz val="10"/>
        <rFont val="宋体"/>
        <family val="3"/>
        <charset val="134"/>
      </rPr>
      <t>）是否分两步进行商誉减值测试</t>
    </r>
  </si>
  <si>
    <t>如与商誉相关的资产组存在减值迹象的，首先对不包含商誉的资产组进行减值测试，计算可收回金额，并与相关账面价值相比较，确认相应的减值损失；然后再对包含商誉的资产组进行减值测试，比较这些相关资产组的账面价值（包括所分摊的商誉，减去了已经在上一步中确认的减值损失）与其可收回金额。</t>
  </si>
  <si>
    <t>（2）是否考虑期后事项的影响</t>
  </si>
  <si>
    <t>重大期后事项，包括但不限于内外部环境的重大变化、重大诉讼与仲裁的最新进展等</t>
  </si>
  <si>
    <t>（3）与以前期间方法是否一致</t>
  </si>
  <si>
    <t>若以前期间对商誉进行减值测试时，有关预测参数与期后实际情况存在重大偏差的，应充分关注并复核公司管理层在作出会计估计时的判断和决策，以识别是否可能存在管理层偏向的迹象</t>
  </si>
  <si>
    <t>二、评价公司商誉减值测试的结果或结论</t>
  </si>
  <si>
    <t>（1）现金流或经营利润持续恶化或明显低于形成商誉时的预期，特别是被收购方未实现承诺的业绩；</t>
  </si>
  <si>
    <t>（2）所处行业产能过剩，相关产业政策、产品与服务的市场状况或市场竞争程度发生明显不利变化；</t>
  </si>
  <si>
    <t>（3）相关业务技术壁垒较低或技术快速进步，产品与服务易被模仿或已升级换代，盈利现状难以维持；</t>
  </si>
  <si>
    <t>（4）核心团队发生明显不利变化，且短期内难以恢复；</t>
  </si>
  <si>
    <t>（5）与特定行政许可、特许经营资格、特定合同项目等资质存在密切关联的商誉,相关资质的市场惯例</t>
  </si>
  <si>
    <t>已发生变化，如放开经营资质的行政许可、特许经营或特定合同到期无法接续等；</t>
  </si>
  <si>
    <t>（6）客观环境的变化导致市场投资报酬率在当期已经明显提高，且没有证据表明短期内会下降；</t>
  </si>
  <si>
    <t>（7）经营所处国家或地区的风险突出，如面临外汇管制、恶性通货膨胀、宏观经济恶化等。</t>
  </si>
  <si>
    <r>
      <rPr>
        <sz val="11"/>
        <rFont val="宋体"/>
        <family val="3"/>
        <charset val="134"/>
      </rPr>
      <t>市场平均收益率</t>
    </r>
    <r>
      <rPr>
        <sz val="11"/>
        <rFont val="Times New Roman"/>
        <family val="1"/>
      </rPr>
      <t>(2017</t>
    </r>
    <r>
      <rPr>
        <sz val="11"/>
        <rFont val="宋体"/>
        <family val="3"/>
        <charset val="134"/>
      </rPr>
      <t>年）</t>
    </r>
  </si>
  <si>
    <t>时间（年末）</t>
  </si>
  <si>
    <t>上证综合指数</t>
  </si>
  <si>
    <t>收益率</t>
  </si>
  <si>
    <t>深证成份指数</t>
  </si>
  <si>
    <t>市场收益率</t>
  </si>
  <si>
    <t>算术平均收益率</t>
  </si>
  <si>
    <t>几何平均收益率</t>
  </si>
  <si>
    <t>深证综合指数</t>
  </si>
  <si>
    <r>
      <rPr>
        <b/>
        <sz val="11"/>
        <rFont val="宋体"/>
        <family val="3"/>
        <charset val="134"/>
      </rPr>
      <t>沪深</t>
    </r>
    <r>
      <rPr>
        <b/>
        <sz val="11"/>
        <rFont val="Times New Roman"/>
        <family val="1"/>
      </rPr>
      <t>300</t>
    </r>
    <r>
      <rPr>
        <b/>
        <sz val="11"/>
        <rFont val="宋体"/>
        <family val="3"/>
        <charset val="134"/>
      </rPr>
      <t>指数</t>
    </r>
  </si>
  <si>
    <r>
      <rPr>
        <b/>
        <sz val="11"/>
        <color indexed="8"/>
        <rFont val="宋体"/>
        <family val="3"/>
        <charset val="134"/>
      </rPr>
      <t>上证</t>
    </r>
    <r>
      <rPr>
        <b/>
        <sz val="11"/>
        <color indexed="8"/>
        <rFont val="Arial"/>
        <family val="2"/>
      </rPr>
      <t>180</t>
    </r>
    <r>
      <rPr>
        <b/>
        <sz val="11"/>
        <color indexed="8"/>
        <rFont val="宋体"/>
        <family val="3"/>
        <charset val="134"/>
      </rPr>
      <t>指数</t>
    </r>
  </si>
  <si>
    <r>
      <rPr>
        <b/>
        <sz val="11"/>
        <color theme="1"/>
        <rFont val="宋体"/>
        <family val="3"/>
        <charset val="134"/>
      </rPr>
      <t>深证</t>
    </r>
    <r>
      <rPr>
        <b/>
        <sz val="11"/>
        <color indexed="8"/>
        <rFont val="Times New Roman"/>
        <family val="1"/>
      </rPr>
      <t>100</t>
    </r>
    <r>
      <rPr>
        <b/>
        <sz val="11"/>
        <color indexed="8"/>
        <rFont val="宋体"/>
        <family val="3"/>
        <charset val="134"/>
      </rPr>
      <t>指数</t>
    </r>
  </si>
  <si>
    <r>
      <rPr>
        <b/>
        <sz val="11"/>
        <color indexed="8"/>
        <rFont val="宋体"/>
        <family val="3"/>
        <charset val="134"/>
      </rPr>
      <t>上证</t>
    </r>
    <r>
      <rPr>
        <b/>
        <sz val="11"/>
        <color indexed="8"/>
        <rFont val="Arial"/>
        <family val="2"/>
      </rPr>
      <t>A</t>
    </r>
    <r>
      <rPr>
        <b/>
        <sz val="11"/>
        <color indexed="8"/>
        <rFont val="宋体"/>
        <family val="3"/>
        <charset val="134"/>
      </rPr>
      <t>股指数</t>
    </r>
  </si>
  <si>
    <r>
      <rPr>
        <b/>
        <sz val="11"/>
        <color theme="1"/>
        <rFont val="宋体"/>
        <family val="3"/>
        <charset val="134"/>
      </rPr>
      <t>深证</t>
    </r>
    <r>
      <rPr>
        <b/>
        <sz val="11"/>
        <color indexed="8"/>
        <rFont val="Times New Roman"/>
        <family val="1"/>
      </rPr>
      <t>A</t>
    </r>
    <r>
      <rPr>
        <b/>
        <sz val="11"/>
        <color indexed="8"/>
        <rFont val="宋体"/>
        <family val="3"/>
        <charset val="134"/>
      </rPr>
      <t>股指数</t>
    </r>
  </si>
  <si>
    <r>
      <rPr>
        <b/>
        <sz val="11"/>
        <rFont val="宋体"/>
        <family val="3"/>
        <charset val="134"/>
      </rPr>
      <t>万得全</t>
    </r>
    <r>
      <rPr>
        <b/>
        <sz val="11"/>
        <rFont val="Arial"/>
        <family val="2"/>
      </rPr>
      <t>A</t>
    </r>
    <r>
      <rPr>
        <b/>
        <sz val="11"/>
        <rFont val="宋体"/>
        <family val="3"/>
        <charset val="134"/>
      </rPr>
      <t>指数</t>
    </r>
  </si>
  <si>
    <t>前N年</t>
  </si>
  <si>
    <r>
      <rPr>
        <b/>
        <sz val="11"/>
        <color indexed="8"/>
        <rFont val="宋体"/>
        <family val="3"/>
        <charset val="134"/>
      </rPr>
      <t>日期</t>
    </r>
  </si>
  <si>
    <r>
      <rPr>
        <b/>
        <sz val="11"/>
        <color indexed="8"/>
        <rFont val="宋体"/>
        <family val="3"/>
        <charset val="134"/>
      </rPr>
      <t>深证</t>
    </r>
    <r>
      <rPr>
        <b/>
        <sz val="11"/>
        <color indexed="8"/>
        <rFont val="Arial"/>
        <family val="2"/>
      </rPr>
      <t>A</t>
    </r>
    <r>
      <rPr>
        <b/>
        <sz val="11"/>
        <color indexed="8"/>
        <rFont val="宋体"/>
        <family val="3"/>
        <charset val="134"/>
      </rPr>
      <t>股指数</t>
    </r>
  </si>
  <si>
    <r>
      <rPr>
        <b/>
        <sz val="11"/>
        <color theme="1"/>
        <rFont val="宋体"/>
        <family val="3"/>
        <charset val="134"/>
      </rPr>
      <t>上证</t>
    </r>
    <r>
      <rPr>
        <b/>
        <sz val="11"/>
        <color indexed="8"/>
        <rFont val="Times New Roman"/>
        <family val="1"/>
      </rPr>
      <t>180</t>
    </r>
    <r>
      <rPr>
        <b/>
        <sz val="11"/>
        <color indexed="8"/>
        <rFont val="宋体"/>
        <family val="3"/>
        <charset val="134"/>
      </rPr>
      <t>指数</t>
    </r>
  </si>
  <si>
    <r>
      <rPr>
        <b/>
        <sz val="11"/>
        <color theme="1"/>
        <rFont val="宋体"/>
        <family val="3"/>
        <charset val="134"/>
      </rPr>
      <t>深证</t>
    </r>
    <r>
      <rPr>
        <b/>
        <sz val="11"/>
        <color indexed="8"/>
        <rFont val="Times New Roman"/>
        <family val="1"/>
      </rPr>
      <t>100</t>
    </r>
    <r>
      <rPr>
        <b/>
        <sz val="11"/>
        <color indexed="8"/>
        <rFont val="宋体"/>
        <family val="3"/>
        <charset val="134"/>
      </rPr>
      <t>指数</t>
    </r>
    <r>
      <rPr>
        <b/>
        <sz val="11"/>
        <color indexed="8"/>
        <rFont val="Times New Roman"/>
        <family val="1"/>
      </rPr>
      <t>/</t>
    </r>
    <r>
      <rPr>
        <b/>
        <sz val="11"/>
        <color indexed="8"/>
        <rFont val="宋体"/>
        <family val="3"/>
        <charset val="134"/>
      </rPr>
      <t>深证</t>
    </r>
    <r>
      <rPr>
        <b/>
        <sz val="11"/>
        <color indexed="8"/>
        <rFont val="Times New Roman"/>
        <family val="1"/>
      </rPr>
      <t>100R</t>
    </r>
  </si>
  <si>
    <r>
      <rPr>
        <b/>
        <sz val="11"/>
        <color theme="1"/>
        <rFont val="宋体"/>
        <family val="3"/>
        <charset val="134"/>
      </rPr>
      <t>深证</t>
    </r>
    <r>
      <rPr>
        <b/>
        <sz val="11"/>
        <color indexed="8"/>
        <rFont val="宋体"/>
        <family val="3"/>
        <charset val="134"/>
      </rPr>
      <t>综合指数</t>
    </r>
  </si>
  <si>
    <r>
      <rPr>
        <b/>
        <sz val="11"/>
        <color theme="1"/>
        <rFont val="宋体"/>
        <family val="3"/>
        <charset val="134"/>
      </rPr>
      <t>深证新</t>
    </r>
    <r>
      <rPr>
        <b/>
        <sz val="11"/>
        <color indexed="8"/>
        <rFont val="宋体"/>
        <family val="3"/>
        <charset val="134"/>
      </rPr>
      <t>综指数</t>
    </r>
  </si>
  <si>
    <r>
      <rPr>
        <sz val="11"/>
        <color indexed="8"/>
        <rFont val="宋体"/>
        <family val="3"/>
        <charset val="134"/>
      </rPr>
      <t>数据来源：</t>
    </r>
    <r>
      <rPr>
        <sz val="11"/>
        <color indexed="8"/>
        <rFont val="Arial"/>
        <family val="2"/>
      </rPr>
      <t>Wind</t>
    </r>
    <r>
      <rPr>
        <sz val="11"/>
        <color indexed="8"/>
        <rFont val="宋体"/>
        <family val="3"/>
        <charset val="134"/>
      </rPr>
      <t>资讯</t>
    </r>
  </si>
  <si>
    <r>
      <rPr>
        <sz val="10"/>
        <rFont val="宋体"/>
        <family val="3"/>
        <charset val="134"/>
      </rPr>
      <t>日期：</t>
    </r>
    <r>
      <rPr>
        <sz val="10"/>
        <rFont val="Arial Narrow"/>
        <family val="2"/>
      </rPr>
      <t>2012.2.4</t>
    </r>
  </si>
  <si>
    <t>复核人：</t>
  </si>
  <si>
    <t>复核日期：</t>
  </si>
  <si>
    <r>
      <rPr>
        <sz val="10"/>
        <rFont val="宋体"/>
        <family val="3"/>
        <charset val="134"/>
      </rPr>
      <t>页</t>
    </r>
    <r>
      <rPr>
        <sz val="10"/>
        <rFont val="Arial Narrow"/>
        <family val="2"/>
      </rPr>
      <t xml:space="preserve">   </t>
    </r>
    <r>
      <rPr>
        <sz val="10"/>
        <rFont val="宋体"/>
        <family val="3"/>
        <charset val="134"/>
      </rPr>
      <t>次：</t>
    </r>
    <r>
      <rPr>
        <sz val="10"/>
        <rFont val="Arial Narrow"/>
        <family val="2"/>
      </rPr>
      <t xml:space="preserve">      1</t>
    </r>
  </si>
  <si>
    <r>
      <rPr>
        <b/>
        <sz val="10"/>
        <rFont val="宋体"/>
        <family val="3"/>
        <charset val="134"/>
      </rPr>
      <t>（一）资产的公允价值减去处置费用后的净额(</t>
    </r>
    <r>
      <rPr>
        <b/>
        <sz val="10"/>
        <color indexed="10"/>
        <rFont val="宋体"/>
        <family val="3"/>
        <charset val="134"/>
      </rPr>
      <t>RMB '0000</t>
    </r>
    <r>
      <rPr>
        <b/>
        <sz val="10"/>
        <rFont val="宋体"/>
        <family val="3"/>
        <charset val="134"/>
      </rPr>
      <t>)</t>
    </r>
  </si>
  <si>
    <t>项目名称</t>
  </si>
  <si>
    <t>公允价值</t>
  </si>
  <si>
    <t>处置费用（资产处置的直接归属费用）</t>
  </si>
  <si>
    <t>公允价值-处置费用</t>
  </si>
  <si>
    <t>销售协议价格</t>
  </si>
  <si>
    <t>说明</t>
  </si>
  <si>
    <t>资产活跃市场价格</t>
  </si>
  <si>
    <t>估计价格</t>
  </si>
  <si>
    <t>法律费用</t>
  </si>
  <si>
    <t>相关税费</t>
  </si>
  <si>
    <t>搬运费</t>
  </si>
  <si>
    <t>直接费用</t>
  </si>
  <si>
    <t>其他费用</t>
  </si>
  <si>
    <t>处置费用合计</t>
  </si>
  <si>
    <t>NOTE1</t>
  </si>
  <si>
    <t>审计说明：</t>
  </si>
  <si>
    <r>
      <rPr>
        <sz val="10"/>
        <rFont val="Arial Narrow"/>
        <family val="2"/>
      </rPr>
      <t>NOTE1</t>
    </r>
    <r>
      <rPr>
        <sz val="10"/>
        <rFont val="宋体"/>
        <family val="3"/>
        <charset val="134"/>
      </rPr>
      <t>：</t>
    </r>
  </si>
  <si>
    <t>相似公司近期在公开市场出售价格。</t>
  </si>
  <si>
    <r>
      <rPr>
        <b/>
        <sz val="10"/>
        <rFont val="宋体"/>
        <family val="3"/>
        <charset val="134"/>
      </rPr>
      <t>（二）资产预计未来现金流量的现值(</t>
    </r>
    <r>
      <rPr>
        <b/>
        <sz val="10"/>
        <color indexed="10"/>
        <rFont val="宋体"/>
        <family val="3"/>
        <charset val="134"/>
      </rPr>
      <t>RMB '0000</t>
    </r>
    <r>
      <rPr>
        <b/>
        <sz val="10"/>
        <rFont val="宋体"/>
        <family val="3"/>
        <charset val="134"/>
      </rPr>
      <t>)</t>
    </r>
  </si>
  <si>
    <t>预计未来现金流量</t>
  </si>
  <si>
    <t>预算或者预测期</t>
  </si>
  <si>
    <t>以后年度</t>
  </si>
  <si>
    <t>行业的长期平均增长率</t>
  </si>
  <si>
    <t>市场长期平均增长率</t>
  </si>
  <si>
    <t>所在国家或地区的长期平均增长率</t>
  </si>
  <si>
    <t>增长率确定依据</t>
  </si>
  <si>
    <t>预计未来现金流量的现值</t>
  </si>
  <si>
    <t>第一年</t>
  </si>
  <si>
    <t>第二年</t>
  </si>
  <si>
    <t>第三年</t>
  </si>
  <si>
    <t>第四年</t>
  </si>
  <si>
    <t>第五年</t>
  </si>
  <si>
    <t>基数</t>
  </si>
  <si>
    <t>增长率</t>
  </si>
  <si>
    <t>现金净流量（税前）</t>
  </si>
  <si>
    <t>所在地区长期平均增长率</t>
  </si>
  <si>
    <t>折现系数</t>
  </si>
  <si>
    <t>（企业管理层如能证明递增的增长率是合理的，可以以递增的增长率为基础。）</t>
  </si>
  <si>
    <t>现值</t>
  </si>
  <si>
    <t>（建立在预算或者预测基础上的预计现金流量最多涵盖5年。）</t>
  </si>
  <si>
    <t>折现率</t>
  </si>
  <si>
    <t>所得税率</t>
  </si>
  <si>
    <t>债务总额
D</t>
  </si>
  <si>
    <t>资本总额
E</t>
  </si>
  <si>
    <r>
      <rPr>
        <b/>
        <sz val="10"/>
        <rFont val="宋体"/>
        <family val="3"/>
        <charset val="134"/>
      </rPr>
      <t>债务成本K</t>
    </r>
    <r>
      <rPr>
        <b/>
        <sz val="8"/>
        <rFont val="宋体"/>
        <family val="3"/>
        <charset val="134"/>
      </rPr>
      <t>d</t>
    </r>
  </si>
  <si>
    <r>
      <rPr>
        <b/>
        <sz val="10"/>
        <rFont val="宋体"/>
        <family val="3"/>
        <charset val="134"/>
      </rPr>
      <t>无风险报酬率</t>
    </r>
    <r>
      <rPr>
        <b/>
        <sz val="10"/>
        <rFont val="Times New Roman"/>
        <family val="1"/>
      </rPr>
      <t>R</t>
    </r>
    <r>
      <rPr>
        <b/>
        <sz val="8"/>
        <rFont val="Times New Roman"/>
        <family val="1"/>
      </rPr>
      <t>f</t>
    </r>
  </si>
  <si>
    <t>β系数</t>
  </si>
  <si>
    <r>
      <rPr>
        <b/>
        <sz val="10"/>
        <rFont val="宋体"/>
        <family val="3"/>
        <charset val="134"/>
      </rPr>
      <t>市场平均收益率</t>
    </r>
    <r>
      <rPr>
        <b/>
        <sz val="10"/>
        <rFont val="Times New Roman"/>
        <family val="1"/>
      </rPr>
      <t>R</t>
    </r>
    <r>
      <rPr>
        <b/>
        <sz val="8"/>
        <rFont val="Times New Roman"/>
        <family val="1"/>
      </rPr>
      <t>m</t>
    </r>
  </si>
  <si>
    <t>资本成本Ke</t>
  </si>
  <si>
    <r>
      <rPr>
        <b/>
        <sz val="10"/>
        <rFont val="Times New Roman"/>
        <family val="1"/>
      </rPr>
      <t>WACC
(</t>
    </r>
    <r>
      <rPr>
        <b/>
        <sz val="10"/>
        <rFont val="宋体"/>
        <family val="3"/>
        <charset val="134"/>
      </rPr>
      <t>税后</t>
    </r>
    <r>
      <rPr>
        <b/>
        <sz val="10"/>
        <rFont val="Times New Roman"/>
        <family val="1"/>
      </rPr>
      <t>)</t>
    </r>
  </si>
  <si>
    <r>
      <rPr>
        <sz val="10"/>
        <rFont val="宋体"/>
        <family val="3"/>
        <charset val="134"/>
      </rPr>
      <t>折现率</t>
    </r>
    <r>
      <rPr>
        <sz val="10"/>
        <rFont val="Times New Roman"/>
        <family val="1"/>
      </rPr>
      <t xml:space="preserve">
(</t>
    </r>
    <r>
      <rPr>
        <sz val="10"/>
        <rFont val="宋体"/>
        <family val="3"/>
        <charset val="134"/>
      </rPr>
      <t>税前</t>
    </r>
    <r>
      <rPr>
        <sz val="10"/>
        <rFont val="Times New Roman"/>
        <family val="1"/>
      </rPr>
      <t>)</t>
    </r>
  </si>
  <si>
    <t>税后折税前调整说明</t>
  </si>
  <si>
    <t>可收回金额</t>
  </si>
  <si>
    <t>适用税率</t>
  </si>
  <si>
    <t>税率调整</t>
  </si>
  <si>
    <t>调整说明</t>
  </si>
  <si>
    <t>加权平均资金成本</t>
  </si>
  <si>
    <t>NOTE2</t>
  </si>
  <si>
    <r>
      <rPr>
        <sz val="10"/>
        <rFont val="Arial Narrow"/>
        <family val="2"/>
      </rPr>
      <t>NOTE2</t>
    </r>
    <r>
      <rPr>
        <sz val="10"/>
        <rFont val="宋体"/>
        <family val="3"/>
        <charset val="134"/>
      </rPr>
      <t>：</t>
    </r>
  </si>
  <si>
    <t>考虑企业的有效税率及税款的时间价值，估值专家建议调整。</t>
  </si>
  <si>
    <t>（三）可收回金额</t>
  </si>
  <si>
    <t>资产的公允价值减去处置费用后的净额与资产预计未来现金流量的现值两者之间较高者</t>
  </si>
  <si>
    <r>
      <rPr>
        <b/>
        <sz val="10"/>
        <rFont val="Arial Narrow"/>
        <family val="2"/>
      </rPr>
      <t>1</t>
    </r>
    <r>
      <rPr>
        <b/>
        <sz val="10"/>
        <rFont val="宋体"/>
        <family val="3"/>
        <charset val="134"/>
      </rPr>
      <t>、</t>
    </r>
    <r>
      <rPr>
        <b/>
        <sz val="10"/>
        <rFont val="Arial Narrow"/>
        <family val="2"/>
      </rPr>
      <t>CC</t>
    </r>
    <r>
      <rPr>
        <b/>
        <sz val="10"/>
        <rFont val="宋体"/>
        <family val="3"/>
        <charset val="134"/>
      </rPr>
      <t>公司的预计现金流量表</t>
    </r>
  </si>
  <si>
    <t>经营现金流（实体现金流）是指企业因销售商品或提供劳务等营业活动以及与此有关的生产性资产投资活动产生的现金流量。（与现金流量表中“经营活动产生的现金流量”不同）</t>
  </si>
  <si>
    <t>项目</t>
  </si>
  <si>
    <t>基期</t>
  </si>
  <si>
    <r>
      <rPr>
        <b/>
        <sz val="10"/>
        <rFont val="Arial Narrow"/>
        <family val="2"/>
      </rPr>
      <t>2012</t>
    </r>
    <r>
      <rPr>
        <b/>
        <sz val="10"/>
        <rFont val="宋体"/>
        <family val="3"/>
        <charset val="134"/>
      </rPr>
      <t>年</t>
    </r>
  </si>
  <si>
    <r>
      <rPr>
        <b/>
        <sz val="10"/>
        <rFont val="Arial Narrow"/>
        <family val="2"/>
      </rPr>
      <t>2013</t>
    </r>
    <r>
      <rPr>
        <b/>
        <sz val="10"/>
        <rFont val="宋体"/>
        <family val="3"/>
        <charset val="134"/>
      </rPr>
      <t>年</t>
    </r>
  </si>
  <si>
    <r>
      <rPr>
        <b/>
        <sz val="10"/>
        <rFont val="Arial Narrow"/>
        <family val="2"/>
      </rPr>
      <t>2014</t>
    </r>
    <r>
      <rPr>
        <b/>
        <sz val="10"/>
        <rFont val="宋体"/>
        <family val="3"/>
        <charset val="134"/>
      </rPr>
      <t>年</t>
    </r>
  </si>
  <si>
    <r>
      <rPr>
        <b/>
        <sz val="10"/>
        <rFont val="Arial Narrow"/>
        <family val="2"/>
      </rPr>
      <t>2015</t>
    </r>
    <r>
      <rPr>
        <b/>
        <sz val="10"/>
        <rFont val="宋体"/>
        <family val="3"/>
        <charset val="134"/>
      </rPr>
      <t>年</t>
    </r>
  </si>
  <si>
    <r>
      <rPr>
        <b/>
        <sz val="10"/>
        <rFont val="Arial Narrow"/>
        <family val="2"/>
      </rPr>
      <t>2016</t>
    </r>
    <r>
      <rPr>
        <b/>
        <sz val="10"/>
        <rFont val="宋体"/>
        <family val="3"/>
        <charset val="134"/>
      </rPr>
      <t>年</t>
    </r>
  </si>
  <si>
    <t>营业收入</t>
  </si>
  <si>
    <t>建立在预算或者预测基础上的预计现金流量最多涵盖5年（涵盖更长的期间需证明合理性）。</t>
  </si>
  <si>
    <t>减：营业成本</t>
  </si>
  <si>
    <r>
      <rPr>
        <sz val="10"/>
        <rFont val="Arial Narrow"/>
        <family val="2"/>
      </rPr>
      <t xml:space="preserve">          </t>
    </r>
    <r>
      <rPr>
        <sz val="10"/>
        <rFont val="宋体"/>
        <family val="3"/>
        <charset val="134"/>
      </rPr>
      <t>营业税金及附加</t>
    </r>
  </si>
  <si>
    <t>不考虑债务利息支出，因其不属于经营活动。</t>
  </si>
  <si>
    <r>
      <rPr>
        <sz val="10"/>
        <rFont val="Arial Narrow"/>
        <family val="2"/>
      </rPr>
      <t xml:space="preserve">          </t>
    </r>
    <r>
      <rPr>
        <sz val="10"/>
        <rFont val="宋体"/>
        <family val="3"/>
        <charset val="134"/>
      </rPr>
      <t>销售和管理费用</t>
    </r>
  </si>
  <si>
    <t>不考虑所得税费用，因为折现率一般是以税前基础确定，</t>
  </si>
  <si>
    <t>税前经营利润</t>
  </si>
  <si>
    <t>与税前折现率对应的现金流量的预计也应建立在税前基础之上。</t>
  </si>
  <si>
    <t>加：折旧与摊销</t>
  </si>
  <si>
    <t>假设使用后续现金流量永续增长模型，根据销售增长率估计现金流量增长率。</t>
  </si>
  <si>
    <r>
      <rPr>
        <sz val="10"/>
        <rFont val="Arial Narrow"/>
        <family val="2"/>
      </rPr>
      <t>=</t>
    </r>
    <r>
      <rPr>
        <sz val="10"/>
        <rFont val="宋体"/>
        <family val="3"/>
        <charset val="134"/>
      </rPr>
      <t>经营现金毛流量</t>
    </r>
  </si>
  <si>
    <t>根据竞争均衡理论，后续期的销售增长率大体上等于宏观经济的名义增长率。</t>
  </si>
  <si>
    <t>减：经营营运资本增加</t>
  </si>
  <si>
    <r>
      <rPr>
        <b/>
        <sz val="10"/>
        <rFont val="宋体"/>
        <family val="3"/>
        <charset val="134"/>
      </rPr>
      <t>如果不考虑通货膨胀因素，宏观经济的增长率大多在</t>
    </r>
    <r>
      <rPr>
        <b/>
        <sz val="10"/>
        <rFont val="Arial Narrow"/>
        <family val="2"/>
      </rPr>
      <t>2%-6%</t>
    </r>
    <r>
      <rPr>
        <b/>
        <sz val="10"/>
        <rFont val="宋体"/>
        <family val="3"/>
        <charset val="134"/>
      </rPr>
      <t>之间。</t>
    </r>
  </si>
  <si>
    <r>
      <rPr>
        <sz val="10"/>
        <rFont val="Arial Narrow"/>
        <family val="2"/>
      </rPr>
      <t>=</t>
    </r>
    <r>
      <rPr>
        <sz val="10"/>
        <rFont val="宋体"/>
        <family val="3"/>
        <charset val="134"/>
      </rPr>
      <t>经营现金净流量</t>
    </r>
  </si>
  <si>
    <r>
      <rPr>
        <sz val="10"/>
        <rFont val="宋体"/>
        <family val="3"/>
        <charset val="134"/>
      </rPr>
      <t>即使是具有特殊优势的企业，后续期销售增长率超过宏观经济的幅度也不会超过</t>
    </r>
    <r>
      <rPr>
        <sz val="10"/>
        <rFont val="Arial Narrow"/>
        <family val="2"/>
      </rPr>
      <t>2%</t>
    </r>
    <r>
      <rPr>
        <sz val="10"/>
        <rFont val="宋体"/>
        <family val="3"/>
        <charset val="134"/>
      </rPr>
      <t>。</t>
    </r>
  </si>
  <si>
    <t>减：净经营长期资本增加</t>
  </si>
  <si>
    <t>绝大多数可以持续生存的企业，其销售增长率可以按宏观经济增长率估计。</t>
  </si>
  <si>
    <r>
      <rPr>
        <sz val="10"/>
        <rFont val="Times New Roman"/>
        <family val="1"/>
      </rPr>
      <t xml:space="preserve">    </t>
    </r>
    <r>
      <rPr>
        <sz val="10"/>
        <rFont val="宋体"/>
        <family val="3"/>
        <charset val="134"/>
      </rPr>
      <t>折旧与摊销</t>
    </r>
  </si>
  <si>
    <r>
      <rPr>
        <sz val="10"/>
        <rFont val="宋体"/>
        <family val="3"/>
        <charset val="134"/>
      </rPr>
      <t>（</t>
    </r>
    <r>
      <rPr>
        <sz val="10"/>
        <rFont val="Arial Narrow"/>
        <family val="2"/>
      </rPr>
      <t>2018</t>
    </r>
    <r>
      <rPr>
        <sz val="10"/>
        <rFont val="宋体"/>
        <family val="3"/>
        <charset val="134"/>
      </rPr>
      <t>年</t>
    </r>
    <r>
      <rPr>
        <sz val="10"/>
        <rFont val="Arial Narrow"/>
        <family val="2"/>
      </rPr>
      <t>CICPA</t>
    </r>
    <r>
      <rPr>
        <sz val="10"/>
        <rFont val="宋体"/>
        <family val="3"/>
        <charset val="134"/>
      </rPr>
      <t>考试教材《财务成本管理》</t>
    </r>
    <r>
      <rPr>
        <sz val="10"/>
        <rFont val="Arial Narrow"/>
        <family val="2"/>
      </rPr>
      <t>P207</t>
    </r>
    <r>
      <rPr>
        <sz val="10"/>
        <rFont val="宋体"/>
        <family val="3"/>
        <charset val="134"/>
      </rPr>
      <t>）</t>
    </r>
  </si>
  <si>
    <r>
      <rPr>
        <sz val="10"/>
        <rFont val="Arial Narrow"/>
        <family val="2"/>
      </rPr>
      <t>=</t>
    </r>
    <r>
      <rPr>
        <sz val="10"/>
        <rFont val="宋体"/>
        <family val="3"/>
        <charset val="134"/>
      </rPr>
      <t>实体现金流量</t>
    </r>
  </si>
  <si>
    <r>
      <rPr>
        <b/>
        <sz val="10"/>
        <rFont val="Arial Narrow"/>
        <family val="2"/>
      </rPr>
      <t>2</t>
    </r>
    <r>
      <rPr>
        <b/>
        <sz val="10"/>
        <rFont val="宋体"/>
        <family val="3"/>
        <charset val="134"/>
      </rPr>
      <t>、债务总额（</t>
    </r>
    <r>
      <rPr>
        <b/>
        <sz val="10"/>
        <rFont val="Arial Narrow"/>
        <family val="2"/>
      </rPr>
      <t>D</t>
    </r>
    <r>
      <rPr>
        <b/>
        <sz val="10"/>
        <rFont val="宋体"/>
        <family val="3"/>
        <charset val="134"/>
      </rPr>
      <t>）</t>
    </r>
  </si>
  <si>
    <r>
      <rPr>
        <b/>
        <sz val="10"/>
        <rFont val="Arial Narrow"/>
        <family val="2"/>
      </rPr>
      <t>3</t>
    </r>
    <r>
      <rPr>
        <b/>
        <sz val="10"/>
        <rFont val="宋体"/>
        <family val="3"/>
        <charset val="134"/>
      </rPr>
      <t>、资本总额（</t>
    </r>
    <r>
      <rPr>
        <b/>
        <sz val="10"/>
        <rFont val="Arial Narrow"/>
        <family val="2"/>
      </rPr>
      <t>E</t>
    </r>
    <r>
      <rPr>
        <b/>
        <sz val="10"/>
        <rFont val="宋体"/>
        <family val="3"/>
        <charset val="134"/>
      </rPr>
      <t>）</t>
    </r>
  </si>
  <si>
    <r>
      <rPr>
        <sz val="10"/>
        <rFont val="Times New Roman"/>
        <family val="1"/>
      </rPr>
      <t>Capital Employed</t>
    </r>
    <r>
      <rPr>
        <sz val="10"/>
        <rFont val="宋体"/>
        <family val="3"/>
        <charset val="134"/>
      </rPr>
      <t>（</t>
    </r>
    <r>
      <rPr>
        <sz val="10"/>
        <rFont val="Arial Narrow"/>
        <family val="2"/>
      </rPr>
      <t>CE</t>
    </r>
    <r>
      <rPr>
        <sz val="10"/>
        <rFont val="宋体"/>
        <family val="3"/>
        <charset val="134"/>
      </rPr>
      <t>）中债权人享有的部分，指有息债务总额，一般指长期占用的有息负债；</t>
    </r>
  </si>
  <si>
    <r>
      <rPr>
        <b/>
        <sz val="10"/>
        <rFont val="Times New Roman"/>
        <family val="1"/>
      </rPr>
      <t>4</t>
    </r>
    <r>
      <rPr>
        <b/>
        <sz val="10"/>
        <rFont val="宋体"/>
        <family val="3"/>
        <charset val="134"/>
      </rPr>
      <t>、无风险报酬率</t>
    </r>
    <r>
      <rPr>
        <b/>
        <sz val="10"/>
        <rFont val="Times New Roman"/>
        <family val="1"/>
      </rPr>
      <t>Rf</t>
    </r>
  </si>
  <si>
    <r>
      <rPr>
        <b/>
        <sz val="10"/>
        <rFont val="Arial Narrow"/>
        <family val="2"/>
      </rPr>
      <t>5</t>
    </r>
    <r>
      <rPr>
        <b/>
        <sz val="10"/>
        <rFont val="宋体"/>
        <family val="3"/>
        <charset val="134"/>
      </rPr>
      <t>、市场平均收益率</t>
    </r>
    <r>
      <rPr>
        <b/>
        <sz val="10"/>
        <rFont val="Arial Narrow"/>
        <family val="2"/>
      </rPr>
      <t>Rm</t>
    </r>
  </si>
  <si>
    <r>
      <rPr>
        <sz val="10"/>
        <rFont val="宋体"/>
        <family val="3"/>
        <charset val="134"/>
      </rPr>
      <t>例如根据</t>
    </r>
    <r>
      <rPr>
        <sz val="10"/>
        <rFont val="Times New Roman"/>
        <family val="1"/>
      </rPr>
      <t>Wind</t>
    </r>
    <r>
      <rPr>
        <sz val="10"/>
        <rFont val="宋体"/>
        <family val="3"/>
        <charset val="134"/>
      </rPr>
      <t>资讯或中国债券信息网的数据，</t>
    </r>
    <r>
      <rPr>
        <sz val="10"/>
        <rFont val="Times New Roman"/>
        <family val="1"/>
      </rPr>
      <t>2011</t>
    </r>
    <r>
      <rPr>
        <sz val="10"/>
        <rFont val="宋体"/>
        <family val="3"/>
        <charset val="134"/>
      </rPr>
      <t>年末</t>
    </r>
    <r>
      <rPr>
        <sz val="10"/>
        <rFont val="Times New Roman"/>
        <family val="1"/>
      </rPr>
      <t>10</t>
    </r>
    <r>
      <rPr>
        <sz val="10"/>
        <rFont val="宋体"/>
        <family val="3"/>
        <charset val="134"/>
      </rPr>
      <t>年期国债的平均收益率</t>
    </r>
  </si>
  <si>
    <t>建议采用几何平均收益率，并应选择较长的时间跨度（既包括经济繁荣时期，也包括经济衰退时期）。</t>
  </si>
  <si>
    <r>
      <rPr>
        <sz val="10"/>
        <rFont val="宋体"/>
        <family val="3"/>
        <charset val="134"/>
      </rPr>
      <t>（上证所国债收益率曲线</t>
    </r>
    <r>
      <rPr>
        <sz val="10"/>
        <rFont val="Arial Narrow"/>
        <family val="2"/>
      </rPr>
      <t>:10</t>
    </r>
    <r>
      <rPr>
        <sz val="10"/>
        <rFont val="宋体"/>
        <family val="3"/>
        <charset val="134"/>
      </rPr>
      <t>年）为</t>
    </r>
    <r>
      <rPr>
        <sz val="10"/>
        <rFont val="Arial Narrow"/>
        <family val="2"/>
      </rPr>
      <t>3.65%</t>
    </r>
    <r>
      <rPr>
        <sz val="10"/>
        <rFont val="宋体"/>
        <family val="3"/>
        <charset val="134"/>
      </rPr>
      <t>。</t>
    </r>
  </si>
  <si>
    <r>
      <rPr>
        <b/>
        <sz val="10"/>
        <rFont val="Arial Narrow"/>
        <family val="2"/>
      </rPr>
      <t>6</t>
    </r>
    <r>
      <rPr>
        <b/>
        <sz val="10"/>
        <rFont val="宋体"/>
        <family val="3"/>
        <charset val="134"/>
      </rPr>
      <t>、加权平均资金成本（</t>
    </r>
    <r>
      <rPr>
        <b/>
        <sz val="10"/>
        <rFont val="Arial Narrow"/>
        <family val="2"/>
      </rPr>
      <t>WACC</t>
    </r>
    <r>
      <rPr>
        <b/>
        <sz val="10"/>
        <rFont val="宋体"/>
        <family val="3"/>
        <charset val="134"/>
      </rPr>
      <t>）</t>
    </r>
  </si>
  <si>
    <t>7、β系数</t>
  </si>
  <si>
    <t>是资产组的收益率与市场组合之间的相关性，反映了相对于市场组合而言特定资产的系统风险。</t>
  </si>
  <si>
    <t>计算β值时，需要考虑有关预测期间的长度和收益计量的时间间隔：</t>
  </si>
  <si>
    <r>
      <rPr>
        <sz val="10"/>
        <rFont val="宋体"/>
        <family val="3"/>
        <charset val="134"/>
      </rPr>
      <t>在公司风险特征无重大变化时，可以采用</t>
    </r>
    <r>
      <rPr>
        <sz val="10"/>
        <rFont val="Arial Narrow"/>
        <family val="2"/>
      </rPr>
      <t>5</t>
    </r>
    <r>
      <rPr>
        <sz val="10"/>
        <rFont val="宋体"/>
        <family val="3"/>
        <charset val="134"/>
      </rPr>
      <t>年或更长的预测期长度；</t>
    </r>
  </si>
  <si>
    <t>收益计量的时间间隔一般使用每周或每月的收益率。</t>
  </si>
  <si>
    <r>
      <rPr>
        <b/>
        <sz val="10"/>
        <rFont val="Arial Narrow"/>
        <family val="2"/>
      </rPr>
      <t>8</t>
    </r>
    <r>
      <rPr>
        <b/>
        <sz val="10"/>
        <rFont val="宋体"/>
        <family val="3"/>
        <charset val="134"/>
      </rPr>
      <t>、税前债务成本（</t>
    </r>
    <r>
      <rPr>
        <b/>
        <sz val="10"/>
        <rFont val="Arial Narrow"/>
        <family val="2"/>
      </rPr>
      <t>Kd</t>
    </r>
    <r>
      <rPr>
        <b/>
        <sz val="10"/>
        <rFont val="宋体"/>
        <family val="3"/>
        <charset val="134"/>
      </rPr>
      <t>）</t>
    </r>
  </si>
  <si>
    <t>应当是未来的增量资金的边际成本，不是已经筹集资金的历史成本。实务中可以选择企业或可比企业发行的长期债券的到期收益率（将债券在预期存续期间内的未来现金流量，</t>
  </si>
  <si>
    <t>折现为该债券当前市价所使用的利率）。若企业没有上市的债券，也找不到合适的可比公司，则可以使用增量借款利率或企业最近一次借款的利率。</t>
  </si>
  <si>
    <r>
      <rPr>
        <b/>
        <sz val="10"/>
        <rFont val="Arial Narrow"/>
        <family val="2"/>
      </rPr>
      <t>9</t>
    </r>
    <r>
      <rPr>
        <b/>
        <sz val="10"/>
        <rFont val="宋体"/>
        <family val="3"/>
        <charset val="134"/>
      </rPr>
      <t>、</t>
    </r>
    <r>
      <rPr>
        <b/>
        <sz val="10"/>
        <rFont val="Arial Narrow"/>
        <family val="2"/>
      </rPr>
      <t>CC</t>
    </r>
    <r>
      <rPr>
        <b/>
        <sz val="10"/>
        <rFont val="宋体"/>
        <family val="3"/>
        <charset val="134"/>
      </rPr>
      <t>公司的β系数——参照公司</t>
    </r>
  </si>
  <si>
    <t>证券代码</t>
  </si>
  <si>
    <t>证券简称</t>
  </si>
  <si>
    <t>βu</t>
  </si>
  <si>
    <t>平均</t>
  </si>
  <si>
    <t>β＝[1＋（1-Ｔ）×Ｄ／Ｅ]×βu</t>
  </si>
  <si>
    <t>=</t>
  </si>
  <si>
    <r>
      <rPr>
        <b/>
        <sz val="10"/>
        <rFont val="Arial Narrow"/>
        <family val="2"/>
      </rPr>
      <t>10</t>
    </r>
    <r>
      <rPr>
        <b/>
        <sz val="10"/>
        <rFont val="宋体"/>
        <family val="3"/>
        <charset val="134"/>
      </rPr>
      <t>、</t>
    </r>
    <r>
      <rPr>
        <b/>
        <sz val="10"/>
        <rFont val="Arial Narrow"/>
        <family val="2"/>
      </rPr>
      <t>CC</t>
    </r>
    <r>
      <rPr>
        <b/>
        <sz val="10"/>
        <rFont val="宋体"/>
        <family val="3"/>
        <charset val="134"/>
      </rPr>
      <t>公司的β系数——直接计算</t>
    </r>
  </si>
  <si>
    <r>
      <rPr>
        <sz val="10"/>
        <rFont val="Arial Narrow"/>
        <family val="2"/>
      </rPr>
      <t>β</t>
    </r>
    <r>
      <rPr>
        <sz val="10"/>
        <rFont val="宋体"/>
        <family val="3"/>
        <charset val="134"/>
      </rPr>
      <t>系数被定义为某个资产的收益率与市场组合之间的相关性。其计算公式如下：</t>
    </r>
  </si>
  <si>
    <r>
      <rPr>
        <sz val="10"/>
        <rFont val="宋体"/>
        <family val="3"/>
        <charset val="134"/>
      </rPr>
      <t>其中：</t>
    </r>
    <r>
      <rPr>
        <sz val="10"/>
        <rFont val="Times New Roman"/>
        <family val="1"/>
      </rPr>
      <t>COV</t>
    </r>
    <r>
      <rPr>
        <sz val="10"/>
        <rFont val="宋体"/>
        <family val="3"/>
        <charset val="134"/>
      </rPr>
      <t>（</t>
    </r>
    <r>
      <rPr>
        <sz val="10"/>
        <rFont val="Times New Roman"/>
        <family val="1"/>
      </rPr>
      <t>K</t>
    </r>
    <r>
      <rPr>
        <sz val="8"/>
        <rFont val="Times New Roman"/>
        <family val="1"/>
      </rPr>
      <t>J</t>
    </r>
    <r>
      <rPr>
        <sz val="10"/>
        <rFont val="宋体"/>
        <family val="3"/>
        <charset val="134"/>
      </rPr>
      <t>，</t>
    </r>
    <r>
      <rPr>
        <sz val="10"/>
        <rFont val="Times New Roman"/>
        <family val="1"/>
      </rPr>
      <t>K</t>
    </r>
    <r>
      <rPr>
        <sz val="8"/>
        <rFont val="Times New Roman"/>
        <family val="1"/>
      </rPr>
      <t>M</t>
    </r>
    <r>
      <rPr>
        <sz val="10"/>
        <rFont val="宋体"/>
        <family val="3"/>
        <charset val="134"/>
      </rPr>
      <t>）是第</t>
    </r>
    <r>
      <rPr>
        <sz val="10"/>
        <rFont val="Times New Roman"/>
        <family val="1"/>
      </rPr>
      <t>J</t>
    </r>
    <r>
      <rPr>
        <sz val="10"/>
        <rFont val="宋体"/>
        <family val="3"/>
        <charset val="134"/>
      </rPr>
      <t>种证券的收益与市场组合收益之间的协方差。</t>
    </r>
  </si>
  <si>
    <t>它等于该证券的标准差、市场组合的标准差及两者相关系数的乘积。</t>
  </si>
  <si>
    <r>
      <rPr>
        <sz val="10"/>
        <rFont val="宋体"/>
        <family val="3"/>
        <charset val="134"/>
      </rPr>
      <t>根据上式可以看出，一种股票的β值的大小取决于：（</t>
    </r>
    <r>
      <rPr>
        <sz val="10"/>
        <rFont val="Times New Roman"/>
        <family val="1"/>
      </rPr>
      <t>1</t>
    </r>
    <r>
      <rPr>
        <sz val="10"/>
        <rFont val="宋体"/>
        <family val="3"/>
        <charset val="134"/>
      </rPr>
      <t>）该股票与整个股票市场的相关性；</t>
    </r>
  </si>
  <si>
    <r>
      <rPr>
        <sz val="10"/>
        <rFont val="宋体"/>
        <family val="3"/>
        <charset val="134"/>
      </rPr>
      <t>（</t>
    </r>
    <r>
      <rPr>
        <sz val="10"/>
        <rFont val="Arial Narrow"/>
        <family val="2"/>
      </rPr>
      <t>2</t>
    </r>
    <r>
      <rPr>
        <sz val="10"/>
        <rFont val="宋体"/>
        <family val="3"/>
        <charset val="134"/>
      </rPr>
      <t>）它自身的标准差；（</t>
    </r>
    <r>
      <rPr>
        <sz val="10"/>
        <rFont val="Arial Narrow"/>
        <family val="2"/>
      </rPr>
      <t>3</t>
    </r>
    <r>
      <rPr>
        <sz val="10"/>
        <rFont val="宋体"/>
        <family val="3"/>
        <charset val="134"/>
      </rPr>
      <t>）整个市场的标准差。</t>
    </r>
  </si>
  <si>
    <t>使用回归直线法计算β系数：</t>
  </si>
  <si>
    <t>通过同一时期内资产收益率和市场组合收益率的历史数据，使用线性回归方程预测。</t>
  </si>
  <si>
    <t>计算β值的数据</t>
  </si>
  <si>
    <t>年度</t>
  </si>
  <si>
    <r>
      <rPr>
        <b/>
        <sz val="10"/>
        <rFont val="Arial Narrow"/>
        <family val="2"/>
      </rPr>
      <t>J</t>
    </r>
    <r>
      <rPr>
        <b/>
        <sz val="10"/>
        <rFont val="宋体"/>
        <family val="3"/>
        <charset val="134"/>
      </rPr>
      <t>股票收益率（</t>
    </r>
    <r>
      <rPr>
        <b/>
        <sz val="10"/>
        <rFont val="Arial Narrow"/>
        <family val="2"/>
      </rPr>
      <t>Yi</t>
    </r>
    <r>
      <rPr>
        <b/>
        <sz val="10"/>
        <rFont val="宋体"/>
        <family val="3"/>
        <charset val="134"/>
      </rPr>
      <t>）</t>
    </r>
  </si>
  <si>
    <r>
      <rPr>
        <b/>
        <sz val="10"/>
        <rFont val="宋体"/>
        <family val="3"/>
        <charset val="134"/>
      </rPr>
      <t>市场收益率（</t>
    </r>
    <r>
      <rPr>
        <b/>
        <sz val="10"/>
        <rFont val="Arial Narrow"/>
        <family val="2"/>
      </rPr>
      <t>Xi</t>
    </r>
    <r>
      <rPr>
        <b/>
        <sz val="10"/>
        <rFont val="宋体"/>
        <family val="3"/>
        <charset val="134"/>
      </rPr>
      <t>）</t>
    </r>
  </si>
  <si>
    <t>平均数</t>
  </si>
  <si>
    <t>回归方程y=a+bx</t>
  </si>
  <si>
    <t>a=</t>
  </si>
  <si>
    <t>标准差</t>
  </si>
  <si>
    <t>b=</t>
  </si>
  <si>
    <r>
      <rPr>
        <sz val="10"/>
        <rFont val="宋体"/>
        <family val="3"/>
        <charset val="134"/>
      </rPr>
      <t>求解回归方程</t>
    </r>
    <r>
      <rPr>
        <sz val="10"/>
        <rFont val="Arial Narrow"/>
        <family val="2"/>
      </rPr>
      <t>y=a+bx</t>
    </r>
    <r>
      <rPr>
        <sz val="10"/>
        <rFont val="宋体"/>
        <family val="3"/>
        <charset val="134"/>
      </rPr>
      <t>系数的计算公式：</t>
    </r>
  </si>
  <si>
    <t>C1</t>
  </si>
  <si>
    <t>Custom 1</t>
  </si>
  <si>
    <t>C2</t>
  </si>
  <si>
    <t>Custom 2</t>
  </si>
  <si>
    <t>C3</t>
  </si>
  <si>
    <t>Custom 3</t>
  </si>
  <si>
    <t>C4</t>
  </si>
  <si>
    <t>Custom 4</t>
  </si>
  <si>
    <t>C5</t>
  </si>
  <si>
    <t>Custom 5</t>
  </si>
  <si>
    <t>C6</t>
  </si>
  <si>
    <t>Custom 6</t>
  </si>
  <si>
    <t>C7</t>
  </si>
  <si>
    <t>Custom 7</t>
  </si>
  <si>
    <t>C8</t>
  </si>
  <si>
    <t>Custom 8</t>
  </si>
  <si>
    <t>根据评估的舞弊风险等因素增加的审计程序。</t>
  </si>
  <si>
    <t>IPO/上市/新三板/重组/舞弊应对</t>
  </si>
  <si>
    <t>8</t>
    <phoneticPr fontId="36" type="noConversion"/>
  </si>
  <si>
    <t>9</t>
    <phoneticPr fontId="36" type="noConversion"/>
  </si>
  <si>
    <t>I3-1
/I3-2</t>
    <phoneticPr fontId="36" type="noConversion"/>
  </si>
  <si>
    <t>I3-1
/I3-2</t>
    <phoneticPr fontId="36" type="noConversion"/>
  </si>
  <si>
    <t>I3-5
/I3-6
/I3-7
/I3-8</t>
    <phoneticPr fontId="36" type="noConversion"/>
  </si>
  <si>
    <r>
      <t>A1-1/</t>
    </r>
    <r>
      <rPr>
        <sz val="10"/>
        <color rgb="FFFF0000"/>
        <rFont val="Arial Narrow"/>
        <family val="2"/>
      </rPr>
      <t>A1-15 /A1-16</t>
    </r>
    <phoneticPr fontId="150" type="noConversion"/>
  </si>
  <si>
    <t>三、计划实施的实质性程序</t>
    <phoneticPr fontId="35" type="noConversion"/>
  </si>
  <si>
    <r>
      <t>对期初余额的审计，取得商誉期初余额明细表复核加计是否正确，与总账、明细账合计数是否相符，结合长期股权投资审计检查期初重要商业形成的支持性文件，以及其他必要追加的审计程序。</t>
    </r>
    <r>
      <rPr>
        <sz val="10"/>
        <color rgb="FFFF0000"/>
        <rFont val="宋体"/>
        <family val="3"/>
        <charset val="134"/>
      </rPr>
      <t>（适用于首次承接）</t>
    </r>
    <phoneticPr fontId="36" type="noConversion"/>
  </si>
  <si>
    <r>
      <rPr>
        <b/>
        <sz val="10"/>
        <rFont val="宋体"/>
        <family val="3"/>
        <charset val="134"/>
      </rPr>
      <t>√</t>
    </r>
    <phoneticPr fontId="35" type="noConversion"/>
  </si>
  <si>
    <r>
      <rPr>
        <sz val="10"/>
        <rFont val="宋体"/>
        <family val="3"/>
        <charset val="134"/>
      </rPr>
      <t>√</t>
    </r>
    <phoneticPr fontId="35" type="noConversion"/>
  </si>
  <si>
    <t>关注会计政策、会计估计合理性、一贯性，关注其是否利用会计政策和会计估计及其变更操纵利润：
（1）对于商誉，检查企业制定的商誉分摊、减值政策是否与会计准则一致；
（2）将被审计单位本期的会计政策、会计估计与前期进行对比，分析其是否前后一致。对于存在会计政策、会计估计变更的情形，判断是否合理，会计处理是否正确；
（3）与同行业其他公司的会计政策、会计估计进行对比，关注其是否利用会计政策和会计估计变更操纵利润；</t>
    <phoneticPr fontId="36" type="noConversion"/>
  </si>
  <si>
    <r>
      <rPr>
        <sz val="10"/>
        <rFont val="宋体"/>
        <family val="3"/>
        <charset val="134"/>
      </rPr>
      <t>√</t>
    </r>
    <phoneticPr fontId="35" type="noConversion"/>
  </si>
  <si>
    <r>
      <rPr>
        <b/>
        <sz val="10"/>
        <rFont val="宋体"/>
        <family val="3"/>
        <charset val="134"/>
      </rPr>
      <t>√</t>
    </r>
    <phoneticPr fontId="35" type="noConversion"/>
  </si>
  <si>
    <t>对于本期新增的商誉，根据具体情况，结合长期股权投资的审计，检查的支持性文件包括但不限于：
（1）获取有关合并协议和合并双方的董事会决议等文件、资料，判断合并是否属于非同一控制，了解企业合并的目的。如果合并属于非同一控制，则应判断购买日确定是否正确；
（2）索取企业合并的相关审计报告、资产评估报告，分析其公允价值的合理性；
（3）确定是否满足资产确认条件，</t>
    <phoneticPr fontId="36" type="noConversion"/>
  </si>
  <si>
    <t>对于本期减少的商誉，根据具体情况，结合长期股权投资的审计，检查的支持性文件包括但不限于：
（1）检查与资产处置相关的合同、发票及其他文件；
（2）重新计算相关的利得或损失；
（3）确定会计处理是否恰当，确定所采取的计价方法是否适当，会计处理是否正确。</t>
    <phoneticPr fontId="36" type="noConversion"/>
  </si>
  <si>
    <t>复核商誉减值测试：
（1）获取开发支出的减值明细表；
（2）记录对开发支出可能造成减值的事件或环境变化；
（3）复核用于减值测试的资产分组的合理性；
（4）关注并复核公司确定的减值测试方法与模型是否恰当；关注并复核公司进行减值测试所依据的基础数据是否准确、所选取的关键参数是否恰当，评价所采用的关键假设、所作出的重大估计和判断、所选取的价值类型是否合理，分析减值测试方法与价值类型是否匹配；
（5）取得相关的资产现金流分析。确定相关资产的预测的未来现金流量是合理的；如果现金流量预测表明，资产的账面价值无法收回，获得企业对资产组的公允价值的分析；评价每个评估专家的资质和工作（是否第三方或客户员工），并对完成“专家资质”和“专家工作”的审计程序。确定是否需要在审计项目组中增加一个估值专家，以帮助对公允价值/可收回金额的计算进行评价。
（6）比预期所估计减值准备和已记录的金额，调查所有重大差异；
（7）确定潜在减值是否恰当。
（8）确定上期确认的长期资产减值准备在本期的变动是否适当。</t>
    <phoneticPr fontId="36" type="noConversion"/>
  </si>
  <si>
    <r>
      <t>9</t>
    </r>
    <r>
      <rPr>
        <sz val="10"/>
        <color indexed="12"/>
        <rFont val="宋体"/>
        <family val="3"/>
        <charset val="134"/>
      </rPr>
      <t>、《会计监管风险提示第</t>
    </r>
    <r>
      <rPr>
        <sz val="10"/>
        <color indexed="12"/>
        <rFont val="Arial Narrow"/>
        <family val="2"/>
      </rPr>
      <t>8</t>
    </r>
    <r>
      <rPr>
        <sz val="10"/>
        <color indexed="12"/>
        <rFont val="宋体"/>
        <family val="3"/>
        <charset val="134"/>
      </rPr>
      <t>号——商誉减值》与商誉减值相关的前述特定减值迹象包括但不限于：</t>
    </r>
    <phoneticPr fontId="36" type="noConversion"/>
  </si>
  <si>
    <t>索引号</t>
  </si>
  <si>
    <t>期初数</t>
  </si>
  <si>
    <t>项目类别</t>
  </si>
  <si>
    <t>原始金额：</t>
  </si>
  <si>
    <t>减值准备：</t>
  </si>
  <si>
    <t>净值:</t>
  </si>
  <si>
    <r>
      <t>TB</t>
    </r>
    <r>
      <rPr>
        <b/>
        <sz val="10"/>
        <color rgb="FF000000"/>
        <rFont val="宋体"/>
        <family val="3"/>
        <charset val="134"/>
      </rPr>
      <t>数据：</t>
    </r>
  </si>
  <si>
    <t>支持性文件</t>
  </si>
  <si>
    <t>核对内容</t>
  </si>
  <si>
    <t>是否异常</t>
  </si>
  <si>
    <t>备注说明</t>
  </si>
  <si>
    <t>凭证编号</t>
  </si>
  <si>
    <t>业务内容</t>
  </si>
  <si>
    <t>对方科目</t>
  </si>
  <si>
    <t>对方明细科目</t>
  </si>
  <si>
    <t>借方金额</t>
  </si>
  <si>
    <t>贷方金额</t>
  </si>
  <si>
    <r>
      <t>测试内容说明：</t>
    </r>
    <r>
      <rPr>
        <sz val="10"/>
        <color indexed="10"/>
        <rFont val="Arial Narrow"/>
        <family val="2"/>
      </rPr>
      <t>1.</t>
    </r>
    <r>
      <rPr>
        <sz val="10"/>
        <color indexed="10"/>
        <rFont val="宋体"/>
        <family val="2"/>
      </rPr>
      <t>原始凭证是否齐全；</t>
    </r>
    <r>
      <rPr>
        <sz val="10"/>
        <color indexed="10"/>
        <rFont val="Arial Narrow"/>
        <family val="2"/>
      </rPr>
      <t xml:space="preserve"> 2.</t>
    </r>
    <r>
      <rPr>
        <sz val="10"/>
        <color indexed="10"/>
        <rFont val="宋体"/>
        <family val="2"/>
      </rPr>
      <t>记账凭证与原始凭证是否相符；</t>
    </r>
    <r>
      <rPr>
        <sz val="10"/>
        <color indexed="10"/>
        <rFont val="Arial Narrow"/>
        <family val="2"/>
      </rPr>
      <t>3.</t>
    </r>
    <r>
      <rPr>
        <sz val="10"/>
        <color indexed="10"/>
        <rFont val="宋体"/>
        <family val="2"/>
      </rPr>
      <t>账务处理是否正确；</t>
    </r>
    <r>
      <rPr>
        <sz val="10"/>
        <color indexed="10"/>
        <rFont val="Arial Narrow"/>
        <family val="2"/>
      </rPr>
      <t>4.</t>
    </r>
    <r>
      <rPr>
        <sz val="10"/>
        <color indexed="10"/>
        <rFont val="宋体"/>
        <family val="2"/>
      </rPr>
      <t>是否记录于恰当的会计期间；</t>
    </r>
    <r>
      <rPr>
        <sz val="10"/>
        <color indexed="10"/>
        <rFont val="Arial Narrow"/>
        <family val="2"/>
      </rPr>
      <t>5.……</t>
    </r>
  </si>
  <si>
    <t>商誉项目明细</t>
    <phoneticPr fontId="36" type="noConversion"/>
  </si>
  <si>
    <t>被审计单位：</t>
    <phoneticPr fontId="36" type="noConversion"/>
  </si>
  <si>
    <t>编制人：</t>
    <phoneticPr fontId="36" type="noConversion"/>
  </si>
  <si>
    <t>编制日期：</t>
    <phoneticPr fontId="36" type="noConversion"/>
  </si>
  <si>
    <t>复核人：</t>
    <phoneticPr fontId="36" type="noConversion"/>
  </si>
  <si>
    <t>复核日期：</t>
    <phoneticPr fontId="36" type="noConversion"/>
  </si>
  <si>
    <t>编制人：</t>
    <phoneticPr fontId="36" type="noConversion"/>
  </si>
  <si>
    <r>
      <t>客户名称：</t>
    </r>
    <r>
      <rPr>
        <sz val="10"/>
        <rFont val="Arial Narrow"/>
        <family val="2"/>
      </rPr>
      <t/>
    </r>
    <phoneticPr fontId="36" type="noConversion"/>
  </si>
  <si>
    <r>
      <t>截止日：</t>
    </r>
    <r>
      <rPr>
        <sz val="10"/>
        <rFont val="Arial Narrow"/>
        <family val="2"/>
      </rPr>
      <t/>
    </r>
    <phoneticPr fontId="36" type="noConversion"/>
  </si>
  <si>
    <t>页   次：</t>
  </si>
  <si>
    <t xml:space="preserve">页次：     </t>
  </si>
  <si>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35" type="noConversion"/>
  </si>
  <si>
    <t>关于工作底稿与审计程序索引号对应的说明</t>
    <phoneticPr fontId="35" type="noConversion"/>
  </si>
  <si>
    <r>
      <t>1.</t>
    </r>
    <r>
      <rPr>
        <b/>
        <sz val="12"/>
        <rFont val="宋体"/>
        <family val="3"/>
        <charset val="134"/>
      </rPr>
      <t>编制的审计工作底稿应与审计程序对应。</t>
    </r>
    <r>
      <rPr>
        <sz val="11"/>
        <color theme="1"/>
        <rFont val="宋体"/>
        <family val="3"/>
        <charset val="134"/>
        <scheme val="minor"/>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35" type="noConversion"/>
  </si>
  <si>
    <r>
      <t>2.</t>
    </r>
    <r>
      <rPr>
        <b/>
        <sz val="12"/>
        <rFont val="宋体"/>
        <family val="3"/>
        <charset val="134"/>
      </rPr>
      <t>获取的支持性证据应与审计底稿或程序对应。</t>
    </r>
    <r>
      <rPr>
        <sz val="11"/>
        <color theme="1"/>
        <rFont val="宋体"/>
        <family val="3"/>
        <charset val="134"/>
        <scheme val="minor"/>
      </rPr>
      <t>审计项目组在完成底稿时获取的支持性证据应根据底稿索引号编制下一级按自然顺序排序的索引号（如</t>
    </r>
    <r>
      <rPr>
        <sz val="12"/>
        <rFont val="Arial Narrow"/>
        <family val="2"/>
      </rPr>
      <t>D1-2-1</t>
    </r>
    <r>
      <rPr>
        <sz val="11"/>
        <color theme="1"/>
        <rFont val="宋体"/>
        <family val="3"/>
        <charset val="134"/>
        <scheme val="minor"/>
      </rPr>
      <t>、</t>
    </r>
    <r>
      <rPr>
        <sz val="12"/>
        <rFont val="Arial Narrow"/>
        <family val="2"/>
      </rPr>
      <t>D1-2-2</t>
    </r>
    <r>
      <rPr>
        <sz val="11"/>
        <color theme="1"/>
        <rFont val="宋体"/>
        <family val="3"/>
        <charset val="134"/>
        <scheme val="minor"/>
      </rPr>
      <t>、</t>
    </r>
    <r>
      <rPr>
        <sz val="12"/>
        <rFont val="Arial Narrow"/>
        <family val="2"/>
      </rPr>
      <t>……</t>
    </r>
    <r>
      <rPr>
        <sz val="11"/>
        <color theme="1"/>
        <rFont val="宋体"/>
        <family val="3"/>
        <charset val="134"/>
        <scheme val="minor"/>
      </rPr>
      <t>），并在底稿中说明引用的支持性证据、关联索引号。</t>
    </r>
    <phoneticPr fontId="35" type="noConversion"/>
  </si>
  <si>
    <r>
      <rPr>
        <b/>
        <sz val="12"/>
        <rFont val="Arial Narrow"/>
        <family val="2"/>
      </rPr>
      <t>3.</t>
    </r>
    <r>
      <rPr>
        <b/>
        <sz val="12"/>
        <rFont val="宋体"/>
        <family val="3"/>
        <charset val="134"/>
      </rPr>
      <t>工作底稿索引号的编码规则：</t>
    </r>
    <r>
      <rPr>
        <sz val="11"/>
        <color theme="1"/>
        <rFont val="宋体"/>
        <family val="3"/>
        <charset val="134"/>
        <scheme val="minor"/>
      </rPr>
      <t>实质性程序索引号按循环从</t>
    </r>
    <r>
      <rPr>
        <sz val="12"/>
        <rFont val="Arial Narrow"/>
        <family val="2"/>
      </rPr>
      <t>“D”</t>
    </r>
    <r>
      <rPr>
        <sz val="11"/>
        <color theme="1"/>
        <rFont val="宋体"/>
        <family val="3"/>
        <charset val="134"/>
        <scheme val="minor"/>
      </rPr>
      <t>到</t>
    </r>
    <r>
      <rPr>
        <sz val="12"/>
        <rFont val="Arial Narrow"/>
        <family val="2"/>
      </rPr>
      <t>“N”,</t>
    </r>
    <r>
      <rPr>
        <sz val="11"/>
        <color theme="1"/>
        <rFont val="宋体"/>
        <family val="3"/>
        <charset val="134"/>
        <scheme val="minor"/>
      </rPr>
      <t>循环内账户以顺序号排列，模板中底稿索引号按账户顺序</t>
    </r>
    <r>
      <rPr>
        <sz val="12"/>
        <rFont val="Arial Narrow"/>
        <family val="2"/>
      </rPr>
      <t>+</t>
    </r>
    <r>
      <rPr>
        <sz val="11"/>
        <color theme="1"/>
        <rFont val="宋体"/>
        <family val="3"/>
        <charset val="134"/>
        <scheme val="minor"/>
      </rPr>
      <t>自然数顺序（即模板中索引号按二级自然顺序排列，如</t>
    </r>
    <r>
      <rPr>
        <sz val="12"/>
        <rFont val="Arial Narrow"/>
        <family val="2"/>
      </rPr>
      <t>D1-1</t>
    </r>
    <r>
      <rPr>
        <sz val="11"/>
        <color theme="1"/>
        <rFont val="宋体"/>
        <family val="3"/>
        <charset val="134"/>
        <scheme val="minor"/>
      </rPr>
      <t>、</t>
    </r>
    <r>
      <rPr>
        <sz val="12"/>
        <rFont val="Arial Narrow"/>
        <family val="2"/>
      </rPr>
      <t>D1-2</t>
    </r>
    <r>
      <rPr>
        <sz val="11"/>
        <color theme="1"/>
        <rFont val="宋体"/>
        <family val="3"/>
        <charset val="134"/>
        <scheme val="minor"/>
      </rPr>
      <t>、</t>
    </r>
    <r>
      <rPr>
        <sz val="12"/>
        <rFont val="Arial Narrow"/>
        <family val="2"/>
      </rPr>
      <t>D1-3</t>
    </r>
    <r>
      <rPr>
        <sz val="11"/>
        <color theme="1"/>
        <rFont val="宋体"/>
        <family val="3"/>
        <charset val="134"/>
        <scheme val="minor"/>
      </rPr>
      <t>、</t>
    </r>
    <r>
      <rPr>
        <sz val="12"/>
        <rFont val="Arial Narrow"/>
        <family val="2"/>
      </rPr>
      <t>……D1-N</t>
    </r>
    <r>
      <rPr>
        <sz val="11"/>
        <color theme="1"/>
        <rFont val="宋体"/>
        <family val="3"/>
        <charset val="134"/>
        <scheme val="minor"/>
      </rPr>
      <t>）。</t>
    </r>
    <phoneticPr fontId="35" type="noConversion"/>
  </si>
  <si>
    <t>根据被审计单位实际情况和风险评估情况裁剪、修改或增加审计程序</t>
    <phoneticPr fontId="35" type="noConversion"/>
  </si>
  <si>
    <t>审计程序</t>
    <phoneticPr fontId="150" type="noConversion"/>
  </si>
  <si>
    <t>二、测试：</t>
    <phoneticPr fontId="164" type="noConversion"/>
  </si>
  <si>
    <t>测试原因：大额（）关联方（）大额交易频繁（）异常（）其他（）</t>
    <phoneticPr fontId="35" type="noConversion"/>
  </si>
  <si>
    <t>合计</t>
    <phoneticPr fontId="36" type="noConversion"/>
  </si>
  <si>
    <t>合计</t>
    <phoneticPr fontId="35" type="noConversion"/>
  </si>
  <si>
    <t>本期发生额</t>
    <phoneticPr fontId="35" type="noConversion"/>
  </si>
  <si>
    <t>检查比例</t>
    <phoneticPr fontId="3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</si>
</sst>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6">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0%;\(0%\)"/>
    <numFmt numFmtId="186" formatCode="0.0%"/>
    <numFmt numFmtId="187" formatCode="&quot;$&quot;#,##0_);\(&quot;$&quot;#,##0\)"/>
    <numFmt numFmtId="188" formatCode="#,##0&quot; F&quot;_);\(#,##0&quot; F&quot;\)"/>
    <numFmt numFmtId="189" formatCode="&quot;$&quot;#,##0;[Red]&quot;$&quot;&quot;$&quot;&quot;$&quot;&quot;$&quot;&quot;$&quot;&quot;$&quot;&quot;$&quot;\-#,##0"/>
    <numFmt numFmtId="190" formatCode="#,##0.0_);\(#,##0.0\)"/>
    <numFmt numFmtId="191" formatCode="hh:mm\ AM/PM_)"/>
    <numFmt numFmtId="192" formatCode="&quot;$&quot;#,##0.00_);\(&quot;$&quot;#,##0.00\)"/>
    <numFmt numFmtId="193" formatCode=";;;"/>
    <numFmt numFmtId="194" formatCode="_([$€-2]* #,##0.00_);_([$€-2]* \(#,##0.00\);_([$€-2]* &quot;-&quot;??_)"/>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quot;\&quot;#,##0;&quot;\&quot;&quot;\&quot;\-#,##0"/>
    <numFmt numFmtId="202" formatCode="0%_);\(0%\)"/>
    <numFmt numFmtId="203" formatCode="0.0000000"/>
    <numFmt numFmtId="204" formatCode="\¥#,##0.00;[Red]\¥\-#,##0.00"/>
    <numFmt numFmtId="205" formatCode="0.000000"/>
    <numFmt numFmtId="206" formatCode="0.00000000"/>
    <numFmt numFmtId="207" formatCode="_ * #,##0_)\ _F_ ;_ * \(#,##0\)\ _F_ ;_ * &quot;-&quot;_)\ _F_ ;_ @_ "/>
    <numFmt numFmtId="208" formatCode="_ * #,##0.0000_ ;_ * \-#,##0.0000_ ;_ * &quot;-&quot;??_ ;_ @_ "/>
    <numFmt numFmtId="212" formatCode="0.00_ "/>
  </numFmts>
  <fonts count="166">
    <font>
      <sz val="11"/>
      <color theme="1"/>
      <name val="宋体"/>
      <charset val="134"/>
      <scheme val="minor"/>
    </font>
    <font>
      <sz val="11"/>
      <color theme="1"/>
      <name val="宋体"/>
      <family val="2"/>
      <charset val="134"/>
      <scheme val="minor"/>
    </font>
    <font>
      <sz val="12"/>
      <name val="Arial Narrow"/>
      <family val="2"/>
    </font>
    <font>
      <sz val="10"/>
      <name val="Arial Narrow"/>
      <family val="2"/>
    </font>
    <font>
      <b/>
      <sz val="10"/>
      <name val="宋体"/>
      <family val="3"/>
      <charset val="134"/>
    </font>
    <font>
      <b/>
      <sz val="10"/>
      <name val="Arial Narrow"/>
      <family val="2"/>
    </font>
    <font>
      <b/>
      <sz val="12"/>
      <name val="宋体"/>
      <family val="3"/>
      <charset val="134"/>
    </font>
    <font>
      <b/>
      <sz val="12"/>
      <name val="Arial Narrow"/>
      <family val="2"/>
    </font>
    <font>
      <sz val="10"/>
      <name val="宋体"/>
      <family val="3"/>
      <charset val="134"/>
    </font>
    <font>
      <sz val="9"/>
      <color indexed="12"/>
      <name val="宋体"/>
      <family val="3"/>
      <charset val="134"/>
    </font>
    <font>
      <sz val="10"/>
      <name val="Arial"/>
      <family val="2"/>
    </font>
    <font>
      <sz val="12"/>
      <name val="宋体"/>
      <family val="3"/>
      <charset val="134"/>
    </font>
    <font>
      <sz val="11"/>
      <name val="Arial"/>
      <family val="2"/>
    </font>
    <font>
      <sz val="11"/>
      <name val="宋体"/>
      <family val="3"/>
      <charset val="134"/>
    </font>
    <font>
      <b/>
      <sz val="11"/>
      <color theme="1"/>
      <name val="Arial"/>
      <family val="2"/>
    </font>
    <font>
      <b/>
      <sz val="11"/>
      <color rgb="FFFF0000"/>
      <name val="宋体"/>
      <family val="3"/>
      <charset val="134"/>
    </font>
    <font>
      <b/>
      <sz val="11"/>
      <color theme="1"/>
      <name val="宋体"/>
      <family val="3"/>
      <charset val="134"/>
    </font>
    <font>
      <b/>
      <sz val="11"/>
      <name val="Arial"/>
      <family val="2"/>
    </font>
    <font>
      <b/>
      <sz val="11"/>
      <color rgb="FFC00000"/>
      <name val="宋体"/>
      <family val="3"/>
      <charset val="134"/>
    </font>
    <font>
      <sz val="11"/>
      <color theme="1"/>
      <name val="Arial"/>
      <family val="2"/>
    </font>
    <font>
      <b/>
      <sz val="11"/>
      <name val="宋体"/>
      <family val="3"/>
      <charset val="134"/>
    </font>
    <font>
      <b/>
      <sz val="11"/>
      <color indexed="8"/>
      <name val="Arial"/>
      <family val="2"/>
    </font>
    <font>
      <b/>
      <sz val="10"/>
      <color theme="1"/>
      <name val="Arial Narrow"/>
      <family val="2"/>
    </font>
    <font>
      <sz val="10"/>
      <color theme="1"/>
      <name val="Arial Narrow"/>
      <family val="2"/>
    </font>
    <font>
      <u/>
      <sz val="11"/>
      <color theme="10"/>
      <name val="宋体"/>
      <family val="3"/>
      <charset val="134"/>
    </font>
    <font>
      <u/>
      <sz val="11"/>
      <color theme="10"/>
      <name val="宋体"/>
      <family val="3"/>
      <charset val="134"/>
      <scheme val="minor"/>
    </font>
    <font>
      <sz val="10"/>
      <color theme="1"/>
      <name val="宋体"/>
      <family val="3"/>
      <charset val="134"/>
      <scheme val="minor"/>
    </font>
    <font>
      <b/>
      <sz val="10"/>
      <color theme="1"/>
      <name val="宋体"/>
      <family val="3"/>
      <charset val="134"/>
      <scheme val="minor"/>
    </font>
    <font>
      <sz val="9"/>
      <name val="Arial Narrow"/>
      <family val="2"/>
    </font>
    <font>
      <sz val="10"/>
      <color rgb="FF0000FF"/>
      <name val="宋体"/>
      <family val="3"/>
      <charset val="134"/>
    </font>
    <font>
      <sz val="11"/>
      <color theme="1"/>
      <name val="宋体"/>
      <family val="3"/>
      <charset val="134"/>
      <scheme val="minor"/>
    </font>
    <font>
      <sz val="10"/>
      <color rgb="FF3333FF"/>
      <name val="宋体"/>
      <family val="3"/>
      <charset val="134"/>
    </font>
    <font>
      <sz val="11"/>
      <color rgb="FF3333FF"/>
      <name val="宋体"/>
      <family val="3"/>
      <charset val="134"/>
      <scheme val="minor"/>
    </font>
    <font>
      <sz val="11"/>
      <color rgb="FF0000FF"/>
      <name val="宋体"/>
      <family val="3"/>
      <charset val="134"/>
      <scheme val="minor"/>
    </font>
    <font>
      <sz val="10"/>
      <color rgb="FF3333FF"/>
      <name val="Arial Narrow"/>
      <family val="2"/>
    </font>
    <font>
      <sz val="9"/>
      <name val="宋体"/>
      <family val="3"/>
      <charset val="134"/>
    </font>
    <font>
      <sz val="9"/>
      <name val="宋体"/>
      <family val="3"/>
      <charset val="134"/>
      <scheme val="minor"/>
    </font>
    <font>
      <strike/>
      <sz val="9"/>
      <name val="宋体"/>
      <family val="3"/>
      <charset val="134"/>
    </font>
    <font>
      <sz val="11"/>
      <name val="宋体"/>
      <family val="3"/>
      <charset val="134"/>
      <scheme val="minor"/>
    </font>
    <font>
      <sz val="8"/>
      <name val="宋体"/>
      <family val="3"/>
      <charset val="134"/>
    </font>
    <font>
      <sz val="8"/>
      <name val="宋体"/>
      <family val="3"/>
      <charset val="134"/>
      <scheme val="minor"/>
    </font>
    <font>
      <sz val="10"/>
      <color indexed="12"/>
      <name val="Arial Narrow"/>
      <family val="2"/>
    </font>
    <font>
      <b/>
      <sz val="10"/>
      <color indexed="12"/>
      <name val="Arial Narrow"/>
      <family val="2"/>
    </font>
    <font>
      <sz val="12"/>
      <color indexed="12"/>
      <name val="Arial Narrow"/>
      <family val="2"/>
    </font>
    <font>
      <sz val="9"/>
      <color indexed="12"/>
      <name val="Arial Narrow"/>
      <family val="2"/>
    </font>
    <font>
      <i/>
      <sz val="10"/>
      <color indexed="12"/>
      <name val="Arial Narrow"/>
      <family val="2"/>
    </font>
    <font>
      <b/>
      <sz val="10"/>
      <color rgb="FFFF0000"/>
      <name val="Arial Narrow"/>
      <family val="2"/>
    </font>
    <font>
      <sz val="10"/>
      <color rgb="FFFF0000"/>
      <name val="宋体"/>
      <family val="3"/>
      <charset val="134"/>
    </font>
    <font>
      <u/>
      <sz val="10"/>
      <color theme="10"/>
      <name val="Arial Narrow"/>
      <family val="2"/>
    </font>
    <font>
      <b/>
      <sz val="10"/>
      <color indexed="8"/>
      <name val="Arial Narrow"/>
      <family val="2"/>
    </font>
    <font>
      <b/>
      <sz val="12"/>
      <color indexed="8"/>
      <name val="Arial Narrow"/>
      <family val="2"/>
    </font>
    <font>
      <sz val="10"/>
      <color indexed="8"/>
      <name val="Arial Narrow"/>
      <family val="2"/>
    </font>
    <font>
      <b/>
      <sz val="10"/>
      <color indexed="8"/>
      <name val="宋体"/>
      <family val="3"/>
      <charset val="134"/>
    </font>
    <font>
      <b/>
      <sz val="12"/>
      <color indexed="8"/>
      <name val="宋体"/>
      <family val="3"/>
      <charset val="134"/>
    </font>
    <font>
      <sz val="10"/>
      <color indexed="12"/>
      <name val="宋体"/>
      <family val="3"/>
      <charset val="134"/>
    </font>
    <font>
      <b/>
      <sz val="10"/>
      <color indexed="10"/>
      <name val="Arial Narrow"/>
      <family val="2"/>
    </font>
    <font>
      <sz val="10"/>
      <color indexed="8"/>
      <name val="宋体"/>
      <family val="3"/>
      <charset val="134"/>
    </font>
    <font>
      <sz val="10"/>
      <color rgb="FFFF0000"/>
      <name val="Arial Narrow"/>
      <family val="2"/>
    </font>
    <font>
      <b/>
      <sz val="10"/>
      <color rgb="FFE92841"/>
      <name val="Arial Narrow"/>
      <family val="2"/>
    </font>
    <font>
      <sz val="12"/>
      <color indexed="12"/>
      <name val="仿宋_GB2312"/>
      <family val="3"/>
      <charset val="134"/>
    </font>
    <font>
      <b/>
      <sz val="10"/>
      <color rgb="FFFF0000"/>
      <name val="宋体"/>
      <family val="3"/>
      <charset val="134"/>
    </font>
    <font>
      <i/>
      <sz val="10"/>
      <color rgb="FFFF0000"/>
      <name val="宋体"/>
      <family val="3"/>
      <charset val="134"/>
    </font>
    <font>
      <u/>
      <sz val="10"/>
      <color theme="10"/>
      <name val="宋体"/>
      <family val="3"/>
      <charset val="134"/>
    </font>
    <font>
      <sz val="10"/>
      <color indexed="8"/>
      <name val="宋体"/>
      <family val="3"/>
      <charset val="134"/>
      <scheme val="minor"/>
    </font>
    <font>
      <b/>
      <sz val="10"/>
      <color indexed="8"/>
      <name val="宋体"/>
      <family val="3"/>
      <charset val="134"/>
      <scheme val="minor"/>
    </font>
    <font>
      <b/>
      <sz val="10"/>
      <color rgb="FF000000"/>
      <name val="宋体"/>
      <family val="3"/>
      <charset val="134"/>
      <scheme val="minor"/>
    </font>
    <font>
      <sz val="10"/>
      <color rgb="FF0000FF"/>
      <name val="宋体"/>
      <family val="3"/>
      <charset val="134"/>
      <scheme val="minor"/>
    </font>
    <font>
      <b/>
      <sz val="10"/>
      <color rgb="FF0000FF"/>
      <name val="宋体"/>
      <family val="3"/>
      <charset val="134"/>
      <scheme val="minor"/>
    </font>
    <font>
      <sz val="10"/>
      <color indexed="30"/>
      <name val="Arial Narrow"/>
      <family val="2"/>
    </font>
    <font>
      <b/>
      <sz val="10"/>
      <color rgb="FF000000"/>
      <name val="宋体"/>
      <family val="3"/>
      <charset val="134"/>
    </font>
    <font>
      <b/>
      <sz val="10"/>
      <name val="Arial"/>
      <family val="2"/>
    </font>
    <font>
      <sz val="10"/>
      <color indexed="8"/>
      <name val="宋体"/>
      <family val="3"/>
      <charset val="134"/>
    </font>
    <font>
      <sz val="10"/>
      <color rgb="FF000000"/>
      <name val="宋体"/>
      <family val="3"/>
      <charset val="134"/>
    </font>
    <font>
      <b/>
      <sz val="10"/>
      <name val="宋体"/>
      <family val="3"/>
      <charset val="134"/>
    </font>
    <font>
      <b/>
      <sz val="10"/>
      <color indexed="23"/>
      <name val="Arial Narrow"/>
      <family val="2"/>
    </font>
    <font>
      <sz val="10"/>
      <color indexed="12"/>
      <name val="宋体"/>
      <family val="3"/>
      <charset val="134"/>
    </font>
    <font>
      <b/>
      <sz val="12"/>
      <name val="Arial"/>
      <family val="2"/>
    </font>
    <font>
      <sz val="11"/>
      <color indexed="8"/>
      <name val="宋体"/>
      <family val="3"/>
      <charset val="134"/>
    </font>
    <font>
      <sz val="10"/>
      <name val="Times New Roman"/>
      <family val="1"/>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sz val="10"/>
      <color indexed="8"/>
      <name val="MS Sans Serif"/>
      <family val="2"/>
    </font>
    <font>
      <b/>
      <sz val="11"/>
      <color indexed="63"/>
      <name val="Calibri"/>
      <family val="2"/>
    </font>
    <font>
      <sz val="7"/>
      <color indexed="10"/>
      <name val="Helv"/>
      <family val="2"/>
    </font>
    <font>
      <sz val="8"/>
      <color indexed="16"/>
      <name val="Century Schoolbook"/>
      <family val="1"/>
    </font>
    <font>
      <sz val="9"/>
      <color indexed="8"/>
      <name val="宋体"/>
      <family val="3"/>
      <charset val="134"/>
    </font>
    <font>
      <b/>
      <i/>
      <sz val="10"/>
      <name val="Times New Roman"/>
      <family val="1"/>
    </font>
    <font>
      <b/>
      <sz val="12"/>
      <name val="MS Sans Serif"/>
      <family val="2"/>
    </font>
    <font>
      <sz val="12"/>
      <name val="MS Sans Serif"/>
      <family val="2"/>
    </font>
    <font>
      <b/>
      <sz val="10"/>
      <color indexed="10"/>
      <name val="Arial"/>
      <family val="2"/>
    </font>
    <font>
      <b/>
      <sz val="18"/>
      <color indexed="56"/>
      <name val="Cambria"/>
      <family val="1"/>
    </font>
    <font>
      <b/>
      <sz val="11"/>
      <color indexed="8"/>
      <name val="Calibri"/>
      <family val="2"/>
    </font>
    <font>
      <sz val="11"/>
      <color indexed="10"/>
      <name val="Calibri"/>
      <family val="2"/>
    </font>
    <font>
      <sz val="10"/>
      <name val="Geneva"/>
      <family val="1"/>
    </font>
    <font>
      <sz val="11"/>
      <name val="明朝"/>
      <family val="2"/>
    </font>
    <font>
      <sz val="11"/>
      <color theme="1"/>
      <name val="宋体"/>
      <family val="3"/>
      <charset val="134"/>
      <scheme val="minor"/>
    </font>
    <font>
      <sz val="8"/>
      <name val="Century Schoolbook"/>
      <family val="1"/>
    </font>
    <font>
      <sz val="11"/>
      <color indexed="8"/>
      <name val="宋体"/>
      <family val="3"/>
      <charset val="134"/>
    </font>
    <font>
      <sz val="10"/>
      <color indexed="8"/>
      <name val="Tahoma"/>
      <family val="2"/>
    </font>
    <font>
      <sz val="12"/>
      <name val="Times New Roman"/>
      <family val="1"/>
    </font>
    <font>
      <u/>
      <sz val="10"/>
      <color indexed="12"/>
      <name val="宋体"/>
      <family val="3"/>
      <charset val="134"/>
    </font>
    <font>
      <u/>
      <sz val="12"/>
      <color indexed="12"/>
      <name val="宋体"/>
      <family val="3"/>
      <charset val="134"/>
    </font>
    <font>
      <u/>
      <sz val="12"/>
      <color theme="10"/>
      <name val="宋体"/>
      <family val="3"/>
      <charset val="134"/>
    </font>
    <font>
      <u/>
      <sz val="11"/>
      <color theme="10"/>
      <name val="宋体"/>
      <family val="3"/>
      <charset val="134"/>
    </font>
    <font>
      <sz val="11"/>
      <name val="蹈框"/>
      <charset val="134"/>
    </font>
    <font>
      <sz val="11"/>
      <name val="ＭＳ Ｐゴシック"/>
      <family val="2"/>
    </font>
    <font>
      <sz val="12"/>
      <name val="바탕체"/>
      <family val="3"/>
    </font>
    <font>
      <b/>
      <sz val="10"/>
      <color indexed="10"/>
      <name val="宋体"/>
      <family val="3"/>
      <charset val="134"/>
    </font>
    <font>
      <b/>
      <sz val="11"/>
      <color indexed="8"/>
      <name val="宋体"/>
      <family val="3"/>
      <charset val="134"/>
    </font>
    <font>
      <sz val="10"/>
      <color indexed="12"/>
      <name val="宋体"/>
      <family val="3"/>
      <charset val="134"/>
      <scheme val="minor"/>
    </font>
    <font>
      <b/>
      <sz val="11"/>
      <color indexed="8"/>
      <name val="Times New Roman"/>
      <family val="1"/>
    </font>
    <font>
      <b/>
      <sz val="8"/>
      <name val="Arial Narrow"/>
      <family val="2"/>
    </font>
    <font>
      <sz val="8"/>
      <name val="Times New Roman"/>
      <family val="1"/>
    </font>
    <font>
      <b/>
      <sz val="10"/>
      <name val="Times New Roman"/>
      <family val="1"/>
    </font>
    <font>
      <b/>
      <sz val="8"/>
      <name val="Times New Roman"/>
      <family val="1"/>
    </font>
    <font>
      <b/>
      <sz val="11"/>
      <name val="Times New Roman"/>
      <family val="1"/>
    </font>
    <font>
      <sz val="11"/>
      <color indexed="8"/>
      <name val="Arial"/>
      <family val="2"/>
    </font>
    <font>
      <b/>
      <sz val="10"/>
      <color indexed="12"/>
      <name val="宋体"/>
      <family val="3"/>
      <charset val="134"/>
    </font>
    <font>
      <sz val="11"/>
      <name val="Times New Roman"/>
      <family val="1"/>
    </font>
    <font>
      <i/>
      <sz val="10"/>
      <color indexed="12"/>
      <name val="宋体"/>
      <family val="3"/>
      <charset val="134"/>
    </font>
    <font>
      <b/>
      <sz val="10"/>
      <color rgb="FF3333FF"/>
      <name val="宋体"/>
      <family val="3"/>
      <charset val="134"/>
    </font>
    <font>
      <b/>
      <sz val="10"/>
      <color rgb="FF3333FF"/>
      <name val="Arial Narrow"/>
      <family val="2"/>
    </font>
    <font>
      <b/>
      <sz val="8"/>
      <name val="宋体"/>
      <family val="3"/>
      <charset val="134"/>
    </font>
    <font>
      <sz val="10"/>
      <color indexed="8"/>
      <name val="宋体"/>
      <family val="2"/>
    </font>
    <font>
      <sz val="9"/>
      <name val="宋体"/>
      <family val="2"/>
      <charset val="134"/>
      <scheme val="minor"/>
    </font>
    <font>
      <b/>
      <sz val="10"/>
      <name val="宋体"/>
      <family val="2"/>
    </font>
    <font>
      <sz val="10"/>
      <color indexed="10"/>
      <name val="Arial Narrow"/>
      <family val="2"/>
    </font>
    <font>
      <sz val="10"/>
      <color indexed="10"/>
      <name val="宋体"/>
      <family val="2"/>
    </font>
    <font>
      <b/>
      <sz val="10"/>
      <color indexed="10"/>
      <name val="宋体"/>
      <family val="2"/>
    </font>
    <font>
      <b/>
      <sz val="14"/>
      <name val="宋体"/>
      <family val="3"/>
      <charset val="134"/>
    </font>
    <font>
      <b/>
      <sz val="14"/>
      <name val="Arial Narrow"/>
      <family val="2"/>
    </font>
    <font>
      <sz val="12"/>
      <name val="宋体"/>
      <family val="3"/>
      <charset val="134"/>
      <scheme val="minor"/>
    </font>
    <font>
      <sz val="10"/>
      <name val="宋体"/>
      <family val="3"/>
      <charset val="134"/>
      <scheme val="minor"/>
    </font>
    <font>
      <b/>
      <sz val="10"/>
      <color indexed="10"/>
      <name val="宋体"/>
      <family val="3"/>
      <charset val="134"/>
      <scheme val="minor"/>
    </font>
    <font>
      <b/>
      <sz val="9"/>
      <color indexed="81"/>
      <name val="宋体"/>
      <family val="3"/>
      <charset val="134"/>
    </font>
    <font>
      <sz val="9"/>
      <color indexed="81"/>
      <name val="宋体"/>
      <family val="3"/>
      <charset val="134"/>
    </font>
    <font>
      <b/>
      <sz val="14"/>
      <color indexed="8"/>
      <name val="宋体"/>
      <family val="3"/>
      <charset val="134"/>
    </font>
    <font>
      <b/>
      <sz val="14"/>
      <color indexed="8"/>
      <name val="Arial Narrow"/>
      <family val="2"/>
    </font>
    <font>
      <sz val="18"/>
      <color indexed="48"/>
      <name val="魏碑"/>
      <family val="3"/>
      <charset val="134"/>
    </font>
    <font>
      <sz val="10"/>
      <color theme="10"/>
      <name val="Arial Narrow"/>
      <family val="2"/>
    </font>
  </fonts>
  <fills count="33">
    <fill>
      <patternFill patternType="none"/>
    </fill>
    <fill>
      <patternFill patternType="gray125"/>
    </fill>
    <fill>
      <patternFill patternType="solid">
        <fgColor theme="7" tint="0.79995117038483843"/>
        <bgColor indexed="64"/>
      </patternFill>
    </fill>
    <fill>
      <patternFill patternType="solid">
        <fgColor indexed="22"/>
        <bgColor indexed="64"/>
      </patternFill>
    </fill>
    <fill>
      <patternFill patternType="solid">
        <fgColor rgb="FF92D050"/>
        <bgColor indexed="64"/>
      </patternFill>
    </fill>
    <fill>
      <patternFill patternType="solid">
        <fgColor rgb="FFE4DFEC"/>
        <bgColor indexed="64"/>
      </patternFill>
    </fill>
    <fill>
      <patternFill patternType="solid">
        <fgColor rgb="FFD9D9D9"/>
        <bgColor indexed="64"/>
      </patternFill>
    </fill>
    <fill>
      <patternFill patternType="solid">
        <fgColor rgb="FFFF00FF"/>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13"/>
        <bgColor indexed="64"/>
      </patternFill>
    </fill>
    <fill>
      <patternFill patternType="solid">
        <fgColor indexed="26"/>
        <bgColor indexed="64"/>
      </patternFill>
    </fill>
    <fill>
      <patternFill patternType="solid">
        <fgColor indexed="43"/>
        <bgColor indexed="64"/>
      </patternFill>
    </fill>
    <fill>
      <patternFill patternType="solid">
        <fgColor indexed="9"/>
        <bgColor indexed="64"/>
      </patternFill>
    </fill>
    <fill>
      <patternFill patternType="solid">
        <fgColor theme="7" tint="0.79998168889431442"/>
        <bgColor indexed="64"/>
      </patternFill>
    </fill>
    <fill>
      <patternFill patternType="solid">
        <fgColor indexed="14"/>
        <bgColor indexed="64"/>
      </patternFill>
    </fill>
  </fills>
  <borders count="34">
    <border>
      <left/>
      <right/>
      <top/>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thin">
        <color auto="1"/>
      </left>
      <right style="thin">
        <color auto="1"/>
      </right>
      <top style="thin">
        <color auto="1"/>
      </top>
      <bottom style="thin">
        <color auto="1"/>
      </bottom>
      <diagonal/>
    </border>
    <border>
      <left/>
      <right/>
      <top/>
      <bottom style="thin">
        <color auto="1"/>
      </bottom>
      <diagonal/>
    </border>
    <border>
      <left/>
      <right/>
      <top style="hair">
        <color auto="1"/>
      </top>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hair">
        <color auto="1"/>
      </left>
      <right style="hair">
        <color auto="1"/>
      </right>
      <top/>
      <bottom/>
      <diagonal/>
    </border>
    <border>
      <left/>
      <right style="hair">
        <color auto="1"/>
      </right>
      <top style="hair">
        <color auto="1"/>
      </top>
      <bottom/>
      <diagonal/>
    </border>
    <border>
      <left/>
      <right/>
      <top/>
      <bottom style="hair">
        <color auto="1"/>
      </bottom>
      <diagonal/>
    </border>
    <border>
      <left/>
      <right style="hair">
        <color auto="1"/>
      </right>
      <top/>
      <bottom style="hair">
        <color auto="1"/>
      </bottom>
      <diagonal/>
    </border>
    <border>
      <left/>
      <right/>
      <top style="hair">
        <color auto="1"/>
      </top>
      <bottom style="hair">
        <color auto="1"/>
      </bottom>
      <diagonal/>
    </border>
    <border>
      <left style="hair">
        <color auto="1"/>
      </left>
      <right/>
      <top style="hair">
        <color auto="1"/>
      </top>
      <bottom/>
      <diagonal/>
    </border>
    <border>
      <left style="hair">
        <color auto="1"/>
      </left>
      <right/>
      <top/>
      <bottom style="hair">
        <color auto="1"/>
      </bottom>
      <diagonal/>
    </border>
    <border>
      <left/>
      <right/>
      <top style="thick">
        <color auto="1"/>
      </top>
      <bottom style="thick">
        <color auto="1"/>
      </bottom>
      <diagonal/>
    </border>
    <border>
      <left/>
      <right/>
      <top style="medium">
        <color auto="1"/>
      </top>
      <bottom style="medium">
        <color auto="1"/>
      </bottom>
      <diagonal/>
    </border>
    <border>
      <left/>
      <right/>
      <top style="medium">
        <color auto="1"/>
      </top>
      <bottom/>
      <diagonal/>
    </border>
    <border>
      <left/>
      <right/>
      <top/>
      <bottom style="medium">
        <color auto="1"/>
      </bottom>
      <diagonal/>
    </border>
    <border>
      <left/>
      <right/>
      <top style="thin">
        <color auto="1"/>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auto="1"/>
      </left>
      <right style="thin">
        <color auto="1"/>
      </right>
      <top style="thin">
        <color auto="1"/>
      </top>
      <bottom/>
      <diagonal/>
    </border>
    <border>
      <left/>
      <right/>
      <top style="thin">
        <color auto="1"/>
      </top>
      <bottom style="thin">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s>
  <cellStyleXfs count="307">
    <xf numFmtId="0" fontId="0" fillId="0" borderId="0">
      <alignment vertical="center"/>
    </xf>
    <xf numFmtId="43" fontId="77" fillId="0" borderId="0" applyFont="0" applyFill="0" applyBorder="0" applyAlignment="0" applyProtection="0">
      <alignment vertical="center"/>
    </xf>
    <xf numFmtId="9" fontId="77" fillId="0" borderId="0" applyFont="0" applyFill="0" applyBorder="0" applyAlignment="0" applyProtection="0">
      <alignment vertical="center"/>
    </xf>
    <xf numFmtId="0" fontId="24" fillId="0" borderId="0" applyNumberFormat="0" applyFill="0" applyBorder="0" applyAlignment="0" applyProtection="0">
      <alignment vertical="top"/>
      <protection locked="0"/>
    </xf>
    <xf numFmtId="0" fontId="10" fillId="0" borderId="0"/>
    <xf numFmtId="0" fontId="10" fillId="0" borderId="0"/>
    <xf numFmtId="0" fontId="10" fillId="0" borderId="0"/>
    <xf numFmtId="0" fontId="10" fillId="0" borderId="0"/>
    <xf numFmtId="49" fontId="78" fillId="0" borderId="0" applyProtection="0">
      <alignment horizontal="left"/>
    </xf>
    <xf numFmtId="0" fontId="79" fillId="0" borderId="0">
      <alignment vertical="top"/>
      <protection locked="0"/>
    </xf>
    <xf numFmtId="0" fontId="79" fillId="0" borderId="0">
      <alignment vertical="top"/>
      <protection locked="0"/>
    </xf>
    <xf numFmtId="0" fontId="79" fillId="0" borderId="0">
      <alignment vertical="top"/>
      <protection locked="0"/>
    </xf>
    <xf numFmtId="0" fontId="79" fillId="0" borderId="0">
      <alignment vertical="top"/>
    </xf>
    <xf numFmtId="0" fontId="79" fillId="0" borderId="0">
      <alignment vertical="top"/>
      <protection locked="0"/>
    </xf>
    <xf numFmtId="0" fontId="79" fillId="0" borderId="0">
      <alignment vertical="top"/>
    </xf>
    <xf numFmtId="0" fontId="79" fillId="0" borderId="0">
      <alignment vertical="top"/>
    </xf>
    <xf numFmtId="0" fontId="79" fillId="0" borderId="0">
      <alignment vertical="top"/>
      <protection locked="0"/>
    </xf>
    <xf numFmtId="0" fontId="79" fillId="0" borderId="0">
      <alignment vertical="top"/>
      <protection locked="0"/>
    </xf>
    <xf numFmtId="0" fontId="79" fillId="0" borderId="0">
      <alignment vertical="top"/>
      <protection locked="0"/>
    </xf>
    <xf numFmtId="0" fontId="79" fillId="0" borderId="0">
      <alignment vertical="top"/>
    </xf>
    <xf numFmtId="0" fontId="79" fillId="0" borderId="0">
      <alignment vertical="top"/>
    </xf>
    <xf numFmtId="0" fontId="79" fillId="0" borderId="0">
      <alignment vertical="top"/>
      <protection locked="0"/>
    </xf>
    <xf numFmtId="0" fontId="79" fillId="0" borderId="0">
      <alignment vertical="top"/>
    </xf>
    <xf numFmtId="0" fontId="79" fillId="0" borderId="0">
      <alignment vertical="top"/>
    </xf>
    <xf numFmtId="0" fontId="79" fillId="0" borderId="0">
      <alignment vertical="top"/>
    </xf>
    <xf numFmtId="0" fontId="79" fillId="0" borderId="0">
      <alignment vertical="top"/>
      <protection locked="0"/>
    </xf>
    <xf numFmtId="0" fontId="79" fillId="0" borderId="0">
      <alignment vertical="top"/>
    </xf>
    <xf numFmtId="0" fontId="79" fillId="0" borderId="0">
      <alignment vertical="top"/>
      <protection locked="0"/>
    </xf>
    <xf numFmtId="0" fontId="79" fillId="0" borderId="0">
      <alignment vertical="top"/>
      <protection locked="0"/>
    </xf>
    <xf numFmtId="0" fontId="79" fillId="0" borderId="0">
      <alignment vertical="top"/>
    </xf>
    <xf numFmtId="0" fontId="79" fillId="0" borderId="0">
      <alignment vertical="top"/>
    </xf>
    <xf numFmtId="0" fontId="79" fillId="0" borderId="0">
      <alignment vertical="top"/>
    </xf>
    <xf numFmtId="0" fontId="79" fillId="0" borderId="0">
      <alignment vertical="top"/>
    </xf>
    <xf numFmtId="0" fontId="79" fillId="0" borderId="0">
      <alignment vertical="top"/>
    </xf>
    <xf numFmtId="176" fontId="78" fillId="0" borderId="0" applyFill="0" applyBorder="0" applyProtection="0">
      <alignment horizontal="right"/>
    </xf>
    <xf numFmtId="177" fontId="78" fillId="0" borderId="0" applyFill="0" applyBorder="0" applyProtection="0">
      <alignment horizontal="right"/>
    </xf>
    <xf numFmtId="178" fontId="80" fillId="0" borderId="0" applyFill="0" applyBorder="0" applyProtection="0">
      <alignment horizontal="center"/>
    </xf>
    <xf numFmtId="179" fontId="80" fillId="0" borderId="0" applyFill="0" applyBorder="0" applyProtection="0">
      <alignment horizontal="center"/>
    </xf>
    <xf numFmtId="180" fontId="81" fillId="0" borderId="0" applyFill="0" applyBorder="0" applyProtection="0">
      <alignment horizontal="right"/>
    </xf>
    <xf numFmtId="181" fontId="78" fillId="0" borderId="0" applyFill="0" applyBorder="0" applyProtection="0">
      <alignment horizontal="right"/>
    </xf>
    <xf numFmtId="182" fontId="78" fillId="0" borderId="0" applyFill="0" applyBorder="0" applyProtection="0">
      <alignment horizontal="right"/>
    </xf>
    <xf numFmtId="183" fontId="78" fillId="0" borderId="0" applyFill="0" applyBorder="0" applyProtection="0">
      <alignment horizontal="right"/>
    </xf>
    <xf numFmtId="184" fontId="78" fillId="0" borderId="0" applyFill="0" applyBorder="0" applyProtection="0">
      <alignment horizontal="right"/>
    </xf>
    <xf numFmtId="185" fontId="82" fillId="0" borderId="0" applyFont="0" applyFill="0" applyBorder="0" applyAlignment="0" applyProtection="0"/>
    <xf numFmtId="186" fontId="82" fillId="0" borderId="0" applyFont="0" applyFill="0" applyBorder="0" applyAlignment="0" applyProtection="0"/>
    <xf numFmtId="10" fontId="82" fillId="0" borderId="0" applyFont="0" applyFill="0" applyBorder="0" applyAlignment="0" applyProtection="0"/>
    <xf numFmtId="0" fontId="83" fillId="8" borderId="0" applyNumberFormat="0" applyBorder="0" applyAlignment="0" applyProtection="0"/>
    <xf numFmtId="0" fontId="83" fillId="9" borderId="0" applyNumberFormat="0" applyBorder="0" applyAlignment="0" applyProtection="0"/>
    <xf numFmtId="0" fontId="83" fillId="10" borderId="0" applyNumberFormat="0" applyBorder="0" applyAlignment="0" applyProtection="0"/>
    <xf numFmtId="0" fontId="83" fillId="11" borderId="0" applyNumberFormat="0" applyBorder="0" applyAlignment="0" applyProtection="0"/>
    <xf numFmtId="0" fontId="83" fillId="12" borderId="0" applyNumberFormat="0" applyBorder="0" applyAlignment="0" applyProtection="0"/>
    <xf numFmtId="0" fontId="83" fillId="13" borderId="0" applyNumberFormat="0" applyBorder="0" applyAlignment="0" applyProtection="0"/>
    <xf numFmtId="0" fontId="83" fillId="14" borderId="0" applyNumberFormat="0" applyBorder="0" applyAlignment="0" applyProtection="0"/>
    <xf numFmtId="0" fontId="83" fillId="15" borderId="0" applyNumberFormat="0" applyBorder="0" applyAlignment="0" applyProtection="0"/>
    <xf numFmtId="0" fontId="83" fillId="16" borderId="0" applyNumberFormat="0" applyBorder="0" applyAlignment="0" applyProtection="0"/>
    <xf numFmtId="0" fontId="83" fillId="11" borderId="0" applyNumberFormat="0" applyBorder="0" applyAlignment="0" applyProtection="0"/>
    <xf numFmtId="0" fontId="83" fillId="14" borderId="0" applyNumberFormat="0" applyBorder="0" applyAlignment="0" applyProtection="0"/>
    <xf numFmtId="0" fontId="83" fillId="17" borderId="0" applyNumberFormat="0" applyBorder="0" applyAlignment="0" applyProtection="0"/>
    <xf numFmtId="0" fontId="84" fillId="18" borderId="0" applyNumberFormat="0" applyBorder="0" applyAlignment="0" applyProtection="0"/>
    <xf numFmtId="0" fontId="84" fillId="15" borderId="0" applyNumberFormat="0" applyBorder="0" applyAlignment="0" applyProtection="0"/>
    <xf numFmtId="0" fontId="84" fillId="16" borderId="0" applyNumberFormat="0" applyBorder="0" applyAlignment="0" applyProtection="0"/>
    <xf numFmtId="0" fontId="84" fillId="19" borderId="0" applyNumberFormat="0" applyBorder="0" applyAlignment="0" applyProtection="0"/>
    <xf numFmtId="0" fontId="84" fillId="20" borderId="0" applyNumberFormat="0" applyBorder="0" applyAlignment="0" applyProtection="0"/>
    <xf numFmtId="0" fontId="84" fillId="21" borderId="0" applyNumberFormat="0" applyBorder="0" applyAlignment="0" applyProtection="0"/>
    <xf numFmtId="0" fontId="84" fillId="22" borderId="0" applyNumberFormat="0" applyBorder="0" applyAlignment="0" applyProtection="0"/>
    <xf numFmtId="0" fontId="84" fillId="23" borderId="0" applyNumberFormat="0" applyBorder="0" applyAlignment="0" applyProtection="0"/>
    <xf numFmtId="0" fontId="84" fillId="24" borderId="0" applyNumberFormat="0" applyBorder="0" applyAlignment="0" applyProtection="0"/>
    <xf numFmtId="0" fontId="84" fillId="19" borderId="0" applyNumberFormat="0" applyBorder="0" applyAlignment="0" applyProtection="0"/>
    <xf numFmtId="0" fontId="84" fillId="20" borderId="0" applyNumberFormat="0" applyBorder="0" applyAlignment="0" applyProtection="0"/>
    <xf numFmtId="0" fontId="84" fillId="25" borderId="0" applyNumberFormat="0" applyBorder="0" applyAlignment="0" applyProtection="0"/>
    <xf numFmtId="0" fontId="85" fillId="9" borderId="0" applyNumberFormat="0" applyBorder="0" applyAlignment="0" applyProtection="0"/>
    <xf numFmtId="3" fontId="86" fillId="0" borderId="0"/>
    <xf numFmtId="187" fontId="87" fillId="0" borderId="20" applyAlignment="0" applyProtection="0"/>
    <xf numFmtId="188" fontId="11" fillId="0" borderId="0" applyFill="0" applyBorder="0" applyAlignment="0"/>
    <xf numFmtId="0" fontId="88" fillId="3" borderId="21" applyNumberFormat="0" applyAlignment="0" applyProtection="0"/>
    <xf numFmtId="0" fontId="89" fillId="26" borderId="22" applyNumberFormat="0" applyAlignment="0" applyProtection="0"/>
    <xf numFmtId="0" fontId="90" fillId="0" borderId="5" applyNumberFormat="0" applyFill="0" applyProtection="0">
      <alignment horizontal="center"/>
    </xf>
    <xf numFmtId="0" fontId="91" fillId="0" borderId="23">
      <alignment horizontal="center"/>
    </xf>
    <xf numFmtId="189" fontId="10" fillId="0" borderId="0"/>
    <xf numFmtId="189" fontId="10" fillId="0" borderId="0"/>
    <xf numFmtId="189" fontId="10" fillId="0" borderId="0"/>
    <xf numFmtId="189" fontId="10" fillId="0" borderId="0"/>
    <xf numFmtId="189" fontId="10" fillId="0" borderId="0"/>
    <xf numFmtId="189" fontId="10" fillId="0" borderId="0"/>
    <xf numFmtId="189" fontId="10" fillId="0" borderId="0"/>
    <xf numFmtId="189" fontId="10" fillId="0" borderId="0"/>
    <xf numFmtId="38" fontId="92" fillId="0" borderId="0" applyFont="0" applyFill="0" applyBorder="0" applyAlignment="0" applyProtection="0"/>
    <xf numFmtId="37" fontId="82" fillId="0" borderId="0" applyFont="0" applyFill="0" applyBorder="0" applyAlignment="0" applyProtection="0"/>
    <xf numFmtId="190" fontId="82" fillId="0" borderId="0" applyFont="0" applyFill="0" applyBorder="0" applyAlignment="0" applyProtection="0"/>
    <xf numFmtId="39" fontId="82" fillId="0" borderId="0" applyFont="0" applyFill="0" applyBorder="0" applyAlignment="0" applyProtection="0"/>
    <xf numFmtId="40" fontId="92" fillId="0" borderId="0" applyFont="0" applyFill="0" applyBorder="0" applyAlignment="0" applyProtection="0"/>
    <xf numFmtId="191" fontId="11" fillId="0" borderId="0" applyFont="0" applyFill="0" applyBorder="0" applyAlignment="0" applyProtection="0"/>
    <xf numFmtId="187" fontId="82" fillId="0" borderId="0" applyFont="0" applyFill="0" applyBorder="0" applyAlignment="0" applyProtection="0"/>
    <xf numFmtId="192" fontId="82" fillId="0" borderId="0" applyFont="0" applyFill="0" applyBorder="0" applyAlignment="0" applyProtection="0"/>
    <xf numFmtId="193" fontId="11" fillId="0" borderId="0" applyFont="0" applyFill="0" applyBorder="0" applyAlignment="0" applyProtection="0"/>
    <xf numFmtId="41" fontId="10" fillId="0" borderId="0" applyFont="0" applyFill="0" applyBorder="0" applyAlignment="0" applyProtection="0"/>
    <xf numFmtId="43" fontId="10" fillId="0" borderId="0" applyFont="0" applyFill="0" applyBorder="0" applyAlignment="0" applyProtection="0"/>
    <xf numFmtId="0" fontId="93" fillId="0" borderId="0">
      <alignment horizontal="left"/>
    </xf>
    <xf numFmtId="0" fontId="94" fillId="27" borderId="4"/>
    <xf numFmtId="194" fontId="78" fillId="0" borderId="0" applyFont="0" applyFill="0" applyBorder="0" applyAlignment="0" applyProtection="0"/>
    <xf numFmtId="0" fontId="95" fillId="0" borderId="0" applyNumberFormat="0" applyFill="0" applyBorder="0" applyAlignment="0" applyProtection="0"/>
    <xf numFmtId="0" fontId="96" fillId="0" borderId="0" applyNumberFormat="0" applyFill="0" applyBorder="0" applyAlignment="0" applyProtection="0">
      <alignment vertical="top"/>
      <protection locked="0"/>
    </xf>
    <xf numFmtId="0" fontId="97" fillId="10" borderId="0" applyNumberFormat="0" applyBorder="0" applyAlignment="0" applyProtection="0"/>
    <xf numFmtId="38" fontId="94" fillId="3" borderId="0" applyNumberFormat="0" applyBorder="0" applyAlignment="0" applyProtection="0"/>
    <xf numFmtId="0" fontId="76" fillId="0" borderId="17" applyNumberFormat="0" applyAlignment="0" applyProtection="0">
      <alignment horizontal="left" vertical="center"/>
    </xf>
    <xf numFmtId="0" fontId="76" fillId="0" borderId="24">
      <alignment horizontal="left" vertical="center"/>
    </xf>
    <xf numFmtId="14" fontId="70" fillId="12" borderId="19">
      <alignment horizontal="center" vertical="center" wrapText="1"/>
    </xf>
    <xf numFmtId="0" fontId="98" fillId="0" borderId="25" applyNumberFormat="0" applyFill="0" applyAlignment="0" applyProtection="0"/>
    <xf numFmtId="0" fontId="99" fillId="0" borderId="26" applyNumberFormat="0" applyFill="0" applyAlignment="0" applyProtection="0"/>
    <xf numFmtId="0" fontId="100" fillId="0" borderId="27" applyNumberFormat="0" applyFill="0" applyAlignment="0" applyProtection="0"/>
    <xf numFmtId="0" fontId="100" fillId="0" borderId="0" applyNumberFormat="0" applyFill="0" applyBorder="0" applyAlignment="0" applyProtection="0"/>
    <xf numFmtId="0" fontId="101" fillId="0" borderId="0" applyNumberFormat="0" applyFill="0" applyBorder="0" applyAlignment="0" applyProtection="0">
      <alignment vertical="top"/>
      <protection locked="0"/>
    </xf>
    <xf numFmtId="0" fontId="102" fillId="13" borderId="21" applyNumberFormat="0" applyAlignment="0" applyProtection="0"/>
    <xf numFmtId="10" fontId="94" fillId="28" borderId="4" applyNumberFormat="0" applyBorder="0" applyAlignment="0" applyProtection="0"/>
    <xf numFmtId="0" fontId="78" fillId="0" borderId="0" applyNumberFormat="0" applyFont="0" applyFill="0" applyBorder="0" applyProtection="0">
      <alignment horizontal="left" vertical="center"/>
    </xf>
    <xf numFmtId="0" fontId="103" fillId="0" borderId="28" applyNumberFormat="0" applyFill="0" applyAlignment="0" applyProtection="0"/>
    <xf numFmtId="41" fontId="10" fillId="0" borderId="0" applyFont="0" applyFill="0" applyBorder="0" applyAlignment="0" applyProtection="0"/>
    <xf numFmtId="43" fontId="10" fillId="0" borderId="0" applyFont="0" applyFill="0" applyBorder="0" applyAlignment="0" applyProtection="0"/>
    <xf numFmtId="195" fontId="11" fillId="0" borderId="0" applyFont="0" applyFill="0" applyBorder="0" applyAlignment="0" applyProtection="0"/>
    <xf numFmtId="196" fontId="11" fillId="0" borderId="0" applyFont="0" applyFill="0" applyBorder="0" applyAlignment="0" applyProtection="0"/>
    <xf numFmtId="197" fontId="10" fillId="0" borderId="0" applyFont="0" applyFill="0" applyBorder="0" applyAlignment="0" applyProtection="0"/>
    <xf numFmtId="198" fontId="10" fillId="0" borderId="0" applyFont="0" applyFill="0" applyBorder="0" applyAlignment="0" applyProtection="0"/>
    <xf numFmtId="199" fontId="10" fillId="0" borderId="0" applyFont="0" applyFill="0" applyBorder="0" applyAlignment="0" applyProtection="0"/>
    <xf numFmtId="200" fontId="11" fillId="0" borderId="0" applyFont="0" applyFill="0" applyBorder="0" applyAlignment="0" applyProtection="0"/>
    <xf numFmtId="0" fontId="104" fillId="29" borderId="0" applyNumberFormat="0" applyBorder="0" applyAlignment="0" applyProtection="0"/>
    <xf numFmtId="37" fontId="105" fillId="0" borderId="0"/>
    <xf numFmtId="0" fontId="106" fillId="0" borderId="0"/>
    <xf numFmtId="0" fontId="106" fillId="0" borderId="0"/>
    <xf numFmtId="194" fontId="106" fillId="0" borderId="0"/>
    <xf numFmtId="201" fontId="11" fillId="0" borderId="0"/>
    <xf numFmtId="201" fontId="11" fillId="0" borderId="0"/>
    <xf numFmtId="0" fontId="92" fillId="0" borderId="0"/>
    <xf numFmtId="0" fontId="107" fillId="0" borderId="0"/>
    <xf numFmtId="0" fontId="10" fillId="28" borderId="29" applyNumberFormat="0" applyFont="0" applyAlignment="0" applyProtection="0"/>
    <xf numFmtId="0" fontId="108" fillId="3" borderId="30" applyNumberFormat="0" applyAlignment="0" applyProtection="0"/>
    <xf numFmtId="202" fontId="10" fillId="0" borderId="0" applyFont="0" applyFill="0" applyBorder="0" applyAlignment="0" applyProtection="0"/>
    <xf numFmtId="10" fontId="10" fillId="0" borderId="0" applyFont="0" applyFill="0" applyBorder="0" applyAlignment="0" applyProtection="0"/>
    <xf numFmtId="0" fontId="94" fillId="3" borderId="4"/>
    <xf numFmtId="4" fontId="93" fillId="0" borderId="0">
      <alignment horizontal="right"/>
    </xf>
    <xf numFmtId="3" fontId="109" fillId="0" borderId="0"/>
    <xf numFmtId="4" fontId="110" fillId="0" borderId="0">
      <alignment horizontal="right"/>
    </xf>
    <xf numFmtId="0" fontId="111" fillId="30" borderId="0">
      <alignment horizontal="left" vertical="center"/>
    </xf>
    <xf numFmtId="0" fontId="111" fillId="30" borderId="0">
      <alignment horizontal="right" vertical="center"/>
    </xf>
    <xf numFmtId="0" fontId="112" fillId="0" borderId="0">
      <alignment horizontal="left"/>
    </xf>
    <xf numFmtId="0" fontId="113" fillId="0" borderId="4">
      <alignment horizontal="center"/>
    </xf>
    <xf numFmtId="0" fontId="113" fillId="0" borderId="0">
      <alignment horizontal="center" vertical="center"/>
    </xf>
    <xf numFmtId="0" fontId="114" fillId="0" borderId="0" applyNumberFormat="0" applyFill="0">
      <alignment horizontal="left" vertical="center"/>
    </xf>
    <xf numFmtId="0" fontId="115" fillId="0" borderId="0" applyFill="0" applyBorder="0" applyProtection="0">
      <alignment horizontal="left" vertical="top"/>
    </xf>
    <xf numFmtId="0" fontId="116" fillId="0" borderId="0" applyNumberFormat="0" applyFill="0" applyBorder="0" applyAlignment="0" applyProtection="0"/>
    <xf numFmtId="0" fontId="117" fillId="0" borderId="31" applyNumberFormat="0" applyFill="0" applyAlignment="0" applyProtection="0"/>
    <xf numFmtId="0" fontId="118" fillId="0" borderId="0" applyNumberFormat="0" applyFill="0" applyBorder="0" applyAlignment="0" applyProtection="0"/>
    <xf numFmtId="0" fontId="119" fillId="0" borderId="0" applyNumberFormat="0" applyFont="0" applyFill="0" applyBorder="0" applyProtection="0">
      <alignment horizontal="center" vertical="center" wrapText="1"/>
    </xf>
    <xf numFmtId="9" fontId="120"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21" fillId="0" borderId="0" applyFont="0" applyFill="0" applyBorder="0" applyAlignment="0" applyProtection="0">
      <alignment vertical="center"/>
    </xf>
    <xf numFmtId="9" fontId="77" fillId="0" borderId="0" applyFont="0" applyFill="0" applyBorder="0" applyAlignment="0" applyProtection="0">
      <alignment vertical="center"/>
    </xf>
    <xf numFmtId="4" fontId="122" fillId="0" borderId="0">
      <alignment horizontal="right"/>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194" fontId="123" fillId="0" borderId="0">
      <alignment vertical="center"/>
    </xf>
    <xf numFmtId="0" fontId="11" fillId="0" borderId="0">
      <protection locked="0"/>
    </xf>
    <xf numFmtId="0" fontId="11" fillId="0" borderId="0">
      <protection locked="0"/>
    </xf>
    <xf numFmtId="0" fontId="11" fillId="0" borderId="0">
      <protection locked="0"/>
    </xf>
    <xf numFmtId="0" fontId="11" fillId="0" borderId="0"/>
    <xf numFmtId="0" fontId="30" fillId="0" borderId="0">
      <alignment vertical="center"/>
    </xf>
    <xf numFmtId="0" fontId="11" fillId="0" borderId="0">
      <protection locked="0"/>
    </xf>
    <xf numFmtId="194" fontId="11" fillId="0" borderId="0">
      <protection locked="0"/>
    </xf>
    <xf numFmtId="0" fontId="11" fillId="0" borderId="0">
      <protection locked="0"/>
    </xf>
    <xf numFmtId="0" fontId="30" fillId="0" borderId="0">
      <alignment vertical="center"/>
    </xf>
    <xf numFmtId="0" fontId="11" fillId="0" borderId="0">
      <protection locked="0"/>
    </xf>
    <xf numFmtId="0" fontId="11" fillId="0" borderId="0">
      <protection locked="0"/>
    </xf>
    <xf numFmtId="194" fontId="11" fillId="0" borderId="0">
      <protection locked="0"/>
    </xf>
    <xf numFmtId="194" fontId="11" fillId="0" borderId="0"/>
    <xf numFmtId="194" fontId="30" fillId="0" borderId="0">
      <alignment vertical="center"/>
    </xf>
    <xf numFmtId="194" fontId="30" fillId="0" borderId="0">
      <alignment vertical="center"/>
    </xf>
    <xf numFmtId="194" fontId="11" fillId="0" borderId="0"/>
    <xf numFmtId="194" fontId="11" fillId="0" borderId="0"/>
    <xf numFmtId="0" fontId="121" fillId="0" borderId="0">
      <alignment vertical="center"/>
    </xf>
    <xf numFmtId="0" fontId="121" fillId="0" borderId="0">
      <alignment vertical="center"/>
    </xf>
    <xf numFmtId="194" fontId="124" fillId="0" borderId="0">
      <alignment vertical="center"/>
    </xf>
    <xf numFmtId="0" fontId="11" fillId="0" borderId="0">
      <alignment vertical="center"/>
    </xf>
    <xf numFmtId="0" fontId="30"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30"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30" fillId="0" borderId="0">
      <alignment vertical="center"/>
    </xf>
    <xf numFmtId="0" fontId="30" fillId="0" borderId="0">
      <alignment vertical="center"/>
    </xf>
    <xf numFmtId="194" fontId="11" fillId="0" borderId="0">
      <protection locked="0"/>
    </xf>
    <xf numFmtId="0" fontId="11" fillId="0" borderId="0">
      <alignment vertical="center"/>
    </xf>
    <xf numFmtId="0" fontId="11" fillId="0" borderId="0">
      <alignment vertical="center"/>
    </xf>
    <xf numFmtId="0" fontId="78" fillId="0" borderId="0">
      <protection locked="0"/>
    </xf>
    <xf numFmtId="0" fontId="11" fillId="0" borderId="0" applyFill="0" applyBorder="0"/>
    <xf numFmtId="0" fontId="11" fillId="0" borderId="0">
      <alignment vertical="center"/>
    </xf>
    <xf numFmtId="0" fontId="11" fillId="0" borderId="0">
      <alignment vertical="center"/>
    </xf>
    <xf numFmtId="0" fontId="126" fillId="0" borderId="0" applyNumberFormat="0" applyFill="0" applyBorder="0" applyAlignment="0" applyProtection="0">
      <alignment vertical="top"/>
      <protection locked="0"/>
    </xf>
    <xf numFmtId="0" fontId="127" fillId="0" borderId="0" applyNumberFormat="0" applyFill="0" applyBorder="0" applyAlignment="0" applyProtection="0">
      <alignment vertical="top"/>
      <protection locked="0"/>
    </xf>
    <xf numFmtId="0" fontId="127" fillId="0" borderId="0" applyNumberFormat="0" applyFill="0" applyBorder="0" applyAlignment="0" applyProtection="0">
      <alignment vertical="top"/>
      <protection locked="0"/>
    </xf>
    <xf numFmtId="0" fontId="25" fillId="0" borderId="0" applyNumberFormat="0" applyFill="0" applyBorder="0" applyAlignment="0" applyProtection="0">
      <alignment vertical="center"/>
    </xf>
    <xf numFmtId="0" fontId="24" fillId="0" borderId="0" applyNumberFormat="0" applyFill="0" applyBorder="0" applyAlignment="0" applyProtection="0">
      <alignment vertical="top"/>
      <protection locked="0"/>
    </xf>
    <xf numFmtId="0" fontId="127" fillId="0" borderId="0" applyNumberFormat="0" applyFill="0" applyBorder="0" applyAlignment="0" applyProtection="0">
      <alignment vertical="top"/>
      <protection locked="0"/>
    </xf>
    <xf numFmtId="194" fontId="127" fillId="0" borderId="0" applyNumberFormat="0" applyFill="0" applyBorder="0" applyAlignment="0" applyProtection="0">
      <alignment vertical="top"/>
      <protection locked="0"/>
    </xf>
    <xf numFmtId="0" fontId="128" fillId="0" borderId="0" applyNumberFormat="0" applyFill="0" applyBorder="0" applyAlignment="0" applyProtection="0">
      <alignment vertical="top"/>
      <protection locked="0"/>
    </xf>
    <xf numFmtId="194" fontId="129" fillId="0" borderId="0" applyNumberFormat="0" applyFill="0" applyBorder="0" applyAlignment="0" applyProtection="0">
      <alignment vertical="center"/>
    </xf>
    <xf numFmtId="0" fontId="87" fillId="0" borderId="0" applyNumberFormat="0" applyFill="0" applyBorder="0" applyAlignment="0" applyProtection="0"/>
    <xf numFmtId="4" fontId="119" fillId="0" borderId="0" applyFont="0" applyFill="0" applyBorder="0" applyAlignment="0" applyProtection="0"/>
    <xf numFmtId="41" fontId="10" fillId="0" borderId="0" applyFont="0" applyFill="0" applyBorder="0" applyAlignment="0" applyProtection="0"/>
    <xf numFmtId="203" fontId="125" fillId="0" borderId="0" applyFont="0" applyFill="0" applyBorder="0" applyAlignment="0" applyProtection="0"/>
    <xf numFmtId="204" fontId="11" fillId="0" borderId="0" applyFont="0" applyFill="0" applyBorder="0" applyAlignment="0" applyProtection="0"/>
    <xf numFmtId="205" fontId="125" fillId="0" borderId="0" applyFont="0" applyFill="0" applyBorder="0" applyAlignment="0" applyProtection="0"/>
    <xf numFmtId="206" fontId="125" fillId="0" borderId="0" applyFont="0" applyFill="0" applyBorder="0" applyAlignment="0" applyProtection="0"/>
    <xf numFmtId="0" fontId="78" fillId="0" borderId="0"/>
    <xf numFmtId="0" fontId="78" fillId="0" borderId="0" applyFont="0" applyFill="0" applyBorder="0" applyAlignment="0" applyProtection="0"/>
    <xf numFmtId="0" fontId="78" fillId="0" borderId="0" applyFont="0" applyFill="0" applyBorder="0" applyAlignment="0" applyProtection="0"/>
    <xf numFmtId="41"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21" fillId="0" borderId="0" applyFont="0" applyFill="0" applyBorder="0" applyAlignment="0" applyProtection="0">
      <alignment vertical="center"/>
    </xf>
    <xf numFmtId="43" fontId="77" fillId="0" borderId="0" applyFont="0" applyFill="0" applyBorder="0" applyAlignment="0" applyProtection="0">
      <alignment vertical="center"/>
    </xf>
    <xf numFmtId="0" fontId="130" fillId="0" borderId="0"/>
    <xf numFmtId="198" fontId="10" fillId="0" borderId="0" applyFont="0" applyFill="0" applyBorder="0" applyAlignment="0" applyProtection="0"/>
    <xf numFmtId="207" fontId="11" fillId="0" borderId="0" applyFont="0" applyFill="0" applyBorder="0" applyAlignment="0" applyProtection="0"/>
    <xf numFmtId="0" fontId="79" fillId="0" borderId="0">
      <alignment vertical="top"/>
      <protection locked="0"/>
    </xf>
    <xf numFmtId="38" fontId="131" fillId="0" borderId="0" applyFont="0" applyFill="0" applyBorder="0" applyAlignment="0" applyProtection="0"/>
    <xf numFmtId="40" fontId="131" fillId="0" borderId="0" applyFont="0" applyFill="0" applyBorder="0" applyAlignment="0" applyProtection="0"/>
    <xf numFmtId="0" fontId="131" fillId="0" borderId="0" applyFont="0" applyFill="0" applyBorder="0" applyAlignment="0" applyProtection="0"/>
    <xf numFmtId="0" fontId="131" fillId="0" borderId="0" applyFont="0" applyFill="0" applyBorder="0" applyAlignment="0" applyProtection="0"/>
    <xf numFmtId="0" fontId="132" fillId="0" borderId="0"/>
    <xf numFmtId="194" fontId="1" fillId="0" borderId="0">
      <alignment vertical="center"/>
    </xf>
    <xf numFmtId="0" fontId="11" fillId="0" borderId="0"/>
  </cellStyleXfs>
  <cellXfs count="567">
    <xf numFmtId="0" fontId="0" fillId="0" borderId="0" xfId="0">
      <alignment vertical="center"/>
    </xf>
    <xf numFmtId="0" fontId="2" fillId="0" borderId="0" xfId="264" applyFont="1">
      <alignment vertical="center"/>
    </xf>
    <xf numFmtId="0" fontId="3" fillId="0" borderId="0" xfId="168" applyFont="1" applyAlignment="1">
      <alignment vertical="center"/>
      <protection locked="0"/>
    </xf>
    <xf numFmtId="0" fontId="3" fillId="0" borderId="0" xfId="168" applyFont="1" applyAlignment="1">
      <alignment horizontal="left" vertical="center"/>
      <protection locked="0"/>
    </xf>
    <xf numFmtId="0" fontId="2" fillId="0" borderId="0" xfId="168" applyFont="1" applyAlignment="1">
      <alignment vertical="center"/>
      <protection locked="0"/>
    </xf>
    <xf numFmtId="0" fontId="8" fillId="0" borderId="0" xfId="168" applyFont="1" applyAlignment="1">
      <alignment vertical="center"/>
      <protection locked="0"/>
    </xf>
    <xf numFmtId="0" fontId="3" fillId="0" borderId="0" xfId="269" applyFont="1">
      <alignment vertical="center"/>
    </xf>
    <xf numFmtId="0" fontId="4" fillId="0" borderId="0" xfId="168" applyFont="1" applyAlignment="1">
      <alignment vertical="center"/>
      <protection locked="0"/>
    </xf>
    <xf numFmtId="0" fontId="4" fillId="2" borderId="1" xfId="168" applyFont="1" applyFill="1" applyBorder="1" applyAlignment="1">
      <alignment horizontal="center" vertical="center" wrapText="1"/>
      <protection locked="0"/>
    </xf>
    <xf numFmtId="0" fontId="4" fillId="2" borderId="1" xfId="168" applyFont="1" applyFill="1" applyBorder="1" applyAlignment="1">
      <alignment horizontal="centerContinuous" vertical="center" wrapText="1"/>
      <protection locked="0"/>
    </xf>
    <xf numFmtId="0" fontId="5" fillId="2" borderId="1" xfId="168" applyFont="1" applyFill="1" applyBorder="1" applyAlignment="1">
      <alignment horizontal="centerContinuous" vertical="center" wrapText="1"/>
      <protection locked="0"/>
    </xf>
    <xf numFmtId="0" fontId="3" fillId="2" borderId="1" xfId="168" applyFont="1" applyFill="1" applyBorder="1" applyAlignment="1">
      <alignment horizontal="centerContinuous" vertical="center"/>
      <protection locked="0"/>
    </xf>
    <xf numFmtId="0" fontId="3" fillId="0" borderId="1" xfId="168" applyFont="1" applyBorder="1" applyAlignment="1">
      <alignment horizontal="center" vertical="center" wrapText="1"/>
      <protection locked="0"/>
    </xf>
    <xf numFmtId="43" fontId="3" fillId="0" borderId="1" xfId="168" applyNumberFormat="1" applyFont="1" applyBorder="1" applyAlignment="1">
      <alignment horizontal="justify" vertical="center" wrapText="1"/>
      <protection locked="0"/>
    </xf>
    <xf numFmtId="43" fontId="3" fillId="0" borderId="1" xfId="168" applyNumberFormat="1" applyFont="1" applyBorder="1" applyAlignment="1">
      <alignment horizontal="center" vertical="center" wrapText="1"/>
      <protection locked="0"/>
    </xf>
    <xf numFmtId="0" fontId="4" fillId="0" borderId="0" xfId="168" applyFont="1" applyAlignment="1">
      <alignment horizontal="left" vertical="center"/>
      <protection locked="0"/>
    </xf>
    <xf numFmtId="0" fontId="3" fillId="0" borderId="0" xfId="168" applyFont="1" applyAlignment="1">
      <alignment horizontal="right" vertical="center"/>
      <protection locked="0"/>
    </xf>
    <xf numFmtId="0" fontId="8" fillId="0" borderId="0" xfId="168" applyFont="1" applyAlignment="1">
      <alignment horizontal="left" vertical="center"/>
      <protection locked="0"/>
    </xf>
    <xf numFmtId="0" fontId="8" fillId="0" borderId="1" xfId="168" applyFont="1" applyBorder="1" applyAlignment="1">
      <alignment horizontal="center" vertical="center" wrapText="1"/>
      <protection locked="0"/>
    </xf>
    <xf numFmtId="43" fontId="3" fillId="0" borderId="1" xfId="168" applyNumberFormat="1" applyFont="1" applyBorder="1" applyAlignment="1">
      <alignment vertical="center"/>
      <protection locked="0"/>
    </xf>
    <xf numFmtId="9" fontId="3" fillId="0" borderId="1" xfId="153" applyFont="1" applyFill="1" applyBorder="1" applyAlignment="1" applyProtection="1">
      <alignment horizontal="center" vertical="center" wrapText="1"/>
      <protection locked="0"/>
    </xf>
    <xf numFmtId="208" fontId="3" fillId="0" borderId="1" xfId="168" applyNumberFormat="1" applyFont="1" applyBorder="1" applyAlignment="1">
      <alignment horizontal="justify" vertical="center" wrapText="1"/>
      <protection locked="0"/>
    </xf>
    <xf numFmtId="43" fontId="9" fillId="0" borderId="1" xfId="168" applyNumberFormat="1" applyFont="1" applyBorder="1" applyAlignment="1">
      <alignment vertical="center"/>
      <protection locked="0"/>
    </xf>
    <xf numFmtId="9" fontId="3" fillId="0" borderId="1" xfId="168" applyNumberFormat="1" applyFont="1" applyBorder="1" applyAlignment="1">
      <alignment horizontal="center" vertical="center" wrapText="1"/>
      <protection locked="0"/>
    </xf>
    <xf numFmtId="10" fontId="3" fillId="0" borderId="1" xfId="153" applyNumberFormat="1" applyFont="1" applyBorder="1" applyAlignment="1" applyProtection="1">
      <alignment horizontal="center" vertical="center" wrapText="1"/>
      <protection locked="0"/>
    </xf>
    <xf numFmtId="0" fontId="4" fillId="0" borderId="0" xfId="168" applyFont="1" applyAlignment="1">
      <alignment horizontal="right" vertical="center"/>
      <protection locked="0"/>
    </xf>
    <xf numFmtId="43" fontId="5" fillId="0" borderId="0" xfId="168" applyNumberFormat="1" applyFont="1" applyAlignment="1">
      <alignment horizontal="left" vertical="center"/>
      <protection locked="0"/>
    </xf>
    <xf numFmtId="0" fontId="5" fillId="0" borderId="0" xfId="168" applyFont="1" applyAlignment="1">
      <alignment horizontal="left" vertical="center"/>
      <protection locked="0"/>
    </xf>
    <xf numFmtId="0" fontId="4" fillId="2" borderId="1" xfId="168" applyFont="1" applyFill="1" applyBorder="1" applyAlignment="1">
      <alignment horizontal="center" vertical="center"/>
      <protection locked="0"/>
    </xf>
    <xf numFmtId="0" fontId="5" fillId="2" borderId="1" xfId="168" applyFont="1" applyFill="1" applyBorder="1" applyAlignment="1">
      <alignment horizontal="center" vertical="center"/>
      <protection locked="0"/>
    </xf>
    <xf numFmtId="0" fontId="8" fillId="0" borderId="1" xfId="168" applyFont="1" applyBorder="1" applyAlignment="1">
      <alignment horizontal="left" vertical="center"/>
      <protection locked="0"/>
    </xf>
    <xf numFmtId="43" fontId="3" fillId="0" borderId="1" xfId="291" applyFont="1" applyBorder="1" applyAlignment="1" applyProtection="1">
      <alignment horizontal="left" vertical="center"/>
      <protection locked="0"/>
    </xf>
    <xf numFmtId="43" fontId="3" fillId="0" borderId="1" xfId="291" applyFont="1" applyBorder="1" applyAlignment="1" applyProtection="1">
      <alignment vertical="center"/>
      <protection locked="0"/>
    </xf>
    <xf numFmtId="0" fontId="3" fillId="0" borderId="1" xfId="168" applyFont="1" applyBorder="1" applyAlignment="1">
      <alignment horizontal="left" vertical="center"/>
      <protection locked="0"/>
    </xf>
    <xf numFmtId="0" fontId="8" fillId="0" borderId="1" xfId="168" applyFont="1" applyBorder="1" applyAlignment="1">
      <alignment vertical="center"/>
      <protection locked="0"/>
    </xf>
    <xf numFmtId="0" fontId="4" fillId="0" borderId="0" xfId="168" applyFont="1" applyAlignment="1">
      <alignment horizontal="center" vertical="center"/>
      <protection locked="0"/>
    </xf>
    <xf numFmtId="43" fontId="3" fillId="0" borderId="1" xfId="168" applyNumberFormat="1" applyFont="1" applyBorder="1" applyAlignment="1">
      <alignment horizontal="left" vertical="center"/>
      <protection locked="0"/>
    </xf>
    <xf numFmtId="9" fontId="3" fillId="0" borderId="0" xfId="168" applyNumberFormat="1" applyFont="1" applyAlignment="1">
      <alignment horizontal="center" vertical="center"/>
      <protection locked="0"/>
    </xf>
    <xf numFmtId="0" fontId="3" fillId="0" borderId="1" xfId="168" applyFont="1" applyBorder="1" applyAlignment="1">
      <alignment vertical="center"/>
      <protection locked="0"/>
    </xf>
    <xf numFmtId="0" fontId="5" fillId="0" borderId="0" xfId="168" applyFont="1" applyAlignment="1">
      <alignment vertical="center"/>
      <protection locked="0"/>
    </xf>
    <xf numFmtId="0" fontId="8" fillId="2" borderId="1" xfId="168" applyFont="1" applyFill="1" applyBorder="1" applyAlignment="1">
      <alignment horizontal="center" vertical="center"/>
      <protection locked="0"/>
    </xf>
    <xf numFmtId="0" fontId="3" fillId="2" borderId="1" xfId="168" applyFont="1" applyFill="1" applyBorder="1" applyAlignment="1">
      <alignment horizontal="right" vertical="center"/>
      <protection locked="0"/>
    </xf>
    <xf numFmtId="0" fontId="10" fillId="0" borderId="0" xfId="168" applyFont="1" applyAlignment="1">
      <alignment vertical="center"/>
      <protection locked="0"/>
    </xf>
    <xf numFmtId="0" fontId="3" fillId="0" borderId="1" xfId="168" applyFont="1" applyBorder="1" applyAlignment="1">
      <alignment horizontal="justify" vertical="center" wrapText="1"/>
      <protection locked="0"/>
    </xf>
    <xf numFmtId="10" fontId="3" fillId="0" borderId="1" xfId="153" applyNumberFormat="1" applyFont="1" applyFill="1" applyBorder="1" applyAlignment="1" applyProtection="1">
      <alignment vertical="center"/>
      <protection locked="0"/>
    </xf>
    <xf numFmtId="43" fontId="5" fillId="0" borderId="1" xfId="168" applyNumberFormat="1" applyFont="1" applyBorder="1" applyAlignment="1">
      <alignment horizontal="justify" vertical="center" wrapText="1"/>
      <protection locked="0"/>
    </xf>
    <xf numFmtId="10" fontId="3" fillId="0" borderId="1" xfId="153" applyNumberFormat="1" applyFont="1" applyFill="1" applyBorder="1" applyAlignment="1" applyProtection="1">
      <alignment horizontal="center" vertical="center" wrapText="1"/>
      <protection locked="0"/>
    </xf>
    <xf numFmtId="0" fontId="4" fillId="2" borderId="1" xfId="168" applyFont="1" applyFill="1" applyBorder="1" applyAlignment="1">
      <alignment horizontal="centerContinuous" vertical="center"/>
      <protection locked="0"/>
    </xf>
    <xf numFmtId="0" fontId="8" fillId="0" borderId="1" xfId="168" applyFont="1" applyBorder="1" applyAlignment="1">
      <alignment horizontal="center" vertical="center"/>
      <protection locked="0"/>
    </xf>
    <xf numFmtId="9" fontId="3" fillId="0" borderId="1" xfId="168" applyNumberFormat="1" applyFont="1" applyBorder="1" applyAlignment="1">
      <alignment horizontal="justify" vertical="center" wrapText="1"/>
      <protection locked="0"/>
    </xf>
    <xf numFmtId="0" fontId="3" fillId="0" borderId="1" xfId="168" applyFont="1" applyBorder="1" applyAlignment="1">
      <alignment horizontal="center" vertical="center"/>
      <protection locked="0"/>
    </xf>
    <xf numFmtId="0" fontId="3" fillId="0" borderId="1" xfId="168" applyFont="1" applyBorder="1" applyAlignment="1">
      <alignment horizontal="right" vertical="center"/>
      <protection locked="0"/>
    </xf>
    <xf numFmtId="43" fontId="3" fillId="0" borderId="0" xfId="291" applyFont="1" applyBorder="1" applyAlignment="1" applyProtection="1">
      <alignment vertical="center"/>
      <protection locked="0"/>
    </xf>
    <xf numFmtId="0" fontId="11" fillId="0" borderId="0" xfId="168">
      <protection locked="0"/>
    </xf>
    <xf numFmtId="0" fontId="5" fillId="2" borderId="1" xfId="168" applyFont="1" applyFill="1" applyBorder="1" applyAlignment="1">
      <alignment vertical="center"/>
      <protection locked="0"/>
    </xf>
    <xf numFmtId="0" fontId="3" fillId="2" borderId="1" xfId="168" applyFont="1" applyFill="1" applyBorder="1" applyAlignment="1">
      <alignment vertical="center"/>
      <protection locked="0"/>
    </xf>
    <xf numFmtId="0" fontId="4" fillId="2" borderId="1" xfId="168" applyFont="1" applyFill="1" applyBorder="1" applyAlignment="1">
      <alignment vertical="center"/>
      <protection locked="0"/>
    </xf>
    <xf numFmtId="0" fontId="11" fillId="0" borderId="0" xfId="168" applyAlignment="1">
      <alignment horizontal="center"/>
      <protection locked="0"/>
    </xf>
    <xf numFmtId="0" fontId="3" fillId="0" borderId="2" xfId="168" applyFont="1" applyBorder="1" applyAlignment="1">
      <alignment vertical="center"/>
      <protection locked="0"/>
    </xf>
    <xf numFmtId="0" fontId="3" fillId="0" borderId="3" xfId="168" applyFont="1" applyBorder="1" applyAlignment="1">
      <alignment vertical="center"/>
      <protection locked="0"/>
    </xf>
    <xf numFmtId="43" fontId="3" fillId="0" borderId="0" xfId="168" applyNumberFormat="1" applyFont="1" applyAlignment="1">
      <alignment vertical="center"/>
      <protection locked="0"/>
    </xf>
    <xf numFmtId="0" fontId="5" fillId="2" borderId="2" xfId="168" applyFont="1" applyFill="1" applyBorder="1" applyAlignment="1">
      <alignment vertical="center"/>
      <protection locked="0"/>
    </xf>
    <xf numFmtId="0" fontId="5" fillId="2" borderId="3" xfId="168" applyFont="1" applyFill="1" applyBorder="1" applyAlignment="1">
      <alignment vertical="center"/>
      <protection locked="0"/>
    </xf>
    <xf numFmtId="43" fontId="3" fillId="2" borderId="2" xfId="291" applyFont="1" applyFill="1" applyBorder="1" applyAlignment="1" applyProtection="1">
      <alignment vertical="center"/>
      <protection locked="0"/>
    </xf>
    <xf numFmtId="0" fontId="3" fillId="2" borderId="3" xfId="168" applyFont="1" applyFill="1" applyBorder="1" applyAlignment="1">
      <alignment vertical="center"/>
      <protection locked="0"/>
    </xf>
    <xf numFmtId="208" fontId="3" fillId="2" borderId="2" xfId="291" applyNumberFormat="1" applyFont="1" applyFill="1" applyBorder="1" applyAlignment="1" applyProtection="1">
      <alignment vertical="center"/>
      <protection locked="0"/>
    </xf>
    <xf numFmtId="208" fontId="3" fillId="0" borderId="0" xfId="291" applyNumberFormat="1" applyFont="1" applyBorder="1" applyAlignment="1" applyProtection="1">
      <alignment vertical="center"/>
      <protection locked="0"/>
    </xf>
    <xf numFmtId="208" fontId="5" fillId="0" borderId="0" xfId="291" applyNumberFormat="1" applyFont="1" applyBorder="1" applyAlignment="1" applyProtection="1">
      <alignment vertical="center"/>
      <protection locked="0"/>
    </xf>
    <xf numFmtId="43" fontId="5" fillId="0" borderId="0" xfId="291" applyFont="1" applyBorder="1" applyAlignment="1" applyProtection="1">
      <alignment vertical="center"/>
      <protection locked="0"/>
    </xf>
    <xf numFmtId="0" fontId="12" fillId="0" borderId="0" xfId="168" applyFont="1">
      <protection locked="0"/>
    </xf>
    <xf numFmtId="0" fontId="13" fillId="0" borderId="0" xfId="168" applyFont="1">
      <protection locked="0"/>
    </xf>
    <xf numFmtId="0" fontId="13" fillId="0" borderId="0" xfId="177" applyFont="1">
      <protection locked="0"/>
    </xf>
    <xf numFmtId="0" fontId="11" fillId="0" borderId="0" xfId="177">
      <protection locked="0"/>
    </xf>
    <xf numFmtId="0" fontId="14" fillId="0" borderId="4" xfId="168" applyFont="1" applyBorder="1" applyAlignment="1" applyProtection="1">
      <alignment horizontal="center" vertical="center"/>
    </xf>
    <xf numFmtId="0" fontId="14" fillId="0" borderId="4" xfId="177" applyFont="1" applyBorder="1" applyAlignment="1" applyProtection="1">
      <alignment horizontal="center" vertical="center"/>
    </xf>
    <xf numFmtId="0" fontId="15" fillId="0" borderId="4" xfId="177" applyFont="1" applyBorder="1" applyAlignment="1" applyProtection="1">
      <alignment horizontal="center" vertical="center"/>
    </xf>
    <xf numFmtId="0" fontId="16" fillId="0" borderId="4" xfId="177" applyFont="1" applyBorder="1" applyAlignment="1" applyProtection="1">
      <alignment horizontal="center" vertical="center"/>
    </xf>
    <xf numFmtId="0" fontId="12" fillId="0" borderId="4" xfId="168" applyFont="1" applyBorder="1">
      <protection locked="0"/>
    </xf>
    <xf numFmtId="0" fontId="12" fillId="0" borderId="4" xfId="177" applyFont="1" applyBorder="1">
      <protection locked="0"/>
    </xf>
    <xf numFmtId="10" fontId="12" fillId="0" borderId="4" xfId="155" applyNumberFormat="1" applyFont="1" applyBorder="1" applyProtection="1">
      <protection locked="0"/>
    </xf>
    <xf numFmtId="0" fontId="13" fillId="0" borderId="4" xfId="177" applyFont="1" applyBorder="1" applyAlignment="1">
      <alignment horizontal="right"/>
      <protection locked="0"/>
    </xf>
    <xf numFmtId="10" fontId="12" fillId="0" borderId="4" xfId="177" applyNumberFormat="1" applyFont="1" applyBorder="1">
      <protection locked="0"/>
    </xf>
    <xf numFmtId="10" fontId="17" fillId="0" borderId="4" xfId="177" applyNumberFormat="1" applyFont="1" applyBorder="1">
      <protection locked="0"/>
    </xf>
    <xf numFmtId="10" fontId="12" fillId="0" borderId="4" xfId="153" applyNumberFormat="1" applyFont="1" applyBorder="1" applyProtection="1">
      <protection locked="0"/>
    </xf>
    <xf numFmtId="0" fontId="18" fillId="0" borderId="4" xfId="177" applyFont="1" applyBorder="1" applyAlignment="1" applyProtection="1">
      <alignment horizontal="center" vertical="center"/>
    </xf>
    <xf numFmtId="0" fontId="14" fillId="0" borderId="0" xfId="177" applyFont="1" applyAlignment="1" applyProtection="1">
      <alignment horizontal="center" vertical="center"/>
    </xf>
    <xf numFmtId="43" fontId="12" fillId="0" borderId="4" xfId="291" applyFont="1" applyBorder="1" applyProtection="1">
      <protection locked="0"/>
    </xf>
    <xf numFmtId="43" fontId="19" fillId="0" borderId="4" xfId="291" applyFont="1" applyBorder="1" applyAlignment="1" applyProtection="1">
      <alignment vertical="center"/>
    </xf>
    <xf numFmtId="0" fontId="20" fillId="0" borderId="4" xfId="177" applyFont="1" applyBorder="1" applyAlignment="1" applyProtection="1">
      <alignment horizontal="center" vertical="center"/>
    </xf>
    <xf numFmtId="0" fontId="12" fillId="0" borderId="0" xfId="177" applyFont="1">
      <protection locked="0"/>
    </xf>
    <xf numFmtId="10" fontId="12" fillId="0" borderId="0" xfId="155" applyNumberFormat="1" applyFont="1" applyBorder="1" applyProtection="1">
      <protection locked="0"/>
    </xf>
    <xf numFmtId="10" fontId="12" fillId="0" borderId="0" xfId="177" applyNumberFormat="1" applyFont="1">
      <protection locked="0"/>
    </xf>
    <xf numFmtId="10" fontId="17" fillId="0" borderId="0" xfId="177" applyNumberFormat="1" applyFont="1">
      <protection locked="0"/>
    </xf>
    <xf numFmtId="0" fontId="16" fillId="0" borderId="0" xfId="168" applyFont="1" applyAlignment="1" applyProtection="1">
      <alignment horizontal="center" vertical="center"/>
    </xf>
    <xf numFmtId="0" fontId="14" fillId="0" borderId="0" xfId="168" applyFont="1" applyAlignment="1" applyProtection="1">
      <alignment horizontal="center" vertical="center"/>
    </xf>
    <xf numFmtId="0" fontId="21" fillId="0" borderId="0" xfId="168" applyFont="1" applyAlignment="1" applyProtection="1">
      <alignment horizontal="center" vertical="center"/>
    </xf>
    <xf numFmtId="0" fontId="19" fillId="0" borderId="0" xfId="168" applyFont="1" applyAlignment="1" applyProtection="1">
      <alignment vertical="center"/>
    </xf>
    <xf numFmtId="14" fontId="19" fillId="0" borderId="0" xfId="168" applyNumberFormat="1" applyFont="1" applyAlignment="1" applyProtection="1">
      <alignment vertical="center"/>
    </xf>
    <xf numFmtId="43" fontId="19" fillId="0" borderId="0" xfId="291" applyFont="1" applyAlignment="1">
      <alignment vertical="center"/>
    </xf>
    <xf numFmtId="43" fontId="19" fillId="0" borderId="0" xfId="291" applyFont="1" applyAlignment="1" applyProtection="1">
      <alignment vertical="center"/>
    </xf>
    <xf numFmtId="0" fontId="16" fillId="0" borderId="5" xfId="177" applyFont="1" applyBorder="1" applyAlignment="1" applyProtection="1">
      <alignment horizontal="center" vertical="center"/>
    </xf>
    <xf numFmtId="0" fontId="14" fillId="0" borderId="5" xfId="177" applyFont="1" applyBorder="1" applyAlignment="1" applyProtection="1">
      <alignment horizontal="center" vertical="center"/>
    </xf>
    <xf numFmtId="0" fontId="21" fillId="0" borderId="5" xfId="177" applyFont="1" applyBorder="1" applyAlignment="1" applyProtection="1">
      <alignment horizontal="center" vertical="center"/>
    </xf>
    <xf numFmtId="0" fontId="19" fillId="0" borderId="0" xfId="177" applyFont="1" applyAlignment="1" applyProtection="1">
      <alignment vertical="center"/>
    </xf>
    <xf numFmtId="14" fontId="19" fillId="0" borderId="0" xfId="177" applyNumberFormat="1" applyFont="1" applyAlignment="1" applyProtection="1">
      <alignment vertical="center"/>
    </xf>
    <xf numFmtId="43" fontId="19" fillId="0" borderId="0" xfId="293" applyFont="1" applyAlignment="1">
      <alignment vertical="center"/>
    </xf>
    <xf numFmtId="43" fontId="19" fillId="0" borderId="0" xfId="293" applyFont="1" applyAlignment="1" applyProtection="1">
      <alignment vertical="center"/>
    </xf>
    <xf numFmtId="43" fontId="12" fillId="0" borderId="0" xfId="293" applyFont="1" applyProtection="1">
      <protection locked="0"/>
    </xf>
    <xf numFmtId="0" fontId="20" fillId="0" borderId="0" xfId="168" applyFont="1" applyAlignment="1" applyProtection="1">
      <alignment horizontal="center" vertical="center"/>
    </xf>
    <xf numFmtId="0" fontId="20" fillId="0" borderId="5" xfId="177" applyFont="1" applyBorder="1" applyAlignment="1" applyProtection="1">
      <alignment horizontal="center" vertical="center"/>
    </xf>
    <xf numFmtId="0" fontId="2" fillId="0" borderId="0" xfId="265" applyFont="1">
      <alignment vertical="center"/>
    </xf>
    <xf numFmtId="0" fontId="3" fillId="0" borderId="0" xfId="177" applyFont="1" applyAlignment="1">
      <alignment vertical="center"/>
      <protection locked="0"/>
    </xf>
    <xf numFmtId="0" fontId="3" fillId="0" borderId="0" xfId="177" applyFont="1" applyAlignment="1">
      <alignment horizontal="left" vertical="center"/>
      <protection locked="0"/>
    </xf>
    <xf numFmtId="0" fontId="2" fillId="0" borderId="0" xfId="177" applyFont="1" applyAlignment="1">
      <alignment horizontal="left" vertical="center"/>
      <protection locked="0"/>
    </xf>
    <xf numFmtId="0" fontId="2" fillId="0" borderId="0" xfId="177" applyFont="1" applyAlignment="1">
      <alignment vertical="center"/>
      <protection locked="0"/>
    </xf>
    <xf numFmtId="0" fontId="28" fillId="0" borderId="0" xfId="177" applyFont="1" applyAlignment="1">
      <alignment vertical="center" wrapText="1"/>
      <protection locked="0"/>
    </xf>
    <xf numFmtId="0" fontId="3" fillId="0" borderId="0" xfId="268" applyFont="1">
      <alignment vertical="center"/>
    </xf>
    <xf numFmtId="0" fontId="4" fillId="0" borderId="0" xfId="177" applyFont="1" applyAlignment="1">
      <alignment horizontal="left" vertical="center"/>
      <protection locked="0"/>
    </xf>
    <xf numFmtId="0" fontId="29" fillId="0" borderId="0" xfId="177" applyFont="1" applyAlignment="1">
      <alignment vertical="center"/>
      <protection locked="0"/>
    </xf>
    <xf numFmtId="0" fontId="5" fillId="0" borderId="0" xfId="177" applyFont="1" applyAlignment="1">
      <alignment vertical="center"/>
      <protection locked="0"/>
    </xf>
    <xf numFmtId="0" fontId="28" fillId="0" borderId="0" xfId="265" applyFont="1" applyAlignment="1">
      <alignment vertical="center" wrapText="1"/>
    </xf>
    <xf numFmtId="0" fontId="35" fillId="0" borderId="0" xfId="177" applyFont="1" applyAlignment="1">
      <alignment vertical="center"/>
      <protection locked="0"/>
    </xf>
    <xf numFmtId="0" fontId="35" fillId="0" borderId="0" xfId="177" applyFont="1" applyAlignment="1">
      <alignment vertical="center" wrapText="1"/>
      <protection locked="0"/>
    </xf>
    <xf numFmtId="0" fontId="36" fillId="0" borderId="0" xfId="0" applyFont="1" applyAlignment="1">
      <alignment vertical="center" wrapText="1"/>
    </xf>
    <xf numFmtId="0" fontId="28" fillId="0" borderId="0" xfId="177" applyFont="1" applyAlignment="1">
      <alignment horizontal="left" vertical="center" wrapText="1"/>
      <protection locked="0"/>
    </xf>
    <xf numFmtId="0" fontId="41" fillId="0" borderId="0" xfId="177" applyFont="1" applyAlignment="1">
      <alignment horizontal="left" vertical="center"/>
      <protection locked="0"/>
    </xf>
    <xf numFmtId="0" fontId="42" fillId="0" borderId="0" xfId="177" applyFont="1" applyAlignment="1">
      <alignment horizontal="left" vertical="center"/>
      <protection locked="0"/>
    </xf>
    <xf numFmtId="0" fontId="43" fillId="0" borderId="0" xfId="177" applyFont="1" applyAlignment="1">
      <alignment horizontal="left" vertical="center"/>
      <protection locked="0"/>
    </xf>
    <xf numFmtId="0" fontId="5" fillId="2" borderId="1" xfId="177" applyFont="1" applyFill="1" applyBorder="1" applyAlignment="1">
      <alignment horizontal="center" vertical="center" wrapText="1"/>
      <protection locked="0"/>
    </xf>
    <xf numFmtId="0" fontId="5" fillId="2" borderId="1" xfId="177" applyFont="1" applyFill="1" applyBorder="1" applyAlignment="1">
      <alignment horizontal="centerContinuous" vertical="center" wrapText="1"/>
      <protection locked="0"/>
    </xf>
    <xf numFmtId="0" fontId="3" fillId="2" borderId="1" xfId="177" applyFont="1" applyFill="1" applyBorder="1" applyAlignment="1">
      <alignment horizontal="centerContinuous" vertical="center"/>
      <protection locked="0"/>
    </xf>
    <xf numFmtId="0" fontId="3" fillId="0" borderId="1" xfId="177" applyFont="1" applyBorder="1" applyAlignment="1">
      <alignment horizontal="center" vertical="center" wrapText="1"/>
      <protection locked="0"/>
    </xf>
    <xf numFmtId="43" fontId="3" fillId="0" borderId="1" xfId="177" applyNumberFormat="1" applyFont="1" applyBorder="1" applyAlignment="1">
      <alignment horizontal="justify" vertical="center" wrapText="1"/>
      <protection locked="0"/>
    </xf>
    <xf numFmtId="43" fontId="3" fillId="0" borderId="1" xfId="177" applyNumberFormat="1" applyFont="1" applyBorder="1" applyAlignment="1">
      <alignment horizontal="center" vertical="center" wrapText="1"/>
      <protection locked="0"/>
    </xf>
    <xf numFmtId="0" fontId="5" fillId="0" borderId="1" xfId="177" applyFont="1" applyBorder="1" applyAlignment="1">
      <alignment horizontal="center" vertical="center" wrapText="1"/>
      <protection locked="0"/>
    </xf>
    <xf numFmtId="0" fontId="5" fillId="0" borderId="6" xfId="177" applyFont="1" applyBorder="1" applyAlignment="1">
      <alignment horizontal="left" vertical="center"/>
      <protection locked="0"/>
    </xf>
    <xf numFmtId="0" fontId="3" fillId="0" borderId="6" xfId="177" applyFont="1" applyBorder="1" applyAlignment="1">
      <alignment horizontal="left" vertical="center"/>
      <protection locked="0"/>
    </xf>
    <xf numFmtId="0" fontId="5" fillId="2" borderId="7" xfId="177" applyFont="1" applyFill="1" applyBorder="1" applyAlignment="1">
      <alignment horizontal="center" vertical="center" wrapText="1"/>
      <protection locked="0"/>
    </xf>
    <xf numFmtId="0" fontId="5" fillId="2" borderId="8" xfId="177" applyFont="1" applyFill="1" applyBorder="1" applyAlignment="1">
      <alignment horizontal="center" vertical="center" wrapText="1"/>
      <protection locked="0"/>
    </xf>
    <xf numFmtId="9" fontId="3" fillId="0" borderId="1" xfId="155" applyFont="1" applyBorder="1" applyAlignment="1" applyProtection="1">
      <alignment horizontal="center" vertical="center" wrapText="1"/>
      <protection locked="0"/>
    </xf>
    <xf numFmtId="0" fontId="44" fillId="0" borderId="1" xfId="177" applyFont="1" applyBorder="1" applyAlignment="1">
      <alignment vertical="center"/>
      <protection locked="0"/>
    </xf>
    <xf numFmtId="10" fontId="3" fillId="0" borderId="1" xfId="155" applyNumberFormat="1" applyFont="1" applyFill="1" applyBorder="1" applyAlignment="1" applyProtection="1">
      <alignment horizontal="center" vertical="center" wrapText="1"/>
      <protection locked="0"/>
    </xf>
    <xf numFmtId="43" fontId="3" fillId="0" borderId="0" xfId="177" applyNumberFormat="1" applyFont="1" applyAlignment="1">
      <alignment vertical="center"/>
      <protection locked="0"/>
    </xf>
    <xf numFmtId="9" fontId="3" fillId="0" borderId="1" xfId="155" applyFont="1" applyFill="1" applyBorder="1" applyAlignment="1" applyProtection="1">
      <alignment horizontal="center" vertical="center" wrapText="1"/>
      <protection locked="0"/>
    </xf>
    <xf numFmtId="9" fontId="3" fillId="0" borderId="1" xfId="177" applyNumberFormat="1" applyFont="1" applyBorder="1" applyAlignment="1">
      <alignment horizontal="center" vertical="center" wrapText="1"/>
      <protection locked="0"/>
    </xf>
    <xf numFmtId="0" fontId="5" fillId="0" borderId="0" xfId="177" applyFont="1" applyAlignment="1">
      <alignment horizontal="left" vertical="center"/>
      <protection locked="0"/>
    </xf>
    <xf numFmtId="43" fontId="3" fillId="0" borderId="0" xfId="177" applyNumberFormat="1" applyFont="1" applyAlignment="1">
      <alignment horizontal="left" vertical="center"/>
      <protection locked="0"/>
    </xf>
    <xf numFmtId="0" fontId="45" fillId="0" borderId="0" xfId="177" applyFont="1" applyAlignment="1">
      <alignment horizontal="left" vertical="center"/>
      <protection locked="0"/>
    </xf>
    <xf numFmtId="0" fontId="8" fillId="0" borderId="0" xfId="0" applyFont="1" applyAlignment="1">
      <alignment horizontal="left" vertical="center"/>
    </xf>
    <xf numFmtId="0" fontId="3" fillId="0" borderId="2" xfId="177" applyFont="1" applyBorder="1" applyAlignment="1">
      <alignment vertical="center"/>
      <protection locked="0"/>
    </xf>
    <xf numFmtId="10" fontId="3" fillId="0" borderId="3" xfId="155" applyNumberFormat="1" applyFont="1" applyBorder="1" applyAlignment="1" applyProtection="1">
      <alignment vertical="center"/>
      <protection locked="0"/>
    </xf>
    <xf numFmtId="10" fontId="3" fillId="0" borderId="2" xfId="155" applyNumberFormat="1" applyFont="1" applyFill="1" applyBorder="1" applyAlignment="1" applyProtection="1">
      <alignment vertical="center"/>
      <protection locked="0"/>
    </xf>
    <xf numFmtId="43" fontId="3" fillId="0" borderId="13" xfId="177" applyNumberFormat="1" applyFont="1" applyBorder="1" applyAlignment="1">
      <alignment vertical="center"/>
      <protection locked="0"/>
    </xf>
    <xf numFmtId="10" fontId="3" fillId="0" borderId="3" xfId="155" applyNumberFormat="1" applyFont="1" applyFill="1" applyBorder="1" applyAlignment="1" applyProtection="1">
      <alignment vertical="center"/>
      <protection locked="0"/>
    </xf>
    <xf numFmtId="0" fontId="5" fillId="2" borderId="12" xfId="177" applyFont="1" applyFill="1" applyBorder="1" applyAlignment="1">
      <alignment horizontal="centerContinuous" vertical="center"/>
      <protection locked="0"/>
    </xf>
    <xf numFmtId="0" fontId="3" fillId="0" borderId="3" xfId="177" applyFont="1" applyBorder="1" applyAlignment="1">
      <alignment horizontal="center" vertical="center"/>
      <protection locked="0"/>
    </xf>
    <xf numFmtId="0" fontId="3" fillId="2" borderId="0" xfId="177" applyFont="1" applyFill="1" applyAlignment="1">
      <alignment vertical="center"/>
      <protection locked="0"/>
    </xf>
    <xf numFmtId="43" fontId="5" fillId="0" borderId="1" xfId="177" applyNumberFormat="1" applyFont="1" applyBorder="1" applyAlignment="1">
      <alignment horizontal="justify" vertical="center" wrapText="1"/>
      <protection locked="0"/>
    </xf>
    <xf numFmtId="0" fontId="3" fillId="0" borderId="1" xfId="177" applyFont="1" applyBorder="1" applyAlignment="1">
      <alignment vertical="center"/>
      <protection locked="0"/>
    </xf>
    <xf numFmtId="10" fontId="3" fillId="0" borderId="1" xfId="155" applyNumberFormat="1" applyFont="1" applyFill="1" applyBorder="1" applyAlignment="1" applyProtection="1">
      <alignment vertical="center"/>
      <protection locked="0"/>
    </xf>
    <xf numFmtId="43" fontId="3" fillId="0" borderId="1" xfId="177" applyNumberFormat="1" applyFont="1" applyBorder="1" applyAlignment="1">
      <alignment vertical="center"/>
      <protection locked="0"/>
    </xf>
    <xf numFmtId="0" fontId="5" fillId="2" borderId="1" xfId="177" applyFont="1" applyFill="1" applyBorder="1" applyAlignment="1">
      <alignment horizontal="centerContinuous" vertical="center"/>
      <protection locked="0"/>
    </xf>
    <xf numFmtId="0" fontId="3" fillId="0" borderId="1" xfId="177" applyFont="1" applyBorder="1" applyAlignment="1">
      <alignment horizontal="center" vertical="center"/>
      <protection locked="0"/>
    </xf>
    <xf numFmtId="0" fontId="3" fillId="0" borderId="0" xfId="266" applyFont="1">
      <protection locked="0"/>
    </xf>
    <xf numFmtId="0" fontId="2" fillId="0" borderId="0" xfId="177" applyFont="1">
      <protection locked="0"/>
    </xf>
    <xf numFmtId="0" fontId="3" fillId="0" borderId="0" xfId="177" applyFont="1" applyAlignment="1">
      <alignment horizontal="center" vertical="center"/>
      <protection locked="0"/>
    </xf>
    <xf numFmtId="43" fontId="5" fillId="2" borderId="8" xfId="168" applyNumberFormat="1" applyFont="1" applyFill="1" applyBorder="1" applyAlignment="1">
      <alignment horizontal="center" vertical="center" wrapText="1"/>
      <protection locked="0"/>
    </xf>
    <xf numFmtId="43" fontId="3" fillId="2" borderId="1" xfId="177" applyNumberFormat="1" applyFont="1" applyFill="1" applyBorder="1" applyAlignment="1">
      <alignment horizontal="justify" vertical="center" wrapText="1"/>
      <protection locked="0"/>
    </xf>
    <xf numFmtId="43" fontId="5" fillId="2" borderId="1" xfId="177" applyNumberFormat="1" applyFont="1" applyFill="1" applyBorder="1" applyAlignment="1">
      <alignment horizontal="justify" vertical="center" wrapText="1"/>
      <protection locked="0"/>
    </xf>
    <xf numFmtId="0" fontId="46" fillId="0" borderId="14" xfId="177" applyFont="1" applyBorder="1" applyAlignment="1">
      <alignment horizontal="left" vertical="center"/>
      <protection locked="0"/>
    </xf>
    <xf numFmtId="43" fontId="5" fillId="0" borderId="6" xfId="177" applyNumberFormat="1" applyFont="1" applyBorder="1" applyAlignment="1">
      <alignment horizontal="justify" vertical="center" wrapText="1"/>
      <protection locked="0"/>
    </xf>
    <xf numFmtId="0" fontId="3" fillId="0" borderId="15" xfId="177" applyFont="1" applyBorder="1" applyAlignment="1">
      <alignment horizontal="left" vertical="center"/>
      <protection locked="0"/>
    </xf>
    <xf numFmtId="0" fontId="3" fillId="0" borderId="11" xfId="177" applyFont="1" applyBorder="1" applyAlignment="1">
      <alignment horizontal="left" vertical="center"/>
      <protection locked="0"/>
    </xf>
    <xf numFmtId="43" fontId="3" fillId="2" borderId="1" xfId="177" applyNumberFormat="1" applyFont="1" applyFill="1" applyBorder="1" applyAlignment="1">
      <alignment horizontal="right" vertical="center" wrapText="1"/>
      <protection locked="0"/>
    </xf>
    <xf numFmtId="43" fontId="5" fillId="2" borderId="1" xfId="177" applyNumberFormat="1" applyFont="1" applyFill="1" applyBorder="1" applyAlignment="1">
      <alignment horizontal="right" vertical="center" wrapText="1"/>
      <protection locked="0"/>
    </xf>
    <xf numFmtId="0" fontId="5" fillId="0" borderId="14" xfId="177" applyFont="1" applyBorder="1" applyAlignment="1">
      <alignment horizontal="left" vertical="center"/>
      <protection locked="0"/>
    </xf>
    <xf numFmtId="0" fontId="5" fillId="0" borderId="15" xfId="177" applyFont="1" applyBorder="1" applyAlignment="1">
      <alignment horizontal="left" vertical="center"/>
      <protection locked="0"/>
    </xf>
    <xf numFmtId="0" fontId="3" fillId="0" borderId="0" xfId="0" applyFont="1">
      <alignment vertical="center"/>
    </xf>
    <xf numFmtId="0" fontId="5" fillId="2" borderId="13" xfId="168" applyFont="1" applyFill="1" applyBorder="1" applyAlignment="1">
      <alignment horizontal="center" vertical="center"/>
      <protection locked="0"/>
    </xf>
    <xf numFmtId="0" fontId="5" fillId="2" borderId="3" xfId="168" applyFont="1" applyFill="1" applyBorder="1" applyAlignment="1">
      <alignment horizontal="center" vertical="center"/>
      <protection locked="0"/>
    </xf>
    <xf numFmtId="0" fontId="8" fillId="0" borderId="2" xfId="168" applyFont="1" applyBorder="1" applyAlignment="1">
      <alignment vertical="center"/>
      <protection locked="0"/>
    </xf>
    <xf numFmtId="0" fontId="3" fillId="0" borderId="13" xfId="168" applyFont="1" applyBorder="1" applyAlignment="1">
      <alignment horizontal="center" vertical="center"/>
      <protection locked="0"/>
    </xf>
    <xf numFmtId="0" fontId="3" fillId="0" borderId="3" xfId="168" applyFont="1" applyBorder="1" applyAlignment="1">
      <alignment horizontal="center" vertical="center"/>
      <protection locked="0"/>
    </xf>
    <xf numFmtId="0" fontId="47" fillId="0" borderId="0" xfId="177" applyFont="1" applyAlignment="1">
      <alignment horizontal="left" vertical="center"/>
      <protection locked="0"/>
    </xf>
    <xf numFmtId="0" fontId="48" fillId="0" borderId="0" xfId="3" applyFont="1" applyAlignment="1">
      <alignment horizontal="left" vertical="center"/>
      <protection locked="0"/>
    </xf>
    <xf numFmtId="43" fontId="3" fillId="2" borderId="1" xfId="177" applyNumberFormat="1" applyFont="1" applyFill="1" applyBorder="1" applyAlignment="1">
      <alignment horizontal="center" vertical="center" wrapText="1"/>
      <protection locked="0"/>
    </xf>
    <xf numFmtId="0" fontId="3" fillId="0" borderId="1" xfId="177" applyFont="1" applyBorder="1" applyAlignment="1">
      <alignment horizontal="justify" vertical="center" wrapText="1"/>
      <protection locked="0"/>
    </xf>
    <xf numFmtId="0" fontId="3" fillId="0" borderId="6" xfId="177" applyFont="1" applyBorder="1" applyAlignment="1">
      <alignment horizontal="justify" vertical="center" wrapText="1"/>
      <protection locked="0"/>
    </xf>
    <xf numFmtId="0" fontId="3" fillId="0" borderId="10" xfId="177" applyFont="1" applyBorder="1" applyAlignment="1">
      <alignment horizontal="justify" vertical="center" wrapText="1"/>
      <protection locked="0"/>
    </xf>
    <xf numFmtId="0" fontId="3" fillId="0" borderId="12" xfId="177" applyFont="1" applyBorder="1" applyAlignment="1">
      <alignment horizontal="left" vertical="center"/>
      <protection locked="0"/>
    </xf>
    <xf numFmtId="43" fontId="3" fillId="0" borderId="1" xfId="177" applyNumberFormat="1" applyFont="1" applyBorder="1" applyAlignment="1">
      <alignment horizontal="right" vertical="center" wrapText="1"/>
      <protection locked="0"/>
    </xf>
    <xf numFmtId="0" fontId="3" fillId="2" borderId="1" xfId="177" applyFont="1" applyFill="1" applyBorder="1" applyAlignment="1">
      <alignment horizontal="right" vertical="center" wrapText="1"/>
      <protection locked="0"/>
    </xf>
    <xf numFmtId="0" fontId="3" fillId="0" borderId="10" xfId="177" applyFont="1" applyBorder="1" applyAlignment="1">
      <alignment horizontal="left" vertical="center"/>
      <protection locked="0"/>
    </xf>
    <xf numFmtId="0" fontId="49" fillId="0" borderId="0" xfId="0" applyFont="1">
      <alignment vertical="center"/>
    </xf>
    <xf numFmtId="0" fontId="50" fillId="0" borderId="0" xfId="0" applyFont="1">
      <alignment vertical="center"/>
    </xf>
    <xf numFmtId="0" fontId="49" fillId="0" borderId="0" xfId="0" applyFont="1" applyAlignment="1">
      <alignment horizontal="center" vertical="center"/>
    </xf>
    <xf numFmtId="0" fontId="51" fillId="0" borderId="0" xfId="0" applyFont="1">
      <alignment vertical="center"/>
    </xf>
    <xf numFmtId="0" fontId="52" fillId="0" borderId="0" xfId="0" applyFont="1">
      <alignment vertical="center"/>
    </xf>
    <xf numFmtId="0" fontId="51" fillId="0" borderId="0" xfId="0" applyFont="1" applyAlignment="1">
      <alignment vertical="center"/>
    </xf>
    <xf numFmtId="0" fontId="49" fillId="2" borderId="1" xfId="0" applyFont="1" applyFill="1" applyBorder="1" applyAlignment="1">
      <alignment horizontal="center" vertical="center"/>
    </xf>
    <xf numFmtId="0" fontId="49" fillId="2" borderId="1" xfId="0" applyFont="1" applyFill="1" applyBorder="1" applyAlignment="1">
      <alignment horizontal="center" vertical="center" wrapText="1"/>
    </xf>
    <xf numFmtId="0" fontId="52" fillId="2" borderId="1" xfId="0" applyFont="1" applyFill="1" applyBorder="1" applyAlignment="1">
      <alignment horizontal="center" vertical="center"/>
    </xf>
    <xf numFmtId="0" fontId="51" fillId="0" borderId="1" xfId="0" applyFont="1" applyBorder="1">
      <alignment vertical="center"/>
    </xf>
    <xf numFmtId="0" fontId="22" fillId="0" borderId="0" xfId="0" applyFont="1">
      <alignment vertical="center"/>
    </xf>
    <xf numFmtId="14" fontId="51" fillId="0" borderId="0" xfId="0" applyNumberFormat="1" applyFont="1">
      <alignment vertical="center"/>
    </xf>
    <xf numFmtId="0" fontId="51" fillId="0" borderId="0" xfId="0" applyFont="1" applyAlignment="1">
      <alignment horizontal="right" vertical="center"/>
    </xf>
    <xf numFmtId="0" fontId="55" fillId="0" borderId="0" xfId="0" applyFont="1">
      <alignment vertical="center"/>
    </xf>
    <xf numFmtId="0" fontId="49" fillId="0" borderId="0" xfId="0" applyFont="1" applyAlignment="1">
      <alignment horizontal="center" vertical="center" wrapText="1"/>
    </xf>
    <xf numFmtId="0" fontId="56" fillId="0" borderId="0" xfId="0" applyFont="1">
      <alignment vertical="center"/>
    </xf>
    <xf numFmtId="43" fontId="57" fillId="0" borderId="1" xfId="1" applyFont="1" applyBorder="1">
      <alignment vertical="center"/>
    </xf>
    <xf numFmtId="0" fontId="57" fillId="0" borderId="1" xfId="0" applyFont="1" applyBorder="1" applyAlignment="1">
      <alignment horizontal="center" vertical="center"/>
    </xf>
    <xf numFmtId="14" fontId="57" fillId="0" borderId="1" xfId="0" applyNumberFormat="1" applyFont="1" applyBorder="1">
      <alignment vertical="center"/>
    </xf>
    <xf numFmtId="43" fontId="51" fillId="0" borderId="1" xfId="1" applyFont="1" applyBorder="1">
      <alignment vertical="center"/>
    </xf>
    <xf numFmtId="0" fontId="51" fillId="0" borderId="1" xfId="0" applyFont="1" applyBorder="1" applyAlignment="1">
      <alignment horizontal="center" vertical="center"/>
    </xf>
    <xf numFmtId="14" fontId="51" fillId="0" borderId="1" xfId="0" applyNumberFormat="1" applyFont="1" applyBorder="1">
      <alignment vertical="center"/>
    </xf>
    <xf numFmtId="43" fontId="49" fillId="2" borderId="1" xfId="1" applyFont="1" applyFill="1" applyBorder="1">
      <alignment vertical="center"/>
    </xf>
    <xf numFmtId="0" fontId="49" fillId="0" borderId="1" xfId="0" applyFont="1" applyBorder="1">
      <alignment vertical="center"/>
    </xf>
    <xf numFmtId="9" fontId="57" fillId="0" borderId="1" xfId="2" applyFont="1" applyBorder="1">
      <alignment vertical="center"/>
    </xf>
    <xf numFmtId="43" fontId="57" fillId="2" borderId="1" xfId="1" applyFont="1" applyFill="1" applyBorder="1">
      <alignment vertical="center"/>
    </xf>
    <xf numFmtId="0" fontId="57" fillId="0" borderId="1" xfId="0" applyFont="1" applyBorder="1">
      <alignment vertical="center"/>
    </xf>
    <xf numFmtId="9" fontId="51" fillId="0" borderId="1" xfId="2" applyFont="1" applyBorder="1">
      <alignment vertical="center"/>
    </xf>
    <xf numFmtId="43" fontId="3" fillId="2" borderId="1" xfId="1" applyFont="1" applyFill="1" applyBorder="1" applyAlignment="1">
      <alignment horizontal="right" vertical="center" wrapText="1"/>
    </xf>
    <xf numFmtId="43" fontId="51" fillId="2" borderId="1" xfId="1" applyFont="1" applyFill="1" applyBorder="1">
      <alignment vertical="center"/>
    </xf>
    <xf numFmtId="0" fontId="11" fillId="0" borderId="0" xfId="175">
      <protection locked="0"/>
    </xf>
    <xf numFmtId="0" fontId="52" fillId="2" borderId="1" xfId="175" applyFont="1" applyFill="1" applyBorder="1" applyAlignment="1" applyProtection="1">
      <alignment vertical="center"/>
    </xf>
    <xf numFmtId="194" fontId="4" fillId="2" borderId="1" xfId="183" applyFont="1" applyFill="1" applyBorder="1" applyAlignment="1" applyProtection="1">
      <alignment horizontal="center" vertical="center" wrapText="1"/>
      <protection locked="0"/>
    </xf>
    <xf numFmtId="194" fontId="58" fillId="2" borderId="1" xfId="183" applyFont="1" applyFill="1" applyBorder="1" applyAlignment="1" applyProtection="1">
      <alignment horizontal="center" vertical="center" wrapText="1"/>
      <protection locked="0"/>
    </xf>
    <xf numFmtId="0" fontId="56" fillId="0" borderId="1" xfId="175" applyFont="1" applyBorder="1" applyAlignment="1" applyProtection="1">
      <alignment vertical="center"/>
    </xf>
    <xf numFmtId="0" fontId="8" fillId="0" borderId="1" xfId="175" applyFont="1" applyBorder="1" applyAlignment="1" applyProtection="1">
      <alignment vertical="center"/>
    </xf>
    <xf numFmtId="0" fontId="47" fillId="0" borderId="1" xfId="175" applyFont="1" applyBorder="1" applyAlignment="1" applyProtection="1">
      <alignment horizontal="left" vertical="center" indent="1"/>
    </xf>
    <xf numFmtId="0" fontId="49" fillId="0" borderId="1" xfId="175" applyFont="1" applyBorder="1" applyAlignment="1" applyProtection="1">
      <alignment horizontal="center" vertical="center"/>
    </xf>
    <xf numFmtId="0" fontId="49" fillId="0" borderId="0" xfId="168" applyFont="1" applyAlignment="1" applyProtection="1">
      <alignment vertical="center"/>
    </xf>
    <xf numFmtId="0" fontId="3" fillId="0" borderId="0" xfId="0" applyNumberFormat="1" applyFont="1" applyFill="1" applyBorder="1" applyAlignment="1" applyProtection="1">
      <alignment vertical="center"/>
    </xf>
    <xf numFmtId="0" fontId="60" fillId="2" borderId="1" xfId="0" applyFont="1" applyFill="1" applyBorder="1" applyAlignment="1">
      <alignment horizontal="center" vertical="center"/>
    </xf>
    <xf numFmtId="43" fontId="3" fillId="0" borderId="1" xfId="1" applyFont="1" applyFill="1" applyBorder="1" applyAlignment="1">
      <alignment horizontal="right" vertical="center" wrapText="1"/>
    </xf>
    <xf numFmtId="43" fontId="51" fillId="0" borderId="1" xfId="1" applyFont="1" applyFill="1" applyBorder="1">
      <alignment vertical="center"/>
    </xf>
    <xf numFmtId="43" fontId="61" fillId="0" borderId="1" xfId="1" applyFont="1" applyFill="1" applyBorder="1">
      <alignment vertical="center"/>
    </xf>
    <xf numFmtId="0" fontId="52" fillId="0" borderId="0" xfId="0" applyFont="1" applyAlignment="1">
      <alignment horizontal="left" vertical="center"/>
    </xf>
    <xf numFmtId="43" fontId="3" fillId="0" borderId="0" xfId="1" applyFont="1" applyFill="1" applyBorder="1" applyAlignment="1">
      <alignment horizontal="right" vertical="center" wrapText="1"/>
    </xf>
    <xf numFmtId="43" fontId="51" fillId="0" borderId="0" xfId="1" applyFont="1" applyFill="1" applyBorder="1">
      <alignment vertical="center"/>
    </xf>
    <xf numFmtId="43" fontId="61" fillId="0" borderId="0" xfId="1" applyFont="1" applyFill="1" applyBorder="1">
      <alignment vertical="center"/>
    </xf>
    <xf numFmtId="0" fontId="52" fillId="0" borderId="0" xfId="0" applyFont="1" applyAlignment="1">
      <alignment horizontal="center" vertical="center"/>
    </xf>
    <xf numFmtId="0" fontId="34" fillId="0" borderId="0" xfId="0" applyFont="1">
      <alignment vertical="center"/>
    </xf>
    <xf numFmtId="194" fontId="52" fillId="2" borderId="1" xfId="181" applyFont="1" applyFill="1" applyBorder="1" applyAlignment="1" applyProtection="1">
      <alignment horizontal="center" vertical="center"/>
      <protection locked="0"/>
    </xf>
    <xf numFmtId="0" fontId="63" fillId="0" borderId="0" xfId="0" applyFont="1">
      <alignment vertical="center"/>
    </xf>
    <xf numFmtId="0" fontId="63" fillId="0" borderId="0" xfId="0" applyFont="1" applyAlignment="1">
      <alignment horizontal="left" vertical="center"/>
    </xf>
    <xf numFmtId="43" fontId="63" fillId="0" borderId="0" xfId="1" applyFont="1" applyAlignment="1">
      <alignment horizontal="justify" vertical="center"/>
    </xf>
    <xf numFmtId="0" fontId="64" fillId="0" borderId="0" xfId="0" applyFont="1" applyAlignment="1">
      <alignment horizontal="right" vertical="center" wrapText="1"/>
    </xf>
    <xf numFmtId="0" fontId="65" fillId="0" borderId="0" xfId="0" applyFont="1" applyAlignment="1">
      <alignment horizontal="right" vertical="center" wrapText="1"/>
    </xf>
    <xf numFmtId="0" fontId="63" fillId="0" borderId="16" xfId="0" applyFont="1" applyBorder="1" applyAlignment="1">
      <alignment horizontal="justify" vertical="center" wrapText="1"/>
    </xf>
    <xf numFmtId="43" fontId="63" fillId="0" borderId="16" xfId="0" applyNumberFormat="1" applyFont="1" applyBorder="1" applyAlignment="1">
      <alignment horizontal="right" vertical="center" wrapText="1"/>
    </xf>
    <xf numFmtId="43" fontId="63" fillId="0" borderId="0" xfId="0" applyNumberFormat="1" applyFont="1" applyAlignment="1">
      <alignment horizontal="right" vertical="center" wrapText="1"/>
    </xf>
    <xf numFmtId="43" fontId="26" fillId="0" borderId="0" xfId="1" applyFont="1" applyAlignment="1">
      <alignment horizontal="justify" vertical="center" wrapText="1"/>
    </xf>
    <xf numFmtId="43" fontId="51" fillId="0" borderId="0" xfId="0" applyNumberFormat="1" applyFont="1" applyAlignment="1">
      <alignment horizontal="right" vertical="center" wrapText="1"/>
    </xf>
    <xf numFmtId="0" fontId="63" fillId="0" borderId="17" xfId="0" applyFont="1" applyBorder="1" applyAlignment="1">
      <alignment horizontal="justify" vertical="center" wrapText="1"/>
    </xf>
    <xf numFmtId="43" fontId="51" fillId="0" borderId="17" xfId="0" applyNumberFormat="1" applyFont="1" applyBorder="1" applyAlignment="1">
      <alignment horizontal="right" vertical="center" wrapText="1"/>
    </xf>
    <xf numFmtId="0" fontId="63" fillId="0" borderId="0" xfId="0" applyFont="1" applyAlignment="1">
      <alignment horizontal="justify" vertical="center" wrapText="1"/>
    </xf>
    <xf numFmtId="43" fontId="63" fillId="0" borderId="17" xfId="0" applyNumberFormat="1" applyFont="1" applyBorder="1" applyAlignment="1">
      <alignment horizontal="right" vertical="center" wrapText="1"/>
    </xf>
    <xf numFmtId="43" fontId="63" fillId="0" borderId="0" xfId="0" applyNumberFormat="1" applyFont="1" applyAlignment="1">
      <alignment horizontal="justify" vertical="center" wrapText="1"/>
    </xf>
    <xf numFmtId="43" fontId="51" fillId="0" borderId="0" xfId="1" applyFont="1">
      <alignment vertical="center"/>
    </xf>
    <xf numFmtId="14" fontId="51" fillId="0" borderId="0" xfId="0" applyNumberFormat="1" applyFont="1" applyAlignment="1">
      <alignment horizontal="right" vertical="center"/>
    </xf>
    <xf numFmtId="43" fontId="64" fillId="0" borderId="19" xfId="1" applyFont="1" applyBorder="1" applyAlignment="1">
      <alignment horizontal="justify" vertical="center" wrapText="1"/>
    </xf>
    <xf numFmtId="0" fontId="64" fillId="0" borderId="19" xfId="0" applyFont="1" applyBorder="1" applyAlignment="1">
      <alignment horizontal="center" vertical="center" wrapText="1"/>
    </xf>
    <xf numFmtId="0" fontId="64" fillId="0" borderId="19" xfId="0" applyFont="1" applyBorder="1" applyAlignment="1">
      <alignment horizontal="right" vertical="center" wrapText="1"/>
    </xf>
    <xf numFmtId="0" fontId="27" fillId="0" borderId="19" xfId="0" applyFont="1" applyBorder="1" applyAlignment="1">
      <alignment horizontal="right" vertical="center" wrapText="1"/>
    </xf>
    <xf numFmtId="43" fontId="26" fillId="0" borderId="0" xfId="1" applyFont="1" applyFill="1" applyAlignment="1">
      <alignment horizontal="justify" vertical="center" wrapText="1"/>
    </xf>
    <xf numFmtId="43" fontId="23" fillId="0" borderId="0" xfId="1" applyFont="1" applyAlignment="1">
      <alignment horizontal="right" vertical="center" wrapText="1"/>
    </xf>
    <xf numFmtId="43" fontId="23" fillId="0" borderId="0" xfId="0" applyNumberFormat="1" applyFont="1" applyAlignment="1">
      <alignment horizontal="right" vertical="center" wrapText="1"/>
    </xf>
    <xf numFmtId="43" fontId="26" fillId="0" borderId="19" xfId="1" applyFont="1" applyFill="1" applyBorder="1" applyAlignment="1">
      <alignment horizontal="justify" vertical="center" wrapText="1"/>
    </xf>
    <xf numFmtId="43" fontId="23" fillId="0" borderId="19" xfId="1" applyFont="1" applyBorder="1" applyAlignment="1">
      <alignment horizontal="right" vertical="center" wrapText="1"/>
    </xf>
    <xf numFmtId="43" fontId="49" fillId="0" borderId="19" xfId="0" applyNumberFormat="1" applyFont="1" applyBorder="1" applyAlignment="1">
      <alignment horizontal="right" vertical="center" wrapText="1"/>
    </xf>
    <xf numFmtId="0" fontId="67" fillId="0" borderId="19" xfId="0" applyFont="1" applyBorder="1" applyAlignment="1">
      <alignment horizontal="center" vertical="center" wrapText="1"/>
    </xf>
    <xf numFmtId="43" fontId="49" fillId="0" borderId="0" xfId="0" applyNumberFormat="1" applyFont="1" applyAlignment="1">
      <alignment horizontal="justify" vertical="center" wrapText="1"/>
    </xf>
    <xf numFmtId="43" fontId="49" fillId="0" borderId="0" xfId="1" applyFont="1" applyAlignment="1">
      <alignment horizontal="center" vertical="center" wrapText="1"/>
    </xf>
    <xf numFmtId="43" fontId="49" fillId="0" borderId="0" xfId="1" applyFont="1" applyAlignment="1">
      <alignment horizontal="right" vertical="center" wrapText="1"/>
    </xf>
    <xf numFmtId="43" fontId="27" fillId="0" borderId="19" xfId="1" applyFont="1" applyBorder="1" applyAlignment="1">
      <alignment horizontal="justify" vertical="center" wrapText="1"/>
    </xf>
    <xf numFmtId="43" fontId="49" fillId="0" borderId="19" xfId="1" applyFont="1" applyBorder="1" applyAlignment="1">
      <alignment horizontal="justify" vertical="center" wrapText="1"/>
    </xf>
    <xf numFmtId="43" fontId="49" fillId="0" borderId="19" xfId="1" applyFont="1" applyBorder="1" applyAlignment="1">
      <alignment horizontal="center" vertical="center" wrapText="1"/>
    </xf>
    <xf numFmtId="43" fontId="49" fillId="0" borderId="19" xfId="1" applyFont="1" applyBorder="1" applyAlignment="1">
      <alignment horizontal="right" vertical="top" wrapText="1"/>
    </xf>
    <xf numFmtId="43" fontId="49" fillId="0" borderId="19" xfId="0" applyNumberFormat="1" applyFont="1" applyBorder="1" applyAlignment="1">
      <alignment horizontal="justify" vertical="center" wrapText="1"/>
    </xf>
    <xf numFmtId="0" fontId="63" fillId="0" borderId="18" xfId="0" applyFont="1" applyBorder="1">
      <alignment vertical="center"/>
    </xf>
    <xf numFmtId="43" fontId="63" fillId="0" borderId="0" xfId="1" applyFont="1">
      <alignment vertical="center"/>
    </xf>
    <xf numFmtId="0" fontId="49" fillId="2" borderId="0" xfId="0" applyFont="1" applyFill="1">
      <alignment vertical="center"/>
    </xf>
    <xf numFmtId="0" fontId="68" fillId="0" borderId="0" xfId="0" applyFont="1">
      <alignment vertical="center"/>
    </xf>
    <xf numFmtId="212" fontId="51" fillId="0" borderId="0" xfId="0" applyNumberFormat="1" applyFont="1">
      <alignment vertical="center"/>
    </xf>
    <xf numFmtId="212" fontId="49" fillId="0" borderId="0" xfId="0" applyNumberFormat="1" applyFont="1">
      <alignment vertical="center"/>
    </xf>
    <xf numFmtId="0" fontId="49" fillId="2" borderId="1" xfId="0" applyFont="1" applyFill="1" applyBorder="1">
      <alignment vertical="center"/>
    </xf>
    <xf numFmtId="0" fontId="51" fillId="0" borderId="8" xfId="0" applyFont="1" applyBorder="1">
      <alignment vertical="center"/>
    </xf>
    <xf numFmtId="0" fontId="69" fillId="0" borderId="0" xfId="0" applyFont="1" applyAlignment="1">
      <alignment horizontal="center" vertical="center"/>
    </xf>
    <xf numFmtId="208" fontId="51" fillId="2" borderId="1" xfId="1" applyNumberFormat="1" applyFont="1" applyFill="1" applyBorder="1" applyAlignment="1">
      <alignment horizontal="right" vertical="center"/>
    </xf>
    <xf numFmtId="43" fontId="49" fillId="0" borderId="0" xfId="1" applyFont="1">
      <alignment vertical="center"/>
    </xf>
    <xf numFmtId="43" fontId="34" fillId="0" borderId="0" xfId="1" applyFont="1">
      <alignment vertical="center"/>
    </xf>
    <xf numFmtId="194" fontId="3" fillId="0" borderId="0" xfId="187" applyFont="1" applyProtection="1">
      <alignment vertical="center"/>
      <protection locked="0"/>
    </xf>
    <xf numFmtId="194" fontId="51" fillId="0" borderId="0" xfId="187" applyFont="1">
      <alignment vertical="center"/>
    </xf>
    <xf numFmtId="194" fontId="3" fillId="0" borderId="0" xfId="187" applyFont="1" applyAlignment="1">
      <alignment horizontal="center" vertical="center"/>
    </xf>
    <xf numFmtId="194" fontId="3" fillId="0" borderId="0" xfId="187" applyFont="1">
      <alignment vertical="center"/>
    </xf>
    <xf numFmtId="194" fontId="3" fillId="0" borderId="0" xfId="187" applyFont="1" applyAlignment="1">
      <alignment horizontal="right" vertical="center"/>
    </xf>
    <xf numFmtId="0" fontId="3" fillId="0" borderId="0" xfId="187" applyNumberFormat="1" applyFont="1" applyProtection="1">
      <alignment vertical="center"/>
      <protection locked="0"/>
    </xf>
    <xf numFmtId="0" fontId="4" fillId="0" borderId="0" xfId="0" applyNumberFormat="1" applyFont="1" applyFill="1" applyBorder="1" applyAlignment="1" applyProtection="1">
      <alignment vertical="center"/>
      <protection locked="0"/>
    </xf>
    <xf numFmtId="0" fontId="3" fillId="0" borderId="0" xfId="0" applyNumberFormat="1" applyFont="1" applyFill="1" applyBorder="1" applyAlignment="1" applyProtection="1">
      <alignment vertical="center"/>
      <protection locked="0"/>
    </xf>
    <xf numFmtId="0" fontId="56" fillId="0" borderId="0" xfId="0" applyNumberFormat="1" applyFont="1" applyFill="1" applyBorder="1" applyAlignment="1" applyProtection="1">
      <alignment vertical="center"/>
    </xf>
    <xf numFmtId="49" fontId="4" fillId="0" borderId="0" xfId="0" applyNumberFormat="1" applyFont="1" applyFill="1" applyBorder="1" applyAlignment="1" applyProtection="1">
      <alignment horizontal="left" vertical="center"/>
      <protection locked="0"/>
    </xf>
    <xf numFmtId="0" fontId="5" fillId="0" borderId="0" xfId="0" applyNumberFormat="1" applyFont="1" applyFill="1" applyBorder="1" applyAlignment="1" applyProtection="1">
      <alignment horizontal="justify" vertical="center"/>
      <protection locked="0"/>
    </xf>
    <xf numFmtId="0" fontId="8" fillId="0" borderId="11" xfId="0" applyNumberFormat="1" applyFont="1" applyFill="1" applyBorder="1" applyAlignment="1" applyProtection="1">
      <alignment horizontal="center" vertical="center" wrapText="1"/>
      <protection locked="0"/>
    </xf>
    <xf numFmtId="0" fontId="10" fillId="0" borderId="11" xfId="0" applyNumberFormat="1" applyFont="1" applyFill="1" applyBorder="1" applyAlignment="1" applyProtection="1">
      <alignment horizontal="center" vertical="center" wrapText="1"/>
      <protection locked="0"/>
    </xf>
    <xf numFmtId="0" fontId="4" fillId="5" borderId="1" xfId="0" applyNumberFormat="1" applyFont="1" applyFill="1" applyBorder="1" applyAlignment="1" applyProtection="1">
      <alignment horizontal="center" vertical="center"/>
      <protection locked="0"/>
    </xf>
    <xf numFmtId="0" fontId="4" fillId="5" borderId="1" xfId="0" applyNumberFormat="1" applyFont="1" applyFill="1" applyBorder="1" applyAlignment="1" applyProtection="1">
      <alignment horizontal="center" vertical="center" wrapText="1"/>
      <protection locked="0"/>
    </xf>
    <xf numFmtId="49" fontId="3" fillId="0" borderId="1" xfId="0" applyNumberFormat="1" applyFont="1" applyFill="1" applyBorder="1" applyAlignment="1" applyProtection="1">
      <alignment horizontal="center" vertical="center"/>
      <protection locked="0"/>
    </xf>
    <xf numFmtId="194" fontId="71" fillId="0" borderId="1" xfId="0" applyNumberFormat="1" applyFont="1" applyFill="1" applyBorder="1" applyAlignment="1" applyProtection="1">
      <alignment vertical="center" wrapText="1"/>
    </xf>
    <xf numFmtId="194" fontId="56" fillId="0" borderId="1" xfId="0" applyNumberFormat="1" applyFont="1" applyFill="1" applyBorder="1" applyAlignment="1" applyProtection="1">
      <alignment horizontal="center" vertical="center" wrapText="1"/>
    </xf>
    <xf numFmtId="0" fontId="56" fillId="0" borderId="1" xfId="0" applyNumberFormat="1" applyFont="1" applyFill="1" applyBorder="1" applyAlignment="1" applyProtection="1">
      <alignment horizontal="center" vertical="center" wrapText="1"/>
    </xf>
    <xf numFmtId="0" fontId="51" fillId="0" borderId="1" xfId="0" applyNumberFormat="1" applyFont="1" applyFill="1" applyBorder="1" applyAlignment="1" applyProtection="1">
      <alignment horizontal="center" vertical="center" wrapText="1"/>
    </xf>
    <xf numFmtId="0" fontId="52" fillId="0" borderId="1" xfId="0" applyNumberFormat="1" applyFont="1" applyFill="1" applyBorder="1" applyAlignment="1" applyProtection="1">
      <alignment horizontal="center" vertical="center" wrapText="1"/>
    </xf>
    <xf numFmtId="0" fontId="71" fillId="0" borderId="1" xfId="0" applyNumberFormat="1" applyFont="1" applyFill="1" applyBorder="1" applyAlignment="1" applyProtection="1">
      <alignment vertical="center" wrapText="1"/>
    </xf>
    <xf numFmtId="194" fontId="51" fillId="0" borderId="1" xfId="0" applyNumberFormat="1" applyFont="1" applyFill="1" applyBorder="1" applyAlignment="1" applyProtection="1">
      <alignment vertical="center" wrapText="1"/>
    </xf>
    <xf numFmtId="0" fontId="8" fillId="0" borderId="1" xfId="0" applyNumberFormat="1" applyFont="1" applyFill="1" applyBorder="1" applyAlignment="1" applyProtection="1">
      <alignment vertical="center" wrapText="1"/>
    </xf>
    <xf numFmtId="194" fontId="56" fillId="0" borderId="9" xfId="0" applyNumberFormat="1" applyFont="1" applyFill="1" applyBorder="1" applyAlignment="1" applyProtection="1">
      <alignment vertical="center" wrapText="1"/>
    </xf>
    <xf numFmtId="194" fontId="52" fillId="0" borderId="1" xfId="0" applyNumberFormat="1" applyFont="1" applyFill="1" applyBorder="1" applyAlignment="1" applyProtection="1">
      <alignment horizontal="center" vertical="center" wrapText="1"/>
    </xf>
    <xf numFmtId="194" fontId="51" fillId="0" borderId="1" xfId="0" applyNumberFormat="1" applyFont="1" applyFill="1" applyBorder="1" applyAlignment="1" applyProtection="1">
      <alignment horizontal="center" vertical="center" wrapText="1"/>
    </xf>
    <xf numFmtId="194" fontId="10" fillId="0" borderId="0" xfId="0" applyNumberFormat="1" applyFont="1" applyFill="1" applyBorder="1" applyAlignment="1" applyProtection="1">
      <alignment vertical="center"/>
      <protection locked="0"/>
    </xf>
    <xf numFmtId="194" fontId="74" fillId="6" borderId="0" xfId="0" applyNumberFormat="1" applyFont="1" applyFill="1" applyBorder="1" applyAlignment="1" applyProtection="1">
      <alignment horizontal="center" vertical="center"/>
      <protection locked="0"/>
    </xf>
    <xf numFmtId="194" fontId="3" fillId="0" borderId="1" xfId="0" applyNumberFormat="1" applyFont="1" applyFill="1" applyBorder="1" applyAlignment="1" applyProtection="1">
      <alignment horizontal="center" vertical="center" wrapText="1"/>
    </xf>
    <xf numFmtId="194" fontId="74" fillId="0" borderId="0" xfId="0" applyNumberFormat="1" applyFont="1" applyFill="1" applyBorder="1" applyAlignment="1" applyProtection="1">
      <alignment horizontal="left" vertical="center"/>
      <protection locked="0"/>
    </xf>
    <xf numFmtId="0" fontId="54" fillId="6" borderId="0" xfId="0" applyNumberFormat="1" applyFont="1" applyFill="1" applyBorder="1" applyAlignment="1" applyProtection="1">
      <alignment horizontal="left" vertical="center"/>
      <protection locked="0"/>
    </xf>
    <xf numFmtId="0" fontId="50" fillId="0" borderId="0" xfId="0" applyFont="1" applyAlignment="1">
      <alignment horizontal="left" vertical="center"/>
    </xf>
    <xf numFmtId="0" fontId="49" fillId="0" borderId="0" xfId="0" applyFont="1" applyAlignment="1">
      <alignment horizontal="left" vertical="center"/>
    </xf>
    <xf numFmtId="0" fontId="51" fillId="0" borderId="0" xfId="0" applyFont="1" applyAlignment="1">
      <alignment horizontal="center" vertical="center"/>
    </xf>
    <xf numFmtId="0" fontId="6" fillId="0" borderId="0" xfId="0" applyFont="1" applyProtection="1">
      <alignment vertical="center"/>
      <protection locked="0"/>
    </xf>
    <xf numFmtId="0" fontId="8" fillId="7" borderId="0" xfId="0" applyNumberFormat="1" applyFont="1" applyFill="1" applyBorder="1" applyAlignment="1" applyProtection="1">
      <alignment horizontal="justify" vertical="center" wrapText="1"/>
      <protection locked="0"/>
    </xf>
    <xf numFmtId="0" fontId="49" fillId="0" borderId="5" xfId="0" applyFont="1" applyBorder="1" applyAlignment="1">
      <alignment horizontal="center" vertical="center"/>
    </xf>
    <xf numFmtId="0" fontId="49" fillId="0" borderId="4" xfId="0" applyFont="1" applyBorder="1" applyAlignment="1">
      <alignment horizontal="center" vertical="center"/>
    </xf>
    <xf numFmtId="0" fontId="51" fillId="0" borderId="4" xfId="0" applyFont="1" applyBorder="1" applyAlignment="1">
      <alignment horizontal="center" vertical="center"/>
    </xf>
    <xf numFmtId="0" fontId="24" fillId="0" borderId="4" xfId="3" applyBorder="1" applyAlignment="1" applyProtection="1">
      <alignment vertical="center"/>
    </xf>
    <xf numFmtId="0" fontId="51" fillId="0" borderId="4" xfId="0" applyFont="1" applyBorder="1">
      <alignment vertical="center"/>
    </xf>
    <xf numFmtId="0" fontId="76" fillId="0" borderId="0" xfId="0" applyFont="1" applyAlignment="1" applyProtection="1">
      <alignment horizontal="justify"/>
      <protection locked="0"/>
    </xf>
    <xf numFmtId="0" fontId="11" fillId="0" borderId="0" xfId="0" applyFont="1" applyAlignment="1" applyProtection="1">
      <alignment horizontal="justify"/>
      <protection locked="0"/>
    </xf>
    <xf numFmtId="0" fontId="72" fillId="0" borderId="4" xfId="0" applyFont="1" applyBorder="1">
      <alignment vertical="center"/>
    </xf>
    <xf numFmtId="0" fontId="3" fillId="0" borderId="1" xfId="168" quotePrefix="1" applyFont="1" applyBorder="1" applyAlignment="1">
      <alignment horizontal="left" vertical="center"/>
      <protection locked="0"/>
    </xf>
    <xf numFmtId="0" fontId="3" fillId="0" borderId="1" xfId="168" quotePrefix="1" applyFont="1" applyBorder="1" applyAlignment="1">
      <alignment vertical="center"/>
      <protection locked="0"/>
    </xf>
    <xf numFmtId="0" fontId="3" fillId="0" borderId="0" xfId="168" quotePrefix="1" applyFont="1" applyAlignment="1">
      <alignment horizontal="center" vertical="center"/>
      <protection locked="0"/>
    </xf>
    <xf numFmtId="194" fontId="149" fillId="0" borderId="32" xfId="0" applyNumberFormat="1" applyFont="1" applyFill="1" applyBorder="1" applyAlignment="1" applyProtection="1">
      <alignment vertical="center" wrapText="1"/>
    </xf>
    <xf numFmtId="0" fontId="56" fillId="0" borderId="32" xfId="0" applyNumberFormat="1" applyFont="1" applyFill="1" applyBorder="1" applyAlignment="1" applyProtection="1">
      <alignment horizontal="center" vertical="center" wrapText="1"/>
    </xf>
    <xf numFmtId="194" fontId="51" fillId="0" borderId="32" xfId="0" applyNumberFormat="1" applyFont="1" applyFill="1" applyBorder="1" applyAlignment="1" applyProtection="1">
      <alignment horizontal="center" vertical="center" wrapText="1"/>
    </xf>
    <xf numFmtId="194" fontId="3" fillId="0" borderId="32" xfId="0" applyNumberFormat="1" applyFont="1" applyFill="1" applyBorder="1" applyAlignment="1" applyProtection="1">
      <alignment horizontal="center" vertical="center" wrapText="1"/>
    </xf>
    <xf numFmtId="0" fontId="52" fillId="2" borderId="1" xfId="0" applyFont="1" applyFill="1" applyBorder="1" applyAlignment="1">
      <alignment horizontal="center" vertical="center"/>
    </xf>
    <xf numFmtId="0" fontId="3" fillId="0" borderId="32" xfId="261" applyFont="1" applyBorder="1" applyAlignment="1">
      <alignment horizontal="center" vertical="center" wrapText="1"/>
    </xf>
    <xf numFmtId="194" fontId="57" fillId="0" borderId="1" xfId="0" applyNumberFormat="1" applyFont="1" applyFill="1" applyBorder="1" applyAlignment="1" applyProtection="1">
      <alignment horizontal="center" vertical="center" wrapText="1"/>
    </xf>
    <xf numFmtId="194" fontId="5" fillId="0" borderId="32" xfId="187" applyFont="1" applyFill="1" applyBorder="1" applyAlignment="1" applyProtection="1">
      <alignment horizontal="center" vertical="center" wrapText="1"/>
      <protection locked="0"/>
    </xf>
    <xf numFmtId="194" fontId="3" fillId="0" borderId="32" xfId="187" applyFont="1" applyFill="1" applyBorder="1" applyAlignment="1" applyProtection="1">
      <alignment horizontal="center" vertical="center" wrapText="1"/>
      <protection locked="0"/>
    </xf>
    <xf numFmtId="0" fontId="56" fillId="0" borderId="1" xfId="0" applyNumberFormat="1" applyFont="1" applyFill="1" applyBorder="1" applyAlignment="1" applyProtection="1">
      <alignment vertical="center" wrapText="1"/>
    </xf>
    <xf numFmtId="0" fontId="31" fillId="0" borderId="0" xfId="177" applyFont="1" applyAlignment="1">
      <alignment horizontal="left" vertical="center"/>
      <protection locked="0"/>
    </xf>
    <xf numFmtId="0" fontId="31" fillId="0" borderId="0" xfId="177" applyFont="1" applyAlignment="1">
      <alignment vertical="center"/>
      <protection locked="0"/>
    </xf>
    <xf numFmtId="0" fontId="5" fillId="31" borderId="1" xfId="177" applyFont="1" applyFill="1" applyBorder="1" applyAlignment="1">
      <alignment horizontal="center" vertical="center" wrapText="1"/>
      <protection locked="0"/>
    </xf>
    <xf numFmtId="43" fontId="5" fillId="31" borderId="1" xfId="177" applyNumberFormat="1" applyFont="1" applyFill="1" applyBorder="1" applyAlignment="1">
      <alignment horizontal="justify" vertical="center" wrapText="1"/>
      <protection locked="0"/>
    </xf>
    <xf numFmtId="43" fontId="3" fillId="31" borderId="1" xfId="177" applyNumberFormat="1" applyFont="1" applyFill="1" applyBorder="1" applyAlignment="1">
      <alignment horizontal="center" vertical="center" wrapText="1"/>
      <protection locked="0"/>
    </xf>
    <xf numFmtId="0" fontId="3" fillId="31" borderId="1" xfId="177" applyFont="1" applyFill="1" applyBorder="1" applyAlignment="1">
      <alignment horizontal="center" vertical="center" wrapText="1"/>
      <protection locked="0"/>
    </xf>
    <xf numFmtId="0" fontId="3" fillId="31" borderId="0" xfId="177" applyFont="1" applyFill="1" applyAlignment="1">
      <alignment vertical="center"/>
      <protection locked="0"/>
    </xf>
    <xf numFmtId="43" fontId="3" fillId="31" borderId="1" xfId="177" applyNumberFormat="1" applyFont="1" applyFill="1" applyBorder="1" applyAlignment="1">
      <alignment horizontal="justify" vertical="center" wrapText="1"/>
      <protection locked="0"/>
    </xf>
    <xf numFmtId="208" fontId="3" fillId="31" borderId="1" xfId="177" applyNumberFormat="1" applyFont="1" applyFill="1" applyBorder="1" applyAlignment="1">
      <alignment horizontal="justify" vertical="center" wrapText="1"/>
      <protection locked="0"/>
    </xf>
    <xf numFmtId="43" fontId="3" fillId="31" borderId="0" xfId="177" applyNumberFormat="1" applyFont="1" applyFill="1" applyAlignment="1">
      <alignment vertical="center"/>
      <protection locked="0"/>
    </xf>
    <xf numFmtId="43" fontId="5" fillId="31" borderId="8" xfId="177" applyNumberFormat="1" applyFont="1" applyFill="1" applyBorder="1" applyAlignment="1">
      <alignment horizontal="justify" vertical="center" wrapText="1"/>
      <protection locked="0"/>
    </xf>
    <xf numFmtId="10" fontId="3" fillId="31" borderId="1" xfId="155" applyNumberFormat="1" applyFont="1" applyFill="1" applyBorder="1" applyAlignment="1" applyProtection="1">
      <alignment horizontal="center" vertical="center"/>
      <protection locked="0"/>
    </xf>
    <xf numFmtId="43" fontId="3" fillId="31" borderId="1" xfId="177" applyNumberFormat="1" applyFont="1" applyFill="1" applyBorder="1" applyAlignment="1">
      <alignment vertical="center"/>
      <protection locked="0"/>
    </xf>
    <xf numFmtId="9" fontId="57" fillId="0" borderId="8" xfId="177" applyNumberFormat="1" applyFont="1" applyBorder="1" applyAlignment="1">
      <alignment horizontal="center" vertical="center" wrapText="1"/>
      <protection locked="0"/>
    </xf>
    <xf numFmtId="43" fontId="57" fillId="0" borderId="1" xfId="177" applyNumberFormat="1" applyFont="1" applyBorder="1" applyAlignment="1">
      <alignment horizontal="justify" vertical="center" wrapText="1"/>
      <protection locked="0"/>
    </xf>
    <xf numFmtId="10" fontId="57" fillId="0" borderId="1" xfId="155" applyNumberFormat="1" applyFont="1" applyFill="1" applyBorder="1" applyAlignment="1" applyProtection="1">
      <alignment horizontal="center" vertical="center" wrapText="1"/>
      <protection locked="0"/>
    </xf>
    <xf numFmtId="43" fontId="57" fillId="0" borderId="1" xfId="177" applyNumberFormat="1" applyFont="1" applyBorder="1" applyAlignment="1">
      <alignment horizontal="center" vertical="center" wrapText="1"/>
      <protection locked="0"/>
    </xf>
    <xf numFmtId="9" fontId="57" fillId="0" borderId="1" xfId="177" applyNumberFormat="1" applyFont="1" applyBorder="1" applyAlignment="1">
      <alignment horizontal="center" vertical="center" wrapText="1"/>
      <protection locked="0"/>
    </xf>
    <xf numFmtId="0" fontId="51" fillId="31" borderId="1" xfId="0" applyFont="1" applyFill="1" applyBorder="1">
      <alignment vertical="center"/>
    </xf>
    <xf numFmtId="43" fontId="3" fillId="31" borderId="1" xfId="1" applyFont="1" applyFill="1" applyBorder="1" applyAlignment="1">
      <alignment horizontal="right" vertical="center" wrapText="1"/>
    </xf>
    <xf numFmtId="43" fontId="51" fillId="31" borderId="1" xfId="1" applyFont="1" applyFill="1" applyBorder="1">
      <alignment vertical="center"/>
    </xf>
    <xf numFmtId="43" fontId="61" fillId="31" borderId="1" xfId="1" applyFont="1" applyFill="1" applyBorder="1">
      <alignment vertical="center"/>
    </xf>
    <xf numFmtId="0" fontId="51" fillId="31" borderId="0" xfId="0" applyFont="1" applyFill="1">
      <alignment vertical="center"/>
    </xf>
    <xf numFmtId="0" fontId="52" fillId="2" borderId="0" xfId="0" applyFont="1" applyFill="1" applyAlignment="1">
      <alignment horizontal="center" vertical="center"/>
    </xf>
    <xf numFmtId="43" fontId="52" fillId="2" borderId="1" xfId="1" applyFont="1" applyFill="1" applyBorder="1" applyAlignment="1">
      <alignment horizontal="left" vertical="center"/>
    </xf>
    <xf numFmtId="43" fontId="56" fillId="2" borderId="1" xfId="1" applyFont="1" applyFill="1" applyBorder="1" applyAlignment="1">
      <alignment horizontal="left" vertical="center"/>
    </xf>
    <xf numFmtId="43" fontId="52" fillId="2" borderId="1" xfId="1" applyFont="1" applyFill="1" applyBorder="1" applyAlignment="1">
      <alignment horizontal="center" vertical="center"/>
    </xf>
    <xf numFmtId="0" fontId="49" fillId="0" borderId="0" xfId="0" applyFont="1">
      <alignment vertical="center"/>
    </xf>
    <xf numFmtId="194" fontId="4" fillId="5" borderId="33" xfId="0" applyNumberFormat="1" applyFont="1" applyFill="1" applyBorder="1" applyAlignment="1" applyProtection="1">
      <alignment horizontal="center" vertical="center"/>
      <protection locked="0"/>
    </xf>
    <xf numFmtId="194" fontId="4" fillId="5" borderId="33" xfId="0" applyNumberFormat="1" applyFont="1" applyFill="1" applyBorder="1" applyAlignment="1" applyProtection="1">
      <alignment horizontal="center" vertical="center" wrapText="1"/>
      <protection locked="0"/>
    </xf>
    <xf numFmtId="194" fontId="4" fillId="5" borderId="33" xfId="0" applyNumberFormat="1" applyFont="1" applyFill="1" applyBorder="1" applyAlignment="1" applyProtection="1">
      <alignment horizontal="center" vertical="center"/>
    </xf>
    <xf numFmtId="0" fontId="5" fillId="5" borderId="33" xfId="0" applyNumberFormat="1" applyFont="1" applyFill="1" applyBorder="1" applyAlignment="1" applyProtection="1">
      <alignment horizontal="center" vertical="center"/>
      <protection locked="0"/>
    </xf>
    <xf numFmtId="0" fontId="35" fillId="0" borderId="0" xfId="177" applyFont="1" applyAlignment="1">
      <alignment vertical="center" wrapText="1"/>
      <protection locked="0"/>
    </xf>
    <xf numFmtId="0" fontId="49" fillId="0" borderId="0" xfId="0" applyFont="1">
      <alignment vertical="center"/>
    </xf>
    <xf numFmtId="0" fontId="52" fillId="0" borderId="0" xfId="0" applyFont="1">
      <alignment vertical="center"/>
    </xf>
    <xf numFmtId="0" fontId="53" fillId="0" borderId="0" xfId="0" applyFont="1">
      <alignment vertical="center"/>
    </xf>
    <xf numFmtId="194" fontId="7" fillId="0" borderId="0" xfId="187" applyFont="1" applyAlignment="1">
      <alignment vertical="center"/>
    </xf>
    <xf numFmtId="194" fontId="156" fillId="0" borderId="0" xfId="187" applyFont="1" applyAlignment="1">
      <alignment vertical="center"/>
    </xf>
    <xf numFmtId="0" fontId="51" fillId="0" borderId="33" xfId="0" applyFont="1" applyBorder="1">
      <alignment vertical="center"/>
    </xf>
    <xf numFmtId="0" fontId="8" fillId="0" borderId="0" xfId="177" applyFont="1" applyAlignment="1">
      <alignment vertical="center"/>
      <protection locked="0"/>
    </xf>
    <xf numFmtId="0" fontId="8" fillId="0" borderId="0" xfId="268" applyFont="1">
      <alignment vertical="center"/>
    </xf>
    <xf numFmtId="14" fontId="8" fillId="0" borderId="0" xfId="177" applyNumberFormat="1" applyFont="1" applyAlignment="1">
      <alignment vertical="center"/>
      <protection locked="0"/>
    </xf>
    <xf numFmtId="0" fontId="8" fillId="0" borderId="0" xfId="177" applyFont="1" applyAlignment="1">
      <alignment horizontal="right" vertical="center"/>
      <protection locked="0"/>
    </xf>
    <xf numFmtId="0" fontId="8" fillId="0" borderId="0" xfId="177" applyFont="1" applyAlignment="1">
      <alignment horizontal="left" vertical="center"/>
      <protection locked="0"/>
    </xf>
    <xf numFmtId="14" fontId="56" fillId="0" borderId="0" xfId="0" applyNumberFormat="1" applyFont="1">
      <alignment vertical="center"/>
    </xf>
    <xf numFmtId="0" fontId="56" fillId="0" borderId="0" xfId="0" applyFont="1" applyAlignment="1">
      <alignment horizontal="right" vertical="center"/>
    </xf>
    <xf numFmtId="0" fontId="133" fillId="0" borderId="0" xfId="0" applyFont="1">
      <alignment vertical="center"/>
    </xf>
    <xf numFmtId="0" fontId="56" fillId="0" borderId="0" xfId="0" applyFont="1" applyAlignment="1">
      <alignment horizontal="left" vertical="center"/>
    </xf>
    <xf numFmtId="0" fontId="63" fillId="0" borderId="0" xfId="172" applyFont="1">
      <alignment vertical="center"/>
    </xf>
    <xf numFmtId="14" fontId="63" fillId="0" borderId="0" xfId="172" applyNumberFormat="1" applyFont="1">
      <alignment vertical="center"/>
    </xf>
    <xf numFmtId="0" fontId="157" fillId="0" borderId="0" xfId="175" applyFont="1">
      <protection locked="0"/>
    </xf>
    <xf numFmtId="43" fontId="158" fillId="0" borderId="0" xfId="267" applyNumberFormat="1" applyFont="1" applyBorder="1" applyAlignment="1">
      <alignment vertical="center"/>
    </xf>
    <xf numFmtId="194" fontId="159" fillId="0" borderId="0" xfId="181" applyFont="1">
      <alignment vertical="center"/>
    </xf>
    <xf numFmtId="0" fontId="3" fillId="32" borderId="0" xfId="0" applyFont="1" applyFill="1" applyBorder="1" applyAlignment="1" applyProtection="1">
      <alignment horizontal="justify" vertical="center" wrapText="1"/>
      <protection locked="0"/>
    </xf>
    <xf numFmtId="0" fontId="155" fillId="0" borderId="0" xfId="0" applyFont="1" applyAlignment="1" applyProtection="1">
      <alignment horizontal="center" vertical="center"/>
      <protection locked="0"/>
    </xf>
    <xf numFmtId="194" fontId="29" fillId="0" borderId="0" xfId="305" applyFont="1" applyFill="1" applyAlignment="1">
      <alignment horizontal="left" vertical="center"/>
    </xf>
    <xf numFmtId="0" fontId="53" fillId="0" borderId="0" xfId="0" applyFont="1" applyAlignment="1">
      <alignment vertical="center"/>
    </xf>
    <xf numFmtId="43" fontId="51" fillId="31" borderId="33" xfId="1" applyFont="1" applyFill="1" applyBorder="1" applyAlignment="1">
      <alignment vertical="center"/>
    </xf>
    <xf numFmtId="0" fontId="52" fillId="31" borderId="33" xfId="0" applyFont="1" applyFill="1" applyBorder="1" applyAlignment="1">
      <alignment horizontal="center" vertical="center"/>
    </xf>
    <xf numFmtId="0" fontId="163" fillId="0" borderId="0" xfId="0" applyFont="1">
      <alignment vertical="center"/>
    </xf>
    <xf numFmtId="43" fontId="49" fillId="31" borderId="1" xfId="1" applyFont="1" applyFill="1" applyBorder="1">
      <alignment vertical="center"/>
    </xf>
    <xf numFmtId="0" fontId="49" fillId="31" borderId="1" xfId="0" applyFont="1" applyFill="1" applyBorder="1">
      <alignment vertical="center"/>
    </xf>
    <xf numFmtId="9" fontId="51" fillId="31" borderId="1" xfId="2" applyFont="1" applyFill="1" applyBorder="1">
      <alignment vertical="center"/>
    </xf>
    <xf numFmtId="0" fontId="49" fillId="31" borderId="0" xfId="0" applyFont="1" applyFill="1">
      <alignment vertical="center"/>
    </xf>
    <xf numFmtId="0" fontId="52" fillId="0" borderId="0" xfId="0" applyFont="1" applyAlignment="1">
      <alignment vertical="center"/>
    </xf>
    <xf numFmtId="0" fontId="4" fillId="0" borderId="0" xfId="306" applyFont="1" applyBorder="1" applyAlignment="1">
      <alignment vertical="center"/>
    </xf>
    <xf numFmtId="0" fontId="3" fillId="0" borderId="0" xfId="306" applyFont="1" applyBorder="1" applyAlignment="1" applyProtection="1">
      <alignment vertical="center"/>
      <protection locked="0"/>
    </xf>
    <xf numFmtId="0" fontId="8" fillId="0" borderId="0" xfId="306" applyFont="1" applyBorder="1" applyAlignment="1">
      <alignment vertical="center"/>
    </xf>
    <xf numFmtId="0" fontId="49" fillId="0" borderId="0" xfId="0" applyFont="1" applyBorder="1">
      <alignment vertical="center"/>
    </xf>
    <xf numFmtId="194" fontId="154" fillId="0" borderId="11" xfId="0" applyNumberFormat="1" applyFont="1" applyFill="1" applyBorder="1" applyAlignment="1" applyProtection="1">
      <alignment horizontal="left" vertical="center"/>
      <protection locked="0"/>
    </xf>
    <xf numFmtId="0" fontId="51" fillId="0" borderId="11" xfId="0" applyFont="1" applyBorder="1">
      <alignment vertical="center"/>
    </xf>
    <xf numFmtId="0" fontId="51" fillId="0" borderId="0" xfId="0" applyFont="1" applyBorder="1">
      <alignment vertical="center"/>
    </xf>
    <xf numFmtId="0" fontId="56" fillId="0" borderId="0" xfId="0" applyFont="1" applyBorder="1">
      <alignment vertical="center"/>
    </xf>
    <xf numFmtId="43" fontId="51" fillId="0" borderId="33" xfId="1" applyFont="1" applyBorder="1">
      <alignment vertical="center"/>
    </xf>
    <xf numFmtId="0" fontId="49" fillId="31" borderId="33" xfId="0" applyFont="1" applyFill="1" applyBorder="1">
      <alignment vertical="center"/>
    </xf>
    <xf numFmtId="43" fontId="49" fillId="31" borderId="33" xfId="1" applyFont="1" applyFill="1" applyBorder="1">
      <alignment vertical="center"/>
    </xf>
    <xf numFmtId="43" fontId="49" fillId="31" borderId="33" xfId="0" applyNumberFormat="1" applyFont="1" applyFill="1" applyBorder="1">
      <alignment vertical="center"/>
    </xf>
    <xf numFmtId="10" fontId="49" fillId="31" borderId="33" xfId="2" applyNumberFormat="1" applyFont="1" applyFill="1" applyBorder="1" applyAlignment="1">
      <alignment horizontal="right" vertical="center"/>
    </xf>
    <xf numFmtId="0" fontId="4" fillId="31" borderId="1" xfId="168" applyFont="1" applyFill="1" applyBorder="1" applyAlignment="1">
      <alignment horizontal="center" vertical="center" wrapText="1"/>
      <protection locked="0"/>
    </xf>
    <xf numFmtId="43" fontId="5" fillId="31" borderId="1" xfId="168" applyNumberFormat="1" applyFont="1" applyFill="1" applyBorder="1" applyAlignment="1">
      <alignment horizontal="justify" vertical="center" wrapText="1"/>
      <protection locked="0"/>
    </xf>
    <xf numFmtId="43" fontId="3" fillId="31" borderId="1" xfId="168" applyNumberFormat="1" applyFont="1" applyFill="1" applyBorder="1" applyAlignment="1">
      <alignment horizontal="justify" vertical="center" wrapText="1"/>
      <protection locked="0"/>
    </xf>
    <xf numFmtId="43" fontId="3" fillId="31" borderId="1" xfId="168" applyNumberFormat="1" applyFont="1" applyFill="1" applyBorder="1" applyAlignment="1">
      <alignment horizontal="center" vertical="center" wrapText="1"/>
      <protection locked="0"/>
    </xf>
    <xf numFmtId="0" fontId="3" fillId="31" borderId="1" xfId="168" applyFont="1" applyFill="1" applyBorder="1" applyAlignment="1">
      <alignment horizontal="justify" vertical="center" wrapText="1"/>
      <protection locked="0"/>
    </xf>
    <xf numFmtId="0" fontId="3" fillId="31" borderId="0" xfId="168" applyFont="1" applyFill="1" applyAlignment="1">
      <alignment vertical="center"/>
      <protection locked="0"/>
    </xf>
    <xf numFmtId="10" fontId="3" fillId="31" borderId="1" xfId="153" applyNumberFormat="1" applyFont="1" applyFill="1" applyBorder="1" applyAlignment="1" applyProtection="1">
      <alignment horizontal="center" vertical="center"/>
      <protection locked="0"/>
    </xf>
    <xf numFmtId="0" fontId="51" fillId="0" borderId="20" xfId="0" applyFont="1" applyBorder="1" applyAlignment="1">
      <alignment horizontal="center" vertical="center"/>
    </xf>
    <xf numFmtId="0" fontId="62" fillId="0" borderId="20" xfId="3" applyFont="1" applyBorder="1" applyAlignment="1" applyProtection="1">
      <alignment vertical="center"/>
    </xf>
    <xf numFmtId="0" fontId="51" fillId="0" borderId="20" xfId="0" applyFont="1" applyBorder="1">
      <alignment vertical="center"/>
    </xf>
    <xf numFmtId="0" fontId="51" fillId="0" borderId="0" xfId="0" applyFont="1" applyBorder="1" applyAlignment="1">
      <alignment horizontal="center" vertical="center"/>
    </xf>
    <xf numFmtId="0" fontId="62" fillId="0" borderId="0" xfId="3" applyFont="1" applyBorder="1" applyAlignment="1" applyProtection="1">
      <alignment vertical="center"/>
    </xf>
    <xf numFmtId="0" fontId="62" fillId="0" borderId="0" xfId="3" quotePrefix="1" applyFont="1" applyBorder="1" applyAlignment="1" applyProtection="1">
      <alignment vertical="center"/>
    </xf>
    <xf numFmtId="0" fontId="165" fillId="0" borderId="0" xfId="3" applyFont="1" applyAlignment="1" applyProtection="1">
      <alignment vertical="center"/>
    </xf>
    <xf numFmtId="0" fontId="50" fillId="0" borderId="0" xfId="0" applyFont="1" applyAlignment="1">
      <alignment horizontal="center" vertical="center"/>
    </xf>
    <xf numFmtId="0" fontId="7" fillId="0" borderId="0" xfId="0" applyFont="1" applyAlignment="1" applyProtection="1">
      <alignment horizontal="left" vertical="center" wrapText="1"/>
      <protection locked="0"/>
    </xf>
    <xf numFmtId="0" fontId="2" fillId="0" borderId="0" xfId="0" applyFont="1" applyAlignment="1" applyProtection="1">
      <alignment horizontal="left" vertical="center" wrapText="1"/>
      <protection locked="0"/>
    </xf>
    <xf numFmtId="0" fontId="4" fillId="0" borderId="11" xfId="261" applyFont="1" applyFill="1" applyBorder="1" applyAlignment="1" applyProtection="1">
      <alignment horizontal="left" vertical="center" wrapText="1"/>
      <protection locked="0"/>
    </xf>
    <xf numFmtId="0" fontId="10" fillId="0" borderId="33" xfId="0" applyNumberFormat="1" applyFont="1" applyFill="1" applyBorder="1" applyAlignment="1" applyProtection="1">
      <alignment horizontal="left" vertical="center" wrapText="1"/>
      <protection locked="0"/>
    </xf>
    <xf numFmtId="194" fontId="6" fillId="0" borderId="0" xfId="187" applyFont="1" applyAlignment="1">
      <alignment horizontal="center" vertical="center"/>
    </xf>
    <xf numFmtId="194" fontId="155" fillId="0" borderId="0" xfId="187" applyFont="1" applyAlignment="1">
      <alignment horizontal="center" vertical="center"/>
    </xf>
    <xf numFmtId="0" fontId="4" fillId="5" borderId="2" xfId="0" applyNumberFormat="1" applyFont="1" applyFill="1" applyBorder="1" applyAlignment="1" applyProtection="1">
      <alignment horizontal="center" vertical="center"/>
      <protection locked="0"/>
    </xf>
    <xf numFmtId="0" fontId="4" fillId="5" borderId="13" xfId="0" applyNumberFormat="1" applyFont="1" applyFill="1" applyBorder="1" applyAlignment="1" applyProtection="1">
      <alignment horizontal="center" vertical="center"/>
      <protection locked="0"/>
    </xf>
    <xf numFmtId="0" fontId="4" fillId="5" borderId="3" xfId="0" applyNumberFormat="1" applyFont="1" applyFill="1" applyBorder="1" applyAlignment="1" applyProtection="1">
      <alignment horizontal="center" vertical="center"/>
      <protection locked="0"/>
    </xf>
    <xf numFmtId="0" fontId="8" fillId="0" borderId="33" xfId="0" applyNumberFormat="1" applyFont="1" applyFill="1" applyBorder="1" applyAlignment="1" applyProtection="1">
      <alignment horizontal="center" vertical="center" wrapText="1"/>
      <protection locked="0"/>
    </xf>
    <xf numFmtId="0" fontId="4" fillId="31" borderId="33" xfId="0" applyNumberFormat="1" applyFont="1" applyFill="1" applyBorder="1" applyAlignment="1" applyProtection="1">
      <alignment horizontal="center" vertical="center" wrapText="1"/>
      <protection locked="0"/>
    </xf>
    <xf numFmtId="0" fontId="73" fillId="31" borderId="33" xfId="0" applyNumberFormat="1" applyFont="1" applyFill="1" applyBorder="1" applyAlignment="1" applyProtection="1">
      <alignment horizontal="center" vertical="center" wrapText="1"/>
      <protection locked="0"/>
    </xf>
    <xf numFmtId="0" fontId="75" fillId="6" borderId="0" xfId="0" applyNumberFormat="1" applyFont="1" applyFill="1" applyBorder="1" applyAlignment="1" applyProtection="1">
      <alignment horizontal="left" vertical="center" wrapText="1"/>
      <protection locked="0"/>
    </xf>
    <xf numFmtId="0" fontId="41" fillId="6" borderId="0" xfId="0" applyNumberFormat="1" applyFont="1" applyFill="1" applyBorder="1" applyAlignment="1" applyProtection="1">
      <alignment horizontal="left" vertical="center" wrapText="1"/>
      <protection locked="0"/>
    </xf>
    <xf numFmtId="49" fontId="4" fillId="5" borderId="7" xfId="0" applyNumberFormat="1" applyFont="1" applyFill="1" applyBorder="1" applyAlignment="1" applyProtection="1">
      <alignment horizontal="center" vertical="center"/>
      <protection locked="0"/>
    </xf>
    <xf numFmtId="49" fontId="4" fillId="5" borderId="8" xfId="0" applyNumberFormat="1" applyFont="1" applyFill="1" applyBorder="1" applyAlignment="1" applyProtection="1">
      <alignment horizontal="center" vertical="center"/>
      <protection locked="0"/>
    </xf>
    <xf numFmtId="0" fontId="4" fillId="31" borderId="33" xfId="261" applyFont="1" applyFill="1" applyBorder="1" applyAlignment="1" applyProtection="1">
      <alignment horizontal="center" vertical="center" wrapText="1"/>
      <protection locked="0"/>
    </xf>
    <xf numFmtId="0" fontId="4" fillId="5" borderId="7" xfId="0" applyNumberFormat="1" applyFont="1" applyFill="1" applyBorder="1" applyAlignment="1" applyProtection="1">
      <alignment horizontal="center" vertical="center" wrapText="1"/>
      <protection locked="0"/>
    </xf>
    <xf numFmtId="0" fontId="4" fillId="5" borderId="8" xfId="0" applyNumberFormat="1" applyFont="1" applyFill="1" applyBorder="1" applyAlignment="1" applyProtection="1">
      <alignment horizontal="center" vertical="center" wrapText="1"/>
      <protection locked="0"/>
    </xf>
    <xf numFmtId="0" fontId="53" fillId="0" borderId="0" xfId="0" applyFont="1" applyAlignment="1">
      <alignment horizontal="center" vertical="center"/>
    </xf>
    <xf numFmtId="0" fontId="162" fillId="0" borderId="0" xfId="0" applyFont="1" applyAlignment="1">
      <alignment horizontal="center" vertical="center"/>
    </xf>
    <xf numFmtId="0" fontId="52" fillId="2" borderId="1" xfId="0" applyFont="1" applyFill="1" applyBorder="1" applyAlignment="1">
      <alignment horizontal="center" vertical="center"/>
    </xf>
    <xf numFmtId="43" fontId="52" fillId="2" borderId="1" xfId="1" applyFont="1" applyFill="1" applyBorder="1" applyAlignment="1">
      <alignment horizontal="center" vertical="center"/>
    </xf>
    <xf numFmtId="0" fontId="66" fillId="0" borderId="0" xfId="0" applyFont="1" applyAlignment="1">
      <alignment horizontal="left" vertical="center" wrapText="1"/>
    </xf>
    <xf numFmtId="43" fontId="64" fillId="0" borderId="18" xfId="1" applyFont="1" applyBorder="1" applyAlignment="1">
      <alignment horizontal="justify" vertical="center" wrapText="1"/>
    </xf>
    <xf numFmtId="43" fontId="64" fillId="0" borderId="19" xfId="1" applyFont="1" applyBorder="1" applyAlignment="1">
      <alignment horizontal="justify" vertical="center" wrapText="1"/>
    </xf>
    <xf numFmtId="43" fontId="64" fillId="0" borderId="18" xfId="1" applyFont="1" applyBorder="1" applyAlignment="1">
      <alignment horizontal="left" vertical="center" wrapText="1"/>
    </xf>
    <xf numFmtId="43" fontId="64" fillId="0" borderId="19" xfId="1" applyFont="1" applyBorder="1" applyAlignment="1">
      <alignment horizontal="left" vertical="center" wrapText="1"/>
    </xf>
    <xf numFmtId="0" fontId="64" fillId="0" borderId="18" xfId="0" applyFont="1" applyBorder="1" applyAlignment="1">
      <alignment horizontal="center" vertical="center" wrapText="1"/>
    </xf>
    <xf numFmtId="0" fontId="64" fillId="0" borderId="19" xfId="0" applyFont="1" applyBorder="1" applyAlignment="1">
      <alignment horizontal="center" vertical="center" wrapText="1"/>
    </xf>
    <xf numFmtId="0" fontId="66" fillId="4" borderId="0" xfId="0" applyFont="1" applyFill="1" applyAlignment="1">
      <alignment horizontal="left" vertical="center" wrapText="1"/>
    </xf>
    <xf numFmtId="0" fontId="49" fillId="0" borderId="0" xfId="0" applyFont="1" applyAlignment="1">
      <alignment horizontal="center" vertical="center"/>
    </xf>
    <xf numFmtId="0" fontId="66" fillId="0" borderId="18" xfId="0" applyFont="1" applyBorder="1" applyAlignment="1">
      <alignment horizontal="left" vertical="center"/>
    </xf>
    <xf numFmtId="0" fontId="49" fillId="0" borderId="0" xfId="0" applyFont="1">
      <alignment vertical="center"/>
    </xf>
    <xf numFmtId="0" fontId="50" fillId="0" borderId="0" xfId="0" applyFont="1">
      <alignment vertical="center"/>
    </xf>
    <xf numFmtId="0" fontId="63" fillId="0" borderId="18" xfId="0" applyFont="1" applyBorder="1" applyAlignment="1">
      <alignment horizontal="left" vertical="center"/>
    </xf>
    <xf numFmtId="0" fontId="63" fillId="0" borderId="0" xfId="0" applyFont="1" applyAlignment="1">
      <alignment horizontal="left" vertical="center"/>
    </xf>
    <xf numFmtId="0" fontId="51" fillId="0" borderId="2" xfId="0" applyFont="1" applyBorder="1" applyAlignment="1">
      <alignment horizontal="center" vertical="center"/>
    </xf>
    <xf numFmtId="0" fontId="51" fillId="0" borderId="3" xfId="0" applyFont="1" applyBorder="1" applyAlignment="1">
      <alignment horizontal="center" vertical="center"/>
    </xf>
    <xf numFmtId="0" fontId="52" fillId="31" borderId="2" xfId="0" applyFont="1" applyFill="1" applyBorder="1" applyAlignment="1">
      <alignment horizontal="center" vertical="center"/>
    </xf>
    <xf numFmtId="0" fontId="49" fillId="31" borderId="3" xfId="0" applyFont="1" applyFill="1" applyBorder="1" applyAlignment="1">
      <alignment horizontal="center" vertical="center"/>
    </xf>
    <xf numFmtId="194" fontId="52" fillId="2" borderId="1" xfId="181" applyFont="1" applyFill="1" applyBorder="1" applyAlignment="1" applyProtection="1">
      <alignment horizontal="center" vertical="center"/>
      <protection locked="0"/>
    </xf>
    <xf numFmtId="194" fontId="49" fillId="2" borderId="1" xfId="181" applyFont="1" applyFill="1" applyBorder="1" applyAlignment="1" applyProtection="1">
      <alignment horizontal="center" vertical="center"/>
      <protection locked="0"/>
    </xf>
    <xf numFmtId="0" fontId="52" fillId="2" borderId="1" xfId="168" applyFont="1" applyFill="1" applyBorder="1" applyAlignment="1" applyProtection="1">
      <alignment horizontal="center" vertical="center"/>
    </xf>
    <xf numFmtId="0" fontId="56" fillId="0" borderId="2" xfId="0" applyFont="1" applyBorder="1" applyAlignment="1">
      <alignment horizontal="center" vertical="center"/>
    </xf>
    <xf numFmtId="0" fontId="49" fillId="2" borderId="1" xfId="0" applyFont="1" applyFill="1" applyBorder="1" applyAlignment="1">
      <alignment horizontal="center" vertical="center" wrapText="1"/>
    </xf>
    <xf numFmtId="0" fontId="49" fillId="2" borderId="1" xfId="0" applyFont="1" applyFill="1" applyBorder="1" applyAlignment="1">
      <alignment horizontal="center" vertical="center"/>
    </xf>
    <xf numFmtId="0" fontId="163" fillId="0" borderId="0" xfId="0" applyFont="1" applyAlignment="1">
      <alignment horizontal="center" vertical="center"/>
    </xf>
    <xf numFmtId="0" fontId="52" fillId="2" borderId="1" xfId="0" applyFont="1" applyFill="1" applyBorder="1" applyAlignment="1">
      <alignment horizontal="center" vertical="center" wrapText="1"/>
    </xf>
    <xf numFmtId="0" fontId="52" fillId="2" borderId="33" xfId="0" applyFont="1" applyFill="1" applyBorder="1" applyAlignment="1">
      <alignment horizontal="center" vertical="center" wrapText="1"/>
    </xf>
    <xf numFmtId="43" fontId="6" fillId="0" borderId="0" xfId="267" applyNumberFormat="1" applyFont="1" applyBorder="1" applyAlignment="1">
      <alignment horizontal="center" vertical="center"/>
    </xf>
    <xf numFmtId="43" fontId="155" fillId="0" borderId="0" xfId="267" applyNumberFormat="1" applyFont="1" applyBorder="1" applyAlignment="1">
      <alignment horizontal="center" vertical="center"/>
    </xf>
    <xf numFmtId="0" fontId="59" fillId="0" borderId="0" xfId="175" applyFont="1" applyAlignment="1">
      <alignment horizontal="left" vertical="center" wrapText="1"/>
      <protection locked="0"/>
    </xf>
    <xf numFmtId="0" fontId="2" fillId="0" borderId="0" xfId="175" applyFont="1" applyAlignment="1">
      <alignment horizontal="left" vertical="center" wrapText="1"/>
      <protection locked="0"/>
    </xf>
    <xf numFmtId="0" fontId="49" fillId="31" borderId="1" xfId="0" applyFont="1" applyFill="1" applyBorder="1" applyAlignment="1">
      <alignment horizontal="center" vertical="center"/>
    </xf>
    <xf numFmtId="0" fontId="57" fillId="0" borderId="2" xfId="0" applyFont="1" applyBorder="1" applyAlignment="1">
      <alignment horizontal="left" vertical="center"/>
    </xf>
    <xf numFmtId="0" fontId="57" fillId="0" borderId="3" xfId="0" applyFont="1" applyBorder="1" applyAlignment="1">
      <alignment horizontal="left" vertical="center"/>
    </xf>
    <xf numFmtId="0" fontId="49" fillId="2" borderId="7" xfId="0" applyFont="1" applyFill="1" applyBorder="1" applyAlignment="1">
      <alignment horizontal="center" vertical="center" wrapText="1"/>
    </xf>
    <xf numFmtId="0" fontId="49" fillId="2" borderId="8" xfId="0" applyFont="1" applyFill="1" applyBorder="1" applyAlignment="1">
      <alignment horizontal="center" vertical="center" wrapText="1"/>
    </xf>
    <xf numFmtId="194" fontId="151" fillId="5" borderId="33" xfId="0" applyNumberFormat="1" applyFont="1" applyFill="1" applyBorder="1" applyAlignment="1" applyProtection="1">
      <alignment horizontal="center" vertical="center"/>
      <protection locked="0"/>
    </xf>
    <xf numFmtId="194" fontId="4" fillId="5" borderId="33" xfId="0" applyNumberFormat="1" applyFont="1" applyFill="1" applyBorder="1" applyAlignment="1" applyProtection="1">
      <alignment horizontal="center" vertical="center" wrapText="1"/>
    </xf>
    <xf numFmtId="194" fontId="8" fillId="0" borderId="33" xfId="0" applyNumberFormat="1" applyFont="1" applyFill="1" applyBorder="1" applyAlignment="1" applyProtection="1">
      <alignment horizontal="center"/>
      <protection locked="0"/>
    </xf>
    <xf numFmtId="194" fontId="4" fillId="5" borderId="33" xfId="0" applyNumberFormat="1" applyFont="1" applyFill="1" applyBorder="1" applyAlignment="1" applyProtection="1">
      <alignment horizontal="center" vertical="center"/>
      <protection locked="0"/>
    </xf>
    <xf numFmtId="14" fontId="4" fillId="31" borderId="33" xfId="172" applyNumberFormat="1" applyFont="1" applyFill="1" applyBorder="1" applyAlignment="1" applyProtection="1">
      <alignment horizontal="center" vertical="center"/>
      <protection locked="0"/>
    </xf>
    <xf numFmtId="194" fontId="4" fillId="5" borderId="33" xfId="0" applyNumberFormat="1" applyFont="1" applyFill="1" applyBorder="1" applyAlignment="1" applyProtection="1">
      <alignment horizontal="center" vertical="center" wrapText="1"/>
      <protection locked="0"/>
    </xf>
    <xf numFmtId="0" fontId="6" fillId="0" borderId="0" xfId="265" applyFont="1" applyAlignment="1">
      <alignment horizontal="center" vertical="center"/>
    </xf>
    <xf numFmtId="0" fontId="155" fillId="0" borderId="0" xfId="265" applyFont="1" applyAlignment="1">
      <alignment horizontal="center" vertical="center"/>
    </xf>
    <xf numFmtId="0" fontId="5" fillId="2" borderId="2" xfId="177" applyFont="1" applyFill="1" applyBorder="1" applyAlignment="1">
      <alignment horizontal="center" vertical="center" wrapText="1"/>
      <protection locked="0"/>
    </xf>
    <xf numFmtId="0" fontId="5" fillId="2" borderId="13" xfId="177" applyFont="1" applyFill="1" applyBorder="1" applyAlignment="1">
      <alignment horizontal="center" vertical="center" wrapText="1"/>
      <protection locked="0"/>
    </xf>
    <xf numFmtId="0" fontId="5" fillId="2" borderId="3" xfId="177" applyFont="1" applyFill="1" applyBorder="1" applyAlignment="1">
      <alignment horizontal="center" vertical="center" wrapText="1"/>
      <protection locked="0"/>
    </xf>
    <xf numFmtId="0" fontId="5" fillId="2" borderId="1" xfId="177" applyFont="1" applyFill="1" applyBorder="1" applyAlignment="1">
      <alignment horizontal="center" vertical="center" wrapText="1"/>
      <protection locked="0"/>
    </xf>
    <xf numFmtId="0" fontId="5" fillId="2" borderId="7" xfId="177" applyFont="1" applyFill="1" applyBorder="1" applyAlignment="1">
      <alignment horizontal="center" vertical="center" wrapText="1"/>
      <protection locked="0"/>
    </xf>
    <xf numFmtId="0" fontId="5" fillId="2" borderId="8" xfId="177" applyFont="1" applyFill="1" applyBorder="1" applyAlignment="1">
      <alignment horizontal="center" vertical="center" wrapText="1"/>
      <protection locked="0"/>
    </xf>
    <xf numFmtId="0" fontId="5" fillId="2" borderId="9" xfId="177" applyFont="1" applyFill="1" applyBorder="1" applyAlignment="1">
      <alignment horizontal="center" vertical="center" wrapText="1"/>
      <protection locked="0"/>
    </xf>
    <xf numFmtId="0" fontId="5" fillId="2" borderId="6" xfId="177" applyFont="1" applyFill="1" applyBorder="1" applyAlignment="1">
      <alignment horizontal="center" vertical="center" wrapText="1"/>
      <protection locked="0"/>
    </xf>
    <xf numFmtId="0" fontId="5" fillId="2" borderId="10" xfId="177" applyFont="1" applyFill="1" applyBorder="1" applyAlignment="1">
      <alignment horizontal="center" vertical="center" wrapText="1"/>
      <protection locked="0"/>
    </xf>
    <xf numFmtId="0" fontId="5" fillId="2" borderId="11" xfId="177" applyFont="1" applyFill="1" applyBorder="1" applyAlignment="1">
      <alignment horizontal="center" vertical="center" wrapText="1"/>
      <protection locked="0"/>
    </xf>
    <xf numFmtId="0" fontId="5" fillId="2" borderId="12" xfId="177" applyFont="1" applyFill="1" applyBorder="1" applyAlignment="1">
      <alignment horizontal="center" vertical="center" wrapText="1"/>
      <protection locked="0"/>
    </xf>
    <xf numFmtId="43" fontId="5" fillId="0" borderId="7" xfId="177" applyNumberFormat="1" applyFont="1" applyBorder="1" applyAlignment="1">
      <alignment horizontal="center" vertical="center" wrapText="1"/>
      <protection locked="0"/>
    </xf>
    <xf numFmtId="43" fontId="5" fillId="0" borderId="9" xfId="177" applyNumberFormat="1" applyFont="1" applyBorder="1" applyAlignment="1">
      <alignment horizontal="center" vertical="center" wrapText="1"/>
      <protection locked="0"/>
    </xf>
    <xf numFmtId="43" fontId="5" fillId="0" borderId="8" xfId="177" applyNumberFormat="1" applyFont="1" applyBorder="1" applyAlignment="1">
      <alignment horizontal="center" vertical="center" wrapText="1"/>
      <protection locked="0"/>
    </xf>
    <xf numFmtId="0" fontId="3" fillId="0" borderId="7" xfId="177" applyFont="1" applyBorder="1" applyAlignment="1">
      <alignment horizontal="center" vertical="center" wrapText="1"/>
      <protection locked="0"/>
    </xf>
    <xf numFmtId="0" fontId="3" fillId="0" borderId="9" xfId="177" applyFont="1" applyBorder="1" applyAlignment="1">
      <alignment horizontal="center" vertical="center" wrapText="1"/>
      <protection locked="0"/>
    </xf>
    <xf numFmtId="43" fontId="5" fillId="0" borderId="1" xfId="177" applyNumberFormat="1" applyFont="1" applyBorder="1" applyAlignment="1">
      <alignment horizontal="center" vertical="center" wrapText="1"/>
      <protection locked="0"/>
    </xf>
    <xf numFmtId="0" fontId="3" fillId="0" borderId="1" xfId="177" applyFont="1" applyBorder="1" applyAlignment="1">
      <alignment horizontal="center" vertical="center" wrapText="1"/>
      <protection locked="0"/>
    </xf>
    <xf numFmtId="0" fontId="3" fillId="2" borderId="7" xfId="177" applyFont="1" applyFill="1" applyBorder="1" applyAlignment="1">
      <alignment horizontal="center" vertical="center" wrapText="1"/>
      <protection locked="0"/>
    </xf>
    <xf numFmtId="0" fontId="3" fillId="2" borderId="8" xfId="177" applyFont="1" applyFill="1" applyBorder="1" applyAlignment="1">
      <alignment horizontal="center" vertical="center" wrapText="1"/>
      <protection locked="0"/>
    </xf>
    <xf numFmtId="0" fontId="3" fillId="2" borderId="9" xfId="177" applyFont="1" applyFill="1" applyBorder="1" applyAlignment="1">
      <alignment horizontal="center" vertical="center" wrapText="1"/>
      <protection locked="0"/>
    </xf>
    <xf numFmtId="0" fontId="3" fillId="2" borderId="1" xfId="177" applyFont="1" applyFill="1" applyBorder="1" applyAlignment="1">
      <alignment horizontal="center" vertical="center" wrapText="1"/>
      <protection locked="0"/>
    </xf>
    <xf numFmtId="0" fontId="5" fillId="2" borderId="2" xfId="177" applyFont="1" applyFill="1" applyBorder="1" applyAlignment="1">
      <alignment horizontal="center" vertical="center"/>
      <protection locked="0"/>
    </xf>
    <xf numFmtId="0" fontId="5" fillId="2" borderId="3" xfId="177" applyFont="1" applyFill="1" applyBorder="1" applyAlignment="1">
      <alignment horizontal="center" vertical="center"/>
      <protection locked="0"/>
    </xf>
    <xf numFmtId="0" fontId="5" fillId="2" borderId="1" xfId="177" applyFont="1" applyFill="1" applyBorder="1" applyAlignment="1">
      <alignment horizontal="center" vertical="center"/>
      <protection locked="0"/>
    </xf>
    <xf numFmtId="0" fontId="3" fillId="0" borderId="0" xfId="177" applyFont="1" applyAlignment="1">
      <alignment vertical="center" wrapText="1"/>
      <protection locked="0"/>
    </xf>
    <xf numFmtId="0" fontId="30" fillId="0" borderId="0" xfId="172" applyAlignment="1">
      <alignment vertical="center" wrapText="1"/>
    </xf>
    <xf numFmtId="0" fontId="4" fillId="0" borderId="0" xfId="177" applyFont="1" applyAlignment="1">
      <alignment vertical="center"/>
      <protection locked="0"/>
    </xf>
    <xf numFmtId="0" fontId="30" fillId="0" borderId="0" xfId="172">
      <alignment vertical="center"/>
    </xf>
    <xf numFmtId="0" fontId="35" fillId="0" borderId="0" xfId="177" applyFont="1" applyAlignment="1">
      <alignment vertical="center" wrapText="1"/>
      <protection locked="0"/>
    </xf>
    <xf numFmtId="0" fontId="36" fillId="0" borderId="0" xfId="172" applyFont="1" applyAlignment="1">
      <alignment vertical="center" wrapText="1"/>
    </xf>
    <xf numFmtId="0" fontId="36" fillId="0" borderId="0" xfId="0" applyFont="1" applyAlignment="1">
      <alignment vertical="center" wrapText="1"/>
    </xf>
    <xf numFmtId="0" fontId="31" fillId="0" borderId="0" xfId="177" applyFont="1" applyAlignment="1">
      <alignment vertical="center" wrapText="1"/>
      <protection locked="0"/>
    </xf>
    <xf numFmtId="0" fontId="32" fillId="0" borderId="0" xfId="172" applyFont="1" applyAlignment="1">
      <alignment vertical="center" wrapText="1"/>
    </xf>
    <xf numFmtId="0" fontId="8" fillId="0" borderId="0" xfId="177" applyFont="1" applyAlignment="1">
      <alignment vertical="center" wrapText="1"/>
      <protection locked="0"/>
    </xf>
    <xf numFmtId="0" fontId="38" fillId="0" borderId="0" xfId="172" applyFont="1" applyAlignment="1">
      <alignment vertical="center" wrapText="1"/>
    </xf>
    <xf numFmtId="0" fontId="4" fillId="0" borderId="0" xfId="177" applyFont="1" applyAlignment="1">
      <alignment vertical="center" wrapText="1"/>
      <protection locked="0"/>
    </xf>
    <xf numFmtId="0" fontId="37" fillId="0" borderId="0" xfId="177" applyFont="1" applyAlignment="1">
      <alignment vertical="center" wrapText="1"/>
      <protection locked="0"/>
    </xf>
    <xf numFmtId="0" fontId="39" fillId="0" borderId="0" xfId="177" applyFont="1" applyAlignment="1">
      <alignment vertical="center" wrapText="1"/>
      <protection locked="0"/>
    </xf>
    <xf numFmtId="0" fontId="40" fillId="0" borderId="0" xfId="172" applyFont="1" applyAlignment="1">
      <alignment vertical="center" wrapText="1"/>
    </xf>
    <xf numFmtId="0" fontId="5" fillId="0" borderId="0" xfId="177" applyFont="1" applyAlignment="1">
      <alignment vertical="center" wrapText="1"/>
      <protection locked="0"/>
    </xf>
    <xf numFmtId="0" fontId="5" fillId="0" borderId="0" xfId="177" applyFont="1" applyAlignment="1">
      <alignment vertical="center"/>
      <protection locked="0"/>
    </xf>
    <xf numFmtId="0" fontId="5" fillId="0" borderId="0" xfId="265" applyFont="1" applyAlignment="1">
      <alignment horizontal="center" vertical="center"/>
    </xf>
    <xf numFmtId="0" fontId="7" fillId="0" borderId="0" xfId="265" applyFont="1" applyAlignment="1">
      <alignment horizontal="center" vertical="center"/>
    </xf>
    <xf numFmtId="0" fontId="29" fillId="0" borderId="0" xfId="177" applyFont="1" applyAlignment="1">
      <alignment vertical="center" wrapText="1"/>
      <protection locked="0"/>
    </xf>
    <xf numFmtId="0" fontId="33" fillId="0" borderId="0" xfId="172" applyFont="1" applyAlignment="1">
      <alignment vertical="center" wrapText="1"/>
    </xf>
    <xf numFmtId="0" fontId="34" fillId="0" borderId="0" xfId="177" applyFont="1" applyAlignment="1">
      <alignment vertical="center" wrapText="1"/>
      <protection locked="0"/>
    </xf>
    <xf numFmtId="0" fontId="4" fillId="2" borderId="1" xfId="168" applyFont="1" applyFill="1" applyBorder="1" applyAlignment="1">
      <alignment horizontal="center" vertical="center" wrapText="1"/>
      <protection locked="0"/>
    </xf>
    <xf numFmtId="43" fontId="5" fillId="0" borderId="1" xfId="168" applyNumberFormat="1" applyFont="1" applyBorder="1" applyAlignment="1">
      <alignment horizontal="justify" vertical="center" wrapText="1"/>
      <protection locked="0"/>
    </xf>
    <xf numFmtId="0" fontId="8" fillId="2" borderId="1" xfId="168" applyFont="1" applyFill="1" applyBorder="1" applyAlignment="1">
      <alignment horizontal="center" vertical="center" wrapText="1"/>
      <protection locked="0"/>
    </xf>
    <xf numFmtId="0" fontId="8" fillId="0" borderId="1" xfId="168" applyFont="1" applyBorder="1" applyAlignment="1">
      <alignment horizontal="center" vertical="center" wrapText="1"/>
      <protection locked="0"/>
    </xf>
    <xf numFmtId="0" fontId="4" fillId="0" borderId="0" xfId="264" applyFont="1" applyAlignment="1">
      <alignment horizontal="center" vertical="center"/>
    </xf>
    <xf numFmtId="0" fontId="5" fillId="0" borderId="0" xfId="264" applyFont="1" applyAlignment="1">
      <alignment horizontal="center" vertical="center"/>
    </xf>
    <xf numFmtId="0" fontId="6" fillId="0" borderId="0" xfId="264" applyFont="1" applyAlignment="1">
      <alignment horizontal="center" vertical="center"/>
    </xf>
    <xf numFmtId="0" fontId="7" fillId="0" borderId="0" xfId="264" applyFont="1" applyAlignment="1">
      <alignment horizontal="center" vertical="center"/>
    </xf>
    <xf numFmtId="0" fontId="4" fillId="2" borderId="1" xfId="168" applyFont="1" applyFill="1" applyBorder="1" applyAlignment="1">
      <alignment horizontal="center" vertical="center"/>
      <protection locked="0"/>
    </xf>
    <xf numFmtId="0" fontId="5" fillId="2" borderId="1" xfId="168" applyFont="1" applyFill="1" applyBorder="1" applyAlignment="1">
      <alignment horizontal="center" vertical="center" wrapText="1"/>
      <protection locked="0"/>
    </xf>
  </cellXfs>
  <cellStyles count="307">
    <cellStyle name="?" xfId="4"/>
    <cellStyle name="?餡_x000c_k" xfId="5"/>
    <cellStyle name="?餡_x000c_k?_x000d_^" xfId="6"/>
    <cellStyle name="?餡_x000c_k?_x000d_^黇_x0001_??_x0007__x0001__x0001_" xfId="7"/>
    <cellStyle name="@_text" xfId="8"/>
    <cellStyle name="_2005审计报表及附注-中国建材股份模板（房屋）" xfId="9"/>
    <cellStyle name="_2006年年报审计PBC表-XXX" xfId="10"/>
    <cellStyle name="_2006年年报审计填报资料" xfId="11"/>
    <cellStyle name="_PBC审核提示" xfId="12"/>
    <cellStyle name="_宝丽华房地产20051231" xfId="13"/>
    <cellStyle name="_保证金-企业填写部分" xfId="14"/>
    <cellStyle name="_北新房屋2004年审-刘" xfId="15"/>
    <cellStyle name="_北新股份2005年审工作底稿" xfId="16"/>
    <cellStyle name="_北新建材关连交易基础表051230（10－12月版）更新稿" xfId="17"/>
    <cellStyle name="_北新建材-会计报表附注模版" xfId="18"/>
    <cellStyle name="_北新龙之星2004年审工作底稿" xfId="19"/>
    <cellStyle name="_北新物流2005底稿-刘" xfId="20"/>
    <cellStyle name="_北新置换memo" xfId="21"/>
    <cellStyle name="_存货结转测试" xfId="22"/>
    <cellStyle name="_存货数量与明细05.12" xfId="23"/>
    <cellStyle name="_动力厂2004年审工作底稿-刘" xfId="24"/>
    <cellStyle name="_分工" xfId="25"/>
    <cellStyle name="_工程施工项目现场审计提示" xfId="26"/>
    <cellStyle name="_关联交易" xfId="27"/>
    <cellStyle name="_关联交易、往来统计表" xfId="28"/>
    <cellStyle name="_科目核对表" xfId="29"/>
    <cellStyle name="_母PL" xfId="30"/>
    <cellStyle name="_人员分工备忘录" xfId="31"/>
    <cellStyle name="_审计所需资料清单－子公司" xfId="32"/>
    <cellStyle name="_长期借款－江阴" xfId="33"/>
    <cellStyle name="{Comma [0]}" xfId="34"/>
    <cellStyle name="{Comma}" xfId="35"/>
    <cellStyle name="{Date}" xfId="36"/>
    <cellStyle name="{Month}" xfId="37"/>
    <cellStyle name="{Percent}" xfId="38"/>
    <cellStyle name="{Thousand [0]}" xfId="39"/>
    <cellStyle name="{Thousand}" xfId="40"/>
    <cellStyle name="{Z'0000(1 dec)}" xfId="41"/>
    <cellStyle name="{Z'0000(4 dec)}" xfId="42"/>
    <cellStyle name="0%" xfId="43"/>
    <cellStyle name="0.0%" xfId="44"/>
    <cellStyle name="0.00%" xfId="45"/>
    <cellStyle name="20% - Accent1" xfId="46"/>
    <cellStyle name="20% - Accent2" xfId="47"/>
    <cellStyle name="20% - Accent3" xfId="48"/>
    <cellStyle name="20% - Accent4" xfId="49"/>
    <cellStyle name="20% - Accent5" xfId="50"/>
    <cellStyle name="20% - Accent6" xfId="51"/>
    <cellStyle name="40% - Accent1" xfId="52"/>
    <cellStyle name="40% - Accent2" xfId="53"/>
    <cellStyle name="40% - Accent3" xfId="54"/>
    <cellStyle name="40% - Accent4" xfId="55"/>
    <cellStyle name="40% - Accent5" xfId="56"/>
    <cellStyle name="40% - Accent6" xfId="57"/>
    <cellStyle name="60% - Accent1" xfId="58"/>
    <cellStyle name="60% - Accent2" xfId="59"/>
    <cellStyle name="60% - Accent3" xfId="60"/>
    <cellStyle name="60% - Accent4" xfId="61"/>
    <cellStyle name="60% - Accent5" xfId="62"/>
    <cellStyle name="60% - Accent6" xfId="63"/>
    <cellStyle name="Accent1" xfId="64"/>
    <cellStyle name="Accent2" xfId="65"/>
    <cellStyle name="Accent3" xfId="66"/>
    <cellStyle name="Accent4" xfId="67"/>
    <cellStyle name="Accent5" xfId="68"/>
    <cellStyle name="Accent6" xfId="69"/>
    <cellStyle name="Bad" xfId="70"/>
    <cellStyle name="Black" xfId="71"/>
    <cellStyle name="Border" xfId="72"/>
    <cellStyle name="Calc Currency (0)" xfId="73"/>
    <cellStyle name="Calculation" xfId="74"/>
    <cellStyle name="Check Cell" xfId="75"/>
    <cellStyle name="Col Heads" xfId="76"/>
    <cellStyle name="Column_Title" xfId="77"/>
    <cellStyle name="Comma  - Style1" xfId="78"/>
    <cellStyle name="Comma  - Style2" xfId="79"/>
    <cellStyle name="Comma  - Style3" xfId="80"/>
    <cellStyle name="Comma  - Style4" xfId="81"/>
    <cellStyle name="Comma  - Style5" xfId="82"/>
    <cellStyle name="Comma  - Style6" xfId="83"/>
    <cellStyle name="Comma  - Style7" xfId="84"/>
    <cellStyle name="Comma  - Style8" xfId="85"/>
    <cellStyle name="Comma [0]_ rislugp" xfId="86"/>
    <cellStyle name="Comma,0" xfId="87"/>
    <cellStyle name="Comma,1" xfId="88"/>
    <cellStyle name="Comma,2" xfId="89"/>
    <cellStyle name="Comma_ rislugp" xfId="90"/>
    <cellStyle name="Currency [0]_ rislugp" xfId="91"/>
    <cellStyle name="Currency,0" xfId="92"/>
    <cellStyle name="Currency,2" xfId="93"/>
    <cellStyle name="Currency_ rislugp" xfId="94"/>
    <cellStyle name="Dezimal [0]_laroux" xfId="95"/>
    <cellStyle name="Dezimal_laroux" xfId="96"/>
    <cellStyle name="entry" xfId="97"/>
    <cellStyle name="entry box" xfId="98"/>
    <cellStyle name="Euro" xfId="99"/>
    <cellStyle name="Explanatory Text" xfId="100"/>
    <cellStyle name="Followed Hyperlink_AheadBehind.xls Chart 23" xfId="101"/>
    <cellStyle name="Good" xfId="102"/>
    <cellStyle name="Grey" xfId="103"/>
    <cellStyle name="Header1" xfId="104"/>
    <cellStyle name="Header2" xfId="105"/>
    <cellStyle name="Heading" xfId="106"/>
    <cellStyle name="Heading 1" xfId="107"/>
    <cellStyle name="Heading 2" xfId="108"/>
    <cellStyle name="Heading 3" xfId="109"/>
    <cellStyle name="Heading 4" xfId="110"/>
    <cellStyle name="Hyperlink_AheadBehind.xls Chart 23" xfId="111"/>
    <cellStyle name="Input" xfId="112"/>
    <cellStyle name="Input [yellow]" xfId="113"/>
    <cellStyle name="left" xfId="114"/>
    <cellStyle name="Linked Cell" xfId="115"/>
    <cellStyle name="Millares [0]_laroux" xfId="116"/>
    <cellStyle name="Millares_laroux" xfId="117"/>
    <cellStyle name="Milliers [0]_laroux" xfId="118"/>
    <cellStyle name="Milliers_laroux" xfId="119"/>
    <cellStyle name="Moneda [0]_laroux" xfId="120"/>
    <cellStyle name="Moneda_laroux" xfId="121"/>
    <cellStyle name="Mon閠aire [0]_laroux" xfId="122"/>
    <cellStyle name="Mon閠aire_laroux" xfId="123"/>
    <cellStyle name="Neutral" xfId="124"/>
    <cellStyle name="no dec" xfId="125"/>
    <cellStyle name="Non défini" xfId="126"/>
    <cellStyle name="Non défini 2" xfId="127"/>
    <cellStyle name="Non défini 3" xfId="128"/>
    <cellStyle name="Normal - Style1" xfId="129"/>
    <cellStyle name="Normal - Style1 2" xfId="130"/>
    <cellStyle name="Normal_ rislugp" xfId="131"/>
    <cellStyle name="Normalny_Arkusz1" xfId="132"/>
    <cellStyle name="Note" xfId="133"/>
    <cellStyle name="Output" xfId="134"/>
    <cellStyle name="Percent (0)" xfId="135"/>
    <cellStyle name="Percent [2]" xfId="136"/>
    <cellStyle name="Prefilled" xfId="137"/>
    <cellStyle name="price" xfId="138"/>
    <cellStyle name="Red" xfId="139"/>
    <cellStyle name="revised" xfId="140"/>
    <cellStyle name="S4" xfId="141"/>
    <cellStyle name="S5" xfId="142"/>
    <cellStyle name="section" xfId="143"/>
    <cellStyle name="style" xfId="144"/>
    <cellStyle name="style1" xfId="145"/>
    <cellStyle name="style2" xfId="146"/>
    <cellStyle name="Tickmark" xfId="147"/>
    <cellStyle name="Title" xfId="148"/>
    <cellStyle name="Total" xfId="149"/>
    <cellStyle name="Warning Text" xfId="150"/>
    <cellStyle name="wrap" xfId="151"/>
    <cellStyle name="パーセント_laroux" xfId="152"/>
    <cellStyle name="百分比" xfId="2" builtinId="5"/>
    <cellStyle name="百分比 2" xfId="153"/>
    <cellStyle name="百分比 2 2" xfId="154"/>
    <cellStyle name="百分比 3" xfId="155"/>
    <cellStyle name="百分比 4" xfId="156"/>
    <cellStyle name="百分比 4 2" xfId="157"/>
    <cellStyle name="標準_１１月価格表" xfId="158"/>
    <cellStyle name="常规" xfId="0" builtinId="0"/>
    <cellStyle name="常规 10" xfId="159"/>
    <cellStyle name="常规 10 2" xfId="160"/>
    <cellStyle name="常规 10 2 2" xfId="161"/>
    <cellStyle name="常规 10 2 3" xfId="162"/>
    <cellStyle name="常规 10 3" xfId="163"/>
    <cellStyle name="常规 10 3 2" xfId="164"/>
    <cellStyle name="常规 10 4" xfId="165"/>
    <cellStyle name="常规 10 5" xfId="166"/>
    <cellStyle name="常规 11" xfId="167"/>
    <cellStyle name="常规 11 5" xfId="305"/>
    <cellStyle name="常规 2" xfId="168"/>
    <cellStyle name="常规 2 2" xfId="169"/>
    <cellStyle name="常规 2 2 2" xfId="170"/>
    <cellStyle name="常规 2 2 3" xfId="171"/>
    <cellStyle name="常规 2 3" xfId="172"/>
    <cellStyle name="常规 2 3 2" xfId="173"/>
    <cellStyle name="常规 2 4" xfId="174"/>
    <cellStyle name="常规 2 8" xfId="175"/>
    <cellStyle name="常规 22" xfId="176"/>
    <cellStyle name="常规 3" xfId="177"/>
    <cellStyle name="常规 3 2" xfId="178"/>
    <cellStyle name="常规 3 3" xfId="179"/>
    <cellStyle name="常规 3_货币资金" xfId="180"/>
    <cellStyle name="常规 4" xfId="181"/>
    <cellStyle name="常规 4 2" xfId="182"/>
    <cellStyle name="常规 4 2 2" xfId="183"/>
    <cellStyle name="常规 4 3" xfId="184"/>
    <cellStyle name="常规 5" xfId="185"/>
    <cellStyle name="常规 5 10" xfId="186"/>
    <cellStyle name="常规 5 11" xfId="187"/>
    <cellStyle name="常规 5 2" xfId="188"/>
    <cellStyle name="常规 5 3" xfId="189"/>
    <cellStyle name="常规 5 4" xfId="190"/>
    <cellStyle name="常规 5 4 2" xfId="191"/>
    <cellStyle name="常规 5 4 2 2" xfId="192"/>
    <cellStyle name="常规 5 4 2 2 2" xfId="193"/>
    <cellStyle name="常规 5 4 2 2 3" xfId="194"/>
    <cellStyle name="常规 5 4 2 3" xfId="195"/>
    <cellStyle name="常规 5 4 2 3 2" xfId="196"/>
    <cellStyle name="常规 5 4 2 4" xfId="197"/>
    <cellStyle name="常规 5 4 2 5" xfId="198"/>
    <cellStyle name="常规 5 4 3" xfId="199"/>
    <cellStyle name="常规 5 4 3 2" xfId="200"/>
    <cellStyle name="常规 5 4 3 2 2" xfId="201"/>
    <cellStyle name="常规 5 4 3 2 3" xfId="202"/>
    <cellStyle name="常规 5 4 3 3" xfId="203"/>
    <cellStyle name="常规 5 4 3 3 2" xfId="204"/>
    <cellStyle name="常规 5 4 3 4" xfId="205"/>
    <cellStyle name="常规 5 4 3 5" xfId="206"/>
    <cellStyle name="常规 5 4 4" xfId="207"/>
    <cellStyle name="常规 5 4 4 2" xfId="208"/>
    <cellStyle name="常规 5 4 4 3" xfId="209"/>
    <cellStyle name="常规 5 4 5" xfId="210"/>
    <cellStyle name="常规 5 4 5 2" xfId="211"/>
    <cellStyle name="常规 5 4 6" xfId="212"/>
    <cellStyle name="常规 5 4 7" xfId="213"/>
    <cellStyle name="常规 5 5" xfId="214"/>
    <cellStyle name="常规 5 5 2" xfId="215"/>
    <cellStyle name="常规 5 5 2 2" xfId="216"/>
    <cellStyle name="常规 5 5 2 3" xfId="217"/>
    <cellStyle name="常规 5 5 3" xfId="218"/>
    <cellStyle name="常规 5 5 3 2" xfId="219"/>
    <cellStyle name="常规 5 5 4" xfId="220"/>
    <cellStyle name="常规 5 5 5" xfId="221"/>
    <cellStyle name="常规 5 6" xfId="222"/>
    <cellStyle name="常规 5 6 2" xfId="223"/>
    <cellStyle name="常规 5 6 2 2" xfId="224"/>
    <cellStyle name="常规 5 6 2 3" xfId="225"/>
    <cellStyle name="常规 5 6 3" xfId="226"/>
    <cellStyle name="常规 5 6 3 2" xfId="227"/>
    <cellStyle name="常规 5 6 4" xfId="228"/>
    <cellStyle name="常规 5 6 5" xfId="229"/>
    <cellStyle name="常规 5 7" xfId="230"/>
    <cellStyle name="常规 5 7 2" xfId="231"/>
    <cellStyle name="常规 5 7 3" xfId="232"/>
    <cellStyle name="常规 5 8" xfId="233"/>
    <cellStyle name="常规 5 8 2" xfId="234"/>
    <cellStyle name="常规 5 9" xfId="235"/>
    <cellStyle name="常规 6" xfId="236"/>
    <cellStyle name="常规 6 2" xfId="237"/>
    <cellStyle name="常规 6 3" xfId="238"/>
    <cellStyle name="常规 6 3 2" xfId="239"/>
    <cellStyle name="常规 6 3 2 2" xfId="240"/>
    <cellStyle name="常规 6 3 2 3" xfId="241"/>
    <cellStyle name="常规 6 3 3" xfId="242"/>
    <cellStyle name="常规 6 3 3 2" xfId="243"/>
    <cellStyle name="常规 6 3 4" xfId="244"/>
    <cellStyle name="常规 6 3 5" xfId="245"/>
    <cellStyle name="常规 6 4" xfId="246"/>
    <cellStyle name="常规 6 4 2" xfId="247"/>
    <cellStyle name="常规 6 4 2 2" xfId="248"/>
    <cellStyle name="常规 6 4 2 3" xfId="249"/>
    <cellStyle name="常规 6 4 3" xfId="250"/>
    <cellStyle name="常规 6 4 3 2" xfId="251"/>
    <cellStyle name="常规 6 4 4" xfId="252"/>
    <cellStyle name="常规 6 4 5" xfId="253"/>
    <cellStyle name="常规 6 5" xfId="254"/>
    <cellStyle name="常规 6 5 2" xfId="255"/>
    <cellStyle name="常规 6 5 3" xfId="256"/>
    <cellStyle name="常规 6 6" xfId="257"/>
    <cellStyle name="常规 6 6 2" xfId="258"/>
    <cellStyle name="常规 6 7" xfId="259"/>
    <cellStyle name="常规 6 8" xfId="260"/>
    <cellStyle name="常规 7" xfId="261"/>
    <cellStyle name="常规 8" xfId="262"/>
    <cellStyle name="常规 9" xfId="263"/>
    <cellStyle name="常规_Book1" xfId="264"/>
    <cellStyle name="常规_Book1 2" xfId="265"/>
    <cellStyle name="常规_sheet" xfId="266"/>
    <cellStyle name="常规_进一步审计程序--销售与收款循环" xfId="306"/>
    <cellStyle name="常规_新审定表" xfId="267"/>
    <cellStyle name="常规_制造费用" xfId="268"/>
    <cellStyle name="常规_制造费用 2" xfId="269"/>
    <cellStyle name="超级链接_B4-1审计项目工时预算与控制表(集团)" xfId="270"/>
    <cellStyle name="超链接" xfId="3" builtinId="8"/>
    <cellStyle name="超链接 2" xfId="271"/>
    <cellStyle name="超链接 2 2" xfId="272"/>
    <cellStyle name="超链接 3" xfId="273"/>
    <cellStyle name="超链接 3 2" xfId="274"/>
    <cellStyle name="超链接 3 2 2" xfId="275"/>
    <cellStyle name="超链接 4" xfId="276"/>
    <cellStyle name="超链接 5" xfId="277"/>
    <cellStyle name="超链接 6" xfId="278"/>
    <cellStyle name="分级显示行_1_4附件二凯旋评估表" xfId="279"/>
    <cellStyle name="桁区切り [0.00]_１１月価格表" xfId="280"/>
    <cellStyle name="桁区切り_１１月価格表" xfId="281"/>
    <cellStyle name="霓付 [0]_97MBO" xfId="282"/>
    <cellStyle name="霓付_97MBO" xfId="283"/>
    <cellStyle name="烹拳 [0]_97MBO" xfId="284"/>
    <cellStyle name="烹拳_97MBO" xfId="285"/>
    <cellStyle name="普通_ 白土" xfId="286"/>
    <cellStyle name="千分位[0]_ 白土" xfId="287"/>
    <cellStyle name="千分位_ 白土" xfId="288"/>
    <cellStyle name="千位[0]_97汇总" xfId="289"/>
    <cellStyle name="千位_97汇总" xfId="290"/>
    <cellStyle name="千位分隔" xfId="1" builtinId="3"/>
    <cellStyle name="千位分隔 2" xfId="291"/>
    <cellStyle name="千位分隔 2 2" xfId="292"/>
    <cellStyle name="千位分隔 3" xfId="293"/>
    <cellStyle name="千位分隔 4" xfId="294"/>
    <cellStyle name="千位分隔 4 2" xfId="295"/>
    <cellStyle name="钎霖_laroux" xfId="296"/>
    <cellStyle name="通貨 [0.00]_１１月価格表" xfId="297"/>
    <cellStyle name="通貨_１１月価格表" xfId="298"/>
    <cellStyle name="样式 1" xfId="299"/>
    <cellStyle name="콤마 [0]_BOILER-CO1" xfId="300"/>
    <cellStyle name="콤마_BOILER-CO1" xfId="301"/>
    <cellStyle name="통화 [0]_BOILER-CO1" xfId="302"/>
    <cellStyle name="통화_BOILER-CO1" xfId="303"/>
    <cellStyle name="표준_0N-HANDLING " xfId="304"/>
  </cellStyles>
  <dxfs count="1">
    <dxf>
      <font>
        <color rgb="FFFF0000"/>
      </font>
      <numFmt numFmtId="212" formatCode="0.00_ "/>
    </dxf>
  </dxfs>
  <tableStyles count="0" defaultTableStyle="TableStyleMedium9" defaultPivotStyle="PivotStyleLight16"/>
  <colors>
    <mruColors>
      <color rgb="FF3333FF"/>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vmlDrawing2.v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8" Type="http://schemas.openxmlformats.org/officeDocument/2006/relationships/image" Target="../media/image10.wmf"/><Relationship Id="rId13" Type="http://schemas.openxmlformats.org/officeDocument/2006/relationships/image" Target="../media/image15.wmf"/><Relationship Id="rId3" Type="http://schemas.openxmlformats.org/officeDocument/2006/relationships/image" Target="../media/image5.wmf"/><Relationship Id="rId7" Type="http://schemas.openxmlformats.org/officeDocument/2006/relationships/image" Target="../media/image9.wmf"/><Relationship Id="rId12" Type="http://schemas.openxmlformats.org/officeDocument/2006/relationships/image" Target="../media/image14.wmf"/><Relationship Id="rId2" Type="http://schemas.openxmlformats.org/officeDocument/2006/relationships/image" Target="../media/image4.emf"/><Relationship Id="rId1" Type="http://schemas.openxmlformats.org/officeDocument/2006/relationships/image" Target="../media/image3.wmf"/><Relationship Id="rId6" Type="http://schemas.openxmlformats.org/officeDocument/2006/relationships/image" Target="../media/image8.wmf"/><Relationship Id="rId11" Type="http://schemas.openxmlformats.org/officeDocument/2006/relationships/image" Target="../media/image13.wmf"/><Relationship Id="rId5" Type="http://schemas.openxmlformats.org/officeDocument/2006/relationships/image" Target="../media/image7.wmf"/><Relationship Id="rId15" Type="http://schemas.openxmlformats.org/officeDocument/2006/relationships/image" Target="../media/image2.wmf"/><Relationship Id="rId10" Type="http://schemas.openxmlformats.org/officeDocument/2006/relationships/image" Target="../media/image12.wmf"/><Relationship Id="rId4" Type="http://schemas.openxmlformats.org/officeDocument/2006/relationships/image" Target="../media/image6.wmf"/><Relationship Id="rId9" Type="http://schemas.openxmlformats.org/officeDocument/2006/relationships/image" Target="../media/image11.wmf"/><Relationship Id="rId14" Type="http://schemas.openxmlformats.org/officeDocument/2006/relationships/image" Target="../media/image16.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99060</xdr:colOff>
          <xdr:row>72</xdr:row>
          <xdr:rowOff>30480</xdr:rowOff>
        </xdr:from>
        <xdr:to>
          <xdr:col>3</xdr:col>
          <xdr:colOff>548640</xdr:colOff>
          <xdr:row>75</xdr:row>
          <xdr:rowOff>0</xdr:rowOff>
        </xdr:to>
        <xdr:sp macro="" textlink="">
          <xdr:nvSpPr>
            <xdr:cNvPr id="6145" name="Object 1" hidden="1">
              <a:extLst>
                <a:ext uri="{63B3BB69-23CF-44E3-9099-C40C66FF867C}">
                  <a14:compatExt spid="_x0000_s6145"/>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662940</xdr:colOff>
          <xdr:row>72</xdr:row>
          <xdr:rowOff>144780</xdr:rowOff>
        </xdr:from>
        <xdr:to>
          <xdr:col>7</xdr:col>
          <xdr:colOff>205740</xdr:colOff>
          <xdr:row>74</xdr:row>
          <xdr:rowOff>76200</xdr:rowOff>
        </xdr:to>
        <xdr:sp macro="" textlink="">
          <xdr:nvSpPr>
            <xdr:cNvPr id="6146" name="Object 2" hidden="1">
              <a:extLst>
                <a:ext uri="{63B3BB69-23CF-44E3-9099-C40C66FF867C}">
                  <a14:compatExt spid="_x0000_s6146"/>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99060</xdr:colOff>
          <xdr:row>26</xdr:row>
          <xdr:rowOff>0</xdr:rowOff>
        </xdr:from>
        <xdr:to>
          <xdr:col>2</xdr:col>
          <xdr:colOff>624840</xdr:colOff>
          <xdr:row>26</xdr:row>
          <xdr:rowOff>0</xdr:rowOff>
        </xdr:to>
        <xdr:sp macro="" textlink="">
          <xdr:nvSpPr>
            <xdr:cNvPr id="3073" name="Object 1" hidden="1">
              <a:extLst>
                <a:ext uri="{63B3BB69-23CF-44E3-9099-C40C66FF867C}">
                  <a14:compatExt spid="_x0000_s3073"/>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281940</xdr:colOff>
          <xdr:row>72</xdr:row>
          <xdr:rowOff>22860</xdr:rowOff>
        </xdr:from>
        <xdr:to>
          <xdr:col>5</xdr:col>
          <xdr:colOff>259080</xdr:colOff>
          <xdr:row>75</xdr:row>
          <xdr:rowOff>22860</xdr:rowOff>
        </xdr:to>
        <xdr:sp macro="" textlink="">
          <xdr:nvSpPr>
            <xdr:cNvPr id="3074" name="Object 2" hidden="1">
              <a:extLst>
                <a:ext uri="{63B3BB69-23CF-44E3-9099-C40C66FF867C}">
                  <a14:compatExt spid="_x0000_s3074"/>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129540</xdr:colOff>
          <xdr:row>79</xdr:row>
          <xdr:rowOff>22860</xdr:rowOff>
        </xdr:from>
        <xdr:to>
          <xdr:col>7</xdr:col>
          <xdr:colOff>571500</xdr:colOff>
          <xdr:row>79</xdr:row>
          <xdr:rowOff>220980</xdr:rowOff>
        </xdr:to>
        <xdr:sp macro="" textlink="">
          <xdr:nvSpPr>
            <xdr:cNvPr id="3075" name="Object 3" hidden="1">
              <a:extLst>
                <a:ext uri="{63B3BB69-23CF-44E3-9099-C40C66FF867C}">
                  <a14:compatExt spid="_x0000_s3075"/>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106680</xdr:colOff>
          <xdr:row>79</xdr:row>
          <xdr:rowOff>22860</xdr:rowOff>
        </xdr:from>
        <xdr:to>
          <xdr:col>8</xdr:col>
          <xdr:colOff>556260</xdr:colOff>
          <xdr:row>79</xdr:row>
          <xdr:rowOff>220980</xdr:rowOff>
        </xdr:to>
        <xdr:sp macro="" textlink="">
          <xdr:nvSpPr>
            <xdr:cNvPr id="3076" name="Object 4" hidden="1">
              <a:extLst>
                <a:ext uri="{63B3BB69-23CF-44E3-9099-C40C66FF867C}">
                  <a14:compatExt spid="_x0000_s3076"/>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0</xdr:colOff>
          <xdr:row>79</xdr:row>
          <xdr:rowOff>0</xdr:rowOff>
        </xdr:from>
        <xdr:to>
          <xdr:col>10</xdr:col>
          <xdr:colOff>495300</xdr:colOff>
          <xdr:row>79</xdr:row>
          <xdr:rowOff>243840</xdr:rowOff>
        </xdr:to>
        <xdr:sp macro="" textlink="">
          <xdr:nvSpPr>
            <xdr:cNvPr id="3077" name="Object 5" hidden="1">
              <a:extLst>
                <a:ext uri="{63B3BB69-23CF-44E3-9099-C40C66FF867C}">
                  <a14:compatExt spid="_x0000_s3077"/>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99060</xdr:colOff>
          <xdr:row>79</xdr:row>
          <xdr:rowOff>22860</xdr:rowOff>
        </xdr:from>
        <xdr:to>
          <xdr:col>11</xdr:col>
          <xdr:colOff>586740</xdr:colOff>
          <xdr:row>79</xdr:row>
          <xdr:rowOff>243840</xdr:rowOff>
        </xdr:to>
        <xdr:sp macro="" textlink="">
          <xdr:nvSpPr>
            <xdr:cNvPr id="3078" name="Object 6" hidden="1">
              <a:extLst>
                <a:ext uri="{63B3BB69-23CF-44E3-9099-C40C66FF867C}">
                  <a14:compatExt spid="_x0000_s3078"/>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144780</xdr:colOff>
          <xdr:row>79</xdr:row>
          <xdr:rowOff>22860</xdr:rowOff>
        </xdr:from>
        <xdr:to>
          <xdr:col>12</xdr:col>
          <xdr:colOff>632460</xdr:colOff>
          <xdr:row>79</xdr:row>
          <xdr:rowOff>243840</xdr:rowOff>
        </xdr:to>
        <xdr:sp macro="" textlink="">
          <xdr:nvSpPr>
            <xdr:cNvPr id="3079" name="Object 7" hidden="1">
              <a:extLst>
                <a:ext uri="{63B3BB69-23CF-44E3-9099-C40C66FF867C}">
                  <a14:compatExt spid="_x0000_s3079"/>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304800</xdr:colOff>
          <xdr:row>90</xdr:row>
          <xdr:rowOff>0</xdr:rowOff>
        </xdr:from>
        <xdr:to>
          <xdr:col>3</xdr:col>
          <xdr:colOff>312420</xdr:colOff>
          <xdr:row>94</xdr:row>
          <xdr:rowOff>76200</xdr:rowOff>
        </xdr:to>
        <xdr:sp macro="" textlink="">
          <xdr:nvSpPr>
            <xdr:cNvPr id="3080" name="Object 8" hidden="1">
              <a:extLst>
                <a:ext uri="{63B3BB69-23CF-44E3-9099-C40C66FF867C}">
                  <a14:compatExt spid="_x0000_s308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251460</xdr:colOff>
          <xdr:row>90</xdr:row>
          <xdr:rowOff>30480</xdr:rowOff>
        </xdr:from>
        <xdr:to>
          <xdr:col>9</xdr:col>
          <xdr:colOff>121920</xdr:colOff>
          <xdr:row>94</xdr:row>
          <xdr:rowOff>53340</xdr:rowOff>
        </xdr:to>
        <xdr:sp macro="" textlink="">
          <xdr:nvSpPr>
            <xdr:cNvPr id="3081" name="Object 9" hidden="1">
              <a:extLst>
                <a:ext uri="{63B3BB69-23CF-44E3-9099-C40C66FF867C}">
                  <a14:compatExt spid="_x0000_s3081"/>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335280</xdr:colOff>
          <xdr:row>94</xdr:row>
          <xdr:rowOff>167640</xdr:rowOff>
        </xdr:from>
        <xdr:to>
          <xdr:col>3</xdr:col>
          <xdr:colOff>190500</xdr:colOff>
          <xdr:row>96</xdr:row>
          <xdr:rowOff>121920</xdr:rowOff>
        </xdr:to>
        <xdr:sp macro="" textlink="">
          <xdr:nvSpPr>
            <xdr:cNvPr id="3082" name="Object 10" hidden="1">
              <a:extLst>
                <a:ext uri="{63B3BB69-23CF-44E3-9099-C40C66FF867C}">
                  <a14:compatExt spid="_x0000_s3082"/>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220980</xdr:colOff>
          <xdr:row>94</xdr:row>
          <xdr:rowOff>228600</xdr:rowOff>
        </xdr:from>
        <xdr:to>
          <xdr:col>9</xdr:col>
          <xdr:colOff>213360</xdr:colOff>
          <xdr:row>96</xdr:row>
          <xdr:rowOff>167640</xdr:rowOff>
        </xdr:to>
        <xdr:sp macro="" textlink="">
          <xdr:nvSpPr>
            <xdr:cNvPr id="3083" name="Object 11" hidden="1">
              <a:extLst>
                <a:ext uri="{63B3BB69-23CF-44E3-9099-C40C66FF867C}">
                  <a14:compatExt spid="_x0000_s3083"/>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167640</xdr:colOff>
          <xdr:row>79</xdr:row>
          <xdr:rowOff>15240</xdr:rowOff>
        </xdr:from>
        <xdr:to>
          <xdr:col>5</xdr:col>
          <xdr:colOff>358140</xdr:colOff>
          <xdr:row>79</xdr:row>
          <xdr:rowOff>259080</xdr:rowOff>
        </xdr:to>
        <xdr:sp macro="" textlink="">
          <xdr:nvSpPr>
            <xdr:cNvPr id="3084" name="Object 12" hidden="1">
              <a:extLst>
                <a:ext uri="{63B3BB69-23CF-44E3-9099-C40C66FF867C}">
                  <a14:compatExt spid="_x0000_s3084"/>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106680</xdr:colOff>
          <xdr:row>79</xdr:row>
          <xdr:rowOff>53340</xdr:rowOff>
        </xdr:from>
        <xdr:to>
          <xdr:col>6</xdr:col>
          <xdr:colOff>419100</xdr:colOff>
          <xdr:row>79</xdr:row>
          <xdr:rowOff>213360</xdr:rowOff>
        </xdr:to>
        <xdr:sp macro="" textlink="">
          <xdr:nvSpPr>
            <xdr:cNvPr id="3085" name="Object 13" hidden="1">
              <a:extLst>
                <a:ext uri="{63B3BB69-23CF-44E3-9099-C40C66FF867C}">
                  <a14:compatExt spid="_x0000_s3085"/>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243840</xdr:colOff>
          <xdr:row>54</xdr:row>
          <xdr:rowOff>106680</xdr:rowOff>
        </xdr:from>
        <xdr:to>
          <xdr:col>3</xdr:col>
          <xdr:colOff>175260</xdr:colOff>
          <xdr:row>56</xdr:row>
          <xdr:rowOff>137160</xdr:rowOff>
        </xdr:to>
        <xdr:sp macro="" textlink="">
          <xdr:nvSpPr>
            <xdr:cNvPr id="3086" name="Object 14" hidden="1">
              <a:extLst>
                <a:ext uri="{63B3BB69-23CF-44E3-9099-C40C66FF867C}">
                  <a14:compatExt spid="_x0000_s3086"/>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586740</xdr:colOff>
          <xdr:row>54</xdr:row>
          <xdr:rowOff>167640</xdr:rowOff>
        </xdr:from>
        <xdr:to>
          <xdr:col>6</xdr:col>
          <xdr:colOff>297180</xdr:colOff>
          <xdr:row>55</xdr:row>
          <xdr:rowOff>190500</xdr:rowOff>
        </xdr:to>
        <xdr:sp macro="" textlink="">
          <xdr:nvSpPr>
            <xdr:cNvPr id="3087" name="Object 15" hidden="1">
              <a:extLst>
                <a:ext uri="{63B3BB69-23CF-44E3-9099-C40C66FF867C}">
                  <a14:compatExt spid="_x0000_s3087"/>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www.gt-china.com.cn/article_view.php?id=8386" TargetMode="External"/><Relationship Id="rId1" Type="http://schemas.openxmlformats.org/officeDocument/2006/relationships/hyperlink" Target="https://www.gt-china.com.cn/article_view.php?id=8385" TargetMode="External"/></Relationships>
</file>

<file path=xl/worksheets/_rels/sheet11.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image" Target="../media/image2.wmf"/><Relationship Id="rId2" Type="http://schemas.openxmlformats.org/officeDocument/2006/relationships/drawing" Target="../drawings/drawing1.xml"/><Relationship Id="rId1" Type="http://schemas.openxmlformats.org/officeDocument/2006/relationships/printerSettings" Target="../printerSettings/printerSettings10.bin"/><Relationship Id="rId6" Type="http://schemas.openxmlformats.org/officeDocument/2006/relationships/oleObject" Target="../embeddings/oleObject2.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3" Type="http://schemas.openxmlformats.org/officeDocument/2006/relationships/image" Target="../media/image7.wmf"/><Relationship Id="rId18" Type="http://schemas.openxmlformats.org/officeDocument/2006/relationships/oleObject" Target="../embeddings/oleObject10.bin"/><Relationship Id="rId26" Type="http://schemas.openxmlformats.org/officeDocument/2006/relationships/oleObject" Target="../embeddings/oleObject14.bin"/><Relationship Id="rId3" Type="http://schemas.openxmlformats.org/officeDocument/2006/relationships/vmlDrawing" Target="../drawings/vmlDrawing3.vml"/><Relationship Id="rId21" Type="http://schemas.openxmlformats.org/officeDocument/2006/relationships/image" Target="../media/image11.wmf"/><Relationship Id="rId7" Type="http://schemas.openxmlformats.org/officeDocument/2006/relationships/image" Target="../media/image4.emf"/><Relationship Id="rId12" Type="http://schemas.openxmlformats.org/officeDocument/2006/relationships/oleObject" Target="../embeddings/oleObject7.bin"/><Relationship Id="rId17" Type="http://schemas.openxmlformats.org/officeDocument/2006/relationships/image" Target="../media/image9.wmf"/><Relationship Id="rId25" Type="http://schemas.openxmlformats.org/officeDocument/2006/relationships/image" Target="../media/image13.wmf"/><Relationship Id="rId33" Type="http://schemas.openxmlformats.org/officeDocument/2006/relationships/image" Target="../media/image2.wmf"/><Relationship Id="rId2" Type="http://schemas.openxmlformats.org/officeDocument/2006/relationships/drawing" Target="../drawings/drawing2.xml"/><Relationship Id="rId16" Type="http://schemas.openxmlformats.org/officeDocument/2006/relationships/oleObject" Target="../embeddings/oleObject9.bin"/><Relationship Id="rId20" Type="http://schemas.openxmlformats.org/officeDocument/2006/relationships/oleObject" Target="../embeddings/oleObject11.bin"/><Relationship Id="rId29" Type="http://schemas.openxmlformats.org/officeDocument/2006/relationships/image" Target="../media/image15.wmf"/><Relationship Id="rId1" Type="http://schemas.openxmlformats.org/officeDocument/2006/relationships/printerSettings" Target="../printerSettings/printerSettings13.bin"/><Relationship Id="rId6" Type="http://schemas.openxmlformats.org/officeDocument/2006/relationships/oleObject" Target="../embeddings/oleObject4.bin"/><Relationship Id="rId11" Type="http://schemas.openxmlformats.org/officeDocument/2006/relationships/image" Target="../media/image6.wmf"/><Relationship Id="rId24" Type="http://schemas.openxmlformats.org/officeDocument/2006/relationships/oleObject" Target="../embeddings/oleObject13.bin"/><Relationship Id="rId32" Type="http://schemas.openxmlformats.org/officeDocument/2006/relationships/oleObject" Target="../embeddings/oleObject17.bin"/><Relationship Id="rId5" Type="http://schemas.openxmlformats.org/officeDocument/2006/relationships/image" Target="../media/image3.wmf"/><Relationship Id="rId15" Type="http://schemas.openxmlformats.org/officeDocument/2006/relationships/image" Target="../media/image8.wmf"/><Relationship Id="rId23" Type="http://schemas.openxmlformats.org/officeDocument/2006/relationships/image" Target="../media/image12.wmf"/><Relationship Id="rId28" Type="http://schemas.openxmlformats.org/officeDocument/2006/relationships/oleObject" Target="../embeddings/oleObject15.bin"/><Relationship Id="rId10" Type="http://schemas.openxmlformats.org/officeDocument/2006/relationships/oleObject" Target="../embeddings/oleObject6.bin"/><Relationship Id="rId19" Type="http://schemas.openxmlformats.org/officeDocument/2006/relationships/image" Target="../media/image10.wmf"/><Relationship Id="rId31" Type="http://schemas.openxmlformats.org/officeDocument/2006/relationships/image" Target="../media/image16.emf"/><Relationship Id="rId4" Type="http://schemas.openxmlformats.org/officeDocument/2006/relationships/oleObject" Target="../embeddings/oleObject3.bin"/><Relationship Id="rId9" Type="http://schemas.openxmlformats.org/officeDocument/2006/relationships/image" Target="../media/image5.wmf"/><Relationship Id="rId14" Type="http://schemas.openxmlformats.org/officeDocument/2006/relationships/oleObject" Target="../embeddings/oleObject8.bin"/><Relationship Id="rId22" Type="http://schemas.openxmlformats.org/officeDocument/2006/relationships/oleObject" Target="../embeddings/oleObject12.bin"/><Relationship Id="rId27" Type="http://schemas.openxmlformats.org/officeDocument/2006/relationships/image" Target="../media/image14.wmf"/><Relationship Id="rId30" Type="http://schemas.openxmlformats.org/officeDocument/2006/relationships/oleObject" Target="../embeddings/oleObject16.bin"/><Relationship Id="rId8" Type="http://schemas.openxmlformats.org/officeDocument/2006/relationships/oleObject" Target="../embeddings/oleObject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E20"/>
  <sheetViews>
    <sheetView tabSelected="1" workbookViewId="0"/>
  </sheetViews>
  <sheetFormatPr defaultColWidth="9" defaultRowHeight="18" customHeight="1"/>
  <cols>
    <col min="1" max="1" width="84.6640625" style="196" customWidth="1"/>
    <col min="2" max="2" width="5.21875" style="326" customWidth="1"/>
    <col min="3" max="3" width="44.21875" style="196" customWidth="1"/>
    <col min="4" max="4" width="9" style="326"/>
    <col min="5" max="5" width="16.109375" style="196" customWidth="1"/>
    <col min="6" max="16384" width="9" style="196"/>
  </cols>
  <sheetData>
    <row r="1" spans="1:5" s="324" customFormat="1" ht="18" customHeight="1">
      <c r="A1" s="327" t="s">
        <v>0</v>
      </c>
      <c r="B1" s="442" t="s">
        <v>1</v>
      </c>
      <c r="C1" s="442"/>
      <c r="D1" s="442"/>
      <c r="E1" s="442"/>
    </row>
    <row r="2" spans="1:5" s="325" customFormat="1" ht="18" customHeight="1">
      <c r="A2" s="328" t="s">
        <v>643</v>
      </c>
      <c r="B2" s="329"/>
      <c r="C2" s="329"/>
      <c r="D2" s="329"/>
      <c r="E2" s="329"/>
    </row>
    <row r="3" spans="1:5" s="195" customFormat="1" ht="18" customHeight="1">
      <c r="A3" s="403" t="s">
        <v>653</v>
      </c>
      <c r="B3" s="330" t="s">
        <v>2</v>
      </c>
      <c r="C3" s="330" t="s">
        <v>3</v>
      </c>
      <c r="D3" s="330" t="s">
        <v>4</v>
      </c>
      <c r="E3" s="330" t="s">
        <v>5</v>
      </c>
    </row>
    <row r="4" spans="1:5" ht="18" customHeight="1">
      <c r="A4" s="328" t="s">
        <v>644</v>
      </c>
      <c r="B4" s="331">
        <v>1</v>
      </c>
      <c r="C4" s="332" t="s">
        <v>6</v>
      </c>
      <c r="D4" s="331" t="s">
        <v>7</v>
      </c>
      <c r="E4" s="333"/>
    </row>
    <row r="5" spans="1:5" ht="18" customHeight="1">
      <c r="A5" s="328" t="s">
        <v>645</v>
      </c>
      <c r="B5" s="331">
        <v>2</v>
      </c>
      <c r="C5" s="332" t="s">
        <v>66</v>
      </c>
      <c r="D5" s="331" t="s">
        <v>8</v>
      </c>
      <c r="E5" s="333"/>
    </row>
    <row r="6" spans="1:5" ht="18" customHeight="1">
      <c r="A6" s="328" t="s">
        <v>646</v>
      </c>
      <c r="B6" s="331">
        <v>3</v>
      </c>
      <c r="C6" s="332" t="s">
        <v>9</v>
      </c>
      <c r="D6" s="331"/>
      <c r="E6" s="333"/>
    </row>
    <row r="7" spans="1:5" ht="18" customHeight="1">
      <c r="A7" s="328" t="s">
        <v>647</v>
      </c>
      <c r="B7" s="331">
        <v>4</v>
      </c>
      <c r="C7" s="332" t="s">
        <v>10</v>
      </c>
      <c r="D7" s="331"/>
      <c r="E7" s="333"/>
    </row>
    <row r="8" spans="1:5" ht="18" customHeight="1">
      <c r="A8" s="334"/>
      <c r="B8" s="331">
        <v>5</v>
      </c>
      <c r="C8" s="332" t="s">
        <v>11</v>
      </c>
      <c r="D8" s="331" t="s">
        <v>12</v>
      </c>
      <c r="E8" s="333"/>
    </row>
    <row r="9" spans="1:5" ht="18" customHeight="1">
      <c r="A9" s="335"/>
      <c r="B9" s="331">
        <v>6</v>
      </c>
      <c r="C9" s="332" t="s">
        <v>13</v>
      </c>
      <c r="D9" s="331" t="s">
        <v>14</v>
      </c>
      <c r="E9" s="336" t="s">
        <v>15</v>
      </c>
    </row>
    <row r="10" spans="1:5" ht="18" customHeight="1">
      <c r="A10" s="404" t="s">
        <v>654</v>
      </c>
      <c r="B10" s="331">
        <v>7</v>
      </c>
      <c r="C10" s="332" t="s">
        <v>16</v>
      </c>
      <c r="D10" s="331" t="s">
        <v>17</v>
      </c>
      <c r="E10" s="333"/>
    </row>
    <row r="11" spans="1:5" ht="18" customHeight="1">
      <c r="A11" s="443" t="s">
        <v>655</v>
      </c>
      <c r="B11" s="331">
        <v>8</v>
      </c>
      <c r="C11" s="332" t="s">
        <v>18</v>
      </c>
      <c r="D11" s="331" t="s">
        <v>19</v>
      </c>
      <c r="E11" s="333"/>
    </row>
    <row r="12" spans="1:5" ht="18" customHeight="1">
      <c r="A12" s="443"/>
      <c r="B12" s="331">
        <v>9</v>
      </c>
      <c r="C12" s="332" t="s">
        <v>20</v>
      </c>
      <c r="D12" s="331" t="s">
        <v>21</v>
      </c>
      <c r="E12" s="333"/>
    </row>
    <row r="13" spans="1:5" ht="18" customHeight="1">
      <c r="A13" s="443"/>
      <c r="B13" s="331">
        <v>10</v>
      </c>
      <c r="C13" s="332" t="s">
        <v>22</v>
      </c>
      <c r="D13" s="331" t="s">
        <v>23</v>
      </c>
      <c r="E13" s="333"/>
    </row>
    <row r="14" spans="1:5" ht="18.75" customHeight="1">
      <c r="A14" s="443"/>
      <c r="B14" s="331">
        <v>11</v>
      </c>
      <c r="C14" s="332" t="s">
        <v>24</v>
      </c>
      <c r="D14" s="331" t="s">
        <v>25</v>
      </c>
      <c r="E14" s="333"/>
    </row>
    <row r="15" spans="1:5" ht="18.75" customHeight="1">
      <c r="A15" s="443" t="s">
        <v>656</v>
      </c>
      <c r="B15" s="435"/>
      <c r="C15" s="436"/>
      <c r="D15" s="435"/>
      <c r="E15" s="437"/>
    </row>
    <row r="16" spans="1:5" ht="18.75" customHeight="1">
      <c r="A16" s="443"/>
      <c r="B16" s="438"/>
      <c r="C16" s="439"/>
      <c r="D16" s="438"/>
      <c r="E16" s="421"/>
    </row>
    <row r="17" spans="1:5" ht="18" customHeight="1">
      <c r="A17" s="443"/>
      <c r="B17" s="438"/>
      <c r="C17" s="439"/>
      <c r="D17" s="438"/>
      <c r="E17" s="421"/>
    </row>
    <row r="18" spans="1:5" ht="18" customHeight="1">
      <c r="A18" s="444" t="s">
        <v>657</v>
      </c>
      <c r="B18" s="438"/>
      <c r="C18" s="440"/>
      <c r="D18" s="438"/>
      <c r="E18" s="421"/>
    </row>
    <row r="19" spans="1:5" ht="18" customHeight="1">
      <c r="A19" s="444"/>
      <c r="B19" s="438"/>
      <c r="C19" s="440"/>
      <c r="D19" s="438"/>
      <c r="E19" s="421"/>
    </row>
    <row r="20" spans="1:5" ht="18" customHeight="1">
      <c r="A20" s="444"/>
    </row>
  </sheetData>
  <mergeCells count="4">
    <mergeCell ref="B1:E1"/>
    <mergeCell ref="A11:A14"/>
    <mergeCell ref="A15:A17"/>
    <mergeCell ref="A18:A20"/>
  </mergeCells>
  <phoneticPr fontId="36" type="noConversion"/>
  <hyperlinks>
    <hyperlink ref="C5" location="'审定表I3-1'!A1" display="商誉审定表"/>
    <hyperlink ref="C8" location="'明细表I3-2'!A1" display="商誉明细表"/>
    <hyperlink ref="C11" location="'针对性检查表I3-5'!A1" display="商誉针对性检查表"/>
    <hyperlink ref="C10" location="'入账价值测算表I3-4'!A1" display="入账价值测算表"/>
    <hyperlink ref="C12" location="'商誉减值测试I3-6'!A1" display="商誉减值准备测试表"/>
    <hyperlink ref="C13" location="'可收回金额测试I3-7'!A1" display="商誉减值准备测试表-可收回金额"/>
    <hyperlink ref="C6" location="'附注披露（上市公司）'!A1" display="商誉附注披露表（上市公司）"/>
    <hyperlink ref="C7" location="'附注披露（国有企业）'!A1" display="商誉附注披露表（国有企业）"/>
    <hyperlink ref="C4" location="'商誉实质性程序 I3A'!A1" display="商誉实质性程序"/>
    <hyperlink ref="C14" location="'复核公司减值测试过程及结论I3-8'!A1" display="复核公司减值测试过程及结论"/>
    <hyperlink ref="C9" location="'调整分录汇总I3-3'!A1" display="调整分录汇总"/>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dimension ref="A1:Q25"/>
  <sheetViews>
    <sheetView view="pageBreakPreview" zoomScaleNormal="100" workbookViewId="0">
      <selection sqref="A1:I1"/>
    </sheetView>
  </sheetViews>
  <sheetFormatPr defaultColWidth="9" defaultRowHeight="19.95" customHeight="1"/>
  <cols>
    <col min="1" max="1" width="4.5546875" customWidth="1"/>
    <col min="2" max="2" width="71" customWidth="1"/>
    <col min="3" max="3" width="11.21875" customWidth="1"/>
    <col min="4" max="4" width="6.109375" customWidth="1"/>
    <col min="5" max="5" width="6.6640625" customWidth="1"/>
    <col min="6" max="6" width="5.88671875" customWidth="1"/>
    <col min="7" max="7" width="8.109375" customWidth="1"/>
    <col min="8" max="8" width="6.44140625" customWidth="1"/>
    <col min="9" max="9" width="7.109375" customWidth="1"/>
  </cols>
  <sheetData>
    <row r="1" spans="1:10" s="293" customFormat="1" ht="19.95" customHeight="1">
      <c r="A1" s="447" t="s">
        <v>65</v>
      </c>
      <c r="B1" s="447"/>
      <c r="C1" s="447"/>
      <c r="D1" s="447"/>
      <c r="E1" s="447"/>
      <c r="F1" s="447"/>
      <c r="G1" s="447"/>
      <c r="H1" s="447"/>
      <c r="I1" s="447"/>
      <c r="J1" s="386"/>
    </row>
    <row r="2" spans="1:10" s="293" customFormat="1" ht="19.95" customHeight="1">
      <c r="A2" s="448" t="s">
        <v>6</v>
      </c>
      <c r="B2" s="448"/>
      <c r="C2" s="448"/>
      <c r="D2" s="448"/>
      <c r="E2" s="448"/>
      <c r="F2" s="448"/>
      <c r="G2" s="448"/>
      <c r="H2" s="448"/>
      <c r="I2" s="448"/>
      <c r="J2" s="387"/>
    </row>
    <row r="3" spans="1:10" s="293" customFormat="1" ht="19.95" customHeight="1">
      <c r="A3" s="297" t="str">
        <f>底稿目录!A2</f>
        <v>被审计单位：</v>
      </c>
      <c r="B3" s="292"/>
      <c r="C3" s="297" t="str">
        <f>底稿目录!A4</f>
        <v>编制人：</v>
      </c>
      <c r="D3" s="294"/>
      <c r="E3" s="297" t="str">
        <f>底稿目录!A5</f>
        <v>编制日期：</v>
      </c>
      <c r="F3" s="295"/>
      <c r="G3" s="295"/>
      <c r="H3" s="296" t="s">
        <v>26</v>
      </c>
      <c r="I3" s="441" t="s">
        <v>7</v>
      </c>
    </row>
    <row r="4" spans="1:10" s="293" customFormat="1" ht="19.95" customHeight="1">
      <c r="A4" s="297" t="str">
        <f>底稿目录!A3</f>
        <v>截止日：202X年12月31日</v>
      </c>
      <c r="B4" s="292"/>
      <c r="C4" s="297" t="str">
        <f>底稿目录!A6</f>
        <v>复核人：</v>
      </c>
      <c r="D4" s="294"/>
      <c r="E4" s="297" t="str">
        <f>底稿目录!A7</f>
        <v>复核日期：</v>
      </c>
      <c r="F4" s="295"/>
      <c r="G4" s="295"/>
      <c r="H4" s="296" t="s">
        <v>27</v>
      </c>
      <c r="I4" s="295"/>
    </row>
    <row r="5" spans="1:10" ht="19.95" customHeight="1">
      <c r="A5" s="298" t="s">
        <v>28</v>
      </c>
      <c r="B5" s="299"/>
      <c r="C5" s="299"/>
      <c r="D5" s="299"/>
      <c r="E5" s="299"/>
      <c r="F5" s="299"/>
      <c r="G5" s="299"/>
      <c r="H5" s="299"/>
      <c r="I5" s="299"/>
    </row>
    <row r="6" spans="1:10" ht="19.95" customHeight="1">
      <c r="A6" s="300" t="s">
        <v>29</v>
      </c>
      <c r="B6" s="299"/>
      <c r="C6" s="299"/>
      <c r="D6" s="299"/>
      <c r="E6" s="299"/>
      <c r="F6" s="299"/>
      <c r="G6" s="299"/>
      <c r="H6" s="299"/>
      <c r="I6" s="299"/>
    </row>
    <row r="7" spans="1:10" ht="19.95" customHeight="1">
      <c r="A7" s="301" t="s">
        <v>30</v>
      </c>
      <c r="B7" s="302"/>
      <c r="C7" s="302"/>
      <c r="D7" s="299"/>
      <c r="E7" s="299"/>
      <c r="F7" s="299"/>
      <c r="G7" s="299"/>
      <c r="H7" s="299"/>
      <c r="I7" s="299"/>
    </row>
    <row r="8" spans="1:10" ht="19.95" customHeight="1">
      <c r="A8" s="453" t="s">
        <v>31</v>
      </c>
      <c r="B8" s="453"/>
      <c r="C8" s="453"/>
      <c r="D8" s="453"/>
      <c r="E8" s="453"/>
      <c r="F8" s="453"/>
      <c r="G8" s="454" t="s">
        <v>32</v>
      </c>
      <c r="H8" s="454"/>
      <c r="I8" s="454"/>
    </row>
    <row r="9" spans="1:10" ht="19.95" customHeight="1">
      <c r="A9" s="446" t="s">
        <v>33</v>
      </c>
      <c r="B9" s="446"/>
      <c r="C9" s="446"/>
      <c r="D9" s="446"/>
      <c r="E9" s="446"/>
      <c r="F9" s="446"/>
      <c r="G9" s="452" t="s">
        <v>34</v>
      </c>
      <c r="H9" s="452"/>
      <c r="I9" s="452"/>
    </row>
    <row r="10" spans="1:10" ht="19.95" customHeight="1">
      <c r="A10" s="446" t="s">
        <v>35</v>
      </c>
      <c r="B10" s="446"/>
      <c r="C10" s="446"/>
      <c r="D10" s="446"/>
      <c r="E10" s="446"/>
      <c r="F10" s="446"/>
      <c r="G10" s="452" t="s">
        <v>36</v>
      </c>
      <c r="H10" s="452"/>
      <c r="I10" s="452"/>
    </row>
    <row r="11" spans="1:10" ht="19.95" customHeight="1">
      <c r="A11" s="446" t="s">
        <v>37</v>
      </c>
      <c r="B11" s="446"/>
      <c r="C11" s="446"/>
      <c r="D11" s="446"/>
      <c r="E11" s="446"/>
      <c r="F11" s="446"/>
      <c r="G11" s="452" t="s">
        <v>38</v>
      </c>
      <c r="H11" s="452"/>
      <c r="I11" s="452"/>
    </row>
    <row r="12" spans="1:10" ht="19.95" customHeight="1">
      <c r="A12" s="446" t="s">
        <v>39</v>
      </c>
      <c r="B12" s="446"/>
      <c r="C12" s="446"/>
      <c r="D12" s="446"/>
      <c r="E12" s="446"/>
      <c r="F12" s="446"/>
      <c r="G12" s="452" t="s">
        <v>40</v>
      </c>
      <c r="H12" s="452"/>
      <c r="I12" s="452"/>
    </row>
    <row r="13" spans="1:10" ht="19.95" customHeight="1">
      <c r="A13" s="446" t="s">
        <v>41</v>
      </c>
      <c r="B13" s="446"/>
      <c r="C13" s="446"/>
      <c r="D13" s="446"/>
      <c r="E13" s="446"/>
      <c r="F13" s="446"/>
      <c r="G13" s="452" t="s">
        <v>42</v>
      </c>
      <c r="H13" s="452"/>
      <c r="I13" s="452"/>
    </row>
    <row r="14" spans="1:10" ht="19.95" customHeight="1">
      <c r="A14" s="445" t="s">
        <v>613</v>
      </c>
      <c r="B14" s="445"/>
      <c r="C14" s="303"/>
      <c r="D14" s="304"/>
      <c r="E14" s="304"/>
      <c r="F14" s="304"/>
      <c r="G14" s="304"/>
      <c r="H14" s="304"/>
      <c r="I14" s="304"/>
      <c r="J14" s="319"/>
    </row>
    <row r="15" spans="1:10" ht="19.95" customHeight="1">
      <c r="A15" s="457" t="s">
        <v>43</v>
      </c>
      <c r="B15" s="459" t="s">
        <v>659</v>
      </c>
      <c r="C15" s="460" t="s">
        <v>44</v>
      </c>
      <c r="D15" s="449" t="s">
        <v>45</v>
      </c>
      <c r="E15" s="450"/>
      <c r="F15" s="450"/>
      <c r="G15" s="450"/>
      <c r="H15" s="451"/>
      <c r="I15" s="460" t="s">
        <v>46</v>
      </c>
      <c r="J15" s="320"/>
    </row>
    <row r="16" spans="1:10" ht="36">
      <c r="A16" s="458"/>
      <c r="B16" s="459"/>
      <c r="C16" s="461"/>
      <c r="D16" s="305" t="s">
        <v>34</v>
      </c>
      <c r="E16" s="305" t="s">
        <v>36</v>
      </c>
      <c r="F16" s="306" t="s">
        <v>47</v>
      </c>
      <c r="G16" s="306" t="s">
        <v>40</v>
      </c>
      <c r="H16" s="306" t="s">
        <v>42</v>
      </c>
      <c r="I16" s="461"/>
      <c r="J16" s="405" t="s">
        <v>658</v>
      </c>
    </row>
    <row r="17" spans="1:17" ht="36.6" customHeight="1">
      <c r="A17" s="307" t="s">
        <v>48</v>
      </c>
      <c r="B17" s="308" t="s">
        <v>49</v>
      </c>
      <c r="C17" s="309" t="s">
        <v>50</v>
      </c>
      <c r="D17" s="310" t="s">
        <v>51</v>
      </c>
      <c r="E17" s="310" t="s">
        <v>51</v>
      </c>
      <c r="F17" s="311"/>
      <c r="G17" s="312" t="s">
        <v>51</v>
      </c>
      <c r="H17" s="311"/>
      <c r="I17" s="321" t="s">
        <v>609</v>
      </c>
      <c r="J17" s="322"/>
    </row>
    <row r="18" spans="1:17" ht="43.8" customHeight="1">
      <c r="A18" s="307" t="s">
        <v>52</v>
      </c>
      <c r="B18" s="313" t="s">
        <v>53</v>
      </c>
      <c r="C18" s="309" t="s">
        <v>50</v>
      </c>
      <c r="D18" s="311"/>
      <c r="E18" s="312" t="s">
        <v>51</v>
      </c>
      <c r="F18" s="311"/>
      <c r="G18" s="310" t="s">
        <v>51</v>
      </c>
      <c r="H18" s="314"/>
      <c r="I18" s="346" t="s">
        <v>54</v>
      </c>
      <c r="J18" s="455" t="s">
        <v>55</v>
      </c>
      <c r="K18" s="455"/>
      <c r="L18" s="455"/>
      <c r="M18" s="455"/>
      <c r="N18" s="455"/>
      <c r="O18" s="455"/>
      <c r="P18" s="455"/>
      <c r="Q18" s="455"/>
    </row>
    <row r="19" spans="1:17" ht="45.6" customHeight="1">
      <c r="A19" s="307" t="s">
        <v>56</v>
      </c>
      <c r="B19" s="315" t="s">
        <v>614</v>
      </c>
      <c r="C19" s="309" t="s">
        <v>15</v>
      </c>
      <c r="D19" s="347" t="s">
        <v>615</v>
      </c>
      <c r="E19" s="348" t="s">
        <v>616</v>
      </c>
      <c r="F19" s="348" t="s">
        <v>616</v>
      </c>
      <c r="G19" s="348" t="s">
        <v>616</v>
      </c>
      <c r="H19" s="348"/>
      <c r="I19" s="321"/>
      <c r="J19" s="456" t="s">
        <v>57</v>
      </c>
      <c r="K19" s="456"/>
      <c r="L19" s="456"/>
      <c r="M19" s="456"/>
      <c r="N19" s="456"/>
      <c r="O19" s="456"/>
      <c r="P19" s="456"/>
      <c r="Q19" s="456"/>
    </row>
    <row r="20" spans="1:17" ht="91.2" customHeight="1">
      <c r="A20" s="307" t="s">
        <v>58</v>
      </c>
      <c r="B20" s="349" t="s">
        <v>617</v>
      </c>
      <c r="C20" s="309" t="s">
        <v>50</v>
      </c>
      <c r="D20" s="348" t="s">
        <v>616</v>
      </c>
      <c r="E20" s="348" t="s">
        <v>618</v>
      </c>
      <c r="F20" s="348"/>
      <c r="G20" s="347" t="s">
        <v>619</v>
      </c>
      <c r="H20" s="348"/>
      <c r="I20" s="321" t="s">
        <v>610</v>
      </c>
      <c r="J20" s="323"/>
    </row>
    <row r="21" spans="1:17" ht="96" customHeight="1">
      <c r="A21" s="307" t="s">
        <v>59</v>
      </c>
      <c r="B21" s="349" t="s">
        <v>620</v>
      </c>
      <c r="C21" s="309" t="s">
        <v>50</v>
      </c>
      <c r="D21" s="312" t="s">
        <v>51</v>
      </c>
      <c r="E21" s="310" t="s">
        <v>51</v>
      </c>
      <c r="F21" s="348" t="s">
        <v>618</v>
      </c>
      <c r="G21" s="312" t="s">
        <v>51</v>
      </c>
      <c r="H21" s="314"/>
      <c r="I21" s="321" t="s">
        <v>610</v>
      </c>
      <c r="J21" s="323"/>
    </row>
    <row r="22" spans="1:17" ht="76.8" customHeight="1">
      <c r="A22" s="307" t="s">
        <v>60</v>
      </c>
      <c r="B22" s="349" t="s">
        <v>621</v>
      </c>
      <c r="C22" s="309" t="s">
        <v>50</v>
      </c>
      <c r="D22" s="310" t="s">
        <v>51</v>
      </c>
      <c r="E22" s="310" t="s">
        <v>51</v>
      </c>
      <c r="F22" s="311"/>
      <c r="G22" s="312" t="s">
        <v>51</v>
      </c>
      <c r="H22" s="314"/>
      <c r="I22" s="321" t="s">
        <v>610</v>
      </c>
      <c r="J22" s="323"/>
    </row>
    <row r="23" spans="1:17" ht="205.8" customHeight="1">
      <c r="A23" s="307" t="s">
        <v>61</v>
      </c>
      <c r="B23" s="316" t="s">
        <v>622</v>
      </c>
      <c r="C23" s="309" t="s">
        <v>50</v>
      </c>
      <c r="D23" s="317"/>
      <c r="E23" s="309"/>
      <c r="F23" s="318"/>
      <c r="G23" s="317" t="s">
        <v>51</v>
      </c>
      <c r="H23" s="318"/>
      <c r="I23" s="321" t="s">
        <v>611</v>
      </c>
    </row>
    <row r="24" spans="1:17" ht="42.6" customHeight="1">
      <c r="A24" s="307" t="s">
        <v>607</v>
      </c>
      <c r="B24" s="340" t="s">
        <v>605</v>
      </c>
      <c r="C24" s="341" t="s">
        <v>606</v>
      </c>
      <c r="D24" s="342"/>
      <c r="E24" s="342"/>
      <c r="F24" s="342"/>
      <c r="G24" s="342"/>
      <c r="H24" s="342"/>
      <c r="I24" s="343"/>
    </row>
    <row r="25" spans="1:17" ht="41.4">
      <c r="A25" s="307" t="s">
        <v>608</v>
      </c>
      <c r="B25" s="308" t="s">
        <v>62</v>
      </c>
      <c r="C25" s="309" t="s">
        <v>50</v>
      </c>
      <c r="D25" s="309"/>
      <c r="E25" s="318"/>
      <c r="F25" s="318"/>
      <c r="G25" s="318"/>
      <c r="H25" s="312" t="s">
        <v>51</v>
      </c>
      <c r="I25" s="345" t="s">
        <v>612</v>
      </c>
    </row>
  </sheetData>
  <mergeCells count="22">
    <mergeCell ref="J18:Q18"/>
    <mergeCell ref="J19:Q19"/>
    <mergeCell ref="A15:A16"/>
    <mergeCell ref="B15:B16"/>
    <mergeCell ref="C15:C16"/>
    <mergeCell ref="I15:I16"/>
    <mergeCell ref="A14:B14"/>
    <mergeCell ref="A13:F13"/>
    <mergeCell ref="A1:I1"/>
    <mergeCell ref="A2:I2"/>
    <mergeCell ref="D15:H15"/>
    <mergeCell ref="G13:I13"/>
    <mergeCell ref="A8:F8"/>
    <mergeCell ref="A9:F9"/>
    <mergeCell ref="A10:F10"/>
    <mergeCell ref="A11:F11"/>
    <mergeCell ref="A12:F12"/>
    <mergeCell ref="G8:I8"/>
    <mergeCell ref="G9:I9"/>
    <mergeCell ref="G10:I10"/>
    <mergeCell ref="G11:I11"/>
    <mergeCell ref="G12:I12"/>
  </mergeCells>
  <phoneticPr fontId="36" type="noConversion"/>
  <hyperlinks>
    <hyperlink ref="I3" location="底稿目录!D5" display="I3A"/>
  </hyperlinks>
  <pageMargins left="0.70866141732283472" right="0.70866141732283472" top="0.74803149606299213" bottom="0.74803149606299213" header="0.31496062992125984" footer="0.31496062992125984"/>
  <pageSetup paperSize="9" scale="70" orientation="portrait" blackAndWhite="1" r:id="rId1"/>
  <headerFooter>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M56"/>
  <sheetViews>
    <sheetView view="pageBreakPreview" zoomScaleNormal="100" workbookViewId="0">
      <selection sqref="A1:M1"/>
    </sheetView>
  </sheetViews>
  <sheetFormatPr defaultColWidth="9" defaultRowHeight="18" customHeight="1"/>
  <cols>
    <col min="1" max="1" width="15.6640625" style="259" customWidth="1"/>
    <col min="2" max="2" width="16.77734375" style="196" customWidth="1"/>
    <col min="3" max="13" width="9.6640625" style="196" customWidth="1"/>
    <col min="14" max="16384" width="9" style="196"/>
  </cols>
  <sheetData>
    <row r="1" spans="1:13" s="193" customFormat="1" ht="19.95" customHeight="1">
      <c r="A1" s="462" t="s">
        <v>65</v>
      </c>
      <c r="B1" s="462"/>
      <c r="C1" s="462"/>
      <c r="D1" s="462"/>
      <c r="E1" s="462"/>
      <c r="F1" s="462"/>
      <c r="G1" s="462"/>
      <c r="H1" s="462"/>
      <c r="I1" s="462"/>
      <c r="J1" s="462"/>
      <c r="K1" s="462"/>
      <c r="L1" s="462"/>
      <c r="M1" s="462"/>
    </row>
    <row r="2" spans="1:13" s="194" customFormat="1" ht="19.95" customHeight="1">
      <c r="A2" s="463" t="s">
        <v>66</v>
      </c>
      <c r="B2" s="463"/>
      <c r="C2" s="463"/>
      <c r="D2" s="463"/>
      <c r="E2" s="463"/>
      <c r="F2" s="463"/>
      <c r="G2" s="463"/>
      <c r="H2" s="463"/>
      <c r="I2" s="463"/>
      <c r="J2" s="463"/>
      <c r="K2" s="463"/>
      <c r="L2" s="463"/>
      <c r="M2" s="463"/>
    </row>
    <row r="3" spans="1:13" ht="20.100000000000001" customHeight="1">
      <c r="A3" s="259" t="str">
        <f>底稿目录!A2</f>
        <v>被审计单位：</v>
      </c>
      <c r="C3" s="284"/>
      <c r="E3" s="196" t="str">
        <f>底稿目录!A4</f>
        <v>编制人：</v>
      </c>
      <c r="I3" s="204" t="str">
        <f>底稿目录!A5</f>
        <v>编制日期：</v>
      </c>
      <c r="L3" s="204" t="s">
        <v>67</v>
      </c>
      <c r="M3" s="441" t="s">
        <v>8</v>
      </c>
    </row>
    <row r="4" spans="1:13" ht="20.100000000000001" customHeight="1">
      <c r="A4" s="259" t="str">
        <f>底稿目录!A3</f>
        <v>截止日：202X年12月31日</v>
      </c>
      <c r="C4" s="285"/>
      <c r="E4" s="208" t="str">
        <f>底稿目录!A6</f>
        <v>复核人：</v>
      </c>
      <c r="I4" s="204" t="str">
        <f>底稿目录!A7</f>
        <v>复核日期：</v>
      </c>
      <c r="L4" s="204" t="s">
        <v>68</v>
      </c>
      <c r="M4" s="206"/>
    </row>
    <row r="5" spans="1:13" s="373" customFormat="1" ht="20.100000000000001" customHeight="1">
      <c r="A5" s="465" t="s">
        <v>626</v>
      </c>
      <c r="B5" s="464" t="s">
        <v>624</v>
      </c>
      <c r="C5" s="464" t="s">
        <v>133</v>
      </c>
      <c r="D5" s="464"/>
      <c r="E5" s="464"/>
      <c r="F5" s="464"/>
      <c r="G5" s="464" t="s">
        <v>69</v>
      </c>
      <c r="H5" s="464"/>
      <c r="I5" s="464"/>
      <c r="J5" s="464" t="s">
        <v>135</v>
      </c>
      <c r="K5" s="464"/>
      <c r="L5" s="464"/>
      <c r="M5" s="464"/>
    </row>
    <row r="6" spans="1:13" s="373" customFormat="1" ht="20.100000000000001" customHeight="1">
      <c r="A6" s="465"/>
      <c r="B6" s="464"/>
      <c r="C6" s="344" t="s">
        <v>625</v>
      </c>
      <c r="D6" s="344" t="s">
        <v>90</v>
      </c>
      <c r="E6" s="344" t="s">
        <v>91</v>
      </c>
      <c r="F6" s="344" t="s">
        <v>136</v>
      </c>
      <c r="G6" s="344" t="s">
        <v>625</v>
      </c>
      <c r="H6" s="344" t="s">
        <v>90</v>
      </c>
      <c r="I6" s="344" t="s">
        <v>91</v>
      </c>
      <c r="J6" s="344" t="s">
        <v>625</v>
      </c>
      <c r="K6" s="344" t="s">
        <v>90</v>
      </c>
      <c r="L6" s="344" t="s">
        <v>91</v>
      </c>
      <c r="M6" s="344" t="s">
        <v>136</v>
      </c>
    </row>
    <row r="7" spans="1:13" s="282" customFormat="1" ht="20.100000000000001" customHeight="1">
      <c r="A7" s="374" t="s">
        <v>627</v>
      </c>
      <c r="B7" s="286"/>
      <c r="C7" s="215"/>
      <c r="D7" s="215"/>
      <c r="E7" s="215"/>
      <c r="F7" s="215"/>
      <c r="G7" s="215"/>
      <c r="H7" s="215"/>
      <c r="I7" s="215"/>
      <c r="J7" s="215"/>
      <c r="K7" s="215"/>
      <c r="L7" s="215"/>
      <c r="M7" s="215"/>
    </row>
    <row r="8" spans="1:13" ht="20.100000000000001" customHeight="1">
      <c r="A8" s="375">
        <f>'明细表I3-2'!A14</f>
        <v>0</v>
      </c>
      <c r="B8" s="202"/>
      <c r="C8" s="222">
        <f>'明细表I3-2'!D14</f>
        <v>0</v>
      </c>
      <c r="D8" s="222">
        <f>'明细表I3-2'!E14</f>
        <v>0</v>
      </c>
      <c r="E8" s="222">
        <f>'明细表I3-2'!G14</f>
        <v>0</v>
      </c>
      <c r="F8" s="222">
        <f>C8+D8-E8</f>
        <v>0</v>
      </c>
      <c r="G8" s="222">
        <f>'明细表I3-2'!J14</f>
        <v>0</v>
      </c>
      <c r="H8" s="222">
        <f>'明细表I3-2'!K14</f>
        <v>0</v>
      </c>
      <c r="I8" s="222">
        <f>'明细表I3-2'!L14</f>
        <v>0</v>
      </c>
      <c r="J8" s="222">
        <f t="shared" ref="J8:J16" si="0">C8+G8</f>
        <v>0</v>
      </c>
      <c r="K8" s="222">
        <f t="shared" ref="K8:K16" si="1">D8+H8</f>
        <v>0</v>
      </c>
      <c r="L8" s="222">
        <f t="shared" ref="L8:L16" si="2">E8+I8</f>
        <v>0</v>
      </c>
      <c r="M8" s="222">
        <f>J8+K8-L8</f>
        <v>0</v>
      </c>
    </row>
    <row r="9" spans="1:13" ht="20.100000000000001" customHeight="1">
      <c r="A9" s="375">
        <f>'明细表I3-2'!A15</f>
        <v>0</v>
      </c>
      <c r="B9" s="202"/>
      <c r="C9" s="222">
        <f>'明细表I3-2'!D15</f>
        <v>0</v>
      </c>
      <c r="D9" s="222">
        <f>'明细表I3-2'!E15</f>
        <v>0</v>
      </c>
      <c r="E9" s="222">
        <f>'明细表I3-2'!G15</f>
        <v>0</v>
      </c>
      <c r="F9" s="222">
        <f t="shared" ref="F9:F16" si="3">C9+D9-E9</f>
        <v>0</v>
      </c>
      <c r="G9" s="222">
        <f>'明细表I3-2'!J15</f>
        <v>0</v>
      </c>
      <c r="H9" s="222">
        <f>'明细表I3-2'!K15</f>
        <v>0</v>
      </c>
      <c r="I9" s="222">
        <f>'明细表I3-2'!L15</f>
        <v>0</v>
      </c>
      <c r="J9" s="222">
        <f t="shared" si="0"/>
        <v>0</v>
      </c>
      <c r="K9" s="222">
        <f t="shared" si="1"/>
        <v>0</v>
      </c>
      <c r="L9" s="222">
        <f t="shared" si="2"/>
        <v>0</v>
      </c>
      <c r="M9" s="222">
        <f t="shared" ref="M9:M16" si="4">J9+K9-L9</f>
        <v>0</v>
      </c>
    </row>
    <row r="10" spans="1:13" ht="20.100000000000001" customHeight="1">
      <c r="A10" s="375">
        <f>'明细表I3-2'!A16</f>
        <v>0</v>
      </c>
      <c r="B10" s="202"/>
      <c r="C10" s="222">
        <f>'明细表I3-2'!D16</f>
        <v>0</v>
      </c>
      <c r="D10" s="222">
        <f>'明细表I3-2'!E16</f>
        <v>0</v>
      </c>
      <c r="E10" s="222">
        <f>'明细表I3-2'!G16</f>
        <v>0</v>
      </c>
      <c r="F10" s="222">
        <f t="shared" si="3"/>
        <v>0</v>
      </c>
      <c r="G10" s="222">
        <f>'明细表I3-2'!J16</f>
        <v>0</v>
      </c>
      <c r="H10" s="222">
        <f>'明细表I3-2'!K16</f>
        <v>0</v>
      </c>
      <c r="I10" s="222">
        <f>'明细表I3-2'!L16</f>
        <v>0</v>
      </c>
      <c r="J10" s="222">
        <f t="shared" si="0"/>
        <v>0</v>
      </c>
      <c r="K10" s="222">
        <f t="shared" si="1"/>
        <v>0</v>
      </c>
      <c r="L10" s="222">
        <f t="shared" si="2"/>
        <v>0</v>
      </c>
      <c r="M10" s="222">
        <f t="shared" si="4"/>
        <v>0</v>
      </c>
    </row>
    <row r="11" spans="1:13" ht="20.100000000000001" customHeight="1">
      <c r="A11" s="375">
        <f>'明细表I3-2'!A17</f>
        <v>0</v>
      </c>
      <c r="B11" s="202"/>
      <c r="C11" s="222">
        <f>'明细表I3-2'!D17</f>
        <v>0</v>
      </c>
      <c r="D11" s="222">
        <f>'明细表I3-2'!E17</f>
        <v>0</v>
      </c>
      <c r="E11" s="222">
        <f>'明细表I3-2'!G17</f>
        <v>0</v>
      </c>
      <c r="F11" s="222">
        <f t="shared" si="3"/>
        <v>0</v>
      </c>
      <c r="G11" s="222">
        <f>'明细表I3-2'!J17</f>
        <v>0</v>
      </c>
      <c r="H11" s="222">
        <f>'明细表I3-2'!K17</f>
        <v>0</v>
      </c>
      <c r="I11" s="222">
        <f>'明细表I3-2'!L17</f>
        <v>0</v>
      </c>
      <c r="J11" s="222">
        <f t="shared" si="0"/>
        <v>0</v>
      </c>
      <c r="K11" s="222">
        <f t="shared" si="1"/>
        <v>0</v>
      </c>
      <c r="L11" s="222">
        <f t="shared" si="2"/>
        <v>0</v>
      </c>
      <c r="M11" s="222">
        <f t="shared" si="4"/>
        <v>0</v>
      </c>
    </row>
    <row r="12" spans="1:13" ht="20.100000000000001" customHeight="1">
      <c r="A12" s="375">
        <f>'明细表I3-2'!A18</f>
        <v>0</v>
      </c>
      <c r="B12" s="202"/>
      <c r="C12" s="222">
        <f>'明细表I3-2'!D18</f>
        <v>0</v>
      </c>
      <c r="D12" s="222">
        <f>'明细表I3-2'!E18</f>
        <v>0</v>
      </c>
      <c r="E12" s="222">
        <f>'明细表I3-2'!G18</f>
        <v>0</v>
      </c>
      <c r="F12" s="222">
        <f t="shared" si="3"/>
        <v>0</v>
      </c>
      <c r="G12" s="222">
        <f>'明细表I3-2'!J18</f>
        <v>0</v>
      </c>
      <c r="H12" s="222">
        <f>'明细表I3-2'!K18</f>
        <v>0</v>
      </c>
      <c r="I12" s="222">
        <f>'明细表I3-2'!L18</f>
        <v>0</v>
      </c>
      <c r="J12" s="222">
        <f t="shared" si="0"/>
        <v>0</v>
      </c>
      <c r="K12" s="222">
        <f t="shared" si="1"/>
        <v>0</v>
      </c>
      <c r="L12" s="222">
        <f t="shared" si="2"/>
        <v>0</v>
      </c>
      <c r="M12" s="222">
        <f t="shared" si="4"/>
        <v>0</v>
      </c>
    </row>
    <row r="13" spans="1:13" ht="20.100000000000001" customHeight="1">
      <c r="A13" s="375">
        <f>'明细表I3-2'!A19</f>
        <v>0</v>
      </c>
      <c r="B13" s="202"/>
      <c r="C13" s="222">
        <f>'明细表I3-2'!D19</f>
        <v>0</v>
      </c>
      <c r="D13" s="222">
        <f>'明细表I3-2'!E19</f>
        <v>0</v>
      </c>
      <c r="E13" s="222">
        <f>'明细表I3-2'!G19</f>
        <v>0</v>
      </c>
      <c r="F13" s="222">
        <f t="shared" si="3"/>
        <v>0</v>
      </c>
      <c r="G13" s="222">
        <f>'明细表I3-2'!J19</f>
        <v>0</v>
      </c>
      <c r="H13" s="222">
        <f>'明细表I3-2'!K19</f>
        <v>0</v>
      </c>
      <c r="I13" s="222">
        <f>'明细表I3-2'!L19</f>
        <v>0</v>
      </c>
      <c r="J13" s="222">
        <f t="shared" si="0"/>
        <v>0</v>
      </c>
      <c r="K13" s="222">
        <f t="shared" si="1"/>
        <v>0</v>
      </c>
      <c r="L13" s="222">
        <f t="shared" si="2"/>
        <v>0</v>
      </c>
      <c r="M13" s="222">
        <f t="shared" si="4"/>
        <v>0</v>
      </c>
    </row>
    <row r="14" spans="1:13" ht="20.100000000000001" customHeight="1">
      <c r="A14" s="375">
        <f>'明细表I3-2'!A20</f>
        <v>0</v>
      </c>
      <c r="B14" s="202"/>
      <c r="C14" s="222">
        <f>'明细表I3-2'!D20</f>
        <v>0</v>
      </c>
      <c r="D14" s="222">
        <f>'明细表I3-2'!E20</f>
        <v>0</v>
      </c>
      <c r="E14" s="222">
        <f>'明细表I3-2'!G20</f>
        <v>0</v>
      </c>
      <c r="F14" s="222">
        <f t="shared" si="3"/>
        <v>0</v>
      </c>
      <c r="G14" s="222">
        <f>'明细表I3-2'!J20</f>
        <v>0</v>
      </c>
      <c r="H14" s="222">
        <f>'明细表I3-2'!K20</f>
        <v>0</v>
      </c>
      <c r="I14" s="222">
        <f>'明细表I3-2'!L20</f>
        <v>0</v>
      </c>
      <c r="J14" s="222">
        <f t="shared" si="0"/>
        <v>0</v>
      </c>
      <c r="K14" s="222">
        <f t="shared" si="1"/>
        <v>0</v>
      </c>
      <c r="L14" s="222">
        <f t="shared" si="2"/>
        <v>0</v>
      </c>
      <c r="M14" s="222">
        <f t="shared" si="4"/>
        <v>0</v>
      </c>
    </row>
    <row r="15" spans="1:13" ht="20.100000000000001" customHeight="1">
      <c r="A15" s="375">
        <f>'明细表I3-2'!A21</f>
        <v>0</v>
      </c>
      <c r="B15" s="202"/>
      <c r="C15" s="222">
        <f>'明细表I3-2'!D21</f>
        <v>0</v>
      </c>
      <c r="D15" s="222">
        <f>'明细表I3-2'!E21</f>
        <v>0</v>
      </c>
      <c r="E15" s="222">
        <f>'明细表I3-2'!G21</f>
        <v>0</v>
      </c>
      <c r="F15" s="222">
        <f t="shared" si="3"/>
        <v>0</v>
      </c>
      <c r="G15" s="222">
        <f>'明细表I3-2'!J21</f>
        <v>0</v>
      </c>
      <c r="H15" s="222">
        <f>'明细表I3-2'!K21</f>
        <v>0</v>
      </c>
      <c r="I15" s="222">
        <f>'明细表I3-2'!L21</f>
        <v>0</v>
      </c>
      <c r="J15" s="222">
        <f t="shared" si="0"/>
        <v>0</v>
      </c>
      <c r="K15" s="222">
        <f t="shared" si="1"/>
        <v>0</v>
      </c>
      <c r="L15" s="222">
        <f t="shared" si="2"/>
        <v>0</v>
      </c>
      <c r="M15" s="222">
        <f t="shared" si="4"/>
        <v>0</v>
      </c>
    </row>
    <row r="16" spans="1:13" ht="20.100000000000001" customHeight="1">
      <c r="A16" s="375">
        <f>'明细表I3-2'!A22</f>
        <v>0</v>
      </c>
      <c r="B16" s="202"/>
      <c r="C16" s="222">
        <f>'明细表I3-2'!D22</f>
        <v>0</v>
      </c>
      <c r="D16" s="222">
        <f>'明细表I3-2'!E22</f>
        <v>0</v>
      </c>
      <c r="E16" s="222">
        <f>'明细表I3-2'!G22</f>
        <v>0</v>
      </c>
      <c r="F16" s="222">
        <f t="shared" si="3"/>
        <v>0</v>
      </c>
      <c r="G16" s="222">
        <f>'明细表I3-2'!J22</f>
        <v>0</v>
      </c>
      <c r="H16" s="222">
        <f>'明细表I3-2'!K22</f>
        <v>0</v>
      </c>
      <c r="I16" s="222">
        <f>'明细表I3-2'!L22</f>
        <v>0</v>
      </c>
      <c r="J16" s="222">
        <f t="shared" si="0"/>
        <v>0</v>
      </c>
      <c r="K16" s="222">
        <f t="shared" si="1"/>
        <v>0</v>
      </c>
      <c r="L16" s="222">
        <f t="shared" si="2"/>
        <v>0</v>
      </c>
      <c r="M16" s="222">
        <f t="shared" si="4"/>
        <v>0</v>
      </c>
    </row>
    <row r="17" spans="1:13" s="193" customFormat="1" ht="20.100000000000001" customHeight="1">
      <c r="A17" s="376" t="s">
        <v>142</v>
      </c>
      <c r="B17" s="216"/>
      <c r="C17" s="222">
        <f t="shared" ref="C17:M17" si="5">SUM(C8:C16)</f>
        <v>0</v>
      </c>
      <c r="D17" s="215">
        <f t="shared" si="5"/>
        <v>0</v>
      </c>
      <c r="E17" s="215">
        <f t="shared" si="5"/>
        <v>0</v>
      </c>
      <c r="F17" s="215">
        <f t="shared" si="5"/>
        <v>0</v>
      </c>
      <c r="G17" s="215">
        <f t="shared" si="5"/>
        <v>0</v>
      </c>
      <c r="H17" s="215">
        <f t="shared" si="5"/>
        <v>0</v>
      </c>
      <c r="I17" s="215">
        <f t="shared" si="5"/>
        <v>0</v>
      </c>
      <c r="J17" s="215">
        <f t="shared" si="5"/>
        <v>0</v>
      </c>
      <c r="K17" s="215">
        <f t="shared" si="5"/>
        <v>0</v>
      </c>
      <c r="L17" s="215">
        <f t="shared" si="5"/>
        <v>0</v>
      </c>
      <c r="M17" s="215">
        <f t="shared" si="5"/>
        <v>0</v>
      </c>
    </row>
    <row r="18" spans="1:13" s="193" customFormat="1" ht="20.100000000000001" customHeight="1">
      <c r="A18" s="374" t="s">
        <v>628</v>
      </c>
      <c r="B18" s="286"/>
      <c r="C18" s="215"/>
      <c r="D18" s="215"/>
      <c r="E18" s="215"/>
      <c r="F18" s="215"/>
      <c r="G18" s="215"/>
      <c r="H18" s="215"/>
      <c r="I18" s="215"/>
      <c r="J18" s="215"/>
      <c r="K18" s="215"/>
      <c r="L18" s="215"/>
      <c r="M18" s="215"/>
    </row>
    <row r="19" spans="1:13" ht="20.100000000000001" customHeight="1">
      <c r="A19" s="375">
        <f>A8</f>
        <v>0</v>
      </c>
      <c r="B19" s="202"/>
      <c r="C19" s="222">
        <f>'明细表I3-2'!R14</f>
        <v>0</v>
      </c>
      <c r="D19" s="222">
        <f>'明细表I3-2'!S14+'明细表I3-2'!T14</f>
        <v>0</v>
      </c>
      <c r="E19" s="222">
        <f>'明细表I3-2'!U14+'明细表I3-2'!V14</f>
        <v>0</v>
      </c>
      <c r="F19" s="222">
        <f>C19+D19-E19</f>
        <v>0</v>
      </c>
      <c r="G19" s="222">
        <f>'明细表I3-2'!X14</f>
        <v>0</v>
      </c>
      <c r="H19" s="222">
        <f>'明细表I3-2'!Y14</f>
        <v>0</v>
      </c>
      <c r="I19" s="222">
        <f>'明细表I3-2'!Z14</f>
        <v>0</v>
      </c>
      <c r="J19" s="222">
        <f t="shared" ref="J19:J27" si="6">C19+G19</f>
        <v>0</v>
      </c>
      <c r="K19" s="222">
        <f t="shared" ref="K19:K27" si="7">D19+H19</f>
        <v>0</v>
      </c>
      <c r="L19" s="222">
        <f t="shared" ref="L19:L27" si="8">E19+I19</f>
        <v>0</v>
      </c>
      <c r="M19" s="222">
        <f t="shared" ref="M19" si="9">J19+K19-L19</f>
        <v>0</v>
      </c>
    </row>
    <row r="20" spans="1:13" ht="20.100000000000001" customHeight="1">
      <c r="A20" s="375">
        <f t="shared" ref="A20:A27" si="10">A9</f>
        <v>0</v>
      </c>
      <c r="B20" s="202"/>
      <c r="C20" s="222">
        <f>'明细表I3-2'!R15</f>
        <v>0</v>
      </c>
      <c r="D20" s="222">
        <f>'明细表I3-2'!S15+'明细表I3-2'!T15</f>
        <v>0</v>
      </c>
      <c r="E20" s="222">
        <f>'明细表I3-2'!U15+'明细表I3-2'!V15</f>
        <v>0</v>
      </c>
      <c r="F20" s="222">
        <f t="shared" ref="F20:F27" si="11">C20+D20-E20</f>
        <v>0</v>
      </c>
      <c r="G20" s="222">
        <f>'明细表I3-2'!X15</f>
        <v>0</v>
      </c>
      <c r="H20" s="222">
        <f>'明细表I3-2'!Y15</f>
        <v>0</v>
      </c>
      <c r="I20" s="222">
        <f>'明细表I3-2'!Z15</f>
        <v>0</v>
      </c>
      <c r="J20" s="222">
        <f t="shared" si="6"/>
        <v>0</v>
      </c>
      <c r="K20" s="222">
        <f t="shared" si="7"/>
        <v>0</v>
      </c>
      <c r="L20" s="222">
        <f t="shared" si="8"/>
        <v>0</v>
      </c>
      <c r="M20" s="222">
        <f t="shared" ref="M20:M26" si="12">J20+K20-L20</f>
        <v>0</v>
      </c>
    </row>
    <row r="21" spans="1:13" ht="20.100000000000001" customHeight="1">
      <c r="A21" s="375">
        <f t="shared" si="10"/>
        <v>0</v>
      </c>
      <c r="B21" s="202"/>
      <c r="C21" s="222">
        <f>'明细表I3-2'!R16</f>
        <v>0</v>
      </c>
      <c r="D21" s="222">
        <f>'明细表I3-2'!S16+'明细表I3-2'!T16</f>
        <v>0</v>
      </c>
      <c r="E21" s="222">
        <f>'明细表I3-2'!U16+'明细表I3-2'!V16</f>
        <v>0</v>
      </c>
      <c r="F21" s="222">
        <f t="shared" si="11"/>
        <v>0</v>
      </c>
      <c r="G21" s="222">
        <f>'明细表I3-2'!X16</f>
        <v>0</v>
      </c>
      <c r="H21" s="222">
        <f>'明细表I3-2'!Y16</f>
        <v>0</v>
      </c>
      <c r="I21" s="222">
        <f>'明细表I3-2'!Z16</f>
        <v>0</v>
      </c>
      <c r="J21" s="222">
        <f t="shared" si="6"/>
        <v>0</v>
      </c>
      <c r="K21" s="222">
        <f t="shared" si="7"/>
        <v>0</v>
      </c>
      <c r="L21" s="222">
        <f t="shared" si="8"/>
        <v>0</v>
      </c>
      <c r="M21" s="222">
        <f t="shared" si="12"/>
        <v>0</v>
      </c>
    </row>
    <row r="22" spans="1:13" ht="20.100000000000001" customHeight="1">
      <c r="A22" s="375">
        <f t="shared" si="10"/>
        <v>0</v>
      </c>
      <c r="B22" s="202"/>
      <c r="C22" s="222">
        <f>'明细表I3-2'!R17</f>
        <v>0</v>
      </c>
      <c r="D22" s="222">
        <f>'明细表I3-2'!S17+'明细表I3-2'!T17</f>
        <v>0</v>
      </c>
      <c r="E22" s="222">
        <f>'明细表I3-2'!U17+'明细表I3-2'!V17</f>
        <v>0</v>
      </c>
      <c r="F22" s="222">
        <f t="shared" si="11"/>
        <v>0</v>
      </c>
      <c r="G22" s="222">
        <f>'明细表I3-2'!X17</f>
        <v>0</v>
      </c>
      <c r="H22" s="222">
        <f>'明细表I3-2'!Y17</f>
        <v>0</v>
      </c>
      <c r="I22" s="222">
        <f>'明细表I3-2'!Z17</f>
        <v>0</v>
      </c>
      <c r="J22" s="222">
        <f t="shared" si="6"/>
        <v>0</v>
      </c>
      <c r="K22" s="222">
        <f t="shared" si="7"/>
        <v>0</v>
      </c>
      <c r="L22" s="222">
        <f t="shared" si="8"/>
        <v>0</v>
      </c>
      <c r="M22" s="222">
        <f t="shared" si="12"/>
        <v>0</v>
      </c>
    </row>
    <row r="23" spans="1:13" ht="20.100000000000001" customHeight="1">
      <c r="A23" s="375">
        <f t="shared" si="10"/>
        <v>0</v>
      </c>
      <c r="B23" s="202"/>
      <c r="C23" s="222">
        <f>'明细表I3-2'!R18</f>
        <v>0</v>
      </c>
      <c r="D23" s="222">
        <f>'明细表I3-2'!S18+'明细表I3-2'!T18</f>
        <v>0</v>
      </c>
      <c r="E23" s="222">
        <f>'明细表I3-2'!U18+'明细表I3-2'!V18</f>
        <v>0</v>
      </c>
      <c r="F23" s="222">
        <f t="shared" si="11"/>
        <v>0</v>
      </c>
      <c r="G23" s="222">
        <f>'明细表I3-2'!X18</f>
        <v>0</v>
      </c>
      <c r="H23" s="222">
        <f>'明细表I3-2'!Y18</f>
        <v>0</v>
      </c>
      <c r="I23" s="222">
        <f>'明细表I3-2'!Z18</f>
        <v>0</v>
      </c>
      <c r="J23" s="222">
        <f t="shared" si="6"/>
        <v>0</v>
      </c>
      <c r="K23" s="222">
        <f t="shared" si="7"/>
        <v>0</v>
      </c>
      <c r="L23" s="222">
        <f t="shared" si="8"/>
        <v>0</v>
      </c>
      <c r="M23" s="222">
        <f t="shared" si="12"/>
        <v>0</v>
      </c>
    </row>
    <row r="24" spans="1:13" ht="20.100000000000001" customHeight="1">
      <c r="A24" s="375">
        <f t="shared" si="10"/>
        <v>0</v>
      </c>
      <c r="B24" s="202"/>
      <c r="C24" s="222">
        <f>'明细表I3-2'!R19</f>
        <v>0</v>
      </c>
      <c r="D24" s="222">
        <f>'明细表I3-2'!S19+'明细表I3-2'!T19</f>
        <v>0</v>
      </c>
      <c r="E24" s="222">
        <f>'明细表I3-2'!U19+'明细表I3-2'!V19</f>
        <v>0</v>
      </c>
      <c r="F24" s="222">
        <f t="shared" si="11"/>
        <v>0</v>
      </c>
      <c r="G24" s="222">
        <f>'明细表I3-2'!X19</f>
        <v>0</v>
      </c>
      <c r="H24" s="222">
        <f>'明细表I3-2'!Y19</f>
        <v>0</v>
      </c>
      <c r="I24" s="222">
        <f>'明细表I3-2'!Z19</f>
        <v>0</v>
      </c>
      <c r="J24" s="222">
        <f t="shared" si="6"/>
        <v>0</v>
      </c>
      <c r="K24" s="222">
        <f t="shared" si="7"/>
        <v>0</v>
      </c>
      <c r="L24" s="222">
        <f t="shared" si="8"/>
        <v>0</v>
      </c>
      <c r="M24" s="222">
        <f t="shared" si="12"/>
        <v>0</v>
      </c>
    </row>
    <row r="25" spans="1:13" ht="20.100000000000001" customHeight="1">
      <c r="A25" s="375">
        <f t="shared" si="10"/>
        <v>0</v>
      </c>
      <c r="B25" s="202"/>
      <c r="C25" s="222">
        <f>'明细表I3-2'!R20</f>
        <v>0</v>
      </c>
      <c r="D25" s="222">
        <f>'明细表I3-2'!S20+'明细表I3-2'!T20</f>
        <v>0</v>
      </c>
      <c r="E25" s="222">
        <f>'明细表I3-2'!U20+'明细表I3-2'!V20</f>
        <v>0</v>
      </c>
      <c r="F25" s="222">
        <f t="shared" si="11"/>
        <v>0</v>
      </c>
      <c r="G25" s="222">
        <f>'明细表I3-2'!X20</f>
        <v>0</v>
      </c>
      <c r="H25" s="222">
        <f>'明细表I3-2'!Y20</f>
        <v>0</v>
      </c>
      <c r="I25" s="222">
        <f>'明细表I3-2'!Z20</f>
        <v>0</v>
      </c>
      <c r="J25" s="222">
        <f t="shared" si="6"/>
        <v>0</v>
      </c>
      <c r="K25" s="222">
        <f t="shared" si="7"/>
        <v>0</v>
      </c>
      <c r="L25" s="222">
        <f t="shared" si="8"/>
        <v>0</v>
      </c>
      <c r="M25" s="222">
        <f t="shared" si="12"/>
        <v>0</v>
      </c>
    </row>
    <row r="26" spans="1:13" ht="20.100000000000001" customHeight="1">
      <c r="A26" s="375">
        <f t="shared" si="10"/>
        <v>0</v>
      </c>
      <c r="B26" s="202"/>
      <c r="C26" s="222">
        <f>'明细表I3-2'!R21</f>
        <v>0</v>
      </c>
      <c r="D26" s="222">
        <f>'明细表I3-2'!S21+'明细表I3-2'!T21</f>
        <v>0</v>
      </c>
      <c r="E26" s="222">
        <f>'明细表I3-2'!U21+'明细表I3-2'!V21</f>
        <v>0</v>
      </c>
      <c r="F26" s="222">
        <f t="shared" si="11"/>
        <v>0</v>
      </c>
      <c r="G26" s="222">
        <f>'明细表I3-2'!X21</f>
        <v>0</v>
      </c>
      <c r="H26" s="222">
        <f>'明细表I3-2'!Y21</f>
        <v>0</v>
      </c>
      <c r="I26" s="222">
        <f>'明细表I3-2'!Z21</f>
        <v>0</v>
      </c>
      <c r="J26" s="222">
        <f t="shared" si="6"/>
        <v>0</v>
      </c>
      <c r="K26" s="222">
        <f t="shared" si="7"/>
        <v>0</v>
      </c>
      <c r="L26" s="222">
        <f t="shared" si="8"/>
        <v>0</v>
      </c>
      <c r="M26" s="222">
        <f t="shared" si="12"/>
        <v>0</v>
      </c>
    </row>
    <row r="27" spans="1:13" ht="20.100000000000001" customHeight="1">
      <c r="A27" s="375">
        <f t="shared" si="10"/>
        <v>0</v>
      </c>
      <c r="B27" s="202"/>
      <c r="C27" s="222">
        <f>'明细表I3-2'!R22</f>
        <v>0</v>
      </c>
      <c r="D27" s="222">
        <f>'明细表I3-2'!S22+'明细表I3-2'!T22</f>
        <v>0</v>
      </c>
      <c r="E27" s="222">
        <f>'明细表I3-2'!U22+'明细表I3-2'!V22</f>
        <v>0</v>
      </c>
      <c r="F27" s="222">
        <f t="shared" si="11"/>
        <v>0</v>
      </c>
      <c r="G27" s="222">
        <f>'明细表I3-2'!X22</f>
        <v>0</v>
      </c>
      <c r="H27" s="222">
        <f>'明细表I3-2'!Y22</f>
        <v>0</v>
      </c>
      <c r="I27" s="222">
        <f>'明细表I3-2'!Z22</f>
        <v>0</v>
      </c>
      <c r="J27" s="222">
        <f t="shared" si="6"/>
        <v>0</v>
      </c>
      <c r="K27" s="222">
        <f t="shared" si="7"/>
        <v>0</v>
      </c>
      <c r="L27" s="222">
        <f t="shared" si="8"/>
        <v>0</v>
      </c>
      <c r="M27" s="222">
        <f t="shared" ref="M27" si="13">J27+K27-L27</f>
        <v>0</v>
      </c>
    </row>
    <row r="28" spans="1:13" s="193" customFormat="1" ht="20.100000000000001" customHeight="1">
      <c r="A28" s="376" t="s">
        <v>142</v>
      </c>
      <c r="B28" s="216"/>
      <c r="C28" s="222">
        <f>SUM(C19:C27)</f>
        <v>0</v>
      </c>
      <c r="D28" s="222">
        <f t="shared" ref="D28:M28" si="14">SUM(D19:D27)</f>
        <v>0</v>
      </c>
      <c r="E28" s="222">
        <f t="shared" si="14"/>
        <v>0</v>
      </c>
      <c r="F28" s="222">
        <f t="shared" si="14"/>
        <v>0</v>
      </c>
      <c r="G28" s="222">
        <f t="shared" si="14"/>
        <v>0</v>
      </c>
      <c r="H28" s="222">
        <f t="shared" si="14"/>
        <v>0</v>
      </c>
      <c r="I28" s="222">
        <f t="shared" si="14"/>
        <v>0</v>
      </c>
      <c r="J28" s="222">
        <f t="shared" si="14"/>
        <v>0</v>
      </c>
      <c r="K28" s="222">
        <f t="shared" si="14"/>
        <v>0</v>
      </c>
      <c r="L28" s="222">
        <f t="shared" si="14"/>
        <v>0</v>
      </c>
      <c r="M28" s="222">
        <f t="shared" si="14"/>
        <v>0</v>
      </c>
    </row>
    <row r="29" spans="1:13" s="282" customFormat="1" ht="20.100000000000001" customHeight="1">
      <c r="A29" s="374" t="s">
        <v>629</v>
      </c>
      <c r="B29" s="286"/>
      <c r="C29" s="215"/>
      <c r="D29" s="215"/>
      <c r="E29" s="215"/>
      <c r="F29" s="215"/>
      <c r="G29" s="215"/>
      <c r="H29" s="215"/>
      <c r="I29" s="215"/>
      <c r="J29" s="215"/>
      <c r="K29" s="215"/>
      <c r="L29" s="215"/>
      <c r="M29" s="215"/>
    </row>
    <row r="30" spans="1:13" ht="20.100000000000001" customHeight="1">
      <c r="A30" s="375">
        <f>A8</f>
        <v>0</v>
      </c>
      <c r="B30" s="202"/>
      <c r="C30" s="222">
        <f>C8-C19</f>
        <v>0</v>
      </c>
      <c r="D30" s="222">
        <f t="shared" ref="D30:M30" si="15">D8-D19</f>
        <v>0</v>
      </c>
      <c r="E30" s="222">
        <f t="shared" si="15"/>
        <v>0</v>
      </c>
      <c r="F30" s="222">
        <f t="shared" si="15"/>
        <v>0</v>
      </c>
      <c r="G30" s="222">
        <f t="shared" si="15"/>
        <v>0</v>
      </c>
      <c r="H30" s="222">
        <f t="shared" si="15"/>
        <v>0</v>
      </c>
      <c r="I30" s="222">
        <f t="shared" si="15"/>
        <v>0</v>
      </c>
      <c r="J30" s="222">
        <f t="shared" si="15"/>
        <v>0</v>
      </c>
      <c r="K30" s="222">
        <f t="shared" si="15"/>
        <v>0</v>
      </c>
      <c r="L30" s="222">
        <f t="shared" si="15"/>
        <v>0</v>
      </c>
      <c r="M30" s="222">
        <f t="shared" si="15"/>
        <v>0</v>
      </c>
    </row>
    <row r="31" spans="1:13" ht="20.100000000000001" customHeight="1">
      <c r="A31" s="375">
        <f t="shared" ref="A31:A38" si="16">A9</f>
        <v>0</v>
      </c>
      <c r="B31" s="202"/>
      <c r="C31" s="222">
        <f t="shared" ref="C31:M31" si="17">C9-C20</f>
        <v>0</v>
      </c>
      <c r="D31" s="222">
        <f t="shared" si="17"/>
        <v>0</v>
      </c>
      <c r="E31" s="222">
        <f t="shared" si="17"/>
        <v>0</v>
      </c>
      <c r="F31" s="222">
        <f t="shared" si="17"/>
        <v>0</v>
      </c>
      <c r="G31" s="222">
        <f t="shared" si="17"/>
        <v>0</v>
      </c>
      <c r="H31" s="222">
        <f t="shared" si="17"/>
        <v>0</v>
      </c>
      <c r="I31" s="222">
        <f t="shared" si="17"/>
        <v>0</v>
      </c>
      <c r="J31" s="222">
        <f t="shared" si="17"/>
        <v>0</v>
      </c>
      <c r="K31" s="222">
        <f t="shared" si="17"/>
        <v>0</v>
      </c>
      <c r="L31" s="222">
        <f t="shared" si="17"/>
        <v>0</v>
      </c>
      <c r="M31" s="222">
        <f t="shared" si="17"/>
        <v>0</v>
      </c>
    </row>
    <row r="32" spans="1:13" ht="20.100000000000001" customHeight="1">
      <c r="A32" s="375">
        <f t="shared" si="16"/>
        <v>0</v>
      </c>
      <c r="B32" s="202"/>
      <c r="C32" s="222">
        <f t="shared" ref="C32:M32" si="18">C10-C21</f>
        <v>0</v>
      </c>
      <c r="D32" s="222">
        <f t="shared" si="18"/>
        <v>0</v>
      </c>
      <c r="E32" s="222">
        <f t="shared" si="18"/>
        <v>0</v>
      </c>
      <c r="F32" s="222">
        <f t="shared" si="18"/>
        <v>0</v>
      </c>
      <c r="G32" s="222">
        <f t="shared" si="18"/>
        <v>0</v>
      </c>
      <c r="H32" s="222">
        <f t="shared" si="18"/>
        <v>0</v>
      </c>
      <c r="I32" s="222">
        <f t="shared" si="18"/>
        <v>0</v>
      </c>
      <c r="J32" s="222">
        <f t="shared" si="18"/>
        <v>0</v>
      </c>
      <c r="K32" s="222">
        <f t="shared" si="18"/>
        <v>0</v>
      </c>
      <c r="L32" s="222">
        <f t="shared" si="18"/>
        <v>0</v>
      </c>
      <c r="M32" s="222">
        <f t="shared" si="18"/>
        <v>0</v>
      </c>
    </row>
    <row r="33" spans="1:13" ht="20.100000000000001" customHeight="1">
      <c r="A33" s="375">
        <f t="shared" si="16"/>
        <v>0</v>
      </c>
      <c r="B33" s="202"/>
      <c r="C33" s="222">
        <f t="shared" ref="C33:M33" si="19">C11-C22</f>
        <v>0</v>
      </c>
      <c r="D33" s="222">
        <f t="shared" si="19"/>
        <v>0</v>
      </c>
      <c r="E33" s="222">
        <f t="shared" si="19"/>
        <v>0</v>
      </c>
      <c r="F33" s="222">
        <f t="shared" si="19"/>
        <v>0</v>
      </c>
      <c r="G33" s="222">
        <f t="shared" si="19"/>
        <v>0</v>
      </c>
      <c r="H33" s="222">
        <f t="shared" si="19"/>
        <v>0</v>
      </c>
      <c r="I33" s="222">
        <f t="shared" si="19"/>
        <v>0</v>
      </c>
      <c r="J33" s="222">
        <f t="shared" si="19"/>
        <v>0</v>
      </c>
      <c r="K33" s="222">
        <f t="shared" si="19"/>
        <v>0</v>
      </c>
      <c r="L33" s="222">
        <f t="shared" si="19"/>
        <v>0</v>
      </c>
      <c r="M33" s="222">
        <f t="shared" si="19"/>
        <v>0</v>
      </c>
    </row>
    <row r="34" spans="1:13" ht="20.100000000000001" customHeight="1">
      <c r="A34" s="375">
        <f t="shared" si="16"/>
        <v>0</v>
      </c>
      <c r="B34" s="202"/>
      <c r="C34" s="222">
        <f t="shared" ref="C34:M34" si="20">C12-C23</f>
        <v>0</v>
      </c>
      <c r="D34" s="222">
        <f t="shared" si="20"/>
        <v>0</v>
      </c>
      <c r="E34" s="222">
        <f t="shared" si="20"/>
        <v>0</v>
      </c>
      <c r="F34" s="222">
        <f t="shared" si="20"/>
        <v>0</v>
      </c>
      <c r="G34" s="222">
        <f t="shared" si="20"/>
        <v>0</v>
      </c>
      <c r="H34" s="222">
        <f t="shared" si="20"/>
        <v>0</v>
      </c>
      <c r="I34" s="222">
        <f t="shared" si="20"/>
        <v>0</v>
      </c>
      <c r="J34" s="222">
        <f t="shared" si="20"/>
        <v>0</v>
      </c>
      <c r="K34" s="222">
        <f t="shared" si="20"/>
        <v>0</v>
      </c>
      <c r="L34" s="222">
        <f t="shared" si="20"/>
        <v>0</v>
      </c>
      <c r="M34" s="222">
        <f t="shared" si="20"/>
        <v>0</v>
      </c>
    </row>
    <row r="35" spans="1:13" ht="20.100000000000001" customHeight="1">
      <c r="A35" s="375">
        <f t="shared" si="16"/>
        <v>0</v>
      </c>
      <c r="B35" s="202"/>
      <c r="C35" s="222">
        <f t="shared" ref="C35:M35" si="21">C13-C24</f>
        <v>0</v>
      </c>
      <c r="D35" s="222">
        <f t="shared" si="21"/>
        <v>0</v>
      </c>
      <c r="E35" s="222">
        <f t="shared" si="21"/>
        <v>0</v>
      </c>
      <c r="F35" s="222">
        <f t="shared" si="21"/>
        <v>0</v>
      </c>
      <c r="G35" s="222">
        <f t="shared" si="21"/>
        <v>0</v>
      </c>
      <c r="H35" s="222">
        <f t="shared" si="21"/>
        <v>0</v>
      </c>
      <c r="I35" s="222">
        <f t="shared" si="21"/>
        <v>0</v>
      </c>
      <c r="J35" s="222">
        <f t="shared" si="21"/>
        <v>0</v>
      </c>
      <c r="K35" s="222">
        <f t="shared" si="21"/>
        <v>0</v>
      </c>
      <c r="L35" s="222">
        <f t="shared" si="21"/>
        <v>0</v>
      </c>
      <c r="M35" s="222">
        <f t="shared" si="21"/>
        <v>0</v>
      </c>
    </row>
    <row r="36" spans="1:13" ht="20.100000000000001" customHeight="1">
      <c r="A36" s="375">
        <f t="shared" si="16"/>
        <v>0</v>
      </c>
      <c r="B36" s="202"/>
      <c r="C36" s="222">
        <f t="shared" ref="C36:M36" si="22">C14-C25</f>
        <v>0</v>
      </c>
      <c r="D36" s="222">
        <f t="shared" si="22"/>
        <v>0</v>
      </c>
      <c r="E36" s="222">
        <f t="shared" si="22"/>
        <v>0</v>
      </c>
      <c r="F36" s="222">
        <f t="shared" si="22"/>
        <v>0</v>
      </c>
      <c r="G36" s="222">
        <f t="shared" si="22"/>
        <v>0</v>
      </c>
      <c r="H36" s="222">
        <f t="shared" si="22"/>
        <v>0</v>
      </c>
      <c r="I36" s="222">
        <f t="shared" si="22"/>
        <v>0</v>
      </c>
      <c r="J36" s="222">
        <f t="shared" si="22"/>
        <v>0</v>
      </c>
      <c r="K36" s="222">
        <f t="shared" si="22"/>
        <v>0</v>
      </c>
      <c r="L36" s="222">
        <f t="shared" si="22"/>
        <v>0</v>
      </c>
      <c r="M36" s="222">
        <f t="shared" si="22"/>
        <v>0</v>
      </c>
    </row>
    <row r="37" spans="1:13" ht="20.100000000000001" customHeight="1">
      <c r="A37" s="375">
        <f t="shared" si="16"/>
        <v>0</v>
      </c>
      <c r="B37" s="202"/>
      <c r="C37" s="222">
        <f t="shared" ref="C37:M37" si="23">C15-C26</f>
        <v>0</v>
      </c>
      <c r="D37" s="222">
        <f t="shared" si="23"/>
        <v>0</v>
      </c>
      <c r="E37" s="222">
        <f t="shared" si="23"/>
        <v>0</v>
      </c>
      <c r="F37" s="222">
        <f t="shared" si="23"/>
        <v>0</v>
      </c>
      <c r="G37" s="222">
        <f t="shared" si="23"/>
        <v>0</v>
      </c>
      <c r="H37" s="222">
        <f t="shared" si="23"/>
        <v>0</v>
      </c>
      <c r="I37" s="222">
        <f t="shared" si="23"/>
        <v>0</v>
      </c>
      <c r="J37" s="222">
        <f t="shared" si="23"/>
        <v>0</v>
      </c>
      <c r="K37" s="222">
        <f t="shared" si="23"/>
        <v>0</v>
      </c>
      <c r="L37" s="222">
        <f t="shared" si="23"/>
        <v>0</v>
      </c>
      <c r="M37" s="222">
        <f t="shared" si="23"/>
        <v>0</v>
      </c>
    </row>
    <row r="38" spans="1:13" ht="20.100000000000001" customHeight="1">
      <c r="A38" s="375">
        <f t="shared" si="16"/>
        <v>0</v>
      </c>
      <c r="B38" s="202"/>
      <c r="C38" s="222">
        <f t="shared" ref="C38:M38" si="24">C16-C27</f>
        <v>0</v>
      </c>
      <c r="D38" s="222">
        <f t="shared" si="24"/>
        <v>0</v>
      </c>
      <c r="E38" s="222">
        <f t="shared" si="24"/>
        <v>0</v>
      </c>
      <c r="F38" s="222">
        <f t="shared" si="24"/>
        <v>0</v>
      </c>
      <c r="G38" s="222">
        <f t="shared" si="24"/>
        <v>0</v>
      </c>
      <c r="H38" s="222">
        <f t="shared" si="24"/>
        <v>0</v>
      </c>
      <c r="I38" s="222">
        <f t="shared" si="24"/>
        <v>0</v>
      </c>
      <c r="J38" s="222">
        <f t="shared" si="24"/>
        <v>0</v>
      </c>
      <c r="K38" s="222">
        <f t="shared" si="24"/>
        <v>0</v>
      </c>
      <c r="L38" s="222">
        <f t="shared" si="24"/>
        <v>0</v>
      </c>
      <c r="M38" s="222">
        <f t="shared" si="24"/>
        <v>0</v>
      </c>
    </row>
    <row r="39" spans="1:13" s="193" customFormat="1" ht="20.100000000000001" customHeight="1">
      <c r="A39" s="376" t="s">
        <v>142</v>
      </c>
      <c r="B39" s="216"/>
      <c r="C39" s="222">
        <f>SUM(C30:C38)</f>
        <v>0</v>
      </c>
      <c r="D39" s="222">
        <f t="shared" ref="D39:M39" si="25">SUM(D30:D38)</f>
        <v>0</v>
      </c>
      <c r="E39" s="222">
        <f t="shared" si="25"/>
        <v>0</v>
      </c>
      <c r="F39" s="222">
        <f t="shared" si="25"/>
        <v>0</v>
      </c>
      <c r="G39" s="222">
        <f t="shared" si="25"/>
        <v>0</v>
      </c>
      <c r="H39" s="222">
        <f t="shared" si="25"/>
        <v>0</v>
      </c>
      <c r="I39" s="222">
        <f t="shared" si="25"/>
        <v>0</v>
      </c>
      <c r="J39" s="222">
        <f t="shared" si="25"/>
        <v>0</v>
      </c>
      <c r="K39" s="222">
        <f t="shared" si="25"/>
        <v>0</v>
      </c>
      <c r="L39" s="222">
        <f t="shared" si="25"/>
        <v>0</v>
      </c>
      <c r="M39" s="222">
        <f t="shared" si="25"/>
        <v>0</v>
      </c>
    </row>
    <row r="40" spans="1:13" s="193" customFormat="1" ht="20.100000000000001" customHeight="1">
      <c r="A40" s="241" t="s">
        <v>630</v>
      </c>
      <c r="B40" s="287"/>
      <c r="C40" s="287"/>
      <c r="D40" s="287"/>
      <c r="E40" s="287"/>
      <c r="F40" s="287"/>
      <c r="G40" s="287"/>
      <c r="H40" s="287"/>
      <c r="I40" s="287"/>
      <c r="J40" s="287"/>
      <c r="K40" s="287"/>
      <c r="L40" s="287"/>
      <c r="M40" s="287"/>
    </row>
    <row r="41" spans="1:13" s="193" customFormat="1" ht="20.100000000000001" customHeight="1">
      <c r="A41" s="288" t="s">
        <v>73</v>
      </c>
      <c r="B41" s="287"/>
      <c r="C41" s="289">
        <f t="shared" ref="C41:M41" si="26">C39-C40</f>
        <v>0</v>
      </c>
      <c r="D41" s="289">
        <f t="shared" si="26"/>
        <v>0</v>
      </c>
      <c r="E41" s="289">
        <f t="shared" si="26"/>
        <v>0</v>
      </c>
      <c r="F41" s="289">
        <f t="shared" si="26"/>
        <v>0</v>
      </c>
      <c r="G41" s="289">
        <f t="shared" si="26"/>
        <v>0</v>
      </c>
      <c r="H41" s="289">
        <f t="shared" si="26"/>
        <v>0</v>
      </c>
      <c r="I41" s="289">
        <f t="shared" si="26"/>
        <v>0</v>
      </c>
      <c r="J41" s="289">
        <f t="shared" si="26"/>
        <v>0</v>
      </c>
      <c r="K41" s="289">
        <f t="shared" si="26"/>
        <v>0</v>
      </c>
      <c r="L41" s="289">
        <f t="shared" si="26"/>
        <v>0</v>
      </c>
      <c r="M41" s="289">
        <f t="shared" si="26"/>
        <v>0</v>
      </c>
    </row>
    <row r="42" spans="1:13" s="193" customFormat="1" ht="20.100000000000001" customHeight="1">
      <c r="A42" s="290" t="s">
        <v>74</v>
      </c>
    </row>
    <row r="43" spans="1:13" s="283" customFormat="1" ht="20.100000000000001" customHeight="1">
      <c r="A43" s="291"/>
      <c r="B43" s="242"/>
      <c r="C43" s="242"/>
      <c r="D43" s="242"/>
      <c r="E43" s="242"/>
      <c r="F43" s="242"/>
      <c r="G43" s="242"/>
      <c r="H43" s="242"/>
      <c r="I43" s="242"/>
      <c r="J43" s="242"/>
      <c r="K43" s="242"/>
      <c r="L43" s="242"/>
      <c r="M43" s="242"/>
    </row>
    <row r="44" spans="1:13" s="283" customFormat="1" ht="20.100000000000001" customHeight="1">
      <c r="A44" s="291"/>
      <c r="B44" s="242"/>
      <c r="C44" s="242"/>
      <c r="D44" s="242"/>
      <c r="E44" s="242"/>
      <c r="F44" s="242"/>
      <c r="G44" s="242"/>
      <c r="H44" s="242"/>
      <c r="I44" s="242"/>
      <c r="J44" s="242"/>
      <c r="K44" s="242"/>
      <c r="L44" s="242"/>
      <c r="M44" s="242"/>
    </row>
    <row r="45" spans="1:13" s="193" customFormat="1" ht="20.100000000000001" customHeight="1">
      <c r="A45" s="290" t="s">
        <v>75</v>
      </c>
    </row>
    <row r="46" spans="1:13" ht="20.100000000000001" hidden="1" customHeight="1">
      <c r="C46" s="196" t="s">
        <v>76</v>
      </c>
    </row>
    <row r="47" spans="1:13" ht="20.100000000000001" hidden="1" customHeight="1">
      <c r="C47" s="196" t="s">
        <v>77</v>
      </c>
    </row>
    <row r="48" spans="1:13" ht="20.100000000000001" hidden="1" customHeight="1">
      <c r="C48" s="196" t="s">
        <v>78</v>
      </c>
    </row>
    <row r="50" spans="1:1" ht="18" customHeight="1">
      <c r="A50" s="291" t="s">
        <v>79</v>
      </c>
    </row>
    <row r="51" spans="1:1" ht="18" customHeight="1">
      <c r="A51" s="291" t="s">
        <v>80</v>
      </c>
    </row>
    <row r="52" spans="1:1" ht="18" customHeight="1">
      <c r="A52" s="291" t="s">
        <v>81</v>
      </c>
    </row>
    <row r="53" spans="1:1" ht="18" customHeight="1">
      <c r="A53" s="291" t="s">
        <v>82</v>
      </c>
    </row>
    <row r="54" spans="1:1" ht="18" customHeight="1">
      <c r="A54" s="291" t="s">
        <v>83</v>
      </c>
    </row>
    <row r="55" spans="1:1" ht="18" customHeight="1">
      <c r="A55" s="291" t="s">
        <v>84</v>
      </c>
    </row>
    <row r="56" spans="1:1" ht="18" customHeight="1">
      <c r="A56" s="291" t="s">
        <v>85</v>
      </c>
    </row>
  </sheetData>
  <mergeCells count="7">
    <mergeCell ref="A1:M1"/>
    <mergeCell ref="A2:M2"/>
    <mergeCell ref="C5:F5"/>
    <mergeCell ref="G5:I5"/>
    <mergeCell ref="J5:M5"/>
    <mergeCell ref="A5:A6"/>
    <mergeCell ref="B5:B6"/>
  </mergeCells>
  <phoneticPr fontId="36" type="noConversion"/>
  <conditionalFormatting sqref="C41:M41">
    <cfRule type="cellIs" dxfId="0" priority="1" operator="notEqual">
      <formula>0</formula>
    </cfRule>
  </conditionalFormatting>
  <dataValidations count="1">
    <dataValidation type="list" allowBlank="1" showInputMessage="1" showErrorMessage="1" sqref="B45">
      <formula1>$C$46:$C$48</formula1>
    </dataValidation>
  </dataValidations>
  <hyperlinks>
    <hyperlink ref="M3" location="底稿目录!A1" display="I3-1"/>
  </hyperlinks>
  <printOptions horizontalCentered="1"/>
  <pageMargins left="0.59055118110236227" right="0.59055118110236227" top="0.78740157480314965" bottom="0.39370078740157483" header="0.51181102362204722" footer="0.31496062992125984"/>
  <pageSetup paperSize="9" scale="98" fitToHeight="0" orientation="landscape" blackAndWhite="1" r:id="rId1"/>
  <headerFooter>
    <oddFooter>&amp;C&amp;P/&amp;N</oddFooter>
  </headerFooter>
  <rowBreaks count="1" manualBreakCount="1">
    <brk id="26" max="12"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H41"/>
  <sheetViews>
    <sheetView view="pageBreakPreview" zoomScaleNormal="100" workbookViewId="0">
      <selection sqref="A1:H1"/>
    </sheetView>
  </sheetViews>
  <sheetFormatPr defaultColWidth="9" defaultRowHeight="18" customHeight="1"/>
  <cols>
    <col min="1" max="1" width="23.44140625" style="259" customWidth="1"/>
    <col min="2" max="3" width="14.6640625" style="196" customWidth="1"/>
    <col min="4" max="4" width="17.77734375" style="196" customWidth="1"/>
    <col min="5" max="5" width="14.6640625" style="196" customWidth="1"/>
    <col min="6" max="6" width="16.21875" style="196" customWidth="1"/>
    <col min="7" max="7" width="13.44140625" style="196" customWidth="1"/>
    <col min="8" max="8" width="17" style="196" customWidth="1"/>
    <col min="9" max="16384" width="9" style="196"/>
  </cols>
  <sheetData>
    <row r="1" spans="1:8" s="193" customFormat="1" ht="20.100000000000001" customHeight="1">
      <c r="A1" s="474" t="s">
        <v>65</v>
      </c>
      <c r="B1" s="474"/>
      <c r="C1" s="474"/>
      <c r="D1" s="474"/>
      <c r="E1" s="474"/>
      <c r="F1" s="474"/>
      <c r="G1" s="474"/>
      <c r="H1" s="474"/>
    </row>
    <row r="2" spans="1:8" s="194" customFormat="1" ht="25.05" customHeight="1">
      <c r="A2" s="462" t="s">
        <v>86</v>
      </c>
      <c r="B2" s="462"/>
      <c r="C2" s="462"/>
      <c r="D2" s="462"/>
      <c r="E2" s="462"/>
      <c r="F2" s="462"/>
      <c r="G2" s="462"/>
      <c r="H2" s="462"/>
    </row>
    <row r="3" spans="1:8" ht="20.100000000000001" customHeight="1">
      <c r="A3" s="259" t="str">
        <f>底稿目录!A2</f>
        <v>被审计单位：</v>
      </c>
      <c r="C3" s="196" t="str">
        <f>底稿目录!A4</f>
        <v>编制人：</v>
      </c>
      <c r="E3" s="204" t="str">
        <f>底稿目录!A5</f>
        <v>编制日期：</v>
      </c>
      <c r="F3" s="260"/>
      <c r="G3" s="204" t="s">
        <v>67</v>
      </c>
      <c r="H3" s="206"/>
    </row>
    <row r="4" spans="1:8" ht="20.100000000000001" customHeight="1">
      <c r="A4" s="259" t="str">
        <f>底稿目录!A3</f>
        <v>截止日：202X年12月31日</v>
      </c>
      <c r="C4" s="196" t="str">
        <f>底稿目录!A6</f>
        <v>复核人：</v>
      </c>
      <c r="E4" s="204" t="str">
        <f>底稿目录!A7</f>
        <v>复核日期：</v>
      </c>
      <c r="F4" s="260"/>
      <c r="G4" s="204" t="s">
        <v>68</v>
      </c>
      <c r="H4" s="206"/>
    </row>
    <row r="5" spans="1:8" s="244" customFormat="1" ht="20.100000000000001" customHeight="1">
      <c r="A5" s="246" t="s">
        <v>29</v>
      </c>
    </row>
    <row r="6" spans="1:8" s="244" customFormat="1" ht="20.100000000000001" customHeight="1">
      <c r="A6" s="246" t="s">
        <v>87</v>
      </c>
    </row>
    <row r="7" spans="1:8" s="244" customFormat="1" ht="20.100000000000001" customHeight="1">
      <c r="A7" s="467" t="s">
        <v>88</v>
      </c>
      <c r="B7" s="471" t="s">
        <v>89</v>
      </c>
      <c r="C7" s="471" t="s">
        <v>90</v>
      </c>
      <c r="D7" s="471"/>
      <c r="E7" s="471"/>
      <c r="F7" s="471" t="s">
        <v>91</v>
      </c>
      <c r="G7" s="471"/>
      <c r="H7" s="471" t="s">
        <v>92</v>
      </c>
    </row>
    <row r="8" spans="1:8" s="244" customFormat="1" ht="48.75" customHeight="1">
      <c r="A8" s="468"/>
      <c r="B8" s="472"/>
      <c r="C8" s="263" t="s">
        <v>93</v>
      </c>
      <c r="D8" s="263" t="s">
        <v>94</v>
      </c>
      <c r="E8" s="264" t="s">
        <v>95</v>
      </c>
      <c r="F8" s="263" t="s">
        <v>96</v>
      </c>
      <c r="G8" s="264" t="s">
        <v>95</v>
      </c>
      <c r="H8" s="472"/>
    </row>
    <row r="9" spans="1:8" s="244" customFormat="1" ht="20.100000000000001" customHeight="1">
      <c r="A9" s="265">
        <f>'明细表I3-2'!A14</f>
        <v>0</v>
      </c>
      <c r="B9" s="266">
        <f>'明细表I3-2'!M14</f>
        <v>0</v>
      </c>
      <c r="C9" s="266">
        <f>IF('明细表I3-2'!F14="企业合并形成",'明细表I3-2'!N14,0)</f>
        <v>0</v>
      </c>
      <c r="D9" s="266">
        <f>IF('明细表I3-2'!F14="取得构成业务的共同经营的利益份额形成",'明细表I3-2'!N14,0)</f>
        <v>0</v>
      </c>
      <c r="E9" s="266">
        <f>IF('明细表I3-2'!F14="其他",'明细表I3-2'!N14,0)</f>
        <v>0</v>
      </c>
      <c r="F9" s="266">
        <f>IF('明细表I3-2'!H14="处置",'明细表I3-2'!O14,0)</f>
        <v>0</v>
      </c>
      <c r="G9" s="266">
        <f>IF('明细表I3-2'!H14="其他减少",'明细表I3-2'!O14,0)</f>
        <v>0</v>
      </c>
      <c r="H9" s="267">
        <f>B9+C9+D9+E9-F9-G9</f>
        <v>0</v>
      </c>
    </row>
    <row r="10" spans="1:8" s="244" customFormat="1" ht="20.100000000000001" customHeight="1">
      <c r="A10" s="265">
        <f>'明细表I3-2'!A15</f>
        <v>0</v>
      </c>
      <c r="B10" s="266">
        <f>'明细表I3-2'!M15</f>
        <v>0</v>
      </c>
      <c r="C10" s="266">
        <f>IF('明细表I3-2'!F15="企业合并形成",'明细表I3-2'!N15,0)</f>
        <v>0</v>
      </c>
      <c r="D10" s="266">
        <f>IF('明细表I3-2'!F15="取得构成业务的共同经营的利益份额形成",'明细表I3-2'!N15,0)</f>
        <v>0</v>
      </c>
      <c r="E10" s="266">
        <f>IF('明细表I3-2'!F15="其他",'明细表I3-2'!N15,0)</f>
        <v>0</v>
      </c>
      <c r="F10" s="266">
        <f>IF('明细表I3-2'!H15="处置",'明细表I3-2'!O15,0)</f>
        <v>0</v>
      </c>
      <c r="G10" s="266">
        <f>IF('明细表I3-2'!H15="其他减少",'明细表I3-2'!O15,0)</f>
        <v>0</v>
      </c>
      <c r="H10" s="267">
        <f t="shared" ref="H10:H17" si="0">B10+C10+D10+E10-F10-G10</f>
        <v>0</v>
      </c>
    </row>
    <row r="11" spans="1:8" s="244" customFormat="1" ht="20.100000000000001" customHeight="1">
      <c r="A11" s="265">
        <f>'明细表I3-2'!A16</f>
        <v>0</v>
      </c>
      <c r="B11" s="266">
        <f>'明细表I3-2'!M16</f>
        <v>0</v>
      </c>
      <c r="C11" s="266">
        <f>IF('明细表I3-2'!F16="企业合并形成",'明细表I3-2'!N16,0)</f>
        <v>0</v>
      </c>
      <c r="D11" s="266">
        <f>IF('明细表I3-2'!F16="取得构成业务的共同经营的利益份额形成",'明细表I3-2'!N16,0)</f>
        <v>0</v>
      </c>
      <c r="E11" s="266">
        <f>IF('明细表I3-2'!F16="其他",'明细表I3-2'!N16,0)</f>
        <v>0</v>
      </c>
      <c r="F11" s="266">
        <f>IF('明细表I3-2'!H16="处置",'明细表I3-2'!O16,0)</f>
        <v>0</v>
      </c>
      <c r="G11" s="266">
        <f>IF('明细表I3-2'!H16="其他减少",'明细表I3-2'!O16,0)</f>
        <v>0</v>
      </c>
      <c r="H11" s="267">
        <f t="shared" si="0"/>
        <v>0</v>
      </c>
    </row>
    <row r="12" spans="1:8" s="244" customFormat="1" ht="20.100000000000001" customHeight="1">
      <c r="A12" s="265">
        <f>'明细表I3-2'!A17</f>
        <v>0</v>
      </c>
      <c r="B12" s="266">
        <f>'明细表I3-2'!M17</f>
        <v>0</v>
      </c>
      <c r="C12" s="266">
        <f>IF('明细表I3-2'!F17="企业合并形成",'明细表I3-2'!N17,0)</f>
        <v>0</v>
      </c>
      <c r="D12" s="266">
        <f>IF('明细表I3-2'!F17="取得构成业务的共同经营的利益份额形成",'明细表I3-2'!N17,0)</f>
        <v>0</v>
      </c>
      <c r="E12" s="266">
        <f>IF('明细表I3-2'!F17="其他",'明细表I3-2'!N17,0)</f>
        <v>0</v>
      </c>
      <c r="F12" s="266">
        <f>IF('明细表I3-2'!H17="处置",'明细表I3-2'!O17,0)</f>
        <v>0</v>
      </c>
      <c r="G12" s="266">
        <f>IF('明细表I3-2'!H17="其他减少",'明细表I3-2'!O17,0)</f>
        <v>0</v>
      </c>
      <c r="H12" s="267">
        <f t="shared" si="0"/>
        <v>0</v>
      </c>
    </row>
    <row r="13" spans="1:8" s="244" customFormat="1" ht="20.100000000000001" customHeight="1">
      <c r="A13" s="265">
        <f>'明细表I3-2'!A18</f>
        <v>0</v>
      </c>
      <c r="B13" s="266">
        <f>'明细表I3-2'!M18</f>
        <v>0</v>
      </c>
      <c r="C13" s="266">
        <f>IF('明细表I3-2'!F18="企业合并形成",'明细表I3-2'!N18,0)</f>
        <v>0</v>
      </c>
      <c r="D13" s="266">
        <f>IF('明细表I3-2'!F18="取得构成业务的共同经营的利益份额形成",'明细表I3-2'!N18,0)</f>
        <v>0</v>
      </c>
      <c r="E13" s="266">
        <f>IF('明细表I3-2'!F18="其他",'明细表I3-2'!N18,0)</f>
        <v>0</v>
      </c>
      <c r="F13" s="266">
        <f>IF('明细表I3-2'!H18="处置",'明细表I3-2'!O18,0)</f>
        <v>0</v>
      </c>
      <c r="G13" s="266">
        <f>IF('明细表I3-2'!H18="其他减少",'明细表I3-2'!O18,0)</f>
        <v>0</v>
      </c>
      <c r="H13" s="267">
        <f t="shared" si="0"/>
        <v>0</v>
      </c>
    </row>
    <row r="14" spans="1:8" s="244" customFormat="1" ht="20.100000000000001" customHeight="1">
      <c r="A14" s="265">
        <f>'明细表I3-2'!A19</f>
        <v>0</v>
      </c>
      <c r="B14" s="266">
        <f>'明细表I3-2'!M19</f>
        <v>0</v>
      </c>
      <c r="C14" s="266">
        <f>IF('明细表I3-2'!F19="企业合并形成",'明细表I3-2'!N19,0)</f>
        <v>0</v>
      </c>
      <c r="D14" s="266">
        <f>IF('明细表I3-2'!F19="取得构成业务的共同经营的利益份额形成",'明细表I3-2'!N19,0)</f>
        <v>0</v>
      </c>
      <c r="E14" s="266">
        <f>IF('明细表I3-2'!F19="其他",'明细表I3-2'!N19,0)</f>
        <v>0</v>
      </c>
      <c r="F14" s="266">
        <f>IF('明细表I3-2'!H19="处置",'明细表I3-2'!O19,0)</f>
        <v>0</v>
      </c>
      <c r="G14" s="266">
        <f>IF('明细表I3-2'!H19="其他减少",'明细表I3-2'!O19,0)</f>
        <v>0</v>
      </c>
      <c r="H14" s="267">
        <f t="shared" si="0"/>
        <v>0</v>
      </c>
    </row>
    <row r="15" spans="1:8" s="244" customFormat="1" ht="20.100000000000001" customHeight="1">
      <c r="A15" s="265">
        <f>'明细表I3-2'!A20</f>
        <v>0</v>
      </c>
      <c r="B15" s="266">
        <f>'明细表I3-2'!M20</f>
        <v>0</v>
      </c>
      <c r="C15" s="266">
        <f>IF('明细表I3-2'!F20="企业合并形成",'明细表I3-2'!N20,0)</f>
        <v>0</v>
      </c>
      <c r="D15" s="266">
        <f>IF('明细表I3-2'!F20="取得构成业务的共同经营的利益份额形成",'明细表I3-2'!N20,0)</f>
        <v>0</v>
      </c>
      <c r="E15" s="266">
        <f>IF('明细表I3-2'!F20="其他",'明细表I3-2'!N20,0)</f>
        <v>0</v>
      </c>
      <c r="F15" s="266">
        <f>IF('明细表I3-2'!H20="处置",'明细表I3-2'!O20,0)</f>
        <v>0</v>
      </c>
      <c r="G15" s="266">
        <f>IF('明细表I3-2'!H20="其他减少",'明细表I3-2'!O20,0)</f>
        <v>0</v>
      </c>
      <c r="H15" s="267">
        <f t="shared" si="0"/>
        <v>0</v>
      </c>
    </row>
    <row r="16" spans="1:8" s="244" customFormat="1" ht="20.100000000000001" customHeight="1">
      <c r="A16" s="265">
        <f>'明细表I3-2'!A21</f>
        <v>0</v>
      </c>
      <c r="B16" s="266">
        <f>'明细表I3-2'!M21</f>
        <v>0</v>
      </c>
      <c r="C16" s="266">
        <f>IF('明细表I3-2'!F21="企业合并形成",'明细表I3-2'!N21,0)</f>
        <v>0</v>
      </c>
      <c r="D16" s="266">
        <f>IF('明细表I3-2'!F21="取得构成业务的共同经营的利益份额形成",'明细表I3-2'!N21,0)</f>
        <v>0</v>
      </c>
      <c r="E16" s="266">
        <f>IF('明细表I3-2'!F21="其他",'明细表I3-2'!N21,0)</f>
        <v>0</v>
      </c>
      <c r="F16" s="266">
        <f>IF('明细表I3-2'!H21="处置",'明细表I3-2'!O21,0)</f>
        <v>0</v>
      </c>
      <c r="G16" s="266">
        <f>IF('明细表I3-2'!H21="其他减少",'明细表I3-2'!O21,0)</f>
        <v>0</v>
      </c>
      <c r="H16" s="267">
        <f t="shared" si="0"/>
        <v>0</v>
      </c>
    </row>
    <row r="17" spans="1:8" s="244" customFormat="1" ht="20.100000000000001" customHeight="1">
      <c r="A17" s="268">
        <f>'明细表I3-2'!A22</f>
        <v>0</v>
      </c>
      <c r="B17" s="269">
        <f>'明细表I3-2'!M22</f>
        <v>0</v>
      </c>
      <c r="C17" s="269">
        <f>IF('明细表I3-2'!F22="企业合并形成",'明细表I3-2'!N22,0)</f>
        <v>0</v>
      </c>
      <c r="D17" s="269">
        <f>IF('明细表I3-2'!F22="取得构成业务的共同经营的利益份额形成",'明细表I3-2'!N22,0)</f>
        <v>0</v>
      </c>
      <c r="E17" s="269">
        <f>IF('明细表I3-2'!F22="其他",'明细表I3-2'!N22,0)</f>
        <v>0</v>
      </c>
      <c r="F17" s="269">
        <f>IF('明细表I3-2'!H22="处置",'明细表I3-2'!O22,0)</f>
        <v>0</v>
      </c>
      <c r="G17" s="269">
        <f>IF('明细表I3-2'!H22="其他减少",'明细表I3-2'!O22,0)</f>
        <v>0</v>
      </c>
      <c r="H17" s="269">
        <f t="shared" si="0"/>
        <v>0</v>
      </c>
    </row>
    <row r="18" spans="1:8" s="244" customFormat="1" ht="20.100000000000001" customHeight="1">
      <c r="A18" s="261" t="s">
        <v>97</v>
      </c>
      <c r="B18" s="270">
        <f>SUM(B9:B17)</f>
        <v>0</v>
      </c>
      <c r="C18" s="270">
        <f t="shared" ref="C18:H18" si="1">SUM(C9:C17)</f>
        <v>0</v>
      </c>
      <c r="D18" s="270">
        <f t="shared" si="1"/>
        <v>0</v>
      </c>
      <c r="E18" s="270">
        <f t="shared" si="1"/>
        <v>0</v>
      </c>
      <c r="F18" s="270">
        <f t="shared" si="1"/>
        <v>0</v>
      </c>
      <c r="G18" s="270">
        <f t="shared" si="1"/>
        <v>0</v>
      </c>
      <c r="H18" s="270">
        <f t="shared" si="1"/>
        <v>0</v>
      </c>
    </row>
    <row r="19" spans="1:8" s="244" customFormat="1" ht="20.100000000000001" customHeight="1">
      <c r="A19" s="475" t="s">
        <v>98</v>
      </c>
      <c r="B19" s="475"/>
      <c r="C19" s="475"/>
      <c r="D19" s="475"/>
      <c r="E19" s="475"/>
      <c r="F19" s="475"/>
      <c r="G19" s="475"/>
    </row>
    <row r="20" spans="1:8" s="244" customFormat="1" ht="20.100000000000001" customHeight="1">
      <c r="A20" s="246" t="s">
        <v>99</v>
      </c>
    </row>
    <row r="21" spans="1:8" s="244" customFormat="1" ht="20.100000000000001" customHeight="1">
      <c r="A21" s="469" t="s">
        <v>88</v>
      </c>
      <c r="B21" s="471" t="s">
        <v>89</v>
      </c>
      <c r="C21" s="471" t="s">
        <v>90</v>
      </c>
      <c r="D21" s="471"/>
      <c r="E21" s="471" t="s">
        <v>91</v>
      </c>
      <c r="F21" s="471"/>
      <c r="G21" s="471" t="s">
        <v>92</v>
      </c>
    </row>
    <row r="22" spans="1:8" s="244" customFormat="1" ht="20.100000000000001" customHeight="1">
      <c r="A22" s="470"/>
      <c r="B22" s="472"/>
      <c r="C22" s="262" t="s">
        <v>100</v>
      </c>
      <c r="D22" s="271" t="s">
        <v>101</v>
      </c>
      <c r="E22" s="262" t="s">
        <v>96</v>
      </c>
      <c r="F22" s="271" t="s">
        <v>102</v>
      </c>
      <c r="G22" s="472"/>
    </row>
    <row r="23" spans="1:8" s="244" customFormat="1" ht="20.100000000000001" customHeight="1">
      <c r="A23" s="252">
        <f>A9</f>
        <v>0</v>
      </c>
      <c r="B23" s="272">
        <f>'明细表I3-2'!AA14</f>
        <v>0</v>
      </c>
      <c r="C23" s="273"/>
      <c r="D23" s="273"/>
      <c r="E23" s="273"/>
      <c r="F23" s="273"/>
      <c r="G23" s="274">
        <f>B23+C23+D23-E23-F23</f>
        <v>0</v>
      </c>
    </row>
    <row r="24" spans="1:8" s="244" customFormat="1" ht="20.100000000000001" customHeight="1">
      <c r="A24" s="252">
        <f t="shared" ref="A24:A31" si="2">A10</f>
        <v>0</v>
      </c>
      <c r="B24" s="272">
        <f>'明细表I3-2'!AA15</f>
        <v>0</v>
      </c>
      <c r="C24" s="273"/>
      <c r="D24" s="273"/>
      <c r="E24" s="273"/>
      <c r="F24" s="273"/>
      <c r="G24" s="274">
        <f t="shared" ref="G24:G31" si="3">B24+C24+D24-E24-F24</f>
        <v>0</v>
      </c>
    </row>
    <row r="25" spans="1:8" s="244" customFormat="1" ht="20.100000000000001" customHeight="1">
      <c r="A25" s="252">
        <f t="shared" si="2"/>
        <v>0</v>
      </c>
      <c r="B25" s="272">
        <f>'明细表I3-2'!AA16</f>
        <v>0</v>
      </c>
      <c r="C25" s="273"/>
      <c r="D25" s="273"/>
      <c r="E25" s="273"/>
      <c r="F25" s="273"/>
      <c r="G25" s="274">
        <f t="shared" si="3"/>
        <v>0</v>
      </c>
    </row>
    <row r="26" spans="1:8" s="244" customFormat="1" ht="20.100000000000001" customHeight="1">
      <c r="A26" s="252">
        <f t="shared" si="2"/>
        <v>0</v>
      </c>
      <c r="B26" s="272">
        <f>'明细表I3-2'!AA17</f>
        <v>0</v>
      </c>
      <c r="C26" s="273"/>
      <c r="D26" s="273"/>
      <c r="E26" s="273"/>
      <c r="F26" s="273"/>
      <c r="G26" s="274">
        <f t="shared" si="3"/>
        <v>0</v>
      </c>
    </row>
    <row r="27" spans="1:8" s="244" customFormat="1" ht="20.100000000000001" customHeight="1">
      <c r="A27" s="252">
        <f t="shared" si="2"/>
        <v>0</v>
      </c>
      <c r="B27" s="272">
        <f>'明细表I3-2'!AA18</f>
        <v>0</v>
      </c>
      <c r="C27" s="273"/>
      <c r="D27" s="273"/>
      <c r="E27" s="273"/>
      <c r="F27" s="273"/>
      <c r="G27" s="274">
        <f t="shared" si="3"/>
        <v>0</v>
      </c>
    </row>
    <row r="28" spans="1:8" s="244" customFormat="1" ht="20.100000000000001" customHeight="1">
      <c r="A28" s="252">
        <f t="shared" si="2"/>
        <v>0</v>
      </c>
      <c r="B28" s="272">
        <f>'明细表I3-2'!AA19</f>
        <v>0</v>
      </c>
      <c r="C28" s="273"/>
      <c r="D28" s="273"/>
      <c r="E28" s="273"/>
      <c r="F28" s="273"/>
      <c r="G28" s="274">
        <f t="shared" si="3"/>
        <v>0</v>
      </c>
    </row>
    <row r="29" spans="1:8" s="244" customFormat="1" ht="20.100000000000001" customHeight="1">
      <c r="A29" s="252">
        <f t="shared" si="2"/>
        <v>0</v>
      </c>
      <c r="B29" s="272">
        <f>'明细表I3-2'!AA20</f>
        <v>0</v>
      </c>
      <c r="C29" s="273"/>
      <c r="D29" s="273"/>
      <c r="E29" s="273"/>
      <c r="F29" s="273"/>
      <c r="G29" s="274">
        <f t="shared" si="3"/>
        <v>0</v>
      </c>
    </row>
    <row r="30" spans="1:8" s="244" customFormat="1" ht="20.100000000000001" customHeight="1">
      <c r="A30" s="252">
        <f t="shared" si="2"/>
        <v>0</v>
      </c>
      <c r="B30" s="272">
        <f>'明细表I3-2'!AA21</f>
        <v>0</v>
      </c>
      <c r="C30" s="273"/>
      <c r="D30" s="273"/>
      <c r="E30" s="273"/>
      <c r="F30" s="273"/>
      <c r="G30" s="274">
        <f t="shared" si="3"/>
        <v>0</v>
      </c>
    </row>
    <row r="31" spans="1:8" s="244" customFormat="1" ht="20.100000000000001" customHeight="1">
      <c r="A31" s="275">
        <f t="shared" si="2"/>
        <v>0</v>
      </c>
      <c r="B31" s="276">
        <f>'明细表I3-2'!AA22</f>
        <v>0</v>
      </c>
      <c r="C31" s="277"/>
      <c r="D31" s="277"/>
      <c r="E31" s="277"/>
      <c r="F31" s="277"/>
      <c r="G31" s="278">
        <f t="shared" si="3"/>
        <v>0</v>
      </c>
    </row>
    <row r="32" spans="1:8" s="244" customFormat="1" ht="20.100000000000001" customHeight="1">
      <c r="A32" s="261" t="s">
        <v>97</v>
      </c>
      <c r="B32" s="279">
        <f>SUM(B23:B31)</f>
        <v>0</v>
      </c>
      <c r="C32" s="279">
        <f>SUM(C23:C31)</f>
        <v>0</v>
      </c>
      <c r="D32" s="279">
        <f t="shared" ref="D32:G32" si="4">SUM(D23:D31)</f>
        <v>0</v>
      </c>
      <c r="E32" s="279">
        <f t="shared" si="4"/>
        <v>0</v>
      </c>
      <c r="F32" s="279">
        <f t="shared" si="4"/>
        <v>0</v>
      </c>
      <c r="G32" s="279">
        <f t="shared" si="4"/>
        <v>0</v>
      </c>
    </row>
    <row r="33" spans="1:8" s="244" customFormat="1" ht="103.5" customHeight="1">
      <c r="A33" s="473" t="s">
        <v>103</v>
      </c>
      <c r="B33" s="473"/>
      <c r="C33" s="473"/>
      <c r="D33" s="473"/>
      <c r="E33" s="473"/>
      <c r="F33" s="473"/>
      <c r="G33" s="473"/>
      <c r="H33" s="473"/>
    </row>
    <row r="34" spans="1:8" s="244" customFormat="1" ht="20.100000000000001" customHeight="1">
      <c r="A34" s="280" t="s">
        <v>104</v>
      </c>
      <c r="B34" s="280"/>
      <c r="C34" s="280"/>
      <c r="D34" s="280"/>
      <c r="E34" s="280"/>
      <c r="F34" s="280"/>
      <c r="G34" s="280"/>
    </row>
    <row r="35" spans="1:8" s="244" customFormat="1" ht="76.5" customHeight="1">
      <c r="A35" s="466" t="s">
        <v>105</v>
      </c>
      <c r="B35" s="466"/>
      <c r="C35" s="466"/>
      <c r="D35" s="466"/>
      <c r="E35" s="466"/>
      <c r="F35" s="466"/>
      <c r="G35" s="466"/>
      <c r="H35" s="466"/>
    </row>
    <row r="36" spans="1:8" s="244" customFormat="1" ht="18" customHeight="1">
      <c r="A36" s="281" t="s">
        <v>106</v>
      </c>
    </row>
    <row r="37" spans="1:8" s="244" customFormat="1" ht="70.95" customHeight="1">
      <c r="A37" s="466" t="s">
        <v>107</v>
      </c>
      <c r="B37" s="466"/>
      <c r="C37" s="466"/>
      <c r="D37" s="466"/>
      <c r="E37" s="466"/>
      <c r="F37" s="466"/>
      <c r="G37" s="466"/>
      <c r="H37" s="466"/>
    </row>
    <row r="38" spans="1:8" s="244" customFormat="1" ht="58.2" customHeight="1">
      <c r="A38" s="466" t="s">
        <v>108</v>
      </c>
      <c r="B38" s="466"/>
      <c r="C38" s="466"/>
      <c r="D38" s="466"/>
      <c r="E38" s="466"/>
      <c r="F38" s="466"/>
      <c r="G38" s="466"/>
      <c r="H38" s="466"/>
    </row>
    <row r="39" spans="1:8" s="244" customFormat="1" ht="18" customHeight="1">
      <c r="A39" s="281" t="s">
        <v>109</v>
      </c>
    </row>
    <row r="40" spans="1:8" s="244" customFormat="1" ht="30.6" customHeight="1">
      <c r="A40" s="466" t="s">
        <v>110</v>
      </c>
      <c r="B40" s="466"/>
      <c r="C40" s="466"/>
      <c r="D40" s="466"/>
      <c r="E40" s="466"/>
      <c r="F40" s="466"/>
      <c r="G40" s="466"/>
      <c r="H40" s="466"/>
    </row>
    <row r="41" spans="1:8" s="244" customFormat="1" ht="43.2" customHeight="1">
      <c r="A41" s="466" t="s">
        <v>111</v>
      </c>
      <c r="B41" s="466"/>
      <c r="C41" s="466"/>
      <c r="D41" s="466"/>
      <c r="E41" s="466"/>
      <c r="F41" s="466"/>
      <c r="G41" s="466"/>
      <c r="H41" s="466"/>
    </row>
  </sheetData>
  <mergeCells count="19">
    <mergeCell ref="A1:H1"/>
    <mergeCell ref="A2:H2"/>
    <mergeCell ref="C7:E7"/>
    <mergeCell ref="F7:G7"/>
    <mergeCell ref="A19:G19"/>
    <mergeCell ref="A38:H38"/>
    <mergeCell ref="A40:H40"/>
    <mergeCell ref="A41:H41"/>
    <mergeCell ref="A7:A8"/>
    <mergeCell ref="A21:A22"/>
    <mergeCell ref="B7:B8"/>
    <mergeCell ref="B21:B22"/>
    <mergeCell ref="G21:G22"/>
    <mergeCell ref="H7:H8"/>
    <mergeCell ref="C21:D21"/>
    <mergeCell ref="E21:F21"/>
    <mergeCell ref="A33:H33"/>
    <mergeCell ref="A35:H35"/>
    <mergeCell ref="A37:H37"/>
  </mergeCells>
  <phoneticPr fontId="36" type="noConversion"/>
  <printOptions horizontalCentered="1"/>
  <pageMargins left="0.59055118110236204" right="0.59055118110236204" top="0.78740157480314998" bottom="0.39370078740157499" header="0.511811023622047" footer="0.31496062992126"/>
  <pageSetup paperSize="9" scale="69" fitToHeight="0" orientation="portrait" blackAndWhite="1"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31"/>
  <sheetViews>
    <sheetView view="pageBreakPreview" zoomScaleNormal="100" workbookViewId="0">
      <selection sqref="A1:G1"/>
    </sheetView>
  </sheetViews>
  <sheetFormatPr defaultColWidth="9" defaultRowHeight="18" customHeight="1"/>
  <cols>
    <col min="1" max="1" width="25" style="196" customWidth="1"/>
    <col min="2" max="7" width="14.6640625" style="196" customWidth="1"/>
    <col min="8" max="16384" width="9" style="196"/>
  </cols>
  <sheetData>
    <row r="1" spans="1:7" s="193" customFormat="1" ht="20.100000000000001" customHeight="1">
      <c r="A1" s="474" t="s">
        <v>65</v>
      </c>
      <c r="B1" s="474"/>
      <c r="C1" s="474"/>
      <c r="D1" s="474"/>
      <c r="E1" s="474"/>
      <c r="F1" s="474"/>
      <c r="G1" s="476"/>
    </row>
    <row r="2" spans="1:7" s="194" customFormat="1" ht="25.05" customHeight="1">
      <c r="A2" s="462" t="s">
        <v>112</v>
      </c>
      <c r="B2" s="442"/>
      <c r="C2" s="442"/>
      <c r="D2" s="442"/>
      <c r="E2" s="442"/>
      <c r="F2" s="442"/>
      <c r="G2" s="477"/>
    </row>
    <row r="3" spans="1:7" ht="20.100000000000001" customHeight="1">
      <c r="A3" s="196" t="str">
        <f>底稿目录!A2</f>
        <v>被审计单位：</v>
      </c>
      <c r="C3" s="196" t="str">
        <f>底稿目录!A4</f>
        <v>编制人：</v>
      </c>
      <c r="E3" s="204" t="str">
        <f>底稿目录!A5</f>
        <v>编制日期：</v>
      </c>
      <c r="F3" s="196" t="s">
        <v>67</v>
      </c>
      <c r="G3" s="206"/>
    </row>
    <row r="4" spans="1:7" ht="20.100000000000001" customHeight="1">
      <c r="A4" s="196" t="str">
        <f>底稿目录!A3</f>
        <v>截止日：202X年12月31日</v>
      </c>
      <c r="C4" s="196" t="str">
        <f>底稿目录!A6</f>
        <v>复核人：</v>
      </c>
      <c r="E4" s="204" t="str">
        <f>底稿目录!A7</f>
        <v>复核日期：</v>
      </c>
      <c r="F4" s="196" t="s">
        <v>68</v>
      </c>
      <c r="G4" s="206"/>
    </row>
    <row r="5" spans="1:7" s="244" customFormat="1" ht="20.100000000000001" customHeight="1">
      <c r="A5" s="245" t="s">
        <v>29</v>
      </c>
    </row>
    <row r="6" spans="1:7" s="244" customFormat="1" ht="33.75" customHeight="1">
      <c r="A6" s="246" t="s">
        <v>113</v>
      </c>
      <c r="B6" s="247"/>
      <c r="C6" s="248"/>
      <c r="D6" s="247"/>
      <c r="E6" s="247"/>
      <c r="F6" s="248"/>
      <c r="G6" s="248"/>
    </row>
    <row r="7" spans="1:7" s="244" customFormat="1" ht="33" customHeight="1">
      <c r="A7" s="249" t="s">
        <v>114</v>
      </c>
      <c r="B7" s="250" t="s">
        <v>115</v>
      </c>
      <c r="C7" s="250" t="s">
        <v>116</v>
      </c>
      <c r="D7" s="250" t="s">
        <v>117</v>
      </c>
      <c r="E7" s="250" t="s">
        <v>118</v>
      </c>
      <c r="F7" s="251"/>
      <c r="G7" s="251"/>
    </row>
    <row r="8" spans="1:7" s="244" customFormat="1" ht="20.100000000000001" customHeight="1">
      <c r="A8" s="252">
        <f>'明细表I3-2'!B14</f>
        <v>0</v>
      </c>
      <c r="B8" s="253">
        <f>'明细表I3-2'!M14</f>
        <v>0</v>
      </c>
      <c r="C8" s="253">
        <f>'明细表I3-2'!N14</f>
        <v>0</v>
      </c>
      <c r="D8" s="253">
        <f>'明细表I3-2'!O14</f>
        <v>0</v>
      </c>
      <c r="E8" s="253">
        <f>B8+C8-D8</f>
        <v>0</v>
      </c>
      <c r="F8" s="251"/>
      <c r="G8" s="251"/>
    </row>
    <row r="9" spans="1:7" s="244" customFormat="1" ht="20.100000000000001" customHeight="1">
      <c r="A9" s="252">
        <f>'明细表I3-2'!B15</f>
        <v>0</v>
      </c>
      <c r="B9" s="253">
        <f>'明细表I3-2'!M15</f>
        <v>0</v>
      </c>
      <c r="C9" s="253">
        <f>'明细表I3-2'!N15</f>
        <v>0</v>
      </c>
      <c r="D9" s="253">
        <f>'明细表I3-2'!O15</f>
        <v>0</v>
      </c>
      <c r="E9" s="253">
        <f t="shared" ref="E9:E16" si="0">B9+C9-D9</f>
        <v>0</v>
      </c>
      <c r="F9" s="251"/>
      <c r="G9" s="251"/>
    </row>
    <row r="10" spans="1:7" s="244" customFormat="1" ht="21" customHeight="1">
      <c r="A10" s="252">
        <f>'明细表I3-2'!B16</f>
        <v>0</v>
      </c>
      <c r="B10" s="253">
        <f>'明细表I3-2'!M16</f>
        <v>0</v>
      </c>
      <c r="C10" s="253">
        <f>'明细表I3-2'!N16</f>
        <v>0</v>
      </c>
      <c r="D10" s="253">
        <f>'明细表I3-2'!O16</f>
        <v>0</v>
      </c>
      <c r="E10" s="253">
        <f t="shared" si="0"/>
        <v>0</v>
      </c>
      <c r="F10" s="251"/>
      <c r="G10" s="251"/>
    </row>
    <row r="11" spans="1:7" s="244" customFormat="1" ht="21" customHeight="1">
      <c r="A11" s="252">
        <f>'明细表I3-2'!B17</f>
        <v>0</v>
      </c>
      <c r="B11" s="253">
        <f>'明细表I3-2'!M17</f>
        <v>0</v>
      </c>
      <c r="C11" s="253">
        <f>'明细表I3-2'!N17</f>
        <v>0</v>
      </c>
      <c r="D11" s="253">
        <f>'明细表I3-2'!O17</f>
        <v>0</v>
      </c>
      <c r="E11" s="253">
        <f t="shared" si="0"/>
        <v>0</v>
      </c>
      <c r="F11" s="251"/>
      <c r="G11" s="251"/>
    </row>
    <row r="12" spans="1:7" s="244" customFormat="1" ht="21" customHeight="1">
      <c r="A12" s="252">
        <f>'明细表I3-2'!B18</f>
        <v>0</v>
      </c>
      <c r="B12" s="253">
        <f>'明细表I3-2'!M18</f>
        <v>0</v>
      </c>
      <c r="C12" s="253">
        <f>'明细表I3-2'!N18</f>
        <v>0</v>
      </c>
      <c r="D12" s="253">
        <f>'明细表I3-2'!O18</f>
        <v>0</v>
      </c>
      <c r="E12" s="253">
        <f t="shared" si="0"/>
        <v>0</v>
      </c>
      <c r="F12" s="251"/>
      <c r="G12" s="251"/>
    </row>
    <row r="13" spans="1:7" s="244" customFormat="1" ht="20.100000000000001" customHeight="1">
      <c r="A13" s="252">
        <f>'明细表I3-2'!B19</f>
        <v>0</v>
      </c>
      <c r="B13" s="253">
        <f>'明细表I3-2'!M19</f>
        <v>0</v>
      </c>
      <c r="C13" s="253">
        <f>'明细表I3-2'!N19</f>
        <v>0</v>
      </c>
      <c r="D13" s="253">
        <f>'明细表I3-2'!O19</f>
        <v>0</v>
      </c>
      <c r="E13" s="253">
        <f t="shared" si="0"/>
        <v>0</v>
      </c>
      <c r="F13" s="251"/>
      <c r="G13" s="251"/>
    </row>
    <row r="14" spans="1:7" s="244" customFormat="1" ht="20.100000000000001" customHeight="1">
      <c r="A14" s="252">
        <f>'明细表I3-2'!B20</f>
        <v>0</v>
      </c>
      <c r="B14" s="253">
        <f>'明细表I3-2'!M20</f>
        <v>0</v>
      </c>
      <c r="C14" s="253">
        <f>'明细表I3-2'!N20</f>
        <v>0</v>
      </c>
      <c r="D14" s="253">
        <f>'明细表I3-2'!O20</f>
        <v>0</v>
      </c>
      <c r="E14" s="253">
        <f t="shared" si="0"/>
        <v>0</v>
      </c>
      <c r="F14" s="251"/>
      <c r="G14" s="251"/>
    </row>
    <row r="15" spans="1:7" s="244" customFormat="1" ht="20.100000000000001" customHeight="1">
      <c r="A15" s="252">
        <f>'明细表I3-2'!B21</f>
        <v>0</v>
      </c>
      <c r="B15" s="253">
        <f>'明细表I3-2'!M21</f>
        <v>0</v>
      </c>
      <c r="C15" s="253">
        <f>'明细表I3-2'!N21</f>
        <v>0</v>
      </c>
      <c r="D15" s="253">
        <f>'明细表I3-2'!O21</f>
        <v>0</v>
      </c>
      <c r="E15" s="253">
        <f t="shared" si="0"/>
        <v>0</v>
      </c>
      <c r="F15" s="251"/>
      <c r="G15" s="251"/>
    </row>
    <row r="16" spans="1:7" s="244" customFormat="1" ht="20.100000000000001" customHeight="1">
      <c r="A16" s="252">
        <f>'明细表I3-2'!B22</f>
        <v>0</v>
      </c>
      <c r="B16" s="253">
        <f>'明细表I3-2'!M22</f>
        <v>0</v>
      </c>
      <c r="C16" s="253">
        <f>'明细表I3-2'!N22</f>
        <v>0</v>
      </c>
      <c r="D16" s="253">
        <f>'明细表I3-2'!O22</f>
        <v>0</v>
      </c>
      <c r="E16" s="253">
        <f t="shared" si="0"/>
        <v>0</v>
      </c>
      <c r="F16" s="251"/>
      <c r="G16" s="251"/>
    </row>
    <row r="17" spans="1:7" s="244" customFormat="1" ht="20.100000000000001" customHeight="1">
      <c r="A17" s="254" t="s">
        <v>119</v>
      </c>
      <c r="B17" s="255">
        <f>SUM(B8:B16)</f>
        <v>0</v>
      </c>
      <c r="C17" s="255">
        <f t="shared" ref="C17:E17" si="1">SUM(C8:C16)</f>
        <v>0</v>
      </c>
      <c r="D17" s="255">
        <f t="shared" si="1"/>
        <v>0</v>
      </c>
      <c r="E17" s="255">
        <f t="shared" si="1"/>
        <v>0</v>
      </c>
      <c r="F17" s="251"/>
      <c r="G17" s="251"/>
    </row>
    <row r="18" spans="1:7" s="244" customFormat="1" ht="20.100000000000001" customHeight="1">
      <c r="A18" s="256" t="s">
        <v>120</v>
      </c>
      <c r="B18" s="251"/>
      <c r="C18" s="251"/>
      <c r="D18" s="251"/>
      <c r="E18" s="251"/>
      <c r="F18" s="251"/>
      <c r="G18" s="251"/>
    </row>
    <row r="19" spans="1:7" s="244" customFormat="1" ht="33" customHeight="1">
      <c r="A19" s="254" t="s">
        <v>114</v>
      </c>
      <c r="B19" s="257" t="s">
        <v>115</v>
      </c>
      <c r="C19" s="257" t="s">
        <v>116</v>
      </c>
      <c r="D19" s="257" t="s">
        <v>117</v>
      </c>
      <c r="E19" s="257" t="s">
        <v>118</v>
      </c>
      <c r="F19" s="251"/>
      <c r="G19" s="251"/>
    </row>
    <row r="20" spans="1:7" s="244" customFormat="1" ht="20.55" customHeight="1">
      <c r="A20" s="258">
        <f>A8</f>
        <v>0</v>
      </c>
      <c r="B20" s="253">
        <f>'明细表I3-2'!AA14</f>
        <v>0</v>
      </c>
      <c r="C20" s="253">
        <f>'明细表I3-2'!AB14</f>
        <v>0</v>
      </c>
      <c r="D20" s="253">
        <f>'明细表I3-2'!AC14</f>
        <v>0</v>
      </c>
      <c r="E20" s="253">
        <f>B20+C20-D20</f>
        <v>0</v>
      </c>
      <c r="F20" s="251"/>
      <c r="G20" s="251"/>
    </row>
    <row r="21" spans="1:7" s="244" customFormat="1" ht="20.100000000000001" customHeight="1">
      <c r="A21" s="258">
        <f t="shared" ref="A21:A28" si="2">A9</f>
        <v>0</v>
      </c>
      <c r="B21" s="253">
        <f>'明细表I3-2'!AA15</f>
        <v>0</v>
      </c>
      <c r="C21" s="253">
        <f>'明细表I3-2'!AB15</f>
        <v>0</v>
      </c>
      <c r="D21" s="253">
        <f>'明细表I3-2'!AC15</f>
        <v>0</v>
      </c>
      <c r="E21" s="253">
        <f t="shared" ref="E21:E28" si="3">B21+C21-D21</f>
        <v>0</v>
      </c>
      <c r="F21" s="251"/>
      <c r="G21" s="251"/>
    </row>
    <row r="22" spans="1:7" s="244" customFormat="1" ht="20.100000000000001" customHeight="1">
      <c r="A22" s="258">
        <f t="shared" si="2"/>
        <v>0</v>
      </c>
      <c r="B22" s="253">
        <f>'明细表I3-2'!AA16</f>
        <v>0</v>
      </c>
      <c r="C22" s="253">
        <f>'明细表I3-2'!AB16</f>
        <v>0</v>
      </c>
      <c r="D22" s="253">
        <f>'明细表I3-2'!AC16</f>
        <v>0</v>
      </c>
      <c r="E22" s="253">
        <f t="shared" si="3"/>
        <v>0</v>
      </c>
      <c r="F22" s="251"/>
      <c r="G22" s="251"/>
    </row>
    <row r="23" spans="1:7" s="244" customFormat="1" ht="20.100000000000001" customHeight="1">
      <c r="A23" s="258">
        <f t="shared" si="2"/>
        <v>0</v>
      </c>
      <c r="B23" s="253">
        <f>'明细表I3-2'!AA17</f>
        <v>0</v>
      </c>
      <c r="C23" s="253">
        <f>'明细表I3-2'!AB17</f>
        <v>0</v>
      </c>
      <c r="D23" s="253">
        <f>'明细表I3-2'!AC17</f>
        <v>0</v>
      </c>
      <c r="E23" s="253">
        <f t="shared" si="3"/>
        <v>0</v>
      </c>
      <c r="F23" s="251"/>
      <c r="G23" s="251"/>
    </row>
    <row r="24" spans="1:7" s="244" customFormat="1" ht="20.100000000000001" customHeight="1">
      <c r="A24" s="258">
        <f t="shared" si="2"/>
        <v>0</v>
      </c>
      <c r="B24" s="253">
        <f>'明细表I3-2'!AA18</f>
        <v>0</v>
      </c>
      <c r="C24" s="253">
        <f>'明细表I3-2'!AB18</f>
        <v>0</v>
      </c>
      <c r="D24" s="253">
        <f>'明细表I3-2'!AC18</f>
        <v>0</v>
      </c>
      <c r="E24" s="253">
        <f t="shared" si="3"/>
        <v>0</v>
      </c>
      <c r="F24" s="251"/>
      <c r="G24" s="251"/>
    </row>
    <row r="25" spans="1:7" s="244" customFormat="1" ht="20.100000000000001" customHeight="1">
      <c r="A25" s="258">
        <f t="shared" si="2"/>
        <v>0</v>
      </c>
      <c r="B25" s="253">
        <f>'明细表I3-2'!AA19</f>
        <v>0</v>
      </c>
      <c r="C25" s="253">
        <f>'明细表I3-2'!AB19</f>
        <v>0</v>
      </c>
      <c r="D25" s="253">
        <f>'明细表I3-2'!AC19</f>
        <v>0</v>
      </c>
      <c r="E25" s="253">
        <f t="shared" si="3"/>
        <v>0</v>
      </c>
      <c r="F25" s="251"/>
      <c r="G25" s="251"/>
    </row>
    <row r="26" spans="1:7" s="244" customFormat="1" ht="20.100000000000001" customHeight="1">
      <c r="A26" s="258">
        <f t="shared" si="2"/>
        <v>0</v>
      </c>
      <c r="B26" s="253">
        <f>'明细表I3-2'!AA20</f>
        <v>0</v>
      </c>
      <c r="C26" s="253">
        <f>'明细表I3-2'!AB20</f>
        <v>0</v>
      </c>
      <c r="D26" s="253">
        <f>'明细表I3-2'!AC20</f>
        <v>0</v>
      </c>
      <c r="E26" s="253">
        <f t="shared" si="3"/>
        <v>0</v>
      </c>
      <c r="F26" s="251"/>
      <c r="G26" s="251"/>
    </row>
    <row r="27" spans="1:7" s="244" customFormat="1" ht="20.100000000000001" customHeight="1">
      <c r="A27" s="258">
        <f t="shared" si="2"/>
        <v>0</v>
      </c>
      <c r="B27" s="253">
        <f>'明细表I3-2'!AA21</f>
        <v>0</v>
      </c>
      <c r="C27" s="253">
        <f>'明细表I3-2'!AB21</f>
        <v>0</v>
      </c>
      <c r="D27" s="253">
        <f>'明细表I3-2'!AC21</f>
        <v>0</v>
      </c>
      <c r="E27" s="253">
        <f t="shared" si="3"/>
        <v>0</v>
      </c>
      <c r="F27" s="251"/>
      <c r="G27" s="251"/>
    </row>
    <row r="28" spans="1:7" s="244" customFormat="1" ht="20.100000000000001" customHeight="1">
      <c r="A28" s="258">
        <f t="shared" si="2"/>
        <v>0</v>
      </c>
      <c r="B28" s="253">
        <f>'明细表I3-2'!AA22</f>
        <v>0</v>
      </c>
      <c r="C28" s="253">
        <f>'明细表I3-2'!AB22</f>
        <v>0</v>
      </c>
      <c r="D28" s="253">
        <f>'明细表I3-2'!AC22</f>
        <v>0</v>
      </c>
      <c r="E28" s="253">
        <f t="shared" si="3"/>
        <v>0</v>
      </c>
      <c r="F28" s="251"/>
      <c r="G28" s="251"/>
    </row>
    <row r="29" spans="1:7" s="244" customFormat="1" ht="20.100000000000001" customHeight="1">
      <c r="A29" s="254" t="s">
        <v>119</v>
      </c>
      <c r="B29" s="255">
        <f>SUM(B20:B28)</f>
        <v>0</v>
      </c>
      <c r="C29" s="255">
        <f t="shared" ref="C29:E29" si="4">SUM(C20:C28)</f>
        <v>0</v>
      </c>
      <c r="D29" s="255">
        <f t="shared" si="4"/>
        <v>0</v>
      </c>
      <c r="E29" s="255">
        <f t="shared" si="4"/>
        <v>0</v>
      </c>
      <c r="F29" s="251"/>
      <c r="G29" s="251"/>
    </row>
    <row r="30" spans="1:7" s="244" customFormat="1" ht="20.100000000000001" customHeight="1">
      <c r="A30" s="478" t="s">
        <v>121</v>
      </c>
      <c r="B30" s="478"/>
      <c r="C30" s="478"/>
      <c r="D30" s="478"/>
      <c r="E30" s="478"/>
      <c r="F30" s="479"/>
      <c r="G30" s="479"/>
    </row>
    <row r="31" spans="1:7" s="244" customFormat="1" ht="87" customHeight="1">
      <c r="A31" s="466" t="s">
        <v>122</v>
      </c>
      <c r="B31" s="466"/>
      <c r="C31" s="466"/>
      <c r="D31" s="466"/>
      <c r="E31" s="466"/>
      <c r="F31" s="466"/>
      <c r="G31" s="466"/>
    </row>
  </sheetData>
  <mergeCells count="4">
    <mergeCell ref="A1:G1"/>
    <mergeCell ref="A2:G2"/>
    <mergeCell ref="A30:G30"/>
    <mergeCell ref="A31:G31"/>
  </mergeCells>
  <phoneticPr fontId="36" type="noConversion"/>
  <printOptions horizontalCentered="1"/>
  <pageMargins left="0.59055118110236204" right="0.59055118110236204" top="0.78740157480314998" bottom="0.39370078740157499" header="0.511811023622047" footer="0.31496062992126"/>
  <pageSetup paperSize="9" scale="81" orientation="portrait" blackAndWhite="1"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AD29"/>
  <sheetViews>
    <sheetView view="pageBreakPreview" zoomScaleNormal="100" workbookViewId="0">
      <selection activeCell="P3" sqref="P3"/>
    </sheetView>
  </sheetViews>
  <sheetFormatPr defaultColWidth="9" defaultRowHeight="18" customHeight="1"/>
  <cols>
    <col min="1" max="1" width="3.88671875" style="196" customWidth="1"/>
    <col min="2" max="2" width="20.109375" style="196" customWidth="1"/>
    <col min="3" max="16" width="9.21875" style="196" customWidth="1"/>
    <col min="17" max="17" width="26.21875" style="196" customWidth="1"/>
    <col min="18" max="16384" width="9" style="196"/>
  </cols>
  <sheetData>
    <row r="1" spans="1:30" s="385" customFormat="1" ht="19.95" customHeight="1">
      <c r="A1" s="462" t="s">
        <v>65</v>
      </c>
      <c r="B1" s="462"/>
      <c r="C1" s="462"/>
      <c r="D1" s="462"/>
      <c r="E1" s="462"/>
      <c r="F1" s="462"/>
      <c r="G1" s="462"/>
      <c r="H1" s="462"/>
      <c r="I1" s="462"/>
      <c r="J1" s="462"/>
      <c r="K1" s="462"/>
      <c r="L1" s="462"/>
      <c r="M1" s="462"/>
      <c r="N1" s="462"/>
      <c r="O1" s="462"/>
      <c r="P1" s="462"/>
      <c r="Q1" s="462" t="s">
        <v>65</v>
      </c>
      <c r="R1" s="462"/>
      <c r="S1" s="462"/>
      <c r="T1" s="462"/>
      <c r="U1" s="462"/>
      <c r="V1" s="462"/>
      <c r="W1" s="462"/>
      <c r="X1" s="462"/>
      <c r="Y1" s="462"/>
      <c r="Z1" s="462"/>
      <c r="AA1" s="462"/>
      <c r="AB1" s="462"/>
      <c r="AC1" s="462"/>
      <c r="AD1" s="462"/>
    </row>
    <row r="2" spans="1:30" s="409" customFormat="1" ht="19.95" customHeight="1">
      <c r="A2" s="463" t="s">
        <v>123</v>
      </c>
      <c r="B2" s="490"/>
      <c r="C2" s="490"/>
      <c r="D2" s="490"/>
      <c r="E2" s="490"/>
      <c r="F2" s="490"/>
      <c r="G2" s="490"/>
      <c r="H2" s="490"/>
      <c r="I2" s="490"/>
      <c r="J2" s="490"/>
      <c r="K2" s="490"/>
      <c r="L2" s="490"/>
      <c r="M2" s="490"/>
      <c r="N2" s="490"/>
      <c r="O2" s="490"/>
      <c r="P2" s="490"/>
      <c r="Q2" s="463" t="s">
        <v>124</v>
      </c>
      <c r="R2" s="463"/>
      <c r="S2" s="463"/>
      <c r="T2" s="463"/>
      <c r="U2" s="463"/>
      <c r="V2" s="463"/>
      <c r="W2" s="463"/>
      <c r="X2" s="463"/>
      <c r="Y2" s="463"/>
      <c r="Z2" s="463"/>
      <c r="AA2" s="463"/>
      <c r="AB2" s="463"/>
      <c r="AC2" s="463"/>
      <c r="AD2" s="463"/>
    </row>
    <row r="3" spans="1:30" ht="20.100000000000001" customHeight="1">
      <c r="A3" s="196" t="str">
        <f>底稿目录!A2</f>
        <v>被审计单位：</v>
      </c>
      <c r="F3" s="196" t="str">
        <f>底稿目录!A4</f>
        <v>编制人：</v>
      </c>
      <c r="I3" s="205"/>
      <c r="J3" s="205"/>
      <c r="K3" s="205"/>
      <c r="L3" s="204" t="str">
        <f>底稿目录!A5</f>
        <v>编制日期：</v>
      </c>
      <c r="O3" s="204" t="s">
        <v>67</v>
      </c>
      <c r="P3" s="441" t="s">
        <v>12</v>
      </c>
      <c r="Q3" s="196" t="str">
        <f>底稿目录!A2</f>
        <v>被审计单位：</v>
      </c>
      <c r="W3" s="196" t="str">
        <f>底稿目录!A4</f>
        <v>编制人：</v>
      </c>
      <c r="Z3" s="204" t="str">
        <f>底稿目录!A5</f>
        <v>编制日期：</v>
      </c>
      <c r="AC3" s="204" t="s">
        <v>67</v>
      </c>
      <c r="AD3" s="441" t="s">
        <v>12</v>
      </c>
    </row>
    <row r="4" spans="1:30" ht="20.100000000000001" customHeight="1">
      <c r="A4" s="196" t="str">
        <f>底稿目录!A3</f>
        <v>截止日：202X年12月31日</v>
      </c>
      <c r="F4" s="208" t="str">
        <f>底稿目录!A6</f>
        <v>复核人：</v>
      </c>
      <c r="I4" s="205"/>
      <c r="J4" s="205"/>
      <c r="K4" s="205"/>
      <c r="L4" s="204" t="str">
        <f>底稿目录!A7</f>
        <v>复核日期：</v>
      </c>
      <c r="O4" s="204" t="s">
        <v>68</v>
      </c>
      <c r="P4" s="205"/>
      <c r="Q4" s="196" t="str">
        <f>底稿目录!A3</f>
        <v>截止日：202X年12月31日</v>
      </c>
      <c r="W4" s="208" t="str">
        <f>底稿目录!A6</f>
        <v>复核人：</v>
      </c>
      <c r="Z4" s="204" t="str">
        <f>底稿目录!A7</f>
        <v>复核日期：</v>
      </c>
      <c r="AB4" s="206"/>
      <c r="AC4" s="204" t="s">
        <v>68</v>
      </c>
      <c r="AD4" s="205"/>
    </row>
    <row r="5" spans="1:30" ht="20.100000000000001" customHeight="1">
      <c r="A5" s="231" t="s">
        <v>125</v>
      </c>
      <c r="Q5" s="231" t="s">
        <v>125</v>
      </c>
    </row>
    <row r="6" spans="1:30" ht="20.100000000000001" customHeight="1">
      <c r="A6" s="232" t="s">
        <v>126</v>
      </c>
      <c r="Q6" s="232" t="s">
        <v>126</v>
      </c>
    </row>
    <row r="7" spans="1:30" ht="20.100000000000001" customHeight="1">
      <c r="A7" s="232" t="s">
        <v>127</v>
      </c>
      <c r="Q7" s="232" t="s">
        <v>127</v>
      </c>
    </row>
    <row r="8" spans="1:30" ht="20.100000000000001" customHeight="1">
      <c r="A8" s="232" t="s">
        <v>128</v>
      </c>
      <c r="Q8" s="232" t="s">
        <v>128</v>
      </c>
    </row>
    <row r="9" spans="1:30" ht="20.100000000000001" customHeight="1">
      <c r="A9" s="197" t="s">
        <v>129</v>
      </c>
      <c r="Q9" s="197" t="s">
        <v>129</v>
      </c>
    </row>
    <row r="10" spans="1:30" ht="20.100000000000001" customHeight="1">
      <c r="A10" s="491" t="s">
        <v>88</v>
      </c>
      <c r="B10" s="491"/>
      <c r="C10" s="464" t="s">
        <v>130</v>
      </c>
      <c r="D10" s="464"/>
      <c r="E10" s="464"/>
      <c r="F10" s="464"/>
      <c r="G10" s="464"/>
      <c r="H10" s="464"/>
      <c r="I10" s="464"/>
      <c r="J10" s="464"/>
      <c r="K10" s="464"/>
      <c r="L10" s="464"/>
      <c r="M10" s="464"/>
      <c r="N10" s="464"/>
      <c r="O10" s="464"/>
      <c r="P10" s="464"/>
      <c r="Q10" s="492" t="s">
        <v>88</v>
      </c>
      <c r="R10" s="464" t="s">
        <v>131</v>
      </c>
      <c r="S10" s="489"/>
      <c r="T10" s="489"/>
      <c r="U10" s="489"/>
      <c r="V10" s="489"/>
      <c r="W10" s="489"/>
      <c r="X10" s="489"/>
      <c r="Y10" s="489"/>
      <c r="Z10" s="489"/>
      <c r="AA10" s="489"/>
      <c r="AB10" s="489"/>
      <c r="AC10" s="489"/>
      <c r="AD10" s="489"/>
    </row>
    <row r="11" spans="1:30" s="207" customFormat="1" ht="20.100000000000001" customHeight="1">
      <c r="A11" s="491"/>
      <c r="B11" s="491"/>
      <c r="C11" s="488" t="s">
        <v>132</v>
      </c>
      <c r="D11" s="486" t="s">
        <v>133</v>
      </c>
      <c r="E11" s="486"/>
      <c r="F11" s="486"/>
      <c r="G11" s="486"/>
      <c r="H11" s="486"/>
      <c r="I11" s="486"/>
      <c r="J11" s="243" t="s">
        <v>134</v>
      </c>
      <c r="K11" s="484" t="s">
        <v>69</v>
      </c>
      <c r="L11" s="485"/>
      <c r="M11" s="484" t="s">
        <v>135</v>
      </c>
      <c r="N11" s="485"/>
      <c r="O11" s="485"/>
      <c r="P11" s="485"/>
      <c r="Q11" s="492"/>
      <c r="R11" s="464" t="s">
        <v>133</v>
      </c>
      <c r="S11" s="489"/>
      <c r="T11" s="489"/>
      <c r="U11" s="489"/>
      <c r="V11" s="489"/>
      <c r="W11" s="489"/>
      <c r="X11" s="243" t="s">
        <v>134</v>
      </c>
      <c r="Y11" s="484" t="s">
        <v>69</v>
      </c>
      <c r="Z11" s="485"/>
      <c r="AA11" s="484" t="s">
        <v>135</v>
      </c>
      <c r="AB11" s="485"/>
      <c r="AC11" s="485"/>
      <c r="AD11" s="485"/>
    </row>
    <row r="12" spans="1:30" ht="20.100000000000001" customHeight="1">
      <c r="A12" s="491"/>
      <c r="B12" s="491"/>
      <c r="C12" s="488"/>
      <c r="D12" s="485" t="s">
        <v>70</v>
      </c>
      <c r="E12" s="464" t="s">
        <v>90</v>
      </c>
      <c r="F12" s="489"/>
      <c r="G12" s="464" t="s">
        <v>91</v>
      </c>
      <c r="H12" s="489"/>
      <c r="I12" s="464" t="s">
        <v>136</v>
      </c>
      <c r="J12" s="484" t="s">
        <v>69</v>
      </c>
      <c r="K12" s="485" t="s">
        <v>71</v>
      </c>
      <c r="L12" s="485" t="s">
        <v>72</v>
      </c>
      <c r="M12" s="485" t="s">
        <v>70</v>
      </c>
      <c r="N12" s="484" t="s">
        <v>90</v>
      </c>
      <c r="O12" s="484" t="s">
        <v>91</v>
      </c>
      <c r="P12" s="484" t="s">
        <v>136</v>
      </c>
      <c r="Q12" s="492"/>
      <c r="R12" s="485" t="s">
        <v>70</v>
      </c>
      <c r="S12" s="489" t="s">
        <v>71</v>
      </c>
      <c r="T12" s="489"/>
      <c r="U12" s="464" t="s">
        <v>91</v>
      </c>
      <c r="V12" s="489"/>
      <c r="W12" s="484" t="s">
        <v>136</v>
      </c>
      <c r="X12" s="484" t="s">
        <v>69</v>
      </c>
      <c r="Y12" s="485" t="s">
        <v>71</v>
      </c>
      <c r="Z12" s="485" t="s">
        <v>72</v>
      </c>
      <c r="AA12" s="485" t="s">
        <v>70</v>
      </c>
      <c r="AB12" s="484" t="s">
        <v>90</v>
      </c>
      <c r="AC12" s="484" t="s">
        <v>91</v>
      </c>
      <c r="AD12" s="484" t="s">
        <v>136</v>
      </c>
    </row>
    <row r="13" spans="1:30" ht="20.100000000000001" customHeight="1">
      <c r="A13" s="491"/>
      <c r="B13" s="491"/>
      <c r="C13" s="488"/>
      <c r="D13" s="485"/>
      <c r="E13" s="201" t="s">
        <v>137</v>
      </c>
      <c r="F13" s="233" t="s">
        <v>138</v>
      </c>
      <c r="G13" s="201" t="s">
        <v>137</v>
      </c>
      <c r="H13" s="233" t="s">
        <v>139</v>
      </c>
      <c r="I13" s="489"/>
      <c r="J13" s="484"/>
      <c r="K13" s="485"/>
      <c r="L13" s="485"/>
      <c r="M13" s="485"/>
      <c r="N13" s="485"/>
      <c r="O13" s="485"/>
      <c r="P13" s="485"/>
      <c r="Q13" s="492"/>
      <c r="R13" s="485"/>
      <c r="S13" s="201" t="s">
        <v>140</v>
      </c>
      <c r="T13" s="199" t="s">
        <v>141</v>
      </c>
      <c r="U13" s="201" t="s">
        <v>96</v>
      </c>
      <c r="V13" s="201" t="s">
        <v>102</v>
      </c>
      <c r="W13" s="485"/>
      <c r="X13" s="484"/>
      <c r="Y13" s="485"/>
      <c r="Z13" s="485"/>
      <c r="AA13" s="485"/>
      <c r="AB13" s="485"/>
      <c r="AC13" s="485"/>
      <c r="AD13" s="485"/>
    </row>
    <row r="14" spans="1:30" ht="20.100000000000001" customHeight="1">
      <c r="A14" s="487"/>
      <c r="B14" s="481"/>
      <c r="C14" s="202"/>
      <c r="D14" s="234"/>
      <c r="E14" s="235"/>
      <c r="F14" s="236"/>
      <c r="G14" s="235"/>
      <c r="H14" s="236"/>
      <c r="I14" s="221"/>
      <c r="J14" s="235"/>
      <c r="K14" s="235"/>
      <c r="L14" s="235"/>
      <c r="M14" s="221">
        <f t="shared" ref="M14:M23" si="0">D14+J14</f>
        <v>0</v>
      </c>
      <c r="N14" s="221">
        <f t="shared" ref="N14:N23" si="1">E14+K14</f>
        <v>0</v>
      </c>
      <c r="O14" s="221">
        <f t="shared" ref="O14:O23" si="2">G14+L14</f>
        <v>0</v>
      </c>
      <c r="P14" s="221">
        <f>M14+N14-O14</f>
        <v>0</v>
      </c>
      <c r="Q14" s="407">
        <f>A14</f>
        <v>0</v>
      </c>
      <c r="R14" s="235"/>
      <c r="S14" s="235"/>
      <c r="T14" s="235"/>
      <c r="U14" s="235"/>
      <c r="V14" s="235"/>
      <c r="W14" s="221">
        <f>R14+S14+T14-U14-V14</f>
        <v>0</v>
      </c>
      <c r="X14" s="235"/>
      <c r="Y14" s="235"/>
      <c r="Z14" s="235"/>
      <c r="AA14" s="221">
        <f>R14+X14</f>
        <v>0</v>
      </c>
      <c r="AB14" s="221">
        <f>S14+Y14+T14</f>
        <v>0</v>
      </c>
      <c r="AC14" s="221">
        <f>U14+Z14+V14</f>
        <v>0</v>
      </c>
      <c r="AD14" s="221">
        <f>AA14+AB14-AC14</f>
        <v>0</v>
      </c>
    </row>
    <row r="15" spans="1:30" ht="20.100000000000001" customHeight="1">
      <c r="A15" s="480"/>
      <c r="B15" s="481"/>
      <c r="C15" s="202"/>
      <c r="D15" s="234"/>
      <c r="E15" s="235"/>
      <c r="F15" s="236"/>
      <c r="G15" s="235"/>
      <c r="H15" s="236"/>
      <c r="I15" s="221">
        <f>SUM(D15:E15)-G15</f>
        <v>0</v>
      </c>
      <c r="J15" s="235"/>
      <c r="K15" s="235"/>
      <c r="L15" s="235"/>
      <c r="M15" s="221">
        <f t="shared" si="0"/>
        <v>0</v>
      </c>
      <c r="N15" s="221">
        <f t="shared" si="1"/>
        <v>0</v>
      </c>
      <c r="O15" s="221">
        <f t="shared" si="2"/>
        <v>0</v>
      </c>
      <c r="P15" s="221">
        <f>M15+N15-O15</f>
        <v>0</v>
      </c>
      <c r="Q15" s="407">
        <f t="shared" ref="Q15:Q22" si="3">A15</f>
        <v>0</v>
      </c>
      <c r="R15" s="235"/>
      <c r="S15" s="235"/>
      <c r="T15" s="235"/>
      <c r="U15" s="235"/>
      <c r="V15" s="235"/>
      <c r="W15" s="221">
        <f t="shared" ref="W15:W22" si="4">R15+S15+T15-U15-V15</f>
        <v>0</v>
      </c>
      <c r="X15" s="235"/>
      <c r="Y15" s="235"/>
      <c r="Z15" s="235"/>
      <c r="AA15" s="221">
        <f>R15+X15</f>
        <v>0</v>
      </c>
      <c r="AB15" s="221">
        <f>S15+Y15+T15</f>
        <v>0</v>
      </c>
      <c r="AC15" s="221">
        <f>U15+Z15+V15</f>
        <v>0</v>
      </c>
      <c r="AD15" s="221">
        <f>AA15+AB15-AC15</f>
        <v>0</v>
      </c>
    </row>
    <row r="16" spans="1:30" ht="20.100000000000001" customHeight="1">
      <c r="A16" s="480"/>
      <c r="B16" s="481"/>
      <c r="C16" s="202"/>
      <c r="D16" s="234"/>
      <c r="E16" s="235"/>
      <c r="F16" s="236"/>
      <c r="G16" s="235"/>
      <c r="H16" s="236"/>
      <c r="I16" s="221">
        <f t="shared" ref="I16:I23" si="5">SUM(D16:E16)-G16</f>
        <v>0</v>
      </c>
      <c r="J16" s="235"/>
      <c r="K16" s="235"/>
      <c r="L16" s="235"/>
      <c r="M16" s="221">
        <f t="shared" si="0"/>
        <v>0</v>
      </c>
      <c r="N16" s="221">
        <f t="shared" si="1"/>
        <v>0</v>
      </c>
      <c r="O16" s="221">
        <f t="shared" si="2"/>
        <v>0</v>
      </c>
      <c r="P16" s="221">
        <f t="shared" ref="P16:P18" si="6">M16+N16-O16</f>
        <v>0</v>
      </c>
      <c r="Q16" s="407">
        <f t="shared" si="3"/>
        <v>0</v>
      </c>
      <c r="R16" s="235"/>
      <c r="S16" s="235"/>
      <c r="T16" s="235"/>
      <c r="U16" s="235"/>
      <c r="V16" s="235"/>
      <c r="W16" s="221">
        <f t="shared" si="4"/>
        <v>0</v>
      </c>
      <c r="X16" s="235"/>
      <c r="Y16" s="235"/>
      <c r="Z16" s="235"/>
      <c r="AA16" s="221">
        <f>R16+X16</f>
        <v>0</v>
      </c>
      <c r="AB16" s="221">
        <f>S16+Y16+T16</f>
        <v>0</v>
      </c>
      <c r="AC16" s="221">
        <f>U16+Z16+V16</f>
        <v>0</v>
      </c>
      <c r="AD16" s="221">
        <f t="shared" ref="AD16:AD17" si="7">AA16+AB16-AC16</f>
        <v>0</v>
      </c>
    </row>
    <row r="17" spans="1:30" ht="20.100000000000001" customHeight="1">
      <c r="A17" s="480"/>
      <c r="B17" s="481"/>
      <c r="C17" s="202"/>
      <c r="D17" s="234"/>
      <c r="E17" s="235"/>
      <c r="F17" s="236"/>
      <c r="G17" s="235"/>
      <c r="H17" s="236"/>
      <c r="I17" s="221">
        <f t="shared" si="5"/>
        <v>0</v>
      </c>
      <c r="J17" s="235"/>
      <c r="K17" s="235"/>
      <c r="L17" s="235"/>
      <c r="M17" s="221">
        <f t="shared" si="0"/>
        <v>0</v>
      </c>
      <c r="N17" s="221">
        <f t="shared" si="1"/>
        <v>0</v>
      </c>
      <c r="O17" s="221">
        <f t="shared" si="2"/>
        <v>0</v>
      </c>
      <c r="P17" s="221">
        <f t="shared" si="6"/>
        <v>0</v>
      </c>
      <c r="Q17" s="407">
        <f t="shared" si="3"/>
        <v>0</v>
      </c>
      <c r="R17" s="235"/>
      <c r="S17" s="235"/>
      <c r="T17" s="235"/>
      <c r="U17" s="235"/>
      <c r="V17" s="235"/>
      <c r="W17" s="221">
        <f t="shared" si="4"/>
        <v>0</v>
      </c>
      <c r="X17" s="235"/>
      <c r="Y17" s="235"/>
      <c r="Z17" s="235"/>
      <c r="AA17" s="221">
        <f>R17+X17</f>
        <v>0</v>
      </c>
      <c r="AB17" s="221">
        <f>S17+Y17+T17</f>
        <v>0</v>
      </c>
      <c r="AC17" s="221">
        <f>U17+Z17+V17</f>
        <v>0</v>
      </c>
      <c r="AD17" s="221">
        <f t="shared" si="7"/>
        <v>0</v>
      </c>
    </row>
    <row r="18" spans="1:30" ht="20.100000000000001" customHeight="1">
      <c r="A18" s="480"/>
      <c r="B18" s="481"/>
      <c r="C18" s="202"/>
      <c r="D18" s="234"/>
      <c r="E18" s="235"/>
      <c r="F18" s="236"/>
      <c r="G18" s="235"/>
      <c r="H18" s="236"/>
      <c r="I18" s="221">
        <f t="shared" si="5"/>
        <v>0</v>
      </c>
      <c r="J18" s="235"/>
      <c r="K18" s="235"/>
      <c r="L18" s="235"/>
      <c r="M18" s="221">
        <f t="shared" si="0"/>
        <v>0</v>
      </c>
      <c r="N18" s="221">
        <f t="shared" si="1"/>
        <v>0</v>
      </c>
      <c r="O18" s="221">
        <f t="shared" si="2"/>
        <v>0</v>
      </c>
      <c r="P18" s="221">
        <f t="shared" si="6"/>
        <v>0</v>
      </c>
      <c r="Q18" s="407">
        <f t="shared" si="3"/>
        <v>0</v>
      </c>
      <c r="R18" s="235"/>
      <c r="S18" s="235"/>
      <c r="T18" s="235"/>
      <c r="U18" s="235"/>
      <c r="V18" s="235"/>
      <c r="W18" s="221">
        <f t="shared" si="4"/>
        <v>0</v>
      </c>
      <c r="X18" s="235"/>
      <c r="Y18" s="235"/>
      <c r="Z18" s="235"/>
      <c r="AA18" s="221">
        <f t="shared" ref="AA18:AA22" si="8">R18+X18</f>
        <v>0</v>
      </c>
      <c r="AB18" s="221">
        <f t="shared" ref="AB18:AB22" si="9">S18+Y18+T18</f>
        <v>0</v>
      </c>
      <c r="AC18" s="221">
        <f t="shared" ref="AC18:AC22" si="10">U18+Z18+V18</f>
        <v>0</v>
      </c>
      <c r="AD18" s="221">
        <f t="shared" ref="AD18:AD22" si="11">AA18+AB18-AC18</f>
        <v>0</v>
      </c>
    </row>
    <row r="19" spans="1:30" ht="20.100000000000001" customHeight="1">
      <c r="A19" s="480"/>
      <c r="B19" s="481"/>
      <c r="C19" s="202"/>
      <c r="D19" s="234"/>
      <c r="E19" s="234"/>
      <c r="F19" s="236"/>
      <c r="G19" s="235"/>
      <c r="H19" s="236"/>
      <c r="I19" s="221">
        <f t="shared" si="5"/>
        <v>0</v>
      </c>
      <c r="J19" s="235"/>
      <c r="K19" s="235"/>
      <c r="L19" s="235"/>
      <c r="M19" s="221">
        <f t="shared" si="0"/>
        <v>0</v>
      </c>
      <c r="N19" s="221">
        <f t="shared" si="1"/>
        <v>0</v>
      </c>
      <c r="O19" s="221">
        <f t="shared" si="2"/>
        <v>0</v>
      </c>
      <c r="P19" s="221">
        <f t="shared" ref="P19:P23" si="12">M19+N19-O19</f>
        <v>0</v>
      </c>
      <c r="Q19" s="407">
        <f t="shared" si="3"/>
        <v>0</v>
      </c>
      <c r="R19" s="234"/>
      <c r="S19" s="234"/>
      <c r="T19" s="234"/>
      <c r="U19" s="234"/>
      <c r="V19" s="234"/>
      <c r="W19" s="221">
        <f t="shared" si="4"/>
        <v>0</v>
      </c>
      <c r="X19" s="234"/>
      <c r="Y19" s="234"/>
      <c r="Z19" s="234"/>
      <c r="AA19" s="221">
        <f t="shared" si="8"/>
        <v>0</v>
      </c>
      <c r="AB19" s="221">
        <f t="shared" si="9"/>
        <v>0</v>
      </c>
      <c r="AC19" s="221">
        <f t="shared" si="10"/>
        <v>0</v>
      </c>
      <c r="AD19" s="221">
        <f t="shared" si="11"/>
        <v>0</v>
      </c>
    </row>
    <row r="20" spans="1:30" ht="20.100000000000001" customHeight="1">
      <c r="A20" s="480"/>
      <c r="B20" s="481"/>
      <c r="C20" s="202"/>
      <c r="D20" s="234"/>
      <c r="E20" s="235"/>
      <c r="F20" s="236"/>
      <c r="G20" s="235"/>
      <c r="H20" s="236"/>
      <c r="I20" s="221">
        <f t="shared" si="5"/>
        <v>0</v>
      </c>
      <c r="J20" s="235"/>
      <c r="K20" s="235"/>
      <c r="L20" s="235"/>
      <c r="M20" s="221">
        <f t="shared" si="0"/>
        <v>0</v>
      </c>
      <c r="N20" s="221">
        <f t="shared" si="1"/>
        <v>0</v>
      </c>
      <c r="O20" s="221">
        <f t="shared" si="2"/>
        <v>0</v>
      </c>
      <c r="P20" s="221">
        <f t="shared" si="12"/>
        <v>0</v>
      </c>
      <c r="Q20" s="407">
        <f t="shared" si="3"/>
        <v>0</v>
      </c>
      <c r="R20" s="234"/>
      <c r="S20" s="234"/>
      <c r="T20" s="234"/>
      <c r="U20" s="234"/>
      <c r="V20" s="234"/>
      <c r="W20" s="221">
        <f t="shared" si="4"/>
        <v>0</v>
      </c>
      <c r="X20" s="234"/>
      <c r="Y20" s="234"/>
      <c r="Z20" s="234"/>
      <c r="AA20" s="221">
        <f t="shared" si="8"/>
        <v>0</v>
      </c>
      <c r="AB20" s="221">
        <f t="shared" si="9"/>
        <v>0</v>
      </c>
      <c r="AC20" s="221">
        <f t="shared" si="10"/>
        <v>0</v>
      </c>
      <c r="AD20" s="221">
        <f t="shared" si="11"/>
        <v>0</v>
      </c>
    </row>
    <row r="21" spans="1:30" ht="20.100000000000001" customHeight="1">
      <c r="A21" s="480"/>
      <c r="B21" s="481"/>
      <c r="C21" s="202"/>
      <c r="D21" s="234"/>
      <c r="E21" s="235"/>
      <c r="F21" s="236"/>
      <c r="G21" s="235"/>
      <c r="H21" s="236"/>
      <c r="I21" s="221">
        <f t="shared" si="5"/>
        <v>0</v>
      </c>
      <c r="J21" s="235"/>
      <c r="K21" s="235"/>
      <c r="L21" s="235"/>
      <c r="M21" s="221">
        <f t="shared" si="0"/>
        <v>0</v>
      </c>
      <c r="N21" s="221">
        <f t="shared" si="1"/>
        <v>0</v>
      </c>
      <c r="O21" s="221">
        <f t="shared" si="2"/>
        <v>0</v>
      </c>
      <c r="P21" s="221">
        <f t="shared" si="12"/>
        <v>0</v>
      </c>
      <c r="Q21" s="407">
        <f t="shared" si="3"/>
        <v>0</v>
      </c>
      <c r="R21" s="234"/>
      <c r="S21" s="234"/>
      <c r="T21" s="234"/>
      <c r="U21" s="234"/>
      <c r="V21" s="234"/>
      <c r="W21" s="221">
        <f t="shared" si="4"/>
        <v>0</v>
      </c>
      <c r="X21" s="234"/>
      <c r="Y21" s="234"/>
      <c r="Z21" s="234"/>
      <c r="AA21" s="221">
        <f t="shared" si="8"/>
        <v>0</v>
      </c>
      <c r="AB21" s="221">
        <f t="shared" si="9"/>
        <v>0</v>
      </c>
      <c r="AC21" s="221">
        <f t="shared" si="10"/>
        <v>0</v>
      </c>
      <c r="AD21" s="221">
        <f t="shared" si="11"/>
        <v>0</v>
      </c>
    </row>
    <row r="22" spans="1:30" ht="20.100000000000001" customHeight="1">
      <c r="A22" s="480"/>
      <c r="B22" s="481"/>
      <c r="C22" s="202"/>
      <c r="D22" s="234"/>
      <c r="E22" s="235"/>
      <c r="F22" s="236"/>
      <c r="G22" s="235"/>
      <c r="H22" s="236"/>
      <c r="I22" s="221">
        <f t="shared" si="5"/>
        <v>0</v>
      </c>
      <c r="J22" s="235"/>
      <c r="K22" s="235"/>
      <c r="L22" s="235"/>
      <c r="M22" s="221">
        <f t="shared" si="0"/>
        <v>0</v>
      </c>
      <c r="N22" s="221">
        <f t="shared" si="1"/>
        <v>0</v>
      </c>
      <c r="O22" s="221">
        <f t="shared" si="2"/>
        <v>0</v>
      </c>
      <c r="P22" s="221">
        <f t="shared" si="12"/>
        <v>0</v>
      </c>
      <c r="Q22" s="407">
        <f t="shared" si="3"/>
        <v>0</v>
      </c>
      <c r="R22" s="234"/>
      <c r="S22" s="234"/>
      <c r="T22" s="234"/>
      <c r="U22" s="234"/>
      <c r="V22" s="234"/>
      <c r="W22" s="221">
        <f t="shared" si="4"/>
        <v>0</v>
      </c>
      <c r="X22" s="234"/>
      <c r="Y22" s="234"/>
      <c r="Z22" s="234"/>
      <c r="AA22" s="221">
        <f t="shared" si="8"/>
        <v>0</v>
      </c>
      <c r="AB22" s="221">
        <f t="shared" si="9"/>
        <v>0</v>
      </c>
      <c r="AC22" s="221">
        <f t="shared" si="10"/>
        <v>0</v>
      </c>
      <c r="AD22" s="221">
        <f t="shared" si="11"/>
        <v>0</v>
      </c>
    </row>
    <row r="23" spans="1:30" s="372" customFormat="1" ht="20.100000000000001" customHeight="1">
      <c r="A23" s="482" t="s">
        <v>142</v>
      </c>
      <c r="B23" s="483"/>
      <c r="C23" s="368"/>
      <c r="D23" s="369"/>
      <c r="E23" s="370">
        <f>SUM(E14:E22)</f>
        <v>0</v>
      </c>
      <c r="F23" s="370"/>
      <c r="G23" s="370">
        <f>SUM(G14:G22)</f>
        <v>0</v>
      </c>
      <c r="H23" s="371"/>
      <c r="I23" s="369">
        <f t="shared" si="5"/>
        <v>0</v>
      </c>
      <c r="J23" s="370">
        <f>SUM(J14:J22)</f>
        <v>0</v>
      </c>
      <c r="K23" s="370">
        <f t="shared" ref="K23:L23" si="13">SUM(K14:K22)</f>
        <v>0</v>
      </c>
      <c r="L23" s="370">
        <f t="shared" si="13"/>
        <v>0</v>
      </c>
      <c r="M23" s="369">
        <f t="shared" si="0"/>
        <v>0</v>
      </c>
      <c r="N23" s="369">
        <f t="shared" si="1"/>
        <v>0</v>
      </c>
      <c r="O23" s="369">
        <f t="shared" si="2"/>
        <v>0</v>
      </c>
      <c r="P23" s="369">
        <f t="shared" si="12"/>
        <v>0</v>
      </c>
      <c r="Q23" s="408" t="s">
        <v>142</v>
      </c>
      <c r="R23" s="370">
        <f t="shared" ref="R23" si="14">SUM(R14:R22)</f>
        <v>0</v>
      </c>
      <c r="S23" s="370">
        <f t="shared" ref="S23" si="15">SUM(S14:S22)</f>
        <v>0</v>
      </c>
      <c r="T23" s="370">
        <f t="shared" ref="T23" si="16">SUM(T14:T22)</f>
        <v>0</v>
      </c>
      <c r="U23" s="370">
        <f t="shared" ref="U23" si="17">SUM(U14:U22)</f>
        <v>0</v>
      </c>
      <c r="V23" s="370">
        <f t="shared" ref="V23:X23" si="18">SUM(V14:V22)</f>
        <v>0</v>
      </c>
      <c r="W23" s="369">
        <f t="shared" si="18"/>
        <v>0</v>
      </c>
      <c r="X23" s="370">
        <f t="shared" si="18"/>
        <v>0</v>
      </c>
      <c r="Y23" s="370">
        <f t="shared" ref="Y23" si="19">SUM(Y14:Y22)</f>
        <v>0</v>
      </c>
      <c r="Z23" s="370">
        <f t="shared" ref="Z23" si="20">SUM(Z14:Z22)</f>
        <v>0</v>
      </c>
      <c r="AA23" s="369">
        <f t="shared" ref="AA23:AD23" si="21">SUM(AA27:AA30)</f>
        <v>0</v>
      </c>
      <c r="AB23" s="369">
        <f t="shared" si="21"/>
        <v>0</v>
      </c>
      <c r="AC23" s="369">
        <f t="shared" si="21"/>
        <v>0</v>
      </c>
      <c r="AD23" s="369">
        <f t="shared" si="21"/>
        <v>0</v>
      </c>
    </row>
    <row r="24" spans="1:30" ht="20.100000000000001" customHeight="1">
      <c r="A24" s="237" t="s">
        <v>143</v>
      </c>
      <c r="B24" s="195"/>
      <c r="D24" s="238"/>
      <c r="E24" s="239"/>
      <c r="F24" s="240"/>
      <c r="G24" s="239"/>
      <c r="H24" s="240"/>
      <c r="I24" s="238"/>
      <c r="J24" s="239"/>
      <c r="K24" s="239"/>
      <c r="L24" s="239"/>
      <c r="M24" s="238"/>
      <c r="N24" s="238"/>
      <c r="O24" s="238"/>
      <c r="P24" s="238"/>
      <c r="Q24" s="195"/>
      <c r="R24" s="238"/>
      <c r="S24" s="238"/>
      <c r="T24" s="238"/>
      <c r="U24" s="238"/>
      <c r="V24" s="238"/>
      <c r="W24" s="238"/>
      <c r="X24" s="238"/>
      <c r="Y24" s="238"/>
      <c r="Z24" s="238"/>
      <c r="AA24" s="238"/>
      <c r="AB24" s="238"/>
      <c r="AC24" s="238"/>
      <c r="AD24" s="238"/>
    </row>
    <row r="25" spans="1:30" ht="20.100000000000001" customHeight="1">
      <c r="A25" s="241"/>
      <c r="B25" s="195"/>
      <c r="D25" s="238"/>
      <c r="E25" s="239"/>
      <c r="F25" s="240"/>
      <c r="G25" s="239"/>
      <c r="H25" s="240"/>
      <c r="I25" s="238"/>
      <c r="J25" s="239"/>
      <c r="K25" s="239"/>
      <c r="L25" s="239"/>
      <c r="M25" s="238"/>
      <c r="N25" s="238"/>
      <c r="O25" s="238"/>
      <c r="P25" s="238"/>
      <c r="Q25" s="195"/>
      <c r="R25" s="238"/>
      <c r="S25" s="238"/>
      <c r="T25" s="238"/>
      <c r="U25" s="238"/>
      <c r="V25" s="238"/>
      <c r="W25" s="238"/>
      <c r="X25" s="238"/>
      <c r="Y25" s="238"/>
      <c r="Z25" s="238"/>
      <c r="AA25" s="238"/>
      <c r="AB25" s="238"/>
      <c r="AC25" s="238"/>
      <c r="AD25" s="238"/>
    </row>
    <row r="26" spans="1:30" ht="20.100000000000001" customHeight="1">
      <c r="A26" s="237" t="s">
        <v>144</v>
      </c>
      <c r="B26" s="195"/>
      <c r="D26" s="238"/>
      <c r="E26" s="239"/>
      <c r="F26" s="240"/>
      <c r="G26" s="239"/>
      <c r="H26" s="240"/>
      <c r="I26" s="238"/>
      <c r="J26" s="239"/>
      <c r="K26" s="239"/>
      <c r="L26" s="239"/>
      <c r="M26" s="238"/>
      <c r="N26" s="238"/>
      <c r="O26" s="238"/>
      <c r="P26" s="238"/>
      <c r="Q26" s="195"/>
      <c r="R26" s="238"/>
      <c r="S26" s="238"/>
      <c r="T26" s="238"/>
      <c r="U26" s="238"/>
      <c r="V26" s="238"/>
      <c r="W26" s="238"/>
      <c r="X26" s="238"/>
      <c r="Y26" s="238"/>
      <c r="Z26" s="238"/>
      <c r="AA26" s="238"/>
      <c r="AB26" s="238"/>
      <c r="AC26" s="238"/>
      <c r="AD26" s="238"/>
    </row>
    <row r="27" spans="1:30" ht="18" customHeight="1">
      <c r="B27" s="242" t="s">
        <v>145</v>
      </c>
    </row>
    <row r="28" spans="1:30" ht="18" customHeight="1">
      <c r="B28" s="242" t="s">
        <v>146</v>
      </c>
    </row>
    <row r="29" spans="1:30" ht="18" customHeight="1">
      <c r="B29" s="242" t="s">
        <v>147</v>
      </c>
    </row>
  </sheetData>
  <mergeCells count="47">
    <mergeCell ref="Q1:AD1"/>
    <mergeCell ref="Q2:AD2"/>
    <mergeCell ref="Q10:Q13"/>
    <mergeCell ref="R11:W11"/>
    <mergeCell ref="Y11:Z11"/>
    <mergeCell ref="AB12:AB13"/>
    <mergeCell ref="AC12:AC13"/>
    <mergeCell ref="AD12:AD13"/>
    <mergeCell ref="A1:P1"/>
    <mergeCell ref="A2:P2"/>
    <mergeCell ref="C10:P10"/>
    <mergeCell ref="R10:AD10"/>
    <mergeCell ref="A10:B13"/>
    <mergeCell ref="AA11:AD11"/>
    <mergeCell ref="E12:F12"/>
    <mergeCell ref="G12:H12"/>
    <mergeCell ref="S12:T12"/>
    <mergeCell ref="U12:V12"/>
    <mergeCell ref="R12:R13"/>
    <mergeCell ref="W12:W13"/>
    <mergeCell ref="X12:X13"/>
    <mergeCell ref="Y12:Y13"/>
    <mergeCell ref="Z12:Z13"/>
    <mergeCell ref="AA12:AA13"/>
    <mergeCell ref="A15:B15"/>
    <mergeCell ref="D11:I11"/>
    <mergeCell ref="K11:L11"/>
    <mergeCell ref="A14:B14"/>
    <mergeCell ref="C11:C13"/>
    <mergeCell ref="D12:D13"/>
    <mergeCell ref="I12:I13"/>
    <mergeCell ref="J12:J13"/>
    <mergeCell ref="K12:K13"/>
    <mergeCell ref="L12:L13"/>
    <mergeCell ref="M11:P11"/>
    <mergeCell ref="M12:M13"/>
    <mergeCell ref="N12:N13"/>
    <mergeCell ref="O12:O13"/>
    <mergeCell ref="P12:P13"/>
    <mergeCell ref="A20:B20"/>
    <mergeCell ref="A21:B21"/>
    <mergeCell ref="A22:B22"/>
    <mergeCell ref="A23:B23"/>
    <mergeCell ref="A16:B16"/>
    <mergeCell ref="A17:B17"/>
    <mergeCell ref="A18:B18"/>
    <mergeCell ref="A19:B19"/>
  </mergeCells>
  <phoneticPr fontId="36" type="noConversion"/>
  <dataValidations count="3">
    <dataValidation type="list" allowBlank="1" showInputMessage="1" showErrorMessage="1" prompt="如要修改下列框的选项，单击“数据-数据有效性-设置-序列-来源”。_x000a_" sqref="F14:F22">
      <formula1>"企业合并形成,取得构成业务的共同经营的利益份额形成,其他"</formula1>
    </dataValidation>
    <dataValidation type="list" allowBlank="1" showInputMessage="1" showErrorMessage="1" prompt="如要修改下列框的选项，单击“数据-数据有效性-设置-序列-来源”。" sqref="F24:F26">
      <formula1>"购置,内部研发,企业合并增加,其他增加"</formula1>
    </dataValidation>
    <dataValidation type="list" allowBlank="1" showInputMessage="1" showErrorMessage="1" prompt="如要修改下列框的选项，单击“数据-数据有效性-设置-序列-来源”。_x000a_" sqref="H14:H26">
      <formula1>"处置,其他减少"</formula1>
    </dataValidation>
  </dataValidations>
  <hyperlinks>
    <hyperlink ref="P3" location="底稿目录!D8" display="I3-2"/>
    <hyperlink ref="AD3" location="底稿目录!D8" display="I3-2"/>
  </hyperlinks>
  <printOptions horizontalCentered="1"/>
  <pageMargins left="0.59055118110236227" right="0.59055118110236227" top="0.78740157480314965" bottom="0.39370078740157483" header="0.51181102362204722" footer="0.31496062992125984"/>
  <pageSetup paperSize="9" scale="75" fitToHeight="3" orientation="landscape" blackAndWhite="1" r:id="rId1"/>
  <headerFooter>
    <oddFooter>&amp;C&amp;P/&amp;N</oddFooter>
  </headerFooter>
  <colBreaks count="1" manualBreakCount="1">
    <brk id="16" max="2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J23"/>
  <sheetViews>
    <sheetView view="pageBreakPreview" zoomScaleNormal="100" workbookViewId="0">
      <selection activeCell="J3" sqref="J3"/>
    </sheetView>
  </sheetViews>
  <sheetFormatPr defaultColWidth="8.88671875" defaultRowHeight="19.95" customHeight="1"/>
  <cols>
    <col min="1" max="1" width="23" style="223" customWidth="1"/>
    <col min="2" max="2" width="23.44140625" style="223" customWidth="1"/>
    <col min="3" max="3" width="8.88671875" style="223" customWidth="1"/>
    <col min="4" max="16384" width="8.88671875" style="223"/>
  </cols>
  <sheetData>
    <row r="1" spans="1:10" ht="19.95" customHeight="1">
      <c r="A1" s="493" t="s">
        <v>65</v>
      </c>
      <c r="B1" s="493"/>
      <c r="C1" s="493"/>
      <c r="D1" s="493"/>
      <c r="E1" s="493"/>
      <c r="F1" s="493"/>
      <c r="G1" s="493"/>
      <c r="H1" s="493"/>
      <c r="I1" s="493"/>
      <c r="J1" s="493"/>
    </row>
    <row r="2" spans="1:10" ht="19.95" customHeight="1">
      <c r="A2" s="494" t="s">
        <v>149</v>
      </c>
      <c r="B2" s="494"/>
      <c r="C2" s="494"/>
      <c r="D2" s="494"/>
      <c r="E2" s="494"/>
      <c r="F2" s="494"/>
      <c r="G2" s="494"/>
      <c r="H2" s="494"/>
      <c r="I2" s="494"/>
      <c r="J2" s="494"/>
    </row>
    <row r="3" spans="1:10" s="400" customFormat="1" ht="19.95" customHeight="1">
      <c r="A3" s="398" t="str">
        <f>底稿目录!A2</f>
        <v>被审计单位：</v>
      </c>
      <c r="B3" s="398"/>
      <c r="C3" s="398"/>
      <c r="D3" s="398" t="str">
        <f>底稿目录!A4</f>
        <v>编制人：</v>
      </c>
      <c r="E3" s="398"/>
      <c r="F3" s="399" t="str">
        <f>底稿目录!A5</f>
        <v>编制日期：</v>
      </c>
      <c r="H3" s="401"/>
      <c r="I3" s="399" t="s">
        <v>258</v>
      </c>
      <c r="J3" s="441" t="s">
        <v>14</v>
      </c>
    </row>
    <row r="4" spans="1:10" s="400" customFormat="1" ht="19.95" customHeight="1">
      <c r="A4" s="398" t="str">
        <f>底稿目录!A3</f>
        <v>截止日：202X年12月31日</v>
      </c>
      <c r="B4" s="398"/>
      <c r="C4" s="398"/>
      <c r="D4" s="398" t="str">
        <f>底稿目录!A6</f>
        <v>复核人：</v>
      </c>
      <c r="E4" s="398"/>
      <c r="F4" s="399" t="str">
        <f>底稿目录!A7</f>
        <v>复核日期：</v>
      </c>
      <c r="H4" s="401"/>
      <c r="I4" s="399" t="s">
        <v>68</v>
      </c>
      <c r="J4" s="402"/>
    </row>
    <row r="5" spans="1:10" ht="24">
      <c r="A5" s="224" t="s">
        <v>150</v>
      </c>
      <c r="B5" s="224" t="s">
        <v>151</v>
      </c>
      <c r="C5" s="224" t="s">
        <v>152</v>
      </c>
      <c r="D5" s="225" t="s">
        <v>153</v>
      </c>
      <c r="E5" s="225" t="s">
        <v>154</v>
      </c>
      <c r="F5" s="226" t="s">
        <v>155</v>
      </c>
      <c r="G5" s="225" t="s">
        <v>156</v>
      </c>
      <c r="H5" s="225" t="s">
        <v>157</v>
      </c>
      <c r="I5" s="225" t="s">
        <v>158</v>
      </c>
      <c r="J5" s="225" t="s">
        <v>159</v>
      </c>
    </row>
    <row r="6" spans="1:10" ht="19.95" customHeight="1">
      <c r="A6" s="227"/>
      <c r="B6" s="227"/>
      <c r="C6" s="227"/>
      <c r="D6" s="227"/>
      <c r="E6" s="227"/>
      <c r="F6" s="227"/>
      <c r="G6" s="227"/>
      <c r="H6" s="227"/>
      <c r="I6" s="227"/>
      <c r="J6" s="227"/>
    </row>
    <row r="7" spans="1:10" ht="19.95" customHeight="1">
      <c r="A7" s="228"/>
      <c r="B7" s="227"/>
      <c r="C7" s="227"/>
      <c r="D7" s="227"/>
      <c r="E7" s="227"/>
      <c r="F7" s="227"/>
      <c r="G7" s="227"/>
      <c r="H7" s="227"/>
      <c r="I7" s="227"/>
      <c r="J7" s="227"/>
    </row>
    <row r="8" spans="1:10" ht="19.95" customHeight="1">
      <c r="A8" s="229"/>
      <c r="B8" s="227"/>
      <c r="C8" s="227"/>
      <c r="D8" s="227"/>
      <c r="E8" s="227"/>
      <c r="F8" s="227"/>
      <c r="G8" s="227"/>
      <c r="H8" s="227"/>
      <c r="I8" s="227"/>
      <c r="J8" s="227"/>
    </row>
    <row r="9" spans="1:10" ht="19.95" customHeight="1">
      <c r="A9" s="229"/>
      <c r="B9" s="227"/>
      <c r="C9" s="227"/>
      <c r="D9" s="227"/>
      <c r="E9" s="227"/>
      <c r="F9" s="227"/>
      <c r="G9" s="227"/>
      <c r="H9" s="227"/>
      <c r="I9" s="227"/>
      <c r="J9" s="227"/>
    </row>
    <row r="10" spans="1:10" ht="19.95" customHeight="1">
      <c r="A10" s="229"/>
      <c r="B10" s="227"/>
      <c r="C10" s="227"/>
      <c r="D10" s="227"/>
      <c r="E10" s="227"/>
      <c r="F10" s="227"/>
      <c r="G10" s="227"/>
      <c r="H10" s="227"/>
      <c r="I10" s="227"/>
      <c r="J10" s="227"/>
    </row>
    <row r="11" spans="1:10" ht="19.95" customHeight="1">
      <c r="A11" s="230"/>
      <c r="B11" s="227"/>
      <c r="C11" s="227"/>
      <c r="D11" s="227"/>
      <c r="E11" s="227"/>
      <c r="F11" s="227"/>
      <c r="G11" s="227"/>
      <c r="H11" s="227"/>
      <c r="I11" s="227"/>
      <c r="J11" s="227"/>
    </row>
    <row r="12" spans="1:10" ht="19.95" customHeight="1">
      <c r="A12" s="229"/>
      <c r="B12" s="227"/>
      <c r="C12" s="227"/>
      <c r="D12" s="227"/>
      <c r="E12" s="227"/>
      <c r="F12" s="227"/>
      <c r="G12" s="227"/>
      <c r="H12" s="227"/>
      <c r="I12" s="227"/>
      <c r="J12" s="227"/>
    </row>
    <row r="13" spans="1:10" ht="19.95" customHeight="1">
      <c r="A13" s="229"/>
      <c r="B13" s="227"/>
      <c r="C13" s="227"/>
      <c r="D13" s="227"/>
      <c r="E13" s="227"/>
      <c r="F13" s="227"/>
      <c r="G13" s="227"/>
      <c r="H13" s="227"/>
      <c r="I13" s="227"/>
      <c r="J13" s="227"/>
    </row>
    <row r="14" spans="1:10" ht="19.95" customHeight="1">
      <c r="A14" s="229"/>
      <c r="B14" s="227"/>
      <c r="C14" s="227"/>
      <c r="D14" s="227"/>
      <c r="E14" s="227"/>
      <c r="F14" s="227"/>
      <c r="G14" s="227"/>
      <c r="H14" s="227"/>
      <c r="I14" s="227"/>
      <c r="J14" s="227"/>
    </row>
    <row r="15" spans="1:10" ht="19.95" customHeight="1">
      <c r="A15" s="229"/>
      <c r="B15" s="227"/>
      <c r="C15" s="227"/>
      <c r="D15" s="227"/>
      <c r="E15" s="227"/>
      <c r="F15" s="227"/>
      <c r="G15" s="227"/>
      <c r="H15" s="227"/>
      <c r="I15" s="227"/>
      <c r="J15" s="227"/>
    </row>
    <row r="16" spans="1:10" ht="19.95" customHeight="1">
      <c r="A16" s="229"/>
      <c r="B16" s="227"/>
      <c r="C16" s="227"/>
      <c r="D16" s="227"/>
      <c r="E16" s="227"/>
      <c r="F16" s="227"/>
      <c r="G16" s="227"/>
      <c r="H16" s="227"/>
      <c r="I16" s="227"/>
      <c r="J16" s="227"/>
    </row>
    <row r="17" spans="1:10" ht="19.95" customHeight="1">
      <c r="A17" s="229"/>
      <c r="B17" s="227"/>
      <c r="C17" s="227"/>
      <c r="D17" s="227"/>
      <c r="E17" s="227"/>
      <c r="F17" s="227"/>
      <c r="G17" s="227"/>
      <c r="H17" s="227"/>
      <c r="I17" s="227"/>
      <c r="J17" s="227"/>
    </row>
    <row r="18" spans="1:10" ht="19.95" customHeight="1">
      <c r="A18" s="229"/>
      <c r="B18" s="227"/>
      <c r="C18" s="227"/>
      <c r="D18" s="227"/>
      <c r="E18" s="227"/>
      <c r="F18" s="227"/>
      <c r="G18" s="227"/>
      <c r="H18" s="227"/>
      <c r="I18" s="227"/>
      <c r="J18" s="227"/>
    </row>
    <row r="19" spans="1:10" ht="19.95" customHeight="1">
      <c r="A19" s="229"/>
      <c r="B19" s="227"/>
      <c r="C19" s="227"/>
      <c r="D19" s="227"/>
      <c r="E19" s="227"/>
      <c r="F19" s="227"/>
      <c r="G19" s="227"/>
      <c r="H19" s="227"/>
      <c r="I19" s="227"/>
      <c r="J19" s="227"/>
    </row>
    <row r="20" spans="1:10" ht="19.95" customHeight="1">
      <c r="A20" s="229"/>
      <c r="B20" s="227"/>
      <c r="C20" s="227"/>
      <c r="D20" s="227"/>
      <c r="E20" s="227"/>
      <c r="F20" s="227"/>
      <c r="G20" s="227"/>
      <c r="H20" s="227"/>
      <c r="I20" s="227"/>
      <c r="J20" s="227"/>
    </row>
    <row r="23" spans="1:10" ht="15.6">
      <c r="A23" s="495" t="s">
        <v>160</v>
      </c>
      <c r="B23" s="496"/>
      <c r="C23" s="496"/>
      <c r="D23" s="496"/>
      <c r="E23" s="496"/>
      <c r="F23" s="496"/>
      <c r="G23" s="496"/>
      <c r="H23" s="496"/>
      <c r="I23" s="496"/>
      <c r="J23" s="496"/>
    </row>
  </sheetData>
  <mergeCells count="3">
    <mergeCell ref="A1:J1"/>
    <mergeCell ref="A2:J2"/>
    <mergeCell ref="A23:J23"/>
  </mergeCells>
  <phoneticPr fontId="36" type="noConversion"/>
  <dataValidations count="1">
    <dataValidation type="list" allowBlank="1" showInputMessage="1" showErrorMessage="1" sqref="B6:B20">
      <formula1>"账项调整,报表调整,其他"</formula1>
    </dataValidation>
  </dataValidations>
  <hyperlinks>
    <hyperlink ref="J3" location="底稿目录!D9" display="I3-3"/>
  </hyperlinks>
  <pageMargins left="0.70866141732283472" right="0.70866141732283472" top="0.74803149606299213" bottom="0.74803149606299213" header="0.31496062992125984" footer="0.31496062992125984"/>
  <pageSetup paperSize="9" scale="75" orientation="portrait"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M23"/>
  <sheetViews>
    <sheetView view="pageBreakPreview" zoomScaleNormal="100" workbookViewId="0">
      <selection activeCell="M3" sqref="M3"/>
    </sheetView>
  </sheetViews>
  <sheetFormatPr defaultColWidth="9" defaultRowHeight="18" customHeight="1"/>
  <cols>
    <col min="1" max="1" width="4.44140625" style="196" customWidth="1"/>
    <col min="2" max="2" width="18.33203125" style="196" customWidth="1"/>
    <col min="3" max="3" width="14.6640625" style="196" customWidth="1"/>
    <col min="4" max="4" width="7.88671875" style="196" customWidth="1"/>
    <col min="5" max="5" width="9.44140625" style="196" customWidth="1"/>
    <col min="6" max="6" width="9.109375" style="196" customWidth="1"/>
    <col min="7" max="8" width="14.6640625" style="196" customWidth="1"/>
    <col min="9" max="9" width="10.77734375" style="196" customWidth="1"/>
    <col min="10" max="11" width="14.6640625" style="196" customWidth="1"/>
    <col min="12" max="12" width="12.33203125" style="196" customWidth="1"/>
    <col min="13" max="13" width="9.33203125" style="196" customWidth="1"/>
    <col min="14" max="16384" width="9" style="196"/>
  </cols>
  <sheetData>
    <row r="1" spans="1:13" s="193" customFormat="1" ht="20.100000000000001" customHeight="1">
      <c r="A1" s="462" t="s">
        <v>65</v>
      </c>
      <c r="B1" s="462"/>
      <c r="C1" s="462"/>
      <c r="D1" s="462"/>
      <c r="E1" s="462"/>
      <c r="F1" s="462"/>
      <c r="G1" s="462"/>
      <c r="H1" s="462"/>
      <c r="I1" s="462"/>
      <c r="J1" s="462"/>
      <c r="K1" s="462"/>
      <c r="L1" s="462"/>
      <c r="M1" s="462"/>
    </row>
    <row r="2" spans="1:13" s="194" customFormat="1" ht="25.05" customHeight="1">
      <c r="A2" s="463" t="s">
        <v>161</v>
      </c>
      <c r="B2" s="463"/>
      <c r="C2" s="463"/>
      <c r="D2" s="463"/>
      <c r="E2" s="463"/>
      <c r="F2" s="463"/>
      <c r="G2" s="463"/>
      <c r="H2" s="463"/>
      <c r="I2" s="463"/>
      <c r="J2" s="463"/>
      <c r="K2" s="463"/>
      <c r="L2" s="463"/>
      <c r="M2" s="463"/>
    </row>
    <row r="3" spans="1:13" s="208" customFormat="1" ht="20.100000000000001" customHeight="1">
      <c r="A3" s="208" t="str">
        <f>底稿目录!A2</f>
        <v>被审计单位：</v>
      </c>
      <c r="E3" s="208" t="str">
        <f>底稿目录!A4</f>
        <v>编制人：</v>
      </c>
      <c r="I3" s="394" t="str">
        <f>底稿目录!A5</f>
        <v>编制日期：</v>
      </c>
      <c r="J3" s="394"/>
      <c r="L3" s="397" t="s">
        <v>258</v>
      </c>
      <c r="M3" s="441" t="s">
        <v>17</v>
      </c>
    </row>
    <row r="4" spans="1:13" s="208" customFormat="1" ht="20.100000000000001" customHeight="1">
      <c r="A4" s="208" t="str">
        <f>底稿目录!A3</f>
        <v>截止日：202X年12月31日</v>
      </c>
      <c r="E4" s="208" t="str">
        <f>底稿目录!A6</f>
        <v>复核人：</v>
      </c>
      <c r="I4" s="394" t="str">
        <f>底稿目录!A7</f>
        <v>复核日期：</v>
      </c>
      <c r="J4" s="394"/>
      <c r="L4" s="397" t="s">
        <v>68</v>
      </c>
      <c r="M4" s="396"/>
    </row>
    <row r="5" spans="1:13" ht="20.100000000000001" customHeight="1">
      <c r="A5" s="197" t="s">
        <v>162</v>
      </c>
    </row>
    <row r="6" spans="1:13" ht="20.100000000000001" customHeight="1">
      <c r="A6" s="208" t="s">
        <v>163</v>
      </c>
    </row>
    <row r="7" spans="1:13" ht="20.100000000000001" customHeight="1">
      <c r="A7" s="197" t="s">
        <v>129</v>
      </c>
    </row>
    <row r="8" spans="1:13" s="207" customFormat="1" ht="20.100000000000001" customHeight="1">
      <c r="A8" s="488" t="s">
        <v>164</v>
      </c>
      <c r="B8" s="488"/>
      <c r="C8" s="488" t="s">
        <v>165</v>
      </c>
      <c r="D8" s="488" t="s">
        <v>166</v>
      </c>
      <c r="E8" s="488" t="s">
        <v>167</v>
      </c>
      <c r="F8" s="488"/>
      <c r="G8" s="488" t="s">
        <v>168</v>
      </c>
      <c r="H8" s="488"/>
      <c r="I8" s="488"/>
      <c r="J8" s="488"/>
      <c r="K8" s="488"/>
      <c r="L8" s="488"/>
      <c r="M8" s="500" t="s">
        <v>5</v>
      </c>
    </row>
    <row r="9" spans="1:13" s="207" customFormat="1" ht="36">
      <c r="A9" s="488"/>
      <c r="B9" s="488"/>
      <c r="C9" s="488"/>
      <c r="D9" s="488"/>
      <c r="E9" s="200" t="s">
        <v>169</v>
      </c>
      <c r="F9" s="200" t="s">
        <v>170</v>
      </c>
      <c r="G9" s="200" t="s">
        <v>171</v>
      </c>
      <c r="H9" s="200" t="s">
        <v>172</v>
      </c>
      <c r="I9" s="200" t="s">
        <v>173</v>
      </c>
      <c r="J9" s="200" t="s">
        <v>174</v>
      </c>
      <c r="K9" s="200" t="s">
        <v>175</v>
      </c>
      <c r="L9" s="200" t="s">
        <v>176</v>
      </c>
      <c r="M9" s="501"/>
    </row>
    <row r="10" spans="1:13" ht="20.100000000000001" customHeight="1">
      <c r="A10" s="498" t="s">
        <v>177</v>
      </c>
      <c r="B10" s="499"/>
      <c r="C10" s="209">
        <v>1000</v>
      </c>
      <c r="D10" s="210" t="s">
        <v>178</v>
      </c>
      <c r="E10" s="211">
        <v>40553</v>
      </c>
      <c r="F10" s="210" t="s">
        <v>179</v>
      </c>
      <c r="G10" s="209">
        <v>1000</v>
      </c>
      <c r="H10" s="209">
        <v>1200</v>
      </c>
      <c r="I10" s="217">
        <v>0.7</v>
      </c>
      <c r="J10" s="218">
        <f t="shared" ref="J10:J17" si="0">H10*I10</f>
        <v>840</v>
      </c>
      <c r="K10" s="218">
        <f t="shared" ref="K10:K17" si="1">G10-J10</f>
        <v>160</v>
      </c>
      <c r="L10" s="210" t="s">
        <v>179</v>
      </c>
      <c r="M10" s="219"/>
    </row>
    <row r="11" spans="1:13" ht="20.100000000000001" customHeight="1">
      <c r="A11" s="480"/>
      <c r="B11" s="481"/>
      <c r="C11" s="212"/>
      <c r="D11" s="213"/>
      <c r="E11" s="214"/>
      <c r="F11" s="213"/>
      <c r="G11" s="212"/>
      <c r="H11" s="212"/>
      <c r="I11" s="220"/>
      <c r="J11" s="221">
        <f t="shared" si="0"/>
        <v>0</v>
      </c>
      <c r="K11" s="222">
        <f t="shared" si="1"/>
        <v>0</v>
      </c>
      <c r="L11" s="213"/>
      <c r="M11" s="202"/>
    </row>
    <row r="12" spans="1:13" ht="20.100000000000001" customHeight="1">
      <c r="A12" s="480"/>
      <c r="B12" s="481"/>
      <c r="C12" s="212"/>
      <c r="D12" s="213"/>
      <c r="E12" s="214"/>
      <c r="F12" s="213"/>
      <c r="G12" s="212"/>
      <c r="H12" s="212"/>
      <c r="I12" s="220"/>
      <c r="J12" s="222">
        <f t="shared" si="0"/>
        <v>0</v>
      </c>
      <c r="K12" s="222">
        <f t="shared" si="1"/>
        <v>0</v>
      </c>
      <c r="L12" s="213"/>
      <c r="M12" s="202"/>
    </row>
    <row r="13" spans="1:13" ht="20.100000000000001" customHeight="1">
      <c r="A13" s="480"/>
      <c r="B13" s="481"/>
      <c r="C13" s="212"/>
      <c r="D13" s="213"/>
      <c r="E13" s="214"/>
      <c r="F13" s="213"/>
      <c r="G13" s="212"/>
      <c r="H13" s="212"/>
      <c r="I13" s="220"/>
      <c r="J13" s="222">
        <f t="shared" si="0"/>
        <v>0</v>
      </c>
      <c r="K13" s="222">
        <f t="shared" si="1"/>
        <v>0</v>
      </c>
      <c r="L13" s="213"/>
      <c r="M13" s="202"/>
    </row>
    <row r="14" spans="1:13" ht="20.100000000000001" customHeight="1">
      <c r="A14" s="480"/>
      <c r="B14" s="481"/>
      <c r="C14" s="212"/>
      <c r="D14" s="213"/>
      <c r="E14" s="214"/>
      <c r="F14" s="213"/>
      <c r="G14" s="212"/>
      <c r="H14" s="212"/>
      <c r="I14" s="220"/>
      <c r="J14" s="222">
        <f t="shared" si="0"/>
        <v>0</v>
      </c>
      <c r="K14" s="222">
        <f t="shared" si="1"/>
        <v>0</v>
      </c>
      <c r="L14" s="213"/>
      <c r="M14" s="202"/>
    </row>
    <row r="15" spans="1:13" ht="20.100000000000001" customHeight="1">
      <c r="A15" s="480"/>
      <c r="B15" s="481"/>
      <c r="C15" s="212"/>
      <c r="D15" s="213"/>
      <c r="E15" s="214"/>
      <c r="F15" s="213"/>
      <c r="G15" s="212"/>
      <c r="H15" s="212"/>
      <c r="I15" s="220"/>
      <c r="J15" s="222">
        <f t="shared" si="0"/>
        <v>0</v>
      </c>
      <c r="K15" s="222">
        <f t="shared" si="1"/>
        <v>0</v>
      </c>
      <c r="L15" s="213"/>
      <c r="M15" s="202"/>
    </row>
    <row r="16" spans="1:13" ht="20.100000000000001" customHeight="1">
      <c r="A16" s="480"/>
      <c r="B16" s="481"/>
      <c r="C16" s="212"/>
      <c r="D16" s="213"/>
      <c r="E16" s="214"/>
      <c r="F16" s="213"/>
      <c r="G16" s="212"/>
      <c r="H16" s="212"/>
      <c r="I16" s="220"/>
      <c r="J16" s="222">
        <f t="shared" si="0"/>
        <v>0</v>
      </c>
      <c r="K16" s="222">
        <f t="shared" si="1"/>
        <v>0</v>
      </c>
      <c r="L16" s="213"/>
      <c r="M16" s="202"/>
    </row>
    <row r="17" spans="1:13" ht="20.100000000000001" customHeight="1">
      <c r="A17" s="480"/>
      <c r="B17" s="481"/>
      <c r="C17" s="212"/>
      <c r="D17" s="213"/>
      <c r="E17" s="214"/>
      <c r="F17" s="213"/>
      <c r="G17" s="212"/>
      <c r="H17" s="212"/>
      <c r="I17" s="220"/>
      <c r="J17" s="222">
        <f t="shared" si="0"/>
        <v>0</v>
      </c>
      <c r="K17" s="222">
        <f t="shared" si="1"/>
        <v>0</v>
      </c>
      <c r="L17" s="213"/>
      <c r="M17" s="202"/>
    </row>
    <row r="18" spans="1:13" s="413" customFormat="1" ht="20.100000000000001" customHeight="1">
      <c r="A18" s="497" t="s">
        <v>142</v>
      </c>
      <c r="B18" s="497"/>
      <c r="C18" s="410">
        <f>SUM(C10:C17)</f>
        <v>1000</v>
      </c>
      <c r="D18" s="411"/>
      <c r="E18" s="411"/>
      <c r="F18" s="411"/>
      <c r="G18" s="410">
        <f>SUM(G10:G17)</f>
        <v>1000</v>
      </c>
      <c r="H18" s="410">
        <f>SUM(H10:H17)</f>
        <v>1200</v>
      </c>
      <c r="I18" s="412"/>
      <c r="J18" s="410">
        <f>SUM(J10:J17)</f>
        <v>840</v>
      </c>
      <c r="K18" s="410">
        <f>SUM(K10:K17)</f>
        <v>160</v>
      </c>
      <c r="L18" s="411"/>
      <c r="M18" s="411"/>
    </row>
    <row r="19" spans="1:13" s="193" customFormat="1" ht="20.100000000000001" customHeight="1">
      <c r="A19" s="197" t="s">
        <v>143</v>
      </c>
    </row>
    <row r="20" spans="1:13" ht="20.100000000000001" customHeight="1"/>
    <row r="21" spans="1:13" ht="20.100000000000001" customHeight="1"/>
    <row r="22" spans="1:13" ht="20.100000000000001" customHeight="1">
      <c r="A22" s="197" t="s">
        <v>180</v>
      </c>
    </row>
    <row r="23" spans="1:13" ht="20.100000000000001" customHeight="1"/>
  </sheetData>
  <mergeCells count="17">
    <mergeCell ref="A1:M1"/>
    <mergeCell ref="A2:M2"/>
    <mergeCell ref="E8:F8"/>
    <mergeCell ref="G8:L8"/>
    <mergeCell ref="A10:B10"/>
    <mergeCell ref="M8:M9"/>
    <mergeCell ref="A16:B16"/>
    <mergeCell ref="A17:B17"/>
    <mergeCell ref="A18:B18"/>
    <mergeCell ref="C8:C9"/>
    <mergeCell ref="D8:D9"/>
    <mergeCell ref="A8:B9"/>
    <mergeCell ref="A11:B11"/>
    <mergeCell ref="A12:B12"/>
    <mergeCell ref="A13:B13"/>
    <mergeCell ref="A14:B14"/>
    <mergeCell ref="A15:B15"/>
  </mergeCells>
  <phoneticPr fontId="36" type="noConversion"/>
  <hyperlinks>
    <hyperlink ref="M3" location="底稿目录!D10" display="I3-4"/>
  </hyperlinks>
  <printOptions horizontalCentered="1"/>
  <pageMargins left="0.59055118110236227" right="0.59055118110236227" top="0.78740157480314965" bottom="0.39370078740157483" header="0.51181102362204722" footer="0.31496062992125984"/>
  <pageSetup paperSize="9" scale="88" fitToHeight="3" orientation="landscape" blackAndWhite="1" r:id="rId1"/>
  <headerFooter>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S29"/>
  <sheetViews>
    <sheetView view="pageBreakPreview" zoomScaleNormal="100" workbookViewId="0">
      <selection activeCell="P3" sqref="P3"/>
    </sheetView>
  </sheetViews>
  <sheetFormatPr defaultColWidth="9" defaultRowHeight="18" customHeight="1"/>
  <cols>
    <col min="1" max="1" width="20.6640625" style="196" customWidth="1"/>
    <col min="2" max="5" width="9" style="196"/>
    <col min="6" max="6" width="18.109375" style="196" customWidth="1"/>
    <col min="7" max="7" width="13" style="196" customWidth="1"/>
    <col min="8" max="8" width="11.77734375" style="196" customWidth="1"/>
    <col min="9" max="9" width="17.44140625" style="196" customWidth="1"/>
    <col min="10" max="14" width="3.6640625" style="196" customWidth="1"/>
    <col min="15" max="15" width="7.44140625" style="196" customWidth="1"/>
    <col min="16" max="16" width="8.88671875" style="196" bestFit="1" customWidth="1"/>
    <col min="17" max="17" width="16.88671875" style="196" customWidth="1"/>
    <col min="18" max="19" width="15.6640625" style="196" customWidth="1"/>
    <col min="20" max="16384" width="9" style="196"/>
  </cols>
  <sheetData>
    <row r="1" spans="1:19" s="384" customFormat="1" ht="19.95" customHeight="1">
      <c r="A1" s="462" t="s">
        <v>65</v>
      </c>
      <c r="B1" s="462"/>
      <c r="C1" s="462"/>
      <c r="D1" s="462"/>
      <c r="E1" s="462"/>
      <c r="F1" s="462"/>
      <c r="G1" s="462"/>
      <c r="H1" s="462"/>
      <c r="I1" s="462"/>
      <c r="J1" s="462"/>
      <c r="K1" s="462"/>
      <c r="L1" s="462"/>
      <c r="M1" s="462"/>
      <c r="N1" s="462"/>
      <c r="O1" s="462"/>
      <c r="P1" s="462"/>
      <c r="Q1" s="462"/>
      <c r="R1" s="414"/>
      <c r="S1" s="414"/>
    </row>
    <row r="2" spans="1:19" s="385" customFormat="1" ht="19.95" customHeight="1">
      <c r="A2" s="463" t="s">
        <v>18</v>
      </c>
      <c r="B2" s="463"/>
      <c r="C2" s="463"/>
      <c r="D2" s="463"/>
      <c r="E2" s="463"/>
      <c r="F2" s="463"/>
      <c r="G2" s="463"/>
      <c r="H2" s="463"/>
      <c r="I2" s="463"/>
      <c r="J2" s="463"/>
      <c r="K2" s="463"/>
      <c r="L2" s="463"/>
      <c r="M2" s="463"/>
      <c r="N2" s="463"/>
      <c r="O2" s="463"/>
      <c r="P2" s="463"/>
      <c r="Q2" s="463"/>
      <c r="R2" s="406"/>
      <c r="S2" s="406"/>
    </row>
    <row r="3" spans="1:19" s="208" customFormat="1" ht="20.100000000000001" customHeight="1">
      <c r="A3" s="208" t="str">
        <f>底稿目录!A2</f>
        <v>被审计单位：</v>
      </c>
      <c r="G3" s="208" t="str">
        <f>底稿目录!A4</f>
        <v>编制人：</v>
      </c>
      <c r="I3" s="394" t="str">
        <f>底稿目录!A5</f>
        <v>编制日期：</v>
      </c>
      <c r="O3" s="395" t="s">
        <v>258</v>
      </c>
      <c r="P3" s="441" t="s">
        <v>19</v>
      </c>
    </row>
    <row r="4" spans="1:19" s="208" customFormat="1" ht="20.100000000000001" customHeight="1">
      <c r="A4" s="208" t="str">
        <f>底稿目录!A3</f>
        <v>截止日：202X年12月31日</v>
      </c>
      <c r="G4" s="208" t="str">
        <f>底稿目录!A6</f>
        <v>复核人：</v>
      </c>
      <c r="I4" s="394" t="str">
        <f>底稿目录!A7</f>
        <v>复核日期：</v>
      </c>
      <c r="O4" s="395" t="s">
        <v>652</v>
      </c>
      <c r="P4" s="396"/>
    </row>
    <row r="5" spans="1:19" s="193" customFormat="1" ht="20.100000000000001" customHeight="1">
      <c r="A5" s="193" t="s">
        <v>181</v>
      </c>
      <c r="I5" s="377"/>
      <c r="J5" s="377"/>
      <c r="K5" s="377"/>
      <c r="L5" s="377"/>
      <c r="M5" s="377"/>
      <c r="N5" s="377"/>
      <c r="O5" s="377"/>
      <c r="P5" s="377"/>
    </row>
    <row r="6" spans="1:19" ht="20.100000000000001" customHeight="1">
      <c r="A6" s="198" t="s">
        <v>182</v>
      </c>
    </row>
    <row r="7" spans="1:19" s="193" customFormat="1" ht="20.100000000000001" customHeight="1">
      <c r="A7" s="415" t="s">
        <v>660</v>
      </c>
      <c r="B7" s="416"/>
      <c r="C7" s="417" t="s">
        <v>661</v>
      </c>
      <c r="D7" s="418"/>
      <c r="E7" s="418"/>
      <c r="F7" s="418"/>
      <c r="G7" s="418"/>
      <c r="H7" s="418"/>
      <c r="I7" s="418"/>
      <c r="J7" s="418"/>
      <c r="K7" s="418"/>
      <c r="L7" s="418"/>
      <c r="M7" s="418"/>
      <c r="N7" s="418"/>
      <c r="O7" s="418"/>
      <c r="P7" s="418"/>
      <c r="Q7" s="418"/>
      <c r="R7" s="196"/>
      <c r="S7" s="196"/>
    </row>
    <row r="8" spans="1:19" ht="20.100000000000001" customHeight="1">
      <c r="A8" s="419" t="s">
        <v>641</v>
      </c>
      <c r="B8" s="420"/>
      <c r="C8" s="420"/>
      <c r="D8" s="420"/>
      <c r="E8" s="420"/>
      <c r="F8" s="420"/>
      <c r="G8" s="420"/>
      <c r="H8" s="420"/>
      <c r="I8" s="420"/>
      <c r="J8" s="420"/>
      <c r="K8" s="420"/>
      <c r="L8" s="420"/>
      <c r="M8" s="420"/>
      <c r="N8" s="420"/>
      <c r="O8" s="420"/>
      <c r="P8" s="420"/>
      <c r="Q8" s="420"/>
    </row>
    <row r="9" spans="1:19" ht="20.100000000000001" customHeight="1">
      <c r="A9" s="505" t="s">
        <v>183</v>
      </c>
      <c r="B9" s="505"/>
      <c r="C9" s="505"/>
      <c r="D9" s="505"/>
      <c r="E9" s="505"/>
      <c r="F9" s="505"/>
      <c r="G9" s="505"/>
      <c r="H9" s="505"/>
      <c r="I9" s="507" t="s">
        <v>631</v>
      </c>
      <c r="J9" s="502" t="s">
        <v>632</v>
      </c>
      <c r="K9" s="502"/>
      <c r="L9" s="502"/>
      <c r="M9" s="502"/>
      <c r="N9" s="502"/>
      <c r="O9" s="503" t="s">
        <v>624</v>
      </c>
      <c r="P9" s="503" t="s">
        <v>633</v>
      </c>
      <c r="Q9" s="505" t="s">
        <v>634</v>
      </c>
    </row>
    <row r="10" spans="1:19" ht="20.100000000000001" customHeight="1">
      <c r="A10" s="380" t="s">
        <v>642</v>
      </c>
      <c r="B10" s="378" t="s">
        <v>184</v>
      </c>
      <c r="C10" s="378" t="s">
        <v>635</v>
      </c>
      <c r="D10" s="378" t="s">
        <v>636</v>
      </c>
      <c r="E10" s="378" t="s">
        <v>637</v>
      </c>
      <c r="F10" s="378" t="s">
        <v>638</v>
      </c>
      <c r="G10" s="379" t="s">
        <v>639</v>
      </c>
      <c r="H10" s="379" t="s">
        <v>640</v>
      </c>
      <c r="I10" s="504"/>
      <c r="J10" s="381">
        <v>1</v>
      </c>
      <c r="K10" s="381">
        <v>2</v>
      </c>
      <c r="L10" s="381">
        <v>3</v>
      </c>
      <c r="M10" s="381">
        <v>4</v>
      </c>
      <c r="N10" s="381">
        <v>5</v>
      </c>
      <c r="O10" s="504"/>
      <c r="P10" s="504"/>
      <c r="Q10" s="504"/>
    </row>
    <row r="11" spans="1:19" ht="20.100000000000001" customHeight="1">
      <c r="A11" s="388"/>
      <c r="B11" s="388"/>
      <c r="C11" s="388"/>
      <c r="D11" s="388"/>
      <c r="E11" s="388"/>
      <c r="F11" s="388"/>
      <c r="G11" s="423"/>
      <c r="H11" s="423"/>
      <c r="I11" s="388"/>
      <c r="J11" s="388"/>
      <c r="K11" s="388"/>
      <c r="L11" s="388"/>
      <c r="M11" s="388"/>
      <c r="N11" s="388"/>
      <c r="O11" s="388"/>
      <c r="P11" s="388"/>
      <c r="Q11" s="388"/>
    </row>
    <row r="12" spans="1:19" ht="20.100000000000001" customHeight="1">
      <c r="A12" s="388"/>
      <c r="B12" s="388"/>
      <c r="C12" s="388"/>
      <c r="D12" s="388"/>
      <c r="E12" s="388"/>
      <c r="F12" s="388"/>
      <c r="G12" s="423"/>
      <c r="H12" s="423"/>
      <c r="I12" s="388"/>
      <c r="J12" s="388"/>
      <c r="K12" s="388"/>
      <c r="L12" s="388"/>
      <c r="M12" s="388"/>
      <c r="N12" s="388"/>
      <c r="O12" s="388"/>
      <c r="P12" s="388"/>
      <c r="Q12" s="388"/>
    </row>
    <row r="13" spans="1:19" ht="20.100000000000001" customHeight="1">
      <c r="A13" s="388"/>
      <c r="B13" s="388"/>
      <c r="C13" s="388"/>
      <c r="D13" s="388"/>
      <c r="E13" s="388"/>
      <c r="F13" s="388"/>
      <c r="G13" s="423"/>
      <c r="H13" s="423"/>
      <c r="I13" s="388"/>
      <c r="J13" s="388"/>
      <c r="K13" s="388"/>
      <c r="L13" s="388"/>
      <c r="M13" s="388"/>
      <c r="N13" s="388"/>
      <c r="O13" s="388"/>
      <c r="P13" s="388"/>
      <c r="Q13" s="388"/>
    </row>
    <row r="14" spans="1:19" ht="20.100000000000001" customHeight="1">
      <c r="A14" s="388"/>
      <c r="B14" s="388"/>
      <c r="C14" s="388"/>
      <c r="D14" s="388"/>
      <c r="E14" s="388"/>
      <c r="F14" s="388"/>
      <c r="G14" s="423"/>
      <c r="H14" s="423"/>
      <c r="I14" s="388"/>
      <c r="J14" s="388"/>
      <c r="K14" s="388"/>
      <c r="L14" s="388"/>
      <c r="M14" s="388"/>
      <c r="N14" s="388"/>
      <c r="O14" s="388"/>
      <c r="P14" s="388"/>
      <c r="Q14" s="388"/>
    </row>
    <row r="15" spans="1:19" ht="20.100000000000001" customHeight="1">
      <c r="A15" s="388"/>
      <c r="B15" s="388"/>
      <c r="C15" s="388"/>
      <c r="D15" s="388"/>
      <c r="E15" s="388"/>
      <c r="F15" s="388"/>
      <c r="G15" s="423"/>
      <c r="H15" s="423"/>
      <c r="I15" s="388"/>
      <c r="J15" s="388"/>
      <c r="K15" s="388"/>
      <c r="L15" s="388"/>
      <c r="M15" s="388"/>
      <c r="N15" s="388"/>
      <c r="O15" s="388"/>
      <c r="P15" s="388"/>
      <c r="Q15" s="388"/>
    </row>
    <row r="16" spans="1:19" ht="20.100000000000001" customHeight="1">
      <c r="A16" s="388"/>
      <c r="B16" s="388"/>
      <c r="C16" s="388"/>
      <c r="D16" s="388"/>
      <c r="E16" s="388"/>
      <c r="F16" s="388"/>
      <c r="G16" s="423"/>
      <c r="H16" s="423"/>
      <c r="I16" s="388"/>
      <c r="J16" s="388"/>
      <c r="K16" s="388"/>
      <c r="L16" s="388"/>
      <c r="M16" s="388"/>
      <c r="N16" s="388"/>
      <c r="O16" s="388"/>
      <c r="P16" s="388"/>
      <c r="Q16" s="388"/>
    </row>
    <row r="17" spans="1:19" ht="20.100000000000001" customHeight="1">
      <c r="A17" s="388"/>
      <c r="B17" s="388"/>
      <c r="C17" s="388"/>
      <c r="D17" s="388"/>
      <c r="E17" s="388"/>
      <c r="F17" s="388"/>
      <c r="G17" s="423"/>
      <c r="H17" s="423"/>
      <c r="I17" s="388"/>
      <c r="J17" s="388"/>
      <c r="K17" s="388"/>
      <c r="L17" s="388"/>
      <c r="M17" s="388"/>
      <c r="N17" s="388"/>
      <c r="O17" s="388"/>
      <c r="P17" s="388"/>
      <c r="Q17" s="388"/>
    </row>
    <row r="18" spans="1:19" ht="20.100000000000001" customHeight="1">
      <c r="A18" s="388"/>
      <c r="B18" s="388"/>
      <c r="C18" s="388"/>
      <c r="D18" s="388"/>
      <c r="E18" s="388"/>
      <c r="F18" s="388"/>
      <c r="G18" s="423"/>
      <c r="H18" s="423"/>
      <c r="I18" s="388"/>
      <c r="J18" s="388"/>
      <c r="K18" s="388"/>
      <c r="L18" s="388"/>
      <c r="M18" s="388"/>
      <c r="N18" s="388"/>
      <c r="O18" s="388"/>
      <c r="P18" s="388"/>
      <c r="Q18" s="388"/>
    </row>
    <row r="19" spans="1:19" ht="20.100000000000001" customHeight="1">
      <c r="A19" s="388"/>
      <c r="B19" s="388"/>
      <c r="C19" s="388"/>
      <c r="D19" s="388"/>
      <c r="E19" s="388"/>
      <c r="F19" s="388"/>
      <c r="G19" s="423"/>
      <c r="H19" s="423"/>
      <c r="I19" s="388"/>
      <c r="J19" s="388"/>
      <c r="K19" s="388"/>
      <c r="L19" s="388"/>
      <c r="M19" s="388"/>
      <c r="N19" s="388"/>
      <c r="O19" s="388"/>
      <c r="P19" s="388"/>
      <c r="Q19" s="388"/>
    </row>
    <row r="20" spans="1:19" s="383" customFormat="1" ht="20.100000000000001" customHeight="1">
      <c r="A20" s="506" t="s">
        <v>663</v>
      </c>
      <c r="B20" s="506"/>
      <c r="C20" s="506"/>
      <c r="D20" s="506"/>
      <c r="E20" s="424"/>
      <c r="F20" s="424"/>
      <c r="G20" s="425">
        <f>SUM(G11:G19)</f>
        <v>0</v>
      </c>
      <c r="H20" s="425">
        <f>SUM(H11:H19)</f>
        <v>0</v>
      </c>
      <c r="I20" s="424"/>
      <c r="J20" s="424"/>
      <c r="K20" s="424"/>
      <c r="L20" s="424"/>
      <c r="M20" s="424"/>
      <c r="N20" s="424"/>
      <c r="O20" s="424"/>
      <c r="P20" s="424"/>
      <c r="Q20" s="424"/>
    </row>
    <row r="21" spans="1:19" s="383" customFormat="1" ht="20.100000000000001" customHeight="1">
      <c r="A21" s="506" t="s">
        <v>664</v>
      </c>
      <c r="B21" s="506"/>
      <c r="C21" s="506"/>
      <c r="D21" s="506"/>
      <c r="E21" s="424"/>
      <c r="F21" s="424"/>
      <c r="G21" s="426">
        <f>'明细表I3-2'!N23</f>
        <v>0</v>
      </c>
      <c r="H21" s="426">
        <f>'明细表I3-2'!O23</f>
        <v>0</v>
      </c>
      <c r="I21" s="424"/>
      <c r="J21" s="424"/>
      <c r="K21" s="424"/>
      <c r="L21" s="424"/>
      <c r="M21" s="424"/>
      <c r="N21" s="424"/>
      <c r="O21" s="424"/>
      <c r="P21" s="424"/>
      <c r="Q21" s="424"/>
    </row>
    <row r="22" spans="1:19" s="383" customFormat="1" ht="20.100000000000001" customHeight="1">
      <c r="A22" s="506" t="s">
        <v>665</v>
      </c>
      <c r="B22" s="506"/>
      <c r="C22" s="506"/>
      <c r="D22" s="506"/>
      <c r="E22" s="424"/>
      <c r="F22" s="424"/>
      <c r="G22" s="427" t="e">
        <f>G20/G21</f>
        <v>#DIV/0!</v>
      </c>
      <c r="H22" s="427" t="e">
        <f>H20/H21</f>
        <v>#DIV/0!</v>
      </c>
      <c r="I22" s="424"/>
      <c r="J22" s="424"/>
      <c r="K22" s="424"/>
      <c r="L22" s="424"/>
      <c r="M22" s="424"/>
      <c r="N22" s="424"/>
      <c r="O22" s="424"/>
      <c r="P22" s="424"/>
      <c r="Q22" s="424"/>
    </row>
    <row r="23" spans="1:19" ht="20.100000000000001" customHeight="1">
      <c r="A23" s="422" t="s">
        <v>662</v>
      </c>
      <c r="B23" s="421"/>
      <c r="C23" s="421"/>
      <c r="D23" s="421"/>
      <c r="E23" s="421"/>
      <c r="F23" s="421"/>
      <c r="G23" s="421"/>
      <c r="H23" s="421"/>
      <c r="I23" s="421"/>
      <c r="J23" s="421"/>
      <c r="K23" s="421"/>
      <c r="L23" s="421"/>
      <c r="M23" s="421"/>
      <c r="N23" s="421"/>
      <c r="O23" s="421"/>
      <c r="P23" s="421"/>
      <c r="Q23" s="421"/>
    </row>
    <row r="24" spans="1:19" s="193" customFormat="1" ht="20.100000000000001" customHeight="1">
      <c r="A24" s="193" t="s">
        <v>185</v>
      </c>
      <c r="I24" s="377"/>
      <c r="J24" s="377"/>
      <c r="K24" s="377"/>
      <c r="L24" s="377"/>
      <c r="M24" s="377"/>
      <c r="N24" s="377"/>
      <c r="O24" s="377"/>
      <c r="P24" s="377"/>
      <c r="R24" s="196"/>
      <c r="S24" s="196"/>
    </row>
    <row r="25" spans="1:19" ht="20.100000000000001" customHeight="1"/>
    <row r="26" spans="1:19" ht="20.100000000000001" customHeight="1"/>
    <row r="27" spans="1:19" s="193" customFormat="1" ht="20.100000000000001" customHeight="1">
      <c r="A27" s="193" t="s">
        <v>186</v>
      </c>
      <c r="B27" s="203"/>
      <c r="C27" s="203"/>
      <c r="D27" s="203"/>
      <c r="E27" s="203"/>
      <c r="I27" s="377"/>
      <c r="J27" s="377"/>
      <c r="K27" s="377"/>
      <c r="L27" s="377"/>
      <c r="M27" s="377"/>
      <c r="N27" s="377"/>
      <c r="O27" s="377"/>
      <c r="P27" s="377"/>
    </row>
    <row r="28" spans="1:19" s="193" customFormat="1" ht="20.100000000000001" customHeight="1">
      <c r="B28" s="203"/>
      <c r="C28" s="203"/>
      <c r="D28" s="203"/>
      <c r="E28" s="203"/>
      <c r="I28" s="377"/>
      <c r="J28" s="377"/>
      <c r="K28" s="377"/>
      <c r="L28" s="377"/>
      <c r="M28" s="377"/>
      <c r="N28" s="377"/>
      <c r="O28" s="377"/>
      <c r="P28" s="377"/>
    </row>
    <row r="29" spans="1:19" ht="20.100000000000001" customHeight="1"/>
  </sheetData>
  <mergeCells count="11">
    <mergeCell ref="A20:D20"/>
    <mergeCell ref="A21:D21"/>
    <mergeCell ref="A22:D22"/>
    <mergeCell ref="A9:H9"/>
    <mergeCell ref="I9:I10"/>
    <mergeCell ref="J9:N9"/>
    <mergeCell ref="O9:O10"/>
    <mergeCell ref="P9:P10"/>
    <mergeCell ref="Q9:Q10"/>
    <mergeCell ref="A1:Q1"/>
    <mergeCell ref="A2:Q2"/>
  </mergeCells>
  <phoneticPr fontId="36" type="noConversion"/>
  <hyperlinks>
    <hyperlink ref="P3" location="底稿目录!D11" display="I3-5"/>
  </hyperlinks>
  <pageMargins left="0.59055118110236227" right="0.59055118110236227" top="0.78740157480314965" bottom="0.39370078740157483" header="0.51181102362204722" footer="0.31496062992125984"/>
  <pageSetup paperSize="9" scale="80" fitToHeight="4" orientation="landscape" blackAndWhite="1" r:id="rId1"/>
  <headerFooter>
    <oddFooter>&amp;C&amp;P/&amp;N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L70"/>
  <sheetViews>
    <sheetView view="pageBreakPreview" topLeftCell="A10" zoomScaleNormal="115" workbookViewId="0">
      <selection sqref="A1:L1"/>
    </sheetView>
  </sheetViews>
  <sheetFormatPr defaultColWidth="9" defaultRowHeight="15.6"/>
  <cols>
    <col min="1" max="1" width="4.33203125" style="114" customWidth="1"/>
    <col min="2" max="2" width="17" style="114" customWidth="1"/>
    <col min="3" max="3" width="14.6640625" style="114" customWidth="1"/>
    <col min="4" max="4" width="13.88671875" style="114" customWidth="1"/>
    <col min="5" max="5" width="23.21875" style="114" customWidth="1"/>
    <col min="6" max="6" width="12.33203125" style="114" customWidth="1"/>
    <col min="7" max="7" width="10.88671875" style="114" customWidth="1"/>
    <col min="8" max="8" width="11.44140625" style="114" customWidth="1"/>
    <col min="9" max="9" width="11.77734375" style="114" customWidth="1"/>
    <col min="10" max="10" width="11.33203125" style="114" customWidth="1"/>
    <col min="11" max="11" width="10.21875" style="114" customWidth="1"/>
    <col min="12" max="12" width="8.77734375" style="114" customWidth="1"/>
    <col min="13" max="257" width="9" style="114"/>
    <col min="258" max="258" width="17" style="114" customWidth="1"/>
    <col min="259" max="259" width="14.6640625" style="114" customWidth="1"/>
    <col min="260" max="260" width="13.88671875" style="114" customWidth="1"/>
    <col min="261" max="261" width="13.77734375" style="114" customWidth="1"/>
    <col min="262" max="262" width="12.33203125" style="114" customWidth="1"/>
    <col min="263" max="263" width="10.88671875" style="114" customWidth="1"/>
    <col min="264" max="264" width="11.44140625" style="114" customWidth="1"/>
    <col min="265" max="265" width="11.77734375" style="114" customWidth="1"/>
    <col min="266" max="266" width="11.33203125" style="114" customWidth="1"/>
    <col min="267" max="267" width="10.21875" style="114" customWidth="1"/>
    <col min="268" max="268" width="8.77734375" style="114" customWidth="1"/>
    <col min="269" max="513" width="9" style="114"/>
    <col min="514" max="514" width="17" style="114" customWidth="1"/>
    <col min="515" max="515" width="14.6640625" style="114" customWidth="1"/>
    <col min="516" max="516" width="13.88671875" style="114" customWidth="1"/>
    <col min="517" max="517" width="13.77734375" style="114" customWidth="1"/>
    <col min="518" max="518" width="12.33203125" style="114" customWidth="1"/>
    <col min="519" max="519" width="10.88671875" style="114" customWidth="1"/>
    <col min="520" max="520" width="11.44140625" style="114" customWidth="1"/>
    <col min="521" max="521" width="11.77734375" style="114" customWidth="1"/>
    <col min="522" max="522" width="11.33203125" style="114" customWidth="1"/>
    <col min="523" max="523" width="10.21875" style="114" customWidth="1"/>
    <col min="524" max="524" width="8.77734375" style="114" customWidth="1"/>
    <col min="525" max="769" width="9" style="114"/>
    <col min="770" max="770" width="17" style="114" customWidth="1"/>
    <col min="771" max="771" width="14.6640625" style="114" customWidth="1"/>
    <col min="772" max="772" width="13.88671875" style="114" customWidth="1"/>
    <col min="773" max="773" width="13.77734375" style="114" customWidth="1"/>
    <col min="774" max="774" width="12.33203125" style="114" customWidth="1"/>
    <col min="775" max="775" width="10.88671875" style="114" customWidth="1"/>
    <col min="776" max="776" width="11.44140625" style="114" customWidth="1"/>
    <col min="777" max="777" width="11.77734375" style="114" customWidth="1"/>
    <col min="778" max="778" width="11.33203125" style="114" customWidth="1"/>
    <col min="779" max="779" width="10.21875" style="114" customWidth="1"/>
    <col min="780" max="780" width="8.77734375" style="114" customWidth="1"/>
    <col min="781" max="1025" width="9" style="114"/>
    <col min="1026" max="1026" width="17" style="114" customWidth="1"/>
    <col min="1027" max="1027" width="14.6640625" style="114" customWidth="1"/>
    <col min="1028" max="1028" width="13.88671875" style="114" customWidth="1"/>
    <col min="1029" max="1029" width="13.77734375" style="114" customWidth="1"/>
    <col min="1030" max="1030" width="12.33203125" style="114" customWidth="1"/>
    <col min="1031" max="1031" width="10.88671875" style="114" customWidth="1"/>
    <col min="1032" max="1032" width="11.44140625" style="114" customWidth="1"/>
    <col min="1033" max="1033" width="11.77734375" style="114" customWidth="1"/>
    <col min="1034" max="1034" width="11.33203125" style="114" customWidth="1"/>
    <col min="1035" max="1035" width="10.21875" style="114" customWidth="1"/>
    <col min="1036" max="1036" width="8.77734375" style="114" customWidth="1"/>
    <col min="1037" max="1281" width="9" style="114"/>
    <col min="1282" max="1282" width="17" style="114" customWidth="1"/>
    <col min="1283" max="1283" width="14.6640625" style="114" customWidth="1"/>
    <col min="1284" max="1284" width="13.88671875" style="114" customWidth="1"/>
    <col min="1285" max="1285" width="13.77734375" style="114" customWidth="1"/>
    <col min="1286" max="1286" width="12.33203125" style="114" customWidth="1"/>
    <col min="1287" max="1287" width="10.88671875" style="114" customWidth="1"/>
    <col min="1288" max="1288" width="11.44140625" style="114" customWidth="1"/>
    <col min="1289" max="1289" width="11.77734375" style="114" customWidth="1"/>
    <col min="1290" max="1290" width="11.33203125" style="114" customWidth="1"/>
    <col min="1291" max="1291" width="10.21875" style="114" customWidth="1"/>
    <col min="1292" max="1292" width="8.77734375" style="114" customWidth="1"/>
    <col min="1293" max="1537" width="9" style="114"/>
    <col min="1538" max="1538" width="17" style="114" customWidth="1"/>
    <col min="1539" max="1539" width="14.6640625" style="114" customWidth="1"/>
    <col min="1540" max="1540" width="13.88671875" style="114" customWidth="1"/>
    <col min="1541" max="1541" width="13.77734375" style="114" customWidth="1"/>
    <col min="1542" max="1542" width="12.33203125" style="114" customWidth="1"/>
    <col min="1543" max="1543" width="10.88671875" style="114" customWidth="1"/>
    <col min="1544" max="1544" width="11.44140625" style="114" customWidth="1"/>
    <col min="1545" max="1545" width="11.77734375" style="114" customWidth="1"/>
    <col min="1546" max="1546" width="11.33203125" style="114" customWidth="1"/>
    <col min="1547" max="1547" width="10.21875" style="114" customWidth="1"/>
    <col min="1548" max="1548" width="8.77734375" style="114" customWidth="1"/>
    <col min="1549" max="1793" width="9" style="114"/>
    <col min="1794" max="1794" width="17" style="114" customWidth="1"/>
    <col min="1795" max="1795" width="14.6640625" style="114" customWidth="1"/>
    <col min="1796" max="1796" width="13.88671875" style="114" customWidth="1"/>
    <col min="1797" max="1797" width="13.77734375" style="114" customWidth="1"/>
    <col min="1798" max="1798" width="12.33203125" style="114" customWidth="1"/>
    <col min="1799" max="1799" width="10.88671875" style="114" customWidth="1"/>
    <col min="1800" max="1800" width="11.44140625" style="114" customWidth="1"/>
    <col min="1801" max="1801" width="11.77734375" style="114" customWidth="1"/>
    <col min="1802" max="1802" width="11.33203125" style="114" customWidth="1"/>
    <col min="1803" max="1803" width="10.21875" style="114" customWidth="1"/>
    <col min="1804" max="1804" width="8.77734375" style="114" customWidth="1"/>
    <col min="1805" max="2049" width="9" style="114"/>
    <col min="2050" max="2050" width="17" style="114" customWidth="1"/>
    <col min="2051" max="2051" width="14.6640625" style="114" customWidth="1"/>
    <col min="2052" max="2052" width="13.88671875" style="114" customWidth="1"/>
    <col min="2053" max="2053" width="13.77734375" style="114" customWidth="1"/>
    <col min="2054" max="2054" width="12.33203125" style="114" customWidth="1"/>
    <col min="2055" max="2055" width="10.88671875" style="114" customWidth="1"/>
    <col min="2056" max="2056" width="11.44140625" style="114" customWidth="1"/>
    <col min="2057" max="2057" width="11.77734375" style="114" customWidth="1"/>
    <col min="2058" max="2058" width="11.33203125" style="114" customWidth="1"/>
    <col min="2059" max="2059" width="10.21875" style="114" customWidth="1"/>
    <col min="2060" max="2060" width="8.77734375" style="114" customWidth="1"/>
    <col min="2061" max="2305" width="9" style="114"/>
    <col min="2306" max="2306" width="17" style="114" customWidth="1"/>
    <col min="2307" max="2307" width="14.6640625" style="114" customWidth="1"/>
    <col min="2308" max="2308" width="13.88671875" style="114" customWidth="1"/>
    <col min="2309" max="2309" width="13.77734375" style="114" customWidth="1"/>
    <col min="2310" max="2310" width="12.33203125" style="114" customWidth="1"/>
    <col min="2311" max="2311" width="10.88671875" style="114" customWidth="1"/>
    <col min="2312" max="2312" width="11.44140625" style="114" customWidth="1"/>
    <col min="2313" max="2313" width="11.77734375" style="114" customWidth="1"/>
    <col min="2314" max="2314" width="11.33203125" style="114" customWidth="1"/>
    <col min="2315" max="2315" width="10.21875" style="114" customWidth="1"/>
    <col min="2316" max="2316" width="8.77734375" style="114" customWidth="1"/>
    <col min="2317" max="2561" width="9" style="114"/>
    <col min="2562" max="2562" width="17" style="114" customWidth="1"/>
    <col min="2563" max="2563" width="14.6640625" style="114" customWidth="1"/>
    <col min="2564" max="2564" width="13.88671875" style="114" customWidth="1"/>
    <col min="2565" max="2565" width="13.77734375" style="114" customWidth="1"/>
    <col min="2566" max="2566" width="12.33203125" style="114" customWidth="1"/>
    <col min="2567" max="2567" width="10.88671875" style="114" customWidth="1"/>
    <col min="2568" max="2568" width="11.44140625" style="114" customWidth="1"/>
    <col min="2569" max="2569" width="11.77734375" style="114" customWidth="1"/>
    <col min="2570" max="2570" width="11.33203125" style="114" customWidth="1"/>
    <col min="2571" max="2571" width="10.21875" style="114" customWidth="1"/>
    <col min="2572" max="2572" width="8.77734375" style="114" customWidth="1"/>
    <col min="2573" max="2817" width="9" style="114"/>
    <col min="2818" max="2818" width="17" style="114" customWidth="1"/>
    <col min="2819" max="2819" width="14.6640625" style="114" customWidth="1"/>
    <col min="2820" max="2820" width="13.88671875" style="114" customWidth="1"/>
    <col min="2821" max="2821" width="13.77734375" style="114" customWidth="1"/>
    <col min="2822" max="2822" width="12.33203125" style="114" customWidth="1"/>
    <col min="2823" max="2823" width="10.88671875" style="114" customWidth="1"/>
    <col min="2824" max="2824" width="11.44140625" style="114" customWidth="1"/>
    <col min="2825" max="2825" width="11.77734375" style="114" customWidth="1"/>
    <col min="2826" max="2826" width="11.33203125" style="114" customWidth="1"/>
    <col min="2827" max="2827" width="10.21875" style="114" customWidth="1"/>
    <col min="2828" max="2828" width="8.77734375" style="114" customWidth="1"/>
    <col min="2829" max="3073" width="9" style="114"/>
    <col min="3074" max="3074" width="17" style="114" customWidth="1"/>
    <col min="3075" max="3075" width="14.6640625" style="114" customWidth="1"/>
    <col min="3076" max="3076" width="13.88671875" style="114" customWidth="1"/>
    <col min="3077" max="3077" width="13.77734375" style="114" customWidth="1"/>
    <col min="3078" max="3078" width="12.33203125" style="114" customWidth="1"/>
    <col min="3079" max="3079" width="10.88671875" style="114" customWidth="1"/>
    <col min="3080" max="3080" width="11.44140625" style="114" customWidth="1"/>
    <col min="3081" max="3081" width="11.77734375" style="114" customWidth="1"/>
    <col min="3082" max="3082" width="11.33203125" style="114" customWidth="1"/>
    <col min="3083" max="3083" width="10.21875" style="114" customWidth="1"/>
    <col min="3084" max="3084" width="8.77734375" style="114" customWidth="1"/>
    <col min="3085" max="3329" width="9" style="114"/>
    <col min="3330" max="3330" width="17" style="114" customWidth="1"/>
    <col min="3331" max="3331" width="14.6640625" style="114" customWidth="1"/>
    <col min="3332" max="3332" width="13.88671875" style="114" customWidth="1"/>
    <col min="3333" max="3333" width="13.77734375" style="114" customWidth="1"/>
    <col min="3334" max="3334" width="12.33203125" style="114" customWidth="1"/>
    <col min="3335" max="3335" width="10.88671875" style="114" customWidth="1"/>
    <col min="3336" max="3336" width="11.44140625" style="114" customWidth="1"/>
    <col min="3337" max="3337" width="11.77734375" style="114" customWidth="1"/>
    <col min="3338" max="3338" width="11.33203125" style="114" customWidth="1"/>
    <col min="3339" max="3339" width="10.21875" style="114" customWidth="1"/>
    <col min="3340" max="3340" width="8.77734375" style="114" customWidth="1"/>
    <col min="3341" max="3585" width="9" style="114"/>
    <col min="3586" max="3586" width="17" style="114" customWidth="1"/>
    <col min="3587" max="3587" width="14.6640625" style="114" customWidth="1"/>
    <col min="3588" max="3588" width="13.88671875" style="114" customWidth="1"/>
    <col min="3589" max="3589" width="13.77734375" style="114" customWidth="1"/>
    <col min="3590" max="3590" width="12.33203125" style="114" customWidth="1"/>
    <col min="3591" max="3591" width="10.88671875" style="114" customWidth="1"/>
    <col min="3592" max="3592" width="11.44140625" style="114" customWidth="1"/>
    <col min="3593" max="3593" width="11.77734375" style="114" customWidth="1"/>
    <col min="3594" max="3594" width="11.33203125" style="114" customWidth="1"/>
    <col min="3595" max="3595" width="10.21875" style="114" customWidth="1"/>
    <col min="3596" max="3596" width="8.77734375" style="114" customWidth="1"/>
    <col min="3597" max="3841" width="9" style="114"/>
    <col min="3842" max="3842" width="17" style="114" customWidth="1"/>
    <col min="3843" max="3843" width="14.6640625" style="114" customWidth="1"/>
    <col min="3844" max="3844" width="13.88671875" style="114" customWidth="1"/>
    <col min="3845" max="3845" width="13.77734375" style="114" customWidth="1"/>
    <col min="3846" max="3846" width="12.33203125" style="114" customWidth="1"/>
    <col min="3847" max="3847" width="10.88671875" style="114" customWidth="1"/>
    <col min="3848" max="3848" width="11.44140625" style="114" customWidth="1"/>
    <col min="3849" max="3849" width="11.77734375" style="114" customWidth="1"/>
    <col min="3850" max="3850" width="11.33203125" style="114" customWidth="1"/>
    <col min="3851" max="3851" width="10.21875" style="114" customWidth="1"/>
    <col min="3852" max="3852" width="8.77734375" style="114" customWidth="1"/>
    <col min="3853" max="4097" width="9" style="114"/>
    <col min="4098" max="4098" width="17" style="114" customWidth="1"/>
    <col min="4099" max="4099" width="14.6640625" style="114" customWidth="1"/>
    <col min="4100" max="4100" width="13.88671875" style="114" customWidth="1"/>
    <col min="4101" max="4101" width="13.77734375" style="114" customWidth="1"/>
    <col min="4102" max="4102" width="12.33203125" style="114" customWidth="1"/>
    <col min="4103" max="4103" width="10.88671875" style="114" customWidth="1"/>
    <col min="4104" max="4104" width="11.44140625" style="114" customWidth="1"/>
    <col min="4105" max="4105" width="11.77734375" style="114" customWidth="1"/>
    <col min="4106" max="4106" width="11.33203125" style="114" customWidth="1"/>
    <col min="4107" max="4107" width="10.21875" style="114" customWidth="1"/>
    <col min="4108" max="4108" width="8.77734375" style="114" customWidth="1"/>
    <col min="4109" max="4353" width="9" style="114"/>
    <col min="4354" max="4354" width="17" style="114" customWidth="1"/>
    <col min="4355" max="4355" width="14.6640625" style="114" customWidth="1"/>
    <col min="4356" max="4356" width="13.88671875" style="114" customWidth="1"/>
    <col min="4357" max="4357" width="13.77734375" style="114" customWidth="1"/>
    <col min="4358" max="4358" width="12.33203125" style="114" customWidth="1"/>
    <col min="4359" max="4359" width="10.88671875" style="114" customWidth="1"/>
    <col min="4360" max="4360" width="11.44140625" style="114" customWidth="1"/>
    <col min="4361" max="4361" width="11.77734375" style="114" customWidth="1"/>
    <col min="4362" max="4362" width="11.33203125" style="114" customWidth="1"/>
    <col min="4363" max="4363" width="10.21875" style="114" customWidth="1"/>
    <col min="4364" max="4364" width="8.77734375" style="114" customWidth="1"/>
    <col min="4365" max="4609" width="9" style="114"/>
    <col min="4610" max="4610" width="17" style="114" customWidth="1"/>
    <col min="4611" max="4611" width="14.6640625" style="114" customWidth="1"/>
    <col min="4612" max="4612" width="13.88671875" style="114" customWidth="1"/>
    <col min="4613" max="4613" width="13.77734375" style="114" customWidth="1"/>
    <col min="4614" max="4614" width="12.33203125" style="114" customWidth="1"/>
    <col min="4615" max="4615" width="10.88671875" style="114" customWidth="1"/>
    <col min="4616" max="4616" width="11.44140625" style="114" customWidth="1"/>
    <col min="4617" max="4617" width="11.77734375" style="114" customWidth="1"/>
    <col min="4618" max="4618" width="11.33203125" style="114" customWidth="1"/>
    <col min="4619" max="4619" width="10.21875" style="114" customWidth="1"/>
    <col min="4620" max="4620" width="8.77734375" style="114" customWidth="1"/>
    <col min="4621" max="4865" width="9" style="114"/>
    <col min="4866" max="4866" width="17" style="114" customWidth="1"/>
    <col min="4867" max="4867" width="14.6640625" style="114" customWidth="1"/>
    <col min="4868" max="4868" width="13.88671875" style="114" customWidth="1"/>
    <col min="4869" max="4869" width="13.77734375" style="114" customWidth="1"/>
    <col min="4870" max="4870" width="12.33203125" style="114" customWidth="1"/>
    <col min="4871" max="4871" width="10.88671875" style="114" customWidth="1"/>
    <col min="4872" max="4872" width="11.44140625" style="114" customWidth="1"/>
    <col min="4873" max="4873" width="11.77734375" style="114" customWidth="1"/>
    <col min="4874" max="4874" width="11.33203125" style="114" customWidth="1"/>
    <col min="4875" max="4875" width="10.21875" style="114" customWidth="1"/>
    <col min="4876" max="4876" width="8.77734375" style="114" customWidth="1"/>
    <col min="4877" max="5121" width="9" style="114"/>
    <col min="5122" max="5122" width="17" style="114" customWidth="1"/>
    <col min="5123" max="5123" width="14.6640625" style="114" customWidth="1"/>
    <col min="5124" max="5124" width="13.88671875" style="114" customWidth="1"/>
    <col min="5125" max="5125" width="13.77734375" style="114" customWidth="1"/>
    <col min="5126" max="5126" width="12.33203125" style="114" customWidth="1"/>
    <col min="5127" max="5127" width="10.88671875" style="114" customWidth="1"/>
    <col min="5128" max="5128" width="11.44140625" style="114" customWidth="1"/>
    <col min="5129" max="5129" width="11.77734375" style="114" customWidth="1"/>
    <col min="5130" max="5130" width="11.33203125" style="114" customWidth="1"/>
    <col min="5131" max="5131" width="10.21875" style="114" customWidth="1"/>
    <col min="5132" max="5132" width="8.77734375" style="114" customWidth="1"/>
    <col min="5133" max="5377" width="9" style="114"/>
    <col min="5378" max="5378" width="17" style="114" customWidth="1"/>
    <col min="5379" max="5379" width="14.6640625" style="114" customWidth="1"/>
    <col min="5380" max="5380" width="13.88671875" style="114" customWidth="1"/>
    <col min="5381" max="5381" width="13.77734375" style="114" customWidth="1"/>
    <col min="5382" max="5382" width="12.33203125" style="114" customWidth="1"/>
    <col min="5383" max="5383" width="10.88671875" style="114" customWidth="1"/>
    <col min="5384" max="5384" width="11.44140625" style="114" customWidth="1"/>
    <col min="5385" max="5385" width="11.77734375" style="114" customWidth="1"/>
    <col min="5386" max="5386" width="11.33203125" style="114" customWidth="1"/>
    <col min="5387" max="5387" width="10.21875" style="114" customWidth="1"/>
    <col min="5388" max="5388" width="8.77734375" style="114" customWidth="1"/>
    <col min="5389" max="5633" width="9" style="114"/>
    <col min="5634" max="5634" width="17" style="114" customWidth="1"/>
    <col min="5635" max="5635" width="14.6640625" style="114" customWidth="1"/>
    <col min="5636" max="5636" width="13.88671875" style="114" customWidth="1"/>
    <col min="5637" max="5637" width="13.77734375" style="114" customWidth="1"/>
    <col min="5638" max="5638" width="12.33203125" style="114" customWidth="1"/>
    <col min="5639" max="5639" width="10.88671875" style="114" customWidth="1"/>
    <col min="5640" max="5640" width="11.44140625" style="114" customWidth="1"/>
    <col min="5641" max="5641" width="11.77734375" style="114" customWidth="1"/>
    <col min="5642" max="5642" width="11.33203125" style="114" customWidth="1"/>
    <col min="5643" max="5643" width="10.21875" style="114" customWidth="1"/>
    <col min="5644" max="5644" width="8.77734375" style="114" customWidth="1"/>
    <col min="5645" max="5889" width="9" style="114"/>
    <col min="5890" max="5890" width="17" style="114" customWidth="1"/>
    <col min="5891" max="5891" width="14.6640625" style="114" customWidth="1"/>
    <col min="5892" max="5892" width="13.88671875" style="114" customWidth="1"/>
    <col min="5893" max="5893" width="13.77734375" style="114" customWidth="1"/>
    <col min="5894" max="5894" width="12.33203125" style="114" customWidth="1"/>
    <col min="5895" max="5895" width="10.88671875" style="114" customWidth="1"/>
    <col min="5896" max="5896" width="11.44140625" style="114" customWidth="1"/>
    <col min="5897" max="5897" width="11.77734375" style="114" customWidth="1"/>
    <col min="5898" max="5898" width="11.33203125" style="114" customWidth="1"/>
    <col min="5899" max="5899" width="10.21875" style="114" customWidth="1"/>
    <col min="5900" max="5900" width="8.77734375" style="114" customWidth="1"/>
    <col min="5901" max="6145" width="9" style="114"/>
    <col min="6146" max="6146" width="17" style="114" customWidth="1"/>
    <col min="6147" max="6147" width="14.6640625" style="114" customWidth="1"/>
    <col min="6148" max="6148" width="13.88671875" style="114" customWidth="1"/>
    <col min="6149" max="6149" width="13.77734375" style="114" customWidth="1"/>
    <col min="6150" max="6150" width="12.33203125" style="114" customWidth="1"/>
    <col min="6151" max="6151" width="10.88671875" style="114" customWidth="1"/>
    <col min="6152" max="6152" width="11.44140625" style="114" customWidth="1"/>
    <col min="6153" max="6153" width="11.77734375" style="114" customWidth="1"/>
    <col min="6154" max="6154" width="11.33203125" style="114" customWidth="1"/>
    <col min="6155" max="6155" width="10.21875" style="114" customWidth="1"/>
    <col min="6156" max="6156" width="8.77734375" style="114" customWidth="1"/>
    <col min="6157" max="6401" width="9" style="114"/>
    <col min="6402" max="6402" width="17" style="114" customWidth="1"/>
    <col min="6403" max="6403" width="14.6640625" style="114" customWidth="1"/>
    <col min="6404" max="6404" width="13.88671875" style="114" customWidth="1"/>
    <col min="6405" max="6405" width="13.77734375" style="114" customWidth="1"/>
    <col min="6406" max="6406" width="12.33203125" style="114" customWidth="1"/>
    <col min="6407" max="6407" width="10.88671875" style="114" customWidth="1"/>
    <col min="6408" max="6408" width="11.44140625" style="114" customWidth="1"/>
    <col min="6409" max="6409" width="11.77734375" style="114" customWidth="1"/>
    <col min="6410" max="6410" width="11.33203125" style="114" customWidth="1"/>
    <col min="6411" max="6411" width="10.21875" style="114" customWidth="1"/>
    <col min="6412" max="6412" width="8.77734375" style="114" customWidth="1"/>
    <col min="6413" max="6657" width="9" style="114"/>
    <col min="6658" max="6658" width="17" style="114" customWidth="1"/>
    <col min="6659" max="6659" width="14.6640625" style="114" customWidth="1"/>
    <col min="6660" max="6660" width="13.88671875" style="114" customWidth="1"/>
    <col min="6661" max="6661" width="13.77734375" style="114" customWidth="1"/>
    <col min="6662" max="6662" width="12.33203125" style="114" customWidth="1"/>
    <col min="6663" max="6663" width="10.88671875" style="114" customWidth="1"/>
    <col min="6664" max="6664" width="11.44140625" style="114" customWidth="1"/>
    <col min="6665" max="6665" width="11.77734375" style="114" customWidth="1"/>
    <col min="6666" max="6666" width="11.33203125" style="114" customWidth="1"/>
    <col min="6667" max="6667" width="10.21875" style="114" customWidth="1"/>
    <col min="6668" max="6668" width="8.77734375" style="114" customWidth="1"/>
    <col min="6669" max="6913" width="9" style="114"/>
    <col min="6914" max="6914" width="17" style="114" customWidth="1"/>
    <col min="6915" max="6915" width="14.6640625" style="114" customWidth="1"/>
    <col min="6916" max="6916" width="13.88671875" style="114" customWidth="1"/>
    <col min="6917" max="6917" width="13.77734375" style="114" customWidth="1"/>
    <col min="6918" max="6918" width="12.33203125" style="114" customWidth="1"/>
    <col min="6919" max="6919" width="10.88671875" style="114" customWidth="1"/>
    <col min="6920" max="6920" width="11.44140625" style="114" customWidth="1"/>
    <col min="6921" max="6921" width="11.77734375" style="114" customWidth="1"/>
    <col min="6922" max="6922" width="11.33203125" style="114" customWidth="1"/>
    <col min="6923" max="6923" width="10.21875" style="114" customWidth="1"/>
    <col min="6924" max="6924" width="8.77734375" style="114" customWidth="1"/>
    <col min="6925" max="7169" width="9" style="114"/>
    <col min="7170" max="7170" width="17" style="114" customWidth="1"/>
    <col min="7171" max="7171" width="14.6640625" style="114" customWidth="1"/>
    <col min="7172" max="7172" width="13.88671875" style="114" customWidth="1"/>
    <col min="7173" max="7173" width="13.77734375" style="114" customWidth="1"/>
    <col min="7174" max="7174" width="12.33203125" style="114" customWidth="1"/>
    <col min="7175" max="7175" width="10.88671875" style="114" customWidth="1"/>
    <col min="7176" max="7176" width="11.44140625" style="114" customWidth="1"/>
    <col min="7177" max="7177" width="11.77734375" style="114" customWidth="1"/>
    <col min="7178" max="7178" width="11.33203125" style="114" customWidth="1"/>
    <col min="7179" max="7179" width="10.21875" style="114" customWidth="1"/>
    <col min="7180" max="7180" width="8.77734375" style="114" customWidth="1"/>
    <col min="7181" max="7425" width="9" style="114"/>
    <col min="7426" max="7426" width="17" style="114" customWidth="1"/>
    <col min="7427" max="7427" width="14.6640625" style="114" customWidth="1"/>
    <col min="7428" max="7428" width="13.88671875" style="114" customWidth="1"/>
    <col min="7429" max="7429" width="13.77734375" style="114" customWidth="1"/>
    <col min="7430" max="7430" width="12.33203125" style="114" customWidth="1"/>
    <col min="7431" max="7431" width="10.88671875" style="114" customWidth="1"/>
    <col min="7432" max="7432" width="11.44140625" style="114" customWidth="1"/>
    <col min="7433" max="7433" width="11.77734375" style="114" customWidth="1"/>
    <col min="7434" max="7434" width="11.33203125" style="114" customWidth="1"/>
    <col min="7435" max="7435" width="10.21875" style="114" customWidth="1"/>
    <col min="7436" max="7436" width="8.77734375" style="114" customWidth="1"/>
    <col min="7437" max="7681" width="9" style="114"/>
    <col min="7682" max="7682" width="17" style="114" customWidth="1"/>
    <col min="7683" max="7683" width="14.6640625" style="114" customWidth="1"/>
    <col min="7684" max="7684" width="13.88671875" style="114" customWidth="1"/>
    <col min="7685" max="7685" width="13.77734375" style="114" customWidth="1"/>
    <col min="7686" max="7686" width="12.33203125" style="114" customWidth="1"/>
    <col min="7687" max="7687" width="10.88671875" style="114" customWidth="1"/>
    <col min="7688" max="7688" width="11.44140625" style="114" customWidth="1"/>
    <col min="7689" max="7689" width="11.77734375" style="114" customWidth="1"/>
    <col min="7690" max="7690" width="11.33203125" style="114" customWidth="1"/>
    <col min="7691" max="7691" width="10.21875" style="114" customWidth="1"/>
    <col min="7692" max="7692" width="8.77734375" style="114" customWidth="1"/>
    <col min="7693" max="7937" width="9" style="114"/>
    <col min="7938" max="7938" width="17" style="114" customWidth="1"/>
    <col min="7939" max="7939" width="14.6640625" style="114" customWidth="1"/>
    <col min="7940" max="7940" width="13.88671875" style="114" customWidth="1"/>
    <col min="7941" max="7941" width="13.77734375" style="114" customWidth="1"/>
    <col min="7942" max="7942" width="12.33203125" style="114" customWidth="1"/>
    <col min="7943" max="7943" width="10.88671875" style="114" customWidth="1"/>
    <col min="7944" max="7944" width="11.44140625" style="114" customWidth="1"/>
    <col min="7945" max="7945" width="11.77734375" style="114" customWidth="1"/>
    <col min="7946" max="7946" width="11.33203125" style="114" customWidth="1"/>
    <col min="7947" max="7947" width="10.21875" style="114" customWidth="1"/>
    <col min="7948" max="7948" width="8.77734375" style="114" customWidth="1"/>
    <col min="7949" max="8193" width="9" style="114"/>
    <col min="8194" max="8194" width="17" style="114" customWidth="1"/>
    <col min="8195" max="8195" width="14.6640625" style="114" customWidth="1"/>
    <col min="8196" max="8196" width="13.88671875" style="114" customWidth="1"/>
    <col min="8197" max="8197" width="13.77734375" style="114" customWidth="1"/>
    <col min="8198" max="8198" width="12.33203125" style="114" customWidth="1"/>
    <col min="8199" max="8199" width="10.88671875" style="114" customWidth="1"/>
    <col min="8200" max="8200" width="11.44140625" style="114" customWidth="1"/>
    <col min="8201" max="8201" width="11.77734375" style="114" customWidth="1"/>
    <col min="8202" max="8202" width="11.33203125" style="114" customWidth="1"/>
    <col min="8203" max="8203" width="10.21875" style="114" customWidth="1"/>
    <col min="8204" max="8204" width="8.77734375" style="114" customWidth="1"/>
    <col min="8205" max="8449" width="9" style="114"/>
    <col min="8450" max="8450" width="17" style="114" customWidth="1"/>
    <col min="8451" max="8451" width="14.6640625" style="114" customWidth="1"/>
    <col min="8452" max="8452" width="13.88671875" style="114" customWidth="1"/>
    <col min="8453" max="8453" width="13.77734375" style="114" customWidth="1"/>
    <col min="8454" max="8454" width="12.33203125" style="114" customWidth="1"/>
    <col min="8455" max="8455" width="10.88671875" style="114" customWidth="1"/>
    <col min="8456" max="8456" width="11.44140625" style="114" customWidth="1"/>
    <col min="8457" max="8457" width="11.77734375" style="114" customWidth="1"/>
    <col min="8458" max="8458" width="11.33203125" style="114" customWidth="1"/>
    <col min="8459" max="8459" width="10.21875" style="114" customWidth="1"/>
    <col min="8460" max="8460" width="8.77734375" style="114" customWidth="1"/>
    <col min="8461" max="8705" width="9" style="114"/>
    <col min="8706" max="8706" width="17" style="114" customWidth="1"/>
    <col min="8707" max="8707" width="14.6640625" style="114" customWidth="1"/>
    <col min="8708" max="8708" width="13.88671875" style="114" customWidth="1"/>
    <col min="8709" max="8709" width="13.77734375" style="114" customWidth="1"/>
    <col min="8710" max="8710" width="12.33203125" style="114" customWidth="1"/>
    <col min="8711" max="8711" width="10.88671875" style="114" customWidth="1"/>
    <col min="8712" max="8712" width="11.44140625" style="114" customWidth="1"/>
    <col min="8713" max="8713" width="11.77734375" style="114" customWidth="1"/>
    <col min="8714" max="8714" width="11.33203125" style="114" customWidth="1"/>
    <col min="8715" max="8715" width="10.21875" style="114" customWidth="1"/>
    <col min="8716" max="8716" width="8.77734375" style="114" customWidth="1"/>
    <col min="8717" max="8961" width="9" style="114"/>
    <col min="8962" max="8962" width="17" style="114" customWidth="1"/>
    <col min="8963" max="8963" width="14.6640625" style="114" customWidth="1"/>
    <col min="8964" max="8964" width="13.88671875" style="114" customWidth="1"/>
    <col min="8965" max="8965" width="13.77734375" style="114" customWidth="1"/>
    <col min="8966" max="8966" width="12.33203125" style="114" customWidth="1"/>
    <col min="8967" max="8967" width="10.88671875" style="114" customWidth="1"/>
    <col min="8968" max="8968" width="11.44140625" style="114" customWidth="1"/>
    <col min="8969" max="8969" width="11.77734375" style="114" customWidth="1"/>
    <col min="8970" max="8970" width="11.33203125" style="114" customWidth="1"/>
    <col min="8971" max="8971" width="10.21875" style="114" customWidth="1"/>
    <col min="8972" max="8972" width="8.77734375" style="114" customWidth="1"/>
    <col min="8973" max="9217" width="9" style="114"/>
    <col min="9218" max="9218" width="17" style="114" customWidth="1"/>
    <col min="9219" max="9219" width="14.6640625" style="114" customWidth="1"/>
    <col min="9220" max="9220" width="13.88671875" style="114" customWidth="1"/>
    <col min="9221" max="9221" width="13.77734375" style="114" customWidth="1"/>
    <col min="9222" max="9222" width="12.33203125" style="114" customWidth="1"/>
    <col min="9223" max="9223" width="10.88671875" style="114" customWidth="1"/>
    <col min="9224" max="9224" width="11.44140625" style="114" customWidth="1"/>
    <col min="9225" max="9225" width="11.77734375" style="114" customWidth="1"/>
    <col min="9226" max="9226" width="11.33203125" style="114" customWidth="1"/>
    <col min="9227" max="9227" width="10.21875" style="114" customWidth="1"/>
    <col min="9228" max="9228" width="8.77734375" style="114" customWidth="1"/>
    <col min="9229" max="9473" width="9" style="114"/>
    <col min="9474" max="9474" width="17" style="114" customWidth="1"/>
    <col min="9475" max="9475" width="14.6640625" style="114" customWidth="1"/>
    <col min="9476" max="9476" width="13.88671875" style="114" customWidth="1"/>
    <col min="9477" max="9477" width="13.77734375" style="114" customWidth="1"/>
    <col min="9478" max="9478" width="12.33203125" style="114" customWidth="1"/>
    <col min="9479" max="9479" width="10.88671875" style="114" customWidth="1"/>
    <col min="9480" max="9480" width="11.44140625" style="114" customWidth="1"/>
    <col min="9481" max="9481" width="11.77734375" style="114" customWidth="1"/>
    <col min="9482" max="9482" width="11.33203125" style="114" customWidth="1"/>
    <col min="9483" max="9483" width="10.21875" style="114" customWidth="1"/>
    <col min="9484" max="9484" width="8.77734375" style="114" customWidth="1"/>
    <col min="9485" max="9729" width="9" style="114"/>
    <col min="9730" max="9730" width="17" style="114" customWidth="1"/>
    <col min="9731" max="9731" width="14.6640625" style="114" customWidth="1"/>
    <col min="9732" max="9732" width="13.88671875" style="114" customWidth="1"/>
    <col min="9733" max="9733" width="13.77734375" style="114" customWidth="1"/>
    <col min="9734" max="9734" width="12.33203125" style="114" customWidth="1"/>
    <col min="9735" max="9735" width="10.88671875" style="114" customWidth="1"/>
    <col min="9736" max="9736" width="11.44140625" style="114" customWidth="1"/>
    <col min="9737" max="9737" width="11.77734375" style="114" customWidth="1"/>
    <col min="9738" max="9738" width="11.33203125" style="114" customWidth="1"/>
    <col min="9739" max="9739" width="10.21875" style="114" customWidth="1"/>
    <col min="9740" max="9740" width="8.77734375" style="114" customWidth="1"/>
    <col min="9741" max="9985" width="9" style="114"/>
    <col min="9986" max="9986" width="17" style="114" customWidth="1"/>
    <col min="9987" max="9987" width="14.6640625" style="114" customWidth="1"/>
    <col min="9988" max="9988" width="13.88671875" style="114" customWidth="1"/>
    <col min="9989" max="9989" width="13.77734375" style="114" customWidth="1"/>
    <col min="9990" max="9990" width="12.33203125" style="114" customWidth="1"/>
    <col min="9991" max="9991" width="10.88671875" style="114" customWidth="1"/>
    <col min="9992" max="9992" width="11.44140625" style="114" customWidth="1"/>
    <col min="9993" max="9993" width="11.77734375" style="114" customWidth="1"/>
    <col min="9994" max="9994" width="11.33203125" style="114" customWidth="1"/>
    <col min="9995" max="9995" width="10.21875" style="114" customWidth="1"/>
    <col min="9996" max="9996" width="8.77734375" style="114" customWidth="1"/>
    <col min="9997" max="10241" width="9" style="114"/>
    <col min="10242" max="10242" width="17" style="114" customWidth="1"/>
    <col min="10243" max="10243" width="14.6640625" style="114" customWidth="1"/>
    <col min="10244" max="10244" width="13.88671875" style="114" customWidth="1"/>
    <col min="10245" max="10245" width="13.77734375" style="114" customWidth="1"/>
    <col min="10246" max="10246" width="12.33203125" style="114" customWidth="1"/>
    <col min="10247" max="10247" width="10.88671875" style="114" customWidth="1"/>
    <col min="10248" max="10248" width="11.44140625" style="114" customWidth="1"/>
    <col min="10249" max="10249" width="11.77734375" style="114" customWidth="1"/>
    <col min="10250" max="10250" width="11.33203125" style="114" customWidth="1"/>
    <col min="10251" max="10251" width="10.21875" style="114" customWidth="1"/>
    <col min="10252" max="10252" width="8.77734375" style="114" customWidth="1"/>
    <col min="10253" max="10497" width="9" style="114"/>
    <col min="10498" max="10498" width="17" style="114" customWidth="1"/>
    <col min="10499" max="10499" width="14.6640625" style="114" customWidth="1"/>
    <col min="10500" max="10500" width="13.88671875" style="114" customWidth="1"/>
    <col min="10501" max="10501" width="13.77734375" style="114" customWidth="1"/>
    <col min="10502" max="10502" width="12.33203125" style="114" customWidth="1"/>
    <col min="10503" max="10503" width="10.88671875" style="114" customWidth="1"/>
    <col min="10504" max="10504" width="11.44140625" style="114" customWidth="1"/>
    <col min="10505" max="10505" width="11.77734375" style="114" customWidth="1"/>
    <col min="10506" max="10506" width="11.33203125" style="114" customWidth="1"/>
    <col min="10507" max="10507" width="10.21875" style="114" customWidth="1"/>
    <col min="10508" max="10508" width="8.77734375" style="114" customWidth="1"/>
    <col min="10509" max="10753" width="9" style="114"/>
    <col min="10754" max="10754" width="17" style="114" customWidth="1"/>
    <col min="10755" max="10755" width="14.6640625" style="114" customWidth="1"/>
    <col min="10756" max="10756" width="13.88671875" style="114" customWidth="1"/>
    <col min="10757" max="10757" width="13.77734375" style="114" customWidth="1"/>
    <col min="10758" max="10758" width="12.33203125" style="114" customWidth="1"/>
    <col min="10759" max="10759" width="10.88671875" style="114" customWidth="1"/>
    <col min="10760" max="10760" width="11.44140625" style="114" customWidth="1"/>
    <col min="10761" max="10761" width="11.77734375" style="114" customWidth="1"/>
    <col min="10762" max="10762" width="11.33203125" style="114" customWidth="1"/>
    <col min="10763" max="10763" width="10.21875" style="114" customWidth="1"/>
    <col min="10764" max="10764" width="8.77734375" style="114" customWidth="1"/>
    <col min="10765" max="11009" width="9" style="114"/>
    <col min="11010" max="11010" width="17" style="114" customWidth="1"/>
    <col min="11011" max="11011" width="14.6640625" style="114" customWidth="1"/>
    <col min="11012" max="11012" width="13.88671875" style="114" customWidth="1"/>
    <col min="11013" max="11013" width="13.77734375" style="114" customWidth="1"/>
    <col min="11014" max="11014" width="12.33203125" style="114" customWidth="1"/>
    <col min="11015" max="11015" width="10.88671875" style="114" customWidth="1"/>
    <col min="11016" max="11016" width="11.44140625" style="114" customWidth="1"/>
    <col min="11017" max="11017" width="11.77734375" style="114" customWidth="1"/>
    <col min="11018" max="11018" width="11.33203125" style="114" customWidth="1"/>
    <col min="11019" max="11019" width="10.21875" style="114" customWidth="1"/>
    <col min="11020" max="11020" width="8.77734375" style="114" customWidth="1"/>
    <col min="11021" max="11265" width="9" style="114"/>
    <col min="11266" max="11266" width="17" style="114" customWidth="1"/>
    <col min="11267" max="11267" width="14.6640625" style="114" customWidth="1"/>
    <col min="11268" max="11268" width="13.88671875" style="114" customWidth="1"/>
    <col min="11269" max="11269" width="13.77734375" style="114" customWidth="1"/>
    <col min="11270" max="11270" width="12.33203125" style="114" customWidth="1"/>
    <col min="11271" max="11271" width="10.88671875" style="114" customWidth="1"/>
    <col min="11272" max="11272" width="11.44140625" style="114" customWidth="1"/>
    <col min="11273" max="11273" width="11.77734375" style="114" customWidth="1"/>
    <col min="11274" max="11274" width="11.33203125" style="114" customWidth="1"/>
    <col min="11275" max="11275" width="10.21875" style="114" customWidth="1"/>
    <col min="11276" max="11276" width="8.77734375" style="114" customWidth="1"/>
    <col min="11277" max="11521" width="9" style="114"/>
    <col min="11522" max="11522" width="17" style="114" customWidth="1"/>
    <col min="11523" max="11523" width="14.6640625" style="114" customWidth="1"/>
    <col min="11524" max="11524" width="13.88671875" style="114" customWidth="1"/>
    <col min="11525" max="11525" width="13.77734375" style="114" customWidth="1"/>
    <col min="11526" max="11526" width="12.33203125" style="114" customWidth="1"/>
    <col min="11527" max="11527" width="10.88671875" style="114" customWidth="1"/>
    <col min="11528" max="11528" width="11.44140625" style="114" customWidth="1"/>
    <col min="11529" max="11529" width="11.77734375" style="114" customWidth="1"/>
    <col min="11530" max="11530" width="11.33203125" style="114" customWidth="1"/>
    <col min="11531" max="11531" width="10.21875" style="114" customWidth="1"/>
    <col min="11532" max="11532" width="8.77734375" style="114" customWidth="1"/>
    <col min="11533" max="11777" width="9" style="114"/>
    <col min="11778" max="11778" width="17" style="114" customWidth="1"/>
    <col min="11779" max="11779" width="14.6640625" style="114" customWidth="1"/>
    <col min="11780" max="11780" width="13.88671875" style="114" customWidth="1"/>
    <col min="11781" max="11781" width="13.77734375" style="114" customWidth="1"/>
    <col min="11782" max="11782" width="12.33203125" style="114" customWidth="1"/>
    <col min="11783" max="11783" width="10.88671875" style="114" customWidth="1"/>
    <col min="11784" max="11784" width="11.44140625" style="114" customWidth="1"/>
    <col min="11785" max="11785" width="11.77734375" style="114" customWidth="1"/>
    <col min="11786" max="11786" width="11.33203125" style="114" customWidth="1"/>
    <col min="11787" max="11787" width="10.21875" style="114" customWidth="1"/>
    <col min="11788" max="11788" width="8.77734375" style="114" customWidth="1"/>
    <col min="11789" max="12033" width="9" style="114"/>
    <col min="12034" max="12034" width="17" style="114" customWidth="1"/>
    <col min="12035" max="12035" width="14.6640625" style="114" customWidth="1"/>
    <col min="12036" max="12036" width="13.88671875" style="114" customWidth="1"/>
    <col min="12037" max="12037" width="13.77734375" style="114" customWidth="1"/>
    <col min="12038" max="12038" width="12.33203125" style="114" customWidth="1"/>
    <col min="12039" max="12039" width="10.88671875" style="114" customWidth="1"/>
    <col min="12040" max="12040" width="11.44140625" style="114" customWidth="1"/>
    <col min="12041" max="12041" width="11.77734375" style="114" customWidth="1"/>
    <col min="12042" max="12042" width="11.33203125" style="114" customWidth="1"/>
    <col min="12043" max="12043" width="10.21875" style="114" customWidth="1"/>
    <col min="12044" max="12044" width="8.77734375" style="114" customWidth="1"/>
    <col min="12045" max="12289" width="9" style="114"/>
    <col min="12290" max="12290" width="17" style="114" customWidth="1"/>
    <col min="12291" max="12291" width="14.6640625" style="114" customWidth="1"/>
    <col min="12292" max="12292" width="13.88671875" style="114" customWidth="1"/>
    <col min="12293" max="12293" width="13.77734375" style="114" customWidth="1"/>
    <col min="12294" max="12294" width="12.33203125" style="114" customWidth="1"/>
    <col min="12295" max="12295" width="10.88671875" style="114" customWidth="1"/>
    <col min="12296" max="12296" width="11.44140625" style="114" customWidth="1"/>
    <col min="12297" max="12297" width="11.77734375" style="114" customWidth="1"/>
    <col min="12298" max="12298" width="11.33203125" style="114" customWidth="1"/>
    <col min="12299" max="12299" width="10.21875" style="114" customWidth="1"/>
    <col min="12300" max="12300" width="8.77734375" style="114" customWidth="1"/>
    <col min="12301" max="12545" width="9" style="114"/>
    <col min="12546" max="12546" width="17" style="114" customWidth="1"/>
    <col min="12547" max="12547" width="14.6640625" style="114" customWidth="1"/>
    <col min="12548" max="12548" width="13.88671875" style="114" customWidth="1"/>
    <col min="12549" max="12549" width="13.77734375" style="114" customWidth="1"/>
    <col min="12550" max="12550" width="12.33203125" style="114" customWidth="1"/>
    <col min="12551" max="12551" width="10.88671875" style="114" customWidth="1"/>
    <col min="12552" max="12552" width="11.44140625" style="114" customWidth="1"/>
    <col min="12553" max="12553" width="11.77734375" style="114" customWidth="1"/>
    <col min="12554" max="12554" width="11.33203125" style="114" customWidth="1"/>
    <col min="12555" max="12555" width="10.21875" style="114" customWidth="1"/>
    <col min="12556" max="12556" width="8.77734375" style="114" customWidth="1"/>
    <col min="12557" max="12801" width="9" style="114"/>
    <col min="12802" max="12802" width="17" style="114" customWidth="1"/>
    <col min="12803" max="12803" width="14.6640625" style="114" customWidth="1"/>
    <col min="12804" max="12804" width="13.88671875" style="114" customWidth="1"/>
    <col min="12805" max="12805" width="13.77734375" style="114" customWidth="1"/>
    <col min="12806" max="12806" width="12.33203125" style="114" customWidth="1"/>
    <col min="12807" max="12807" width="10.88671875" style="114" customWidth="1"/>
    <col min="12808" max="12808" width="11.44140625" style="114" customWidth="1"/>
    <col min="12809" max="12809" width="11.77734375" style="114" customWidth="1"/>
    <col min="12810" max="12810" width="11.33203125" style="114" customWidth="1"/>
    <col min="12811" max="12811" width="10.21875" style="114" customWidth="1"/>
    <col min="12812" max="12812" width="8.77734375" style="114" customWidth="1"/>
    <col min="12813" max="13057" width="9" style="114"/>
    <col min="13058" max="13058" width="17" style="114" customWidth="1"/>
    <col min="13059" max="13059" width="14.6640625" style="114" customWidth="1"/>
    <col min="13060" max="13060" width="13.88671875" style="114" customWidth="1"/>
    <col min="13061" max="13061" width="13.77734375" style="114" customWidth="1"/>
    <col min="13062" max="13062" width="12.33203125" style="114" customWidth="1"/>
    <col min="13063" max="13063" width="10.88671875" style="114" customWidth="1"/>
    <col min="13064" max="13064" width="11.44140625" style="114" customWidth="1"/>
    <col min="13065" max="13065" width="11.77734375" style="114" customWidth="1"/>
    <col min="13066" max="13066" width="11.33203125" style="114" customWidth="1"/>
    <col min="13067" max="13067" width="10.21875" style="114" customWidth="1"/>
    <col min="13068" max="13068" width="8.77734375" style="114" customWidth="1"/>
    <col min="13069" max="13313" width="9" style="114"/>
    <col min="13314" max="13314" width="17" style="114" customWidth="1"/>
    <col min="13315" max="13315" width="14.6640625" style="114" customWidth="1"/>
    <col min="13316" max="13316" width="13.88671875" style="114" customWidth="1"/>
    <col min="13317" max="13317" width="13.77734375" style="114" customWidth="1"/>
    <col min="13318" max="13318" width="12.33203125" style="114" customWidth="1"/>
    <col min="13319" max="13319" width="10.88671875" style="114" customWidth="1"/>
    <col min="13320" max="13320" width="11.44140625" style="114" customWidth="1"/>
    <col min="13321" max="13321" width="11.77734375" style="114" customWidth="1"/>
    <col min="13322" max="13322" width="11.33203125" style="114" customWidth="1"/>
    <col min="13323" max="13323" width="10.21875" style="114" customWidth="1"/>
    <col min="13324" max="13324" width="8.77734375" style="114" customWidth="1"/>
    <col min="13325" max="13569" width="9" style="114"/>
    <col min="13570" max="13570" width="17" style="114" customWidth="1"/>
    <col min="13571" max="13571" width="14.6640625" style="114" customWidth="1"/>
    <col min="13572" max="13572" width="13.88671875" style="114" customWidth="1"/>
    <col min="13573" max="13573" width="13.77734375" style="114" customWidth="1"/>
    <col min="13574" max="13574" width="12.33203125" style="114" customWidth="1"/>
    <col min="13575" max="13575" width="10.88671875" style="114" customWidth="1"/>
    <col min="13576" max="13576" width="11.44140625" style="114" customWidth="1"/>
    <col min="13577" max="13577" width="11.77734375" style="114" customWidth="1"/>
    <col min="13578" max="13578" width="11.33203125" style="114" customWidth="1"/>
    <col min="13579" max="13579" width="10.21875" style="114" customWidth="1"/>
    <col min="13580" max="13580" width="8.77734375" style="114" customWidth="1"/>
    <col min="13581" max="13825" width="9" style="114"/>
    <col min="13826" max="13826" width="17" style="114" customWidth="1"/>
    <col min="13827" max="13827" width="14.6640625" style="114" customWidth="1"/>
    <col min="13828" max="13828" width="13.88671875" style="114" customWidth="1"/>
    <col min="13829" max="13829" width="13.77734375" style="114" customWidth="1"/>
    <col min="13830" max="13830" width="12.33203125" style="114" customWidth="1"/>
    <col min="13831" max="13831" width="10.88671875" style="114" customWidth="1"/>
    <col min="13832" max="13832" width="11.44140625" style="114" customWidth="1"/>
    <col min="13833" max="13833" width="11.77734375" style="114" customWidth="1"/>
    <col min="13834" max="13834" width="11.33203125" style="114" customWidth="1"/>
    <col min="13835" max="13835" width="10.21875" style="114" customWidth="1"/>
    <col min="13836" max="13836" width="8.77734375" style="114" customWidth="1"/>
    <col min="13837" max="14081" width="9" style="114"/>
    <col min="14082" max="14082" width="17" style="114" customWidth="1"/>
    <col min="14083" max="14083" width="14.6640625" style="114" customWidth="1"/>
    <col min="14084" max="14084" width="13.88671875" style="114" customWidth="1"/>
    <col min="14085" max="14085" width="13.77734375" style="114" customWidth="1"/>
    <col min="14086" max="14086" width="12.33203125" style="114" customWidth="1"/>
    <col min="14087" max="14087" width="10.88671875" style="114" customWidth="1"/>
    <col min="14088" max="14088" width="11.44140625" style="114" customWidth="1"/>
    <col min="14089" max="14089" width="11.77734375" style="114" customWidth="1"/>
    <col min="14090" max="14090" width="11.33203125" style="114" customWidth="1"/>
    <col min="14091" max="14091" width="10.21875" style="114" customWidth="1"/>
    <col min="14092" max="14092" width="8.77734375" style="114" customWidth="1"/>
    <col min="14093" max="14337" width="9" style="114"/>
    <col min="14338" max="14338" width="17" style="114" customWidth="1"/>
    <col min="14339" max="14339" width="14.6640625" style="114" customWidth="1"/>
    <col min="14340" max="14340" width="13.88671875" style="114" customWidth="1"/>
    <col min="14341" max="14341" width="13.77734375" style="114" customWidth="1"/>
    <col min="14342" max="14342" width="12.33203125" style="114" customWidth="1"/>
    <col min="14343" max="14343" width="10.88671875" style="114" customWidth="1"/>
    <col min="14344" max="14344" width="11.44140625" style="114" customWidth="1"/>
    <col min="14345" max="14345" width="11.77734375" style="114" customWidth="1"/>
    <col min="14346" max="14346" width="11.33203125" style="114" customWidth="1"/>
    <col min="14347" max="14347" width="10.21875" style="114" customWidth="1"/>
    <col min="14348" max="14348" width="8.77734375" style="114" customWidth="1"/>
    <col min="14349" max="14593" width="9" style="114"/>
    <col min="14594" max="14594" width="17" style="114" customWidth="1"/>
    <col min="14595" max="14595" width="14.6640625" style="114" customWidth="1"/>
    <col min="14596" max="14596" width="13.88671875" style="114" customWidth="1"/>
    <col min="14597" max="14597" width="13.77734375" style="114" customWidth="1"/>
    <col min="14598" max="14598" width="12.33203125" style="114" customWidth="1"/>
    <col min="14599" max="14599" width="10.88671875" style="114" customWidth="1"/>
    <col min="14600" max="14600" width="11.44140625" style="114" customWidth="1"/>
    <col min="14601" max="14601" width="11.77734375" style="114" customWidth="1"/>
    <col min="14602" max="14602" width="11.33203125" style="114" customWidth="1"/>
    <col min="14603" max="14603" width="10.21875" style="114" customWidth="1"/>
    <col min="14604" max="14604" width="8.77734375" style="114" customWidth="1"/>
    <col min="14605" max="14849" width="9" style="114"/>
    <col min="14850" max="14850" width="17" style="114" customWidth="1"/>
    <col min="14851" max="14851" width="14.6640625" style="114" customWidth="1"/>
    <col min="14852" max="14852" width="13.88671875" style="114" customWidth="1"/>
    <col min="14853" max="14853" width="13.77734375" style="114" customWidth="1"/>
    <col min="14854" max="14854" width="12.33203125" style="114" customWidth="1"/>
    <col min="14855" max="14855" width="10.88671875" style="114" customWidth="1"/>
    <col min="14856" max="14856" width="11.44140625" style="114" customWidth="1"/>
    <col min="14857" max="14857" width="11.77734375" style="114" customWidth="1"/>
    <col min="14858" max="14858" width="11.33203125" style="114" customWidth="1"/>
    <col min="14859" max="14859" width="10.21875" style="114" customWidth="1"/>
    <col min="14860" max="14860" width="8.77734375" style="114" customWidth="1"/>
    <col min="14861" max="15105" width="9" style="114"/>
    <col min="15106" max="15106" width="17" style="114" customWidth="1"/>
    <col min="15107" max="15107" width="14.6640625" style="114" customWidth="1"/>
    <col min="15108" max="15108" width="13.88671875" style="114" customWidth="1"/>
    <col min="15109" max="15109" width="13.77734375" style="114" customWidth="1"/>
    <col min="15110" max="15110" width="12.33203125" style="114" customWidth="1"/>
    <col min="15111" max="15111" width="10.88671875" style="114" customWidth="1"/>
    <col min="15112" max="15112" width="11.44140625" style="114" customWidth="1"/>
    <col min="15113" max="15113" width="11.77734375" style="114" customWidth="1"/>
    <col min="15114" max="15114" width="11.33203125" style="114" customWidth="1"/>
    <col min="15115" max="15115" width="10.21875" style="114" customWidth="1"/>
    <col min="15116" max="15116" width="8.77734375" style="114" customWidth="1"/>
    <col min="15117" max="15361" width="9" style="114"/>
    <col min="15362" max="15362" width="17" style="114" customWidth="1"/>
    <col min="15363" max="15363" width="14.6640625" style="114" customWidth="1"/>
    <col min="15364" max="15364" width="13.88671875" style="114" customWidth="1"/>
    <col min="15365" max="15365" width="13.77734375" style="114" customWidth="1"/>
    <col min="15366" max="15366" width="12.33203125" style="114" customWidth="1"/>
    <col min="15367" max="15367" width="10.88671875" style="114" customWidth="1"/>
    <col min="15368" max="15368" width="11.44140625" style="114" customWidth="1"/>
    <col min="15369" max="15369" width="11.77734375" style="114" customWidth="1"/>
    <col min="15370" max="15370" width="11.33203125" style="114" customWidth="1"/>
    <col min="15371" max="15371" width="10.21875" style="114" customWidth="1"/>
    <col min="15372" max="15372" width="8.77734375" style="114" customWidth="1"/>
    <col min="15373" max="15617" width="9" style="114"/>
    <col min="15618" max="15618" width="17" style="114" customWidth="1"/>
    <col min="15619" max="15619" width="14.6640625" style="114" customWidth="1"/>
    <col min="15620" max="15620" width="13.88671875" style="114" customWidth="1"/>
    <col min="15621" max="15621" width="13.77734375" style="114" customWidth="1"/>
    <col min="15622" max="15622" width="12.33203125" style="114" customWidth="1"/>
    <col min="15623" max="15623" width="10.88671875" style="114" customWidth="1"/>
    <col min="15624" max="15624" width="11.44140625" style="114" customWidth="1"/>
    <col min="15625" max="15625" width="11.77734375" style="114" customWidth="1"/>
    <col min="15626" max="15626" width="11.33203125" style="114" customWidth="1"/>
    <col min="15627" max="15627" width="10.21875" style="114" customWidth="1"/>
    <col min="15628" max="15628" width="8.77734375" style="114" customWidth="1"/>
    <col min="15629" max="15873" width="9" style="114"/>
    <col min="15874" max="15874" width="17" style="114" customWidth="1"/>
    <col min="15875" max="15875" width="14.6640625" style="114" customWidth="1"/>
    <col min="15876" max="15876" width="13.88671875" style="114" customWidth="1"/>
    <col min="15877" max="15877" width="13.77734375" style="114" customWidth="1"/>
    <col min="15878" max="15878" width="12.33203125" style="114" customWidth="1"/>
    <col min="15879" max="15879" width="10.88671875" style="114" customWidth="1"/>
    <col min="15880" max="15880" width="11.44140625" style="114" customWidth="1"/>
    <col min="15881" max="15881" width="11.77734375" style="114" customWidth="1"/>
    <col min="15882" max="15882" width="11.33203125" style="114" customWidth="1"/>
    <col min="15883" max="15883" width="10.21875" style="114" customWidth="1"/>
    <col min="15884" max="15884" width="8.77734375" style="114" customWidth="1"/>
    <col min="15885" max="16129" width="9" style="114"/>
    <col min="16130" max="16130" width="17" style="114" customWidth="1"/>
    <col min="16131" max="16131" width="14.6640625" style="114" customWidth="1"/>
    <col min="16132" max="16132" width="13.88671875" style="114" customWidth="1"/>
    <col min="16133" max="16133" width="13.77734375" style="114" customWidth="1"/>
    <col min="16134" max="16134" width="12.33203125" style="114" customWidth="1"/>
    <col min="16135" max="16135" width="10.88671875" style="114" customWidth="1"/>
    <col min="16136" max="16136" width="11.44140625" style="114" customWidth="1"/>
    <col min="16137" max="16137" width="11.77734375" style="114" customWidth="1"/>
    <col min="16138" max="16138" width="11.33203125" style="114" customWidth="1"/>
    <col min="16139" max="16139" width="10.21875" style="114" customWidth="1"/>
    <col min="16140" max="16140" width="8.77734375" style="114" customWidth="1"/>
    <col min="16141" max="16384" width="9" style="114"/>
  </cols>
  <sheetData>
    <row r="1" spans="1:12" s="110" customFormat="1" ht="19.95" customHeight="1">
      <c r="A1" s="508" t="s">
        <v>65</v>
      </c>
      <c r="B1" s="508"/>
      <c r="C1" s="508"/>
      <c r="D1" s="508"/>
      <c r="E1" s="508"/>
      <c r="F1" s="508"/>
      <c r="G1" s="508"/>
      <c r="H1" s="508"/>
      <c r="I1" s="508"/>
      <c r="J1" s="508"/>
      <c r="K1" s="508"/>
      <c r="L1" s="508"/>
    </row>
    <row r="2" spans="1:12" s="110" customFormat="1" ht="19.95" customHeight="1">
      <c r="A2" s="509" t="s">
        <v>20</v>
      </c>
      <c r="B2" s="509"/>
      <c r="C2" s="509"/>
      <c r="D2" s="509"/>
      <c r="E2" s="509"/>
      <c r="F2" s="509"/>
      <c r="G2" s="509"/>
      <c r="H2" s="509"/>
      <c r="I2" s="509"/>
      <c r="J2" s="509"/>
      <c r="K2" s="509"/>
      <c r="L2" s="509"/>
    </row>
    <row r="3" spans="1:12" s="389" customFormat="1" ht="20.100000000000001" customHeight="1">
      <c r="A3" s="389" t="str">
        <f>底稿目录!A2</f>
        <v>被审计单位：</v>
      </c>
      <c r="E3" s="389" t="str">
        <f>底稿目录!A4</f>
        <v>编制人：</v>
      </c>
      <c r="F3" s="390"/>
      <c r="H3" s="391" t="str">
        <f>底稿目录!A5</f>
        <v>编制日期：</v>
      </c>
      <c r="I3" s="391"/>
      <c r="K3" s="389" t="s">
        <v>258</v>
      </c>
      <c r="L3" s="441" t="s">
        <v>21</v>
      </c>
    </row>
    <row r="4" spans="1:12" s="389" customFormat="1" ht="20.100000000000001" customHeight="1">
      <c r="A4" s="389" t="str">
        <f>底稿目录!A3</f>
        <v>截止日：202X年12月31日</v>
      </c>
      <c r="E4" s="389" t="str">
        <f>底稿目录!A6</f>
        <v>复核人：</v>
      </c>
      <c r="F4" s="390"/>
      <c r="H4" s="391" t="str">
        <f>底稿目录!A7</f>
        <v>复核日期：</v>
      </c>
      <c r="I4" s="391"/>
      <c r="K4" s="389" t="s">
        <v>651</v>
      </c>
    </row>
    <row r="5" spans="1:12" s="111" customFormat="1" ht="20.100000000000001" customHeight="1">
      <c r="A5" s="119" t="s">
        <v>187</v>
      </c>
      <c r="F5" s="116"/>
    </row>
    <row r="6" spans="1:12" s="111" customFormat="1" ht="20.100000000000001" customHeight="1">
      <c r="B6" s="111" t="s">
        <v>188</v>
      </c>
      <c r="F6" s="116"/>
    </row>
    <row r="7" spans="1:12" s="111" customFormat="1" ht="20.100000000000001" customHeight="1">
      <c r="A7" s="119" t="s">
        <v>189</v>
      </c>
      <c r="F7" s="116"/>
    </row>
    <row r="8" spans="1:12" s="111" customFormat="1" ht="20.100000000000001" customHeight="1">
      <c r="A8" s="145" t="s">
        <v>190</v>
      </c>
      <c r="F8" s="116"/>
    </row>
    <row r="9" spans="1:12" s="111" customFormat="1" ht="20.100000000000001" customHeight="1">
      <c r="A9" s="165"/>
      <c r="F9" s="116"/>
    </row>
    <row r="10" spans="1:12" s="111" customFormat="1" ht="20.100000000000001" customHeight="1">
      <c r="A10" s="145" t="s">
        <v>191</v>
      </c>
      <c r="F10" s="116"/>
    </row>
    <row r="11" spans="1:12" s="111" customFormat="1" ht="20.100000000000001" customHeight="1">
      <c r="B11" s="513" t="s">
        <v>192</v>
      </c>
      <c r="C11" s="510" t="s">
        <v>193</v>
      </c>
      <c r="D11" s="511"/>
      <c r="E11" s="511"/>
      <c r="F11" s="512"/>
      <c r="G11" s="510" t="s">
        <v>194</v>
      </c>
      <c r="H11" s="512"/>
      <c r="I11" s="514" t="s">
        <v>195</v>
      </c>
      <c r="J11" s="514" t="s">
        <v>196</v>
      </c>
      <c r="K11" s="514" t="s">
        <v>197</v>
      </c>
      <c r="L11" s="513" t="s">
        <v>198</v>
      </c>
    </row>
    <row r="12" spans="1:12" s="111" customFormat="1" ht="20.100000000000001" customHeight="1">
      <c r="B12" s="513"/>
      <c r="C12" s="513" t="s">
        <v>199</v>
      </c>
      <c r="D12" s="513" t="s">
        <v>200</v>
      </c>
      <c r="E12" s="513" t="s">
        <v>201</v>
      </c>
      <c r="F12" s="137" t="s">
        <v>202</v>
      </c>
      <c r="G12" s="514" t="s">
        <v>203</v>
      </c>
      <c r="H12" s="514" t="s">
        <v>204</v>
      </c>
      <c r="I12" s="516"/>
      <c r="J12" s="516"/>
      <c r="K12" s="516"/>
      <c r="L12" s="513"/>
    </row>
    <row r="13" spans="1:12" s="111" customFormat="1" ht="13.8">
      <c r="B13" s="513"/>
      <c r="C13" s="513"/>
      <c r="D13" s="513"/>
      <c r="E13" s="513"/>
      <c r="F13" s="138" t="s">
        <v>205</v>
      </c>
      <c r="G13" s="515"/>
      <c r="H13" s="515"/>
      <c r="I13" s="515"/>
      <c r="J13" s="515"/>
      <c r="K13" s="515"/>
      <c r="L13" s="513"/>
    </row>
    <row r="14" spans="1:12" s="111" customFormat="1" ht="20.100000000000001" customHeight="1">
      <c r="B14" s="131"/>
      <c r="C14" s="132"/>
      <c r="D14" s="132"/>
      <c r="E14" s="132"/>
      <c r="F14" s="166">
        <f>SUM(C14:E14)</f>
        <v>0</v>
      </c>
      <c r="G14" s="167">
        <f>'可收回金额测试I3-7'!N8</f>
        <v>0</v>
      </c>
      <c r="H14" s="167">
        <f>'可收回金额测试I3-7'!N20</f>
        <v>0</v>
      </c>
      <c r="I14" s="167">
        <f>E14-MAX(G14,H14)</f>
        <v>0</v>
      </c>
      <c r="J14" s="185">
        <f>IF(F14&gt;0,IF(I14&gt;0,I14,"未减值"),)</f>
        <v>0</v>
      </c>
      <c r="K14" s="186"/>
      <c r="L14" s="186"/>
    </row>
    <row r="15" spans="1:12" s="111" customFormat="1" ht="20.100000000000001" customHeight="1">
      <c r="B15" s="131"/>
      <c r="C15" s="132"/>
      <c r="D15" s="132"/>
      <c r="E15" s="132"/>
      <c r="F15" s="167">
        <f>SUM(C15:E15)</f>
        <v>0</v>
      </c>
      <c r="G15" s="166">
        <f>'可收回金额测试I3-7'!N9</f>
        <v>0</v>
      </c>
      <c r="H15" s="167"/>
      <c r="I15" s="167">
        <f>E15-MAX(G15,H15)</f>
        <v>0</v>
      </c>
      <c r="J15" s="185">
        <f>IF(F15&gt;0,IF(I15&gt;0,I15,"未减值"),)</f>
        <v>0</v>
      </c>
      <c r="K15" s="186"/>
      <c r="L15" s="186"/>
    </row>
    <row r="16" spans="1:12" s="111" customFormat="1" ht="20.100000000000001" customHeight="1">
      <c r="B16" s="131"/>
      <c r="C16" s="132"/>
      <c r="D16" s="132"/>
      <c r="E16" s="132"/>
      <c r="F16" s="167">
        <f>SUM(C16:E16)</f>
        <v>0</v>
      </c>
      <c r="G16" s="167">
        <f>'可收回金额测试I3-7'!N10</f>
        <v>0</v>
      </c>
      <c r="H16" s="167"/>
      <c r="I16" s="167">
        <f>E16-MAX(G16,H16)</f>
        <v>0</v>
      </c>
      <c r="J16" s="185">
        <f>IF(F16&gt;0,IF(I16&gt;0,I16,"未减值"),)</f>
        <v>0</v>
      </c>
      <c r="K16" s="186"/>
      <c r="L16" s="186"/>
    </row>
    <row r="17" spans="1:12" s="111" customFormat="1" ht="20.100000000000001" customHeight="1">
      <c r="B17" s="134" t="s">
        <v>206</v>
      </c>
      <c r="C17" s="168">
        <f t="shared" ref="C17:J17" si="0">SUM(C14:C16)</f>
        <v>0</v>
      </c>
      <c r="D17" s="168">
        <f t="shared" si="0"/>
        <v>0</v>
      </c>
      <c r="E17" s="168">
        <f t="shared" si="0"/>
        <v>0</v>
      </c>
      <c r="F17" s="168">
        <f t="shared" si="0"/>
        <v>0</v>
      </c>
      <c r="G17" s="168">
        <f t="shared" si="0"/>
        <v>0</v>
      </c>
      <c r="H17" s="168">
        <f t="shared" si="0"/>
        <v>0</v>
      </c>
      <c r="I17" s="168">
        <f t="shared" si="0"/>
        <v>0</v>
      </c>
      <c r="J17" s="168">
        <f t="shared" si="0"/>
        <v>0</v>
      </c>
      <c r="K17" s="186"/>
      <c r="L17" s="186"/>
    </row>
    <row r="18" spans="1:12" s="111" customFormat="1" ht="20.100000000000001" customHeight="1">
      <c r="B18" s="169" t="s">
        <v>207</v>
      </c>
      <c r="C18" s="170"/>
      <c r="D18" s="170"/>
      <c r="E18" s="170"/>
      <c r="F18" s="170"/>
      <c r="G18" s="170"/>
      <c r="H18" s="170"/>
      <c r="I18" s="170"/>
      <c r="J18" s="170"/>
      <c r="K18" s="187"/>
      <c r="L18" s="188"/>
    </row>
    <row r="19" spans="1:12" s="112" customFormat="1" ht="20.100000000000001" customHeight="1">
      <c r="B19" s="171" t="s">
        <v>208</v>
      </c>
      <c r="C19" s="172"/>
      <c r="D19" s="172"/>
      <c r="E19" s="172"/>
      <c r="F19" s="172"/>
      <c r="G19" s="172"/>
      <c r="H19" s="172"/>
      <c r="I19" s="172"/>
      <c r="J19" s="172"/>
      <c r="K19" s="172"/>
      <c r="L19" s="189"/>
    </row>
    <row r="20" spans="1:12" s="111" customFormat="1" ht="33" customHeight="1">
      <c r="B20" s="128" t="s">
        <v>209</v>
      </c>
      <c r="C20" s="128" t="s">
        <v>210</v>
      </c>
      <c r="D20" s="128" t="s">
        <v>211</v>
      </c>
      <c r="E20" s="128" t="s">
        <v>212</v>
      </c>
      <c r="F20" s="128" t="s">
        <v>213</v>
      </c>
      <c r="G20" s="128" t="s">
        <v>214</v>
      </c>
      <c r="H20" s="128" t="s">
        <v>215</v>
      </c>
      <c r="I20" s="128" t="s">
        <v>216</v>
      </c>
      <c r="J20" s="128" t="s">
        <v>217</v>
      </c>
      <c r="K20" s="128" t="s">
        <v>218</v>
      </c>
      <c r="L20" s="128" t="s">
        <v>198</v>
      </c>
    </row>
    <row r="21" spans="1:12" s="111" customFormat="1" ht="20.100000000000001" customHeight="1">
      <c r="B21" s="131" t="s">
        <v>219</v>
      </c>
      <c r="C21" s="132"/>
      <c r="D21" s="133"/>
      <c r="E21" s="167">
        <f>SUM(C21:D21)</f>
        <v>0</v>
      </c>
      <c r="F21" s="132"/>
      <c r="G21" s="132"/>
      <c r="H21" s="173" t="e">
        <f>($G$26-$H$25)/SUM($E$21:$E$24)*E21</f>
        <v>#DIV/0!</v>
      </c>
      <c r="I21" s="190">
        <v>0</v>
      </c>
      <c r="J21" s="173">
        <f>E21-I21</f>
        <v>0</v>
      </c>
      <c r="K21" s="173">
        <f>I21</f>
        <v>0</v>
      </c>
      <c r="L21" s="186"/>
    </row>
    <row r="22" spans="1:12" s="111" customFormat="1" ht="20.100000000000001" customHeight="1">
      <c r="B22" s="131" t="s">
        <v>220</v>
      </c>
      <c r="C22" s="132"/>
      <c r="D22" s="133"/>
      <c r="E22" s="167">
        <f>SUM(C22:D22)</f>
        <v>0</v>
      </c>
      <c r="F22" s="132"/>
      <c r="G22" s="132"/>
      <c r="H22" s="173" t="e">
        <f>($G$26-$H$25)/SUM($E$21:$E$24)*E22</f>
        <v>#DIV/0!</v>
      </c>
      <c r="I22" s="191" t="e">
        <f>H22+$H$21/SUM($E$22:$E$24)*C22</f>
        <v>#DIV/0!</v>
      </c>
      <c r="J22" s="173" t="e">
        <f>E22-I22</f>
        <v>#DIV/0!</v>
      </c>
      <c r="K22" s="173" t="e">
        <f>I22</f>
        <v>#DIV/0!</v>
      </c>
      <c r="L22" s="186"/>
    </row>
    <row r="23" spans="1:12" s="111" customFormat="1" ht="20.100000000000001" customHeight="1">
      <c r="B23" s="131" t="s">
        <v>221</v>
      </c>
      <c r="C23" s="132"/>
      <c r="D23" s="133"/>
      <c r="E23" s="167">
        <f>SUM(C23:D23)</f>
        <v>0</v>
      </c>
      <c r="F23" s="132"/>
      <c r="G23" s="132"/>
      <c r="H23" s="173" t="e">
        <f>($G$26-$H$25)/SUM($E$21:$E$24)*E23</f>
        <v>#DIV/0!</v>
      </c>
      <c r="I23" s="173" t="e">
        <f>H23+$H$21/SUM($E$22:$E$24)*C23</f>
        <v>#DIV/0!</v>
      </c>
      <c r="J23" s="173" t="e">
        <f>E23-I23</f>
        <v>#DIV/0!</v>
      </c>
      <c r="K23" s="173" t="e">
        <f>I23</f>
        <v>#DIV/0!</v>
      </c>
      <c r="L23" s="186"/>
    </row>
    <row r="24" spans="1:12" s="111" customFormat="1" ht="20.100000000000001" customHeight="1">
      <c r="B24" s="131" t="s">
        <v>155</v>
      </c>
      <c r="C24" s="132"/>
      <c r="D24" s="133"/>
      <c r="E24" s="167">
        <f>SUM(C24:D24)</f>
        <v>0</v>
      </c>
      <c r="F24" s="132"/>
      <c r="G24" s="132"/>
      <c r="H24" s="173" t="e">
        <f>($G$26-$H$25)/SUM($E$21:$E$24)*E24</f>
        <v>#DIV/0!</v>
      </c>
      <c r="I24" s="173" t="e">
        <f>H24+$H$21/SUM($E$22:$E$24)*C24</f>
        <v>#DIV/0!</v>
      </c>
      <c r="J24" s="173" t="e">
        <f>E24-I24</f>
        <v>#DIV/0!</v>
      </c>
      <c r="K24" s="173" t="e">
        <f>I24</f>
        <v>#DIV/0!</v>
      </c>
      <c r="L24" s="186"/>
    </row>
    <row r="25" spans="1:12" s="111" customFormat="1" ht="20.100000000000001" customHeight="1">
      <c r="B25" s="131" t="s">
        <v>222</v>
      </c>
      <c r="C25" s="132"/>
      <c r="D25" s="132"/>
      <c r="E25" s="167">
        <f>SUM(C25:D25)</f>
        <v>0</v>
      </c>
      <c r="F25" s="132"/>
      <c r="G25" s="132"/>
      <c r="H25" s="173">
        <f>E25</f>
        <v>0</v>
      </c>
      <c r="I25" s="173">
        <f>H25</f>
        <v>0</v>
      </c>
      <c r="J25" s="173">
        <f>E25-I25</f>
        <v>0</v>
      </c>
      <c r="K25" s="173">
        <f>I25-D25</f>
        <v>0</v>
      </c>
      <c r="L25" s="186"/>
    </row>
    <row r="26" spans="1:12" s="111" customFormat="1" ht="20.100000000000001" customHeight="1">
      <c r="B26" s="134" t="s">
        <v>206</v>
      </c>
      <c r="C26" s="168">
        <f>SUM(C21:C25)</f>
        <v>0</v>
      </c>
      <c r="D26" s="168">
        <f>SUM(D21:D25)</f>
        <v>0</v>
      </c>
      <c r="E26" s="168">
        <f>SUM(E21:E25)</f>
        <v>0</v>
      </c>
      <c r="F26" s="168">
        <f>'可收回金额测试I3-7'!N23</f>
        <v>0</v>
      </c>
      <c r="G26" s="168">
        <f>E26-F26</f>
        <v>0</v>
      </c>
      <c r="H26" s="174" t="e">
        <f>SUM(H21:H25)</f>
        <v>#DIV/0!</v>
      </c>
      <c r="I26" s="174" t="e">
        <f>SUM(I21:I25)</f>
        <v>#DIV/0!</v>
      </c>
      <c r="J26" s="174" t="e">
        <f>SUM(J21:J25)</f>
        <v>#DIV/0!</v>
      </c>
      <c r="K26" s="174" t="e">
        <f>SUM(K21:K25)</f>
        <v>#DIV/0!</v>
      </c>
      <c r="L26" s="186"/>
    </row>
    <row r="27" spans="1:12" s="112" customFormat="1" ht="20.100000000000001" customHeight="1">
      <c r="B27" s="175" t="s">
        <v>223</v>
      </c>
      <c r="C27" s="136"/>
      <c r="D27" s="136"/>
      <c r="E27" s="136"/>
      <c r="F27" s="136"/>
      <c r="G27" s="136"/>
      <c r="H27" s="136"/>
      <c r="I27" s="136"/>
      <c r="J27" s="136"/>
      <c r="K27" s="136"/>
      <c r="L27" s="192"/>
    </row>
    <row r="28" spans="1:12" s="112" customFormat="1" ht="20.100000000000001" customHeight="1">
      <c r="B28" s="176"/>
      <c r="C28" s="172"/>
      <c r="D28" s="172"/>
      <c r="E28" s="172"/>
      <c r="F28" s="172"/>
      <c r="G28" s="172"/>
      <c r="H28" s="172"/>
      <c r="I28" s="172"/>
      <c r="J28" s="172"/>
      <c r="K28" s="172"/>
      <c r="L28" s="189"/>
    </row>
    <row r="29" spans="1:12" s="112" customFormat="1" ht="20.100000000000001" customHeight="1">
      <c r="A29" s="145" t="s">
        <v>224</v>
      </c>
      <c r="B29" s="145"/>
      <c r="L29" s="136"/>
    </row>
    <row r="30" spans="1:12" s="112" customFormat="1" ht="20.100000000000001" customHeight="1">
      <c r="A30" s="145"/>
      <c r="B30" s="112" t="s">
        <v>225</v>
      </c>
    </row>
    <row r="31" spans="1:12" s="112" customFormat="1" ht="20.100000000000001" customHeight="1">
      <c r="A31" s="7" t="s">
        <v>226</v>
      </c>
      <c r="B31" s="2"/>
      <c r="C31" s="177"/>
      <c r="D31" s="177"/>
    </row>
    <row r="32" spans="1:12" s="112" customFormat="1" ht="20.100000000000001" customHeight="1">
      <c r="B32" s="29" t="s">
        <v>64</v>
      </c>
      <c r="C32" s="61" t="s">
        <v>227</v>
      </c>
      <c r="D32" s="178"/>
      <c r="E32" s="179"/>
      <c r="F32" s="29" t="s">
        <v>63</v>
      </c>
    </row>
    <row r="33" spans="1:6" s="112" customFormat="1" ht="20.100000000000001" customHeight="1">
      <c r="B33" s="50">
        <v>1</v>
      </c>
      <c r="C33" s="180" t="s">
        <v>228</v>
      </c>
      <c r="D33" s="181"/>
      <c r="E33" s="182"/>
      <c r="F33" s="50" t="s">
        <v>229</v>
      </c>
    </row>
    <row r="34" spans="1:6" s="112" customFormat="1" ht="20.100000000000001" customHeight="1">
      <c r="B34" s="50">
        <v>2</v>
      </c>
      <c r="C34" s="180" t="s">
        <v>230</v>
      </c>
      <c r="D34" s="181"/>
      <c r="E34" s="182"/>
      <c r="F34" s="50" t="s">
        <v>231</v>
      </c>
    </row>
    <row r="35" spans="1:6" s="112" customFormat="1" ht="20.100000000000001" customHeight="1">
      <c r="A35" s="145" t="s">
        <v>232</v>
      </c>
    </row>
    <row r="36" spans="1:6" s="112" customFormat="1" ht="20.100000000000001" customHeight="1">
      <c r="B36" s="183" t="s">
        <v>233</v>
      </c>
    </row>
    <row r="37" spans="1:6" s="112" customFormat="1" ht="20.100000000000001" customHeight="1">
      <c r="A37" s="145" t="s">
        <v>234</v>
      </c>
    </row>
    <row r="38" spans="1:6" s="112" customFormat="1" ht="20.100000000000001" customHeight="1"/>
    <row r="39" spans="1:6" s="112" customFormat="1" ht="16.5" customHeight="1"/>
    <row r="40" spans="1:6" s="112" customFormat="1" ht="16.5" customHeight="1"/>
    <row r="41" spans="1:6" s="112" customFormat="1" ht="16.5" customHeight="1">
      <c r="B41" s="147" t="s">
        <v>235</v>
      </c>
    </row>
    <row r="42" spans="1:6" s="112" customFormat="1" ht="16.5" customHeight="1">
      <c r="B42" s="126" t="s">
        <v>236</v>
      </c>
    </row>
    <row r="43" spans="1:6" s="112" customFormat="1" ht="16.5" customHeight="1">
      <c r="B43" s="126" t="s">
        <v>237</v>
      </c>
    </row>
    <row r="44" spans="1:6" s="112" customFormat="1" ht="16.5" customHeight="1">
      <c r="B44" s="125" t="s">
        <v>238</v>
      </c>
    </row>
    <row r="45" spans="1:6" s="112" customFormat="1" ht="16.5" customHeight="1">
      <c r="B45" s="125" t="s">
        <v>239</v>
      </c>
    </row>
    <row r="46" spans="1:6" s="112" customFormat="1" ht="16.5" customHeight="1">
      <c r="B46" s="125" t="s">
        <v>240</v>
      </c>
    </row>
    <row r="47" spans="1:6" s="112" customFormat="1" ht="16.5" customHeight="1">
      <c r="B47" s="125" t="s">
        <v>241</v>
      </c>
    </row>
    <row r="48" spans="1:6" s="112" customFormat="1" ht="16.5" customHeight="1">
      <c r="B48" s="125" t="s">
        <v>242</v>
      </c>
    </row>
    <row r="49" spans="2:4" s="112" customFormat="1" ht="16.5" customHeight="1">
      <c r="B49" s="125" t="s">
        <v>243</v>
      </c>
    </row>
    <row r="50" spans="2:4" s="113" customFormat="1" ht="16.5" customHeight="1">
      <c r="B50" s="125" t="s">
        <v>244</v>
      </c>
    </row>
    <row r="51" spans="2:4" s="113" customFormat="1" ht="16.5" customHeight="1">
      <c r="B51" s="125" t="s">
        <v>245</v>
      </c>
    </row>
    <row r="52" spans="2:4" s="113" customFormat="1" ht="16.5" customHeight="1">
      <c r="B52" s="125" t="s">
        <v>246</v>
      </c>
    </row>
    <row r="53" spans="2:4" s="112" customFormat="1" ht="16.5" customHeight="1">
      <c r="B53" s="125" t="s">
        <v>247</v>
      </c>
    </row>
    <row r="54" spans="2:4" s="112" customFormat="1" ht="16.5" customHeight="1">
      <c r="B54" s="125" t="s">
        <v>248</v>
      </c>
    </row>
    <row r="55" spans="2:4" s="112" customFormat="1" ht="13.8">
      <c r="B55" s="125" t="s">
        <v>249</v>
      </c>
    </row>
    <row r="56" spans="2:4" s="112" customFormat="1" ht="16.5" customHeight="1">
      <c r="B56" s="125" t="s">
        <v>250</v>
      </c>
      <c r="C56" s="125"/>
      <c r="D56" s="125"/>
    </row>
    <row r="57" spans="2:4" s="112" customFormat="1" ht="16.5" customHeight="1">
      <c r="B57" s="126" t="s">
        <v>251</v>
      </c>
      <c r="C57" s="125"/>
      <c r="D57" s="125"/>
    </row>
    <row r="58" spans="2:4" s="112" customFormat="1" ht="16.5" customHeight="1">
      <c r="B58" s="125" t="s">
        <v>252</v>
      </c>
      <c r="C58" s="125"/>
      <c r="D58" s="125"/>
    </row>
    <row r="59" spans="2:4" s="112" customFormat="1" ht="16.5" customHeight="1">
      <c r="B59" s="125" t="s">
        <v>253</v>
      </c>
      <c r="C59" s="125"/>
      <c r="D59" s="125"/>
    </row>
    <row r="60" spans="2:4" s="112" customFormat="1" ht="16.5" customHeight="1">
      <c r="B60" s="125" t="s">
        <v>254</v>
      </c>
      <c r="C60" s="125"/>
      <c r="D60" s="184" t="s">
        <v>255</v>
      </c>
    </row>
    <row r="61" spans="2:4" s="113" customFormat="1" ht="16.5" customHeight="1">
      <c r="B61" s="125" t="s">
        <v>256</v>
      </c>
      <c r="C61" s="125"/>
      <c r="D61" s="184" t="s">
        <v>257</v>
      </c>
    </row>
    <row r="62" spans="2:4" s="113" customFormat="1" ht="16.5" customHeight="1">
      <c r="B62" s="125" t="s">
        <v>623</v>
      </c>
      <c r="C62" s="125"/>
      <c r="D62" s="127"/>
    </row>
    <row r="63" spans="2:4" s="113" customFormat="1" ht="16.5" customHeight="1">
      <c r="B63" s="350" t="s">
        <v>418</v>
      </c>
      <c r="C63" s="125"/>
      <c r="D63" s="127"/>
    </row>
    <row r="64" spans="2:4" s="113" customFormat="1" ht="16.5" customHeight="1">
      <c r="B64" s="350" t="s">
        <v>419</v>
      </c>
      <c r="C64" s="125"/>
      <c r="D64" s="127"/>
    </row>
    <row r="65" spans="2:4" s="113" customFormat="1" ht="16.5" customHeight="1">
      <c r="B65" s="350" t="s">
        <v>420</v>
      </c>
      <c r="C65" s="125"/>
      <c r="D65" s="127"/>
    </row>
    <row r="66" spans="2:4" s="113" customFormat="1" ht="16.5" customHeight="1">
      <c r="B66" s="350" t="s">
        <v>421</v>
      </c>
      <c r="C66" s="125"/>
      <c r="D66" s="127"/>
    </row>
    <row r="67" spans="2:4" s="113" customFormat="1" ht="16.5" customHeight="1">
      <c r="B67" s="350" t="s">
        <v>422</v>
      </c>
      <c r="C67" s="127"/>
      <c r="D67" s="127"/>
    </row>
    <row r="68" spans="2:4" s="113" customFormat="1">
      <c r="B68" s="350" t="s">
        <v>423</v>
      </c>
    </row>
    <row r="69" spans="2:4" s="113" customFormat="1">
      <c r="B69" s="350" t="s">
        <v>424</v>
      </c>
    </row>
    <row r="70" spans="2:4">
      <c r="B70" s="351" t="s">
        <v>425</v>
      </c>
    </row>
  </sheetData>
  <mergeCells count="14">
    <mergeCell ref="A1:L1"/>
    <mergeCell ref="A2:L2"/>
    <mergeCell ref="C11:F11"/>
    <mergeCell ref="G11:H11"/>
    <mergeCell ref="B11:B13"/>
    <mergeCell ref="C12:C13"/>
    <mergeCell ref="D12:D13"/>
    <mergeCell ref="E12:E13"/>
    <mergeCell ref="G12:G13"/>
    <mergeCell ref="H12:H13"/>
    <mergeCell ref="I11:I13"/>
    <mergeCell ref="J11:J13"/>
    <mergeCell ref="K11:K13"/>
    <mergeCell ref="L11:L13"/>
  </mergeCells>
  <phoneticPr fontId="36" type="noConversion"/>
  <hyperlinks>
    <hyperlink ref="D60" r:id="rId1"/>
    <hyperlink ref="D61" r:id="rId2"/>
    <hyperlink ref="L3" location="底稿目录!D12" display="I3-6"/>
  </hyperlinks>
  <printOptions horizontalCentered="1"/>
  <pageMargins left="0.47244094488188981" right="0.47244094488188981" top="0.59055118110236227" bottom="0.39370078740157483" header="0.31496062992125984" footer="0.31496062992125984"/>
  <pageSetup paperSize="9" scale="93" fitToHeight="0" orientation="landscape" blackAndWhite="1" r:id="rId3"/>
  <headerFooter alignWithMargins="0">
    <oddFooter>&amp;C&amp;P/&amp;N</oddFooter>
  </headerFooter>
  <rowBreaks count="1" manualBreakCount="1">
    <brk id="28" max="11"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dimension ref="A1:P100"/>
  <sheetViews>
    <sheetView view="pageBreakPreview" zoomScaleNormal="115" workbookViewId="0">
      <selection sqref="A1:O1"/>
    </sheetView>
  </sheetViews>
  <sheetFormatPr defaultColWidth="9" defaultRowHeight="15.6"/>
  <cols>
    <col min="1" max="1" width="18.21875" style="114" customWidth="1"/>
    <col min="2" max="2" width="8.88671875" style="114" customWidth="1"/>
    <col min="3" max="3" width="8.44140625" style="114" customWidth="1"/>
    <col min="4" max="4" width="8.88671875" style="114" customWidth="1"/>
    <col min="5" max="5" width="8" style="114" customWidth="1"/>
    <col min="6" max="6" width="7.88671875" style="114" customWidth="1"/>
    <col min="7" max="7" width="7.33203125" style="114" customWidth="1"/>
    <col min="8" max="8" width="8.88671875" style="114" customWidth="1"/>
    <col min="9" max="9" width="9.21875" style="114" customWidth="1"/>
    <col min="10" max="10" width="10" style="114" customWidth="1"/>
    <col min="11" max="11" width="10.44140625" style="114" customWidth="1"/>
    <col min="12" max="12" width="8.6640625" style="114" customWidth="1"/>
    <col min="13" max="13" width="10.109375" style="114" customWidth="1"/>
    <col min="14" max="14" width="11.6640625" style="114" customWidth="1"/>
    <col min="15" max="15" width="12.21875" style="114" customWidth="1"/>
    <col min="16" max="256" width="9" style="114"/>
    <col min="257" max="257" width="18.21875" style="114" customWidth="1"/>
    <col min="258" max="258" width="8.88671875" style="114" customWidth="1"/>
    <col min="259" max="259" width="8.44140625" style="114" customWidth="1"/>
    <col min="260" max="260" width="8.88671875" style="114" customWidth="1"/>
    <col min="261" max="261" width="8" style="114" customWidth="1"/>
    <col min="262" max="262" width="7.88671875" style="114" customWidth="1"/>
    <col min="263" max="263" width="7.33203125" style="114" customWidth="1"/>
    <col min="264" max="264" width="8.88671875" style="114" customWidth="1"/>
    <col min="265" max="265" width="9.21875" style="114" customWidth="1"/>
    <col min="266" max="266" width="6.6640625" style="114" customWidth="1"/>
    <col min="267" max="267" width="9.77734375" style="114" customWidth="1"/>
    <col min="268" max="268" width="8.6640625" style="114" customWidth="1"/>
    <col min="269" max="269" width="10.109375" style="114" customWidth="1"/>
    <col min="270" max="270" width="9.77734375" style="114" customWidth="1"/>
    <col min="271" max="271" width="4.44140625" style="114" customWidth="1"/>
    <col min="272" max="512" width="9" style="114"/>
    <col min="513" max="513" width="18.21875" style="114" customWidth="1"/>
    <col min="514" max="514" width="8.88671875" style="114" customWidth="1"/>
    <col min="515" max="515" width="8.44140625" style="114" customWidth="1"/>
    <col min="516" max="516" width="8.88671875" style="114" customWidth="1"/>
    <col min="517" max="517" width="8" style="114" customWidth="1"/>
    <col min="518" max="518" width="7.88671875" style="114" customWidth="1"/>
    <col min="519" max="519" width="7.33203125" style="114" customWidth="1"/>
    <col min="520" max="520" width="8.88671875" style="114" customWidth="1"/>
    <col min="521" max="521" width="9.21875" style="114" customWidth="1"/>
    <col min="522" max="522" width="6.6640625" style="114" customWidth="1"/>
    <col min="523" max="523" width="9.77734375" style="114" customWidth="1"/>
    <col min="524" max="524" width="8.6640625" style="114" customWidth="1"/>
    <col min="525" max="525" width="10.109375" style="114" customWidth="1"/>
    <col min="526" max="526" width="9.77734375" style="114" customWidth="1"/>
    <col min="527" max="527" width="4.44140625" style="114" customWidth="1"/>
    <col min="528" max="768" width="9" style="114"/>
    <col min="769" max="769" width="18.21875" style="114" customWidth="1"/>
    <col min="770" max="770" width="8.88671875" style="114" customWidth="1"/>
    <col min="771" max="771" width="8.44140625" style="114" customWidth="1"/>
    <col min="772" max="772" width="8.88671875" style="114" customWidth="1"/>
    <col min="773" max="773" width="8" style="114" customWidth="1"/>
    <col min="774" max="774" width="7.88671875" style="114" customWidth="1"/>
    <col min="775" max="775" width="7.33203125" style="114" customWidth="1"/>
    <col min="776" max="776" width="8.88671875" style="114" customWidth="1"/>
    <col min="777" max="777" width="9.21875" style="114" customWidth="1"/>
    <col min="778" max="778" width="6.6640625" style="114" customWidth="1"/>
    <col min="779" max="779" width="9.77734375" style="114" customWidth="1"/>
    <col min="780" max="780" width="8.6640625" style="114" customWidth="1"/>
    <col min="781" max="781" width="10.109375" style="114" customWidth="1"/>
    <col min="782" max="782" width="9.77734375" style="114" customWidth="1"/>
    <col min="783" max="783" width="4.44140625" style="114" customWidth="1"/>
    <col min="784" max="1024" width="9" style="114"/>
    <col min="1025" max="1025" width="18.21875" style="114" customWidth="1"/>
    <col min="1026" max="1026" width="8.88671875" style="114" customWidth="1"/>
    <col min="1027" max="1027" width="8.44140625" style="114" customWidth="1"/>
    <col min="1028" max="1028" width="8.88671875" style="114" customWidth="1"/>
    <col min="1029" max="1029" width="8" style="114" customWidth="1"/>
    <col min="1030" max="1030" width="7.88671875" style="114" customWidth="1"/>
    <col min="1031" max="1031" width="7.33203125" style="114" customWidth="1"/>
    <col min="1032" max="1032" width="8.88671875" style="114" customWidth="1"/>
    <col min="1033" max="1033" width="9.21875" style="114" customWidth="1"/>
    <col min="1034" max="1034" width="6.6640625" style="114" customWidth="1"/>
    <col min="1035" max="1035" width="9.77734375" style="114" customWidth="1"/>
    <col min="1036" max="1036" width="8.6640625" style="114" customWidth="1"/>
    <col min="1037" max="1037" width="10.109375" style="114" customWidth="1"/>
    <col min="1038" max="1038" width="9.77734375" style="114" customWidth="1"/>
    <col min="1039" max="1039" width="4.44140625" style="114" customWidth="1"/>
    <col min="1040" max="1280" width="9" style="114"/>
    <col min="1281" max="1281" width="18.21875" style="114" customWidth="1"/>
    <col min="1282" max="1282" width="8.88671875" style="114" customWidth="1"/>
    <col min="1283" max="1283" width="8.44140625" style="114" customWidth="1"/>
    <col min="1284" max="1284" width="8.88671875" style="114" customWidth="1"/>
    <col min="1285" max="1285" width="8" style="114" customWidth="1"/>
    <col min="1286" max="1286" width="7.88671875" style="114" customWidth="1"/>
    <col min="1287" max="1287" width="7.33203125" style="114" customWidth="1"/>
    <col min="1288" max="1288" width="8.88671875" style="114" customWidth="1"/>
    <col min="1289" max="1289" width="9.21875" style="114" customWidth="1"/>
    <col min="1290" max="1290" width="6.6640625" style="114" customWidth="1"/>
    <col min="1291" max="1291" width="9.77734375" style="114" customWidth="1"/>
    <col min="1292" max="1292" width="8.6640625" style="114" customWidth="1"/>
    <col min="1293" max="1293" width="10.109375" style="114" customWidth="1"/>
    <col min="1294" max="1294" width="9.77734375" style="114" customWidth="1"/>
    <col min="1295" max="1295" width="4.44140625" style="114" customWidth="1"/>
    <col min="1296" max="1536" width="9" style="114"/>
    <col min="1537" max="1537" width="18.21875" style="114" customWidth="1"/>
    <col min="1538" max="1538" width="8.88671875" style="114" customWidth="1"/>
    <col min="1539" max="1539" width="8.44140625" style="114" customWidth="1"/>
    <col min="1540" max="1540" width="8.88671875" style="114" customWidth="1"/>
    <col min="1541" max="1541" width="8" style="114" customWidth="1"/>
    <col min="1542" max="1542" width="7.88671875" style="114" customWidth="1"/>
    <col min="1543" max="1543" width="7.33203125" style="114" customWidth="1"/>
    <col min="1544" max="1544" width="8.88671875" style="114" customWidth="1"/>
    <col min="1545" max="1545" width="9.21875" style="114" customWidth="1"/>
    <col min="1546" max="1546" width="6.6640625" style="114" customWidth="1"/>
    <col min="1547" max="1547" width="9.77734375" style="114" customWidth="1"/>
    <col min="1548" max="1548" width="8.6640625" style="114" customWidth="1"/>
    <col min="1549" max="1549" width="10.109375" style="114" customWidth="1"/>
    <col min="1550" max="1550" width="9.77734375" style="114" customWidth="1"/>
    <col min="1551" max="1551" width="4.44140625" style="114" customWidth="1"/>
    <col min="1552" max="1792" width="9" style="114"/>
    <col min="1793" max="1793" width="18.21875" style="114" customWidth="1"/>
    <col min="1794" max="1794" width="8.88671875" style="114" customWidth="1"/>
    <col min="1795" max="1795" width="8.44140625" style="114" customWidth="1"/>
    <col min="1796" max="1796" width="8.88671875" style="114" customWidth="1"/>
    <col min="1797" max="1797" width="8" style="114" customWidth="1"/>
    <col min="1798" max="1798" width="7.88671875" style="114" customWidth="1"/>
    <col min="1799" max="1799" width="7.33203125" style="114" customWidth="1"/>
    <col min="1800" max="1800" width="8.88671875" style="114" customWidth="1"/>
    <col min="1801" max="1801" width="9.21875" style="114" customWidth="1"/>
    <col min="1802" max="1802" width="6.6640625" style="114" customWidth="1"/>
    <col min="1803" max="1803" width="9.77734375" style="114" customWidth="1"/>
    <col min="1804" max="1804" width="8.6640625" style="114" customWidth="1"/>
    <col min="1805" max="1805" width="10.109375" style="114" customWidth="1"/>
    <col min="1806" max="1806" width="9.77734375" style="114" customWidth="1"/>
    <col min="1807" max="1807" width="4.44140625" style="114" customWidth="1"/>
    <col min="1808" max="2048" width="9" style="114"/>
    <col min="2049" max="2049" width="18.21875" style="114" customWidth="1"/>
    <col min="2050" max="2050" width="8.88671875" style="114" customWidth="1"/>
    <col min="2051" max="2051" width="8.44140625" style="114" customWidth="1"/>
    <col min="2052" max="2052" width="8.88671875" style="114" customWidth="1"/>
    <col min="2053" max="2053" width="8" style="114" customWidth="1"/>
    <col min="2054" max="2054" width="7.88671875" style="114" customWidth="1"/>
    <col min="2055" max="2055" width="7.33203125" style="114" customWidth="1"/>
    <col min="2056" max="2056" width="8.88671875" style="114" customWidth="1"/>
    <col min="2057" max="2057" width="9.21875" style="114" customWidth="1"/>
    <col min="2058" max="2058" width="6.6640625" style="114" customWidth="1"/>
    <col min="2059" max="2059" width="9.77734375" style="114" customWidth="1"/>
    <col min="2060" max="2060" width="8.6640625" style="114" customWidth="1"/>
    <col min="2061" max="2061" width="10.109375" style="114" customWidth="1"/>
    <col min="2062" max="2062" width="9.77734375" style="114" customWidth="1"/>
    <col min="2063" max="2063" width="4.44140625" style="114" customWidth="1"/>
    <col min="2064" max="2304" width="9" style="114"/>
    <col min="2305" max="2305" width="18.21875" style="114" customWidth="1"/>
    <col min="2306" max="2306" width="8.88671875" style="114" customWidth="1"/>
    <col min="2307" max="2307" width="8.44140625" style="114" customWidth="1"/>
    <col min="2308" max="2308" width="8.88671875" style="114" customWidth="1"/>
    <col min="2309" max="2309" width="8" style="114" customWidth="1"/>
    <col min="2310" max="2310" width="7.88671875" style="114" customWidth="1"/>
    <col min="2311" max="2311" width="7.33203125" style="114" customWidth="1"/>
    <col min="2312" max="2312" width="8.88671875" style="114" customWidth="1"/>
    <col min="2313" max="2313" width="9.21875" style="114" customWidth="1"/>
    <col min="2314" max="2314" width="6.6640625" style="114" customWidth="1"/>
    <col min="2315" max="2315" width="9.77734375" style="114" customWidth="1"/>
    <col min="2316" max="2316" width="8.6640625" style="114" customWidth="1"/>
    <col min="2317" max="2317" width="10.109375" style="114" customWidth="1"/>
    <col min="2318" max="2318" width="9.77734375" style="114" customWidth="1"/>
    <col min="2319" max="2319" width="4.44140625" style="114" customWidth="1"/>
    <col min="2320" max="2560" width="9" style="114"/>
    <col min="2561" max="2561" width="18.21875" style="114" customWidth="1"/>
    <col min="2562" max="2562" width="8.88671875" style="114" customWidth="1"/>
    <col min="2563" max="2563" width="8.44140625" style="114" customWidth="1"/>
    <col min="2564" max="2564" width="8.88671875" style="114" customWidth="1"/>
    <col min="2565" max="2565" width="8" style="114" customWidth="1"/>
    <col min="2566" max="2566" width="7.88671875" style="114" customWidth="1"/>
    <col min="2567" max="2567" width="7.33203125" style="114" customWidth="1"/>
    <col min="2568" max="2568" width="8.88671875" style="114" customWidth="1"/>
    <col min="2569" max="2569" width="9.21875" style="114" customWidth="1"/>
    <col min="2570" max="2570" width="6.6640625" style="114" customWidth="1"/>
    <col min="2571" max="2571" width="9.77734375" style="114" customWidth="1"/>
    <col min="2572" max="2572" width="8.6640625" style="114" customWidth="1"/>
    <col min="2573" max="2573" width="10.109375" style="114" customWidth="1"/>
    <col min="2574" max="2574" width="9.77734375" style="114" customWidth="1"/>
    <col min="2575" max="2575" width="4.44140625" style="114" customWidth="1"/>
    <col min="2576" max="2816" width="9" style="114"/>
    <col min="2817" max="2817" width="18.21875" style="114" customWidth="1"/>
    <col min="2818" max="2818" width="8.88671875" style="114" customWidth="1"/>
    <col min="2819" max="2819" width="8.44140625" style="114" customWidth="1"/>
    <col min="2820" max="2820" width="8.88671875" style="114" customWidth="1"/>
    <col min="2821" max="2821" width="8" style="114" customWidth="1"/>
    <col min="2822" max="2822" width="7.88671875" style="114" customWidth="1"/>
    <col min="2823" max="2823" width="7.33203125" style="114" customWidth="1"/>
    <col min="2824" max="2824" width="8.88671875" style="114" customWidth="1"/>
    <col min="2825" max="2825" width="9.21875" style="114" customWidth="1"/>
    <col min="2826" max="2826" width="6.6640625" style="114" customWidth="1"/>
    <col min="2827" max="2827" width="9.77734375" style="114" customWidth="1"/>
    <col min="2828" max="2828" width="8.6640625" style="114" customWidth="1"/>
    <col min="2829" max="2829" width="10.109375" style="114" customWidth="1"/>
    <col min="2830" max="2830" width="9.77734375" style="114" customWidth="1"/>
    <col min="2831" max="2831" width="4.44140625" style="114" customWidth="1"/>
    <col min="2832" max="3072" width="9" style="114"/>
    <col min="3073" max="3073" width="18.21875" style="114" customWidth="1"/>
    <col min="3074" max="3074" width="8.88671875" style="114" customWidth="1"/>
    <col min="3075" max="3075" width="8.44140625" style="114" customWidth="1"/>
    <col min="3076" max="3076" width="8.88671875" style="114" customWidth="1"/>
    <col min="3077" max="3077" width="8" style="114" customWidth="1"/>
    <col min="3078" max="3078" width="7.88671875" style="114" customWidth="1"/>
    <col min="3079" max="3079" width="7.33203125" style="114" customWidth="1"/>
    <col min="3080" max="3080" width="8.88671875" style="114" customWidth="1"/>
    <col min="3081" max="3081" width="9.21875" style="114" customWidth="1"/>
    <col min="3082" max="3082" width="6.6640625" style="114" customWidth="1"/>
    <col min="3083" max="3083" width="9.77734375" style="114" customWidth="1"/>
    <col min="3084" max="3084" width="8.6640625" style="114" customWidth="1"/>
    <col min="3085" max="3085" width="10.109375" style="114" customWidth="1"/>
    <col min="3086" max="3086" width="9.77734375" style="114" customWidth="1"/>
    <col min="3087" max="3087" width="4.44140625" style="114" customWidth="1"/>
    <col min="3088" max="3328" width="9" style="114"/>
    <col min="3329" max="3329" width="18.21875" style="114" customWidth="1"/>
    <col min="3330" max="3330" width="8.88671875" style="114" customWidth="1"/>
    <col min="3331" max="3331" width="8.44140625" style="114" customWidth="1"/>
    <col min="3332" max="3332" width="8.88671875" style="114" customWidth="1"/>
    <col min="3333" max="3333" width="8" style="114" customWidth="1"/>
    <col min="3334" max="3334" width="7.88671875" style="114" customWidth="1"/>
    <col min="3335" max="3335" width="7.33203125" style="114" customWidth="1"/>
    <col min="3336" max="3336" width="8.88671875" style="114" customWidth="1"/>
    <col min="3337" max="3337" width="9.21875" style="114" customWidth="1"/>
    <col min="3338" max="3338" width="6.6640625" style="114" customWidth="1"/>
    <col min="3339" max="3339" width="9.77734375" style="114" customWidth="1"/>
    <col min="3340" max="3340" width="8.6640625" style="114" customWidth="1"/>
    <col min="3341" max="3341" width="10.109375" style="114" customWidth="1"/>
    <col min="3342" max="3342" width="9.77734375" style="114" customWidth="1"/>
    <col min="3343" max="3343" width="4.44140625" style="114" customWidth="1"/>
    <col min="3344" max="3584" width="9" style="114"/>
    <col min="3585" max="3585" width="18.21875" style="114" customWidth="1"/>
    <col min="3586" max="3586" width="8.88671875" style="114" customWidth="1"/>
    <col min="3587" max="3587" width="8.44140625" style="114" customWidth="1"/>
    <col min="3588" max="3588" width="8.88671875" style="114" customWidth="1"/>
    <col min="3589" max="3589" width="8" style="114" customWidth="1"/>
    <col min="3590" max="3590" width="7.88671875" style="114" customWidth="1"/>
    <col min="3591" max="3591" width="7.33203125" style="114" customWidth="1"/>
    <col min="3592" max="3592" width="8.88671875" style="114" customWidth="1"/>
    <col min="3593" max="3593" width="9.21875" style="114" customWidth="1"/>
    <col min="3594" max="3594" width="6.6640625" style="114" customWidth="1"/>
    <col min="3595" max="3595" width="9.77734375" style="114" customWidth="1"/>
    <col min="3596" max="3596" width="8.6640625" style="114" customWidth="1"/>
    <col min="3597" max="3597" width="10.109375" style="114" customWidth="1"/>
    <col min="3598" max="3598" width="9.77734375" style="114" customWidth="1"/>
    <col min="3599" max="3599" width="4.44140625" style="114" customWidth="1"/>
    <col min="3600" max="3840" width="9" style="114"/>
    <col min="3841" max="3841" width="18.21875" style="114" customWidth="1"/>
    <col min="3842" max="3842" width="8.88671875" style="114" customWidth="1"/>
    <col min="3843" max="3843" width="8.44140625" style="114" customWidth="1"/>
    <col min="3844" max="3844" width="8.88671875" style="114" customWidth="1"/>
    <col min="3845" max="3845" width="8" style="114" customWidth="1"/>
    <col min="3846" max="3846" width="7.88671875" style="114" customWidth="1"/>
    <col min="3847" max="3847" width="7.33203125" style="114" customWidth="1"/>
    <col min="3848" max="3848" width="8.88671875" style="114" customWidth="1"/>
    <col min="3849" max="3849" width="9.21875" style="114" customWidth="1"/>
    <col min="3850" max="3850" width="6.6640625" style="114" customWidth="1"/>
    <col min="3851" max="3851" width="9.77734375" style="114" customWidth="1"/>
    <col min="3852" max="3852" width="8.6640625" style="114" customWidth="1"/>
    <col min="3853" max="3853" width="10.109375" style="114" customWidth="1"/>
    <col min="3854" max="3854" width="9.77734375" style="114" customWidth="1"/>
    <col min="3855" max="3855" width="4.44140625" style="114" customWidth="1"/>
    <col min="3856" max="4096" width="9" style="114"/>
    <col min="4097" max="4097" width="18.21875" style="114" customWidth="1"/>
    <col min="4098" max="4098" width="8.88671875" style="114" customWidth="1"/>
    <col min="4099" max="4099" width="8.44140625" style="114" customWidth="1"/>
    <col min="4100" max="4100" width="8.88671875" style="114" customWidth="1"/>
    <col min="4101" max="4101" width="8" style="114" customWidth="1"/>
    <col min="4102" max="4102" width="7.88671875" style="114" customWidth="1"/>
    <col min="4103" max="4103" width="7.33203125" style="114" customWidth="1"/>
    <col min="4104" max="4104" width="8.88671875" style="114" customWidth="1"/>
    <col min="4105" max="4105" width="9.21875" style="114" customWidth="1"/>
    <col min="4106" max="4106" width="6.6640625" style="114" customWidth="1"/>
    <col min="4107" max="4107" width="9.77734375" style="114" customWidth="1"/>
    <col min="4108" max="4108" width="8.6640625" style="114" customWidth="1"/>
    <col min="4109" max="4109" width="10.109375" style="114" customWidth="1"/>
    <col min="4110" max="4110" width="9.77734375" style="114" customWidth="1"/>
    <col min="4111" max="4111" width="4.44140625" style="114" customWidth="1"/>
    <col min="4112" max="4352" width="9" style="114"/>
    <col min="4353" max="4353" width="18.21875" style="114" customWidth="1"/>
    <col min="4354" max="4354" width="8.88671875" style="114" customWidth="1"/>
    <col min="4355" max="4355" width="8.44140625" style="114" customWidth="1"/>
    <col min="4356" max="4356" width="8.88671875" style="114" customWidth="1"/>
    <col min="4357" max="4357" width="8" style="114" customWidth="1"/>
    <col min="4358" max="4358" width="7.88671875" style="114" customWidth="1"/>
    <col min="4359" max="4359" width="7.33203125" style="114" customWidth="1"/>
    <col min="4360" max="4360" width="8.88671875" style="114" customWidth="1"/>
    <col min="4361" max="4361" width="9.21875" style="114" customWidth="1"/>
    <col min="4362" max="4362" width="6.6640625" style="114" customWidth="1"/>
    <col min="4363" max="4363" width="9.77734375" style="114" customWidth="1"/>
    <col min="4364" max="4364" width="8.6640625" style="114" customWidth="1"/>
    <col min="4365" max="4365" width="10.109375" style="114" customWidth="1"/>
    <col min="4366" max="4366" width="9.77734375" style="114" customWidth="1"/>
    <col min="4367" max="4367" width="4.44140625" style="114" customWidth="1"/>
    <col min="4368" max="4608" width="9" style="114"/>
    <col min="4609" max="4609" width="18.21875" style="114" customWidth="1"/>
    <col min="4610" max="4610" width="8.88671875" style="114" customWidth="1"/>
    <col min="4611" max="4611" width="8.44140625" style="114" customWidth="1"/>
    <col min="4612" max="4612" width="8.88671875" style="114" customWidth="1"/>
    <col min="4613" max="4613" width="8" style="114" customWidth="1"/>
    <col min="4614" max="4614" width="7.88671875" style="114" customWidth="1"/>
    <col min="4615" max="4615" width="7.33203125" style="114" customWidth="1"/>
    <col min="4616" max="4616" width="8.88671875" style="114" customWidth="1"/>
    <col min="4617" max="4617" width="9.21875" style="114" customWidth="1"/>
    <col min="4618" max="4618" width="6.6640625" style="114" customWidth="1"/>
    <col min="4619" max="4619" width="9.77734375" style="114" customWidth="1"/>
    <col min="4620" max="4620" width="8.6640625" style="114" customWidth="1"/>
    <col min="4621" max="4621" width="10.109375" style="114" customWidth="1"/>
    <col min="4622" max="4622" width="9.77734375" style="114" customWidth="1"/>
    <col min="4623" max="4623" width="4.44140625" style="114" customWidth="1"/>
    <col min="4624" max="4864" width="9" style="114"/>
    <col min="4865" max="4865" width="18.21875" style="114" customWidth="1"/>
    <col min="4866" max="4866" width="8.88671875" style="114" customWidth="1"/>
    <col min="4867" max="4867" width="8.44140625" style="114" customWidth="1"/>
    <col min="4868" max="4868" width="8.88671875" style="114" customWidth="1"/>
    <col min="4869" max="4869" width="8" style="114" customWidth="1"/>
    <col min="4870" max="4870" width="7.88671875" style="114" customWidth="1"/>
    <col min="4871" max="4871" width="7.33203125" style="114" customWidth="1"/>
    <col min="4872" max="4872" width="8.88671875" style="114" customWidth="1"/>
    <col min="4873" max="4873" width="9.21875" style="114" customWidth="1"/>
    <col min="4874" max="4874" width="6.6640625" style="114" customWidth="1"/>
    <col min="4875" max="4875" width="9.77734375" style="114" customWidth="1"/>
    <col min="4876" max="4876" width="8.6640625" style="114" customWidth="1"/>
    <col min="4877" max="4877" width="10.109375" style="114" customWidth="1"/>
    <col min="4878" max="4878" width="9.77734375" style="114" customWidth="1"/>
    <col min="4879" max="4879" width="4.44140625" style="114" customWidth="1"/>
    <col min="4880" max="5120" width="9" style="114"/>
    <col min="5121" max="5121" width="18.21875" style="114" customWidth="1"/>
    <col min="5122" max="5122" width="8.88671875" style="114" customWidth="1"/>
    <col min="5123" max="5123" width="8.44140625" style="114" customWidth="1"/>
    <col min="5124" max="5124" width="8.88671875" style="114" customWidth="1"/>
    <col min="5125" max="5125" width="8" style="114" customWidth="1"/>
    <col min="5126" max="5126" width="7.88671875" style="114" customWidth="1"/>
    <col min="5127" max="5127" width="7.33203125" style="114" customWidth="1"/>
    <col min="5128" max="5128" width="8.88671875" style="114" customWidth="1"/>
    <col min="5129" max="5129" width="9.21875" style="114" customWidth="1"/>
    <col min="5130" max="5130" width="6.6640625" style="114" customWidth="1"/>
    <col min="5131" max="5131" width="9.77734375" style="114" customWidth="1"/>
    <col min="5132" max="5132" width="8.6640625" style="114" customWidth="1"/>
    <col min="5133" max="5133" width="10.109375" style="114" customWidth="1"/>
    <col min="5134" max="5134" width="9.77734375" style="114" customWidth="1"/>
    <col min="5135" max="5135" width="4.44140625" style="114" customWidth="1"/>
    <col min="5136" max="5376" width="9" style="114"/>
    <col min="5377" max="5377" width="18.21875" style="114" customWidth="1"/>
    <col min="5378" max="5378" width="8.88671875" style="114" customWidth="1"/>
    <col min="5379" max="5379" width="8.44140625" style="114" customWidth="1"/>
    <col min="5380" max="5380" width="8.88671875" style="114" customWidth="1"/>
    <col min="5381" max="5381" width="8" style="114" customWidth="1"/>
    <col min="5382" max="5382" width="7.88671875" style="114" customWidth="1"/>
    <col min="5383" max="5383" width="7.33203125" style="114" customWidth="1"/>
    <col min="5384" max="5384" width="8.88671875" style="114" customWidth="1"/>
    <col min="5385" max="5385" width="9.21875" style="114" customWidth="1"/>
    <col min="5386" max="5386" width="6.6640625" style="114" customWidth="1"/>
    <col min="5387" max="5387" width="9.77734375" style="114" customWidth="1"/>
    <col min="5388" max="5388" width="8.6640625" style="114" customWidth="1"/>
    <col min="5389" max="5389" width="10.109375" style="114" customWidth="1"/>
    <col min="5390" max="5390" width="9.77734375" style="114" customWidth="1"/>
    <col min="5391" max="5391" width="4.44140625" style="114" customWidth="1"/>
    <col min="5392" max="5632" width="9" style="114"/>
    <col min="5633" max="5633" width="18.21875" style="114" customWidth="1"/>
    <col min="5634" max="5634" width="8.88671875" style="114" customWidth="1"/>
    <col min="5635" max="5635" width="8.44140625" style="114" customWidth="1"/>
    <col min="5636" max="5636" width="8.88671875" style="114" customWidth="1"/>
    <col min="5637" max="5637" width="8" style="114" customWidth="1"/>
    <col min="5638" max="5638" width="7.88671875" style="114" customWidth="1"/>
    <col min="5639" max="5639" width="7.33203125" style="114" customWidth="1"/>
    <col min="5640" max="5640" width="8.88671875" style="114" customWidth="1"/>
    <col min="5641" max="5641" width="9.21875" style="114" customWidth="1"/>
    <col min="5642" max="5642" width="6.6640625" style="114" customWidth="1"/>
    <col min="5643" max="5643" width="9.77734375" style="114" customWidth="1"/>
    <col min="5644" max="5644" width="8.6640625" style="114" customWidth="1"/>
    <col min="5645" max="5645" width="10.109375" style="114" customWidth="1"/>
    <col min="5646" max="5646" width="9.77734375" style="114" customWidth="1"/>
    <col min="5647" max="5647" width="4.44140625" style="114" customWidth="1"/>
    <col min="5648" max="5888" width="9" style="114"/>
    <col min="5889" max="5889" width="18.21875" style="114" customWidth="1"/>
    <col min="5890" max="5890" width="8.88671875" style="114" customWidth="1"/>
    <col min="5891" max="5891" width="8.44140625" style="114" customWidth="1"/>
    <col min="5892" max="5892" width="8.88671875" style="114" customWidth="1"/>
    <col min="5893" max="5893" width="8" style="114" customWidth="1"/>
    <col min="5894" max="5894" width="7.88671875" style="114" customWidth="1"/>
    <col min="5895" max="5895" width="7.33203125" style="114" customWidth="1"/>
    <col min="5896" max="5896" width="8.88671875" style="114" customWidth="1"/>
    <col min="5897" max="5897" width="9.21875" style="114" customWidth="1"/>
    <col min="5898" max="5898" width="6.6640625" style="114" customWidth="1"/>
    <col min="5899" max="5899" width="9.77734375" style="114" customWidth="1"/>
    <col min="5900" max="5900" width="8.6640625" style="114" customWidth="1"/>
    <col min="5901" max="5901" width="10.109375" style="114" customWidth="1"/>
    <col min="5902" max="5902" width="9.77734375" style="114" customWidth="1"/>
    <col min="5903" max="5903" width="4.44140625" style="114" customWidth="1"/>
    <col min="5904" max="6144" width="9" style="114"/>
    <col min="6145" max="6145" width="18.21875" style="114" customWidth="1"/>
    <col min="6146" max="6146" width="8.88671875" style="114" customWidth="1"/>
    <col min="6147" max="6147" width="8.44140625" style="114" customWidth="1"/>
    <col min="6148" max="6148" width="8.88671875" style="114" customWidth="1"/>
    <col min="6149" max="6149" width="8" style="114" customWidth="1"/>
    <col min="6150" max="6150" width="7.88671875" style="114" customWidth="1"/>
    <col min="6151" max="6151" width="7.33203125" style="114" customWidth="1"/>
    <col min="6152" max="6152" width="8.88671875" style="114" customWidth="1"/>
    <col min="6153" max="6153" width="9.21875" style="114" customWidth="1"/>
    <col min="6154" max="6154" width="6.6640625" style="114" customWidth="1"/>
    <col min="6155" max="6155" width="9.77734375" style="114" customWidth="1"/>
    <col min="6156" max="6156" width="8.6640625" style="114" customWidth="1"/>
    <col min="6157" max="6157" width="10.109375" style="114" customWidth="1"/>
    <col min="6158" max="6158" width="9.77734375" style="114" customWidth="1"/>
    <col min="6159" max="6159" width="4.44140625" style="114" customWidth="1"/>
    <col min="6160" max="6400" width="9" style="114"/>
    <col min="6401" max="6401" width="18.21875" style="114" customWidth="1"/>
    <col min="6402" max="6402" width="8.88671875" style="114" customWidth="1"/>
    <col min="6403" max="6403" width="8.44140625" style="114" customWidth="1"/>
    <col min="6404" max="6404" width="8.88671875" style="114" customWidth="1"/>
    <col min="6405" max="6405" width="8" style="114" customWidth="1"/>
    <col min="6406" max="6406" width="7.88671875" style="114" customWidth="1"/>
    <col min="6407" max="6407" width="7.33203125" style="114" customWidth="1"/>
    <col min="6408" max="6408" width="8.88671875" style="114" customWidth="1"/>
    <col min="6409" max="6409" width="9.21875" style="114" customWidth="1"/>
    <col min="6410" max="6410" width="6.6640625" style="114" customWidth="1"/>
    <col min="6411" max="6411" width="9.77734375" style="114" customWidth="1"/>
    <col min="6412" max="6412" width="8.6640625" style="114" customWidth="1"/>
    <col min="6413" max="6413" width="10.109375" style="114" customWidth="1"/>
    <col min="6414" max="6414" width="9.77734375" style="114" customWidth="1"/>
    <col min="6415" max="6415" width="4.44140625" style="114" customWidth="1"/>
    <col min="6416" max="6656" width="9" style="114"/>
    <col min="6657" max="6657" width="18.21875" style="114" customWidth="1"/>
    <col min="6658" max="6658" width="8.88671875" style="114" customWidth="1"/>
    <col min="6659" max="6659" width="8.44140625" style="114" customWidth="1"/>
    <col min="6660" max="6660" width="8.88671875" style="114" customWidth="1"/>
    <col min="6661" max="6661" width="8" style="114" customWidth="1"/>
    <col min="6662" max="6662" width="7.88671875" style="114" customWidth="1"/>
    <col min="6663" max="6663" width="7.33203125" style="114" customWidth="1"/>
    <col min="6664" max="6664" width="8.88671875" style="114" customWidth="1"/>
    <col min="6665" max="6665" width="9.21875" style="114" customWidth="1"/>
    <col min="6666" max="6666" width="6.6640625" style="114" customWidth="1"/>
    <col min="6667" max="6667" width="9.77734375" style="114" customWidth="1"/>
    <col min="6668" max="6668" width="8.6640625" style="114" customWidth="1"/>
    <col min="6669" max="6669" width="10.109375" style="114" customWidth="1"/>
    <col min="6670" max="6670" width="9.77734375" style="114" customWidth="1"/>
    <col min="6671" max="6671" width="4.44140625" style="114" customWidth="1"/>
    <col min="6672" max="6912" width="9" style="114"/>
    <col min="6913" max="6913" width="18.21875" style="114" customWidth="1"/>
    <col min="6914" max="6914" width="8.88671875" style="114" customWidth="1"/>
    <col min="6915" max="6915" width="8.44140625" style="114" customWidth="1"/>
    <col min="6916" max="6916" width="8.88671875" style="114" customWidth="1"/>
    <col min="6917" max="6917" width="8" style="114" customWidth="1"/>
    <col min="6918" max="6918" width="7.88671875" style="114" customWidth="1"/>
    <col min="6919" max="6919" width="7.33203125" style="114" customWidth="1"/>
    <col min="6920" max="6920" width="8.88671875" style="114" customWidth="1"/>
    <col min="6921" max="6921" width="9.21875" style="114" customWidth="1"/>
    <col min="6922" max="6922" width="6.6640625" style="114" customWidth="1"/>
    <col min="6923" max="6923" width="9.77734375" style="114" customWidth="1"/>
    <col min="6924" max="6924" width="8.6640625" style="114" customWidth="1"/>
    <col min="6925" max="6925" width="10.109375" style="114" customWidth="1"/>
    <col min="6926" max="6926" width="9.77734375" style="114" customWidth="1"/>
    <col min="6927" max="6927" width="4.44140625" style="114" customWidth="1"/>
    <col min="6928" max="7168" width="9" style="114"/>
    <col min="7169" max="7169" width="18.21875" style="114" customWidth="1"/>
    <col min="7170" max="7170" width="8.88671875" style="114" customWidth="1"/>
    <col min="7171" max="7171" width="8.44140625" style="114" customWidth="1"/>
    <col min="7172" max="7172" width="8.88671875" style="114" customWidth="1"/>
    <col min="7173" max="7173" width="8" style="114" customWidth="1"/>
    <col min="7174" max="7174" width="7.88671875" style="114" customWidth="1"/>
    <col min="7175" max="7175" width="7.33203125" style="114" customWidth="1"/>
    <col min="7176" max="7176" width="8.88671875" style="114" customWidth="1"/>
    <col min="7177" max="7177" width="9.21875" style="114" customWidth="1"/>
    <col min="7178" max="7178" width="6.6640625" style="114" customWidth="1"/>
    <col min="7179" max="7179" width="9.77734375" style="114" customWidth="1"/>
    <col min="7180" max="7180" width="8.6640625" style="114" customWidth="1"/>
    <col min="7181" max="7181" width="10.109375" style="114" customWidth="1"/>
    <col min="7182" max="7182" width="9.77734375" style="114" customWidth="1"/>
    <col min="7183" max="7183" width="4.44140625" style="114" customWidth="1"/>
    <col min="7184" max="7424" width="9" style="114"/>
    <col min="7425" max="7425" width="18.21875" style="114" customWidth="1"/>
    <col min="7426" max="7426" width="8.88671875" style="114" customWidth="1"/>
    <col min="7427" max="7427" width="8.44140625" style="114" customWidth="1"/>
    <col min="7428" max="7428" width="8.88671875" style="114" customWidth="1"/>
    <col min="7429" max="7429" width="8" style="114" customWidth="1"/>
    <col min="7430" max="7430" width="7.88671875" style="114" customWidth="1"/>
    <col min="7431" max="7431" width="7.33203125" style="114" customWidth="1"/>
    <col min="7432" max="7432" width="8.88671875" style="114" customWidth="1"/>
    <col min="7433" max="7433" width="9.21875" style="114" customWidth="1"/>
    <col min="7434" max="7434" width="6.6640625" style="114" customWidth="1"/>
    <col min="7435" max="7435" width="9.77734375" style="114" customWidth="1"/>
    <col min="7436" max="7436" width="8.6640625" style="114" customWidth="1"/>
    <col min="7437" max="7437" width="10.109375" style="114" customWidth="1"/>
    <col min="7438" max="7438" width="9.77734375" style="114" customWidth="1"/>
    <col min="7439" max="7439" width="4.44140625" style="114" customWidth="1"/>
    <col min="7440" max="7680" width="9" style="114"/>
    <col min="7681" max="7681" width="18.21875" style="114" customWidth="1"/>
    <col min="7682" max="7682" width="8.88671875" style="114" customWidth="1"/>
    <col min="7683" max="7683" width="8.44140625" style="114" customWidth="1"/>
    <col min="7684" max="7684" width="8.88671875" style="114" customWidth="1"/>
    <col min="7685" max="7685" width="8" style="114" customWidth="1"/>
    <col min="7686" max="7686" width="7.88671875" style="114" customWidth="1"/>
    <col min="7687" max="7687" width="7.33203125" style="114" customWidth="1"/>
    <col min="7688" max="7688" width="8.88671875" style="114" customWidth="1"/>
    <col min="7689" max="7689" width="9.21875" style="114" customWidth="1"/>
    <col min="7690" max="7690" width="6.6640625" style="114" customWidth="1"/>
    <col min="7691" max="7691" width="9.77734375" style="114" customWidth="1"/>
    <col min="7692" max="7692" width="8.6640625" style="114" customWidth="1"/>
    <col min="7693" max="7693" width="10.109375" style="114" customWidth="1"/>
    <col min="7694" max="7694" width="9.77734375" style="114" customWidth="1"/>
    <col min="7695" max="7695" width="4.44140625" style="114" customWidth="1"/>
    <col min="7696" max="7936" width="9" style="114"/>
    <col min="7937" max="7937" width="18.21875" style="114" customWidth="1"/>
    <col min="7938" max="7938" width="8.88671875" style="114" customWidth="1"/>
    <col min="7939" max="7939" width="8.44140625" style="114" customWidth="1"/>
    <col min="7940" max="7940" width="8.88671875" style="114" customWidth="1"/>
    <col min="7941" max="7941" width="8" style="114" customWidth="1"/>
    <col min="7942" max="7942" width="7.88671875" style="114" customWidth="1"/>
    <col min="7943" max="7943" width="7.33203125" style="114" customWidth="1"/>
    <col min="7944" max="7944" width="8.88671875" style="114" customWidth="1"/>
    <col min="7945" max="7945" width="9.21875" style="114" customWidth="1"/>
    <col min="7946" max="7946" width="6.6640625" style="114" customWidth="1"/>
    <col min="7947" max="7947" width="9.77734375" style="114" customWidth="1"/>
    <col min="7948" max="7948" width="8.6640625" style="114" customWidth="1"/>
    <col min="7949" max="7949" width="10.109375" style="114" customWidth="1"/>
    <col min="7950" max="7950" width="9.77734375" style="114" customWidth="1"/>
    <col min="7951" max="7951" width="4.44140625" style="114" customWidth="1"/>
    <col min="7952" max="8192" width="9" style="114"/>
    <col min="8193" max="8193" width="18.21875" style="114" customWidth="1"/>
    <col min="8194" max="8194" width="8.88671875" style="114" customWidth="1"/>
    <col min="8195" max="8195" width="8.44140625" style="114" customWidth="1"/>
    <col min="8196" max="8196" width="8.88671875" style="114" customWidth="1"/>
    <col min="8197" max="8197" width="8" style="114" customWidth="1"/>
    <col min="8198" max="8198" width="7.88671875" style="114" customWidth="1"/>
    <col min="8199" max="8199" width="7.33203125" style="114" customWidth="1"/>
    <col min="8200" max="8200" width="8.88671875" style="114" customWidth="1"/>
    <col min="8201" max="8201" width="9.21875" style="114" customWidth="1"/>
    <col min="8202" max="8202" width="6.6640625" style="114" customWidth="1"/>
    <col min="8203" max="8203" width="9.77734375" style="114" customWidth="1"/>
    <col min="8204" max="8204" width="8.6640625" style="114" customWidth="1"/>
    <col min="8205" max="8205" width="10.109375" style="114" customWidth="1"/>
    <col min="8206" max="8206" width="9.77734375" style="114" customWidth="1"/>
    <col min="8207" max="8207" width="4.44140625" style="114" customWidth="1"/>
    <col min="8208" max="8448" width="9" style="114"/>
    <col min="8449" max="8449" width="18.21875" style="114" customWidth="1"/>
    <col min="8450" max="8450" width="8.88671875" style="114" customWidth="1"/>
    <col min="8451" max="8451" width="8.44140625" style="114" customWidth="1"/>
    <col min="8452" max="8452" width="8.88671875" style="114" customWidth="1"/>
    <col min="8453" max="8453" width="8" style="114" customWidth="1"/>
    <col min="8454" max="8454" width="7.88671875" style="114" customWidth="1"/>
    <col min="8455" max="8455" width="7.33203125" style="114" customWidth="1"/>
    <col min="8456" max="8456" width="8.88671875" style="114" customWidth="1"/>
    <col min="8457" max="8457" width="9.21875" style="114" customWidth="1"/>
    <col min="8458" max="8458" width="6.6640625" style="114" customWidth="1"/>
    <col min="8459" max="8459" width="9.77734375" style="114" customWidth="1"/>
    <col min="8460" max="8460" width="8.6640625" style="114" customWidth="1"/>
    <col min="8461" max="8461" width="10.109375" style="114" customWidth="1"/>
    <col min="8462" max="8462" width="9.77734375" style="114" customWidth="1"/>
    <col min="8463" max="8463" width="4.44140625" style="114" customWidth="1"/>
    <col min="8464" max="8704" width="9" style="114"/>
    <col min="8705" max="8705" width="18.21875" style="114" customWidth="1"/>
    <col min="8706" max="8706" width="8.88671875" style="114" customWidth="1"/>
    <col min="8707" max="8707" width="8.44140625" style="114" customWidth="1"/>
    <col min="8708" max="8708" width="8.88671875" style="114" customWidth="1"/>
    <col min="8709" max="8709" width="8" style="114" customWidth="1"/>
    <col min="8710" max="8710" width="7.88671875" style="114" customWidth="1"/>
    <col min="8711" max="8711" width="7.33203125" style="114" customWidth="1"/>
    <col min="8712" max="8712" width="8.88671875" style="114" customWidth="1"/>
    <col min="8713" max="8713" width="9.21875" style="114" customWidth="1"/>
    <col min="8714" max="8714" width="6.6640625" style="114" customWidth="1"/>
    <col min="8715" max="8715" width="9.77734375" style="114" customWidth="1"/>
    <col min="8716" max="8716" width="8.6640625" style="114" customWidth="1"/>
    <col min="8717" max="8717" width="10.109375" style="114" customWidth="1"/>
    <col min="8718" max="8718" width="9.77734375" style="114" customWidth="1"/>
    <col min="8719" max="8719" width="4.44140625" style="114" customWidth="1"/>
    <col min="8720" max="8960" width="9" style="114"/>
    <col min="8961" max="8961" width="18.21875" style="114" customWidth="1"/>
    <col min="8962" max="8962" width="8.88671875" style="114" customWidth="1"/>
    <col min="8963" max="8963" width="8.44140625" style="114" customWidth="1"/>
    <col min="8964" max="8964" width="8.88671875" style="114" customWidth="1"/>
    <col min="8965" max="8965" width="8" style="114" customWidth="1"/>
    <col min="8966" max="8966" width="7.88671875" style="114" customWidth="1"/>
    <col min="8967" max="8967" width="7.33203125" style="114" customWidth="1"/>
    <col min="8968" max="8968" width="8.88671875" style="114" customWidth="1"/>
    <col min="8969" max="8969" width="9.21875" style="114" customWidth="1"/>
    <col min="8970" max="8970" width="6.6640625" style="114" customWidth="1"/>
    <col min="8971" max="8971" width="9.77734375" style="114" customWidth="1"/>
    <col min="8972" max="8972" width="8.6640625" style="114" customWidth="1"/>
    <col min="8973" max="8973" width="10.109375" style="114" customWidth="1"/>
    <col min="8974" max="8974" width="9.77734375" style="114" customWidth="1"/>
    <col min="8975" max="8975" width="4.44140625" style="114" customWidth="1"/>
    <col min="8976" max="9216" width="9" style="114"/>
    <col min="9217" max="9217" width="18.21875" style="114" customWidth="1"/>
    <col min="9218" max="9218" width="8.88671875" style="114" customWidth="1"/>
    <col min="9219" max="9219" width="8.44140625" style="114" customWidth="1"/>
    <col min="9220" max="9220" width="8.88671875" style="114" customWidth="1"/>
    <col min="9221" max="9221" width="8" style="114" customWidth="1"/>
    <col min="9222" max="9222" width="7.88671875" style="114" customWidth="1"/>
    <col min="9223" max="9223" width="7.33203125" style="114" customWidth="1"/>
    <col min="9224" max="9224" width="8.88671875" style="114" customWidth="1"/>
    <col min="9225" max="9225" width="9.21875" style="114" customWidth="1"/>
    <col min="9226" max="9226" width="6.6640625" style="114" customWidth="1"/>
    <col min="9227" max="9227" width="9.77734375" style="114" customWidth="1"/>
    <col min="9228" max="9228" width="8.6640625" style="114" customWidth="1"/>
    <col min="9229" max="9229" width="10.109375" style="114" customWidth="1"/>
    <col min="9230" max="9230" width="9.77734375" style="114" customWidth="1"/>
    <col min="9231" max="9231" width="4.44140625" style="114" customWidth="1"/>
    <col min="9232" max="9472" width="9" style="114"/>
    <col min="9473" max="9473" width="18.21875" style="114" customWidth="1"/>
    <col min="9474" max="9474" width="8.88671875" style="114" customWidth="1"/>
    <col min="9475" max="9475" width="8.44140625" style="114" customWidth="1"/>
    <col min="9476" max="9476" width="8.88671875" style="114" customWidth="1"/>
    <col min="9477" max="9477" width="8" style="114" customWidth="1"/>
    <col min="9478" max="9478" width="7.88671875" style="114" customWidth="1"/>
    <col min="9479" max="9479" width="7.33203125" style="114" customWidth="1"/>
    <col min="9480" max="9480" width="8.88671875" style="114" customWidth="1"/>
    <col min="9481" max="9481" width="9.21875" style="114" customWidth="1"/>
    <col min="9482" max="9482" width="6.6640625" style="114" customWidth="1"/>
    <col min="9483" max="9483" width="9.77734375" style="114" customWidth="1"/>
    <col min="9484" max="9484" width="8.6640625" style="114" customWidth="1"/>
    <col min="9485" max="9485" width="10.109375" style="114" customWidth="1"/>
    <col min="9486" max="9486" width="9.77734375" style="114" customWidth="1"/>
    <col min="9487" max="9487" width="4.44140625" style="114" customWidth="1"/>
    <col min="9488" max="9728" width="9" style="114"/>
    <col min="9729" max="9729" width="18.21875" style="114" customWidth="1"/>
    <col min="9730" max="9730" width="8.88671875" style="114" customWidth="1"/>
    <col min="9731" max="9731" width="8.44140625" style="114" customWidth="1"/>
    <col min="9732" max="9732" width="8.88671875" style="114" customWidth="1"/>
    <col min="9733" max="9733" width="8" style="114" customWidth="1"/>
    <col min="9734" max="9734" width="7.88671875" style="114" customWidth="1"/>
    <col min="9735" max="9735" width="7.33203125" style="114" customWidth="1"/>
    <col min="9736" max="9736" width="8.88671875" style="114" customWidth="1"/>
    <col min="9737" max="9737" width="9.21875" style="114" customWidth="1"/>
    <col min="9738" max="9738" width="6.6640625" style="114" customWidth="1"/>
    <col min="9739" max="9739" width="9.77734375" style="114" customWidth="1"/>
    <col min="9740" max="9740" width="8.6640625" style="114" customWidth="1"/>
    <col min="9741" max="9741" width="10.109375" style="114" customWidth="1"/>
    <col min="9742" max="9742" width="9.77734375" style="114" customWidth="1"/>
    <col min="9743" max="9743" width="4.44140625" style="114" customWidth="1"/>
    <col min="9744" max="9984" width="9" style="114"/>
    <col min="9985" max="9985" width="18.21875" style="114" customWidth="1"/>
    <col min="9986" max="9986" width="8.88671875" style="114" customWidth="1"/>
    <col min="9987" max="9987" width="8.44140625" style="114" customWidth="1"/>
    <col min="9988" max="9988" width="8.88671875" style="114" customWidth="1"/>
    <col min="9989" max="9989" width="8" style="114" customWidth="1"/>
    <col min="9990" max="9990" width="7.88671875" style="114" customWidth="1"/>
    <col min="9991" max="9991" width="7.33203125" style="114" customWidth="1"/>
    <col min="9992" max="9992" width="8.88671875" style="114" customWidth="1"/>
    <col min="9993" max="9993" width="9.21875" style="114" customWidth="1"/>
    <col min="9994" max="9994" width="6.6640625" style="114" customWidth="1"/>
    <col min="9995" max="9995" width="9.77734375" style="114" customWidth="1"/>
    <col min="9996" max="9996" width="8.6640625" style="114" customWidth="1"/>
    <col min="9997" max="9997" width="10.109375" style="114" customWidth="1"/>
    <col min="9998" max="9998" width="9.77734375" style="114" customWidth="1"/>
    <col min="9999" max="9999" width="4.44140625" style="114" customWidth="1"/>
    <col min="10000" max="10240" width="9" style="114"/>
    <col min="10241" max="10241" width="18.21875" style="114" customWidth="1"/>
    <col min="10242" max="10242" width="8.88671875" style="114" customWidth="1"/>
    <col min="10243" max="10243" width="8.44140625" style="114" customWidth="1"/>
    <col min="10244" max="10244" width="8.88671875" style="114" customWidth="1"/>
    <col min="10245" max="10245" width="8" style="114" customWidth="1"/>
    <col min="10246" max="10246" width="7.88671875" style="114" customWidth="1"/>
    <col min="10247" max="10247" width="7.33203125" style="114" customWidth="1"/>
    <col min="10248" max="10248" width="8.88671875" style="114" customWidth="1"/>
    <col min="10249" max="10249" width="9.21875" style="114" customWidth="1"/>
    <col min="10250" max="10250" width="6.6640625" style="114" customWidth="1"/>
    <col min="10251" max="10251" width="9.77734375" style="114" customWidth="1"/>
    <col min="10252" max="10252" width="8.6640625" style="114" customWidth="1"/>
    <col min="10253" max="10253" width="10.109375" style="114" customWidth="1"/>
    <col min="10254" max="10254" width="9.77734375" style="114" customWidth="1"/>
    <col min="10255" max="10255" width="4.44140625" style="114" customWidth="1"/>
    <col min="10256" max="10496" width="9" style="114"/>
    <col min="10497" max="10497" width="18.21875" style="114" customWidth="1"/>
    <col min="10498" max="10498" width="8.88671875" style="114" customWidth="1"/>
    <col min="10499" max="10499" width="8.44140625" style="114" customWidth="1"/>
    <col min="10500" max="10500" width="8.88671875" style="114" customWidth="1"/>
    <col min="10501" max="10501" width="8" style="114" customWidth="1"/>
    <col min="10502" max="10502" width="7.88671875" style="114" customWidth="1"/>
    <col min="10503" max="10503" width="7.33203125" style="114" customWidth="1"/>
    <col min="10504" max="10504" width="8.88671875" style="114" customWidth="1"/>
    <col min="10505" max="10505" width="9.21875" style="114" customWidth="1"/>
    <col min="10506" max="10506" width="6.6640625" style="114" customWidth="1"/>
    <col min="10507" max="10507" width="9.77734375" style="114" customWidth="1"/>
    <col min="10508" max="10508" width="8.6640625" style="114" customWidth="1"/>
    <col min="10509" max="10509" width="10.109375" style="114" customWidth="1"/>
    <col min="10510" max="10510" width="9.77734375" style="114" customWidth="1"/>
    <col min="10511" max="10511" width="4.44140625" style="114" customWidth="1"/>
    <col min="10512" max="10752" width="9" style="114"/>
    <col min="10753" max="10753" width="18.21875" style="114" customWidth="1"/>
    <col min="10754" max="10754" width="8.88671875" style="114" customWidth="1"/>
    <col min="10755" max="10755" width="8.44140625" style="114" customWidth="1"/>
    <col min="10756" max="10756" width="8.88671875" style="114" customWidth="1"/>
    <col min="10757" max="10757" width="8" style="114" customWidth="1"/>
    <col min="10758" max="10758" width="7.88671875" style="114" customWidth="1"/>
    <col min="10759" max="10759" width="7.33203125" style="114" customWidth="1"/>
    <col min="10760" max="10760" width="8.88671875" style="114" customWidth="1"/>
    <col min="10761" max="10761" width="9.21875" style="114" customWidth="1"/>
    <col min="10762" max="10762" width="6.6640625" style="114" customWidth="1"/>
    <col min="10763" max="10763" width="9.77734375" style="114" customWidth="1"/>
    <col min="10764" max="10764" width="8.6640625" style="114" customWidth="1"/>
    <col min="10765" max="10765" width="10.109375" style="114" customWidth="1"/>
    <col min="10766" max="10766" width="9.77734375" style="114" customWidth="1"/>
    <col min="10767" max="10767" width="4.44140625" style="114" customWidth="1"/>
    <col min="10768" max="11008" width="9" style="114"/>
    <col min="11009" max="11009" width="18.21875" style="114" customWidth="1"/>
    <col min="11010" max="11010" width="8.88671875" style="114" customWidth="1"/>
    <col min="11011" max="11011" width="8.44140625" style="114" customWidth="1"/>
    <col min="11012" max="11012" width="8.88671875" style="114" customWidth="1"/>
    <col min="11013" max="11013" width="8" style="114" customWidth="1"/>
    <col min="11014" max="11014" width="7.88671875" style="114" customWidth="1"/>
    <col min="11015" max="11015" width="7.33203125" style="114" customWidth="1"/>
    <col min="11016" max="11016" width="8.88671875" style="114" customWidth="1"/>
    <col min="11017" max="11017" width="9.21875" style="114" customWidth="1"/>
    <col min="11018" max="11018" width="6.6640625" style="114" customWidth="1"/>
    <col min="11019" max="11019" width="9.77734375" style="114" customWidth="1"/>
    <col min="11020" max="11020" width="8.6640625" style="114" customWidth="1"/>
    <col min="11021" max="11021" width="10.109375" style="114" customWidth="1"/>
    <col min="11022" max="11022" width="9.77734375" style="114" customWidth="1"/>
    <col min="11023" max="11023" width="4.44140625" style="114" customWidth="1"/>
    <col min="11024" max="11264" width="9" style="114"/>
    <col min="11265" max="11265" width="18.21875" style="114" customWidth="1"/>
    <col min="11266" max="11266" width="8.88671875" style="114" customWidth="1"/>
    <col min="11267" max="11267" width="8.44140625" style="114" customWidth="1"/>
    <col min="11268" max="11268" width="8.88671875" style="114" customWidth="1"/>
    <col min="11269" max="11269" width="8" style="114" customWidth="1"/>
    <col min="11270" max="11270" width="7.88671875" style="114" customWidth="1"/>
    <col min="11271" max="11271" width="7.33203125" style="114" customWidth="1"/>
    <col min="11272" max="11272" width="8.88671875" style="114" customWidth="1"/>
    <col min="11273" max="11273" width="9.21875" style="114" customWidth="1"/>
    <col min="11274" max="11274" width="6.6640625" style="114" customWidth="1"/>
    <col min="11275" max="11275" width="9.77734375" style="114" customWidth="1"/>
    <col min="11276" max="11276" width="8.6640625" style="114" customWidth="1"/>
    <col min="11277" max="11277" width="10.109375" style="114" customWidth="1"/>
    <col min="11278" max="11278" width="9.77734375" style="114" customWidth="1"/>
    <col min="11279" max="11279" width="4.44140625" style="114" customWidth="1"/>
    <col min="11280" max="11520" width="9" style="114"/>
    <col min="11521" max="11521" width="18.21875" style="114" customWidth="1"/>
    <col min="11522" max="11522" width="8.88671875" style="114" customWidth="1"/>
    <col min="11523" max="11523" width="8.44140625" style="114" customWidth="1"/>
    <col min="11524" max="11524" width="8.88671875" style="114" customWidth="1"/>
    <col min="11525" max="11525" width="8" style="114" customWidth="1"/>
    <col min="11526" max="11526" width="7.88671875" style="114" customWidth="1"/>
    <col min="11527" max="11527" width="7.33203125" style="114" customWidth="1"/>
    <col min="11528" max="11528" width="8.88671875" style="114" customWidth="1"/>
    <col min="11529" max="11529" width="9.21875" style="114" customWidth="1"/>
    <col min="11530" max="11530" width="6.6640625" style="114" customWidth="1"/>
    <col min="11531" max="11531" width="9.77734375" style="114" customWidth="1"/>
    <col min="11532" max="11532" width="8.6640625" style="114" customWidth="1"/>
    <col min="11533" max="11533" width="10.109375" style="114" customWidth="1"/>
    <col min="11534" max="11534" width="9.77734375" style="114" customWidth="1"/>
    <col min="11535" max="11535" width="4.44140625" style="114" customWidth="1"/>
    <col min="11536" max="11776" width="9" style="114"/>
    <col min="11777" max="11777" width="18.21875" style="114" customWidth="1"/>
    <col min="11778" max="11778" width="8.88671875" style="114" customWidth="1"/>
    <col min="11779" max="11779" width="8.44140625" style="114" customWidth="1"/>
    <col min="11780" max="11780" width="8.88671875" style="114" customWidth="1"/>
    <col min="11781" max="11781" width="8" style="114" customWidth="1"/>
    <col min="11782" max="11782" width="7.88671875" style="114" customWidth="1"/>
    <col min="11783" max="11783" width="7.33203125" style="114" customWidth="1"/>
    <col min="11784" max="11784" width="8.88671875" style="114" customWidth="1"/>
    <col min="11785" max="11785" width="9.21875" style="114" customWidth="1"/>
    <col min="11786" max="11786" width="6.6640625" style="114" customWidth="1"/>
    <col min="11787" max="11787" width="9.77734375" style="114" customWidth="1"/>
    <col min="11788" max="11788" width="8.6640625" style="114" customWidth="1"/>
    <col min="11789" max="11789" width="10.109375" style="114" customWidth="1"/>
    <col min="11790" max="11790" width="9.77734375" style="114" customWidth="1"/>
    <col min="11791" max="11791" width="4.44140625" style="114" customWidth="1"/>
    <col min="11792" max="12032" width="9" style="114"/>
    <col min="12033" max="12033" width="18.21875" style="114" customWidth="1"/>
    <col min="12034" max="12034" width="8.88671875" style="114" customWidth="1"/>
    <col min="12035" max="12035" width="8.44140625" style="114" customWidth="1"/>
    <col min="12036" max="12036" width="8.88671875" style="114" customWidth="1"/>
    <col min="12037" max="12037" width="8" style="114" customWidth="1"/>
    <col min="12038" max="12038" width="7.88671875" style="114" customWidth="1"/>
    <col min="12039" max="12039" width="7.33203125" style="114" customWidth="1"/>
    <col min="12040" max="12040" width="8.88671875" style="114" customWidth="1"/>
    <col min="12041" max="12041" width="9.21875" style="114" customWidth="1"/>
    <col min="12042" max="12042" width="6.6640625" style="114" customWidth="1"/>
    <col min="12043" max="12043" width="9.77734375" style="114" customWidth="1"/>
    <col min="12044" max="12044" width="8.6640625" style="114" customWidth="1"/>
    <col min="12045" max="12045" width="10.109375" style="114" customWidth="1"/>
    <col min="12046" max="12046" width="9.77734375" style="114" customWidth="1"/>
    <col min="12047" max="12047" width="4.44140625" style="114" customWidth="1"/>
    <col min="12048" max="12288" width="9" style="114"/>
    <col min="12289" max="12289" width="18.21875" style="114" customWidth="1"/>
    <col min="12290" max="12290" width="8.88671875" style="114" customWidth="1"/>
    <col min="12291" max="12291" width="8.44140625" style="114" customWidth="1"/>
    <col min="12292" max="12292" width="8.88671875" style="114" customWidth="1"/>
    <col min="12293" max="12293" width="8" style="114" customWidth="1"/>
    <col min="12294" max="12294" width="7.88671875" style="114" customWidth="1"/>
    <col min="12295" max="12295" width="7.33203125" style="114" customWidth="1"/>
    <col min="12296" max="12296" width="8.88671875" style="114" customWidth="1"/>
    <col min="12297" max="12297" width="9.21875" style="114" customWidth="1"/>
    <col min="12298" max="12298" width="6.6640625" style="114" customWidth="1"/>
    <col min="12299" max="12299" width="9.77734375" style="114" customWidth="1"/>
    <col min="12300" max="12300" width="8.6640625" style="114" customWidth="1"/>
    <col min="12301" max="12301" width="10.109375" style="114" customWidth="1"/>
    <col min="12302" max="12302" width="9.77734375" style="114" customWidth="1"/>
    <col min="12303" max="12303" width="4.44140625" style="114" customWidth="1"/>
    <col min="12304" max="12544" width="9" style="114"/>
    <col min="12545" max="12545" width="18.21875" style="114" customWidth="1"/>
    <col min="12546" max="12546" width="8.88671875" style="114" customWidth="1"/>
    <col min="12547" max="12547" width="8.44140625" style="114" customWidth="1"/>
    <col min="12548" max="12548" width="8.88671875" style="114" customWidth="1"/>
    <col min="12549" max="12549" width="8" style="114" customWidth="1"/>
    <col min="12550" max="12550" width="7.88671875" style="114" customWidth="1"/>
    <col min="12551" max="12551" width="7.33203125" style="114" customWidth="1"/>
    <col min="12552" max="12552" width="8.88671875" style="114" customWidth="1"/>
    <col min="12553" max="12553" width="9.21875" style="114" customWidth="1"/>
    <col min="12554" max="12554" width="6.6640625" style="114" customWidth="1"/>
    <col min="12555" max="12555" width="9.77734375" style="114" customWidth="1"/>
    <col min="12556" max="12556" width="8.6640625" style="114" customWidth="1"/>
    <col min="12557" max="12557" width="10.109375" style="114" customWidth="1"/>
    <col min="12558" max="12558" width="9.77734375" style="114" customWidth="1"/>
    <col min="12559" max="12559" width="4.44140625" style="114" customWidth="1"/>
    <col min="12560" max="12800" width="9" style="114"/>
    <col min="12801" max="12801" width="18.21875" style="114" customWidth="1"/>
    <col min="12802" max="12802" width="8.88671875" style="114" customWidth="1"/>
    <col min="12803" max="12803" width="8.44140625" style="114" customWidth="1"/>
    <col min="12804" max="12804" width="8.88671875" style="114" customWidth="1"/>
    <col min="12805" max="12805" width="8" style="114" customWidth="1"/>
    <col min="12806" max="12806" width="7.88671875" style="114" customWidth="1"/>
    <col min="12807" max="12807" width="7.33203125" style="114" customWidth="1"/>
    <col min="12808" max="12808" width="8.88671875" style="114" customWidth="1"/>
    <col min="12809" max="12809" width="9.21875" style="114" customWidth="1"/>
    <col min="12810" max="12810" width="6.6640625" style="114" customWidth="1"/>
    <col min="12811" max="12811" width="9.77734375" style="114" customWidth="1"/>
    <col min="12812" max="12812" width="8.6640625" style="114" customWidth="1"/>
    <col min="12813" max="12813" width="10.109375" style="114" customWidth="1"/>
    <col min="12814" max="12814" width="9.77734375" style="114" customWidth="1"/>
    <col min="12815" max="12815" width="4.44140625" style="114" customWidth="1"/>
    <col min="12816" max="13056" width="9" style="114"/>
    <col min="13057" max="13057" width="18.21875" style="114" customWidth="1"/>
    <col min="13058" max="13058" width="8.88671875" style="114" customWidth="1"/>
    <col min="13059" max="13059" width="8.44140625" style="114" customWidth="1"/>
    <col min="13060" max="13060" width="8.88671875" style="114" customWidth="1"/>
    <col min="13061" max="13061" width="8" style="114" customWidth="1"/>
    <col min="13062" max="13062" width="7.88671875" style="114" customWidth="1"/>
    <col min="13063" max="13063" width="7.33203125" style="114" customWidth="1"/>
    <col min="13064" max="13064" width="8.88671875" style="114" customWidth="1"/>
    <col min="13065" max="13065" width="9.21875" style="114" customWidth="1"/>
    <col min="13066" max="13066" width="6.6640625" style="114" customWidth="1"/>
    <col min="13067" max="13067" width="9.77734375" style="114" customWidth="1"/>
    <col min="13068" max="13068" width="8.6640625" style="114" customWidth="1"/>
    <col min="13069" max="13069" width="10.109375" style="114" customWidth="1"/>
    <col min="13070" max="13070" width="9.77734375" style="114" customWidth="1"/>
    <col min="13071" max="13071" width="4.44140625" style="114" customWidth="1"/>
    <col min="13072" max="13312" width="9" style="114"/>
    <col min="13313" max="13313" width="18.21875" style="114" customWidth="1"/>
    <col min="13314" max="13314" width="8.88671875" style="114" customWidth="1"/>
    <col min="13315" max="13315" width="8.44140625" style="114" customWidth="1"/>
    <col min="13316" max="13316" width="8.88671875" style="114" customWidth="1"/>
    <col min="13317" max="13317" width="8" style="114" customWidth="1"/>
    <col min="13318" max="13318" width="7.88671875" style="114" customWidth="1"/>
    <col min="13319" max="13319" width="7.33203125" style="114" customWidth="1"/>
    <col min="13320" max="13320" width="8.88671875" style="114" customWidth="1"/>
    <col min="13321" max="13321" width="9.21875" style="114" customWidth="1"/>
    <col min="13322" max="13322" width="6.6640625" style="114" customWidth="1"/>
    <col min="13323" max="13323" width="9.77734375" style="114" customWidth="1"/>
    <col min="13324" max="13324" width="8.6640625" style="114" customWidth="1"/>
    <col min="13325" max="13325" width="10.109375" style="114" customWidth="1"/>
    <col min="13326" max="13326" width="9.77734375" style="114" customWidth="1"/>
    <col min="13327" max="13327" width="4.44140625" style="114" customWidth="1"/>
    <col min="13328" max="13568" width="9" style="114"/>
    <col min="13569" max="13569" width="18.21875" style="114" customWidth="1"/>
    <col min="13570" max="13570" width="8.88671875" style="114" customWidth="1"/>
    <col min="13571" max="13571" width="8.44140625" style="114" customWidth="1"/>
    <col min="13572" max="13572" width="8.88671875" style="114" customWidth="1"/>
    <col min="13573" max="13573" width="8" style="114" customWidth="1"/>
    <col min="13574" max="13574" width="7.88671875" style="114" customWidth="1"/>
    <col min="13575" max="13575" width="7.33203125" style="114" customWidth="1"/>
    <col min="13576" max="13576" width="8.88671875" style="114" customWidth="1"/>
    <col min="13577" max="13577" width="9.21875" style="114" customWidth="1"/>
    <col min="13578" max="13578" width="6.6640625" style="114" customWidth="1"/>
    <col min="13579" max="13579" width="9.77734375" style="114" customWidth="1"/>
    <col min="13580" max="13580" width="8.6640625" style="114" customWidth="1"/>
    <col min="13581" max="13581" width="10.109375" style="114" customWidth="1"/>
    <col min="13582" max="13582" width="9.77734375" style="114" customWidth="1"/>
    <col min="13583" max="13583" width="4.44140625" style="114" customWidth="1"/>
    <col min="13584" max="13824" width="9" style="114"/>
    <col min="13825" max="13825" width="18.21875" style="114" customWidth="1"/>
    <col min="13826" max="13826" width="8.88671875" style="114" customWidth="1"/>
    <col min="13827" max="13827" width="8.44140625" style="114" customWidth="1"/>
    <col min="13828" max="13828" width="8.88671875" style="114" customWidth="1"/>
    <col min="13829" max="13829" width="8" style="114" customWidth="1"/>
    <col min="13830" max="13830" width="7.88671875" style="114" customWidth="1"/>
    <col min="13831" max="13831" width="7.33203125" style="114" customWidth="1"/>
    <col min="13832" max="13832" width="8.88671875" style="114" customWidth="1"/>
    <col min="13833" max="13833" width="9.21875" style="114" customWidth="1"/>
    <col min="13834" max="13834" width="6.6640625" style="114" customWidth="1"/>
    <col min="13835" max="13835" width="9.77734375" style="114" customWidth="1"/>
    <col min="13836" max="13836" width="8.6640625" style="114" customWidth="1"/>
    <col min="13837" max="13837" width="10.109375" style="114" customWidth="1"/>
    <col min="13838" max="13838" width="9.77734375" style="114" customWidth="1"/>
    <col min="13839" max="13839" width="4.44140625" style="114" customWidth="1"/>
    <col min="13840" max="14080" width="9" style="114"/>
    <col min="14081" max="14081" width="18.21875" style="114" customWidth="1"/>
    <col min="14082" max="14082" width="8.88671875" style="114" customWidth="1"/>
    <col min="14083" max="14083" width="8.44140625" style="114" customWidth="1"/>
    <col min="14084" max="14084" width="8.88671875" style="114" customWidth="1"/>
    <col min="14085" max="14085" width="8" style="114" customWidth="1"/>
    <col min="14086" max="14086" width="7.88671875" style="114" customWidth="1"/>
    <col min="14087" max="14087" width="7.33203125" style="114" customWidth="1"/>
    <col min="14088" max="14088" width="8.88671875" style="114" customWidth="1"/>
    <col min="14089" max="14089" width="9.21875" style="114" customWidth="1"/>
    <col min="14090" max="14090" width="6.6640625" style="114" customWidth="1"/>
    <col min="14091" max="14091" width="9.77734375" style="114" customWidth="1"/>
    <col min="14092" max="14092" width="8.6640625" style="114" customWidth="1"/>
    <col min="14093" max="14093" width="10.109375" style="114" customWidth="1"/>
    <col min="14094" max="14094" width="9.77734375" style="114" customWidth="1"/>
    <col min="14095" max="14095" width="4.44140625" style="114" customWidth="1"/>
    <col min="14096" max="14336" width="9" style="114"/>
    <col min="14337" max="14337" width="18.21875" style="114" customWidth="1"/>
    <col min="14338" max="14338" width="8.88671875" style="114" customWidth="1"/>
    <col min="14339" max="14339" width="8.44140625" style="114" customWidth="1"/>
    <col min="14340" max="14340" width="8.88671875" style="114" customWidth="1"/>
    <col min="14341" max="14341" width="8" style="114" customWidth="1"/>
    <col min="14342" max="14342" width="7.88671875" style="114" customWidth="1"/>
    <col min="14343" max="14343" width="7.33203125" style="114" customWidth="1"/>
    <col min="14344" max="14344" width="8.88671875" style="114" customWidth="1"/>
    <col min="14345" max="14345" width="9.21875" style="114" customWidth="1"/>
    <col min="14346" max="14346" width="6.6640625" style="114" customWidth="1"/>
    <col min="14347" max="14347" width="9.77734375" style="114" customWidth="1"/>
    <col min="14348" max="14348" width="8.6640625" style="114" customWidth="1"/>
    <col min="14349" max="14349" width="10.109375" style="114" customWidth="1"/>
    <col min="14350" max="14350" width="9.77734375" style="114" customWidth="1"/>
    <col min="14351" max="14351" width="4.44140625" style="114" customWidth="1"/>
    <col min="14352" max="14592" width="9" style="114"/>
    <col min="14593" max="14593" width="18.21875" style="114" customWidth="1"/>
    <col min="14594" max="14594" width="8.88671875" style="114" customWidth="1"/>
    <col min="14595" max="14595" width="8.44140625" style="114" customWidth="1"/>
    <col min="14596" max="14596" width="8.88671875" style="114" customWidth="1"/>
    <col min="14597" max="14597" width="8" style="114" customWidth="1"/>
    <col min="14598" max="14598" width="7.88671875" style="114" customWidth="1"/>
    <col min="14599" max="14599" width="7.33203125" style="114" customWidth="1"/>
    <col min="14600" max="14600" width="8.88671875" style="114" customWidth="1"/>
    <col min="14601" max="14601" width="9.21875" style="114" customWidth="1"/>
    <col min="14602" max="14602" width="6.6640625" style="114" customWidth="1"/>
    <col min="14603" max="14603" width="9.77734375" style="114" customWidth="1"/>
    <col min="14604" max="14604" width="8.6640625" style="114" customWidth="1"/>
    <col min="14605" max="14605" width="10.109375" style="114" customWidth="1"/>
    <col min="14606" max="14606" width="9.77734375" style="114" customWidth="1"/>
    <col min="14607" max="14607" width="4.44140625" style="114" customWidth="1"/>
    <col min="14608" max="14848" width="9" style="114"/>
    <col min="14849" max="14849" width="18.21875" style="114" customWidth="1"/>
    <col min="14850" max="14850" width="8.88671875" style="114" customWidth="1"/>
    <col min="14851" max="14851" width="8.44140625" style="114" customWidth="1"/>
    <col min="14852" max="14852" width="8.88671875" style="114" customWidth="1"/>
    <col min="14853" max="14853" width="8" style="114" customWidth="1"/>
    <col min="14854" max="14854" width="7.88671875" style="114" customWidth="1"/>
    <col min="14855" max="14855" width="7.33203125" style="114" customWidth="1"/>
    <col min="14856" max="14856" width="8.88671875" style="114" customWidth="1"/>
    <col min="14857" max="14857" width="9.21875" style="114" customWidth="1"/>
    <col min="14858" max="14858" width="6.6640625" style="114" customWidth="1"/>
    <col min="14859" max="14859" width="9.77734375" style="114" customWidth="1"/>
    <col min="14860" max="14860" width="8.6640625" style="114" customWidth="1"/>
    <col min="14861" max="14861" width="10.109375" style="114" customWidth="1"/>
    <col min="14862" max="14862" width="9.77734375" style="114" customWidth="1"/>
    <col min="14863" max="14863" width="4.44140625" style="114" customWidth="1"/>
    <col min="14864" max="15104" width="9" style="114"/>
    <col min="15105" max="15105" width="18.21875" style="114" customWidth="1"/>
    <col min="15106" max="15106" width="8.88671875" style="114" customWidth="1"/>
    <col min="15107" max="15107" width="8.44140625" style="114" customWidth="1"/>
    <col min="15108" max="15108" width="8.88671875" style="114" customWidth="1"/>
    <col min="15109" max="15109" width="8" style="114" customWidth="1"/>
    <col min="15110" max="15110" width="7.88671875" style="114" customWidth="1"/>
    <col min="15111" max="15111" width="7.33203125" style="114" customWidth="1"/>
    <col min="15112" max="15112" width="8.88671875" style="114" customWidth="1"/>
    <col min="15113" max="15113" width="9.21875" style="114" customWidth="1"/>
    <col min="15114" max="15114" width="6.6640625" style="114" customWidth="1"/>
    <col min="15115" max="15115" width="9.77734375" style="114" customWidth="1"/>
    <col min="15116" max="15116" width="8.6640625" style="114" customWidth="1"/>
    <col min="15117" max="15117" width="10.109375" style="114" customWidth="1"/>
    <col min="15118" max="15118" width="9.77734375" style="114" customWidth="1"/>
    <col min="15119" max="15119" width="4.44140625" style="114" customWidth="1"/>
    <col min="15120" max="15360" width="9" style="114"/>
    <col min="15361" max="15361" width="18.21875" style="114" customWidth="1"/>
    <col min="15362" max="15362" width="8.88671875" style="114" customWidth="1"/>
    <col min="15363" max="15363" width="8.44140625" style="114" customWidth="1"/>
    <col min="15364" max="15364" width="8.88671875" style="114" customWidth="1"/>
    <col min="15365" max="15365" width="8" style="114" customWidth="1"/>
    <col min="15366" max="15366" width="7.88671875" style="114" customWidth="1"/>
    <col min="15367" max="15367" width="7.33203125" style="114" customWidth="1"/>
    <col min="15368" max="15368" width="8.88671875" style="114" customWidth="1"/>
    <col min="15369" max="15369" width="9.21875" style="114" customWidth="1"/>
    <col min="15370" max="15370" width="6.6640625" style="114" customWidth="1"/>
    <col min="15371" max="15371" width="9.77734375" style="114" customWidth="1"/>
    <col min="15372" max="15372" width="8.6640625" style="114" customWidth="1"/>
    <col min="15373" max="15373" width="10.109375" style="114" customWidth="1"/>
    <col min="15374" max="15374" width="9.77734375" style="114" customWidth="1"/>
    <col min="15375" max="15375" width="4.44140625" style="114" customWidth="1"/>
    <col min="15376" max="15616" width="9" style="114"/>
    <col min="15617" max="15617" width="18.21875" style="114" customWidth="1"/>
    <col min="15618" max="15618" width="8.88671875" style="114" customWidth="1"/>
    <col min="15619" max="15619" width="8.44140625" style="114" customWidth="1"/>
    <col min="15620" max="15620" width="8.88671875" style="114" customWidth="1"/>
    <col min="15621" max="15621" width="8" style="114" customWidth="1"/>
    <col min="15622" max="15622" width="7.88671875" style="114" customWidth="1"/>
    <col min="15623" max="15623" width="7.33203125" style="114" customWidth="1"/>
    <col min="15624" max="15624" width="8.88671875" style="114" customWidth="1"/>
    <col min="15625" max="15625" width="9.21875" style="114" customWidth="1"/>
    <col min="15626" max="15626" width="6.6640625" style="114" customWidth="1"/>
    <col min="15627" max="15627" width="9.77734375" style="114" customWidth="1"/>
    <col min="15628" max="15628" width="8.6640625" style="114" customWidth="1"/>
    <col min="15629" max="15629" width="10.109375" style="114" customWidth="1"/>
    <col min="15630" max="15630" width="9.77734375" style="114" customWidth="1"/>
    <col min="15631" max="15631" width="4.44140625" style="114" customWidth="1"/>
    <col min="15632" max="15872" width="9" style="114"/>
    <col min="15873" max="15873" width="18.21875" style="114" customWidth="1"/>
    <col min="15874" max="15874" width="8.88671875" style="114" customWidth="1"/>
    <col min="15875" max="15875" width="8.44140625" style="114" customWidth="1"/>
    <col min="15876" max="15876" width="8.88671875" style="114" customWidth="1"/>
    <col min="15877" max="15877" width="8" style="114" customWidth="1"/>
    <col min="15878" max="15878" width="7.88671875" style="114" customWidth="1"/>
    <col min="15879" max="15879" width="7.33203125" style="114" customWidth="1"/>
    <col min="15880" max="15880" width="8.88671875" style="114" customWidth="1"/>
    <col min="15881" max="15881" width="9.21875" style="114" customWidth="1"/>
    <col min="15882" max="15882" width="6.6640625" style="114" customWidth="1"/>
    <col min="15883" max="15883" width="9.77734375" style="114" customWidth="1"/>
    <col min="15884" max="15884" width="8.6640625" style="114" customWidth="1"/>
    <col min="15885" max="15885" width="10.109375" style="114" customWidth="1"/>
    <col min="15886" max="15886" width="9.77734375" style="114" customWidth="1"/>
    <col min="15887" max="15887" width="4.44140625" style="114" customWidth="1"/>
    <col min="15888" max="16128" width="9" style="114"/>
    <col min="16129" max="16129" width="18.21875" style="114" customWidth="1"/>
    <col min="16130" max="16130" width="8.88671875" style="114" customWidth="1"/>
    <col min="16131" max="16131" width="8.44140625" style="114" customWidth="1"/>
    <col min="16132" max="16132" width="8.88671875" style="114" customWidth="1"/>
    <col min="16133" max="16133" width="8" style="114" customWidth="1"/>
    <col min="16134" max="16134" width="7.88671875" style="114" customWidth="1"/>
    <col min="16135" max="16135" width="7.33203125" style="114" customWidth="1"/>
    <col min="16136" max="16136" width="8.88671875" style="114" customWidth="1"/>
    <col min="16137" max="16137" width="9.21875" style="114" customWidth="1"/>
    <col min="16138" max="16138" width="6.6640625" style="114" customWidth="1"/>
    <col min="16139" max="16139" width="9.77734375" style="114" customWidth="1"/>
    <col min="16140" max="16140" width="8.6640625" style="114" customWidth="1"/>
    <col min="16141" max="16141" width="10.109375" style="114" customWidth="1"/>
    <col min="16142" max="16142" width="9.77734375" style="114" customWidth="1"/>
    <col min="16143" max="16143" width="4.44140625" style="114" customWidth="1"/>
    <col min="16144" max="16384" width="9" style="114"/>
  </cols>
  <sheetData>
    <row r="1" spans="1:15" s="110" customFormat="1" ht="19.95" customHeight="1">
      <c r="A1" s="508" t="s">
        <v>65</v>
      </c>
      <c r="B1" s="508"/>
      <c r="C1" s="508"/>
      <c r="D1" s="508"/>
      <c r="E1" s="508"/>
      <c r="F1" s="508"/>
      <c r="G1" s="508"/>
      <c r="H1" s="508"/>
      <c r="I1" s="508"/>
      <c r="J1" s="508"/>
      <c r="K1" s="508"/>
      <c r="L1" s="508"/>
      <c r="M1" s="508"/>
      <c r="N1" s="508"/>
      <c r="O1" s="508"/>
    </row>
    <row r="2" spans="1:15" s="110" customFormat="1" ht="19.95" customHeight="1">
      <c r="A2" s="509" t="s">
        <v>22</v>
      </c>
      <c r="B2" s="509"/>
      <c r="C2" s="509"/>
      <c r="D2" s="509"/>
      <c r="E2" s="509"/>
      <c r="F2" s="509"/>
      <c r="G2" s="509"/>
      <c r="H2" s="509"/>
      <c r="I2" s="509"/>
      <c r="J2" s="509"/>
      <c r="K2" s="509"/>
      <c r="L2" s="509"/>
      <c r="M2" s="509"/>
      <c r="N2" s="509"/>
      <c r="O2" s="509"/>
    </row>
    <row r="3" spans="1:15" s="389" customFormat="1" ht="20.100000000000001" customHeight="1">
      <c r="A3" s="389" t="str">
        <f>'商誉减值测试I3-6'!A3</f>
        <v>被审计单位：</v>
      </c>
      <c r="E3" s="389" t="str">
        <f>'商誉减值测试I3-6'!E3</f>
        <v>编制人：</v>
      </c>
      <c r="G3" s="390"/>
      <c r="J3" s="391" t="str">
        <f>'商誉减值测试I3-6'!H3</f>
        <v>编制日期：</v>
      </c>
      <c r="K3" s="391"/>
      <c r="N3" s="148" t="s">
        <v>258</v>
      </c>
      <c r="O3" s="441" t="s">
        <v>23</v>
      </c>
    </row>
    <row r="4" spans="1:15" s="389" customFormat="1" ht="20.100000000000001" customHeight="1">
      <c r="A4" s="389" t="str">
        <f>'商誉减值测试I3-6'!A4</f>
        <v>截止日：202X年12月31日</v>
      </c>
      <c r="E4" s="389" t="str">
        <f>底稿目录!A6</f>
        <v>复核人：</v>
      </c>
      <c r="G4" s="390"/>
      <c r="J4" s="391" t="str">
        <f>底稿目录!A7</f>
        <v>复核日期：</v>
      </c>
      <c r="K4" s="391"/>
      <c r="N4" s="393" t="s">
        <v>651</v>
      </c>
    </row>
    <row r="5" spans="1:15" s="111" customFormat="1" ht="20.100000000000001" customHeight="1">
      <c r="A5" s="119" t="s">
        <v>259</v>
      </c>
      <c r="G5" s="116"/>
    </row>
    <row r="6" spans="1:15" s="111" customFormat="1" ht="20.100000000000001" customHeight="1">
      <c r="A6" s="513" t="s">
        <v>192</v>
      </c>
      <c r="B6" s="129" t="s">
        <v>260</v>
      </c>
      <c r="C6" s="129"/>
      <c r="D6" s="129"/>
      <c r="E6" s="129"/>
      <c r="F6" s="129"/>
      <c r="G6" s="130"/>
      <c r="H6" s="129" t="s">
        <v>261</v>
      </c>
      <c r="I6" s="129"/>
      <c r="J6" s="129"/>
      <c r="K6" s="129"/>
      <c r="L6" s="129"/>
      <c r="M6" s="129"/>
      <c r="N6" s="514" t="s">
        <v>262</v>
      </c>
      <c r="O6" s="514" t="s">
        <v>198</v>
      </c>
    </row>
    <row r="7" spans="1:15" s="111" customFormat="1" ht="24">
      <c r="A7" s="513"/>
      <c r="B7" s="128" t="s">
        <v>263</v>
      </c>
      <c r="C7" s="128" t="s">
        <v>264</v>
      </c>
      <c r="D7" s="128" t="s">
        <v>265</v>
      </c>
      <c r="E7" s="128" t="s">
        <v>264</v>
      </c>
      <c r="F7" s="128" t="s">
        <v>266</v>
      </c>
      <c r="G7" s="128" t="s">
        <v>264</v>
      </c>
      <c r="H7" s="128" t="s">
        <v>267</v>
      </c>
      <c r="I7" s="128" t="s">
        <v>268</v>
      </c>
      <c r="J7" s="128" t="s">
        <v>269</v>
      </c>
      <c r="K7" s="128" t="s">
        <v>270</v>
      </c>
      <c r="L7" s="128" t="s">
        <v>271</v>
      </c>
      <c r="M7" s="128" t="s">
        <v>272</v>
      </c>
      <c r="N7" s="515"/>
      <c r="O7" s="515"/>
    </row>
    <row r="8" spans="1:15" s="111" customFormat="1" ht="20.100000000000001" customHeight="1">
      <c r="A8" s="131"/>
      <c r="B8" s="132"/>
      <c r="C8" s="133"/>
      <c r="D8" s="132"/>
      <c r="E8" s="133"/>
      <c r="F8" s="132"/>
      <c r="G8" s="133"/>
      <c r="H8" s="132"/>
      <c r="I8" s="132"/>
      <c r="J8" s="132"/>
      <c r="K8" s="132"/>
      <c r="L8" s="132"/>
      <c r="M8" s="357">
        <f>SUM(H8:L8)</f>
        <v>0</v>
      </c>
      <c r="N8" s="357">
        <f>IF(B8&gt;0,B8,IF(D8&gt;0,D8,F8))-M8</f>
        <v>0</v>
      </c>
      <c r="O8" s="131"/>
    </row>
    <row r="9" spans="1:15" s="111" customFormat="1" ht="20.100000000000001" customHeight="1">
      <c r="A9" s="131"/>
      <c r="B9" s="132"/>
      <c r="C9" s="133"/>
      <c r="D9" s="132"/>
      <c r="E9" s="133"/>
      <c r="F9" s="132"/>
      <c r="G9" s="133"/>
      <c r="H9" s="132"/>
      <c r="I9" s="132"/>
      <c r="J9" s="132"/>
      <c r="K9" s="132"/>
      <c r="L9" s="132"/>
      <c r="M9" s="357">
        <f>SUM(H9:L9)</f>
        <v>0</v>
      </c>
      <c r="N9" s="357">
        <f>IF(B9&gt;0,B9,IF(D9&gt;0,D9,F9))-M9</f>
        <v>0</v>
      </c>
      <c r="O9" s="131"/>
    </row>
    <row r="10" spans="1:15" s="111" customFormat="1" ht="20.100000000000001" customHeight="1">
      <c r="A10" s="131"/>
      <c r="B10" s="132"/>
      <c r="C10" s="133"/>
      <c r="D10" s="132"/>
      <c r="E10" s="133"/>
      <c r="F10" s="132"/>
      <c r="G10" s="133"/>
      <c r="H10" s="132"/>
      <c r="I10" s="132"/>
      <c r="J10" s="132"/>
      <c r="K10" s="132"/>
      <c r="L10" s="132"/>
      <c r="M10" s="357">
        <f>SUM(H10:L10)</f>
        <v>0</v>
      </c>
      <c r="N10" s="357">
        <f>IF(B10&gt;0,B10,IF(D10&gt;0,D10,F10))-M10</f>
        <v>0</v>
      </c>
      <c r="O10" s="131"/>
    </row>
    <row r="11" spans="1:15" s="356" customFormat="1" ht="20.100000000000001" customHeight="1">
      <c r="A11" s="352" t="s">
        <v>206</v>
      </c>
      <c r="B11" s="353">
        <f>SUM(B8:B10)</f>
        <v>0</v>
      </c>
      <c r="C11" s="354"/>
      <c r="D11" s="353">
        <f>SUM(D8:D10)</f>
        <v>0</v>
      </c>
      <c r="E11" s="354"/>
      <c r="F11" s="353">
        <f>SUM(F8:F10)</f>
        <v>0</v>
      </c>
      <c r="G11" s="354"/>
      <c r="H11" s="353">
        <f t="shared" ref="H11:N11" si="0">SUM(H8:H10)</f>
        <v>0</v>
      </c>
      <c r="I11" s="353">
        <f t="shared" si="0"/>
        <v>0</v>
      </c>
      <c r="J11" s="353">
        <f t="shared" si="0"/>
        <v>0</v>
      </c>
      <c r="K11" s="353">
        <f t="shared" si="0"/>
        <v>0</v>
      </c>
      <c r="L11" s="353">
        <f t="shared" si="0"/>
        <v>0</v>
      </c>
      <c r="M11" s="353">
        <f t="shared" si="0"/>
        <v>0</v>
      </c>
      <c r="N11" s="353">
        <f t="shared" si="0"/>
        <v>0</v>
      </c>
      <c r="O11" s="355"/>
    </row>
    <row r="12" spans="1:15" s="112" customFormat="1" ht="20.100000000000001" customHeight="1">
      <c r="A12" s="135" t="s">
        <v>223</v>
      </c>
      <c r="B12" s="136"/>
      <c r="C12" s="136"/>
      <c r="D12" s="136"/>
      <c r="E12" s="136"/>
      <c r="F12" s="136"/>
      <c r="G12" s="136"/>
      <c r="H12" s="136"/>
      <c r="I12" s="136"/>
      <c r="J12" s="136"/>
      <c r="K12" s="136"/>
      <c r="L12" s="136"/>
      <c r="M12" s="136"/>
      <c r="N12" s="136"/>
      <c r="O12" s="136"/>
    </row>
    <row r="13" spans="1:15" s="112" customFormat="1" ht="20.100000000000001" customHeight="1"/>
    <row r="14" spans="1:15" s="111" customFormat="1" ht="20.100000000000001" customHeight="1">
      <c r="A14" s="119" t="s">
        <v>273</v>
      </c>
      <c r="G14" s="116"/>
    </row>
    <row r="15" spans="1:15" s="111" customFormat="1" ht="20.100000000000001" customHeight="1">
      <c r="A15" s="119" t="s">
        <v>274</v>
      </c>
      <c r="B15" s="111">
        <f>A8</f>
        <v>0</v>
      </c>
      <c r="G15" s="116"/>
    </row>
    <row r="16" spans="1:15" s="111" customFormat="1" ht="20.100000000000001" customHeight="1">
      <c r="A16" s="514" t="s">
        <v>275</v>
      </c>
      <c r="B16" s="129" t="s">
        <v>276</v>
      </c>
      <c r="C16" s="129"/>
      <c r="D16" s="129"/>
      <c r="E16" s="129"/>
      <c r="F16" s="129"/>
      <c r="G16" s="129" t="s">
        <v>277</v>
      </c>
      <c r="H16" s="129"/>
      <c r="I16" s="528" t="s">
        <v>278</v>
      </c>
      <c r="J16" s="528" t="s">
        <v>279</v>
      </c>
      <c r="K16" s="528" t="s">
        <v>280</v>
      </c>
      <c r="L16" s="517" t="s">
        <v>281</v>
      </c>
      <c r="M16" s="518"/>
      <c r="N16" s="514" t="s">
        <v>282</v>
      </c>
      <c r="O16" s="514" t="s">
        <v>198</v>
      </c>
    </row>
    <row r="17" spans="1:16" s="111" customFormat="1" ht="20.100000000000001" customHeight="1">
      <c r="A17" s="515"/>
      <c r="B17" s="128" t="s">
        <v>283</v>
      </c>
      <c r="C17" s="128" t="s">
        <v>284</v>
      </c>
      <c r="D17" s="128" t="s">
        <v>285</v>
      </c>
      <c r="E17" s="128" t="s">
        <v>286</v>
      </c>
      <c r="F17" s="128" t="s">
        <v>287</v>
      </c>
      <c r="G17" s="128" t="s">
        <v>288</v>
      </c>
      <c r="H17" s="128" t="s">
        <v>289</v>
      </c>
      <c r="I17" s="529"/>
      <c r="J17" s="529"/>
      <c r="K17" s="529"/>
      <c r="L17" s="519"/>
      <c r="M17" s="520"/>
      <c r="N17" s="515"/>
      <c r="O17" s="515"/>
    </row>
    <row r="18" spans="1:16" s="111" customFormat="1" ht="20.100000000000001" customHeight="1">
      <c r="A18" s="131" t="s">
        <v>290</v>
      </c>
      <c r="B18" s="132"/>
      <c r="C18" s="132"/>
      <c r="D18" s="132"/>
      <c r="E18" s="132"/>
      <c r="F18" s="132"/>
      <c r="G18" s="359">
        <f>F18</f>
        <v>0</v>
      </c>
      <c r="H18" s="139"/>
      <c r="I18" s="139"/>
      <c r="J18" s="139"/>
      <c r="K18" s="139"/>
      <c r="L18" s="149"/>
      <c r="M18" s="150"/>
      <c r="N18" s="524"/>
      <c r="O18" s="521"/>
    </row>
    <row r="19" spans="1:16" s="111" customFormat="1" ht="20.100000000000001" customHeight="1">
      <c r="A19" s="131" t="s">
        <v>291</v>
      </c>
      <c r="B19" s="358">
        <f>1/(1+$K$23)^1</f>
        <v>0.85748782871687812</v>
      </c>
      <c r="C19" s="358">
        <f>1/(1+$K$23)^2</f>
        <v>0.73528537639758595</v>
      </c>
      <c r="D19" s="358">
        <f>1/(1+$K$23)^3</f>
        <v>0.63049826089443906</v>
      </c>
      <c r="E19" s="358">
        <f>1/(1+$K$23)^4</f>
        <v>0.54064458474414001</v>
      </c>
      <c r="F19" s="358">
        <f>1/(1+$K$23)^5</f>
        <v>0.46359615107979102</v>
      </c>
      <c r="G19" s="358">
        <f>(1+H18)/((J23-H18)*(1+K23)^5)</f>
        <v>3.2816850858234101</v>
      </c>
      <c r="H19" s="140" t="s">
        <v>292</v>
      </c>
      <c r="I19" s="132"/>
      <c r="J19" s="141"/>
      <c r="K19" s="151"/>
      <c r="L19" s="152"/>
      <c r="M19" s="153"/>
      <c r="N19" s="525"/>
      <c r="O19" s="522"/>
    </row>
    <row r="20" spans="1:16" s="111" customFormat="1" ht="20.100000000000001" customHeight="1">
      <c r="A20" s="131" t="s">
        <v>293</v>
      </c>
      <c r="B20" s="357">
        <f t="shared" ref="B20:G20" si="1">B18*B19</f>
        <v>0</v>
      </c>
      <c r="C20" s="357">
        <f t="shared" si="1"/>
        <v>0</v>
      </c>
      <c r="D20" s="357">
        <f t="shared" si="1"/>
        <v>0</v>
      </c>
      <c r="E20" s="357">
        <f t="shared" si="1"/>
        <v>0</v>
      </c>
      <c r="F20" s="357">
        <f t="shared" si="1"/>
        <v>0</v>
      </c>
      <c r="G20" s="357">
        <f t="shared" si="1"/>
        <v>0</v>
      </c>
      <c r="H20" s="140" t="s">
        <v>294</v>
      </c>
      <c r="I20" s="132"/>
      <c r="J20" s="141"/>
      <c r="K20" s="151"/>
      <c r="L20" s="152"/>
      <c r="M20" s="153"/>
      <c r="N20" s="360">
        <f>SUM(B20:G20)</f>
        <v>0</v>
      </c>
      <c r="O20" s="523"/>
    </row>
    <row r="21" spans="1:16" s="111" customFormat="1" ht="20.100000000000001" customHeight="1">
      <c r="A21" s="514" t="s">
        <v>295</v>
      </c>
      <c r="B21" s="137" t="s">
        <v>296</v>
      </c>
      <c r="C21" s="514" t="s">
        <v>297</v>
      </c>
      <c r="D21" s="514" t="s">
        <v>298</v>
      </c>
      <c r="E21" s="514" t="s">
        <v>299</v>
      </c>
      <c r="F21" s="514" t="s">
        <v>300</v>
      </c>
      <c r="G21" s="514" t="s">
        <v>301</v>
      </c>
      <c r="H21" s="514" t="s">
        <v>302</v>
      </c>
      <c r="I21" s="514" t="s">
        <v>303</v>
      </c>
      <c r="J21" s="514" t="s">
        <v>304</v>
      </c>
      <c r="K21" s="528" t="s">
        <v>305</v>
      </c>
      <c r="L21" s="532" t="s">
        <v>306</v>
      </c>
      <c r="M21" s="533"/>
      <c r="N21" s="516" t="s">
        <v>213</v>
      </c>
      <c r="O21" s="516" t="s">
        <v>198</v>
      </c>
    </row>
    <row r="22" spans="1:16" s="111" customFormat="1" ht="20.100000000000001" customHeight="1">
      <c r="A22" s="516"/>
      <c r="B22" s="128" t="s">
        <v>307</v>
      </c>
      <c r="C22" s="516"/>
      <c r="D22" s="516"/>
      <c r="E22" s="516"/>
      <c r="F22" s="516"/>
      <c r="G22" s="516"/>
      <c r="H22" s="516"/>
      <c r="I22" s="516"/>
      <c r="J22" s="516"/>
      <c r="K22" s="530"/>
      <c r="L22" s="128" t="s">
        <v>308</v>
      </c>
      <c r="M22" s="154" t="s">
        <v>309</v>
      </c>
      <c r="N22" s="516"/>
      <c r="O22" s="516"/>
    </row>
    <row r="23" spans="1:16" s="111" customFormat="1" ht="20.100000000000001" customHeight="1">
      <c r="A23" s="131" t="s">
        <v>310</v>
      </c>
      <c r="B23" s="363">
        <v>0.15</v>
      </c>
      <c r="C23" s="364">
        <v>300</v>
      </c>
      <c r="D23" s="364">
        <v>1100</v>
      </c>
      <c r="E23" s="365">
        <v>7.0000000000000007E-2</v>
      </c>
      <c r="F23" s="365">
        <v>3.7699999999999997E-2</v>
      </c>
      <c r="G23" s="366">
        <v>1.02</v>
      </c>
      <c r="H23" s="365">
        <v>0.16109999999999999</v>
      </c>
      <c r="I23" s="361">
        <f>F23+G23*(H23-F23)</f>
        <v>0.16356799999999999</v>
      </c>
      <c r="J23" s="361">
        <f>((C23*E23*(1-B23)+D23*I23))/(C23+D23)</f>
        <v>0.141267714285714</v>
      </c>
      <c r="K23" s="361">
        <f>J23/(1-(B23+L23))</f>
        <v>0.16619731092437001</v>
      </c>
      <c r="L23" s="141"/>
      <c r="M23" s="155"/>
      <c r="N23" s="353">
        <f>MAX(N11,N20)</f>
        <v>0</v>
      </c>
      <c r="O23" s="144"/>
    </row>
    <row r="24" spans="1:16" s="111" customFormat="1" ht="20.100000000000001" customHeight="1">
      <c r="A24" s="119" t="s">
        <v>311</v>
      </c>
      <c r="B24" s="111">
        <f>A9</f>
        <v>0</v>
      </c>
      <c r="G24" s="116"/>
    </row>
    <row r="25" spans="1:16" s="111" customFormat="1" ht="20.100000000000001" customHeight="1">
      <c r="A25" s="514" t="s">
        <v>275</v>
      </c>
      <c r="B25" s="129" t="s">
        <v>276</v>
      </c>
      <c r="C25" s="129"/>
      <c r="D25" s="129"/>
      <c r="E25" s="129"/>
      <c r="F25" s="129"/>
      <c r="G25" s="129" t="s">
        <v>277</v>
      </c>
      <c r="H25" s="129"/>
      <c r="I25" s="528" t="s">
        <v>278</v>
      </c>
      <c r="J25" s="528" t="s">
        <v>279</v>
      </c>
      <c r="K25" s="528" t="s">
        <v>280</v>
      </c>
      <c r="L25" s="517" t="s">
        <v>281</v>
      </c>
      <c r="M25" s="518"/>
      <c r="N25" s="514" t="s">
        <v>282</v>
      </c>
      <c r="O25" s="514" t="s">
        <v>198</v>
      </c>
      <c r="P25" s="156"/>
    </row>
    <row r="26" spans="1:16" s="111" customFormat="1" ht="20.100000000000001" customHeight="1">
      <c r="A26" s="515"/>
      <c r="B26" s="128" t="s">
        <v>283</v>
      </c>
      <c r="C26" s="128" t="s">
        <v>284</v>
      </c>
      <c r="D26" s="128" t="s">
        <v>285</v>
      </c>
      <c r="E26" s="128" t="s">
        <v>286</v>
      </c>
      <c r="F26" s="128" t="s">
        <v>287</v>
      </c>
      <c r="G26" s="128" t="s">
        <v>288</v>
      </c>
      <c r="H26" s="128" t="s">
        <v>289</v>
      </c>
      <c r="I26" s="529"/>
      <c r="J26" s="529"/>
      <c r="K26" s="529"/>
      <c r="L26" s="519"/>
      <c r="M26" s="520"/>
      <c r="N26" s="515"/>
      <c r="O26" s="515"/>
      <c r="P26" s="156"/>
    </row>
    <row r="27" spans="1:16" s="111" customFormat="1" ht="20.100000000000001" customHeight="1">
      <c r="A27" s="131" t="s">
        <v>290</v>
      </c>
      <c r="B27" s="132"/>
      <c r="C27" s="132"/>
      <c r="D27" s="132"/>
      <c r="E27" s="132"/>
      <c r="F27" s="132"/>
      <c r="G27" s="359">
        <f>F27</f>
        <v>0</v>
      </c>
      <c r="H27" s="139"/>
      <c r="I27" s="139"/>
      <c r="J27" s="139"/>
      <c r="K27" s="139"/>
      <c r="L27" s="149"/>
      <c r="M27" s="150"/>
      <c r="N27" s="524"/>
      <c r="O27" s="521"/>
    </row>
    <row r="28" spans="1:16" s="111" customFormat="1" ht="20.100000000000001" customHeight="1">
      <c r="A28" s="131" t="s">
        <v>291</v>
      </c>
      <c r="B28" s="358">
        <f>1/(1+$K$32)^1</f>
        <v>0.85748782871687801</v>
      </c>
      <c r="C28" s="358">
        <f t="shared" ref="C28:F28" si="2">1/(1+$K$32)^1</f>
        <v>0.85748782871687801</v>
      </c>
      <c r="D28" s="358">
        <f t="shared" si="2"/>
        <v>0.85748782871687801</v>
      </c>
      <c r="E28" s="358">
        <f t="shared" si="2"/>
        <v>0.85748782871687801</v>
      </c>
      <c r="F28" s="358">
        <f t="shared" si="2"/>
        <v>0.85748782871687801</v>
      </c>
      <c r="G28" s="358">
        <f>(1+H27)/((J32-H27)*(1+K32)^5)</f>
        <v>3.2816850858234101</v>
      </c>
      <c r="H28" s="140" t="s">
        <v>292</v>
      </c>
      <c r="I28" s="132"/>
      <c r="J28" s="141"/>
      <c r="K28" s="151"/>
      <c r="L28" s="152"/>
      <c r="M28" s="153"/>
      <c r="N28" s="525"/>
      <c r="O28" s="522"/>
    </row>
    <row r="29" spans="1:16" s="111" customFormat="1" ht="20.100000000000001" customHeight="1">
      <c r="A29" s="131" t="s">
        <v>293</v>
      </c>
      <c r="B29" s="357">
        <f t="shared" ref="B29:G29" si="3">B27*B28</f>
        <v>0</v>
      </c>
      <c r="C29" s="357">
        <f t="shared" si="3"/>
        <v>0</v>
      </c>
      <c r="D29" s="357">
        <f t="shared" si="3"/>
        <v>0</v>
      </c>
      <c r="E29" s="357">
        <f t="shared" si="3"/>
        <v>0</v>
      </c>
      <c r="F29" s="357">
        <f t="shared" si="3"/>
        <v>0</v>
      </c>
      <c r="G29" s="357">
        <f t="shared" si="3"/>
        <v>0</v>
      </c>
      <c r="H29" s="140" t="s">
        <v>294</v>
      </c>
      <c r="I29" s="132"/>
      <c r="J29" s="141"/>
      <c r="K29" s="151"/>
      <c r="L29" s="152"/>
      <c r="M29" s="153"/>
      <c r="N29" s="360">
        <f>SUM(B29:G29)</f>
        <v>0</v>
      </c>
      <c r="O29" s="523"/>
    </row>
    <row r="30" spans="1:16" s="111" customFormat="1" ht="20.100000000000001" customHeight="1">
      <c r="A30" s="514" t="s">
        <v>295</v>
      </c>
      <c r="B30" s="137" t="s">
        <v>296</v>
      </c>
      <c r="C30" s="514" t="s">
        <v>297</v>
      </c>
      <c r="D30" s="514" t="s">
        <v>298</v>
      </c>
      <c r="E30" s="514" t="s">
        <v>299</v>
      </c>
      <c r="F30" s="514" t="s">
        <v>300</v>
      </c>
      <c r="G30" s="514" t="s">
        <v>301</v>
      </c>
      <c r="H30" s="514" t="s">
        <v>302</v>
      </c>
      <c r="I30" s="514" t="s">
        <v>303</v>
      </c>
      <c r="J30" s="514" t="s">
        <v>304</v>
      </c>
      <c r="K30" s="528" t="s">
        <v>305</v>
      </c>
      <c r="L30" s="532" t="s">
        <v>306</v>
      </c>
      <c r="M30" s="533"/>
      <c r="N30" s="516" t="s">
        <v>213</v>
      </c>
      <c r="O30" s="516" t="s">
        <v>198</v>
      </c>
    </row>
    <row r="31" spans="1:16" s="111" customFormat="1" ht="20.100000000000001" customHeight="1">
      <c r="A31" s="516"/>
      <c r="B31" s="128" t="s">
        <v>307</v>
      </c>
      <c r="C31" s="516"/>
      <c r="D31" s="516"/>
      <c r="E31" s="516"/>
      <c r="F31" s="516"/>
      <c r="G31" s="516"/>
      <c r="H31" s="516"/>
      <c r="I31" s="516"/>
      <c r="J31" s="516"/>
      <c r="K31" s="530"/>
      <c r="L31" s="128" t="s">
        <v>308</v>
      </c>
      <c r="M31" s="154" t="s">
        <v>309</v>
      </c>
      <c r="N31" s="516"/>
      <c r="O31" s="516"/>
    </row>
    <row r="32" spans="1:16" s="111" customFormat="1" ht="20.100000000000001" customHeight="1">
      <c r="A32" s="131" t="s">
        <v>310</v>
      </c>
      <c r="B32" s="363">
        <v>0.15</v>
      </c>
      <c r="C32" s="364">
        <v>300</v>
      </c>
      <c r="D32" s="364">
        <v>1100</v>
      </c>
      <c r="E32" s="365">
        <v>7.0000000000000007E-2</v>
      </c>
      <c r="F32" s="365">
        <v>3.7699999999999997E-2</v>
      </c>
      <c r="G32" s="366">
        <v>1.02</v>
      </c>
      <c r="H32" s="365">
        <v>0.16109999999999999</v>
      </c>
      <c r="I32" s="361">
        <f>F32+G32*(H32-F32)</f>
        <v>0.16356799999999999</v>
      </c>
      <c r="J32" s="361">
        <f>((C32*E32*(1-B32)+D32*I32))/(C32+D32)</f>
        <v>0.141267714285714</v>
      </c>
      <c r="K32" s="361">
        <f>J32/(1-(B32+L32))</f>
        <v>0.16619731092437001</v>
      </c>
      <c r="L32" s="141"/>
      <c r="M32" s="155"/>
      <c r="N32" s="157">
        <f>MAX(N10,N29)</f>
        <v>0</v>
      </c>
      <c r="O32" s="144"/>
    </row>
    <row r="33" spans="1:15" s="111" customFormat="1" ht="20.100000000000001" customHeight="1">
      <c r="A33" s="119" t="s">
        <v>312</v>
      </c>
      <c r="B33" s="142">
        <f>M10</f>
        <v>0</v>
      </c>
      <c r="G33" s="116"/>
    </row>
    <row r="34" spans="1:15" s="111" customFormat="1" ht="20.100000000000001" customHeight="1">
      <c r="A34" s="514" t="s">
        <v>275</v>
      </c>
      <c r="B34" s="129" t="s">
        <v>276</v>
      </c>
      <c r="C34" s="129"/>
      <c r="D34" s="129"/>
      <c r="E34" s="129"/>
      <c r="F34" s="129"/>
      <c r="G34" s="129" t="s">
        <v>277</v>
      </c>
      <c r="H34" s="129"/>
      <c r="I34" s="528" t="s">
        <v>278</v>
      </c>
      <c r="J34" s="528" t="s">
        <v>279</v>
      </c>
      <c r="K34" s="528" t="s">
        <v>280</v>
      </c>
      <c r="L34" s="517" t="s">
        <v>281</v>
      </c>
      <c r="M34" s="518"/>
      <c r="N34" s="514" t="s">
        <v>282</v>
      </c>
      <c r="O34" s="514" t="s">
        <v>198</v>
      </c>
    </row>
    <row r="35" spans="1:15" s="111" customFormat="1" ht="20.100000000000001" customHeight="1">
      <c r="A35" s="515"/>
      <c r="B35" s="128" t="s">
        <v>283</v>
      </c>
      <c r="C35" s="128" t="s">
        <v>284</v>
      </c>
      <c r="D35" s="128" t="s">
        <v>285</v>
      </c>
      <c r="E35" s="128" t="s">
        <v>286</v>
      </c>
      <c r="F35" s="128" t="s">
        <v>287</v>
      </c>
      <c r="G35" s="128" t="s">
        <v>288</v>
      </c>
      <c r="H35" s="128" t="s">
        <v>289</v>
      </c>
      <c r="I35" s="529"/>
      <c r="J35" s="529"/>
      <c r="K35" s="529"/>
      <c r="L35" s="519"/>
      <c r="M35" s="520"/>
      <c r="N35" s="515"/>
      <c r="O35" s="515"/>
    </row>
    <row r="36" spans="1:15" s="111" customFormat="1" ht="20.100000000000001" customHeight="1">
      <c r="A36" s="131" t="s">
        <v>290</v>
      </c>
      <c r="B36" s="132"/>
      <c r="C36" s="132"/>
      <c r="D36" s="132"/>
      <c r="E36" s="132"/>
      <c r="F36" s="132"/>
      <c r="G36" s="362">
        <f>F36</f>
        <v>0</v>
      </c>
      <c r="H36" s="143"/>
      <c r="I36" s="143"/>
      <c r="J36" s="143"/>
      <c r="K36" s="143"/>
      <c r="L36" s="158"/>
      <c r="M36" s="159"/>
      <c r="N36" s="527"/>
      <c r="O36" s="526"/>
    </row>
    <row r="37" spans="1:15" s="111" customFormat="1" ht="20.100000000000001" customHeight="1">
      <c r="A37" s="131" t="s">
        <v>291</v>
      </c>
      <c r="B37" s="358">
        <f>1/(1+$K$41)^1</f>
        <v>0.85748782871687801</v>
      </c>
      <c r="C37" s="358">
        <f t="shared" ref="C37:F37" si="4">1/(1+$K$41)^1</f>
        <v>0.85748782871687801</v>
      </c>
      <c r="D37" s="358">
        <f t="shared" si="4"/>
        <v>0.85748782871687801</v>
      </c>
      <c r="E37" s="358">
        <f t="shared" si="4"/>
        <v>0.85748782871687801</v>
      </c>
      <c r="F37" s="358">
        <f t="shared" si="4"/>
        <v>0.85748782871687801</v>
      </c>
      <c r="G37" s="358">
        <f>(1+H36)/((J41-H36)*(1+K41)^5)</f>
        <v>3.2816850858234101</v>
      </c>
      <c r="H37" s="140" t="s">
        <v>292</v>
      </c>
      <c r="I37" s="132"/>
      <c r="J37" s="141"/>
      <c r="K37" s="159"/>
      <c r="L37" s="160"/>
      <c r="M37" s="159"/>
      <c r="N37" s="527"/>
      <c r="O37" s="526"/>
    </row>
    <row r="38" spans="1:15" s="111" customFormat="1" ht="20.100000000000001" customHeight="1">
      <c r="A38" s="131" t="s">
        <v>293</v>
      </c>
      <c r="B38" s="357">
        <f t="shared" ref="B38:G38" si="5">B36*B37</f>
        <v>0</v>
      </c>
      <c r="C38" s="357">
        <f t="shared" si="5"/>
        <v>0</v>
      </c>
      <c r="D38" s="357">
        <f t="shared" si="5"/>
        <v>0</v>
      </c>
      <c r="E38" s="357">
        <f t="shared" si="5"/>
        <v>0</v>
      </c>
      <c r="F38" s="357">
        <f t="shared" si="5"/>
        <v>0</v>
      </c>
      <c r="G38" s="357">
        <f t="shared" si="5"/>
        <v>0</v>
      </c>
      <c r="H38" s="140" t="s">
        <v>294</v>
      </c>
      <c r="I38" s="132"/>
      <c r="J38" s="141"/>
      <c r="K38" s="159"/>
      <c r="L38" s="160"/>
      <c r="M38" s="159"/>
      <c r="N38" s="353">
        <f>SUM(B38:G38)</f>
        <v>0</v>
      </c>
      <c r="O38" s="526"/>
    </row>
    <row r="39" spans="1:15" s="111" customFormat="1" ht="20.100000000000001" customHeight="1">
      <c r="A39" s="513" t="s">
        <v>295</v>
      </c>
      <c r="B39" s="128" t="s">
        <v>296</v>
      </c>
      <c r="C39" s="513" t="s">
        <v>297</v>
      </c>
      <c r="D39" s="513" t="s">
        <v>298</v>
      </c>
      <c r="E39" s="513" t="s">
        <v>299</v>
      </c>
      <c r="F39" s="513" t="s">
        <v>300</v>
      </c>
      <c r="G39" s="513" t="s">
        <v>301</v>
      </c>
      <c r="H39" s="513" t="s">
        <v>302</v>
      </c>
      <c r="I39" s="513" t="s">
        <v>303</v>
      </c>
      <c r="J39" s="513" t="s">
        <v>304</v>
      </c>
      <c r="K39" s="531" t="s">
        <v>305</v>
      </c>
      <c r="L39" s="534" t="s">
        <v>306</v>
      </c>
      <c r="M39" s="534"/>
      <c r="N39" s="513" t="s">
        <v>213</v>
      </c>
      <c r="O39" s="513" t="s">
        <v>198</v>
      </c>
    </row>
    <row r="40" spans="1:15" s="111" customFormat="1" ht="20.100000000000001" customHeight="1">
      <c r="A40" s="513"/>
      <c r="B40" s="128" t="s">
        <v>307</v>
      </c>
      <c r="C40" s="513"/>
      <c r="D40" s="513"/>
      <c r="E40" s="513"/>
      <c r="F40" s="513"/>
      <c r="G40" s="513"/>
      <c r="H40" s="513"/>
      <c r="I40" s="513"/>
      <c r="J40" s="513"/>
      <c r="K40" s="531"/>
      <c r="L40" s="128" t="s">
        <v>308</v>
      </c>
      <c r="M40" s="161" t="s">
        <v>309</v>
      </c>
      <c r="N40" s="513"/>
      <c r="O40" s="513"/>
    </row>
    <row r="41" spans="1:15" s="111" customFormat="1" ht="20.100000000000001" customHeight="1">
      <c r="A41" s="131" t="s">
        <v>310</v>
      </c>
      <c r="B41" s="367">
        <v>0.15</v>
      </c>
      <c r="C41" s="364">
        <v>300</v>
      </c>
      <c r="D41" s="364">
        <v>1100</v>
      </c>
      <c r="E41" s="365">
        <v>7.0000000000000007E-2</v>
      </c>
      <c r="F41" s="365">
        <v>3.7699999999999997E-2</v>
      </c>
      <c r="G41" s="366">
        <v>1.02</v>
      </c>
      <c r="H41" s="365">
        <v>0.16109999999999999</v>
      </c>
      <c r="I41" s="361">
        <f>F41+G41*(H41-F41)</f>
        <v>0.16356799999999999</v>
      </c>
      <c r="J41" s="361">
        <f>((C41*E41*(1-B41)+D41*I41))/(C41+D41)</f>
        <v>0.141267714285714</v>
      </c>
      <c r="K41" s="361">
        <f>J41/(1-(B41+L41))</f>
        <v>0.16619731092437001</v>
      </c>
      <c r="L41" s="141"/>
      <c r="M41" s="162"/>
      <c r="N41" s="353">
        <f>MAX(N10,N38)</f>
        <v>0</v>
      </c>
      <c r="O41" s="144"/>
    </row>
    <row r="42" spans="1:15" s="112" customFormat="1" ht="20.100000000000001" customHeight="1">
      <c r="A42" s="145" t="s">
        <v>232</v>
      </c>
    </row>
    <row r="43" spans="1:15" s="112" customFormat="1" ht="20.100000000000001" customHeight="1">
      <c r="C43" s="146"/>
    </row>
    <row r="44" spans="1:15" s="112" customFormat="1" ht="20.100000000000001" customHeight="1">
      <c r="C44" s="146"/>
    </row>
    <row r="45" spans="1:15" s="112" customFormat="1" ht="20.100000000000001" customHeight="1">
      <c r="C45" s="146"/>
    </row>
    <row r="46" spans="1:15" s="112" customFormat="1" ht="20.100000000000001" customHeight="1">
      <c r="A46" s="145" t="s">
        <v>234</v>
      </c>
      <c r="C46" s="146"/>
    </row>
    <row r="47" spans="1:15" s="112" customFormat="1" ht="20.100000000000001" customHeight="1"/>
    <row r="48" spans="1:15" s="112" customFormat="1" ht="20.100000000000001" customHeight="1"/>
    <row r="49" spans="1:1" s="112" customFormat="1" ht="20.100000000000001" customHeight="1"/>
    <row r="50" spans="1:1" s="112" customFormat="1" ht="16.5" customHeight="1"/>
    <row r="51" spans="1:1" s="112" customFormat="1" ht="16.5" customHeight="1">
      <c r="A51" s="147" t="s">
        <v>235</v>
      </c>
    </row>
    <row r="52" spans="1:1" s="112" customFormat="1" ht="16.5" customHeight="1">
      <c r="A52" s="125" t="s">
        <v>313</v>
      </c>
    </row>
    <row r="53" spans="1:1" s="112" customFormat="1" ht="16.5" customHeight="1">
      <c r="A53" s="125"/>
    </row>
    <row r="54" spans="1:1" s="112" customFormat="1" ht="16.5" customHeight="1">
      <c r="A54" s="125" t="s">
        <v>314</v>
      </c>
    </row>
    <row r="55" spans="1:1" s="112" customFormat="1" ht="16.5" customHeight="1">
      <c r="A55" s="125" t="s">
        <v>315</v>
      </c>
    </row>
    <row r="56" spans="1:1" s="112" customFormat="1" ht="16.5" customHeight="1">
      <c r="A56" s="125" t="s">
        <v>316</v>
      </c>
    </row>
    <row r="57" spans="1:1" s="112" customFormat="1" ht="16.5" customHeight="1">
      <c r="A57" s="125" t="s">
        <v>317</v>
      </c>
    </row>
    <row r="58" spans="1:1" s="112" customFormat="1" ht="16.5" customHeight="1">
      <c r="A58" s="125" t="s">
        <v>318</v>
      </c>
    </row>
    <row r="59" spans="1:1" s="112" customFormat="1" ht="16.5" customHeight="1"/>
    <row r="60" spans="1:1" s="112" customFormat="1" ht="16.5" customHeight="1">
      <c r="A60" s="125" t="s">
        <v>319</v>
      </c>
    </row>
    <row r="61" spans="1:1" s="113" customFormat="1" ht="16.5" customHeight="1">
      <c r="A61" s="125" t="s">
        <v>320</v>
      </c>
    </row>
    <row r="62" spans="1:1" s="113" customFormat="1" ht="16.5" customHeight="1">
      <c r="A62" s="125" t="s">
        <v>321</v>
      </c>
    </row>
    <row r="63" spans="1:1" s="113" customFormat="1" ht="16.5" customHeight="1">
      <c r="A63" s="125" t="s">
        <v>322</v>
      </c>
    </row>
    <row r="64" spans="1:1" s="112" customFormat="1" ht="16.5" customHeight="1">
      <c r="A64" s="125" t="s">
        <v>323</v>
      </c>
    </row>
    <row r="65" spans="1:5" s="112" customFormat="1" ht="16.5" customHeight="1">
      <c r="A65" s="125" t="s">
        <v>324</v>
      </c>
    </row>
    <row r="66" spans="1:5" s="112" customFormat="1" ht="16.5" customHeight="1">
      <c r="A66" s="125" t="s">
        <v>325</v>
      </c>
    </row>
    <row r="67" spans="1:5" s="112" customFormat="1" ht="14.25" customHeight="1">
      <c r="A67" s="125" t="s">
        <v>326</v>
      </c>
    </row>
    <row r="68" spans="1:5" s="112" customFormat="1" ht="14.25" customHeight="1">
      <c r="A68" s="163" t="s">
        <v>327</v>
      </c>
    </row>
    <row r="70" spans="1:5" s="112" customFormat="1" ht="15" customHeight="1">
      <c r="A70" s="125" t="s">
        <v>328</v>
      </c>
    </row>
    <row r="71" spans="1:5" s="112" customFormat="1" ht="15" customHeight="1">
      <c r="A71" s="125" t="s">
        <v>329</v>
      </c>
    </row>
    <row r="72" spans="1:5" s="112" customFormat="1" ht="13.8">
      <c r="A72" s="125" t="s">
        <v>330</v>
      </c>
    </row>
    <row r="73" spans="1:5" s="112" customFormat="1">
      <c r="E73" s="164"/>
    </row>
    <row r="74" spans="1:5" s="112" customFormat="1" ht="13.8"/>
    <row r="75" spans="1:5" s="112" customFormat="1" ht="13.8"/>
    <row r="76" spans="1:5" s="112" customFormat="1" ht="13.8">
      <c r="A76" s="112" t="s">
        <v>331</v>
      </c>
    </row>
    <row r="77" spans="1:5" s="113" customFormat="1">
      <c r="A77" s="112" t="s">
        <v>332</v>
      </c>
    </row>
    <row r="78" spans="1:5" s="113" customFormat="1">
      <c r="A78" s="119" t="s">
        <v>333</v>
      </c>
    </row>
    <row r="79" spans="1:5" s="113" customFormat="1">
      <c r="A79" s="111" t="s">
        <v>334</v>
      </c>
    </row>
    <row r="80" spans="1:5" s="113" customFormat="1">
      <c r="A80" s="111" t="s">
        <v>335</v>
      </c>
    </row>
    <row r="81" spans="1:1" s="113" customFormat="1">
      <c r="A81" s="111" t="s">
        <v>336</v>
      </c>
    </row>
    <row r="82" spans="1:1">
      <c r="A82" s="119" t="s">
        <v>337</v>
      </c>
    </row>
    <row r="83" spans="1:1">
      <c r="A83" s="111" t="s">
        <v>338</v>
      </c>
    </row>
    <row r="84" spans="1:1">
      <c r="A84" s="111" t="s">
        <v>339</v>
      </c>
    </row>
    <row r="85" spans="1:1">
      <c r="A85" s="119" t="s">
        <v>340</v>
      </c>
    </row>
    <row r="86" spans="1:1">
      <c r="A86" s="111" t="s">
        <v>341</v>
      </c>
    </row>
    <row r="87" spans="1:1">
      <c r="A87" s="111" t="s">
        <v>342</v>
      </c>
    </row>
    <row r="88" spans="1:1">
      <c r="A88" s="111" t="s">
        <v>343</v>
      </c>
    </row>
    <row r="89" spans="1:1">
      <c r="A89" s="119" t="s">
        <v>344</v>
      </c>
    </row>
    <row r="90" spans="1:1">
      <c r="A90" s="111" t="s">
        <v>345</v>
      </c>
    </row>
    <row r="91" spans="1:1">
      <c r="A91" s="119" t="s">
        <v>346</v>
      </c>
    </row>
    <row r="92" spans="1:1">
      <c r="A92" s="111" t="s">
        <v>347</v>
      </c>
    </row>
    <row r="93" spans="1:1">
      <c r="A93" s="111" t="s">
        <v>348</v>
      </c>
    </row>
    <row r="94" spans="1:1">
      <c r="A94" s="119" t="s">
        <v>301</v>
      </c>
    </row>
    <row r="95" spans="1:1">
      <c r="A95" s="111" t="s">
        <v>349</v>
      </c>
    </row>
    <row r="96" spans="1:1">
      <c r="A96" s="111" t="s">
        <v>350</v>
      </c>
    </row>
    <row r="97" spans="1:1">
      <c r="A97" s="111" t="s">
        <v>351</v>
      </c>
    </row>
    <row r="98" spans="1:1" s="113" customFormat="1">
      <c r="A98" s="112"/>
    </row>
    <row r="99" spans="1:1" s="113" customFormat="1">
      <c r="A99" s="125" t="s">
        <v>352</v>
      </c>
    </row>
    <row r="100" spans="1:1" s="113" customFormat="1">
      <c r="A100" s="112"/>
    </row>
  </sheetData>
  <mergeCells count="71">
    <mergeCell ref="A1:O1"/>
    <mergeCell ref="A2:O2"/>
    <mergeCell ref="L21:M21"/>
    <mergeCell ref="L30:M30"/>
    <mergeCell ref="L39:M39"/>
    <mergeCell ref="A6:A7"/>
    <mergeCell ref="A16:A17"/>
    <mergeCell ref="A21:A22"/>
    <mergeCell ref="A25:A26"/>
    <mergeCell ref="A30:A31"/>
    <mergeCell ref="A34:A35"/>
    <mergeCell ref="A39:A40"/>
    <mergeCell ref="C21:C22"/>
    <mergeCell ref="C30:C31"/>
    <mergeCell ref="C39:C40"/>
    <mergeCell ref="D21:D22"/>
    <mergeCell ref="D30:D31"/>
    <mergeCell ref="D39:D40"/>
    <mergeCell ref="E21:E22"/>
    <mergeCell ref="E30:E31"/>
    <mergeCell ref="E39:E40"/>
    <mergeCell ref="F21:F22"/>
    <mergeCell ref="F30:F31"/>
    <mergeCell ref="F39:F40"/>
    <mergeCell ref="G21:G22"/>
    <mergeCell ref="G30:G31"/>
    <mergeCell ref="G39:G40"/>
    <mergeCell ref="H21:H22"/>
    <mergeCell ref="H30:H31"/>
    <mergeCell ref="H39:H40"/>
    <mergeCell ref="I16:I17"/>
    <mergeCell ref="I21:I22"/>
    <mergeCell ref="I25:I26"/>
    <mergeCell ref="I30:I31"/>
    <mergeCell ref="I34:I35"/>
    <mergeCell ref="I39:I40"/>
    <mergeCell ref="J39:J40"/>
    <mergeCell ref="K16:K17"/>
    <mergeCell ref="K21:K22"/>
    <mergeCell ref="K25:K26"/>
    <mergeCell ref="K30:K31"/>
    <mergeCell ref="K34:K35"/>
    <mergeCell ref="K39:K40"/>
    <mergeCell ref="J16:J17"/>
    <mergeCell ref="J21:J22"/>
    <mergeCell ref="J25:J26"/>
    <mergeCell ref="J30:J31"/>
    <mergeCell ref="J34:J35"/>
    <mergeCell ref="N36:N37"/>
    <mergeCell ref="N39:N40"/>
    <mergeCell ref="N6:N7"/>
    <mergeCell ref="N16:N17"/>
    <mergeCell ref="N18:N19"/>
    <mergeCell ref="N21:N22"/>
    <mergeCell ref="N25:N26"/>
    <mergeCell ref="O36:O38"/>
    <mergeCell ref="O39:O40"/>
    <mergeCell ref="O6:O7"/>
    <mergeCell ref="O16:O17"/>
    <mergeCell ref="O18:O20"/>
    <mergeCell ref="O21:O22"/>
    <mergeCell ref="O25:O26"/>
    <mergeCell ref="L16:M17"/>
    <mergeCell ref="L25:M26"/>
    <mergeCell ref="L34:M35"/>
    <mergeCell ref="O27:O29"/>
    <mergeCell ref="O30:O31"/>
    <mergeCell ref="O34:O35"/>
    <mergeCell ref="N27:N28"/>
    <mergeCell ref="N30:N31"/>
    <mergeCell ref="N34:N35"/>
  </mergeCells>
  <phoneticPr fontId="36" type="noConversion"/>
  <dataValidations count="2">
    <dataValidation allowBlank="1" showInputMessage="1" showErrorMessage="1" prompt="可使用万德（Wind）的WACC计算器取数。" sqref="E23:F23 H23 E32:F32 H32 E41:F41 H41 E65577:F65577 H65577 JA65577:JB65577 JD65577 SW65577:SX65577 SZ65577 ACS65577:ACT65577 ACV65577 AMO65577:AMP65577 AMR65577 AWK65577:AWL65577 AWN65577 BGG65577:BGH65577 BGJ65577 BQC65577:BQD65577 BQF65577 BZY65577:BZZ65577 CAB65577 CJU65577:CJV65577 CJX65577 CTQ65577:CTR65577 CTT65577 DDM65577:DDN65577 DDP65577 DNI65577:DNJ65577 DNL65577 DXE65577:DXF65577 DXH65577 EHA65577:EHB65577 EHD65577 EQW65577:EQX65577 EQZ65577 FAS65577:FAT65577 FAV65577 FKO65577:FKP65577 FKR65577 FUK65577:FUL65577 FUN65577 GEG65577:GEH65577 GEJ65577 GOC65577:GOD65577 GOF65577 GXY65577:GXZ65577 GYB65577 HHU65577:HHV65577 HHX65577 HRQ65577:HRR65577 HRT65577 IBM65577:IBN65577 IBP65577 ILI65577:ILJ65577 ILL65577 IVE65577:IVF65577 IVH65577 JFA65577:JFB65577 JFD65577 JOW65577:JOX65577 JOZ65577 JYS65577:JYT65577 JYV65577 KIO65577:KIP65577 KIR65577 KSK65577:KSL65577 KSN65577 LCG65577:LCH65577 LCJ65577 LMC65577:LMD65577 LMF65577 LVY65577:LVZ65577 LWB65577 MFU65577:MFV65577 MFX65577 MPQ65577:MPR65577 MPT65577 MZM65577:MZN65577 MZP65577 NJI65577:NJJ65577 NJL65577 NTE65577:NTF65577 NTH65577 ODA65577:ODB65577 ODD65577 OMW65577:OMX65577 OMZ65577 OWS65577:OWT65577 OWV65577 PGO65577:PGP65577 PGR65577 PQK65577:PQL65577 PQN65577 QAG65577:QAH65577 QAJ65577 QKC65577:QKD65577 QKF65577 QTY65577:QTZ65577 QUB65577 RDU65577:RDV65577 RDX65577 RNQ65577:RNR65577 RNT65577 RXM65577:RXN65577 RXP65577 SHI65577:SHJ65577 SHL65577 SRE65577:SRF65577 SRH65577 TBA65577:TBB65577 TBD65577 TKW65577:TKX65577 TKZ65577 TUS65577:TUT65577 TUV65577 UEO65577:UEP65577 UER65577 UOK65577:UOL65577 UON65577 UYG65577:UYH65577 UYJ65577 VIC65577:VID65577 VIF65577 VRY65577:VRZ65577 VSB65577 WBU65577:WBV65577 WBX65577 WLQ65577:WLR65577 WLT65577 WVM65577:WVN65577 WVP65577 E131113:F131113 H131113 JA131113:JB131113 JD131113 SW131113:SX131113 SZ131113 ACS131113:ACT131113 ACV131113 AMO131113:AMP131113 AMR131113 AWK131113:AWL131113 AWN131113 BGG131113:BGH131113 BGJ131113 BQC131113:BQD131113 BQF131113 BZY131113:BZZ131113 CAB131113 CJU131113:CJV131113 CJX131113 CTQ131113:CTR131113 CTT131113 DDM131113:DDN131113 DDP131113 DNI131113:DNJ131113 DNL131113 DXE131113:DXF131113 DXH131113 EHA131113:EHB131113 EHD131113 EQW131113:EQX131113 EQZ131113 FAS131113:FAT131113 FAV131113 FKO131113:FKP131113 FKR131113 FUK131113:FUL131113 FUN131113 GEG131113:GEH131113 GEJ131113 GOC131113:GOD131113 GOF131113 GXY131113:GXZ131113 GYB131113 HHU131113:HHV131113 HHX131113 HRQ131113:HRR131113 HRT131113 IBM131113:IBN131113 IBP131113 ILI131113:ILJ131113 ILL131113 IVE131113:IVF131113 IVH131113 JFA131113:JFB131113 JFD131113 JOW131113:JOX131113 JOZ131113 JYS131113:JYT131113 JYV131113 KIO131113:KIP131113 KIR131113 KSK131113:KSL131113 KSN131113 LCG131113:LCH131113 LCJ131113 LMC131113:LMD131113 LMF131113 LVY131113:LVZ131113 LWB131113 MFU131113:MFV131113 MFX131113 MPQ131113:MPR131113 MPT131113 MZM131113:MZN131113 MZP131113 NJI131113:NJJ131113 NJL131113 NTE131113:NTF131113 NTH131113 ODA131113:ODB131113 ODD131113 OMW131113:OMX131113 OMZ131113 OWS131113:OWT131113 OWV131113 PGO131113:PGP131113 PGR131113 PQK131113:PQL131113 PQN131113 QAG131113:QAH131113 QAJ131113 QKC131113:QKD131113 QKF131113 QTY131113:QTZ131113 QUB131113 RDU131113:RDV131113 RDX131113 RNQ131113:RNR131113 RNT131113 RXM131113:RXN131113 RXP131113 SHI131113:SHJ131113 SHL131113 SRE131113:SRF131113 SRH131113 TBA131113:TBB131113 TBD131113 TKW131113:TKX131113 TKZ131113 TUS131113:TUT131113 TUV131113 UEO131113:UEP131113 UER131113 UOK131113:UOL131113 UON131113 UYG131113:UYH131113 UYJ131113 VIC131113:VID131113 VIF131113 VRY131113:VRZ131113 VSB131113 WBU131113:WBV131113 WBX131113 WLQ131113:WLR131113 WLT131113 WVM131113:WVN131113 WVP131113 E196649:F196649 H196649 JA196649:JB196649 JD196649 SW196649:SX196649 SZ196649 ACS196649:ACT196649 ACV196649 AMO196649:AMP196649 AMR196649 AWK196649:AWL196649 AWN196649 BGG196649:BGH196649 BGJ196649 BQC196649:BQD196649 BQF196649 BZY196649:BZZ196649 CAB196649 CJU196649:CJV196649 CJX196649 CTQ196649:CTR196649 CTT196649 DDM196649:DDN196649 DDP196649 DNI196649:DNJ196649 DNL196649 DXE196649:DXF196649 DXH196649 EHA196649:EHB196649 EHD196649 EQW196649:EQX196649 EQZ196649 FAS196649:FAT196649 FAV196649 FKO196649:FKP196649 FKR196649 FUK196649:FUL196649 FUN196649 GEG196649:GEH196649 GEJ196649 GOC196649:GOD196649 GOF196649 GXY196649:GXZ196649 GYB196649 HHU196649:HHV196649 HHX196649 HRQ196649:HRR196649 HRT196649 IBM196649:IBN196649 IBP196649 ILI196649:ILJ196649 ILL196649 IVE196649:IVF196649 IVH196649 JFA196649:JFB196649 JFD196649 JOW196649:JOX196649 JOZ196649 JYS196649:JYT196649 JYV196649 KIO196649:KIP196649 KIR196649 KSK196649:KSL196649 KSN196649 LCG196649:LCH196649 LCJ196649 LMC196649:LMD196649 LMF196649 LVY196649:LVZ196649 LWB196649 MFU196649:MFV196649 MFX196649 MPQ196649:MPR196649 MPT196649 MZM196649:MZN196649 MZP196649 NJI196649:NJJ196649 NJL196649 NTE196649:NTF196649 NTH196649 ODA196649:ODB196649 ODD196649 OMW196649:OMX196649 OMZ196649 OWS196649:OWT196649 OWV196649 PGO196649:PGP196649 PGR196649 PQK196649:PQL196649 PQN196649 QAG196649:QAH196649 QAJ196649 QKC196649:QKD196649 QKF196649 QTY196649:QTZ196649 QUB196649 RDU196649:RDV196649 RDX196649 RNQ196649:RNR196649 RNT196649 RXM196649:RXN196649 RXP196649 SHI196649:SHJ196649 SHL196649 SRE196649:SRF196649 SRH196649 TBA196649:TBB196649 TBD196649 TKW196649:TKX196649 TKZ196649 TUS196649:TUT196649 TUV196649 UEO196649:UEP196649 UER196649 UOK196649:UOL196649 UON196649 UYG196649:UYH196649 UYJ196649 VIC196649:VID196649 VIF196649 VRY196649:VRZ196649 VSB196649 WBU196649:WBV196649 WBX196649 WLQ196649:WLR196649 WLT196649 WVM196649:WVN196649 WVP196649 E262185:F262185 H262185 JA262185:JB262185 JD262185 SW262185:SX262185 SZ262185 ACS262185:ACT262185 ACV262185 AMO262185:AMP262185 AMR262185 AWK262185:AWL262185 AWN262185 BGG262185:BGH262185 BGJ262185 BQC262185:BQD262185 BQF262185 BZY262185:BZZ262185 CAB262185 CJU262185:CJV262185 CJX262185 CTQ262185:CTR262185 CTT262185 DDM262185:DDN262185 DDP262185 DNI262185:DNJ262185 DNL262185 DXE262185:DXF262185 DXH262185 EHA262185:EHB262185 EHD262185 EQW262185:EQX262185 EQZ262185 FAS262185:FAT262185 FAV262185 FKO262185:FKP262185 FKR262185 FUK262185:FUL262185 FUN262185 GEG262185:GEH262185 GEJ262185 GOC262185:GOD262185 GOF262185 GXY262185:GXZ262185 GYB262185 HHU262185:HHV262185 HHX262185 HRQ262185:HRR262185 HRT262185 IBM262185:IBN262185 IBP262185 ILI262185:ILJ262185 ILL262185 IVE262185:IVF262185 IVH262185 JFA262185:JFB262185 JFD262185 JOW262185:JOX262185 JOZ262185 JYS262185:JYT262185 JYV262185 KIO262185:KIP262185 KIR262185 KSK262185:KSL262185 KSN262185 LCG262185:LCH262185 LCJ262185 LMC262185:LMD262185 LMF262185 LVY262185:LVZ262185 LWB262185 MFU262185:MFV262185 MFX262185 MPQ262185:MPR262185 MPT262185 MZM262185:MZN262185 MZP262185 NJI262185:NJJ262185 NJL262185 NTE262185:NTF262185 NTH262185 ODA262185:ODB262185 ODD262185 OMW262185:OMX262185 OMZ262185 OWS262185:OWT262185 OWV262185 PGO262185:PGP262185 PGR262185 PQK262185:PQL262185 PQN262185 QAG262185:QAH262185 QAJ262185 QKC262185:QKD262185 QKF262185 QTY262185:QTZ262185 QUB262185 RDU262185:RDV262185 RDX262185 RNQ262185:RNR262185 RNT262185 RXM262185:RXN262185 RXP262185 SHI262185:SHJ262185 SHL262185 SRE262185:SRF262185 SRH262185 TBA262185:TBB262185 TBD262185 TKW262185:TKX262185 TKZ262185 TUS262185:TUT262185 TUV262185 UEO262185:UEP262185 UER262185 UOK262185:UOL262185 UON262185 UYG262185:UYH262185 UYJ262185 VIC262185:VID262185 VIF262185 VRY262185:VRZ262185 VSB262185 WBU262185:WBV262185 WBX262185 WLQ262185:WLR262185 WLT262185 WVM262185:WVN262185 WVP262185 E327721:F327721 H327721 JA327721:JB327721 JD327721 SW327721:SX327721 SZ327721 ACS327721:ACT327721 ACV327721 AMO327721:AMP327721 AMR327721 AWK327721:AWL327721 AWN327721 BGG327721:BGH327721 BGJ327721 BQC327721:BQD327721 BQF327721 BZY327721:BZZ327721 CAB327721 CJU327721:CJV327721 CJX327721 CTQ327721:CTR327721 CTT327721 DDM327721:DDN327721 DDP327721 DNI327721:DNJ327721 DNL327721 DXE327721:DXF327721 DXH327721 EHA327721:EHB327721 EHD327721 EQW327721:EQX327721 EQZ327721 FAS327721:FAT327721 FAV327721 FKO327721:FKP327721 FKR327721 FUK327721:FUL327721 FUN327721 GEG327721:GEH327721 GEJ327721 GOC327721:GOD327721 GOF327721 GXY327721:GXZ327721 GYB327721 HHU327721:HHV327721 HHX327721 HRQ327721:HRR327721 HRT327721 IBM327721:IBN327721 IBP327721 ILI327721:ILJ327721 ILL327721 IVE327721:IVF327721 IVH327721 JFA327721:JFB327721 JFD327721 JOW327721:JOX327721 JOZ327721 JYS327721:JYT327721 JYV327721 KIO327721:KIP327721 KIR327721 KSK327721:KSL327721 KSN327721 LCG327721:LCH327721 LCJ327721 LMC327721:LMD327721 LMF327721 LVY327721:LVZ327721 LWB327721 MFU327721:MFV327721 MFX327721 MPQ327721:MPR327721 MPT327721 MZM327721:MZN327721 MZP327721 NJI327721:NJJ327721 NJL327721 NTE327721:NTF327721 NTH327721 ODA327721:ODB327721 ODD327721 OMW327721:OMX327721 OMZ327721 OWS327721:OWT327721 OWV327721 PGO327721:PGP327721 PGR327721 PQK327721:PQL327721 PQN327721 QAG327721:QAH327721 QAJ327721 QKC327721:QKD327721 QKF327721 QTY327721:QTZ327721 QUB327721 RDU327721:RDV327721 RDX327721 RNQ327721:RNR327721 RNT327721 RXM327721:RXN327721 RXP327721 SHI327721:SHJ327721 SHL327721 SRE327721:SRF327721 SRH327721 TBA327721:TBB327721 TBD327721 TKW327721:TKX327721 TKZ327721 TUS327721:TUT327721 TUV327721 UEO327721:UEP327721 UER327721 UOK327721:UOL327721 UON327721 UYG327721:UYH327721 UYJ327721 VIC327721:VID327721 VIF327721 VRY327721:VRZ327721 VSB327721 WBU327721:WBV327721 WBX327721 WLQ327721:WLR327721 WLT327721 WVM327721:WVN327721 WVP327721 E393257:F393257 H393257 JA393257:JB393257 JD393257 SW393257:SX393257 SZ393257 ACS393257:ACT393257 ACV393257 AMO393257:AMP393257 AMR393257 AWK393257:AWL393257 AWN393257 BGG393257:BGH393257 BGJ393257 BQC393257:BQD393257 BQF393257 BZY393257:BZZ393257 CAB393257 CJU393257:CJV393257 CJX393257 CTQ393257:CTR393257 CTT393257 DDM393257:DDN393257 DDP393257 DNI393257:DNJ393257 DNL393257 DXE393257:DXF393257 DXH393257 EHA393257:EHB393257 EHD393257 EQW393257:EQX393257 EQZ393257 FAS393257:FAT393257 FAV393257 FKO393257:FKP393257 FKR393257 FUK393257:FUL393257 FUN393257 GEG393257:GEH393257 GEJ393257 GOC393257:GOD393257 GOF393257 GXY393257:GXZ393257 GYB393257 HHU393257:HHV393257 HHX393257 HRQ393257:HRR393257 HRT393257 IBM393257:IBN393257 IBP393257 ILI393257:ILJ393257 ILL393257 IVE393257:IVF393257 IVH393257 JFA393257:JFB393257 JFD393257 JOW393257:JOX393257 JOZ393257 JYS393257:JYT393257 JYV393257 KIO393257:KIP393257 KIR393257 KSK393257:KSL393257 KSN393257 LCG393257:LCH393257 LCJ393257 LMC393257:LMD393257 LMF393257 LVY393257:LVZ393257 LWB393257 MFU393257:MFV393257 MFX393257 MPQ393257:MPR393257 MPT393257 MZM393257:MZN393257 MZP393257 NJI393257:NJJ393257 NJL393257 NTE393257:NTF393257 NTH393257 ODA393257:ODB393257 ODD393257 OMW393257:OMX393257 OMZ393257 OWS393257:OWT393257 OWV393257 PGO393257:PGP393257 PGR393257 PQK393257:PQL393257 PQN393257 QAG393257:QAH393257 QAJ393257 QKC393257:QKD393257 QKF393257 QTY393257:QTZ393257 QUB393257 RDU393257:RDV393257 RDX393257 RNQ393257:RNR393257 RNT393257 RXM393257:RXN393257 RXP393257 SHI393257:SHJ393257 SHL393257 SRE393257:SRF393257 SRH393257 TBA393257:TBB393257 TBD393257 TKW393257:TKX393257 TKZ393257 TUS393257:TUT393257 TUV393257 UEO393257:UEP393257 UER393257 UOK393257:UOL393257 UON393257 UYG393257:UYH393257 UYJ393257 VIC393257:VID393257 VIF393257 VRY393257:VRZ393257 VSB393257 WBU393257:WBV393257 WBX393257 WLQ393257:WLR393257 WLT393257 WVM393257:WVN393257 WVP393257 E458793:F458793 H458793 JA458793:JB458793 JD458793 SW458793:SX458793 SZ458793 ACS458793:ACT458793 ACV458793 AMO458793:AMP458793 AMR458793 AWK458793:AWL458793 AWN458793 BGG458793:BGH458793 BGJ458793 BQC458793:BQD458793 BQF458793 BZY458793:BZZ458793 CAB458793 CJU458793:CJV458793 CJX458793 CTQ458793:CTR458793 CTT458793 DDM458793:DDN458793 DDP458793 DNI458793:DNJ458793 DNL458793 DXE458793:DXF458793 DXH458793 EHA458793:EHB458793 EHD458793 EQW458793:EQX458793 EQZ458793 FAS458793:FAT458793 FAV458793 FKO458793:FKP458793 FKR458793 FUK458793:FUL458793 FUN458793 GEG458793:GEH458793 GEJ458793 GOC458793:GOD458793 GOF458793 GXY458793:GXZ458793 GYB458793 HHU458793:HHV458793 HHX458793 HRQ458793:HRR458793 HRT458793 IBM458793:IBN458793 IBP458793 ILI458793:ILJ458793 ILL458793 IVE458793:IVF458793 IVH458793 JFA458793:JFB458793 JFD458793 JOW458793:JOX458793 JOZ458793 JYS458793:JYT458793 JYV458793 KIO458793:KIP458793 KIR458793 KSK458793:KSL458793 KSN458793 LCG458793:LCH458793 LCJ458793 LMC458793:LMD458793 LMF458793 LVY458793:LVZ458793 LWB458793 MFU458793:MFV458793 MFX458793 MPQ458793:MPR458793 MPT458793 MZM458793:MZN458793 MZP458793 NJI458793:NJJ458793 NJL458793 NTE458793:NTF458793 NTH458793 ODA458793:ODB458793 ODD458793 OMW458793:OMX458793 OMZ458793 OWS458793:OWT458793 OWV458793 PGO458793:PGP458793 PGR458793 PQK458793:PQL458793 PQN458793 QAG458793:QAH458793 QAJ458793 QKC458793:QKD458793 QKF458793 QTY458793:QTZ458793 QUB458793 RDU458793:RDV458793 RDX458793 RNQ458793:RNR458793 RNT458793 RXM458793:RXN458793 RXP458793 SHI458793:SHJ458793 SHL458793 SRE458793:SRF458793 SRH458793 TBA458793:TBB458793 TBD458793 TKW458793:TKX458793 TKZ458793 TUS458793:TUT458793 TUV458793 UEO458793:UEP458793 UER458793 UOK458793:UOL458793 UON458793 UYG458793:UYH458793 UYJ458793 VIC458793:VID458793 VIF458793 VRY458793:VRZ458793 VSB458793 WBU458793:WBV458793 WBX458793 WLQ458793:WLR458793 WLT458793 WVM458793:WVN458793 WVP458793 E524329:F524329 H524329 JA524329:JB524329 JD524329 SW524329:SX524329 SZ524329 ACS524329:ACT524329 ACV524329 AMO524329:AMP524329 AMR524329 AWK524329:AWL524329 AWN524329 BGG524329:BGH524329 BGJ524329 BQC524329:BQD524329 BQF524329 BZY524329:BZZ524329 CAB524329 CJU524329:CJV524329 CJX524329 CTQ524329:CTR524329 CTT524329 DDM524329:DDN524329 DDP524329 DNI524329:DNJ524329 DNL524329 DXE524329:DXF524329 DXH524329 EHA524329:EHB524329 EHD524329 EQW524329:EQX524329 EQZ524329 FAS524329:FAT524329 FAV524329 FKO524329:FKP524329 FKR524329 FUK524329:FUL524329 FUN524329 GEG524329:GEH524329 GEJ524329 GOC524329:GOD524329 GOF524329 GXY524329:GXZ524329 GYB524329 HHU524329:HHV524329 HHX524329 HRQ524329:HRR524329 HRT524329 IBM524329:IBN524329 IBP524329 ILI524329:ILJ524329 ILL524329 IVE524329:IVF524329 IVH524329 JFA524329:JFB524329 JFD524329 JOW524329:JOX524329 JOZ524329 JYS524329:JYT524329 JYV524329 KIO524329:KIP524329 KIR524329 KSK524329:KSL524329 KSN524329 LCG524329:LCH524329 LCJ524329 LMC524329:LMD524329 LMF524329 LVY524329:LVZ524329 LWB524329 MFU524329:MFV524329 MFX524329 MPQ524329:MPR524329 MPT524329 MZM524329:MZN524329 MZP524329 NJI524329:NJJ524329 NJL524329 NTE524329:NTF524329 NTH524329 ODA524329:ODB524329 ODD524329 OMW524329:OMX524329 OMZ524329 OWS524329:OWT524329 OWV524329 PGO524329:PGP524329 PGR524329 PQK524329:PQL524329 PQN524329 QAG524329:QAH524329 QAJ524329 QKC524329:QKD524329 QKF524329 QTY524329:QTZ524329 QUB524329 RDU524329:RDV524329 RDX524329 RNQ524329:RNR524329 RNT524329 RXM524329:RXN524329 RXP524329 SHI524329:SHJ524329 SHL524329 SRE524329:SRF524329 SRH524329 TBA524329:TBB524329 TBD524329 TKW524329:TKX524329 TKZ524329 TUS524329:TUT524329 TUV524329 UEO524329:UEP524329 UER524329 UOK524329:UOL524329 UON524329 UYG524329:UYH524329 UYJ524329 VIC524329:VID524329 VIF524329 VRY524329:VRZ524329 VSB524329 WBU524329:WBV524329 WBX524329 WLQ524329:WLR524329 WLT524329 WVM524329:WVN524329 WVP524329 E589865:F589865 H589865 JA589865:JB589865 JD589865 SW589865:SX589865 SZ589865 ACS589865:ACT589865 ACV589865 AMO589865:AMP589865 AMR589865 AWK589865:AWL589865 AWN589865 BGG589865:BGH589865 BGJ589865 BQC589865:BQD589865 BQF589865 BZY589865:BZZ589865 CAB589865 CJU589865:CJV589865 CJX589865 CTQ589865:CTR589865 CTT589865 DDM589865:DDN589865 DDP589865 DNI589865:DNJ589865 DNL589865 DXE589865:DXF589865 DXH589865 EHA589865:EHB589865 EHD589865 EQW589865:EQX589865 EQZ589865 FAS589865:FAT589865 FAV589865 FKO589865:FKP589865 FKR589865 FUK589865:FUL589865 FUN589865 GEG589865:GEH589865 GEJ589865 GOC589865:GOD589865 GOF589865 GXY589865:GXZ589865 GYB589865 HHU589865:HHV589865 HHX589865 HRQ589865:HRR589865 HRT589865 IBM589865:IBN589865 IBP589865 ILI589865:ILJ589865 ILL589865 IVE589865:IVF589865 IVH589865 JFA589865:JFB589865 JFD589865 JOW589865:JOX589865 JOZ589865 JYS589865:JYT589865 JYV589865 KIO589865:KIP589865 KIR589865 KSK589865:KSL589865 KSN589865 LCG589865:LCH589865 LCJ589865 LMC589865:LMD589865 LMF589865 LVY589865:LVZ589865 LWB589865 MFU589865:MFV589865 MFX589865 MPQ589865:MPR589865 MPT589865 MZM589865:MZN589865 MZP589865 NJI589865:NJJ589865 NJL589865 NTE589865:NTF589865 NTH589865 ODA589865:ODB589865 ODD589865 OMW589865:OMX589865 OMZ589865 OWS589865:OWT589865 OWV589865 PGO589865:PGP589865 PGR589865 PQK589865:PQL589865 PQN589865 QAG589865:QAH589865 QAJ589865 QKC589865:QKD589865 QKF589865 QTY589865:QTZ589865 QUB589865 RDU589865:RDV589865 RDX589865 RNQ589865:RNR589865 RNT589865 RXM589865:RXN589865 RXP589865 SHI589865:SHJ589865 SHL589865 SRE589865:SRF589865 SRH589865 TBA589865:TBB589865 TBD589865 TKW589865:TKX589865 TKZ589865 TUS589865:TUT589865 TUV589865 UEO589865:UEP589865 UER589865 UOK589865:UOL589865 UON589865 UYG589865:UYH589865 UYJ589865 VIC589865:VID589865 VIF589865 VRY589865:VRZ589865 VSB589865 WBU589865:WBV589865 WBX589865 WLQ589865:WLR589865 WLT589865 WVM589865:WVN589865 WVP589865 E655401:F655401 H655401 JA655401:JB655401 JD655401 SW655401:SX655401 SZ655401 ACS655401:ACT655401 ACV655401 AMO655401:AMP655401 AMR655401 AWK655401:AWL655401 AWN655401 BGG655401:BGH655401 BGJ655401 BQC655401:BQD655401 BQF655401 BZY655401:BZZ655401 CAB655401 CJU655401:CJV655401 CJX655401 CTQ655401:CTR655401 CTT655401 DDM655401:DDN655401 DDP655401 DNI655401:DNJ655401 DNL655401 DXE655401:DXF655401 DXH655401 EHA655401:EHB655401 EHD655401 EQW655401:EQX655401 EQZ655401 FAS655401:FAT655401 FAV655401 FKO655401:FKP655401 FKR655401 FUK655401:FUL655401 FUN655401 GEG655401:GEH655401 GEJ655401 GOC655401:GOD655401 GOF655401 GXY655401:GXZ655401 GYB655401 HHU655401:HHV655401 HHX655401 HRQ655401:HRR655401 HRT655401 IBM655401:IBN655401 IBP655401 ILI655401:ILJ655401 ILL655401 IVE655401:IVF655401 IVH655401 JFA655401:JFB655401 JFD655401 JOW655401:JOX655401 JOZ655401 JYS655401:JYT655401 JYV655401 KIO655401:KIP655401 KIR655401 KSK655401:KSL655401 KSN655401 LCG655401:LCH655401 LCJ655401 LMC655401:LMD655401 LMF655401 LVY655401:LVZ655401 LWB655401 MFU655401:MFV655401 MFX655401 MPQ655401:MPR655401 MPT655401 MZM655401:MZN655401 MZP655401 NJI655401:NJJ655401 NJL655401 NTE655401:NTF655401 NTH655401 ODA655401:ODB655401 ODD655401 OMW655401:OMX655401 OMZ655401 OWS655401:OWT655401 OWV655401 PGO655401:PGP655401 PGR655401 PQK655401:PQL655401 PQN655401 QAG655401:QAH655401 QAJ655401 QKC655401:QKD655401 QKF655401 QTY655401:QTZ655401 QUB655401 RDU655401:RDV655401 RDX655401 RNQ655401:RNR655401 RNT655401 RXM655401:RXN655401 RXP655401 SHI655401:SHJ655401 SHL655401 SRE655401:SRF655401 SRH655401 TBA655401:TBB655401 TBD655401 TKW655401:TKX655401 TKZ655401 TUS655401:TUT655401 TUV655401 UEO655401:UEP655401 UER655401 UOK655401:UOL655401 UON655401 UYG655401:UYH655401 UYJ655401 VIC655401:VID655401 VIF655401 VRY655401:VRZ655401 VSB655401 WBU655401:WBV655401 WBX655401 WLQ655401:WLR655401 WLT655401 WVM655401:WVN655401 WVP655401 E720937:F720937 H720937 JA720937:JB720937 JD720937 SW720937:SX720937 SZ720937 ACS720937:ACT720937 ACV720937 AMO720937:AMP720937 AMR720937 AWK720937:AWL720937 AWN720937 BGG720937:BGH720937 BGJ720937 BQC720937:BQD720937 BQF720937 BZY720937:BZZ720937 CAB720937 CJU720937:CJV720937 CJX720937 CTQ720937:CTR720937 CTT720937 DDM720937:DDN720937 DDP720937 DNI720937:DNJ720937 DNL720937 DXE720937:DXF720937 DXH720937 EHA720937:EHB720937 EHD720937 EQW720937:EQX720937 EQZ720937 FAS720937:FAT720937 FAV720937 FKO720937:FKP720937 FKR720937 FUK720937:FUL720937 FUN720937 GEG720937:GEH720937 GEJ720937 GOC720937:GOD720937 GOF720937 GXY720937:GXZ720937 GYB720937 HHU720937:HHV720937 HHX720937 HRQ720937:HRR720937 HRT720937 IBM720937:IBN720937 IBP720937 ILI720937:ILJ720937 ILL720937 IVE720937:IVF720937 IVH720937 JFA720937:JFB720937 JFD720937 JOW720937:JOX720937 JOZ720937 JYS720937:JYT720937 JYV720937 KIO720937:KIP720937 KIR720937 KSK720937:KSL720937 KSN720937 LCG720937:LCH720937 LCJ720937 LMC720937:LMD720937 LMF720937 LVY720937:LVZ720937 LWB720937 MFU720937:MFV720937 MFX720937 MPQ720937:MPR720937 MPT720937 MZM720937:MZN720937 MZP720937 NJI720937:NJJ720937 NJL720937 NTE720937:NTF720937 NTH720937 ODA720937:ODB720937 ODD720937 OMW720937:OMX720937 OMZ720937 OWS720937:OWT720937 OWV720937 PGO720937:PGP720937 PGR720937 PQK720937:PQL720937 PQN720937 QAG720937:QAH720937 QAJ720937 QKC720937:QKD720937 QKF720937 QTY720937:QTZ720937 QUB720937 RDU720937:RDV720937 RDX720937 RNQ720937:RNR720937 RNT720937 RXM720937:RXN720937 RXP720937 SHI720937:SHJ720937 SHL720937 SRE720937:SRF720937 SRH720937 TBA720937:TBB720937 TBD720937 TKW720937:TKX720937 TKZ720937 TUS720937:TUT720937 TUV720937 UEO720937:UEP720937 UER720937 UOK720937:UOL720937 UON720937 UYG720937:UYH720937 UYJ720937 VIC720937:VID720937 VIF720937 VRY720937:VRZ720937 VSB720937 WBU720937:WBV720937 WBX720937 WLQ720937:WLR720937 WLT720937 WVM720937:WVN720937 WVP720937 E786473:F786473 H786473 JA786473:JB786473 JD786473 SW786473:SX786473 SZ786473 ACS786473:ACT786473 ACV786473 AMO786473:AMP786473 AMR786473 AWK786473:AWL786473 AWN786473 BGG786473:BGH786473 BGJ786473 BQC786473:BQD786473 BQF786473 BZY786473:BZZ786473 CAB786473 CJU786473:CJV786473 CJX786473 CTQ786473:CTR786473 CTT786473 DDM786473:DDN786473 DDP786473 DNI786473:DNJ786473 DNL786473 DXE786473:DXF786473 DXH786473 EHA786473:EHB786473 EHD786473 EQW786473:EQX786473 EQZ786473 FAS786473:FAT786473 FAV786473 FKO786473:FKP786473 FKR786473 FUK786473:FUL786473 FUN786473 GEG786473:GEH786473 GEJ786473 GOC786473:GOD786473 GOF786473 GXY786473:GXZ786473 GYB786473 HHU786473:HHV786473 HHX786473 HRQ786473:HRR786473 HRT786473 IBM786473:IBN786473 IBP786473 ILI786473:ILJ786473 ILL786473 IVE786473:IVF786473 IVH786473 JFA786473:JFB786473 JFD786473 JOW786473:JOX786473 JOZ786473 JYS786473:JYT786473 JYV786473 KIO786473:KIP786473 KIR786473 KSK786473:KSL786473 KSN786473 LCG786473:LCH786473 LCJ786473 LMC786473:LMD786473 LMF786473 LVY786473:LVZ786473 LWB786473 MFU786473:MFV786473 MFX786473 MPQ786473:MPR786473 MPT786473 MZM786473:MZN786473 MZP786473 NJI786473:NJJ786473 NJL786473 NTE786473:NTF786473 NTH786473 ODA786473:ODB786473 ODD786473 OMW786473:OMX786473 OMZ786473 OWS786473:OWT786473 OWV786473 PGO786473:PGP786473 PGR786473 PQK786473:PQL786473 PQN786473 QAG786473:QAH786473 QAJ786473 QKC786473:QKD786473 QKF786473 QTY786473:QTZ786473 QUB786473 RDU786473:RDV786473 RDX786473 RNQ786473:RNR786473 RNT786473 RXM786473:RXN786473 RXP786473 SHI786473:SHJ786473 SHL786473 SRE786473:SRF786473 SRH786473 TBA786473:TBB786473 TBD786473 TKW786473:TKX786473 TKZ786473 TUS786473:TUT786473 TUV786473 UEO786473:UEP786473 UER786473 UOK786473:UOL786473 UON786473 UYG786473:UYH786473 UYJ786473 VIC786473:VID786473 VIF786473 VRY786473:VRZ786473 VSB786473 WBU786473:WBV786473 WBX786473 WLQ786473:WLR786473 WLT786473 WVM786473:WVN786473 WVP786473 E852009:F852009 H852009 JA852009:JB852009 JD852009 SW852009:SX852009 SZ852009 ACS852009:ACT852009 ACV852009 AMO852009:AMP852009 AMR852009 AWK852009:AWL852009 AWN852009 BGG852009:BGH852009 BGJ852009 BQC852009:BQD852009 BQF852009 BZY852009:BZZ852009 CAB852009 CJU852009:CJV852009 CJX852009 CTQ852009:CTR852009 CTT852009 DDM852009:DDN852009 DDP852009 DNI852009:DNJ852009 DNL852009 DXE852009:DXF852009 DXH852009 EHA852009:EHB852009 EHD852009 EQW852009:EQX852009 EQZ852009 FAS852009:FAT852009 FAV852009 FKO852009:FKP852009 FKR852009 FUK852009:FUL852009 FUN852009 GEG852009:GEH852009 GEJ852009 GOC852009:GOD852009 GOF852009 GXY852009:GXZ852009 GYB852009 HHU852009:HHV852009 HHX852009 HRQ852009:HRR852009 HRT852009 IBM852009:IBN852009 IBP852009 ILI852009:ILJ852009 ILL852009 IVE852009:IVF852009 IVH852009 JFA852009:JFB852009 JFD852009 JOW852009:JOX852009 JOZ852009 JYS852009:JYT852009 JYV852009 KIO852009:KIP852009 KIR852009 KSK852009:KSL852009 KSN852009 LCG852009:LCH852009 LCJ852009 LMC852009:LMD852009 LMF852009 LVY852009:LVZ852009 LWB852009 MFU852009:MFV852009 MFX852009 MPQ852009:MPR852009 MPT852009 MZM852009:MZN852009 MZP852009 NJI852009:NJJ852009 NJL852009 NTE852009:NTF852009 NTH852009 ODA852009:ODB852009 ODD852009 OMW852009:OMX852009 OMZ852009 OWS852009:OWT852009 OWV852009 PGO852009:PGP852009 PGR852009 PQK852009:PQL852009 PQN852009 QAG852009:QAH852009 QAJ852009 QKC852009:QKD852009 QKF852009 QTY852009:QTZ852009 QUB852009 RDU852009:RDV852009 RDX852009 RNQ852009:RNR852009 RNT852009 RXM852009:RXN852009 RXP852009 SHI852009:SHJ852009 SHL852009 SRE852009:SRF852009 SRH852009 TBA852009:TBB852009 TBD852009 TKW852009:TKX852009 TKZ852009 TUS852009:TUT852009 TUV852009 UEO852009:UEP852009 UER852009 UOK852009:UOL852009 UON852009 UYG852009:UYH852009 UYJ852009 VIC852009:VID852009 VIF852009 VRY852009:VRZ852009 VSB852009 WBU852009:WBV852009 WBX852009 WLQ852009:WLR852009 WLT852009 WVM852009:WVN852009 WVP852009 E917545:F917545 H917545 JA917545:JB917545 JD917545 SW917545:SX917545 SZ917545 ACS917545:ACT917545 ACV917545 AMO917545:AMP917545 AMR917545 AWK917545:AWL917545 AWN917545 BGG917545:BGH917545 BGJ917545 BQC917545:BQD917545 BQF917545 BZY917545:BZZ917545 CAB917545 CJU917545:CJV917545 CJX917545 CTQ917545:CTR917545 CTT917545 DDM917545:DDN917545 DDP917545 DNI917545:DNJ917545 DNL917545 DXE917545:DXF917545 DXH917545 EHA917545:EHB917545 EHD917545 EQW917545:EQX917545 EQZ917545 FAS917545:FAT917545 FAV917545 FKO917545:FKP917545 FKR917545 FUK917545:FUL917545 FUN917545 GEG917545:GEH917545 GEJ917545 GOC917545:GOD917545 GOF917545 GXY917545:GXZ917545 GYB917545 HHU917545:HHV917545 HHX917545 HRQ917545:HRR917545 HRT917545 IBM917545:IBN917545 IBP917545 ILI917545:ILJ917545 ILL917545 IVE917545:IVF917545 IVH917545 JFA917545:JFB917545 JFD917545 JOW917545:JOX917545 JOZ917545 JYS917545:JYT917545 JYV917545 KIO917545:KIP917545 KIR917545 KSK917545:KSL917545 KSN917545 LCG917545:LCH917545 LCJ917545 LMC917545:LMD917545 LMF917545 LVY917545:LVZ917545 LWB917545 MFU917545:MFV917545 MFX917545 MPQ917545:MPR917545 MPT917545 MZM917545:MZN917545 MZP917545 NJI917545:NJJ917545 NJL917545 NTE917545:NTF917545 NTH917545 ODA917545:ODB917545 ODD917545 OMW917545:OMX917545 OMZ917545 OWS917545:OWT917545 OWV917545 PGO917545:PGP917545 PGR917545 PQK917545:PQL917545 PQN917545 QAG917545:QAH917545 QAJ917545 QKC917545:QKD917545 QKF917545 QTY917545:QTZ917545 QUB917545 RDU917545:RDV917545 RDX917545 RNQ917545:RNR917545 RNT917545 RXM917545:RXN917545 RXP917545 SHI917545:SHJ917545 SHL917545 SRE917545:SRF917545 SRH917545 TBA917545:TBB917545 TBD917545 TKW917545:TKX917545 TKZ917545 TUS917545:TUT917545 TUV917545 UEO917545:UEP917545 UER917545 UOK917545:UOL917545 UON917545 UYG917545:UYH917545 UYJ917545 VIC917545:VID917545 VIF917545 VRY917545:VRZ917545 VSB917545 WBU917545:WBV917545 WBX917545 WLQ917545:WLR917545 WLT917545 WVM917545:WVN917545 WVP917545 E983081:F983081 H983081 JA983081:JB983081 JD983081 SW983081:SX983081 SZ983081 ACS983081:ACT983081 ACV983081 AMO983081:AMP983081 AMR983081 AWK983081:AWL983081 AWN983081 BGG983081:BGH983081 BGJ983081 BQC983081:BQD983081 BQF983081 BZY983081:BZZ983081 CAB983081 CJU983081:CJV983081 CJX983081 CTQ983081:CTR983081 CTT983081 DDM983081:DDN983081 DDP983081 DNI983081:DNJ983081 DNL983081 DXE983081:DXF983081 DXH983081 EHA983081:EHB983081 EHD983081 EQW983081:EQX983081 EQZ983081 FAS983081:FAT983081 FAV983081 FKO983081:FKP983081 FKR983081 FUK983081:FUL983081 FUN983081 GEG983081:GEH983081 GEJ983081 GOC983081:GOD983081 GOF983081 GXY983081:GXZ983081 GYB983081 HHU983081:HHV983081 HHX983081 HRQ983081:HRR983081 HRT983081 IBM983081:IBN983081 IBP983081 ILI983081:ILJ983081 ILL983081 IVE983081:IVF983081 IVH983081 JFA983081:JFB983081 JFD983081 JOW983081:JOX983081 JOZ983081 JYS983081:JYT983081 JYV983081 KIO983081:KIP983081 KIR983081 KSK983081:KSL983081 KSN983081 LCG983081:LCH983081 LCJ983081 LMC983081:LMD983081 LMF983081 LVY983081:LVZ983081 LWB983081 MFU983081:MFV983081 MFX983081 MPQ983081:MPR983081 MPT983081 MZM983081:MZN983081 MZP983081 NJI983081:NJJ983081 NJL983081 NTE983081:NTF983081 NTH983081 ODA983081:ODB983081 ODD983081 OMW983081:OMX983081 OMZ983081 OWS983081:OWT983081 OWV983081 PGO983081:PGP983081 PGR983081 PQK983081:PQL983081 PQN983081 QAG983081:QAH983081 QAJ983081 QKC983081:QKD983081 QKF983081 QTY983081:QTZ983081 QUB983081 RDU983081:RDV983081 RDX983081 RNQ983081:RNR983081 RNT983081 RXM983081:RXN983081 RXP983081 SHI983081:SHJ983081 SHL983081 SRE983081:SRF983081 SRH983081 TBA983081:TBB983081 TBD983081 TKW983081:TKX983081 TKZ983081 TUS983081:TUT983081 TUV983081 UEO983081:UEP983081 UER983081 UOK983081:UOL983081 UON983081 UYG983081:UYH983081 UYJ983081 VIC983081:VID983081 VIF983081 VRY983081:VRZ983081 VSB983081 WBU983081:WBV983081 WBX983081 WLQ983081:WLR983081 WLT983081 WVM983081:WVN983081 WVP983081 JD23:JD41 SZ23:SZ41 ACV23:ACV41 AMR23:AMR41 AWN23:AWN41 BGJ23:BGJ41 BQF23:BQF41 CAB23:CAB41 CJX23:CJX41 CTT23:CTT41 DDP23:DDP41 DNL23:DNL41 DXH23:DXH41 EHD23:EHD41 EQZ23:EQZ41 FAV23:FAV41 FKR23:FKR41 FUN23:FUN41 GEJ23:GEJ41 GOF23:GOF41 GYB23:GYB41 HHX23:HHX41 HRT23:HRT41 IBP23:IBP41 ILL23:ILL41 IVH23:IVH41 JFD23:JFD41 JOZ23:JOZ41 JYV23:JYV41 KIR23:KIR41 KSN23:KSN41 LCJ23:LCJ41 LMF23:LMF41 LWB23:LWB41 MFX23:MFX41 MPT23:MPT41 MZP23:MZP41 NJL23:NJL41 NTH23:NTH41 ODD23:ODD41 OMZ23:OMZ41 OWV23:OWV41 PGR23:PGR41 PQN23:PQN41 QAJ23:QAJ41 QKF23:QKF41 QUB23:QUB41 RDX23:RDX41 RNT23:RNT41 RXP23:RXP41 SHL23:SHL41 SRH23:SRH41 TBD23:TBD41 TKZ23:TKZ41 TUV23:TUV41 UER23:UER41 UON23:UON41 UYJ23:UYJ41 VIF23:VIF41 VSB23:VSB41 WBX23:WBX41 WLT23:WLT41 WVP23:WVP41 JA23:JB41 SW23:SX41 ACS23:ACT41 AMO23:AMP41 AWK23:AWL41 BGG23:BGH41 BQC23:BQD41 BZY23:BZZ41 CJU23:CJV41 CTQ23:CTR41 DDM23:DDN41 DNI23:DNJ41 DXE23:DXF41 EHA23:EHB41 EQW23:EQX41 FAS23:FAT41 FKO23:FKP41 FUK23:FUL41 GEG23:GEH41 GOC23:GOD41 GXY23:GXZ41 HHU23:HHV41 HRQ23:HRR41 IBM23:IBN41 ILI23:ILJ41 IVE23:IVF41 JFA23:JFB41 JOW23:JOX41 JYS23:JYT41 KIO23:KIP41 KSK23:KSL41 LCG23:LCH41 LMC23:LMD41 LVY23:LVZ41 MFU23:MFV41 MPQ23:MPR41 MZM23:MZN41 NJI23:NJJ41 NTE23:NTF41 ODA23:ODB41 OMW23:OMX41 OWS23:OWT41 PGO23:PGP41 PQK23:PQL41 QAG23:QAH41 QKC23:QKD41 QTY23:QTZ41 RDU23:RDV41 RNQ23:RNR41 RXM23:RXN41 SHI23:SHJ41 SRE23:SRF41 TBA23:TBB41 TKW23:TKX41 TUS23:TUT41 UEO23:UEP41 UOK23:UOL41 UYG23:UYH41 VIC23:VID41 VRY23:VRZ41 WBU23:WBV41 WLQ23:WLR41 WVM23:WVN41"/>
    <dataValidation allowBlank="1" showInputMessage="1" showErrorMessage="1" prompt="可使用万德（Wind）的BETA计算器计算β系数。" sqref="G23 G32 G41 G65577 JC65577 SY65577 ACU65577 AMQ65577 AWM65577 BGI65577 BQE65577 CAA65577 CJW65577 CTS65577 DDO65577 DNK65577 DXG65577 EHC65577 EQY65577 FAU65577 FKQ65577 FUM65577 GEI65577 GOE65577 GYA65577 HHW65577 HRS65577 IBO65577 ILK65577 IVG65577 JFC65577 JOY65577 JYU65577 KIQ65577 KSM65577 LCI65577 LME65577 LWA65577 MFW65577 MPS65577 MZO65577 NJK65577 NTG65577 ODC65577 OMY65577 OWU65577 PGQ65577 PQM65577 QAI65577 QKE65577 QUA65577 RDW65577 RNS65577 RXO65577 SHK65577 SRG65577 TBC65577 TKY65577 TUU65577 UEQ65577 UOM65577 UYI65577 VIE65577 VSA65577 WBW65577 WLS65577 WVO65577 G131113 JC131113 SY131113 ACU131113 AMQ131113 AWM131113 BGI131113 BQE131113 CAA131113 CJW131113 CTS131113 DDO131113 DNK131113 DXG131113 EHC131113 EQY131113 FAU131113 FKQ131113 FUM131113 GEI131113 GOE131113 GYA131113 HHW131113 HRS131113 IBO131113 ILK131113 IVG131113 JFC131113 JOY131113 JYU131113 KIQ131113 KSM131113 LCI131113 LME131113 LWA131113 MFW131113 MPS131113 MZO131113 NJK131113 NTG131113 ODC131113 OMY131113 OWU131113 PGQ131113 PQM131113 QAI131113 QKE131113 QUA131113 RDW131113 RNS131113 RXO131113 SHK131113 SRG131113 TBC131113 TKY131113 TUU131113 UEQ131113 UOM131113 UYI131113 VIE131113 VSA131113 WBW131113 WLS131113 WVO131113 G196649 JC196649 SY196649 ACU196649 AMQ196649 AWM196649 BGI196649 BQE196649 CAA196649 CJW196649 CTS196649 DDO196649 DNK196649 DXG196649 EHC196649 EQY196649 FAU196649 FKQ196649 FUM196649 GEI196649 GOE196649 GYA196649 HHW196649 HRS196649 IBO196649 ILK196649 IVG196649 JFC196649 JOY196649 JYU196649 KIQ196649 KSM196649 LCI196649 LME196649 LWA196649 MFW196649 MPS196649 MZO196649 NJK196649 NTG196649 ODC196649 OMY196649 OWU196649 PGQ196649 PQM196649 QAI196649 QKE196649 QUA196649 RDW196649 RNS196649 RXO196649 SHK196649 SRG196649 TBC196649 TKY196649 TUU196649 UEQ196649 UOM196649 UYI196649 VIE196649 VSA196649 WBW196649 WLS196649 WVO196649 G262185 JC262185 SY262185 ACU262185 AMQ262185 AWM262185 BGI262185 BQE262185 CAA262185 CJW262185 CTS262185 DDO262185 DNK262185 DXG262185 EHC262185 EQY262185 FAU262185 FKQ262185 FUM262185 GEI262185 GOE262185 GYA262185 HHW262185 HRS262185 IBO262185 ILK262185 IVG262185 JFC262185 JOY262185 JYU262185 KIQ262185 KSM262185 LCI262185 LME262185 LWA262185 MFW262185 MPS262185 MZO262185 NJK262185 NTG262185 ODC262185 OMY262185 OWU262185 PGQ262185 PQM262185 QAI262185 QKE262185 QUA262185 RDW262185 RNS262185 RXO262185 SHK262185 SRG262185 TBC262185 TKY262185 TUU262185 UEQ262185 UOM262185 UYI262185 VIE262185 VSA262185 WBW262185 WLS262185 WVO262185 G327721 JC327721 SY327721 ACU327721 AMQ327721 AWM327721 BGI327721 BQE327721 CAA327721 CJW327721 CTS327721 DDO327721 DNK327721 DXG327721 EHC327721 EQY327721 FAU327721 FKQ327721 FUM327721 GEI327721 GOE327721 GYA327721 HHW327721 HRS327721 IBO327721 ILK327721 IVG327721 JFC327721 JOY327721 JYU327721 KIQ327721 KSM327721 LCI327721 LME327721 LWA327721 MFW327721 MPS327721 MZO327721 NJK327721 NTG327721 ODC327721 OMY327721 OWU327721 PGQ327721 PQM327721 QAI327721 QKE327721 QUA327721 RDW327721 RNS327721 RXO327721 SHK327721 SRG327721 TBC327721 TKY327721 TUU327721 UEQ327721 UOM327721 UYI327721 VIE327721 VSA327721 WBW327721 WLS327721 WVO327721 G393257 JC393257 SY393257 ACU393257 AMQ393257 AWM393257 BGI393257 BQE393257 CAA393257 CJW393257 CTS393257 DDO393257 DNK393257 DXG393257 EHC393257 EQY393257 FAU393257 FKQ393257 FUM393257 GEI393257 GOE393257 GYA393257 HHW393257 HRS393257 IBO393257 ILK393257 IVG393257 JFC393257 JOY393257 JYU393257 KIQ393257 KSM393257 LCI393257 LME393257 LWA393257 MFW393257 MPS393257 MZO393257 NJK393257 NTG393257 ODC393257 OMY393257 OWU393257 PGQ393257 PQM393257 QAI393257 QKE393257 QUA393257 RDW393257 RNS393257 RXO393257 SHK393257 SRG393257 TBC393257 TKY393257 TUU393257 UEQ393257 UOM393257 UYI393257 VIE393257 VSA393257 WBW393257 WLS393257 WVO393257 G458793 JC458793 SY458793 ACU458793 AMQ458793 AWM458793 BGI458793 BQE458793 CAA458793 CJW458793 CTS458793 DDO458793 DNK458793 DXG458793 EHC458793 EQY458793 FAU458793 FKQ458793 FUM458793 GEI458793 GOE458793 GYA458793 HHW458793 HRS458793 IBO458793 ILK458793 IVG458793 JFC458793 JOY458793 JYU458793 KIQ458793 KSM458793 LCI458793 LME458793 LWA458793 MFW458793 MPS458793 MZO458793 NJK458793 NTG458793 ODC458793 OMY458793 OWU458793 PGQ458793 PQM458793 QAI458793 QKE458793 QUA458793 RDW458793 RNS458793 RXO458793 SHK458793 SRG458793 TBC458793 TKY458793 TUU458793 UEQ458793 UOM458793 UYI458793 VIE458793 VSA458793 WBW458793 WLS458793 WVO458793 G524329 JC524329 SY524329 ACU524329 AMQ524329 AWM524329 BGI524329 BQE524329 CAA524329 CJW524329 CTS524329 DDO524329 DNK524329 DXG524329 EHC524329 EQY524329 FAU524329 FKQ524329 FUM524329 GEI524329 GOE524329 GYA524329 HHW524329 HRS524329 IBO524329 ILK524329 IVG524329 JFC524329 JOY524329 JYU524329 KIQ524329 KSM524329 LCI524329 LME524329 LWA524329 MFW524329 MPS524329 MZO524329 NJK524329 NTG524329 ODC524329 OMY524329 OWU524329 PGQ524329 PQM524329 QAI524329 QKE524329 QUA524329 RDW524329 RNS524329 RXO524329 SHK524329 SRG524329 TBC524329 TKY524329 TUU524329 UEQ524329 UOM524329 UYI524329 VIE524329 VSA524329 WBW524329 WLS524329 WVO524329 G589865 JC589865 SY589865 ACU589865 AMQ589865 AWM589865 BGI589865 BQE589865 CAA589865 CJW589865 CTS589865 DDO589865 DNK589865 DXG589865 EHC589865 EQY589865 FAU589865 FKQ589865 FUM589865 GEI589865 GOE589865 GYA589865 HHW589865 HRS589865 IBO589865 ILK589865 IVG589865 JFC589865 JOY589865 JYU589865 KIQ589865 KSM589865 LCI589865 LME589865 LWA589865 MFW589865 MPS589865 MZO589865 NJK589865 NTG589865 ODC589865 OMY589865 OWU589865 PGQ589865 PQM589865 QAI589865 QKE589865 QUA589865 RDW589865 RNS589865 RXO589865 SHK589865 SRG589865 TBC589865 TKY589865 TUU589865 UEQ589865 UOM589865 UYI589865 VIE589865 VSA589865 WBW589865 WLS589865 WVO589865 G655401 JC655401 SY655401 ACU655401 AMQ655401 AWM655401 BGI655401 BQE655401 CAA655401 CJW655401 CTS655401 DDO655401 DNK655401 DXG655401 EHC655401 EQY655401 FAU655401 FKQ655401 FUM655401 GEI655401 GOE655401 GYA655401 HHW655401 HRS655401 IBO655401 ILK655401 IVG655401 JFC655401 JOY655401 JYU655401 KIQ655401 KSM655401 LCI655401 LME655401 LWA655401 MFW655401 MPS655401 MZO655401 NJK655401 NTG655401 ODC655401 OMY655401 OWU655401 PGQ655401 PQM655401 QAI655401 QKE655401 QUA655401 RDW655401 RNS655401 RXO655401 SHK655401 SRG655401 TBC655401 TKY655401 TUU655401 UEQ655401 UOM655401 UYI655401 VIE655401 VSA655401 WBW655401 WLS655401 WVO655401 G720937 JC720937 SY720937 ACU720937 AMQ720937 AWM720937 BGI720937 BQE720937 CAA720937 CJW720937 CTS720937 DDO720937 DNK720937 DXG720937 EHC720937 EQY720937 FAU720937 FKQ720937 FUM720937 GEI720937 GOE720937 GYA720937 HHW720937 HRS720937 IBO720937 ILK720937 IVG720937 JFC720937 JOY720937 JYU720937 KIQ720937 KSM720937 LCI720937 LME720937 LWA720937 MFW720937 MPS720937 MZO720937 NJK720937 NTG720937 ODC720937 OMY720937 OWU720937 PGQ720937 PQM720937 QAI720937 QKE720937 QUA720937 RDW720937 RNS720937 RXO720937 SHK720937 SRG720937 TBC720937 TKY720937 TUU720937 UEQ720937 UOM720937 UYI720937 VIE720937 VSA720937 WBW720937 WLS720937 WVO720937 G786473 JC786473 SY786473 ACU786473 AMQ786473 AWM786473 BGI786473 BQE786473 CAA786473 CJW786473 CTS786473 DDO786473 DNK786473 DXG786473 EHC786473 EQY786473 FAU786473 FKQ786473 FUM786473 GEI786473 GOE786473 GYA786473 HHW786473 HRS786473 IBO786473 ILK786473 IVG786473 JFC786473 JOY786473 JYU786473 KIQ786473 KSM786473 LCI786473 LME786473 LWA786473 MFW786473 MPS786473 MZO786473 NJK786473 NTG786473 ODC786473 OMY786473 OWU786473 PGQ786473 PQM786473 QAI786473 QKE786473 QUA786473 RDW786473 RNS786473 RXO786473 SHK786473 SRG786473 TBC786473 TKY786473 TUU786473 UEQ786473 UOM786473 UYI786473 VIE786473 VSA786473 WBW786473 WLS786473 WVO786473 G852009 JC852009 SY852009 ACU852009 AMQ852009 AWM852009 BGI852009 BQE852009 CAA852009 CJW852009 CTS852009 DDO852009 DNK852009 DXG852009 EHC852009 EQY852009 FAU852009 FKQ852009 FUM852009 GEI852009 GOE852009 GYA852009 HHW852009 HRS852009 IBO852009 ILK852009 IVG852009 JFC852009 JOY852009 JYU852009 KIQ852009 KSM852009 LCI852009 LME852009 LWA852009 MFW852009 MPS852009 MZO852009 NJK852009 NTG852009 ODC852009 OMY852009 OWU852009 PGQ852009 PQM852009 QAI852009 QKE852009 QUA852009 RDW852009 RNS852009 RXO852009 SHK852009 SRG852009 TBC852009 TKY852009 TUU852009 UEQ852009 UOM852009 UYI852009 VIE852009 VSA852009 WBW852009 WLS852009 WVO852009 G917545 JC917545 SY917545 ACU917545 AMQ917545 AWM917545 BGI917545 BQE917545 CAA917545 CJW917545 CTS917545 DDO917545 DNK917545 DXG917545 EHC917545 EQY917545 FAU917545 FKQ917545 FUM917545 GEI917545 GOE917545 GYA917545 HHW917545 HRS917545 IBO917545 ILK917545 IVG917545 JFC917545 JOY917545 JYU917545 KIQ917545 KSM917545 LCI917545 LME917545 LWA917545 MFW917545 MPS917545 MZO917545 NJK917545 NTG917545 ODC917545 OMY917545 OWU917545 PGQ917545 PQM917545 QAI917545 QKE917545 QUA917545 RDW917545 RNS917545 RXO917545 SHK917545 SRG917545 TBC917545 TKY917545 TUU917545 UEQ917545 UOM917545 UYI917545 VIE917545 VSA917545 WBW917545 WLS917545 WVO917545 G983081 JC983081 SY983081 ACU983081 AMQ983081 AWM983081 BGI983081 BQE983081 CAA983081 CJW983081 CTS983081 DDO983081 DNK983081 DXG983081 EHC983081 EQY983081 FAU983081 FKQ983081 FUM983081 GEI983081 GOE983081 GYA983081 HHW983081 HRS983081 IBO983081 ILK983081 IVG983081 JFC983081 JOY983081 JYU983081 KIQ983081 KSM983081 LCI983081 LME983081 LWA983081 MFW983081 MPS983081 MZO983081 NJK983081 NTG983081 ODC983081 OMY983081 OWU983081 PGQ983081 PQM983081 QAI983081 QKE983081 QUA983081 RDW983081 RNS983081 RXO983081 SHK983081 SRG983081 TBC983081 TKY983081 TUU983081 UEQ983081 UOM983081 UYI983081 VIE983081 VSA983081 WBW983081 WLS983081 WVO983081 JC23:JC41 SY23:SY41 ACU23:ACU41 AMQ23:AMQ41 AWM23:AWM41 BGI23:BGI41 BQE23:BQE41 CAA23:CAA41 CJW23:CJW41 CTS23:CTS41 DDO23:DDO41 DNK23:DNK41 DXG23:DXG41 EHC23:EHC41 EQY23:EQY41 FAU23:FAU41 FKQ23:FKQ41 FUM23:FUM41 GEI23:GEI41 GOE23:GOE41 GYA23:GYA41 HHW23:HHW41 HRS23:HRS41 IBO23:IBO41 ILK23:ILK41 IVG23:IVG41 JFC23:JFC41 JOY23:JOY41 JYU23:JYU41 KIQ23:KIQ41 KSM23:KSM41 LCI23:LCI41 LME23:LME41 LWA23:LWA41 MFW23:MFW41 MPS23:MPS41 MZO23:MZO41 NJK23:NJK41 NTG23:NTG41 ODC23:ODC41 OMY23:OMY41 OWU23:OWU41 PGQ23:PGQ41 PQM23:PQM41 QAI23:QAI41 QKE23:QKE41 QUA23:QUA41 RDW23:RDW41 RNS23:RNS41 RXO23:RXO41 SHK23:SHK41 SRG23:SRG41 TBC23:TBC41 TKY23:TKY41 TUU23:TUU41 UEQ23:UEQ41 UOM23:UOM41 UYI23:UYI41 VIE23:VIE41 VSA23:VSA41 WBW23:WBW41 WLS23:WLS41 WVO23:WVO41"/>
  </dataValidations>
  <hyperlinks>
    <hyperlink ref="O3" location="底稿目录!D12" display="I3-7"/>
  </hyperlinks>
  <printOptions horizontalCentered="1"/>
  <pageMargins left="0.43307086614173229" right="0.39370078740157483" top="0.39370078740157483" bottom="0.39370078740157483" header="0.31496062992125984" footer="0.31496062992125984"/>
  <pageSetup paperSize="9" scale="94" fitToHeight="2" orientation="landscape" blackAndWhite="1" r:id="rId1"/>
  <headerFooter alignWithMargins="0">
    <oddFooter>&amp;C&amp;P/&amp;N</oddFooter>
  </headerFooter>
  <rowBreaks count="1" manualBreakCount="1">
    <brk id="23" max="14" man="1"/>
  </rowBreaks>
  <drawing r:id="rId2"/>
  <legacyDrawing r:id="rId3"/>
  <oleObjects>
    <mc:AlternateContent xmlns:mc="http://schemas.openxmlformats.org/markup-compatibility/2006">
      <mc:Choice Requires="x14">
        <oleObject progId="Equation.3" shapeId="6145" r:id="rId4">
          <objectPr defaultSize="0" altText="" r:id="rId5">
            <anchor moveWithCells="1" sizeWithCells="1">
              <from>
                <xdr:col>0</xdr:col>
                <xdr:colOff>99060</xdr:colOff>
                <xdr:row>72</xdr:row>
                <xdr:rowOff>30480</xdr:rowOff>
              </from>
              <to>
                <xdr:col>3</xdr:col>
                <xdr:colOff>548640</xdr:colOff>
                <xdr:row>75</xdr:row>
                <xdr:rowOff>0</xdr:rowOff>
              </to>
            </anchor>
          </objectPr>
        </oleObject>
      </mc:Choice>
      <mc:Fallback>
        <oleObject progId="Equation.3" shapeId="6145" r:id="rId4"/>
      </mc:Fallback>
    </mc:AlternateContent>
    <mc:AlternateContent xmlns:mc="http://schemas.openxmlformats.org/markup-compatibility/2006">
      <mc:Choice Requires="x14">
        <oleObject progId="Equation.3" shapeId="6146" r:id="rId6">
          <objectPr defaultSize="0" altText="" r:id="rId7">
            <anchor moveWithCells="1" sizeWithCells="1">
              <from>
                <xdr:col>3</xdr:col>
                <xdr:colOff>662940</xdr:colOff>
                <xdr:row>72</xdr:row>
                <xdr:rowOff>144780</xdr:rowOff>
              </from>
              <to>
                <xdr:col>7</xdr:col>
                <xdr:colOff>205740</xdr:colOff>
                <xdr:row>74</xdr:row>
                <xdr:rowOff>76200</xdr:rowOff>
              </to>
            </anchor>
          </objectPr>
        </oleObject>
      </mc:Choice>
      <mc:Fallback>
        <oleObject progId="Equation.3" shapeId="6146" r:id="rId6"/>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L153"/>
  <sheetViews>
    <sheetView view="pageBreakPreview" zoomScaleNormal="115" workbookViewId="0">
      <selection sqref="A1:K1"/>
    </sheetView>
  </sheetViews>
  <sheetFormatPr defaultColWidth="9" defaultRowHeight="15.6"/>
  <cols>
    <col min="1" max="1" width="4.33203125" style="114" customWidth="1"/>
    <col min="2" max="2" width="7.88671875" style="114" customWidth="1"/>
    <col min="3" max="3" width="12" style="114" customWidth="1"/>
    <col min="4" max="4" width="7.6640625" style="114" customWidth="1"/>
    <col min="5" max="5" width="7.88671875" style="114" customWidth="1"/>
    <col min="6" max="6" width="9.109375" style="114" customWidth="1"/>
    <col min="7" max="7" width="3.109375" style="114" customWidth="1"/>
    <col min="8" max="8" width="5.6640625" style="114" customWidth="1"/>
    <col min="9" max="9" width="10.21875" style="114" customWidth="1"/>
    <col min="10" max="10" width="8.33203125" style="114" customWidth="1"/>
    <col min="11" max="11" width="8.44140625" style="114" customWidth="1"/>
    <col min="12" max="12" width="42.33203125" style="115" customWidth="1"/>
    <col min="13" max="256" width="9" style="114"/>
    <col min="257" max="257" width="17" style="114" customWidth="1"/>
    <col min="258" max="258" width="14.6640625" style="114" customWidth="1"/>
    <col min="259" max="259" width="13.88671875" style="114" customWidth="1"/>
    <col min="260" max="260" width="13.77734375" style="114" customWidth="1"/>
    <col min="261" max="261" width="12.33203125" style="114" customWidth="1"/>
    <col min="262" max="262" width="10.88671875" style="114" customWidth="1"/>
    <col min="263" max="263" width="11.44140625" style="114" customWidth="1"/>
    <col min="264" max="264" width="11.77734375" style="114" customWidth="1"/>
    <col min="265" max="265" width="11.33203125" style="114" customWidth="1"/>
    <col min="266" max="266" width="10.21875" style="114" customWidth="1"/>
    <col min="267" max="267" width="8.77734375" style="114" customWidth="1"/>
    <col min="268" max="512" width="9" style="114"/>
    <col min="513" max="513" width="17" style="114" customWidth="1"/>
    <col min="514" max="514" width="14.6640625" style="114" customWidth="1"/>
    <col min="515" max="515" width="13.88671875" style="114" customWidth="1"/>
    <col min="516" max="516" width="13.77734375" style="114" customWidth="1"/>
    <col min="517" max="517" width="12.33203125" style="114" customWidth="1"/>
    <col min="518" max="518" width="10.88671875" style="114" customWidth="1"/>
    <col min="519" max="519" width="11.44140625" style="114" customWidth="1"/>
    <col min="520" max="520" width="11.77734375" style="114" customWidth="1"/>
    <col min="521" max="521" width="11.33203125" style="114" customWidth="1"/>
    <col min="522" max="522" width="10.21875" style="114" customWidth="1"/>
    <col min="523" max="523" width="8.77734375" style="114" customWidth="1"/>
    <col min="524" max="768" width="9" style="114"/>
    <col min="769" max="769" width="17" style="114" customWidth="1"/>
    <col min="770" max="770" width="14.6640625" style="114" customWidth="1"/>
    <col min="771" max="771" width="13.88671875" style="114" customWidth="1"/>
    <col min="772" max="772" width="13.77734375" style="114" customWidth="1"/>
    <col min="773" max="773" width="12.33203125" style="114" customWidth="1"/>
    <col min="774" max="774" width="10.88671875" style="114" customWidth="1"/>
    <col min="775" max="775" width="11.44140625" style="114" customWidth="1"/>
    <col min="776" max="776" width="11.77734375" style="114" customWidth="1"/>
    <col min="777" max="777" width="11.33203125" style="114" customWidth="1"/>
    <col min="778" max="778" width="10.21875" style="114" customWidth="1"/>
    <col min="779" max="779" width="8.77734375" style="114" customWidth="1"/>
    <col min="780" max="1024" width="9" style="114"/>
    <col min="1025" max="1025" width="17" style="114" customWidth="1"/>
    <col min="1026" max="1026" width="14.6640625" style="114" customWidth="1"/>
    <col min="1027" max="1027" width="13.88671875" style="114" customWidth="1"/>
    <col min="1028" max="1028" width="13.77734375" style="114" customWidth="1"/>
    <col min="1029" max="1029" width="12.33203125" style="114" customWidth="1"/>
    <col min="1030" max="1030" width="10.88671875" style="114" customWidth="1"/>
    <col min="1031" max="1031" width="11.44140625" style="114" customWidth="1"/>
    <col min="1032" max="1032" width="11.77734375" style="114" customWidth="1"/>
    <col min="1033" max="1033" width="11.33203125" style="114" customWidth="1"/>
    <col min="1034" max="1034" width="10.21875" style="114" customWidth="1"/>
    <col min="1035" max="1035" width="8.77734375" style="114" customWidth="1"/>
    <col min="1036" max="1280" width="9" style="114"/>
    <col min="1281" max="1281" width="17" style="114" customWidth="1"/>
    <col min="1282" max="1282" width="14.6640625" style="114" customWidth="1"/>
    <col min="1283" max="1283" width="13.88671875" style="114" customWidth="1"/>
    <col min="1284" max="1284" width="13.77734375" style="114" customWidth="1"/>
    <col min="1285" max="1285" width="12.33203125" style="114" customWidth="1"/>
    <col min="1286" max="1286" width="10.88671875" style="114" customWidth="1"/>
    <col min="1287" max="1287" width="11.44140625" style="114" customWidth="1"/>
    <col min="1288" max="1288" width="11.77734375" style="114" customWidth="1"/>
    <col min="1289" max="1289" width="11.33203125" style="114" customWidth="1"/>
    <col min="1290" max="1290" width="10.21875" style="114" customWidth="1"/>
    <col min="1291" max="1291" width="8.77734375" style="114" customWidth="1"/>
    <col min="1292" max="1536" width="9" style="114"/>
    <col min="1537" max="1537" width="17" style="114" customWidth="1"/>
    <col min="1538" max="1538" width="14.6640625" style="114" customWidth="1"/>
    <col min="1539" max="1539" width="13.88671875" style="114" customWidth="1"/>
    <col min="1540" max="1540" width="13.77734375" style="114" customWidth="1"/>
    <col min="1541" max="1541" width="12.33203125" style="114" customWidth="1"/>
    <col min="1542" max="1542" width="10.88671875" style="114" customWidth="1"/>
    <col min="1543" max="1543" width="11.44140625" style="114" customWidth="1"/>
    <col min="1544" max="1544" width="11.77734375" style="114" customWidth="1"/>
    <col min="1545" max="1545" width="11.33203125" style="114" customWidth="1"/>
    <col min="1546" max="1546" width="10.21875" style="114" customWidth="1"/>
    <col min="1547" max="1547" width="8.77734375" style="114" customWidth="1"/>
    <col min="1548" max="1792" width="9" style="114"/>
    <col min="1793" max="1793" width="17" style="114" customWidth="1"/>
    <col min="1794" max="1794" width="14.6640625" style="114" customWidth="1"/>
    <col min="1795" max="1795" width="13.88671875" style="114" customWidth="1"/>
    <col min="1796" max="1796" width="13.77734375" style="114" customWidth="1"/>
    <col min="1797" max="1797" width="12.33203125" style="114" customWidth="1"/>
    <col min="1798" max="1798" width="10.88671875" style="114" customWidth="1"/>
    <col min="1799" max="1799" width="11.44140625" style="114" customWidth="1"/>
    <col min="1800" max="1800" width="11.77734375" style="114" customWidth="1"/>
    <col min="1801" max="1801" width="11.33203125" style="114" customWidth="1"/>
    <col min="1802" max="1802" width="10.21875" style="114" customWidth="1"/>
    <col min="1803" max="1803" width="8.77734375" style="114" customWidth="1"/>
    <col min="1804" max="2048" width="9" style="114"/>
    <col min="2049" max="2049" width="17" style="114" customWidth="1"/>
    <col min="2050" max="2050" width="14.6640625" style="114" customWidth="1"/>
    <col min="2051" max="2051" width="13.88671875" style="114" customWidth="1"/>
    <col min="2052" max="2052" width="13.77734375" style="114" customWidth="1"/>
    <col min="2053" max="2053" width="12.33203125" style="114" customWidth="1"/>
    <col min="2054" max="2054" width="10.88671875" style="114" customWidth="1"/>
    <col min="2055" max="2055" width="11.44140625" style="114" customWidth="1"/>
    <col min="2056" max="2056" width="11.77734375" style="114" customWidth="1"/>
    <col min="2057" max="2057" width="11.33203125" style="114" customWidth="1"/>
    <col min="2058" max="2058" width="10.21875" style="114" customWidth="1"/>
    <col min="2059" max="2059" width="8.77734375" style="114" customWidth="1"/>
    <col min="2060" max="2304" width="9" style="114"/>
    <col min="2305" max="2305" width="17" style="114" customWidth="1"/>
    <col min="2306" max="2306" width="14.6640625" style="114" customWidth="1"/>
    <col min="2307" max="2307" width="13.88671875" style="114" customWidth="1"/>
    <col min="2308" max="2308" width="13.77734375" style="114" customWidth="1"/>
    <col min="2309" max="2309" width="12.33203125" style="114" customWidth="1"/>
    <col min="2310" max="2310" width="10.88671875" style="114" customWidth="1"/>
    <col min="2311" max="2311" width="11.44140625" style="114" customWidth="1"/>
    <col min="2312" max="2312" width="11.77734375" style="114" customWidth="1"/>
    <col min="2313" max="2313" width="11.33203125" style="114" customWidth="1"/>
    <col min="2314" max="2314" width="10.21875" style="114" customWidth="1"/>
    <col min="2315" max="2315" width="8.77734375" style="114" customWidth="1"/>
    <col min="2316" max="2560" width="9" style="114"/>
    <col min="2561" max="2561" width="17" style="114" customWidth="1"/>
    <col min="2562" max="2562" width="14.6640625" style="114" customWidth="1"/>
    <col min="2563" max="2563" width="13.88671875" style="114" customWidth="1"/>
    <col min="2564" max="2564" width="13.77734375" style="114" customWidth="1"/>
    <col min="2565" max="2565" width="12.33203125" style="114" customWidth="1"/>
    <col min="2566" max="2566" width="10.88671875" style="114" customWidth="1"/>
    <col min="2567" max="2567" width="11.44140625" style="114" customWidth="1"/>
    <col min="2568" max="2568" width="11.77734375" style="114" customWidth="1"/>
    <col min="2569" max="2569" width="11.33203125" style="114" customWidth="1"/>
    <col min="2570" max="2570" width="10.21875" style="114" customWidth="1"/>
    <col min="2571" max="2571" width="8.77734375" style="114" customWidth="1"/>
    <col min="2572" max="2816" width="9" style="114"/>
    <col min="2817" max="2817" width="17" style="114" customWidth="1"/>
    <col min="2818" max="2818" width="14.6640625" style="114" customWidth="1"/>
    <col min="2819" max="2819" width="13.88671875" style="114" customWidth="1"/>
    <col min="2820" max="2820" width="13.77734375" style="114" customWidth="1"/>
    <col min="2821" max="2821" width="12.33203125" style="114" customWidth="1"/>
    <col min="2822" max="2822" width="10.88671875" style="114" customWidth="1"/>
    <col min="2823" max="2823" width="11.44140625" style="114" customWidth="1"/>
    <col min="2824" max="2824" width="11.77734375" style="114" customWidth="1"/>
    <col min="2825" max="2825" width="11.33203125" style="114" customWidth="1"/>
    <col min="2826" max="2826" width="10.21875" style="114" customWidth="1"/>
    <col min="2827" max="2827" width="8.77734375" style="114" customWidth="1"/>
    <col min="2828" max="3072" width="9" style="114"/>
    <col min="3073" max="3073" width="17" style="114" customWidth="1"/>
    <col min="3074" max="3074" width="14.6640625" style="114" customWidth="1"/>
    <col min="3075" max="3075" width="13.88671875" style="114" customWidth="1"/>
    <col min="3076" max="3076" width="13.77734375" style="114" customWidth="1"/>
    <col min="3077" max="3077" width="12.33203125" style="114" customWidth="1"/>
    <col min="3078" max="3078" width="10.88671875" style="114" customWidth="1"/>
    <col min="3079" max="3079" width="11.44140625" style="114" customWidth="1"/>
    <col min="3080" max="3080" width="11.77734375" style="114" customWidth="1"/>
    <col min="3081" max="3081" width="11.33203125" style="114" customWidth="1"/>
    <col min="3082" max="3082" width="10.21875" style="114" customWidth="1"/>
    <col min="3083" max="3083" width="8.77734375" style="114" customWidth="1"/>
    <col min="3084" max="3328" width="9" style="114"/>
    <col min="3329" max="3329" width="17" style="114" customWidth="1"/>
    <col min="3330" max="3330" width="14.6640625" style="114" customWidth="1"/>
    <col min="3331" max="3331" width="13.88671875" style="114" customWidth="1"/>
    <col min="3332" max="3332" width="13.77734375" style="114" customWidth="1"/>
    <col min="3333" max="3333" width="12.33203125" style="114" customWidth="1"/>
    <col min="3334" max="3334" width="10.88671875" style="114" customWidth="1"/>
    <col min="3335" max="3335" width="11.44140625" style="114" customWidth="1"/>
    <col min="3336" max="3336" width="11.77734375" style="114" customWidth="1"/>
    <col min="3337" max="3337" width="11.33203125" style="114" customWidth="1"/>
    <col min="3338" max="3338" width="10.21875" style="114" customWidth="1"/>
    <col min="3339" max="3339" width="8.77734375" style="114" customWidth="1"/>
    <col min="3340" max="3584" width="9" style="114"/>
    <col min="3585" max="3585" width="17" style="114" customWidth="1"/>
    <col min="3586" max="3586" width="14.6640625" style="114" customWidth="1"/>
    <col min="3587" max="3587" width="13.88671875" style="114" customWidth="1"/>
    <col min="3588" max="3588" width="13.77734375" style="114" customWidth="1"/>
    <col min="3589" max="3589" width="12.33203125" style="114" customWidth="1"/>
    <col min="3590" max="3590" width="10.88671875" style="114" customWidth="1"/>
    <col min="3591" max="3591" width="11.44140625" style="114" customWidth="1"/>
    <col min="3592" max="3592" width="11.77734375" style="114" customWidth="1"/>
    <col min="3593" max="3593" width="11.33203125" style="114" customWidth="1"/>
    <col min="3594" max="3594" width="10.21875" style="114" customWidth="1"/>
    <col min="3595" max="3595" width="8.77734375" style="114" customWidth="1"/>
    <col min="3596" max="3840" width="9" style="114"/>
    <col min="3841" max="3841" width="17" style="114" customWidth="1"/>
    <col min="3842" max="3842" width="14.6640625" style="114" customWidth="1"/>
    <col min="3843" max="3843" width="13.88671875" style="114" customWidth="1"/>
    <col min="3844" max="3844" width="13.77734375" style="114" customWidth="1"/>
    <col min="3845" max="3845" width="12.33203125" style="114" customWidth="1"/>
    <col min="3846" max="3846" width="10.88671875" style="114" customWidth="1"/>
    <col min="3847" max="3847" width="11.44140625" style="114" customWidth="1"/>
    <col min="3848" max="3848" width="11.77734375" style="114" customWidth="1"/>
    <col min="3849" max="3849" width="11.33203125" style="114" customWidth="1"/>
    <col min="3850" max="3850" width="10.21875" style="114" customWidth="1"/>
    <col min="3851" max="3851" width="8.77734375" style="114" customWidth="1"/>
    <col min="3852" max="4096" width="9" style="114"/>
    <col min="4097" max="4097" width="17" style="114" customWidth="1"/>
    <col min="4098" max="4098" width="14.6640625" style="114" customWidth="1"/>
    <col min="4099" max="4099" width="13.88671875" style="114" customWidth="1"/>
    <col min="4100" max="4100" width="13.77734375" style="114" customWidth="1"/>
    <col min="4101" max="4101" width="12.33203125" style="114" customWidth="1"/>
    <col min="4102" max="4102" width="10.88671875" style="114" customWidth="1"/>
    <col min="4103" max="4103" width="11.44140625" style="114" customWidth="1"/>
    <col min="4104" max="4104" width="11.77734375" style="114" customWidth="1"/>
    <col min="4105" max="4105" width="11.33203125" style="114" customWidth="1"/>
    <col min="4106" max="4106" width="10.21875" style="114" customWidth="1"/>
    <col min="4107" max="4107" width="8.77734375" style="114" customWidth="1"/>
    <col min="4108" max="4352" width="9" style="114"/>
    <col min="4353" max="4353" width="17" style="114" customWidth="1"/>
    <col min="4354" max="4354" width="14.6640625" style="114" customWidth="1"/>
    <col min="4355" max="4355" width="13.88671875" style="114" customWidth="1"/>
    <col min="4356" max="4356" width="13.77734375" style="114" customWidth="1"/>
    <col min="4357" max="4357" width="12.33203125" style="114" customWidth="1"/>
    <col min="4358" max="4358" width="10.88671875" style="114" customWidth="1"/>
    <col min="4359" max="4359" width="11.44140625" style="114" customWidth="1"/>
    <col min="4360" max="4360" width="11.77734375" style="114" customWidth="1"/>
    <col min="4361" max="4361" width="11.33203125" style="114" customWidth="1"/>
    <col min="4362" max="4362" width="10.21875" style="114" customWidth="1"/>
    <col min="4363" max="4363" width="8.77734375" style="114" customWidth="1"/>
    <col min="4364" max="4608" width="9" style="114"/>
    <col min="4609" max="4609" width="17" style="114" customWidth="1"/>
    <col min="4610" max="4610" width="14.6640625" style="114" customWidth="1"/>
    <col min="4611" max="4611" width="13.88671875" style="114" customWidth="1"/>
    <col min="4612" max="4612" width="13.77734375" style="114" customWidth="1"/>
    <col min="4613" max="4613" width="12.33203125" style="114" customWidth="1"/>
    <col min="4614" max="4614" width="10.88671875" style="114" customWidth="1"/>
    <col min="4615" max="4615" width="11.44140625" style="114" customWidth="1"/>
    <col min="4616" max="4616" width="11.77734375" style="114" customWidth="1"/>
    <col min="4617" max="4617" width="11.33203125" style="114" customWidth="1"/>
    <col min="4618" max="4618" width="10.21875" style="114" customWidth="1"/>
    <col min="4619" max="4619" width="8.77734375" style="114" customWidth="1"/>
    <col min="4620" max="4864" width="9" style="114"/>
    <col min="4865" max="4865" width="17" style="114" customWidth="1"/>
    <col min="4866" max="4866" width="14.6640625" style="114" customWidth="1"/>
    <col min="4867" max="4867" width="13.88671875" style="114" customWidth="1"/>
    <col min="4868" max="4868" width="13.77734375" style="114" customWidth="1"/>
    <col min="4869" max="4869" width="12.33203125" style="114" customWidth="1"/>
    <col min="4870" max="4870" width="10.88671875" style="114" customWidth="1"/>
    <col min="4871" max="4871" width="11.44140625" style="114" customWidth="1"/>
    <col min="4872" max="4872" width="11.77734375" style="114" customWidth="1"/>
    <col min="4873" max="4873" width="11.33203125" style="114" customWidth="1"/>
    <col min="4874" max="4874" width="10.21875" style="114" customWidth="1"/>
    <col min="4875" max="4875" width="8.77734375" style="114" customWidth="1"/>
    <col min="4876" max="5120" width="9" style="114"/>
    <col min="5121" max="5121" width="17" style="114" customWidth="1"/>
    <col min="5122" max="5122" width="14.6640625" style="114" customWidth="1"/>
    <col min="5123" max="5123" width="13.88671875" style="114" customWidth="1"/>
    <col min="5124" max="5124" width="13.77734375" style="114" customWidth="1"/>
    <col min="5125" max="5125" width="12.33203125" style="114" customWidth="1"/>
    <col min="5126" max="5126" width="10.88671875" style="114" customWidth="1"/>
    <col min="5127" max="5127" width="11.44140625" style="114" customWidth="1"/>
    <col min="5128" max="5128" width="11.77734375" style="114" customWidth="1"/>
    <col min="5129" max="5129" width="11.33203125" style="114" customWidth="1"/>
    <col min="5130" max="5130" width="10.21875" style="114" customWidth="1"/>
    <col min="5131" max="5131" width="8.77734375" style="114" customWidth="1"/>
    <col min="5132" max="5376" width="9" style="114"/>
    <col min="5377" max="5377" width="17" style="114" customWidth="1"/>
    <col min="5378" max="5378" width="14.6640625" style="114" customWidth="1"/>
    <col min="5379" max="5379" width="13.88671875" style="114" customWidth="1"/>
    <col min="5380" max="5380" width="13.77734375" style="114" customWidth="1"/>
    <col min="5381" max="5381" width="12.33203125" style="114" customWidth="1"/>
    <col min="5382" max="5382" width="10.88671875" style="114" customWidth="1"/>
    <col min="5383" max="5383" width="11.44140625" style="114" customWidth="1"/>
    <col min="5384" max="5384" width="11.77734375" style="114" customWidth="1"/>
    <col min="5385" max="5385" width="11.33203125" style="114" customWidth="1"/>
    <col min="5386" max="5386" width="10.21875" style="114" customWidth="1"/>
    <col min="5387" max="5387" width="8.77734375" style="114" customWidth="1"/>
    <col min="5388" max="5632" width="9" style="114"/>
    <col min="5633" max="5633" width="17" style="114" customWidth="1"/>
    <col min="5634" max="5634" width="14.6640625" style="114" customWidth="1"/>
    <col min="5635" max="5635" width="13.88671875" style="114" customWidth="1"/>
    <col min="5636" max="5636" width="13.77734375" style="114" customWidth="1"/>
    <col min="5637" max="5637" width="12.33203125" style="114" customWidth="1"/>
    <col min="5638" max="5638" width="10.88671875" style="114" customWidth="1"/>
    <col min="5639" max="5639" width="11.44140625" style="114" customWidth="1"/>
    <col min="5640" max="5640" width="11.77734375" style="114" customWidth="1"/>
    <col min="5641" max="5641" width="11.33203125" style="114" customWidth="1"/>
    <col min="5642" max="5642" width="10.21875" style="114" customWidth="1"/>
    <col min="5643" max="5643" width="8.77734375" style="114" customWidth="1"/>
    <col min="5644" max="5888" width="9" style="114"/>
    <col min="5889" max="5889" width="17" style="114" customWidth="1"/>
    <col min="5890" max="5890" width="14.6640625" style="114" customWidth="1"/>
    <col min="5891" max="5891" width="13.88671875" style="114" customWidth="1"/>
    <col min="5892" max="5892" width="13.77734375" style="114" customWidth="1"/>
    <col min="5893" max="5893" width="12.33203125" style="114" customWidth="1"/>
    <col min="5894" max="5894" width="10.88671875" style="114" customWidth="1"/>
    <col min="5895" max="5895" width="11.44140625" style="114" customWidth="1"/>
    <col min="5896" max="5896" width="11.77734375" style="114" customWidth="1"/>
    <col min="5897" max="5897" width="11.33203125" style="114" customWidth="1"/>
    <col min="5898" max="5898" width="10.21875" style="114" customWidth="1"/>
    <col min="5899" max="5899" width="8.77734375" style="114" customWidth="1"/>
    <col min="5900" max="6144" width="9" style="114"/>
    <col min="6145" max="6145" width="17" style="114" customWidth="1"/>
    <col min="6146" max="6146" width="14.6640625" style="114" customWidth="1"/>
    <col min="6147" max="6147" width="13.88671875" style="114" customWidth="1"/>
    <col min="6148" max="6148" width="13.77734375" style="114" customWidth="1"/>
    <col min="6149" max="6149" width="12.33203125" style="114" customWidth="1"/>
    <col min="6150" max="6150" width="10.88671875" style="114" customWidth="1"/>
    <col min="6151" max="6151" width="11.44140625" style="114" customWidth="1"/>
    <col min="6152" max="6152" width="11.77734375" style="114" customWidth="1"/>
    <col min="6153" max="6153" width="11.33203125" style="114" customWidth="1"/>
    <col min="6154" max="6154" width="10.21875" style="114" customWidth="1"/>
    <col min="6155" max="6155" width="8.77734375" style="114" customWidth="1"/>
    <col min="6156" max="6400" width="9" style="114"/>
    <col min="6401" max="6401" width="17" style="114" customWidth="1"/>
    <col min="6402" max="6402" width="14.6640625" style="114" customWidth="1"/>
    <col min="6403" max="6403" width="13.88671875" style="114" customWidth="1"/>
    <col min="6404" max="6404" width="13.77734375" style="114" customWidth="1"/>
    <col min="6405" max="6405" width="12.33203125" style="114" customWidth="1"/>
    <col min="6406" max="6406" width="10.88671875" style="114" customWidth="1"/>
    <col min="6407" max="6407" width="11.44140625" style="114" customWidth="1"/>
    <col min="6408" max="6408" width="11.77734375" style="114" customWidth="1"/>
    <col min="6409" max="6409" width="11.33203125" style="114" customWidth="1"/>
    <col min="6410" max="6410" width="10.21875" style="114" customWidth="1"/>
    <col min="6411" max="6411" width="8.77734375" style="114" customWidth="1"/>
    <col min="6412" max="6656" width="9" style="114"/>
    <col min="6657" max="6657" width="17" style="114" customWidth="1"/>
    <col min="6658" max="6658" width="14.6640625" style="114" customWidth="1"/>
    <col min="6659" max="6659" width="13.88671875" style="114" customWidth="1"/>
    <col min="6660" max="6660" width="13.77734375" style="114" customWidth="1"/>
    <col min="6661" max="6661" width="12.33203125" style="114" customWidth="1"/>
    <col min="6662" max="6662" width="10.88671875" style="114" customWidth="1"/>
    <col min="6663" max="6663" width="11.44140625" style="114" customWidth="1"/>
    <col min="6664" max="6664" width="11.77734375" style="114" customWidth="1"/>
    <col min="6665" max="6665" width="11.33203125" style="114" customWidth="1"/>
    <col min="6666" max="6666" width="10.21875" style="114" customWidth="1"/>
    <col min="6667" max="6667" width="8.77734375" style="114" customWidth="1"/>
    <col min="6668" max="6912" width="9" style="114"/>
    <col min="6913" max="6913" width="17" style="114" customWidth="1"/>
    <col min="6914" max="6914" width="14.6640625" style="114" customWidth="1"/>
    <col min="6915" max="6915" width="13.88671875" style="114" customWidth="1"/>
    <col min="6916" max="6916" width="13.77734375" style="114" customWidth="1"/>
    <col min="6917" max="6917" width="12.33203125" style="114" customWidth="1"/>
    <col min="6918" max="6918" width="10.88671875" style="114" customWidth="1"/>
    <col min="6919" max="6919" width="11.44140625" style="114" customWidth="1"/>
    <col min="6920" max="6920" width="11.77734375" style="114" customWidth="1"/>
    <col min="6921" max="6921" width="11.33203125" style="114" customWidth="1"/>
    <col min="6922" max="6922" width="10.21875" style="114" customWidth="1"/>
    <col min="6923" max="6923" width="8.77734375" style="114" customWidth="1"/>
    <col min="6924" max="7168" width="9" style="114"/>
    <col min="7169" max="7169" width="17" style="114" customWidth="1"/>
    <col min="7170" max="7170" width="14.6640625" style="114" customWidth="1"/>
    <col min="7171" max="7171" width="13.88671875" style="114" customWidth="1"/>
    <col min="7172" max="7172" width="13.77734375" style="114" customWidth="1"/>
    <col min="7173" max="7173" width="12.33203125" style="114" customWidth="1"/>
    <col min="7174" max="7174" width="10.88671875" style="114" customWidth="1"/>
    <col min="7175" max="7175" width="11.44140625" style="114" customWidth="1"/>
    <col min="7176" max="7176" width="11.77734375" style="114" customWidth="1"/>
    <col min="7177" max="7177" width="11.33203125" style="114" customWidth="1"/>
    <col min="7178" max="7178" width="10.21875" style="114" customWidth="1"/>
    <col min="7179" max="7179" width="8.77734375" style="114" customWidth="1"/>
    <col min="7180" max="7424" width="9" style="114"/>
    <col min="7425" max="7425" width="17" style="114" customWidth="1"/>
    <col min="7426" max="7426" width="14.6640625" style="114" customWidth="1"/>
    <col min="7427" max="7427" width="13.88671875" style="114" customWidth="1"/>
    <col min="7428" max="7428" width="13.77734375" style="114" customWidth="1"/>
    <col min="7429" max="7429" width="12.33203125" style="114" customWidth="1"/>
    <col min="7430" max="7430" width="10.88671875" style="114" customWidth="1"/>
    <col min="7431" max="7431" width="11.44140625" style="114" customWidth="1"/>
    <col min="7432" max="7432" width="11.77734375" style="114" customWidth="1"/>
    <col min="7433" max="7433" width="11.33203125" style="114" customWidth="1"/>
    <col min="7434" max="7434" width="10.21875" style="114" customWidth="1"/>
    <col min="7435" max="7435" width="8.77734375" style="114" customWidth="1"/>
    <col min="7436" max="7680" width="9" style="114"/>
    <col min="7681" max="7681" width="17" style="114" customWidth="1"/>
    <col min="7682" max="7682" width="14.6640625" style="114" customWidth="1"/>
    <col min="7683" max="7683" width="13.88671875" style="114" customWidth="1"/>
    <col min="7684" max="7684" width="13.77734375" style="114" customWidth="1"/>
    <col min="7685" max="7685" width="12.33203125" style="114" customWidth="1"/>
    <col min="7686" max="7686" width="10.88671875" style="114" customWidth="1"/>
    <col min="7687" max="7687" width="11.44140625" style="114" customWidth="1"/>
    <col min="7688" max="7688" width="11.77734375" style="114" customWidth="1"/>
    <col min="7689" max="7689" width="11.33203125" style="114" customWidth="1"/>
    <col min="7690" max="7690" width="10.21875" style="114" customWidth="1"/>
    <col min="7691" max="7691" width="8.77734375" style="114" customWidth="1"/>
    <col min="7692" max="7936" width="9" style="114"/>
    <col min="7937" max="7937" width="17" style="114" customWidth="1"/>
    <col min="7938" max="7938" width="14.6640625" style="114" customWidth="1"/>
    <col min="7939" max="7939" width="13.88671875" style="114" customWidth="1"/>
    <col min="7940" max="7940" width="13.77734375" style="114" customWidth="1"/>
    <col min="7941" max="7941" width="12.33203125" style="114" customWidth="1"/>
    <col min="7942" max="7942" width="10.88671875" style="114" customWidth="1"/>
    <col min="7943" max="7943" width="11.44140625" style="114" customWidth="1"/>
    <col min="7944" max="7944" width="11.77734375" style="114" customWidth="1"/>
    <col min="7945" max="7945" width="11.33203125" style="114" customWidth="1"/>
    <col min="7946" max="7946" width="10.21875" style="114" customWidth="1"/>
    <col min="7947" max="7947" width="8.77734375" style="114" customWidth="1"/>
    <col min="7948" max="8192" width="9" style="114"/>
    <col min="8193" max="8193" width="17" style="114" customWidth="1"/>
    <col min="8194" max="8194" width="14.6640625" style="114" customWidth="1"/>
    <col min="8195" max="8195" width="13.88671875" style="114" customWidth="1"/>
    <col min="8196" max="8196" width="13.77734375" style="114" customWidth="1"/>
    <col min="8197" max="8197" width="12.33203125" style="114" customWidth="1"/>
    <col min="8198" max="8198" width="10.88671875" style="114" customWidth="1"/>
    <col min="8199" max="8199" width="11.44140625" style="114" customWidth="1"/>
    <col min="8200" max="8200" width="11.77734375" style="114" customWidth="1"/>
    <col min="8201" max="8201" width="11.33203125" style="114" customWidth="1"/>
    <col min="8202" max="8202" width="10.21875" style="114" customWidth="1"/>
    <col min="8203" max="8203" width="8.77734375" style="114" customWidth="1"/>
    <col min="8204" max="8448" width="9" style="114"/>
    <col min="8449" max="8449" width="17" style="114" customWidth="1"/>
    <col min="8450" max="8450" width="14.6640625" style="114" customWidth="1"/>
    <col min="8451" max="8451" width="13.88671875" style="114" customWidth="1"/>
    <col min="8452" max="8452" width="13.77734375" style="114" customWidth="1"/>
    <col min="8453" max="8453" width="12.33203125" style="114" customWidth="1"/>
    <col min="8454" max="8454" width="10.88671875" style="114" customWidth="1"/>
    <col min="8455" max="8455" width="11.44140625" style="114" customWidth="1"/>
    <col min="8456" max="8456" width="11.77734375" style="114" customWidth="1"/>
    <col min="8457" max="8457" width="11.33203125" style="114" customWidth="1"/>
    <col min="8458" max="8458" width="10.21875" style="114" customWidth="1"/>
    <col min="8459" max="8459" width="8.77734375" style="114" customWidth="1"/>
    <col min="8460" max="8704" width="9" style="114"/>
    <col min="8705" max="8705" width="17" style="114" customWidth="1"/>
    <col min="8706" max="8706" width="14.6640625" style="114" customWidth="1"/>
    <col min="8707" max="8707" width="13.88671875" style="114" customWidth="1"/>
    <col min="8708" max="8708" width="13.77734375" style="114" customWidth="1"/>
    <col min="8709" max="8709" width="12.33203125" style="114" customWidth="1"/>
    <col min="8710" max="8710" width="10.88671875" style="114" customWidth="1"/>
    <col min="8711" max="8711" width="11.44140625" style="114" customWidth="1"/>
    <col min="8712" max="8712" width="11.77734375" style="114" customWidth="1"/>
    <col min="8713" max="8713" width="11.33203125" style="114" customWidth="1"/>
    <col min="8714" max="8714" width="10.21875" style="114" customWidth="1"/>
    <col min="8715" max="8715" width="8.77734375" style="114" customWidth="1"/>
    <col min="8716" max="8960" width="9" style="114"/>
    <col min="8961" max="8961" width="17" style="114" customWidth="1"/>
    <col min="8962" max="8962" width="14.6640625" style="114" customWidth="1"/>
    <col min="8963" max="8963" width="13.88671875" style="114" customWidth="1"/>
    <col min="8964" max="8964" width="13.77734375" style="114" customWidth="1"/>
    <col min="8965" max="8965" width="12.33203125" style="114" customWidth="1"/>
    <col min="8966" max="8966" width="10.88671875" style="114" customWidth="1"/>
    <col min="8967" max="8967" width="11.44140625" style="114" customWidth="1"/>
    <col min="8968" max="8968" width="11.77734375" style="114" customWidth="1"/>
    <col min="8969" max="8969" width="11.33203125" style="114" customWidth="1"/>
    <col min="8970" max="8970" width="10.21875" style="114" customWidth="1"/>
    <col min="8971" max="8971" width="8.77734375" style="114" customWidth="1"/>
    <col min="8972" max="9216" width="9" style="114"/>
    <col min="9217" max="9217" width="17" style="114" customWidth="1"/>
    <col min="9218" max="9218" width="14.6640625" style="114" customWidth="1"/>
    <col min="9219" max="9219" width="13.88671875" style="114" customWidth="1"/>
    <col min="9220" max="9220" width="13.77734375" style="114" customWidth="1"/>
    <col min="9221" max="9221" width="12.33203125" style="114" customWidth="1"/>
    <col min="9222" max="9222" width="10.88671875" style="114" customWidth="1"/>
    <col min="9223" max="9223" width="11.44140625" style="114" customWidth="1"/>
    <col min="9224" max="9224" width="11.77734375" style="114" customWidth="1"/>
    <col min="9225" max="9225" width="11.33203125" style="114" customWidth="1"/>
    <col min="9226" max="9226" width="10.21875" style="114" customWidth="1"/>
    <col min="9227" max="9227" width="8.77734375" style="114" customWidth="1"/>
    <col min="9228" max="9472" width="9" style="114"/>
    <col min="9473" max="9473" width="17" style="114" customWidth="1"/>
    <col min="9474" max="9474" width="14.6640625" style="114" customWidth="1"/>
    <col min="9475" max="9475" width="13.88671875" style="114" customWidth="1"/>
    <col min="9476" max="9476" width="13.77734375" style="114" customWidth="1"/>
    <col min="9477" max="9477" width="12.33203125" style="114" customWidth="1"/>
    <col min="9478" max="9478" width="10.88671875" style="114" customWidth="1"/>
    <col min="9479" max="9479" width="11.44140625" style="114" customWidth="1"/>
    <col min="9480" max="9480" width="11.77734375" style="114" customWidth="1"/>
    <col min="9481" max="9481" width="11.33203125" style="114" customWidth="1"/>
    <col min="9482" max="9482" width="10.21875" style="114" customWidth="1"/>
    <col min="9483" max="9483" width="8.77734375" style="114" customWidth="1"/>
    <col min="9484" max="9728" width="9" style="114"/>
    <col min="9729" max="9729" width="17" style="114" customWidth="1"/>
    <col min="9730" max="9730" width="14.6640625" style="114" customWidth="1"/>
    <col min="9731" max="9731" width="13.88671875" style="114" customWidth="1"/>
    <col min="9732" max="9732" width="13.77734375" style="114" customWidth="1"/>
    <col min="9733" max="9733" width="12.33203125" style="114" customWidth="1"/>
    <col min="9734" max="9734" width="10.88671875" style="114" customWidth="1"/>
    <col min="9735" max="9735" width="11.44140625" style="114" customWidth="1"/>
    <col min="9736" max="9736" width="11.77734375" style="114" customWidth="1"/>
    <col min="9737" max="9737" width="11.33203125" style="114" customWidth="1"/>
    <col min="9738" max="9738" width="10.21875" style="114" customWidth="1"/>
    <col min="9739" max="9739" width="8.77734375" style="114" customWidth="1"/>
    <col min="9740" max="9984" width="9" style="114"/>
    <col min="9985" max="9985" width="17" style="114" customWidth="1"/>
    <col min="9986" max="9986" width="14.6640625" style="114" customWidth="1"/>
    <col min="9987" max="9987" width="13.88671875" style="114" customWidth="1"/>
    <col min="9988" max="9988" width="13.77734375" style="114" customWidth="1"/>
    <col min="9989" max="9989" width="12.33203125" style="114" customWidth="1"/>
    <col min="9990" max="9990" width="10.88671875" style="114" customWidth="1"/>
    <col min="9991" max="9991" width="11.44140625" style="114" customWidth="1"/>
    <col min="9992" max="9992" width="11.77734375" style="114" customWidth="1"/>
    <col min="9993" max="9993" width="11.33203125" style="114" customWidth="1"/>
    <col min="9994" max="9994" width="10.21875" style="114" customWidth="1"/>
    <col min="9995" max="9995" width="8.77734375" style="114" customWidth="1"/>
    <col min="9996" max="10240" width="9" style="114"/>
    <col min="10241" max="10241" width="17" style="114" customWidth="1"/>
    <col min="10242" max="10242" width="14.6640625" style="114" customWidth="1"/>
    <col min="10243" max="10243" width="13.88671875" style="114" customWidth="1"/>
    <col min="10244" max="10244" width="13.77734375" style="114" customWidth="1"/>
    <col min="10245" max="10245" width="12.33203125" style="114" customWidth="1"/>
    <col min="10246" max="10246" width="10.88671875" style="114" customWidth="1"/>
    <col min="10247" max="10247" width="11.44140625" style="114" customWidth="1"/>
    <col min="10248" max="10248" width="11.77734375" style="114" customWidth="1"/>
    <col min="10249" max="10249" width="11.33203125" style="114" customWidth="1"/>
    <col min="10250" max="10250" width="10.21875" style="114" customWidth="1"/>
    <col min="10251" max="10251" width="8.77734375" style="114" customWidth="1"/>
    <col min="10252" max="10496" width="9" style="114"/>
    <col min="10497" max="10497" width="17" style="114" customWidth="1"/>
    <col min="10498" max="10498" width="14.6640625" style="114" customWidth="1"/>
    <col min="10499" max="10499" width="13.88671875" style="114" customWidth="1"/>
    <col min="10500" max="10500" width="13.77734375" style="114" customWidth="1"/>
    <col min="10501" max="10501" width="12.33203125" style="114" customWidth="1"/>
    <col min="10502" max="10502" width="10.88671875" style="114" customWidth="1"/>
    <col min="10503" max="10503" width="11.44140625" style="114" customWidth="1"/>
    <col min="10504" max="10504" width="11.77734375" style="114" customWidth="1"/>
    <col min="10505" max="10505" width="11.33203125" style="114" customWidth="1"/>
    <col min="10506" max="10506" width="10.21875" style="114" customWidth="1"/>
    <col min="10507" max="10507" width="8.77734375" style="114" customWidth="1"/>
    <col min="10508" max="10752" width="9" style="114"/>
    <col min="10753" max="10753" width="17" style="114" customWidth="1"/>
    <col min="10754" max="10754" width="14.6640625" style="114" customWidth="1"/>
    <col min="10755" max="10755" width="13.88671875" style="114" customWidth="1"/>
    <col min="10756" max="10756" width="13.77734375" style="114" customWidth="1"/>
    <col min="10757" max="10757" width="12.33203125" style="114" customWidth="1"/>
    <col min="10758" max="10758" width="10.88671875" style="114" customWidth="1"/>
    <col min="10759" max="10759" width="11.44140625" style="114" customWidth="1"/>
    <col min="10760" max="10760" width="11.77734375" style="114" customWidth="1"/>
    <col min="10761" max="10761" width="11.33203125" style="114" customWidth="1"/>
    <col min="10762" max="10762" width="10.21875" style="114" customWidth="1"/>
    <col min="10763" max="10763" width="8.77734375" style="114" customWidth="1"/>
    <col min="10764" max="11008" width="9" style="114"/>
    <col min="11009" max="11009" width="17" style="114" customWidth="1"/>
    <col min="11010" max="11010" width="14.6640625" style="114" customWidth="1"/>
    <col min="11011" max="11011" width="13.88671875" style="114" customWidth="1"/>
    <col min="11012" max="11012" width="13.77734375" style="114" customWidth="1"/>
    <col min="11013" max="11013" width="12.33203125" style="114" customWidth="1"/>
    <col min="11014" max="11014" width="10.88671875" style="114" customWidth="1"/>
    <col min="11015" max="11015" width="11.44140625" style="114" customWidth="1"/>
    <col min="11016" max="11016" width="11.77734375" style="114" customWidth="1"/>
    <col min="11017" max="11017" width="11.33203125" style="114" customWidth="1"/>
    <col min="11018" max="11018" width="10.21875" style="114" customWidth="1"/>
    <col min="11019" max="11019" width="8.77734375" style="114" customWidth="1"/>
    <col min="11020" max="11264" width="9" style="114"/>
    <col min="11265" max="11265" width="17" style="114" customWidth="1"/>
    <col min="11266" max="11266" width="14.6640625" style="114" customWidth="1"/>
    <col min="11267" max="11267" width="13.88671875" style="114" customWidth="1"/>
    <col min="11268" max="11268" width="13.77734375" style="114" customWidth="1"/>
    <col min="11269" max="11269" width="12.33203125" style="114" customWidth="1"/>
    <col min="11270" max="11270" width="10.88671875" style="114" customWidth="1"/>
    <col min="11271" max="11271" width="11.44140625" style="114" customWidth="1"/>
    <col min="11272" max="11272" width="11.77734375" style="114" customWidth="1"/>
    <col min="11273" max="11273" width="11.33203125" style="114" customWidth="1"/>
    <col min="11274" max="11274" width="10.21875" style="114" customWidth="1"/>
    <col min="11275" max="11275" width="8.77734375" style="114" customWidth="1"/>
    <col min="11276" max="11520" width="9" style="114"/>
    <col min="11521" max="11521" width="17" style="114" customWidth="1"/>
    <col min="11522" max="11522" width="14.6640625" style="114" customWidth="1"/>
    <col min="11523" max="11523" width="13.88671875" style="114" customWidth="1"/>
    <col min="11524" max="11524" width="13.77734375" style="114" customWidth="1"/>
    <col min="11525" max="11525" width="12.33203125" style="114" customWidth="1"/>
    <col min="11526" max="11526" width="10.88671875" style="114" customWidth="1"/>
    <col min="11527" max="11527" width="11.44140625" style="114" customWidth="1"/>
    <col min="11528" max="11528" width="11.77734375" style="114" customWidth="1"/>
    <col min="11529" max="11529" width="11.33203125" style="114" customWidth="1"/>
    <col min="11530" max="11530" width="10.21875" style="114" customWidth="1"/>
    <col min="11531" max="11531" width="8.77734375" style="114" customWidth="1"/>
    <col min="11532" max="11776" width="9" style="114"/>
    <col min="11777" max="11777" width="17" style="114" customWidth="1"/>
    <col min="11778" max="11778" width="14.6640625" style="114" customWidth="1"/>
    <col min="11779" max="11779" width="13.88671875" style="114" customWidth="1"/>
    <col min="11780" max="11780" width="13.77734375" style="114" customWidth="1"/>
    <col min="11781" max="11781" width="12.33203125" style="114" customWidth="1"/>
    <col min="11782" max="11782" width="10.88671875" style="114" customWidth="1"/>
    <col min="11783" max="11783" width="11.44140625" style="114" customWidth="1"/>
    <col min="11784" max="11784" width="11.77734375" style="114" customWidth="1"/>
    <col min="11785" max="11785" width="11.33203125" style="114" customWidth="1"/>
    <col min="11786" max="11786" width="10.21875" style="114" customWidth="1"/>
    <col min="11787" max="11787" width="8.77734375" style="114" customWidth="1"/>
    <col min="11788" max="12032" width="9" style="114"/>
    <col min="12033" max="12033" width="17" style="114" customWidth="1"/>
    <col min="12034" max="12034" width="14.6640625" style="114" customWidth="1"/>
    <col min="12035" max="12035" width="13.88671875" style="114" customWidth="1"/>
    <col min="12036" max="12036" width="13.77734375" style="114" customWidth="1"/>
    <col min="12037" max="12037" width="12.33203125" style="114" customWidth="1"/>
    <col min="12038" max="12038" width="10.88671875" style="114" customWidth="1"/>
    <col min="12039" max="12039" width="11.44140625" style="114" customWidth="1"/>
    <col min="12040" max="12040" width="11.77734375" style="114" customWidth="1"/>
    <col min="12041" max="12041" width="11.33203125" style="114" customWidth="1"/>
    <col min="12042" max="12042" width="10.21875" style="114" customWidth="1"/>
    <col min="12043" max="12043" width="8.77734375" style="114" customWidth="1"/>
    <col min="12044" max="12288" width="9" style="114"/>
    <col min="12289" max="12289" width="17" style="114" customWidth="1"/>
    <col min="12290" max="12290" width="14.6640625" style="114" customWidth="1"/>
    <col min="12291" max="12291" width="13.88671875" style="114" customWidth="1"/>
    <col min="12292" max="12292" width="13.77734375" style="114" customWidth="1"/>
    <col min="12293" max="12293" width="12.33203125" style="114" customWidth="1"/>
    <col min="12294" max="12294" width="10.88671875" style="114" customWidth="1"/>
    <col min="12295" max="12295" width="11.44140625" style="114" customWidth="1"/>
    <col min="12296" max="12296" width="11.77734375" style="114" customWidth="1"/>
    <col min="12297" max="12297" width="11.33203125" style="114" customWidth="1"/>
    <col min="12298" max="12298" width="10.21875" style="114" customWidth="1"/>
    <col min="12299" max="12299" width="8.77734375" style="114" customWidth="1"/>
    <col min="12300" max="12544" width="9" style="114"/>
    <col min="12545" max="12545" width="17" style="114" customWidth="1"/>
    <col min="12546" max="12546" width="14.6640625" style="114" customWidth="1"/>
    <col min="12547" max="12547" width="13.88671875" style="114" customWidth="1"/>
    <col min="12548" max="12548" width="13.77734375" style="114" customWidth="1"/>
    <col min="12549" max="12549" width="12.33203125" style="114" customWidth="1"/>
    <col min="12550" max="12550" width="10.88671875" style="114" customWidth="1"/>
    <col min="12551" max="12551" width="11.44140625" style="114" customWidth="1"/>
    <col min="12552" max="12552" width="11.77734375" style="114" customWidth="1"/>
    <col min="12553" max="12553" width="11.33203125" style="114" customWidth="1"/>
    <col min="12554" max="12554" width="10.21875" style="114" customWidth="1"/>
    <col min="12555" max="12555" width="8.77734375" style="114" customWidth="1"/>
    <col min="12556" max="12800" width="9" style="114"/>
    <col min="12801" max="12801" width="17" style="114" customWidth="1"/>
    <col min="12802" max="12802" width="14.6640625" style="114" customWidth="1"/>
    <col min="12803" max="12803" width="13.88671875" style="114" customWidth="1"/>
    <col min="12804" max="12804" width="13.77734375" style="114" customWidth="1"/>
    <col min="12805" max="12805" width="12.33203125" style="114" customWidth="1"/>
    <col min="12806" max="12806" width="10.88671875" style="114" customWidth="1"/>
    <col min="12807" max="12807" width="11.44140625" style="114" customWidth="1"/>
    <col min="12808" max="12808" width="11.77734375" style="114" customWidth="1"/>
    <col min="12809" max="12809" width="11.33203125" style="114" customWidth="1"/>
    <col min="12810" max="12810" width="10.21875" style="114" customWidth="1"/>
    <col min="12811" max="12811" width="8.77734375" style="114" customWidth="1"/>
    <col min="12812" max="13056" width="9" style="114"/>
    <col min="13057" max="13057" width="17" style="114" customWidth="1"/>
    <col min="13058" max="13058" width="14.6640625" style="114" customWidth="1"/>
    <col min="13059" max="13059" width="13.88671875" style="114" customWidth="1"/>
    <col min="13060" max="13060" width="13.77734375" style="114" customWidth="1"/>
    <col min="13061" max="13061" width="12.33203125" style="114" customWidth="1"/>
    <col min="13062" max="13062" width="10.88671875" style="114" customWidth="1"/>
    <col min="13063" max="13063" width="11.44140625" style="114" customWidth="1"/>
    <col min="13064" max="13064" width="11.77734375" style="114" customWidth="1"/>
    <col min="13065" max="13065" width="11.33203125" style="114" customWidth="1"/>
    <col min="13066" max="13066" width="10.21875" style="114" customWidth="1"/>
    <col min="13067" max="13067" width="8.77734375" style="114" customWidth="1"/>
    <col min="13068" max="13312" width="9" style="114"/>
    <col min="13313" max="13313" width="17" style="114" customWidth="1"/>
    <col min="13314" max="13314" width="14.6640625" style="114" customWidth="1"/>
    <col min="13315" max="13315" width="13.88671875" style="114" customWidth="1"/>
    <col min="13316" max="13316" width="13.77734375" style="114" customWidth="1"/>
    <col min="13317" max="13317" width="12.33203125" style="114" customWidth="1"/>
    <col min="13318" max="13318" width="10.88671875" style="114" customWidth="1"/>
    <col min="13319" max="13319" width="11.44140625" style="114" customWidth="1"/>
    <col min="13320" max="13320" width="11.77734375" style="114" customWidth="1"/>
    <col min="13321" max="13321" width="11.33203125" style="114" customWidth="1"/>
    <col min="13322" max="13322" width="10.21875" style="114" customWidth="1"/>
    <col min="13323" max="13323" width="8.77734375" style="114" customWidth="1"/>
    <col min="13324" max="13568" width="9" style="114"/>
    <col min="13569" max="13569" width="17" style="114" customWidth="1"/>
    <col min="13570" max="13570" width="14.6640625" style="114" customWidth="1"/>
    <col min="13571" max="13571" width="13.88671875" style="114" customWidth="1"/>
    <col min="13572" max="13572" width="13.77734375" style="114" customWidth="1"/>
    <col min="13573" max="13573" width="12.33203125" style="114" customWidth="1"/>
    <col min="13574" max="13574" width="10.88671875" style="114" customWidth="1"/>
    <col min="13575" max="13575" width="11.44140625" style="114" customWidth="1"/>
    <col min="13576" max="13576" width="11.77734375" style="114" customWidth="1"/>
    <col min="13577" max="13577" width="11.33203125" style="114" customWidth="1"/>
    <col min="13578" max="13578" width="10.21875" style="114" customWidth="1"/>
    <col min="13579" max="13579" width="8.77734375" style="114" customWidth="1"/>
    <col min="13580" max="13824" width="9" style="114"/>
    <col min="13825" max="13825" width="17" style="114" customWidth="1"/>
    <col min="13826" max="13826" width="14.6640625" style="114" customWidth="1"/>
    <col min="13827" max="13827" width="13.88671875" style="114" customWidth="1"/>
    <col min="13828" max="13828" width="13.77734375" style="114" customWidth="1"/>
    <col min="13829" max="13829" width="12.33203125" style="114" customWidth="1"/>
    <col min="13830" max="13830" width="10.88671875" style="114" customWidth="1"/>
    <col min="13831" max="13831" width="11.44140625" style="114" customWidth="1"/>
    <col min="13832" max="13832" width="11.77734375" style="114" customWidth="1"/>
    <col min="13833" max="13833" width="11.33203125" style="114" customWidth="1"/>
    <col min="13834" max="13834" width="10.21875" style="114" customWidth="1"/>
    <col min="13835" max="13835" width="8.77734375" style="114" customWidth="1"/>
    <col min="13836" max="14080" width="9" style="114"/>
    <col min="14081" max="14081" width="17" style="114" customWidth="1"/>
    <col min="14082" max="14082" width="14.6640625" style="114" customWidth="1"/>
    <col min="14083" max="14083" width="13.88671875" style="114" customWidth="1"/>
    <col min="14084" max="14084" width="13.77734375" style="114" customWidth="1"/>
    <col min="14085" max="14085" width="12.33203125" style="114" customWidth="1"/>
    <col min="14086" max="14086" width="10.88671875" style="114" customWidth="1"/>
    <col min="14087" max="14087" width="11.44140625" style="114" customWidth="1"/>
    <col min="14088" max="14088" width="11.77734375" style="114" customWidth="1"/>
    <col min="14089" max="14089" width="11.33203125" style="114" customWidth="1"/>
    <col min="14090" max="14090" width="10.21875" style="114" customWidth="1"/>
    <col min="14091" max="14091" width="8.77734375" style="114" customWidth="1"/>
    <col min="14092" max="14336" width="9" style="114"/>
    <col min="14337" max="14337" width="17" style="114" customWidth="1"/>
    <col min="14338" max="14338" width="14.6640625" style="114" customWidth="1"/>
    <col min="14339" max="14339" width="13.88671875" style="114" customWidth="1"/>
    <col min="14340" max="14340" width="13.77734375" style="114" customWidth="1"/>
    <col min="14341" max="14341" width="12.33203125" style="114" customWidth="1"/>
    <col min="14342" max="14342" width="10.88671875" style="114" customWidth="1"/>
    <col min="14343" max="14343" width="11.44140625" style="114" customWidth="1"/>
    <col min="14344" max="14344" width="11.77734375" style="114" customWidth="1"/>
    <col min="14345" max="14345" width="11.33203125" style="114" customWidth="1"/>
    <col min="14346" max="14346" width="10.21875" style="114" customWidth="1"/>
    <col min="14347" max="14347" width="8.77734375" style="114" customWidth="1"/>
    <col min="14348" max="14592" width="9" style="114"/>
    <col min="14593" max="14593" width="17" style="114" customWidth="1"/>
    <col min="14594" max="14594" width="14.6640625" style="114" customWidth="1"/>
    <col min="14595" max="14595" width="13.88671875" style="114" customWidth="1"/>
    <col min="14596" max="14596" width="13.77734375" style="114" customWidth="1"/>
    <col min="14597" max="14597" width="12.33203125" style="114" customWidth="1"/>
    <col min="14598" max="14598" width="10.88671875" style="114" customWidth="1"/>
    <col min="14599" max="14599" width="11.44140625" style="114" customWidth="1"/>
    <col min="14600" max="14600" width="11.77734375" style="114" customWidth="1"/>
    <col min="14601" max="14601" width="11.33203125" style="114" customWidth="1"/>
    <col min="14602" max="14602" width="10.21875" style="114" customWidth="1"/>
    <col min="14603" max="14603" width="8.77734375" style="114" customWidth="1"/>
    <col min="14604" max="14848" width="9" style="114"/>
    <col min="14849" max="14849" width="17" style="114" customWidth="1"/>
    <col min="14850" max="14850" width="14.6640625" style="114" customWidth="1"/>
    <col min="14851" max="14851" width="13.88671875" style="114" customWidth="1"/>
    <col min="14852" max="14852" width="13.77734375" style="114" customWidth="1"/>
    <col min="14853" max="14853" width="12.33203125" style="114" customWidth="1"/>
    <col min="14854" max="14854" width="10.88671875" style="114" customWidth="1"/>
    <col min="14855" max="14855" width="11.44140625" style="114" customWidth="1"/>
    <col min="14856" max="14856" width="11.77734375" style="114" customWidth="1"/>
    <col min="14857" max="14857" width="11.33203125" style="114" customWidth="1"/>
    <col min="14858" max="14858" width="10.21875" style="114" customWidth="1"/>
    <col min="14859" max="14859" width="8.77734375" style="114" customWidth="1"/>
    <col min="14860" max="15104" width="9" style="114"/>
    <col min="15105" max="15105" width="17" style="114" customWidth="1"/>
    <col min="15106" max="15106" width="14.6640625" style="114" customWidth="1"/>
    <col min="15107" max="15107" width="13.88671875" style="114" customWidth="1"/>
    <col min="15108" max="15108" width="13.77734375" style="114" customWidth="1"/>
    <col min="15109" max="15109" width="12.33203125" style="114" customWidth="1"/>
    <col min="15110" max="15110" width="10.88671875" style="114" customWidth="1"/>
    <col min="15111" max="15111" width="11.44140625" style="114" customWidth="1"/>
    <col min="15112" max="15112" width="11.77734375" style="114" customWidth="1"/>
    <col min="15113" max="15113" width="11.33203125" style="114" customWidth="1"/>
    <col min="15114" max="15114" width="10.21875" style="114" customWidth="1"/>
    <col min="15115" max="15115" width="8.77734375" style="114" customWidth="1"/>
    <col min="15116" max="15360" width="9" style="114"/>
    <col min="15361" max="15361" width="17" style="114" customWidth="1"/>
    <col min="15362" max="15362" width="14.6640625" style="114" customWidth="1"/>
    <col min="15363" max="15363" width="13.88671875" style="114" customWidth="1"/>
    <col min="15364" max="15364" width="13.77734375" style="114" customWidth="1"/>
    <col min="15365" max="15365" width="12.33203125" style="114" customWidth="1"/>
    <col min="15366" max="15366" width="10.88671875" style="114" customWidth="1"/>
    <col min="15367" max="15367" width="11.44140625" style="114" customWidth="1"/>
    <col min="15368" max="15368" width="11.77734375" style="114" customWidth="1"/>
    <col min="15369" max="15369" width="11.33203125" style="114" customWidth="1"/>
    <col min="15370" max="15370" width="10.21875" style="114" customWidth="1"/>
    <col min="15371" max="15371" width="8.77734375" style="114" customWidth="1"/>
    <col min="15372" max="15616" width="9" style="114"/>
    <col min="15617" max="15617" width="17" style="114" customWidth="1"/>
    <col min="15618" max="15618" width="14.6640625" style="114" customWidth="1"/>
    <col min="15619" max="15619" width="13.88671875" style="114" customWidth="1"/>
    <col min="15620" max="15620" width="13.77734375" style="114" customWidth="1"/>
    <col min="15621" max="15621" width="12.33203125" style="114" customWidth="1"/>
    <col min="15622" max="15622" width="10.88671875" style="114" customWidth="1"/>
    <col min="15623" max="15623" width="11.44140625" style="114" customWidth="1"/>
    <col min="15624" max="15624" width="11.77734375" style="114" customWidth="1"/>
    <col min="15625" max="15625" width="11.33203125" style="114" customWidth="1"/>
    <col min="15626" max="15626" width="10.21875" style="114" customWidth="1"/>
    <col min="15627" max="15627" width="8.77734375" style="114" customWidth="1"/>
    <col min="15628" max="15872" width="9" style="114"/>
    <col min="15873" max="15873" width="17" style="114" customWidth="1"/>
    <col min="15874" max="15874" width="14.6640625" style="114" customWidth="1"/>
    <col min="15875" max="15875" width="13.88671875" style="114" customWidth="1"/>
    <col min="15876" max="15876" width="13.77734375" style="114" customWidth="1"/>
    <col min="15877" max="15877" width="12.33203125" style="114" customWidth="1"/>
    <col min="15878" max="15878" width="10.88671875" style="114" customWidth="1"/>
    <col min="15879" max="15879" width="11.44140625" style="114" customWidth="1"/>
    <col min="15880" max="15880" width="11.77734375" style="114" customWidth="1"/>
    <col min="15881" max="15881" width="11.33203125" style="114" customWidth="1"/>
    <col min="15882" max="15882" width="10.21875" style="114" customWidth="1"/>
    <col min="15883" max="15883" width="8.77734375" style="114" customWidth="1"/>
    <col min="15884" max="16128" width="9" style="114"/>
    <col min="16129" max="16129" width="17" style="114" customWidth="1"/>
    <col min="16130" max="16130" width="14.6640625" style="114" customWidth="1"/>
    <col min="16131" max="16131" width="13.88671875" style="114" customWidth="1"/>
    <col min="16132" max="16132" width="13.77734375" style="114" customWidth="1"/>
    <col min="16133" max="16133" width="12.33203125" style="114" customWidth="1"/>
    <col min="16134" max="16134" width="10.88671875" style="114" customWidth="1"/>
    <col min="16135" max="16135" width="11.44140625" style="114" customWidth="1"/>
    <col min="16136" max="16136" width="11.77734375" style="114" customWidth="1"/>
    <col min="16137" max="16137" width="11.33203125" style="114" customWidth="1"/>
    <col min="16138" max="16138" width="10.21875" style="114" customWidth="1"/>
    <col min="16139" max="16139" width="8.77734375" style="114" customWidth="1"/>
    <col min="16140" max="16384" width="9" style="114"/>
  </cols>
  <sheetData>
    <row r="1" spans="1:12" s="110" customFormat="1" ht="20.100000000000001" customHeight="1">
      <c r="A1" s="552" t="s">
        <v>148</v>
      </c>
      <c r="B1" s="552"/>
      <c r="C1" s="552"/>
      <c r="D1" s="552"/>
      <c r="E1" s="552"/>
      <c r="F1" s="552"/>
      <c r="G1" s="552"/>
      <c r="H1" s="552"/>
      <c r="I1" s="552"/>
      <c r="J1" s="552"/>
      <c r="K1" s="552"/>
      <c r="L1" s="120"/>
    </row>
    <row r="2" spans="1:12" s="110" customFormat="1" ht="25.05" customHeight="1">
      <c r="A2" s="508" t="s">
        <v>353</v>
      </c>
      <c r="B2" s="553"/>
      <c r="C2" s="553"/>
      <c r="D2" s="553"/>
      <c r="E2" s="553"/>
      <c r="F2" s="553"/>
      <c r="G2" s="553"/>
      <c r="H2" s="553"/>
      <c r="I2" s="553"/>
      <c r="J2" s="553"/>
      <c r="K2" s="553"/>
      <c r="L2" s="120"/>
    </row>
    <row r="3" spans="1:12" s="389" customFormat="1" ht="20.100000000000001" customHeight="1">
      <c r="A3" s="389" t="str">
        <f>底稿目录!A2</f>
        <v>被审计单位：</v>
      </c>
      <c r="E3" s="389" t="str">
        <f>底稿目录!A4</f>
        <v>编制人：</v>
      </c>
      <c r="F3" s="390"/>
      <c r="H3" s="391" t="str">
        <f>底稿目录!A5</f>
        <v>编制日期：</v>
      </c>
      <c r="I3" s="391"/>
      <c r="J3" s="392" t="s">
        <v>258</v>
      </c>
      <c r="K3" s="441" t="s">
        <v>25</v>
      </c>
      <c r="L3" s="382"/>
    </row>
    <row r="4" spans="1:12" s="389" customFormat="1" ht="20.100000000000001" customHeight="1">
      <c r="A4" s="389" t="str">
        <f>底稿目录!A3</f>
        <v>截止日：202X年12月31日</v>
      </c>
      <c r="E4" s="389" t="str">
        <f>底稿目录!A6</f>
        <v>复核人：</v>
      </c>
      <c r="F4" s="390"/>
      <c r="H4" s="391" t="str">
        <f>底稿目录!A7</f>
        <v>复核日期：</v>
      </c>
      <c r="I4" s="391"/>
      <c r="J4" s="392" t="s">
        <v>651</v>
      </c>
      <c r="L4" s="382"/>
    </row>
    <row r="5" spans="1:12" s="111" customFormat="1" ht="20.100000000000001" customHeight="1">
      <c r="A5" s="117" t="s">
        <v>354</v>
      </c>
      <c r="F5" s="116"/>
      <c r="L5" s="115"/>
    </row>
    <row r="6" spans="1:12" s="111" customFormat="1" ht="20.100000000000001" customHeight="1">
      <c r="A6" s="117"/>
      <c r="B6" s="118" t="s">
        <v>355</v>
      </c>
      <c r="F6" s="116"/>
      <c r="L6" s="115"/>
    </row>
    <row r="7" spans="1:12" s="111" customFormat="1" ht="20.100000000000001" customHeight="1">
      <c r="A7" s="117"/>
      <c r="B7" s="118" t="s">
        <v>356</v>
      </c>
      <c r="F7" s="116"/>
      <c r="L7" s="115"/>
    </row>
    <row r="8" spans="1:12" s="111" customFormat="1" ht="20.100000000000001" customHeight="1">
      <c r="A8" s="117"/>
      <c r="B8" s="551" t="s">
        <v>357</v>
      </c>
      <c r="C8" s="538"/>
      <c r="D8" s="538"/>
      <c r="E8" s="538"/>
      <c r="F8" s="538"/>
      <c r="G8" s="538"/>
      <c r="H8" s="538"/>
      <c r="I8" s="538"/>
      <c r="J8" s="538"/>
      <c r="K8" s="538"/>
      <c r="L8" s="121"/>
    </row>
    <row r="9" spans="1:12" s="111" customFormat="1" ht="20.100000000000001" customHeight="1">
      <c r="A9" s="117"/>
      <c r="B9" s="542" t="s">
        <v>358</v>
      </c>
      <c r="C9" s="543"/>
      <c r="D9" s="543"/>
      <c r="E9" s="543"/>
      <c r="F9" s="543"/>
      <c r="G9" s="543"/>
      <c r="H9" s="543"/>
      <c r="I9" s="543"/>
      <c r="J9" s="543"/>
      <c r="K9" s="543"/>
      <c r="L9" s="539"/>
    </row>
    <row r="10" spans="1:12" s="111" customFormat="1" ht="20.100000000000001" customHeight="1">
      <c r="A10" s="117"/>
      <c r="B10" s="543"/>
      <c r="C10" s="543"/>
      <c r="D10" s="543"/>
      <c r="E10" s="543"/>
      <c r="F10" s="543"/>
      <c r="G10" s="543"/>
      <c r="H10" s="543"/>
      <c r="I10" s="543"/>
      <c r="J10" s="543"/>
      <c r="K10" s="543"/>
      <c r="L10" s="540"/>
    </row>
    <row r="11" spans="1:12" s="111" customFormat="1" ht="29.25" customHeight="1">
      <c r="A11" s="117"/>
      <c r="B11" s="550" t="s">
        <v>359</v>
      </c>
      <c r="C11" s="536"/>
      <c r="D11" s="536"/>
      <c r="E11" s="536"/>
      <c r="F11" s="536"/>
      <c r="G11" s="536"/>
      <c r="H11" s="536"/>
      <c r="I11" s="536"/>
      <c r="J11" s="536"/>
      <c r="K11" s="536"/>
      <c r="L11" s="122"/>
    </row>
    <row r="12" spans="1:12" s="111" customFormat="1" ht="27" customHeight="1">
      <c r="A12" s="117"/>
      <c r="B12" s="554" t="s">
        <v>360</v>
      </c>
      <c r="C12" s="555"/>
      <c r="D12" s="555"/>
      <c r="E12" s="555"/>
      <c r="F12" s="555"/>
      <c r="G12" s="555"/>
      <c r="H12" s="555"/>
      <c r="I12" s="555"/>
      <c r="J12" s="555"/>
      <c r="K12" s="555"/>
      <c r="L12" s="539"/>
    </row>
    <row r="13" spans="1:12" s="111" customFormat="1" ht="27" customHeight="1">
      <c r="A13" s="117"/>
      <c r="B13" s="555"/>
      <c r="C13" s="555"/>
      <c r="D13" s="555"/>
      <c r="E13" s="555"/>
      <c r="F13" s="555"/>
      <c r="G13" s="555"/>
      <c r="H13" s="555"/>
      <c r="I13" s="555"/>
      <c r="J13" s="555"/>
      <c r="K13" s="555"/>
      <c r="L13" s="540"/>
    </row>
    <row r="14" spans="1:12" s="111" customFormat="1" ht="20.100000000000001" customHeight="1">
      <c r="A14" s="117"/>
      <c r="B14" s="550" t="s">
        <v>361</v>
      </c>
      <c r="C14" s="536"/>
      <c r="D14" s="536"/>
      <c r="E14" s="536"/>
      <c r="F14" s="536"/>
      <c r="G14" s="536"/>
      <c r="H14" s="536"/>
      <c r="I14" s="536"/>
      <c r="J14" s="536"/>
      <c r="K14" s="536"/>
      <c r="L14" s="115"/>
    </row>
    <row r="15" spans="1:12" s="111" customFormat="1" ht="20.100000000000001" customHeight="1">
      <c r="A15" s="117"/>
      <c r="B15" s="556" t="s">
        <v>362</v>
      </c>
      <c r="C15" s="543"/>
      <c r="D15" s="543"/>
      <c r="E15" s="543"/>
      <c r="F15" s="543"/>
      <c r="G15" s="543"/>
      <c r="H15" s="543"/>
      <c r="I15" s="543"/>
      <c r="J15" s="543"/>
      <c r="K15" s="543"/>
      <c r="L15" s="547"/>
    </row>
    <row r="16" spans="1:12" s="111" customFormat="1" ht="20.100000000000001" customHeight="1">
      <c r="A16" s="117"/>
      <c r="B16" s="543"/>
      <c r="C16" s="543"/>
      <c r="D16" s="543"/>
      <c r="E16" s="543"/>
      <c r="F16" s="543"/>
      <c r="G16" s="543"/>
      <c r="H16" s="543"/>
      <c r="I16" s="543"/>
      <c r="J16" s="543"/>
      <c r="K16" s="543"/>
      <c r="L16" s="540"/>
    </row>
    <row r="17" spans="1:12" s="111" customFormat="1" ht="20.100000000000001" customHeight="1">
      <c r="A17" s="117"/>
      <c r="B17" s="551" t="s">
        <v>363</v>
      </c>
      <c r="C17" s="538"/>
      <c r="D17" s="538"/>
      <c r="E17" s="538"/>
      <c r="F17" s="538"/>
      <c r="G17" s="538"/>
      <c r="H17" s="538"/>
      <c r="I17" s="538"/>
      <c r="J17" s="538"/>
      <c r="K17" s="538"/>
      <c r="L17" s="115"/>
    </row>
    <row r="18" spans="1:12" s="111" customFormat="1" ht="30" customHeight="1">
      <c r="A18" s="117"/>
      <c r="B18" s="550" t="s">
        <v>364</v>
      </c>
      <c r="C18" s="536"/>
      <c r="D18" s="536"/>
      <c r="E18" s="536"/>
      <c r="F18" s="536"/>
      <c r="G18" s="536"/>
      <c r="H18" s="536"/>
      <c r="I18" s="536"/>
      <c r="J18" s="536"/>
      <c r="K18" s="536"/>
      <c r="L18" s="115"/>
    </row>
    <row r="19" spans="1:12" s="111" customFormat="1" ht="51" customHeight="1">
      <c r="A19" s="117"/>
      <c r="B19" s="535"/>
      <c r="C19" s="536"/>
      <c r="D19" s="536"/>
      <c r="E19" s="536"/>
      <c r="F19" s="536"/>
      <c r="G19" s="536"/>
      <c r="H19" s="536"/>
      <c r="I19" s="536"/>
      <c r="J19" s="536"/>
      <c r="K19" s="536"/>
      <c r="L19" s="539" t="s">
        <v>365</v>
      </c>
    </row>
    <row r="20" spans="1:12" s="111" customFormat="1" ht="54.75" customHeight="1">
      <c r="A20" s="117"/>
      <c r="B20" s="536"/>
      <c r="C20" s="536"/>
      <c r="D20" s="536"/>
      <c r="E20" s="536"/>
      <c r="F20" s="536"/>
      <c r="G20" s="536"/>
      <c r="H20" s="536"/>
      <c r="I20" s="536"/>
      <c r="J20" s="536"/>
      <c r="K20" s="536"/>
      <c r="L20" s="539"/>
    </row>
    <row r="21" spans="1:12" s="111" customFormat="1" ht="20.100000000000001" customHeight="1">
      <c r="A21" s="117"/>
      <c r="B21" s="537" t="s">
        <v>366</v>
      </c>
      <c r="C21" s="538"/>
      <c r="D21" s="538"/>
      <c r="E21" s="538"/>
      <c r="F21" s="538"/>
      <c r="G21" s="538"/>
      <c r="H21" s="538"/>
      <c r="I21" s="538"/>
      <c r="J21" s="538"/>
      <c r="K21" s="538"/>
      <c r="L21" s="115"/>
    </row>
    <row r="22" spans="1:12" s="111" customFormat="1" ht="20.100000000000001" customHeight="1">
      <c r="A22" s="117"/>
      <c r="B22" s="535"/>
      <c r="C22" s="536"/>
      <c r="D22" s="536"/>
      <c r="E22" s="536"/>
      <c r="F22" s="536"/>
      <c r="G22" s="536"/>
      <c r="H22" s="536"/>
      <c r="I22" s="536"/>
      <c r="J22" s="536"/>
      <c r="K22" s="536"/>
      <c r="L22" s="539" t="s">
        <v>367</v>
      </c>
    </row>
    <row r="23" spans="1:12" s="111" customFormat="1" ht="20.100000000000001" customHeight="1">
      <c r="A23" s="117"/>
      <c r="B23" s="536"/>
      <c r="C23" s="536"/>
      <c r="D23" s="536"/>
      <c r="E23" s="536"/>
      <c r="F23" s="536"/>
      <c r="G23" s="536"/>
      <c r="H23" s="536"/>
      <c r="I23" s="536"/>
      <c r="J23" s="536"/>
      <c r="K23" s="536"/>
      <c r="L23" s="540"/>
    </row>
    <row r="24" spans="1:12" s="111" customFormat="1" ht="20.100000000000001" customHeight="1">
      <c r="A24" s="117"/>
      <c r="B24" s="537" t="s">
        <v>368</v>
      </c>
      <c r="C24" s="538"/>
      <c r="D24" s="538"/>
      <c r="E24" s="538"/>
      <c r="F24" s="538"/>
      <c r="G24" s="538"/>
      <c r="H24" s="538"/>
      <c r="I24" s="538"/>
      <c r="J24" s="538"/>
      <c r="K24" s="538"/>
      <c r="L24" s="115"/>
    </row>
    <row r="25" spans="1:12" s="111" customFormat="1" ht="20.100000000000001" customHeight="1">
      <c r="A25" s="117"/>
      <c r="B25" s="535"/>
      <c r="C25" s="536"/>
      <c r="D25" s="536"/>
      <c r="E25" s="536"/>
      <c r="F25" s="536"/>
      <c r="G25" s="536"/>
      <c r="H25" s="536"/>
      <c r="I25" s="536"/>
      <c r="J25" s="536"/>
      <c r="K25" s="536"/>
      <c r="L25" s="539" t="s">
        <v>369</v>
      </c>
    </row>
    <row r="26" spans="1:12" s="111" customFormat="1" ht="20.100000000000001" customHeight="1">
      <c r="A26" s="117"/>
      <c r="B26" s="536"/>
      <c r="C26" s="536"/>
      <c r="D26" s="536"/>
      <c r="E26" s="536"/>
      <c r="F26" s="536"/>
      <c r="G26" s="536"/>
      <c r="H26" s="536"/>
      <c r="I26" s="536"/>
      <c r="J26" s="536"/>
      <c r="K26" s="536"/>
      <c r="L26" s="540"/>
    </row>
    <row r="27" spans="1:12" s="111" customFormat="1" ht="20.100000000000001" customHeight="1">
      <c r="A27" s="117"/>
      <c r="B27" s="537" t="s">
        <v>370</v>
      </c>
      <c r="C27" s="538"/>
      <c r="D27" s="538"/>
      <c r="E27" s="538"/>
      <c r="F27" s="538"/>
      <c r="G27" s="538"/>
      <c r="H27" s="538"/>
      <c r="I27" s="538"/>
      <c r="J27" s="538"/>
      <c r="K27" s="538"/>
      <c r="L27" s="115"/>
    </row>
    <row r="28" spans="1:12" s="111" customFormat="1" ht="20.100000000000001" customHeight="1">
      <c r="A28" s="117"/>
      <c r="B28" s="535"/>
      <c r="C28" s="536"/>
      <c r="D28" s="536"/>
      <c r="E28" s="536"/>
      <c r="F28" s="536"/>
      <c r="G28" s="536"/>
      <c r="H28" s="536"/>
      <c r="I28" s="536"/>
      <c r="J28" s="536"/>
      <c r="K28" s="536"/>
      <c r="L28" s="115"/>
    </row>
    <row r="29" spans="1:12" s="111" customFormat="1" ht="20.100000000000001" customHeight="1">
      <c r="A29" s="117"/>
      <c r="B29" s="536"/>
      <c r="C29" s="536"/>
      <c r="D29" s="536"/>
      <c r="E29" s="536"/>
      <c r="F29" s="536"/>
      <c r="G29" s="536"/>
      <c r="H29" s="536"/>
      <c r="I29" s="536"/>
      <c r="J29" s="536"/>
      <c r="K29" s="536"/>
      <c r="L29" s="115"/>
    </row>
    <row r="30" spans="1:12" s="111" customFormat="1" ht="20.100000000000001" customHeight="1">
      <c r="A30" s="117"/>
      <c r="B30" s="537" t="s">
        <v>371</v>
      </c>
      <c r="C30" s="538"/>
      <c r="D30" s="538"/>
      <c r="E30" s="538"/>
      <c r="F30" s="538"/>
      <c r="G30" s="538"/>
      <c r="H30" s="538"/>
      <c r="I30" s="538"/>
      <c r="J30" s="538"/>
      <c r="K30" s="538"/>
      <c r="L30" s="115"/>
    </row>
    <row r="31" spans="1:12" s="111" customFormat="1" ht="20.100000000000001" customHeight="1">
      <c r="A31" s="117"/>
      <c r="B31" s="535"/>
      <c r="C31" s="536"/>
      <c r="D31" s="536"/>
      <c r="E31" s="536"/>
      <c r="F31" s="536"/>
      <c r="G31" s="536"/>
      <c r="H31" s="536"/>
      <c r="I31" s="536"/>
      <c r="J31" s="536"/>
      <c r="K31" s="536"/>
      <c r="L31" s="539" t="s">
        <v>372</v>
      </c>
    </row>
    <row r="32" spans="1:12" s="111" customFormat="1" ht="20.100000000000001" customHeight="1">
      <c r="A32" s="117"/>
      <c r="B32" s="536"/>
      <c r="C32" s="536"/>
      <c r="D32" s="536"/>
      <c r="E32" s="536"/>
      <c r="F32" s="536"/>
      <c r="G32" s="536"/>
      <c r="H32" s="536"/>
      <c r="I32" s="536"/>
      <c r="J32" s="536"/>
      <c r="K32" s="536"/>
      <c r="L32" s="541"/>
    </row>
    <row r="33" spans="1:12" s="111" customFormat="1" ht="20.100000000000001" customHeight="1">
      <c r="A33" s="117"/>
      <c r="B33" s="537" t="s">
        <v>373</v>
      </c>
      <c r="C33" s="538"/>
      <c r="D33" s="538"/>
      <c r="E33" s="538"/>
      <c r="F33" s="538"/>
      <c r="G33" s="538"/>
      <c r="H33" s="538"/>
      <c r="I33" s="538"/>
      <c r="J33" s="538"/>
      <c r="K33" s="538"/>
      <c r="L33" s="115"/>
    </row>
    <row r="34" spans="1:12" s="111" customFormat="1" ht="20.100000000000001" customHeight="1">
      <c r="A34" s="117"/>
      <c r="B34" s="535"/>
      <c r="C34" s="536"/>
      <c r="D34" s="536"/>
      <c r="E34" s="536"/>
      <c r="F34" s="536"/>
      <c r="G34" s="536"/>
      <c r="H34" s="536"/>
      <c r="I34" s="536"/>
      <c r="J34" s="536"/>
      <c r="K34" s="536"/>
      <c r="L34" s="115"/>
    </row>
    <row r="35" spans="1:12" s="111" customFormat="1" ht="20.100000000000001" customHeight="1">
      <c r="A35" s="117"/>
      <c r="B35" s="536"/>
      <c r="C35" s="536"/>
      <c r="D35" s="536"/>
      <c r="E35" s="536"/>
      <c r="F35" s="536"/>
      <c r="G35" s="536"/>
      <c r="H35" s="536"/>
      <c r="I35" s="536"/>
      <c r="J35" s="536"/>
      <c r="K35" s="536"/>
      <c r="L35" s="115"/>
    </row>
    <row r="36" spans="1:12" s="111" customFormat="1" ht="20.100000000000001" customHeight="1">
      <c r="A36" s="117"/>
      <c r="B36" s="537" t="s">
        <v>374</v>
      </c>
      <c r="C36" s="538"/>
      <c r="D36" s="538"/>
      <c r="E36" s="538"/>
      <c r="F36" s="538"/>
      <c r="G36" s="538"/>
      <c r="H36" s="538"/>
      <c r="I36" s="538"/>
      <c r="J36" s="538"/>
      <c r="K36" s="538"/>
      <c r="L36" s="115"/>
    </row>
    <row r="37" spans="1:12" s="111" customFormat="1" ht="20.100000000000001" customHeight="1">
      <c r="A37" s="117"/>
      <c r="B37" s="535"/>
      <c r="C37" s="536"/>
      <c r="D37" s="536"/>
      <c r="E37" s="536"/>
      <c r="F37" s="536"/>
      <c r="G37" s="536"/>
      <c r="H37" s="536"/>
      <c r="I37" s="536"/>
      <c r="J37" s="536"/>
      <c r="K37" s="536"/>
      <c r="L37" s="539" t="s">
        <v>375</v>
      </c>
    </row>
    <row r="38" spans="1:12" s="111" customFormat="1" ht="20.100000000000001" customHeight="1">
      <c r="A38" s="117"/>
      <c r="B38" s="536"/>
      <c r="C38" s="536"/>
      <c r="D38" s="536"/>
      <c r="E38" s="536"/>
      <c r="F38" s="536"/>
      <c r="G38" s="536"/>
      <c r="H38" s="536"/>
      <c r="I38" s="536"/>
      <c r="J38" s="536"/>
      <c r="K38" s="536"/>
      <c r="L38" s="541"/>
    </row>
    <row r="39" spans="1:12" s="111" customFormat="1" ht="20.100000000000001" customHeight="1">
      <c r="A39" s="117"/>
      <c r="B39" s="537" t="s">
        <v>376</v>
      </c>
      <c r="C39" s="538"/>
      <c r="D39" s="538"/>
      <c r="E39" s="538"/>
      <c r="F39" s="538"/>
      <c r="G39" s="538"/>
      <c r="H39" s="538"/>
      <c r="I39" s="538"/>
      <c r="J39" s="538"/>
      <c r="K39" s="538"/>
      <c r="L39" s="115"/>
    </row>
    <row r="40" spans="1:12" s="111" customFormat="1" ht="20.100000000000001" customHeight="1">
      <c r="A40" s="117"/>
      <c r="B40" s="535"/>
      <c r="C40" s="536"/>
      <c r="D40" s="536"/>
      <c r="E40" s="536"/>
      <c r="F40" s="536"/>
      <c r="G40" s="536"/>
      <c r="H40" s="536"/>
      <c r="I40" s="536"/>
      <c r="J40" s="536"/>
      <c r="K40" s="536"/>
      <c r="L40" s="539" t="s">
        <v>377</v>
      </c>
    </row>
    <row r="41" spans="1:12" s="111" customFormat="1" ht="20.100000000000001" customHeight="1">
      <c r="A41" s="117"/>
      <c r="B41" s="536"/>
      <c r="C41" s="536"/>
      <c r="D41" s="536"/>
      <c r="E41" s="536"/>
      <c r="F41" s="536"/>
      <c r="G41" s="536"/>
      <c r="H41" s="536"/>
      <c r="I41" s="536"/>
      <c r="J41" s="536"/>
      <c r="K41" s="536"/>
      <c r="L41" s="541"/>
    </row>
    <row r="42" spans="1:12" s="111" customFormat="1" ht="20.100000000000001" customHeight="1">
      <c r="A42" s="117"/>
      <c r="B42" s="537" t="s">
        <v>378</v>
      </c>
      <c r="C42" s="538"/>
      <c r="D42" s="538"/>
      <c r="E42" s="538"/>
      <c r="F42" s="538"/>
      <c r="G42" s="538"/>
      <c r="H42" s="538"/>
      <c r="I42" s="538"/>
      <c r="J42" s="538"/>
      <c r="K42" s="538"/>
      <c r="L42" s="115"/>
    </row>
    <row r="43" spans="1:12" s="111" customFormat="1" ht="20.100000000000001" customHeight="1">
      <c r="A43" s="117"/>
      <c r="B43" s="535"/>
      <c r="C43" s="536"/>
      <c r="D43" s="536"/>
      <c r="E43" s="536"/>
      <c r="F43" s="536"/>
      <c r="G43" s="536"/>
      <c r="H43" s="536"/>
      <c r="I43" s="536"/>
      <c r="J43" s="536"/>
      <c r="K43" s="536"/>
      <c r="L43" s="115"/>
    </row>
    <row r="44" spans="1:12" s="111" customFormat="1" ht="20.100000000000001" customHeight="1">
      <c r="A44" s="117"/>
      <c r="B44" s="536"/>
      <c r="C44" s="536"/>
      <c r="D44" s="536"/>
      <c r="E44" s="536"/>
      <c r="F44" s="536"/>
      <c r="G44" s="536"/>
      <c r="H44" s="536"/>
      <c r="I44" s="536"/>
      <c r="J44" s="536"/>
      <c r="K44" s="536"/>
      <c r="L44" s="115"/>
    </row>
    <row r="45" spans="1:12" s="111" customFormat="1" ht="20.100000000000001" customHeight="1">
      <c r="A45" s="117"/>
      <c r="B45" s="551" t="s">
        <v>379</v>
      </c>
      <c r="C45" s="538"/>
      <c r="D45" s="538"/>
      <c r="E45" s="538"/>
      <c r="F45" s="538"/>
      <c r="G45" s="538"/>
      <c r="H45" s="538"/>
      <c r="I45" s="538"/>
      <c r="J45" s="538"/>
      <c r="K45" s="538"/>
      <c r="L45" s="115"/>
    </row>
    <row r="46" spans="1:12" s="111" customFormat="1" ht="30" customHeight="1">
      <c r="A46" s="117"/>
      <c r="B46" s="550" t="s">
        <v>364</v>
      </c>
      <c r="C46" s="536"/>
      <c r="D46" s="536"/>
      <c r="E46" s="536"/>
      <c r="F46" s="536"/>
      <c r="G46" s="536"/>
      <c r="H46" s="536"/>
      <c r="I46" s="536"/>
      <c r="J46" s="536"/>
      <c r="K46" s="536"/>
      <c r="L46" s="115"/>
    </row>
    <row r="47" spans="1:12" s="111" customFormat="1" ht="39" customHeight="1">
      <c r="A47" s="117"/>
      <c r="B47" s="535"/>
      <c r="C47" s="536"/>
      <c r="D47" s="536"/>
      <c r="E47" s="536"/>
      <c r="F47" s="536"/>
      <c r="G47" s="536"/>
      <c r="H47" s="536"/>
      <c r="I47" s="536"/>
      <c r="J47" s="536"/>
      <c r="K47" s="536"/>
      <c r="L47" s="539" t="s">
        <v>380</v>
      </c>
    </row>
    <row r="48" spans="1:12" s="111" customFormat="1" ht="51" customHeight="1">
      <c r="A48" s="117"/>
      <c r="B48" s="536"/>
      <c r="C48" s="536"/>
      <c r="D48" s="536"/>
      <c r="E48" s="536"/>
      <c r="F48" s="536"/>
      <c r="G48" s="536"/>
      <c r="H48" s="536"/>
      <c r="I48" s="536"/>
      <c r="J48" s="536"/>
      <c r="K48" s="536"/>
      <c r="L48" s="541"/>
    </row>
    <row r="49" spans="1:12" s="111" customFormat="1" ht="20.100000000000001" customHeight="1">
      <c r="A49" s="117"/>
      <c r="B49" s="537" t="s">
        <v>366</v>
      </c>
      <c r="C49" s="538"/>
      <c r="D49" s="538"/>
      <c r="E49" s="538"/>
      <c r="F49" s="538"/>
      <c r="G49" s="538"/>
      <c r="H49" s="538"/>
      <c r="I49" s="538"/>
      <c r="J49" s="538"/>
      <c r="K49" s="538"/>
      <c r="L49" s="115"/>
    </row>
    <row r="50" spans="1:12" s="111" customFormat="1" ht="20.100000000000001" customHeight="1">
      <c r="A50" s="117"/>
      <c r="B50" s="535"/>
      <c r="C50" s="536"/>
      <c r="D50" s="536"/>
      <c r="E50" s="536"/>
      <c r="F50" s="536"/>
      <c r="G50" s="536"/>
      <c r="H50" s="536"/>
      <c r="I50" s="536"/>
      <c r="J50" s="536"/>
      <c r="K50" s="536"/>
      <c r="L50" s="539" t="s">
        <v>367</v>
      </c>
    </row>
    <row r="51" spans="1:12" s="111" customFormat="1" ht="20.100000000000001" customHeight="1">
      <c r="A51" s="117"/>
      <c r="B51" s="536"/>
      <c r="C51" s="536"/>
      <c r="D51" s="536"/>
      <c r="E51" s="536"/>
      <c r="F51" s="536"/>
      <c r="G51" s="536"/>
      <c r="H51" s="536"/>
      <c r="I51" s="536"/>
      <c r="J51" s="536"/>
      <c r="K51" s="536"/>
      <c r="L51" s="540"/>
    </row>
    <row r="52" spans="1:12" s="111" customFormat="1" ht="20.100000000000001" customHeight="1">
      <c r="A52" s="117"/>
      <c r="B52" s="537" t="s">
        <v>368</v>
      </c>
      <c r="C52" s="538"/>
      <c r="D52" s="538"/>
      <c r="E52" s="538"/>
      <c r="F52" s="538"/>
      <c r="G52" s="538"/>
      <c r="H52" s="538"/>
      <c r="I52" s="538"/>
      <c r="J52" s="538"/>
      <c r="K52" s="538"/>
      <c r="L52" s="115"/>
    </row>
    <row r="53" spans="1:12" s="111" customFormat="1" ht="20.100000000000001" customHeight="1">
      <c r="A53" s="117"/>
      <c r="B53" s="535"/>
      <c r="C53" s="536"/>
      <c r="D53" s="536"/>
      <c r="E53" s="536"/>
      <c r="F53" s="536"/>
      <c r="G53" s="536"/>
      <c r="H53" s="536"/>
      <c r="I53" s="536"/>
      <c r="J53" s="536"/>
      <c r="K53" s="536"/>
      <c r="L53" s="539" t="s">
        <v>369</v>
      </c>
    </row>
    <row r="54" spans="1:12" s="111" customFormat="1" ht="20.100000000000001" customHeight="1">
      <c r="A54" s="117"/>
      <c r="B54" s="536"/>
      <c r="C54" s="536"/>
      <c r="D54" s="536"/>
      <c r="E54" s="536"/>
      <c r="F54" s="536"/>
      <c r="G54" s="536"/>
      <c r="H54" s="536"/>
      <c r="I54" s="536"/>
      <c r="J54" s="536"/>
      <c r="K54" s="536"/>
      <c r="L54" s="540"/>
    </row>
    <row r="55" spans="1:12" s="111" customFormat="1" ht="20.100000000000001" customHeight="1">
      <c r="A55" s="117"/>
      <c r="B55" s="537" t="s">
        <v>370</v>
      </c>
      <c r="C55" s="538"/>
      <c r="D55" s="538"/>
      <c r="E55" s="538"/>
      <c r="F55" s="538"/>
      <c r="G55" s="538"/>
      <c r="H55" s="538"/>
      <c r="I55" s="538"/>
      <c r="J55" s="538"/>
      <c r="K55" s="538"/>
      <c r="L55" s="115"/>
    </row>
    <row r="56" spans="1:12" s="111" customFormat="1" ht="20.100000000000001" customHeight="1">
      <c r="A56" s="117"/>
      <c r="B56" s="535"/>
      <c r="C56" s="536"/>
      <c r="D56" s="536"/>
      <c r="E56" s="536"/>
      <c r="F56" s="536"/>
      <c r="G56" s="536"/>
      <c r="H56" s="536"/>
      <c r="I56" s="536"/>
      <c r="J56" s="536"/>
      <c r="K56" s="536"/>
      <c r="L56" s="115"/>
    </row>
    <row r="57" spans="1:12" s="111" customFormat="1" ht="20.100000000000001" customHeight="1">
      <c r="A57" s="117"/>
      <c r="B57" s="536"/>
      <c r="C57" s="536"/>
      <c r="D57" s="536"/>
      <c r="E57" s="536"/>
      <c r="F57" s="536"/>
      <c r="G57" s="536"/>
      <c r="H57" s="536"/>
      <c r="I57" s="536"/>
      <c r="J57" s="536"/>
      <c r="K57" s="536"/>
      <c r="L57" s="115"/>
    </row>
    <row r="58" spans="1:12" s="111" customFormat="1" ht="20.100000000000001" customHeight="1">
      <c r="A58" s="117"/>
      <c r="B58" s="537" t="s">
        <v>371</v>
      </c>
      <c r="C58" s="538"/>
      <c r="D58" s="538"/>
      <c r="E58" s="538"/>
      <c r="F58" s="538"/>
      <c r="G58" s="538"/>
      <c r="H58" s="538"/>
      <c r="I58" s="538"/>
      <c r="J58" s="538"/>
      <c r="K58" s="538"/>
      <c r="L58" s="115"/>
    </row>
    <row r="59" spans="1:12" s="111" customFormat="1" ht="20.100000000000001" customHeight="1">
      <c r="A59" s="117"/>
      <c r="B59" s="535"/>
      <c r="C59" s="536"/>
      <c r="D59" s="536"/>
      <c r="E59" s="536"/>
      <c r="F59" s="536"/>
      <c r="G59" s="536"/>
      <c r="H59" s="536"/>
      <c r="I59" s="536"/>
      <c r="J59" s="536"/>
      <c r="K59" s="536"/>
      <c r="L59" s="539"/>
    </row>
    <row r="60" spans="1:12" s="111" customFormat="1" ht="20.100000000000001" customHeight="1">
      <c r="A60" s="117"/>
      <c r="B60" s="536"/>
      <c r="C60" s="536"/>
      <c r="D60" s="536"/>
      <c r="E60" s="536"/>
      <c r="F60" s="536"/>
      <c r="G60" s="536"/>
      <c r="H60" s="536"/>
      <c r="I60" s="536"/>
      <c r="J60" s="536"/>
      <c r="K60" s="536"/>
      <c r="L60" s="540"/>
    </row>
    <row r="61" spans="1:12" s="111" customFormat="1" ht="20.100000000000001" customHeight="1">
      <c r="A61" s="117"/>
      <c r="B61" s="537" t="s">
        <v>373</v>
      </c>
      <c r="C61" s="538"/>
      <c r="D61" s="538"/>
      <c r="E61" s="538"/>
      <c r="F61" s="538"/>
      <c r="G61" s="538"/>
      <c r="H61" s="538"/>
      <c r="I61" s="538"/>
      <c r="J61" s="538"/>
      <c r="K61" s="538"/>
      <c r="L61" s="115"/>
    </row>
    <row r="62" spans="1:12" s="111" customFormat="1" ht="20.100000000000001" customHeight="1">
      <c r="A62" s="117"/>
      <c r="B62" s="535"/>
      <c r="C62" s="536"/>
      <c r="D62" s="536"/>
      <c r="E62" s="536"/>
      <c r="F62" s="536"/>
      <c r="G62" s="536"/>
      <c r="H62" s="536"/>
      <c r="I62" s="536"/>
      <c r="J62" s="536"/>
      <c r="K62" s="536"/>
      <c r="L62" s="115"/>
    </row>
    <row r="63" spans="1:12" s="111" customFormat="1" ht="20.100000000000001" customHeight="1">
      <c r="A63" s="117"/>
      <c r="B63" s="536"/>
      <c r="C63" s="536"/>
      <c r="D63" s="536"/>
      <c r="E63" s="536"/>
      <c r="F63" s="536"/>
      <c r="G63" s="536"/>
      <c r="H63" s="536"/>
      <c r="I63" s="536"/>
      <c r="J63" s="536"/>
      <c r="K63" s="536"/>
      <c r="L63" s="115"/>
    </row>
    <row r="64" spans="1:12" s="111" customFormat="1" ht="20.100000000000001" customHeight="1">
      <c r="A64" s="117"/>
      <c r="B64" s="537" t="s">
        <v>374</v>
      </c>
      <c r="C64" s="538"/>
      <c r="D64" s="538"/>
      <c r="E64" s="538"/>
      <c r="F64" s="538"/>
      <c r="G64" s="538"/>
      <c r="H64" s="538"/>
      <c r="I64" s="538"/>
      <c r="J64" s="538"/>
      <c r="K64" s="538"/>
      <c r="L64" s="115"/>
    </row>
    <row r="65" spans="1:12" s="111" customFormat="1" ht="20.100000000000001" customHeight="1">
      <c r="A65" s="117"/>
      <c r="B65" s="535"/>
      <c r="C65" s="536"/>
      <c r="D65" s="536"/>
      <c r="E65" s="536"/>
      <c r="F65" s="536"/>
      <c r="G65" s="536"/>
      <c r="H65" s="536"/>
      <c r="I65" s="536"/>
      <c r="J65" s="536"/>
      <c r="K65" s="536"/>
      <c r="L65" s="539" t="s">
        <v>375</v>
      </c>
    </row>
    <row r="66" spans="1:12" s="111" customFormat="1" ht="20.100000000000001" customHeight="1">
      <c r="A66" s="117"/>
      <c r="B66" s="536"/>
      <c r="C66" s="536"/>
      <c r="D66" s="536"/>
      <c r="E66" s="536"/>
      <c r="F66" s="536"/>
      <c r="G66" s="536"/>
      <c r="H66" s="536"/>
      <c r="I66" s="536"/>
      <c r="J66" s="536"/>
      <c r="K66" s="536"/>
      <c r="L66" s="541"/>
    </row>
    <row r="67" spans="1:12" s="111" customFormat="1" ht="20.100000000000001" customHeight="1">
      <c r="A67" s="117"/>
      <c r="B67" s="537" t="s">
        <v>376</v>
      </c>
      <c r="C67" s="538"/>
      <c r="D67" s="538"/>
      <c r="E67" s="538"/>
      <c r="F67" s="538"/>
      <c r="G67" s="538"/>
      <c r="H67" s="538"/>
      <c r="I67" s="538"/>
      <c r="J67" s="538"/>
      <c r="K67" s="538"/>
      <c r="L67" s="115"/>
    </row>
    <row r="68" spans="1:12" s="111" customFormat="1" ht="20.100000000000001" customHeight="1">
      <c r="A68" s="117"/>
      <c r="B68" s="535"/>
      <c r="C68" s="536"/>
      <c r="D68" s="536"/>
      <c r="E68" s="536"/>
      <c r="F68" s="536"/>
      <c r="G68" s="536"/>
      <c r="H68" s="536"/>
      <c r="I68" s="536"/>
      <c r="J68" s="536"/>
      <c r="K68" s="536"/>
      <c r="L68" s="539" t="s">
        <v>377</v>
      </c>
    </row>
    <row r="69" spans="1:12" s="111" customFormat="1" ht="20.100000000000001" customHeight="1">
      <c r="A69" s="117"/>
      <c r="B69" s="536"/>
      <c r="C69" s="536"/>
      <c r="D69" s="536"/>
      <c r="E69" s="536"/>
      <c r="F69" s="536"/>
      <c r="G69" s="536"/>
      <c r="H69" s="536"/>
      <c r="I69" s="536"/>
      <c r="J69" s="536"/>
      <c r="K69" s="536"/>
      <c r="L69" s="541"/>
    </row>
    <row r="70" spans="1:12" s="111" customFormat="1" ht="20.100000000000001" customHeight="1">
      <c r="A70" s="117"/>
      <c r="B70" s="537" t="s">
        <v>378</v>
      </c>
      <c r="C70" s="538"/>
      <c r="D70" s="538"/>
      <c r="E70" s="538"/>
      <c r="F70" s="538"/>
      <c r="G70" s="538"/>
      <c r="H70" s="538"/>
      <c r="I70" s="538"/>
      <c r="J70" s="538"/>
      <c r="K70" s="538"/>
      <c r="L70" s="115"/>
    </row>
    <row r="71" spans="1:12" s="111" customFormat="1" ht="20.100000000000001" customHeight="1">
      <c r="A71" s="117"/>
      <c r="B71" s="535"/>
      <c r="C71" s="536"/>
      <c r="D71" s="536"/>
      <c r="E71" s="536"/>
      <c r="F71" s="536"/>
      <c r="G71" s="536"/>
      <c r="H71" s="536"/>
      <c r="I71" s="536"/>
      <c r="J71" s="536"/>
      <c r="K71" s="536"/>
      <c r="L71" s="115"/>
    </row>
    <row r="72" spans="1:12" s="111" customFormat="1" ht="20.100000000000001" customHeight="1">
      <c r="A72" s="117"/>
      <c r="B72" s="536"/>
      <c r="C72" s="536"/>
      <c r="D72" s="536"/>
      <c r="E72" s="536"/>
      <c r="F72" s="536"/>
      <c r="G72" s="536"/>
      <c r="H72" s="536"/>
      <c r="I72" s="536"/>
      <c r="J72" s="536"/>
      <c r="K72" s="536"/>
      <c r="L72" s="115"/>
    </row>
    <row r="73" spans="1:12" s="111" customFormat="1" ht="20.100000000000001" customHeight="1">
      <c r="A73" s="117"/>
      <c r="B73" s="551" t="s">
        <v>381</v>
      </c>
      <c r="C73" s="538"/>
      <c r="D73" s="538"/>
      <c r="E73" s="538"/>
      <c r="F73" s="538"/>
      <c r="G73" s="538"/>
      <c r="H73" s="538"/>
      <c r="I73" s="538"/>
      <c r="J73" s="538"/>
      <c r="K73" s="538"/>
      <c r="L73" s="115"/>
    </row>
    <row r="74" spans="1:12" s="111" customFormat="1" ht="23.25" customHeight="1">
      <c r="A74" s="117"/>
      <c r="B74" s="550" t="s">
        <v>382</v>
      </c>
      <c r="C74" s="536"/>
      <c r="D74" s="536"/>
      <c r="E74" s="536"/>
      <c r="F74" s="536"/>
      <c r="G74" s="536"/>
      <c r="H74" s="536"/>
      <c r="I74" s="536"/>
      <c r="J74" s="536"/>
      <c r="K74" s="536"/>
      <c r="L74" s="115"/>
    </row>
    <row r="75" spans="1:12" s="111" customFormat="1" ht="20.100000000000001" customHeight="1">
      <c r="A75" s="117"/>
      <c r="B75" s="535"/>
      <c r="C75" s="536"/>
      <c r="D75" s="536"/>
      <c r="E75" s="536"/>
      <c r="F75" s="536"/>
      <c r="G75" s="536"/>
      <c r="H75" s="536"/>
      <c r="I75" s="536"/>
      <c r="J75" s="536"/>
      <c r="K75" s="536"/>
      <c r="L75" s="548" t="s">
        <v>383</v>
      </c>
    </row>
    <row r="76" spans="1:12" s="111" customFormat="1" ht="20.100000000000001" customHeight="1">
      <c r="A76" s="117"/>
      <c r="B76" s="536"/>
      <c r="C76" s="536"/>
      <c r="D76" s="536"/>
      <c r="E76" s="536"/>
      <c r="F76" s="536"/>
      <c r="G76" s="536"/>
      <c r="H76" s="536"/>
      <c r="I76" s="536"/>
      <c r="J76" s="536"/>
      <c r="K76" s="536"/>
      <c r="L76" s="549"/>
    </row>
    <row r="77" spans="1:12" s="111" customFormat="1" ht="20.100000000000001" customHeight="1">
      <c r="A77" s="117"/>
      <c r="B77" s="537" t="s">
        <v>384</v>
      </c>
      <c r="C77" s="538"/>
      <c r="D77" s="538"/>
      <c r="E77" s="538"/>
      <c r="F77" s="538"/>
      <c r="G77" s="538"/>
      <c r="H77" s="538"/>
      <c r="I77" s="538"/>
      <c r="J77" s="538"/>
      <c r="K77" s="538"/>
      <c r="L77" s="115"/>
    </row>
    <row r="78" spans="1:12" s="111" customFormat="1" ht="20.100000000000001" customHeight="1">
      <c r="A78" s="117"/>
      <c r="B78" s="535"/>
      <c r="C78" s="536"/>
      <c r="D78" s="536"/>
      <c r="E78" s="536"/>
      <c r="F78" s="536"/>
      <c r="G78" s="536"/>
      <c r="H78" s="536"/>
      <c r="I78" s="536"/>
      <c r="J78" s="536"/>
      <c r="K78" s="536"/>
      <c r="L78" s="548" t="s">
        <v>385</v>
      </c>
    </row>
    <row r="79" spans="1:12" s="111" customFormat="1" ht="20.100000000000001" customHeight="1">
      <c r="A79" s="117"/>
      <c r="B79" s="536"/>
      <c r="C79" s="536"/>
      <c r="D79" s="536"/>
      <c r="E79" s="536"/>
      <c r="F79" s="536"/>
      <c r="G79" s="536"/>
      <c r="H79" s="536"/>
      <c r="I79" s="536"/>
      <c r="J79" s="536"/>
      <c r="K79" s="536"/>
      <c r="L79" s="549"/>
    </row>
    <row r="80" spans="1:12" s="111" customFormat="1" ht="20.100000000000001" customHeight="1">
      <c r="A80" s="117"/>
      <c r="B80" s="537" t="s">
        <v>386</v>
      </c>
      <c r="C80" s="538"/>
      <c r="D80" s="538"/>
      <c r="E80" s="538"/>
      <c r="F80" s="538"/>
      <c r="G80" s="538"/>
      <c r="H80" s="538"/>
      <c r="I80" s="538"/>
      <c r="J80" s="538"/>
      <c r="K80" s="538"/>
      <c r="L80" s="115"/>
    </row>
    <row r="81" spans="1:12" s="111" customFormat="1" ht="20.100000000000001" customHeight="1">
      <c r="A81" s="117"/>
      <c r="B81" s="535"/>
      <c r="C81" s="536"/>
      <c r="D81" s="536"/>
      <c r="E81" s="536"/>
      <c r="F81" s="536"/>
      <c r="G81" s="536"/>
      <c r="H81" s="536"/>
      <c r="I81" s="536"/>
      <c r="J81" s="536"/>
      <c r="K81" s="536"/>
      <c r="L81" s="122"/>
    </row>
    <row r="82" spans="1:12" s="111" customFormat="1" ht="20.100000000000001" customHeight="1">
      <c r="A82" s="117"/>
      <c r="B82" s="536"/>
      <c r="C82" s="536"/>
      <c r="D82" s="536"/>
      <c r="E82" s="536"/>
      <c r="F82" s="536"/>
      <c r="G82" s="536"/>
      <c r="H82" s="536"/>
      <c r="I82" s="536"/>
      <c r="J82" s="536"/>
      <c r="K82" s="536"/>
      <c r="L82" s="115"/>
    </row>
    <row r="83" spans="1:12" s="111" customFormat="1" ht="20.100000000000001" customHeight="1">
      <c r="A83" s="117"/>
      <c r="B83" s="537" t="s">
        <v>387</v>
      </c>
      <c r="C83" s="538"/>
      <c r="D83" s="538"/>
      <c r="E83" s="538"/>
      <c r="F83" s="538"/>
      <c r="G83" s="538"/>
      <c r="H83" s="538"/>
      <c r="I83" s="538"/>
      <c r="J83" s="538"/>
      <c r="K83" s="538"/>
      <c r="L83" s="115"/>
    </row>
    <row r="84" spans="1:12" s="111" customFormat="1" ht="20.100000000000001" customHeight="1">
      <c r="A84" s="117"/>
      <c r="B84" s="535"/>
      <c r="C84" s="536"/>
      <c r="D84" s="536"/>
      <c r="E84" s="536"/>
      <c r="F84" s="536"/>
      <c r="G84" s="536"/>
      <c r="H84" s="536"/>
      <c r="I84" s="536"/>
      <c r="J84" s="536"/>
      <c r="K84" s="536"/>
      <c r="L84" s="115"/>
    </row>
    <row r="85" spans="1:12" s="111" customFormat="1" ht="20.100000000000001" customHeight="1">
      <c r="A85" s="117"/>
      <c r="B85" s="536"/>
      <c r="C85" s="536"/>
      <c r="D85" s="536"/>
      <c r="E85" s="536"/>
      <c r="F85" s="536"/>
      <c r="G85" s="536"/>
      <c r="H85" s="536"/>
      <c r="I85" s="536"/>
      <c r="J85" s="536"/>
      <c r="K85" s="536"/>
      <c r="L85" s="115"/>
    </row>
    <row r="86" spans="1:12" s="111" customFormat="1" ht="20.100000000000001" customHeight="1">
      <c r="A86" s="117"/>
      <c r="B86" s="537" t="s">
        <v>388</v>
      </c>
      <c r="C86" s="538"/>
      <c r="D86" s="538"/>
      <c r="E86" s="538"/>
      <c r="F86" s="538"/>
      <c r="G86" s="538"/>
      <c r="H86" s="538"/>
      <c r="I86" s="538"/>
      <c r="J86" s="538"/>
      <c r="K86" s="538"/>
      <c r="L86" s="115"/>
    </row>
    <row r="87" spans="1:12" s="111" customFormat="1" ht="20.100000000000001" customHeight="1">
      <c r="A87" s="117"/>
      <c r="B87" s="535"/>
      <c r="C87" s="536"/>
      <c r="D87" s="536"/>
      <c r="E87" s="536"/>
      <c r="F87" s="536"/>
      <c r="G87" s="536"/>
      <c r="H87" s="536"/>
      <c r="I87" s="536"/>
      <c r="J87" s="536"/>
      <c r="K87" s="536"/>
      <c r="L87" s="115"/>
    </row>
    <row r="88" spans="1:12" s="111" customFormat="1" ht="20.100000000000001" customHeight="1">
      <c r="A88" s="117"/>
      <c r="B88" s="536"/>
      <c r="C88" s="536"/>
      <c r="D88" s="536"/>
      <c r="E88" s="536"/>
      <c r="F88" s="536"/>
      <c r="G88" s="536"/>
      <c r="H88" s="536"/>
      <c r="I88" s="536"/>
      <c r="J88" s="536"/>
      <c r="K88" s="536"/>
      <c r="L88" s="115"/>
    </row>
    <row r="89" spans="1:12" s="111" customFormat="1" ht="20.100000000000001" customHeight="1">
      <c r="A89" s="117"/>
      <c r="B89" s="551" t="s">
        <v>389</v>
      </c>
      <c r="C89" s="538"/>
      <c r="D89" s="538"/>
      <c r="E89" s="538"/>
      <c r="F89" s="538"/>
      <c r="G89" s="538"/>
      <c r="H89" s="538"/>
      <c r="I89" s="538"/>
      <c r="J89" s="538"/>
      <c r="K89" s="538"/>
      <c r="L89" s="115"/>
    </row>
    <row r="90" spans="1:12" s="111" customFormat="1" ht="23.25" customHeight="1">
      <c r="A90" s="117"/>
      <c r="B90" s="550" t="s">
        <v>390</v>
      </c>
      <c r="C90" s="536"/>
      <c r="D90" s="536"/>
      <c r="E90" s="536"/>
      <c r="F90" s="536"/>
      <c r="G90" s="536"/>
      <c r="H90" s="536"/>
      <c r="I90" s="536"/>
      <c r="J90" s="536"/>
      <c r="K90" s="536"/>
      <c r="L90" s="115"/>
    </row>
    <row r="91" spans="1:12" s="111" customFormat="1" ht="20.100000000000001" customHeight="1">
      <c r="A91" s="117"/>
      <c r="B91" s="535"/>
      <c r="C91" s="536"/>
      <c r="D91" s="536"/>
      <c r="E91" s="536"/>
      <c r="F91" s="536"/>
      <c r="G91" s="536"/>
      <c r="H91" s="536"/>
      <c r="I91" s="536"/>
      <c r="J91" s="536"/>
      <c r="K91" s="536"/>
      <c r="L91" s="539" t="s">
        <v>391</v>
      </c>
    </row>
    <row r="92" spans="1:12" s="111" customFormat="1" ht="20.100000000000001" customHeight="1">
      <c r="A92" s="117"/>
      <c r="B92" s="536"/>
      <c r="C92" s="536"/>
      <c r="D92" s="536"/>
      <c r="E92" s="536"/>
      <c r="F92" s="536"/>
      <c r="G92" s="536"/>
      <c r="H92" s="536"/>
      <c r="I92" s="536"/>
      <c r="J92" s="536"/>
      <c r="K92" s="536"/>
      <c r="L92" s="540"/>
    </row>
    <row r="93" spans="1:12" s="111" customFormat="1" ht="23.25" customHeight="1">
      <c r="A93" s="117"/>
      <c r="B93" s="546" t="s">
        <v>392</v>
      </c>
      <c r="C93" s="536"/>
      <c r="D93" s="536"/>
      <c r="E93" s="536"/>
      <c r="F93" s="536"/>
      <c r="G93" s="536"/>
      <c r="H93" s="536"/>
      <c r="I93" s="536"/>
      <c r="J93" s="536"/>
      <c r="K93" s="536"/>
      <c r="L93" s="115"/>
    </row>
    <row r="94" spans="1:12" s="111" customFormat="1" ht="20.100000000000001" customHeight="1">
      <c r="A94" s="117"/>
      <c r="B94" s="535"/>
      <c r="C94" s="536"/>
      <c r="D94" s="536"/>
      <c r="E94" s="536"/>
      <c r="F94" s="536"/>
      <c r="G94" s="536"/>
      <c r="H94" s="536"/>
      <c r="I94" s="536"/>
      <c r="J94" s="536"/>
      <c r="K94" s="536"/>
      <c r="L94" s="539" t="s">
        <v>393</v>
      </c>
    </row>
    <row r="95" spans="1:12" s="111" customFormat="1" ht="20.100000000000001" customHeight="1">
      <c r="A95" s="117"/>
      <c r="B95" s="536"/>
      <c r="C95" s="536"/>
      <c r="D95" s="536"/>
      <c r="E95" s="536"/>
      <c r="F95" s="536"/>
      <c r="G95" s="536"/>
      <c r="H95" s="536"/>
      <c r="I95" s="536"/>
      <c r="J95" s="536"/>
      <c r="K95" s="536"/>
      <c r="L95" s="540"/>
    </row>
    <row r="96" spans="1:12" s="111" customFormat="1" ht="20.100000000000001" customHeight="1">
      <c r="A96" s="117"/>
      <c r="B96" s="551" t="s">
        <v>394</v>
      </c>
      <c r="C96" s="538"/>
      <c r="D96" s="538"/>
      <c r="E96" s="538"/>
      <c r="F96" s="538"/>
      <c r="G96" s="538"/>
      <c r="H96" s="538"/>
      <c r="I96" s="538"/>
      <c r="J96" s="538"/>
      <c r="K96" s="538"/>
      <c r="L96" s="115"/>
    </row>
    <row r="97" spans="1:12" s="111" customFormat="1" ht="49.5" customHeight="1">
      <c r="A97" s="117"/>
      <c r="B97" s="544"/>
      <c r="C97" s="545"/>
      <c r="D97" s="545"/>
      <c r="E97" s="545"/>
      <c r="F97" s="545"/>
      <c r="G97" s="545"/>
      <c r="H97" s="545"/>
      <c r="I97" s="545"/>
      <c r="J97" s="545"/>
      <c r="K97" s="545"/>
      <c r="L97" s="548" t="s">
        <v>395</v>
      </c>
    </row>
    <row r="98" spans="1:12" s="111" customFormat="1" ht="49.5" customHeight="1">
      <c r="A98" s="117"/>
      <c r="B98" s="545"/>
      <c r="C98" s="545"/>
      <c r="D98" s="545"/>
      <c r="E98" s="545"/>
      <c r="F98" s="545"/>
      <c r="G98" s="545"/>
      <c r="H98" s="545"/>
      <c r="I98" s="545"/>
      <c r="J98" s="545"/>
      <c r="K98" s="545"/>
      <c r="L98" s="549"/>
    </row>
    <row r="99" spans="1:12" s="111" customFormat="1" ht="20.100000000000001" customHeight="1">
      <c r="A99" s="117"/>
      <c r="B99" s="551" t="s">
        <v>396</v>
      </c>
      <c r="C99" s="538"/>
      <c r="D99" s="538"/>
      <c r="E99" s="538"/>
      <c r="F99" s="538"/>
      <c r="G99" s="538"/>
      <c r="H99" s="538"/>
      <c r="I99" s="538"/>
      <c r="J99" s="538"/>
      <c r="K99" s="538"/>
      <c r="L99" s="115"/>
    </row>
    <row r="100" spans="1:12" s="111" customFormat="1" ht="23.25" customHeight="1">
      <c r="A100" s="117"/>
      <c r="B100" s="550" t="s">
        <v>397</v>
      </c>
      <c r="C100" s="536"/>
      <c r="D100" s="536"/>
      <c r="E100" s="536"/>
      <c r="F100" s="536"/>
      <c r="G100" s="536"/>
      <c r="H100" s="536"/>
      <c r="I100" s="536"/>
      <c r="J100" s="536"/>
      <c r="K100" s="536"/>
      <c r="L100" s="115"/>
    </row>
    <row r="101" spans="1:12" s="111" customFormat="1" ht="20.100000000000001" customHeight="1">
      <c r="A101" s="117"/>
      <c r="B101" s="544"/>
      <c r="C101" s="536"/>
      <c r="D101" s="536"/>
      <c r="E101" s="536"/>
      <c r="F101" s="536"/>
      <c r="G101" s="536"/>
      <c r="H101" s="536"/>
      <c r="I101" s="536"/>
      <c r="J101" s="536"/>
      <c r="K101" s="536"/>
      <c r="L101" s="539" t="s">
        <v>398</v>
      </c>
    </row>
    <row r="102" spans="1:12" s="111" customFormat="1" ht="27.75" customHeight="1">
      <c r="A102" s="117"/>
      <c r="B102" s="536"/>
      <c r="C102" s="536"/>
      <c r="D102" s="536"/>
      <c r="E102" s="536"/>
      <c r="F102" s="536"/>
      <c r="G102" s="536"/>
      <c r="H102" s="536"/>
      <c r="I102" s="536"/>
      <c r="J102" s="536"/>
      <c r="K102" s="536"/>
      <c r="L102" s="540"/>
    </row>
    <row r="103" spans="1:12" s="111" customFormat="1" ht="23.25" customHeight="1">
      <c r="A103" s="117"/>
      <c r="B103" s="546" t="s">
        <v>399</v>
      </c>
      <c r="C103" s="536"/>
      <c r="D103" s="536"/>
      <c r="E103" s="536"/>
      <c r="F103" s="536"/>
      <c r="G103" s="536"/>
      <c r="H103" s="536"/>
      <c r="I103" s="536"/>
      <c r="J103" s="536"/>
      <c r="K103" s="536"/>
      <c r="L103" s="115"/>
    </row>
    <row r="104" spans="1:12" s="111" customFormat="1" ht="21" customHeight="1">
      <c r="A104" s="117"/>
      <c r="B104" s="535"/>
      <c r="C104" s="536"/>
      <c r="D104" s="536"/>
      <c r="E104" s="536"/>
      <c r="F104" s="536"/>
      <c r="G104" s="536"/>
      <c r="H104" s="536"/>
      <c r="I104" s="536"/>
      <c r="J104" s="536"/>
      <c r="K104" s="536"/>
      <c r="L104" s="539" t="s">
        <v>400</v>
      </c>
    </row>
    <row r="105" spans="1:12" s="111" customFormat="1" ht="22.5" customHeight="1">
      <c r="A105" s="117"/>
      <c r="B105" s="536"/>
      <c r="C105" s="536"/>
      <c r="D105" s="536"/>
      <c r="E105" s="536"/>
      <c r="F105" s="536"/>
      <c r="G105" s="536"/>
      <c r="H105" s="536"/>
      <c r="I105" s="536"/>
      <c r="J105" s="536"/>
      <c r="K105" s="536"/>
      <c r="L105" s="540"/>
    </row>
    <row r="106" spans="1:12" s="111" customFormat="1" ht="23.25" customHeight="1">
      <c r="A106" s="117"/>
      <c r="B106" s="546" t="s">
        <v>401</v>
      </c>
      <c r="C106" s="536"/>
      <c r="D106" s="536"/>
      <c r="E106" s="536"/>
      <c r="F106" s="536"/>
      <c r="G106" s="536"/>
      <c r="H106" s="536"/>
      <c r="I106" s="536"/>
      <c r="J106" s="536"/>
      <c r="K106" s="536"/>
      <c r="L106" s="122"/>
    </row>
    <row r="107" spans="1:12" s="111" customFormat="1" ht="30" customHeight="1">
      <c r="A107" s="117"/>
      <c r="B107" s="535"/>
      <c r="C107" s="536"/>
      <c r="D107" s="536"/>
      <c r="E107" s="536"/>
      <c r="F107" s="536"/>
      <c r="G107" s="536"/>
      <c r="H107" s="536"/>
      <c r="I107" s="536"/>
      <c r="J107" s="536"/>
      <c r="K107" s="536"/>
      <c r="L107" s="539" t="s">
        <v>402</v>
      </c>
    </row>
    <row r="108" spans="1:12" s="111" customFormat="1" ht="21.75" customHeight="1">
      <c r="A108" s="117"/>
      <c r="B108" s="536"/>
      <c r="C108" s="536"/>
      <c r="D108" s="536"/>
      <c r="E108" s="536"/>
      <c r="F108" s="536"/>
      <c r="G108" s="536"/>
      <c r="H108" s="536"/>
      <c r="I108" s="536"/>
      <c r="J108" s="536"/>
      <c r="K108" s="536"/>
      <c r="L108" s="541"/>
    </row>
    <row r="109" spans="1:12" s="111" customFormat="1" ht="23.25" customHeight="1">
      <c r="A109" s="117"/>
      <c r="B109" s="546" t="s">
        <v>403</v>
      </c>
      <c r="C109" s="536"/>
      <c r="D109" s="536"/>
      <c r="E109" s="536"/>
      <c r="F109" s="536"/>
      <c r="G109" s="536"/>
      <c r="H109" s="536"/>
      <c r="I109" s="536"/>
      <c r="J109" s="536"/>
      <c r="K109" s="536"/>
      <c r="L109" s="115"/>
    </row>
    <row r="110" spans="1:12" s="111" customFormat="1" ht="24.75" customHeight="1">
      <c r="A110" s="117"/>
      <c r="B110" s="535"/>
      <c r="C110" s="536"/>
      <c r="D110" s="536"/>
      <c r="E110" s="536"/>
      <c r="F110" s="536"/>
      <c r="G110" s="536"/>
      <c r="H110" s="536"/>
      <c r="I110" s="536"/>
      <c r="J110" s="536"/>
      <c r="K110" s="536"/>
      <c r="L110" s="539" t="s">
        <v>404</v>
      </c>
    </row>
    <row r="111" spans="1:12" s="111" customFormat="1" ht="24.75" customHeight="1">
      <c r="A111" s="117"/>
      <c r="B111" s="536"/>
      <c r="C111" s="536"/>
      <c r="D111" s="536"/>
      <c r="E111" s="536"/>
      <c r="F111" s="536"/>
      <c r="G111" s="536"/>
      <c r="H111" s="536"/>
      <c r="I111" s="536"/>
      <c r="J111" s="536"/>
      <c r="K111" s="536"/>
      <c r="L111" s="541"/>
    </row>
    <row r="112" spans="1:12" s="111" customFormat="1" ht="23.25" customHeight="1">
      <c r="A112" s="117"/>
      <c r="B112" s="546" t="s">
        <v>405</v>
      </c>
      <c r="C112" s="536"/>
      <c r="D112" s="536"/>
      <c r="E112" s="536"/>
      <c r="F112" s="536"/>
      <c r="G112" s="536"/>
      <c r="H112" s="536"/>
      <c r="I112" s="536"/>
      <c r="J112" s="536"/>
      <c r="K112" s="536"/>
      <c r="L112" s="115"/>
    </row>
    <row r="113" spans="1:12" s="111" customFormat="1" ht="27" customHeight="1">
      <c r="A113" s="117"/>
      <c r="B113" s="535"/>
      <c r="C113" s="536"/>
      <c r="D113" s="536"/>
      <c r="E113" s="536"/>
      <c r="F113" s="536"/>
      <c r="G113" s="536"/>
      <c r="H113" s="536"/>
      <c r="I113" s="536"/>
      <c r="J113" s="536"/>
      <c r="K113" s="536"/>
      <c r="L113" s="539" t="s">
        <v>406</v>
      </c>
    </row>
    <row r="114" spans="1:12" s="111" customFormat="1" ht="24.75" customHeight="1">
      <c r="A114" s="117"/>
      <c r="B114" s="536"/>
      <c r="C114" s="536"/>
      <c r="D114" s="536"/>
      <c r="E114" s="536"/>
      <c r="F114" s="536"/>
      <c r="G114" s="536"/>
      <c r="H114" s="536"/>
      <c r="I114" s="536"/>
      <c r="J114" s="536"/>
      <c r="K114" s="536"/>
      <c r="L114" s="541"/>
    </row>
    <row r="115" spans="1:12" s="111" customFormat="1" ht="23.25" customHeight="1">
      <c r="A115" s="117"/>
      <c r="B115" s="546" t="s">
        <v>407</v>
      </c>
      <c r="C115" s="546"/>
      <c r="D115" s="546"/>
      <c r="E115" s="546"/>
      <c r="F115" s="546"/>
      <c r="G115" s="546"/>
      <c r="H115" s="546"/>
      <c r="I115" s="546"/>
      <c r="J115" s="546"/>
      <c r="K115" s="546"/>
      <c r="L115" s="115"/>
    </row>
    <row r="116" spans="1:12" s="111" customFormat="1" ht="63.75" customHeight="1">
      <c r="A116" s="117"/>
      <c r="B116" s="542" t="s">
        <v>408</v>
      </c>
      <c r="C116" s="542"/>
      <c r="D116" s="542"/>
      <c r="E116" s="542"/>
      <c r="F116" s="542"/>
      <c r="G116" s="542"/>
      <c r="H116" s="542"/>
      <c r="I116" s="542"/>
      <c r="J116" s="542"/>
      <c r="K116" s="542"/>
      <c r="L116" s="122" t="s">
        <v>409</v>
      </c>
    </row>
    <row r="117" spans="1:12" s="111" customFormat="1" ht="20.100000000000001" customHeight="1">
      <c r="A117" s="117"/>
      <c r="B117" s="551" t="s">
        <v>410</v>
      </c>
      <c r="C117" s="538"/>
      <c r="D117" s="538"/>
      <c r="E117" s="538"/>
      <c r="F117" s="538"/>
      <c r="G117" s="538"/>
      <c r="H117" s="538"/>
      <c r="I117" s="538"/>
      <c r="J117" s="538"/>
      <c r="K117" s="538"/>
      <c r="L117" s="123"/>
    </row>
    <row r="118" spans="1:12" s="111" customFormat="1" ht="20.100000000000001" customHeight="1">
      <c r="A118" s="117"/>
      <c r="B118" s="551" t="s">
        <v>411</v>
      </c>
      <c r="C118" s="538"/>
      <c r="D118" s="538"/>
      <c r="E118" s="538"/>
      <c r="F118" s="538"/>
      <c r="G118" s="538"/>
      <c r="H118" s="538"/>
      <c r="I118" s="538"/>
      <c r="J118" s="538"/>
      <c r="K118" s="538"/>
      <c r="L118" s="121"/>
    </row>
    <row r="119" spans="1:12" s="111" customFormat="1" ht="20.100000000000001" customHeight="1">
      <c r="A119" s="117"/>
      <c r="B119" s="542" t="s">
        <v>412</v>
      </c>
      <c r="C119" s="543"/>
      <c r="D119" s="543"/>
      <c r="E119" s="543"/>
      <c r="F119" s="543"/>
      <c r="G119" s="543"/>
      <c r="H119" s="543"/>
      <c r="I119" s="543"/>
      <c r="J119" s="543"/>
      <c r="K119" s="543"/>
      <c r="L119" s="539"/>
    </row>
    <row r="120" spans="1:12" s="111" customFormat="1" ht="35.549999999999997" customHeight="1">
      <c r="A120" s="117"/>
      <c r="B120" s="543"/>
      <c r="C120" s="543"/>
      <c r="D120" s="543"/>
      <c r="E120" s="543"/>
      <c r="F120" s="543"/>
      <c r="G120" s="543"/>
      <c r="H120" s="543"/>
      <c r="I120" s="543"/>
      <c r="J120" s="543"/>
      <c r="K120" s="543"/>
      <c r="L120" s="540"/>
    </row>
    <row r="121" spans="1:12" s="111" customFormat="1" ht="23.25" customHeight="1">
      <c r="A121" s="117"/>
      <c r="B121" s="546" t="s">
        <v>413</v>
      </c>
      <c r="C121" s="546"/>
      <c r="D121" s="546"/>
      <c r="E121" s="546"/>
      <c r="F121" s="546"/>
      <c r="G121" s="546"/>
      <c r="H121" s="546"/>
      <c r="I121" s="546"/>
      <c r="J121" s="546"/>
      <c r="K121" s="546"/>
      <c r="L121" s="115"/>
    </row>
    <row r="122" spans="1:12" s="111" customFormat="1" ht="29.25" customHeight="1">
      <c r="A122" s="117"/>
      <c r="B122" s="542"/>
      <c r="C122" s="542"/>
      <c r="D122" s="542"/>
      <c r="E122" s="542"/>
      <c r="F122" s="542"/>
      <c r="G122" s="542"/>
      <c r="H122" s="542"/>
      <c r="I122" s="542"/>
      <c r="J122" s="542"/>
      <c r="K122" s="542"/>
      <c r="L122" s="122" t="s">
        <v>414</v>
      </c>
    </row>
    <row r="123" spans="1:12" s="111" customFormat="1" ht="23.25" customHeight="1">
      <c r="A123" s="117"/>
      <c r="B123" s="546" t="s">
        <v>415</v>
      </c>
      <c r="C123" s="546"/>
      <c r="D123" s="546"/>
      <c r="E123" s="546"/>
      <c r="F123" s="546"/>
      <c r="G123" s="546"/>
      <c r="H123" s="546"/>
      <c r="I123" s="546"/>
      <c r="J123" s="546"/>
      <c r="K123" s="546"/>
      <c r="L123" s="115"/>
    </row>
    <row r="124" spans="1:12" s="111" customFormat="1" ht="45.75" customHeight="1">
      <c r="A124" s="117"/>
      <c r="B124" s="542"/>
      <c r="C124" s="542"/>
      <c r="D124" s="542"/>
      <c r="E124" s="542"/>
      <c r="F124" s="542"/>
      <c r="G124" s="542"/>
      <c r="H124" s="542"/>
      <c r="I124" s="542"/>
      <c r="J124" s="542"/>
      <c r="K124" s="542"/>
      <c r="L124" s="122" t="s">
        <v>416</v>
      </c>
    </row>
    <row r="125" spans="1:12" s="111" customFormat="1" ht="23.25" customHeight="1">
      <c r="A125" s="117" t="s">
        <v>417</v>
      </c>
      <c r="F125" s="116"/>
      <c r="L125" s="115"/>
    </row>
    <row r="126" spans="1:12" s="111" customFormat="1" ht="20.100000000000001" customHeight="1">
      <c r="A126" s="117"/>
      <c r="B126" s="542"/>
      <c r="C126" s="543"/>
      <c r="D126" s="543"/>
      <c r="E126" s="543"/>
      <c r="F126" s="543"/>
      <c r="G126" s="543"/>
      <c r="H126" s="543"/>
      <c r="I126" s="543"/>
      <c r="J126" s="543"/>
      <c r="K126" s="543"/>
      <c r="L126" s="115"/>
    </row>
    <row r="127" spans="1:12" s="111" customFormat="1" ht="20.100000000000001" customHeight="1">
      <c r="A127" s="117"/>
      <c r="B127" s="543"/>
      <c r="C127" s="543"/>
      <c r="D127" s="543"/>
      <c r="E127" s="543"/>
      <c r="F127" s="543"/>
      <c r="G127" s="543"/>
      <c r="H127" s="543"/>
      <c r="I127" s="543"/>
      <c r="J127" s="543"/>
      <c r="K127" s="543"/>
      <c r="L127" s="115"/>
    </row>
    <row r="128" spans="1:12" s="112" customFormat="1" ht="16.5" customHeight="1">
      <c r="L128" s="124"/>
    </row>
    <row r="129" spans="2:12" s="112" customFormat="1" ht="16.5" customHeight="1">
      <c r="L129" s="124"/>
    </row>
    <row r="130" spans="2:12" s="112" customFormat="1" ht="16.5" customHeight="1">
      <c r="B130" s="125"/>
      <c r="L130" s="124"/>
    </row>
    <row r="131" spans="2:12" s="112" customFormat="1" ht="16.5" customHeight="1">
      <c r="B131" s="125"/>
      <c r="L131" s="124"/>
    </row>
    <row r="132" spans="2:12" s="112" customFormat="1" ht="16.5" customHeight="1">
      <c r="B132" s="125"/>
      <c r="L132" s="124"/>
    </row>
    <row r="133" spans="2:12" s="113" customFormat="1" ht="16.5" customHeight="1">
      <c r="B133" s="125"/>
      <c r="L133" s="124"/>
    </row>
    <row r="134" spans="2:12" s="113" customFormat="1" ht="16.5" customHeight="1">
      <c r="B134" s="125"/>
      <c r="L134" s="124"/>
    </row>
    <row r="135" spans="2:12" s="113" customFormat="1" ht="16.5" customHeight="1">
      <c r="B135" s="125"/>
      <c r="L135" s="124"/>
    </row>
    <row r="136" spans="2:12" s="112" customFormat="1" ht="16.5" customHeight="1">
      <c r="B136" s="125"/>
      <c r="L136" s="124"/>
    </row>
    <row r="137" spans="2:12" s="112" customFormat="1" ht="16.5" customHeight="1">
      <c r="B137" s="125"/>
      <c r="L137" s="124"/>
    </row>
    <row r="138" spans="2:12" s="112" customFormat="1" ht="13.8">
      <c r="B138" s="125"/>
      <c r="L138" s="124"/>
    </row>
    <row r="139" spans="2:12" s="112" customFormat="1" ht="13.8">
      <c r="B139" s="125"/>
      <c r="C139" s="125"/>
      <c r="L139" s="124"/>
    </row>
    <row r="140" spans="2:12" s="112" customFormat="1" ht="16.5" customHeight="1">
      <c r="B140" s="125"/>
      <c r="C140" s="125"/>
      <c r="D140" s="125"/>
      <c r="L140" s="124"/>
    </row>
    <row r="141" spans="2:12" s="112" customFormat="1" ht="16.5" customHeight="1">
      <c r="B141" s="126"/>
      <c r="C141" s="125"/>
      <c r="D141" s="125"/>
      <c r="L141" s="124"/>
    </row>
    <row r="142" spans="2:12" s="112" customFormat="1" ht="16.5" customHeight="1">
      <c r="B142" s="125"/>
      <c r="C142" s="125"/>
      <c r="D142" s="125"/>
      <c r="L142" s="124"/>
    </row>
    <row r="143" spans="2:12" s="112" customFormat="1" ht="16.5" customHeight="1">
      <c r="B143" s="125"/>
      <c r="C143" s="125"/>
      <c r="D143" s="125"/>
      <c r="L143" s="124"/>
    </row>
    <row r="144" spans="2:12" s="112" customFormat="1" ht="16.5" customHeight="1">
      <c r="B144" s="125"/>
      <c r="C144" s="125"/>
      <c r="D144" s="125"/>
      <c r="L144" s="124"/>
    </row>
    <row r="145" spans="2:12" s="113" customFormat="1" ht="16.5" customHeight="1">
      <c r="B145" s="125"/>
      <c r="C145" s="125"/>
      <c r="D145" s="127"/>
      <c r="L145" s="124"/>
    </row>
    <row r="146" spans="2:12" s="113" customFormat="1" ht="16.5" customHeight="1">
      <c r="B146" s="125"/>
      <c r="C146" s="125"/>
      <c r="D146" s="127"/>
      <c r="L146" s="124"/>
    </row>
    <row r="147" spans="2:12" s="113" customFormat="1" ht="16.5" customHeight="1">
      <c r="B147" s="125"/>
      <c r="C147" s="125"/>
      <c r="D147" s="127"/>
      <c r="L147" s="124"/>
    </row>
    <row r="148" spans="2:12" s="113" customFormat="1" ht="16.5" customHeight="1">
      <c r="B148" s="125"/>
      <c r="C148" s="125"/>
      <c r="D148" s="127"/>
      <c r="L148" s="124"/>
    </row>
    <row r="149" spans="2:12" s="113" customFormat="1" ht="16.5" customHeight="1">
      <c r="B149" s="125"/>
      <c r="C149" s="125"/>
      <c r="D149" s="127"/>
      <c r="L149" s="124"/>
    </row>
    <row r="150" spans="2:12" s="113" customFormat="1" ht="16.5" customHeight="1">
      <c r="B150" s="125"/>
      <c r="C150" s="125"/>
      <c r="D150" s="127"/>
      <c r="L150" s="124"/>
    </row>
    <row r="151" spans="2:12" s="113" customFormat="1" ht="16.5" customHeight="1">
      <c r="B151" s="127"/>
      <c r="C151" s="127"/>
      <c r="D151" s="127"/>
      <c r="L151" s="124"/>
    </row>
    <row r="152" spans="2:12" s="113" customFormat="1">
      <c r="L152" s="124"/>
    </row>
    <row r="153" spans="2:12" s="113" customFormat="1">
      <c r="L153" s="124"/>
    </row>
  </sheetData>
  <mergeCells count="111">
    <mergeCell ref="A1:K1"/>
    <mergeCell ref="A2:K2"/>
    <mergeCell ref="B8:K8"/>
    <mergeCell ref="B11:K11"/>
    <mergeCell ref="B14:K14"/>
    <mergeCell ref="B17:K17"/>
    <mergeCell ref="B18:K18"/>
    <mergeCell ref="B21:K21"/>
    <mergeCell ref="B24:K24"/>
    <mergeCell ref="B12:K13"/>
    <mergeCell ref="B15:K16"/>
    <mergeCell ref="B9:K10"/>
    <mergeCell ref="B27:K27"/>
    <mergeCell ref="B30:K30"/>
    <mergeCell ref="B33:K33"/>
    <mergeCell ref="B36:K36"/>
    <mergeCell ref="B39:K39"/>
    <mergeCell ref="B42:K42"/>
    <mergeCell ref="B45:K45"/>
    <mergeCell ref="B46:K46"/>
    <mergeCell ref="B49:K49"/>
    <mergeCell ref="B43:K44"/>
    <mergeCell ref="B89:K89"/>
    <mergeCell ref="B90:K90"/>
    <mergeCell ref="B93:K93"/>
    <mergeCell ref="B96:K96"/>
    <mergeCell ref="B99:K99"/>
    <mergeCell ref="B52:K52"/>
    <mergeCell ref="B55:K55"/>
    <mergeCell ref="B58:K58"/>
    <mergeCell ref="B61:K61"/>
    <mergeCell ref="B64:K64"/>
    <mergeCell ref="B67:K67"/>
    <mergeCell ref="B70:K70"/>
    <mergeCell ref="B73:K73"/>
    <mergeCell ref="B74:K74"/>
    <mergeCell ref="B100:K100"/>
    <mergeCell ref="B103:K103"/>
    <mergeCell ref="B106:K106"/>
    <mergeCell ref="B109:K109"/>
    <mergeCell ref="B112:K112"/>
    <mergeCell ref="B115:K115"/>
    <mergeCell ref="B116:K116"/>
    <mergeCell ref="B117:K117"/>
    <mergeCell ref="B118:K118"/>
    <mergeCell ref="B121:K121"/>
    <mergeCell ref="B122:K122"/>
    <mergeCell ref="B123:K123"/>
    <mergeCell ref="B124:K124"/>
    <mergeCell ref="L9:L10"/>
    <mergeCell ref="L12:L13"/>
    <mergeCell ref="L15:L16"/>
    <mergeCell ref="L19:L20"/>
    <mergeCell ref="L22:L23"/>
    <mergeCell ref="L25:L26"/>
    <mergeCell ref="L31:L32"/>
    <mergeCell ref="L37:L38"/>
    <mergeCell ref="L40:L41"/>
    <mergeCell ref="L47:L48"/>
    <mergeCell ref="L50:L51"/>
    <mergeCell ref="L53:L54"/>
    <mergeCell ref="L59:L60"/>
    <mergeCell ref="L65:L66"/>
    <mergeCell ref="L68:L69"/>
    <mergeCell ref="L75:L76"/>
    <mergeCell ref="L78:L79"/>
    <mergeCell ref="L91:L92"/>
    <mergeCell ref="L94:L95"/>
    <mergeCell ref="L97:L98"/>
    <mergeCell ref="L101:L102"/>
    <mergeCell ref="L104:L105"/>
    <mergeCell ref="L107:L108"/>
    <mergeCell ref="L110:L111"/>
    <mergeCell ref="L113:L114"/>
    <mergeCell ref="L119:L120"/>
    <mergeCell ref="B119:K120"/>
    <mergeCell ref="B126:K127"/>
    <mergeCell ref="B19:K20"/>
    <mergeCell ref="B22:K23"/>
    <mergeCell ref="B25:K26"/>
    <mergeCell ref="B28:K29"/>
    <mergeCell ref="B31:K32"/>
    <mergeCell ref="B34:K35"/>
    <mergeCell ref="B113:K114"/>
    <mergeCell ref="B107:K108"/>
    <mergeCell ref="B110:K111"/>
    <mergeCell ref="B101:K102"/>
    <mergeCell ref="B104:K105"/>
    <mergeCell ref="B91:K92"/>
    <mergeCell ref="B94:K95"/>
    <mergeCell ref="B97:K98"/>
    <mergeCell ref="B37:K38"/>
    <mergeCell ref="B40:K41"/>
    <mergeCell ref="B50:K51"/>
    <mergeCell ref="B53:K54"/>
    <mergeCell ref="B56:K57"/>
    <mergeCell ref="B87:K88"/>
    <mergeCell ref="B78:K79"/>
    <mergeCell ref="B81:K82"/>
    <mergeCell ref="B84:K85"/>
    <mergeCell ref="B47:K48"/>
    <mergeCell ref="B75:K76"/>
    <mergeCell ref="B65:K66"/>
    <mergeCell ref="B68:K69"/>
    <mergeCell ref="B71:K72"/>
    <mergeCell ref="B59:K60"/>
    <mergeCell ref="B62:K63"/>
    <mergeCell ref="B77:K77"/>
    <mergeCell ref="B80:K80"/>
    <mergeCell ref="B83:K83"/>
    <mergeCell ref="B86:K86"/>
  </mergeCells>
  <phoneticPr fontId="36" type="noConversion"/>
  <hyperlinks>
    <hyperlink ref="K3" location="底稿目录!D14" display="I3-8"/>
  </hyperlinks>
  <printOptions horizontalCentered="1"/>
  <pageMargins left="0.74803149606299213" right="0.47244094488188981" top="0.59055118110236227" bottom="0.39370078740157483" header="0.31496062992125984" footer="0.31496062992125984"/>
  <pageSetup paperSize="9" fitToHeight="0" orientation="portrait" blackAndWhite="1" r:id="rId1"/>
  <headerFooter alignWithMargins="0">
    <oddFooter>&amp;C&amp;P/&amp;N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M167"/>
  <sheetViews>
    <sheetView view="pageBreakPreview" topLeftCell="A76" zoomScaleNormal="100" workbookViewId="0">
      <selection activeCell="K172" sqref="K172"/>
    </sheetView>
  </sheetViews>
  <sheetFormatPr defaultColWidth="9" defaultRowHeight="13.8"/>
  <cols>
    <col min="1" max="1" width="1.44140625" style="69" customWidth="1"/>
    <col min="2" max="2" width="16.109375" style="69" customWidth="1"/>
    <col min="3" max="3" width="15" style="69" customWidth="1"/>
    <col min="4" max="4" width="16.109375" style="69" customWidth="1"/>
    <col min="5" max="6" width="14.109375" style="69" customWidth="1"/>
    <col min="7" max="7" width="11.77734375" style="69" customWidth="1"/>
    <col min="8" max="8" width="22.33203125" style="69" customWidth="1"/>
    <col min="9" max="9" width="13.6640625" style="69" customWidth="1"/>
    <col min="10" max="10" width="12.77734375" style="69" customWidth="1"/>
    <col min="11" max="11" width="14" style="69" customWidth="1"/>
    <col min="12" max="255" width="9" style="69"/>
    <col min="256" max="256" width="0.6640625" style="69" customWidth="1"/>
    <col min="257" max="257" width="12.88671875" style="69" customWidth="1"/>
    <col min="258" max="258" width="16.109375" style="69" customWidth="1"/>
    <col min="259" max="259" width="15" style="69" customWidth="1"/>
    <col min="260" max="260" width="16.109375" style="69" customWidth="1"/>
    <col min="261" max="262" width="14.109375" style="69" customWidth="1"/>
    <col min="263" max="263" width="11.77734375" style="69" customWidth="1"/>
    <col min="264" max="264" width="22.33203125" style="69" customWidth="1"/>
    <col min="265" max="265" width="13.6640625" style="69" customWidth="1"/>
    <col min="266" max="266" width="12.77734375" style="69" customWidth="1"/>
    <col min="267" max="267" width="14" style="69" customWidth="1"/>
    <col min="268" max="511" width="9" style="69"/>
    <col min="512" max="512" width="0.6640625" style="69" customWidth="1"/>
    <col min="513" max="513" width="12.88671875" style="69" customWidth="1"/>
    <col min="514" max="514" width="16.109375" style="69" customWidth="1"/>
    <col min="515" max="515" width="15" style="69" customWidth="1"/>
    <col min="516" max="516" width="16.109375" style="69" customWidth="1"/>
    <col min="517" max="518" width="14.109375" style="69" customWidth="1"/>
    <col min="519" max="519" width="11.77734375" style="69" customWidth="1"/>
    <col min="520" max="520" width="22.33203125" style="69" customWidth="1"/>
    <col min="521" max="521" width="13.6640625" style="69" customWidth="1"/>
    <col min="522" max="522" width="12.77734375" style="69" customWidth="1"/>
    <col min="523" max="523" width="14" style="69" customWidth="1"/>
    <col min="524" max="767" width="9" style="69"/>
    <col min="768" max="768" width="0.6640625" style="69" customWidth="1"/>
    <col min="769" max="769" width="12.88671875" style="69" customWidth="1"/>
    <col min="770" max="770" width="16.109375" style="69" customWidth="1"/>
    <col min="771" max="771" width="15" style="69" customWidth="1"/>
    <col min="772" max="772" width="16.109375" style="69" customWidth="1"/>
    <col min="773" max="774" width="14.109375" style="69" customWidth="1"/>
    <col min="775" max="775" width="11.77734375" style="69" customWidth="1"/>
    <col min="776" max="776" width="22.33203125" style="69" customWidth="1"/>
    <col min="777" max="777" width="13.6640625" style="69" customWidth="1"/>
    <col min="778" max="778" width="12.77734375" style="69" customWidth="1"/>
    <col min="779" max="779" width="14" style="69" customWidth="1"/>
    <col min="780" max="1023" width="9" style="69"/>
    <col min="1024" max="1024" width="0.6640625" style="69" customWidth="1"/>
    <col min="1025" max="1025" width="12.88671875" style="69" customWidth="1"/>
    <col min="1026" max="1026" width="16.109375" style="69" customWidth="1"/>
    <col min="1027" max="1027" width="15" style="69" customWidth="1"/>
    <col min="1028" max="1028" width="16.109375" style="69" customWidth="1"/>
    <col min="1029" max="1030" width="14.109375" style="69" customWidth="1"/>
    <col min="1031" max="1031" width="11.77734375" style="69" customWidth="1"/>
    <col min="1032" max="1032" width="22.33203125" style="69" customWidth="1"/>
    <col min="1033" max="1033" width="13.6640625" style="69" customWidth="1"/>
    <col min="1034" max="1034" width="12.77734375" style="69" customWidth="1"/>
    <col min="1035" max="1035" width="14" style="69" customWidth="1"/>
    <col min="1036" max="1279" width="9" style="69"/>
    <col min="1280" max="1280" width="0.6640625" style="69" customWidth="1"/>
    <col min="1281" max="1281" width="12.88671875" style="69" customWidth="1"/>
    <col min="1282" max="1282" width="16.109375" style="69" customWidth="1"/>
    <col min="1283" max="1283" width="15" style="69" customWidth="1"/>
    <col min="1284" max="1284" width="16.109375" style="69" customWidth="1"/>
    <col min="1285" max="1286" width="14.109375" style="69" customWidth="1"/>
    <col min="1287" max="1287" width="11.77734375" style="69" customWidth="1"/>
    <col min="1288" max="1288" width="22.33203125" style="69" customWidth="1"/>
    <col min="1289" max="1289" width="13.6640625" style="69" customWidth="1"/>
    <col min="1290" max="1290" width="12.77734375" style="69" customWidth="1"/>
    <col min="1291" max="1291" width="14" style="69" customWidth="1"/>
    <col min="1292" max="1535" width="9" style="69"/>
    <col min="1536" max="1536" width="0.6640625" style="69" customWidth="1"/>
    <col min="1537" max="1537" width="12.88671875" style="69" customWidth="1"/>
    <col min="1538" max="1538" width="16.109375" style="69" customWidth="1"/>
    <col min="1539" max="1539" width="15" style="69" customWidth="1"/>
    <col min="1540" max="1540" width="16.109375" style="69" customWidth="1"/>
    <col min="1541" max="1542" width="14.109375" style="69" customWidth="1"/>
    <col min="1543" max="1543" width="11.77734375" style="69" customWidth="1"/>
    <col min="1544" max="1544" width="22.33203125" style="69" customWidth="1"/>
    <col min="1545" max="1545" width="13.6640625" style="69" customWidth="1"/>
    <col min="1546" max="1546" width="12.77734375" style="69" customWidth="1"/>
    <col min="1547" max="1547" width="14" style="69" customWidth="1"/>
    <col min="1548" max="1791" width="9" style="69"/>
    <col min="1792" max="1792" width="0.6640625" style="69" customWidth="1"/>
    <col min="1793" max="1793" width="12.88671875" style="69" customWidth="1"/>
    <col min="1794" max="1794" width="16.109375" style="69" customWidth="1"/>
    <col min="1795" max="1795" width="15" style="69" customWidth="1"/>
    <col min="1796" max="1796" width="16.109375" style="69" customWidth="1"/>
    <col min="1797" max="1798" width="14.109375" style="69" customWidth="1"/>
    <col min="1799" max="1799" width="11.77734375" style="69" customWidth="1"/>
    <col min="1800" max="1800" width="22.33203125" style="69" customWidth="1"/>
    <col min="1801" max="1801" width="13.6640625" style="69" customWidth="1"/>
    <col min="1802" max="1802" width="12.77734375" style="69" customWidth="1"/>
    <col min="1803" max="1803" width="14" style="69" customWidth="1"/>
    <col min="1804" max="2047" width="9" style="69"/>
    <col min="2048" max="2048" width="0.6640625" style="69" customWidth="1"/>
    <col min="2049" max="2049" width="12.88671875" style="69" customWidth="1"/>
    <col min="2050" max="2050" width="16.109375" style="69" customWidth="1"/>
    <col min="2051" max="2051" width="15" style="69" customWidth="1"/>
    <col min="2052" max="2052" width="16.109375" style="69" customWidth="1"/>
    <col min="2053" max="2054" width="14.109375" style="69" customWidth="1"/>
    <col min="2055" max="2055" width="11.77734375" style="69" customWidth="1"/>
    <col min="2056" max="2056" width="22.33203125" style="69" customWidth="1"/>
    <col min="2057" max="2057" width="13.6640625" style="69" customWidth="1"/>
    <col min="2058" max="2058" width="12.77734375" style="69" customWidth="1"/>
    <col min="2059" max="2059" width="14" style="69" customWidth="1"/>
    <col min="2060" max="2303" width="9" style="69"/>
    <col min="2304" max="2304" width="0.6640625" style="69" customWidth="1"/>
    <col min="2305" max="2305" width="12.88671875" style="69" customWidth="1"/>
    <col min="2306" max="2306" width="16.109375" style="69" customWidth="1"/>
    <col min="2307" max="2307" width="15" style="69" customWidth="1"/>
    <col min="2308" max="2308" width="16.109375" style="69" customWidth="1"/>
    <col min="2309" max="2310" width="14.109375" style="69" customWidth="1"/>
    <col min="2311" max="2311" width="11.77734375" style="69" customWidth="1"/>
    <col min="2312" max="2312" width="22.33203125" style="69" customWidth="1"/>
    <col min="2313" max="2313" width="13.6640625" style="69" customWidth="1"/>
    <col min="2314" max="2314" width="12.77734375" style="69" customWidth="1"/>
    <col min="2315" max="2315" width="14" style="69" customWidth="1"/>
    <col min="2316" max="2559" width="9" style="69"/>
    <col min="2560" max="2560" width="0.6640625" style="69" customWidth="1"/>
    <col min="2561" max="2561" width="12.88671875" style="69" customWidth="1"/>
    <col min="2562" max="2562" width="16.109375" style="69" customWidth="1"/>
    <col min="2563" max="2563" width="15" style="69" customWidth="1"/>
    <col min="2564" max="2564" width="16.109375" style="69" customWidth="1"/>
    <col min="2565" max="2566" width="14.109375" style="69" customWidth="1"/>
    <col min="2567" max="2567" width="11.77734375" style="69" customWidth="1"/>
    <col min="2568" max="2568" width="22.33203125" style="69" customWidth="1"/>
    <col min="2569" max="2569" width="13.6640625" style="69" customWidth="1"/>
    <col min="2570" max="2570" width="12.77734375" style="69" customWidth="1"/>
    <col min="2571" max="2571" width="14" style="69" customWidth="1"/>
    <col min="2572" max="2815" width="9" style="69"/>
    <col min="2816" max="2816" width="0.6640625" style="69" customWidth="1"/>
    <col min="2817" max="2817" width="12.88671875" style="69" customWidth="1"/>
    <col min="2818" max="2818" width="16.109375" style="69" customWidth="1"/>
    <col min="2819" max="2819" width="15" style="69" customWidth="1"/>
    <col min="2820" max="2820" width="16.109375" style="69" customWidth="1"/>
    <col min="2821" max="2822" width="14.109375" style="69" customWidth="1"/>
    <col min="2823" max="2823" width="11.77734375" style="69" customWidth="1"/>
    <col min="2824" max="2824" width="22.33203125" style="69" customWidth="1"/>
    <col min="2825" max="2825" width="13.6640625" style="69" customWidth="1"/>
    <col min="2826" max="2826" width="12.77734375" style="69" customWidth="1"/>
    <col min="2827" max="2827" width="14" style="69" customWidth="1"/>
    <col min="2828" max="3071" width="9" style="69"/>
    <col min="3072" max="3072" width="0.6640625" style="69" customWidth="1"/>
    <col min="3073" max="3073" width="12.88671875" style="69" customWidth="1"/>
    <col min="3074" max="3074" width="16.109375" style="69" customWidth="1"/>
    <col min="3075" max="3075" width="15" style="69" customWidth="1"/>
    <col min="3076" max="3076" width="16.109375" style="69" customWidth="1"/>
    <col min="3077" max="3078" width="14.109375" style="69" customWidth="1"/>
    <col min="3079" max="3079" width="11.77734375" style="69" customWidth="1"/>
    <col min="3080" max="3080" width="22.33203125" style="69" customWidth="1"/>
    <col min="3081" max="3081" width="13.6640625" style="69" customWidth="1"/>
    <col min="3082" max="3082" width="12.77734375" style="69" customWidth="1"/>
    <col min="3083" max="3083" width="14" style="69" customWidth="1"/>
    <col min="3084" max="3327" width="9" style="69"/>
    <col min="3328" max="3328" width="0.6640625" style="69" customWidth="1"/>
    <col min="3329" max="3329" width="12.88671875" style="69" customWidth="1"/>
    <col min="3330" max="3330" width="16.109375" style="69" customWidth="1"/>
    <col min="3331" max="3331" width="15" style="69" customWidth="1"/>
    <col min="3332" max="3332" width="16.109375" style="69" customWidth="1"/>
    <col min="3333" max="3334" width="14.109375" style="69" customWidth="1"/>
    <col min="3335" max="3335" width="11.77734375" style="69" customWidth="1"/>
    <col min="3336" max="3336" width="22.33203125" style="69" customWidth="1"/>
    <col min="3337" max="3337" width="13.6640625" style="69" customWidth="1"/>
    <col min="3338" max="3338" width="12.77734375" style="69" customWidth="1"/>
    <col min="3339" max="3339" width="14" style="69" customWidth="1"/>
    <col min="3340" max="3583" width="9" style="69"/>
    <col min="3584" max="3584" width="0.6640625" style="69" customWidth="1"/>
    <col min="3585" max="3585" width="12.88671875" style="69" customWidth="1"/>
    <col min="3586" max="3586" width="16.109375" style="69" customWidth="1"/>
    <col min="3587" max="3587" width="15" style="69" customWidth="1"/>
    <col min="3588" max="3588" width="16.109375" style="69" customWidth="1"/>
    <col min="3589" max="3590" width="14.109375" style="69" customWidth="1"/>
    <col min="3591" max="3591" width="11.77734375" style="69" customWidth="1"/>
    <col min="3592" max="3592" width="22.33203125" style="69" customWidth="1"/>
    <col min="3593" max="3593" width="13.6640625" style="69" customWidth="1"/>
    <col min="3594" max="3594" width="12.77734375" style="69" customWidth="1"/>
    <col min="3595" max="3595" width="14" style="69" customWidth="1"/>
    <col min="3596" max="3839" width="9" style="69"/>
    <col min="3840" max="3840" width="0.6640625" style="69" customWidth="1"/>
    <col min="3841" max="3841" width="12.88671875" style="69" customWidth="1"/>
    <col min="3842" max="3842" width="16.109375" style="69" customWidth="1"/>
    <col min="3843" max="3843" width="15" style="69" customWidth="1"/>
    <col min="3844" max="3844" width="16.109375" style="69" customWidth="1"/>
    <col min="3845" max="3846" width="14.109375" style="69" customWidth="1"/>
    <col min="3847" max="3847" width="11.77734375" style="69" customWidth="1"/>
    <col min="3848" max="3848" width="22.33203125" style="69" customWidth="1"/>
    <col min="3849" max="3849" width="13.6640625" style="69" customWidth="1"/>
    <col min="3850" max="3850" width="12.77734375" style="69" customWidth="1"/>
    <col min="3851" max="3851" width="14" style="69" customWidth="1"/>
    <col min="3852" max="4095" width="9" style="69"/>
    <col min="4096" max="4096" width="0.6640625" style="69" customWidth="1"/>
    <col min="4097" max="4097" width="12.88671875" style="69" customWidth="1"/>
    <col min="4098" max="4098" width="16.109375" style="69" customWidth="1"/>
    <col min="4099" max="4099" width="15" style="69" customWidth="1"/>
    <col min="4100" max="4100" width="16.109375" style="69" customWidth="1"/>
    <col min="4101" max="4102" width="14.109375" style="69" customWidth="1"/>
    <col min="4103" max="4103" width="11.77734375" style="69" customWidth="1"/>
    <col min="4104" max="4104" width="22.33203125" style="69" customWidth="1"/>
    <col min="4105" max="4105" width="13.6640625" style="69" customWidth="1"/>
    <col min="4106" max="4106" width="12.77734375" style="69" customWidth="1"/>
    <col min="4107" max="4107" width="14" style="69" customWidth="1"/>
    <col min="4108" max="4351" width="9" style="69"/>
    <col min="4352" max="4352" width="0.6640625" style="69" customWidth="1"/>
    <col min="4353" max="4353" width="12.88671875" style="69" customWidth="1"/>
    <col min="4354" max="4354" width="16.109375" style="69" customWidth="1"/>
    <col min="4355" max="4355" width="15" style="69" customWidth="1"/>
    <col min="4356" max="4356" width="16.109375" style="69" customWidth="1"/>
    <col min="4357" max="4358" width="14.109375" style="69" customWidth="1"/>
    <col min="4359" max="4359" width="11.77734375" style="69" customWidth="1"/>
    <col min="4360" max="4360" width="22.33203125" style="69" customWidth="1"/>
    <col min="4361" max="4361" width="13.6640625" style="69" customWidth="1"/>
    <col min="4362" max="4362" width="12.77734375" style="69" customWidth="1"/>
    <col min="4363" max="4363" width="14" style="69" customWidth="1"/>
    <col min="4364" max="4607" width="9" style="69"/>
    <col min="4608" max="4608" width="0.6640625" style="69" customWidth="1"/>
    <col min="4609" max="4609" width="12.88671875" style="69" customWidth="1"/>
    <col min="4610" max="4610" width="16.109375" style="69" customWidth="1"/>
    <col min="4611" max="4611" width="15" style="69" customWidth="1"/>
    <col min="4612" max="4612" width="16.109375" style="69" customWidth="1"/>
    <col min="4613" max="4614" width="14.109375" style="69" customWidth="1"/>
    <col min="4615" max="4615" width="11.77734375" style="69" customWidth="1"/>
    <col min="4616" max="4616" width="22.33203125" style="69" customWidth="1"/>
    <col min="4617" max="4617" width="13.6640625" style="69" customWidth="1"/>
    <col min="4618" max="4618" width="12.77734375" style="69" customWidth="1"/>
    <col min="4619" max="4619" width="14" style="69" customWidth="1"/>
    <col min="4620" max="4863" width="9" style="69"/>
    <col min="4864" max="4864" width="0.6640625" style="69" customWidth="1"/>
    <col min="4865" max="4865" width="12.88671875" style="69" customWidth="1"/>
    <col min="4866" max="4866" width="16.109375" style="69" customWidth="1"/>
    <col min="4867" max="4867" width="15" style="69" customWidth="1"/>
    <col min="4868" max="4868" width="16.109375" style="69" customWidth="1"/>
    <col min="4869" max="4870" width="14.109375" style="69" customWidth="1"/>
    <col min="4871" max="4871" width="11.77734375" style="69" customWidth="1"/>
    <col min="4872" max="4872" width="22.33203125" style="69" customWidth="1"/>
    <col min="4873" max="4873" width="13.6640625" style="69" customWidth="1"/>
    <col min="4874" max="4874" width="12.77734375" style="69" customWidth="1"/>
    <col min="4875" max="4875" width="14" style="69" customWidth="1"/>
    <col min="4876" max="5119" width="9" style="69"/>
    <col min="5120" max="5120" width="0.6640625" style="69" customWidth="1"/>
    <col min="5121" max="5121" width="12.88671875" style="69" customWidth="1"/>
    <col min="5122" max="5122" width="16.109375" style="69" customWidth="1"/>
    <col min="5123" max="5123" width="15" style="69" customWidth="1"/>
    <col min="5124" max="5124" width="16.109375" style="69" customWidth="1"/>
    <col min="5125" max="5126" width="14.109375" style="69" customWidth="1"/>
    <col min="5127" max="5127" width="11.77734375" style="69" customWidth="1"/>
    <col min="5128" max="5128" width="22.33203125" style="69" customWidth="1"/>
    <col min="5129" max="5129" width="13.6640625" style="69" customWidth="1"/>
    <col min="5130" max="5130" width="12.77734375" style="69" customWidth="1"/>
    <col min="5131" max="5131" width="14" style="69" customWidth="1"/>
    <col min="5132" max="5375" width="9" style="69"/>
    <col min="5376" max="5376" width="0.6640625" style="69" customWidth="1"/>
    <col min="5377" max="5377" width="12.88671875" style="69" customWidth="1"/>
    <col min="5378" max="5378" width="16.109375" style="69" customWidth="1"/>
    <col min="5379" max="5379" width="15" style="69" customWidth="1"/>
    <col min="5380" max="5380" width="16.109375" style="69" customWidth="1"/>
    <col min="5381" max="5382" width="14.109375" style="69" customWidth="1"/>
    <col min="5383" max="5383" width="11.77734375" style="69" customWidth="1"/>
    <col min="5384" max="5384" width="22.33203125" style="69" customWidth="1"/>
    <col min="5385" max="5385" width="13.6640625" style="69" customWidth="1"/>
    <col min="5386" max="5386" width="12.77734375" style="69" customWidth="1"/>
    <col min="5387" max="5387" width="14" style="69" customWidth="1"/>
    <col min="5388" max="5631" width="9" style="69"/>
    <col min="5632" max="5632" width="0.6640625" style="69" customWidth="1"/>
    <col min="5633" max="5633" width="12.88671875" style="69" customWidth="1"/>
    <col min="5634" max="5634" width="16.109375" style="69" customWidth="1"/>
    <col min="5635" max="5635" width="15" style="69" customWidth="1"/>
    <col min="5636" max="5636" width="16.109375" style="69" customWidth="1"/>
    <col min="5637" max="5638" width="14.109375" style="69" customWidth="1"/>
    <col min="5639" max="5639" width="11.77734375" style="69" customWidth="1"/>
    <col min="5640" max="5640" width="22.33203125" style="69" customWidth="1"/>
    <col min="5641" max="5641" width="13.6640625" style="69" customWidth="1"/>
    <col min="5642" max="5642" width="12.77734375" style="69" customWidth="1"/>
    <col min="5643" max="5643" width="14" style="69" customWidth="1"/>
    <col min="5644" max="5887" width="9" style="69"/>
    <col min="5888" max="5888" width="0.6640625" style="69" customWidth="1"/>
    <col min="5889" max="5889" width="12.88671875" style="69" customWidth="1"/>
    <col min="5890" max="5890" width="16.109375" style="69" customWidth="1"/>
    <col min="5891" max="5891" width="15" style="69" customWidth="1"/>
    <col min="5892" max="5892" width="16.109375" style="69" customWidth="1"/>
    <col min="5893" max="5894" width="14.109375" style="69" customWidth="1"/>
    <col min="5895" max="5895" width="11.77734375" style="69" customWidth="1"/>
    <col min="5896" max="5896" width="22.33203125" style="69" customWidth="1"/>
    <col min="5897" max="5897" width="13.6640625" style="69" customWidth="1"/>
    <col min="5898" max="5898" width="12.77734375" style="69" customWidth="1"/>
    <col min="5899" max="5899" width="14" style="69" customWidth="1"/>
    <col min="5900" max="6143" width="9" style="69"/>
    <col min="6144" max="6144" width="0.6640625" style="69" customWidth="1"/>
    <col min="6145" max="6145" width="12.88671875" style="69" customWidth="1"/>
    <col min="6146" max="6146" width="16.109375" style="69" customWidth="1"/>
    <col min="6147" max="6147" width="15" style="69" customWidth="1"/>
    <col min="6148" max="6148" width="16.109375" style="69" customWidth="1"/>
    <col min="6149" max="6150" width="14.109375" style="69" customWidth="1"/>
    <col min="6151" max="6151" width="11.77734375" style="69" customWidth="1"/>
    <col min="6152" max="6152" width="22.33203125" style="69" customWidth="1"/>
    <col min="6153" max="6153" width="13.6640625" style="69" customWidth="1"/>
    <col min="6154" max="6154" width="12.77734375" style="69" customWidth="1"/>
    <col min="6155" max="6155" width="14" style="69" customWidth="1"/>
    <col min="6156" max="6399" width="9" style="69"/>
    <col min="6400" max="6400" width="0.6640625" style="69" customWidth="1"/>
    <col min="6401" max="6401" width="12.88671875" style="69" customWidth="1"/>
    <col min="6402" max="6402" width="16.109375" style="69" customWidth="1"/>
    <col min="6403" max="6403" width="15" style="69" customWidth="1"/>
    <col min="6404" max="6404" width="16.109375" style="69" customWidth="1"/>
    <col min="6405" max="6406" width="14.109375" style="69" customWidth="1"/>
    <col min="6407" max="6407" width="11.77734375" style="69" customWidth="1"/>
    <col min="6408" max="6408" width="22.33203125" style="69" customWidth="1"/>
    <col min="6409" max="6409" width="13.6640625" style="69" customWidth="1"/>
    <col min="6410" max="6410" width="12.77734375" style="69" customWidth="1"/>
    <col min="6411" max="6411" width="14" style="69" customWidth="1"/>
    <col min="6412" max="6655" width="9" style="69"/>
    <col min="6656" max="6656" width="0.6640625" style="69" customWidth="1"/>
    <col min="6657" max="6657" width="12.88671875" style="69" customWidth="1"/>
    <col min="6658" max="6658" width="16.109375" style="69" customWidth="1"/>
    <col min="6659" max="6659" width="15" style="69" customWidth="1"/>
    <col min="6660" max="6660" width="16.109375" style="69" customWidth="1"/>
    <col min="6661" max="6662" width="14.109375" style="69" customWidth="1"/>
    <col min="6663" max="6663" width="11.77734375" style="69" customWidth="1"/>
    <col min="6664" max="6664" width="22.33203125" style="69" customWidth="1"/>
    <col min="6665" max="6665" width="13.6640625" style="69" customWidth="1"/>
    <col min="6666" max="6666" width="12.77734375" style="69" customWidth="1"/>
    <col min="6667" max="6667" width="14" style="69" customWidth="1"/>
    <col min="6668" max="6911" width="9" style="69"/>
    <col min="6912" max="6912" width="0.6640625" style="69" customWidth="1"/>
    <col min="6913" max="6913" width="12.88671875" style="69" customWidth="1"/>
    <col min="6914" max="6914" width="16.109375" style="69" customWidth="1"/>
    <col min="6915" max="6915" width="15" style="69" customWidth="1"/>
    <col min="6916" max="6916" width="16.109375" style="69" customWidth="1"/>
    <col min="6917" max="6918" width="14.109375" style="69" customWidth="1"/>
    <col min="6919" max="6919" width="11.77734375" style="69" customWidth="1"/>
    <col min="6920" max="6920" width="22.33203125" style="69" customWidth="1"/>
    <col min="6921" max="6921" width="13.6640625" style="69" customWidth="1"/>
    <col min="6922" max="6922" width="12.77734375" style="69" customWidth="1"/>
    <col min="6923" max="6923" width="14" style="69" customWidth="1"/>
    <col min="6924" max="7167" width="9" style="69"/>
    <col min="7168" max="7168" width="0.6640625" style="69" customWidth="1"/>
    <col min="7169" max="7169" width="12.88671875" style="69" customWidth="1"/>
    <col min="7170" max="7170" width="16.109375" style="69" customWidth="1"/>
    <col min="7171" max="7171" width="15" style="69" customWidth="1"/>
    <col min="7172" max="7172" width="16.109375" style="69" customWidth="1"/>
    <col min="7173" max="7174" width="14.109375" style="69" customWidth="1"/>
    <col min="7175" max="7175" width="11.77734375" style="69" customWidth="1"/>
    <col min="7176" max="7176" width="22.33203125" style="69" customWidth="1"/>
    <col min="7177" max="7177" width="13.6640625" style="69" customWidth="1"/>
    <col min="7178" max="7178" width="12.77734375" style="69" customWidth="1"/>
    <col min="7179" max="7179" width="14" style="69" customWidth="1"/>
    <col min="7180" max="7423" width="9" style="69"/>
    <col min="7424" max="7424" width="0.6640625" style="69" customWidth="1"/>
    <col min="7425" max="7425" width="12.88671875" style="69" customWidth="1"/>
    <col min="7426" max="7426" width="16.109375" style="69" customWidth="1"/>
    <col min="7427" max="7427" width="15" style="69" customWidth="1"/>
    <col min="7428" max="7428" width="16.109375" style="69" customWidth="1"/>
    <col min="7429" max="7430" width="14.109375" style="69" customWidth="1"/>
    <col min="7431" max="7431" width="11.77734375" style="69" customWidth="1"/>
    <col min="7432" max="7432" width="22.33203125" style="69" customWidth="1"/>
    <col min="7433" max="7433" width="13.6640625" style="69" customWidth="1"/>
    <col min="7434" max="7434" width="12.77734375" style="69" customWidth="1"/>
    <col min="7435" max="7435" width="14" style="69" customWidth="1"/>
    <col min="7436" max="7679" width="9" style="69"/>
    <col min="7680" max="7680" width="0.6640625" style="69" customWidth="1"/>
    <col min="7681" max="7681" width="12.88671875" style="69" customWidth="1"/>
    <col min="7682" max="7682" width="16.109375" style="69" customWidth="1"/>
    <col min="7683" max="7683" width="15" style="69" customWidth="1"/>
    <col min="7684" max="7684" width="16.109375" style="69" customWidth="1"/>
    <col min="7685" max="7686" width="14.109375" style="69" customWidth="1"/>
    <col min="7687" max="7687" width="11.77734375" style="69" customWidth="1"/>
    <col min="7688" max="7688" width="22.33203125" style="69" customWidth="1"/>
    <col min="7689" max="7689" width="13.6640625" style="69" customWidth="1"/>
    <col min="7690" max="7690" width="12.77734375" style="69" customWidth="1"/>
    <col min="7691" max="7691" width="14" style="69" customWidth="1"/>
    <col min="7692" max="7935" width="9" style="69"/>
    <col min="7936" max="7936" width="0.6640625" style="69" customWidth="1"/>
    <col min="7937" max="7937" width="12.88671875" style="69" customWidth="1"/>
    <col min="7938" max="7938" width="16.109375" style="69" customWidth="1"/>
    <col min="7939" max="7939" width="15" style="69" customWidth="1"/>
    <col min="7940" max="7940" width="16.109375" style="69" customWidth="1"/>
    <col min="7941" max="7942" width="14.109375" style="69" customWidth="1"/>
    <col min="7943" max="7943" width="11.77734375" style="69" customWidth="1"/>
    <col min="7944" max="7944" width="22.33203125" style="69" customWidth="1"/>
    <col min="7945" max="7945" width="13.6640625" style="69" customWidth="1"/>
    <col min="7946" max="7946" width="12.77734375" style="69" customWidth="1"/>
    <col min="7947" max="7947" width="14" style="69" customWidth="1"/>
    <col min="7948" max="8191" width="9" style="69"/>
    <col min="8192" max="8192" width="0.6640625" style="69" customWidth="1"/>
    <col min="8193" max="8193" width="12.88671875" style="69" customWidth="1"/>
    <col min="8194" max="8194" width="16.109375" style="69" customWidth="1"/>
    <col min="8195" max="8195" width="15" style="69" customWidth="1"/>
    <col min="8196" max="8196" width="16.109375" style="69" customWidth="1"/>
    <col min="8197" max="8198" width="14.109375" style="69" customWidth="1"/>
    <col min="8199" max="8199" width="11.77734375" style="69" customWidth="1"/>
    <col min="8200" max="8200" width="22.33203125" style="69" customWidth="1"/>
    <col min="8201" max="8201" width="13.6640625" style="69" customWidth="1"/>
    <col min="8202" max="8202" width="12.77734375" style="69" customWidth="1"/>
    <col min="8203" max="8203" width="14" style="69" customWidth="1"/>
    <col min="8204" max="8447" width="9" style="69"/>
    <col min="8448" max="8448" width="0.6640625" style="69" customWidth="1"/>
    <col min="8449" max="8449" width="12.88671875" style="69" customWidth="1"/>
    <col min="8450" max="8450" width="16.109375" style="69" customWidth="1"/>
    <col min="8451" max="8451" width="15" style="69" customWidth="1"/>
    <col min="8452" max="8452" width="16.109375" style="69" customWidth="1"/>
    <col min="8453" max="8454" width="14.109375" style="69" customWidth="1"/>
    <col min="8455" max="8455" width="11.77734375" style="69" customWidth="1"/>
    <col min="8456" max="8456" width="22.33203125" style="69" customWidth="1"/>
    <col min="8457" max="8457" width="13.6640625" style="69" customWidth="1"/>
    <col min="8458" max="8458" width="12.77734375" style="69" customWidth="1"/>
    <col min="8459" max="8459" width="14" style="69" customWidth="1"/>
    <col min="8460" max="8703" width="9" style="69"/>
    <col min="8704" max="8704" width="0.6640625" style="69" customWidth="1"/>
    <col min="8705" max="8705" width="12.88671875" style="69" customWidth="1"/>
    <col min="8706" max="8706" width="16.109375" style="69" customWidth="1"/>
    <col min="8707" max="8707" width="15" style="69" customWidth="1"/>
    <col min="8708" max="8708" width="16.109375" style="69" customWidth="1"/>
    <col min="8709" max="8710" width="14.109375" style="69" customWidth="1"/>
    <col min="8711" max="8711" width="11.77734375" style="69" customWidth="1"/>
    <col min="8712" max="8712" width="22.33203125" style="69" customWidth="1"/>
    <col min="8713" max="8713" width="13.6640625" style="69" customWidth="1"/>
    <col min="8714" max="8714" width="12.77734375" style="69" customWidth="1"/>
    <col min="8715" max="8715" width="14" style="69" customWidth="1"/>
    <col min="8716" max="8959" width="9" style="69"/>
    <col min="8960" max="8960" width="0.6640625" style="69" customWidth="1"/>
    <col min="8961" max="8961" width="12.88671875" style="69" customWidth="1"/>
    <col min="8962" max="8962" width="16.109375" style="69" customWidth="1"/>
    <col min="8963" max="8963" width="15" style="69" customWidth="1"/>
    <col min="8964" max="8964" width="16.109375" style="69" customWidth="1"/>
    <col min="8965" max="8966" width="14.109375" style="69" customWidth="1"/>
    <col min="8967" max="8967" width="11.77734375" style="69" customWidth="1"/>
    <col min="8968" max="8968" width="22.33203125" style="69" customWidth="1"/>
    <col min="8969" max="8969" width="13.6640625" style="69" customWidth="1"/>
    <col min="8970" max="8970" width="12.77734375" style="69" customWidth="1"/>
    <col min="8971" max="8971" width="14" style="69" customWidth="1"/>
    <col min="8972" max="9215" width="9" style="69"/>
    <col min="9216" max="9216" width="0.6640625" style="69" customWidth="1"/>
    <col min="9217" max="9217" width="12.88671875" style="69" customWidth="1"/>
    <col min="9218" max="9218" width="16.109375" style="69" customWidth="1"/>
    <col min="9219" max="9219" width="15" style="69" customWidth="1"/>
    <col min="9220" max="9220" width="16.109375" style="69" customWidth="1"/>
    <col min="9221" max="9222" width="14.109375" style="69" customWidth="1"/>
    <col min="9223" max="9223" width="11.77734375" style="69" customWidth="1"/>
    <col min="9224" max="9224" width="22.33203125" style="69" customWidth="1"/>
    <col min="9225" max="9225" width="13.6640625" style="69" customWidth="1"/>
    <col min="9226" max="9226" width="12.77734375" style="69" customWidth="1"/>
    <col min="9227" max="9227" width="14" style="69" customWidth="1"/>
    <col min="9228" max="9471" width="9" style="69"/>
    <col min="9472" max="9472" width="0.6640625" style="69" customWidth="1"/>
    <col min="9473" max="9473" width="12.88671875" style="69" customWidth="1"/>
    <col min="9474" max="9474" width="16.109375" style="69" customWidth="1"/>
    <col min="9475" max="9475" width="15" style="69" customWidth="1"/>
    <col min="9476" max="9476" width="16.109375" style="69" customWidth="1"/>
    <col min="9477" max="9478" width="14.109375" style="69" customWidth="1"/>
    <col min="9479" max="9479" width="11.77734375" style="69" customWidth="1"/>
    <col min="9480" max="9480" width="22.33203125" style="69" customWidth="1"/>
    <col min="9481" max="9481" width="13.6640625" style="69" customWidth="1"/>
    <col min="9482" max="9482" width="12.77734375" style="69" customWidth="1"/>
    <col min="9483" max="9483" width="14" style="69" customWidth="1"/>
    <col min="9484" max="9727" width="9" style="69"/>
    <col min="9728" max="9728" width="0.6640625" style="69" customWidth="1"/>
    <col min="9729" max="9729" width="12.88671875" style="69" customWidth="1"/>
    <col min="9730" max="9730" width="16.109375" style="69" customWidth="1"/>
    <col min="9731" max="9731" width="15" style="69" customWidth="1"/>
    <col min="9732" max="9732" width="16.109375" style="69" customWidth="1"/>
    <col min="9733" max="9734" width="14.109375" style="69" customWidth="1"/>
    <col min="9735" max="9735" width="11.77734375" style="69" customWidth="1"/>
    <col min="9736" max="9736" width="22.33203125" style="69" customWidth="1"/>
    <col min="9737" max="9737" width="13.6640625" style="69" customWidth="1"/>
    <col min="9738" max="9738" width="12.77734375" style="69" customWidth="1"/>
    <col min="9739" max="9739" width="14" style="69" customWidth="1"/>
    <col min="9740" max="9983" width="9" style="69"/>
    <col min="9984" max="9984" width="0.6640625" style="69" customWidth="1"/>
    <col min="9985" max="9985" width="12.88671875" style="69" customWidth="1"/>
    <col min="9986" max="9986" width="16.109375" style="69" customWidth="1"/>
    <col min="9987" max="9987" width="15" style="69" customWidth="1"/>
    <col min="9988" max="9988" width="16.109375" style="69" customWidth="1"/>
    <col min="9989" max="9990" width="14.109375" style="69" customWidth="1"/>
    <col min="9991" max="9991" width="11.77734375" style="69" customWidth="1"/>
    <col min="9992" max="9992" width="22.33203125" style="69" customWidth="1"/>
    <col min="9993" max="9993" width="13.6640625" style="69" customWidth="1"/>
    <col min="9994" max="9994" width="12.77734375" style="69" customWidth="1"/>
    <col min="9995" max="9995" width="14" style="69" customWidth="1"/>
    <col min="9996" max="10239" width="9" style="69"/>
    <col min="10240" max="10240" width="0.6640625" style="69" customWidth="1"/>
    <col min="10241" max="10241" width="12.88671875" style="69" customWidth="1"/>
    <col min="10242" max="10242" width="16.109375" style="69" customWidth="1"/>
    <col min="10243" max="10243" width="15" style="69" customWidth="1"/>
    <col min="10244" max="10244" width="16.109375" style="69" customWidth="1"/>
    <col min="10245" max="10246" width="14.109375" style="69" customWidth="1"/>
    <col min="10247" max="10247" width="11.77734375" style="69" customWidth="1"/>
    <col min="10248" max="10248" width="22.33203125" style="69" customWidth="1"/>
    <col min="10249" max="10249" width="13.6640625" style="69" customWidth="1"/>
    <col min="10250" max="10250" width="12.77734375" style="69" customWidth="1"/>
    <col min="10251" max="10251" width="14" style="69" customWidth="1"/>
    <col min="10252" max="10495" width="9" style="69"/>
    <col min="10496" max="10496" width="0.6640625" style="69" customWidth="1"/>
    <col min="10497" max="10497" width="12.88671875" style="69" customWidth="1"/>
    <col min="10498" max="10498" width="16.109375" style="69" customWidth="1"/>
    <col min="10499" max="10499" width="15" style="69" customWidth="1"/>
    <col min="10500" max="10500" width="16.109375" style="69" customWidth="1"/>
    <col min="10501" max="10502" width="14.109375" style="69" customWidth="1"/>
    <col min="10503" max="10503" width="11.77734375" style="69" customWidth="1"/>
    <col min="10504" max="10504" width="22.33203125" style="69" customWidth="1"/>
    <col min="10505" max="10505" width="13.6640625" style="69" customWidth="1"/>
    <col min="10506" max="10506" width="12.77734375" style="69" customWidth="1"/>
    <col min="10507" max="10507" width="14" style="69" customWidth="1"/>
    <col min="10508" max="10751" width="9" style="69"/>
    <col min="10752" max="10752" width="0.6640625" style="69" customWidth="1"/>
    <col min="10753" max="10753" width="12.88671875" style="69" customWidth="1"/>
    <col min="10754" max="10754" width="16.109375" style="69" customWidth="1"/>
    <col min="10755" max="10755" width="15" style="69" customWidth="1"/>
    <col min="10756" max="10756" width="16.109375" style="69" customWidth="1"/>
    <col min="10757" max="10758" width="14.109375" style="69" customWidth="1"/>
    <col min="10759" max="10759" width="11.77734375" style="69" customWidth="1"/>
    <col min="10760" max="10760" width="22.33203125" style="69" customWidth="1"/>
    <col min="10761" max="10761" width="13.6640625" style="69" customWidth="1"/>
    <col min="10762" max="10762" width="12.77734375" style="69" customWidth="1"/>
    <col min="10763" max="10763" width="14" style="69" customWidth="1"/>
    <col min="10764" max="11007" width="9" style="69"/>
    <col min="11008" max="11008" width="0.6640625" style="69" customWidth="1"/>
    <col min="11009" max="11009" width="12.88671875" style="69" customWidth="1"/>
    <col min="11010" max="11010" width="16.109375" style="69" customWidth="1"/>
    <col min="11011" max="11011" width="15" style="69" customWidth="1"/>
    <col min="11012" max="11012" width="16.109375" style="69" customWidth="1"/>
    <col min="11013" max="11014" width="14.109375" style="69" customWidth="1"/>
    <col min="11015" max="11015" width="11.77734375" style="69" customWidth="1"/>
    <col min="11016" max="11016" width="22.33203125" style="69" customWidth="1"/>
    <col min="11017" max="11017" width="13.6640625" style="69" customWidth="1"/>
    <col min="11018" max="11018" width="12.77734375" style="69" customWidth="1"/>
    <col min="11019" max="11019" width="14" style="69" customWidth="1"/>
    <col min="11020" max="11263" width="9" style="69"/>
    <col min="11264" max="11264" width="0.6640625" style="69" customWidth="1"/>
    <col min="11265" max="11265" width="12.88671875" style="69" customWidth="1"/>
    <col min="11266" max="11266" width="16.109375" style="69" customWidth="1"/>
    <col min="11267" max="11267" width="15" style="69" customWidth="1"/>
    <col min="11268" max="11268" width="16.109375" style="69" customWidth="1"/>
    <col min="11269" max="11270" width="14.109375" style="69" customWidth="1"/>
    <col min="11271" max="11271" width="11.77734375" style="69" customWidth="1"/>
    <col min="11272" max="11272" width="22.33203125" style="69" customWidth="1"/>
    <col min="11273" max="11273" width="13.6640625" style="69" customWidth="1"/>
    <col min="11274" max="11274" width="12.77734375" style="69" customWidth="1"/>
    <col min="11275" max="11275" width="14" style="69" customWidth="1"/>
    <col min="11276" max="11519" width="9" style="69"/>
    <col min="11520" max="11520" width="0.6640625" style="69" customWidth="1"/>
    <col min="11521" max="11521" width="12.88671875" style="69" customWidth="1"/>
    <col min="11522" max="11522" width="16.109375" style="69" customWidth="1"/>
    <col min="11523" max="11523" width="15" style="69" customWidth="1"/>
    <col min="11524" max="11524" width="16.109375" style="69" customWidth="1"/>
    <col min="11525" max="11526" width="14.109375" style="69" customWidth="1"/>
    <col min="11527" max="11527" width="11.77734375" style="69" customWidth="1"/>
    <col min="11528" max="11528" width="22.33203125" style="69" customWidth="1"/>
    <col min="11529" max="11529" width="13.6640625" style="69" customWidth="1"/>
    <col min="11530" max="11530" width="12.77734375" style="69" customWidth="1"/>
    <col min="11531" max="11531" width="14" style="69" customWidth="1"/>
    <col min="11532" max="11775" width="9" style="69"/>
    <col min="11776" max="11776" width="0.6640625" style="69" customWidth="1"/>
    <col min="11777" max="11777" width="12.88671875" style="69" customWidth="1"/>
    <col min="11778" max="11778" width="16.109375" style="69" customWidth="1"/>
    <col min="11779" max="11779" width="15" style="69" customWidth="1"/>
    <col min="11780" max="11780" width="16.109375" style="69" customWidth="1"/>
    <col min="11781" max="11782" width="14.109375" style="69" customWidth="1"/>
    <col min="11783" max="11783" width="11.77734375" style="69" customWidth="1"/>
    <col min="11784" max="11784" width="22.33203125" style="69" customWidth="1"/>
    <col min="11785" max="11785" width="13.6640625" style="69" customWidth="1"/>
    <col min="11786" max="11786" width="12.77734375" style="69" customWidth="1"/>
    <col min="11787" max="11787" width="14" style="69" customWidth="1"/>
    <col min="11788" max="12031" width="9" style="69"/>
    <col min="12032" max="12032" width="0.6640625" style="69" customWidth="1"/>
    <col min="12033" max="12033" width="12.88671875" style="69" customWidth="1"/>
    <col min="12034" max="12034" width="16.109375" style="69" customWidth="1"/>
    <col min="12035" max="12035" width="15" style="69" customWidth="1"/>
    <col min="12036" max="12036" width="16.109375" style="69" customWidth="1"/>
    <col min="12037" max="12038" width="14.109375" style="69" customWidth="1"/>
    <col min="12039" max="12039" width="11.77734375" style="69" customWidth="1"/>
    <col min="12040" max="12040" width="22.33203125" style="69" customWidth="1"/>
    <col min="12041" max="12041" width="13.6640625" style="69" customWidth="1"/>
    <col min="12042" max="12042" width="12.77734375" style="69" customWidth="1"/>
    <col min="12043" max="12043" width="14" style="69" customWidth="1"/>
    <col min="12044" max="12287" width="9" style="69"/>
    <col min="12288" max="12288" width="0.6640625" style="69" customWidth="1"/>
    <col min="12289" max="12289" width="12.88671875" style="69" customWidth="1"/>
    <col min="12290" max="12290" width="16.109375" style="69" customWidth="1"/>
    <col min="12291" max="12291" width="15" style="69" customWidth="1"/>
    <col min="12292" max="12292" width="16.109375" style="69" customWidth="1"/>
    <col min="12293" max="12294" width="14.109375" style="69" customWidth="1"/>
    <col min="12295" max="12295" width="11.77734375" style="69" customWidth="1"/>
    <col min="12296" max="12296" width="22.33203125" style="69" customWidth="1"/>
    <col min="12297" max="12297" width="13.6640625" style="69" customWidth="1"/>
    <col min="12298" max="12298" width="12.77734375" style="69" customWidth="1"/>
    <col min="12299" max="12299" width="14" style="69" customWidth="1"/>
    <col min="12300" max="12543" width="9" style="69"/>
    <col min="12544" max="12544" width="0.6640625" style="69" customWidth="1"/>
    <col min="12545" max="12545" width="12.88671875" style="69" customWidth="1"/>
    <col min="12546" max="12546" width="16.109375" style="69" customWidth="1"/>
    <col min="12547" max="12547" width="15" style="69" customWidth="1"/>
    <col min="12548" max="12548" width="16.109375" style="69" customWidth="1"/>
    <col min="12549" max="12550" width="14.109375" style="69" customWidth="1"/>
    <col min="12551" max="12551" width="11.77734375" style="69" customWidth="1"/>
    <col min="12552" max="12552" width="22.33203125" style="69" customWidth="1"/>
    <col min="12553" max="12553" width="13.6640625" style="69" customWidth="1"/>
    <col min="12554" max="12554" width="12.77734375" style="69" customWidth="1"/>
    <col min="12555" max="12555" width="14" style="69" customWidth="1"/>
    <col min="12556" max="12799" width="9" style="69"/>
    <col min="12800" max="12800" width="0.6640625" style="69" customWidth="1"/>
    <col min="12801" max="12801" width="12.88671875" style="69" customWidth="1"/>
    <col min="12802" max="12802" width="16.109375" style="69" customWidth="1"/>
    <col min="12803" max="12803" width="15" style="69" customWidth="1"/>
    <col min="12804" max="12804" width="16.109375" style="69" customWidth="1"/>
    <col min="12805" max="12806" width="14.109375" style="69" customWidth="1"/>
    <col min="12807" max="12807" width="11.77734375" style="69" customWidth="1"/>
    <col min="12808" max="12808" width="22.33203125" style="69" customWidth="1"/>
    <col min="12809" max="12809" width="13.6640625" style="69" customWidth="1"/>
    <col min="12810" max="12810" width="12.77734375" style="69" customWidth="1"/>
    <col min="12811" max="12811" width="14" style="69" customWidth="1"/>
    <col min="12812" max="13055" width="9" style="69"/>
    <col min="13056" max="13056" width="0.6640625" style="69" customWidth="1"/>
    <col min="13057" max="13057" width="12.88671875" style="69" customWidth="1"/>
    <col min="13058" max="13058" width="16.109375" style="69" customWidth="1"/>
    <col min="13059" max="13059" width="15" style="69" customWidth="1"/>
    <col min="13060" max="13060" width="16.109375" style="69" customWidth="1"/>
    <col min="13061" max="13062" width="14.109375" style="69" customWidth="1"/>
    <col min="13063" max="13063" width="11.77734375" style="69" customWidth="1"/>
    <col min="13064" max="13064" width="22.33203125" style="69" customWidth="1"/>
    <col min="13065" max="13065" width="13.6640625" style="69" customWidth="1"/>
    <col min="13066" max="13066" width="12.77734375" style="69" customWidth="1"/>
    <col min="13067" max="13067" width="14" style="69" customWidth="1"/>
    <col min="13068" max="13311" width="9" style="69"/>
    <col min="13312" max="13312" width="0.6640625" style="69" customWidth="1"/>
    <col min="13313" max="13313" width="12.88671875" style="69" customWidth="1"/>
    <col min="13314" max="13314" width="16.109375" style="69" customWidth="1"/>
    <col min="13315" max="13315" width="15" style="69" customWidth="1"/>
    <col min="13316" max="13316" width="16.109375" style="69" customWidth="1"/>
    <col min="13317" max="13318" width="14.109375" style="69" customWidth="1"/>
    <col min="13319" max="13319" width="11.77734375" style="69" customWidth="1"/>
    <col min="13320" max="13320" width="22.33203125" style="69" customWidth="1"/>
    <col min="13321" max="13321" width="13.6640625" style="69" customWidth="1"/>
    <col min="13322" max="13322" width="12.77734375" style="69" customWidth="1"/>
    <col min="13323" max="13323" width="14" style="69" customWidth="1"/>
    <col min="13324" max="13567" width="9" style="69"/>
    <col min="13568" max="13568" width="0.6640625" style="69" customWidth="1"/>
    <col min="13569" max="13569" width="12.88671875" style="69" customWidth="1"/>
    <col min="13570" max="13570" width="16.109375" style="69" customWidth="1"/>
    <col min="13571" max="13571" width="15" style="69" customWidth="1"/>
    <col min="13572" max="13572" width="16.109375" style="69" customWidth="1"/>
    <col min="13573" max="13574" width="14.109375" style="69" customWidth="1"/>
    <col min="13575" max="13575" width="11.77734375" style="69" customWidth="1"/>
    <col min="13576" max="13576" width="22.33203125" style="69" customWidth="1"/>
    <col min="13577" max="13577" width="13.6640625" style="69" customWidth="1"/>
    <col min="13578" max="13578" width="12.77734375" style="69" customWidth="1"/>
    <col min="13579" max="13579" width="14" style="69" customWidth="1"/>
    <col min="13580" max="13823" width="9" style="69"/>
    <col min="13824" max="13824" width="0.6640625" style="69" customWidth="1"/>
    <col min="13825" max="13825" width="12.88671875" style="69" customWidth="1"/>
    <col min="13826" max="13826" width="16.109375" style="69" customWidth="1"/>
    <col min="13827" max="13827" width="15" style="69" customWidth="1"/>
    <col min="13828" max="13828" width="16.109375" style="69" customWidth="1"/>
    <col min="13829" max="13830" width="14.109375" style="69" customWidth="1"/>
    <col min="13831" max="13831" width="11.77734375" style="69" customWidth="1"/>
    <col min="13832" max="13832" width="22.33203125" style="69" customWidth="1"/>
    <col min="13833" max="13833" width="13.6640625" style="69" customWidth="1"/>
    <col min="13834" max="13834" width="12.77734375" style="69" customWidth="1"/>
    <col min="13835" max="13835" width="14" style="69" customWidth="1"/>
    <col min="13836" max="14079" width="9" style="69"/>
    <col min="14080" max="14080" width="0.6640625" style="69" customWidth="1"/>
    <col min="14081" max="14081" width="12.88671875" style="69" customWidth="1"/>
    <col min="14082" max="14082" width="16.109375" style="69" customWidth="1"/>
    <col min="14083" max="14083" width="15" style="69" customWidth="1"/>
    <col min="14084" max="14084" width="16.109375" style="69" customWidth="1"/>
    <col min="14085" max="14086" width="14.109375" style="69" customWidth="1"/>
    <col min="14087" max="14087" width="11.77734375" style="69" customWidth="1"/>
    <col min="14088" max="14088" width="22.33203125" style="69" customWidth="1"/>
    <col min="14089" max="14089" width="13.6640625" style="69" customWidth="1"/>
    <col min="14090" max="14090" width="12.77734375" style="69" customWidth="1"/>
    <col min="14091" max="14091" width="14" style="69" customWidth="1"/>
    <col min="14092" max="14335" width="9" style="69"/>
    <col min="14336" max="14336" width="0.6640625" style="69" customWidth="1"/>
    <col min="14337" max="14337" width="12.88671875" style="69" customWidth="1"/>
    <col min="14338" max="14338" width="16.109375" style="69" customWidth="1"/>
    <col min="14339" max="14339" width="15" style="69" customWidth="1"/>
    <col min="14340" max="14340" width="16.109375" style="69" customWidth="1"/>
    <col min="14341" max="14342" width="14.109375" style="69" customWidth="1"/>
    <col min="14343" max="14343" width="11.77734375" style="69" customWidth="1"/>
    <col min="14344" max="14344" width="22.33203125" style="69" customWidth="1"/>
    <col min="14345" max="14345" width="13.6640625" style="69" customWidth="1"/>
    <col min="14346" max="14346" width="12.77734375" style="69" customWidth="1"/>
    <col min="14347" max="14347" width="14" style="69" customWidth="1"/>
    <col min="14348" max="14591" width="9" style="69"/>
    <col min="14592" max="14592" width="0.6640625" style="69" customWidth="1"/>
    <col min="14593" max="14593" width="12.88671875" style="69" customWidth="1"/>
    <col min="14594" max="14594" width="16.109375" style="69" customWidth="1"/>
    <col min="14595" max="14595" width="15" style="69" customWidth="1"/>
    <col min="14596" max="14596" width="16.109375" style="69" customWidth="1"/>
    <col min="14597" max="14598" width="14.109375" style="69" customWidth="1"/>
    <col min="14599" max="14599" width="11.77734375" style="69" customWidth="1"/>
    <col min="14600" max="14600" width="22.33203125" style="69" customWidth="1"/>
    <col min="14601" max="14601" width="13.6640625" style="69" customWidth="1"/>
    <col min="14602" max="14602" width="12.77734375" style="69" customWidth="1"/>
    <col min="14603" max="14603" width="14" style="69" customWidth="1"/>
    <col min="14604" max="14847" width="9" style="69"/>
    <col min="14848" max="14848" width="0.6640625" style="69" customWidth="1"/>
    <col min="14849" max="14849" width="12.88671875" style="69" customWidth="1"/>
    <col min="14850" max="14850" width="16.109375" style="69" customWidth="1"/>
    <col min="14851" max="14851" width="15" style="69" customWidth="1"/>
    <col min="14852" max="14852" width="16.109375" style="69" customWidth="1"/>
    <col min="14853" max="14854" width="14.109375" style="69" customWidth="1"/>
    <col min="14855" max="14855" width="11.77734375" style="69" customWidth="1"/>
    <col min="14856" max="14856" width="22.33203125" style="69" customWidth="1"/>
    <col min="14857" max="14857" width="13.6640625" style="69" customWidth="1"/>
    <col min="14858" max="14858" width="12.77734375" style="69" customWidth="1"/>
    <col min="14859" max="14859" width="14" style="69" customWidth="1"/>
    <col min="14860" max="15103" width="9" style="69"/>
    <col min="15104" max="15104" width="0.6640625" style="69" customWidth="1"/>
    <col min="15105" max="15105" width="12.88671875" style="69" customWidth="1"/>
    <col min="15106" max="15106" width="16.109375" style="69" customWidth="1"/>
    <col min="15107" max="15107" width="15" style="69" customWidth="1"/>
    <col min="15108" max="15108" width="16.109375" style="69" customWidth="1"/>
    <col min="15109" max="15110" width="14.109375" style="69" customWidth="1"/>
    <col min="15111" max="15111" width="11.77734375" style="69" customWidth="1"/>
    <col min="15112" max="15112" width="22.33203125" style="69" customWidth="1"/>
    <col min="15113" max="15113" width="13.6640625" style="69" customWidth="1"/>
    <col min="15114" max="15114" width="12.77734375" style="69" customWidth="1"/>
    <col min="15115" max="15115" width="14" style="69" customWidth="1"/>
    <col min="15116" max="15359" width="9" style="69"/>
    <col min="15360" max="15360" width="0.6640625" style="69" customWidth="1"/>
    <col min="15361" max="15361" width="12.88671875" style="69" customWidth="1"/>
    <col min="15362" max="15362" width="16.109375" style="69" customWidth="1"/>
    <col min="15363" max="15363" width="15" style="69" customWidth="1"/>
    <col min="15364" max="15364" width="16.109375" style="69" customWidth="1"/>
    <col min="15365" max="15366" width="14.109375" style="69" customWidth="1"/>
    <col min="15367" max="15367" width="11.77734375" style="69" customWidth="1"/>
    <col min="15368" max="15368" width="22.33203125" style="69" customWidth="1"/>
    <col min="15369" max="15369" width="13.6640625" style="69" customWidth="1"/>
    <col min="15370" max="15370" width="12.77734375" style="69" customWidth="1"/>
    <col min="15371" max="15371" width="14" style="69" customWidth="1"/>
    <col min="15372" max="15615" width="9" style="69"/>
    <col min="15616" max="15616" width="0.6640625" style="69" customWidth="1"/>
    <col min="15617" max="15617" width="12.88671875" style="69" customWidth="1"/>
    <col min="15618" max="15618" width="16.109375" style="69" customWidth="1"/>
    <col min="15619" max="15619" width="15" style="69" customWidth="1"/>
    <col min="15620" max="15620" width="16.109375" style="69" customWidth="1"/>
    <col min="15621" max="15622" width="14.109375" style="69" customWidth="1"/>
    <col min="15623" max="15623" width="11.77734375" style="69" customWidth="1"/>
    <col min="15624" max="15624" width="22.33203125" style="69" customWidth="1"/>
    <col min="15625" max="15625" width="13.6640625" style="69" customWidth="1"/>
    <col min="15626" max="15626" width="12.77734375" style="69" customWidth="1"/>
    <col min="15627" max="15627" width="14" style="69" customWidth="1"/>
    <col min="15628" max="15871" width="9" style="69"/>
    <col min="15872" max="15872" width="0.6640625" style="69" customWidth="1"/>
    <col min="15873" max="15873" width="12.88671875" style="69" customWidth="1"/>
    <col min="15874" max="15874" width="16.109375" style="69" customWidth="1"/>
    <col min="15875" max="15875" width="15" style="69" customWidth="1"/>
    <col min="15876" max="15876" width="16.109375" style="69" customWidth="1"/>
    <col min="15877" max="15878" width="14.109375" style="69" customWidth="1"/>
    <col min="15879" max="15879" width="11.77734375" style="69" customWidth="1"/>
    <col min="15880" max="15880" width="22.33203125" style="69" customWidth="1"/>
    <col min="15881" max="15881" width="13.6640625" style="69" customWidth="1"/>
    <col min="15882" max="15882" width="12.77734375" style="69" customWidth="1"/>
    <col min="15883" max="15883" width="14" style="69" customWidth="1"/>
    <col min="15884" max="16127" width="9" style="69"/>
    <col min="16128" max="16128" width="0.6640625" style="69" customWidth="1"/>
    <col min="16129" max="16129" width="12.88671875" style="69" customWidth="1"/>
    <col min="16130" max="16130" width="16.109375" style="69" customWidth="1"/>
    <col min="16131" max="16131" width="15" style="69" customWidth="1"/>
    <col min="16132" max="16132" width="16.109375" style="69" customWidth="1"/>
    <col min="16133" max="16134" width="14.109375" style="69" customWidth="1"/>
    <col min="16135" max="16135" width="11.77734375" style="69" customWidth="1"/>
    <col min="16136" max="16136" width="22.33203125" style="69" customWidth="1"/>
    <col min="16137" max="16137" width="13.6640625" style="69" customWidth="1"/>
    <col min="16138" max="16138" width="12.77734375" style="69" customWidth="1"/>
    <col min="16139" max="16139" width="14" style="69" customWidth="1"/>
    <col min="16140" max="16384" width="9" style="69"/>
  </cols>
  <sheetData>
    <row r="1" spans="1:7" ht="18" customHeight="1">
      <c r="A1" s="70"/>
      <c r="B1" s="71" t="s">
        <v>426</v>
      </c>
      <c r="C1" s="72"/>
      <c r="D1" s="72"/>
      <c r="E1" s="72"/>
      <c r="F1" s="72"/>
      <c r="G1" s="72"/>
    </row>
    <row r="2" spans="1:7" ht="14.4">
      <c r="A2" s="73"/>
      <c r="B2" s="74" t="s">
        <v>427</v>
      </c>
      <c r="C2" s="75" t="s">
        <v>428</v>
      </c>
      <c r="D2" s="74" t="s">
        <v>429</v>
      </c>
      <c r="E2" s="75" t="s">
        <v>430</v>
      </c>
      <c r="F2" s="74" t="s">
        <v>429</v>
      </c>
      <c r="G2" s="76" t="s">
        <v>431</v>
      </c>
    </row>
    <row r="3" spans="1:7">
      <c r="A3" s="77"/>
      <c r="B3" s="78">
        <v>0</v>
      </c>
      <c r="C3" s="78">
        <v>292.75</v>
      </c>
      <c r="D3" s="78"/>
      <c r="E3" s="78">
        <v>963.57</v>
      </c>
      <c r="F3" s="78"/>
      <c r="G3" s="78"/>
    </row>
    <row r="4" spans="1:7">
      <c r="A4" s="77"/>
      <c r="B4" s="78">
        <v>1</v>
      </c>
      <c r="C4" s="78">
        <v>780.39</v>
      </c>
      <c r="D4" s="79">
        <v>1.66572160546541</v>
      </c>
      <c r="E4" s="78">
        <v>2309.77</v>
      </c>
      <c r="F4" s="79">
        <v>1.3970962151166999</v>
      </c>
      <c r="G4" s="78"/>
    </row>
    <row r="5" spans="1:7">
      <c r="A5" s="77"/>
      <c r="B5" s="78">
        <v>2</v>
      </c>
      <c r="C5" s="78">
        <v>833.8</v>
      </c>
      <c r="D5" s="79">
        <v>6.8440138904906495E-2</v>
      </c>
      <c r="E5" s="78">
        <v>2225.38</v>
      </c>
      <c r="F5" s="79">
        <v>-3.6536105326504302E-2</v>
      </c>
      <c r="G5" s="78"/>
    </row>
    <row r="6" spans="1:7">
      <c r="A6" s="77"/>
      <c r="B6" s="78">
        <v>3</v>
      </c>
      <c r="C6" s="78">
        <v>647.87</v>
      </c>
      <c r="D6" s="79">
        <v>-0.222991124970017</v>
      </c>
      <c r="E6" s="78">
        <v>1271.06</v>
      </c>
      <c r="F6" s="79">
        <v>-0.428834625996459</v>
      </c>
      <c r="G6" s="78"/>
    </row>
    <row r="7" spans="1:7">
      <c r="A7" s="77"/>
      <c r="B7" s="78">
        <v>4</v>
      </c>
      <c r="C7" s="78">
        <v>555.29</v>
      </c>
      <c r="D7" s="79">
        <v>-0.14289903838733101</v>
      </c>
      <c r="E7" s="78">
        <v>987.75</v>
      </c>
      <c r="F7" s="79">
        <v>-0.22289270372759701</v>
      </c>
      <c r="G7" s="78"/>
    </row>
    <row r="8" spans="1:7">
      <c r="A8" s="77"/>
      <c r="B8" s="78">
        <v>5</v>
      </c>
      <c r="C8" s="78">
        <v>917.02</v>
      </c>
      <c r="D8" s="79">
        <v>0.65142538133227701</v>
      </c>
      <c r="E8" s="78">
        <v>3217.55</v>
      </c>
      <c r="F8" s="79">
        <v>2.2574538091622398</v>
      </c>
      <c r="G8" s="78"/>
    </row>
    <row r="9" spans="1:7">
      <c r="A9" s="77"/>
      <c r="B9" s="78">
        <v>6</v>
      </c>
      <c r="C9" s="78">
        <v>1194.1099999999999</v>
      </c>
      <c r="D9" s="79">
        <v>0.302163529694009</v>
      </c>
      <c r="E9" s="78">
        <v>4184.8500000000004</v>
      </c>
      <c r="F9" s="79">
        <v>0.30063246880390398</v>
      </c>
      <c r="G9" s="78"/>
    </row>
    <row r="10" spans="1:7">
      <c r="A10" s="77"/>
      <c r="B10" s="78">
        <v>7</v>
      </c>
      <c r="C10" s="78">
        <v>1146.71</v>
      </c>
      <c r="D10" s="79">
        <v>-3.9694835484168002E-2</v>
      </c>
      <c r="E10" s="78">
        <v>2949.32</v>
      </c>
      <c r="F10" s="79">
        <v>-0.29523877797292603</v>
      </c>
      <c r="G10" s="78"/>
    </row>
    <row r="11" spans="1:7">
      <c r="A11" s="77"/>
      <c r="B11" s="78">
        <v>8</v>
      </c>
      <c r="C11" s="78">
        <v>1366.59</v>
      </c>
      <c r="D11" s="79">
        <v>0.19174856764133899</v>
      </c>
      <c r="E11" s="78">
        <v>3369.62</v>
      </c>
      <c r="F11" s="79">
        <v>0.14250742544044001</v>
      </c>
      <c r="G11" s="78"/>
    </row>
    <row r="12" spans="1:7">
      <c r="A12" s="77"/>
      <c r="B12" s="78">
        <v>9</v>
      </c>
      <c r="C12" s="78">
        <v>2073.48</v>
      </c>
      <c r="D12" s="79">
        <v>0.51726560270454203</v>
      </c>
      <c r="E12" s="78">
        <v>4752.76</v>
      </c>
      <c r="F12" s="79">
        <v>0.41047358455849597</v>
      </c>
      <c r="G12" s="78"/>
    </row>
    <row r="13" spans="1:7">
      <c r="A13" s="77"/>
      <c r="B13" s="78">
        <v>10</v>
      </c>
      <c r="C13" s="78">
        <v>1645.98</v>
      </c>
      <c r="D13" s="79">
        <v>-0.20617512587534001</v>
      </c>
      <c r="E13" s="78">
        <v>3325.67</v>
      </c>
      <c r="F13" s="79">
        <v>-0.30026552992366501</v>
      </c>
      <c r="G13" s="78"/>
    </row>
    <row r="14" spans="1:7">
      <c r="A14" s="77"/>
      <c r="B14" s="78">
        <v>11</v>
      </c>
      <c r="C14" s="78">
        <v>1357.66</v>
      </c>
      <c r="D14" s="79">
        <v>-0.175166162407806</v>
      </c>
      <c r="E14" s="78">
        <v>2759.3</v>
      </c>
      <c r="F14" s="79">
        <v>-0.170302525506139</v>
      </c>
      <c r="G14" s="78"/>
    </row>
    <row r="15" spans="1:7">
      <c r="A15" s="77"/>
      <c r="B15" s="78">
        <v>12</v>
      </c>
      <c r="C15" s="78">
        <v>1497.05</v>
      </c>
      <c r="D15" s="79">
        <v>0.1026692986462</v>
      </c>
      <c r="E15" s="78">
        <v>3479.8</v>
      </c>
      <c r="F15" s="79">
        <v>0.26111694995107498</v>
      </c>
      <c r="G15" s="78"/>
    </row>
    <row r="16" spans="1:7">
      <c r="A16" s="77"/>
      <c r="B16" s="78">
        <v>13</v>
      </c>
      <c r="C16" s="78">
        <v>1266.5</v>
      </c>
      <c r="D16" s="79">
        <v>-0.15400287231555401</v>
      </c>
      <c r="E16" s="78">
        <v>3067.57</v>
      </c>
      <c r="F16" s="79">
        <v>-0.118463704810621</v>
      </c>
      <c r="G16" s="78"/>
    </row>
    <row r="17" spans="1:7">
      <c r="A17" s="77"/>
      <c r="B17" s="78">
        <v>14</v>
      </c>
      <c r="C17" s="78">
        <v>1161.06</v>
      </c>
      <c r="D17" s="79">
        <v>-8.3253059613107E-2</v>
      </c>
      <c r="E17" s="78">
        <v>2863.62</v>
      </c>
      <c r="F17" s="79">
        <v>-6.6485850363643004E-2</v>
      </c>
      <c r="G17" s="78"/>
    </row>
    <row r="18" spans="1:7">
      <c r="A18" s="77"/>
      <c r="B18" s="78">
        <v>15</v>
      </c>
      <c r="C18" s="78">
        <v>2675.48</v>
      </c>
      <c r="D18" s="79">
        <v>1.3043425835012801</v>
      </c>
      <c r="E18" s="78">
        <v>6647.14</v>
      </c>
      <c r="F18" s="79">
        <v>1.3212367562735301</v>
      </c>
      <c r="G18" s="78"/>
    </row>
    <row r="19" spans="1:7">
      <c r="A19" s="77"/>
      <c r="B19" s="78">
        <v>16</v>
      </c>
      <c r="C19" s="78">
        <v>5261.57</v>
      </c>
      <c r="D19" s="79">
        <v>0.96658917278394896</v>
      </c>
      <c r="E19" s="78">
        <v>17700.63</v>
      </c>
      <c r="F19" s="79">
        <v>1.66289411686831</v>
      </c>
      <c r="G19" s="78"/>
    </row>
    <row r="20" spans="1:7">
      <c r="A20" s="77"/>
      <c r="B20" s="78">
        <v>17</v>
      </c>
      <c r="C20" s="78">
        <v>1820.81</v>
      </c>
      <c r="D20" s="79">
        <v>-0.65394169420914305</v>
      </c>
      <c r="E20" s="78">
        <v>6485.52</v>
      </c>
      <c r="F20" s="79">
        <v>-0.63359948205233396</v>
      </c>
      <c r="G20" s="78"/>
    </row>
    <row r="21" spans="1:7">
      <c r="A21" s="77"/>
      <c r="B21" s="78">
        <v>18</v>
      </c>
      <c r="C21" s="78">
        <v>3277.14</v>
      </c>
      <c r="D21" s="79">
        <v>0.79982535245302899</v>
      </c>
      <c r="E21" s="78">
        <v>13699.98</v>
      </c>
      <c r="F21" s="79">
        <v>1.1123949968545299</v>
      </c>
      <c r="G21" s="78"/>
    </row>
    <row r="22" spans="1:7">
      <c r="A22" s="77"/>
      <c r="B22" s="78">
        <v>19</v>
      </c>
      <c r="C22" s="78">
        <v>2808.08</v>
      </c>
      <c r="D22" s="79">
        <v>-0.14313090072441201</v>
      </c>
      <c r="E22" s="78">
        <v>12458.56</v>
      </c>
      <c r="F22" s="79">
        <v>-9.0614730824424602E-2</v>
      </c>
      <c r="G22" s="78"/>
    </row>
    <row r="23" spans="1:7">
      <c r="A23" s="77"/>
      <c r="B23" s="78">
        <v>20</v>
      </c>
      <c r="C23" s="78">
        <v>2199.42</v>
      </c>
      <c r="D23" s="79">
        <v>-0.216753083957722</v>
      </c>
      <c r="E23" s="78">
        <v>8918.82</v>
      </c>
      <c r="F23" s="79">
        <v>-0.28412111833149301</v>
      </c>
      <c r="G23" s="78"/>
    </row>
    <row r="24" spans="1:7">
      <c r="A24" s="77"/>
      <c r="B24" s="78">
        <v>21</v>
      </c>
      <c r="C24" s="78">
        <v>2236.46</v>
      </c>
      <c r="D24" s="79">
        <v>1.6840803484555002E-2</v>
      </c>
      <c r="E24" s="78">
        <v>9116.48</v>
      </c>
      <c r="F24" s="79">
        <v>2.2162124585987798E-2</v>
      </c>
      <c r="G24" s="78"/>
    </row>
    <row r="25" spans="1:7">
      <c r="A25" s="77"/>
      <c r="B25" s="78">
        <v>22</v>
      </c>
      <c r="C25" s="78">
        <v>2115.98</v>
      </c>
      <c r="D25" s="79">
        <v>-5.3870849467461998E-2</v>
      </c>
      <c r="E25" s="78">
        <v>8121.79</v>
      </c>
      <c r="F25" s="79">
        <v>-0.109108998209835</v>
      </c>
      <c r="G25" s="78"/>
    </row>
    <row r="26" spans="1:7">
      <c r="A26" s="77"/>
      <c r="B26" s="78">
        <v>23</v>
      </c>
      <c r="C26" s="78">
        <v>3234.6770000000001</v>
      </c>
      <c r="D26" s="79">
        <v>0.52868977967655695</v>
      </c>
      <c r="E26" s="78">
        <v>11014.624</v>
      </c>
      <c r="F26" s="79">
        <v>0.35618182691254002</v>
      </c>
      <c r="G26" s="78"/>
    </row>
    <row r="27" spans="1:7">
      <c r="A27" s="77"/>
      <c r="B27" s="78">
        <v>24</v>
      </c>
      <c r="C27" s="78">
        <v>3539.1819999999998</v>
      </c>
      <c r="D27" s="79">
        <v>9.4137683607976794E-2</v>
      </c>
      <c r="E27" s="78">
        <v>12664.89</v>
      </c>
      <c r="F27" s="79">
        <v>0.14982499629583401</v>
      </c>
      <c r="G27" s="78"/>
    </row>
    <row r="28" spans="1:7">
      <c r="A28" s="77"/>
      <c r="B28" s="78">
        <v>25</v>
      </c>
      <c r="C28" s="78">
        <v>3103.6372999999999</v>
      </c>
      <c r="D28" s="79">
        <v>-0.123063662733366</v>
      </c>
      <c r="E28" s="78">
        <v>10177.1379</v>
      </c>
      <c r="F28" s="79">
        <v>-0.19642903333546499</v>
      </c>
      <c r="G28" s="78"/>
    </row>
    <row r="29" spans="1:7">
      <c r="B29" s="78">
        <v>26</v>
      </c>
      <c r="C29" s="78">
        <v>3307.1720999999998</v>
      </c>
      <c r="D29" s="79">
        <v>6.5579441257520604E-2</v>
      </c>
      <c r="E29" s="78">
        <v>11040.45</v>
      </c>
      <c r="F29" s="79">
        <v>8.48285744462597E-2</v>
      </c>
      <c r="G29" s="78"/>
    </row>
    <row r="30" spans="1:7" ht="14.4">
      <c r="A30" s="73"/>
      <c r="B30" s="78"/>
      <c r="C30" s="80" t="s">
        <v>432</v>
      </c>
      <c r="D30" s="81">
        <v>0.19463448196185101</v>
      </c>
      <c r="E30" s="80" t="s">
        <v>432</v>
      </c>
      <c r="F30" s="81">
        <v>0.25099656380341301</v>
      </c>
      <c r="G30" s="81">
        <v>0.22281552288263201</v>
      </c>
    </row>
    <row r="31" spans="1:7" ht="14.4">
      <c r="A31" s="77"/>
      <c r="B31" s="78"/>
      <c r="C31" s="80" t="s">
        <v>433</v>
      </c>
      <c r="D31" s="82">
        <v>9.7737391076217803E-2</v>
      </c>
      <c r="E31" s="80" t="s">
        <v>433</v>
      </c>
      <c r="F31" s="82">
        <v>9.8334815299396999E-2</v>
      </c>
      <c r="G31" s="82">
        <v>9.8036103187807394E-2</v>
      </c>
    </row>
    <row r="32" spans="1:7">
      <c r="A32" s="77"/>
      <c r="B32" s="77"/>
      <c r="C32" s="83"/>
      <c r="D32" s="77"/>
      <c r="E32" s="83"/>
      <c r="F32" s="77"/>
    </row>
    <row r="33" spans="1:7" ht="14.4">
      <c r="A33" s="77"/>
      <c r="B33" s="74" t="s">
        <v>427</v>
      </c>
      <c r="C33" s="74" t="s">
        <v>428</v>
      </c>
      <c r="D33" s="74" t="s">
        <v>429</v>
      </c>
      <c r="E33" s="76" t="s">
        <v>430</v>
      </c>
      <c r="F33" s="74" t="s">
        <v>429</v>
      </c>
      <c r="G33" s="76" t="s">
        <v>431</v>
      </c>
    </row>
    <row r="34" spans="1:7">
      <c r="A34" s="77"/>
      <c r="B34" s="78">
        <v>0</v>
      </c>
      <c r="C34" s="78">
        <v>1357.66</v>
      </c>
      <c r="D34" s="78"/>
      <c r="E34" s="78">
        <v>2759.3</v>
      </c>
      <c r="F34" s="78"/>
      <c r="G34" s="78"/>
    </row>
    <row r="35" spans="1:7">
      <c r="A35" s="77"/>
      <c r="B35" s="78">
        <v>1</v>
      </c>
      <c r="C35" s="78">
        <v>1497.05</v>
      </c>
      <c r="D35" s="79">
        <v>0.1026692986462</v>
      </c>
      <c r="E35" s="78">
        <v>3479.8</v>
      </c>
      <c r="F35" s="79">
        <v>0.26111694995107498</v>
      </c>
      <c r="G35" s="78"/>
    </row>
    <row r="36" spans="1:7">
      <c r="A36" s="77"/>
      <c r="B36" s="78">
        <v>2</v>
      </c>
      <c r="C36" s="78">
        <v>1266.5</v>
      </c>
      <c r="D36" s="79">
        <v>-0.15400287231555401</v>
      </c>
      <c r="E36" s="78">
        <v>3067.57</v>
      </c>
      <c r="F36" s="79">
        <v>-0.118463704810621</v>
      </c>
      <c r="G36" s="78"/>
    </row>
    <row r="37" spans="1:7">
      <c r="A37" s="77"/>
      <c r="B37" s="78">
        <v>3</v>
      </c>
      <c r="C37" s="78">
        <v>1161.06</v>
      </c>
      <c r="D37" s="79">
        <v>-8.3253059613107E-2</v>
      </c>
      <c r="E37" s="78">
        <v>2863.62</v>
      </c>
      <c r="F37" s="79">
        <v>-6.6485850363643004E-2</v>
      </c>
      <c r="G37" s="78"/>
    </row>
    <row r="38" spans="1:7">
      <c r="A38" s="77"/>
      <c r="B38" s="78">
        <v>4</v>
      </c>
      <c r="C38" s="78">
        <v>2675.48</v>
      </c>
      <c r="D38" s="79">
        <v>1.3043425835012801</v>
      </c>
      <c r="E38" s="78">
        <v>6647.14</v>
      </c>
      <c r="F38" s="79">
        <v>1.3212367562735301</v>
      </c>
      <c r="G38" s="78"/>
    </row>
    <row r="39" spans="1:7">
      <c r="A39" s="77"/>
      <c r="B39" s="78">
        <v>5</v>
      </c>
      <c r="C39" s="78">
        <v>5261.57</v>
      </c>
      <c r="D39" s="79">
        <v>0.96658917278394896</v>
      </c>
      <c r="E39" s="78">
        <v>17700.63</v>
      </c>
      <c r="F39" s="79">
        <v>1.66289411686831</v>
      </c>
      <c r="G39" s="78"/>
    </row>
    <row r="40" spans="1:7">
      <c r="A40" s="77"/>
      <c r="B40" s="78">
        <v>6</v>
      </c>
      <c r="C40" s="78">
        <v>1820.81</v>
      </c>
      <c r="D40" s="79">
        <v>-0.65394169420914305</v>
      </c>
      <c r="E40" s="78">
        <v>6485.52</v>
      </c>
      <c r="F40" s="79">
        <v>-0.63359948205233396</v>
      </c>
      <c r="G40" s="78"/>
    </row>
    <row r="41" spans="1:7">
      <c r="A41" s="77"/>
      <c r="B41" s="78">
        <v>7</v>
      </c>
      <c r="C41" s="78">
        <v>3277.14</v>
      </c>
      <c r="D41" s="79">
        <v>0.79982535245302899</v>
      </c>
      <c r="E41" s="78">
        <v>13699.98</v>
      </c>
      <c r="F41" s="79">
        <v>1.1123949968545299</v>
      </c>
      <c r="G41" s="78"/>
    </row>
    <row r="42" spans="1:7">
      <c r="A42" s="77"/>
      <c r="B42" s="78">
        <v>8</v>
      </c>
      <c r="C42" s="78">
        <v>2808.08</v>
      </c>
      <c r="D42" s="79">
        <v>-0.14313090072441201</v>
      </c>
      <c r="E42" s="78">
        <v>12458.56</v>
      </c>
      <c r="F42" s="79">
        <v>-9.0614730824424602E-2</v>
      </c>
      <c r="G42" s="78"/>
    </row>
    <row r="43" spans="1:7">
      <c r="A43" s="77"/>
      <c r="B43" s="78">
        <v>9</v>
      </c>
      <c r="C43" s="78">
        <v>2199.42</v>
      </c>
      <c r="D43" s="79">
        <v>-0.216753083957722</v>
      </c>
      <c r="E43" s="78">
        <v>8918.82</v>
      </c>
      <c r="F43" s="79">
        <v>-0.28412111833149301</v>
      </c>
      <c r="G43" s="78"/>
    </row>
    <row r="44" spans="1:7">
      <c r="A44" s="77"/>
      <c r="B44" s="78">
        <v>10</v>
      </c>
      <c r="C44" s="78">
        <v>2236.46</v>
      </c>
      <c r="D44" s="79">
        <v>1.6840803484555002E-2</v>
      </c>
      <c r="E44" s="78">
        <v>9116.48</v>
      </c>
      <c r="F44" s="79">
        <v>2.2162124585987798E-2</v>
      </c>
      <c r="G44" s="78"/>
    </row>
    <row r="45" spans="1:7">
      <c r="A45" s="77"/>
      <c r="B45" s="78">
        <v>11</v>
      </c>
      <c r="C45" s="78">
        <v>2236.46</v>
      </c>
      <c r="D45" s="79">
        <v>0</v>
      </c>
      <c r="E45" s="78">
        <v>8121.79</v>
      </c>
      <c r="F45" s="79">
        <v>-0.109108998209835</v>
      </c>
      <c r="G45" s="78"/>
    </row>
    <row r="46" spans="1:7">
      <c r="A46" s="77"/>
      <c r="B46" s="78">
        <v>12</v>
      </c>
      <c r="C46" s="78">
        <v>3234.6770000000001</v>
      </c>
      <c r="D46" s="79">
        <v>0.44633796267315301</v>
      </c>
      <c r="E46" s="78">
        <v>11014.624</v>
      </c>
      <c r="F46" s="79">
        <v>0.35618182691254002</v>
      </c>
      <c r="G46" s="78"/>
    </row>
    <row r="47" spans="1:7">
      <c r="A47" s="77"/>
      <c r="B47" s="78">
        <v>13</v>
      </c>
      <c r="C47" s="78">
        <v>3539.1819999999998</v>
      </c>
      <c r="D47" s="79">
        <v>9.4137683607976794E-2</v>
      </c>
      <c r="E47" s="78">
        <v>12664.89</v>
      </c>
      <c r="F47" s="79">
        <v>0.14982499629583401</v>
      </c>
      <c r="G47" s="78"/>
    </row>
    <row r="48" spans="1:7">
      <c r="A48" s="77"/>
      <c r="B48" s="78">
        <v>14</v>
      </c>
      <c r="C48" s="78">
        <v>3103.6372999999999</v>
      </c>
      <c r="D48" s="79">
        <v>-0.123063662733366</v>
      </c>
      <c r="E48" s="78">
        <v>10177.1379</v>
      </c>
      <c r="F48" s="79">
        <v>-0.19642903333546499</v>
      </c>
      <c r="G48" s="78"/>
    </row>
    <row r="49" spans="1:7">
      <c r="B49" s="78">
        <v>15</v>
      </c>
      <c r="C49" s="78">
        <v>3307.1720999999998</v>
      </c>
      <c r="D49" s="79">
        <v>6.5579441257520604E-2</v>
      </c>
      <c r="E49" s="78">
        <v>11040.45</v>
      </c>
      <c r="F49" s="79">
        <v>8.48285744462597E-2</v>
      </c>
      <c r="G49" s="78"/>
    </row>
    <row r="50" spans="1:7" ht="14.4">
      <c r="A50" s="73"/>
      <c r="B50" s="78"/>
      <c r="C50" s="80" t="s">
        <v>432</v>
      </c>
      <c r="D50" s="81">
        <v>0.161478468323624</v>
      </c>
      <c r="E50" s="80" t="s">
        <v>432</v>
      </c>
      <c r="F50" s="81">
        <v>0.23145449495068299</v>
      </c>
      <c r="G50" s="81">
        <v>0.19646648163715399</v>
      </c>
    </row>
    <row r="51" spans="1:7" ht="14.4">
      <c r="A51" s="77"/>
      <c r="B51" s="78"/>
      <c r="C51" s="80" t="s">
        <v>433</v>
      </c>
      <c r="D51" s="82">
        <v>6.1152296237498599E-2</v>
      </c>
      <c r="E51" s="80" t="s">
        <v>433</v>
      </c>
      <c r="F51" s="82">
        <v>9.6846508049882596E-2</v>
      </c>
      <c r="G51" s="82">
        <v>7.8999402143690597E-2</v>
      </c>
    </row>
    <row r="52" spans="1:7">
      <c r="A52" s="77"/>
      <c r="B52" s="77"/>
      <c r="C52" s="83"/>
      <c r="D52" s="77"/>
      <c r="E52" s="83"/>
      <c r="F52" s="77"/>
    </row>
    <row r="53" spans="1:7" ht="14.4">
      <c r="A53" s="77"/>
      <c r="B53" s="74" t="s">
        <v>427</v>
      </c>
      <c r="C53" s="74" t="s">
        <v>428</v>
      </c>
      <c r="D53" s="74" t="s">
        <v>429</v>
      </c>
      <c r="E53" s="84" t="s">
        <v>434</v>
      </c>
      <c r="F53" s="74" t="s">
        <v>429</v>
      </c>
      <c r="G53" s="76" t="s">
        <v>431</v>
      </c>
    </row>
    <row r="54" spans="1:7">
      <c r="A54" s="77"/>
      <c r="B54" s="78">
        <v>0</v>
      </c>
      <c r="C54" s="78">
        <v>1357.66</v>
      </c>
      <c r="D54" s="78"/>
      <c r="E54" s="78">
        <v>388.76</v>
      </c>
      <c r="F54" s="78"/>
      <c r="G54" s="78"/>
    </row>
    <row r="55" spans="1:7">
      <c r="A55" s="77"/>
      <c r="B55" s="78">
        <v>1</v>
      </c>
      <c r="C55" s="78">
        <v>1497.05</v>
      </c>
      <c r="D55" s="79">
        <v>0.1026692986462</v>
      </c>
      <c r="E55" s="78">
        <v>378.63</v>
      </c>
      <c r="F55" s="79">
        <v>-2.6057207531638999E-2</v>
      </c>
      <c r="G55" s="78"/>
    </row>
    <row r="56" spans="1:7">
      <c r="A56" s="77"/>
      <c r="B56" s="78">
        <v>2</v>
      </c>
      <c r="C56" s="78">
        <v>1266.5</v>
      </c>
      <c r="D56" s="79">
        <v>-0.15400287231555401</v>
      </c>
      <c r="E56" s="78">
        <v>315.81</v>
      </c>
      <c r="F56" s="79">
        <v>-0.165913952935584</v>
      </c>
      <c r="G56" s="78"/>
    </row>
    <row r="57" spans="1:7">
      <c r="A57" s="77"/>
      <c r="B57" s="78">
        <v>3</v>
      </c>
      <c r="C57" s="78">
        <v>1161.06</v>
      </c>
      <c r="D57" s="79">
        <v>-8.3253059613107E-2</v>
      </c>
      <c r="E57" s="78">
        <v>278.75</v>
      </c>
      <c r="F57" s="79">
        <v>-0.117349038979133</v>
      </c>
      <c r="G57" s="78"/>
    </row>
    <row r="58" spans="1:7">
      <c r="A58" s="77"/>
      <c r="B58" s="78">
        <v>4</v>
      </c>
      <c r="C58" s="78">
        <v>2675.48</v>
      </c>
      <c r="D58" s="79">
        <v>1.3043425835012801</v>
      </c>
      <c r="E58" s="78">
        <v>550.59</v>
      </c>
      <c r="F58" s="79">
        <v>0.97521076233183901</v>
      </c>
      <c r="G58" s="78"/>
    </row>
    <row r="59" spans="1:7">
      <c r="A59" s="77"/>
      <c r="B59" s="78">
        <v>5</v>
      </c>
      <c r="C59" s="78">
        <v>5261.57</v>
      </c>
      <c r="D59" s="79">
        <v>0.96658917278394896</v>
      </c>
      <c r="E59" s="78">
        <v>1447.03</v>
      </c>
      <c r="F59" s="79">
        <v>1.6281443542381799</v>
      </c>
      <c r="G59" s="78"/>
    </row>
    <row r="60" spans="1:7">
      <c r="A60" s="77"/>
      <c r="B60" s="78">
        <v>6</v>
      </c>
      <c r="C60" s="78">
        <v>1820.81</v>
      </c>
      <c r="D60" s="79">
        <v>-0.65394169420914305</v>
      </c>
      <c r="E60" s="78">
        <v>553.29999999999995</v>
      </c>
      <c r="F60" s="79">
        <v>-0.61763059508095897</v>
      </c>
      <c r="G60" s="78"/>
    </row>
    <row r="61" spans="1:7">
      <c r="A61" s="77"/>
      <c r="B61" s="78">
        <v>7</v>
      </c>
      <c r="C61" s="78">
        <v>3277.14</v>
      </c>
      <c r="D61" s="79">
        <v>0.79982535245302899</v>
      </c>
      <c r="E61" s="78">
        <v>1201.3499999999999</v>
      </c>
      <c r="F61" s="79">
        <v>1.1712452557383</v>
      </c>
      <c r="G61" s="78"/>
    </row>
    <row r="62" spans="1:7">
      <c r="A62" s="77"/>
      <c r="B62" s="78">
        <v>8</v>
      </c>
      <c r="C62" s="78">
        <v>2808.08</v>
      </c>
      <c r="D62" s="79">
        <v>-0.14313090072441201</v>
      </c>
      <c r="E62" s="78">
        <v>1290.8699999999999</v>
      </c>
      <c r="F62" s="79">
        <v>7.45161693095268E-2</v>
      </c>
      <c r="G62" s="78"/>
    </row>
    <row r="63" spans="1:7">
      <c r="A63" s="77"/>
      <c r="B63" s="78">
        <v>9</v>
      </c>
      <c r="C63" s="78">
        <v>2199.42</v>
      </c>
      <c r="D63" s="79">
        <v>-0.216753083957722</v>
      </c>
      <c r="E63" s="78">
        <v>866.65</v>
      </c>
      <c r="F63" s="79">
        <v>-0.32863107826504601</v>
      </c>
      <c r="G63" s="78"/>
    </row>
    <row r="64" spans="1:7">
      <c r="A64" s="77"/>
      <c r="B64" s="78">
        <v>10</v>
      </c>
      <c r="C64" s="78">
        <v>2236.46</v>
      </c>
      <c r="D64" s="79">
        <v>1.6840803484555002E-2</v>
      </c>
      <c r="E64" s="78">
        <v>881.17</v>
      </c>
      <c r="F64" s="79">
        <v>1.67541683493913E-2</v>
      </c>
      <c r="G64" s="78"/>
    </row>
    <row r="65" spans="1:9" ht="15.6">
      <c r="A65" s="77"/>
      <c r="B65" s="78">
        <v>11</v>
      </c>
      <c r="C65" s="78">
        <v>2236.46</v>
      </c>
      <c r="D65" s="79">
        <v>0</v>
      </c>
      <c r="E65" s="78">
        <v>1057.67</v>
      </c>
      <c r="F65" s="79">
        <v>0.20030187137555799</v>
      </c>
      <c r="G65" s="78"/>
      <c r="H65" s="72"/>
      <c r="I65" s="72"/>
    </row>
    <row r="66" spans="1:9" ht="15.6">
      <c r="A66" s="77"/>
      <c r="B66" s="78">
        <v>12</v>
      </c>
      <c r="C66" s="78">
        <v>3234.6770000000001</v>
      </c>
      <c r="D66" s="79">
        <v>0.44633796267315301</v>
      </c>
      <c r="E66" s="78">
        <v>1415.191</v>
      </c>
      <c r="F66" s="79">
        <v>0.33802698384184099</v>
      </c>
      <c r="G66" s="78"/>
      <c r="H66" s="72"/>
      <c r="I66" s="72"/>
    </row>
    <row r="67" spans="1:9" ht="15.6">
      <c r="A67" s="77"/>
      <c r="B67" s="78">
        <v>13</v>
      </c>
      <c r="C67" s="78">
        <v>3539.1819999999998</v>
      </c>
      <c r="D67" s="79">
        <v>9.4137683607976794E-2</v>
      </c>
      <c r="E67" s="78">
        <v>2308.9070000000002</v>
      </c>
      <c r="F67" s="79">
        <v>0.63151616990215498</v>
      </c>
      <c r="G67" s="78"/>
      <c r="H67" s="72"/>
      <c r="I67" s="72"/>
    </row>
    <row r="68" spans="1:9" ht="15.6">
      <c r="A68" s="77"/>
      <c r="B68" s="78">
        <v>14</v>
      </c>
      <c r="C68" s="78">
        <v>3103.6372999999999</v>
      </c>
      <c r="D68" s="79">
        <v>-0.123063662733366</v>
      </c>
      <c r="E68" s="78">
        <v>1969.1115</v>
      </c>
      <c r="F68" s="79">
        <v>-0.14716725273040501</v>
      </c>
      <c r="G68" s="78"/>
      <c r="H68" s="72"/>
      <c r="I68" s="72"/>
    </row>
    <row r="69" spans="1:9" ht="15.6">
      <c r="B69" s="78">
        <v>15</v>
      </c>
      <c r="C69" s="78">
        <v>3307.1720999999998</v>
      </c>
      <c r="D69" s="79">
        <v>6.5579441257520604E-2</v>
      </c>
      <c r="E69" s="78">
        <v>1899.3435999999999</v>
      </c>
      <c r="F69" s="79">
        <v>-3.5431157656638602E-2</v>
      </c>
      <c r="G69" s="78"/>
      <c r="H69" s="72"/>
      <c r="I69" s="72"/>
    </row>
    <row r="70" spans="1:9" ht="15.6">
      <c r="A70" s="73"/>
      <c r="B70" s="78"/>
      <c r="C70" s="80" t="s">
        <v>432</v>
      </c>
      <c r="D70" s="81">
        <v>0.161478468323624</v>
      </c>
      <c r="E70" s="80" t="s">
        <v>432</v>
      </c>
      <c r="F70" s="81">
        <v>0.23983569679382599</v>
      </c>
      <c r="G70" s="81">
        <v>0.200657082558725</v>
      </c>
      <c r="H70" s="72"/>
      <c r="I70" s="72"/>
    </row>
    <row r="71" spans="1:9" ht="15.6">
      <c r="A71" s="77"/>
      <c r="B71" s="78"/>
      <c r="C71" s="80" t="s">
        <v>433</v>
      </c>
      <c r="D71" s="82">
        <v>6.1152296237498599E-2</v>
      </c>
      <c r="E71" s="80" t="s">
        <v>433</v>
      </c>
      <c r="F71" s="82">
        <v>0.111547768021499</v>
      </c>
      <c r="G71" s="82">
        <v>8.6350032129498697E-2</v>
      </c>
      <c r="H71" s="72"/>
      <c r="I71" s="72"/>
    </row>
    <row r="72" spans="1:9">
      <c r="A72" s="77"/>
      <c r="B72" s="77"/>
      <c r="C72" s="83"/>
      <c r="D72" s="77"/>
      <c r="E72" s="83"/>
      <c r="F72" s="77"/>
    </row>
    <row r="73" spans="1:9" ht="14.4">
      <c r="A73" s="77"/>
      <c r="B73" s="74" t="s">
        <v>427</v>
      </c>
      <c r="C73" s="74" t="s">
        <v>428</v>
      </c>
      <c r="D73" s="74" t="s">
        <v>429</v>
      </c>
      <c r="E73" s="76" t="s">
        <v>430</v>
      </c>
      <c r="F73" s="74" t="s">
        <v>429</v>
      </c>
      <c r="G73" s="76" t="s">
        <v>431</v>
      </c>
      <c r="H73" s="85"/>
      <c r="I73" s="85"/>
    </row>
    <row r="74" spans="1:9" ht="15.6">
      <c r="A74" s="77"/>
      <c r="B74" s="78">
        <v>0</v>
      </c>
      <c r="C74" s="78">
        <v>5261.57</v>
      </c>
      <c r="D74" s="78"/>
      <c r="E74" s="78">
        <v>17700.63</v>
      </c>
      <c r="F74" s="78"/>
      <c r="G74" s="78"/>
      <c r="H74" s="72"/>
      <c r="I74" s="72"/>
    </row>
    <row r="75" spans="1:9" ht="15.6">
      <c r="A75" s="77"/>
      <c r="B75" s="78">
        <v>1</v>
      </c>
      <c r="C75" s="78">
        <v>1820.81</v>
      </c>
      <c r="D75" s="79">
        <v>-0.65394169420914305</v>
      </c>
      <c r="E75" s="78">
        <v>6485.52</v>
      </c>
      <c r="F75" s="79">
        <v>-0.63359948205233396</v>
      </c>
      <c r="G75" s="78"/>
      <c r="H75" s="72"/>
      <c r="I75" s="72"/>
    </row>
    <row r="76" spans="1:9" ht="15.6">
      <c r="A76" s="77"/>
      <c r="B76" s="78">
        <v>2</v>
      </c>
      <c r="C76" s="78">
        <v>3277.14</v>
      </c>
      <c r="D76" s="79">
        <v>0.79982535245302899</v>
      </c>
      <c r="E76" s="78">
        <v>13699.98</v>
      </c>
      <c r="F76" s="79">
        <v>1.1123949968545299</v>
      </c>
      <c r="G76" s="78"/>
      <c r="H76" s="72"/>
      <c r="I76" s="72"/>
    </row>
    <row r="77" spans="1:9" ht="15.6">
      <c r="A77" s="77"/>
      <c r="B77" s="78">
        <v>3</v>
      </c>
      <c r="C77" s="78">
        <v>2808.08</v>
      </c>
      <c r="D77" s="79">
        <v>-0.14313090072441201</v>
      </c>
      <c r="E77" s="78">
        <v>12458.56</v>
      </c>
      <c r="F77" s="79">
        <v>-9.0614730824424602E-2</v>
      </c>
      <c r="G77" s="78"/>
      <c r="H77" s="72"/>
      <c r="I77" s="72"/>
    </row>
    <row r="78" spans="1:9" ht="15.6">
      <c r="A78" s="77"/>
      <c r="B78" s="78">
        <v>4</v>
      </c>
      <c r="C78" s="78">
        <v>2199.42</v>
      </c>
      <c r="D78" s="79">
        <v>-0.216753083957722</v>
      </c>
      <c r="E78" s="78">
        <v>8918.82</v>
      </c>
      <c r="F78" s="79">
        <v>-0.28412111833149301</v>
      </c>
      <c r="G78" s="78"/>
      <c r="H78" s="72"/>
      <c r="I78" s="72"/>
    </row>
    <row r="79" spans="1:9" ht="15.6">
      <c r="A79" s="77"/>
      <c r="B79" s="78">
        <v>5</v>
      </c>
      <c r="C79" s="78">
        <v>2236.46</v>
      </c>
      <c r="D79" s="79">
        <v>1.6840803484555002E-2</v>
      </c>
      <c r="E79" s="78">
        <v>9116.48</v>
      </c>
      <c r="F79" s="79">
        <v>2.2162124585987798E-2</v>
      </c>
      <c r="G79" s="78"/>
      <c r="H79" s="72"/>
      <c r="I79" s="72"/>
    </row>
    <row r="80" spans="1:9" ht="15.6">
      <c r="A80" s="77"/>
      <c r="B80" s="78">
        <v>6</v>
      </c>
      <c r="C80" s="78">
        <v>2115.98</v>
      </c>
      <c r="D80" s="79">
        <v>-5.3870849467461998E-2</v>
      </c>
      <c r="E80" s="78">
        <v>8121.79</v>
      </c>
      <c r="F80" s="79">
        <v>-0.109108998209835</v>
      </c>
      <c r="G80" s="78"/>
      <c r="H80" s="72"/>
      <c r="I80" s="72"/>
    </row>
    <row r="81" spans="1:11" ht="15.6">
      <c r="A81" s="77"/>
      <c r="B81" s="78">
        <v>7</v>
      </c>
      <c r="C81" s="78">
        <v>3234.6770000000001</v>
      </c>
      <c r="D81" s="79">
        <v>0.52868977967655695</v>
      </c>
      <c r="E81" s="78">
        <v>11014.624</v>
      </c>
      <c r="F81" s="79">
        <v>0.35618182691254002</v>
      </c>
      <c r="G81" s="78"/>
      <c r="H81" s="72"/>
      <c r="I81" s="72"/>
      <c r="J81" s="72"/>
      <c r="K81" s="72"/>
    </row>
    <row r="82" spans="1:11" ht="15.6">
      <c r="A82" s="77"/>
      <c r="B82" s="78">
        <v>8</v>
      </c>
      <c r="C82" s="78">
        <v>3539.1819999999998</v>
      </c>
      <c r="D82" s="79">
        <v>9.4137683607976794E-2</v>
      </c>
      <c r="E82" s="78">
        <v>12664.89</v>
      </c>
      <c r="F82" s="79">
        <v>0.14982499629583401</v>
      </c>
      <c r="G82" s="78"/>
      <c r="H82" s="72"/>
      <c r="I82" s="72"/>
      <c r="J82" s="72"/>
      <c r="K82" s="72"/>
    </row>
    <row r="83" spans="1:11" ht="15.6">
      <c r="A83" s="77"/>
      <c r="B83" s="78">
        <v>9</v>
      </c>
      <c r="C83" s="78">
        <v>3103.6372999999999</v>
      </c>
      <c r="D83" s="79">
        <v>-0.123063662733366</v>
      </c>
      <c r="E83" s="78">
        <v>10177.1379</v>
      </c>
      <c r="F83" s="79">
        <v>-0.19642903333546499</v>
      </c>
      <c r="G83" s="78"/>
      <c r="H83" s="72"/>
      <c r="I83" s="72"/>
      <c r="J83" s="72"/>
      <c r="K83" s="72"/>
    </row>
    <row r="84" spans="1:11" ht="15.6">
      <c r="B84" s="78">
        <v>10</v>
      </c>
      <c r="C84" s="78">
        <v>3307.1720999999998</v>
      </c>
      <c r="D84" s="79">
        <v>6.5579441257520604E-2</v>
      </c>
      <c r="E84" s="78">
        <v>11040.45</v>
      </c>
      <c r="F84" s="79">
        <v>8.48285744462597E-2</v>
      </c>
      <c r="G84" s="78"/>
      <c r="H84" s="72"/>
      <c r="I84" s="72"/>
      <c r="J84" s="72"/>
      <c r="K84" s="72"/>
    </row>
    <row r="85" spans="1:11" ht="15.6">
      <c r="A85" s="73"/>
      <c r="B85" s="78"/>
      <c r="C85" s="80" t="s">
        <v>432</v>
      </c>
      <c r="D85" s="81">
        <v>3.14312869387533E-2</v>
      </c>
      <c r="E85" s="80" t="s">
        <v>432</v>
      </c>
      <c r="F85" s="81">
        <v>4.1151915634160097E-2</v>
      </c>
      <c r="G85" s="81">
        <v>3.6291601286456698E-2</v>
      </c>
      <c r="H85" s="72"/>
      <c r="I85" s="72"/>
      <c r="J85" s="72"/>
      <c r="K85" s="72"/>
    </row>
    <row r="86" spans="1:11" ht="15.6">
      <c r="A86" s="77"/>
      <c r="B86" s="78"/>
      <c r="C86" s="80" t="s">
        <v>433</v>
      </c>
      <c r="D86" s="82">
        <v>-4.5372053048479001E-2</v>
      </c>
      <c r="E86" s="80" t="s">
        <v>433</v>
      </c>
      <c r="F86" s="82">
        <v>-4.61066851910003E-2</v>
      </c>
      <c r="G86" s="82">
        <v>-4.5739369119739602E-2</v>
      </c>
      <c r="H86" s="72"/>
      <c r="I86" s="72"/>
      <c r="J86" s="72"/>
      <c r="K86" s="72"/>
    </row>
    <row r="87" spans="1:11">
      <c r="A87" s="77"/>
      <c r="B87" s="77"/>
      <c r="C87" s="83"/>
      <c r="D87" s="77"/>
      <c r="E87" s="83"/>
      <c r="F87" s="77"/>
      <c r="H87" s="77"/>
      <c r="I87" s="83"/>
    </row>
    <row r="88" spans="1:11" ht="14.4">
      <c r="A88" s="77"/>
      <c r="B88" s="74" t="s">
        <v>427</v>
      </c>
      <c r="C88" s="74" t="s">
        <v>428</v>
      </c>
      <c r="D88" s="74" t="s">
        <v>429</v>
      </c>
      <c r="E88" s="84" t="s">
        <v>434</v>
      </c>
      <c r="F88" s="74" t="s">
        <v>429</v>
      </c>
      <c r="G88" s="76" t="s">
        <v>431</v>
      </c>
      <c r="H88" s="85"/>
      <c r="I88" s="88" t="s">
        <v>435</v>
      </c>
      <c r="J88" s="74" t="s">
        <v>429</v>
      </c>
      <c r="K88" s="85"/>
    </row>
    <row r="89" spans="1:11" ht="15.6">
      <c r="A89" s="77"/>
      <c r="B89" s="78">
        <v>0</v>
      </c>
      <c r="C89" s="78">
        <v>5261.57</v>
      </c>
      <c r="D89" s="78"/>
      <c r="E89" s="78">
        <v>1447.03</v>
      </c>
      <c r="F89" s="78"/>
      <c r="G89" s="78"/>
      <c r="H89" s="72"/>
      <c r="I89" s="78">
        <v>923.45</v>
      </c>
      <c r="J89" s="78"/>
      <c r="K89" s="89"/>
    </row>
    <row r="90" spans="1:11" ht="15.6">
      <c r="A90" s="77"/>
      <c r="B90" s="78">
        <v>1</v>
      </c>
      <c r="C90" s="78">
        <v>1820.81</v>
      </c>
      <c r="D90" s="79">
        <v>-0.65394169420914305</v>
      </c>
      <c r="E90" s="78">
        <v>553.29999999999995</v>
      </c>
      <c r="F90" s="79">
        <v>-0.61763059508095897</v>
      </c>
      <c r="G90" s="78"/>
      <c r="H90" s="72"/>
      <c r="I90" s="78">
        <v>2041.05</v>
      </c>
      <c r="J90" s="79">
        <v>1.21024419297201</v>
      </c>
      <c r="K90" s="89"/>
    </row>
    <row r="91" spans="1:11" ht="15.6">
      <c r="A91" s="77"/>
      <c r="B91" s="78">
        <v>2</v>
      </c>
      <c r="C91" s="78">
        <v>3277.14</v>
      </c>
      <c r="D91" s="79">
        <v>0.79982535245302899</v>
      </c>
      <c r="E91" s="78">
        <v>1201.3499999999999</v>
      </c>
      <c r="F91" s="79">
        <v>1.1712452557383</v>
      </c>
      <c r="G91" s="78"/>
      <c r="H91" s="72"/>
      <c r="I91" s="78">
        <v>5338.28</v>
      </c>
      <c r="J91" s="79">
        <v>1.6154577300899</v>
      </c>
      <c r="K91" s="90"/>
    </row>
    <row r="92" spans="1:11" ht="15.6">
      <c r="A92" s="77"/>
      <c r="B92" s="78">
        <v>3</v>
      </c>
      <c r="C92" s="78">
        <v>2808.08</v>
      </c>
      <c r="D92" s="79">
        <v>-0.14313090072441201</v>
      </c>
      <c r="E92" s="78">
        <v>1290.8699999999999</v>
      </c>
      <c r="F92" s="79">
        <v>7.45161693095268E-2</v>
      </c>
      <c r="G92" s="78"/>
      <c r="H92" s="72"/>
      <c r="I92" s="78">
        <v>1817.73</v>
      </c>
      <c r="J92" s="79">
        <v>-0.65949144668320103</v>
      </c>
      <c r="K92" s="90"/>
    </row>
    <row r="93" spans="1:11" ht="15.6">
      <c r="A93" s="77"/>
      <c r="B93" s="78">
        <v>4</v>
      </c>
      <c r="C93" s="78">
        <v>2199.42</v>
      </c>
      <c r="D93" s="79">
        <v>-0.216753083957722</v>
      </c>
      <c r="E93" s="78">
        <v>866.65</v>
      </c>
      <c r="F93" s="79">
        <v>-0.32863107826504601</v>
      </c>
      <c r="G93" s="78"/>
      <c r="H93" s="72"/>
      <c r="I93" s="78">
        <v>3575.69</v>
      </c>
      <c r="J93" s="79">
        <v>0.96711832890473304</v>
      </c>
      <c r="K93" s="90"/>
    </row>
    <row r="94" spans="1:11" ht="15.6">
      <c r="A94" s="77"/>
      <c r="B94" s="78">
        <v>5</v>
      </c>
      <c r="C94" s="78">
        <v>2236.46</v>
      </c>
      <c r="D94" s="79">
        <v>1.6840803484555002E-2</v>
      </c>
      <c r="E94" s="78">
        <v>881.17</v>
      </c>
      <c r="F94" s="79">
        <v>1.67541683493913E-2</v>
      </c>
      <c r="G94" s="78"/>
      <c r="H94" s="72"/>
      <c r="I94" s="78">
        <v>3128.27</v>
      </c>
      <c r="J94" s="79">
        <v>-0.12512829691612001</v>
      </c>
      <c r="K94" s="90"/>
    </row>
    <row r="95" spans="1:11" ht="15.6">
      <c r="A95" s="77"/>
      <c r="B95" s="78">
        <v>6</v>
      </c>
      <c r="C95" s="78">
        <v>2115.98</v>
      </c>
      <c r="D95" s="79">
        <v>-5.3870849467461998E-2</v>
      </c>
      <c r="E95" s="78">
        <v>1057.67</v>
      </c>
      <c r="F95" s="79">
        <v>0.20030187137555799</v>
      </c>
      <c r="G95" s="78"/>
      <c r="H95" s="72"/>
      <c r="I95" s="78">
        <v>2345.75</v>
      </c>
      <c r="J95" s="79">
        <v>-0.25014464863966301</v>
      </c>
      <c r="K95" s="90"/>
    </row>
    <row r="96" spans="1:11" ht="15.6">
      <c r="A96" s="77"/>
      <c r="B96" s="78">
        <v>7</v>
      </c>
      <c r="C96" s="78">
        <v>3234.6770000000001</v>
      </c>
      <c r="D96" s="79">
        <v>0.52868977967655695</v>
      </c>
      <c r="E96" s="78">
        <v>1415.191</v>
      </c>
      <c r="F96" s="79">
        <v>0.33802698384184099</v>
      </c>
      <c r="G96" s="78"/>
      <c r="H96" s="72"/>
      <c r="I96" s="78">
        <v>2522.9499999999998</v>
      </c>
      <c r="J96" s="79">
        <v>7.55408717894063E-2</v>
      </c>
      <c r="K96" s="90"/>
    </row>
    <row r="97" spans="1:11" ht="15.6">
      <c r="A97" s="77"/>
      <c r="B97" s="78">
        <v>8</v>
      </c>
      <c r="C97" s="78">
        <v>3539.1819999999998</v>
      </c>
      <c r="D97" s="79">
        <v>9.4137683607976794E-2</v>
      </c>
      <c r="E97" s="78">
        <v>2308.9070000000002</v>
      </c>
      <c r="F97" s="79">
        <v>0.63151616990215498</v>
      </c>
      <c r="G97" s="78"/>
      <c r="H97" s="72"/>
      <c r="I97" s="78">
        <v>3533.7049999999999</v>
      </c>
      <c r="J97" s="79">
        <v>0.40062426920866501</v>
      </c>
      <c r="K97" s="90"/>
    </row>
    <row r="98" spans="1:11" ht="15.6">
      <c r="A98" s="77"/>
      <c r="B98" s="78">
        <v>9</v>
      </c>
      <c r="C98" s="78">
        <v>3103.6372999999999</v>
      </c>
      <c r="D98" s="79">
        <v>-0.123063662733366</v>
      </c>
      <c r="E98" s="78">
        <v>1969.1115</v>
      </c>
      <c r="F98" s="79">
        <v>-0.14716725273040501</v>
      </c>
      <c r="G98" s="78"/>
      <c r="H98" s="72"/>
      <c r="I98" s="78">
        <v>3731.0047</v>
      </c>
      <c r="J98" s="79">
        <v>5.5833664666405401E-2</v>
      </c>
      <c r="K98" s="90"/>
    </row>
    <row r="99" spans="1:11" ht="15.6">
      <c r="B99" s="78">
        <v>10</v>
      </c>
      <c r="C99" s="78">
        <v>3307.1720999999998</v>
      </c>
      <c r="D99" s="79">
        <v>6.5579441257520604E-2</v>
      </c>
      <c r="E99" s="78">
        <v>1899.3435999999999</v>
      </c>
      <c r="F99" s="79">
        <v>-3.5431157656638602E-2</v>
      </c>
      <c r="G99" s="78"/>
      <c r="H99" s="72"/>
      <c r="I99" s="78"/>
      <c r="J99" s="79">
        <v>-1</v>
      </c>
      <c r="K99" s="90"/>
    </row>
    <row r="100" spans="1:11" ht="15.6">
      <c r="A100" s="73"/>
      <c r="B100" s="78"/>
      <c r="C100" s="80" t="s">
        <v>432</v>
      </c>
      <c r="D100" s="81">
        <v>3.14312869387533E-2</v>
      </c>
      <c r="E100" s="80" t="s">
        <v>432</v>
      </c>
      <c r="F100" s="81">
        <v>0.130350053478372</v>
      </c>
      <c r="G100" s="81">
        <v>8.0890670208562707E-2</v>
      </c>
      <c r="H100" s="72"/>
      <c r="I100" s="80" t="s">
        <v>432</v>
      </c>
      <c r="J100" s="81">
        <v>0.229005466539214</v>
      </c>
      <c r="K100" s="91"/>
    </row>
    <row r="101" spans="1:11" ht="15.6">
      <c r="A101" s="77"/>
      <c r="B101" s="78"/>
      <c r="C101" s="80" t="s">
        <v>433</v>
      </c>
      <c r="D101" s="82">
        <v>-4.5372053048479001E-2</v>
      </c>
      <c r="E101" s="80" t="s">
        <v>433</v>
      </c>
      <c r="F101" s="82">
        <v>2.7572800844130899E-2</v>
      </c>
      <c r="G101" s="82">
        <v>-8.8996261021740408E-3</v>
      </c>
      <c r="H101" s="72"/>
      <c r="I101" s="80" t="s">
        <v>433</v>
      </c>
      <c r="J101" s="82">
        <v>-1</v>
      </c>
      <c r="K101" s="92"/>
    </row>
    <row r="102" spans="1:11">
      <c r="A102" s="77"/>
      <c r="B102" s="77"/>
      <c r="C102" s="83"/>
      <c r="D102" s="86"/>
      <c r="E102" s="83"/>
      <c r="F102" s="77"/>
    </row>
    <row r="103" spans="1:11" ht="15.6">
      <c r="A103" s="77"/>
      <c r="B103" s="74" t="s">
        <v>427</v>
      </c>
      <c r="C103" s="74" t="s">
        <v>436</v>
      </c>
      <c r="D103" s="74" t="s">
        <v>429</v>
      </c>
      <c r="E103" s="76" t="s">
        <v>437</v>
      </c>
      <c r="F103" s="74" t="s">
        <v>429</v>
      </c>
      <c r="G103" s="76" t="s">
        <v>431</v>
      </c>
      <c r="H103" s="85"/>
      <c r="I103" s="85"/>
      <c r="J103" s="72"/>
      <c r="K103" s="72"/>
    </row>
    <row r="104" spans="1:11" ht="15.6">
      <c r="A104" s="77"/>
      <c r="B104" s="78">
        <v>0</v>
      </c>
      <c r="C104" s="78">
        <v>12024.61</v>
      </c>
      <c r="D104" s="78"/>
      <c r="E104" s="78">
        <v>5941.18</v>
      </c>
      <c r="F104" s="78"/>
      <c r="G104" s="78"/>
      <c r="H104" s="72"/>
      <c r="I104" s="72"/>
      <c r="J104" s="72"/>
      <c r="K104" s="72"/>
    </row>
    <row r="105" spans="1:11" ht="15.6">
      <c r="A105" s="77"/>
      <c r="B105" s="78">
        <v>1</v>
      </c>
      <c r="C105" s="78">
        <v>4048</v>
      </c>
      <c r="D105" s="79">
        <v>-0.66335706521874704</v>
      </c>
      <c r="E105" s="78">
        <v>2186.36</v>
      </c>
      <c r="F105" s="79"/>
      <c r="G105" s="78"/>
      <c r="H105" s="72"/>
      <c r="I105" s="72"/>
      <c r="J105" s="72"/>
      <c r="K105" s="72"/>
    </row>
    <row r="106" spans="1:11" ht="15.6">
      <c r="A106" s="77"/>
      <c r="B106" s="78">
        <v>2</v>
      </c>
      <c r="C106" s="78">
        <v>7762.93</v>
      </c>
      <c r="D106" s="79">
        <v>0.91771986166007902</v>
      </c>
      <c r="E106" s="78">
        <v>4701</v>
      </c>
      <c r="F106" s="79">
        <v>1.1501491062771001</v>
      </c>
      <c r="G106" s="78"/>
      <c r="H106" s="72"/>
      <c r="I106" s="72"/>
      <c r="J106" s="72"/>
      <c r="K106" s="72"/>
    </row>
    <row r="107" spans="1:11" ht="15.6">
      <c r="A107" s="77"/>
      <c r="B107" s="78">
        <v>3</v>
      </c>
      <c r="C107" s="78">
        <v>6517.6</v>
      </c>
      <c r="D107" s="79">
        <v>-0.16042009911206201</v>
      </c>
      <c r="E107" s="78">
        <v>4545.76</v>
      </c>
      <c r="F107" s="79">
        <v>-3.30227611146564E-2</v>
      </c>
      <c r="G107" s="78"/>
      <c r="H107" s="72"/>
      <c r="I107" s="72"/>
      <c r="J107" s="72"/>
      <c r="K107" s="72"/>
    </row>
    <row r="108" spans="1:11" ht="15.6">
      <c r="A108" s="77"/>
      <c r="B108" s="78">
        <v>4</v>
      </c>
      <c r="C108" s="78">
        <v>5009.29</v>
      </c>
      <c r="D108" s="79">
        <v>-0.231421075242421</v>
      </c>
      <c r="E108" s="78">
        <v>3168.23</v>
      </c>
      <c r="F108" s="79">
        <v>-0.303036235964943</v>
      </c>
      <c r="G108" s="78"/>
      <c r="H108" s="72"/>
      <c r="I108" s="72"/>
      <c r="J108" s="72"/>
      <c r="K108" s="72"/>
    </row>
    <row r="109" spans="1:11" ht="15.6">
      <c r="A109" s="77"/>
      <c r="B109" s="78">
        <v>5</v>
      </c>
      <c r="C109" s="78">
        <v>5550.09</v>
      </c>
      <c r="D109" s="79">
        <v>0.107959411413594</v>
      </c>
      <c r="E109" s="78">
        <v>3273.44</v>
      </c>
      <c r="F109" s="79">
        <v>3.32078163517169E-2</v>
      </c>
      <c r="G109" s="78"/>
      <c r="H109" s="72"/>
      <c r="I109" s="72"/>
      <c r="J109" s="72"/>
      <c r="K109" s="72"/>
    </row>
    <row r="110" spans="1:11" ht="15.6">
      <c r="A110" s="77"/>
      <c r="B110" s="78">
        <v>6</v>
      </c>
      <c r="C110" s="78">
        <v>5040.2700000000004</v>
      </c>
      <c r="D110" s="79">
        <v>-9.1857969870758796E-2</v>
      </c>
      <c r="E110" s="78">
        <v>3160.9</v>
      </c>
      <c r="F110" s="79">
        <v>-3.4379735079915902E-2</v>
      </c>
      <c r="G110" s="78"/>
      <c r="H110" s="72"/>
      <c r="I110" s="72"/>
      <c r="J110" s="72"/>
      <c r="K110" s="72"/>
    </row>
    <row r="111" spans="1:11" ht="15.6">
      <c r="A111" s="77"/>
      <c r="B111" s="78">
        <v>7</v>
      </c>
      <c r="C111" s="78">
        <v>8044.5050000000001</v>
      </c>
      <c r="D111" s="79">
        <v>0.59604644195648204</v>
      </c>
      <c r="E111" s="78">
        <v>4256.7359999999999</v>
      </c>
      <c r="F111" s="79">
        <v>0.34668480496061199</v>
      </c>
      <c r="G111" s="78"/>
      <c r="H111" s="72"/>
      <c r="I111" s="72"/>
      <c r="J111" s="72"/>
      <c r="K111" s="72"/>
    </row>
    <row r="112" spans="1:11" ht="15.6">
      <c r="A112" s="77"/>
      <c r="B112" s="78">
        <v>8</v>
      </c>
      <c r="C112" s="78">
        <v>7995.7691000000004</v>
      </c>
      <c r="D112" s="79">
        <v>-6.0582845060074804E-3</v>
      </c>
      <c r="E112" s="78">
        <v>5240.84</v>
      </c>
      <c r="F112" s="79">
        <v>0.231187463822046</v>
      </c>
      <c r="G112" s="78"/>
      <c r="H112" s="72"/>
      <c r="I112" s="72"/>
      <c r="J112" s="72"/>
      <c r="K112" s="72"/>
    </row>
    <row r="113" spans="1:11" ht="15.6">
      <c r="A113" s="77"/>
      <c r="B113" s="78">
        <v>9</v>
      </c>
      <c r="C113" s="78">
        <v>7224.6009000000004</v>
      </c>
      <c r="D113" s="79">
        <v>-9.64470322185767E-2</v>
      </c>
      <c r="E113" s="78">
        <v>4449.1014999999998</v>
      </c>
      <c r="F113" s="79">
        <v>-0.151070916112684</v>
      </c>
      <c r="G113" s="78"/>
      <c r="H113" s="72"/>
      <c r="I113" s="72"/>
      <c r="J113" s="72"/>
      <c r="K113" s="72"/>
    </row>
    <row r="114" spans="1:11" ht="15.6">
      <c r="B114" s="78">
        <v>10</v>
      </c>
      <c r="C114" s="78">
        <v>8647.0293999999994</v>
      </c>
      <c r="D114" s="79">
        <v>0.196886792736191</v>
      </c>
      <c r="E114" s="78"/>
      <c r="F114" s="79">
        <v>-1</v>
      </c>
      <c r="G114" s="78"/>
      <c r="H114" s="72"/>
      <c r="I114" s="72"/>
      <c r="J114" s="72"/>
      <c r="K114" s="72"/>
    </row>
    <row r="115" spans="1:11" ht="15.6">
      <c r="A115" s="73"/>
      <c r="B115" s="78"/>
      <c r="C115" s="80" t="s">
        <v>432</v>
      </c>
      <c r="D115" s="81">
        <v>5.6905098159777297E-2</v>
      </c>
      <c r="E115" s="80" t="s">
        <v>432</v>
      </c>
      <c r="F115" s="81">
        <v>2.6635504793252801E-2</v>
      </c>
      <c r="G115" s="81">
        <v>4.1770301476515101E-2</v>
      </c>
      <c r="H115" s="72"/>
      <c r="I115" s="72"/>
      <c r="J115" s="72"/>
      <c r="K115" s="72"/>
    </row>
    <row r="116" spans="1:11" ht="15.6">
      <c r="A116" s="77"/>
      <c r="B116" s="78"/>
      <c r="C116" s="80" t="s">
        <v>433</v>
      </c>
      <c r="D116" s="82">
        <v>-3.2436239867383101E-2</v>
      </c>
      <c r="E116" s="80" t="s">
        <v>433</v>
      </c>
      <c r="F116" s="82">
        <v>-1</v>
      </c>
      <c r="G116" s="82">
        <v>-0.51621811993369104</v>
      </c>
      <c r="H116" s="72"/>
      <c r="I116" s="72"/>
      <c r="J116" s="72"/>
      <c r="K116" s="72"/>
    </row>
    <row r="117" spans="1:11">
      <c r="A117" s="77"/>
      <c r="B117" s="87"/>
      <c r="C117" s="83"/>
      <c r="D117" s="87"/>
      <c r="E117" s="83"/>
      <c r="F117" s="77"/>
      <c r="H117" s="77"/>
      <c r="I117" s="83"/>
    </row>
    <row r="118" spans="1:11" ht="14.4">
      <c r="A118" s="77"/>
      <c r="B118" s="74" t="s">
        <v>427</v>
      </c>
      <c r="C118" s="74" t="s">
        <v>438</v>
      </c>
      <c r="D118" s="74" t="s">
        <v>429</v>
      </c>
      <c r="E118" s="76" t="s">
        <v>439</v>
      </c>
      <c r="F118" s="74" t="s">
        <v>429</v>
      </c>
      <c r="G118" s="76" t="s">
        <v>431</v>
      </c>
      <c r="H118" s="85"/>
      <c r="I118" s="76" t="s">
        <v>440</v>
      </c>
      <c r="J118" s="74" t="s">
        <v>429</v>
      </c>
      <c r="K118" s="85"/>
    </row>
    <row r="119" spans="1:11" ht="15.6">
      <c r="A119" s="77"/>
      <c r="B119" s="78">
        <v>0</v>
      </c>
      <c r="C119" s="78">
        <v>5521.5</v>
      </c>
      <c r="D119" s="78"/>
      <c r="E119" s="78">
        <v>1520.99</v>
      </c>
      <c r="F119" s="78"/>
      <c r="G119" s="78"/>
      <c r="H119" s="72"/>
      <c r="I119" s="78">
        <v>3858.8</v>
      </c>
      <c r="J119" s="78"/>
      <c r="K119" s="89"/>
    </row>
    <row r="120" spans="1:11" ht="15.6">
      <c r="A120" s="77"/>
      <c r="B120" s="78">
        <v>1</v>
      </c>
      <c r="C120" s="78">
        <v>1911.8</v>
      </c>
      <c r="D120" s="79">
        <v>-0.65375350901023299</v>
      </c>
      <c r="E120" s="78">
        <v>581.51</v>
      </c>
      <c r="F120" s="79">
        <v>-0.61767664481686302</v>
      </c>
      <c r="G120" s="78"/>
      <c r="H120" s="72"/>
      <c r="I120" s="78">
        <v>1430.79</v>
      </c>
      <c r="J120" s="79">
        <v>-0.62921374520576301</v>
      </c>
      <c r="K120" s="90"/>
    </row>
    <row r="121" spans="1:11" ht="15.6">
      <c r="A121" s="77"/>
      <c r="B121" s="78">
        <v>2</v>
      </c>
      <c r="C121" s="78">
        <v>3437.47</v>
      </c>
      <c r="D121" s="79">
        <v>0.79802803640548203</v>
      </c>
      <c r="E121" s="78">
        <v>1261.26</v>
      </c>
      <c r="F121" s="79">
        <v>1.16893948513353</v>
      </c>
      <c r="G121" s="78"/>
      <c r="H121" s="72"/>
      <c r="I121" s="78">
        <v>2939.79</v>
      </c>
      <c r="J121" s="79">
        <v>1.05466210974357</v>
      </c>
      <c r="K121" s="90"/>
    </row>
    <row r="122" spans="1:11" ht="15.6">
      <c r="A122" s="77"/>
      <c r="B122" s="78">
        <v>3</v>
      </c>
      <c r="C122" s="78">
        <v>2940.25</v>
      </c>
      <c r="D122" s="79">
        <v>-0.14464708055633901</v>
      </c>
      <c r="E122" s="78">
        <v>1351.15</v>
      </c>
      <c r="F122" s="79">
        <v>7.1269999841428497E-2</v>
      </c>
      <c r="G122" s="78"/>
      <c r="H122" s="72"/>
      <c r="I122" s="78">
        <v>2737.57</v>
      </c>
      <c r="J122" s="79">
        <v>-6.8787226298477E-2</v>
      </c>
      <c r="K122" s="90"/>
    </row>
    <row r="123" spans="1:11" ht="15.6">
      <c r="A123" s="77"/>
      <c r="B123" s="78">
        <v>4</v>
      </c>
      <c r="C123" s="78">
        <v>2304.12</v>
      </c>
      <c r="D123" s="79">
        <v>-0.21635235099056199</v>
      </c>
      <c r="E123" s="78">
        <v>906.91</v>
      </c>
      <c r="F123" s="79">
        <v>-0.32878658920179099</v>
      </c>
      <c r="G123" s="78"/>
      <c r="H123" s="72"/>
      <c r="I123" s="78">
        <v>2123.85</v>
      </c>
      <c r="J123" s="79">
        <v>-0.224184221773325</v>
      </c>
      <c r="K123" s="90"/>
    </row>
    <row r="124" spans="1:11" ht="15.6">
      <c r="A124" s="77"/>
      <c r="B124" s="78">
        <v>5</v>
      </c>
      <c r="C124" s="78">
        <v>2376.04</v>
      </c>
      <c r="D124" s="79">
        <v>3.1213652066732701E-2</v>
      </c>
      <c r="E124" s="78">
        <v>919.8</v>
      </c>
      <c r="F124" s="79">
        <v>1.4213097220231299E-2</v>
      </c>
      <c r="G124" s="78"/>
      <c r="H124" s="72"/>
      <c r="I124" s="78">
        <v>2223.2399999999998</v>
      </c>
      <c r="J124" s="79">
        <v>4.6797090189985097E-2</v>
      </c>
      <c r="K124" s="90"/>
    </row>
    <row r="125" spans="1:11" ht="15.6">
      <c r="A125" s="77"/>
      <c r="B125" s="78">
        <v>6</v>
      </c>
      <c r="C125" s="78">
        <v>2214.4899999999998</v>
      </c>
      <c r="D125" s="79">
        <v>-6.7991279608087499E-2</v>
      </c>
      <c r="E125" s="78">
        <v>1103.81</v>
      </c>
      <c r="F125" s="79">
        <v>0.20005435964340099</v>
      </c>
      <c r="G125" s="78"/>
      <c r="H125" s="72"/>
      <c r="I125" s="78">
        <v>2344.1999999999998</v>
      </c>
      <c r="J125" s="79">
        <v>5.4407081556647099E-2</v>
      </c>
      <c r="K125" s="90"/>
    </row>
    <row r="126" spans="1:11" ht="15.6">
      <c r="A126" s="77"/>
      <c r="B126" s="78">
        <v>7</v>
      </c>
      <c r="C126" s="78">
        <v>3389.395</v>
      </c>
      <c r="D126" s="79">
        <v>0.53055331024299102</v>
      </c>
      <c r="E126" s="78">
        <v>1478.454</v>
      </c>
      <c r="F126" s="79">
        <v>0.339409862204546</v>
      </c>
      <c r="G126" s="78"/>
      <c r="H126" s="72"/>
      <c r="I126" s="78">
        <v>3573.4819000000002</v>
      </c>
      <c r="J126" s="79">
        <v>0.52439292722464004</v>
      </c>
      <c r="K126" s="90"/>
    </row>
    <row r="127" spans="1:11" ht="15.6">
      <c r="A127" s="77"/>
      <c r="B127" s="78">
        <v>8</v>
      </c>
      <c r="C127" s="78">
        <v>3704.2950000000001</v>
      </c>
      <c r="D127" s="79">
        <v>9.2907436282876496E-2</v>
      </c>
      <c r="E127" s="78">
        <v>2415.5039999999999</v>
      </c>
      <c r="F127" s="79">
        <v>0.63380396008262696</v>
      </c>
      <c r="G127" s="78"/>
      <c r="H127" s="72"/>
      <c r="I127" s="78">
        <v>4949.1953000000003</v>
      </c>
      <c r="J127" s="79">
        <v>0.38497841558956802</v>
      </c>
      <c r="K127" s="90"/>
    </row>
    <row r="128" spans="1:11" ht="15.6">
      <c r="A128" s="77"/>
      <c r="B128" s="78">
        <v>9</v>
      </c>
      <c r="C128" s="78">
        <v>3249.5920999999998</v>
      </c>
      <c r="D128" s="79">
        <v>-0.122750185932816</v>
      </c>
      <c r="E128" s="78">
        <v>2059.9059000000002</v>
      </c>
      <c r="F128" s="79">
        <v>-0.147214866959442</v>
      </c>
      <c r="G128" s="78"/>
      <c r="H128" s="72"/>
      <c r="I128" s="78">
        <v>4310.2245000000003</v>
      </c>
      <c r="J128" s="79">
        <v>-0.129105998302391</v>
      </c>
      <c r="K128" s="90"/>
    </row>
    <row r="129" spans="1:13" ht="15.6">
      <c r="B129" s="78">
        <v>10</v>
      </c>
      <c r="C129" s="78">
        <v>3463.4789999999998</v>
      </c>
      <c r="D129" s="79">
        <v>6.5819614714105204E-2</v>
      </c>
      <c r="E129" s="78"/>
      <c r="F129" s="79">
        <v>-1</v>
      </c>
      <c r="G129" s="78"/>
      <c r="H129" s="72"/>
      <c r="I129" s="78">
        <v>4522.7222000000002</v>
      </c>
      <c r="J129" s="79">
        <v>4.9300842682324299E-2</v>
      </c>
      <c r="K129" s="90"/>
      <c r="L129" s="72"/>
      <c r="M129" s="72"/>
    </row>
    <row r="130" spans="1:13" ht="15.6">
      <c r="B130" s="78"/>
      <c r="C130" s="80" t="s">
        <v>432</v>
      </c>
      <c r="D130" s="81">
        <v>3.1302764361414902E-2</v>
      </c>
      <c r="E130" s="80" t="s">
        <v>432</v>
      </c>
      <c r="F130" s="81">
        <v>3.3401266314766899E-2</v>
      </c>
      <c r="G130" s="81">
        <v>3.23520153380909E-2</v>
      </c>
      <c r="H130" s="72"/>
      <c r="I130" s="80" t="s">
        <v>432</v>
      </c>
      <c r="J130" s="81">
        <v>0.106324727540678</v>
      </c>
      <c r="K130" s="91"/>
      <c r="L130" s="72"/>
      <c r="M130" s="72"/>
    </row>
    <row r="131" spans="1:13" ht="15.6">
      <c r="B131" s="78"/>
      <c r="C131" s="80" t="s">
        <v>433</v>
      </c>
      <c r="D131" s="82">
        <v>-4.5566777262594199E-2</v>
      </c>
      <c r="E131" s="80" t="s">
        <v>433</v>
      </c>
      <c r="F131" s="82">
        <v>-1</v>
      </c>
      <c r="G131" s="82">
        <v>-0.52278338863129703</v>
      </c>
      <c r="H131" s="72"/>
      <c r="I131" s="80" t="s">
        <v>433</v>
      </c>
      <c r="J131" s="82">
        <v>1.60024712523581E-2</v>
      </c>
      <c r="K131" s="92"/>
      <c r="L131" s="72"/>
      <c r="M131" s="72"/>
    </row>
    <row r="132" spans="1:13" ht="14.4">
      <c r="A132" s="93"/>
      <c r="B132" s="94"/>
      <c r="C132" s="93"/>
      <c r="D132" s="93"/>
      <c r="E132" s="95"/>
      <c r="F132" s="95"/>
      <c r="G132" s="93"/>
      <c r="H132" s="93"/>
      <c r="I132" s="93"/>
      <c r="J132" s="108"/>
      <c r="K132" s="108"/>
    </row>
    <row r="133" spans="1:13">
      <c r="A133" s="96"/>
      <c r="B133" s="97"/>
      <c r="C133" s="98"/>
      <c r="D133" s="98"/>
      <c r="E133" s="99"/>
      <c r="F133" s="99"/>
    </row>
    <row r="134" spans="1:13">
      <c r="A134" s="96"/>
      <c r="B134" s="97"/>
      <c r="C134" s="98"/>
      <c r="D134" s="98"/>
      <c r="E134" s="99"/>
      <c r="F134" s="99"/>
    </row>
    <row r="135" spans="1:13" ht="14.4">
      <c r="B135" s="100" t="s">
        <v>441</v>
      </c>
      <c r="C135" s="101" t="s">
        <v>442</v>
      </c>
      <c r="D135" s="100" t="s">
        <v>428</v>
      </c>
      <c r="E135" s="100" t="s">
        <v>430</v>
      </c>
      <c r="F135" s="102" t="s">
        <v>438</v>
      </c>
      <c r="G135" s="102" t="s">
        <v>443</v>
      </c>
      <c r="H135" s="100" t="s">
        <v>444</v>
      </c>
      <c r="I135" s="100" t="s">
        <v>445</v>
      </c>
      <c r="J135" s="100" t="s">
        <v>446</v>
      </c>
      <c r="K135" s="100" t="s">
        <v>447</v>
      </c>
      <c r="L135" s="109" t="s">
        <v>440</v>
      </c>
      <c r="M135" s="109" t="s">
        <v>435</v>
      </c>
    </row>
    <row r="136" spans="1:13" ht="15.6">
      <c r="A136" s="96"/>
      <c r="B136" s="103"/>
      <c r="C136" s="104">
        <v>33238</v>
      </c>
      <c r="D136" s="105">
        <v>127.61</v>
      </c>
      <c r="E136" s="105"/>
      <c r="F136" s="106">
        <v>127.61</v>
      </c>
      <c r="G136" s="106"/>
      <c r="H136" s="72"/>
      <c r="I136" s="72"/>
      <c r="J136" s="72"/>
      <c r="K136" s="72"/>
      <c r="L136" s="72"/>
      <c r="M136" s="72"/>
    </row>
    <row r="137" spans="1:13" ht="15.6">
      <c r="A137" s="96"/>
      <c r="B137" s="103">
        <v>26</v>
      </c>
      <c r="C137" s="104">
        <v>33603</v>
      </c>
      <c r="D137" s="105">
        <v>292.75</v>
      </c>
      <c r="E137" s="105">
        <v>963.57</v>
      </c>
      <c r="F137" s="106">
        <v>292.75</v>
      </c>
      <c r="G137" s="106"/>
      <c r="H137" s="72"/>
      <c r="I137" s="72"/>
      <c r="J137" s="72"/>
      <c r="K137" s="72"/>
      <c r="L137" s="72"/>
      <c r="M137" s="72"/>
    </row>
    <row r="138" spans="1:13" ht="15.6">
      <c r="A138" s="96"/>
      <c r="B138" s="103">
        <v>25</v>
      </c>
      <c r="C138" s="104">
        <v>33969</v>
      </c>
      <c r="D138" s="105">
        <v>780.39</v>
      </c>
      <c r="E138" s="105">
        <v>2309.77</v>
      </c>
      <c r="F138" s="106">
        <v>815.8</v>
      </c>
      <c r="G138" s="106"/>
      <c r="H138" s="72"/>
      <c r="I138" s="72"/>
      <c r="J138" s="72"/>
      <c r="K138" s="72"/>
      <c r="L138" s="72"/>
      <c r="M138" s="72"/>
    </row>
    <row r="139" spans="1:13" ht="15.6">
      <c r="A139" s="96"/>
      <c r="B139" s="103">
        <v>24</v>
      </c>
      <c r="C139" s="104">
        <v>34334</v>
      </c>
      <c r="D139" s="105">
        <v>833.8</v>
      </c>
      <c r="E139" s="105">
        <v>2225.38</v>
      </c>
      <c r="F139" s="106">
        <v>847.75</v>
      </c>
      <c r="G139" s="106"/>
      <c r="H139" s="72"/>
      <c r="I139" s="72"/>
      <c r="J139" s="72"/>
      <c r="K139" s="72"/>
      <c r="L139" s="72"/>
      <c r="M139" s="72"/>
    </row>
    <row r="140" spans="1:13" ht="15.6">
      <c r="A140" s="96"/>
      <c r="B140" s="103">
        <v>23</v>
      </c>
      <c r="C140" s="104">
        <v>34698</v>
      </c>
      <c r="D140" s="105">
        <v>647.87</v>
      </c>
      <c r="E140" s="105">
        <v>1271.06</v>
      </c>
      <c r="F140" s="106">
        <v>667.77</v>
      </c>
      <c r="G140" s="106"/>
      <c r="H140" s="72"/>
      <c r="I140" s="72"/>
      <c r="J140" s="72"/>
      <c r="K140" s="72"/>
      <c r="L140" s="72"/>
      <c r="M140" s="72"/>
    </row>
    <row r="141" spans="1:13" ht="15.6">
      <c r="A141" s="96"/>
      <c r="B141" s="103">
        <v>22</v>
      </c>
      <c r="C141" s="104">
        <v>35062</v>
      </c>
      <c r="D141" s="105">
        <v>555.29</v>
      </c>
      <c r="E141" s="105">
        <v>987.75</v>
      </c>
      <c r="F141" s="106">
        <v>575.19000000000005</v>
      </c>
      <c r="G141" s="106">
        <v>117.02</v>
      </c>
      <c r="H141" s="72"/>
      <c r="I141" s="72"/>
      <c r="J141" s="89">
        <v>113.25</v>
      </c>
      <c r="K141" s="72"/>
      <c r="L141" s="72"/>
      <c r="M141" s="72"/>
    </row>
    <row r="142" spans="1:13" ht="15.6">
      <c r="A142" s="96"/>
      <c r="B142" s="103">
        <v>21</v>
      </c>
      <c r="C142" s="104">
        <v>35430</v>
      </c>
      <c r="D142" s="105">
        <v>917.02</v>
      </c>
      <c r="E142" s="105">
        <v>3217.55</v>
      </c>
      <c r="F142" s="106">
        <v>954.98</v>
      </c>
      <c r="G142" s="106">
        <v>341.93</v>
      </c>
      <c r="H142" s="107">
        <v>2442.4299999999998</v>
      </c>
      <c r="I142" s="107"/>
      <c r="J142" s="89">
        <v>327.45999999999998</v>
      </c>
      <c r="K142" s="72"/>
      <c r="L142" s="72"/>
      <c r="M142" s="72"/>
    </row>
    <row r="143" spans="1:13" ht="15.6">
      <c r="A143" s="96"/>
      <c r="B143" s="103">
        <v>20</v>
      </c>
      <c r="C143" s="104">
        <v>35795</v>
      </c>
      <c r="D143" s="105">
        <v>1194.1099999999999</v>
      </c>
      <c r="E143" s="105">
        <v>4184.8500000000004</v>
      </c>
      <c r="F143" s="106">
        <v>1258.5</v>
      </c>
      <c r="G143" s="106">
        <v>406.45</v>
      </c>
      <c r="H143" s="107">
        <v>3772.37</v>
      </c>
      <c r="I143" s="107"/>
      <c r="J143" s="89">
        <v>381.29</v>
      </c>
      <c r="K143" s="72"/>
      <c r="L143" s="72"/>
      <c r="M143" s="72"/>
    </row>
    <row r="144" spans="1:13" ht="15.6">
      <c r="A144" s="96"/>
      <c r="B144" s="103">
        <v>19</v>
      </c>
      <c r="C144" s="104">
        <v>36160</v>
      </c>
      <c r="D144" s="105">
        <v>1146.71</v>
      </c>
      <c r="E144" s="105">
        <v>2949.32</v>
      </c>
      <c r="F144" s="106">
        <v>1219.6400000000001</v>
      </c>
      <c r="G144" s="106">
        <v>370.12</v>
      </c>
      <c r="H144" s="107">
        <v>2759.87</v>
      </c>
      <c r="I144" s="107"/>
      <c r="J144" s="89">
        <v>343.85</v>
      </c>
      <c r="K144" s="72"/>
      <c r="L144" s="72"/>
      <c r="M144" s="72"/>
    </row>
    <row r="145" spans="1:13" ht="15.6">
      <c r="A145" s="96"/>
      <c r="B145" s="103">
        <v>18</v>
      </c>
      <c r="C145" s="104">
        <v>36524</v>
      </c>
      <c r="D145" s="105">
        <v>1366.59</v>
      </c>
      <c r="E145" s="105">
        <v>3369.62</v>
      </c>
      <c r="F145" s="106">
        <v>1451.91</v>
      </c>
      <c r="G145" s="106">
        <v>431.84</v>
      </c>
      <c r="H145" s="107">
        <v>2989.94</v>
      </c>
      <c r="I145" s="107"/>
      <c r="J145" s="89">
        <v>402.18</v>
      </c>
      <c r="K145" s="72"/>
      <c r="L145" s="89">
        <v>1000</v>
      </c>
      <c r="M145" s="72"/>
    </row>
    <row r="146" spans="1:13" ht="15.6">
      <c r="A146" s="96"/>
      <c r="B146" s="103">
        <v>17</v>
      </c>
      <c r="C146" s="104">
        <v>36889</v>
      </c>
      <c r="D146" s="105">
        <v>2073.48</v>
      </c>
      <c r="E146" s="105">
        <v>4752.76</v>
      </c>
      <c r="F146" s="106">
        <v>2192.38</v>
      </c>
      <c r="G146" s="106">
        <v>682.61</v>
      </c>
      <c r="H146" s="107">
        <v>3935.34</v>
      </c>
      <c r="I146" s="107"/>
      <c r="J146" s="89">
        <v>635.73</v>
      </c>
      <c r="K146" s="72"/>
      <c r="L146" s="89">
        <v>1571.4</v>
      </c>
      <c r="M146" s="72"/>
    </row>
    <row r="147" spans="1:13" ht="15.6">
      <c r="A147" s="96"/>
      <c r="B147" s="103">
        <v>16</v>
      </c>
      <c r="C147" s="104">
        <v>37256</v>
      </c>
      <c r="D147" s="105">
        <v>1645.98</v>
      </c>
      <c r="E147" s="105">
        <v>3325.67</v>
      </c>
      <c r="F147" s="106">
        <v>1712.55</v>
      </c>
      <c r="G147" s="106">
        <v>499.39</v>
      </c>
      <c r="H147" s="107">
        <v>3069.18</v>
      </c>
      <c r="I147" s="107"/>
      <c r="J147" s="89">
        <v>475.94</v>
      </c>
      <c r="K147" s="72"/>
      <c r="L147" s="89">
        <v>1195.97</v>
      </c>
      <c r="M147" s="72"/>
    </row>
    <row r="148" spans="1:13" ht="15.6">
      <c r="A148" s="96"/>
      <c r="B148" s="103">
        <v>15</v>
      </c>
      <c r="C148" s="104">
        <v>37621</v>
      </c>
      <c r="D148" s="105">
        <v>1357.66</v>
      </c>
      <c r="E148" s="105">
        <v>2759.3</v>
      </c>
      <c r="F148" s="106">
        <v>1419.12</v>
      </c>
      <c r="G148" s="106">
        <v>409.95</v>
      </c>
      <c r="H148" s="107">
        <v>2549.6</v>
      </c>
      <c r="I148" s="107"/>
      <c r="J148" s="89">
        <v>388.76</v>
      </c>
      <c r="K148" s="72"/>
      <c r="L148" s="89">
        <v>960.78</v>
      </c>
      <c r="M148" s="89">
        <v>1103.6500000000001</v>
      </c>
    </row>
    <row r="149" spans="1:13" ht="15.6">
      <c r="A149" s="96"/>
      <c r="B149" s="103">
        <v>14</v>
      </c>
      <c r="C149" s="104">
        <v>37986</v>
      </c>
      <c r="D149" s="105">
        <v>1497.05</v>
      </c>
      <c r="E149" s="105">
        <v>3479.8</v>
      </c>
      <c r="F149" s="106">
        <v>1569.13</v>
      </c>
      <c r="G149" s="106">
        <v>393.47</v>
      </c>
      <c r="H149" s="107">
        <v>2828.8</v>
      </c>
      <c r="I149" s="107">
        <v>1097.69</v>
      </c>
      <c r="J149" s="89">
        <v>378.63</v>
      </c>
      <c r="K149" s="72"/>
      <c r="L149" s="89">
        <v>927.22</v>
      </c>
      <c r="M149" s="89">
        <v>1194.75</v>
      </c>
    </row>
    <row r="150" spans="1:13" ht="15.6">
      <c r="A150" s="96"/>
      <c r="B150" s="103">
        <v>13</v>
      </c>
      <c r="C150" s="104">
        <v>38352</v>
      </c>
      <c r="D150" s="105">
        <v>1266.5</v>
      </c>
      <c r="E150" s="105">
        <v>3067.57</v>
      </c>
      <c r="F150" s="106">
        <v>1330.19</v>
      </c>
      <c r="G150" s="106">
        <v>328.69</v>
      </c>
      <c r="H150" s="107">
        <v>2362.0700000000002</v>
      </c>
      <c r="I150" s="107">
        <v>991.13</v>
      </c>
      <c r="J150" s="89">
        <v>315.81</v>
      </c>
      <c r="K150" s="72"/>
      <c r="L150" s="89">
        <v>773.14</v>
      </c>
      <c r="M150" s="89">
        <v>1000</v>
      </c>
    </row>
    <row r="151" spans="1:13" ht="15.6">
      <c r="A151" s="96"/>
      <c r="B151" s="103">
        <v>12</v>
      </c>
      <c r="C151" s="104">
        <v>38716</v>
      </c>
      <c r="D151" s="105">
        <v>1161.06</v>
      </c>
      <c r="E151" s="105">
        <v>2863.62</v>
      </c>
      <c r="F151" s="106">
        <v>1220.93</v>
      </c>
      <c r="G151" s="106">
        <v>290.06</v>
      </c>
      <c r="H151" s="107">
        <v>2166.7800000000002</v>
      </c>
      <c r="I151" s="107">
        <v>917.5</v>
      </c>
      <c r="J151" s="89">
        <v>278.75</v>
      </c>
      <c r="K151" s="72"/>
      <c r="L151" s="89">
        <v>684.07</v>
      </c>
      <c r="M151" s="89">
        <v>923.45</v>
      </c>
    </row>
    <row r="152" spans="1:13">
      <c r="A152" s="96"/>
      <c r="B152" s="103">
        <v>11</v>
      </c>
      <c r="C152" s="104">
        <v>39080</v>
      </c>
      <c r="D152" s="105">
        <v>2675.48</v>
      </c>
      <c r="E152" s="105">
        <v>6647.14</v>
      </c>
      <c r="F152" s="106">
        <v>2815.14</v>
      </c>
      <c r="G152" s="106">
        <v>569.58000000000004</v>
      </c>
      <c r="H152" s="107">
        <v>4780.2299999999996</v>
      </c>
      <c r="I152" s="107">
        <v>2109.25</v>
      </c>
      <c r="J152" s="89">
        <v>550.59</v>
      </c>
      <c r="K152" s="89">
        <v>2233.348</v>
      </c>
      <c r="L152" s="89">
        <v>1449.51</v>
      </c>
      <c r="M152" s="89">
        <v>2041.05</v>
      </c>
    </row>
    <row r="153" spans="1:13">
      <c r="A153" s="96"/>
      <c r="B153" s="103">
        <v>10</v>
      </c>
      <c r="C153" s="104">
        <v>39444</v>
      </c>
      <c r="D153" s="105">
        <v>5261.57</v>
      </c>
      <c r="E153" s="105">
        <v>17700.63</v>
      </c>
      <c r="F153" s="106">
        <v>5521.5</v>
      </c>
      <c r="G153" s="106">
        <v>1520.99</v>
      </c>
      <c r="H153" s="107">
        <v>12024.61</v>
      </c>
      <c r="I153" s="107">
        <v>5941.18</v>
      </c>
      <c r="J153" s="89">
        <v>1447.03</v>
      </c>
      <c r="K153" s="89">
        <v>6225.67</v>
      </c>
      <c r="L153" s="89">
        <v>3858.8</v>
      </c>
      <c r="M153" s="89">
        <v>5338.28</v>
      </c>
    </row>
    <row r="154" spans="1:13">
      <c r="A154" s="96"/>
      <c r="B154" s="103">
        <v>9</v>
      </c>
      <c r="C154" s="104">
        <v>39813</v>
      </c>
      <c r="D154" s="105">
        <v>1820.81</v>
      </c>
      <c r="E154" s="105">
        <v>6485.52</v>
      </c>
      <c r="F154" s="106">
        <v>1911.8</v>
      </c>
      <c r="G154" s="106">
        <v>581.51</v>
      </c>
      <c r="H154" s="107">
        <v>4048</v>
      </c>
      <c r="I154" s="107">
        <v>2186.36</v>
      </c>
      <c r="J154" s="89">
        <v>553.29999999999995</v>
      </c>
      <c r="K154" s="89">
        <v>2366.451</v>
      </c>
      <c r="L154" s="89">
        <v>1430.79</v>
      </c>
      <c r="M154" s="89">
        <v>1817.73</v>
      </c>
    </row>
    <row r="155" spans="1:13">
      <c r="A155" s="96"/>
      <c r="B155" s="103">
        <v>8</v>
      </c>
      <c r="C155" s="104">
        <v>40178</v>
      </c>
      <c r="D155" s="105">
        <v>3277.14</v>
      </c>
      <c r="E155" s="105">
        <v>13699.98</v>
      </c>
      <c r="F155" s="106">
        <v>3437.47</v>
      </c>
      <c r="G155" s="106">
        <v>1261.26</v>
      </c>
      <c r="H155" s="107">
        <v>7762.93</v>
      </c>
      <c r="I155" s="107">
        <v>4701</v>
      </c>
      <c r="J155" s="89">
        <v>1201.3499999999999</v>
      </c>
      <c r="K155" s="89">
        <v>5333.777</v>
      </c>
      <c r="L155" s="89">
        <v>2939.79</v>
      </c>
      <c r="M155" s="89">
        <v>3575.69</v>
      </c>
    </row>
    <row r="156" spans="1:13">
      <c r="A156" s="96"/>
      <c r="B156" s="103">
        <v>7</v>
      </c>
      <c r="C156" s="104">
        <v>40543</v>
      </c>
      <c r="D156" s="105">
        <v>2808.08</v>
      </c>
      <c r="E156" s="105">
        <v>12458.56</v>
      </c>
      <c r="F156" s="106">
        <v>2940.25</v>
      </c>
      <c r="G156" s="106">
        <v>1351.15</v>
      </c>
      <c r="H156" s="107">
        <v>6517.6</v>
      </c>
      <c r="I156" s="107">
        <v>4545.76</v>
      </c>
      <c r="J156" s="89">
        <v>1290.8699999999999</v>
      </c>
      <c r="K156" s="89">
        <v>5771.3490000000002</v>
      </c>
      <c r="L156" s="89">
        <v>2737.57</v>
      </c>
      <c r="M156" s="89">
        <v>3128.27</v>
      </c>
    </row>
    <row r="157" spans="1:13">
      <c r="B157" s="103">
        <v>6</v>
      </c>
      <c r="C157" s="104">
        <v>40907</v>
      </c>
      <c r="D157" s="105">
        <v>2199.42</v>
      </c>
      <c r="E157" s="105">
        <v>8918.82</v>
      </c>
      <c r="F157" s="106">
        <v>2304.12</v>
      </c>
      <c r="G157" s="106">
        <v>906.91</v>
      </c>
      <c r="H157" s="107">
        <v>5009.29</v>
      </c>
      <c r="I157" s="107">
        <v>3168.23</v>
      </c>
      <c r="J157" s="89">
        <v>866.65</v>
      </c>
      <c r="K157" s="89">
        <v>3952.6529999999998</v>
      </c>
      <c r="L157" s="89">
        <v>2123.85</v>
      </c>
      <c r="M157" s="89">
        <v>2345.75</v>
      </c>
    </row>
    <row r="158" spans="1:13">
      <c r="B158" s="103">
        <v>5</v>
      </c>
      <c r="C158" s="104">
        <v>41274</v>
      </c>
      <c r="D158" s="105">
        <v>2236.46</v>
      </c>
      <c r="E158" s="105">
        <v>9116.48</v>
      </c>
      <c r="F158" s="106">
        <v>2376.04</v>
      </c>
      <c r="G158" s="106">
        <v>919.8</v>
      </c>
      <c r="H158" s="107">
        <v>5550.09</v>
      </c>
      <c r="I158" s="107">
        <v>3273.44</v>
      </c>
      <c r="J158" s="89">
        <v>881.17</v>
      </c>
      <c r="K158" s="89">
        <v>4022.7280000000001</v>
      </c>
      <c r="L158" s="89">
        <v>2223.2399999999998</v>
      </c>
      <c r="M158" s="89">
        <v>2522.9499999999998</v>
      </c>
    </row>
    <row r="159" spans="1:13">
      <c r="A159" s="96"/>
      <c r="B159" s="103">
        <v>4</v>
      </c>
      <c r="C159" s="104">
        <v>41639</v>
      </c>
      <c r="D159" s="105">
        <v>2115.98</v>
      </c>
      <c r="E159" s="105">
        <v>8121.79</v>
      </c>
      <c r="F159" s="105">
        <v>2214.4899999999998</v>
      </c>
      <c r="G159" s="105">
        <v>1103.81</v>
      </c>
      <c r="H159" s="105">
        <v>5040.2700000000004</v>
      </c>
      <c r="I159" s="105">
        <v>3160.9</v>
      </c>
      <c r="J159" s="105">
        <v>1057.67</v>
      </c>
      <c r="K159" s="105">
        <v>4652.058</v>
      </c>
      <c r="L159" s="105">
        <v>2344.1999999999998</v>
      </c>
      <c r="M159" s="105">
        <v>2330.0300000000002</v>
      </c>
    </row>
    <row r="160" spans="1:13">
      <c r="B160" s="103">
        <v>3</v>
      </c>
      <c r="C160" s="104">
        <v>42004</v>
      </c>
      <c r="D160" s="105">
        <v>3234.6770000000001</v>
      </c>
      <c r="E160" s="105">
        <v>11014.624</v>
      </c>
      <c r="F160" s="105">
        <v>3389.395</v>
      </c>
      <c r="G160" s="105">
        <v>1478.454</v>
      </c>
      <c r="H160" s="105">
        <v>8044.5050000000001</v>
      </c>
      <c r="I160" s="105">
        <v>4256.7359999999999</v>
      </c>
      <c r="J160" s="105">
        <v>1415.191</v>
      </c>
      <c r="K160" s="105">
        <v>6366.55</v>
      </c>
      <c r="L160" s="105">
        <v>3573.4819000000002</v>
      </c>
      <c r="M160" s="105">
        <v>3533.7049999999999</v>
      </c>
    </row>
    <row r="161" spans="2:13">
      <c r="B161" s="103">
        <v>2</v>
      </c>
      <c r="C161" s="104">
        <v>42369</v>
      </c>
      <c r="D161" s="105">
        <v>3539.1819999999998</v>
      </c>
      <c r="E161" s="105">
        <v>12664.89</v>
      </c>
      <c r="F161" s="105">
        <v>3704.2950000000001</v>
      </c>
      <c r="G161" s="105">
        <v>2415.5039999999999</v>
      </c>
      <c r="H161" s="105">
        <v>7995.7691000000004</v>
      </c>
      <c r="I161" s="105">
        <v>5240.84</v>
      </c>
      <c r="J161" s="105">
        <v>2308.9070000000002</v>
      </c>
      <c r="K161" s="105">
        <v>10050.976000000001</v>
      </c>
      <c r="L161" s="105">
        <v>4949.1953000000003</v>
      </c>
      <c r="M161" s="105">
        <v>3731.0047</v>
      </c>
    </row>
    <row r="162" spans="2:13">
      <c r="B162" s="103">
        <v>1</v>
      </c>
      <c r="C162" s="104">
        <v>42735</v>
      </c>
      <c r="D162" s="105">
        <v>3103.6372999999999</v>
      </c>
      <c r="E162" s="105">
        <v>10177.1379</v>
      </c>
      <c r="F162" s="105">
        <v>3249.5920999999998</v>
      </c>
      <c r="G162" s="105">
        <v>2059.9059000000002</v>
      </c>
      <c r="H162" s="105">
        <v>7224.6009000000004</v>
      </c>
      <c r="I162" s="105">
        <v>4449.1014999999998</v>
      </c>
      <c r="J162" s="105">
        <v>1969.1115</v>
      </c>
      <c r="K162" s="105">
        <v>8600.9398000000001</v>
      </c>
      <c r="L162" s="105">
        <v>4310.2245000000003</v>
      </c>
      <c r="M162" s="105">
        <v>3310.0808000000002</v>
      </c>
    </row>
    <row r="163" spans="2:13" ht="15.6">
      <c r="B163" s="89">
        <v>0</v>
      </c>
      <c r="C163" s="104">
        <v>43100</v>
      </c>
      <c r="D163" s="105">
        <v>3307.1720999999998</v>
      </c>
      <c r="E163" s="105">
        <v>11040.45</v>
      </c>
      <c r="F163" s="105">
        <v>3463.4789999999998</v>
      </c>
      <c r="G163" s="105">
        <v>1986.4191000000001</v>
      </c>
      <c r="H163" s="105">
        <v>8647.0293999999994</v>
      </c>
      <c r="I163" s="105">
        <v>5713.9926999999998</v>
      </c>
      <c r="J163" s="105">
        <v>1899.3435999999999</v>
      </c>
      <c r="K163" s="105">
        <v>8570.5656999999992</v>
      </c>
      <c r="L163" s="105">
        <v>4522.7222000000002</v>
      </c>
      <c r="M163" s="72"/>
    </row>
    <row r="167" spans="2:13" ht="15.6">
      <c r="B167" s="103" t="s">
        <v>448</v>
      </c>
      <c r="C167" s="72"/>
      <c r="D167" s="72"/>
      <c r="E167" s="72"/>
      <c r="F167" s="72"/>
      <c r="G167" s="72"/>
      <c r="H167" s="72"/>
      <c r="I167" s="72"/>
      <c r="J167" s="72"/>
      <c r="K167" s="72"/>
      <c r="L167" s="72"/>
      <c r="M167" s="72"/>
    </row>
  </sheetData>
  <phoneticPr fontId="36"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6">
    <tabColor rgb="FF92D050"/>
  </sheetPr>
  <dimension ref="A1:O104"/>
  <sheetViews>
    <sheetView view="pageBreakPreview" zoomScaleNormal="115" workbookViewId="0">
      <selection sqref="A1:O1"/>
    </sheetView>
  </sheetViews>
  <sheetFormatPr defaultColWidth="9" defaultRowHeight="15.6"/>
  <cols>
    <col min="1" max="1" width="18.88671875" style="4" customWidth="1"/>
    <col min="2" max="2" width="8.88671875" style="4" customWidth="1"/>
    <col min="3" max="3" width="8.109375" style="4" customWidth="1"/>
    <col min="4" max="4" width="9.109375" style="4" customWidth="1"/>
    <col min="5" max="5" width="8" style="4" customWidth="1"/>
    <col min="6" max="6" width="7.88671875" style="4" customWidth="1"/>
    <col min="7" max="7" width="7.33203125" style="4" customWidth="1"/>
    <col min="8" max="8" width="8.88671875" style="4" customWidth="1"/>
    <col min="9" max="9" width="9.21875" style="4" customWidth="1"/>
    <col min="10" max="10" width="6.6640625" style="4" customWidth="1"/>
    <col min="11" max="11" width="9.77734375" style="4" customWidth="1"/>
    <col min="12" max="12" width="8.6640625" style="4" customWidth="1"/>
    <col min="13" max="13" width="10.109375" style="4" customWidth="1"/>
    <col min="14" max="14" width="9.77734375" style="4" customWidth="1"/>
    <col min="15" max="15" width="4.109375" style="4" customWidth="1"/>
    <col min="16" max="256" width="9" style="4"/>
    <col min="257" max="257" width="18.88671875" style="4" customWidth="1"/>
    <col min="258" max="258" width="8.88671875" style="4" customWidth="1"/>
    <col min="259" max="259" width="8.109375" style="4" customWidth="1"/>
    <col min="260" max="260" width="9.109375" style="4" customWidth="1"/>
    <col min="261" max="261" width="8" style="4" customWidth="1"/>
    <col min="262" max="262" width="7.88671875" style="4" customWidth="1"/>
    <col min="263" max="263" width="7.33203125" style="4" customWidth="1"/>
    <col min="264" max="264" width="8.88671875" style="4" customWidth="1"/>
    <col min="265" max="265" width="9.21875" style="4" customWidth="1"/>
    <col min="266" max="266" width="6.6640625" style="4" customWidth="1"/>
    <col min="267" max="267" width="9.77734375" style="4" customWidth="1"/>
    <col min="268" max="268" width="8.6640625" style="4" customWidth="1"/>
    <col min="269" max="269" width="10.109375" style="4" customWidth="1"/>
    <col min="270" max="270" width="9.77734375" style="4" customWidth="1"/>
    <col min="271" max="271" width="4.109375" style="4" customWidth="1"/>
    <col min="272" max="512" width="9" style="4"/>
    <col min="513" max="513" width="18.88671875" style="4" customWidth="1"/>
    <col min="514" max="514" width="8.88671875" style="4" customWidth="1"/>
    <col min="515" max="515" width="8.109375" style="4" customWidth="1"/>
    <col min="516" max="516" width="9.109375" style="4" customWidth="1"/>
    <col min="517" max="517" width="8" style="4" customWidth="1"/>
    <col min="518" max="518" width="7.88671875" style="4" customWidth="1"/>
    <col min="519" max="519" width="7.33203125" style="4" customWidth="1"/>
    <col min="520" max="520" width="8.88671875" style="4" customWidth="1"/>
    <col min="521" max="521" width="9.21875" style="4" customWidth="1"/>
    <col min="522" max="522" width="6.6640625" style="4" customWidth="1"/>
    <col min="523" max="523" width="9.77734375" style="4" customWidth="1"/>
    <col min="524" max="524" width="8.6640625" style="4" customWidth="1"/>
    <col min="525" max="525" width="10.109375" style="4" customWidth="1"/>
    <col min="526" max="526" width="9.77734375" style="4" customWidth="1"/>
    <col min="527" max="527" width="4.109375" style="4" customWidth="1"/>
    <col min="528" max="768" width="9" style="4"/>
    <col min="769" max="769" width="18.88671875" style="4" customWidth="1"/>
    <col min="770" max="770" width="8.88671875" style="4" customWidth="1"/>
    <col min="771" max="771" width="8.109375" style="4" customWidth="1"/>
    <col min="772" max="772" width="9.109375" style="4" customWidth="1"/>
    <col min="773" max="773" width="8" style="4" customWidth="1"/>
    <col min="774" max="774" width="7.88671875" style="4" customWidth="1"/>
    <col min="775" max="775" width="7.33203125" style="4" customWidth="1"/>
    <col min="776" max="776" width="8.88671875" style="4" customWidth="1"/>
    <col min="777" max="777" width="9.21875" style="4" customWidth="1"/>
    <col min="778" max="778" width="6.6640625" style="4" customWidth="1"/>
    <col min="779" max="779" width="9.77734375" style="4" customWidth="1"/>
    <col min="780" max="780" width="8.6640625" style="4" customWidth="1"/>
    <col min="781" max="781" width="10.109375" style="4" customWidth="1"/>
    <col min="782" max="782" width="9.77734375" style="4" customWidth="1"/>
    <col min="783" max="783" width="4.109375" style="4" customWidth="1"/>
    <col min="784" max="1024" width="9" style="4"/>
    <col min="1025" max="1025" width="18.88671875" style="4" customWidth="1"/>
    <col min="1026" max="1026" width="8.88671875" style="4" customWidth="1"/>
    <col min="1027" max="1027" width="8.109375" style="4" customWidth="1"/>
    <col min="1028" max="1028" width="9.109375" style="4" customWidth="1"/>
    <col min="1029" max="1029" width="8" style="4" customWidth="1"/>
    <col min="1030" max="1030" width="7.88671875" style="4" customWidth="1"/>
    <col min="1031" max="1031" width="7.33203125" style="4" customWidth="1"/>
    <col min="1032" max="1032" width="8.88671875" style="4" customWidth="1"/>
    <col min="1033" max="1033" width="9.21875" style="4" customWidth="1"/>
    <col min="1034" max="1034" width="6.6640625" style="4" customWidth="1"/>
    <col min="1035" max="1035" width="9.77734375" style="4" customWidth="1"/>
    <col min="1036" max="1036" width="8.6640625" style="4" customWidth="1"/>
    <col min="1037" max="1037" width="10.109375" style="4" customWidth="1"/>
    <col min="1038" max="1038" width="9.77734375" style="4" customWidth="1"/>
    <col min="1039" max="1039" width="4.109375" style="4" customWidth="1"/>
    <col min="1040" max="1280" width="9" style="4"/>
    <col min="1281" max="1281" width="18.88671875" style="4" customWidth="1"/>
    <col min="1282" max="1282" width="8.88671875" style="4" customWidth="1"/>
    <col min="1283" max="1283" width="8.109375" style="4" customWidth="1"/>
    <col min="1284" max="1284" width="9.109375" style="4" customWidth="1"/>
    <col min="1285" max="1285" width="8" style="4" customWidth="1"/>
    <col min="1286" max="1286" width="7.88671875" style="4" customWidth="1"/>
    <col min="1287" max="1287" width="7.33203125" style="4" customWidth="1"/>
    <col min="1288" max="1288" width="8.88671875" style="4" customWidth="1"/>
    <col min="1289" max="1289" width="9.21875" style="4" customWidth="1"/>
    <col min="1290" max="1290" width="6.6640625" style="4" customWidth="1"/>
    <col min="1291" max="1291" width="9.77734375" style="4" customWidth="1"/>
    <col min="1292" max="1292" width="8.6640625" style="4" customWidth="1"/>
    <col min="1293" max="1293" width="10.109375" style="4" customWidth="1"/>
    <col min="1294" max="1294" width="9.77734375" style="4" customWidth="1"/>
    <col min="1295" max="1295" width="4.109375" style="4" customWidth="1"/>
    <col min="1296" max="1536" width="9" style="4"/>
    <col min="1537" max="1537" width="18.88671875" style="4" customWidth="1"/>
    <col min="1538" max="1538" width="8.88671875" style="4" customWidth="1"/>
    <col min="1539" max="1539" width="8.109375" style="4" customWidth="1"/>
    <col min="1540" max="1540" width="9.109375" style="4" customWidth="1"/>
    <col min="1541" max="1541" width="8" style="4" customWidth="1"/>
    <col min="1542" max="1542" width="7.88671875" style="4" customWidth="1"/>
    <col min="1543" max="1543" width="7.33203125" style="4" customWidth="1"/>
    <col min="1544" max="1544" width="8.88671875" style="4" customWidth="1"/>
    <col min="1545" max="1545" width="9.21875" style="4" customWidth="1"/>
    <col min="1546" max="1546" width="6.6640625" style="4" customWidth="1"/>
    <col min="1547" max="1547" width="9.77734375" style="4" customWidth="1"/>
    <col min="1548" max="1548" width="8.6640625" style="4" customWidth="1"/>
    <col min="1549" max="1549" width="10.109375" style="4" customWidth="1"/>
    <col min="1550" max="1550" width="9.77734375" style="4" customWidth="1"/>
    <col min="1551" max="1551" width="4.109375" style="4" customWidth="1"/>
    <col min="1552" max="1792" width="9" style="4"/>
    <col min="1793" max="1793" width="18.88671875" style="4" customWidth="1"/>
    <col min="1794" max="1794" width="8.88671875" style="4" customWidth="1"/>
    <col min="1795" max="1795" width="8.109375" style="4" customWidth="1"/>
    <col min="1796" max="1796" width="9.109375" style="4" customWidth="1"/>
    <col min="1797" max="1797" width="8" style="4" customWidth="1"/>
    <col min="1798" max="1798" width="7.88671875" style="4" customWidth="1"/>
    <col min="1799" max="1799" width="7.33203125" style="4" customWidth="1"/>
    <col min="1800" max="1800" width="8.88671875" style="4" customWidth="1"/>
    <col min="1801" max="1801" width="9.21875" style="4" customWidth="1"/>
    <col min="1802" max="1802" width="6.6640625" style="4" customWidth="1"/>
    <col min="1803" max="1803" width="9.77734375" style="4" customWidth="1"/>
    <col min="1804" max="1804" width="8.6640625" style="4" customWidth="1"/>
    <col min="1805" max="1805" width="10.109375" style="4" customWidth="1"/>
    <col min="1806" max="1806" width="9.77734375" style="4" customWidth="1"/>
    <col min="1807" max="1807" width="4.109375" style="4" customWidth="1"/>
    <col min="1808" max="2048" width="9" style="4"/>
    <col min="2049" max="2049" width="18.88671875" style="4" customWidth="1"/>
    <col min="2050" max="2050" width="8.88671875" style="4" customWidth="1"/>
    <col min="2051" max="2051" width="8.109375" style="4" customWidth="1"/>
    <col min="2052" max="2052" width="9.109375" style="4" customWidth="1"/>
    <col min="2053" max="2053" width="8" style="4" customWidth="1"/>
    <col min="2054" max="2054" width="7.88671875" style="4" customWidth="1"/>
    <col min="2055" max="2055" width="7.33203125" style="4" customWidth="1"/>
    <col min="2056" max="2056" width="8.88671875" style="4" customWidth="1"/>
    <col min="2057" max="2057" width="9.21875" style="4" customWidth="1"/>
    <col min="2058" max="2058" width="6.6640625" style="4" customWidth="1"/>
    <col min="2059" max="2059" width="9.77734375" style="4" customWidth="1"/>
    <col min="2060" max="2060" width="8.6640625" style="4" customWidth="1"/>
    <col min="2061" max="2061" width="10.109375" style="4" customWidth="1"/>
    <col min="2062" max="2062" width="9.77734375" style="4" customWidth="1"/>
    <col min="2063" max="2063" width="4.109375" style="4" customWidth="1"/>
    <col min="2064" max="2304" width="9" style="4"/>
    <col min="2305" max="2305" width="18.88671875" style="4" customWidth="1"/>
    <col min="2306" max="2306" width="8.88671875" style="4" customWidth="1"/>
    <col min="2307" max="2307" width="8.109375" style="4" customWidth="1"/>
    <col min="2308" max="2308" width="9.109375" style="4" customWidth="1"/>
    <col min="2309" max="2309" width="8" style="4" customWidth="1"/>
    <col min="2310" max="2310" width="7.88671875" style="4" customWidth="1"/>
    <col min="2311" max="2311" width="7.33203125" style="4" customWidth="1"/>
    <col min="2312" max="2312" width="8.88671875" style="4" customWidth="1"/>
    <col min="2313" max="2313" width="9.21875" style="4" customWidth="1"/>
    <col min="2314" max="2314" width="6.6640625" style="4" customWidth="1"/>
    <col min="2315" max="2315" width="9.77734375" style="4" customWidth="1"/>
    <col min="2316" max="2316" width="8.6640625" style="4" customWidth="1"/>
    <col min="2317" max="2317" width="10.109375" style="4" customWidth="1"/>
    <col min="2318" max="2318" width="9.77734375" style="4" customWidth="1"/>
    <col min="2319" max="2319" width="4.109375" style="4" customWidth="1"/>
    <col min="2320" max="2560" width="9" style="4"/>
    <col min="2561" max="2561" width="18.88671875" style="4" customWidth="1"/>
    <col min="2562" max="2562" width="8.88671875" style="4" customWidth="1"/>
    <col min="2563" max="2563" width="8.109375" style="4" customWidth="1"/>
    <col min="2564" max="2564" width="9.109375" style="4" customWidth="1"/>
    <col min="2565" max="2565" width="8" style="4" customWidth="1"/>
    <col min="2566" max="2566" width="7.88671875" style="4" customWidth="1"/>
    <col min="2567" max="2567" width="7.33203125" style="4" customWidth="1"/>
    <col min="2568" max="2568" width="8.88671875" style="4" customWidth="1"/>
    <col min="2569" max="2569" width="9.21875" style="4" customWidth="1"/>
    <col min="2570" max="2570" width="6.6640625" style="4" customWidth="1"/>
    <col min="2571" max="2571" width="9.77734375" style="4" customWidth="1"/>
    <col min="2572" max="2572" width="8.6640625" style="4" customWidth="1"/>
    <col min="2573" max="2573" width="10.109375" style="4" customWidth="1"/>
    <col min="2574" max="2574" width="9.77734375" style="4" customWidth="1"/>
    <col min="2575" max="2575" width="4.109375" style="4" customWidth="1"/>
    <col min="2576" max="2816" width="9" style="4"/>
    <col min="2817" max="2817" width="18.88671875" style="4" customWidth="1"/>
    <col min="2818" max="2818" width="8.88671875" style="4" customWidth="1"/>
    <col min="2819" max="2819" width="8.109375" style="4" customWidth="1"/>
    <col min="2820" max="2820" width="9.109375" style="4" customWidth="1"/>
    <col min="2821" max="2821" width="8" style="4" customWidth="1"/>
    <col min="2822" max="2822" width="7.88671875" style="4" customWidth="1"/>
    <col min="2823" max="2823" width="7.33203125" style="4" customWidth="1"/>
    <col min="2824" max="2824" width="8.88671875" style="4" customWidth="1"/>
    <col min="2825" max="2825" width="9.21875" style="4" customWidth="1"/>
    <col min="2826" max="2826" width="6.6640625" style="4" customWidth="1"/>
    <col min="2827" max="2827" width="9.77734375" style="4" customWidth="1"/>
    <col min="2828" max="2828" width="8.6640625" style="4" customWidth="1"/>
    <col min="2829" max="2829" width="10.109375" style="4" customWidth="1"/>
    <col min="2830" max="2830" width="9.77734375" style="4" customWidth="1"/>
    <col min="2831" max="2831" width="4.109375" style="4" customWidth="1"/>
    <col min="2832" max="3072" width="9" style="4"/>
    <col min="3073" max="3073" width="18.88671875" style="4" customWidth="1"/>
    <col min="3074" max="3074" width="8.88671875" style="4" customWidth="1"/>
    <col min="3075" max="3075" width="8.109375" style="4" customWidth="1"/>
    <col min="3076" max="3076" width="9.109375" style="4" customWidth="1"/>
    <col min="3077" max="3077" width="8" style="4" customWidth="1"/>
    <col min="3078" max="3078" width="7.88671875" style="4" customWidth="1"/>
    <col min="3079" max="3079" width="7.33203125" style="4" customWidth="1"/>
    <col min="3080" max="3080" width="8.88671875" style="4" customWidth="1"/>
    <col min="3081" max="3081" width="9.21875" style="4" customWidth="1"/>
    <col min="3082" max="3082" width="6.6640625" style="4" customWidth="1"/>
    <col min="3083" max="3083" width="9.77734375" style="4" customWidth="1"/>
    <col min="3084" max="3084" width="8.6640625" style="4" customWidth="1"/>
    <col min="3085" max="3085" width="10.109375" style="4" customWidth="1"/>
    <col min="3086" max="3086" width="9.77734375" style="4" customWidth="1"/>
    <col min="3087" max="3087" width="4.109375" style="4" customWidth="1"/>
    <col min="3088" max="3328" width="9" style="4"/>
    <col min="3329" max="3329" width="18.88671875" style="4" customWidth="1"/>
    <col min="3330" max="3330" width="8.88671875" style="4" customWidth="1"/>
    <col min="3331" max="3331" width="8.109375" style="4" customWidth="1"/>
    <col min="3332" max="3332" width="9.109375" style="4" customWidth="1"/>
    <col min="3333" max="3333" width="8" style="4" customWidth="1"/>
    <col min="3334" max="3334" width="7.88671875" style="4" customWidth="1"/>
    <col min="3335" max="3335" width="7.33203125" style="4" customWidth="1"/>
    <col min="3336" max="3336" width="8.88671875" style="4" customWidth="1"/>
    <col min="3337" max="3337" width="9.21875" style="4" customWidth="1"/>
    <col min="3338" max="3338" width="6.6640625" style="4" customWidth="1"/>
    <col min="3339" max="3339" width="9.77734375" style="4" customWidth="1"/>
    <col min="3340" max="3340" width="8.6640625" style="4" customWidth="1"/>
    <col min="3341" max="3341" width="10.109375" style="4" customWidth="1"/>
    <col min="3342" max="3342" width="9.77734375" style="4" customWidth="1"/>
    <col min="3343" max="3343" width="4.109375" style="4" customWidth="1"/>
    <col min="3344" max="3584" width="9" style="4"/>
    <col min="3585" max="3585" width="18.88671875" style="4" customWidth="1"/>
    <col min="3586" max="3586" width="8.88671875" style="4" customWidth="1"/>
    <col min="3587" max="3587" width="8.109375" style="4" customWidth="1"/>
    <col min="3588" max="3588" width="9.109375" style="4" customWidth="1"/>
    <col min="3589" max="3589" width="8" style="4" customWidth="1"/>
    <col min="3590" max="3590" width="7.88671875" style="4" customWidth="1"/>
    <col min="3591" max="3591" width="7.33203125" style="4" customWidth="1"/>
    <col min="3592" max="3592" width="8.88671875" style="4" customWidth="1"/>
    <col min="3593" max="3593" width="9.21875" style="4" customWidth="1"/>
    <col min="3594" max="3594" width="6.6640625" style="4" customWidth="1"/>
    <col min="3595" max="3595" width="9.77734375" style="4" customWidth="1"/>
    <col min="3596" max="3596" width="8.6640625" style="4" customWidth="1"/>
    <col min="3597" max="3597" width="10.109375" style="4" customWidth="1"/>
    <col min="3598" max="3598" width="9.77734375" style="4" customWidth="1"/>
    <col min="3599" max="3599" width="4.109375" style="4" customWidth="1"/>
    <col min="3600" max="3840" width="9" style="4"/>
    <col min="3841" max="3841" width="18.88671875" style="4" customWidth="1"/>
    <col min="3842" max="3842" width="8.88671875" style="4" customWidth="1"/>
    <col min="3843" max="3843" width="8.109375" style="4" customWidth="1"/>
    <col min="3844" max="3844" width="9.109375" style="4" customWidth="1"/>
    <col min="3845" max="3845" width="8" style="4" customWidth="1"/>
    <col min="3846" max="3846" width="7.88671875" style="4" customWidth="1"/>
    <col min="3847" max="3847" width="7.33203125" style="4" customWidth="1"/>
    <col min="3848" max="3848" width="8.88671875" style="4" customWidth="1"/>
    <col min="3849" max="3849" width="9.21875" style="4" customWidth="1"/>
    <col min="3850" max="3850" width="6.6640625" style="4" customWidth="1"/>
    <col min="3851" max="3851" width="9.77734375" style="4" customWidth="1"/>
    <col min="3852" max="3852" width="8.6640625" style="4" customWidth="1"/>
    <col min="3853" max="3853" width="10.109375" style="4" customWidth="1"/>
    <col min="3854" max="3854" width="9.77734375" style="4" customWidth="1"/>
    <col min="3855" max="3855" width="4.109375" style="4" customWidth="1"/>
    <col min="3856" max="4096" width="9" style="4"/>
    <col min="4097" max="4097" width="18.88671875" style="4" customWidth="1"/>
    <col min="4098" max="4098" width="8.88671875" style="4" customWidth="1"/>
    <col min="4099" max="4099" width="8.109375" style="4" customWidth="1"/>
    <col min="4100" max="4100" width="9.109375" style="4" customWidth="1"/>
    <col min="4101" max="4101" width="8" style="4" customWidth="1"/>
    <col min="4102" max="4102" width="7.88671875" style="4" customWidth="1"/>
    <col min="4103" max="4103" width="7.33203125" style="4" customWidth="1"/>
    <col min="4104" max="4104" width="8.88671875" style="4" customWidth="1"/>
    <col min="4105" max="4105" width="9.21875" style="4" customWidth="1"/>
    <col min="4106" max="4106" width="6.6640625" style="4" customWidth="1"/>
    <col min="4107" max="4107" width="9.77734375" style="4" customWidth="1"/>
    <col min="4108" max="4108" width="8.6640625" style="4" customWidth="1"/>
    <col min="4109" max="4109" width="10.109375" style="4" customWidth="1"/>
    <col min="4110" max="4110" width="9.77734375" style="4" customWidth="1"/>
    <col min="4111" max="4111" width="4.109375" style="4" customWidth="1"/>
    <col min="4112" max="4352" width="9" style="4"/>
    <col min="4353" max="4353" width="18.88671875" style="4" customWidth="1"/>
    <col min="4354" max="4354" width="8.88671875" style="4" customWidth="1"/>
    <col min="4355" max="4355" width="8.109375" style="4" customWidth="1"/>
    <col min="4356" max="4356" width="9.109375" style="4" customWidth="1"/>
    <col min="4357" max="4357" width="8" style="4" customWidth="1"/>
    <col min="4358" max="4358" width="7.88671875" style="4" customWidth="1"/>
    <col min="4359" max="4359" width="7.33203125" style="4" customWidth="1"/>
    <col min="4360" max="4360" width="8.88671875" style="4" customWidth="1"/>
    <col min="4361" max="4361" width="9.21875" style="4" customWidth="1"/>
    <col min="4362" max="4362" width="6.6640625" style="4" customWidth="1"/>
    <col min="4363" max="4363" width="9.77734375" style="4" customWidth="1"/>
    <col min="4364" max="4364" width="8.6640625" style="4" customWidth="1"/>
    <col min="4365" max="4365" width="10.109375" style="4" customWidth="1"/>
    <col min="4366" max="4366" width="9.77734375" style="4" customWidth="1"/>
    <col min="4367" max="4367" width="4.109375" style="4" customWidth="1"/>
    <col min="4368" max="4608" width="9" style="4"/>
    <col min="4609" max="4609" width="18.88671875" style="4" customWidth="1"/>
    <col min="4610" max="4610" width="8.88671875" style="4" customWidth="1"/>
    <col min="4611" max="4611" width="8.109375" style="4" customWidth="1"/>
    <col min="4612" max="4612" width="9.109375" style="4" customWidth="1"/>
    <col min="4613" max="4613" width="8" style="4" customWidth="1"/>
    <col min="4614" max="4614" width="7.88671875" style="4" customWidth="1"/>
    <col min="4615" max="4615" width="7.33203125" style="4" customWidth="1"/>
    <col min="4616" max="4616" width="8.88671875" style="4" customWidth="1"/>
    <col min="4617" max="4617" width="9.21875" style="4" customWidth="1"/>
    <col min="4618" max="4618" width="6.6640625" style="4" customWidth="1"/>
    <col min="4619" max="4619" width="9.77734375" style="4" customWidth="1"/>
    <col min="4620" max="4620" width="8.6640625" style="4" customWidth="1"/>
    <col min="4621" max="4621" width="10.109375" style="4" customWidth="1"/>
    <col min="4622" max="4622" width="9.77734375" style="4" customWidth="1"/>
    <col min="4623" max="4623" width="4.109375" style="4" customWidth="1"/>
    <col min="4624" max="4864" width="9" style="4"/>
    <col min="4865" max="4865" width="18.88671875" style="4" customWidth="1"/>
    <col min="4866" max="4866" width="8.88671875" style="4" customWidth="1"/>
    <col min="4867" max="4867" width="8.109375" style="4" customWidth="1"/>
    <col min="4868" max="4868" width="9.109375" style="4" customWidth="1"/>
    <col min="4869" max="4869" width="8" style="4" customWidth="1"/>
    <col min="4870" max="4870" width="7.88671875" style="4" customWidth="1"/>
    <col min="4871" max="4871" width="7.33203125" style="4" customWidth="1"/>
    <col min="4872" max="4872" width="8.88671875" style="4" customWidth="1"/>
    <col min="4873" max="4873" width="9.21875" style="4" customWidth="1"/>
    <col min="4874" max="4874" width="6.6640625" style="4" customWidth="1"/>
    <col min="4875" max="4875" width="9.77734375" style="4" customWidth="1"/>
    <col min="4876" max="4876" width="8.6640625" style="4" customWidth="1"/>
    <col min="4877" max="4877" width="10.109375" style="4" customWidth="1"/>
    <col min="4878" max="4878" width="9.77734375" style="4" customWidth="1"/>
    <col min="4879" max="4879" width="4.109375" style="4" customWidth="1"/>
    <col min="4880" max="5120" width="9" style="4"/>
    <col min="5121" max="5121" width="18.88671875" style="4" customWidth="1"/>
    <col min="5122" max="5122" width="8.88671875" style="4" customWidth="1"/>
    <col min="5123" max="5123" width="8.109375" style="4" customWidth="1"/>
    <col min="5124" max="5124" width="9.109375" style="4" customWidth="1"/>
    <col min="5125" max="5125" width="8" style="4" customWidth="1"/>
    <col min="5126" max="5126" width="7.88671875" style="4" customWidth="1"/>
    <col min="5127" max="5127" width="7.33203125" style="4" customWidth="1"/>
    <col min="5128" max="5128" width="8.88671875" style="4" customWidth="1"/>
    <col min="5129" max="5129" width="9.21875" style="4" customWidth="1"/>
    <col min="5130" max="5130" width="6.6640625" style="4" customWidth="1"/>
    <col min="5131" max="5131" width="9.77734375" style="4" customWidth="1"/>
    <col min="5132" max="5132" width="8.6640625" style="4" customWidth="1"/>
    <col min="5133" max="5133" width="10.109375" style="4" customWidth="1"/>
    <col min="5134" max="5134" width="9.77734375" style="4" customWidth="1"/>
    <col min="5135" max="5135" width="4.109375" style="4" customWidth="1"/>
    <col min="5136" max="5376" width="9" style="4"/>
    <col min="5377" max="5377" width="18.88671875" style="4" customWidth="1"/>
    <col min="5378" max="5378" width="8.88671875" style="4" customWidth="1"/>
    <col min="5379" max="5379" width="8.109375" style="4" customWidth="1"/>
    <col min="5380" max="5380" width="9.109375" style="4" customWidth="1"/>
    <col min="5381" max="5381" width="8" style="4" customWidth="1"/>
    <col min="5382" max="5382" width="7.88671875" style="4" customWidth="1"/>
    <col min="5383" max="5383" width="7.33203125" style="4" customWidth="1"/>
    <col min="5384" max="5384" width="8.88671875" style="4" customWidth="1"/>
    <col min="5385" max="5385" width="9.21875" style="4" customWidth="1"/>
    <col min="5386" max="5386" width="6.6640625" style="4" customWidth="1"/>
    <col min="5387" max="5387" width="9.77734375" style="4" customWidth="1"/>
    <col min="5388" max="5388" width="8.6640625" style="4" customWidth="1"/>
    <col min="5389" max="5389" width="10.109375" style="4" customWidth="1"/>
    <col min="5390" max="5390" width="9.77734375" style="4" customWidth="1"/>
    <col min="5391" max="5391" width="4.109375" style="4" customWidth="1"/>
    <col min="5392" max="5632" width="9" style="4"/>
    <col min="5633" max="5633" width="18.88671875" style="4" customWidth="1"/>
    <col min="5634" max="5634" width="8.88671875" style="4" customWidth="1"/>
    <col min="5635" max="5635" width="8.109375" style="4" customWidth="1"/>
    <col min="5636" max="5636" width="9.109375" style="4" customWidth="1"/>
    <col min="5637" max="5637" width="8" style="4" customWidth="1"/>
    <col min="5638" max="5638" width="7.88671875" style="4" customWidth="1"/>
    <col min="5639" max="5639" width="7.33203125" style="4" customWidth="1"/>
    <col min="5640" max="5640" width="8.88671875" style="4" customWidth="1"/>
    <col min="5641" max="5641" width="9.21875" style="4" customWidth="1"/>
    <col min="5642" max="5642" width="6.6640625" style="4" customWidth="1"/>
    <col min="5643" max="5643" width="9.77734375" style="4" customWidth="1"/>
    <col min="5644" max="5644" width="8.6640625" style="4" customWidth="1"/>
    <col min="5645" max="5645" width="10.109375" style="4" customWidth="1"/>
    <col min="5646" max="5646" width="9.77734375" style="4" customWidth="1"/>
    <col min="5647" max="5647" width="4.109375" style="4" customWidth="1"/>
    <col min="5648" max="5888" width="9" style="4"/>
    <col min="5889" max="5889" width="18.88671875" style="4" customWidth="1"/>
    <col min="5890" max="5890" width="8.88671875" style="4" customWidth="1"/>
    <col min="5891" max="5891" width="8.109375" style="4" customWidth="1"/>
    <col min="5892" max="5892" width="9.109375" style="4" customWidth="1"/>
    <col min="5893" max="5893" width="8" style="4" customWidth="1"/>
    <col min="5894" max="5894" width="7.88671875" style="4" customWidth="1"/>
    <col min="5895" max="5895" width="7.33203125" style="4" customWidth="1"/>
    <col min="5896" max="5896" width="8.88671875" style="4" customWidth="1"/>
    <col min="5897" max="5897" width="9.21875" style="4" customWidth="1"/>
    <col min="5898" max="5898" width="6.6640625" style="4" customWidth="1"/>
    <col min="5899" max="5899" width="9.77734375" style="4" customWidth="1"/>
    <col min="5900" max="5900" width="8.6640625" style="4" customWidth="1"/>
    <col min="5901" max="5901" width="10.109375" style="4" customWidth="1"/>
    <col min="5902" max="5902" width="9.77734375" style="4" customWidth="1"/>
    <col min="5903" max="5903" width="4.109375" style="4" customWidth="1"/>
    <col min="5904" max="6144" width="9" style="4"/>
    <col min="6145" max="6145" width="18.88671875" style="4" customWidth="1"/>
    <col min="6146" max="6146" width="8.88671875" style="4" customWidth="1"/>
    <col min="6147" max="6147" width="8.109375" style="4" customWidth="1"/>
    <col min="6148" max="6148" width="9.109375" style="4" customWidth="1"/>
    <col min="6149" max="6149" width="8" style="4" customWidth="1"/>
    <col min="6150" max="6150" width="7.88671875" style="4" customWidth="1"/>
    <col min="6151" max="6151" width="7.33203125" style="4" customWidth="1"/>
    <col min="6152" max="6152" width="8.88671875" style="4" customWidth="1"/>
    <col min="6153" max="6153" width="9.21875" style="4" customWidth="1"/>
    <col min="6154" max="6154" width="6.6640625" style="4" customWidth="1"/>
    <col min="6155" max="6155" width="9.77734375" style="4" customWidth="1"/>
    <col min="6156" max="6156" width="8.6640625" style="4" customWidth="1"/>
    <col min="6157" max="6157" width="10.109375" style="4" customWidth="1"/>
    <col min="6158" max="6158" width="9.77734375" style="4" customWidth="1"/>
    <col min="6159" max="6159" width="4.109375" style="4" customWidth="1"/>
    <col min="6160" max="6400" width="9" style="4"/>
    <col min="6401" max="6401" width="18.88671875" style="4" customWidth="1"/>
    <col min="6402" max="6402" width="8.88671875" style="4" customWidth="1"/>
    <col min="6403" max="6403" width="8.109375" style="4" customWidth="1"/>
    <col min="6404" max="6404" width="9.109375" style="4" customWidth="1"/>
    <col min="6405" max="6405" width="8" style="4" customWidth="1"/>
    <col min="6406" max="6406" width="7.88671875" style="4" customWidth="1"/>
    <col min="6407" max="6407" width="7.33203125" style="4" customWidth="1"/>
    <col min="6408" max="6408" width="8.88671875" style="4" customWidth="1"/>
    <col min="6409" max="6409" width="9.21875" style="4" customWidth="1"/>
    <col min="6410" max="6410" width="6.6640625" style="4" customWidth="1"/>
    <col min="6411" max="6411" width="9.77734375" style="4" customWidth="1"/>
    <col min="6412" max="6412" width="8.6640625" style="4" customWidth="1"/>
    <col min="6413" max="6413" width="10.109375" style="4" customWidth="1"/>
    <col min="6414" max="6414" width="9.77734375" style="4" customWidth="1"/>
    <col min="6415" max="6415" width="4.109375" style="4" customWidth="1"/>
    <col min="6416" max="6656" width="9" style="4"/>
    <col min="6657" max="6657" width="18.88671875" style="4" customWidth="1"/>
    <col min="6658" max="6658" width="8.88671875" style="4" customWidth="1"/>
    <col min="6659" max="6659" width="8.109375" style="4" customWidth="1"/>
    <col min="6660" max="6660" width="9.109375" style="4" customWidth="1"/>
    <col min="6661" max="6661" width="8" style="4" customWidth="1"/>
    <col min="6662" max="6662" width="7.88671875" style="4" customWidth="1"/>
    <col min="6663" max="6663" width="7.33203125" style="4" customWidth="1"/>
    <col min="6664" max="6664" width="8.88671875" style="4" customWidth="1"/>
    <col min="6665" max="6665" width="9.21875" style="4" customWidth="1"/>
    <col min="6666" max="6666" width="6.6640625" style="4" customWidth="1"/>
    <col min="6667" max="6667" width="9.77734375" style="4" customWidth="1"/>
    <col min="6668" max="6668" width="8.6640625" style="4" customWidth="1"/>
    <col min="6669" max="6669" width="10.109375" style="4" customWidth="1"/>
    <col min="6670" max="6670" width="9.77734375" style="4" customWidth="1"/>
    <col min="6671" max="6671" width="4.109375" style="4" customWidth="1"/>
    <col min="6672" max="6912" width="9" style="4"/>
    <col min="6913" max="6913" width="18.88671875" style="4" customWidth="1"/>
    <col min="6914" max="6914" width="8.88671875" style="4" customWidth="1"/>
    <col min="6915" max="6915" width="8.109375" style="4" customWidth="1"/>
    <col min="6916" max="6916" width="9.109375" style="4" customWidth="1"/>
    <col min="6917" max="6917" width="8" style="4" customWidth="1"/>
    <col min="6918" max="6918" width="7.88671875" style="4" customWidth="1"/>
    <col min="6919" max="6919" width="7.33203125" style="4" customWidth="1"/>
    <col min="6920" max="6920" width="8.88671875" style="4" customWidth="1"/>
    <col min="6921" max="6921" width="9.21875" style="4" customWidth="1"/>
    <col min="6922" max="6922" width="6.6640625" style="4" customWidth="1"/>
    <col min="6923" max="6923" width="9.77734375" style="4" customWidth="1"/>
    <col min="6924" max="6924" width="8.6640625" style="4" customWidth="1"/>
    <col min="6925" max="6925" width="10.109375" style="4" customWidth="1"/>
    <col min="6926" max="6926" width="9.77734375" style="4" customWidth="1"/>
    <col min="6927" max="6927" width="4.109375" style="4" customWidth="1"/>
    <col min="6928" max="7168" width="9" style="4"/>
    <col min="7169" max="7169" width="18.88671875" style="4" customWidth="1"/>
    <col min="7170" max="7170" width="8.88671875" style="4" customWidth="1"/>
    <col min="7171" max="7171" width="8.109375" style="4" customWidth="1"/>
    <col min="7172" max="7172" width="9.109375" style="4" customWidth="1"/>
    <col min="7173" max="7173" width="8" style="4" customWidth="1"/>
    <col min="7174" max="7174" width="7.88671875" style="4" customWidth="1"/>
    <col min="7175" max="7175" width="7.33203125" style="4" customWidth="1"/>
    <col min="7176" max="7176" width="8.88671875" style="4" customWidth="1"/>
    <col min="7177" max="7177" width="9.21875" style="4" customWidth="1"/>
    <col min="7178" max="7178" width="6.6640625" style="4" customWidth="1"/>
    <col min="7179" max="7179" width="9.77734375" style="4" customWidth="1"/>
    <col min="7180" max="7180" width="8.6640625" style="4" customWidth="1"/>
    <col min="7181" max="7181" width="10.109375" style="4" customWidth="1"/>
    <col min="7182" max="7182" width="9.77734375" style="4" customWidth="1"/>
    <col min="7183" max="7183" width="4.109375" style="4" customWidth="1"/>
    <col min="7184" max="7424" width="9" style="4"/>
    <col min="7425" max="7425" width="18.88671875" style="4" customWidth="1"/>
    <col min="7426" max="7426" width="8.88671875" style="4" customWidth="1"/>
    <col min="7427" max="7427" width="8.109375" style="4" customWidth="1"/>
    <col min="7428" max="7428" width="9.109375" style="4" customWidth="1"/>
    <col min="7429" max="7429" width="8" style="4" customWidth="1"/>
    <col min="7430" max="7430" width="7.88671875" style="4" customWidth="1"/>
    <col min="7431" max="7431" width="7.33203125" style="4" customWidth="1"/>
    <col min="7432" max="7432" width="8.88671875" style="4" customWidth="1"/>
    <col min="7433" max="7433" width="9.21875" style="4" customWidth="1"/>
    <col min="7434" max="7434" width="6.6640625" style="4" customWidth="1"/>
    <col min="7435" max="7435" width="9.77734375" style="4" customWidth="1"/>
    <col min="7436" max="7436" width="8.6640625" style="4" customWidth="1"/>
    <col min="7437" max="7437" width="10.109375" style="4" customWidth="1"/>
    <col min="7438" max="7438" width="9.77734375" style="4" customWidth="1"/>
    <col min="7439" max="7439" width="4.109375" style="4" customWidth="1"/>
    <col min="7440" max="7680" width="9" style="4"/>
    <col min="7681" max="7681" width="18.88671875" style="4" customWidth="1"/>
    <col min="7682" max="7682" width="8.88671875" style="4" customWidth="1"/>
    <col min="7683" max="7683" width="8.109375" style="4" customWidth="1"/>
    <col min="7684" max="7684" width="9.109375" style="4" customWidth="1"/>
    <col min="7685" max="7685" width="8" style="4" customWidth="1"/>
    <col min="7686" max="7686" width="7.88671875" style="4" customWidth="1"/>
    <col min="7687" max="7687" width="7.33203125" style="4" customWidth="1"/>
    <col min="7688" max="7688" width="8.88671875" style="4" customWidth="1"/>
    <col min="7689" max="7689" width="9.21875" style="4" customWidth="1"/>
    <col min="7690" max="7690" width="6.6640625" style="4" customWidth="1"/>
    <col min="7691" max="7691" width="9.77734375" style="4" customWidth="1"/>
    <col min="7692" max="7692" width="8.6640625" style="4" customWidth="1"/>
    <col min="7693" max="7693" width="10.109375" style="4" customWidth="1"/>
    <col min="7694" max="7694" width="9.77734375" style="4" customWidth="1"/>
    <col min="7695" max="7695" width="4.109375" style="4" customWidth="1"/>
    <col min="7696" max="7936" width="9" style="4"/>
    <col min="7937" max="7937" width="18.88671875" style="4" customWidth="1"/>
    <col min="7938" max="7938" width="8.88671875" style="4" customWidth="1"/>
    <col min="7939" max="7939" width="8.109375" style="4" customWidth="1"/>
    <col min="7940" max="7940" width="9.109375" style="4" customWidth="1"/>
    <col min="7941" max="7941" width="8" style="4" customWidth="1"/>
    <col min="7942" max="7942" width="7.88671875" style="4" customWidth="1"/>
    <col min="7943" max="7943" width="7.33203125" style="4" customWidth="1"/>
    <col min="7944" max="7944" width="8.88671875" style="4" customWidth="1"/>
    <col min="7945" max="7945" width="9.21875" style="4" customWidth="1"/>
    <col min="7946" max="7946" width="6.6640625" style="4" customWidth="1"/>
    <col min="7947" max="7947" width="9.77734375" style="4" customWidth="1"/>
    <col min="7948" max="7948" width="8.6640625" style="4" customWidth="1"/>
    <col min="7949" max="7949" width="10.109375" style="4" customWidth="1"/>
    <col min="7950" max="7950" width="9.77734375" style="4" customWidth="1"/>
    <col min="7951" max="7951" width="4.109375" style="4" customWidth="1"/>
    <col min="7952" max="8192" width="9" style="4"/>
    <col min="8193" max="8193" width="18.88671875" style="4" customWidth="1"/>
    <col min="8194" max="8194" width="8.88671875" style="4" customWidth="1"/>
    <col min="8195" max="8195" width="8.109375" style="4" customWidth="1"/>
    <col min="8196" max="8196" width="9.109375" style="4" customWidth="1"/>
    <col min="8197" max="8197" width="8" style="4" customWidth="1"/>
    <col min="8198" max="8198" width="7.88671875" style="4" customWidth="1"/>
    <col min="8199" max="8199" width="7.33203125" style="4" customWidth="1"/>
    <col min="8200" max="8200" width="8.88671875" style="4" customWidth="1"/>
    <col min="8201" max="8201" width="9.21875" style="4" customWidth="1"/>
    <col min="8202" max="8202" width="6.6640625" style="4" customWidth="1"/>
    <col min="8203" max="8203" width="9.77734375" style="4" customWidth="1"/>
    <col min="8204" max="8204" width="8.6640625" style="4" customWidth="1"/>
    <col min="8205" max="8205" width="10.109375" style="4" customWidth="1"/>
    <col min="8206" max="8206" width="9.77734375" style="4" customWidth="1"/>
    <col min="8207" max="8207" width="4.109375" style="4" customWidth="1"/>
    <col min="8208" max="8448" width="9" style="4"/>
    <col min="8449" max="8449" width="18.88671875" style="4" customWidth="1"/>
    <col min="8450" max="8450" width="8.88671875" style="4" customWidth="1"/>
    <col min="8451" max="8451" width="8.109375" style="4" customWidth="1"/>
    <col min="8452" max="8452" width="9.109375" style="4" customWidth="1"/>
    <col min="8453" max="8453" width="8" style="4" customWidth="1"/>
    <col min="8454" max="8454" width="7.88671875" style="4" customWidth="1"/>
    <col min="8455" max="8455" width="7.33203125" style="4" customWidth="1"/>
    <col min="8456" max="8456" width="8.88671875" style="4" customWidth="1"/>
    <col min="8457" max="8457" width="9.21875" style="4" customWidth="1"/>
    <col min="8458" max="8458" width="6.6640625" style="4" customWidth="1"/>
    <col min="8459" max="8459" width="9.77734375" style="4" customWidth="1"/>
    <col min="8460" max="8460" width="8.6640625" style="4" customWidth="1"/>
    <col min="8461" max="8461" width="10.109375" style="4" customWidth="1"/>
    <col min="8462" max="8462" width="9.77734375" style="4" customWidth="1"/>
    <col min="8463" max="8463" width="4.109375" style="4" customWidth="1"/>
    <col min="8464" max="8704" width="9" style="4"/>
    <col min="8705" max="8705" width="18.88671875" style="4" customWidth="1"/>
    <col min="8706" max="8706" width="8.88671875" style="4" customWidth="1"/>
    <col min="8707" max="8707" width="8.109375" style="4" customWidth="1"/>
    <col min="8708" max="8708" width="9.109375" style="4" customWidth="1"/>
    <col min="8709" max="8709" width="8" style="4" customWidth="1"/>
    <col min="8710" max="8710" width="7.88671875" style="4" customWidth="1"/>
    <col min="8711" max="8711" width="7.33203125" style="4" customWidth="1"/>
    <col min="8712" max="8712" width="8.88671875" style="4" customWidth="1"/>
    <col min="8713" max="8713" width="9.21875" style="4" customWidth="1"/>
    <col min="8714" max="8714" width="6.6640625" style="4" customWidth="1"/>
    <col min="8715" max="8715" width="9.77734375" style="4" customWidth="1"/>
    <col min="8716" max="8716" width="8.6640625" style="4" customWidth="1"/>
    <col min="8717" max="8717" width="10.109375" style="4" customWidth="1"/>
    <col min="8718" max="8718" width="9.77734375" style="4" customWidth="1"/>
    <col min="8719" max="8719" width="4.109375" style="4" customWidth="1"/>
    <col min="8720" max="8960" width="9" style="4"/>
    <col min="8961" max="8961" width="18.88671875" style="4" customWidth="1"/>
    <col min="8962" max="8962" width="8.88671875" style="4" customWidth="1"/>
    <col min="8963" max="8963" width="8.109375" style="4" customWidth="1"/>
    <col min="8964" max="8964" width="9.109375" style="4" customWidth="1"/>
    <col min="8965" max="8965" width="8" style="4" customWidth="1"/>
    <col min="8966" max="8966" width="7.88671875" style="4" customWidth="1"/>
    <col min="8967" max="8967" width="7.33203125" style="4" customWidth="1"/>
    <col min="8968" max="8968" width="8.88671875" style="4" customWidth="1"/>
    <col min="8969" max="8969" width="9.21875" style="4" customWidth="1"/>
    <col min="8970" max="8970" width="6.6640625" style="4" customWidth="1"/>
    <col min="8971" max="8971" width="9.77734375" style="4" customWidth="1"/>
    <col min="8972" max="8972" width="8.6640625" style="4" customWidth="1"/>
    <col min="8973" max="8973" width="10.109375" style="4" customWidth="1"/>
    <col min="8974" max="8974" width="9.77734375" style="4" customWidth="1"/>
    <col min="8975" max="8975" width="4.109375" style="4" customWidth="1"/>
    <col min="8976" max="9216" width="9" style="4"/>
    <col min="9217" max="9217" width="18.88671875" style="4" customWidth="1"/>
    <col min="9218" max="9218" width="8.88671875" style="4" customWidth="1"/>
    <col min="9219" max="9219" width="8.109375" style="4" customWidth="1"/>
    <col min="9220" max="9220" width="9.109375" style="4" customWidth="1"/>
    <col min="9221" max="9221" width="8" style="4" customWidth="1"/>
    <col min="9222" max="9222" width="7.88671875" style="4" customWidth="1"/>
    <col min="9223" max="9223" width="7.33203125" style="4" customWidth="1"/>
    <col min="9224" max="9224" width="8.88671875" style="4" customWidth="1"/>
    <col min="9225" max="9225" width="9.21875" style="4" customWidth="1"/>
    <col min="9226" max="9226" width="6.6640625" style="4" customWidth="1"/>
    <col min="9227" max="9227" width="9.77734375" style="4" customWidth="1"/>
    <col min="9228" max="9228" width="8.6640625" style="4" customWidth="1"/>
    <col min="9229" max="9229" width="10.109375" style="4" customWidth="1"/>
    <col min="9230" max="9230" width="9.77734375" style="4" customWidth="1"/>
    <col min="9231" max="9231" width="4.109375" style="4" customWidth="1"/>
    <col min="9232" max="9472" width="9" style="4"/>
    <col min="9473" max="9473" width="18.88671875" style="4" customWidth="1"/>
    <col min="9474" max="9474" width="8.88671875" style="4" customWidth="1"/>
    <col min="9475" max="9475" width="8.109375" style="4" customWidth="1"/>
    <col min="9476" max="9476" width="9.109375" style="4" customWidth="1"/>
    <col min="9477" max="9477" width="8" style="4" customWidth="1"/>
    <col min="9478" max="9478" width="7.88671875" style="4" customWidth="1"/>
    <col min="9479" max="9479" width="7.33203125" style="4" customWidth="1"/>
    <col min="9480" max="9480" width="8.88671875" style="4" customWidth="1"/>
    <col min="9481" max="9481" width="9.21875" style="4" customWidth="1"/>
    <col min="9482" max="9482" width="6.6640625" style="4" customWidth="1"/>
    <col min="9483" max="9483" width="9.77734375" style="4" customWidth="1"/>
    <col min="9484" max="9484" width="8.6640625" style="4" customWidth="1"/>
    <col min="9485" max="9485" width="10.109375" style="4" customWidth="1"/>
    <col min="9486" max="9486" width="9.77734375" style="4" customWidth="1"/>
    <col min="9487" max="9487" width="4.109375" style="4" customWidth="1"/>
    <col min="9488" max="9728" width="9" style="4"/>
    <col min="9729" max="9729" width="18.88671875" style="4" customWidth="1"/>
    <col min="9730" max="9730" width="8.88671875" style="4" customWidth="1"/>
    <col min="9731" max="9731" width="8.109375" style="4" customWidth="1"/>
    <col min="9732" max="9732" width="9.109375" style="4" customWidth="1"/>
    <col min="9733" max="9733" width="8" style="4" customWidth="1"/>
    <col min="9734" max="9734" width="7.88671875" style="4" customWidth="1"/>
    <col min="9735" max="9735" width="7.33203125" style="4" customWidth="1"/>
    <col min="9736" max="9736" width="8.88671875" style="4" customWidth="1"/>
    <col min="9737" max="9737" width="9.21875" style="4" customWidth="1"/>
    <col min="9738" max="9738" width="6.6640625" style="4" customWidth="1"/>
    <col min="9739" max="9739" width="9.77734375" style="4" customWidth="1"/>
    <col min="9740" max="9740" width="8.6640625" style="4" customWidth="1"/>
    <col min="9741" max="9741" width="10.109375" style="4" customWidth="1"/>
    <col min="9742" max="9742" width="9.77734375" style="4" customWidth="1"/>
    <col min="9743" max="9743" width="4.109375" style="4" customWidth="1"/>
    <col min="9744" max="9984" width="9" style="4"/>
    <col min="9985" max="9985" width="18.88671875" style="4" customWidth="1"/>
    <col min="9986" max="9986" width="8.88671875" style="4" customWidth="1"/>
    <col min="9987" max="9987" width="8.109375" style="4" customWidth="1"/>
    <col min="9988" max="9988" width="9.109375" style="4" customWidth="1"/>
    <col min="9989" max="9989" width="8" style="4" customWidth="1"/>
    <col min="9990" max="9990" width="7.88671875" style="4" customWidth="1"/>
    <col min="9991" max="9991" width="7.33203125" style="4" customWidth="1"/>
    <col min="9992" max="9992" width="8.88671875" style="4" customWidth="1"/>
    <col min="9993" max="9993" width="9.21875" style="4" customWidth="1"/>
    <col min="9994" max="9994" width="6.6640625" style="4" customWidth="1"/>
    <col min="9995" max="9995" width="9.77734375" style="4" customWidth="1"/>
    <col min="9996" max="9996" width="8.6640625" style="4" customWidth="1"/>
    <col min="9997" max="9997" width="10.109375" style="4" customWidth="1"/>
    <col min="9998" max="9998" width="9.77734375" style="4" customWidth="1"/>
    <col min="9999" max="9999" width="4.109375" style="4" customWidth="1"/>
    <col min="10000" max="10240" width="9" style="4"/>
    <col min="10241" max="10241" width="18.88671875" style="4" customWidth="1"/>
    <col min="10242" max="10242" width="8.88671875" style="4" customWidth="1"/>
    <col min="10243" max="10243" width="8.109375" style="4" customWidth="1"/>
    <col min="10244" max="10244" width="9.109375" style="4" customWidth="1"/>
    <col min="10245" max="10245" width="8" style="4" customWidth="1"/>
    <col min="10246" max="10246" width="7.88671875" style="4" customWidth="1"/>
    <col min="10247" max="10247" width="7.33203125" style="4" customWidth="1"/>
    <col min="10248" max="10248" width="8.88671875" style="4" customWidth="1"/>
    <col min="10249" max="10249" width="9.21875" style="4" customWidth="1"/>
    <col min="10250" max="10250" width="6.6640625" style="4" customWidth="1"/>
    <col min="10251" max="10251" width="9.77734375" style="4" customWidth="1"/>
    <col min="10252" max="10252" width="8.6640625" style="4" customWidth="1"/>
    <col min="10253" max="10253" width="10.109375" style="4" customWidth="1"/>
    <col min="10254" max="10254" width="9.77734375" style="4" customWidth="1"/>
    <col min="10255" max="10255" width="4.109375" style="4" customWidth="1"/>
    <col min="10256" max="10496" width="9" style="4"/>
    <col min="10497" max="10497" width="18.88671875" style="4" customWidth="1"/>
    <col min="10498" max="10498" width="8.88671875" style="4" customWidth="1"/>
    <col min="10499" max="10499" width="8.109375" style="4" customWidth="1"/>
    <col min="10500" max="10500" width="9.109375" style="4" customWidth="1"/>
    <col min="10501" max="10501" width="8" style="4" customWidth="1"/>
    <col min="10502" max="10502" width="7.88671875" style="4" customWidth="1"/>
    <col min="10503" max="10503" width="7.33203125" style="4" customWidth="1"/>
    <col min="10504" max="10504" width="8.88671875" style="4" customWidth="1"/>
    <col min="10505" max="10505" width="9.21875" style="4" customWidth="1"/>
    <col min="10506" max="10506" width="6.6640625" style="4" customWidth="1"/>
    <col min="10507" max="10507" width="9.77734375" style="4" customWidth="1"/>
    <col min="10508" max="10508" width="8.6640625" style="4" customWidth="1"/>
    <col min="10509" max="10509" width="10.109375" style="4" customWidth="1"/>
    <col min="10510" max="10510" width="9.77734375" style="4" customWidth="1"/>
    <col min="10511" max="10511" width="4.109375" style="4" customWidth="1"/>
    <col min="10512" max="10752" width="9" style="4"/>
    <col min="10753" max="10753" width="18.88671875" style="4" customWidth="1"/>
    <col min="10754" max="10754" width="8.88671875" style="4" customWidth="1"/>
    <col min="10755" max="10755" width="8.109375" style="4" customWidth="1"/>
    <col min="10756" max="10756" width="9.109375" style="4" customWidth="1"/>
    <col min="10757" max="10757" width="8" style="4" customWidth="1"/>
    <col min="10758" max="10758" width="7.88671875" style="4" customWidth="1"/>
    <col min="10759" max="10759" width="7.33203125" style="4" customWidth="1"/>
    <col min="10760" max="10760" width="8.88671875" style="4" customWidth="1"/>
    <col min="10761" max="10761" width="9.21875" style="4" customWidth="1"/>
    <col min="10762" max="10762" width="6.6640625" style="4" customWidth="1"/>
    <col min="10763" max="10763" width="9.77734375" style="4" customWidth="1"/>
    <col min="10764" max="10764" width="8.6640625" style="4" customWidth="1"/>
    <col min="10765" max="10765" width="10.109375" style="4" customWidth="1"/>
    <col min="10766" max="10766" width="9.77734375" style="4" customWidth="1"/>
    <col min="10767" max="10767" width="4.109375" style="4" customWidth="1"/>
    <col min="10768" max="11008" width="9" style="4"/>
    <col min="11009" max="11009" width="18.88671875" style="4" customWidth="1"/>
    <col min="11010" max="11010" width="8.88671875" style="4" customWidth="1"/>
    <col min="11011" max="11011" width="8.109375" style="4" customWidth="1"/>
    <col min="11012" max="11012" width="9.109375" style="4" customWidth="1"/>
    <col min="11013" max="11013" width="8" style="4" customWidth="1"/>
    <col min="11014" max="11014" width="7.88671875" style="4" customWidth="1"/>
    <col min="11015" max="11015" width="7.33203125" style="4" customWidth="1"/>
    <col min="11016" max="11016" width="8.88671875" style="4" customWidth="1"/>
    <col min="11017" max="11017" width="9.21875" style="4" customWidth="1"/>
    <col min="11018" max="11018" width="6.6640625" style="4" customWidth="1"/>
    <col min="11019" max="11019" width="9.77734375" style="4" customWidth="1"/>
    <col min="11020" max="11020" width="8.6640625" style="4" customWidth="1"/>
    <col min="11021" max="11021" width="10.109375" style="4" customWidth="1"/>
    <col min="11022" max="11022" width="9.77734375" style="4" customWidth="1"/>
    <col min="11023" max="11023" width="4.109375" style="4" customWidth="1"/>
    <col min="11024" max="11264" width="9" style="4"/>
    <col min="11265" max="11265" width="18.88671875" style="4" customWidth="1"/>
    <col min="11266" max="11266" width="8.88671875" style="4" customWidth="1"/>
    <col min="11267" max="11267" width="8.109375" style="4" customWidth="1"/>
    <col min="11268" max="11268" width="9.109375" style="4" customWidth="1"/>
    <col min="11269" max="11269" width="8" style="4" customWidth="1"/>
    <col min="11270" max="11270" width="7.88671875" style="4" customWidth="1"/>
    <col min="11271" max="11271" width="7.33203125" style="4" customWidth="1"/>
    <col min="11272" max="11272" width="8.88671875" style="4" customWidth="1"/>
    <col min="11273" max="11273" width="9.21875" style="4" customWidth="1"/>
    <col min="11274" max="11274" width="6.6640625" style="4" customWidth="1"/>
    <col min="11275" max="11275" width="9.77734375" style="4" customWidth="1"/>
    <col min="11276" max="11276" width="8.6640625" style="4" customWidth="1"/>
    <col min="11277" max="11277" width="10.109375" style="4" customWidth="1"/>
    <col min="11278" max="11278" width="9.77734375" style="4" customWidth="1"/>
    <col min="11279" max="11279" width="4.109375" style="4" customWidth="1"/>
    <col min="11280" max="11520" width="9" style="4"/>
    <col min="11521" max="11521" width="18.88671875" style="4" customWidth="1"/>
    <col min="11522" max="11522" width="8.88671875" style="4" customWidth="1"/>
    <col min="11523" max="11523" width="8.109375" style="4" customWidth="1"/>
    <col min="11524" max="11524" width="9.109375" style="4" customWidth="1"/>
    <col min="11525" max="11525" width="8" style="4" customWidth="1"/>
    <col min="11526" max="11526" width="7.88671875" style="4" customWidth="1"/>
    <col min="11527" max="11527" width="7.33203125" style="4" customWidth="1"/>
    <col min="11528" max="11528" width="8.88671875" style="4" customWidth="1"/>
    <col min="11529" max="11529" width="9.21875" style="4" customWidth="1"/>
    <col min="11530" max="11530" width="6.6640625" style="4" customWidth="1"/>
    <col min="11531" max="11531" width="9.77734375" style="4" customWidth="1"/>
    <col min="11532" max="11532" width="8.6640625" style="4" customWidth="1"/>
    <col min="11533" max="11533" width="10.109375" style="4" customWidth="1"/>
    <col min="11534" max="11534" width="9.77734375" style="4" customWidth="1"/>
    <col min="11535" max="11535" width="4.109375" style="4" customWidth="1"/>
    <col min="11536" max="11776" width="9" style="4"/>
    <col min="11777" max="11777" width="18.88671875" style="4" customWidth="1"/>
    <col min="11778" max="11778" width="8.88671875" style="4" customWidth="1"/>
    <col min="11779" max="11779" width="8.109375" style="4" customWidth="1"/>
    <col min="11780" max="11780" width="9.109375" style="4" customWidth="1"/>
    <col min="11781" max="11781" width="8" style="4" customWidth="1"/>
    <col min="11782" max="11782" width="7.88671875" style="4" customWidth="1"/>
    <col min="11783" max="11783" width="7.33203125" style="4" customWidth="1"/>
    <col min="11784" max="11784" width="8.88671875" style="4" customWidth="1"/>
    <col min="11785" max="11785" width="9.21875" style="4" customWidth="1"/>
    <col min="11786" max="11786" width="6.6640625" style="4" customWidth="1"/>
    <col min="11787" max="11787" width="9.77734375" style="4" customWidth="1"/>
    <col min="11788" max="11788" width="8.6640625" style="4" customWidth="1"/>
    <col min="11789" max="11789" width="10.109375" style="4" customWidth="1"/>
    <col min="11790" max="11790" width="9.77734375" style="4" customWidth="1"/>
    <col min="11791" max="11791" width="4.109375" style="4" customWidth="1"/>
    <col min="11792" max="12032" width="9" style="4"/>
    <col min="12033" max="12033" width="18.88671875" style="4" customWidth="1"/>
    <col min="12034" max="12034" width="8.88671875" style="4" customWidth="1"/>
    <col min="12035" max="12035" width="8.109375" style="4" customWidth="1"/>
    <col min="12036" max="12036" width="9.109375" style="4" customWidth="1"/>
    <col min="12037" max="12037" width="8" style="4" customWidth="1"/>
    <col min="12038" max="12038" width="7.88671875" style="4" customWidth="1"/>
    <col min="12039" max="12039" width="7.33203125" style="4" customWidth="1"/>
    <col min="12040" max="12040" width="8.88671875" style="4" customWidth="1"/>
    <col min="12041" max="12041" width="9.21875" style="4" customWidth="1"/>
    <col min="12042" max="12042" width="6.6640625" style="4" customWidth="1"/>
    <col min="12043" max="12043" width="9.77734375" style="4" customWidth="1"/>
    <col min="12044" max="12044" width="8.6640625" style="4" customWidth="1"/>
    <col min="12045" max="12045" width="10.109375" style="4" customWidth="1"/>
    <col min="12046" max="12046" width="9.77734375" style="4" customWidth="1"/>
    <col min="12047" max="12047" width="4.109375" style="4" customWidth="1"/>
    <col min="12048" max="12288" width="9" style="4"/>
    <col min="12289" max="12289" width="18.88671875" style="4" customWidth="1"/>
    <col min="12290" max="12290" width="8.88671875" style="4" customWidth="1"/>
    <col min="12291" max="12291" width="8.109375" style="4" customWidth="1"/>
    <col min="12292" max="12292" width="9.109375" style="4" customWidth="1"/>
    <col min="12293" max="12293" width="8" style="4" customWidth="1"/>
    <col min="12294" max="12294" width="7.88671875" style="4" customWidth="1"/>
    <col min="12295" max="12295" width="7.33203125" style="4" customWidth="1"/>
    <col min="12296" max="12296" width="8.88671875" style="4" customWidth="1"/>
    <col min="12297" max="12297" width="9.21875" style="4" customWidth="1"/>
    <col min="12298" max="12298" width="6.6640625" style="4" customWidth="1"/>
    <col min="12299" max="12299" width="9.77734375" style="4" customWidth="1"/>
    <col min="12300" max="12300" width="8.6640625" style="4" customWidth="1"/>
    <col min="12301" max="12301" width="10.109375" style="4" customWidth="1"/>
    <col min="12302" max="12302" width="9.77734375" style="4" customWidth="1"/>
    <col min="12303" max="12303" width="4.109375" style="4" customWidth="1"/>
    <col min="12304" max="12544" width="9" style="4"/>
    <col min="12545" max="12545" width="18.88671875" style="4" customWidth="1"/>
    <col min="12546" max="12546" width="8.88671875" style="4" customWidth="1"/>
    <col min="12547" max="12547" width="8.109375" style="4" customWidth="1"/>
    <col min="12548" max="12548" width="9.109375" style="4" customWidth="1"/>
    <col min="12549" max="12549" width="8" style="4" customWidth="1"/>
    <col min="12550" max="12550" width="7.88671875" style="4" customWidth="1"/>
    <col min="12551" max="12551" width="7.33203125" style="4" customWidth="1"/>
    <col min="12552" max="12552" width="8.88671875" style="4" customWidth="1"/>
    <col min="12553" max="12553" width="9.21875" style="4" customWidth="1"/>
    <col min="12554" max="12554" width="6.6640625" style="4" customWidth="1"/>
    <col min="12555" max="12555" width="9.77734375" style="4" customWidth="1"/>
    <col min="12556" max="12556" width="8.6640625" style="4" customWidth="1"/>
    <col min="12557" max="12557" width="10.109375" style="4" customWidth="1"/>
    <col min="12558" max="12558" width="9.77734375" style="4" customWidth="1"/>
    <col min="12559" max="12559" width="4.109375" style="4" customWidth="1"/>
    <col min="12560" max="12800" width="9" style="4"/>
    <col min="12801" max="12801" width="18.88671875" style="4" customWidth="1"/>
    <col min="12802" max="12802" width="8.88671875" style="4" customWidth="1"/>
    <col min="12803" max="12803" width="8.109375" style="4" customWidth="1"/>
    <col min="12804" max="12804" width="9.109375" style="4" customWidth="1"/>
    <col min="12805" max="12805" width="8" style="4" customWidth="1"/>
    <col min="12806" max="12806" width="7.88671875" style="4" customWidth="1"/>
    <col min="12807" max="12807" width="7.33203125" style="4" customWidth="1"/>
    <col min="12808" max="12808" width="8.88671875" style="4" customWidth="1"/>
    <col min="12809" max="12809" width="9.21875" style="4" customWidth="1"/>
    <col min="12810" max="12810" width="6.6640625" style="4" customWidth="1"/>
    <col min="12811" max="12811" width="9.77734375" style="4" customWidth="1"/>
    <col min="12812" max="12812" width="8.6640625" style="4" customWidth="1"/>
    <col min="12813" max="12813" width="10.109375" style="4" customWidth="1"/>
    <col min="12814" max="12814" width="9.77734375" style="4" customWidth="1"/>
    <col min="12815" max="12815" width="4.109375" style="4" customWidth="1"/>
    <col min="12816" max="13056" width="9" style="4"/>
    <col min="13057" max="13057" width="18.88671875" style="4" customWidth="1"/>
    <col min="13058" max="13058" width="8.88671875" style="4" customWidth="1"/>
    <col min="13059" max="13059" width="8.109375" style="4" customWidth="1"/>
    <col min="13060" max="13060" width="9.109375" style="4" customWidth="1"/>
    <col min="13061" max="13061" width="8" style="4" customWidth="1"/>
    <col min="13062" max="13062" width="7.88671875" style="4" customWidth="1"/>
    <col min="13063" max="13063" width="7.33203125" style="4" customWidth="1"/>
    <col min="13064" max="13064" width="8.88671875" style="4" customWidth="1"/>
    <col min="13065" max="13065" width="9.21875" style="4" customWidth="1"/>
    <col min="13066" max="13066" width="6.6640625" style="4" customWidth="1"/>
    <col min="13067" max="13067" width="9.77734375" style="4" customWidth="1"/>
    <col min="13068" max="13068" width="8.6640625" style="4" customWidth="1"/>
    <col min="13069" max="13069" width="10.109375" style="4" customWidth="1"/>
    <col min="13070" max="13070" width="9.77734375" style="4" customWidth="1"/>
    <col min="13071" max="13071" width="4.109375" style="4" customWidth="1"/>
    <col min="13072" max="13312" width="9" style="4"/>
    <col min="13313" max="13313" width="18.88671875" style="4" customWidth="1"/>
    <col min="13314" max="13314" width="8.88671875" style="4" customWidth="1"/>
    <col min="13315" max="13315" width="8.109375" style="4" customWidth="1"/>
    <col min="13316" max="13316" width="9.109375" style="4" customWidth="1"/>
    <col min="13317" max="13317" width="8" style="4" customWidth="1"/>
    <col min="13318" max="13318" width="7.88671875" style="4" customWidth="1"/>
    <col min="13319" max="13319" width="7.33203125" style="4" customWidth="1"/>
    <col min="13320" max="13320" width="8.88671875" style="4" customWidth="1"/>
    <col min="13321" max="13321" width="9.21875" style="4" customWidth="1"/>
    <col min="13322" max="13322" width="6.6640625" style="4" customWidth="1"/>
    <col min="13323" max="13323" width="9.77734375" style="4" customWidth="1"/>
    <col min="13324" max="13324" width="8.6640625" style="4" customWidth="1"/>
    <col min="13325" max="13325" width="10.109375" style="4" customWidth="1"/>
    <col min="13326" max="13326" width="9.77734375" style="4" customWidth="1"/>
    <col min="13327" max="13327" width="4.109375" style="4" customWidth="1"/>
    <col min="13328" max="13568" width="9" style="4"/>
    <col min="13569" max="13569" width="18.88671875" style="4" customWidth="1"/>
    <col min="13570" max="13570" width="8.88671875" style="4" customWidth="1"/>
    <col min="13571" max="13571" width="8.109375" style="4" customWidth="1"/>
    <col min="13572" max="13572" width="9.109375" style="4" customWidth="1"/>
    <col min="13573" max="13573" width="8" style="4" customWidth="1"/>
    <col min="13574" max="13574" width="7.88671875" style="4" customWidth="1"/>
    <col min="13575" max="13575" width="7.33203125" style="4" customWidth="1"/>
    <col min="13576" max="13576" width="8.88671875" style="4" customWidth="1"/>
    <col min="13577" max="13577" width="9.21875" style="4" customWidth="1"/>
    <col min="13578" max="13578" width="6.6640625" style="4" customWidth="1"/>
    <col min="13579" max="13579" width="9.77734375" style="4" customWidth="1"/>
    <col min="13580" max="13580" width="8.6640625" style="4" customWidth="1"/>
    <col min="13581" max="13581" width="10.109375" style="4" customWidth="1"/>
    <col min="13582" max="13582" width="9.77734375" style="4" customWidth="1"/>
    <col min="13583" max="13583" width="4.109375" style="4" customWidth="1"/>
    <col min="13584" max="13824" width="9" style="4"/>
    <col min="13825" max="13825" width="18.88671875" style="4" customWidth="1"/>
    <col min="13826" max="13826" width="8.88671875" style="4" customWidth="1"/>
    <col min="13827" max="13827" width="8.109375" style="4" customWidth="1"/>
    <col min="13828" max="13828" width="9.109375" style="4" customWidth="1"/>
    <col min="13829" max="13829" width="8" style="4" customWidth="1"/>
    <col min="13830" max="13830" width="7.88671875" style="4" customWidth="1"/>
    <col min="13831" max="13831" width="7.33203125" style="4" customWidth="1"/>
    <col min="13832" max="13832" width="8.88671875" style="4" customWidth="1"/>
    <col min="13833" max="13833" width="9.21875" style="4" customWidth="1"/>
    <col min="13834" max="13834" width="6.6640625" style="4" customWidth="1"/>
    <col min="13835" max="13835" width="9.77734375" style="4" customWidth="1"/>
    <col min="13836" max="13836" width="8.6640625" style="4" customWidth="1"/>
    <col min="13837" max="13837" width="10.109375" style="4" customWidth="1"/>
    <col min="13838" max="13838" width="9.77734375" style="4" customWidth="1"/>
    <col min="13839" max="13839" width="4.109375" style="4" customWidth="1"/>
    <col min="13840" max="14080" width="9" style="4"/>
    <col min="14081" max="14081" width="18.88671875" style="4" customWidth="1"/>
    <col min="14082" max="14082" width="8.88671875" style="4" customWidth="1"/>
    <col min="14083" max="14083" width="8.109375" style="4" customWidth="1"/>
    <col min="14084" max="14084" width="9.109375" style="4" customWidth="1"/>
    <col min="14085" max="14085" width="8" style="4" customWidth="1"/>
    <col min="14086" max="14086" width="7.88671875" style="4" customWidth="1"/>
    <col min="14087" max="14087" width="7.33203125" style="4" customWidth="1"/>
    <col min="14088" max="14088" width="8.88671875" style="4" customWidth="1"/>
    <col min="14089" max="14089" width="9.21875" style="4" customWidth="1"/>
    <col min="14090" max="14090" width="6.6640625" style="4" customWidth="1"/>
    <col min="14091" max="14091" width="9.77734375" style="4" customWidth="1"/>
    <col min="14092" max="14092" width="8.6640625" style="4" customWidth="1"/>
    <col min="14093" max="14093" width="10.109375" style="4" customWidth="1"/>
    <col min="14094" max="14094" width="9.77734375" style="4" customWidth="1"/>
    <col min="14095" max="14095" width="4.109375" style="4" customWidth="1"/>
    <col min="14096" max="14336" width="9" style="4"/>
    <col min="14337" max="14337" width="18.88671875" style="4" customWidth="1"/>
    <col min="14338" max="14338" width="8.88671875" style="4" customWidth="1"/>
    <col min="14339" max="14339" width="8.109375" style="4" customWidth="1"/>
    <col min="14340" max="14340" width="9.109375" style="4" customWidth="1"/>
    <col min="14341" max="14341" width="8" style="4" customWidth="1"/>
    <col min="14342" max="14342" width="7.88671875" style="4" customWidth="1"/>
    <col min="14343" max="14343" width="7.33203125" style="4" customWidth="1"/>
    <col min="14344" max="14344" width="8.88671875" style="4" customWidth="1"/>
    <col min="14345" max="14345" width="9.21875" style="4" customWidth="1"/>
    <col min="14346" max="14346" width="6.6640625" style="4" customWidth="1"/>
    <col min="14347" max="14347" width="9.77734375" style="4" customWidth="1"/>
    <col min="14348" max="14348" width="8.6640625" style="4" customWidth="1"/>
    <col min="14349" max="14349" width="10.109375" style="4" customWidth="1"/>
    <col min="14350" max="14350" width="9.77734375" style="4" customWidth="1"/>
    <col min="14351" max="14351" width="4.109375" style="4" customWidth="1"/>
    <col min="14352" max="14592" width="9" style="4"/>
    <col min="14593" max="14593" width="18.88671875" style="4" customWidth="1"/>
    <col min="14594" max="14594" width="8.88671875" style="4" customWidth="1"/>
    <col min="14595" max="14595" width="8.109375" style="4" customWidth="1"/>
    <col min="14596" max="14596" width="9.109375" style="4" customWidth="1"/>
    <col min="14597" max="14597" width="8" style="4" customWidth="1"/>
    <col min="14598" max="14598" width="7.88671875" style="4" customWidth="1"/>
    <col min="14599" max="14599" width="7.33203125" style="4" customWidth="1"/>
    <col min="14600" max="14600" width="8.88671875" style="4" customWidth="1"/>
    <col min="14601" max="14601" width="9.21875" style="4" customWidth="1"/>
    <col min="14602" max="14602" width="6.6640625" style="4" customWidth="1"/>
    <col min="14603" max="14603" width="9.77734375" style="4" customWidth="1"/>
    <col min="14604" max="14604" width="8.6640625" style="4" customWidth="1"/>
    <col min="14605" max="14605" width="10.109375" style="4" customWidth="1"/>
    <col min="14606" max="14606" width="9.77734375" style="4" customWidth="1"/>
    <col min="14607" max="14607" width="4.109375" style="4" customWidth="1"/>
    <col min="14608" max="14848" width="9" style="4"/>
    <col min="14849" max="14849" width="18.88671875" style="4" customWidth="1"/>
    <col min="14850" max="14850" width="8.88671875" style="4" customWidth="1"/>
    <col min="14851" max="14851" width="8.109375" style="4" customWidth="1"/>
    <col min="14852" max="14852" width="9.109375" style="4" customWidth="1"/>
    <col min="14853" max="14853" width="8" style="4" customWidth="1"/>
    <col min="14854" max="14854" width="7.88671875" style="4" customWidth="1"/>
    <col min="14855" max="14855" width="7.33203125" style="4" customWidth="1"/>
    <col min="14856" max="14856" width="8.88671875" style="4" customWidth="1"/>
    <col min="14857" max="14857" width="9.21875" style="4" customWidth="1"/>
    <col min="14858" max="14858" width="6.6640625" style="4" customWidth="1"/>
    <col min="14859" max="14859" width="9.77734375" style="4" customWidth="1"/>
    <col min="14860" max="14860" width="8.6640625" style="4" customWidth="1"/>
    <col min="14861" max="14861" width="10.109375" style="4" customWidth="1"/>
    <col min="14862" max="14862" width="9.77734375" style="4" customWidth="1"/>
    <col min="14863" max="14863" width="4.109375" style="4" customWidth="1"/>
    <col min="14864" max="15104" width="9" style="4"/>
    <col min="15105" max="15105" width="18.88671875" style="4" customWidth="1"/>
    <col min="15106" max="15106" width="8.88671875" style="4" customWidth="1"/>
    <col min="15107" max="15107" width="8.109375" style="4" customWidth="1"/>
    <col min="15108" max="15108" width="9.109375" style="4" customWidth="1"/>
    <col min="15109" max="15109" width="8" style="4" customWidth="1"/>
    <col min="15110" max="15110" width="7.88671875" style="4" customWidth="1"/>
    <col min="15111" max="15111" width="7.33203125" style="4" customWidth="1"/>
    <col min="15112" max="15112" width="8.88671875" style="4" customWidth="1"/>
    <col min="15113" max="15113" width="9.21875" style="4" customWidth="1"/>
    <col min="15114" max="15114" width="6.6640625" style="4" customWidth="1"/>
    <col min="15115" max="15115" width="9.77734375" style="4" customWidth="1"/>
    <col min="15116" max="15116" width="8.6640625" style="4" customWidth="1"/>
    <col min="15117" max="15117" width="10.109375" style="4" customWidth="1"/>
    <col min="15118" max="15118" width="9.77734375" style="4" customWidth="1"/>
    <col min="15119" max="15119" width="4.109375" style="4" customWidth="1"/>
    <col min="15120" max="15360" width="9" style="4"/>
    <col min="15361" max="15361" width="18.88671875" style="4" customWidth="1"/>
    <col min="15362" max="15362" width="8.88671875" style="4" customWidth="1"/>
    <col min="15363" max="15363" width="8.109375" style="4" customWidth="1"/>
    <col min="15364" max="15364" width="9.109375" style="4" customWidth="1"/>
    <col min="15365" max="15365" width="8" style="4" customWidth="1"/>
    <col min="15366" max="15366" width="7.88671875" style="4" customWidth="1"/>
    <col min="15367" max="15367" width="7.33203125" style="4" customWidth="1"/>
    <col min="15368" max="15368" width="8.88671875" style="4" customWidth="1"/>
    <col min="15369" max="15369" width="9.21875" style="4" customWidth="1"/>
    <col min="15370" max="15370" width="6.6640625" style="4" customWidth="1"/>
    <col min="15371" max="15371" width="9.77734375" style="4" customWidth="1"/>
    <col min="15372" max="15372" width="8.6640625" style="4" customWidth="1"/>
    <col min="15373" max="15373" width="10.109375" style="4" customWidth="1"/>
    <col min="15374" max="15374" width="9.77734375" style="4" customWidth="1"/>
    <col min="15375" max="15375" width="4.109375" style="4" customWidth="1"/>
    <col min="15376" max="15616" width="9" style="4"/>
    <col min="15617" max="15617" width="18.88671875" style="4" customWidth="1"/>
    <col min="15618" max="15618" width="8.88671875" style="4" customWidth="1"/>
    <col min="15619" max="15619" width="8.109375" style="4" customWidth="1"/>
    <col min="15620" max="15620" width="9.109375" style="4" customWidth="1"/>
    <col min="15621" max="15621" width="8" style="4" customWidth="1"/>
    <col min="15622" max="15622" width="7.88671875" style="4" customWidth="1"/>
    <col min="15623" max="15623" width="7.33203125" style="4" customWidth="1"/>
    <col min="15624" max="15624" width="8.88671875" style="4" customWidth="1"/>
    <col min="15625" max="15625" width="9.21875" style="4" customWidth="1"/>
    <col min="15626" max="15626" width="6.6640625" style="4" customWidth="1"/>
    <col min="15627" max="15627" width="9.77734375" style="4" customWidth="1"/>
    <col min="15628" max="15628" width="8.6640625" style="4" customWidth="1"/>
    <col min="15629" max="15629" width="10.109375" style="4" customWidth="1"/>
    <col min="15630" max="15630" width="9.77734375" style="4" customWidth="1"/>
    <col min="15631" max="15631" width="4.109375" style="4" customWidth="1"/>
    <col min="15632" max="15872" width="9" style="4"/>
    <col min="15873" max="15873" width="18.88671875" style="4" customWidth="1"/>
    <col min="15874" max="15874" width="8.88671875" style="4" customWidth="1"/>
    <col min="15875" max="15875" width="8.109375" style="4" customWidth="1"/>
    <col min="15876" max="15876" width="9.109375" style="4" customWidth="1"/>
    <col min="15877" max="15877" width="8" style="4" customWidth="1"/>
    <col min="15878" max="15878" width="7.88671875" style="4" customWidth="1"/>
    <col min="15879" max="15879" width="7.33203125" style="4" customWidth="1"/>
    <col min="15880" max="15880" width="8.88671875" style="4" customWidth="1"/>
    <col min="15881" max="15881" width="9.21875" style="4" customWidth="1"/>
    <col min="15882" max="15882" width="6.6640625" style="4" customWidth="1"/>
    <col min="15883" max="15883" width="9.77734375" style="4" customWidth="1"/>
    <col min="15884" max="15884" width="8.6640625" style="4" customWidth="1"/>
    <col min="15885" max="15885" width="10.109375" style="4" customWidth="1"/>
    <col min="15886" max="15886" width="9.77734375" style="4" customWidth="1"/>
    <col min="15887" max="15887" width="4.109375" style="4" customWidth="1"/>
    <col min="15888" max="16128" width="9" style="4"/>
    <col min="16129" max="16129" width="18.88671875" style="4" customWidth="1"/>
    <col min="16130" max="16130" width="8.88671875" style="4" customWidth="1"/>
    <col min="16131" max="16131" width="8.109375" style="4" customWidth="1"/>
    <col min="16132" max="16132" width="9.109375" style="4" customWidth="1"/>
    <col min="16133" max="16133" width="8" style="4" customWidth="1"/>
    <col min="16134" max="16134" width="7.88671875" style="4" customWidth="1"/>
    <col min="16135" max="16135" width="7.33203125" style="4" customWidth="1"/>
    <col min="16136" max="16136" width="8.88671875" style="4" customWidth="1"/>
    <col min="16137" max="16137" width="9.21875" style="4" customWidth="1"/>
    <col min="16138" max="16138" width="6.6640625" style="4" customWidth="1"/>
    <col min="16139" max="16139" width="9.77734375" style="4" customWidth="1"/>
    <col min="16140" max="16140" width="8.6640625" style="4" customWidth="1"/>
    <col min="16141" max="16141" width="10.109375" style="4" customWidth="1"/>
    <col min="16142" max="16142" width="9.77734375" style="4" customWidth="1"/>
    <col min="16143" max="16143" width="4.109375" style="4" customWidth="1"/>
    <col min="16144" max="16384" width="9" style="4"/>
  </cols>
  <sheetData>
    <row r="1" spans="1:15" s="1" customFormat="1" ht="20.100000000000001" customHeight="1">
      <c r="A1" s="561" t="s">
        <v>65</v>
      </c>
      <c r="B1" s="562"/>
      <c r="C1" s="562"/>
      <c r="D1" s="562"/>
      <c r="E1" s="562"/>
      <c r="F1" s="562"/>
      <c r="G1" s="562"/>
      <c r="H1" s="562"/>
      <c r="I1" s="562"/>
      <c r="J1" s="562"/>
      <c r="K1" s="562"/>
      <c r="L1" s="562"/>
      <c r="M1" s="562"/>
      <c r="N1" s="562"/>
      <c r="O1" s="562"/>
    </row>
    <row r="2" spans="1:15" s="1" customFormat="1" ht="25.05" customHeight="1">
      <c r="A2" s="563" t="s">
        <v>22</v>
      </c>
      <c r="B2" s="564"/>
      <c r="C2" s="564"/>
      <c r="D2" s="564"/>
      <c r="E2" s="564"/>
      <c r="F2" s="564"/>
      <c r="G2" s="564"/>
      <c r="H2" s="564"/>
      <c r="I2" s="564"/>
      <c r="J2" s="564"/>
      <c r="K2" s="564"/>
      <c r="L2" s="564"/>
      <c r="M2" s="564"/>
      <c r="N2" s="564"/>
      <c r="O2" s="564"/>
    </row>
    <row r="3" spans="1:15" s="2" customFormat="1" ht="20.100000000000001" customHeight="1">
      <c r="A3" s="5" t="s">
        <v>649</v>
      </c>
      <c r="E3" s="5" t="s">
        <v>648</v>
      </c>
      <c r="G3" s="6"/>
      <c r="J3" s="5" t="s">
        <v>449</v>
      </c>
      <c r="N3" s="5" t="s">
        <v>258</v>
      </c>
    </row>
    <row r="4" spans="1:15" s="2" customFormat="1" ht="20.100000000000001" customHeight="1">
      <c r="A4" s="5" t="s">
        <v>650</v>
      </c>
      <c r="E4" s="5" t="s">
        <v>450</v>
      </c>
      <c r="G4" s="6"/>
      <c r="J4" s="5" t="s">
        <v>451</v>
      </c>
      <c r="K4" s="5"/>
      <c r="N4" s="5" t="s">
        <v>452</v>
      </c>
    </row>
    <row r="5" spans="1:15" s="2" customFormat="1" ht="20.100000000000001" customHeight="1">
      <c r="A5" s="7" t="s">
        <v>453</v>
      </c>
      <c r="F5" s="5"/>
      <c r="G5" s="6"/>
      <c r="I5" s="5"/>
      <c r="M5" s="5"/>
      <c r="N5" s="5"/>
    </row>
    <row r="6" spans="1:15" s="2" customFormat="1" ht="20.100000000000001" customHeight="1">
      <c r="A6" s="557" t="s">
        <v>454</v>
      </c>
      <c r="B6" s="9" t="s">
        <v>455</v>
      </c>
      <c r="C6" s="9"/>
      <c r="D6" s="10"/>
      <c r="E6" s="10"/>
      <c r="F6" s="10"/>
      <c r="G6" s="11"/>
      <c r="H6" s="9" t="s">
        <v>456</v>
      </c>
      <c r="I6" s="10"/>
      <c r="J6" s="10"/>
      <c r="K6" s="9"/>
      <c r="L6" s="9"/>
      <c r="M6" s="9"/>
      <c r="N6" s="557" t="s">
        <v>457</v>
      </c>
      <c r="O6" s="557" t="s">
        <v>159</v>
      </c>
    </row>
    <row r="7" spans="1:15" s="2" customFormat="1" ht="30" customHeight="1">
      <c r="A7" s="566"/>
      <c r="B7" s="8" t="s">
        <v>458</v>
      </c>
      <c r="C7" s="8" t="s">
        <v>459</v>
      </c>
      <c r="D7" s="8" t="s">
        <v>460</v>
      </c>
      <c r="E7" s="8" t="s">
        <v>459</v>
      </c>
      <c r="F7" s="8" t="s">
        <v>461</v>
      </c>
      <c r="G7" s="8" t="s">
        <v>459</v>
      </c>
      <c r="H7" s="8" t="s">
        <v>462</v>
      </c>
      <c r="I7" s="8" t="s">
        <v>463</v>
      </c>
      <c r="J7" s="8" t="s">
        <v>464</v>
      </c>
      <c r="K7" s="8" t="s">
        <v>465</v>
      </c>
      <c r="L7" s="8" t="s">
        <v>466</v>
      </c>
      <c r="M7" s="8" t="s">
        <v>467</v>
      </c>
      <c r="N7" s="557"/>
      <c r="O7" s="557"/>
    </row>
    <row r="8" spans="1:15" s="2" customFormat="1" ht="20.100000000000001" customHeight="1">
      <c r="A8" s="12"/>
      <c r="B8" s="13"/>
      <c r="C8" s="13"/>
      <c r="D8" s="13"/>
      <c r="E8" s="14"/>
      <c r="F8" s="13">
        <v>850</v>
      </c>
      <c r="G8" s="14" t="s">
        <v>468</v>
      </c>
      <c r="H8" s="13"/>
      <c r="I8" s="13"/>
      <c r="J8" s="13"/>
      <c r="K8" s="13"/>
      <c r="L8" s="13"/>
      <c r="M8" s="430">
        <f>SUM(H8:L8)</f>
        <v>0</v>
      </c>
      <c r="N8" s="430">
        <f>IF(B8&gt;0,B8,IF(D8&gt;0,D8,F8))-M8</f>
        <v>850</v>
      </c>
      <c r="O8" s="43"/>
    </row>
    <row r="9" spans="1:15" s="2" customFormat="1" ht="20.100000000000001" customHeight="1">
      <c r="A9" s="12"/>
      <c r="B9" s="13"/>
      <c r="C9" s="13"/>
      <c r="D9" s="13"/>
      <c r="E9" s="14"/>
      <c r="F9" s="13"/>
      <c r="G9" s="14"/>
      <c r="H9" s="13"/>
      <c r="I9" s="13"/>
      <c r="J9" s="13"/>
      <c r="K9" s="13"/>
      <c r="L9" s="13"/>
      <c r="M9" s="430">
        <f>SUM(H9:L9)</f>
        <v>0</v>
      </c>
      <c r="N9" s="430">
        <f>IF(B9&gt;0,B9,IF(D9&gt;0,D9,F9))-M9</f>
        <v>0</v>
      </c>
      <c r="O9" s="43"/>
    </row>
    <row r="10" spans="1:15" s="2" customFormat="1" ht="20.100000000000001" customHeight="1">
      <c r="A10" s="12"/>
      <c r="B10" s="13"/>
      <c r="C10" s="13"/>
      <c r="D10" s="13"/>
      <c r="E10" s="14"/>
      <c r="F10" s="13"/>
      <c r="G10" s="14"/>
      <c r="H10" s="13"/>
      <c r="I10" s="13"/>
      <c r="J10" s="13"/>
      <c r="K10" s="13"/>
      <c r="L10" s="13"/>
      <c r="M10" s="430">
        <f>SUM(H10:L10)</f>
        <v>0</v>
      </c>
      <c r="N10" s="430">
        <f>IF(B10&gt;0,B10,IF(D10&gt;0,D10,F10))-M10</f>
        <v>0</v>
      </c>
      <c r="O10" s="43"/>
    </row>
    <row r="11" spans="1:15" s="433" customFormat="1" ht="20.100000000000001" customHeight="1">
      <c r="A11" s="428" t="s">
        <v>97</v>
      </c>
      <c r="B11" s="429">
        <f>SUM(B8:B10)</f>
        <v>0</v>
      </c>
      <c r="C11" s="430"/>
      <c r="D11" s="429">
        <f>SUM(D8:D10)</f>
        <v>0</v>
      </c>
      <c r="E11" s="431"/>
      <c r="F11" s="429">
        <f>SUM(F8:F10)</f>
        <v>850</v>
      </c>
      <c r="G11" s="431"/>
      <c r="H11" s="429">
        <f t="shared" ref="H11:N11" si="0">SUM(H8:H10)</f>
        <v>0</v>
      </c>
      <c r="I11" s="429">
        <f t="shared" si="0"/>
        <v>0</v>
      </c>
      <c r="J11" s="429">
        <f t="shared" si="0"/>
        <v>0</v>
      </c>
      <c r="K11" s="429">
        <f t="shared" si="0"/>
        <v>0</v>
      </c>
      <c r="L11" s="429">
        <f t="shared" si="0"/>
        <v>0</v>
      </c>
      <c r="M11" s="429">
        <f t="shared" si="0"/>
        <v>0</v>
      </c>
      <c r="N11" s="429">
        <f t="shared" si="0"/>
        <v>850</v>
      </c>
      <c r="O11" s="432"/>
    </row>
    <row r="12" spans="1:15" s="3" customFormat="1" ht="20.100000000000001" customHeight="1">
      <c r="A12" s="15" t="s">
        <v>469</v>
      </c>
    </row>
    <row r="13" spans="1:15" s="3" customFormat="1" ht="20.100000000000001" customHeight="1">
      <c r="A13" s="16" t="s">
        <v>470</v>
      </c>
      <c r="B13" s="17" t="s">
        <v>471</v>
      </c>
    </row>
    <row r="14" spans="1:15" s="2" customFormat="1" ht="20.100000000000001" customHeight="1">
      <c r="A14" s="7" t="s">
        <v>472</v>
      </c>
      <c r="F14" s="5"/>
      <c r="G14" s="6"/>
      <c r="I14" s="5"/>
      <c r="M14" s="5"/>
      <c r="N14" s="5"/>
    </row>
    <row r="15" spans="1:15" s="2" customFormat="1" ht="20.100000000000001" customHeight="1">
      <c r="A15" s="557" t="s">
        <v>473</v>
      </c>
      <c r="B15" s="9" t="s">
        <v>474</v>
      </c>
      <c r="C15" s="9"/>
      <c r="D15" s="10"/>
      <c r="E15" s="10"/>
      <c r="F15" s="10"/>
      <c r="G15" s="9" t="s">
        <v>475</v>
      </c>
      <c r="H15" s="9"/>
      <c r="I15" s="559" t="s">
        <v>476</v>
      </c>
      <c r="J15" s="559" t="s">
        <v>477</v>
      </c>
      <c r="K15" s="559" t="s">
        <v>478</v>
      </c>
      <c r="L15" s="557" t="s">
        <v>479</v>
      </c>
      <c r="M15" s="557"/>
      <c r="N15" s="557" t="s">
        <v>480</v>
      </c>
      <c r="O15" s="557" t="s">
        <v>159</v>
      </c>
    </row>
    <row r="16" spans="1:15" s="2" customFormat="1" ht="20.100000000000001" customHeight="1">
      <c r="A16" s="557"/>
      <c r="B16" s="8" t="s">
        <v>481</v>
      </c>
      <c r="C16" s="8" t="s">
        <v>482</v>
      </c>
      <c r="D16" s="8" t="s">
        <v>483</v>
      </c>
      <c r="E16" s="8" t="s">
        <v>484</v>
      </c>
      <c r="F16" s="8" t="s">
        <v>485</v>
      </c>
      <c r="G16" s="8" t="s">
        <v>486</v>
      </c>
      <c r="H16" s="8" t="s">
        <v>487</v>
      </c>
      <c r="I16" s="559"/>
      <c r="J16" s="559"/>
      <c r="K16" s="559"/>
      <c r="L16" s="557"/>
      <c r="M16" s="557"/>
      <c r="N16" s="557"/>
      <c r="O16" s="557"/>
    </row>
    <row r="17" spans="1:15" s="2" customFormat="1" ht="20.100000000000001" customHeight="1">
      <c r="A17" s="18" t="s">
        <v>488</v>
      </c>
      <c r="B17" s="13">
        <v>400</v>
      </c>
      <c r="C17" s="13">
        <v>-50</v>
      </c>
      <c r="D17" s="13">
        <v>150</v>
      </c>
      <c r="E17" s="13">
        <f>D17*(1+$H$17)</f>
        <v>156</v>
      </c>
      <c r="F17" s="13">
        <f>E17*(1+$H$17)</f>
        <v>162.24</v>
      </c>
      <c r="G17" s="19">
        <f>F17</f>
        <v>162.24</v>
      </c>
      <c r="H17" s="20">
        <v>0.04</v>
      </c>
      <c r="I17" s="20"/>
      <c r="J17" s="20"/>
      <c r="K17" s="20">
        <v>0.04</v>
      </c>
      <c r="L17" s="34" t="s">
        <v>489</v>
      </c>
      <c r="M17" s="44"/>
      <c r="N17" s="560"/>
      <c r="O17" s="558"/>
    </row>
    <row r="18" spans="1:15" s="2" customFormat="1" ht="20.100000000000001" customHeight="1">
      <c r="A18" s="18" t="s">
        <v>490</v>
      </c>
      <c r="B18" s="21">
        <f>1/(1+$K$22)^1</f>
        <v>0.83418447107868698</v>
      </c>
      <c r="C18" s="21">
        <f>1/(1+$K$22)^2</f>
        <v>0.69586373178882799</v>
      </c>
      <c r="D18" s="21">
        <f>1/(1+$K$22)^3</f>
        <v>0.58047871904510495</v>
      </c>
      <c r="E18" s="21">
        <f>1/(1+$K$22)^4</f>
        <v>0.48422633321907499</v>
      </c>
      <c r="F18" s="21">
        <f>1/(1+$K$22)^5</f>
        <v>0.40393408765872602</v>
      </c>
      <c r="G18" s="21">
        <f>(1+H17)/((K22-H17)*(1+K22)^5)</f>
        <v>2.6458184941654799</v>
      </c>
      <c r="H18" s="22" t="s">
        <v>491</v>
      </c>
      <c r="I18" s="13"/>
      <c r="J18" s="46"/>
      <c r="K18" s="44"/>
      <c r="L18" s="19"/>
      <c r="M18" s="44"/>
      <c r="N18" s="560"/>
      <c r="O18" s="558"/>
    </row>
    <row r="19" spans="1:15" s="2" customFormat="1" ht="20.100000000000001" customHeight="1">
      <c r="A19" s="18" t="s">
        <v>492</v>
      </c>
      <c r="B19" s="13">
        <f t="shared" ref="B19:G19" si="1">B17*B18</f>
        <v>333.67378843147497</v>
      </c>
      <c r="C19" s="13">
        <f t="shared" si="1"/>
        <v>-34.793186589441397</v>
      </c>
      <c r="D19" s="13">
        <f t="shared" si="1"/>
        <v>87.071807856765801</v>
      </c>
      <c r="E19" s="13">
        <f t="shared" si="1"/>
        <v>75.5393079821756</v>
      </c>
      <c r="F19" s="13">
        <f t="shared" si="1"/>
        <v>65.534266381751706</v>
      </c>
      <c r="G19" s="13">
        <f t="shared" si="1"/>
        <v>429.25759249340803</v>
      </c>
      <c r="H19" s="22" t="s">
        <v>493</v>
      </c>
      <c r="I19" s="13"/>
      <c r="J19" s="46"/>
      <c r="K19" s="44"/>
      <c r="L19" s="19"/>
      <c r="M19" s="44"/>
      <c r="N19" s="45">
        <f>SUM(B19:G19)</f>
        <v>956.28357655613399</v>
      </c>
      <c r="O19" s="558"/>
    </row>
    <row r="20" spans="1:15" s="2" customFormat="1" ht="20.100000000000001" customHeight="1">
      <c r="A20" s="557" t="s">
        <v>494</v>
      </c>
      <c r="B20" s="8" t="s">
        <v>495</v>
      </c>
      <c r="C20" s="557" t="s">
        <v>496</v>
      </c>
      <c r="D20" s="557" t="s">
        <v>497</v>
      </c>
      <c r="E20" s="557" t="s">
        <v>498</v>
      </c>
      <c r="F20" s="557" t="s">
        <v>499</v>
      </c>
      <c r="G20" s="557" t="s">
        <v>500</v>
      </c>
      <c r="H20" s="557" t="s">
        <v>501</v>
      </c>
      <c r="I20" s="557" t="s">
        <v>502</v>
      </c>
      <c r="J20" s="557" t="s">
        <v>503</v>
      </c>
      <c r="K20" s="559" t="s">
        <v>504</v>
      </c>
      <c r="L20" s="565" t="s">
        <v>505</v>
      </c>
      <c r="M20" s="565"/>
      <c r="N20" s="557" t="s">
        <v>506</v>
      </c>
      <c r="O20" s="557" t="s">
        <v>159</v>
      </c>
    </row>
    <row r="21" spans="1:15" s="2" customFormat="1" ht="20.100000000000001" customHeight="1">
      <c r="A21" s="557"/>
      <c r="B21" s="8" t="s">
        <v>507</v>
      </c>
      <c r="C21" s="557"/>
      <c r="D21" s="557"/>
      <c r="E21" s="557"/>
      <c r="F21" s="557"/>
      <c r="G21" s="557"/>
      <c r="H21" s="557"/>
      <c r="I21" s="557"/>
      <c r="J21" s="557"/>
      <c r="K21" s="559"/>
      <c r="L21" s="8" t="s">
        <v>508</v>
      </c>
      <c r="M21" s="47" t="s">
        <v>509</v>
      </c>
      <c r="N21" s="557"/>
      <c r="O21" s="557"/>
    </row>
    <row r="22" spans="1:15" s="2" customFormat="1" ht="20.100000000000001" customHeight="1">
      <c r="A22" s="18" t="s">
        <v>510</v>
      </c>
      <c r="B22" s="23">
        <v>0.25</v>
      </c>
      <c r="C22" s="13">
        <v>200</v>
      </c>
      <c r="D22" s="13">
        <v>1250</v>
      </c>
      <c r="E22" s="24">
        <v>8.5000000000000006E-2</v>
      </c>
      <c r="F22" s="24">
        <v>2.5000000000000001E-2</v>
      </c>
      <c r="G22" s="14">
        <v>1.18</v>
      </c>
      <c r="H22" s="24">
        <v>0.13</v>
      </c>
      <c r="I22" s="434">
        <f>F22+G22*(H22-F22)</f>
        <v>0.1489</v>
      </c>
      <c r="J22" s="434">
        <f>((C22*E22*(1-B22)+D22*I22))/(C22+D22)</f>
        <v>0.13715517241379299</v>
      </c>
      <c r="K22" s="434">
        <f>J22/(1-(B22+L22))</f>
        <v>0.198775612193903</v>
      </c>
      <c r="L22" s="24">
        <v>0.06</v>
      </c>
      <c r="M22" s="48" t="s">
        <v>511</v>
      </c>
      <c r="N22" s="429">
        <f>MAX(N11,N19)</f>
        <v>956.28357655613399</v>
      </c>
      <c r="O22" s="49"/>
    </row>
    <row r="23" spans="1:15" s="3" customFormat="1" ht="20.100000000000001" customHeight="1">
      <c r="A23" s="15" t="s">
        <v>469</v>
      </c>
    </row>
    <row r="24" spans="1:15" s="3" customFormat="1" ht="20.100000000000001" customHeight="1">
      <c r="A24" s="16" t="s">
        <v>512</v>
      </c>
      <c r="B24" s="17" t="s">
        <v>513</v>
      </c>
    </row>
    <row r="25" spans="1:15" s="3" customFormat="1" ht="20.100000000000001" customHeight="1">
      <c r="A25" s="7" t="s">
        <v>514</v>
      </c>
    </row>
    <row r="26" spans="1:15" s="3" customFormat="1" ht="20.100000000000001" customHeight="1">
      <c r="A26" s="25"/>
      <c r="B26" s="26">
        <f>MAX(N11,N22)</f>
        <v>956.28357655613399</v>
      </c>
      <c r="C26" s="17" t="s">
        <v>515</v>
      </c>
    </row>
    <row r="27" spans="1:15" s="3" customFormat="1" ht="20.100000000000001" customHeight="1">
      <c r="A27" s="27" t="s">
        <v>516</v>
      </c>
    </row>
    <row r="28" spans="1:15" s="3" customFormat="1" ht="20.100000000000001" customHeight="1">
      <c r="A28" s="17" t="s">
        <v>517</v>
      </c>
    </row>
    <row r="29" spans="1:15" s="3" customFormat="1" ht="20.100000000000001" customHeight="1">
      <c r="A29" s="28" t="s">
        <v>518</v>
      </c>
      <c r="B29" s="28" t="s">
        <v>519</v>
      </c>
      <c r="C29" s="29" t="s">
        <v>520</v>
      </c>
      <c r="D29" s="29" t="s">
        <v>521</v>
      </c>
      <c r="E29" s="29" t="s">
        <v>522</v>
      </c>
      <c r="F29" s="29" t="s">
        <v>523</v>
      </c>
      <c r="G29" s="29" t="s">
        <v>524</v>
      </c>
    </row>
    <row r="30" spans="1:15" s="3" customFormat="1" ht="20.100000000000001" customHeight="1">
      <c r="A30" s="30" t="s">
        <v>525</v>
      </c>
      <c r="B30" s="31"/>
      <c r="C30" s="31"/>
      <c r="D30" s="31"/>
      <c r="E30" s="31"/>
      <c r="F30" s="31"/>
      <c r="G30" s="31"/>
      <c r="H30" s="3" t="s">
        <v>526</v>
      </c>
    </row>
    <row r="31" spans="1:15" s="2" customFormat="1" ht="20.100000000000001" customHeight="1">
      <c r="A31" s="30" t="s">
        <v>527</v>
      </c>
      <c r="B31" s="32"/>
      <c r="C31" s="32"/>
      <c r="D31" s="32"/>
      <c r="E31" s="32"/>
      <c r="F31" s="32"/>
      <c r="G31" s="32"/>
    </row>
    <row r="32" spans="1:15" s="2" customFormat="1" ht="20.100000000000001" customHeight="1">
      <c r="A32" s="33" t="s">
        <v>528</v>
      </c>
      <c r="B32" s="32"/>
      <c r="C32" s="32"/>
      <c r="D32" s="32"/>
      <c r="E32" s="32"/>
      <c r="F32" s="32"/>
      <c r="G32" s="32"/>
      <c r="H32" s="5" t="s">
        <v>529</v>
      </c>
    </row>
    <row r="33" spans="1:10" s="2" customFormat="1" ht="20.100000000000001" customHeight="1">
      <c r="A33" s="33" t="s">
        <v>530</v>
      </c>
      <c r="B33" s="32"/>
      <c r="C33" s="32"/>
      <c r="D33" s="32"/>
      <c r="E33" s="32"/>
      <c r="F33" s="32"/>
      <c r="G33" s="32"/>
      <c r="H33" s="5" t="s">
        <v>531</v>
      </c>
    </row>
    <row r="34" spans="1:10" s="2" customFormat="1" ht="20.100000000000001" customHeight="1">
      <c r="A34" s="34" t="s">
        <v>532</v>
      </c>
      <c r="B34" s="32"/>
      <c r="C34" s="32"/>
      <c r="D34" s="32"/>
      <c r="E34" s="32"/>
      <c r="F34" s="32"/>
      <c r="G34" s="32"/>
      <c r="H34" s="5" t="s">
        <v>533</v>
      </c>
    </row>
    <row r="35" spans="1:10" s="2" customFormat="1" ht="20.100000000000001" customHeight="1">
      <c r="A35" s="28" t="s">
        <v>518</v>
      </c>
      <c r="B35" s="28" t="s">
        <v>519</v>
      </c>
      <c r="C35" s="29" t="s">
        <v>520</v>
      </c>
      <c r="D35" s="29" t="s">
        <v>521</v>
      </c>
      <c r="E35" s="29" t="s">
        <v>522</v>
      </c>
      <c r="F35" s="29" t="s">
        <v>523</v>
      </c>
      <c r="G35" s="29" t="s">
        <v>524</v>
      </c>
      <c r="H35" s="35" t="s">
        <v>475</v>
      </c>
    </row>
    <row r="36" spans="1:10" s="2" customFormat="1" ht="20.100000000000001" customHeight="1">
      <c r="A36" s="30" t="s">
        <v>532</v>
      </c>
      <c r="B36" s="36">
        <v>639.96</v>
      </c>
      <c r="C36" s="36">
        <v>680.4</v>
      </c>
      <c r="D36" s="36">
        <v>690.53</v>
      </c>
      <c r="E36" s="36">
        <v>690.18</v>
      </c>
      <c r="F36" s="36">
        <v>725.13</v>
      </c>
      <c r="G36" s="36">
        <v>774.8</v>
      </c>
      <c r="H36" s="37">
        <v>0.04</v>
      </c>
    </row>
    <row r="37" spans="1:10" s="2" customFormat="1" ht="20.100000000000001" customHeight="1">
      <c r="A37" s="30" t="s">
        <v>534</v>
      </c>
      <c r="B37" s="36">
        <v>344</v>
      </c>
      <c r="C37" s="36">
        <v>360.88</v>
      </c>
      <c r="D37" s="36">
        <v>390.57</v>
      </c>
      <c r="E37" s="36">
        <v>400.93</v>
      </c>
      <c r="F37" s="36">
        <v>433.85</v>
      </c>
      <c r="G37" s="36">
        <v>435.54</v>
      </c>
      <c r="H37" s="17" t="s">
        <v>535</v>
      </c>
    </row>
    <row r="38" spans="1:10" s="2" customFormat="1" ht="20.100000000000001" customHeight="1">
      <c r="A38" s="337" t="s">
        <v>536</v>
      </c>
      <c r="B38" s="36">
        <f t="shared" ref="B38:G38" si="2">B36+B37</f>
        <v>983.96</v>
      </c>
      <c r="C38" s="36">
        <f t="shared" si="2"/>
        <v>1041.28</v>
      </c>
      <c r="D38" s="36">
        <f t="shared" si="2"/>
        <v>1081.0999999999999</v>
      </c>
      <c r="E38" s="36">
        <f t="shared" si="2"/>
        <v>1091.1099999999999</v>
      </c>
      <c r="F38" s="36">
        <f t="shared" si="2"/>
        <v>1158.98</v>
      </c>
      <c r="G38" s="36">
        <f t="shared" si="2"/>
        <v>1210.3399999999999</v>
      </c>
      <c r="H38" s="17" t="s">
        <v>537</v>
      </c>
    </row>
    <row r="39" spans="1:10" s="2" customFormat="1" ht="20.100000000000001" customHeight="1">
      <c r="A39" s="34" t="s">
        <v>538</v>
      </c>
      <c r="B39" s="19"/>
      <c r="C39" s="19">
        <v>140.4</v>
      </c>
      <c r="D39" s="19">
        <v>360.13</v>
      </c>
      <c r="E39" s="19">
        <v>199.47</v>
      </c>
      <c r="F39" s="19">
        <v>219.16</v>
      </c>
      <c r="G39" s="19">
        <v>228.46</v>
      </c>
      <c r="H39" s="15" t="s">
        <v>539</v>
      </c>
    </row>
    <row r="40" spans="1:10" s="2" customFormat="1" ht="20.100000000000001" customHeight="1">
      <c r="A40" s="338" t="s">
        <v>540</v>
      </c>
      <c r="B40" s="19"/>
      <c r="C40" s="19">
        <f>C38-C39</f>
        <v>900.88</v>
      </c>
      <c r="D40" s="19">
        <f>D38-D39</f>
        <v>720.97</v>
      </c>
      <c r="E40" s="19">
        <f>E38-E39</f>
        <v>891.64</v>
      </c>
      <c r="F40" s="19">
        <f>F38-F39</f>
        <v>939.82</v>
      </c>
      <c r="G40" s="19">
        <f>G38-G39</f>
        <v>981.88</v>
      </c>
      <c r="H40" s="17" t="s">
        <v>541</v>
      </c>
    </row>
    <row r="41" spans="1:10" s="2" customFormat="1" ht="20.100000000000001" customHeight="1">
      <c r="A41" s="34" t="s">
        <v>542</v>
      </c>
      <c r="B41" s="19"/>
      <c r="C41" s="19">
        <v>140</v>
      </c>
      <c r="D41" s="19">
        <v>380.4</v>
      </c>
      <c r="E41" s="19">
        <v>340.71</v>
      </c>
      <c r="F41" s="19">
        <v>349.97</v>
      </c>
      <c r="G41" s="19">
        <v>384.1</v>
      </c>
      <c r="H41" s="5" t="s">
        <v>543</v>
      </c>
    </row>
    <row r="42" spans="1:10" s="2" customFormat="1" ht="20.100000000000001" customHeight="1">
      <c r="A42" s="34" t="s">
        <v>544</v>
      </c>
      <c r="B42" s="19"/>
      <c r="C42" s="36">
        <v>360.88</v>
      </c>
      <c r="D42" s="19">
        <v>390.57</v>
      </c>
      <c r="E42" s="19">
        <v>400.93</v>
      </c>
      <c r="F42" s="19">
        <v>433.85</v>
      </c>
      <c r="G42" s="19">
        <v>435.54</v>
      </c>
      <c r="H42" s="5" t="s">
        <v>545</v>
      </c>
    </row>
    <row r="43" spans="1:10" s="2" customFormat="1" ht="20.100000000000001" customHeight="1">
      <c r="A43" s="338" t="s">
        <v>546</v>
      </c>
      <c r="B43" s="19"/>
      <c r="C43" s="19">
        <f>C40-C41-C42</f>
        <v>400</v>
      </c>
      <c r="D43" s="19">
        <f>D40-D41-D42</f>
        <v>-50.000000000000099</v>
      </c>
      <c r="E43" s="19">
        <f>E40-E41-E42</f>
        <v>150</v>
      </c>
      <c r="F43" s="19">
        <f>F40-F41-F42</f>
        <v>156</v>
      </c>
      <c r="G43" s="19">
        <f>G40-G41-G42</f>
        <v>162.24</v>
      </c>
    </row>
    <row r="44" spans="1:10" ht="20.100000000000001" customHeight="1">
      <c r="A44" s="39" t="s">
        <v>547</v>
      </c>
      <c r="B44" s="2"/>
      <c r="C44" s="2"/>
      <c r="D44" s="2"/>
      <c r="E44" s="2"/>
      <c r="F44" s="2"/>
      <c r="G44" s="2"/>
      <c r="H44" s="39" t="s">
        <v>548</v>
      </c>
      <c r="I44" s="2"/>
      <c r="J44" s="2"/>
    </row>
    <row r="45" spans="1:10" ht="20.100000000000001" customHeight="1">
      <c r="A45" s="5" t="s">
        <v>549</v>
      </c>
      <c r="B45" s="2"/>
      <c r="C45" s="2"/>
      <c r="D45" s="2"/>
      <c r="E45" s="2"/>
      <c r="F45" s="2"/>
      <c r="G45" s="2"/>
      <c r="H45" s="2" t="s">
        <v>338</v>
      </c>
      <c r="I45" s="2"/>
      <c r="J45" s="2"/>
    </row>
    <row r="46" spans="1:10" ht="20.100000000000001" customHeight="1">
      <c r="A46" s="2" t="s">
        <v>335</v>
      </c>
      <c r="B46" s="2"/>
      <c r="C46" s="2"/>
      <c r="D46" s="2"/>
      <c r="E46" s="2"/>
      <c r="F46" s="2"/>
      <c r="G46" s="2"/>
      <c r="H46" s="2" t="s">
        <v>339</v>
      </c>
      <c r="I46" s="2"/>
      <c r="J46" s="2"/>
    </row>
    <row r="47" spans="1:10" ht="20.100000000000001" customHeight="1">
      <c r="A47" s="2" t="s">
        <v>336</v>
      </c>
      <c r="B47" s="2"/>
      <c r="C47" s="2"/>
      <c r="D47" s="2"/>
      <c r="E47" s="2"/>
      <c r="F47" s="2"/>
      <c r="G47" s="2"/>
      <c r="H47" s="2"/>
      <c r="I47" s="2"/>
      <c r="J47" s="2"/>
    </row>
    <row r="48" spans="1:10" ht="20.100000000000001" customHeight="1">
      <c r="A48" s="2"/>
      <c r="B48" s="2"/>
      <c r="C48" s="2"/>
      <c r="D48" s="2"/>
      <c r="E48" s="2"/>
      <c r="F48" s="2"/>
      <c r="G48" s="2"/>
      <c r="H48" s="2"/>
      <c r="I48" s="2"/>
      <c r="J48" s="2"/>
    </row>
    <row r="49" spans="1:10" s="2" customFormat="1" ht="20.100000000000001" customHeight="1">
      <c r="A49" s="7" t="s">
        <v>550</v>
      </c>
      <c r="B49" s="5"/>
      <c r="C49" s="5"/>
      <c r="D49" s="5"/>
      <c r="E49" s="5"/>
      <c r="F49" s="5"/>
      <c r="G49" s="5"/>
      <c r="H49" s="39" t="s">
        <v>551</v>
      </c>
      <c r="I49" s="4"/>
      <c r="J49" s="4"/>
    </row>
    <row r="50" spans="1:10" s="2" customFormat="1" ht="20.100000000000001" customHeight="1">
      <c r="A50" s="2" t="s">
        <v>345</v>
      </c>
      <c r="B50" s="5"/>
      <c r="C50" s="5"/>
      <c r="D50" s="5"/>
      <c r="E50" s="5"/>
      <c r="F50" s="5"/>
      <c r="G50" s="5"/>
      <c r="H50" s="5" t="s">
        <v>347</v>
      </c>
      <c r="I50" s="4"/>
      <c r="J50" s="4"/>
    </row>
    <row r="51" spans="1:10" s="2" customFormat="1" ht="20.100000000000001" customHeight="1">
      <c r="A51" s="5" t="s">
        <v>552</v>
      </c>
      <c r="B51" s="4"/>
      <c r="C51" s="4"/>
      <c r="D51" s="4"/>
      <c r="E51" s="4"/>
      <c r="F51" s="4"/>
      <c r="G51" s="4"/>
      <c r="H51" s="5" t="s">
        <v>553</v>
      </c>
      <c r="I51" s="4"/>
      <c r="J51" s="4"/>
    </row>
    <row r="52" spans="1:10" s="2" customFormat="1" ht="20.100000000000001" customHeight="1">
      <c r="A52" s="2" t="s">
        <v>554</v>
      </c>
    </row>
    <row r="53" spans="1:10" ht="20.100000000000001" customHeight="1"/>
    <row r="54" spans="1:10" ht="20.100000000000001" customHeight="1">
      <c r="A54" s="39" t="s">
        <v>555</v>
      </c>
      <c r="H54" s="39" t="s">
        <v>556</v>
      </c>
    </row>
    <row r="55" spans="1:10" ht="20.100000000000001" customHeight="1">
      <c r="A55" s="2"/>
      <c r="H55" s="5" t="s">
        <v>557</v>
      </c>
    </row>
    <row r="56" spans="1:10" ht="20.100000000000001" customHeight="1">
      <c r="A56" s="2"/>
      <c r="H56" s="5" t="s">
        <v>558</v>
      </c>
    </row>
    <row r="57" spans="1:10" ht="20.100000000000001" customHeight="1">
      <c r="A57" s="2"/>
      <c r="H57" s="5" t="s">
        <v>559</v>
      </c>
    </row>
    <row r="58" spans="1:10" ht="20.100000000000001" customHeight="1">
      <c r="A58" s="2"/>
      <c r="H58" s="5" t="s">
        <v>560</v>
      </c>
    </row>
    <row r="59" spans="1:10" ht="20.100000000000001" customHeight="1">
      <c r="A59" s="39" t="s">
        <v>561</v>
      </c>
      <c r="H59" s="5"/>
    </row>
    <row r="60" spans="1:10" ht="20.100000000000001" customHeight="1">
      <c r="A60" s="5" t="s">
        <v>562</v>
      </c>
      <c r="H60" s="5"/>
    </row>
    <row r="61" spans="1:10" ht="20.100000000000001" customHeight="1">
      <c r="A61" s="5" t="s">
        <v>563</v>
      </c>
    </row>
    <row r="62" spans="1:10" ht="20.100000000000001" customHeight="1">
      <c r="A62" s="27" t="s">
        <v>564</v>
      </c>
    </row>
    <row r="63" spans="1:10" ht="20.100000000000001" customHeight="1">
      <c r="A63" s="5"/>
      <c r="B63" s="40" t="s">
        <v>565</v>
      </c>
      <c r="C63" s="40" t="s">
        <v>566</v>
      </c>
      <c r="D63" s="41" t="s">
        <v>567</v>
      </c>
    </row>
    <row r="64" spans="1:10" ht="20.100000000000001" customHeight="1">
      <c r="A64" s="42">
        <v>1</v>
      </c>
      <c r="B64" s="38"/>
      <c r="C64" s="38"/>
      <c r="D64" s="38">
        <v>1.0234000000000001</v>
      </c>
    </row>
    <row r="65" spans="1:13" ht="20.100000000000001" customHeight="1">
      <c r="A65" s="42">
        <v>2</v>
      </c>
      <c r="B65" s="38"/>
      <c r="C65" s="38"/>
      <c r="D65" s="38">
        <v>0.86780000000000002</v>
      </c>
    </row>
    <row r="66" spans="1:13" ht="20.100000000000001" customHeight="1">
      <c r="A66" s="42">
        <v>3</v>
      </c>
      <c r="B66" s="38"/>
      <c r="C66" s="38"/>
      <c r="D66" s="38">
        <v>1.0853999999999999</v>
      </c>
    </row>
    <row r="67" spans="1:13" ht="20.100000000000001" customHeight="1">
      <c r="A67" s="42">
        <v>4</v>
      </c>
      <c r="B67" s="38"/>
      <c r="C67" s="38"/>
      <c r="D67" s="38">
        <v>1.1122000000000001</v>
      </c>
    </row>
    <row r="68" spans="1:13" ht="20.100000000000001" customHeight="1">
      <c r="A68" s="42">
        <v>5</v>
      </c>
      <c r="B68" s="38"/>
      <c r="C68" s="38"/>
      <c r="D68" s="38">
        <v>1.1611</v>
      </c>
    </row>
    <row r="69" spans="1:13" ht="20.100000000000001" customHeight="1">
      <c r="A69" s="5"/>
      <c r="B69" s="48" t="s">
        <v>568</v>
      </c>
      <c r="C69" s="50" t="s">
        <v>567</v>
      </c>
      <c r="D69" s="51">
        <f>AVERAGE(D64:D68)</f>
        <v>1.0499799999999999</v>
      </c>
    </row>
    <row r="70" spans="1:13" ht="20.100000000000001" customHeight="1">
      <c r="A70" s="5" t="s">
        <v>569</v>
      </c>
      <c r="B70" s="2"/>
      <c r="C70" s="339" t="s">
        <v>570</v>
      </c>
      <c r="D70" s="52">
        <f>D69*(1+(1-B22)*C22/D22)</f>
        <v>1.1759776</v>
      </c>
    </row>
    <row r="71" spans="1:13" s="2" customFormat="1" ht="20.100000000000001" customHeight="1">
      <c r="A71" s="27" t="s">
        <v>571</v>
      </c>
    </row>
    <row r="72" spans="1:13" s="2" customFormat="1" ht="20.100000000000001" customHeight="1">
      <c r="A72" s="2" t="s">
        <v>572</v>
      </c>
    </row>
    <row r="73" spans="1:13" s="2" customFormat="1" ht="20.100000000000001" customHeight="1">
      <c r="A73" s="53"/>
      <c r="H73" s="5" t="s">
        <v>573</v>
      </c>
    </row>
    <row r="74" spans="1:13" s="2" customFormat="1" ht="20.100000000000001" customHeight="1">
      <c r="I74" s="5" t="s">
        <v>574</v>
      </c>
    </row>
    <row r="75" spans="1:13" s="2" customFormat="1" ht="20.100000000000001" customHeight="1">
      <c r="H75" s="5" t="s">
        <v>575</v>
      </c>
    </row>
    <row r="76" spans="1:13" ht="20.100000000000001" customHeight="1">
      <c r="I76" s="5" t="s">
        <v>576</v>
      </c>
    </row>
    <row r="77" spans="1:13" s="2" customFormat="1" ht="20.100000000000001" customHeight="1">
      <c r="A77" s="5" t="s">
        <v>577</v>
      </c>
    </row>
    <row r="78" spans="1:13" s="2" customFormat="1" ht="20.100000000000001" customHeight="1">
      <c r="A78" s="5" t="s">
        <v>578</v>
      </c>
    </row>
    <row r="79" spans="1:13" s="2" customFormat="1" ht="20.100000000000001" customHeight="1">
      <c r="A79" s="7" t="s">
        <v>579</v>
      </c>
    </row>
    <row r="80" spans="1:13" s="2" customFormat="1" ht="20.100000000000001" customHeight="1">
      <c r="A80" s="28" t="s">
        <v>580</v>
      </c>
      <c r="B80" s="54" t="s">
        <v>581</v>
      </c>
      <c r="C80" s="55"/>
      <c r="D80" s="56" t="s">
        <v>582</v>
      </c>
      <c r="E80" s="55"/>
      <c r="F80" s="53"/>
      <c r="G80" s="53"/>
      <c r="H80" s="57"/>
      <c r="I80" s="53"/>
      <c r="J80" s="53"/>
      <c r="L80" s="53"/>
      <c r="M80" s="53"/>
    </row>
    <row r="81" spans="1:13" s="2" customFormat="1" ht="20.100000000000001" customHeight="1">
      <c r="A81" s="50">
        <v>1</v>
      </c>
      <c r="B81" s="58">
        <v>1.8</v>
      </c>
      <c r="C81" s="59"/>
      <c r="D81" s="58">
        <v>1.5</v>
      </c>
      <c r="E81" s="59"/>
      <c r="F81" s="2">
        <f t="shared" ref="F81:F86" si="3">D81^2</f>
        <v>2.25</v>
      </c>
      <c r="G81" s="2">
        <f t="shared" ref="G81:G86" si="4">D81*B81</f>
        <v>2.7</v>
      </c>
      <c r="H81" s="60">
        <f t="shared" ref="H81:H86" si="5">D81-$D$88</f>
        <v>0.25</v>
      </c>
      <c r="I81" s="60">
        <f t="shared" ref="I81:I86" si="6">B81-$B$88</f>
        <v>-8.3333333333333495E-2</v>
      </c>
      <c r="J81" s="52">
        <f t="shared" ref="J81:J86" si="7">H81*I81</f>
        <v>-2.0833333333333402E-2</v>
      </c>
      <c r="L81" s="66">
        <f t="shared" ref="L81:M86" si="8">H81^2</f>
        <v>6.25E-2</v>
      </c>
      <c r="M81" s="66">
        <f t="shared" si="8"/>
        <v>6.9444444444444701E-3</v>
      </c>
    </row>
    <row r="82" spans="1:13" s="2" customFormat="1" ht="20.100000000000001" customHeight="1">
      <c r="A82" s="50">
        <v>2</v>
      </c>
      <c r="B82" s="58">
        <v>-0.5</v>
      </c>
      <c r="C82" s="59"/>
      <c r="D82" s="58">
        <v>1</v>
      </c>
      <c r="E82" s="59"/>
      <c r="F82" s="2">
        <f t="shared" si="3"/>
        <v>1</v>
      </c>
      <c r="G82" s="2">
        <f t="shared" si="4"/>
        <v>-0.5</v>
      </c>
      <c r="H82" s="60">
        <f t="shared" si="5"/>
        <v>-0.25</v>
      </c>
      <c r="I82" s="60">
        <f t="shared" si="6"/>
        <v>-2.3833333333333302</v>
      </c>
      <c r="J82" s="52">
        <f t="shared" si="7"/>
        <v>0.59583333333333299</v>
      </c>
      <c r="L82" s="66">
        <f t="shared" si="8"/>
        <v>6.25E-2</v>
      </c>
      <c r="M82" s="66">
        <f t="shared" si="8"/>
        <v>5.6802777777777802</v>
      </c>
    </row>
    <row r="83" spans="1:13" s="2" customFormat="1" ht="20.100000000000001" customHeight="1">
      <c r="A83" s="50">
        <v>3</v>
      </c>
      <c r="B83" s="58">
        <v>2</v>
      </c>
      <c r="C83" s="59"/>
      <c r="D83" s="58">
        <v>0</v>
      </c>
      <c r="E83" s="59"/>
      <c r="F83" s="2">
        <f t="shared" si="3"/>
        <v>0</v>
      </c>
      <c r="G83" s="2">
        <f t="shared" si="4"/>
        <v>0</v>
      </c>
      <c r="H83" s="60">
        <f t="shared" si="5"/>
        <v>-1.25</v>
      </c>
      <c r="I83" s="60">
        <f t="shared" si="6"/>
        <v>0.116666666666666</v>
      </c>
      <c r="J83" s="52">
        <f t="shared" si="7"/>
        <v>-0.14583333333333301</v>
      </c>
      <c r="L83" s="66">
        <f t="shared" si="8"/>
        <v>1.5625</v>
      </c>
      <c r="M83" s="66">
        <f t="shared" si="8"/>
        <v>1.36111111111111E-2</v>
      </c>
    </row>
    <row r="84" spans="1:13" s="2" customFormat="1" ht="20.100000000000001" customHeight="1">
      <c r="A84" s="50">
        <v>4</v>
      </c>
      <c r="B84" s="58">
        <v>-2</v>
      </c>
      <c r="C84" s="59"/>
      <c r="D84" s="58">
        <v>-2</v>
      </c>
      <c r="E84" s="59"/>
      <c r="F84" s="2">
        <f t="shared" si="3"/>
        <v>4</v>
      </c>
      <c r="G84" s="2">
        <f t="shared" si="4"/>
        <v>4</v>
      </c>
      <c r="H84" s="60">
        <f t="shared" si="5"/>
        <v>-3.25</v>
      </c>
      <c r="I84" s="60">
        <f t="shared" si="6"/>
        <v>-3.8833333333333302</v>
      </c>
      <c r="J84" s="52">
        <f t="shared" si="7"/>
        <v>12.6208333333333</v>
      </c>
      <c r="L84" s="66">
        <f t="shared" si="8"/>
        <v>10.5625</v>
      </c>
      <c r="M84" s="66">
        <f t="shared" si="8"/>
        <v>15.0802777777778</v>
      </c>
    </row>
    <row r="85" spans="1:13" s="2" customFormat="1" ht="20.100000000000001" customHeight="1">
      <c r="A85" s="50">
        <v>5</v>
      </c>
      <c r="B85" s="58">
        <v>5</v>
      </c>
      <c r="C85" s="59"/>
      <c r="D85" s="58">
        <v>4</v>
      </c>
      <c r="E85" s="59"/>
      <c r="F85" s="2">
        <f t="shared" si="3"/>
        <v>16</v>
      </c>
      <c r="G85" s="2">
        <f t="shared" si="4"/>
        <v>20</v>
      </c>
      <c r="H85" s="60">
        <f t="shared" si="5"/>
        <v>2.75</v>
      </c>
      <c r="I85" s="60">
        <f t="shared" si="6"/>
        <v>3.1166666666666698</v>
      </c>
      <c r="J85" s="52">
        <f t="shared" si="7"/>
        <v>8.5708333333333293</v>
      </c>
      <c r="L85" s="66">
        <f t="shared" si="8"/>
        <v>7.5625</v>
      </c>
      <c r="M85" s="66">
        <f t="shared" si="8"/>
        <v>9.7136111111111099</v>
      </c>
    </row>
    <row r="86" spans="1:13" s="2" customFormat="1" ht="20.100000000000001" customHeight="1">
      <c r="A86" s="50">
        <v>6</v>
      </c>
      <c r="B86" s="58">
        <v>5</v>
      </c>
      <c r="C86" s="59"/>
      <c r="D86" s="58">
        <v>3</v>
      </c>
      <c r="E86" s="59"/>
      <c r="F86" s="2">
        <f t="shared" si="3"/>
        <v>9</v>
      </c>
      <c r="G86" s="2">
        <f t="shared" si="4"/>
        <v>15</v>
      </c>
      <c r="H86" s="60">
        <f t="shared" si="5"/>
        <v>1.75</v>
      </c>
      <c r="I86" s="60">
        <f t="shared" si="6"/>
        <v>3.1166666666666698</v>
      </c>
      <c r="J86" s="52">
        <f t="shared" si="7"/>
        <v>5.4541666666666702</v>
      </c>
      <c r="L86" s="66">
        <f t="shared" si="8"/>
        <v>3.0625</v>
      </c>
      <c r="M86" s="66">
        <f t="shared" si="8"/>
        <v>9.7136111111111099</v>
      </c>
    </row>
    <row r="87" spans="1:13" s="2" customFormat="1" ht="20.100000000000001" customHeight="1">
      <c r="A87" s="28" t="s">
        <v>142</v>
      </c>
      <c r="B87" s="61">
        <f>SUM(B81:B86)</f>
        <v>11.3</v>
      </c>
      <c r="C87" s="62"/>
      <c r="D87" s="61">
        <f>SUM(D81:D86)</f>
        <v>7.5</v>
      </c>
      <c r="E87" s="62"/>
      <c r="F87" s="39">
        <f>SUM(F81:F86)</f>
        <v>32.25</v>
      </c>
      <c r="G87" s="39">
        <f>SUM(G81:G86)</f>
        <v>41.2</v>
      </c>
      <c r="J87" s="39">
        <f>SUM(J81:J86)</f>
        <v>27.074999999999999</v>
      </c>
      <c r="L87" s="67">
        <f>SUM(L81:L86)</f>
        <v>22.875</v>
      </c>
      <c r="M87" s="67">
        <f>SUM(M81:M86)</f>
        <v>40.2083333333333</v>
      </c>
    </row>
    <row r="88" spans="1:13" s="2" customFormat="1" ht="20.100000000000001" customHeight="1">
      <c r="A88" s="40" t="s">
        <v>583</v>
      </c>
      <c r="B88" s="63">
        <f>AVERAGE(B81:B86)</f>
        <v>1.88333333333333</v>
      </c>
      <c r="C88" s="64"/>
      <c r="D88" s="63">
        <f>AVERAGE(D81:D86)</f>
        <v>1.25</v>
      </c>
      <c r="E88" s="64"/>
      <c r="F88" s="5" t="s">
        <v>584</v>
      </c>
      <c r="H88" s="16" t="s">
        <v>585</v>
      </c>
      <c r="I88" s="52">
        <f>(F87*B87-D87*G87)/(COUNT(D81:D86)*F87-D87^2)</f>
        <v>0.40382513661202202</v>
      </c>
    </row>
    <row r="89" spans="1:13" s="2" customFormat="1" ht="20.100000000000001" customHeight="1">
      <c r="A89" s="40" t="s">
        <v>586</v>
      </c>
      <c r="B89" s="65">
        <f>(M87/(COUNT(B81:B86)-1))^(1/2)</f>
        <v>2.8357832545289301</v>
      </c>
      <c r="C89" s="64"/>
      <c r="D89" s="65">
        <f>(L87/(COUNT(D81:D86)-1))^(1/2)</f>
        <v>2.1389249636207399</v>
      </c>
      <c r="E89" s="64"/>
      <c r="H89" s="16" t="s">
        <v>587</v>
      </c>
      <c r="I89" s="68">
        <f>(COUNT(D81:D86)*G87-D87*B87)/(COUNT(D81:D86)*F87-D87^2)</f>
        <v>1.18360655737705</v>
      </c>
      <c r="J89" s="39" t="s">
        <v>301</v>
      </c>
    </row>
    <row r="90" spans="1:13" s="2" customFormat="1" ht="20.100000000000001" customHeight="1">
      <c r="A90" s="5" t="s">
        <v>588</v>
      </c>
    </row>
    <row r="91" spans="1:13" s="2" customFormat="1" ht="20.100000000000001" customHeight="1">
      <c r="A91" s="53"/>
    </row>
    <row r="92" spans="1:13" s="2" customFormat="1" ht="20.100000000000001" customHeight="1">
      <c r="I92" s="53"/>
    </row>
    <row r="93" spans="1:13" s="2" customFormat="1" ht="20.100000000000001" customHeight="1"/>
    <row r="94" spans="1:13" ht="20.100000000000001" customHeight="1"/>
    <row r="95" spans="1:13" ht="20.100000000000001" customHeight="1"/>
    <row r="96" spans="1:13" ht="20.100000000000001" customHeight="1"/>
    <row r="97" spans="1:8" ht="20.100000000000001" customHeight="1"/>
    <row r="98" spans="1:8" ht="20.100000000000001" customHeight="1"/>
    <row r="99" spans="1:8" ht="20.100000000000001" customHeight="1"/>
    <row r="100" spans="1:8" ht="20.100000000000001" customHeight="1">
      <c r="A100" s="53"/>
      <c r="H100" s="53"/>
    </row>
    <row r="101" spans="1:8" ht="20.100000000000001" customHeight="1"/>
    <row r="103" spans="1:8">
      <c r="A103" s="2"/>
    </row>
    <row r="104" spans="1:8">
      <c r="A104" s="2"/>
    </row>
  </sheetData>
  <mergeCells count="27">
    <mergeCell ref="A1:O1"/>
    <mergeCell ref="A2:O2"/>
    <mergeCell ref="L20:M20"/>
    <mergeCell ref="A6:A7"/>
    <mergeCell ref="A15:A16"/>
    <mergeCell ref="A20:A21"/>
    <mergeCell ref="C20:C21"/>
    <mergeCell ref="D20:D21"/>
    <mergeCell ref="E20:E21"/>
    <mergeCell ref="F20:F21"/>
    <mergeCell ref="G20:G21"/>
    <mergeCell ref="H20:H21"/>
    <mergeCell ref="I15:I16"/>
    <mergeCell ref="I20:I21"/>
    <mergeCell ref="J15:J16"/>
    <mergeCell ref="J20:J21"/>
    <mergeCell ref="K15:K16"/>
    <mergeCell ref="K20:K21"/>
    <mergeCell ref="N6:N7"/>
    <mergeCell ref="N15:N16"/>
    <mergeCell ref="N17:N18"/>
    <mergeCell ref="N20:N21"/>
    <mergeCell ref="O6:O7"/>
    <mergeCell ref="O15:O16"/>
    <mergeCell ref="O17:O19"/>
    <mergeCell ref="O20:O21"/>
    <mergeCell ref="L15:M16"/>
  </mergeCells>
  <phoneticPr fontId="36" type="noConversion"/>
  <printOptions horizontalCentered="1"/>
  <pageMargins left="0.43307086614173229" right="0.39370078740157483" top="0.39370078740157483" bottom="0.39370078740157483" header="0.31496062992125984" footer="0.31496062992125984"/>
  <pageSetup paperSize="9" scale="90" fitToHeight="2" orientation="landscape" blackAndWhite="1" r:id="rId1"/>
  <headerFooter alignWithMargins="0">
    <oddFooter>&amp;C&amp;P/&amp;N</oddFooter>
  </headerFooter>
  <drawing r:id="rId2"/>
  <legacyDrawing r:id="rId3"/>
  <oleObjects>
    <mc:AlternateContent xmlns:mc="http://schemas.openxmlformats.org/markup-compatibility/2006">
      <mc:Choice Requires="x14">
        <oleObject progId="Equation.3" shapeId="3073" r:id="rId4">
          <objectPr defaultSize="0" altText="" r:id="rId5">
            <anchor moveWithCells="1" sizeWithCells="1">
              <from>
                <xdr:col>0</xdr:col>
                <xdr:colOff>99060</xdr:colOff>
                <xdr:row>26</xdr:row>
                <xdr:rowOff>0</xdr:rowOff>
              </from>
              <to>
                <xdr:col>2</xdr:col>
                <xdr:colOff>624840</xdr:colOff>
                <xdr:row>26</xdr:row>
                <xdr:rowOff>0</xdr:rowOff>
              </to>
            </anchor>
          </objectPr>
        </oleObject>
      </mc:Choice>
      <mc:Fallback>
        <oleObject progId="Equation.3" shapeId="3073" r:id="rId4"/>
      </mc:Fallback>
    </mc:AlternateContent>
    <mc:AlternateContent xmlns:mc="http://schemas.openxmlformats.org/markup-compatibility/2006">
      <mc:Choice Requires="x14">
        <oleObject progId="Equation.3" shapeId="3074" r:id="rId6">
          <objectPr defaultSize="0" altText="" r:id="rId7">
            <anchor moveWithCells="1" sizeWithCells="1">
              <from>
                <xdr:col>0</xdr:col>
                <xdr:colOff>281940</xdr:colOff>
                <xdr:row>72</xdr:row>
                <xdr:rowOff>22860</xdr:rowOff>
              </from>
              <to>
                <xdr:col>5</xdr:col>
                <xdr:colOff>259080</xdr:colOff>
                <xdr:row>75</xdr:row>
                <xdr:rowOff>22860</xdr:rowOff>
              </to>
            </anchor>
          </objectPr>
        </oleObject>
      </mc:Choice>
      <mc:Fallback>
        <oleObject progId="Equation.3" shapeId="3074" r:id="rId6"/>
      </mc:Fallback>
    </mc:AlternateContent>
    <mc:AlternateContent xmlns:mc="http://schemas.openxmlformats.org/markup-compatibility/2006">
      <mc:Choice Requires="x14">
        <oleObject progId="Equation.3" shapeId="3075" r:id="rId8">
          <objectPr defaultSize="0" altText="" r:id="rId9">
            <anchor moveWithCells="1" sizeWithCells="1">
              <from>
                <xdr:col>7</xdr:col>
                <xdr:colOff>129540</xdr:colOff>
                <xdr:row>79</xdr:row>
                <xdr:rowOff>22860</xdr:rowOff>
              </from>
              <to>
                <xdr:col>7</xdr:col>
                <xdr:colOff>571500</xdr:colOff>
                <xdr:row>79</xdr:row>
                <xdr:rowOff>220980</xdr:rowOff>
              </to>
            </anchor>
          </objectPr>
        </oleObject>
      </mc:Choice>
      <mc:Fallback>
        <oleObject progId="Equation.3" shapeId="3075" r:id="rId8"/>
      </mc:Fallback>
    </mc:AlternateContent>
    <mc:AlternateContent xmlns:mc="http://schemas.openxmlformats.org/markup-compatibility/2006">
      <mc:Choice Requires="x14">
        <oleObject progId="Equation.3" shapeId="3076" r:id="rId10">
          <objectPr defaultSize="0" altText="" r:id="rId11">
            <anchor moveWithCells="1" sizeWithCells="1">
              <from>
                <xdr:col>8</xdr:col>
                <xdr:colOff>106680</xdr:colOff>
                <xdr:row>79</xdr:row>
                <xdr:rowOff>22860</xdr:rowOff>
              </from>
              <to>
                <xdr:col>8</xdr:col>
                <xdr:colOff>556260</xdr:colOff>
                <xdr:row>79</xdr:row>
                <xdr:rowOff>220980</xdr:rowOff>
              </to>
            </anchor>
          </objectPr>
        </oleObject>
      </mc:Choice>
      <mc:Fallback>
        <oleObject progId="Equation.3" shapeId="3076" r:id="rId10"/>
      </mc:Fallback>
    </mc:AlternateContent>
    <mc:AlternateContent xmlns:mc="http://schemas.openxmlformats.org/markup-compatibility/2006">
      <mc:Choice Requires="x14">
        <oleObject progId="Equation.3" shapeId="3077" r:id="rId12">
          <objectPr defaultSize="0" altText="" r:id="rId13">
            <anchor moveWithCells="1" sizeWithCells="1">
              <from>
                <xdr:col>9</xdr:col>
                <xdr:colOff>0</xdr:colOff>
                <xdr:row>79</xdr:row>
                <xdr:rowOff>0</xdr:rowOff>
              </from>
              <to>
                <xdr:col>10</xdr:col>
                <xdr:colOff>495300</xdr:colOff>
                <xdr:row>79</xdr:row>
                <xdr:rowOff>243840</xdr:rowOff>
              </to>
            </anchor>
          </objectPr>
        </oleObject>
      </mc:Choice>
      <mc:Fallback>
        <oleObject progId="Equation.3" shapeId="3077" r:id="rId12"/>
      </mc:Fallback>
    </mc:AlternateContent>
    <mc:AlternateContent xmlns:mc="http://schemas.openxmlformats.org/markup-compatibility/2006">
      <mc:Choice Requires="x14">
        <oleObject progId="Equation.3" shapeId="3078" r:id="rId14">
          <objectPr defaultSize="0" altText="" r:id="rId15">
            <anchor moveWithCells="1" sizeWithCells="1">
              <from>
                <xdr:col>11</xdr:col>
                <xdr:colOff>99060</xdr:colOff>
                <xdr:row>79</xdr:row>
                <xdr:rowOff>22860</xdr:rowOff>
              </from>
              <to>
                <xdr:col>11</xdr:col>
                <xdr:colOff>586740</xdr:colOff>
                <xdr:row>79</xdr:row>
                <xdr:rowOff>243840</xdr:rowOff>
              </to>
            </anchor>
          </objectPr>
        </oleObject>
      </mc:Choice>
      <mc:Fallback>
        <oleObject progId="Equation.3" shapeId="3078" r:id="rId14"/>
      </mc:Fallback>
    </mc:AlternateContent>
    <mc:AlternateContent xmlns:mc="http://schemas.openxmlformats.org/markup-compatibility/2006">
      <mc:Choice Requires="x14">
        <oleObject progId="Equation.3" shapeId="3079" r:id="rId16">
          <objectPr defaultSize="0" altText="" r:id="rId17">
            <anchor moveWithCells="1" sizeWithCells="1">
              <from>
                <xdr:col>12</xdr:col>
                <xdr:colOff>144780</xdr:colOff>
                <xdr:row>79</xdr:row>
                <xdr:rowOff>22860</xdr:rowOff>
              </from>
              <to>
                <xdr:col>12</xdr:col>
                <xdr:colOff>632460</xdr:colOff>
                <xdr:row>79</xdr:row>
                <xdr:rowOff>243840</xdr:rowOff>
              </to>
            </anchor>
          </objectPr>
        </oleObject>
      </mc:Choice>
      <mc:Fallback>
        <oleObject progId="Equation.3" shapeId="3079" r:id="rId16"/>
      </mc:Fallback>
    </mc:AlternateContent>
    <mc:AlternateContent xmlns:mc="http://schemas.openxmlformats.org/markup-compatibility/2006">
      <mc:Choice Requires="x14">
        <oleObject progId="Equation.3" shapeId="3080" r:id="rId18">
          <objectPr defaultSize="0" altText="" r:id="rId19">
            <anchor moveWithCells="1" sizeWithCells="1">
              <from>
                <xdr:col>0</xdr:col>
                <xdr:colOff>304800</xdr:colOff>
                <xdr:row>90</xdr:row>
                <xdr:rowOff>0</xdr:rowOff>
              </from>
              <to>
                <xdr:col>3</xdr:col>
                <xdr:colOff>312420</xdr:colOff>
                <xdr:row>94</xdr:row>
                <xdr:rowOff>76200</xdr:rowOff>
              </to>
            </anchor>
          </objectPr>
        </oleObject>
      </mc:Choice>
      <mc:Fallback>
        <oleObject progId="Equation.3" shapeId="3080" r:id="rId18"/>
      </mc:Fallback>
    </mc:AlternateContent>
    <mc:AlternateContent xmlns:mc="http://schemas.openxmlformats.org/markup-compatibility/2006">
      <mc:Choice Requires="x14">
        <oleObject progId="Equation.3" shapeId="3081" r:id="rId20">
          <objectPr defaultSize="0" altText="" r:id="rId21">
            <anchor moveWithCells="1" sizeWithCells="1">
              <from>
                <xdr:col>5</xdr:col>
                <xdr:colOff>251460</xdr:colOff>
                <xdr:row>90</xdr:row>
                <xdr:rowOff>30480</xdr:rowOff>
              </from>
              <to>
                <xdr:col>9</xdr:col>
                <xdr:colOff>121920</xdr:colOff>
                <xdr:row>94</xdr:row>
                <xdr:rowOff>53340</xdr:rowOff>
              </to>
            </anchor>
          </objectPr>
        </oleObject>
      </mc:Choice>
      <mc:Fallback>
        <oleObject progId="Equation.3" shapeId="3081" r:id="rId20"/>
      </mc:Fallback>
    </mc:AlternateContent>
    <mc:AlternateContent xmlns:mc="http://schemas.openxmlformats.org/markup-compatibility/2006">
      <mc:Choice Requires="x14">
        <oleObject progId="Equation.3" shapeId="3082" r:id="rId22">
          <objectPr defaultSize="0" altText="" r:id="rId23">
            <anchor moveWithCells="1" sizeWithCells="1">
              <from>
                <xdr:col>0</xdr:col>
                <xdr:colOff>335280</xdr:colOff>
                <xdr:row>94</xdr:row>
                <xdr:rowOff>167640</xdr:rowOff>
              </from>
              <to>
                <xdr:col>3</xdr:col>
                <xdr:colOff>190500</xdr:colOff>
                <xdr:row>96</xdr:row>
                <xdr:rowOff>121920</xdr:rowOff>
              </to>
            </anchor>
          </objectPr>
        </oleObject>
      </mc:Choice>
      <mc:Fallback>
        <oleObject progId="Equation.3" shapeId="3082" r:id="rId22"/>
      </mc:Fallback>
    </mc:AlternateContent>
    <mc:AlternateContent xmlns:mc="http://schemas.openxmlformats.org/markup-compatibility/2006">
      <mc:Choice Requires="x14">
        <oleObject progId="Equation.3" shapeId="3083" r:id="rId24">
          <objectPr defaultSize="0" altText="" r:id="rId25">
            <anchor moveWithCells="1" sizeWithCells="1">
              <from>
                <xdr:col>5</xdr:col>
                <xdr:colOff>220980</xdr:colOff>
                <xdr:row>94</xdr:row>
                <xdr:rowOff>228600</xdr:rowOff>
              </from>
              <to>
                <xdr:col>9</xdr:col>
                <xdr:colOff>213360</xdr:colOff>
                <xdr:row>96</xdr:row>
                <xdr:rowOff>167640</xdr:rowOff>
              </to>
            </anchor>
          </objectPr>
        </oleObject>
      </mc:Choice>
      <mc:Fallback>
        <oleObject progId="Equation.3" shapeId="3083" r:id="rId24"/>
      </mc:Fallback>
    </mc:AlternateContent>
    <mc:AlternateContent xmlns:mc="http://schemas.openxmlformats.org/markup-compatibility/2006">
      <mc:Choice Requires="x14">
        <oleObject progId="Equation.3" shapeId="3084" r:id="rId26">
          <objectPr defaultSize="0" altText="" r:id="rId27">
            <anchor moveWithCells="1" sizeWithCells="1">
              <from>
                <xdr:col>5</xdr:col>
                <xdr:colOff>167640</xdr:colOff>
                <xdr:row>79</xdr:row>
                <xdr:rowOff>15240</xdr:rowOff>
              </from>
              <to>
                <xdr:col>5</xdr:col>
                <xdr:colOff>358140</xdr:colOff>
                <xdr:row>79</xdr:row>
                <xdr:rowOff>259080</xdr:rowOff>
              </to>
            </anchor>
          </objectPr>
        </oleObject>
      </mc:Choice>
      <mc:Fallback>
        <oleObject progId="Equation.3" shapeId="3084" r:id="rId26"/>
      </mc:Fallback>
    </mc:AlternateContent>
    <mc:AlternateContent xmlns:mc="http://schemas.openxmlformats.org/markup-compatibility/2006">
      <mc:Choice Requires="x14">
        <oleObject progId="Equation.3" shapeId="3085" r:id="rId28">
          <objectPr defaultSize="0" altText="" r:id="rId29">
            <anchor moveWithCells="1" sizeWithCells="1">
              <from>
                <xdr:col>6</xdr:col>
                <xdr:colOff>106680</xdr:colOff>
                <xdr:row>79</xdr:row>
                <xdr:rowOff>53340</xdr:rowOff>
              </from>
              <to>
                <xdr:col>6</xdr:col>
                <xdr:colOff>419100</xdr:colOff>
                <xdr:row>79</xdr:row>
                <xdr:rowOff>213360</xdr:rowOff>
              </to>
            </anchor>
          </objectPr>
        </oleObject>
      </mc:Choice>
      <mc:Fallback>
        <oleObject progId="Equation.3" shapeId="3085" r:id="rId28"/>
      </mc:Fallback>
    </mc:AlternateContent>
    <mc:AlternateContent xmlns:mc="http://schemas.openxmlformats.org/markup-compatibility/2006">
      <mc:Choice Requires="x14">
        <oleObject progId="Equation.3" shapeId="3086" r:id="rId30">
          <objectPr defaultSize="0" altText="" r:id="rId31">
            <anchor moveWithCells="1" sizeWithCells="1">
              <from>
                <xdr:col>0</xdr:col>
                <xdr:colOff>243840</xdr:colOff>
                <xdr:row>54</xdr:row>
                <xdr:rowOff>106680</xdr:rowOff>
              </from>
              <to>
                <xdr:col>3</xdr:col>
                <xdr:colOff>175260</xdr:colOff>
                <xdr:row>56</xdr:row>
                <xdr:rowOff>137160</xdr:rowOff>
              </to>
            </anchor>
          </objectPr>
        </oleObject>
      </mc:Choice>
      <mc:Fallback>
        <oleObject progId="Equation.3" shapeId="3086" r:id="rId30"/>
      </mc:Fallback>
    </mc:AlternateContent>
    <mc:AlternateContent xmlns:mc="http://schemas.openxmlformats.org/markup-compatibility/2006">
      <mc:Choice Requires="x14">
        <oleObject progId="Equation.3" shapeId="3087" r:id="rId32">
          <objectPr defaultSize="0" altText="" r:id="rId33">
            <anchor moveWithCells="1" sizeWithCells="1">
              <from>
                <xdr:col>3</xdr:col>
                <xdr:colOff>586740</xdr:colOff>
                <xdr:row>54</xdr:row>
                <xdr:rowOff>167640</xdr:rowOff>
              </from>
              <to>
                <xdr:col>6</xdr:col>
                <xdr:colOff>297180</xdr:colOff>
                <xdr:row>55</xdr:row>
                <xdr:rowOff>190500</xdr:rowOff>
              </to>
            </anchor>
          </objectPr>
        </oleObject>
      </mc:Choice>
      <mc:Fallback>
        <oleObject progId="Equation.3" shapeId="3087" r:id="rId32"/>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B8"/>
  <sheetViews>
    <sheetView workbookViewId="0"/>
  </sheetViews>
  <sheetFormatPr defaultColWidth="9" defaultRowHeight="14.4"/>
  <sheetData>
    <row r="1" spans="1:2">
      <c r="A1" t="s">
        <v>589</v>
      </c>
      <c r="B1" t="s">
        <v>590</v>
      </c>
    </row>
    <row r="2" spans="1:2">
      <c r="A2" t="s">
        <v>591</v>
      </c>
      <c r="B2" t="s">
        <v>592</v>
      </c>
    </row>
    <row r="3" spans="1:2">
      <c r="A3" t="s">
        <v>593</v>
      </c>
      <c r="B3" t="s">
        <v>594</v>
      </c>
    </row>
    <row r="4" spans="1:2">
      <c r="A4" t="s">
        <v>595</v>
      </c>
      <c r="B4" t="s">
        <v>596</v>
      </c>
    </row>
    <row r="5" spans="1:2">
      <c r="A5" t="s">
        <v>597</v>
      </c>
      <c r="B5" t="s">
        <v>598</v>
      </c>
    </row>
    <row r="6" spans="1:2">
      <c r="A6" t="s">
        <v>599</v>
      </c>
      <c r="B6" t="s">
        <v>600</v>
      </c>
    </row>
    <row r="7" spans="1:2">
      <c r="A7" t="s">
        <v>601</v>
      </c>
      <c r="B7" t="s">
        <v>602</v>
      </c>
    </row>
    <row r="8" spans="1:2">
      <c r="A8" t="s">
        <v>603</v>
      </c>
      <c r="B8" t="s">
        <v>604</v>
      </c>
    </row>
  </sheetData>
  <phoneticPr fontId="36"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15</vt:i4>
      </vt:variant>
      <vt:variant>
        <vt:lpstr>命名范围</vt:lpstr>
      </vt:variant>
      <vt:variant>
        <vt:i4>13</vt:i4>
      </vt:variant>
    </vt:vector>
  </HeadingPairs>
  <TitlesOfParts>
    <vt:vector size="28" baseType="lpstr">
      <vt:lpstr>底稿目录</vt:lpstr>
      <vt:lpstr>商誉实质性程序 I3A</vt:lpstr>
      <vt:lpstr>审定表I3-1</vt:lpstr>
      <vt:lpstr>附注披露（上市公司）</vt:lpstr>
      <vt:lpstr>附注披露（国有企业）</vt:lpstr>
      <vt:lpstr>明细表I3-2</vt:lpstr>
      <vt:lpstr>调整分录汇总I3-3</vt:lpstr>
      <vt:lpstr>入账价值测算表I3-4</vt:lpstr>
      <vt:lpstr>针对性检查表I3-5</vt:lpstr>
      <vt:lpstr>商誉减值测试I3-6</vt:lpstr>
      <vt:lpstr>可收回金额测试I3-7</vt:lpstr>
      <vt:lpstr>复核公司减值测试过程及结论I3-8</vt:lpstr>
      <vt:lpstr>市场平均收益率2017</vt:lpstr>
      <vt:lpstr>参考－商誉减值测试示例</vt:lpstr>
      <vt:lpstr>GT_Custom</vt:lpstr>
      <vt:lpstr>'参考－商誉减值测试示例'!Print_Area</vt:lpstr>
      <vt:lpstr>'调整分录汇总I3-3'!Print_Area</vt:lpstr>
      <vt:lpstr>'附注披露（上市公司）'!Print_Area</vt:lpstr>
      <vt:lpstr>'复核公司减值测试过程及结论I3-8'!Print_Area</vt:lpstr>
      <vt:lpstr>'可收回金额测试I3-7'!Print_Area</vt:lpstr>
      <vt:lpstr>'明细表I3-2'!Print_Area</vt:lpstr>
      <vt:lpstr>'入账价值测算表I3-4'!Print_Area</vt:lpstr>
      <vt:lpstr>'商誉减值测试I3-6'!Print_Area</vt:lpstr>
      <vt:lpstr>'商誉实质性程序 I3A'!Print_Area</vt:lpstr>
      <vt:lpstr>'审定表I3-1'!Print_Area</vt:lpstr>
      <vt:lpstr>市场平均收益率2017!Print_Area</vt:lpstr>
      <vt:lpstr>'针对性检查表I3-5'!Print_Area</vt:lpstr>
      <vt:lpstr>'明细表I3-2'!Print_Titles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tianpei han</dc:creator>
  <cp:lastModifiedBy>何先琴</cp:lastModifiedBy>
  <cp:lastPrinted>2025-10-31T03:02:21Z</cp:lastPrinted>
  <dcterms:created xsi:type="dcterms:W3CDTF">2006-09-13T11:21:00Z</dcterms:created>
  <dcterms:modified xsi:type="dcterms:W3CDTF">2025-10-31T07:59:24Z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DAF36EC1372B40CE896750DA535A7FC0_12</vt:lpwstr>
  </property>
  <property fmtid="{D5CDD505-2E9C-101B-9397-08002B2CF9AE}" pid="3" name="KSOProductBuildVer">
    <vt:lpwstr>2052-12.1.0.22529</vt:lpwstr>
  </property>
</Properties>
</file>