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G 投资循环\"/>
    </mc:Choice>
  </mc:AlternateContent>
  <bookViews>
    <workbookView xWindow="0" yWindow="0" windowWidth="23040" windowHeight="9144" tabRatio="913"/>
  </bookViews>
  <sheets>
    <sheet name="底稿目录" sheetId="7" r:id="rId1"/>
    <sheet name="应收利息实质性程序表G2A" sheetId="15" r:id="rId2"/>
    <sheet name="审定表G2-1" sheetId="12" r:id="rId3"/>
    <sheet name="附注披露信息（上市公司）" sheetId="2" r:id="rId4"/>
    <sheet name="附注披露信息（国企）" sheetId="3" r:id="rId5"/>
    <sheet name="明细表G2-2" sheetId="4" r:id="rId6"/>
    <sheet name="坏账准备明细表G2-3" sheetId="16" r:id="rId7"/>
    <sheet name="调整分录汇总G2-4" sheetId="14" r:id="rId8"/>
    <sheet name="利息测算表G2-5" sheetId="8" r:id="rId9"/>
    <sheet name="长期未收回款项检查表G2-6" sheetId="6" r:id="rId10"/>
    <sheet name="应收利息坏账准备测算G2-7" sheetId="11" r:id="rId11"/>
    <sheet name="凭证检查表G2-8" sheetId="5" r:id="rId12"/>
  </sheets>
  <definedNames>
    <definedName name="_xlnm.Print_Area" localSheetId="7">'调整分录汇总G2-4'!$A$1:$J$20</definedName>
    <definedName name="_xlnm.Print_Area" localSheetId="3">'附注披露信息（上市公司）'!$A$1:$E$29</definedName>
    <definedName name="_xlnm.Print_Area" localSheetId="6">'坏账准备明细表G2-3'!$A$1:$M$27</definedName>
    <definedName name="_xlnm.Print_Area" localSheetId="8">'利息测算表G2-5'!$A$1:$K$19</definedName>
    <definedName name="_xlnm.Print_Area" localSheetId="5">'明细表G2-2'!$A$1:$M$23</definedName>
    <definedName name="_xlnm.Print_Area" localSheetId="11">'凭证检查表G2-8'!$A$1:$P$43</definedName>
    <definedName name="_xlnm.Print_Area" localSheetId="2">'审定表G2-1'!$A$1:$J$37</definedName>
    <definedName name="_xlnm.Print_Area" localSheetId="10">'应收利息坏账准备测算G2-7'!$A$1:$H$62</definedName>
    <definedName name="_xlnm.Print_Area" localSheetId="1">应收利息实质性程序表G2A!$A$1:$I$28</definedName>
    <definedName name="_xlnm.Print_Area" localSheetId="9">'长期未收回款项检查表G2-6'!$A$1:$M$18</definedName>
    <definedName name="_xlnm.Print_Titles" localSheetId="2">'审定表G2-1'!$2:$6</definedName>
    <definedName name="_xlnm.Print_Titles" localSheetId="1">应收利息实质性程序表G2A!$15:$16</definedName>
  </definedNames>
  <calcPr calcId="162913"/>
</workbook>
</file>

<file path=xl/calcChain.xml><?xml version="1.0" encoding="utf-8"?>
<calcChain xmlns="http://schemas.openxmlformats.org/spreadsheetml/2006/main">
  <c r="F38" i="5" l="1"/>
  <c r="G38" i="5"/>
  <c r="G26" i="5"/>
  <c r="F26" i="5"/>
  <c r="A17" i="12"/>
  <c r="A18" i="12"/>
  <c r="A19" i="12"/>
  <c r="I3" i="15"/>
  <c r="M3" i="16" l="1"/>
  <c r="I4" i="16" l="1"/>
  <c r="E4" i="16"/>
  <c r="A4" i="16"/>
  <c r="I3" i="16"/>
  <c r="E3" i="16"/>
  <c r="A3" i="16"/>
  <c r="M22" i="16"/>
  <c r="L21" i="16"/>
  <c r="J20" i="16"/>
  <c r="L20" i="16" s="1"/>
  <c r="D20" i="16"/>
  <c r="J19" i="16"/>
  <c r="L19" i="16" s="1"/>
  <c r="D19" i="16"/>
  <c r="J18" i="16"/>
  <c r="L18" i="16" s="1"/>
  <c r="D18" i="16"/>
  <c r="L17" i="16"/>
  <c r="J17" i="16"/>
  <c r="D17" i="16"/>
  <c r="K16" i="16"/>
  <c r="I16" i="16"/>
  <c r="H16" i="16"/>
  <c r="G16" i="16"/>
  <c r="J16" i="16" s="1"/>
  <c r="L16" i="16" s="1"/>
  <c r="F16" i="16"/>
  <c r="E16" i="16"/>
  <c r="C16" i="16"/>
  <c r="B16" i="16"/>
  <c r="J15" i="16"/>
  <c r="L15" i="16" s="1"/>
  <c r="D15" i="16"/>
  <c r="L14" i="16"/>
  <c r="J14" i="16"/>
  <c r="D14" i="16"/>
  <c r="J13" i="16"/>
  <c r="L13" i="16" s="1"/>
  <c r="D13" i="16"/>
  <c r="J12" i="16"/>
  <c r="L12" i="16" s="1"/>
  <c r="D12" i="16"/>
  <c r="D11" i="16" s="1"/>
  <c r="D22" i="16" s="1"/>
  <c r="K11" i="16"/>
  <c r="K22" i="16" s="1"/>
  <c r="I11" i="16"/>
  <c r="H11" i="16"/>
  <c r="G11" i="16"/>
  <c r="F11" i="16"/>
  <c r="F22" i="16" s="1"/>
  <c r="E11" i="16"/>
  <c r="E22" i="16" s="1"/>
  <c r="C11" i="16"/>
  <c r="C22" i="16" s="1"/>
  <c r="B11" i="16"/>
  <c r="H22" i="16" l="1"/>
  <c r="I22" i="16"/>
  <c r="J11" i="16"/>
  <c r="J22" i="16" s="1"/>
  <c r="B33" i="11" s="1"/>
  <c r="B22" i="16"/>
  <c r="G22" i="16"/>
  <c r="E55" i="11"/>
  <c r="B55" i="11"/>
  <c r="D54" i="11"/>
  <c r="F54" i="11" s="1"/>
  <c r="D53" i="11"/>
  <c r="F53" i="11" s="1"/>
  <c r="D52" i="11"/>
  <c r="F52" i="11" s="1"/>
  <c r="D51" i="11"/>
  <c r="F51" i="11" s="1"/>
  <c r="D50" i="11"/>
  <c r="F50" i="11" s="1"/>
  <c r="D49" i="11"/>
  <c r="E47" i="11"/>
  <c r="B47" i="11"/>
  <c r="B56" i="11" s="1"/>
  <c r="D46" i="11"/>
  <c r="F46" i="11" s="1"/>
  <c r="D45" i="11"/>
  <c r="F45" i="11" s="1"/>
  <c r="D44" i="11"/>
  <c r="F44" i="11" s="1"/>
  <c r="D43" i="11"/>
  <c r="F43" i="11" s="1"/>
  <c r="D42" i="11"/>
  <c r="F42" i="11" s="1"/>
  <c r="D41" i="11"/>
  <c r="G32" i="11"/>
  <c r="B32" i="11"/>
  <c r="B35" i="11" s="1"/>
  <c r="F31" i="11"/>
  <c r="E31" i="11"/>
  <c r="E30" i="11"/>
  <c r="F30" i="11" s="1"/>
  <c r="E29" i="11"/>
  <c r="F29" i="11" s="1"/>
  <c r="E28" i="11"/>
  <c r="F28" i="11" s="1"/>
  <c r="E27" i="11"/>
  <c r="F27" i="11" s="1"/>
  <c r="E26" i="11"/>
  <c r="C32" i="11"/>
  <c r="G20" i="11"/>
  <c r="E20" i="11"/>
  <c r="C20" i="11"/>
  <c r="B20" i="11"/>
  <c r="F19" i="11"/>
  <c r="D19" i="11"/>
  <c r="F18" i="11"/>
  <c r="D18" i="11"/>
  <c r="F17" i="11"/>
  <c r="D17" i="11"/>
  <c r="F16" i="11"/>
  <c r="D16" i="11"/>
  <c r="F15" i="11"/>
  <c r="D15" i="11"/>
  <c r="F14" i="11"/>
  <c r="D14" i="11"/>
  <c r="F13" i="11"/>
  <c r="D13" i="11"/>
  <c r="F12" i="11"/>
  <c r="D12" i="11"/>
  <c r="F11" i="11"/>
  <c r="D11" i="11"/>
  <c r="F10" i="11"/>
  <c r="F20" i="11" s="1"/>
  <c r="D10" i="11"/>
  <c r="L11" i="16" l="1"/>
  <c r="L22" i="16" s="1"/>
  <c r="D47" i="11"/>
  <c r="E32" i="11"/>
  <c r="D55" i="11"/>
  <c r="E58" i="11"/>
  <c r="E56" i="11"/>
  <c r="B58" i="11"/>
  <c r="D20" i="11"/>
  <c r="F49" i="11"/>
  <c r="F55" i="11" s="1"/>
  <c r="C33" i="11"/>
  <c r="F41" i="11"/>
  <c r="F47" i="11" s="1"/>
  <c r="B34" i="11"/>
  <c r="F26" i="11"/>
  <c r="F32" i="11" s="1"/>
  <c r="F34" i="11" s="1"/>
  <c r="E34" i="11"/>
  <c r="G34" i="11"/>
  <c r="D56" i="11" l="1"/>
  <c r="D58" i="11" s="1"/>
  <c r="F56" i="11"/>
  <c r="F58" i="11" s="1"/>
  <c r="P3" i="5" l="1"/>
  <c r="L13" i="6" l="1"/>
  <c r="K13" i="6"/>
  <c r="F13" i="6"/>
  <c r="D13" i="6"/>
  <c r="C13" i="6"/>
  <c r="B13" i="6"/>
  <c r="E10" i="6"/>
  <c r="E13" i="6" s="1"/>
  <c r="G3" i="14" l="1"/>
  <c r="D4" i="14"/>
  <c r="F3" i="15"/>
  <c r="C4" i="15"/>
  <c r="G3" i="12"/>
  <c r="D4" i="12"/>
  <c r="C3" i="2"/>
  <c r="B4" i="2"/>
  <c r="C3" i="3"/>
  <c r="B4" i="3"/>
  <c r="I3" i="4"/>
  <c r="E4" i="4"/>
  <c r="H3" i="8"/>
  <c r="E4" i="8"/>
  <c r="G3" i="5"/>
  <c r="D4" i="5"/>
  <c r="H3" i="6"/>
  <c r="D4" i="6"/>
  <c r="E3" i="11"/>
  <c r="C4" i="11"/>
  <c r="H4" i="8" l="1"/>
  <c r="G4" i="12"/>
  <c r="F4" i="15" l="1"/>
  <c r="A4" i="15"/>
  <c r="C3" i="15"/>
  <c r="A3" i="15"/>
  <c r="H13" i="8" l="1"/>
  <c r="I13" i="8"/>
  <c r="B13" i="8"/>
  <c r="H3" i="11" l="1"/>
  <c r="M3" i="6"/>
  <c r="K3" i="8"/>
  <c r="J3" i="14"/>
  <c r="M3" i="4"/>
  <c r="E3" i="3"/>
  <c r="E3" i="2"/>
  <c r="J3" i="12"/>
  <c r="C36" i="3" l="1"/>
  <c r="D36" i="3"/>
  <c r="E36" i="3"/>
  <c r="B36" i="3"/>
  <c r="C4" i="3" l="1"/>
  <c r="C4" i="2"/>
  <c r="B10" i="3" l="1"/>
  <c r="C10" i="3"/>
  <c r="B11" i="3"/>
  <c r="C11" i="3"/>
  <c r="B12" i="3"/>
  <c r="C12" i="3"/>
  <c r="C10" i="2"/>
  <c r="C11" i="2"/>
  <c r="C12" i="2"/>
  <c r="B10" i="2"/>
  <c r="B11" i="2"/>
  <c r="B12" i="2"/>
  <c r="E35" i="3"/>
  <c r="E34" i="3"/>
  <c r="E33" i="3"/>
  <c r="E32" i="3"/>
  <c r="E31" i="3"/>
  <c r="E30" i="3"/>
  <c r="E29" i="3"/>
  <c r="E28" i="3"/>
  <c r="E27" i="3"/>
  <c r="E26" i="3"/>
  <c r="E25" i="3"/>
  <c r="B21" i="3"/>
  <c r="B22" i="2"/>
  <c r="G19" i="12" l="1"/>
  <c r="G18" i="12"/>
  <c r="G17" i="12"/>
  <c r="G15" i="12"/>
  <c r="G12" i="12"/>
  <c r="G11" i="12"/>
  <c r="G10" i="12"/>
  <c r="D19" i="12"/>
  <c r="D18" i="12"/>
  <c r="D17" i="12"/>
  <c r="D15" i="12"/>
  <c r="D12" i="12"/>
  <c r="D11" i="12"/>
  <c r="D10" i="12"/>
  <c r="D8" i="12"/>
  <c r="G4" i="14"/>
  <c r="D3" i="14"/>
  <c r="A4" i="14"/>
  <c r="A3" i="14"/>
  <c r="E4" i="11"/>
  <c r="H4" i="6"/>
  <c r="E15" i="4"/>
  <c r="E14" i="4"/>
  <c r="E13" i="4"/>
  <c r="E12" i="4"/>
  <c r="E11" i="4"/>
  <c r="E10" i="4"/>
  <c r="D16" i="4"/>
  <c r="K16" i="4"/>
  <c r="G4" i="5"/>
  <c r="I4" i="4"/>
  <c r="C9" i="3" l="1"/>
  <c r="C13" i="3" s="1"/>
  <c r="C9" i="2"/>
  <c r="C13" i="2" s="1"/>
  <c r="E16" i="4"/>
  <c r="E24" i="12" l="1"/>
  <c r="D3" i="12"/>
  <c r="A4" i="12"/>
  <c r="A3" i="12"/>
  <c r="F26" i="12"/>
  <c r="E26" i="12"/>
  <c r="C26" i="12"/>
  <c r="B26" i="12"/>
  <c r="A26" i="12"/>
  <c r="C25" i="12"/>
  <c r="B25" i="12"/>
  <c r="A25" i="12"/>
  <c r="C24" i="12"/>
  <c r="B24" i="12"/>
  <c r="A24" i="12"/>
  <c r="A23" i="12"/>
  <c r="C22" i="12"/>
  <c r="B22" i="12"/>
  <c r="A22" i="12"/>
  <c r="F16" i="12"/>
  <c r="F20" i="12" s="1"/>
  <c r="E16" i="12"/>
  <c r="E20" i="12" s="1"/>
  <c r="C16" i="12"/>
  <c r="C20" i="12" s="1"/>
  <c r="B16" i="12"/>
  <c r="B20" i="12" s="1"/>
  <c r="A16" i="12"/>
  <c r="A15" i="12"/>
  <c r="D26" i="12"/>
  <c r="F25" i="12"/>
  <c r="E25" i="12"/>
  <c r="F24" i="12"/>
  <c r="D9" i="12"/>
  <c r="C9" i="12"/>
  <c r="C13" i="12" s="1"/>
  <c r="B9" i="12"/>
  <c r="B13" i="12" s="1"/>
  <c r="D22" i="12"/>
  <c r="B23" i="12" l="1"/>
  <c r="B27" i="12" s="1"/>
  <c r="F23" i="12"/>
  <c r="D25" i="12"/>
  <c r="I19" i="12"/>
  <c r="E23" i="12"/>
  <c r="H18" i="12"/>
  <c r="G16" i="12"/>
  <c r="G20" i="12" s="1"/>
  <c r="I15" i="12"/>
  <c r="I18" i="12"/>
  <c r="G26" i="12"/>
  <c r="H26" i="12" s="1"/>
  <c r="I17" i="12"/>
  <c r="H12" i="12"/>
  <c r="C23" i="12"/>
  <c r="C27" i="12" s="1"/>
  <c r="E9" i="12"/>
  <c r="F9" i="12"/>
  <c r="H15" i="12"/>
  <c r="H17" i="12"/>
  <c r="D24" i="12"/>
  <c r="I10" i="12"/>
  <c r="I12" i="12"/>
  <c r="D13" i="12"/>
  <c r="D16" i="12"/>
  <c r="D20" i="12" s="1"/>
  <c r="H19" i="12"/>
  <c r="C14" i="3" l="1"/>
  <c r="C15" i="3" s="1"/>
  <c r="C14" i="2"/>
  <c r="C15" i="2" s="1"/>
  <c r="B14" i="3"/>
  <c r="B14" i="2"/>
  <c r="I26" i="12"/>
  <c r="H10" i="12"/>
  <c r="G9" i="12"/>
  <c r="G24" i="12"/>
  <c r="I24" i="12" s="1"/>
  <c r="I16" i="12"/>
  <c r="D23" i="12"/>
  <c r="G25" i="12"/>
  <c r="I11" i="12"/>
  <c r="H11" i="12"/>
  <c r="H16" i="12"/>
  <c r="H9" i="12" l="1"/>
  <c r="I9" i="12"/>
  <c r="H25" i="12"/>
  <c r="I25" i="12"/>
  <c r="D27" i="12"/>
  <c r="H20" i="12"/>
  <c r="I20" i="12" s="1"/>
  <c r="H24" i="12"/>
  <c r="G23" i="12"/>
  <c r="H23" i="12" s="1"/>
  <c r="I23" i="12" l="1"/>
  <c r="C3" i="11" l="1"/>
  <c r="A4" i="11"/>
  <c r="A3" i="11"/>
  <c r="F8" i="12"/>
  <c r="J10" i="8"/>
  <c r="J11" i="8"/>
  <c r="J12" i="8"/>
  <c r="J9" i="8"/>
  <c r="J13" i="8" s="1"/>
  <c r="H10" i="4"/>
  <c r="J10" i="4" s="1"/>
  <c r="B9" i="3" l="1"/>
  <c r="B13" i="3" s="1"/>
  <c r="B15" i="3" s="1"/>
  <c r="B9" i="2"/>
  <c r="B13" i="2" s="1"/>
  <c r="B15" i="2" s="1"/>
  <c r="F22" i="12"/>
  <c r="F27" i="12" s="1"/>
  <c r="F13" i="12"/>
  <c r="E8" i="12" l="1"/>
  <c r="G8" i="12" s="1"/>
  <c r="E22" i="12" l="1"/>
  <c r="E27" i="12" s="1"/>
  <c r="E13" i="12"/>
  <c r="H8" i="12" l="1"/>
  <c r="G22" i="12"/>
  <c r="I8" i="12"/>
  <c r="G13" i="12"/>
  <c r="I16" i="4"/>
  <c r="C16" i="4"/>
  <c r="H11" i="4"/>
  <c r="J11" i="4" s="1"/>
  <c r="H12" i="4"/>
  <c r="J12" i="4" s="1"/>
  <c r="H13" i="4"/>
  <c r="J13" i="4" s="1"/>
  <c r="H14" i="4"/>
  <c r="J14" i="4" s="1"/>
  <c r="H15" i="4"/>
  <c r="J15" i="4" s="1"/>
  <c r="J16" i="4" l="1"/>
  <c r="H22" i="12"/>
  <c r="I22" i="12"/>
  <c r="G27" i="12"/>
  <c r="H13" i="12"/>
  <c r="I13" i="12" s="1"/>
  <c r="F9" i="8"/>
  <c r="H27" i="12" l="1"/>
  <c r="D29" i="12"/>
  <c r="I27" i="12"/>
  <c r="F16" i="4" l="1"/>
  <c r="F27" i="5" s="1"/>
  <c r="F28" i="5" s="1"/>
  <c r="G16" i="4"/>
  <c r="G27" i="5" s="1"/>
  <c r="G28" i="5" s="1"/>
  <c r="H16" i="4" l="1"/>
  <c r="F12" i="8"/>
  <c r="G12" i="8" s="1"/>
  <c r="F11" i="8"/>
  <c r="G11" i="8" s="1"/>
  <c r="F10" i="8"/>
  <c r="G10" i="8" s="1"/>
  <c r="G9" i="8"/>
  <c r="A4" i="8"/>
  <c r="E3" i="8"/>
  <c r="A3" i="8"/>
  <c r="G13" i="8" l="1"/>
  <c r="A4" i="6"/>
  <c r="D3" i="6"/>
  <c r="A3" i="6"/>
  <c r="A4" i="5"/>
  <c r="D3" i="5"/>
  <c r="A3" i="5"/>
  <c r="A4" i="4"/>
  <c r="E3" i="4"/>
  <c r="A3" i="4"/>
  <c r="A4" i="3"/>
  <c r="B3" i="3"/>
  <c r="A3" i="3"/>
  <c r="A4" i="2"/>
  <c r="B3" i="2"/>
  <c r="A3" i="2"/>
</calcChain>
</file>

<file path=xl/sharedStrings.xml><?xml version="1.0" encoding="utf-8"?>
<sst xmlns="http://schemas.openxmlformats.org/spreadsheetml/2006/main" count="590" uniqueCount="494">
  <si>
    <t>致同会计师事务所</t>
  </si>
  <si>
    <t>合计</t>
  </si>
  <si>
    <t>1、概述：（1）程序的测试情况、结果；</t>
  </si>
  <si>
    <t>（2）拟调整事项及其调整分录、未调整事项及其影响，审计范围受到限制情况及其影响。</t>
  </si>
  <si>
    <t>编制说明：</t>
    <phoneticPr fontId="10" type="noConversion"/>
  </si>
  <si>
    <r>
      <t>参考结论：</t>
    </r>
    <r>
      <rPr>
        <sz val="12"/>
        <rFont val="Arial Narrow"/>
        <family val="2"/>
      </rPr>
      <t/>
    </r>
    <phoneticPr fontId="10" type="noConversion"/>
  </si>
  <si>
    <r>
      <t>A</t>
    </r>
    <r>
      <rPr>
        <sz val="10"/>
        <color indexed="12"/>
        <rFont val="宋体"/>
        <family val="3"/>
        <charset val="134"/>
      </rPr>
      <t>、</t>
    </r>
    <phoneticPr fontId="10" type="noConversion"/>
  </si>
  <si>
    <t>未见异常。</t>
    <phoneticPr fontId="10" type="noConversion"/>
  </si>
  <si>
    <r>
      <t>B</t>
    </r>
    <r>
      <rPr>
        <sz val="10"/>
        <color indexed="12"/>
        <rFont val="宋体"/>
        <family val="3"/>
        <charset val="134"/>
      </rPr>
      <t>、</t>
    </r>
    <phoneticPr fontId="10" type="noConversion"/>
  </si>
  <si>
    <t>除以下重大不符事项应当作为调整事项予以调整外，其余未见异常。</t>
    <phoneticPr fontId="10" type="noConversion"/>
  </si>
  <si>
    <r>
      <t>C</t>
    </r>
    <r>
      <rPr>
        <sz val="10"/>
        <color indexed="12"/>
        <rFont val="宋体"/>
        <family val="3"/>
        <charset val="134"/>
      </rPr>
      <t>、</t>
    </r>
    <phoneticPr fontId="10" type="noConversion"/>
  </si>
  <si>
    <t>由于存在以下重大未调整事项（或审计范围受到限制无法获取充分、适当证据），不可确认。</t>
    <phoneticPr fontId="10" type="noConversion"/>
  </si>
  <si>
    <t>2、选取测试项目的方法：包括选取全部项目、选取特定项目和审计抽样。</t>
  </si>
  <si>
    <t>三、审计说明：</t>
    <phoneticPr fontId="10" type="noConversion"/>
  </si>
  <si>
    <t>底稿开列时，可先在以下单元格填写有关内容，以便其他底稿引用有关数据：</t>
    <phoneticPr fontId="10" type="noConversion"/>
  </si>
  <si>
    <t>序号</t>
    <phoneticPr fontId="10" type="noConversion"/>
  </si>
  <si>
    <t>内容</t>
  </si>
  <si>
    <t>编制人：</t>
    <phoneticPr fontId="10" type="noConversion"/>
  </si>
  <si>
    <t>审定表</t>
    <phoneticPr fontId="3" type="noConversion"/>
  </si>
  <si>
    <t>附注披露信息（上市公司）</t>
    <phoneticPr fontId="3" type="noConversion"/>
  </si>
  <si>
    <t>附注披露信息（国企）</t>
    <phoneticPr fontId="3" type="noConversion"/>
  </si>
  <si>
    <r>
      <rPr>
        <b/>
        <sz val="10"/>
        <color indexed="8"/>
        <rFont val="宋体"/>
        <family val="3"/>
        <charset val="134"/>
      </rPr>
      <t>一、审计目标</t>
    </r>
    <r>
      <rPr>
        <b/>
        <sz val="10"/>
        <color indexed="8"/>
        <rFont val="Arial Narrow"/>
        <family val="2"/>
      </rPr>
      <t>:</t>
    </r>
    <phoneticPr fontId="11" type="noConversion"/>
  </si>
  <si>
    <r>
      <rPr>
        <b/>
        <sz val="10"/>
        <rFont val="宋体"/>
        <family val="3"/>
        <charset val="134"/>
      </rPr>
      <t>二、审计过程：</t>
    </r>
    <phoneticPr fontId="11" type="noConversion"/>
  </si>
  <si>
    <t>四、审计结论：</t>
    <phoneticPr fontId="3" type="noConversion"/>
  </si>
  <si>
    <t>复核人：</t>
    <phoneticPr fontId="10" type="noConversion"/>
  </si>
  <si>
    <r>
      <rPr>
        <b/>
        <sz val="10"/>
        <rFont val="宋体"/>
        <family val="3"/>
        <charset val="134"/>
      </rPr>
      <t>二、审计过程：</t>
    </r>
    <phoneticPr fontId="11" type="noConversion"/>
  </si>
  <si>
    <r>
      <rPr>
        <b/>
        <sz val="10"/>
        <rFont val="宋体"/>
        <family val="3"/>
        <charset val="134"/>
      </rPr>
      <t>投资种类</t>
    </r>
    <phoneticPr fontId="10" type="noConversion"/>
  </si>
  <si>
    <r>
      <rPr>
        <b/>
        <sz val="10"/>
        <rFont val="宋体"/>
        <family val="3"/>
        <charset val="134"/>
      </rPr>
      <t>三、审计说明：</t>
    </r>
    <phoneticPr fontId="10" type="noConversion"/>
  </si>
  <si>
    <r>
      <rPr>
        <b/>
        <sz val="10"/>
        <rFont val="宋体"/>
        <family val="3"/>
        <charset val="134"/>
      </rPr>
      <t>四、审计结论：</t>
    </r>
    <phoneticPr fontId="3" type="noConversion"/>
  </si>
  <si>
    <r>
      <rPr>
        <i/>
        <sz val="10"/>
        <color indexed="12"/>
        <rFont val="宋体"/>
        <family val="3"/>
        <charset val="134"/>
      </rPr>
      <t>编制说明：</t>
    </r>
    <phoneticPr fontId="10" type="noConversion"/>
  </si>
  <si>
    <t>合计</t>
    <phoneticPr fontId="3" type="noConversion"/>
  </si>
  <si>
    <r>
      <rPr>
        <b/>
        <sz val="10"/>
        <rFont val="宋体"/>
        <family val="3"/>
        <charset val="134"/>
      </rPr>
      <t>三、审计说明：</t>
    </r>
    <phoneticPr fontId="58" type="noConversion"/>
  </si>
  <si>
    <r>
      <rPr>
        <b/>
        <sz val="10"/>
        <rFont val="宋体"/>
        <family val="3"/>
        <charset val="134"/>
      </rPr>
      <t>四、审计结论：</t>
    </r>
    <phoneticPr fontId="10" type="noConversion"/>
  </si>
  <si>
    <r>
      <rPr>
        <i/>
        <sz val="10"/>
        <color indexed="12"/>
        <rFont val="宋体"/>
        <family val="3"/>
        <charset val="134"/>
      </rPr>
      <t>编制说明：</t>
    </r>
    <phoneticPr fontId="10" type="noConversion"/>
  </si>
  <si>
    <r>
      <rPr>
        <b/>
        <sz val="10"/>
        <color indexed="12"/>
        <rFont val="宋体"/>
        <family val="3"/>
        <charset val="134"/>
      </rPr>
      <t>参考结论：</t>
    </r>
    <r>
      <rPr>
        <sz val="12"/>
        <rFont val="Arial Narrow"/>
        <family val="2"/>
      </rPr>
      <t/>
    </r>
    <phoneticPr fontId="10" type="noConversion"/>
  </si>
  <si>
    <r>
      <t>A</t>
    </r>
    <r>
      <rPr>
        <sz val="10"/>
        <color indexed="12"/>
        <rFont val="宋体"/>
        <family val="3"/>
        <charset val="134"/>
      </rPr>
      <t>、</t>
    </r>
    <phoneticPr fontId="10" type="noConversion"/>
  </si>
  <si>
    <r>
      <rPr>
        <sz val="10"/>
        <color indexed="12"/>
        <rFont val="宋体"/>
        <family val="3"/>
        <charset val="134"/>
      </rPr>
      <t>未见异常。</t>
    </r>
    <phoneticPr fontId="10" type="noConversion"/>
  </si>
  <si>
    <r>
      <t>B</t>
    </r>
    <r>
      <rPr>
        <sz val="10"/>
        <color indexed="12"/>
        <rFont val="宋体"/>
        <family val="3"/>
        <charset val="134"/>
      </rPr>
      <t>、</t>
    </r>
    <phoneticPr fontId="10" type="noConversion"/>
  </si>
  <si>
    <r>
      <rPr>
        <sz val="10"/>
        <color indexed="12"/>
        <rFont val="宋体"/>
        <family val="3"/>
        <charset val="134"/>
      </rPr>
      <t>除以下重大不符事项应当作为调整事项予以调整外，其余未见异常。</t>
    </r>
    <phoneticPr fontId="10" type="noConversion"/>
  </si>
  <si>
    <r>
      <t>C</t>
    </r>
    <r>
      <rPr>
        <sz val="10"/>
        <color indexed="12"/>
        <rFont val="宋体"/>
        <family val="3"/>
        <charset val="134"/>
      </rPr>
      <t>、</t>
    </r>
    <phoneticPr fontId="10" type="noConversion"/>
  </si>
  <si>
    <r>
      <rPr>
        <sz val="10"/>
        <color indexed="12"/>
        <rFont val="宋体"/>
        <family val="3"/>
        <charset val="134"/>
      </rPr>
      <t>由于存在以下重大未调整事项（或审计范围受到限制无法获取充分、适当证据），不可确认。</t>
    </r>
    <phoneticPr fontId="10" type="noConversion"/>
  </si>
  <si>
    <r>
      <rPr>
        <sz val="10"/>
        <color indexed="12"/>
        <rFont val="宋体"/>
        <family val="3"/>
        <charset val="134"/>
      </rPr>
      <t>（</t>
    </r>
    <r>
      <rPr>
        <sz val="10"/>
        <color indexed="12"/>
        <rFont val="Arial Narrow"/>
        <family val="2"/>
      </rPr>
      <t>1</t>
    </r>
    <r>
      <rPr>
        <sz val="10"/>
        <color indexed="12"/>
        <rFont val="宋体"/>
        <family val="3"/>
        <charset val="134"/>
      </rPr>
      <t>）</t>
    </r>
    <phoneticPr fontId="10" type="noConversion"/>
  </si>
  <si>
    <r>
      <rPr>
        <sz val="10"/>
        <color indexed="12"/>
        <rFont val="宋体"/>
        <family val="3"/>
        <charset val="134"/>
      </rPr>
      <t>当存在下列情形之一时，注册会计师应当考虑选取全部项目进行测试：</t>
    </r>
    <phoneticPr fontId="10" type="noConversion"/>
  </si>
  <si>
    <r>
      <rPr>
        <sz val="10"/>
        <color indexed="12"/>
        <rFont val="宋体"/>
        <family val="3"/>
        <charset val="134"/>
      </rPr>
      <t>（一）总体由少量的大额项目构成；</t>
    </r>
    <phoneticPr fontId="10" type="noConversion"/>
  </si>
  <si>
    <r>
      <rPr>
        <sz val="10"/>
        <color indexed="12"/>
        <rFont val="宋体"/>
        <family val="3"/>
        <charset val="134"/>
      </rPr>
      <t>（二）存在特别风险且其他方法未提供充分、适当的审计证据；</t>
    </r>
    <phoneticPr fontId="10" type="noConversion"/>
  </si>
  <si>
    <r>
      <rPr>
        <sz val="10"/>
        <color indexed="12"/>
        <rFont val="宋体"/>
        <family val="3"/>
        <charset val="134"/>
      </rPr>
      <t>（三）由于信息系统自动执行的计算或其他程序具有重复性，对全部项目进行检查符合成本效益原则。</t>
    </r>
    <phoneticPr fontId="10" type="noConversion"/>
  </si>
  <si>
    <r>
      <rPr>
        <b/>
        <sz val="10"/>
        <color indexed="12"/>
        <rFont val="宋体"/>
        <family val="3"/>
        <charset val="134"/>
      </rPr>
      <t>特别风险涉及的事项包括但不限于：</t>
    </r>
    <r>
      <rPr>
        <sz val="10"/>
        <color indexed="12"/>
        <rFont val="Arial Narrow"/>
        <family val="2"/>
      </rPr>
      <t/>
    </r>
    <phoneticPr fontId="10" type="noConversion"/>
  </si>
  <si>
    <r>
      <t>（1</t>
    </r>
    <r>
      <rPr>
        <sz val="10"/>
        <color indexed="12"/>
        <rFont val="宋体"/>
        <family val="3"/>
        <charset val="134"/>
      </rPr>
      <t>）舞弊风险（如</t>
    </r>
    <r>
      <rPr>
        <sz val="10"/>
        <color indexed="12"/>
        <rFont val="Arial Narrow"/>
        <family val="2"/>
      </rPr>
      <t>1141</t>
    </r>
    <r>
      <rPr>
        <sz val="10"/>
        <color indexed="12"/>
        <rFont val="宋体"/>
        <family val="3"/>
        <charset val="134"/>
      </rPr>
      <t>准则的示例）；（</t>
    </r>
    <r>
      <rPr>
        <sz val="10"/>
        <color indexed="12"/>
        <rFont val="Arial Narrow"/>
        <family val="2"/>
      </rPr>
      <t>2</t>
    </r>
    <r>
      <rPr>
        <sz val="10"/>
        <color indexed="12"/>
        <rFont val="宋体"/>
        <family val="3"/>
        <charset val="134"/>
      </rPr>
      <t>）重大非常规交易（如企业购并、债务重组、非货币性资产交换、</t>
    </r>
    <phoneticPr fontId="10" type="noConversion"/>
  </si>
  <si>
    <r>
      <rPr>
        <sz val="10"/>
        <color indexed="12"/>
        <rFont val="宋体"/>
        <family val="3"/>
        <charset val="134"/>
      </rPr>
      <t>重大或有事项、持续经营、违反法律法规等）；</t>
    </r>
    <r>
      <rPr>
        <sz val="10"/>
        <color indexed="12"/>
        <rFont val="Arial Narrow"/>
        <family val="2"/>
      </rPr>
      <t>(3)</t>
    </r>
    <r>
      <rPr>
        <sz val="10"/>
        <color indexed="12"/>
        <rFont val="宋体"/>
        <family val="3"/>
        <charset val="134"/>
      </rPr>
      <t>重大关联交易；</t>
    </r>
    <r>
      <rPr>
        <sz val="10"/>
        <color indexed="12"/>
        <rFont val="Arial Narrow"/>
        <family val="2"/>
      </rPr>
      <t>(4)</t>
    </r>
    <r>
      <rPr>
        <sz val="10"/>
        <color indexed="12"/>
        <rFont val="宋体"/>
        <family val="3"/>
        <charset val="134"/>
      </rPr>
      <t>重大判断事项（如重大会计估计、</t>
    </r>
  </si>
  <si>
    <r>
      <rPr>
        <sz val="10"/>
        <color indexed="12"/>
        <rFont val="宋体"/>
        <family val="3"/>
        <charset val="134"/>
      </rPr>
      <t>会计政策及其变更）；</t>
    </r>
    <r>
      <rPr>
        <sz val="10"/>
        <color indexed="12"/>
        <rFont val="Arial Narrow"/>
        <family val="2"/>
      </rPr>
      <t>(5)</t>
    </r>
    <r>
      <rPr>
        <sz val="10"/>
        <color indexed="12"/>
        <rFont val="宋体"/>
        <family val="3"/>
        <charset val="134"/>
      </rPr>
      <t>重大复杂交易；</t>
    </r>
    <r>
      <rPr>
        <sz val="10"/>
        <color indexed="12"/>
        <rFont val="Arial Narrow"/>
        <family val="2"/>
      </rPr>
      <t>(6)</t>
    </r>
    <r>
      <rPr>
        <sz val="10"/>
        <color indexed="12"/>
        <rFont val="宋体"/>
        <family val="3"/>
        <charset val="134"/>
      </rPr>
      <t>仅通过实质性程序无法应对的重大错报风险（如日常交易采用</t>
    </r>
  </si>
  <si>
    <r>
      <rPr>
        <sz val="10"/>
        <color indexed="12"/>
        <rFont val="宋体"/>
        <family val="3"/>
        <charset val="134"/>
      </rPr>
      <t>高度自动化处理）等等。</t>
    </r>
    <phoneticPr fontId="10" type="noConversion"/>
  </si>
  <si>
    <r>
      <rPr>
        <sz val="10"/>
        <color indexed="12"/>
        <rFont val="宋体"/>
        <family val="3"/>
        <charset val="134"/>
      </rPr>
      <t>（</t>
    </r>
    <r>
      <rPr>
        <sz val="10"/>
        <color indexed="12"/>
        <rFont val="Arial Narrow"/>
        <family val="2"/>
      </rPr>
      <t>2</t>
    </r>
    <r>
      <rPr>
        <sz val="10"/>
        <color indexed="12"/>
        <rFont val="宋体"/>
        <family val="3"/>
        <charset val="134"/>
      </rPr>
      <t>）</t>
    </r>
    <phoneticPr fontId="10" type="noConversion"/>
  </si>
  <si>
    <r>
      <rPr>
        <sz val="10"/>
        <color indexed="12"/>
        <rFont val="宋体"/>
        <family val="3"/>
        <charset val="134"/>
      </rPr>
      <t>选取的特定项目可能包括：</t>
    </r>
  </si>
  <si>
    <r>
      <rPr>
        <sz val="10"/>
        <color indexed="12"/>
        <rFont val="宋体"/>
        <family val="3"/>
        <charset val="134"/>
      </rPr>
      <t>（一）大额或关键项目；</t>
    </r>
    <phoneticPr fontId="10" type="noConversion"/>
  </si>
  <si>
    <r>
      <rPr>
        <sz val="10"/>
        <color indexed="12"/>
        <rFont val="宋体"/>
        <family val="3"/>
        <charset val="134"/>
      </rPr>
      <t>（二）超过某一金额的全部项目；</t>
    </r>
    <phoneticPr fontId="10" type="noConversion"/>
  </si>
  <si>
    <r>
      <rPr>
        <sz val="10"/>
        <color indexed="12"/>
        <rFont val="宋体"/>
        <family val="3"/>
        <charset val="134"/>
      </rPr>
      <t>（三）被用于获取某些信息的项目；</t>
    </r>
    <phoneticPr fontId="10" type="noConversion"/>
  </si>
  <si>
    <r>
      <rPr>
        <sz val="10"/>
        <color indexed="12"/>
        <rFont val="宋体"/>
        <family val="3"/>
        <charset val="134"/>
      </rPr>
      <t>（四）被用于测试控制活动的项目。</t>
    </r>
    <phoneticPr fontId="10" type="noConversion"/>
  </si>
  <si>
    <r>
      <rPr>
        <sz val="10"/>
        <color indexed="12"/>
        <rFont val="宋体"/>
        <family val="3"/>
        <charset val="134"/>
      </rPr>
      <t>根据判断选取特定项目，容易产生非抽样风险。</t>
    </r>
    <phoneticPr fontId="10" type="noConversion"/>
  </si>
  <si>
    <r>
      <rPr>
        <sz val="10"/>
        <color indexed="12"/>
        <rFont val="宋体"/>
        <family val="3"/>
        <charset val="134"/>
      </rPr>
      <t>选取特定项目实施检查，通常是获取审计证据的有效手段，但并不构成审计抽样。</t>
    </r>
    <phoneticPr fontId="10" type="noConversion"/>
  </si>
  <si>
    <r>
      <rPr>
        <b/>
        <sz val="10"/>
        <color indexed="12"/>
        <rFont val="宋体"/>
        <family val="3"/>
        <charset val="134"/>
      </rPr>
      <t>非抽样风险</t>
    </r>
    <r>
      <rPr>
        <sz val="10"/>
        <color indexed="12"/>
        <rFont val="宋体"/>
        <family val="3"/>
        <charset val="134"/>
      </rPr>
      <t>是指由于某些与样本规模无关的因素而导致注册会计师得出错误结论的可能性。</t>
    </r>
    <phoneticPr fontId="10" type="noConversion"/>
  </si>
  <si>
    <r>
      <rPr>
        <sz val="10"/>
        <color indexed="12"/>
        <rFont val="宋体"/>
        <family val="3"/>
        <charset val="134"/>
      </rPr>
      <t>　　注册会计师采用不适当的审计程序，或者误解审计证据而没有发现误差等，均可能导致非抽样风险。</t>
    </r>
  </si>
  <si>
    <r>
      <rPr>
        <sz val="10"/>
        <color indexed="12"/>
        <rFont val="宋体"/>
        <family val="3"/>
        <charset val="134"/>
      </rPr>
      <t>　　在实施控制测试时，误差是指控制偏差；在实施细节测试时，误差是指错报。</t>
    </r>
  </si>
  <si>
    <r>
      <rPr>
        <sz val="10"/>
        <color indexed="12"/>
        <rFont val="宋体"/>
        <family val="3"/>
        <charset val="134"/>
      </rPr>
      <t>（</t>
    </r>
    <r>
      <rPr>
        <sz val="10"/>
        <color indexed="12"/>
        <rFont val="Arial Narrow"/>
        <family val="2"/>
      </rPr>
      <t>3</t>
    </r>
    <r>
      <rPr>
        <sz val="10"/>
        <color indexed="12"/>
        <rFont val="宋体"/>
        <family val="3"/>
        <charset val="134"/>
      </rPr>
      <t>）</t>
    </r>
    <phoneticPr fontId="10" type="noConversion"/>
  </si>
  <si>
    <r>
      <rPr>
        <sz val="10"/>
        <color indexed="12"/>
        <rFont val="宋体"/>
        <family val="3"/>
        <charset val="134"/>
      </rPr>
      <t>审计抽样，是指注册会计师对某类交易或账户余额中低于百分之百的项目实施审计程序，</t>
    </r>
    <r>
      <rPr>
        <b/>
        <sz val="10"/>
        <color indexed="12"/>
        <rFont val="宋体"/>
        <family val="3"/>
        <charset val="134"/>
      </rPr>
      <t>使所有抽样单元都有被选取的机会</t>
    </r>
    <r>
      <rPr>
        <sz val="10"/>
        <color indexed="12"/>
        <rFont val="宋体"/>
        <family val="3"/>
        <charset val="134"/>
      </rPr>
      <t>。</t>
    </r>
    <phoneticPr fontId="10" type="noConversion"/>
  </si>
  <si>
    <r>
      <rPr>
        <sz val="10"/>
        <color indexed="12"/>
        <rFont val="宋体"/>
        <family val="3"/>
        <charset val="134"/>
      </rPr>
      <t>统计抽样是指同时具备下列特征的抽样方法：</t>
    </r>
  </si>
  <si>
    <r>
      <rPr>
        <sz val="10"/>
        <color indexed="12"/>
        <rFont val="宋体"/>
        <family val="3"/>
        <charset val="134"/>
      </rPr>
      <t>（一）随机选取样本；</t>
    </r>
    <phoneticPr fontId="10" type="noConversion"/>
  </si>
  <si>
    <r>
      <rPr>
        <sz val="10"/>
        <color indexed="12"/>
        <rFont val="宋体"/>
        <family val="3"/>
        <charset val="134"/>
      </rPr>
      <t>（二）运用概率论评价样本结果，包括计量抽样风险。</t>
    </r>
    <phoneticPr fontId="10" type="noConversion"/>
  </si>
  <si>
    <r>
      <rPr>
        <sz val="10"/>
        <color indexed="12"/>
        <rFont val="宋体"/>
        <family val="3"/>
        <charset val="134"/>
      </rPr>
      <t>不同时具备上述两个特征的抽样方法为非统计抽样。</t>
    </r>
    <phoneticPr fontId="10" type="noConversion"/>
  </si>
  <si>
    <r>
      <rPr>
        <sz val="10"/>
        <color indexed="12"/>
        <rFont val="宋体"/>
        <family val="3"/>
        <charset val="134"/>
      </rPr>
      <t>在实施细节测试时，特别是测试高估时，将构成某类交易或账户余额的每一货币单位（如人民币元）作为抽样单元，通常效率很高。</t>
    </r>
    <phoneticPr fontId="10" type="noConversion"/>
  </si>
  <si>
    <r>
      <rPr>
        <sz val="10"/>
        <color indexed="12"/>
        <rFont val="宋体"/>
        <family val="3"/>
        <charset val="134"/>
      </rPr>
      <t>即在测试存在性时，选择大额项目的效率较高。</t>
    </r>
    <phoneticPr fontId="10" type="noConversion"/>
  </si>
  <si>
    <r>
      <rPr>
        <b/>
        <sz val="10"/>
        <color indexed="12"/>
        <rFont val="宋体"/>
        <family val="3"/>
        <charset val="134"/>
      </rPr>
      <t>分层</t>
    </r>
    <r>
      <rPr>
        <sz val="10"/>
        <color indexed="12"/>
        <rFont val="宋体"/>
        <family val="3"/>
        <charset val="134"/>
      </rPr>
      <t>是指将一个总体划分为多个子总体的过程，每个子总体由一组具有相同特征（通常为货币金额）的抽样单元组成。</t>
    </r>
    <phoneticPr fontId="10" type="noConversion"/>
  </si>
  <si>
    <r>
      <rPr>
        <sz val="10"/>
        <color indexed="12"/>
        <rFont val="宋体"/>
        <family val="3"/>
        <charset val="134"/>
      </rPr>
      <t>当实施细节测试时，注册会计师通常按照货币金额对某类交易或账户余额进行分层，以将更多的审计资源投入到大额项目中。</t>
    </r>
    <phoneticPr fontId="10" type="noConversion"/>
  </si>
  <si>
    <r>
      <rPr>
        <sz val="10"/>
        <color indexed="12"/>
        <rFont val="宋体"/>
        <family val="3"/>
        <charset val="134"/>
      </rPr>
      <t>在统计抽样中，注册会计师应当随机选取样本项目，以使每一抽样单元以已知的机会被选中。</t>
    </r>
    <phoneticPr fontId="10" type="noConversion"/>
  </si>
  <si>
    <r>
      <rPr>
        <sz val="10"/>
        <color indexed="12"/>
        <rFont val="宋体"/>
        <family val="3"/>
        <charset val="134"/>
      </rPr>
      <t>在非统计抽样中，注册会计师应当运用职业判断选取样本项目。</t>
    </r>
    <phoneticPr fontId="10" type="noConversion"/>
  </si>
  <si>
    <r>
      <rPr>
        <sz val="10"/>
        <color indexed="12"/>
        <rFont val="宋体"/>
        <family val="3"/>
        <charset val="134"/>
      </rPr>
      <t>注册会计师可以使用统计学公式或运用职业判断，确定样本规模。</t>
    </r>
    <phoneticPr fontId="10" type="noConversion"/>
  </si>
  <si>
    <r>
      <rPr>
        <sz val="10"/>
        <color indexed="12"/>
        <rFont val="宋体"/>
        <family val="3"/>
        <charset val="134"/>
      </rPr>
      <t>参考：样本规模</t>
    </r>
    <r>
      <rPr>
        <sz val="10"/>
        <color indexed="12"/>
        <rFont val="Arial Narrow"/>
        <family val="2"/>
      </rPr>
      <t>=</t>
    </r>
    <r>
      <rPr>
        <sz val="10"/>
        <color indexed="12"/>
        <rFont val="宋体"/>
        <family val="3"/>
        <charset val="134"/>
      </rPr>
      <t>账面价值</t>
    </r>
    <r>
      <rPr>
        <sz val="10"/>
        <color indexed="12"/>
        <rFont val="Arial Narrow"/>
        <family val="2"/>
      </rPr>
      <t>×</t>
    </r>
    <r>
      <rPr>
        <sz val="10"/>
        <color indexed="12"/>
        <rFont val="宋体"/>
        <family val="3"/>
        <charset val="134"/>
      </rPr>
      <t>风险系数</t>
    </r>
    <r>
      <rPr>
        <sz val="10"/>
        <color indexed="12"/>
        <rFont val="Arial Narrow"/>
        <family val="2"/>
      </rPr>
      <t>/</t>
    </r>
    <r>
      <rPr>
        <sz val="10"/>
        <color indexed="12"/>
        <rFont val="宋体"/>
        <family val="3"/>
        <charset val="134"/>
      </rPr>
      <t>（可容忍错报</t>
    </r>
    <r>
      <rPr>
        <sz val="10"/>
        <color indexed="12"/>
        <rFont val="Arial Narrow"/>
        <family val="2"/>
      </rPr>
      <t>-</t>
    </r>
    <r>
      <rPr>
        <sz val="10"/>
        <color indexed="12"/>
        <rFont val="宋体"/>
        <family val="3"/>
        <charset val="134"/>
      </rPr>
      <t>（预计错报</t>
    </r>
    <r>
      <rPr>
        <sz val="10"/>
        <color indexed="12"/>
        <rFont val="Arial Narrow"/>
        <family val="2"/>
      </rPr>
      <t>×</t>
    </r>
    <r>
      <rPr>
        <sz val="10"/>
        <color indexed="12"/>
        <rFont val="宋体"/>
        <family val="3"/>
        <charset val="134"/>
      </rPr>
      <t>扩展系数））</t>
    </r>
    <phoneticPr fontId="10" type="noConversion"/>
  </si>
  <si>
    <r>
      <rPr>
        <sz val="10"/>
        <color indexed="12"/>
        <rFont val="宋体"/>
        <family val="3"/>
        <charset val="134"/>
      </rPr>
      <t>选取样本的基本方法，包括使用随机数表或计算机辅助审计技术选样、系统选样和</t>
    </r>
    <r>
      <rPr>
        <b/>
        <sz val="10"/>
        <color indexed="12"/>
        <rFont val="宋体"/>
        <family val="3"/>
        <charset val="134"/>
      </rPr>
      <t>随意选样</t>
    </r>
    <r>
      <rPr>
        <sz val="10"/>
        <color indexed="12"/>
        <rFont val="宋体"/>
        <family val="3"/>
        <charset val="134"/>
      </rPr>
      <t>。</t>
    </r>
    <phoneticPr fontId="10" type="noConversion"/>
  </si>
  <si>
    <r>
      <rPr>
        <b/>
        <sz val="10"/>
        <color indexed="12"/>
        <rFont val="宋体"/>
        <family val="3"/>
        <charset val="134"/>
      </rPr>
      <t>预计错报的扩展系数</t>
    </r>
    <phoneticPr fontId="10" type="noConversion"/>
  </si>
  <si>
    <r>
      <rPr>
        <b/>
        <sz val="10"/>
        <color indexed="12"/>
        <rFont val="宋体"/>
        <family val="3"/>
        <charset val="134"/>
      </rPr>
      <t>误受风险（</t>
    </r>
    <r>
      <rPr>
        <b/>
        <sz val="10"/>
        <color indexed="12"/>
        <rFont val="Arial Narrow"/>
        <family val="2"/>
      </rPr>
      <t>%</t>
    </r>
    <r>
      <rPr>
        <b/>
        <sz val="10"/>
        <color indexed="12"/>
        <rFont val="宋体"/>
        <family val="3"/>
        <charset val="134"/>
      </rPr>
      <t>）</t>
    </r>
  </si>
  <si>
    <r>
      <rPr>
        <b/>
        <sz val="10"/>
        <color indexed="12"/>
        <rFont val="宋体"/>
        <family val="3"/>
        <charset val="134"/>
      </rPr>
      <t>扩展系数</t>
    </r>
  </si>
  <si>
    <r>
      <rPr>
        <b/>
        <sz val="10"/>
        <rFont val="宋体"/>
        <family val="3"/>
        <charset val="134"/>
      </rPr>
      <t>票面金额</t>
    </r>
    <phoneticPr fontId="10" type="noConversion"/>
  </si>
  <si>
    <r>
      <rPr>
        <b/>
        <sz val="10"/>
        <rFont val="宋体"/>
        <family val="3"/>
        <charset val="134"/>
      </rPr>
      <t>票面年利率</t>
    </r>
    <phoneticPr fontId="10" type="noConversion"/>
  </si>
  <si>
    <r>
      <rPr>
        <b/>
        <sz val="10"/>
        <rFont val="宋体"/>
        <family val="3"/>
        <charset val="134"/>
      </rPr>
      <t>计息天数</t>
    </r>
    <phoneticPr fontId="10" type="noConversion"/>
  </si>
  <si>
    <r>
      <rPr>
        <b/>
        <sz val="10"/>
        <rFont val="宋体"/>
        <family val="3"/>
        <charset val="134"/>
      </rPr>
      <t>应计利息</t>
    </r>
    <phoneticPr fontId="10" type="noConversion"/>
  </si>
  <si>
    <r>
      <rPr>
        <b/>
        <sz val="10"/>
        <rFont val="宋体"/>
        <family val="3"/>
        <charset val="134"/>
      </rPr>
      <t>已计利息</t>
    </r>
    <phoneticPr fontId="10" type="noConversion"/>
  </si>
  <si>
    <r>
      <rPr>
        <b/>
        <sz val="10"/>
        <rFont val="宋体"/>
        <family val="3"/>
        <charset val="134"/>
      </rPr>
      <t>差异</t>
    </r>
    <phoneticPr fontId="10" type="noConversion"/>
  </si>
  <si>
    <r>
      <rPr>
        <b/>
        <sz val="10"/>
        <rFont val="宋体"/>
        <family val="3"/>
        <charset val="134"/>
      </rPr>
      <t>差异原因</t>
    </r>
    <phoneticPr fontId="10" type="noConversion"/>
  </si>
  <si>
    <r>
      <rPr>
        <b/>
        <sz val="10"/>
        <rFont val="宋体"/>
        <family val="3"/>
        <charset val="134"/>
      </rPr>
      <t>三、审计说明：</t>
    </r>
    <phoneticPr fontId="10" type="noConversion"/>
  </si>
  <si>
    <r>
      <rPr>
        <b/>
        <sz val="10"/>
        <rFont val="宋体"/>
        <family val="3"/>
        <charset val="134"/>
      </rPr>
      <t>四、审计结论：</t>
    </r>
    <phoneticPr fontId="3" type="noConversion"/>
  </si>
  <si>
    <t>确认应收利息计算是否正确。</t>
    <phoneticPr fontId="3" type="noConversion"/>
  </si>
  <si>
    <t>一、审计目标：</t>
    <phoneticPr fontId="11" type="noConversion"/>
  </si>
  <si>
    <r>
      <rPr>
        <sz val="12"/>
        <rFont val="仿宋_GB2312"/>
        <family val="3"/>
        <charset val="134"/>
      </rPr>
      <t>附注披露信息</t>
    </r>
    <phoneticPr fontId="10" type="noConversion"/>
  </si>
  <si>
    <t>附注披露信息</t>
    <phoneticPr fontId="10" type="noConversion"/>
  </si>
  <si>
    <t>项  目</t>
  </si>
  <si>
    <t>期末余额</t>
  </si>
  <si>
    <t>合  计</t>
  </si>
  <si>
    <t>应收利息坏账准备测算表</t>
  </si>
  <si>
    <t>应收利息坏账准备测算表</t>
    <phoneticPr fontId="10" type="noConversion"/>
  </si>
  <si>
    <t>确定应收利息坏账准备计提是否充分。</t>
  </si>
  <si>
    <r>
      <rPr>
        <b/>
        <sz val="12"/>
        <color rgb="FF0000FF"/>
        <rFont val="宋体"/>
        <family val="3"/>
        <charset val="134"/>
      </rPr>
      <t>【其他应收款、应收股利与应收利息的合计数披露详见</t>
    </r>
    <r>
      <rPr>
        <b/>
        <sz val="12"/>
        <color rgb="FF0000FF"/>
        <rFont val="Arial Narrow"/>
        <family val="2"/>
      </rPr>
      <t>M1-1</t>
    </r>
    <r>
      <rPr>
        <b/>
        <sz val="12"/>
        <color rgb="FF0000FF"/>
        <rFont val="宋体"/>
        <family val="3"/>
        <charset val="134"/>
      </rPr>
      <t>】</t>
    </r>
    <phoneticPr fontId="10" type="noConversion"/>
  </si>
  <si>
    <t>索引号</t>
    <phoneticPr fontId="3" type="noConversion"/>
  </si>
  <si>
    <t>无需打印</t>
    <phoneticPr fontId="3" type="noConversion"/>
  </si>
  <si>
    <t>期初余额</t>
    <phoneticPr fontId="11" type="noConversion"/>
  </si>
  <si>
    <t>借方发生</t>
    <phoneticPr fontId="11" type="noConversion"/>
  </si>
  <si>
    <t>贷方发生</t>
    <phoneticPr fontId="11" type="noConversion"/>
  </si>
  <si>
    <t>期末余额</t>
    <phoneticPr fontId="11" type="noConversion"/>
  </si>
  <si>
    <t>账项调整</t>
    <phoneticPr fontId="10" type="noConversion"/>
  </si>
  <si>
    <t>应收取的日期（结息日）</t>
    <phoneticPr fontId="10" type="noConversion"/>
  </si>
  <si>
    <t>预计收取日期</t>
    <phoneticPr fontId="10" type="noConversion"/>
  </si>
  <si>
    <t>注：“应收利息”仅反映相关金融工具已到期可收取但于资产负债表日尚未收到的利息。基于实际利率法计提的金融工具的利息应包含在相应金融工具的账面余额中。</t>
    <phoneticPr fontId="10" type="noConversion"/>
  </si>
  <si>
    <t>发函或期后收款情况</t>
    <phoneticPr fontId="10" type="noConversion"/>
  </si>
  <si>
    <t>投资项目</t>
    <phoneticPr fontId="10" type="noConversion"/>
  </si>
  <si>
    <t>投资项目</t>
    <phoneticPr fontId="10" type="noConversion"/>
  </si>
  <si>
    <t>①</t>
    <phoneticPr fontId="3" type="noConversion"/>
  </si>
  <si>
    <t>②</t>
    <phoneticPr fontId="3" type="noConversion"/>
  </si>
  <si>
    <t>③</t>
    <phoneticPr fontId="3" type="noConversion"/>
  </si>
  <si>
    <t>⑥</t>
    <phoneticPr fontId="3" type="noConversion"/>
  </si>
  <si>
    <t>注：“应收利息”仅反映相关金融工具已到期可收取但于资产负债表日尚未收到的利息。基于实际利率法计提的金融工具的利息应包含在相应金融工具的账面余额中。</t>
    <phoneticPr fontId="3" type="noConversion"/>
  </si>
  <si>
    <r>
      <t xml:space="preserve">其中：已到期可收取
</t>
    </r>
    <r>
      <rPr>
        <b/>
        <sz val="10"/>
        <rFont val="微软雅黑"/>
        <family val="2"/>
        <charset val="134"/>
      </rPr>
      <t>⑤</t>
    </r>
    <phoneticPr fontId="3" type="noConversion"/>
  </si>
  <si>
    <t>计息开始日期</t>
    <phoneticPr fontId="10" type="noConversion"/>
  </si>
  <si>
    <t>计息结束日期</t>
    <phoneticPr fontId="10" type="noConversion"/>
  </si>
  <si>
    <r>
      <rPr>
        <b/>
        <sz val="10"/>
        <rFont val="微软雅黑"/>
        <family val="2"/>
        <charset val="134"/>
      </rPr>
      <t>⑦</t>
    </r>
    <r>
      <rPr>
        <b/>
        <sz val="10"/>
        <rFont val="Arial Narrow"/>
        <family val="2"/>
      </rPr>
      <t>=</t>
    </r>
    <r>
      <rPr>
        <b/>
        <sz val="10"/>
        <rFont val="微软雅黑"/>
        <family val="2"/>
        <charset val="134"/>
      </rPr>
      <t>⑥</t>
    </r>
    <r>
      <rPr>
        <b/>
        <sz val="10"/>
        <rFont val="Arial Narrow"/>
        <family val="2"/>
      </rPr>
      <t>-</t>
    </r>
    <r>
      <rPr>
        <b/>
        <sz val="10"/>
        <rFont val="微软雅黑"/>
        <family val="2"/>
        <charset val="134"/>
      </rPr>
      <t>⑤</t>
    </r>
    <phoneticPr fontId="10" type="noConversion"/>
  </si>
  <si>
    <t>索引号：</t>
    <phoneticPr fontId="10" type="noConversion"/>
  </si>
  <si>
    <t>一、审计目标</t>
    <phoneticPr fontId="10" type="noConversion"/>
  </si>
  <si>
    <t>二、审计过程</t>
    <phoneticPr fontId="10" type="noConversion"/>
  </si>
  <si>
    <t>（一）单项计提坏账准备</t>
    <phoneticPr fontId="10" type="noConversion"/>
  </si>
  <si>
    <t>四、审计结论</t>
    <phoneticPr fontId="10" type="noConversion"/>
  </si>
  <si>
    <t>编制说明【非打印内容】：</t>
    <phoneticPr fontId="10" type="noConversion"/>
  </si>
  <si>
    <t>对于资产负债表日已发生信用减值但并非购买或源生已发生信用减值的金融资产，信用损失为该金融资产账面余额与按原实际利率折现的估计未来现金流量的现值之间的差额。</t>
    <phoneticPr fontId="10" type="noConversion"/>
  </si>
  <si>
    <t>可采用的共同信用风险特征包括：金融工具类型、信用风险评级、担保物类型、初始确认日期、剩余合同期限、债务人所处行业、债务人所处地理位置、担保品相对于金融资产的价值等。</t>
    <phoneticPr fontId="10" type="noConversion"/>
  </si>
  <si>
    <t>计量金融工具预期信用损失的方法反映的因素包括：</t>
    <phoneticPr fontId="10" type="noConversion"/>
  </si>
  <si>
    <t>通过评价一系列可能的结果而确定的无偏概率加权平均金额；</t>
    <phoneticPr fontId="10" type="noConversion"/>
  </si>
  <si>
    <t>货币时间价值；</t>
    <phoneticPr fontId="10" type="noConversion"/>
  </si>
  <si>
    <t>在资产负债表日无须付出不必要的额外成本或努力即可获得的有关过去事项、当前状况以及未来经济状况预测的合理且有依据的信息。</t>
    <phoneticPr fontId="10" type="noConversion"/>
  </si>
  <si>
    <t>可能采用的共同信用风险特征包括：金融工具类型、信用风险评级、担保物类型、初始确认日期、剩余合同期限、债务人所处行业、债务人所处地理位置等。</t>
    <phoneticPr fontId="10" type="noConversion"/>
  </si>
  <si>
    <t>实务中，常见的确定组合的依据包括：债务人类型（政府机关、关联方）、款项性质（如押金和保证金、员工备用金）等。</t>
    <phoneticPr fontId="10" type="noConversion"/>
  </si>
  <si>
    <r>
      <rPr>
        <b/>
        <sz val="10"/>
        <rFont val="宋体"/>
        <family val="3"/>
        <charset val="134"/>
      </rPr>
      <t>期初数</t>
    </r>
    <phoneticPr fontId="10" type="noConversion"/>
  </si>
  <si>
    <r>
      <rPr>
        <b/>
        <sz val="10"/>
        <rFont val="宋体"/>
        <family val="3"/>
        <charset val="134"/>
      </rPr>
      <t>期末数</t>
    </r>
    <phoneticPr fontId="10" type="noConversion"/>
  </si>
  <si>
    <t>本期与上期审定数比较</t>
    <phoneticPr fontId="10" type="noConversion"/>
  </si>
  <si>
    <r>
      <rPr>
        <b/>
        <sz val="10"/>
        <color indexed="8"/>
        <rFont val="宋体"/>
        <family val="3"/>
        <charset val="134"/>
      </rPr>
      <t>原因分析</t>
    </r>
    <phoneticPr fontId="10" type="noConversion"/>
  </si>
  <si>
    <r>
      <rPr>
        <b/>
        <sz val="10"/>
        <rFont val="宋体"/>
        <family val="3"/>
        <charset val="134"/>
      </rPr>
      <t>未审数</t>
    </r>
    <phoneticPr fontId="10" type="noConversion"/>
  </si>
  <si>
    <r>
      <rPr>
        <b/>
        <sz val="10"/>
        <rFont val="宋体"/>
        <family val="3"/>
        <charset val="134"/>
      </rPr>
      <t>账项调整</t>
    </r>
    <phoneticPr fontId="10" type="noConversion"/>
  </si>
  <si>
    <r>
      <rPr>
        <b/>
        <sz val="10"/>
        <rFont val="宋体"/>
        <family val="3"/>
        <charset val="134"/>
      </rPr>
      <t>审定数</t>
    </r>
    <phoneticPr fontId="10" type="noConversion"/>
  </si>
  <si>
    <r>
      <rPr>
        <b/>
        <sz val="10"/>
        <rFont val="宋体"/>
        <family val="3"/>
        <charset val="134"/>
      </rPr>
      <t>变动额</t>
    </r>
    <phoneticPr fontId="10" type="noConversion"/>
  </si>
  <si>
    <r>
      <rPr>
        <b/>
        <sz val="10"/>
        <color indexed="8"/>
        <rFont val="宋体"/>
        <family val="3"/>
        <charset val="134"/>
      </rPr>
      <t>变动率</t>
    </r>
    <phoneticPr fontId="10" type="noConversion"/>
  </si>
  <si>
    <t>单项计提坏账准备</t>
    <phoneticPr fontId="10" type="noConversion"/>
  </si>
  <si>
    <t>按组合计提坏账准备</t>
    <phoneticPr fontId="10" type="noConversion"/>
  </si>
  <si>
    <r>
      <rPr>
        <b/>
        <sz val="10"/>
        <color indexed="8"/>
        <rFont val="宋体"/>
        <family val="3"/>
        <charset val="134"/>
      </rPr>
      <t>小计</t>
    </r>
    <phoneticPr fontId="10" type="noConversion"/>
  </si>
  <si>
    <r>
      <rPr>
        <b/>
        <sz val="10"/>
        <color indexed="8"/>
        <rFont val="宋体"/>
        <family val="3"/>
        <charset val="134"/>
      </rPr>
      <t>合计</t>
    </r>
    <phoneticPr fontId="10"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</si>
  <si>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0" type="noConversion"/>
  </si>
  <si>
    <r>
      <t>2</t>
    </r>
    <r>
      <rPr>
        <b/>
        <sz val="10"/>
        <rFont val="宋体"/>
        <family val="3"/>
        <charset val="134"/>
      </rPr>
      <t>、审计结论</t>
    </r>
    <phoneticPr fontId="10" type="noConversion"/>
  </si>
  <si>
    <t>应收利息审定表</t>
    <phoneticPr fontId="10" type="noConversion"/>
  </si>
  <si>
    <t>项目</t>
    <phoneticPr fontId="10" type="noConversion"/>
  </si>
  <si>
    <t>一、应收利息原值</t>
    <phoneticPr fontId="10" type="noConversion"/>
  </si>
  <si>
    <t>二、应收利息坏账准备</t>
    <phoneticPr fontId="10" type="noConversion"/>
  </si>
  <si>
    <t>三、应收利息净值</t>
    <phoneticPr fontId="10" type="noConversion"/>
  </si>
  <si>
    <r>
      <rPr>
        <sz val="10"/>
        <rFont val="宋体"/>
        <family val="3"/>
        <charset val="134"/>
      </rPr>
      <t>（</t>
    </r>
    <r>
      <rPr>
        <sz val="10"/>
        <rFont val="Arial Narrow"/>
        <family val="2"/>
      </rPr>
      <t>1</t>
    </r>
    <r>
      <rPr>
        <sz val="10"/>
        <rFont val="宋体"/>
        <family val="3"/>
        <charset val="134"/>
      </rPr>
      <t>）应收利息本期较上期增加（负数为减少）：</t>
    </r>
    <phoneticPr fontId="10" type="noConversion"/>
  </si>
  <si>
    <r>
      <rPr>
        <sz val="10"/>
        <rFont val="宋体"/>
        <family val="3"/>
        <charset val="134"/>
      </rPr>
      <t>（</t>
    </r>
    <r>
      <rPr>
        <sz val="10"/>
        <rFont val="Arial Narrow"/>
        <family val="2"/>
      </rPr>
      <t>2</t>
    </r>
    <r>
      <rPr>
        <sz val="10"/>
        <rFont val="宋体"/>
        <family val="3"/>
        <charset val="134"/>
      </rPr>
      <t>）金额较大的</t>
    </r>
    <r>
      <rPr>
        <sz val="10"/>
        <rFont val="Arial Narrow"/>
        <family val="2"/>
      </rPr>
      <t>1</t>
    </r>
    <r>
      <rPr>
        <sz val="10"/>
        <rFont val="宋体"/>
        <family val="3"/>
        <charset val="134"/>
      </rPr>
      <t>年以上应收未收的应收利息金额，分别欠款单位说明未收回的原因和对预期信用损失所作的判断。</t>
    </r>
    <phoneticPr fontId="10" type="noConversion"/>
  </si>
  <si>
    <t>应收利息余额审定数</t>
    <phoneticPr fontId="11" type="noConversion"/>
  </si>
  <si>
    <r>
      <rPr>
        <b/>
        <sz val="10"/>
        <rFont val="微软雅黑"/>
        <family val="2"/>
        <charset val="134"/>
      </rPr>
      <t>④</t>
    </r>
    <r>
      <rPr>
        <b/>
        <sz val="10"/>
        <rFont val="Arial Narrow"/>
        <family val="2"/>
      </rPr>
      <t>=</t>
    </r>
    <r>
      <rPr>
        <b/>
        <sz val="10"/>
        <rFont val="微软雅黑"/>
        <family val="2"/>
        <charset val="134"/>
      </rPr>
      <t>①</t>
    </r>
    <r>
      <rPr>
        <b/>
        <sz val="10"/>
        <rFont val="Arial Narrow"/>
        <family val="2"/>
      </rPr>
      <t>*</t>
    </r>
    <r>
      <rPr>
        <b/>
        <sz val="10"/>
        <rFont val="微软雅黑"/>
        <family val="2"/>
        <charset val="134"/>
      </rPr>
      <t>②</t>
    </r>
    <r>
      <rPr>
        <b/>
        <sz val="10"/>
        <rFont val="Arial Narrow"/>
        <family val="2"/>
      </rPr>
      <t>*</t>
    </r>
    <r>
      <rPr>
        <b/>
        <sz val="10"/>
        <rFont val="微软雅黑"/>
        <family val="2"/>
        <charset val="134"/>
      </rPr>
      <t>③</t>
    </r>
    <r>
      <rPr>
        <b/>
        <sz val="10"/>
        <rFont val="Arial Narrow"/>
        <family val="2"/>
      </rPr>
      <t>/365</t>
    </r>
    <phoneticPr fontId="10" type="noConversion"/>
  </si>
  <si>
    <t>编制说明：</t>
    <phoneticPr fontId="3" type="noConversion"/>
  </si>
  <si>
    <r>
      <t>“</t>
    </r>
    <r>
      <rPr>
        <sz val="10"/>
        <rFont val="宋体"/>
        <family val="3"/>
        <charset val="134"/>
      </rPr>
      <t>应收利息</t>
    </r>
    <r>
      <rPr>
        <sz val="10"/>
        <rFont val="Arial Narrow"/>
        <family val="2"/>
      </rPr>
      <t>”</t>
    </r>
    <r>
      <rPr>
        <sz val="10"/>
        <rFont val="宋体"/>
        <family val="3"/>
        <charset val="134"/>
      </rPr>
      <t>仅反映相关金融工具已到期可收取但于资产负债表日尚未收到的利息【即逾期部分】。基于实际利率法计提的金融工具的利息应包含在相应金融工具的账面余额中。</t>
    </r>
    <phoneticPr fontId="3" type="noConversion"/>
  </si>
  <si>
    <r>
      <rPr>
        <b/>
        <sz val="10"/>
        <rFont val="宋体"/>
        <family val="3"/>
        <charset val="134"/>
      </rPr>
      <t>一、本账户涉及的科目</t>
    </r>
    <phoneticPr fontId="10" type="noConversion"/>
  </si>
  <si>
    <r>
      <rPr>
        <b/>
        <sz val="10"/>
        <rFont val="宋体"/>
        <family val="3"/>
        <charset val="134"/>
      </rPr>
      <t>财务报表的认定　</t>
    </r>
  </si>
  <si>
    <r>
      <rPr>
        <b/>
        <sz val="10"/>
        <rFont val="宋体"/>
        <family val="3"/>
        <charset val="134"/>
      </rPr>
      <t>审计程序</t>
    </r>
  </si>
  <si>
    <t>1</t>
    <phoneticPr fontId="3" type="noConversion"/>
  </si>
  <si>
    <t>常规★</t>
    <phoneticPr fontId="3" type="noConversion"/>
  </si>
  <si>
    <t>3</t>
  </si>
  <si>
    <t>4</t>
  </si>
  <si>
    <t>6</t>
  </si>
  <si>
    <t>7</t>
  </si>
  <si>
    <t>8</t>
  </si>
  <si>
    <t>9</t>
  </si>
  <si>
    <t>10</t>
  </si>
  <si>
    <t>11</t>
  </si>
  <si>
    <t>常规★</t>
  </si>
  <si>
    <t>应收利息实质性程序表</t>
    <phoneticPr fontId="3" type="noConversion"/>
  </si>
  <si>
    <t>应收利息凭证检查表</t>
    <phoneticPr fontId="10" type="noConversion"/>
  </si>
  <si>
    <t>编制日期：</t>
    <phoneticPr fontId="10" type="noConversion"/>
  </si>
  <si>
    <t>复核日期：</t>
    <phoneticPr fontId="10" type="noConversion"/>
  </si>
  <si>
    <t>期初调整数</t>
    <phoneticPr fontId="10" type="noConversion"/>
  </si>
  <si>
    <t>期初余额审定数</t>
    <phoneticPr fontId="10" type="noConversion"/>
  </si>
  <si>
    <t>二、样本选取方法与规模：</t>
    <phoneticPr fontId="58" type="noConversion"/>
  </si>
  <si>
    <r>
      <rPr>
        <b/>
        <sz val="10"/>
        <rFont val="宋体"/>
        <family val="3"/>
        <charset val="134"/>
      </rPr>
      <t>三、测试：</t>
    </r>
    <phoneticPr fontId="58" type="noConversion"/>
  </si>
  <si>
    <t>凭证检查表</t>
    <phoneticPr fontId="3" type="noConversion"/>
  </si>
  <si>
    <t>调整事项说明</t>
    <phoneticPr fontId="10" type="noConversion"/>
  </si>
  <si>
    <t>类别（报表调整/账项调整/其他）</t>
    <phoneticPr fontId="10" type="noConversion"/>
  </si>
  <si>
    <t>科目名称</t>
    <phoneticPr fontId="10" type="noConversion"/>
  </si>
  <si>
    <t>附注项目</t>
    <phoneticPr fontId="10" type="noConversion"/>
  </si>
  <si>
    <t>……</t>
    <phoneticPr fontId="10" type="noConversion"/>
  </si>
  <si>
    <t>借方调整金额</t>
    <phoneticPr fontId="10" type="noConversion"/>
  </si>
  <si>
    <t>贷方调整金额</t>
    <phoneticPr fontId="10" type="noConversion"/>
  </si>
  <si>
    <t>索引</t>
    <phoneticPr fontId="10" type="noConversion"/>
  </si>
  <si>
    <t>备注</t>
    <phoneticPr fontId="10" type="noConversion"/>
  </si>
  <si>
    <t>【注：本底稿适用于调整分录较多、较复杂的项目，且仅列示与本报表项目相关的审计调整。项目组可根据项目实际情况选择是否使用该底稿。】</t>
    <phoneticPr fontId="10" type="noConversion"/>
  </si>
  <si>
    <t>应收利息调整分录汇总表</t>
    <phoneticPr fontId="10" type="noConversion"/>
  </si>
  <si>
    <t>调整分录汇总</t>
    <phoneticPr fontId="3" type="noConversion"/>
  </si>
  <si>
    <t>① 应收利息分类</t>
  </si>
  <si>
    <t>定期存款</t>
  </si>
  <si>
    <t>委托贷款</t>
  </si>
  <si>
    <t>债券投资</t>
  </si>
  <si>
    <t>其他</t>
  </si>
  <si>
    <t>小  计</t>
  </si>
  <si>
    <t>减：坏账准备</t>
  </si>
  <si>
    <t>【提示：仅反映相关金融工具已到期可收取但于资产负债表日尚未收到的利息。基于实际利率法计提的金融工具的利息应包含在金融工具的账面余额中。】</t>
  </si>
  <si>
    <t>② 重要逾期利息</t>
  </si>
  <si>
    <t>借款单位</t>
  </si>
  <si>
    <t>逾期时间（月）</t>
  </si>
  <si>
    <t>逾期原因</t>
  </si>
  <si>
    <t>是否发生减值及其判断依据</t>
  </si>
  <si>
    <t>（对于重要的逾期应收利息，应按借款单位披露应收利息的期末余额、逾期时间和逾期原因、是否发生减值的判断。）</t>
  </si>
  <si>
    <t>其他说明：</t>
  </si>
  <si>
    <t>③ 坏账准备计提情况</t>
  </si>
  <si>
    <t>说明：坏账准备本期计提、转回、转销、核销情况，披露格式可参考其他应收款的披露格式。</t>
  </si>
  <si>
    <t>说明：本期发生损失准备的应收利息账面余额显著变动的情况。</t>
  </si>
  <si>
    <t>①  应收利息分类</t>
  </si>
  <si>
    <t>期初余额</t>
  </si>
  <si>
    <t>②  重要逾期利息</t>
  </si>
  <si>
    <t>③  坏账准备计提情况</t>
  </si>
  <si>
    <t xml:space="preserve"> 坏账准备</t>
  </si>
  <si>
    <t>第一阶段</t>
  </si>
  <si>
    <t>第二阶段</t>
  </si>
  <si>
    <t>第三阶段</t>
  </si>
  <si>
    <t>未来12个月预期信用损失</t>
  </si>
  <si>
    <t>整个存续期预期信用损失（未发生信用减值）</t>
  </si>
  <si>
    <t>整个存续期预期信用损失（已发生信用减值）</t>
  </si>
  <si>
    <t>期初余额在本期</t>
  </si>
  <si>
    <t>—转入第二阶段</t>
  </si>
  <si>
    <t>—转入第三阶段</t>
  </si>
  <si>
    <t>—转回第二阶段</t>
  </si>
  <si>
    <t>—转回第一阶段</t>
  </si>
  <si>
    <t>本期计提</t>
  </si>
  <si>
    <t>本期转回</t>
  </si>
  <si>
    <t>本期转销</t>
  </si>
  <si>
    <t>本期核销</t>
  </si>
  <si>
    <t>其他变动</t>
  </si>
  <si>
    <t>说明：期末处于第一阶段、第二阶段和第三阶段的应收利息的坏账准备计提情况，披露格式可参考其他应收款的披露格式。</t>
    <phoneticPr fontId="3" type="noConversion"/>
  </si>
  <si>
    <t>【也可以在其他应收款项下合并披露应收利息的坏账准备计提情况，并索引至其他应收款的注释。】</t>
    <phoneticPr fontId="3" type="noConversion"/>
  </si>
  <si>
    <t>上年年末余额</t>
  </si>
  <si>
    <r>
      <t>项</t>
    </r>
    <r>
      <rPr>
        <b/>
        <sz val="10.5"/>
        <color theme="1"/>
        <rFont val="Arial Narrow"/>
        <family val="2"/>
      </rPr>
      <t xml:space="preserve">  </t>
    </r>
    <r>
      <rPr>
        <b/>
        <sz val="10.5"/>
        <color theme="1"/>
        <rFont val="仿宋_GB2312"/>
        <family val="3"/>
        <charset val="134"/>
      </rPr>
      <t>目</t>
    </r>
  </si>
  <si>
    <t>索引号：</t>
    <phoneticPr fontId="3" type="noConversion"/>
  </si>
  <si>
    <t>索引号：</t>
    <phoneticPr fontId="10" type="noConversion"/>
  </si>
  <si>
    <t>索引号：</t>
    <phoneticPr fontId="10" type="noConversion"/>
  </si>
  <si>
    <r>
      <rPr>
        <b/>
        <sz val="10"/>
        <rFont val="宋体"/>
        <family val="3"/>
        <charset val="134"/>
        <scheme val="minor"/>
      </rPr>
      <t>小计</t>
    </r>
    <phoneticPr fontId="10" type="noConversion"/>
  </si>
  <si>
    <t>G2A</t>
  </si>
  <si>
    <t>G2-6</t>
  </si>
  <si>
    <t>G2-7</t>
  </si>
  <si>
    <t>明细表</t>
  </si>
  <si>
    <t>记账凭证</t>
    <phoneticPr fontId="10" type="noConversion"/>
  </si>
  <si>
    <t>是否异常</t>
    <phoneticPr fontId="10" type="noConversion"/>
  </si>
  <si>
    <t>日期</t>
  </si>
  <si>
    <t>凭证编号</t>
  </si>
  <si>
    <t>业务内容</t>
    <phoneticPr fontId="10" type="noConversion"/>
  </si>
  <si>
    <t>对方科目</t>
    <phoneticPr fontId="10" type="noConversion"/>
  </si>
  <si>
    <t>明细科目</t>
  </si>
  <si>
    <t>借方金额</t>
    <phoneticPr fontId="10" type="noConversion"/>
  </si>
  <si>
    <t>索引号</t>
    <phoneticPr fontId="10" type="noConversion"/>
  </si>
  <si>
    <t>二、审计目标与认定的对应关系</t>
    <phoneticPr fontId="10" type="noConversion"/>
  </si>
  <si>
    <t>审计目标</t>
    <phoneticPr fontId="10" type="noConversion"/>
  </si>
  <si>
    <t>存在</t>
    <phoneticPr fontId="10" type="noConversion"/>
  </si>
  <si>
    <t>完整性</t>
    <phoneticPr fontId="10" type="noConversion"/>
  </si>
  <si>
    <t>准确性、计价和分摊</t>
    <phoneticPr fontId="10" type="noConversion"/>
  </si>
  <si>
    <r>
      <rPr>
        <b/>
        <sz val="10"/>
        <rFont val="宋体"/>
        <family val="3"/>
        <charset val="134"/>
      </rPr>
      <t>序号</t>
    </r>
    <phoneticPr fontId="10" type="noConversion"/>
  </si>
  <si>
    <r>
      <rPr>
        <b/>
        <sz val="10"/>
        <rFont val="宋体"/>
        <family val="3"/>
        <charset val="134"/>
      </rPr>
      <t>程序分类</t>
    </r>
    <phoneticPr fontId="10" type="noConversion"/>
  </si>
  <si>
    <t>财务报表的认定</t>
    <phoneticPr fontId="10" type="noConversion"/>
  </si>
  <si>
    <t>底稿索引号</t>
    <phoneticPr fontId="10" type="noConversion"/>
  </si>
  <si>
    <t>权利和
义务</t>
    <phoneticPr fontId="10" type="noConversion"/>
  </si>
  <si>
    <t>列报</t>
    <phoneticPr fontId="10" type="noConversion"/>
  </si>
  <si>
    <t>应收利息</t>
    <phoneticPr fontId="3" type="noConversion"/>
  </si>
  <si>
    <t>A. 资产负债表中记录的应收利息是存在的，且已记录于恰当的账户</t>
  </si>
  <si>
    <t>B. 所有应记录的应收利息均已记录，所有应当包括在财务报表中的相关披露均已包括</t>
  </si>
  <si>
    <t>C. 记录的应收利息由被审计单位拥有或控制</t>
  </si>
  <si>
    <t xml:space="preserve">D. 应收利息以恰当的金额包括在财务报表中，与之相关的计价或分摊调整已恰当记录，相关披露已得到恰当计量和描述 </t>
  </si>
  <si>
    <t>E. 应收利息已被恰当地汇总或分解且表述清楚，相关披露在按照企业会计准则的编制基础下是相关的、可理解的</t>
  </si>
  <si>
    <t>2</t>
    <phoneticPr fontId="3" type="noConversion"/>
  </si>
  <si>
    <t>对利息收益执行如下程序：
（1）确定利息收入计算是否正确，会计处理是否正确；
（2）检查应收利息计提依据是否充分，是否与相应的债权投资对应；
（3）检查应收利息期后收款情况。</t>
    <phoneticPr fontId="3" type="noConversion"/>
  </si>
  <si>
    <t>√</t>
    <phoneticPr fontId="10" type="noConversion"/>
  </si>
  <si>
    <t>√</t>
    <phoneticPr fontId="10" type="noConversion"/>
  </si>
  <si>
    <t>√</t>
    <phoneticPr fontId="10" type="noConversion"/>
  </si>
  <si>
    <t>√</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</si>
  <si>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3" type="noConversion"/>
  </si>
  <si>
    <t>抽样过程：</t>
    <phoneticPr fontId="10" type="noConversion"/>
  </si>
  <si>
    <t>使用IDEA（XX抽样工具）选择XX数量占比XX%的样本进行测试，抽样工具中的样本选择过程和结果见XX底稿</t>
    <phoneticPr fontId="10" type="noConversion"/>
  </si>
  <si>
    <t>常规★</t>
    <phoneticPr fontId="10" type="noConversion"/>
  </si>
  <si>
    <t>备选</t>
    <phoneticPr fontId="3" type="noConversion"/>
  </si>
  <si>
    <t>关注会计政策、会计估计合理性、一贯性。关注其是否利用会计政策和会计估计及其变更操纵利润。</t>
    <phoneticPr fontId="3" type="noConversion"/>
  </si>
  <si>
    <t>5</t>
    <phoneticPr fontId="3" type="noConversion"/>
  </si>
  <si>
    <t>检查关联方款项：
（1）了解关联交易的商业理由、交易事项的目的、价格和条件，考虑对关联方应付票据的合理性、合法性；
（2）检查对关联方应付票据的真实性相关的支持性文件、检查会计处理是否正确；
（3）考虑向关联方或其他注册会计师函证重大的关联采购交易和余额（包括担保和其他重要信息）；
（4）必要时，向与交易相关的人员和机构（如银行、律师）函证或与其讨论有关信息；
（5）考虑是否存在未识别的关联方，关联交易和余额披露是否正确。</t>
    <phoneticPr fontId="3" type="noConversion"/>
  </si>
  <si>
    <t>报表项目</t>
    <phoneticPr fontId="3" type="noConversion"/>
  </si>
  <si>
    <t>获取或编制应收利息的明细表，完成以下工作，并编制审定表
（1）复核加计是否正确，与总账、明细账合计数核对是否相符；获取余额调节表与总账核对一致；
（2）将期初余额与上期期末余额核对；
（3）追查明细表至调节表;
（4）与上年明细项目进行比较，确定与上年分类相同；
（5）与利息净收入或财务费用等项目的变动进行核对，复核其勾稽关系。
（6）调查重大或者异常的调节项目，并与客户的适当人员讨论差异，考虑回复的可信度并确认相关解释，以及采取适当的措施；
（7）检查非记账本位币计量的应收利息的折算汇率及折算是否正确。</t>
  </si>
  <si>
    <t>√</t>
    <phoneticPr fontId="10" type="noConversion"/>
  </si>
  <si>
    <t>必要时，向相关机构发函，并确定是否存在变现限制，同时记录函证过程：
（1）以积极方式进行函证，设计询证函、发函前核实被函证单位信息；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（4）如果未收到回函，应当考虑与被询证者联系，要求对方作出回应或再次寄发询证函，无法收到的回函实施替代程序；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phoneticPr fontId="3" type="noConversion"/>
  </si>
  <si>
    <t>备选</t>
    <phoneticPr fontId="3" type="noConversion"/>
  </si>
  <si>
    <r>
      <rPr>
        <sz val="10"/>
        <color theme="1"/>
        <rFont val="宋体"/>
        <family val="3"/>
        <charset val="134"/>
      </rPr>
      <t>根据评估的舞弊风险等因素增加的审计程序。</t>
    </r>
    <phoneticPr fontId="3" type="noConversion"/>
  </si>
  <si>
    <t>针对坏账准备，执行下列核对程序：
（1）对于坏账准备的账面金额、本期审计调整金额、审定金额分别与坏账准备账面、本期审计调整、审定金额勾稽一致；
（2）确定应收利息是否已计提充足的坏账准备；
（3）取得上述经账龄复核后的账龄明细表，并取得被审计单位的坏账准备计算表，复核加计正确，与总账数、明细账合计数核对相符；
（4）重新计算应计提的坏账准备，与客户已记录的坏账准备进行比较，调整差异。特别关注大额坏账准备转回是否合理；
（5）根据账龄分析表中，选取金额大于的账户，逾期超过（）天账户，以及其他认为必要的账户。针对所选取的账户，与授信部门经理或其他负责人员讨论其可收回性，并复核往来函件或其他相关信息，以支持被审计单位就此作出的声明；
（6）实际发生坏账损失的，检查核销依据是否符合有关规定，会计处理是否正确。已经确认并转销的坏账重新收回的，检查其会计处理是否正确。</t>
    <phoneticPr fontId="10" type="noConversion"/>
  </si>
  <si>
    <t>应收利息长期未收回款项检查表</t>
    <phoneticPr fontId="10" type="noConversion"/>
  </si>
  <si>
    <t>债务人名称</t>
    <phoneticPr fontId="10" type="noConversion"/>
  </si>
  <si>
    <t>期初余额</t>
    <phoneticPr fontId="10" type="noConversion"/>
  </si>
  <si>
    <t>本期借方发生额</t>
    <phoneticPr fontId="10" type="noConversion"/>
  </si>
  <si>
    <t>本期贷方发生额</t>
    <phoneticPr fontId="10" type="noConversion"/>
  </si>
  <si>
    <r>
      <rPr>
        <b/>
        <sz val="10"/>
        <rFont val="宋体"/>
        <family val="3"/>
        <charset val="134"/>
      </rPr>
      <t>期末余额</t>
    </r>
    <phoneticPr fontId="10" type="noConversion"/>
  </si>
  <si>
    <r>
      <rPr>
        <b/>
        <sz val="10"/>
        <rFont val="宋体"/>
        <family val="3"/>
        <charset val="134"/>
      </rPr>
      <t>账龄</t>
    </r>
    <phoneticPr fontId="10" type="noConversion"/>
  </si>
  <si>
    <r>
      <rPr>
        <b/>
        <sz val="10"/>
        <rFont val="宋体"/>
        <family val="3"/>
        <charset val="134"/>
      </rPr>
      <t>经济业务说明</t>
    </r>
    <phoneticPr fontId="10" type="noConversion"/>
  </si>
  <si>
    <t>未收回或未结转的原因</t>
    <phoneticPr fontId="10" type="noConversion"/>
  </si>
  <si>
    <t>是否无法收回</t>
    <phoneticPr fontId="10" type="noConversion"/>
  </si>
  <si>
    <t>处理计划</t>
    <phoneticPr fontId="10" type="noConversion"/>
  </si>
  <si>
    <r>
      <rPr>
        <b/>
        <sz val="10"/>
        <rFont val="宋体"/>
        <family val="3"/>
        <charset val="134"/>
      </rPr>
      <t>审定余额</t>
    </r>
    <phoneticPr fontId="10" type="noConversion"/>
  </si>
  <si>
    <t>期后收款金额</t>
  </si>
  <si>
    <r>
      <rPr>
        <b/>
        <sz val="10"/>
        <rFont val="宋体"/>
        <family val="3"/>
        <charset val="134"/>
      </rPr>
      <t>备注</t>
    </r>
    <phoneticPr fontId="10" type="noConversion"/>
  </si>
  <si>
    <t>合计</t>
    <phoneticPr fontId="10" type="noConversion"/>
  </si>
  <si>
    <t>1.资产负债表中记录的应收利息、坏账准备是存在的，且已记录于恰当的账户；</t>
    <phoneticPr fontId="3" type="noConversion"/>
  </si>
  <si>
    <t>G2-1</t>
    <phoneticPr fontId="3" type="noConversion"/>
  </si>
  <si>
    <t>G2-3</t>
  </si>
  <si>
    <t>G2-4</t>
  </si>
  <si>
    <t>G2-5</t>
  </si>
  <si>
    <t>长期未收回款项检查表</t>
  </si>
  <si>
    <t>G2-2</t>
    <phoneticPr fontId="3" type="noConversion"/>
  </si>
  <si>
    <t>利息测算表</t>
  </si>
  <si>
    <t>G0</t>
    <phoneticPr fontId="3" type="noConversion"/>
  </si>
  <si>
    <t>应收利息明细表</t>
    <phoneticPr fontId="10" type="noConversion"/>
  </si>
  <si>
    <t>应收利息测算表</t>
    <phoneticPr fontId="10" type="noConversion"/>
  </si>
  <si>
    <t>致同会计师事务所</t>
    <phoneticPr fontId="3" type="noConversion"/>
  </si>
  <si>
    <t>致同会计师事务所</t>
    <phoneticPr fontId="3" type="noConversion"/>
  </si>
  <si>
    <t>附注披露信息（国企）</t>
    <phoneticPr fontId="10" type="noConversion"/>
  </si>
  <si>
    <t>附注披露信息（上市公司）</t>
    <phoneticPr fontId="10" type="noConversion"/>
  </si>
  <si>
    <t>小计</t>
    <phoneticPr fontId="10" type="noConversion"/>
  </si>
  <si>
    <t>核对差异</t>
    <phoneticPr fontId="10" type="noConversion"/>
  </si>
  <si>
    <t>账龄【账龄以记账凭证日期（确认收入日期）起计算，逾期则考虑信用期】</t>
    <phoneticPr fontId="10" type="noConversion"/>
  </si>
  <si>
    <t>校验</t>
    <phoneticPr fontId="10" type="noConversion"/>
  </si>
  <si>
    <t>①</t>
    <phoneticPr fontId="10" type="noConversion"/>
  </si>
  <si>
    <t>4年-5年/逾期1年-2年</t>
    <phoneticPr fontId="10" type="noConversion"/>
  </si>
  <si>
    <t>5年以上/逾期2年以上</t>
    <phoneticPr fontId="10" type="noConversion"/>
  </si>
  <si>
    <t>总 计</t>
    <phoneticPr fontId="10" type="noConversion"/>
  </si>
  <si>
    <t>审定账面余额</t>
    <phoneticPr fontId="10" type="noConversion"/>
  </si>
  <si>
    <t>预期信用损失率</t>
    <phoneticPr fontId="10" type="noConversion"/>
  </si>
  <si>
    <t>差异</t>
    <phoneticPr fontId="10" type="noConversion"/>
  </si>
  <si>
    <t>②</t>
    <phoneticPr fontId="10" type="noConversion"/>
  </si>
  <si>
    <t>③=①×②</t>
    <phoneticPr fontId="10" type="noConversion"/>
  </si>
  <si>
    <t>⑤=③-④</t>
  </si>
  <si>
    <t>小计</t>
    <phoneticPr fontId="10" type="noConversion"/>
  </si>
  <si>
    <r>
      <t>1年以内</t>
    </r>
    <r>
      <rPr>
        <sz val="10"/>
        <color rgb="FFFF0000"/>
        <rFont val="宋体"/>
        <family val="3"/>
        <charset val="134"/>
      </rPr>
      <t>/未逾期</t>
    </r>
    <phoneticPr fontId="10" type="noConversion"/>
  </si>
  <si>
    <t>审定账面余额</t>
    <phoneticPr fontId="10" type="noConversion"/>
  </si>
  <si>
    <t>期末应计提坏账准备</t>
    <phoneticPr fontId="10" type="noConversion"/>
  </si>
  <si>
    <t>期末坏账准备账面余额</t>
    <phoneticPr fontId="10" type="noConversion"/>
  </si>
  <si>
    <t>坏账准备计提依据及文件</t>
    <phoneticPr fontId="10" type="noConversion"/>
  </si>
  <si>
    <t>索引号</t>
    <phoneticPr fontId="10" type="noConversion"/>
  </si>
  <si>
    <t>②</t>
    <phoneticPr fontId="10" type="noConversion"/>
  </si>
  <si>
    <t>③=①×②</t>
    <phoneticPr fontId="10" type="noConversion"/>
  </si>
  <si>
    <t>④</t>
    <phoneticPr fontId="10" type="noConversion"/>
  </si>
  <si>
    <t>⑤=③-④</t>
    <phoneticPr fontId="10" type="noConversion"/>
  </si>
  <si>
    <t>小计</t>
    <phoneticPr fontId="10" type="noConversion"/>
  </si>
  <si>
    <t>（二）单一账龄组合计提坏账准备</t>
    <phoneticPr fontId="10" type="noConversion"/>
  </si>
  <si>
    <t>是否适用：</t>
    <phoneticPr fontId="10" type="noConversion"/>
  </si>
  <si>
    <t>未审数</t>
    <phoneticPr fontId="10" type="noConversion"/>
  </si>
  <si>
    <t>审计调整</t>
    <phoneticPr fontId="10" type="noConversion"/>
  </si>
  <si>
    <t>账面余额</t>
    <phoneticPr fontId="10" type="noConversion"/>
  </si>
  <si>
    <t>坏账准备</t>
    <phoneticPr fontId="10" type="noConversion"/>
  </si>
  <si>
    <t>账面价值</t>
    <phoneticPr fontId="10" type="noConversion"/>
  </si>
  <si>
    <t>账面余额调整</t>
    <phoneticPr fontId="10" type="noConversion"/>
  </si>
  <si>
    <t>①</t>
    <phoneticPr fontId="10" type="noConversion"/>
  </si>
  <si>
    <t>④=①-③</t>
    <phoneticPr fontId="10" type="noConversion"/>
  </si>
  <si>
    <t>⑤</t>
    <phoneticPr fontId="10" type="noConversion"/>
  </si>
  <si>
    <r>
      <t>1年以内</t>
    </r>
    <r>
      <rPr>
        <sz val="10"/>
        <color rgb="FFFF0000"/>
        <rFont val="宋体"/>
        <family val="3"/>
        <charset val="134"/>
      </rPr>
      <t>/未逾期</t>
    </r>
    <phoneticPr fontId="10" type="noConversion"/>
  </si>
  <si>
    <r>
      <t>1年-2年</t>
    </r>
    <r>
      <rPr>
        <sz val="10"/>
        <color rgb="FFFF0000"/>
        <rFont val="宋体"/>
        <family val="3"/>
        <charset val="134"/>
      </rPr>
      <t>/逾期30天以内</t>
    </r>
    <phoneticPr fontId="10" type="noConversion"/>
  </si>
  <si>
    <r>
      <t>2年-3年</t>
    </r>
    <r>
      <rPr>
        <sz val="10"/>
        <color rgb="FFFF0000"/>
        <rFont val="宋体"/>
        <family val="3"/>
        <charset val="134"/>
      </rPr>
      <t>/逾期30-90天</t>
    </r>
    <phoneticPr fontId="10" type="noConversion"/>
  </si>
  <si>
    <t>3年-4年/逾期90天-1年</t>
    <phoneticPr fontId="10" type="noConversion"/>
  </si>
  <si>
    <t>5年以上/逾期2年以上</t>
    <phoneticPr fontId="10" type="noConversion"/>
  </si>
  <si>
    <t>核对差异</t>
    <phoneticPr fontId="10" type="noConversion"/>
  </si>
  <si>
    <t>核对差异</t>
    <phoneticPr fontId="10" type="noConversion"/>
  </si>
  <si>
    <t>（二）账龄组合计提坏账准备</t>
    <phoneticPr fontId="10" type="noConversion"/>
  </si>
  <si>
    <t>账龄【账龄以记账凭证日期起计算，逾期则考虑信用期】</t>
    <phoneticPr fontId="10" type="noConversion"/>
  </si>
  <si>
    <t>期末应计提坏账准备</t>
    <phoneticPr fontId="10" type="noConversion"/>
  </si>
  <si>
    <t>期末坏账准备账面余额</t>
    <phoneticPr fontId="10" type="noConversion"/>
  </si>
  <si>
    <t>差异</t>
    <phoneticPr fontId="10" type="noConversion"/>
  </si>
  <si>
    <t>①</t>
    <phoneticPr fontId="10" type="noConversion"/>
  </si>
  <si>
    <t>②</t>
    <phoneticPr fontId="10" type="noConversion"/>
  </si>
  <si>
    <t>④</t>
    <phoneticPr fontId="10" type="noConversion"/>
  </si>
  <si>
    <t>组合1：</t>
    <phoneticPr fontId="10" type="noConversion"/>
  </si>
  <si>
    <r>
      <t>1年-2年</t>
    </r>
    <r>
      <rPr>
        <sz val="10"/>
        <color rgb="FFFF0000"/>
        <rFont val="宋体"/>
        <family val="3"/>
        <charset val="134"/>
      </rPr>
      <t>/逾期30天以内</t>
    </r>
    <phoneticPr fontId="10" type="noConversion"/>
  </si>
  <si>
    <r>
      <t>2年-3年</t>
    </r>
    <r>
      <rPr>
        <sz val="10"/>
        <color rgb="FFFF0000"/>
        <rFont val="宋体"/>
        <family val="3"/>
        <charset val="134"/>
      </rPr>
      <t>/逾期30-90天</t>
    </r>
    <phoneticPr fontId="10" type="noConversion"/>
  </si>
  <si>
    <t>3年-4年/逾期90天-1年</t>
    <phoneticPr fontId="10" type="noConversion"/>
  </si>
  <si>
    <t>组合2：</t>
    <phoneticPr fontId="10" type="noConversion"/>
  </si>
  <si>
    <r>
      <t>1年-2年</t>
    </r>
    <r>
      <rPr>
        <sz val="10"/>
        <color rgb="FFFF0000"/>
        <rFont val="宋体"/>
        <family val="3"/>
        <charset val="134"/>
      </rPr>
      <t>/逾期30天以内</t>
    </r>
    <phoneticPr fontId="10" type="noConversion"/>
  </si>
  <si>
    <t>4年-5年/逾期1年-2年</t>
    <phoneticPr fontId="10" type="noConversion"/>
  </si>
  <si>
    <t>合计</t>
    <phoneticPr fontId="10" type="noConversion"/>
  </si>
  <si>
    <t>核对差异</t>
    <phoneticPr fontId="10" type="noConversion"/>
  </si>
  <si>
    <t>三、审计说明</t>
    <phoneticPr fontId="10" type="noConversion"/>
  </si>
  <si>
    <t>投资项目</t>
    <phoneticPr fontId="10" type="noConversion"/>
  </si>
  <si>
    <r>
      <rPr>
        <b/>
        <sz val="10"/>
        <rFont val="宋体"/>
        <family val="3"/>
        <charset val="134"/>
      </rPr>
      <t>合计</t>
    </r>
    <phoneticPr fontId="10" type="noConversion"/>
  </si>
  <si>
    <t>测试范围：</t>
    <phoneticPr fontId="10" type="noConversion"/>
  </si>
  <si>
    <t>特定样本：</t>
    <phoneticPr fontId="10" type="noConversion"/>
  </si>
  <si>
    <t>XX金额以上（大额）、关联方/关联交易形成的款项、XX异常款项全部测试，共XX笔；</t>
    <phoneticPr fontId="10" type="noConversion"/>
  </si>
  <si>
    <t>抽样总体：</t>
    <phoneticPr fontId="10" type="noConversion"/>
  </si>
  <si>
    <t>测试总体扣除特定样本以外的样本，共XX笔、金额XX</t>
    <phoneticPr fontId="10" type="noConversion"/>
  </si>
  <si>
    <t>确定的抽样样本量：</t>
    <phoneticPr fontId="10" type="noConversion"/>
  </si>
  <si>
    <t>抽样方法：</t>
    <phoneticPr fontId="10" type="noConversion"/>
  </si>
  <si>
    <t>如借方发生额所有凭证共XX笔金额XX、贷方发生额所有凭证共XX笔金额XX</t>
    <phoneticPr fontId="3" type="noConversion"/>
  </si>
  <si>
    <r>
      <rPr>
        <sz val="10"/>
        <color indexed="12"/>
        <rFont val="Arial Narrow"/>
        <family val="2"/>
      </rPr>
      <t>1.</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r>
      <rPr>
        <sz val="10"/>
        <color indexed="12"/>
        <rFont val="Arial Narrow"/>
        <family val="2"/>
      </rPr>
      <t/>
    </r>
    <phoneticPr fontId="3" type="noConversion"/>
  </si>
  <si>
    <r>
      <t>2.</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、除上述重大不符事项应当作为调整事项予以调整外，其余未见异常。由于存在以下重大未调整事项</t>
    </r>
    <r>
      <rPr>
        <sz val="10"/>
        <color indexed="12"/>
        <rFont val="Arial Narrow"/>
        <family val="2"/>
      </rPr>
      <t>(</t>
    </r>
    <r>
      <rPr>
        <sz val="10"/>
        <color indexed="12"/>
        <rFont val="宋体"/>
        <family val="3"/>
        <charset val="134"/>
      </rPr>
      <t>或审计范围受到限制无法获取充分、适当证据</t>
    </r>
    <r>
      <rPr>
        <sz val="10"/>
        <color indexed="12"/>
        <rFont val="Arial Narrow"/>
        <family val="2"/>
      </rPr>
      <t>)</t>
    </r>
    <r>
      <rPr>
        <sz val="10"/>
        <color indexed="12"/>
        <rFont val="宋体"/>
        <family val="3"/>
        <charset val="134"/>
      </rPr>
      <t>，不可确认。</t>
    </r>
    <phoneticPr fontId="3" type="noConversion"/>
  </si>
  <si>
    <t>舞弊应对/IPO/上市/新三板/重组</t>
  </si>
  <si>
    <r>
      <rPr>
        <b/>
        <sz val="10"/>
        <color indexed="8"/>
        <rFont val="宋体"/>
        <family val="3"/>
        <charset val="134"/>
      </rPr>
      <t>一、审计目标</t>
    </r>
    <r>
      <rPr>
        <b/>
        <sz val="10"/>
        <color indexed="8"/>
        <rFont val="Arial Narrow"/>
        <family val="2"/>
      </rPr>
      <t>:</t>
    </r>
    <phoneticPr fontId="11" type="noConversion"/>
  </si>
  <si>
    <r>
      <rPr>
        <b/>
        <sz val="10"/>
        <rFont val="宋体"/>
        <family val="3"/>
        <charset val="134"/>
      </rPr>
      <t>二、审计过程：</t>
    </r>
    <phoneticPr fontId="10" type="noConversion"/>
  </si>
  <si>
    <t>项目</t>
    <phoneticPr fontId="10" type="noConversion"/>
  </si>
  <si>
    <t>期初数</t>
    <phoneticPr fontId="10" type="noConversion"/>
  </si>
  <si>
    <t>本期增加</t>
    <phoneticPr fontId="10" type="noConversion"/>
  </si>
  <si>
    <t>本期减少</t>
    <phoneticPr fontId="10" type="noConversion"/>
  </si>
  <si>
    <t>期末数</t>
    <phoneticPr fontId="10" type="noConversion"/>
  </si>
  <si>
    <t>单独计提减值、转回或转销原因</t>
    <phoneticPr fontId="10" type="noConversion"/>
  </si>
  <si>
    <t>期初未审数</t>
    <phoneticPr fontId="169" type="noConversion"/>
  </si>
  <si>
    <t>期初账项调整</t>
    <phoneticPr fontId="169" type="noConversion"/>
  </si>
  <si>
    <t>期初审定数</t>
    <phoneticPr fontId="169" type="noConversion"/>
  </si>
  <si>
    <t>计提</t>
    <phoneticPr fontId="169" type="noConversion"/>
  </si>
  <si>
    <t>其他增加</t>
    <phoneticPr fontId="169" type="noConversion"/>
  </si>
  <si>
    <t>转回</t>
    <phoneticPr fontId="10" type="noConversion"/>
  </si>
  <si>
    <t>转销</t>
    <phoneticPr fontId="10" type="noConversion"/>
  </si>
  <si>
    <t>其他减少</t>
    <phoneticPr fontId="169" type="noConversion"/>
  </si>
  <si>
    <t>期末未审数</t>
    <phoneticPr fontId="169" type="noConversion"/>
  </si>
  <si>
    <t>期末账项调整</t>
    <phoneticPr fontId="169" type="noConversion"/>
  </si>
  <si>
    <t>期末审定数额</t>
    <phoneticPr fontId="169" type="noConversion"/>
  </si>
  <si>
    <r>
      <rPr>
        <sz val="10"/>
        <rFont val="宋体"/>
        <family val="3"/>
        <charset val="134"/>
      </rPr>
      <t>按单项评估计提</t>
    </r>
    <phoneticPr fontId="10" type="noConversion"/>
  </si>
  <si>
    <r>
      <rPr>
        <sz val="10"/>
        <rFont val="宋体"/>
        <family val="3"/>
        <charset val="134"/>
      </rPr>
      <t>其中：</t>
    </r>
    <phoneticPr fontId="10" type="noConversion"/>
  </si>
  <si>
    <r>
      <rPr>
        <sz val="10"/>
        <rFont val="宋体"/>
        <family val="3"/>
        <charset val="134"/>
      </rPr>
      <t>信用风险组合计提</t>
    </r>
    <phoneticPr fontId="10" type="noConversion"/>
  </si>
  <si>
    <r>
      <rPr>
        <sz val="10"/>
        <rFont val="宋体"/>
        <family val="3"/>
        <charset val="134"/>
      </rPr>
      <t>其中：</t>
    </r>
    <phoneticPr fontId="169" type="noConversion"/>
  </si>
  <si>
    <r>
      <rPr>
        <b/>
        <sz val="10"/>
        <rFont val="宋体"/>
        <family val="3"/>
        <charset val="134"/>
      </rPr>
      <t>合计</t>
    </r>
    <r>
      <rPr>
        <b/>
        <sz val="10"/>
        <rFont val="Arial Narrow"/>
        <family val="2"/>
      </rPr>
      <t xml:space="preserve"> </t>
    </r>
    <phoneticPr fontId="10" type="noConversion"/>
  </si>
  <si>
    <r>
      <rPr>
        <b/>
        <sz val="10"/>
        <rFont val="宋体"/>
        <family val="3"/>
        <charset val="134"/>
      </rPr>
      <t>三、审计说明：</t>
    </r>
    <r>
      <rPr>
        <sz val="10"/>
        <color indexed="12"/>
        <rFont val="宋体"/>
        <family val="3"/>
        <charset val="134"/>
      </rPr>
      <t/>
    </r>
    <phoneticPr fontId="10" type="noConversion"/>
  </si>
  <si>
    <r>
      <rPr>
        <b/>
        <sz val="10"/>
        <rFont val="宋体"/>
        <family val="3"/>
        <charset val="134"/>
      </rPr>
      <t>四、审计结论：</t>
    </r>
    <phoneticPr fontId="10" type="noConversion"/>
  </si>
  <si>
    <t>应收利息坏账准备明细表</t>
    <phoneticPr fontId="10" type="noConversion"/>
  </si>
  <si>
    <t>常规★</t>
    <phoneticPr fontId="3" type="noConversion"/>
  </si>
  <si>
    <t>√</t>
    <phoneticPr fontId="10" type="noConversion"/>
  </si>
  <si>
    <t>12</t>
  </si>
  <si>
    <t>G2-6</t>
    <phoneticPr fontId="10" type="noConversion"/>
  </si>
  <si>
    <t>针对报告期内账龄较长的应收利息，判断是否有长期挂账而推迟正常经营管理所需开支或无需支付（如不合理的往来款挂账）的情况，并检查其原始凭证，确认会计处理是否正确，必要时进行函证。针对报告期内账龄较长的应收利息，实施上条程序后未发现不合理的情况，应当进而分析账龄较长的原因，是否双方有纠纷或对方单位缺乏付款能力等，考虑坏账准备的计提是否充分。</t>
    <phoneticPr fontId="3" type="noConversion"/>
  </si>
  <si>
    <t>坏账准备明细表</t>
  </si>
  <si>
    <t>G2-8</t>
  </si>
  <si>
    <t>根据实际情况，实施以下分析程序：
（1）获取增、减分析表，确定增加内容及减少方式、对损益的影响；
（2）复核年度各项应收利息的总体合理性；对变化较大的项目或没有变动的项目进行复核，与被审计单位适当人员讨论原因，判断其存在的合理性，是否存在减值。</t>
    <phoneticPr fontId="3" type="noConversion"/>
  </si>
  <si>
    <t>索引号：</t>
  </si>
  <si>
    <t>被审计单位：</t>
    <phoneticPr fontId="10" type="noConversion"/>
  </si>
  <si>
    <r>
      <rPr>
        <b/>
        <sz val="10"/>
        <color indexed="8"/>
        <rFont val="宋体"/>
        <family val="3"/>
        <charset val="134"/>
      </rPr>
      <t>一、审计目标</t>
    </r>
    <r>
      <rPr>
        <sz val="10"/>
        <color indexed="8"/>
        <rFont val="Arial Narrow"/>
        <family val="2"/>
      </rPr>
      <t/>
    </r>
    <phoneticPr fontId="10" type="noConversion"/>
  </si>
  <si>
    <r>
      <t>1.</t>
    </r>
    <r>
      <rPr>
        <sz val="10"/>
        <color indexed="8"/>
        <rFont val="宋体"/>
        <family val="3"/>
        <charset val="134"/>
      </rPr>
      <t>资产负债表中记录的应收利息是存在的，且已经记录在恰当的账户中；</t>
    </r>
    <r>
      <rPr>
        <sz val="10"/>
        <color indexed="8"/>
        <rFont val="Arial Narrow"/>
        <family val="2"/>
      </rPr>
      <t>2.</t>
    </r>
    <r>
      <rPr>
        <sz val="10"/>
        <color indexed="8"/>
        <rFont val="宋体"/>
        <family val="3"/>
        <charset val="134"/>
      </rPr>
      <t>所有应记录的应收利息均已记录，所有应当包括在财务报表中的相关披露均已包括</t>
    </r>
    <phoneticPr fontId="10" type="noConversion"/>
  </si>
  <si>
    <r>
      <t>3.</t>
    </r>
    <r>
      <rPr>
        <sz val="10"/>
        <color indexed="8"/>
        <rFont val="宋体"/>
        <family val="3"/>
        <charset val="134"/>
      </rPr>
      <t>应收利息以恰当的金额包括在财务报表中，与之相关的计价或分摊调整已恰当记录，相关披露已得到恰当计量和描述</t>
    </r>
    <r>
      <rPr>
        <sz val="10"/>
        <color indexed="8"/>
        <rFont val="Arial Narrow"/>
        <family val="2"/>
      </rPr>
      <t xml:space="preserve"> </t>
    </r>
    <phoneticPr fontId="10" type="noConversion"/>
  </si>
  <si>
    <r>
      <t>1.</t>
    </r>
    <r>
      <rPr>
        <sz val="10"/>
        <rFont val="宋体"/>
        <family val="3"/>
        <charset val="134"/>
      </rPr>
      <t>资产负债表中记录的应收利息是存在的；</t>
    </r>
    <r>
      <rPr>
        <sz val="10"/>
        <rFont val="Arial Narrow"/>
        <family val="2"/>
      </rPr>
      <t>2.</t>
    </r>
    <r>
      <rPr>
        <sz val="10"/>
        <rFont val="宋体"/>
        <family val="3"/>
        <charset val="134"/>
      </rPr>
      <t>所有应当记录的应收利息均已记录；</t>
    </r>
    <r>
      <rPr>
        <sz val="10"/>
        <rFont val="Arial Narrow"/>
        <family val="2"/>
      </rPr>
      <t/>
    </r>
    <phoneticPr fontId="3" type="noConversion"/>
  </si>
  <si>
    <r>
      <t xml:space="preserve">3. </t>
    </r>
    <r>
      <rPr>
        <sz val="10"/>
        <rFont val="宋体"/>
        <family val="3"/>
        <charset val="134"/>
      </rPr>
      <t>应收利息以恰当的金额包括在财务报表中，与之相关的计价调整已恰当记录</t>
    </r>
    <phoneticPr fontId="3" type="noConversion"/>
  </si>
  <si>
    <t>2.应收利息、坏账准备以恰当的金额包括在财务报表中，与之相关的计价或分摊调整已恰当记录，相关披露已得到恰当计量和描述</t>
    <phoneticPr fontId="3" type="noConversion"/>
  </si>
  <si>
    <t>索引号：</t>
    <phoneticPr fontId="10" type="noConversion"/>
  </si>
  <si>
    <t>1.资产负债表中记录的应收利息是存在的，且已经记录在恰当的账户中；</t>
    <phoneticPr fontId="3" type="noConversion"/>
  </si>
  <si>
    <t>2、记录的应收利息由被审计单位拥有或控制；</t>
    <phoneticPr fontId="3" type="noConversion"/>
  </si>
  <si>
    <t>一、审计目标：</t>
    <phoneticPr fontId="3" type="noConversion"/>
  </si>
  <si>
    <t xml:space="preserve">3.应收利息以恰当的金额包括在财务报表中，与之相关的计价或分摊调整已恰当记录，相关披露已得到恰当计量和描述 </t>
    <phoneticPr fontId="3"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</si>
  <si>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0" type="noConversion"/>
  </si>
  <si>
    <t>支持性文件</t>
    <phoneticPr fontId="10" type="noConversion"/>
  </si>
  <si>
    <r>
      <rPr>
        <b/>
        <sz val="10"/>
        <rFont val="宋体"/>
        <family val="3"/>
        <charset val="134"/>
      </rPr>
      <t>核对内容</t>
    </r>
  </si>
  <si>
    <t>索引号</t>
  </si>
  <si>
    <t>备注说明</t>
    <phoneticPr fontId="10" type="noConversion"/>
  </si>
  <si>
    <t>1、本期发生额检查</t>
    <phoneticPr fontId="10" type="noConversion"/>
  </si>
  <si>
    <r>
      <t>2.</t>
    </r>
    <r>
      <rPr>
        <b/>
        <sz val="10"/>
        <rFont val="宋体"/>
        <family val="3"/>
        <charset val="134"/>
      </rPr>
      <t>期后处置、新增检查表</t>
    </r>
    <r>
      <rPr>
        <b/>
        <sz val="10"/>
        <rFont val="Arial Narrow"/>
        <family val="2"/>
      </rPr>
      <t/>
    </r>
    <phoneticPr fontId="10" type="noConversion"/>
  </si>
  <si>
    <t>支持性文件</t>
    <phoneticPr fontId="10" type="noConversion"/>
  </si>
  <si>
    <t>贷方金额</t>
    <phoneticPr fontId="10" type="noConversion"/>
  </si>
  <si>
    <t>是否异常</t>
    <phoneticPr fontId="10" type="noConversion"/>
  </si>
  <si>
    <t>备注说明</t>
    <phoneticPr fontId="10" type="noConversion"/>
  </si>
  <si>
    <t>页 次：</t>
    <phoneticPr fontId="3" type="noConversion"/>
  </si>
  <si>
    <t>页 次：</t>
    <phoneticPr fontId="10" type="noConversion"/>
  </si>
  <si>
    <t>页 次：</t>
    <phoneticPr fontId="10" type="noConversion"/>
  </si>
  <si>
    <t>索引号：</t>
    <phoneticPr fontId="10" type="noConversion"/>
  </si>
  <si>
    <t>页 次：1</t>
    <phoneticPr fontId="3" type="noConversion"/>
  </si>
  <si>
    <t>页 次：  1</t>
    <phoneticPr fontId="10" type="noConversion"/>
  </si>
  <si>
    <t>页 次：  1</t>
    <phoneticPr fontId="10" type="noConversion"/>
  </si>
  <si>
    <t>页 次：</t>
    <phoneticPr fontId="3" type="noConversion"/>
  </si>
  <si>
    <r>
      <rPr>
        <sz val="10"/>
        <rFont val="宋体"/>
        <family val="3"/>
        <charset val="134"/>
      </rPr>
      <t>页</t>
    </r>
    <r>
      <rPr>
        <sz val="10"/>
        <rFont val="Arial Narrow"/>
        <family val="2"/>
      </rPr>
      <t xml:space="preserve"> </t>
    </r>
    <r>
      <rPr>
        <sz val="10"/>
        <rFont val="宋体"/>
        <family val="3"/>
        <charset val="134"/>
      </rPr>
      <t>次：</t>
    </r>
    <r>
      <rPr>
        <sz val="10"/>
        <rFont val="Arial Narrow"/>
        <family val="2"/>
      </rPr>
      <t>1</t>
    </r>
    <phoneticPr fontId="3" type="noConversion"/>
  </si>
  <si>
    <r>
      <rPr>
        <sz val="10"/>
        <rFont val="宋体"/>
        <family val="3"/>
        <charset val="134"/>
      </rPr>
      <t>索引号：</t>
    </r>
    <phoneticPr fontId="10" type="noConversion"/>
  </si>
  <si>
    <t>G2-8</t>
    <phoneticPr fontId="3" type="noConversion"/>
  </si>
  <si>
    <t>G2-1
/G2-2
/G2-3
/G2-8</t>
    <phoneticPr fontId="3" type="noConversion"/>
  </si>
  <si>
    <t>T1
/G0-2
/</t>
    <phoneticPr fontId="3" type="noConversion"/>
  </si>
  <si>
    <t>G2-1
/G2-2
/G2-3</t>
    <phoneticPr fontId="3" type="noConversion"/>
  </si>
  <si>
    <t>G2-1
/G2-2</t>
    <phoneticPr fontId="3" type="noConversion"/>
  </si>
  <si>
    <t>G2-5
/G2-8</t>
    <phoneticPr fontId="3" type="noConversion"/>
  </si>
  <si>
    <t>G2-3
/G2-7</t>
    <phoneticPr fontId="3" type="noConversion"/>
  </si>
  <si>
    <r>
      <t>A1-1/</t>
    </r>
    <r>
      <rPr>
        <sz val="10"/>
        <color rgb="FFFF0000"/>
        <rFont val="Arial Narrow"/>
        <family val="2"/>
      </rPr>
      <t>A1-15 /A1-16</t>
    </r>
    <phoneticPr fontId="3" type="noConversion"/>
  </si>
  <si>
    <t>检查应收利息是否已按企业会计准则或其他适用的规定在财务报表中做出恰当列报和披露。</t>
    <phoneticPr fontId="3" type="noConversion"/>
  </si>
  <si>
    <t>三、计划实施的实质性程序</t>
    <phoneticPr fontId="10" type="noConversion"/>
  </si>
  <si>
    <t>若系首次承接，获取前期期末明细表，与总账核对一致，确定计算的准确性；将重大投资与其支持性文件核对一致；确定会计政策及程序是否适当；检查期初金额在本期收回情况；确定是否需要补充必要的程序，如果是，执行适当的应对程序。（适用于首次承接）</t>
    <phoneticPr fontId="3" type="noConversion"/>
  </si>
  <si>
    <t>权利和义务</t>
    <phoneticPr fontId="10" type="noConversion"/>
  </si>
  <si>
    <t>列报</t>
    <phoneticPr fontId="10"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</si>
  <si>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0" type="noConversion"/>
  </si>
  <si>
    <t>关于工作底稿与审计程序索引号对应的说明</t>
    <phoneticPr fontId="10" type="noConversion"/>
  </si>
  <si>
    <r>
      <t>1.</t>
    </r>
    <r>
      <rPr>
        <b/>
        <sz val="12"/>
        <rFont val="宋体"/>
        <family val="3"/>
        <charset val="134"/>
      </rPr>
      <t>编制的审计工作底稿应与审计程序对应。</t>
    </r>
    <r>
      <rPr>
        <sz val="11"/>
        <color theme="1"/>
        <rFont val="宋体"/>
        <family val="2"/>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0" type="noConversion"/>
  </si>
  <si>
    <r>
      <t>2.</t>
    </r>
    <r>
      <rPr>
        <b/>
        <sz val="12"/>
        <rFont val="宋体"/>
        <family val="3"/>
        <charset val="134"/>
      </rPr>
      <t>获取的支持性证据应与审计底稿或程序对应。</t>
    </r>
    <r>
      <rPr>
        <sz val="11"/>
        <color theme="1"/>
        <rFont val="宋体"/>
        <family val="2"/>
        <charset val="134"/>
        <scheme val="minor"/>
      </rPr>
      <t>审计项目组在完成底稿时获取的支持性证据应根据底稿索引号编制下一级按自然顺序排序的索引号（如</t>
    </r>
    <r>
      <rPr>
        <sz val="12"/>
        <rFont val="Arial Narrow"/>
        <family val="2"/>
      </rPr>
      <t>D1-2-1</t>
    </r>
    <r>
      <rPr>
        <sz val="11"/>
        <color theme="1"/>
        <rFont val="宋体"/>
        <family val="2"/>
        <charset val="134"/>
        <scheme val="minor"/>
      </rPr>
      <t>、</t>
    </r>
    <r>
      <rPr>
        <sz val="12"/>
        <rFont val="Arial Narrow"/>
        <family val="2"/>
      </rPr>
      <t>D1-2-2</t>
    </r>
    <r>
      <rPr>
        <sz val="11"/>
        <color theme="1"/>
        <rFont val="宋体"/>
        <family val="2"/>
        <charset val="134"/>
        <scheme val="minor"/>
      </rPr>
      <t>、</t>
    </r>
    <r>
      <rPr>
        <sz val="12"/>
        <rFont val="Arial Narrow"/>
        <family val="2"/>
      </rPr>
      <t>……</t>
    </r>
    <r>
      <rPr>
        <sz val="11"/>
        <color theme="1"/>
        <rFont val="宋体"/>
        <family val="2"/>
        <charset val="134"/>
        <scheme val="minor"/>
      </rPr>
      <t>），并在底稿中说明引用的支持性证据、关联索引号。</t>
    </r>
    <phoneticPr fontId="10" type="noConversion"/>
  </si>
  <si>
    <r>
      <rPr>
        <b/>
        <sz val="12"/>
        <rFont val="Arial Narrow"/>
        <family val="2"/>
      </rPr>
      <t>3.</t>
    </r>
    <r>
      <rPr>
        <b/>
        <sz val="12"/>
        <rFont val="宋体"/>
        <family val="3"/>
        <charset val="134"/>
      </rPr>
      <t>工作底稿索引号的编码规则：</t>
    </r>
    <r>
      <rPr>
        <sz val="11"/>
        <color theme="1"/>
        <rFont val="宋体"/>
        <family val="2"/>
        <charset val="134"/>
        <scheme val="minor"/>
      </rPr>
      <t>实质性程序索引号按循环从</t>
    </r>
    <r>
      <rPr>
        <sz val="12"/>
        <rFont val="Arial Narrow"/>
        <family val="2"/>
      </rPr>
      <t>“D”</t>
    </r>
    <r>
      <rPr>
        <sz val="11"/>
        <color theme="1"/>
        <rFont val="宋体"/>
        <family val="2"/>
        <charset val="134"/>
        <scheme val="minor"/>
      </rPr>
      <t>到</t>
    </r>
    <r>
      <rPr>
        <sz val="12"/>
        <rFont val="Arial Narrow"/>
        <family val="2"/>
      </rPr>
      <t>“N”,</t>
    </r>
    <r>
      <rPr>
        <sz val="11"/>
        <color theme="1"/>
        <rFont val="宋体"/>
        <family val="2"/>
        <charset val="134"/>
        <scheme val="minor"/>
      </rPr>
      <t>循环内账户以顺序号排列，模板中底稿索引号按账户顺序</t>
    </r>
    <r>
      <rPr>
        <sz val="12"/>
        <rFont val="Arial Narrow"/>
        <family val="2"/>
      </rPr>
      <t>+</t>
    </r>
    <r>
      <rPr>
        <sz val="11"/>
        <color theme="1"/>
        <rFont val="宋体"/>
        <family val="2"/>
        <charset val="134"/>
        <scheme val="minor"/>
      </rPr>
      <t>自然数顺序（即模板中索引号按二级自然顺序排列，如</t>
    </r>
    <r>
      <rPr>
        <sz val="12"/>
        <rFont val="Arial Narrow"/>
        <family val="2"/>
      </rPr>
      <t>D1-1</t>
    </r>
    <r>
      <rPr>
        <sz val="11"/>
        <color theme="1"/>
        <rFont val="宋体"/>
        <family val="2"/>
        <charset val="134"/>
        <scheme val="minor"/>
      </rPr>
      <t>、</t>
    </r>
    <r>
      <rPr>
        <sz val="12"/>
        <rFont val="Arial Narrow"/>
        <family val="2"/>
      </rPr>
      <t>D1-2</t>
    </r>
    <r>
      <rPr>
        <sz val="11"/>
        <color theme="1"/>
        <rFont val="宋体"/>
        <family val="2"/>
        <charset val="134"/>
        <scheme val="minor"/>
      </rPr>
      <t>、</t>
    </r>
    <r>
      <rPr>
        <sz val="12"/>
        <rFont val="Arial Narrow"/>
        <family val="2"/>
      </rPr>
      <t>D1-3</t>
    </r>
    <r>
      <rPr>
        <sz val="11"/>
        <color theme="1"/>
        <rFont val="宋体"/>
        <family val="2"/>
        <charset val="134"/>
        <scheme val="minor"/>
      </rPr>
      <t>、</t>
    </r>
    <r>
      <rPr>
        <sz val="12"/>
        <rFont val="Arial Narrow"/>
        <family val="2"/>
      </rPr>
      <t>……D1-N</t>
    </r>
    <r>
      <rPr>
        <sz val="11"/>
        <color theme="1"/>
        <rFont val="宋体"/>
        <family val="2"/>
        <charset val="134"/>
        <scheme val="minor"/>
      </rPr>
      <t>）。</t>
    </r>
    <phoneticPr fontId="10" type="noConversion"/>
  </si>
  <si>
    <t>随机选样/系统选样/货币单元抽样/随意选样（非统计抽样适用）</t>
    <phoneticPr fontId="10" type="noConversion"/>
  </si>
  <si>
    <t>抽取XX笔（如果使用了样本计算器计算样本量，样本量计算过程见&lt;XX&gt;底稿）</t>
    <phoneticPr fontId="10" type="noConversion"/>
  </si>
  <si>
    <t>本期发生额</t>
    <phoneticPr fontId="10" type="noConversion"/>
  </si>
  <si>
    <t>检查比例</t>
    <phoneticPr fontId="10" type="noConversion"/>
  </si>
  <si>
    <r>
      <rPr>
        <sz val="10"/>
        <rFont val="宋体"/>
        <family val="3"/>
        <charset val="134"/>
      </rPr>
      <t>索引号：</t>
    </r>
    <phoneticPr fontId="10"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</si>
  <si>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</si>
  <si>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t>1、审计说明</t>
    </r>
    <r>
      <rPr>
        <sz val="10"/>
        <color indexed="12"/>
        <rFont val="宋体"/>
        <family val="3"/>
        <charset val="134"/>
      </rPr>
      <t/>
    </r>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</si>
</sst>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4">
    <numFmt numFmtId="41" formatCode="_ * #,##0_ ;_ * \-#,##0_ ;_ * &quot;-&quot;_ ;_ @_ "/>
    <numFmt numFmtId="44" formatCode="_ &quot;¥&quot;* #,##0.00_ ;_ &quot;¥&quot;* \-#,##0.00_ ;_ &quot;¥&quot;*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0\)\ "/>
    <numFmt numFmtId="190" formatCode="[Blue]0.0%;[Blue]\(0.0%\)"/>
    <numFmt numFmtId="191" formatCode="0.0%;\(0.0%\)"/>
    <numFmt numFmtId="192" formatCode="[Red]0.0%;[Red]\(0.0%\)"/>
    <numFmt numFmtId="193" formatCode="[Blue]#,##0_);[Blue]\(#,##0\)"/>
    <numFmt numFmtId="194" formatCode="#,##0_);[Blue]\(#,##0\)"/>
    <numFmt numFmtId="195" formatCode="&quot;$&quot;#,##0;[Red]&quot;$&quot;&quot;$&quot;&quot;$&quot;&quot;$&quot;&quot;$&quot;&quot;$&quot;&quot;$&quot;\-#,##0"/>
    <numFmt numFmtId="196" formatCode="#,##0;\(#,##0\)"/>
    <numFmt numFmtId="197" formatCode="#,##0.0_);\(#,##0.0\)"/>
    <numFmt numFmtId="198" formatCode="&quot;$&quot;#,##0.00_);\(&quot;$&quot;#,##0.00\)"/>
    <numFmt numFmtId="199" formatCode=";;;"/>
    <numFmt numFmtId="200" formatCode="\$#,##0.00;\(\$#,##0.00\)"/>
    <numFmt numFmtId="201" formatCode="\$#,##0;\(\$#,##0\)"/>
    <numFmt numFmtId="202" formatCode="_([$€-2]* #,##0.00_);_([$€-2]* \(#,##0.00\);_([$€-2]* &quot;-&quot;??_)"/>
    <numFmt numFmtId="203" formatCode="&quot;\&quot;#,##0;[Red]&quot;\&quot;&quot;\&quot;\-#,##0"/>
    <numFmt numFmtId="204" formatCode="_(&quot;$&quot;* #,##0_);_(&quot;$&quot;* \(#,##0\);_(&quot;$&quot;* &quot;-&quot;_);_(@_)"/>
    <numFmt numFmtId="205" formatCode="_(&quot;$&quot;* #,##0.00_);_(&quot;$&quot;* \(#,##0.00\);_(&quot;$&quot;* &quot;-&quot;??_);_(@_)"/>
    <numFmt numFmtId="206" formatCode="_-* #,##0_-;\-* #,##0_-;_-* &quot;-&quot;??_-;_-@_-"/>
    <numFmt numFmtId="207" formatCode="0.00000000000_);[Red]\(0.00000000000\)"/>
    <numFmt numFmtId="208" formatCode="&quot;\&quot;#,##0;&quot;\&quot;&quot;\&quot;\-#,##0"/>
    <numFmt numFmtId="209" formatCode="0%_);\(0%\)"/>
    <numFmt numFmtId="210" formatCode="\ \ @"/>
    <numFmt numFmtId="211" formatCode="#,##0_);\(#,##0_)"/>
    <numFmt numFmtId="212" formatCode="_-* #,##0_-;\-* #,##0_-;_-* &quot;-&quot;_-;_-@_-"/>
    <numFmt numFmtId="213" formatCode="_-* #,##0.00_-;\-* #,##0.00_-;_-* &quot;-&quot;??_-;_-@_-"/>
    <numFmt numFmtId="214" formatCode="_-&quot;$&quot;* #,##0_-;\-&quot;$&quot;* #,##0_-;_-&quot;$&quot;* &quot;-&quot;_-;_-@_-"/>
    <numFmt numFmtId="215" formatCode="_-&quot;$&quot;* #,##0.00_-;\-&quot;$&quot;* #,##0.00_-;_-&quot;$&quot;* &quot;-&quot;??_-;_-@_-"/>
    <numFmt numFmtId="21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17" formatCode="#,##0.00_ "/>
    <numFmt numFmtId="218" formatCode="&quot;¥&quot;#,##0;\-&quot;¥&quot;#,##0"/>
    <numFmt numFmtId="219" formatCode="#.\ \ "/>
    <numFmt numFmtId="220" formatCode="##.\ \ "/>
    <numFmt numFmtId="221" formatCode="#,##0.000000"/>
    <numFmt numFmtId="222" formatCode="#,##0.00&quot;¥&quot;;\-#,##0.00&quot;¥&quot;"/>
    <numFmt numFmtId="223" formatCode="&quot;?#,##0;\-&quot;?#,##0"/>
    <numFmt numFmtId="224" formatCode="_-* #,##0&quot;¥&quot;_-;\-* #,##0&quot;¥&quot;_-;_-* &quot;-&quot;&quot;¥&quot;_-;_-@_-"/>
    <numFmt numFmtId="225" formatCode="&quot;$&quot;#,##0;\-&quot;$&quot;#,##0"/>
    <numFmt numFmtId="226" formatCode="#,##0&quot; $&quot;;[Red]\-#,##0&quot; $&quot;"/>
    <numFmt numFmtId="227" formatCode="#,##0.00&quot;¥&quot;;[Red]\-#,##0.00&quot;¥&quot;"/>
    <numFmt numFmtId="228" formatCode="_-* #,##0\ _k_r_-;\-* #,##0\ _k_r_-;_-* &quot;-&quot;\ _k_r_-;_-@_-"/>
    <numFmt numFmtId="229" formatCode="_-* #,##0.00\ _k_r_-;\-* #,##0.00\ _k_r_-;_-* &quot;-&quot;??\ _k_r_-;_-@_-"/>
    <numFmt numFmtId="230" formatCode="#,##0.00_);#,##0.00\)"/>
    <numFmt numFmtId="231" formatCode="0.00000&quot;  &quot;"/>
    <numFmt numFmtId="232" formatCode="&quot;\&quot;#,##0.00;[Red]&quot;\&quot;&quot;\&quot;&quot;\&quot;&quot;\&quot;&quot;\&quot;&quot;\&quot;\-#,##0.00"/>
    <numFmt numFmtId="233" formatCode="&quot;\&quot;#,##0.00;[Red]&quot;\&quot;\-#,##0.00"/>
    <numFmt numFmtId="234" formatCode="&quot;\&quot;#,##0;[Red]&quot;\&quot;\-#,##0"/>
    <numFmt numFmtId="235" formatCode="_(* #,##0.00_);_(* \(#,##0.00\);_(* &quot;-&quot;??_);_(@_)"/>
    <numFmt numFmtId="236" formatCode="yyyy\-mm\-dd;@"/>
  </numFmts>
  <fonts count="174">
    <font>
      <sz val="11"/>
      <color theme="1"/>
      <name val="宋体"/>
      <family val="2"/>
      <charset val="134"/>
      <scheme val="minor"/>
    </font>
    <font>
      <sz val="12"/>
      <name val="宋体"/>
      <family val="3"/>
      <charset val="134"/>
    </font>
    <font>
      <b/>
      <sz val="10"/>
      <name val="宋体"/>
      <family val="3"/>
      <charset val="134"/>
    </font>
    <font>
      <sz val="9"/>
      <name val="宋体"/>
      <family val="2"/>
      <charset val="134"/>
      <scheme val="minor"/>
    </font>
    <font>
      <b/>
      <sz val="10"/>
      <name val="Arial Narrow"/>
      <family val="2"/>
    </font>
    <font>
      <sz val="10"/>
      <name val="Arial Narrow"/>
      <family val="2"/>
    </font>
    <font>
      <b/>
      <sz val="12"/>
      <name val="宋体"/>
      <family val="3"/>
      <charset val="134"/>
    </font>
    <font>
      <b/>
      <sz val="12"/>
      <name val="Arial Narrow"/>
      <family val="2"/>
    </font>
    <font>
      <sz val="12"/>
      <name val="Arial Narrow"/>
      <family val="2"/>
    </font>
    <font>
      <sz val="10"/>
      <name val="宋体"/>
      <family val="3"/>
      <charset val="134"/>
    </font>
    <font>
      <sz val="9"/>
      <name val="宋体"/>
      <family val="3"/>
      <charset val="134"/>
    </font>
    <font>
      <sz val="10"/>
      <name val="Times New Roman"/>
      <family val="1"/>
    </font>
    <font>
      <sz val="10"/>
      <color indexed="12"/>
      <name val="宋体"/>
      <family val="3"/>
      <charset val="134"/>
    </font>
    <font>
      <u/>
      <sz val="12"/>
      <color indexed="12"/>
      <name val="宋体"/>
      <family val="3"/>
      <charset val="134"/>
    </font>
    <font>
      <sz val="12"/>
      <name val="Times New Roman"/>
      <family val="1"/>
    </font>
    <font>
      <u/>
      <sz val="10"/>
      <name val="Arial Narrow"/>
      <family val="2"/>
    </font>
    <font>
      <sz val="10"/>
      <color indexed="10"/>
      <name val="宋体"/>
      <family val="3"/>
      <charset val="134"/>
    </font>
    <font>
      <i/>
      <sz val="10"/>
      <color indexed="12"/>
      <name val="宋体"/>
      <family val="3"/>
      <charset val="134"/>
    </font>
    <font>
      <sz val="10"/>
      <color indexed="12"/>
      <name val="Arial Narrow"/>
      <family val="2"/>
    </font>
    <font>
      <b/>
      <sz val="10"/>
      <color indexed="12"/>
      <name val="宋体"/>
      <family val="3"/>
      <charset val="134"/>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7"/>
      <name val="Helv"/>
      <family val="2"/>
    </font>
    <font>
      <b/>
      <sz val="10"/>
      <name val="MS Sans Serif"/>
      <family val="2"/>
    </font>
    <font>
      <b/>
      <sz val="10"/>
      <name val="Helv"/>
      <family val="2"/>
    </font>
    <font>
      <b/>
      <sz val="13"/>
      <name val="Tms Rmn"/>
      <family val="1"/>
    </font>
    <font>
      <b/>
      <sz val="8"/>
      <name val="Arial"/>
      <family val="2"/>
    </font>
    <font>
      <sz val="10"/>
      <name val="MS Sans Serif"/>
      <family val="2"/>
    </font>
    <font>
      <sz val="9"/>
      <name val="Times New Roman"/>
      <family val="1"/>
    </font>
    <font>
      <sz val="8"/>
      <name val="Arial"/>
      <family val="2"/>
    </font>
    <font>
      <u/>
      <sz val="7.5"/>
      <color indexed="36"/>
      <name val="Arial"/>
      <family val="2"/>
    </font>
    <font>
      <b/>
      <sz val="12"/>
      <name val="Helv"/>
      <family val="2"/>
    </font>
    <font>
      <b/>
      <sz val="12"/>
      <name val="Arial"/>
      <family val="2"/>
    </font>
    <font>
      <b/>
      <sz val="10"/>
      <name val="Arial"/>
      <family val="2"/>
    </font>
    <font>
      <u/>
      <sz val="7.5"/>
      <color indexed="12"/>
      <name val="Arial"/>
      <family val="2"/>
    </font>
    <font>
      <b/>
      <sz val="11"/>
      <name val="Helv"/>
      <family val="2"/>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sz val="10"/>
      <name val="Geneva"/>
      <family val="2"/>
    </font>
    <font>
      <sz val="11"/>
      <name val="明朝"/>
      <family val="2"/>
    </font>
    <font>
      <sz val="8"/>
      <name val="Century Schoolbook"/>
      <family val="1"/>
    </font>
    <font>
      <sz val="12"/>
      <color indexed="20"/>
      <name val="宋体"/>
      <family val="3"/>
      <charset val="134"/>
    </font>
    <font>
      <sz val="11"/>
      <color indexed="8"/>
      <name val="宋体"/>
      <family val="3"/>
      <charset val="134"/>
    </font>
    <font>
      <sz val="10"/>
      <color indexed="17"/>
      <name val="Times New Roman"/>
      <family val="1"/>
    </font>
    <font>
      <sz val="11"/>
      <name val="ＭＳ Ｐゴシック"/>
      <family val="2"/>
    </font>
    <font>
      <sz val="12"/>
      <name val="바탕체"/>
      <family val="3"/>
    </font>
    <font>
      <sz val="10"/>
      <color indexed="10"/>
      <name val="Arial Narrow"/>
      <family val="2"/>
    </font>
    <font>
      <sz val="18"/>
      <color indexed="48"/>
      <name val="魏碑"/>
      <family val="3"/>
      <charset val="134"/>
    </font>
    <font>
      <sz val="12"/>
      <name val="Arial"/>
      <family val="2"/>
    </font>
    <font>
      <u/>
      <sz val="11"/>
      <color theme="10"/>
      <name val="宋体"/>
      <family val="3"/>
      <charset val="134"/>
    </font>
    <font>
      <sz val="10"/>
      <color theme="1"/>
      <name val="Arial Narrow"/>
      <family val="2"/>
    </font>
    <font>
      <sz val="10"/>
      <color theme="1"/>
      <name val="宋体"/>
      <family val="3"/>
      <charset val="134"/>
    </font>
    <font>
      <b/>
      <sz val="10"/>
      <color indexed="8"/>
      <name val="Arial Narrow"/>
      <family val="2"/>
    </font>
    <font>
      <b/>
      <sz val="10"/>
      <color indexed="8"/>
      <name val="宋体"/>
      <family val="3"/>
      <charset val="134"/>
    </font>
    <font>
      <b/>
      <sz val="10"/>
      <color theme="1"/>
      <name val="宋体"/>
      <family val="3"/>
      <charset val="134"/>
    </font>
    <font>
      <sz val="12"/>
      <color theme="1"/>
      <name val="仿宋_GB2312"/>
      <family val="3"/>
      <charset val="134"/>
    </font>
    <font>
      <sz val="12"/>
      <color rgb="FF0000FF"/>
      <name val="仿宋_GB2312"/>
      <family val="3"/>
      <charset val="134"/>
    </font>
    <font>
      <i/>
      <sz val="10"/>
      <color indexed="12"/>
      <name val="Arial Narrow"/>
      <family val="2"/>
    </font>
    <font>
      <b/>
      <sz val="10"/>
      <color indexed="12"/>
      <name val="Arial Narrow"/>
      <family val="2"/>
    </font>
    <font>
      <b/>
      <sz val="10"/>
      <color indexed="10"/>
      <name val="Arial Narrow"/>
      <family val="2"/>
    </font>
    <font>
      <sz val="11"/>
      <color theme="1"/>
      <name val="Arial Narrow"/>
      <family val="2"/>
    </font>
    <font>
      <sz val="12"/>
      <name val="仿宋_GB2312"/>
      <family val="3"/>
      <charset val="134"/>
    </font>
    <font>
      <i/>
      <u/>
      <sz val="10"/>
      <color indexed="12"/>
      <name val="Arial Narrow"/>
      <family val="2"/>
    </font>
    <font>
      <sz val="10"/>
      <color indexed="8"/>
      <name val="Arial Narrow"/>
      <family val="2"/>
    </font>
    <font>
      <b/>
      <sz val="12"/>
      <color rgb="FF0000FF"/>
      <name val="Arial Narrow"/>
      <family val="2"/>
    </font>
    <font>
      <b/>
      <sz val="12"/>
      <color rgb="FF0000FF"/>
      <name val="宋体"/>
      <family val="3"/>
      <charset val="134"/>
    </font>
    <font>
      <sz val="10"/>
      <color rgb="FFFF0000"/>
      <name val="宋体"/>
      <family val="3"/>
      <charset val="134"/>
    </font>
    <font>
      <sz val="11"/>
      <color theme="1"/>
      <name val="宋体"/>
      <family val="2"/>
      <charset val="134"/>
      <scheme val="minor"/>
    </font>
    <font>
      <b/>
      <sz val="10"/>
      <name val="微软雅黑"/>
      <family val="2"/>
      <charset val="134"/>
    </font>
    <font>
      <b/>
      <sz val="10"/>
      <color rgb="FFFF0000"/>
      <name val="宋体"/>
      <family val="3"/>
      <charset val="134"/>
    </font>
    <font>
      <b/>
      <sz val="10"/>
      <color rgb="FFFF0000"/>
      <name val="Arial Narrow"/>
      <family val="2"/>
    </font>
    <font>
      <sz val="10"/>
      <color rgb="FFFF0000"/>
      <name val="Arial Narrow"/>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sz val="11"/>
      <color theme="1"/>
      <name val="宋体"/>
      <family val="2"/>
      <scheme val="minor"/>
    </font>
    <font>
      <sz val="11"/>
      <color theme="1"/>
      <name val="宋体"/>
      <family val="3"/>
      <charset val="134"/>
      <scheme val="minor"/>
    </font>
    <font>
      <sz val="10"/>
      <color indexed="8"/>
      <name val="宋体"/>
      <family val="3"/>
      <charset val="134"/>
    </font>
    <font>
      <sz val="10"/>
      <color indexed="10"/>
      <name val="Arial"/>
      <family val="2"/>
    </font>
    <font>
      <sz val="12"/>
      <name val="???"/>
      <family val="1"/>
    </font>
    <font>
      <sz val="10"/>
      <name val="Helv"/>
      <family val="2"/>
    </font>
    <font>
      <sz val="10"/>
      <name val="Book Antiqua"/>
      <family val="1"/>
    </font>
    <font>
      <b/>
      <sz val="10"/>
      <name val="Book Antiqua"/>
      <family val="1"/>
    </font>
    <font>
      <sz val="12"/>
      <color indexed="8"/>
      <name val="宋体"/>
      <family val="3"/>
      <charset val="134"/>
    </font>
    <font>
      <sz val="12"/>
      <color indexed="9"/>
      <name val="宋体"/>
      <family val="3"/>
      <charset val="134"/>
    </font>
    <font>
      <sz val="8"/>
      <name val="Times New Roman"/>
      <family val="1"/>
    </font>
    <font>
      <sz val="10"/>
      <name val="MS Serif"/>
      <family val="1"/>
    </font>
    <font>
      <sz val="12"/>
      <name val="Tms Rmn"/>
      <family val="1"/>
    </font>
    <font>
      <sz val="10"/>
      <color indexed="16"/>
      <name val="MS Serif"/>
      <family val="1"/>
    </font>
    <font>
      <sz val="12"/>
      <name val="Helv"/>
      <family val="2"/>
    </font>
    <font>
      <sz val="12"/>
      <color indexed="9"/>
      <name val="Helv"/>
      <family val="2"/>
    </font>
    <font>
      <sz val="10"/>
      <name val="Tms Rmn"/>
      <family val="1"/>
    </font>
    <font>
      <sz val="9"/>
      <color indexed="8"/>
      <name val="宋体"/>
      <family val="3"/>
      <charset val="134"/>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b/>
      <sz val="8"/>
      <color indexed="8"/>
      <name val="Helv"/>
      <family val="2"/>
    </font>
    <font>
      <sz val="14"/>
      <name val="柧挬"/>
      <family val="2"/>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1"/>
      <color rgb="FF9C0006"/>
      <name val="宋体"/>
      <family val="3"/>
      <charset val="134"/>
      <scheme val="minor"/>
    </font>
    <font>
      <sz val="10"/>
      <color indexed="20"/>
      <name val="Times New Roman"/>
      <family val="1"/>
    </font>
    <font>
      <u/>
      <sz val="9"/>
      <color indexed="12"/>
      <name val="Times New Roman"/>
      <family val="1"/>
    </font>
    <font>
      <sz val="11"/>
      <color indexed="38"/>
      <name val="宋体"/>
      <family val="3"/>
      <charset val="134"/>
    </font>
    <font>
      <sz val="11"/>
      <color indexed="17"/>
      <name val="宋体"/>
      <family val="3"/>
      <charset val="134"/>
    </font>
    <font>
      <sz val="12"/>
      <color indexed="17"/>
      <name val="宋体"/>
      <family val="3"/>
      <charset val="134"/>
    </font>
    <font>
      <sz val="11"/>
      <color rgb="FF006100"/>
      <name val="宋体"/>
      <family val="3"/>
      <charset val="134"/>
      <scheme val="minor"/>
    </font>
    <font>
      <sz val="11"/>
      <color indexed="21"/>
      <name val="宋体"/>
      <family val="3"/>
      <charset val="134"/>
    </font>
    <font>
      <sz val="12"/>
      <name val="新細明體"/>
      <family val="1"/>
    </font>
    <font>
      <sz val="12"/>
      <name val="官帕眉"/>
      <family val="2"/>
    </font>
    <font>
      <sz val="10"/>
      <name val="奔覆眉"/>
      <family val="2"/>
    </font>
    <font>
      <b/>
      <sz val="12"/>
      <color indexed="8"/>
      <name val="宋体"/>
      <family val="3"/>
      <charset val="134"/>
    </font>
    <font>
      <sz val="12"/>
      <name val="柧挬"/>
      <family val="2"/>
    </font>
    <font>
      <b/>
      <sz val="10"/>
      <color rgb="FFE92841"/>
      <name val="Arial Narrow"/>
      <family val="2"/>
    </font>
    <font>
      <sz val="12"/>
      <color indexed="12"/>
      <name val="仿宋_GB2312"/>
      <family val="3"/>
      <charset val="134"/>
    </font>
    <font>
      <sz val="12"/>
      <name val="微软雅黑"/>
      <family val="2"/>
      <charset val="134"/>
    </font>
    <font>
      <b/>
      <sz val="12"/>
      <name val="仿宋_GB2312"/>
      <family val="3"/>
      <charset val="134"/>
    </font>
    <font>
      <sz val="12"/>
      <color rgb="FFFF0000"/>
      <name val="Times New Roman"/>
      <family val="1"/>
    </font>
    <font>
      <sz val="12"/>
      <name val="宋体"/>
      <family val="3"/>
      <charset val="134"/>
      <scheme val="minor"/>
    </font>
    <font>
      <sz val="10"/>
      <name val="仿宋_GB2312"/>
      <family val="3"/>
      <charset val="134"/>
    </font>
    <font>
      <b/>
      <sz val="10.5"/>
      <name val="仿宋_GB2312"/>
      <family val="3"/>
      <charset val="134"/>
    </font>
    <font>
      <sz val="10.5"/>
      <name val="仿宋_GB2312"/>
      <family val="3"/>
      <charset val="134"/>
    </font>
    <font>
      <sz val="10.5"/>
      <name val="Arial Narrow"/>
      <family val="2"/>
    </font>
    <font>
      <b/>
      <sz val="10.5"/>
      <name val="Arial Narrow"/>
      <family val="2"/>
    </font>
    <font>
      <b/>
      <sz val="10.5"/>
      <color rgb="FF000000"/>
      <name val="仿宋_GB2312"/>
      <family val="3"/>
      <charset val="134"/>
    </font>
    <font>
      <sz val="12"/>
      <color rgb="FF0000FF"/>
      <name val="宋体"/>
      <family val="3"/>
      <charset val="134"/>
    </font>
    <font>
      <b/>
      <sz val="10.5"/>
      <color theme="1"/>
      <name val="仿宋_GB2312"/>
      <family val="3"/>
      <charset val="134"/>
    </font>
    <font>
      <b/>
      <sz val="10.5"/>
      <color theme="1"/>
      <name val="Arial Narrow"/>
      <family val="2"/>
    </font>
    <font>
      <b/>
      <sz val="10"/>
      <color indexed="8"/>
      <name val="宋体"/>
      <family val="3"/>
      <charset val="134"/>
      <scheme val="minor"/>
    </font>
    <font>
      <b/>
      <sz val="10"/>
      <name val="宋体"/>
      <family val="3"/>
      <charset val="134"/>
      <scheme val="minor"/>
    </font>
    <font>
      <sz val="10"/>
      <color rgb="FF0000FF"/>
      <name val="宋体"/>
      <family val="3"/>
      <charset val="134"/>
    </font>
    <font>
      <sz val="10"/>
      <name val="宋体"/>
      <family val="3"/>
      <charset val="134"/>
      <scheme val="minor"/>
    </font>
    <font>
      <b/>
      <sz val="12"/>
      <name val="宋体"/>
      <family val="3"/>
      <charset val="134"/>
      <scheme val="minor"/>
    </font>
    <font>
      <sz val="12"/>
      <color theme="1"/>
      <name val="宋体"/>
      <family val="3"/>
      <charset val="134"/>
      <scheme val="minor"/>
    </font>
    <font>
      <b/>
      <sz val="14"/>
      <name val="宋体"/>
      <family val="3"/>
      <charset val="134"/>
      <scheme val="minor"/>
    </font>
    <font>
      <sz val="14"/>
      <name val="宋体"/>
      <family val="3"/>
      <charset val="134"/>
      <scheme val="minor"/>
    </font>
    <font>
      <sz val="14"/>
      <color theme="1"/>
      <name val="宋体"/>
      <family val="3"/>
      <charset val="134"/>
      <scheme val="minor"/>
    </font>
    <font>
      <u/>
      <sz val="10"/>
      <color indexed="12"/>
      <name val="宋体"/>
      <family val="3"/>
      <charset val="134"/>
    </font>
    <font>
      <b/>
      <sz val="10"/>
      <name val="黑体"/>
      <family val="3"/>
      <charset val="134"/>
    </font>
    <font>
      <u/>
      <sz val="10"/>
      <color theme="10"/>
      <name val="宋体"/>
      <family val="3"/>
      <charset val="134"/>
    </font>
    <font>
      <sz val="9"/>
      <name val="Arial"/>
      <family val="2"/>
      <charset val="134"/>
    </font>
    <font>
      <sz val="10"/>
      <color theme="1"/>
      <name val="宋体"/>
      <family val="3"/>
      <charset val="134"/>
      <scheme val="minor"/>
    </font>
    <font>
      <u/>
      <sz val="11"/>
      <color indexed="12"/>
      <name val="宋体"/>
      <family val="3"/>
      <charset val="134"/>
    </font>
    <font>
      <b/>
      <sz val="14"/>
      <name val="宋体"/>
      <family val="3"/>
      <charset val="134"/>
    </font>
    <font>
      <b/>
      <sz val="10"/>
      <color rgb="FF0000FF"/>
      <name val="宋体"/>
      <family val="3"/>
      <charset val="134"/>
    </font>
  </fonts>
  <fills count="69">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9"/>
      </patternFill>
    </fill>
    <fill>
      <patternFill patternType="solid">
        <fgColor indexed="45"/>
      </patternFill>
    </fill>
    <fill>
      <patternFill patternType="solid">
        <fgColor indexed="42"/>
      </patternFill>
    </fill>
    <fill>
      <patternFill patternType="solid">
        <fgColor indexed="51"/>
        <bgColor indexed="64"/>
      </patternFill>
    </fill>
    <fill>
      <patternFill patternType="solid">
        <fgColor indexed="14"/>
        <bgColor indexed="64"/>
      </patternFill>
    </fill>
    <fill>
      <patternFill patternType="solid">
        <fgColor theme="7" tint="0.79998168889431442"/>
        <bgColor indexed="64"/>
      </patternFill>
    </fill>
    <fill>
      <patternFill patternType="solid">
        <fgColor rgb="FFDCD5E5"/>
        <bgColor indexed="64"/>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C6EFCE"/>
      </patternFill>
    </fill>
    <fill>
      <patternFill patternType="solid">
        <fgColor rgb="FFFFC7CE"/>
      </patternFill>
    </fill>
    <fill>
      <patternFill patternType="solid">
        <fgColor indexed="65"/>
        <bgColor indexed="64"/>
      </patternFill>
    </fill>
    <fill>
      <patternFill patternType="gray0625">
        <fgColor indexed="10"/>
      </patternFill>
    </fill>
    <fill>
      <patternFill patternType="solid">
        <fgColor indexed="31"/>
        <bgColor indexed="31"/>
      </patternFill>
    </fill>
    <fill>
      <patternFill patternType="solid">
        <fgColor indexed="44"/>
        <bgColor indexed="4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27"/>
        <bgColor indexed="27"/>
      </patternFill>
    </fill>
    <fill>
      <patternFill patternType="solid">
        <fgColor indexed="47"/>
        <bgColor indexed="47"/>
      </patternFill>
    </fill>
    <fill>
      <patternFill patternType="solid">
        <fgColor indexed="15"/>
      </patternFill>
    </fill>
    <fill>
      <patternFill patternType="solid">
        <fgColor indexed="12"/>
      </patternFill>
    </fill>
    <fill>
      <patternFill patternType="solid">
        <fgColor indexed="9"/>
      </patternFill>
    </fill>
    <fill>
      <patternFill patternType="solid">
        <fgColor indexed="43"/>
        <bgColor indexed="64"/>
      </patternFill>
    </fill>
    <fill>
      <patternFill patternType="solid">
        <fgColor indexed="40"/>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4"/>
        <bgColor indexed="64"/>
      </patternFill>
    </fill>
    <fill>
      <patternFill patternType="solid">
        <fgColor indexed="41"/>
        <bgColor indexed="64"/>
      </patternFill>
    </fill>
    <fill>
      <patternFill patternType="solid">
        <fgColor indexed="45"/>
        <bgColor indexed="45"/>
      </patternFill>
    </fill>
    <fill>
      <patternFill patternType="solid">
        <fgColor indexed="13"/>
      </patternFill>
    </fill>
    <fill>
      <patternFill patternType="solid">
        <fgColor indexed="56"/>
      </patternFill>
    </fill>
    <fill>
      <patternFill patternType="solid">
        <fgColor indexed="18"/>
      </patternFill>
    </fill>
    <fill>
      <patternFill patternType="solid">
        <fgColor indexed="58"/>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7" tint="0.79995117038483843"/>
        <bgColor indexed="64"/>
      </patternFill>
    </fill>
    <fill>
      <patternFill patternType="solid">
        <fgColor rgb="FFFFFFFF"/>
        <bgColor indexed="64"/>
      </patternFill>
    </fill>
    <fill>
      <patternFill patternType="solid">
        <fgColor rgb="FFE4DFEC"/>
        <bgColor indexed="64"/>
      </patternFill>
    </fill>
    <fill>
      <patternFill patternType="solid">
        <fgColor rgb="FFE4DFEC"/>
        <bgColor rgb="FFB7DEE8"/>
      </patternFill>
    </fill>
  </fills>
  <borders count="34">
    <border>
      <left/>
      <right/>
      <top/>
      <bottom/>
      <diagonal/>
    </border>
    <border>
      <left style="hair">
        <color indexed="64"/>
      </left>
      <right/>
      <top style="hair">
        <color indexed="64"/>
      </top>
      <bottom style="hair">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hair">
        <color indexed="64"/>
      </top>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right/>
      <top/>
      <bottom style="medium">
        <color auto="1"/>
      </bottom>
      <diagonal/>
    </border>
    <border>
      <left/>
      <right/>
      <top style="medium">
        <color auto="1"/>
      </top>
      <bottom/>
      <diagonal/>
    </border>
    <border>
      <left/>
      <right/>
      <top/>
      <bottom style="medium">
        <color rgb="FF000000"/>
      </bottom>
      <diagonal/>
    </border>
    <border>
      <left/>
      <right/>
      <top/>
      <bottom style="hair">
        <color indexed="64"/>
      </bottom>
      <diagonal/>
    </border>
  </borders>
  <cellStyleXfs count="700">
    <xf numFmtId="0" fontId="0" fillId="0" borderId="0">
      <alignment vertical="center"/>
    </xf>
    <xf numFmtId="43" fontId="1" fillId="0" borderId="0" applyFont="0" applyFill="0" applyBorder="0" applyAlignment="0" applyProtection="0"/>
    <xf numFmtId="9" fontId="1" fillId="0" borderId="0" applyFont="0" applyFill="0" applyBorder="0" applyAlignment="0" applyProtection="0"/>
    <xf numFmtId="0" fontId="1" fillId="0" borderId="0" applyFill="0" applyBorder="0"/>
    <xf numFmtId="0" fontId="13" fillId="0" borderId="0" applyNumberFormat="0" applyFill="0" applyBorder="0" applyAlignment="0" applyProtection="0">
      <alignment vertical="top"/>
      <protection locked="0"/>
    </xf>
    <xf numFmtId="0" fontId="14" fillId="0" borderId="0"/>
    <xf numFmtId="0" fontId="20" fillId="0" borderId="0"/>
    <xf numFmtId="0" fontId="20" fillId="0" borderId="0"/>
    <xf numFmtId="0" fontId="20" fillId="0" borderId="0"/>
    <xf numFmtId="0" fontId="20" fillId="0" borderId="0"/>
    <xf numFmtId="0" fontId="20" fillId="0" borderId="0"/>
    <xf numFmtId="49" fontId="11" fillId="0" borderId="0" applyProtection="0">
      <alignment horizontal="left"/>
    </xf>
    <xf numFmtId="0" fontId="21" fillId="0" borderId="0">
      <alignment vertical="top"/>
      <protection locked="0"/>
    </xf>
    <xf numFmtId="0" fontId="21" fillId="0" borderId="0">
      <alignment vertical="top"/>
      <protection locked="0"/>
    </xf>
    <xf numFmtId="0" fontId="21" fillId="0" borderId="0">
      <alignment vertical="top"/>
      <protection locked="0"/>
    </xf>
    <xf numFmtId="0" fontId="21" fillId="0" borderId="0">
      <alignment vertical="top"/>
    </xf>
    <xf numFmtId="0" fontId="14" fillId="0" borderId="0"/>
    <xf numFmtId="0" fontId="21" fillId="0" borderId="0">
      <alignment vertical="top"/>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protection locked="0"/>
    </xf>
    <xf numFmtId="0" fontId="21" fillId="0" borderId="0">
      <alignment vertical="top"/>
      <protection locked="0"/>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xf>
    <xf numFmtId="0" fontId="21" fillId="0" borderId="0">
      <alignment vertical="top"/>
      <protection locked="0"/>
    </xf>
    <xf numFmtId="0" fontId="21" fillId="0" borderId="0">
      <alignment vertical="top"/>
    </xf>
    <xf numFmtId="0" fontId="21" fillId="0" borderId="0">
      <alignment vertical="top"/>
      <protection locked="0"/>
    </xf>
    <xf numFmtId="0" fontId="21" fillId="0" borderId="0">
      <alignment vertical="top"/>
      <protection locked="0"/>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protection locked="0"/>
    </xf>
    <xf numFmtId="0" fontId="21" fillId="0" borderId="0">
      <alignment vertical="top"/>
      <protection locked="0"/>
    </xf>
    <xf numFmtId="0" fontId="21" fillId="0" borderId="0">
      <alignment vertical="top"/>
    </xf>
    <xf numFmtId="0" fontId="21" fillId="0" borderId="0">
      <alignment vertical="top"/>
      <protection locked="0"/>
    </xf>
    <xf numFmtId="176" fontId="11" fillId="0" borderId="0" applyFill="0" applyBorder="0" applyProtection="0">
      <alignment horizontal="right"/>
    </xf>
    <xf numFmtId="177" fontId="11" fillId="0" borderId="0" applyFill="0" applyBorder="0" applyProtection="0">
      <alignment horizontal="right"/>
    </xf>
    <xf numFmtId="178" fontId="22" fillId="0" borderId="0" applyFill="0" applyBorder="0" applyProtection="0">
      <alignment horizontal="center"/>
    </xf>
    <xf numFmtId="179" fontId="22" fillId="0" borderId="0" applyFill="0" applyBorder="0" applyProtection="0">
      <alignment horizontal="center"/>
    </xf>
    <xf numFmtId="180" fontId="23" fillId="0" borderId="0" applyFill="0" applyBorder="0" applyProtection="0">
      <alignment horizontal="right"/>
    </xf>
    <xf numFmtId="181" fontId="11" fillId="0" borderId="0" applyFill="0" applyBorder="0" applyProtection="0">
      <alignment horizontal="right"/>
    </xf>
    <xf numFmtId="182" fontId="11" fillId="0" borderId="0" applyFill="0" applyBorder="0" applyProtection="0">
      <alignment horizontal="right"/>
    </xf>
    <xf numFmtId="183" fontId="11" fillId="0" borderId="0" applyFill="0" applyBorder="0" applyProtection="0">
      <alignment horizontal="right"/>
    </xf>
    <xf numFmtId="184" fontId="11" fillId="0" borderId="0" applyFill="0" applyBorder="0" applyProtection="0">
      <alignment horizontal="right"/>
    </xf>
    <xf numFmtId="185" fontId="24" fillId="0" borderId="0" applyFont="0" applyFill="0" applyBorder="0" applyAlignment="0" applyProtection="0"/>
    <xf numFmtId="0" fontId="14" fillId="0" borderId="0"/>
    <xf numFmtId="186" fontId="24" fillId="0" borderId="0" applyFont="0" applyFill="0" applyBorder="0" applyAlignment="0" applyProtection="0"/>
    <xf numFmtId="10" fontId="24" fillId="0" borderId="0" applyFont="0" applyFill="0" applyBorder="0" applyAlignment="0" applyProtection="0"/>
    <xf numFmtId="3" fontId="25" fillId="0" borderId="0"/>
    <xf numFmtId="187" fontId="26" fillId="0" borderId="2" applyAlignment="0" applyProtection="0"/>
    <xf numFmtId="188" fontId="21" fillId="0" borderId="0" applyFill="0" applyBorder="0" applyAlignment="0"/>
    <xf numFmtId="189" fontId="20" fillId="0" borderId="0" applyFill="0" applyBorder="0" applyAlignment="0"/>
    <xf numFmtId="190" fontId="20" fillId="0" borderId="0" applyFill="0" applyBorder="0" applyAlignment="0"/>
    <xf numFmtId="191" fontId="20" fillId="0" borderId="0" applyFill="0" applyBorder="0" applyAlignment="0"/>
    <xf numFmtId="192" fontId="20" fillId="0" borderId="0" applyFill="0" applyBorder="0" applyAlignment="0"/>
    <xf numFmtId="193" fontId="20" fillId="0" borderId="0" applyFill="0" applyBorder="0" applyAlignment="0"/>
    <xf numFmtId="194" fontId="20" fillId="0" borderId="0" applyFill="0" applyBorder="0" applyAlignment="0"/>
    <xf numFmtId="189" fontId="20" fillId="0" borderId="0" applyFill="0" applyBorder="0" applyAlignment="0"/>
    <xf numFmtId="0" fontId="27" fillId="0" borderId="0"/>
    <xf numFmtId="0" fontId="28" fillId="0" borderId="3" applyNumberFormat="0" applyFill="0" applyProtection="0">
      <alignment horizontal="center"/>
    </xf>
    <xf numFmtId="0" fontId="29" fillId="0" borderId="4">
      <alignment horizontal="center"/>
    </xf>
    <xf numFmtId="195" fontId="20" fillId="0" borderId="0"/>
    <xf numFmtId="195" fontId="20" fillId="0" borderId="0"/>
    <xf numFmtId="195" fontId="20" fillId="0" borderId="0"/>
    <xf numFmtId="195" fontId="20" fillId="0" borderId="0"/>
    <xf numFmtId="195" fontId="20" fillId="0" borderId="0"/>
    <xf numFmtId="195" fontId="20" fillId="0" borderId="0"/>
    <xf numFmtId="195" fontId="20" fillId="0" borderId="0"/>
    <xf numFmtId="195" fontId="20" fillId="0" borderId="0"/>
    <xf numFmtId="193" fontId="20" fillId="0" borderId="0" applyFont="0" applyFill="0" applyBorder="0" applyAlignment="0" applyProtection="0"/>
    <xf numFmtId="43" fontId="1" fillId="0" borderId="0" applyFont="0" applyFill="0" applyBorder="0" applyAlignment="0" applyProtection="0"/>
    <xf numFmtId="196" fontId="11" fillId="0" borderId="0"/>
    <xf numFmtId="37" fontId="24" fillId="0" borderId="0" applyFont="0" applyFill="0" applyBorder="0" applyAlignment="0" applyProtection="0"/>
    <xf numFmtId="197" fontId="24" fillId="0" borderId="0" applyFont="0" applyFill="0" applyBorder="0" applyAlignment="0" applyProtection="0"/>
    <xf numFmtId="39" fontId="24" fillId="0" borderId="0" applyFont="0" applyFill="0" applyBorder="0" applyAlignment="0" applyProtection="0"/>
    <xf numFmtId="40" fontId="30" fillId="0" borderId="0" applyFont="0" applyFill="0" applyBorder="0" applyAlignment="0" applyProtection="0"/>
    <xf numFmtId="189" fontId="20" fillId="0" borderId="0" applyFont="0" applyFill="0" applyBorder="0" applyAlignment="0" applyProtection="0"/>
    <xf numFmtId="187" fontId="24" fillId="0" borderId="0" applyFont="0" applyFill="0" applyBorder="0" applyAlignment="0" applyProtection="0"/>
    <xf numFmtId="198" fontId="24" fillId="0" borderId="0" applyFont="0" applyFill="0" applyBorder="0" applyAlignment="0" applyProtection="0"/>
    <xf numFmtId="199" fontId="1" fillId="0" borderId="0" applyFont="0" applyFill="0" applyBorder="0" applyAlignment="0" applyProtection="0"/>
    <xf numFmtId="200" fontId="11" fillId="0" borderId="0"/>
    <xf numFmtId="14" fontId="21" fillId="0" borderId="0" applyFill="0" applyBorder="0" applyAlignment="0"/>
    <xf numFmtId="41" fontId="20" fillId="0" borderId="0" applyFont="0" applyFill="0" applyBorder="0" applyAlignment="0" applyProtection="0"/>
    <xf numFmtId="43" fontId="20" fillId="0" borderId="0" applyFont="0" applyFill="0" applyBorder="0" applyAlignment="0" applyProtection="0"/>
    <xf numFmtId="201" fontId="11" fillId="0" borderId="0"/>
    <xf numFmtId="193" fontId="20" fillId="0" borderId="0" applyFill="0" applyBorder="0" applyAlignment="0"/>
    <xf numFmtId="189" fontId="20" fillId="0" borderId="0" applyFill="0" applyBorder="0" applyAlignment="0"/>
    <xf numFmtId="193" fontId="20" fillId="0" borderId="0" applyFill="0" applyBorder="0" applyAlignment="0"/>
    <xf numFmtId="194" fontId="20" fillId="0" borderId="0" applyFill="0" applyBorder="0" applyAlignment="0"/>
    <xf numFmtId="189" fontId="20" fillId="0" borderId="0" applyFill="0" applyBorder="0" applyAlignment="0"/>
    <xf numFmtId="0" fontId="31" fillId="0" borderId="0">
      <alignment horizontal="left"/>
    </xf>
    <xf numFmtId="0" fontId="32" fillId="2" borderId="5"/>
    <xf numFmtId="202" fontId="11" fillId="0" borderId="0" applyFont="0" applyFill="0" applyBorder="0" applyAlignment="0" applyProtection="0"/>
    <xf numFmtId="0" fontId="33" fillId="0" borderId="0" applyNumberFormat="0" applyFill="0" applyBorder="0" applyAlignment="0" applyProtection="0">
      <alignment vertical="top"/>
      <protection locked="0"/>
    </xf>
    <xf numFmtId="38" fontId="32" fillId="3" borderId="0" applyNumberFormat="0" applyBorder="0" applyAlignment="0" applyProtection="0"/>
    <xf numFmtId="0" fontId="34" fillId="0" borderId="0">
      <alignment horizontal="left"/>
    </xf>
    <xf numFmtId="0" fontId="35" fillId="0" borderId="6" applyNumberFormat="0" applyAlignment="0" applyProtection="0">
      <alignment horizontal="left" vertical="center"/>
    </xf>
    <xf numFmtId="0" fontId="35" fillId="0" borderId="7">
      <alignment horizontal="left" vertical="center"/>
    </xf>
    <xf numFmtId="14" fontId="36" fillId="4" borderId="8">
      <alignment horizontal="center" vertical="center" wrapText="1"/>
    </xf>
    <xf numFmtId="0" fontId="37" fillId="0" borderId="0" applyNumberFormat="0" applyFill="0" applyBorder="0" applyAlignment="0" applyProtection="0">
      <alignment vertical="top"/>
      <protection locked="0"/>
    </xf>
    <xf numFmtId="10" fontId="32" fillId="5" borderId="5" applyNumberFormat="0" applyBorder="0" applyAlignment="0" applyProtection="0"/>
    <xf numFmtId="0" fontId="11" fillId="0" borderId="0" applyNumberFormat="0" applyFont="0" applyFill="0" applyBorder="0" applyProtection="0">
      <alignment horizontal="left" vertical="center"/>
    </xf>
    <xf numFmtId="193" fontId="20" fillId="0" borderId="0" applyFill="0" applyBorder="0" applyAlignment="0"/>
    <xf numFmtId="189" fontId="20" fillId="0" borderId="0" applyFill="0" applyBorder="0" applyAlignment="0"/>
    <xf numFmtId="193" fontId="20" fillId="0" borderId="0" applyFill="0" applyBorder="0" applyAlignment="0"/>
    <xf numFmtId="194" fontId="20" fillId="0" borderId="0" applyFill="0" applyBorder="0" applyAlignment="0"/>
    <xf numFmtId="189" fontId="20" fillId="0" borderId="0" applyFill="0" applyBorder="0" applyAlignment="0"/>
    <xf numFmtId="41" fontId="20" fillId="0" borderId="0" applyFont="0" applyFill="0" applyBorder="0" applyAlignment="0" applyProtection="0"/>
    <xf numFmtId="43" fontId="20" fillId="0" borderId="0" applyFont="0" applyFill="0" applyBorder="0" applyAlignment="0" applyProtection="0"/>
    <xf numFmtId="0" fontId="38" fillId="0" borderId="8"/>
    <xf numFmtId="204" fontId="20" fillId="0" borderId="0" applyFont="0" applyFill="0" applyBorder="0" applyAlignment="0" applyProtection="0"/>
    <xf numFmtId="205" fontId="20" fillId="0" borderId="0" applyFont="0" applyFill="0" applyBorder="0" applyAlignment="0" applyProtection="0"/>
    <xf numFmtId="206" fontId="20" fillId="0" borderId="0" applyFont="0" applyFill="0" applyBorder="0" applyAlignment="0" applyProtection="0"/>
    <xf numFmtId="207" fontId="1" fillId="0" borderId="0" applyFont="0" applyFill="0" applyBorder="0" applyAlignment="0" applyProtection="0"/>
    <xf numFmtId="37" fontId="39" fillId="0" borderId="0"/>
    <xf numFmtId="0" fontId="40" fillId="0" borderId="0"/>
    <xf numFmtId="208" fontId="1" fillId="0" borderId="0"/>
    <xf numFmtId="0" fontId="1" fillId="0" borderId="0"/>
    <xf numFmtId="0" fontId="30" fillId="0" borderId="0"/>
    <xf numFmtId="0" fontId="41" fillId="0" borderId="0"/>
    <xf numFmtId="209" fontId="20" fillId="0" borderId="0" applyFont="0" applyFill="0" applyBorder="0" applyAlignment="0" applyProtection="0"/>
    <xf numFmtId="192" fontId="20" fillId="0" borderId="0" applyFont="0" applyFill="0" applyBorder="0" applyAlignment="0" applyProtection="0"/>
    <xf numFmtId="185" fontId="20" fillId="0" borderId="0" applyFont="0" applyFill="0" applyBorder="0" applyAlignment="0" applyProtection="0"/>
    <xf numFmtId="10" fontId="20" fillId="0" borderId="0" applyFont="0" applyFill="0" applyBorder="0" applyAlignment="0" applyProtection="0"/>
    <xf numFmtId="0" fontId="32" fillId="3" borderId="5"/>
    <xf numFmtId="193" fontId="20" fillId="0" borderId="0" applyFill="0" applyBorder="0" applyAlignment="0"/>
    <xf numFmtId="189" fontId="20" fillId="0" borderId="0" applyFill="0" applyBorder="0" applyAlignment="0"/>
    <xf numFmtId="193" fontId="20" fillId="0" borderId="0" applyFill="0" applyBorder="0" applyAlignment="0"/>
    <xf numFmtId="194" fontId="20" fillId="0" borderId="0" applyFill="0" applyBorder="0" applyAlignment="0"/>
    <xf numFmtId="189" fontId="20" fillId="0" borderId="0" applyFill="0" applyBorder="0" applyAlignment="0"/>
    <xf numFmtId="4" fontId="31" fillId="0" borderId="0">
      <alignment horizontal="right"/>
    </xf>
    <xf numFmtId="3" fontId="42" fillId="0" borderId="0"/>
    <xf numFmtId="4" fontId="43" fillId="0" borderId="0">
      <alignment horizontal="right"/>
    </xf>
    <xf numFmtId="0" fontId="44" fillId="0" borderId="0">
      <alignment horizontal="left"/>
    </xf>
    <xf numFmtId="43" fontId="32" fillId="0" borderId="9"/>
    <xf numFmtId="0" fontId="45" fillId="0" borderId="5">
      <alignment horizontal="center"/>
    </xf>
    <xf numFmtId="0" fontId="45" fillId="0" borderId="0">
      <alignment horizontal="center" vertical="center"/>
    </xf>
    <xf numFmtId="0" fontId="46" fillId="6" borderId="0" applyNumberFormat="0" applyFill="0">
      <alignment horizontal="left" vertical="center"/>
    </xf>
    <xf numFmtId="0" fontId="38" fillId="0" borderId="0"/>
    <xf numFmtId="49" fontId="21" fillId="0" borderId="0" applyFill="0" applyBorder="0" applyAlignment="0"/>
    <xf numFmtId="210" fontId="21" fillId="0" borderId="0" applyFill="0" applyBorder="0" applyAlignment="0"/>
    <xf numFmtId="211" fontId="20" fillId="0" borderId="0" applyFill="0" applyBorder="0" applyAlignment="0"/>
    <xf numFmtId="0" fontId="47" fillId="0" borderId="0" applyFill="0" applyBorder="0" applyProtection="0">
      <alignment horizontal="left" vertical="top"/>
    </xf>
    <xf numFmtId="0" fontId="48" fillId="0" borderId="0">
      <alignment horizontal="center"/>
    </xf>
    <xf numFmtId="0" fontId="49" fillId="0" borderId="0" applyNumberFormat="0" applyFont="0" applyFill="0" applyBorder="0" applyProtection="0">
      <alignment horizontal="center" vertical="center" wrapText="1"/>
    </xf>
    <xf numFmtId="9" fontId="50" fillId="0" borderId="0" applyFont="0" applyFill="0" applyBorder="0" applyAlignment="0" applyProtection="0"/>
    <xf numFmtId="0" fontId="14" fillId="0" borderId="0"/>
    <xf numFmtId="212" fontId="14" fillId="0" borderId="0" applyFont="0" applyFill="0" applyBorder="0" applyAlignment="0" applyProtection="0"/>
    <xf numFmtId="213" fontId="14" fillId="0" borderId="0" applyFont="0" applyFill="0" applyBorder="0" applyAlignment="0" applyProtection="0"/>
    <xf numFmtId="41" fontId="20"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xf numFmtId="4" fontId="51" fillId="0" borderId="0">
      <alignment horizontal="right"/>
    </xf>
    <xf numFmtId="0" fontId="52" fillId="7" borderId="0" applyNumberFormat="0" applyBorder="0" applyAlignment="0" applyProtection="0">
      <alignment vertical="center"/>
    </xf>
    <xf numFmtId="0" fontId="1" fillId="0" borderId="0">
      <protection locked="0"/>
    </xf>
    <xf numFmtId="0" fontId="1" fillId="0" borderId="0">
      <alignment vertical="center"/>
      <protection locked="0"/>
    </xf>
    <xf numFmtId="0" fontId="1" fillId="0" borderId="0">
      <protection locked="0"/>
    </xf>
    <xf numFmtId="0" fontId="53" fillId="0" borderId="0">
      <alignment vertical="center"/>
    </xf>
    <xf numFmtId="0" fontId="13" fillId="0" borderId="0" applyNumberFormat="0" applyFill="0" applyBorder="0" applyAlignment="0" applyProtection="0">
      <alignment vertical="top"/>
      <protection locked="0"/>
    </xf>
    <xf numFmtId="0" fontId="26" fillId="0" borderId="0" applyNumberFormat="0" applyFill="0" applyBorder="0" applyAlignment="0" applyProtection="0"/>
    <xf numFmtId="0" fontId="54" fillId="8" borderId="0" applyNumberFormat="0" applyBorder="0" applyAlignment="0" applyProtection="0">
      <alignment vertical="center"/>
    </xf>
    <xf numFmtId="4" fontId="49" fillId="0" borderId="0" applyFont="0" applyFill="0" applyBorder="0" applyAlignment="0" applyProtection="0"/>
    <xf numFmtId="41" fontId="20" fillId="0" borderId="0" applyFont="0" applyFill="0" applyBorder="0" applyAlignment="0" applyProtection="0"/>
    <xf numFmtId="214" fontId="14" fillId="0" borderId="0" applyFont="0" applyFill="0" applyBorder="0" applyAlignment="0" applyProtection="0"/>
    <xf numFmtId="215" fontId="14" fillId="0" borderId="0" applyFont="0" applyFill="0" applyBorder="0" applyAlignment="0" applyProtection="0"/>
    <xf numFmtId="0" fontId="11" fillId="0" borderId="0"/>
    <xf numFmtId="41" fontId="11" fillId="0" borderId="0" applyFont="0" applyFill="0" applyBorder="0" applyAlignment="0" applyProtection="0"/>
    <xf numFmtId="43" fontId="11" fillId="0" borderId="0" applyFont="0" applyFill="0" applyBorder="0" applyAlignment="0" applyProtection="0"/>
    <xf numFmtId="41" fontId="14"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alignment vertical="center"/>
    </xf>
    <xf numFmtId="205" fontId="20" fillId="0" borderId="0" applyFont="0" applyFill="0" applyBorder="0" applyAlignment="0" applyProtection="0"/>
    <xf numFmtId="216" fontId="49" fillId="0" borderId="0" applyFont="0" applyFill="0" applyBorder="0" applyAlignment="0" applyProtection="0"/>
    <xf numFmtId="0" fontId="21" fillId="0" borderId="0">
      <alignment vertical="top"/>
    </xf>
    <xf numFmtId="38" fontId="55" fillId="0" borderId="0" applyFont="0" applyFill="0" applyBorder="0" applyAlignment="0" applyProtection="0"/>
    <xf numFmtId="40" fontId="5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0" fontId="56" fillId="0" borderId="0"/>
    <xf numFmtId="0" fontId="1" fillId="0" borderId="0">
      <alignment vertical="center"/>
    </xf>
    <xf numFmtId="0" fontId="1" fillId="0" borderId="0"/>
    <xf numFmtId="0" fontId="60" fillId="0" borderId="0" applyNumberFormat="0" applyFill="0" applyBorder="0" applyAlignment="0" applyProtection="0">
      <alignment vertical="top"/>
      <protection locked="0"/>
    </xf>
    <xf numFmtId="0" fontId="20" fillId="0" borderId="0"/>
    <xf numFmtId="202" fontId="1" fillId="0" borderId="0">
      <protection locked="0"/>
    </xf>
    <xf numFmtId="0" fontId="1" fillId="0" borderId="0">
      <protection locked="0"/>
    </xf>
    <xf numFmtId="0" fontId="1" fillId="0" borderId="0">
      <protection locked="0"/>
    </xf>
    <xf numFmtId="0" fontId="1" fillId="0" borderId="0">
      <protection locked="0"/>
    </xf>
    <xf numFmtId="202" fontId="83" fillId="13" borderId="0" applyNumberFormat="0" applyBorder="0" applyAlignment="0" applyProtection="0"/>
    <xf numFmtId="202" fontId="83" fillId="7" borderId="0" applyNumberFormat="0" applyBorder="0" applyAlignment="0" applyProtection="0"/>
    <xf numFmtId="202" fontId="83" fillId="8" borderId="0" applyNumberFormat="0" applyBorder="0" applyAlignment="0" applyProtection="0"/>
    <xf numFmtId="202" fontId="83" fillId="14" borderId="0" applyNumberFormat="0" applyBorder="0" applyAlignment="0" applyProtection="0"/>
    <xf numFmtId="202" fontId="83" fillId="15" borderId="0" applyNumberFormat="0" applyBorder="0" applyAlignment="0" applyProtection="0"/>
    <xf numFmtId="202" fontId="83" fillId="16" borderId="0" applyNumberFormat="0" applyBorder="0" applyAlignment="0" applyProtection="0"/>
    <xf numFmtId="202" fontId="83" fillId="17" borderId="0" applyNumberFormat="0" applyBorder="0" applyAlignment="0" applyProtection="0"/>
    <xf numFmtId="202" fontId="83" fillId="18" borderId="0" applyNumberFormat="0" applyBorder="0" applyAlignment="0" applyProtection="0"/>
    <xf numFmtId="202" fontId="83" fillId="19" borderId="0" applyNumberFormat="0" applyBorder="0" applyAlignment="0" applyProtection="0"/>
    <xf numFmtId="202" fontId="83" fillId="14" borderId="0" applyNumberFormat="0" applyBorder="0" applyAlignment="0" applyProtection="0"/>
    <xf numFmtId="202" fontId="83" fillId="17" borderId="0" applyNumberFormat="0" applyBorder="0" applyAlignment="0" applyProtection="0"/>
    <xf numFmtId="202" fontId="83" fillId="20" borderId="0" applyNumberFormat="0" applyBorder="0" applyAlignment="0" applyProtection="0"/>
    <xf numFmtId="202" fontId="84" fillId="21" borderId="0" applyNumberFormat="0" applyBorder="0" applyAlignment="0" applyProtection="0"/>
    <xf numFmtId="202" fontId="84" fillId="18" borderId="0" applyNumberFormat="0" applyBorder="0" applyAlignment="0" applyProtection="0"/>
    <xf numFmtId="202" fontId="84" fillId="19" borderId="0" applyNumberFormat="0" applyBorder="0" applyAlignment="0" applyProtection="0"/>
    <xf numFmtId="202" fontId="84" fillId="22" borderId="0" applyNumberFormat="0" applyBorder="0" applyAlignment="0" applyProtection="0"/>
    <xf numFmtId="202" fontId="84" fillId="23" borderId="0" applyNumberFormat="0" applyBorder="0" applyAlignment="0" applyProtection="0"/>
    <xf numFmtId="202" fontId="84" fillId="24" borderId="0" applyNumberFormat="0" applyBorder="0" applyAlignment="0" applyProtection="0"/>
    <xf numFmtId="202" fontId="84" fillId="25" borderId="0" applyNumberFormat="0" applyBorder="0" applyAlignment="0" applyProtection="0"/>
    <xf numFmtId="202" fontId="84" fillId="26" borderId="0" applyNumberFormat="0" applyBorder="0" applyAlignment="0" applyProtection="0"/>
    <xf numFmtId="202" fontId="84" fillId="27" borderId="0" applyNumberFormat="0" applyBorder="0" applyAlignment="0" applyProtection="0"/>
    <xf numFmtId="202" fontId="84" fillId="22" borderId="0" applyNumberFormat="0" applyBorder="0" applyAlignment="0" applyProtection="0"/>
    <xf numFmtId="202" fontId="84" fillId="23" borderId="0" applyNumberFormat="0" applyBorder="0" applyAlignment="0" applyProtection="0"/>
    <xf numFmtId="202" fontId="84" fillId="28" borderId="0" applyNumberFormat="0" applyBorder="0" applyAlignment="0" applyProtection="0"/>
    <xf numFmtId="202" fontId="85" fillId="7" borderId="0" applyNumberFormat="0" applyBorder="0" applyAlignment="0" applyProtection="0"/>
    <xf numFmtId="202" fontId="86" fillId="29" borderId="18" applyNumberFormat="0" applyAlignment="0" applyProtection="0"/>
    <xf numFmtId="202" fontId="87" fillId="30" borderId="19" applyNumberFormat="0" applyAlignment="0" applyProtection="0"/>
    <xf numFmtId="202" fontId="88" fillId="0" borderId="0" applyNumberFormat="0" applyFill="0" applyBorder="0" applyAlignment="0" applyProtection="0"/>
    <xf numFmtId="202" fontId="89" fillId="8" borderId="0" applyNumberFormat="0" applyBorder="0" applyAlignment="0" applyProtection="0"/>
    <xf numFmtId="202" fontId="90" fillId="0" borderId="20" applyNumberFormat="0" applyFill="0" applyAlignment="0" applyProtection="0"/>
    <xf numFmtId="202" fontId="91" fillId="0" borderId="21" applyNumberFormat="0" applyFill="0" applyAlignment="0" applyProtection="0"/>
    <xf numFmtId="202" fontId="92" fillId="0" borderId="22" applyNumberFormat="0" applyFill="0" applyAlignment="0" applyProtection="0"/>
    <xf numFmtId="202" fontId="92" fillId="0" borderId="0" applyNumberFormat="0" applyFill="0" applyBorder="0" applyAlignment="0" applyProtection="0"/>
    <xf numFmtId="202" fontId="93" fillId="16" borderId="18" applyNumberFormat="0" applyAlignment="0" applyProtection="0"/>
    <xf numFmtId="202" fontId="94" fillId="0" borderId="23" applyNumberFormat="0" applyFill="0" applyAlignment="0" applyProtection="0"/>
    <xf numFmtId="202" fontId="95" fillId="31" borderId="0" applyNumberFormat="0" applyBorder="0" applyAlignment="0" applyProtection="0"/>
    <xf numFmtId="0" fontId="20" fillId="0" borderId="0"/>
    <xf numFmtId="0" fontId="20" fillId="0" borderId="0"/>
    <xf numFmtId="0" fontId="1" fillId="0" borderId="0">
      <alignment vertical="center"/>
    </xf>
    <xf numFmtId="202" fontId="20" fillId="32" borderId="24" applyNumberFormat="0" applyFont="0" applyAlignment="0" applyProtection="0"/>
    <xf numFmtId="202" fontId="96" fillId="29" borderId="25" applyNumberFormat="0" applyAlignment="0" applyProtection="0"/>
    <xf numFmtId="202" fontId="97" fillId="0" borderId="26" applyNumberFormat="0" applyFill="0" applyAlignment="0" applyProtection="0"/>
    <xf numFmtId="202" fontId="98" fillId="0" borderId="0" applyNumberFormat="0" applyFill="0" applyBorder="0" applyAlignment="0" applyProtection="0"/>
    <xf numFmtId="0" fontId="1" fillId="0" borderId="0">
      <alignment vertical="center"/>
      <protection locked="0"/>
    </xf>
    <xf numFmtId="0" fontId="20" fillId="0" borderId="0"/>
    <xf numFmtId="0" fontId="99" fillId="0" borderId="0"/>
    <xf numFmtId="0" fontId="100" fillId="0" borderId="0">
      <alignment vertical="center"/>
    </xf>
    <xf numFmtId="0" fontId="78" fillId="0" borderId="0">
      <alignment vertical="center"/>
    </xf>
    <xf numFmtId="202" fontId="13" fillId="0" borderId="0" applyNumberFormat="0" applyFill="0" applyBorder="0" applyAlignment="0" applyProtection="0">
      <alignment vertical="top"/>
      <protection locked="0"/>
    </xf>
    <xf numFmtId="0" fontId="20" fillId="0" borderId="0" applyFont="0" applyFill="0" applyBorder="0" applyAlignment="0" applyProtection="0"/>
    <xf numFmtId="202" fontId="1" fillId="0" borderId="0"/>
    <xf numFmtId="202" fontId="1" fillId="0" borderId="0">
      <alignment vertical="center"/>
    </xf>
    <xf numFmtId="202" fontId="1" fillId="0" borderId="0">
      <alignment vertical="center"/>
      <protection locked="0"/>
    </xf>
    <xf numFmtId="202" fontId="1" fillId="0" borderId="0">
      <alignment vertical="center"/>
    </xf>
    <xf numFmtId="0" fontId="78" fillId="0" borderId="0">
      <alignment vertical="center"/>
    </xf>
    <xf numFmtId="0" fontId="20" fillId="0" borderId="0"/>
    <xf numFmtId="0" fontId="1" fillId="0" borderId="0" applyNumberFormat="0" applyFill="0" applyBorder="0" applyAlignment="0" applyProtection="0"/>
    <xf numFmtId="0" fontId="20" fillId="0" borderId="0"/>
    <xf numFmtId="0" fontId="55" fillId="0" borderId="0" applyFont="0" applyFill="0" applyBorder="0" applyAlignment="0" applyProtection="0"/>
    <xf numFmtId="0" fontId="55" fillId="0" borderId="0" applyFont="0" applyFill="0" applyBorder="0" applyAlignment="0" applyProtection="0"/>
    <xf numFmtId="0" fontId="103" fillId="0" borderId="0"/>
    <xf numFmtId="0" fontId="20" fillId="0" borderId="0"/>
    <xf numFmtId="0" fontId="20" fillId="0" borderId="0"/>
    <xf numFmtId="0" fontId="20" fillId="0" borderId="0"/>
    <xf numFmtId="49" fontId="11" fillId="0" borderId="0" applyProtection="0">
      <alignment horizontal="left"/>
    </xf>
    <xf numFmtId="0" fontId="21" fillId="0" borderId="0">
      <alignment vertical="top"/>
      <protection locked="0"/>
    </xf>
    <xf numFmtId="0" fontId="21" fillId="0" borderId="0">
      <alignment vertical="top"/>
    </xf>
    <xf numFmtId="0" fontId="20" fillId="0" borderId="0" applyNumberFormat="0" applyFill="0" applyBorder="0" applyAlignment="0">
      <protection locked="0"/>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protection locked="0"/>
    </xf>
    <xf numFmtId="0" fontId="21" fillId="0" borderId="0">
      <alignment vertical="top"/>
      <protection locked="0"/>
    </xf>
    <xf numFmtId="0" fontId="21" fillId="0" borderId="0">
      <alignment vertical="top"/>
      <protection locked="0"/>
    </xf>
    <xf numFmtId="0" fontId="21" fillId="0" borderId="0">
      <alignment vertical="top"/>
      <protection locked="0"/>
    </xf>
    <xf numFmtId="0" fontId="21" fillId="0" borderId="0">
      <alignment vertical="top"/>
      <protection locked="0"/>
    </xf>
    <xf numFmtId="0" fontId="21" fillId="0" borderId="0">
      <alignment vertical="top"/>
      <protection locked="0"/>
    </xf>
    <xf numFmtId="0" fontId="21" fillId="0" borderId="0">
      <alignment vertical="top"/>
      <protection locked="0"/>
    </xf>
    <xf numFmtId="0" fontId="20" fillId="0" borderId="0" applyNumberFormat="0" applyFill="0" applyBorder="0" applyAlignment="0">
      <protection locked="0"/>
    </xf>
    <xf numFmtId="0" fontId="104" fillId="0" borderId="0"/>
    <xf numFmtId="0" fontId="104" fillId="0" borderId="0"/>
    <xf numFmtId="0" fontId="104" fillId="0" borderId="0"/>
    <xf numFmtId="0" fontId="104" fillId="0" borderId="0"/>
    <xf numFmtId="0" fontId="104"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104" fillId="0" borderId="0"/>
    <xf numFmtId="0" fontId="104" fillId="0" borderId="0"/>
    <xf numFmtId="0" fontId="104" fillId="0" borderId="0"/>
    <xf numFmtId="0" fontId="104" fillId="0" borderId="0"/>
    <xf numFmtId="0" fontId="104" fillId="0" borderId="0"/>
    <xf numFmtId="0" fontId="21" fillId="0" borderId="0">
      <alignment vertical="top"/>
    </xf>
    <xf numFmtId="0" fontId="21" fillId="0" borderId="0">
      <alignment vertical="top"/>
    </xf>
    <xf numFmtId="0" fontId="104" fillId="0" borderId="0"/>
    <xf numFmtId="0" fontId="104" fillId="0" borderId="0"/>
    <xf numFmtId="0" fontId="104" fillId="0" borderId="0"/>
    <xf numFmtId="0" fontId="104" fillId="0" borderId="0"/>
    <xf numFmtId="0" fontId="104" fillId="0" borderId="0"/>
    <xf numFmtId="0" fontId="21" fillId="0" borderId="0">
      <alignment vertical="top"/>
    </xf>
    <xf numFmtId="0" fontId="20" fillId="0" borderId="0" applyNumberFormat="0" applyFill="0" applyBorder="0" applyAlignment="0" applyProtection="0"/>
    <xf numFmtId="0" fontId="21" fillId="0" borderId="0">
      <alignment vertical="top"/>
      <protection locked="0"/>
    </xf>
    <xf numFmtId="0" fontId="21" fillId="0" borderId="0">
      <alignment vertical="top"/>
      <protection locked="0"/>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protection locked="0"/>
    </xf>
    <xf numFmtId="0" fontId="21" fillId="0" borderId="0">
      <alignment vertical="top"/>
      <protection locked="0"/>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protection locked="0"/>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xf>
    <xf numFmtId="0" fontId="21" fillId="0" borderId="0">
      <alignment vertical="top"/>
      <protection locked="0"/>
    </xf>
    <xf numFmtId="0" fontId="104" fillId="0" borderId="0"/>
    <xf numFmtId="0" fontId="21" fillId="0" borderId="0">
      <alignment vertical="top"/>
    </xf>
    <xf numFmtId="0" fontId="104" fillId="0" borderId="0"/>
    <xf numFmtId="0" fontId="104" fillId="0" borderId="0"/>
    <xf numFmtId="0" fontId="104"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104" fillId="0" borderId="0"/>
    <xf numFmtId="0" fontId="21" fillId="0" borderId="0">
      <alignment vertical="top"/>
      <protection locked="0"/>
    </xf>
    <xf numFmtId="0" fontId="21" fillId="0" borderId="0">
      <alignment vertical="top"/>
      <protection locked="0"/>
    </xf>
    <xf numFmtId="0" fontId="21" fillId="0" borderId="0">
      <alignment vertical="top"/>
      <protection locked="0"/>
    </xf>
    <xf numFmtId="0" fontId="21" fillId="0" borderId="0">
      <alignment vertical="top"/>
      <protection locked="0"/>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protection locked="0"/>
    </xf>
    <xf numFmtId="0" fontId="104" fillId="0" borderId="0"/>
    <xf numFmtId="0" fontId="21" fillId="0" borderId="0">
      <alignment vertical="top"/>
    </xf>
    <xf numFmtId="0" fontId="21" fillId="0" borderId="0">
      <alignment vertical="top"/>
      <protection locked="0"/>
    </xf>
    <xf numFmtId="0" fontId="21" fillId="0" borderId="0">
      <alignment vertical="top"/>
    </xf>
    <xf numFmtId="0" fontId="21" fillId="0" borderId="0">
      <alignment vertical="top"/>
      <protection locked="0"/>
    </xf>
    <xf numFmtId="0" fontId="21" fillId="0" borderId="0">
      <alignment vertical="top"/>
      <protection locked="0"/>
    </xf>
    <xf numFmtId="0" fontId="21" fillId="0" borderId="0">
      <alignment vertical="top"/>
    </xf>
    <xf numFmtId="0" fontId="21" fillId="0" borderId="0">
      <alignment vertical="top"/>
      <protection locked="0"/>
    </xf>
    <xf numFmtId="0" fontId="21" fillId="0" borderId="0">
      <alignment vertical="top"/>
    </xf>
    <xf numFmtId="0" fontId="21" fillId="0" borderId="0">
      <alignment vertical="top"/>
      <protection locked="0"/>
    </xf>
    <xf numFmtId="0" fontId="21" fillId="0" borderId="0">
      <alignment vertical="top"/>
      <protection locked="0"/>
    </xf>
    <xf numFmtId="0" fontId="21" fillId="0" borderId="0">
      <alignment vertical="top"/>
      <protection locked="0"/>
    </xf>
    <xf numFmtId="0" fontId="104" fillId="0" borderId="0"/>
    <xf numFmtId="0" fontId="21" fillId="0" borderId="0">
      <alignment vertical="top"/>
    </xf>
    <xf numFmtId="0" fontId="21" fillId="0" borderId="0">
      <alignment vertical="top"/>
      <protection locked="0"/>
    </xf>
    <xf numFmtId="0" fontId="21" fillId="0" borderId="0">
      <alignment vertical="top"/>
      <protection locked="0"/>
    </xf>
    <xf numFmtId="0" fontId="104" fillId="0" borderId="0"/>
    <xf numFmtId="0" fontId="21" fillId="0" borderId="0">
      <alignment vertical="top"/>
      <protection locked="0"/>
    </xf>
    <xf numFmtId="218" fontId="1" fillId="0" borderId="0" applyFont="0" applyFill="0" applyBorder="0" applyAlignment="0" applyProtection="0"/>
    <xf numFmtId="0" fontId="105" fillId="0" borderId="5">
      <alignment horizontal="center"/>
    </xf>
    <xf numFmtId="0" fontId="106" fillId="0" borderId="0"/>
    <xf numFmtId="0" fontId="106" fillId="0" borderId="8" applyFill="0">
      <alignment horizontal="center"/>
      <protection locked="0"/>
    </xf>
    <xf numFmtId="0" fontId="105" fillId="0" borderId="0" applyFill="0">
      <alignment horizontal="center"/>
      <protection locked="0"/>
    </xf>
    <xf numFmtId="0" fontId="105" fillId="35" borderId="0"/>
    <xf numFmtId="0" fontId="105" fillId="0" borderId="0">
      <protection locked="0"/>
    </xf>
    <xf numFmtId="0" fontId="105" fillId="0" borderId="0"/>
    <xf numFmtId="219" fontId="105" fillId="0" borderId="0"/>
    <xf numFmtId="220" fontId="105" fillId="0" borderId="0"/>
    <xf numFmtId="0" fontId="106" fillId="36" borderId="0">
      <alignment horizontal="right"/>
    </xf>
    <xf numFmtId="0" fontId="105" fillId="0" borderId="0"/>
    <xf numFmtId="0" fontId="107" fillId="37" borderId="0" applyNumberFormat="0" applyBorder="0" applyAlignment="0" applyProtection="0"/>
    <xf numFmtId="0" fontId="107" fillId="37" borderId="0" applyNumberFormat="0" applyBorder="0" applyAlignment="0" applyProtection="0"/>
    <xf numFmtId="0" fontId="108" fillId="38" borderId="0" applyNumberFormat="0" applyBorder="0" applyAlignment="0" applyProtection="0"/>
    <xf numFmtId="0" fontId="107" fillId="39" borderId="0" applyNumberFormat="0" applyBorder="0" applyAlignment="0" applyProtection="0"/>
    <xf numFmtId="0" fontId="107" fillId="40" borderId="0" applyNumberFormat="0" applyBorder="0" applyAlignment="0" applyProtection="0"/>
    <xf numFmtId="0" fontId="108" fillId="41" borderId="0" applyNumberFormat="0" applyBorder="0" applyAlignment="0" applyProtection="0"/>
    <xf numFmtId="0" fontId="107" fillId="39" borderId="0" applyNumberFormat="0" applyBorder="0" applyAlignment="0" applyProtection="0"/>
    <xf numFmtId="0" fontId="107" fillId="42" borderId="0" applyNumberFormat="0" applyBorder="0" applyAlignment="0" applyProtection="0"/>
    <xf numFmtId="0" fontId="108" fillId="40" borderId="0" applyNumberFormat="0" applyBorder="0" applyAlignment="0" applyProtection="0"/>
    <xf numFmtId="0" fontId="107" fillId="37" borderId="0" applyNumberFormat="0" applyBorder="0" applyAlignment="0" applyProtection="0"/>
    <xf numFmtId="0" fontId="107" fillId="40" borderId="0" applyNumberFormat="0" applyBorder="0" applyAlignment="0" applyProtection="0"/>
    <xf numFmtId="0" fontId="108" fillId="40" borderId="0" applyNumberFormat="0" applyBorder="0" applyAlignment="0" applyProtection="0"/>
    <xf numFmtId="0" fontId="107" fillId="43" borderId="0" applyNumberFormat="0" applyBorder="0" applyAlignment="0" applyProtection="0"/>
    <xf numFmtId="0" fontId="107" fillId="37" borderId="0" applyNumberFormat="0" applyBorder="0" applyAlignment="0" applyProtection="0"/>
    <xf numFmtId="0" fontId="108" fillId="38" borderId="0" applyNumberFormat="0" applyBorder="0" applyAlignment="0" applyProtection="0"/>
    <xf numFmtId="0" fontId="107" fillId="39" borderId="0" applyNumberFormat="0" applyBorder="0" applyAlignment="0" applyProtection="0"/>
    <xf numFmtId="0" fontId="107" fillId="44" borderId="0" applyNumberFormat="0" applyBorder="0" applyAlignment="0" applyProtection="0"/>
    <xf numFmtId="0" fontId="108" fillId="44" borderId="0" applyNumberFormat="0" applyBorder="0" applyAlignment="0" applyProtection="0"/>
    <xf numFmtId="0" fontId="109" fillId="0" borderId="0">
      <alignment horizontal="center" wrapText="1"/>
      <protection locked="0"/>
    </xf>
    <xf numFmtId="204" fontId="1" fillId="0" borderId="0" applyFont="0" applyFill="0" applyBorder="0" applyAlignment="0" applyProtection="0"/>
    <xf numFmtId="0" fontId="110" fillId="0" borderId="0" applyNumberFormat="0" applyAlignment="0">
      <alignment horizontal="left"/>
    </xf>
    <xf numFmtId="0" fontId="40" fillId="0" borderId="0" applyNumberFormat="0" applyAlignment="0"/>
    <xf numFmtId="204" fontId="59" fillId="0" borderId="0" applyFont="0" applyFill="0" applyBorder="0" applyAlignment="0" applyProtection="0"/>
    <xf numFmtId="221" fontId="20" fillId="0" borderId="0">
      <protection locked="0"/>
    </xf>
    <xf numFmtId="15" fontId="30" fillId="0" borderId="0"/>
    <xf numFmtId="221" fontId="20" fillId="0" borderId="0">
      <protection locked="0"/>
    </xf>
    <xf numFmtId="0" fontId="111" fillId="0" borderId="0" applyNumberFormat="0" applyFill="0" applyBorder="0" applyAlignment="0" applyProtection="0"/>
    <xf numFmtId="0" fontId="112" fillId="0" borderId="0" applyNumberFormat="0" applyAlignment="0">
      <alignment horizontal="left"/>
    </xf>
    <xf numFmtId="0" fontId="31" fillId="0" borderId="0">
      <alignment horizontal="left"/>
    </xf>
    <xf numFmtId="0" fontId="32" fillId="2" borderId="5"/>
    <xf numFmtId="221" fontId="20" fillId="0" borderId="0">
      <protection locked="0"/>
    </xf>
    <xf numFmtId="221" fontId="20" fillId="0" borderId="0">
      <protection locked="0"/>
    </xf>
    <xf numFmtId="221" fontId="20" fillId="0" borderId="0">
      <protection locked="0"/>
    </xf>
    <xf numFmtId="221" fontId="20" fillId="0" borderId="0">
      <protection locked="0"/>
    </xf>
    <xf numFmtId="221" fontId="20" fillId="0" borderId="0">
      <protection locked="0"/>
    </xf>
    <xf numFmtId="221" fontId="20" fillId="0" borderId="0">
      <protection locked="0"/>
    </xf>
    <xf numFmtId="221" fontId="20" fillId="0" borderId="0">
      <protection locked="0"/>
    </xf>
    <xf numFmtId="221" fontId="20" fillId="0" borderId="0">
      <protection locked="0"/>
    </xf>
    <xf numFmtId="0" fontId="35" fillId="0" borderId="6" applyNumberFormat="0" applyAlignment="0" applyProtection="0">
      <alignment horizontal="left" vertical="center"/>
    </xf>
    <xf numFmtId="0" fontId="35" fillId="0" borderId="7">
      <alignment horizontal="left" vertical="center"/>
    </xf>
    <xf numFmtId="221" fontId="20" fillId="0" borderId="0">
      <protection locked="0"/>
    </xf>
    <xf numFmtId="221" fontId="20" fillId="0" borderId="0">
      <protection locked="0"/>
    </xf>
    <xf numFmtId="197" fontId="113" fillId="45" borderId="0"/>
    <xf numFmtId="222" fontId="1" fillId="45" borderId="0"/>
    <xf numFmtId="0" fontId="11" fillId="0" borderId="0" applyNumberFormat="0" applyFont="0" applyFill="0" applyBorder="0" applyProtection="0">
      <alignment horizontal="left" vertical="center"/>
    </xf>
    <xf numFmtId="197" fontId="114" fillId="46" borderId="0"/>
    <xf numFmtId="222" fontId="1" fillId="46" borderId="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11" fillId="0" borderId="0"/>
    <xf numFmtId="223" fontId="1" fillId="0" borderId="0" applyFont="0" applyFill="0" applyBorder="0" applyAlignment="0" applyProtection="0"/>
    <xf numFmtId="224" fontId="1" fillId="0" borderId="0" applyFont="0" applyFill="0" applyBorder="0" applyAlignment="0" applyProtection="0"/>
    <xf numFmtId="14" fontId="109" fillId="0" borderId="0">
      <alignment horizontal="center" wrapText="1"/>
      <protection locked="0"/>
    </xf>
    <xf numFmtId="9" fontId="104" fillId="0" borderId="0" applyFont="0" applyFill="0" applyBorder="0" applyAlignment="0" applyProtection="0"/>
    <xf numFmtId="13" fontId="20" fillId="0" borderId="0" applyFont="0" applyFill="0" applyProtection="0"/>
    <xf numFmtId="0" fontId="32" fillId="3" borderId="5"/>
    <xf numFmtId="225" fontId="115" fillId="0" borderId="0"/>
    <xf numFmtId="218" fontId="115" fillId="0" borderId="0"/>
    <xf numFmtId="0" fontId="30" fillId="0" borderId="0" applyNumberFormat="0" applyFont="0" applyFill="0" applyBorder="0" applyAlignment="0" applyProtection="0">
      <alignment horizontal="left"/>
    </xf>
    <xf numFmtId="0" fontId="26" fillId="0" borderId="8">
      <alignment horizontal="center"/>
    </xf>
    <xf numFmtId="226" fontId="14" fillId="0" borderId="0" applyNumberFormat="0" applyFill="0" applyBorder="0" applyAlignment="0" applyProtection="0">
      <alignment horizontal="left"/>
    </xf>
    <xf numFmtId="227" fontId="1" fillId="0" borderId="0" applyNumberFormat="0" applyFill="0" applyBorder="0" applyAlignment="0" applyProtection="0">
      <alignment horizontal="left"/>
    </xf>
    <xf numFmtId="41" fontId="11" fillId="0" borderId="0" applyFont="0" applyFill="0" applyBorder="0" applyAlignment="0" applyProtection="0"/>
    <xf numFmtId="0" fontId="116" fillId="47" borderId="0">
      <alignment horizontal="left" vertical="center"/>
    </xf>
    <xf numFmtId="0" fontId="116" fillId="47" borderId="0">
      <alignment horizontal="right" vertical="center"/>
    </xf>
    <xf numFmtId="4" fontId="117" fillId="31" borderId="27" applyNumberFormat="0" applyProtection="0">
      <alignment vertical="center"/>
    </xf>
    <xf numFmtId="4" fontId="118" fillId="48" borderId="27" applyNumberFormat="0" applyProtection="0">
      <alignment vertical="center"/>
    </xf>
    <xf numFmtId="4" fontId="117" fillId="48" borderId="27" applyNumberFormat="0" applyProtection="0">
      <alignment horizontal="left" vertical="center" indent="1"/>
    </xf>
    <xf numFmtId="0" fontId="117" fillId="48" borderId="27" applyNumberFormat="0" applyProtection="0">
      <alignment horizontal="left" vertical="top" indent="1"/>
    </xf>
    <xf numFmtId="4" fontId="117" fillId="49" borderId="0" applyNumberFormat="0" applyProtection="0">
      <alignment horizontal="left" vertical="center" indent="1"/>
    </xf>
    <xf numFmtId="4" fontId="21" fillId="7" borderId="27" applyNumberFormat="0" applyProtection="0">
      <alignment horizontal="right" vertical="center"/>
    </xf>
    <xf numFmtId="4" fontId="21" fillId="18" borderId="27" applyNumberFormat="0" applyProtection="0">
      <alignment horizontal="right" vertical="center"/>
    </xf>
    <xf numFmtId="4" fontId="21" fillId="26" borderId="27" applyNumberFormat="0" applyProtection="0">
      <alignment horizontal="right" vertical="center"/>
    </xf>
    <xf numFmtId="4" fontId="21" fillId="20" borderId="27" applyNumberFormat="0" applyProtection="0">
      <alignment horizontal="right" vertical="center"/>
    </xf>
    <xf numFmtId="4" fontId="21" fillId="24" borderId="27" applyNumberFormat="0" applyProtection="0">
      <alignment horizontal="right" vertical="center"/>
    </xf>
    <xf numFmtId="4" fontId="21" fillId="28" borderId="27" applyNumberFormat="0" applyProtection="0">
      <alignment horizontal="right" vertical="center"/>
    </xf>
    <xf numFmtId="4" fontId="21" fillId="27" borderId="27" applyNumberFormat="0" applyProtection="0">
      <alignment horizontal="right" vertical="center"/>
    </xf>
    <xf numFmtId="4" fontId="21" fillId="50" borderId="27" applyNumberFormat="0" applyProtection="0">
      <alignment horizontal="right" vertical="center"/>
    </xf>
    <xf numFmtId="4" fontId="21" fillId="19" borderId="27" applyNumberFormat="0" applyProtection="0">
      <alignment horizontal="right" vertical="center"/>
    </xf>
    <xf numFmtId="4" fontId="117" fillId="51" borderId="28" applyNumberFormat="0" applyProtection="0">
      <alignment horizontal="left" vertical="center" indent="1"/>
    </xf>
    <xf numFmtId="4" fontId="21" fillId="52" borderId="0" applyNumberFormat="0" applyProtection="0">
      <alignment horizontal="left" vertical="center" indent="1"/>
    </xf>
    <xf numFmtId="4" fontId="119" fillId="53" borderId="0" applyNumberFormat="0" applyProtection="0">
      <alignment horizontal="left" vertical="center" indent="1"/>
    </xf>
    <xf numFmtId="4" fontId="21" fillId="54" borderId="27" applyNumberFormat="0" applyProtection="0">
      <alignment horizontal="right" vertical="center"/>
    </xf>
    <xf numFmtId="4" fontId="21" fillId="52" borderId="0" applyNumberFormat="0" applyProtection="0">
      <alignment horizontal="left" vertical="center" indent="1"/>
    </xf>
    <xf numFmtId="4" fontId="21" fillId="49" borderId="0" applyNumberFormat="0" applyProtection="0">
      <alignment horizontal="left" vertical="center" indent="1"/>
    </xf>
    <xf numFmtId="0" fontId="20" fillId="53" borderId="27" applyNumberFormat="0" applyProtection="0">
      <alignment horizontal="left" vertical="center" indent="1"/>
    </xf>
    <xf numFmtId="0" fontId="20" fillId="53" borderId="27" applyNumberFormat="0" applyProtection="0">
      <alignment horizontal="left" vertical="top" indent="1"/>
    </xf>
    <xf numFmtId="0" fontId="20" fillId="49" borderId="27" applyNumberFormat="0" applyProtection="0">
      <alignment horizontal="left" vertical="center" indent="1"/>
    </xf>
    <xf numFmtId="0" fontId="20" fillId="49" borderId="27" applyNumberFormat="0" applyProtection="0">
      <alignment horizontal="left" vertical="top" indent="1"/>
    </xf>
    <xf numFmtId="0" fontId="20" fillId="55" borderId="27" applyNumberFormat="0" applyProtection="0">
      <alignment horizontal="left" vertical="center" indent="1"/>
    </xf>
    <xf numFmtId="0" fontId="20" fillId="55" borderId="27" applyNumberFormat="0" applyProtection="0">
      <alignment horizontal="left" vertical="top" indent="1"/>
    </xf>
    <xf numFmtId="0" fontId="20" fillId="56" borderId="27" applyNumberFormat="0" applyProtection="0">
      <alignment horizontal="left" vertical="center" indent="1"/>
    </xf>
    <xf numFmtId="0" fontId="20" fillId="56" borderId="27" applyNumberFormat="0" applyProtection="0">
      <alignment horizontal="left" vertical="top" indent="1"/>
    </xf>
    <xf numFmtId="4" fontId="21" fillId="5" borderId="27" applyNumberFormat="0" applyProtection="0">
      <alignment vertical="center"/>
    </xf>
    <xf numFmtId="4" fontId="120" fillId="5" borderId="27" applyNumberFormat="0" applyProtection="0">
      <alignment vertical="center"/>
    </xf>
    <xf numFmtId="4" fontId="21" fillId="5" borderId="27" applyNumberFormat="0" applyProtection="0">
      <alignment horizontal="left" vertical="center" indent="1"/>
    </xf>
    <xf numFmtId="0" fontId="21" fillId="5" borderId="27" applyNumberFormat="0" applyProtection="0">
      <alignment horizontal="left" vertical="top" indent="1"/>
    </xf>
    <xf numFmtId="4" fontId="21" fillId="52" borderId="27" applyNumberFormat="0" applyProtection="0">
      <alignment horizontal="right" vertical="center"/>
    </xf>
    <xf numFmtId="4" fontId="120" fillId="52" borderId="27" applyNumberFormat="0" applyProtection="0">
      <alignment horizontal="right" vertical="center"/>
    </xf>
    <xf numFmtId="4" fontId="21" fillId="54" borderId="27" applyNumberFormat="0" applyProtection="0">
      <alignment horizontal="left" vertical="center" indent="1"/>
    </xf>
    <xf numFmtId="0" fontId="21" fillId="49" borderId="27" applyNumberFormat="0" applyProtection="0">
      <alignment horizontal="left" vertical="top" indent="1"/>
    </xf>
    <xf numFmtId="4" fontId="121" fillId="45" borderId="0" applyNumberFormat="0" applyProtection="0">
      <alignment horizontal="left" vertical="center" indent="1"/>
    </xf>
    <xf numFmtId="4" fontId="102" fillId="52" borderId="27" applyNumberFormat="0" applyProtection="0">
      <alignment horizontal="right" vertical="center"/>
    </xf>
    <xf numFmtId="0" fontId="44" fillId="0" borderId="0">
      <alignment horizontal="left"/>
    </xf>
    <xf numFmtId="0" fontId="41" fillId="0" borderId="0"/>
    <xf numFmtId="0" fontId="45" fillId="0" borderId="5">
      <alignment horizontal="center"/>
    </xf>
    <xf numFmtId="0" fontId="45" fillId="0" borderId="0">
      <alignment horizontal="center" vertical="center"/>
    </xf>
    <xf numFmtId="0" fontId="46" fillId="6" borderId="0" applyNumberFormat="0" applyFill="0">
      <alignment horizontal="left" vertical="center"/>
    </xf>
    <xf numFmtId="40" fontId="122" fillId="0" borderId="0" applyBorder="0">
      <alignment horizontal="right"/>
    </xf>
    <xf numFmtId="0" fontId="47" fillId="0" borderId="0" applyFill="0" applyBorder="0" applyProtection="0">
      <alignment horizontal="left" vertical="top"/>
    </xf>
    <xf numFmtId="0" fontId="48" fillId="0" borderId="0">
      <alignment horizontal="center"/>
    </xf>
    <xf numFmtId="228" fontId="20" fillId="0" borderId="0" applyFont="0" applyFill="0" applyBorder="0" applyAlignment="0" applyProtection="0"/>
    <xf numFmtId="229" fontId="20" fillId="0" borderId="0" applyFont="0" applyFill="0" applyBorder="0" applyAlignment="0" applyProtection="0"/>
    <xf numFmtId="230" fontId="1" fillId="0" borderId="0" applyFont="0" applyFill="0" applyBorder="0" applyAlignment="0" applyProtection="0"/>
    <xf numFmtId="231" fontId="1" fillId="0" borderId="0" applyFont="0" applyFill="0" applyBorder="0" applyAlignment="0" applyProtection="0"/>
    <xf numFmtId="0" fontId="49" fillId="0" borderId="0" applyNumberFormat="0" applyFont="0" applyFill="0" applyBorder="0" applyProtection="0">
      <alignment horizontal="center" vertical="center" wrapText="1"/>
    </xf>
    <xf numFmtId="0" fontId="5" fillId="0" borderId="0"/>
    <xf numFmtId="9" fontId="14" fillId="0" borderId="0" applyFont="0" applyFill="0" applyBorder="0" applyAlignment="0" applyProtection="0"/>
    <xf numFmtId="9" fontId="1" fillId="0" borderId="0" applyFont="0" applyFill="0" applyBorder="0" applyAlignment="0" applyProtection="0">
      <alignment vertical="center"/>
    </xf>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0" fontId="123" fillId="0" borderId="0" applyFont="0" applyFill="0" applyBorder="0" applyAlignment="0" applyProtection="0"/>
    <xf numFmtId="0" fontId="123" fillId="0" borderId="0" applyFont="0" applyFill="0" applyBorder="0" applyAlignment="0" applyProtection="0"/>
    <xf numFmtId="0" fontId="124" fillId="0" borderId="0" applyNumberFormat="0" applyFill="0" applyBorder="0" applyAlignment="0" applyProtection="0"/>
    <xf numFmtId="0" fontId="125" fillId="20" borderId="0" applyNumberFormat="0" applyBorder="0" applyAlignment="0" applyProtection="0">
      <alignment vertical="center"/>
    </xf>
    <xf numFmtId="0" fontId="126" fillId="7" borderId="0" applyNumberFormat="0" applyBorder="0" applyAlignment="0" applyProtection="0">
      <alignment vertical="center"/>
    </xf>
    <xf numFmtId="0" fontId="126" fillId="7" borderId="0" applyNumberFormat="0" applyBorder="0" applyAlignment="0" applyProtection="0">
      <alignment vertical="center"/>
    </xf>
    <xf numFmtId="0" fontId="125" fillId="20" borderId="0" applyNumberFormat="0" applyBorder="0" applyAlignment="0" applyProtection="0">
      <alignment vertical="center"/>
    </xf>
    <xf numFmtId="0" fontId="127" fillId="57" borderId="0" applyNumberFormat="0" applyBorder="0" applyAlignment="0" applyProtection="0"/>
    <xf numFmtId="0" fontId="126" fillId="7" borderId="0" applyNumberFormat="0" applyBorder="0" applyAlignment="0" applyProtection="0">
      <alignment vertical="center"/>
    </xf>
    <xf numFmtId="0" fontId="126" fillId="7" borderId="0" applyNumberFormat="0" applyBorder="0" applyAlignment="0" applyProtection="0">
      <alignment vertical="center"/>
    </xf>
    <xf numFmtId="0" fontId="126" fillId="7" borderId="0" applyNumberFormat="0" applyBorder="0" applyAlignment="0" applyProtection="0">
      <alignment vertical="center"/>
    </xf>
    <xf numFmtId="0" fontId="126" fillId="7" borderId="0" applyNumberFormat="0" applyBorder="0" applyAlignment="0" applyProtection="0">
      <alignment vertical="center"/>
    </xf>
    <xf numFmtId="0" fontId="126" fillId="7" borderId="0" applyNumberFormat="0" applyBorder="0" applyAlignment="0" applyProtection="0">
      <alignment vertical="center"/>
    </xf>
    <xf numFmtId="0" fontId="126" fillId="7" borderId="0" applyNumberFormat="0" applyBorder="0" applyAlignment="0" applyProtection="0">
      <alignment vertical="center"/>
    </xf>
    <xf numFmtId="0" fontId="126" fillId="7" borderId="0" applyNumberFormat="0" applyBorder="0" applyAlignment="0" applyProtection="0">
      <alignment vertical="center"/>
    </xf>
    <xf numFmtId="0" fontId="126" fillId="7" borderId="0" applyNumberFormat="0" applyBorder="0" applyAlignment="0" applyProtection="0">
      <alignment vertical="center"/>
    </xf>
    <xf numFmtId="0" fontId="125" fillId="20" borderId="0" applyNumberFormat="0" applyBorder="0" applyAlignment="0" applyProtection="0">
      <alignment vertical="center"/>
    </xf>
    <xf numFmtId="0" fontId="125" fillId="20" borderId="0" applyNumberFormat="0" applyBorder="0" applyAlignment="0" applyProtection="0">
      <alignment vertical="center"/>
    </xf>
    <xf numFmtId="0" fontId="128" fillId="58" borderId="0" applyNumberFormat="0" applyBorder="0" applyAlignment="0" applyProtection="0">
      <alignment vertical="center"/>
    </xf>
    <xf numFmtId="0" fontId="126" fillId="7" borderId="0" applyNumberFormat="0" applyBorder="0" applyAlignment="0" applyProtection="0">
      <alignment vertical="center"/>
    </xf>
    <xf numFmtId="0" fontId="129" fillId="34" borderId="0" applyNumberFormat="0" applyBorder="0" applyAlignment="0" applyProtection="0">
      <alignment vertical="center"/>
    </xf>
    <xf numFmtId="0" fontId="52" fillId="7" borderId="0" applyNumberFormat="0" applyBorder="0" applyAlignment="0" applyProtection="0">
      <alignment vertical="center"/>
    </xf>
    <xf numFmtId="0" fontId="125" fillId="20" borderId="0" applyNumberFormat="0" applyBorder="0" applyAlignment="0" applyProtection="0">
      <alignment vertical="center"/>
    </xf>
    <xf numFmtId="0" fontId="125" fillId="20" borderId="0" applyNumberFormat="0" applyBorder="0" applyAlignment="0" applyProtection="0">
      <alignment vertical="center"/>
    </xf>
    <xf numFmtId="0" fontId="125" fillId="20" borderId="0" applyNumberFormat="0" applyBorder="0" applyAlignment="0" applyProtection="0">
      <alignment vertical="center"/>
    </xf>
    <xf numFmtId="0" fontId="125" fillId="20" borderId="0" applyNumberFormat="0" applyBorder="0" applyAlignment="0" applyProtection="0">
      <alignment vertical="center"/>
    </xf>
    <xf numFmtId="0" fontId="128" fillId="58" borderId="0" applyNumberFormat="0" applyBorder="0" applyAlignment="0" applyProtection="0">
      <alignment vertical="center"/>
    </xf>
    <xf numFmtId="0" fontId="125" fillId="20" borderId="0" applyNumberFormat="0" applyBorder="0" applyAlignment="0" applyProtection="0">
      <alignment vertical="center"/>
    </xf>
    <xf numFmtId="0" fontId="125" fillId="20" borderId="0" applyNumberFormat="0" applyBorder="0" applyAlignment="0" applyProtection="0">
      <alignment vertical="center"/>
    </xf>
    <xf numFmtId="0" fontId="125" fillId="20" borderId="0" applyNumberFormat="0" applyBorder="0" applyAlignment="0" applyProtection="0">
      <alignment vertical="center"/>
    </xf>
    <xf numFmtId="0" fontId="125" fillId="20" borderId="0" applyNumberFormat="0" applyBorder="0" applyAlignment="0" applyProtection="0">
      <alignment vertical="center"/>
    </xf>
    <xf numFmtId="0" fontId="126" fillId="7" borderId="0" applyNumberFormat="0" applyBorder="0" applyAlignment="0" applyProtection="0">
      <alignment vertical="center"/>
    </xf>
    <xf numFmtId="0" fontId="125" fillId="20" borderId="0" applyNumberFormat="0" applyBorder="0" applyAlignment="0" applyProtection="0">
      <alignment vertical="center"/>
    </xf>
    <xf numFmtId="0" fontId="126" fillId="7" borderId="0" applyNumberFormat="0" applyBorder="0" applyAlignment="0" applyProtection="0">
      <alignment vertical="center"/>
    </xf>
    <xf numFmtId="0" fontId="125" fillId="20" borderId="0" applyNumberFormat="0" applyBorder="0" applyAlignment="0" applyProtection="0">
      <alignment vertical="center"/>
    </xf>
    <xf numFmtId="0" fontId="125" fillId="20" borderId="0" applyNumberFormat="0" applyBorder="0" applyAlignment="0" applyProtection="0">
      <alignment vertical="center"/>
    </xf>
    <xf numFmtId="0" fontId="125" fillId="20" borderId="0" applyNumberFormat="0" applyBorder="0" applyAlignment="0" applyProtection="0">
      <alignment vertical="center"/>
    </xf>
    <xf numFmtId="0" fontId="125" fillId="20" borderId="0" applyNumberFormat="0" applyBorder="0" applyAlignment="0" applyProtection="0">
      <alignment vertical="center"/>
    </xf>
    <xf numFmtId="0" fontId="125" fillId="20" borderId="0" applyNumberFormat="0" applyBorder="0" applyAlignment="0" applyProtection="0">
      <alignment vertical="center"/>
    </xf>
    <xf numFmtId="0" fontId="125" fillId="20" borderId="0" applyNumberFormat="0" applyBorder="0" applyAlignment="0" applyProtection="0">
      <alignment vertical="center"/>
    </xf>
    <xf numFmtId="0" fontId="125" fillId="20" borderId="0" applyNumberFormat="0" applyBorder="0" applyAlignment="0" applyProtection="0">
      <alignment vertical="center"/>
    </xf>
    <xf numFmtId="0" fontId="125" fillId="20" borderId="0" applyNumberFormat="0" applyBorder="0" applyAlignment="0" applyProtection="0">
      <alignment vertical="center"/>
    </xf>
    <xf numFmtId="0" fontId="125" fillId="28" borderId="0" applyNumberFormat="0" applyBorder="0" applyAlignment="0" applyProtection="0">
      <alignment vertical="center"/>
    </xf>
    <xf numFmtId="0" fontId="125" fillId="20" borderId="0" applyNumberFormat="0" applyBorder="0" applyAlignment="0" applyProtection="0">
      <alignment vertical="center"/>
    </xf>
    <xf numFmtId="0" fontId="125" fillId="20" borderId="0" applyNumberFormat="0" applyBorder="0" applyAlignment="0" applyProtection="0">
      <alignment vertical="center"/>
    </xf>
    <xf numFmtId="0" fontId="130" fillId="14" borderId="0" applyNumberFormat="0" applyBorder="0" applyAlignment="0" applyProtection="0">
      <alignment vertical="center"/>
    </xf>
    <xf numFmtId="0" fontId="100" fillId="0" borderId="0">
      <alignment vertical="center"/>
    </xf>
    <xf numFmtId="0" fontId="100" fillId="0" borderId="0">
      <alignment vertical="center"/>
    </xf>
    <xf numFmtId="0" fontId="100" fillId="0" borderId="0">
      <alignment vertical="center"/>
    </xf>
    <xf numFmtId="0" fontId="1" fillId="0" borderId="0">
      <alignment vertical="center"/>
    </xf>
    <xf numFmtId="0" fontId="1" fillId="0" borderId="0">
      <alignment vertical="center"/>
    </xf>
    <xf numFmtId="0" fontId="1" fillId="0" borderId="0">
      <alignment vertical="center"/>
    </xf>
    <xf numFmtId="0" fontId="100" fillId="0" borderId="0">
      <alignment vertical="center"/>
    </xf>
    <xf numFmtId="0" fontId="100" fillId="0" borderId="0">
      <alignment vertical="center"/>
    </xf>
    <xf numFmtId="0" fontId="100" fillId="0" borderId="0">
      <alignment vertical="center"/>
    </xf>
    <xf numFmtId="0" fontId="100" fillId="0" borderId="0">
      <alignment vertical="center"/>
    </xf>
    <xf numFmtId="0" fontId="100" fillId="0" borderId="0">
      <alignment vertical="center"/>
    </xf>
    <xf numFmtId="0" fontId="100" fillId="0" borderId="0">
      <alignment vertical="center"/>
    </xf>
    <xf numFmtId="0" fontId="1" fillId="0" borderId="0"/>
    <xf numFmtId="0" fontId="1" fillId="0" borderId="0">
      <alignment vertical="center"/>
      <protection locked="0"/>
    </xf>
    <xf numFmtId="0" fontId="1" fillId="0" borderId="0"/>
    <xf numFmtId="0" fontId="1" fillId="0" borderId="0">
      <protection locked="0"/>
    </xf>
    <xf numFmtId="0" fontId="100" fillId="0" borderId="0">
      <alignment vertical="center"/>
    </xf>
    <xf numFmtId="0" fontId="100" fillId="0" borderId="0">
      <alignment vertical="center"/>
    </xf>
    <xf numFmtId="0" fontId="1" fillId="0" borderId="0"/>
    <xf numFmtId="0" fontId="99" fillId="0" borderId="0"/>
    <xf numFmtId="0" fontId="1" fillId="0" borderId="0">
      <alignment vertical="center"/>
    </xf>
    <xf numFmtId="0" fontId="1" fillId="0" borderId="0">
      <alignment vertical="center"/>
    </xf>
    <xf numFmtId="0" fontId="53" fillId="0" borderId="0" applyNumberFormat="0" applyBorder="0" applyProtection="0">
      <alignment vertical="center"/>
    </xf>
    <xf numFmtId="0" fontId="1" fillId="0" borderId="0"/>
    <xf numFmtId="0" fontId="1" fillId="0" borderId="0">
      <alignment vertical="center"/>
    </xf>
    <xf numFmtId="202" fontId="1" fillId="0" borderId="0">
      <protection locked="0"/>
    </xf>
    <xf numFmtId="0" fontId="1" fillId="0" borderId="0">
      <alignment vertical="center"/>
      <protection locked="0"/>
    </xf>
    <xf numFmtId="0" fontId="9" fillId="0" borderId="0"/>
    <xf numFmtId="0" fontId="1" fillId="0" borderId="0">
      <protection locked="0"/>
    </xf>
    <xf numFmtId="0" fontId="1" fillId="0" borderId="0">
      <alignment vertical="center"/>
    </xf>
    <xf numFmtId="0" fontId="53" fillId="0" borderId="0">
      <alignment vertical="center"/>
    </xf>
    <xf numFmtId="0" fontId="100"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100" fillId="0" borderId="0">
      <alignment vertical="center"/>
    </xf>
    <xf numFmtId="0" fontId="100" fillId="0" borderId="0">
      <alignment vertical="center"/>
    </xf>
    <xf numFmtId="0" fontId="100" fillId="0" borderId="0">
      <alignment vertical="center"/>
    </xf>
    <xf numFmtId="0" fontId="100" fillId="0" borderId="0">
      <alignment vertical="center"/>
    </xf>
    <xf numFmtId="0" fontId="100" fillId="0" borderId="0">
      <alignment vertical="center"/>
    </xf>
    <xf numFmtId="0" fontId="78" fillId="0" borderId="0">
      <alignment vertical="center"/>
    </xf>
    <xf numFmtId="0" fontId="100" fillId="0" borderId="0">
      <alignment vertical="center"/>
    </xf>
    <xf numFmtId="0" fontId="100" fillId="0" borderId="0">
      <alignment vertical="center"/>
    </xf>
    <xf numFmtId="0" fontId="100" fillId="0" borderId="0">
      <alignment vertical="center"/>
    </xf>
    <xf numFmtId="0" fontId="131"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132" fillId="59" borderId="0" applyNumberFormat="0" applyBorder="0" applyAlignment="0" applyProtection="0">
      <alignment vertical="center"/>
    </xf>
    <xf numFmtId="0" fontId="133" fillId="8" borderId="0" applyNumberFormat="0" applyBorder="0" applyAlignment="0" applyProtection="0">
      <alignment vertical="center"/>
    </xf>
    <xf numFmtId="0" fontId="133" fillId="59" borderId="0" applyNumberFormat="0" applyBorder="0" applyAlignment="0" applyProtection="0">
      <alignment vertical="center"/>
    </xf>
    <xf numFmtId="0" fontId="133" fillId="59" borderId="0" applyNumberFormat="0" applyBorder="0" applyAlignment="0" applyProtection="0">
      <alignment vertical="center"/>
    </xf>
    <xf numFmtId="0" fontId="133" fillId="59" borderId="0" applyNumberFormat="0" applyBorder="0" applyAlignment="0" applyProtection="0">
      <alignment vertical="center"/>
    </xf>
    <xf numFmtId="0" fontId="133" fillId="8" borderId="0" applyNumberFormat="0" applyBorder="0" applyAlignment="0" applyProtection="0">
      <alignment vertical="center"/>
    </xf>
    <xf numFmtId="0" fontId="132" fillId="59" borderId="0" applyNumberFormat="0" applyBorder="0" applyAlignment="0" applyProtection="0">
      <alignment vertical="center"/>
    </xf>
    <xf numFmtId="0" fontId="134" fillId="42" borderId="0" applyNumberFormat="0" applyBorder="0" applyAlignment="0" applyProtection="0"/>
    <xf numFmtId="0" fontId="133" fillId="8" borderId="0" applyNumberFormat="0" applyBorder="0" applyAlignment="0" applyProtection="0">
      <alignment vertical="center"/>
    </xf>
    <xf numFmtId="0" fontId="133" fillId="8" borderId="0" applyNumberFormat="0" applyBorder="0" applyAlignment="0" applyProtection="0">
      <alignment vertical="center"/>
    </xf>
    <xf numFmtId="0" fontId="133" fillId="8" borderId="0" applyNumberFormat="0" applyBorder="0" applyAlignment="0" applyProtection="0">
      <alignment vertical="center"/>
    </xf>
    <xf numFmtId="0" fontId="133" fillId="8" borderId="0" applyNumberFormat="0" applyBorder="0" applyAlignment="0" applyProtection="0">
      <alignment vertical="center"/>
    </xf>
    <xf numFmtId="0" fontId="133" fillId="8" borderId="0" applyNumberFormat="0" applyBorder="0" applyAlignment="0" applyProtection="0">
      <alignment vertical="center"/>
    </xf>
    <xf numFmtId="0" fontId="133" fillId="8" borderId="0" applyNumberFormat="0" applyBorder="0" applyAlignment="0" applyProtection="0">
      <alignment vertical="center"/>
    </xf>
    <xf numFmtId="0" fontId="133" fillId="8" borderId="0" applyNumberFormat="0" applyBorder="0" applyAlignment="0" applyProtection="0">
      <alignment vertical="center"/>
    </xf>
    <xf numFmtId="0" fontId="133" fillId="8" borderId="0" applyNumberFormat="0" applyBorder="0" applyAlignment="0" applyProtection="0">
      <alignment vertical="center"/>
    </xf>
    <xf numFmtId="0" fontId="133" fillId="59" borderId="0" applyNumberFormat="0" applyBorder="0" applyAlignment="0" applyProtection="0">
      <alignment vertical="center"/>
    </xf>
    <xf numFmtId="0" fontId="132" fillId="59" borderId="0" applyNumberFormat="0" applyBorder="0" applyAlignment="0" applyProtection="0">
      <alignment vertical="center"/>
    </xf>
    <xf numFmtId="0" fontId="133" fillId="8" borderId="0" applyNumberFormat="0" applyBorder="0" applyAlignment="0" applyProtection="0">
      <alignment vertical="center"/>
    </xf>
    <xf numFmtId="0" fontId="135" fillId="33" borderId="0" applyNumberFormat="0" applyBorder="0" applyAlignment="0" applyProtection="0">
      <alignment vertical="center"/>
    </xf>
    <xf numFmtId="0" fontId="134" fillId="8" borderId="0" applyNumberFormat="0" applyBorder="0" applyAlignment="0" applyProtection="0">
      <alignment vertical="center"/>
    </xf>
    <xf numFmtId="0" fontId="132" fillId="59" borderId="0" applyNumberFormat="0" applyBorder="0" applyAlignment="0" applyProtection="0">
      <alignment vertical="center"/>
    </xf>
    <xf numFmtId="0" fontId="133" fillId="59" borderId="0" applyNumberFormat="0" applyBorder="0" applyAlignment="0" applyProtection="0">
      <alignment vertical="center"/>
    </xf>
    <xf numFmtId="0" fontId="132" fillId="59" borderId="0" applyNumberFormat="0" applyBorder="0" applyAlignment="0" applyProtection="0">
      <alignment vertical="center"/>
    </xf>
    <xf numFmtId="0" fontId="132" fillId="59" borderId="0" applyNumberFormat="0" applyBorder="0" applyAlignment="0" applyProtection="0">
      <alignment vertical="center"/>
    </xf>
    <xf numFmtId="0" fontId="132" fillId="59" borderId="0" applyNumberFormat="0" applyBorder="0" applyAlignment="0" applyProtection="0">
      <alignment vertical="center"/>
    </xf>
    <xf numFmtId="0" fontId="136" fillId="60" borderId="0" applyNumberFormat="0" applyBorder="0" applyAlignment="0" applyProtection="0">
      <alignment vertical="center"/>
    </xf>
    <xf numFmtId="0" fontId="132" fillId="59" borderId="0" applyNumberFormat="0" applyBorder="0" applyAlignment="0" applyProtection="0">
      <alignment vertical="center"/>
    </xf>
    <xf numFmtId="0" fontId="136" fillId="60" borderId="0" applyNumberFormat="0" applyBorder="0" applyAlignment="0" applyProtection="0">
      <alignment vertical="center"/>
    </xf>
    <xf numFmtId="0" fontId="133" fillId="59" borderId="0" applyNumberFormat="0" applyBorder="0" applyAlignment="0" applyProtection="0">
      <alignment vertical="center"/>
    </xf>
    <xf numFmtId="0" fontId="132" fillId="59" borderId="0" applyNumberFormat="0" applyBorder="0" applyAlignment="0" applyProtection="0">
      <alignment vertical="center"/>
    </xf>
    <xf numFmtId="0" fontId="132" fillId="59" borderId="0" applyNumberFormat="0" applyBorder="0" applyAlignment="0" applyProtection="0">
      <alignment vertical="center"/>
    </xf>
    <xf numFmtId="0" fontId="133" fillId="8" borderId="0" applyNumberFormat="0" applyBorder="0" applyAlignment="0" applyProtection="0">
      <alignment vertical="center"/>
    </xf>
    <xf numFmtId="0" fontId="132" fillId="59" borderId="0" applyNumberFormat="0" applyBorder="0" applyAlignment="0" applyProtection="0">
      <alignment vertical="center"/>
    </xf>
    <xf numFmtId="0" fontId="133" fillId="8" borderId="0" applyNumberFormat="0" applyBorder="0" applyAlignment="0" applyProtection="0">
      <alignment vertical="center"/>
    </xf>
    <xf numFmtId="0" fontId="132" fillId="59" borderId="0" applyNumberFormat="0" applyBorder="0" applyAlignment="0" applyProtection="0">
      <alignment vertical="center"/>
    </xf>
    <xf numFmtId="0" fontId="133" fillId="59" borderId="0" applyNumberFormat="0" applyBorder="0" applyAlignment="0" applyProtection="0">
      <alignment vertical="center"/>
    </xf>
    <xf numFmtId="0" fontId="132" fillId="59" borderId="0" applyNumberFormat="0" applyBorder="0" applyAlignment="0" applyProtection="0">
      <alignment vertical="center"/>
    </xf>
    <xf numFmtId="0" fontId="133" fillId="59" borderId="0" applyNumberFormat="0" applyBorder="0" applyAlignment="0" applyProtection="0">
      <alignment vertical="center"/>
    </xf>
    <xf numFmtId="0" fontId="132" fillId="59" borderId="0" applyNumberFormat="0" applyBorder="0" applyAlignment="0" applyProtection="0">
      <alignment vertical="center"/>
    </xf>
    <xf numFmtId="0" fontId="132" fillId="59" borderId="0" applyNumberFormat="0" applyBorder="0" applyAlignment="0" applyProtection="0">
      <alignment vertical="center"/>
    </xf>
    <xf numFmtId="0" fontId="133" fillId="59" borderId="0" applyNumberFormat="0" applyBorder="0" applyAlignment="0" applyProtection="0">
      <alignment vertical="center"/>
    </xf>
    <xf numFmtId="0" fontId="132" fillId="59" borderId="0" applyNumberFormat="0" applyBorder="0" applyAlignment="0" applyProtection="0">
      <alignment vertical="center"/>
    </xf>
    <xf numFmtId="0" fontId="132" fillId="59" borderId="0" applyNumberFormat="0" applyBorder="0" applyAlignment="0" applyProtection="0">
      <alignment vertical="center"/>
    </xf>
    <xf numFmtId="0" fontId="132" fillId="59" borderId="0" applyNumberFormat="0" applyBorder="0" applyAlignment="0" applyProtection="0">
      <alignment vertical="center"/>
    </xf>
    <xf numFmtId="0" fontId="133" fillId="59" borderId="0" applyNumberFormat="0" applyBorder="0" applyAlignment="0" applyProtection="0">
      <alignment vertical="center"/>
    </xf>
    <xf numFmtId="0" fontId="132" fillId="59" borderId="0" applyNumberFormat="0" applyBorder="0" applyAlignment="0" applyProtection="0">
      <alignment vertical="center"/>
    </xf>
    <xf numFmtId="0" fontId="132" fillId="59" borderId="0" applyNumberFormat="0" applyBorder="0" applyAlignment="0" applyProtection="0">
      <alignment vertical="center"/>
    </xf>
    <xf numFmtId="0" fontId="132" fillId="59" borderId="0" applyNumberFormat="0" applyBorder="0" applyAlignment="0" applyProtection="0">
      <alignment vertical="center"/>
    </xf>
    <xf numFmtId="0" fontId="133" fillId="59" borderId="0" applyNumberFormat="0" applyBorder="0" applyAlignment="0" applyProtection="0">
      <alignment vertical="center"/>
    </xf>
    <xf numFmtId="0" fontId="132" fillId="59" borderId="0" applyNumberFormat="0" applyBorder="0" applyAlignment="0" applyProtection="0">
      <alignment vertical="center"/>
    </xf>
    <xf numFmtId="0" fontId="133" fillId="61" borderId="0" applyNumberFormat="0" applyBorder="0" applyAlignment="0" applyProtection="0">
      <alignment vertical="center"/>
    </xf>
    <xf numFmtId="0" fontId="132" fillId="59" borderId="0" applyNumberFormat="0" applyBorder="0" applyAlignment="0" applyProtection="0">
      <alignment vertical="center"/>
    </xf>
    <xf numFmtId="0" fontId="136" fillId="60" borderId="0" applyNumberFormat="0" applyBorder="0" applyAlignment="0" applyProtection="0">
      <alignment vertical="center"/>
    </xf>
    <xf numFmtId="0" fontId="132" fillId="59" borderId="0" applyNumberFormat="0" applyBorder="0" applyAlignment="0" applyProtection="0">
      <alignment vertical="center"/>
    </xf>
    <xf numFmtId="0" fontId="136" fillId="60" borderId="0" applyNumberFormat="0" applyBorder="0" applyAlignment="0" applyProtection="0">
      <alignment vertical="center"/>
    </xf>
    <xf numFmtId="0" fontId="133" fillId="59" borderId="0" applyNumberFormat="0" applyBorder="0" applyAlignment="0" applyProtection="0">
      <alignment vertical="center"/>
    </xf>
    <xf numFmtId="0" fontId="54" fillId="15" borderId="0" applyNumberFormat="0" applyBorder="0" applyAlignment="0" applyProtection="0">
      <alignment vertical="center"/>
    </xf>
    <xf numFmtId="214" fontId="137" fillId="0" borderId="0" applyFont="0" applyFill="0" applyBorder="0" applyAlignment="0" applyProtection="0"/>
    <xf numFmtId="215" fontId="137" fillId="0" borderId="0" applyFont="0" applyFill="0" applyBorder="0" applyAlignment="0" applyProtection="0"/>
    <xf numFmtId="203" fontId="20" fillId="0" borderId="0" applyFont="0" applyFill="0" applyBorder="0" applyAlignment="0" applyProtection="0"/>
    <xf numFmtId="232" fontId="20" fillId="0" borderId="0" applyFont="0" applyFill="0" applyBorder="0" applyAlignment="0" applyProtection="0"/>
    <xf numFmtId="0" fontId="14" fillId="0" borderId="0"/>
    <xf numFmtId="1" fontId="14" fillId="0" borderId="0"/>
    <xf numFmtId="233" fontId="138" fillId="0" borderId="0" applyFont="0" applyFill="0" applyBorder="0" applyAlignment="0" applyProtection="0"/>
    <xf numFmtId="234" fontId="1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78" fillId="0" borderId="0" applyFont="0" applyFill="0" applyBorder="0" applyAlignment="0" applyProtection="0">
      <alignment vertical="center"/>
    </xf>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0" fillId="0" borderId="0" applyFont="0" applyFill="0" applyBorder="0" applyAlignment="0" applyProtection="0">
      <alignment vertical="center"/>
    </xf>
    <xf numFmtId="41" fontId="1" fillId="0" borderId="0" applyFont="0" applyFill="0" applyBorder="0" applyAlignment="0" applyProtection="0"/>
    <xf numFmtId="0" fontId="139" fillId="0" borderId="0"/>
    <xf numFmtId="0" fontId="140" fillId="62" borderId="0" applyNumberFormat="0" applyBorder="0" applyAlignment="0" applyProtection="0"/>
    <xf numFmtId="0" fontId="140" fillId="63" borderId="0" applyNumberFormat="0" applyBorder="0" applyAlignment="0" applyProtection="0"/>
    <xf numFmtId="0" fontId="140" fillId="64" borderId="0" applyNumberFormat="0" applyBorder="0" applyAlignment="0" applyProtection="0"/>
    <xf numFmtId="0" fontId="21" fillId="0" borderId="0">
      <alignment vertical="top"/>
    </xf>
    <xf numFmtId="0" fontId="137" fillId="0" borderId="0"/>
    <xf numFmtId="0" fontId="141" fillId="0" borderId="0"/>
    <xf numFmtId="40" fontId="123" fillId="0" borderId="0" applyFont="0" applyFill="0" applyBorder="0" applyAlignment="0" applyProtection="0"/>
    <xf numFmtId="38" fontId="123" fillId="0" borderId="0" applyFont="0" applyFill="0" applyBorder="0" applyAlignment="0" applyProtection="0"/>
    <xf numFmtId="213" fontId="20" fillId="0" borderId="5" applyNumberFormat="0"/>
    <xf numFmtId="9" fontId="1" fillId="0" borderId="0" applyFont="0" applyFill="0" applyBorder="0" applyAlignment="0" applyProtection="0"/>
    <xf numFmtId="0" fontId="1" fillId="0" borderId="0">
      <alignment vertical="center"/>
    </xf>
    <xf numFmtId="43" fontId="1" fillId="0" borderId="0" applyFont="0" applyFill="0" applyBorder="0" applyAlignment="0" applyProtection="0">
      <alignment vertical="center"/>
    </xf>
    <xf numFmtId="0" fontId="11" fillId="0" borderId="0">
      <protection locked="0"/>
    </xf>
    <xf numFmtId="9" fontId="9" fillId="0" borderId="0" applyFont="0" applyFill="0" applyBorder="0" applyAlignment="0" applyProtection="0">
      <alignment vertical="center"/>
    </xf>
    <xf numFmtId="202" fontId="1" fillId="0" borderId="0">
      <alignment vertical="center"/>
      <protection locked="0"/>
    </xf>
    <xf numFmtId="202" fontId="99" fillId="0" borderId="0"/>
    <xf numFmtId="202" fontId="1" fillId="0" borderId="0"/>
    <xf numFmtId="202" fontId="1" fillId="0" borderId="0">
      <protection locked="0"/>
    </xf>
  </cellStyleXfs>
  <cellXfs count="512">
    <xf numFmtId="0" fontId="0" fillId="0" borderId="0" xfId="0">
      <alignment vertical="center"/>
    </xf>
    <xf numFmtId="43" fontId="5" fillId="0" borderId="0" xfId="3" applyNumberFormat="1" applyFont="1" applyBorder="1" applyAlignment="1">
      <alignment vertical="center"/>
    </xf>
    <xf numFmtId="43" fontId="5" fillId="0" borderId="0" xfId="3" applyNumberFormat="1" applyFont="1" applyBorder="1" applyAlignment="1">
      <alignment horizontal="left" vertical="center"/>
    </xf>
    <xf numFmtId="49" fontId="5" fillId="0" borderId="0" xfId="3" applyNumberFormat="1" applyFont="1" applyBorder="1" applyAlignment="1">
      <alignment vertical="center"/>
    </xf>
    <xf numFmtId="43" fontId="4" fillId="0" borderId="0" xfId="3" applyNumberFormat="1" applyFont="1" applyBorder="1" applyAlignment="1">
      <alignment vertical="center"/>
    </xf>
    <xf numFmtId="0" fontId="5" fillId="0" borderId="0" xfId="5" applyFont="1" applyBorder="1" applyAlignment="1">
      <alignment vertical="center"/>
    </xf>
    <xf numFmtId="0" fontId="5" fillId="0" borderId="0" xfId="5" applyFont="1" applyBorder="1" applyAlignment="1">
      <alignment horizontal="left" vertical="center"/>
    </xf>
    <xf numFmtId="43" fontId="18" fillId="0" borderId="0" xfId="3" applyNumberFormat="1" applyFont="1" applyBorder="1" applyAlignment="1">
      <alignment vertical="center"/>
    </xf>
    <xf numFmtId="0" fontId="4" fillId="0" borderId="0" xfId="162" applyFont="1" applyAlignment="1">
      <alignment vertical="center"/>
      <protection locked="0"/>
    </xf>
    <xf numFmtId="0" fontId="5" fillId="0" borderId="0" xfId="162" applyFont="1" applyAlignment="1">
      <alignment vertical="center"/>
      <protection locked="0"/>
    </xf>
    <xf numFmtId="0" fontId="5" fillId="0" borderId="0" xfId="162" applyFont="1" applyBorder="1" applyAlignment="1">
      <alignment horizontal="left" vertical="center"/>
      <protection locked="0"/>
    </xf>
    <xf numFmtId="0" fontId="5" fillId="0" borderId="0" xfId="162" applyFont="1" applyBorder="1" applyAlignment="1">
      <alignment vertical="center"/>
      <protection locked="0"/>
    </xf>
    <xf numFmtId="0" fontId="5" fillId="0" borderId="0" xfId="162" applyFont="1" applyBorder="1" applyAlignment="1">
      <alignment horizontal="justify" vertical="center" wrapText="1"/>
      <protection locked="0"/>
    </xf>
    <xf numFmtId="0" fontId="5" fillId="0" borderId="9" xfId="162" applyFont="1" applyBorder="1" applyAlignment="1">
      <alignment horizontal="center" vertical="center" wrapText="1"/>
      <protection locked="0"/>
    </xf>
    <xf numFmtId="0" fontId="18" fillId="0" borderId="0" xfId="162" applyFont="1" applyAlignment="1">
      <alignment vertical="center"/>
      <protection locked="0"/>
    </xf>
    <xf numFmtId="0" fontId="18" fillId="0" borderId="0" xfId="162" applyFont="1" applyAlignment="1">
      <protection locked="0"/>
    </xf>
    <xf numFmtId="0" fontId="18" fillId="0" borderId="0" xfId="162" applyFont="1">
      <protection locked="0"/>
    </xf>
    <xf numFmtId="0" fontId="18" fillId="0" borderId="0" xfId="162" applyFont="1" applyAlignment="1">
      <alignment horizontal="right"/>
      <protection locked="0"/>
    </xf>
    <xf numFmtId="0" fontId="12" fillId="0" borderId="0" xfId="162" applyFont="1" applyAlignment="1">
      <protection locked="0"/>
    </xf>
    <xf numFmtId="0" fontId="57" fillId="9" borderId="0" xfId="162" applyFont="1" applyFill="1" applyAlignment="1">
      <alignment vertical="center"/>
      <protection locked="0"/>
    </xf>
    <xf numFmtId="0" fontId="5" fillId="9" borderId="0" xfId="162" applyFont="1" applyFill="1" applyAlignment="1">
      <alignment vertical="center"/>
      <protection locked="0"/>
    </xf>
    <xf numFmtId="0" fontId="5" fillId="0" borderId="0" xfId="188" applyFont="1" applyBorder="1" applyAlignment="1" applyProtection="1">
      <alignment vertical="center"/>
      <protection locked="0"/>
    </xf>
    <xf numFmtId="0" fontId="5" fillId="0" borderId="0" xfId="162" applyFont="1" applyBorder="1" applyAlignment="1">
      <alignment horizontal="center" vertical="center"/>
      <protection locked="0"/>
    </xf>
    <xf numFmtId="0" fontId="4" fillId="0" borderId="0" xfId="162" applyFont="1" applyBorder="1" applyAlignment="1">
      <alignment vertical="center"/>
      <protection locked="0"/>
    </xf>
    <xf numFmtId="0" fontId="4" fillId="0" borderId="0" xfId="162" applyFont="1" applyBorder="1" applyAlignment="1">
      <alignment horizontal="left" vertical="center"/>
      <protection locked="0"/>
    </xf>
    <xf numFmtId="0" fontId="19" fillId="0" borderId="0" xfId="162" applyFont="1" applyAlignment="1">
      <alignment horizontal="left"/>
      <protection locked="0"/>
    </xf>
    <xf numFmtId="0" fontId="9" fillId="0" borderId="0" xfId="162" applyFont="1" applyBorder="1" applyAlignment="1">
      <alignment horizontal="right" vertical="center"/>
      <protection locked="0"/>
    </xf>
    <xf numFmtId="0" fontId="9" fillId="10" borderId="0" xfId="162" applyFont="1" applyFill="1" applyBorder="1" applyAlignment="1">
      <alignment horizontal="justify" vertical="center" wrapText="1"/>
      <protection locked="0"/>
    </xf>
    <xf numFmtId="0" fontId="20" fillId="0" borderId="0" xfId="162" applyFont="1">
      <protection locked="0"/>
    </xf>
    <xf numFmtId="0" fontId="1" fillId="0" borderId="0" xfId="162">
      <protection locked="0"/>
    </xf>
    <xf numFmtId="0" fontId="59" fillId="0" borderId="0" xfId="162" applyFont="1">
      <protection locked="0"/>
    </xf>
    <xf numFmtId="0" fontId="59" fillId="0" borderId="0" xfId="162" applyFont="1" applyBorder="1" applyAlignment="1">
      <alignment horizontal="center"/>
      <protection locked="0"/>
    </xf>
    <xf numFmtId="0" fontId="60" fillId="0" borderId="0" xfId="189" quotePrefix="1" applyBorder="1" applyAlignment="1">
      <protection locked="0"/>
    </xf>
    <xf numFmtId="0" fontId="13" fillId="0" borderId="0" xfId="166" quotePrefix="1" applyBorder="1" applyAlignment="1">
      <protection locked="0"/>
    </xf>
    <xf numFmtId="0" fontId="13" fillId="0" borderId="0" xfId="166" quotePrefix="1" applyAlignment="1">
      <protection locked="0"/>
    </xf>
    <xf numFmtId="0" fontId="63" fillId="0" borderId="0" xfId="0" applyFont="1" applyFill="1" applyAlignment="1" applyProtection="1">
      <alignment vertical="center"/>
    </xf>
    <xf numFmtId="0" fontId="5" fillId="0" borderId="0" xfId="0" applyFont="1" applyFill="1" applyAlignment="1" applyProtection="1">
      <alignment horizontal="left" vertical="center"/>
    </xf>
    <xf numFmtId="0" fontId="4" fillId="0" borderId="0" xfId="0" applyFont="1" applyBorder="1" applyAlignment="1" applyProtection="1">
      <alignment vertical="center"/>
      <protection locked="0"/>
    </xf>
    <xf numFmtId="0" fontId="2" fillId="0" borderId="0" xfId="162" applyFont="1" applyBorder="1" applyAlignment="1">
      <alignment vertical="center"/>
      <protection locked="0"/>
    </xf>
    <xf numFmtId="0" fontId="9" fillId="0" borderId="0" xfId="162" applyFont="1" applyAlignment="1">
      <alignment horizontal="left" vertical="center"/>
      <protection locked="0"/>
    </xf>
    <xf numFmtId="43" fontId="5" fillId="0" borderId="9" xfId="1" applyFont="1" applyBorder="1" applyAlignment="1" applyProtection="1">
      <alignment horizontal="center" vertical="center" wrapText="1"/>
      <protection locked="0"/>
    </xf>
    <xf numFmtId="0" fontId="8" fillId="0" borderId="0" xfId="162" applyFont="1">
      <protection locked="0"/>
    </xf>
    <xf numFmtId="0" fontId="5" fillId="0" borderId="0" xfId="162" applyFont="1">
      <protection locked="0"/>
    </xf>
    <xf numFmtId="0" fontId="8" fillId="0" borderId="0" xfId="162" applyFont="1" applyAlignment="1">
      <alignment vertical="center"/>
      <protection locked="0"/>
    </xf>
    <xf numFmtId="0" fontId="9" fillId="0" borderId="0" xfId="0" applyFont="1" applyFill="1" applyAlignment="1" applyProtection="1">
      <alignment horizontal="left" vertical="center" indent="1"/>
    </xf>
    <xf numFmtId="0" fontId="5" fillId="0" borderId="0" xfId="0" applyFont="1" applyFill="1" applyAlignment="1" applyProtection="1">
      <alignment horizontal="left" vertical="center" indent="1"/>
    </xf>
    <xf numFmtId="0" fontId="57" fillId="0" borderId="0" xfId="162" applyFont="1" applyBorder="1" applyAlignment="1">
      <alignment vertical="center"/>
      <protection locked="0"/>
    </xf>
    <xf numFmtId="0" fontId="68" fillId="0" borderId="0" xfId="162" applyFont="1" applyAlignment="1">
      <alignment vertical="center"/>
      <protection locked="0"/>
    </xf>
    <xf numFmtId="0" fontId="69" fillId="0" borderId="0" xfId="162" applyFont="1" applyAlignment="1">
      <alignment horizontal="right"/>
      <protection locked="0"/>
    </xf>
    <xf numFmtId="0" fontId="9" fillId="0" borderId="9" xfId="162" applyFont="1" applyFill="1" applyBorder="1" applyAlignment="1">
      <alignment horizontal="center" vertical="center" wrapText="1"/>
      <protection locked="0"/>
    </xf>
    <xf numFmtId="43" fontId="69" fillId="0" borderId="0" xfId="3" applyNumberFormat="1" applyFont="1" applyBorder="1" applyAlignment="1">
      <alignment vertical="center"/>
    </xf>
    <xf numFmtId="0" fontId="71" fillId="0" borderId="0" xfId="0" applyFont="1">
      <alignment vertical="center"/>
    </xf>
    <xf numFmtId="0" fontId="64" fillId="0" borderId="0" xfId="0" applyFont="1" applyFill="1" applyAlignment="1" applyProtection="1">
      <alignment vertical="center"/>
    </xf>
    <xf numFmtId="0" fontId="4" fillId="11" borderId="9" xfId="0" applyFont="1" applyFill="1" applyBorder="1" applyAlignment="1">
      <alignment horizontal="center" vertical="center"/>
    </xf>
    <xf numFmtId="217" fontId="5" fillId="0" borderId="9" xfId="0" applyNumberFormat="1" applyFont="1" applyFill="1" applyBorder="1">
      <alignment vertical="center"/>
    </xf>
    <xf numFmtId="0" fontId="5" fillId="0" borderId="9" xfId="0" applyFont="1" applyFill="1" applyBorder="1">
      <alignment vertical="center"/>
    </xf>
    <xf numFmtId="14" fontId="5" fillId="0" borderId="9" xfId="0" applyNumberFormat="1" applyFont="1" applyFill="1" applyBorder="1">
      <alignment vertical="center"/>
    </xf>
    <xf numFmtId="43" fontId="5" fillId="0" borderId="9" xfId="1" applyFont="1" applyFill="1" applyBorder="1" applyAlignment="1">
      <alignment vertical="center"/>
    </xf>
    <xf numFmtId="43" fontId="5" fillId="0" borderId="1" xfId="1" applyFont="1" applyFill="1" applyBorder="1" applyAlignment="1" applyProtection="1">
      <alignment horizontal="center" vertical="center" wrapText="1"/>
      <protection locked="0"/>
    </xf>
    <xf numFmtId="0" fontId="12" fillId="0" borderId="0" xfId="162" applyFont="1" applyAlignment="1">
      <alignment vertical="center"/>
      <protection locked="0"/>
    </xf>
    <xf numFmtId="0" fontId="66" fillId="0" borderId="0" xfId="0" applyFont="1" applyAlignment="1">
      <alignment horizontal="justify" vertical="center" wrapText="1"/>
    </xf>
    <xf numFmtId="0" fontId="72" fillId="0" borderId="0" xfId="162" applyFont="1" applyAlignment="1">
      <alignment vertical="center"/>
      <protection locked="0"/>
    </xf>
    <xf numFmtId="43" fontId="5" fillId="0" borderId="9" xfId="1" applyFont="1" applyFill="1" applyBorder="1" applyAlignment="1" applyProtection="1">
      <alignment horizontal="center" vertical="center" wrapText="1"/>
      <protection locked="0"/>
    </xf>
    <xf numFmtId="0" fontId="4" fillId="0" borderId="0" xfId="188" applyFont="1" applyBorder="1" applyAlignment="1">
      <alignment vertical="center"/>
    </xf>
    <xf numFmtId="0" fontId="18" fillId="0" borderId="0" xfId="188" applyFont="1" applyBorder="1" applyAlignment="1" applyProtection="1">
      <alignment horizontal="center" vertical="center"/>
      <protection hidden="1"/>
    </xf>
    <xf numFmtId="0" fontId="5" fillId="0" borderId="0" xfId="188" applyFont="1" applyBorder="1" applyAlignment="1" applyProtection="1">
      <alignment horizontal="left" vertical="center"/>
      <protection hidden="1"/>
    </xf>
    <xf numFmtId="0" fontId="18" fillId="0" borderId="0" xfId="188" applyFont="1" applyBorder="1" applyAlignment="1" applyProtection="1">
      <alignment horizontal="left" vertical="center"/>
      <protection locked="0"/>
    </xf>
    <xf numFmtId="0" fontId="68" fillId="0" borderId="0" xfId="162" applyFont="1" applyBorder="1" applyAlignment="1">
      <alignment vertical="center"/>
      <protection locked="0"/>
    </xf>
    <xf numFmtId="0" fontId="18" fillId="0" borderId="0" xfId="162" applyFont="1" applyBorder="1" applyAlignment="1">
      <alignment vertical="center"/>
      <protection locked="0"/>
    </xf>
    <xf numFmtId="0" fontId="18" fillId="0" borderId="0" xfId="162" applyFont="1" applyBorder="1" applyAlignment="1">
      <protection locked="0"/>
    </xf>
    <xf numFmtId="0" fontId="69" fillId="0" borderId="0" xfId="162" applyFont="1" applyBorder="1" applyAlignment="1">
      <alignment horizontal="left"/>
      <protection locked="0"/>
    </xf>
    <xf numFmtId="0" fontId="18" fillId="0" borderId="0" xfId="162" applyFont="1" applyBorder="1" applyAlignment="1">
      <alignment horizontal="right"/>
      <protection locked="0"/>
    </xf>
    <xf numFmtId="49" fontId="18" fillId="0" borderId="0" xfId="162" applyNumberFormat="1" applyFont="1" applyBorder="1" applyAlignment="1">
      <alignment horizontal="right" vertical="center"/>
      <protection locked="0"/>
    </xf>
    <xf numFmtId="0" fontId="18" fillId="0" borderId="0" xfId="162" applyFont="1" applyBorder="1" applyAlignment="1">
      <alignment horizontal="right" vertical="center"/>
      <protection locked="0"/>
    </xf>
    <xf numFmtId="0" fontId="69" fillId="0" borderId="0" xfId="162" applyFont="1" applyBorder="1" applyAlignment="1">
      <alignment vertical="center"/>
      <protection locked="0"/>
    </xf>
    <xf numFmtId="0" fontId="69" fillId="0" borderId="0" xfId="162" applyFont="1" applyBorder="1" applyAlignment="1">
      <alignment horizontal="center" vertical="center" wrapText="1"/>
      <protection locked="0"/>
    </xf>
    <xf numFmtId="0" fontId="18" fillId="0" borderId="0" xfId="162" applyFont="1" applyBorder="1" applyAlignment="1">
      <alignment horizontal="center" wrapText="1"/>
      <protection locked="0"/>
    </xf>
    <xf numFmtId="0" fontId="70" fillId="0" borderId="0" xfId="162" applyFont="1" applyBorder="1" applyAlignment="1">
      <alignment vertical="center"/>
      <protection locked="0"/>
    </xf>
    <xf numFmtId="0" fontId="4" fillId="0" borderId="0" xfId="5" applyFont="1" applyBorder="1" applyAlignment="1">
      <alignment vertical="center"/>
    </xf>
    <xf numFmtId="43" fontId="4" fillId="0" borderId="12" xfId="3" applyNumberFormat="1" applyFont="1" applyBorder="1" applyAlignment="1">
      <alignment horizontal="left" vertical="center"/>
    </xf>
    <xf numFmtId="43" fontId="5" fillId="0" borderId="12" xfId="3" applyNumberFormat="1" applyFont="1" applyBorder="1" applyAlignment="1">
      <alignment horizontal="left" vertical="center"/>
    </xf>
    <xf numFmtId="43" fontId="73" fillId="0" borderId="12" xfId="4" applyNumberFormat="1" applyFont="1" applyBorder="1" applyAlignment="1" applyProtection="1">
      <alignment horizontal="center" vertical="center"/>
    </xf>
    <xf numFmtId="43" fontId="5" fillId="0" borderId="12" xfId="3" applyNumberFormat="1" applyFont="1" applyBorder="1" applyAlignment="1">
      <alignment vertical="center"/>
    </xf>
    <xf numFmtId="43" fontId="4" fillId="0" borderId="0" xfId="3" applyNumberFormat="1" applyFont="1" applyFill="1" applyBorder="1" applyAlignment="1">
      <alignment vertical="center"/>
    </xf>
    <xf numFmtId="43" fontId="5" fillId="0" borderId="0" xfId="3" applyNumberFormat="1" applyFont="1" applyFill="1" applyBorder="1" applyAlignment="1">
      <alignment vertical="center"/>
    </xf>
    <xf numFmtId="0" fontId="5" fillId="0" borderId="0" xfId="5" applyFont="1" applyBorder="1" applyAlignment="1">
      <alignment horizontal="center" vertical="center"/>
    </xf>
    <xf numFmtId="0" fontId="75" fillId="0" borderId="0" xfId="0" applyFont="1" applyFill="1" applyBorder="1" applyAlignment="1" applyProtection="1">
      <alignment vertical="center"/>
      <protection locked="0"/>
    </xf>
    <xf numFmtId="43" fontId="74" fillId="0" borderId="17" xfId="1" applyFont="1" applyFill="1" applyBorder="1" applyAlignment="1">
      <alignment horizontal="right" vertical="center"/>
    </xf>
    <xf numFmtId="10" fontId="15" fillId="0" borderId="0" xfId="2" applyNumberFormat="1" applyFont="1" applyBorder="1" applyAlignment="1">
      <alignment horizontal="left" vertical="center"/>
    </xf>
    <xf numFmtId="0" fontId="2" fillId="11" borderId="10" xfId="162" applyFont="1" applyFill="1" applyBorder="1" applyAlignment="1">
      <alignment horizontal="center" vertical="center" wrapText="1"/>
      <protection locked="0"/>
    </xf>
    <xf numFmtId="0" fontId="4" fillId="11" borderId="10" xfId="162" applyFont="1" applyFill="1" applyBorder="1" applyAlignment="1">
      <alignment horizontal="center" vertical="center" wrapText="1"/>
      <protection locked="0"/>
    </xf>
    <xf numFmtId="0" fontId="9" fillId="0" borderId="0" xfId="162" applyFont="1" applyBorder="1" applyAlignment="1">
      <alignment horizontal="justify" wrapText="1"/>
      <protection locked="0"/>
    </xf>
    <xf numFmtId="0" fontId="20" fillId="0" borderId="5" xfId="162" applyFont="1" applyBorder="1" applyAlignment="1">
      <alignment horizontal="center" wrapText="1"/>
      <protection locked="0"/>
    </xf>
    <xf numFmtId="0" fontId="9" fillId="0" borderId="0" xfId="162" applyFont="1" applyBorder="1">
      <protection locked="0"/>
    </xf>
    <xf numFmtId="0" fontId="9" fillId="0" borderId="0" xfId="162" applyFont="1">
      <protection locked="0"/>
    </xf>
    <xf numFmtId="0" fontId="2" fillId="0" borderId="0" xfId="162" applyFont="1" applyAlignment="1">
      <alignment horizontal="center" vertical="center"/>
      <protection locked="0"/>
    </xf>
    <xf numFmtId="0" fontId="2" fillId="0" borderId="0" xfId="162" applyFont="1" applyBorder="1" applyAlignment="1">
      <alignment horizontal="center" vertical="center"/>
      <protection locked="0"/>
    </xf>
    <xf numFmtId="0" fontId="2" fillId="11" borderId="13" xfId="192" applyFont="1" applyFill="1" applyBorder="1" applyAlignment="1">
      <alignment horizontal="center" vertical="center" wrapText="1"/>
      <protection locked="0"/>
    </xf>
    <xf numFmtId="0" fontId="2" fillId="11" borderId="17" xfId="192" applyFont="1" applyFill="1" applyBorder="1" applyAlignment="1">
      <alignment horizontal="center" vertical="center" wrapText="1"/>
      <protection locked="0"/>
    </xf>
    <xf numFmtId="0" fontId="79" fillId="11" borderId="9" xfId="0" applyFont="1" applyFill="1" applyBorder="1" applyAlignment="1">
      <alignment horizontal="center" vertical="center"/>
    </xf>
    <xf numFmtId="43" fontId="5" fillId="0" borderId="9" xfId="1" applyFont="1" applyFill="1" applyBorder="1" applyAlignment="1">
      <alignment horizontal="center" vertical="center"/>
    </xf>
    <xf numFmtId="0" fontId="5" fillId="0" borderId="0" xfId="193" applyFont="1" applyAlignment="1">
      <alignment vertical="center"/>
      <protection locked="0"/>
    </xf>
    <xf numFmtId="0" fontId="5" fillId="0" borderId="0" xfId="193" applyFont="1" applyAlignment="1">
      <alignment vertical="center" wrapText="1"/>
      <protection locked="0"/>
    </xf>
    <xf numFmtId="0" fontId="2" fillId="0" borderId="0" xfId="193" applyFont="1" applyAlignment="1">
      <alignment vertical="center"/>
      <protection locked="0"/>
    </xf>
    <xf numFmtId="0" fontId="9" fillId="0" borderId="0" xfId="193" applyFont="1" applyAlignment="1">
      <alignment vertical="center"/>
      <protection locked="0"/>
    </xf>
    <xf numFmtId="0" fontId="5" fillId="0" borderId="0" xfId="192" applyFont="1" applyAlignment="1">
      <alignment horizontal="left" vertical="center"/>
      <protection locked="0"/>
    </xf>
    <xf numFmtId="0" fontId="1" fillId="0" borderId="0" xfId="192">
      <protection locked="0"/>
    </xf>
    <xf numFmtId="0" fontId="2" fillId="12" borderId="17" xfId="194" applyFont="1" applyFill="1" applyBorder="1" applyAlignment="1">
      <alignment horizontal="center" vertical="center" wrapText="1"/>
      <protection locked="0"/>
    </xf>
    <xf numFmtId="43" fontId="5" fillId="0" borderId="17" xfId="1" applyFont="1" applyFill="1" applyBorder="1" applyAlignment="1">
      <alignment horizontal="right" vertical="center"/>
    </xf>
    <xf numFmtId="10" fontId="74" fillId="0" borderId="17" xfId="2" applyNumberFormat="1" applyFont="1" applyFill="1" applyBorder="1" applyAlignment="1">
      <alignment horizontal="center" vertical="center"/>
    </xf>
    <xf numFmtId="0" fontId="2" fillId="0" borderId="0" xfId="194" applyFont="1" applyAlignment="1">
      <alignment horizontal="center" vertical="center" wrapText="1"/>
      <protection locked="0"/>
    </xf>
    <xf numFmtId="0" fontId="77" fillId="0" borderId="0" xfId="193" applyFont="1" applyAlignment="1">
      <alignment vertical="center"/>
      <protection locked="0"/>
    </xf>
    <xf numFmtId="202" fontId="4" fillId="11" borderId="17" xfId="245" applyFont="1" applyFill="1" applyBorder="1" applyAlignment="1" applyProtection="1">
      <alignment horizontal="center" vertical="center" wrapText="1"/>
      <protection locked="0"/>
    </xf>
    <xf numFmtId="202" fontId="4" fillId="11" borderId="17" xfId="194" applyNumberFormat="1" applyFont="1" applyFill="1" applyBorder="1" applyAlignment="1" applyProtection="1">
      <alignment horizontal="center" vertical="center"/>
      <protection locked="0"/>
    </xf>
    <xf numFmtId="202" fontId="63" fillId="11" borderId="17" xfId="194" applyNumberFormat="1" applyFont="1" applyFill="1" applyBorder="1" applyAlignment="1" applyProtection="1">
      <alignment horizontal="center" vertical="center" wrapText="1"/>
      <protection locked="0"/>
    </xf>
    <xf numFmtId="0" fontId="64" fillId="11" borderId="17" xfId="192" applyFont="1" applyFill="1" applyBorder="1" applyAlignment="1" applyProtection="1">
      <alignment vertical="center"/>
    </xf>
    <xf numFmtId="43" fontId="74" fillId="11" borderId="17" xfId="1" applyFont="1" applyFill="1" applyBorder="1" applyAlignment="1">
      <alignment horizontal="right" vertical="center"/>
    </xf>
    <xf numFmtId="43" fontId="5" fillId="11" borderId="17" xfId="1" applyFont="1" applyFill="1" applyBorder="1" applyAlignment="1">
      <alignment horizontal="right" vertical="center" wrapText="1"/>
    </xf>
    <xf numFmtId="10" fontId="5" fillId="11" borderId="17" xfId="2" applyNumberFormat="1" applyFont="1" applyFill="1" applyBorder="1" applyAlignment="1">
      <alignment horizontal="right" vertical="center" wrapText="1"/>
    </xf>
    <xf numFmtId="0" fontId="101" fillId="0" borderId="17" xfId="192" applyFont="1" applyFill="1" applyBorder="1" applyAlignment="1" applyProtection="1">
      <alignment vertical="center"/>
    </xf>
    <xf numFmtId="43" fontId="5" fillId="0" borderId="17" xfId="1" applyFont="1" applyFill="1" applyBorder="1" applyAlignment="1">
      <alignment horizontal="right" vertical="center" wrapText="1"/>
    </xf>
    <xf numFmtId="0" fontId="9" fillId="0" borderId="17" xfId="192" applyFont="1" applyFill="1" applyBorder="1" applyAlignment="1" applyProtection="1">
      <alignment vertical="center"/>
    </xf>
    <xf numFmtId="0" fontId="77" fillId="0" borderId="17" xfId="192" applyFont="1" applyFill="1" applyBorder="1" applyAlignment="1" applyProtection="1">
      <alignment horizontal="left" vertical="center" indent="1"/>
    </xf>
    <xf numFmtId="0" fontId="63" fillId="0" borderId="17" xfId="192" applyFont="1" applyFill="1" applyBorder="1" applyAlignment="1" applyProtection="1">
      <alignment horizontal="center" vertical="center"/>
    </xf>
    <xf numFmtId="0" fontId="74" fillId="0" borderId="17" xfId="192" applyFont="1" applyFill="1" applyBorder="1" applyAlignment="1" applyProtection="1">
      <alignment vertical="center"/>
    </xf>
    <xf numFmtId="0" fontId="5" fillId="0" borderId="17" xfId="192" applyFont="1" applyFill="1" applyBorder="1" applyAlignment="1" applyProtection="1">
      <alignment vertical="center"/>
    </xf>
    <xf numFmtId="0" fontId="82" fillId="0" borderId="17" xfId="192" applyFont="1" applyFill="1" applyBorder="1" applyAlignment="1" applyProtection="1">
      <alignment horizontal="left" vertical="center" indent="1"/>
    </xf>
    <xf numFmtId="43" fontId="9" fillId="0" borderId="0" xfId="3" applyNumberFormat="1" applyFont="1" applyBorder="1" applyAlignment="1">
      <alignment vertical="center"/>
    </xf>
    <xf numFmtId="202" fontId="20" fillId="0" borderId="0" xfId="247" applyFont="1" applyFill="1" applyAlignment="1">
      <alignment vertical="center"/>
      <protection locked="0"/>
    </xf>
    <xf numFmtId="202" fontId="20" fillId="0" borderId="0" xfId="248" applyFont="1" applyFill="1" applyAlignment="1">
      <alignment vertical="center"/>
    </xf>
    <xf numFmtId="0" fontId="62" fillId="0" borderId="17" xfId="249" applyFont="1" applyFill="1" applyBorder="1" applyAlignment="1" applyProtection="1">
      <alignment vertical="center" wrapText="1"/>
    </xf>
    <xf numFmtId="0" fontId="62" fillId="0" borderId="17" xfId="0" applyFont="1" applyFill="1" applyBorder="1" applyAlignment="1" applyProtection="1">
      <alignment vertical="center" wrapText="1"/>
    </xf>
    <xf numFmtId="0" fontId="5" fillId="0" borderId="17" xfId="0" applyFont="1" applyFill="1" applyBorder="1" applyAlignment="1" applyProtection="1">
      <alignment vertical="center" wrapText="1"/>
    </xf>
    <xf numFmtId="0" fontId="62" fillId="0" borderId="17" xfId="0" applyFont="1" applyFill="1" applyBorder="1" applyAlignment="1" applyProtection="1">
      <alignment horizontal="center" vertical="center" wrapText="1"/>
    </xf>
    <xf numFmtId="0" fontId="9" fillId="0" borderId="17" xfId="0" applyFont="1" applyFill="1" applyBorder="1" applyAlignment="1" applyProtection="1">
      <alignment vertical="center" wrapText="1"/>
    </xf>
    <xf numFmtId="0" fontId="9" fillId="10" borderId="0" xfId="0" applyFont="1" applyFill="1" applyBorder="1" applyAlignment="1" applyProtection="1">
      <alignment horizontal="justify" vertical="center" wrapText="1"/>
      <protection locked="0"/>
    </xf>
    <xf numFmtId="0" fontId="1" fillId="0" borderId="0" xfId="564">
      <protection locked="0"/>
    </xf>
    <xf numFmtId="202" fontId="2" fillId="11" borderId="17" xfId="245" applyFont="1" applyFill="1" applyBorder="1" applyAlignment="1" applyProtection="1">
      <alignment horizontal="center" vertical="center" wrapText="1"/>
      <protection locked="0"/>
    </xf>
    <xf numFmtId="202" fontId="142" fillId="11" borderId="17" xfId="245" applyFont="1" applyFill="1" applyBorder="1" applyAlignment="1" applyProtection="1">
      <alignment horizontal="center" vertical="center" wrapText="1"/>
      <protection locked="0"/>
    </xf>
    <xf numFmtId="0" fontId="101" fillId="0" borderId="17" xfId="564" applyFont="1" applyFill="1" applyBorder="1" applyAlignment="1" applyProtection="1">
      <alignment vertical="center"/>
    </xf>
    <xf numFmtId="0" fontId="9" fillId="0" borderId="17" xfId="564" applyFont="1" applyFill="1" applyBorder="1" applyAlignment="1" applyProtection="1">
      <alignment vertical="center"/>
    </xf>
    <xf numFmtId="0" fontId="77" fillId="0" borderId="17" xfId="564" applyFont="1" applyFill="1" applyBorder="1" applyAlignment="1" applyProtection="1">
      <alignment horizontal="left" vertical="center" indent="1"/>
    </xf>
    <xf numFmtId="0" fontId="63" fillId="0" borderId="17" xfId="564" applyFont="1" applyFill="1" applyBorder="1" applyAlignment="1" applyProtection="1">
      <alignment horizontal="center" vertical="center"/>
    </xf>
    <xf numFmtId="43" fontId="73" fillId="0" borderId="12" xfId="166" applyNumberFormat="1" applyFont="1" applyBorder="1" applyAlignment="1" applyProtection="1">
      <alignment horizontal="center" vertical="center"/>
    </xf>
    <xf numFmtId="0" fontId="64" fillId="11" borderId="17" xfId="564" applyFont="1" applyFill="1" applyBorder="1" applyAlignment="1" applyProtection="1">
      <alignment horizontal="center" vertical="center"/>
    </xf>
    <xf numFmtId="0" fontId="64" fillId="11" borderId="17" xfId="564" applyFont="1" applyFill="1" applyBorder="1" applyAlignment="1" applyProtection="1">
      <alignment horizontal="center" vertical="center" wrapText="1"/>
    </xf>
    <xf numFmtId="43" fontId="5" fillId="0" borderId="0" xfId="5" applyNumberFormat="1" applyFont="1" applyBorder="1" applyAlignment="1">
      <alignment vertical="center"/>
    </xf>
    <xf numFmtId="0" fontId="144" fillId="0" borderId="0" xfId="0" applyFont="1" applyAlignment="1">
      <alignment horizontal="left" vertical="center"/>
    </xf>
    <xf numFmtId="0" fontId="1" fillId="0" borderId="0" xfId="0" applyFont="1">
      <alignment vertical="center"/>
    </xf>
    <xf numFmtId="0" fontId="6" fillId="0" borderId="0" xfId="0" applyFont="1" applyAlignment="1">
      <alignment horizontal="center" vertical="center"/>
    </xf>
    <xf numFmtId="0" fontId="6" fillId="65" borderId="0" xfId="0" applyFont="1" applyFill="1" applyAlignment="1">
      <alignment horizontal="center" vertical="center"/>
    </xf>
    <xf numFmtId="0" fontId="72" fillId="0" borderId="0" xfId="0" applyFont="1" applyAlignment="1">
      <alignment horizontal="left" vertical="center" wrapText="1"/>
    </xf>
    <xf numFmtId="43" fontId="14" fillId="0" borderId="0" xfId="1" applyNumberFormat="1" applyFont="1" applyAlignment="1">
      <alignment vertical="center"/>
    </xf>
    <xf numFmtId="0" fontId="72" fillId="0" borderId="30" xfId="0" applyFont="1" applyBorder="1" applyAlignment="1">
      <alignment horizontal="left" vertical="center" wrapText="1"/>
    </xf>
    <xf numFmtId="43" fontId="146" fillId="0" borderId="0" xfId="1" applyNumberFormat="1" applyFont="1" applyAlignment="1">
      <alignment vertical="center"/>
    </xf>
    <xf numFmtId="0" fontId="147" fillId="0" borderId="0" xfId="0" applyFont="1" applyAlignment="1">
      <alignment horizontal="center" vertical="center"/>
    </xf>
    <xf numFmtId="0" fontId="8" fillId="0" borderId="0" xfId="0" applyFont="1" applyAlignment="1">
      <alignment horizontal="left" vertical="center" wrapText="1"/>
    </xf>
    <xf numFmtId="0" fontId="8" fillId="0" borderId="30" xfId="0" applyFont="1" applyBorder="1" applyAlignment="1">
      <alignment horizontal="left" vertical="center" wrapText="1"/>
    </xf>
    <xf numFmtId="0" fontId="72" fillId="0" borderId="0" xfId="0" applyFont="1" applyAlignment="1">
      <alignment horizontal="left" vertical="center"/>
    </xf>
    <xf numFmtId="43" fontId="148" fillId="0" borderId="0" xfId="0" applyNumberFormat="1" applyFont="1" applyAlignment="1">
      <alignment vertical="center"/>
    </xf>
    <xf numFmtId="43" fontId="0" fillId="0" borderId="0" xfId="0" applyNumberFormat="1" applyAlignment="1">
      <alignment vertical="center"/>
    </xf>
    <xf numFmtId="43" fontId="150" fillId="0" borderId="0" xfId="0" applyNumberFormat="1" applyFont="1" applyAlignment="1">
      <alignment horizontal="justify" vertical="center" wrapText="1"/>
    </xf>
    <xf numFmtId="43" fontId="149" fillId="0" borderId="0" xfId="0" applyNumberFormat="1" applyFont="1" applyAlignment="1">
      <alignment horizontal="justify" vertical="center" wrapText="1"/>
    </xf>
    <xf numFmtId="43" fontId="150" fillId="0" borderId="30" xfId="0" applyNumberFormat="1" applyFont="1" applyBorder="1" applyAlignment="1">
      <alignment horizontal="justify" vertical="center" wrapText="1"/>
    </xf>
    <xf numFmtId="43" fontId="151" fillId="0" borderId="0" xfId="0" applyNumberFormat="1" applyFont="1" applyAlignment="1">
      <alignment horizontal="justify" vertical="center" wrapText="1"/>
    </xf>
    <xf numFmtId="43" fontId="151" fillId="0" borderId="30" xfId="0" applyNumberFormat="1" applyFont="1" applyBorder="1" applyAlignment="1">
      <alignment horizontal="justify" vertical="center" wrapText="1"/>
    </xf>
    <xf numFmtId="43" fontId="149" fillId="66" borderId="31" xfId="0" applyNumberFormat="1" applyFont="1" applyFill="1" applyBorder="1" applyAlignment="1">
      <alignment horizontal="center" vertical="center" wrapText="1"/>
    </xf>
    <xf numFmtId="43" fontId="149" fillId="66" borderId="30" xfId="0" applyNumberFormat="1" applyFont="1" applyFill="1" applyBorder="1" applyAlignment="1">
      <alignment horizontal="right" vertical="center" wrapText="1"/>
    </xf>
    <xf numFmtId="43" fontId="150" fillId="0" borderId="0" xfId="0" applyNumberFormat="1" applyFont="1" applyAlignment="1">
      <alignment horizontal="left" vertical="center" wrapText="1"/>
    </xf>
    <xf numFmtId="43" fontId="150" fillId="0" borderId="32" xfId="0" applyNumberFormat="1" applyFont="1" applyBorder="1" applyAlignment="1">
      <alignment horizontal="left" vertical="center" wrapText="1"/>
    </xf>
    <xf numFmtId="43" fontId="153" fillId="0" borderId="32" xfId="0" applyNumberFormat="1" applyFont="1" applyBorder="1" applyAlignment="1">
      <alignment horizontal="left" vertical="center" wrapText="1"/>
    </xf>
    <xf numFmtId="0" fontId="145" fillId="0" borderId="29" xfId="0" applyFont="1" applyBorder="1" applyAlignment="1">
      <alignment horizontal="center" vertical="center" wrapText="1"/>
    </xf>
    <xf numFmtId="0" fontId="145" fillId="0" borderId="30" xfId="0" applyFont="1" applyBorder="1" applyAlignment="1">
      <alignment horizontal="center" vertical="center" wrapText="1"/>
    </xf>
    <xf numFmtId="0" fontId="67" fillId="0" borderId="0" xfId="0" applyFont="1" applyAlignment="1">
      <alignment horizontal="left" vertical="center"/>
    </xf>
    <xf numFmtId="0" fontId="154" fillId="0" borderId="0" xfId="0" applyFont="1">
      <alignment vertical="center"/>
    </xf>
    <xf numFmtId="43" fontId="8" fillId="0" borderId="0" xfId="1" applyNumberFormat="1" applyFont="1" applyAlignment="1">
      <alignment vertical="center"/>
    </xf>
    <xf numFmtId="43" fontId="8" fillId="0" borderId="30" xfId="0" applyNumberFormat="1" applyFont="1" applyBorder="1" applyAlignment="1">
      <alignment vertical="center"/>
    </xf>
    <xf numFmtId="43" fontId="7" fillId="0" borderId="30" xfId="0" applyNumberFormat="1" applyFont="1" applyBorder="1" applyAlignment="1">
      <alignment vertical="center"/>
    </xf>
    <xf numFmtId="43" fontId="8" fillId="0" borderId="0" xfId="0" applyNumberFormat="1" applyFont="1" applyAlignment="1">
      <alignment vertical="center"/>
    </xf>
    <xf numFmtId="43" fontId="7" fillId="0" borderId="30" xfId="1" applyNumberFormat="1" applyFont="1" applyBorder="1" applyAlignment="1">
      <alignment vertical="center"/>
    </xf>
    <xf numFmtId="0" fontId="8" fillId="0" borderId="0" xfId="0" applyFont="1" applyAlignment="1">
      <alignment vertical="center"/>
    </xf>
    <xf numFmtId="0" fontId="8" fillId="0" borderId="30" xfId="0" applyFont="1" applyBorder="1" applyAlignment="1">
      <alignment vertical="center"/>
    </xf>
    <xf numFmtId="0" fontId="7" fillId="0" borderId="30" xfId="0" applyFont="1" applyBorder="1" applyAlignment="1">
      <alignment vertical="center"/>
    </xf>
    <xf numFmtId="43" fontId="151" fillId="0" borderId="0" xfId="0" applyNumberFormat="1" applyFont="1" applyAlignment="1">
      <alignment vertical="center"/>
    </xf>
    <xf numFmtId="43" fontId="67" fillId="0" borderId="0" xfId="0" applyNumberFormat="1" applyFont="1" applyAlignment="1">
      <alignment vertical="center"/>
    </xf>
    <xf numFmtId="43" fontId="151" fillId="0" borderId="32" xfId="0" applyNumberFormat="1" applyFont="1" applyBorder="1" applyAlignment="1">
      <alignment vertical="center"/>
    </xf>
    <xf numFmtId="43" fontId="8" fillId="0" borderId="32" xfId="1" applyNumberFormat="1" applyFont="1" applyBorder="1" applyAlignment="1">
      <alignment vertical="center"/>
    </xf>
    <xf numFmtId="43" fontId="149" fillId="0" borderId="29" xfId="0" applyNumberFormat="1" applyFont="1" applyBorder="1" applyAlignment="1">
      <alignment horizontal="center" vertical="center" wrapText="1"/>
    </xf>
    <xf numFmtId="43" fontId="149" fillId="0" borderId="30" xfId="0" applyNumberFormat="1" applyFont="1" applyBorder="1" applyAlignment="1">
      <alignment horizontal="center" vertical="center" wrapText="1"/>
    </xf>
    <xf numFmtId="43" fontId="151" fillId="0" borderId="30" xfId="0" applyNumberFormat="1" applyFont="1" applyBorder="1" applyAlignment="1">
      <alignment vertical="center"/>
    </xf>
    <xf numFmtId="43" fontId="152" fillId="0" borderId="30" xfId="0" applyNumberFormat="1" applyFont="1" applyBorder="1" applyAlignment="1">
      <alignment vertical="center"/>
    </xf>
    <xf numFmtId="43" fontId="152" fillId="0" borderId="0" xfId="0" applyNumberFormat="1" applyFont="1" applyAlignment="1">
      <alignment vertical="center"/>
    </xf>
    <xf numFmtId="0" fontId="145" fillId="0" borderId="30" xfId="0" applyFont="1" applyBorder="1" applyAlignment="1">
      <alignment horizontal="left" vertical="center" wrapText="1"/>
    </xf>
    <xf numFmtId="0" fontId="155" fillId="0" borderId="6" xfId="0" applyFont="1" applyBorder="1" applyAlignment="1">
      <alignment horizontal="right" vertical="center" wrapText="1"/>
    </xf>
    <xf numFmtId="0" fontId="155" fillId="0" borderId="6" xfId="0" applyFont="1" applyBorder="1" applyAlignment="1">
      <alignment horizontal="justify" vertical="center" wrapText="1"/>
    </xf>
    <xf numFmtId="43" fontId="74" fillId="11" borderId="17" xfId="1" applyNumberFormat="1" applyFont="1" applyFill="1" applyBorder="1" applyAlignment="1" applyProtection="1">
      <alignment horizontal="right" vertical="center"/>
    </xf>
    <xf numFmtId="43" fontId="157" fillId="11" borderId="17" xfId="1" applyNumberFormat="1" applyFont="1" applyFill="1" applyBorder="1" applyAlignment="1" applyProtection="1">
      <alignment horizontal="center" vertical="center"/>
    </xf>
    <xf numFmtId="10" fontId="74" fillId="11" borderId="17" xfId="2" applyNumberFormat="1" applyFont="1" applyFill="1" applyBorder="1" applyAlignment="1" applyProtection="1">
      <alignment horizontal="right" vertical="center"/>
    </xf>
    <xf numFmtId="43" fontId="63" fillId="11" borderId="17" xfId="1" applyNumberFormat="1" applyFont="1" applyFill="1" applyBorder="1" applyAlignment="1" applyProtection="1">
      <alignment horizontal="right" vertical="center"/>
    </xf>
    <xf numFmtId="0" fontId="0" fillId="0" borderId="0" xfId="0" applyAlignment="1" applyProtection="1">
      <protection locked="0"/>
    </xf>
    <xf numFmtId="0" fontId="9" fillId="0" borderId="0" xfId="0" applyFont="1" applyAlignment="1" applyProtection="1">
      <protection locked="0"/>
    </xf>
    <xf numFmtId="0" fontId="0" fillId="0" borderId="17" xfId="0" applyBorder="1" applyAlignment="1" applyProtection="1">
      <protection locked="0"/>
    </xf>
    <xf numFmtId="0" fontId="4" fillId="0" borderId="0" xfId="188" applyFont="1" applyBorder="1" applyAlignment="1">
      <alignment horizontal="left" vertical="center"/>
    </xf>
    <xf numFmtId="0" fontId="4" fillId="0" borderId="0" xfId="188" applyFont="1" applyBorder="1" applyAlignment="1">
      <alignment horizontal="left" vertical="center"/>
    </xf>
    <xf numFmtId="202" fontId="36" fillId="0" borderId="0" xfId="247" applyFont="1" applyAlignment="1">
      <alignment horizontal="left" vertical="center"/>
      <protection locked="0"/>
    </xf>
    <xf numFmtId="202" fontId="36" fillId="0" borderId="0" xfId="247" applyFont="1" applyAlignment="1">
      <alignment horizontal="justify" vertical="center"/>
      <protection locked="0"/>
    </xf>
    <xf numFmtId="0" fontId="2" fillId="11" borderId="17" xfId="591" applyFont="1" applyFill="1" applyBorder="1" applyAlignment="1" applyProtection="1">
      <alignment horizontal="center" vertical="center"/>
      <protection locked="0"/>
    </xf>
    <xf numFmtId="0" fontId="2" fillId="11" borderId="17" xfId="591" applyFont="1" applyFill="1" applyBorder="1" applyAlignment="1" applyProtection="1">
      <alignment vertical="center"/>
      <protection locked="0"/>
    </xf>
    <xf numFmtId="0" fontId="2" fillId="11" borderId="17" xfId="591" applyFont="1" applyFill="1" applyBorder="1" applyAlignment="1" applyProtection="1">
      <alignment vertical="center" wrapText="1"/>
      <protection locked="0"/>
    </xf>
    <xf numFmtId="0" fontId="62" fillId="0" borderId="17" xfId="591" applyFont="1" applyFill="1" applyBorder="1" applyAlignment="1">
      <alignment vertical="center" wrapText="1"/>
    </xf>
    <xf numFmtId="0" fontId="62" fillId="0" borderId="17" xfId="591" applyFont="1" applyFill="1" applyBorder="1" applyAlignment="1">
      <alignment horizontal="center" vertical="center" wrapText="1"/>
    </xf>
    <xf numFmtId="0" fontId="61" fillId="0" borderId="14" xfId="0" applyFont="1" applyFill="1" applyBorder="1" applyAlignment="1" applyProtection="1">
      <alignment vertical="center" wrapText="1"/>
    </xf>
    <xf numFmtId="0" fontId="61" fillId="0" borderId="17" xfId="591" applyFont="1" applyFill="1" applyBorder="1" applyAlignment="1">
      <alignment horizontal="center" vertical="center" wrapText="1"/>
    </xf>
    <xf numFmtId="0" fontId="65" fillId="0" borderId="17" xfId="591" applyFont="1" applyFill="1" applyBorder="1" applyAlignment="1">
      <alignment horizontal="center" vertical="center" wrapText="1"/>
    </xf>
    <xf numFmtId="0" fontId="9" fillId="0" borderId="0" xfId="692" applyFont="1" applyAlignment="1">
      <alignment vertical="center"/>
    </xf>
    <xf numFmtId="0" fontId="9" fillId="0" borderId="0" xfId="188" applyFont="1" applyAlignment="1">
      <alignment horizontal="left" vertical="center"/>
    </xf>
    <xf numFmtId="0" fontId="159" fillId="0" borderId="0" xfId="188" applyFont="1" applyAlignment="1">
      <alignment horizontal="left" vertical="center"/>
    </xf>
    <xf numFmtId="0" fontId="9" fillId="0" borderId="17" xfId="192" applyFont="1" applyBorder="1" applyAlignment="1">
      <alignment horizontal="center" vertical="center" wrapText="1" shrinkToFit="1"/>
      <protection locked="0"/>
    </xf>
    <xf numFmtId="0" fontId="5" fillId="0" borderId="17" xfId="192" applyFont="1" applyBorder="1" applyAlignment="1">
      <alignment horizontal="center" vertical="center" wrapText="1"/>
      <protection locked="0"/>
    </xf>
    <xf numFmtId="0" fontId="4" fillId="0" borderId="0" xfId="192" applyFont="1" applyAlignment="1">
      <alignment vertical="center"/>
      <protection locked="0"/>
    </xf>
    <xf numFmtId="0" fontId="64" fillId="11" borderId="17" xfId="565" applyFont="1" applyFill="1" applyBorder="1" applyAlignment="1" applyProtection="1">
      <alignment horizontal="center" vertical="center" wrapText="1"/>
    </xf>
    <xf numFmtId="0" fontId="101" fillId="0" borderId="17" xfId="565" applyFont="1" applyFill="1" applyBorder="1" applyAlignment="1" applyProtection="1">
      <alignment vertical="center"/>
    </xf>
    <xf numFmtId="0" fontId="100" fillId="0" borderId="0" xfId="565" applyAlignment="1" applyProtection="1">
      <protection locked="0"/>
    </xf>
    <xf numFmtId="0" fontId="2" fillId="0" borderId="0" xfId="188" applyFont="1" applyAlignment="1">
      <alignment vertical="center" wrapText="1"/>
    </xf>
    <xf numFmtId="0" fontId="160" fillId="0" borderId="17" xfId="192" applyFont="1" applyFill="1" applyBorder="1" applyAlignment="1">
      <alignment horizontal="left" vertical="center" wrapText="1"/>
      <protection locked="0"/>
    </xf>
    <xf numFmtId="49" fontId="20" fillId="0" borderId="17" xfId="248" applyNumberFormat="1" applyFont="1" applyFill="1" applyBorder="1" applyAlignment="1">
      <alignment horizontal="center" vertical="center"/>
    </xf>
    <xf numFmtId="49" fontId="20" fillId="0" borderId="0" xfId="248" applyNumberFormat="1" applyFont="1" applyFill="1" applyAlignment="1">
      <alignment horizontal="center" vertical="center"/>
    </xf>
    <xf numFmtId="49" fontId="36" fillId="0" borderId="0" xfId="248" applyNumberFormat="1" applyFont="1" applyFill="1" applyAlignment="1">
      <alignment horizontal="center" vertical="center"/>
    </xf>
    <xf numFmtId="217" fontId="4" fillId="67" borderId="17" xfId="191" applyNumberFormat="1" applyFont="1" applyFill="1" applyBorder="1" applyAlignment="1" applyProtection="1">
      <alignment horizontal="center" vertical="center"/>
    </xf>
    <xf numFmtId="0" fontId="8" fillId="0" borderId="0" xfId="0" applyFont="1" applyAlignment="1" applyProtection="1">
      <alignment vertical="center"/>
      <protection locked="0"/>
    </xf>
    <xf numFmtId="202" fontId="5" fillId="0" borderId="17" xfId="191" applyFont="1" applyBorder="1" applyAlignment="1" applyProtection="1">
      <alignment vertical="center"/>
    </xf>
    <xf numFmtId="43" fontId="5" fillId="0" borderId="17" xfId="1" applyFont="1" applyBorder="1" applyAlignment="1" applyProtection="1">
      <alignment vertical="center"/>
    </xf>
    <xf numFmtId="43" fontId="4" fillId="67" borderId="17" xfId="1" applyFont="1" applyFill="1" applyBorder="1" applyAlignment="1" applyProtection="1">
      <alignment vertical="center"/>
    </xf>
    <xf numFmtId="217" fontId="5" fillId="0" borderId="17" xfId="191" applyNumberFormat="1" applyFont="1" applyBorder="1" applyAlignment="1" applyProtection="1">
      <alignment vertical="center"/>
    </xf>
    <xf numFmtId="236" fontId="5" fillId="0" borderId="17" xfId="192" applyNumberFormat="1" applyFont="1" applyFill="1" applyBorder="1" applyAlignment="1">
      <alignment horizontal="center" vertical="center" wrapText="1"/>
      <protection locked="0"/>
    </xf>
    <xf numFmtId="49" fontId="5" fillId="0" borderId="17" xfId="192" applyNumberFormat="1" applyFont="1" applyFill="1" applyBorder="1" applyAlignment="1">
      <alignment horizontal="center" vertical="center"/>
      <protection locked="0"/>
    </xf>
    <xf numFmtId="0" fontId="5" fillId="0" borderId="17" xfId="192" applyFont="1" applyFill="1" applyBorder="1" applyAlignment="1">
      <alignment vertical="center"/>
      <protection locked="0"/>
    </xf>
    <xf numFmtId="235" fontId="5" fillId="0" borderId="17" xfId="192" applyNumberFormat="1" applyFont="1" applyFill="1" applyBorder="1" applyAlignment="1">
      <alignment horizontal="right" vertical="center" shrinkToFit="1"/>
      <protection locked="0"/>
    </xf>
    <xf numFmtId="236" fontId="4" fillId="0" borderId="17" xfId="192" applyNumberFormat="1" applyFont="1" applyFill="1" applyBorder="1" applyAlignment="1">
      <alignment horizontal="center" vertical="center" wrapText="1"/>
      <protection locked="0"/>
    </xf>
    <xf numFmtId="49" fontId="4" fillId="0" borderId="17" xfId="192" applyNumberFormat="1" applyFont="1" applyFill="1" applyBorder="1" applyAlignment="1">
      <alignment horizontal="center" vertical="center"/>
      <protection locked="0"/>
    </xf>
    <xf numFmtId="0" fontId="4" fillId="0" borderId="17" xfId="192" applyFont="1" applyFill="1" applyBorder="1" applyAlignment="1">
      <alignment vertical="center"/>
      <protection locked="0"/>
    </xf>
    <xf numFmtId="235" fontId="4" fillId="0" borderId="17" xfId="192" applyNumberFormat="1" applyFont="1" applyFill="1" applyBorder="1" applyAlignment="1">
      <alignment horizontal="right" vertical="center" shrinkToFit="1"/>
      <protection locked="0"/>
    </xf>
    <xf numFmtId="0" fontId="147" fillId="0" borderId="0" xfId="564" applyFont="1">
      <protection locked="0"/>
    </xf>
    <xf numFmtId="43" fontId="147" fillId="0" borderId="0" xfId="3" applyNumberFormat="1" applyFont="1" applyBorder="1" applyAlignment="1">
      <alignment vertical="center"/>
    </xf>
    <xf numFmtId="202" fontId="147" fillId="0" borderId="0" xfId="246" applyFont="1" applyFill="1" applyAlignment="1">
      <alignment vertical="center"/>
    </xf>
    <xf numFmtId="0" fontId="161" fillId="0" borderId="0" xfId="162" applyFont="1" applyBorder="1" applyAlignment="1">
      <alignment vertical="center"/>
      <protection locked="0"/>
    </xf>
    <xf numFmtId="0" fontId="161" fillId="0" borderId="0" xfId="193" applyFont="1" applyAlignment="1">
      <alignment vertical="center"/>
      <protection locked="0"/>
    </xf>
    <xf numFmtId="0" fontId="161" fillId="0" borderId="0" xfId="187" applyFont="1" applyAlignment="1">
      <alignment vertical="center"/>
    </xf>
    <xf numFmtId="0" fontId="147" fillId="0" borderId="0" xfId="187" applyFont="1" applyAlignment="1">
      <alignment vertical="center"/>
    </xf>
    <xf numFmtId="0" fontId="162" fillId="0" borderId="0" xfId="0" applyFont="1">
      <alignment vertical="center"/>
    </xf>
    <xf numFmtId="0" fontId="161" fillId="0" borderId="0" xfId="162" applyFont="1" applyAlignment="1">
      <alignment vertical="center"/>
      <protection locked="0"/>
    </xf>
    <xf numFmtId="202" fontId="164" fillId="0" borderId="0" xfId="246" applyFont="1" applyFill="1" applyAlignment="1">
      <alignment vertical="center"/>
    </xf>
    <xf numFmtId="0" fontId="163" fillId="0" borderId="0" xfId="162" applyFont="1" applyBorder="1" applyAlignment="1">
      <alignment vertical="center"/>
      <protection locked="0"/>
    </xf>
    <xf numFmtId="0" fontId="163" fillId="0" borderId="0" xfId="193" applyFont="1" applyAlignment="1">
      <alignment vertical="center"/>
      <protection locked="0"/>
    </xf>
    <xf numFmtId="0" fontId="164" fillId="0" borderId="0" xfId="187" applyFont="1" applyAlignment="1">
      <alignment vertical="center"/>
    </xf>
    <xf numFmtId="0" fontId="165" fillId="0" borderId="0" xfId="0" applyFont="1">
      <alignment vertical="center"/>
    </xf>
    <xf numFmtId="0" fontId="164" fillId="0" borderId="0" xfId="564" applyFont="1">
      <protection locked="0"/>
    </xf>
    <xf numFmtId="0" fontId="163" fillId="0" borderId="0" xfId="162" applyFont="1" applyAlignment="1">
      <alignment vertical="center"/>
      <protection locked="0"/>
    </xf>
    <xf numFmtId="43" fontId="164" fillId="0" borderId="0" xfId="3" applyNumberFormat="1" applyFont="1" applyBorder="1" applyAlignment="1">
      <alignment vertical="center"/>
    </xf>
    <xf numFmtId="14" fontId="5" fillId="0" borderId="9" xfId="1" applyNumberFormat="1" applyFont="1" applyBorder="1" applyAlignment="1" applyProtection="1">
      <alignment horizontal="center" vertical="center" wrapText="1"/>
      <protection locked="0"/>
    </xf>
    <xf numFmtId="10" fontId="5" fillId="0" borderId="9" xfId="0" applyNumberFormat="1" applyFont="1" applyFill="1" applyBorder="1">
      <alignment vertical="center"/>
    </xf>
    <xf numFmtId="0" fontId="77" fillId="0" borderId="17" xfId="194" applyFont="1" applyBorder="1" applyAlignment="1">
      <alignment horizontal="left" vertical="center" wrapText="1"/>
      <protection locked="0"/>
    </xf>
    <xf numFmtId="43" fontId="5" fillId="67" borderId="17" xfId="194" applyNumberFormat="1" applyFont="1" applyFill="1" applyBorder="1" applyAlignment="1">
      <alignment horizontal="left" vertical="center" wrapText="1"/>
      <protection locked="0"/>
    </xf>
    <xf numFmtId="43" fontId="5" fillId="0" borderId="17" xfId="194" applyNumberFormat="1" applyFont="1" applyBorder="1" applyAlignment="1">
      <alignment horizontal="left" vertical="center" wrapText="1"/>
      <protection locked="0"/>
    </xf>
    <xf numFmtId="43" fontId="74" fillId="12" borderId="17" xfId="1" applyFont="1" applyFill="1" applyBorder="1" applyAlignment="1">
      <alignment horizontal="right" vertical="center"/>
    </xf>
    <xf numFmtId="0" fontId="65" fillId="12" borderId="17" xfId="194" applyFont="1" applyFill="1" applyBorder="1" applyAlignment="1">
      <alignment horizontal="center" vertical="center" wrapText="1"/>
      <protection locked="0"/>
    </xf>
    <xf numFmtId="43" fontId="63" fillId="12" borderId="17" xfId="1" applyFont="1" applyFill="1" applyBorder="1" applyAlignment="1">
      <alignment horizontal="right" vertical="center"/>
    </xf>
    <xf numFmtId="10" fontId="63" fillId="12" borderId="17" xfId="2" applyNumberFormat="1" applyFont="1" applyFill="1" applyBorder="1" applyAlignment="1">
      <alignment horizontal="right" vertical="center"/>
    </xf>
    <xf numFmtId="0" fontId="0" fillId="12" borderId="17" xfId="0" applyFill="1" applyBorder="1" applyAlignment="1" applyProtection="1">
      <protection locked="0"/>
    </xf>
    <xf numFmtId="202" fontId="80" fillId="0" borderId="0" xfId="191" applyFont="1" applyAlignment="1">
      <alignment horizontal="center" vertical="center"/>
      <protection locked="0"/>
    </xf>
    <xf numFmtId="43" fontId="81" fillId="0" borderId="0" xfId="191" applyNumberFormat="1" applyFont="1" applyAlignment="1">
      <alignment horizontal="center" vertical="center"/>
      <protection locked="0"/>
    </xf>
    <xf numFmtId="202" fontId="5" fillId="0" borderId="0" xfId="191" applyFont="1" applyAlignment="1">
      <alignment vertical="center" wrapText="1"/>
      <protection locked="0"/>
    </xf>
    <xf numFmtId="202" fontId="2" fillId="0" borderId="0" xfId="191" applyFont="1" applyAlignment="1">
      <alignment vertical="center"/>
      <protection locked="0"/>
    </xf>
    <xf numFmtId="0" fontId="9" fillId="0" borderId="17" xfId="194" applyFont="1" applyBorder="1" applyAlignment="1">
      <alignment horizontal="left" vertical="center" wrapText="1"/>
      <protection locked="0"/>
    </xf>
    <xf numFmtId="202" fontId="80" fillId="0" borderId="0" xfId="191" applyFont="1" applyAlignment="1">
      <alignment vertical="center"/>
      <protection locked="0"/>
    </xf>
    <xf numFmtId="202" fontId="5" fillId="0" borderId="0" xfId="191" applyFont="1" applyAlignment="1">
      <alignment vertical="center"/>
      <protection locked="0"/>
    </xf>
    <xf numFmtId="43" fontId="74" fillId="0" borderId="15" xfId="1" applyFont="1" applyFill="1" applyBorder="1" applyAlignment="1">
      <alignment horizontal="right" vertical="center"/>
    </xf>
    <xf numFmtId="43" fontId="5" fillId="0" borderId="15" xfId="194" applyNumberFormat="1" applyFont="1" applyFill="1" applyBorder="1" applyAlignment="1">
      <alignment vertical="center" wrapText="1"/>
      <protection locked="0"/>
    </xf>
    <xf numFmtId="10" fontId="5" fillId="0" borderId="17" xfId="1" applyNumberFormat="1" applyFont="1" applyFill="1" applyBorder="1" applyAlignment="1">
      <alignment horizontal="right" vertical="center"/>
    </xf>
    <xf numFmtId="10" fontId="74" fillId="0" borderId="17" xfId="1" applyNumberFormat="1" applyFont="1" applyFill="1" applyBorder="1" applyAlignment="1">
      <alignment horizontal="right" vertical="center"/>
    </xf>
    <xf numFmtId="14" fontId="5" fillId="0" borderId="17" xfId="0" applyNumberFormat="1" applyFont="1" applyBorder="1" applyAlignment="1" applyProtection="1">
      <alignment vertical="center"/>
      <protection locked="0"/>
    </xf>
    <xf numFmtId="0" fontId="5" fillId="0" borderId="17" xfId="0" applyFont="1" applyBorder="1" applyAlignment="1" applyProtection="1">
      <alignment vertical="center"/>
      <protection locked="0"/>
    </xf>
    <xf numFmtId="43" fontId="5" fillId="0" borderId="17" xfId="178" applyFont="1" applyBorder="1" applyAlignment="1" applyProtection="1">
      <alignment vertical="center"/>
      <protection locked="0"/>
    </xf>
    <xf numFmtId="0" fontId="5" fillId="0" borderId="0" xfId="0" applyFont="1" applyAlignment="1" applyProtection="1">
      <alignment vertical="center"/>
      <protection locked="0"/>
    </xf>
    <xf numFmtId="0" fontId="5" fillId="0" borderId="0" xfId="192" applyFont="1" applyAlignment="1">
      <alignment vertical="center"/>
      <protection locked="0"/>
    </xf>
    <xf numFmtId="0" fontId="4" fillId="11" borderId="17" xfId="0" applyFont="1" applyFill="1" applyBorder="1" applyAlignment="1" applyProtection="1">
      <alignment horizontal="center" vertical="center"/>
      <protection locked="0"/>
    </xf>
    <xf numFmtId="0" fontId="5" fillId="11" borderId="17" xfId="0" applyFont="1" applyFill="1" applyBorder="1" applyAlignment="1" applyProtection="1">
      <alignment vertical="center"/>
      <protection locked="0"/>
    </xf>
    <xf numFmtId="43" fontId="5" fillId="11" borderId="17" xfId="178" applyFont="1" applyFill="1" applyBorder="1" applyAlignment="1" applyProtection="1">
      <alignment vertical="center"/>
      <protection locked="0"/>
    </xf>
    <xf numFmtId="0" fontId="5" fillId="0" borderId="0" xfId="188" applyFont="1" applyBorder="1" applyAlignment="1">
      <alignment vertical="center"/>
    </xf>
    <xf numFmtId="0" fontId="73" fillId="0" borderId="0" xfId="166" applyFont="1" applyBorder="1" applyAlignment="1" applyProtection="1">
      <alignment vertical="center"/>
      <protection locked="0"/>
    </xf>
    <xf numFmtId="0" fontId="2" fillId="0" borderId="0" xfId="162" applyFont="1" applyAlignment="1">
      <alignment vertical="center"/>
      <protection locked="0"/>
    </xf>
    <xf numFmtId="0" fontId="20" fillId="0" borderId="0" xfId="162" applyFont="1" applyAlignment="1">
      <alignment vertical="center"/>
      <protection locked="0"/>
    </xf>
    <xf numFmtId="0" fontId="9" fillId="0" borderId="0" xfId="162" applyFont="1" applyAlignment="1">
      <alignment vertical="center"/>
      <protection locked="0"/>
    </xf>
    <xf numFmtId="0" fontId="20" fillId="0" borderId="0" xfId="162" applyFont="1" applyBorder="1" applyAlignment="1">
      <alignment horizontal="justify" wrapText="1"/>
      <protection locked="0"/>
    </xf>
    <xf numFmtId="0" fontId="9" fillId="0" borderId="0" xfId="162" applyFont="1" applyBorder="1" applyAlignment="1">
      <alignment horizontal="justify" vertical="top" wrapText="1"/>
      <protection locked="0"/>
    </xf>
    <xf numFmtId="0" fontId="20" fillId="0" borderId="0" xfId="162" applyFont="1" applyBorder="1">
      <protection locked="0"/>
    </xf>
    <xf numFmtId="0" fontId="166" fillId="0" borderId="5" xfId="4" applyFont="1" applyBorder="1" applyAlignment="1">
      <protection locked="0"/>
    </xf>
    <xf numFmtId="0" fontId="11" fillId="0" borderId="0" xfId="162" applyFont="1" applyBorder="1" applyAlignment="1">
      <alignment horizontal="justify" wrapText="1"/>
      <protection locked="0"/>
    </xf>
    <xf numFmtId="0" fontId="166" fillId="0" borderId="5" xfId="4" quotePrefix="1" applyFont="1" applyBorder="1" applyAlignment="1">
      <protection locked="0"/>
    </xf>
    <xf numFmtId="0" fontId="167" fillId="0" borderId="0" xfId="162" applyFont="1" applyAlignment="1">
      <alignment horizontal="center"/>
      <protection locked="0"/>
    </xf>
    <xf numFmtId="0" fontId="20" fillId="0" borderId="0" xfId="162" applyFont="1" applyBorder="1" applyAlignment="1">
      <alignment horizontal="center"/>
      <protection locked="0"/>
    </xf>
    <xf numFmtId="0" fontId="168" fillId="0" borderId="0" xfId="189" quotePrefix="1" applyFont="1" applyBorder="1" applyAlignment="1">
      <protection locked="0"/>
    </xf>
    <xf numFmtId="49" fontId="2" fillId="0" borderId="0" xfId="591" applyNumberFormat="1" applyFont="1" applyFill="1" applyAlignment="1" applyProtection="1">
      <alignment horizontal="left" vertical="center"/>
      <protection locked="0"/>
    </xf>
    <xf numFmtId="0" fontId="63" fillId="0" borderId="0" xfId="240" applyFont="1" applyAlignment="1">
      <alignment vertical="center"/>
    </xf>
    <xf numFmtId="0" fontId="5" fillId="0" borderId="0" xfId="240" applyFont="1" applyAlignment="1">
      <alignment horizontal="left" vertical="center"/>
    </xf>
    <xf numFmtId="0" fontId="4" fillId="0" borderId="0" xfId="240" applyFont="1" applyAlignment="1">
      <alignment horizontal="left" vertical="center"/>
    </xf>
    <xf numFmtId="0" fontId="2" fillId="67" borderId="17" xfId="231" applyFont="1" applyFill="1" applyBorder="1" applyAlignment="1" applyProtection="1">
      <alignment horizontal="center" vertical="center"/>
    </xf>
    <xf numFmtId="0" fontId="5" fillId="67" borderId="17" xfId="231" applyFont="1" applyFill="1" applyBorder="1" applyAlignment="1" applyProtection="1">
      <alignment vertical="center" shrinkToFit="1"/>
    </xf>
    <xf numFmtId="43" fontId="5" fillId="67" borderId="17" xfId="1" applyFont="1" applyFill="1" applyBorder="1" applyAlignment="1" applyProtection="1">
      <alignment vertical="center" shrinkToFit="1"/>
    </xf>
    <xf numFmtId="43" fontId="5" fillId="67" borderId="17" xfId="1" applyFont="1" applyFill="1" applyBorder="1" applyAlignment="1" applyProtection="1">
      <alignment vertical="center" shrinkToFit="1"/>
      <protection locked="0"/>
    </xf>
    <xf numFmtId="10" fontId="5" fillId="67" borderId="17" xfId="695" applyNumberFormat="1" applyFont="1" applyFill="1" applyBorder="1" applyAlignment="1" applyProtection="1">
      <alignment vertical="center" shrinkToFit="1"/>
    </xf>
    <xf numFmtId="0" fontId="5" fillId="0" borderId="0" xfId="564" applyFont="1">
      <protection locked="0"/>
    </xf>
    <xf numFmtId="0" fontId="5" fillId="0" borderId="17" xfId="231" applyFont="1" applyFill="1" applyBorder="1" applyAlignment="1" applyProtection="1">
      <alignment vertical="center" shrinkToFit="1"/>
      <protection locked="0"/>
    </xf>
    <xf numFmtId="43" fontId="5" fillId="0" borderId="17" xfId="1" applyFont="1" applyFill="1" applyBorder="1" applyAlignment="1" applyProtection="1">
      <alignment vertical="center" shrinkToFit="1"/>
      <protection locked="0"/>
    </xf>
    <xf numFmtId="0" fontId="5" fillId="0" borderId="17" xfId="231" applyFont="1" applyFill="1" applyBorder="1" applyAlignment="1" applyProtection="1">
      <alignment horizontal="left" vertical="center" shrinkToFit="1"/>
      <protection locked="0"/>
    </xf>
    <xf numFmtId="0" fontId="5" fillId="0" borderId="17" xfId="231" applyFont="1" applyFill="1" applyBorder="1" applyAlignment="1" applyProtection="1">
      <alignment horizontal="left" vertical="center" indent="4" shrinkToFit="1"/>
      <protection locked="0"/>
    </xf>
    <xf numFmtId="43" fontId="5" fillId="0" borderId="17" xfId="1" applyFont="1" applyFill="1" applyBorder="1" applyAlignment="1" applyProtection="1">
      <alignment vertical="center" shrinkToFit="1"/>
    </xf>
    <xf numFmtId="0" fontId="4" fillId="67" borderId="17" xfId="231" applyFont="1" applyFill="1" applyBorder="1" applyAlignment="1" applyProtection="1">
      <alignment horizontal="center" vertical="center" shrinkToFit="1"/>
    </xf>
    <xf numFmtId="43" fontId="4" fillId="67" borderId="17" xfId="1" applyFont="1" applyFill="1" applyBorder="1" applyAlignment="1" applyProtection="1">
      <alignment vertical="center" shrinkToFit="1"/>
    </xf>
    <xf numFmtId="0" fontId="4" fillId="0" borderId="12" xfId="240" applyFont="1" applyBorder="1" applyAlignment="1" applyProtection="1">
      <alignment vertical="center"/>
      <protection locked="0"/>
    </xf>
    <xf numFmtId="0" fontId="1" fillId="0" borderId="0" xfId="564" applyFont="1">
      <protection locked="0"/>
    </xf>
    <xf numFmtId="0" fontId="57" fillId="0" borderId="0" xfId="240" applyFont="1" applyAlignment="1" applyProtection="1">
      <alignment horizontal="right" vertical="center"/>
      <protection locked="0"/>
    </xf>
    <xf numFmtId="0" fontId="5" fillId="0" borderId="0" xfId="240" applyFont="1" applyAlignment="1" applyProtection="1">
      <alignment vertical="center"/>
      <protection locked="0"/>
    </xf>
    <xf numFmtId="0" fontId="4" fillId="0" borderId="0" xfId="240" applyFont="1" applyAlignment="1" applyProtection="1">
      <alignment vertical="center"/>
      <protection locked="0"/>
    </xf>
    <xf numFmtId="0" fontId="9" fillId="0" borderId="17" xfId="192" applyFont="1" applyFill="1" applyBorder="1" applyAlignment="1">
      <alignment horizontal="left" vertical="center" wrapText="1"/>
      <protection locked="0"/>
    </xf>
    <xf numFmtId="0" fontId="61" fillId="0" borderId="14" xfId="0" applyFont="1" applyFill="1" applyBorder="1" applyAlignment="1" applyProtection="1">
      <alignment horizontal="center" vertical="center" wrapText="1"/>
    </xf>
    <xf numFmtId="0" fontId="61" fillId="0" borderId="15" xfId="0" applyFont="1" applyFill="1" applyBorder="1" applyAlignment="1" applyProtection="1">
      <alignment horizontal="center" vertical="center" wrapText="1"/>
    </xf>
    <xf numFmtId="0" fontId="61" fillId="0" borderId="16" xfId="0" applyFont="1" applyFill="1" applyBorder="1" applyAlignment="1" applyProtection="1">
      <alignment horizontal="center" vertical="center" wrapText="1"/>
    </xf>
    <xf numFmtId="0" fontId="5" fillId="0" borderId="14" xfId="0" applyFont="1" applyFill="1" applyBorder="1" applyAlignment="1" applyProtection="1">
      <alignment horizontal="center" vertical="center" wrapText="1"/>
    </xf>
    <xf numFmtId="0" fontId="5" fillId="0" borderId="16" xfId="0" applyFont="1" applyFill="1" applyBorder="1" applyAlignment="1" applyProtection="1">
      <alignment horizontal="center" vertical="center" wrapText="1"/>
    </xf>
    <xf numFmtId="0" fontId="5" fillId="0" borderId="14" xfId="249" applyFont="1" applyFill="1" applyBorder="1" applyAlignment="1" applyProtection="1">
      <alignment horizontal="center" vertical="center" wrapText="1"/>
    </xf>
    <xf numFmtId="0" fontId="5" fillId="0" borderId="16" xfId="249" applyFont="1" applyFill="1" applyBorder="1" applyAlignment="1" applyProtection="1">
      <alignment horizontal="center" vertical="center" wrapText="1"/>
    </xf>
    <xf numFmtId="202" fontId="20" fillId="0" borderId="17" xfId="247" applyFont="1" applyFill="1" applyBorder="1" applyAlignment="1">
      <alignment horizontal="center" vertical="center" wrapText="1"/>
      <protection locked="0"/>
    </xf>
    <xf numFmtId="0" fontId="63" fillId="0" borderId="0" xfId="0" applyFont="1" applyFill="1" applyAlignment="1" applyProtection="1">
      <alignment horizontal="left" vertical="center" wrapText="1"/>
    </xf>
    <xf numFmtId="0" fontId="2" fillId="0" borderId="0" xfId="188" applyFont="1" applyAlignment="1">
      <alignment horizontal="left" vertical="center" wrapText="1"/>
    </xf>
    <xf numFmtId="43" fontId="160" fillId="0" borderId="0" xfId="3" applyNumberFormat="1" applyFont="1" applyBorder="1" applyAlignment="1">
      <alignment vertical="center"/>
    </xf>
    <xf numFmtId="43" fontId="160" fillId="0" borderId="0" xfId="3" applyNumberFormat="1" applyFont="1" applyBorder="1" applyAlignment="1">
      <alignment horizontal="left" vertical="center"/>
    </xf>
    <xf numFmtId="0" fontId="160" fillId="0" borderId="0" xfId="162" applyFont="1" applyBorder="1" applyAlignment="1">
      <alignment horizontal="left" vertical="center"/>
      <protection locked="0"/>
    </xf>
    <xf numFmtId="0" fontId="160" fillId="0" borderId="0" xfId="162" applyFont="1" applyAlignment="1">
      <alignment vertical="center"/>
      <protection locked="0"/>
    </xf>
    <xf numFmtId="0" fontId="160" fillId="0" borderId="0" xfId="162" applyFont="1" applyBorder="1" applyAlignment="1">
      <alignment horizontal="right" vertical="center"/>
      <protection locked="0"/>
    </xf>
    <xf numFmtId="202" fontId="20" fillId="0" borderId="0" xfId="248" applyFont="1" applyFill="1" applyBorder="1" applyAlignment="1">
      <alignment vertical="center"/>
    </xf>
    <xf numFmtId="202" fontId="20" fillId="0" borderId="33" xfId="247" applyFont="1" applyFill="1" applyBorder="1" applyAlignment="1">
      <alignment horizontal="center" vertical="center" wrapText="1"/>
      <protection locked="0"/>
    </xf>
    <xf numFmtId="0" fontId="2" fillId="11" borderId="17" xfId="591" applyFont="1" applyFill="1" applyBorder="1" applyAlignment="1" applyProtection="1">
      <alignment horizontal="center" vertical="center" wrapText="1"/>
      <protection locked="0"/>
    </xf>
    <xf numFmtId="0" fontId="5" fillId="0" borderId="17" xfId="591" applyFont="1" applyFill="1" applyBorder="1" applyAlignment="1">
      <alignment horizontal="center" vertical="center" wrapText="1"/>
    </xf>
    <xf numFmtId="0" fontId="74" fillId="0" borderId="0" xfId="0" applyFont="1" applyFill="1" applyAlignment="1" applyProtection="1">
      <alignment horizontal="left" vertical="center"/>
    </xf>
    <xf numFmtId="0" fontId="9" fillId="0" borderId="0" xfId="162" applyFont="1" applyBorder="1" applyAlignment="1">
      <alignment vertical="center"/>
      <protection locked="0"/>
    </xf>
    <xf numFmtId="44" fontId="160" fillId="0" borderId="0" xfId="3" applyNumberFormat="1" applyFont="1" applyBorder="1" applyAlignment="1">
      <alignment horizontal="left" vertical="center"/>
    </xf>
    <xf numFmtId="44" fontId="160" fillId="0" borderId="0" xfId="162" applyNumberFormat="1" applyFont="1" applyAlignment="1">
      <alignment horizontal="left" vertical="center"/>
      <protection locked="0"/>
    </xf>
    <xf numFmtId="44" fontId="170" fillId="0" borderId="0" xfId="0" applyNumberFormat="1" applyFont="1" applyAlignment="1">
      <alignment horizontal="left" vertical="center"/>
    </xf>
    <xf numFmtId="44" fontId="160" fillId="0" borderId="0" xfId="247" applyNumberFormat="1" applyFont="1" applyFill="1" applyBorder="1" applyAlignment="1">
      <alignment horizontal="left" vertical="center"/>
      <protection locked="0"/>
    </xf>
    <xf numFmtId="44" fontId="160" fillId="0" borderId="0" xfId="247" applyNumberFormat="1" applyFont="1" applyFill="1" applyAlignment="1">
      <alignment horizontal="left" vertical="center"/>
      <protection locked="0"/>
    </xf>
    <xf numFmtId="44" fontId="5" fillId="0" borderId="0" xfId="3" applyNumberFormat="1" applyFont="1" applyBorder="1" applyAlignment="1">
      <alignment horizontal="left" vertical="center"/>
    </xf>
    <xf numFmtId="44" fontId="160" fillId="0" borderId="0" xfId="3" applyNumberFormat="1" applyFont="1" applyBorder="1" applyAlignment="1">
      <alignment vertical="center"/>
    </xf>
    <xf numFmtId="44" fontId="160" fillId="0" borderId="0" xfId="162" applyNumberFormat="1" applyFont="1" applyAlignment="1">
      <alignment vertical="center"/>
      <protection locked="0"/>
    </xf>
    <xf numFmtId="44" fontId="171" fillId="0" borderId="0" xfId="4" applyNumberFormat="1" applyFont="1" applyAlignment="1">
      <alignment vertical="center"/>
      <protection locked="0"/>
    </xf>
    <xf numFmtId="44" fontId="160" fillId="0" borderId="0" xfId="162" applyNumberFormat="1" applyFont="1" applyBorder="1" applyAlignment="1">
      <alignment vertical="center"/>
      <protection locked="0"/>
    </xf>
    <xf numFmtId="44" fontId="160" fillId="0" borderId="0" xfId="162" applyNumberFormat="1" applyFont="1" applyBorder="1" applyAlignment="1">
      <alignment horizontal="left" vertical="center"/>
      <protection locked="0"/>
    </xf>
    <xf numFmtId="44" fontId="160" fillId="0" borderId="0" xfId="694" applyNumberFormat="1" applyFont="1">
      <protection locked="0"/>
    </xf>
    <xf numFmtId="44" fontId="160" fillId="0" borderId="0" xfId="564" applyNumberFormat="1" applyFont="1" applyAlignment="1">
      <alignment vertical="center"/>
      <protection locked="0"/>
    </xf>
    <xf numFmtId="44" fontId="170" fillId="0" borderId="0" xfId="0" applyNumberFormat="1" applyFont="1">
      <alignment vertical="center"/>
    </xf>
    <xf numFmtId="0" fontId="74" fillId="0" borderId="17" xfId="1" applyNumberFormat="1" applyFont="1" applyFill="1" applyBorder="1" applyAlignment="1">
      <alignment horizontal="right" vertical="center"/>
    </xf>
    <xf numFmtId="44" fontId="160" fillId="0" borderId="0" xfId="193" applyNumberFormat="1" applyFont="1" applyAlignment="1">
      <alignment horizontal="left" vertical="center"/>
      <protection locked="0"/>
    </xf>
    <xf numFmtId="0" fontId="82" fillId="0" borderId="0" xfId="569" applyFont="1" applyFill="1" applyBorder="1" applyAlignment="1" applyProtection="1">
      <alignment horizontal="left" vertical="center"/>
      <protection locked="0"/>
    </xf>
    <xf numFmtId="49" fontId="5" fillId="0" borderId="17" xfId="0" applyNumberFormat="1" applyFont="1" applyBorder="1" applyAlignment="1" applyProtection="1">
      <alignment vertical="center"/>
      <protection locked="0"/>
    </xf>
    <xf numFmtId="0" fontId="5" fillId="0" borderId="17" xfId="569" applyFont="1" applyBorder="1" applyAlignment="1" applyProtection="1">
      <alignment horizontal="center" vertical="center"/>
      <protection locked="0"/>
    </xf>
    <xf numFmtId="49" fontId="5" fillId="0" borderId="17" xfId="178" applyNumberFormat="1" applyFont="1" applyBorder="1" applyAlignment="1" applyProtection="1">
      <alignment vertical="center"/>
      <protection locked="0"/>
    </xf>
    <xf numFmtId="49" fontId="5" fillId="0" borderId="17" xfId="192" applyNumberFormat="1" applyFont="1" applyFill="1" applyBorder="1" applyAlignment="1">
      <alignment horizontal="right" vertical="center" shrinkToFit="1"/>
      <protection locked="0"/>
    </xf>
    <xf numFmtId="49" fontId="4" fillId="0" borderId="17" xfId="192" applyNumberFormat="1" applyFont="1" applyFill="1" applyBorder="1" applyAlignment="1">
      <alignment horizontal="right" vertical="center" shrinkToFit="1"/>
      <protection locked="0"/>
    </xf>
    <xf numFmtId="202" fontId="2" fillId="11" borderId="17" xfId="699" applyFont="1" applyFill="1" applyBorder="1" applyAlignment="1">
      <alignment vertical="center"/>
      <protection locked="0"/>
    </xf>
    <xf numFmtId="43" fontId="4" fillId="11" borderId="17" xfId="693" applyFont="1" applyFill="1" applyBorder="1" applyAlignment="1" applyProtection="1">
      <alignment vertical="center"/>
      <protection locked="0"/>
    </xf>
    <xf numFmtId="0" fontId="5" fillId="0" borderId="17" xfId="192" applyFont="1" applyBorder="1" applyAlignment="1">
      <alignment vertical="center"/>
      <protection locked="0"/>
    </xf>
    <xf numFmtId="44" fontId="160" fillId="0" borderId="0" xfId="193" applyNumberFormat="1" applyFont="1" applyBorder="1" applyAlignment="1">
      <alignment horizontal="left" vertical="center"/>
      <protection locked="0"/>
    </xf>
    <xf numFmtId="44" fontId="160" fillId="0" borderId="0" xfId="193" applyNumberFormat="1" applyFont="1" applyAlignment="1">
      <alignment vertical="center"/>
      <protection locked="0"/>
    </xf>
    <xf numFmtId="44" fontId="160" fillId="0" borderId="0" xfId="193" applyNumberFormat="1" applyFont="1" applyBorder="1" applyAlignment="1">
      <alignment horizontal="justify" vertical="center" wrapText="1"/>
      <protection locked="0"/>
    </xf>
    <xf numFmtId="0" fontId="2" fillId="0" borderId="0" xfId="188" applyFont="1" applyBorder="1" applyAlignment="1">
      <alignment vertical="center"/>
    </xf>
    <xf numFmtId="202" fontId="9" fillId="0" borderId="17" xfId="191" applyFont="1" applyBorder="1" applyAlignment="1" applyProtection="1">
      <alignment vertical="center"/>
    </xf>
    <xf numFmtId="0" fontId="5" fillId="0" borderId="16" xfId="0" applyFont="1" applyFill="1" applyBorder="1" applyAlignment="1" applyProtection="1">
      <alignment horizontal="center" vertical="center" wrapText="1"/>
    </xf>
    <xf numFmtId="202" fontId="2" fillId="12" borderId="17" xfId="574" applyFont="1" applyFill="1" applyBorder="1" applyAlignment="1">
      <alignment horizontal="center" vertical="center" wrapText="1"/>
      <protection locked="0"/>
    </xf>
    <xf numFmtId="202" fontId="20" fillId="0" borderId="17" xfId="247" applyFont="1" applyFill="1" applyBorder="1" applyAlignment="1">
      <alignment vertical="center" wrapText="1"/>
      <protection locked="0"/>
    </xf>
    <xf numFmtId="0" fontId="65" fillId="0" borderId="17" xfId="595" applyFont="1" applyFill="1" applyBorder="1" applyAlignment="1">
      <alignment horizontal="center" vertical="center" wrapText="1"/>
    </xf>
    <xf numFmtId="0" fontId="62" fillId="0" borderId="17" xfId="595" applyFont="1" applyFill="1" applyBorder="1" applyAlignment="1">
      <alignment horizontal="center" vertical="center" wrapText="1"/>
    </xf>
    <xf numFmtId="0" fontId="82" fillId="0" borderId="17" xfId="591" applyFont="1" applyFill="1" applyBorder="1" applyAlignment="1">
      <alignment horizontal="center" vertical="center" wrapText="1"/>
    </xf>
    <xf numFmtId="0" fontId="62" fillId="0" borderId="17" xfId="595" applyFont="1" applyFill="1" applyBorder="1" applyAlignment="1">
      <alignment vertical="center" wrapText="1"/>
    </xf>
    <xf numFmtId="0" fontId="62" fillId="0" borderId="17" xfId="249" applyFont="1" applyFill="1" applyBorder="1" applyAlignment="1" applyProtection="1">
      <alignment horizontal="center" vertical="center" wrapText="1"/>
    </xf>
    <xf numFmtId="0" fontId="61" fillId="0" borderId="17" xfId="595" applyFont="1" applyFill="1" applyBorder="1" applyAlignment="1">
      <alignment horizontal="center" vertical="center" wrapText="1"/>
    </xf>
    <xf numFmtId="0" fontId="2" fillId="0" borderId="17" xfId="192" applyFont="1" applyBorder="1" applyAlignment="1">
      <alignment horizontal="center" vertical="center" wrapText="1"/>
      <protection locked="0"/>
    </xf>
    <xf numFmtId="0" fontId="20" fillId="0" borderId="5" xfId="162" applyFont="1" applyBorder="1" applyAlignment="1">
      <alignment horizontal="center"/>
      <protection locked="0"/>
    </xf>
    <xf numFmtId="0" fontId="65" fillId="11" borderId="17" xfId="194" applyFont="1" applyFill="1" applyBorder="1" applyAlignment="1">
      <alignment horizontal="center" vertical="center" wrapText="1"/>
      <protection locked="0"/>
    </xf>
    <xf numFmtId="43" fontId="63" fillId="11" borderId="17" xfId="1" applyFont="1" applyFill="1" applyBorder="1" applyAlignment="1">
      <alignment horizontal="right" vertical="center"/>
    </xf>
    <xf numFmtId="43" fontId="5" fillId="11" borderId="17" xfId="194" applyNumberFormat="1" applyFont="1" applyFill="1" applyBorder="1" applyAlignment="1">
      <alignment horizontal="left" vertical="center" wrapText="1"/>
      <protection locked="0"/>
    </xf>
    <xf numFmtId="43" fontId="74" fillId="0" borderId="17" xfId="1" applyFont="1" applyFill="1" applyBorder="1" applyAlignment="1">
      <alignment horizontal="center" vertical="center"/>
    </xf>
    <xf numFmtId="202" fontId="4" fillId="0" borderId="0" xfId="698" applyFont="1" applyFill="1" applyBorder="1" applyAlignment="1">
      <alignment vertical="center"/>
    </xf>
    <xf numFmtId="0" fontId="15" fillId="0" borderId="0" xfId="194" applyFont="1" applyBorder="1" applyAlignment="1">
      <alignment horizontal="center" vertical="center" wrapText="1"/>
      <protection locked="0"/>
    </xf>
    <xf numFmtId="0" fontId="65" fillId="0" borderId="17" xfId="194" applyFont="1" applyFill="1" applyBorder="1" applyAlignment="1">
      <alignment horizontal="left" vertical="center"/>
      <protection locked="0"/>
    </xf>
    <xf numFmtId="43" fontId="5" fillId="0" borderId="17" xfId="194" applyNumberFormat="1" applyFont="1" applyFill="1" applyBorder="1" applyAlignment="1">
      <alignment vertical="center" wrapText="1"/>
      <protection locked="0"/>
    </xf>
    <xf numFmtId="202" fontId="5" fillId="0" borderId="17" xfId="191" applyFont="1" applyBorder="1" applyAlignment="1">
      <alignment vertical="center"/>
      <protection locked="0"/>
    </xf>
    <xf numFmtId="202" fontId="80" fillId="0" borderId="17" xfId="191" applyFont="1" applyBorder="1" applyAlignment="1">
      <alignment horizontal="center" vertical="center"/>
      <protection locked="0"/>
    </xf>
    <xf numFmtId="43" fontId="81" fillId="0" borderId="17" xfId="191" applyNumberFormat="1" applyFont="1" applyBorder="1" applyAlignment="1">
      <alignment horizontal="center" vertical="center"/>
      <protection locked="0"/>
    </xf>
    <xf numFmtId="202" fontId="5" fillId="0" borderId="17" xfId="191" applyFont="1" applyBorder="1" applyAlignment="1">
      <alignment vertical="center" wrapText="1"/>
      <protection locked="0"/>
    </xf>
    <xf numFmtId="0" fontId="65" fillId="0" borderId="15" xfId="194" applyFont="1" applyFill="1" applyBorder="1" applyAlignment="1">
      <alignment horizontal="left" vertical="center"/>
      <protection locked="0"/>
    </xf>
    <xf numFmtId="202" fontId="5" fillId="0" borderId="15" xfId="191" applyFont="1" applyBorder="1" applyAlignment="1">
      <alignment vertical="center"/>
      <protection locked="0"/>
    </xf>
    <xf numFmtId="0" fontId="0" fillId="0" borderId="15" xfId="0" applyBorder="1" applyAlignment="1" applyProtection="1">
      <protection locked="0"/>
    </xf>
    <xf numFmtId="44" fontId="18" fillId="0" borderId="0" xfId="4" applyNumberFormat="1" applyFont="1" applyFill="1" applyAlignment="1">
      <alignment horizontal="left" vertical="center"/>
      <protection locked="0"/>
    </xf>
    <xf numFmtId="43" fontId="157" fillId="67" borderId="17" xfId="1" applyNumberFormat="1" applyFont="1" applyFill="1" applyBorder="1" applyAlignment="1" applyProtection="1">
      <alignment horizontal="center" vertical="center"/>
    </xf>
    <xf numFmtId="43" fontId="63" fillId="67" borderId="17" xfId="1" applyNumberFormat="1" applyFont="1" applyFill="1" applyBorder="1" applyAlignment="1" applyProtection="1">
      <alignment horizontal="right" vertical="center"/>
    </xf>
    <xf numFmtId="0" fontId="5" fillId="67" borderId="9" xfId="0" applyFont="1" applyFill="1" applyBorder="1">
      <alignment vertical="center"/>
    </xf>
    <xf numFmtId="14" fontId="5" fillId="67" borderId="9" xfId="0" applyNumberFormat="1" applyFont="1" applyFill="1" applyBorder="1">
      <alignment vertical="center"/>
    </xf>
    <xf numFmtId="0" fontId="71" fillId="67" borderId="0" xfId="0" applyFont="1" applyFill="1">
      <alignment vertical="center"/>
    </xf>
    <xf numFmtId="217" fontId="2" fillId="67" borderId="17" xfId="191" applyNumberFormat="1" applyFont="1" applyFill="1" applyBorder="1" applyAlignment="1" applyProtection="1">
      <alignment horizontal="center" vertical="center"/>
    </xf>
    <xf numFmtId="217" fontId="4" fillId="67" borderId="17" xfId="191" applyNumberFormat="1" applyFont="1" applyFill="1" applyBorder="1" applyAlignment="1" applyProtection="1">
      <alignment horizontal="centerContinuous" vertical="center"/>
    </xf>
    <xf numFmtId="217" fontId="2" fillId="67" borderId="17" xfId="191" applyNumberFormat="1" applyFont="1" applyFill="1" applyBorder="1" applyAlignment="1" applyProtection="1">
      <alignment horizontal="center" vertical="center" wrapText="1"/>
    </xf>
    <xf numFmtId="0" fontId="8" fillId="67" borderId="0" xfId="0" applyFont="1" applyFill="1" applyAlignment="1" applyProtection="1">
      <alignment vertical="center"/>
      <protection locked="0"/>
    </xf>
    <xf numFmtId="43" fontId="4" fillId="67" borderId="17" xfId="1" applyFont="1" applyFill="1" applyBorder="1" applyAlignment="1" applyProtection="1">
      <alignment horizontal="center" vertical="center"/>
    </xf>
    <xf numFmtId="43" fontId="5" fillId="0" borderId="17" xfId="1" applyFont="1" applyFill="1" applyBorder="1" applyAlignment="1" applyProtection="1">
      <alignment vertical="center"/>
    </xf>
    <xf numFmtId="0" fontId="9" fillId="67" borderId="0" xfId="0" applyFont="1" applyFill="1" applyAlignment="1" applyProtection="1">
      <protection locked="0"/>
    </xf>
    <xf numFmtId="0" fontId="2" fillId="67" borderId="17" xfId="564" applyFont="1" applyFill="1" applyBorder="1" applyAlignment="1">
      <alignment horizontal="center" vertical="center"/>
      <protection locked="0"/>
    </xf>
    <xf numFmtId="0" fontId="2" fillId="67" borderId="17" xfId="564" applyFont="1" applyFill="1" applyBorder="1" applyAlignment="1">
      <alignment horizontal="center" vertical="center" wrapText="1"/>
      <protection locked="0"/>
    </xf>
    <xf numFmtId="0" fontId="4" fillId="67" borderId="17" xfId="569" applyNumberFormat="1" applyFont="1" applyFill="1" applyBorder="1" applyAlignment="1" applyProtection="1">
      <alignment horizontal="center" vertical="center"/>
      <protection locked="0"/>
    </xf>
    <xf numFmtId="0" fontId="9" fillId="67" borderId="0" xfId="0" applyFont="1" applyFill="1" applyAlignment="1" applyProtection="1">
      <alignment horizontal="center"/>
      <protection locked="0"/>
    </xf>
    <xf numFmtId="0" fontId="1" fillId="67" borderId="0" xfId="192" applyFill="1">
      <protection locked="0"/>
    </xf>
    <xf numFmtId="0" fontId="5" fillId="10" borderId="0" xfId="0" applyFont="1" applyFill="1" applyBorder="1" applyAlignment="1" applyProtection="1">
      <alignment horizontal="justify" vertical="center" wrapText="1"/>
      <protection locked="0"/>
    </xf>
    <xf numFmtId="0" fontId="172" fillId="0" borderId="0" xfId="0" applyFont="1" applyAlignment="1" applyProtection="1">
      <alignment horizontal="center" vertical="center"/>
      <protection locked="0"/>
    </xf>
    <xf numFmtId="0" fontId="173" fillId="0" borderId="0" xfId="193" applyFont="1" applyAlignment="1">
      <alignment vertical="center"/>
      <protection locked="0"/>
    </xf>
    <xf numFmtId="0" fontId="159" fillId="0" borderId="0" xfId="193" applyFont="1" applyAlignment="1">
      <alignment vertical="center"/>
      <protection locked="0"/>
    </xf>
    <xf numFmtId="0" fontId="159" fillId="0" borderId="0" xfId="193" applyFont="1" applyAlignment="1">
      <alignment horizontal="left" vertical="center" indent="1"/>
      <protection locked="0"/>
    </xf>
    <xf numFmtId="14" fontId="2" fillId="67" borderId="17" xfId="699" applyNumberFormat="1" applyFont="1" applyFill="1" applyBorder="1" applyAlignment="1">
      <alignment vertical="center"/>
      <protection locked="0"/>
    </xf>
    <xf numFmtId="0" fontId="1" fillId="0" borderId="0" xfId="192" applyFill="1" applyBorder="1">
      <protection locked="0"/>
    </xf>
    <xf numFmtId="0" fontId="1" fillId="0" borderId="0" xfId="192" applyBorder="1">
      <protection locked="0"/>
    </xf>
    <xf numFmtId="0" fontId="4" fillId="11" borderId="17" xfId="0" applyFont="1" applyFill="1" applyBorder="1" applyAlignment="1" applyProtection="1">
      <alignment vertical="center"/>
      <protection locked="0"/>
    </xf>
    <xf numFmtId="43" fontId="4" fillId="11" borderId="17" xfId="178" applyFont="1" applyFill="1" applyBorder="1" applyAlignment="1" applyProtection="1">
      <alignment vertical="center"/>
      <protection locked="0"/>
    </xf>
    <xf numFmtId="0" fontId="2" fillId="0" borderId="0" xfId="0" applyFont="1" applyAlignment="1" applyProtection="1">
      <protection locked="0"/>
    </xf>
    <xf numFmtId="0" fontId="4" fillId="0" borderId="0" xfId="0" applyFont="1" applyAlignment="1" applyProtection="1">
      <alignment vertical="center"/>
      <protection locked="0"/>
    </xf>
    <xf numFmtId="10" fontId="4" fillId="11" borderId="17" xfId="2" applyNumberFormat="1" applyFont="1" applyFill="1" applyBorder="1" applyAlignment="1" applyProtection="1">
      <alignment vertical="center"/>
      <protection locked="0"/>
    </xf>
    <xf numFmtId="44" fontId="5" fillId="0" borderId="0" xfId="162" applyNumberFormat="1" applyFont="1" applyBorder="1" applyAlignment="1">
      <alignment horizontal="left" vertical="center"/>
      <protection locked="0"/>
    </xf>
    <xf numFmtId="43" fontId="2" fillId="0" borderId="12" xfId="3" applyNumberFormat="1" applyFont="1" applyBorder="1" applyAlignment="1">
      <alignment horizontal="left" vertical="center"/>
    </xf>
    <xf numFmtId="0" fontId="7" fillId="0" borderId="0" xfId="0" applyFont="1" applyAlignment="1" applyProtection="1">
      <alignment horizontal="left" vertical="center" wrapText="1"/>
      <protection locked="0"/>
    </xf>
    <xf numFmtId="0" fontId="8" fillId="0" borderId="0" xfId="0" applyFont="1" applyAlignment="1" applyProtection="1">
      <alignment horizontal="left" vertical="center" wrapText="1"/>
      <protection locked="0"/>
    </xf>
    <xf numFmtId="202" fontId="9" fillId="0" borderId="0" xfId="247" applyFont="1" applyFill="1" applyBorder="1" applyAlignment="1">
      <alignment horizontal="left" vertical="center" wrapText="1"/>
      <protection locked="0"/>
    </xf>
    <xf numFmtId="202" fontId="20" fillId="0" borderId="0" xfId="247" applyFont="1" applyFill="1" applyBorder="1" applyAlignment="1">
      <alignment horizontal="left" vertical="center" wrapText="1"/>
      <protection locked="0"/>
    </xf>
    <xf numFmtId="0" fontId="36" fillId="11" borderId="17" xfId="591" applyFont="1" applyFill="1" applyBorder="1" applyAlignment="1" applyProtection="1">
      <alignment horizontal="center" vertical="center"/>
      <protection locked="0"/>
    </xf>
    <xf numFmtId="0" fontId="9" fillId="0" borderId="17" xfId="591" applyFont="1" applyFill="1" applyBorder="1" applyAlignment="1" applyProtection="1">
      <alignment horizontal="center" vertical="center" wrapText="1"/>
      <protection locked="0"/>
    </xf>
    <xf numFmtId="202" fontId="161" fillId="0" borderId="0" xfId="246" applyFont="1" applyFill="1" applyAlignment="1">
      <alignment horizontal="center" vertical="center"/>
    </xf>
    <xf numFmtId="202" fontId="163" fillId="0" borderId="0" xfId="246" applyFont="1" applyFill="1" applyAlignment="1">
      <alignment horizontal="center" vertical="center"/>
    </xf>
    <xf numFmtId="44" fontId="160" fillId="0" borderId="0" xfId="247" applyNumberFormat="1" applyFont="1" applyFill="1" applyBorder="1" applyAlignment="1">
      <alignment horizontal="left" vertical="center"/>
      <protection locked="0"/>
    </xf>
    <xf numFmtId="202" fontId="36" fillId="0" borderId="0" xfId="247" applyFont="1" applyFill="1" applyBorder="1" applyAlignment="1">
      <alignment horizontal="left" vertical="center"/>
      <protection locked="0"/>
    </xf>
    <xf numFmtId="0" fontId="5" fillId="67" borderId="14" xfId="192" applyFont="1" applyFill="1" applyBorder="1" applyAlignment="1">
      <alignment horizontal="center" vertical="center" wrapText="1"/>
      <protection locked="0"/>
    </xf>
    <xf numFmtId="0" fontId="5" fillId="67" borderId="15" xfId="192" applyFont="1" applyFill="1" applyBorder="1" applyAlignment="1">
      <alignment horizontal="center" vertical="center" wrapText="1"/>
      <protection locked="0"/>
    </xf>
    <xf numFmtId="0" fontId="5" fillId="67" borderId="16" xfId="192" applyFont="1" applyFill="1" applyBorder="1" applyAlignment="1">
      <alignment horizontal="center" vertical="center" wrapText="1"/>
      <protection locked="0"/>
    </xf>
    <xf numFmtId="0" fontId="2" fillId="0" borderId="33" xfId="591" applyFont="1" applyFill="1" applyBorder="1" applyAlignment="1" applyProtection="1">
      <alignment horizontal="left" vertical="center" wrapText="1"/>
      <protection locked="0"/>
    </xf>
    <xf numFmtId="49" fontId="36" fillId="11" borderId="13" xfId="247" applyNumberFormat="1" applyFont="1" applyFill="1" applyBorder="1" applyAlignment="1">
      <alignment horizontal="center" vertical="center"/>
      <protection locked="0"/>
    </xf>
    <xf numFmtId="49" fontId="36" fillId="11" borderId="11" xfId="247" applyNumberFormat="1" applyFont="1" applyFill="1" applyBorder="1" applyAlignment="1">
      <alignment horizontal="center" vertical="center"/>
      <protection locked="0"/>
    </xf>
    <xf numFmtId="202" fontId="36" fillId="11" borderId="13" xfId="247" applyFont="1" applyFill="1" applyBorder="1" applyAlignment="1">
      <alignment horizontal="center" vertical="center" wrapText="1"/>
      <protection locked="0"/>
    </xf>
    <xf numFmtId="202" fontId="36" fillId="11" borderId="11" xfId="247" applyFont="1" applyFill="1" applyBorder="1" applyAlignment="1">
      <alignment horizontal="center" vertical="center" wrapText="1"/>
      <protection locked="0"/>
    </xf>
    <xf numFmtId="0" fontId="2" fillId="11" borderId="17" xfId="591" applyFont="1" applyFill="1" applyBorder="1" applyAlignment="1" applyProtection="1">
      <alignment horizontal="center" vertical="center"/>
      <protection locked="0"/>
    </xf>
    <xf numFmtId="0" fontId="4" fillId="11" borderId="17" xfId="591" applyFont="1" applyFill="1" applyBorder="1" applyAlignment="1" applyProtection="1">
      <alignment horizontal="center" vertical="center"/>
      <protection locked="0"/>
    </xf>
    <xf numFmtId="0" fontId="2" fillId="11" borderId="13" xfId="591" applyFont="1" applyFill="1" applyBorder="1" applyAlignment="1" applyProtection="1">
      <alignment horizontal="center" vertical="center" wrapText="1"/>
      <protection locked="0"/>
    </xf>
    <xf numFmtId="0" fontId="2" fillId="11" borderId="11" xfId="591" applyFont="1" applyFill="1" applyBorder="1" applyAlignment="1" applyProtection="1">
      <alignment horizontal="center" vertical="center" wrapText="1"/>
      <protection locked="0"/>
    </xf>
    <xf numFmtId="0" fontId="2" fillId="11" borderId="17" xfId="591" applyFont="1" applyFill="1" applyBorder="1" applyAlignment="1" applyProtection="1">
      <alignment horizontal="center" vertical="center" wrapText="1"/>
      <protection locked="0"/>
    </xf>
    <xf numFmtId="0" fontId="160" fillId="0" borderId="17" xfId="591" applyFont="1" applyFill="1" applyBorder="1" applyAlignment="1" applyProtection="1">
      <alignment horizontal="left" vertical="center" wrapText="1"/>
      <protection locked="0"/>
    </xf>
    <xf numFmtId="43" fontId="161" fillId="0" borderId="0" xfId="3" applyNumberFormat="1" applyFont="1" applyBorder="1" applyAlignment="1">
      <alignment horizontal="center" vertical="center"/>
    </xf>
    <xf numFmtId="43" fontId="163" fillId="0" borderId="0" xfId="3" applyNumberFormat="1" applyFont="1" applyBorder="1" applyAlignment="1">
      <alignment horizontal="center" vertical="center"/>
    </xf>
    <xf numFmtId="0" fontId="64" fillId="11" borderId="13" xfId="192" applyFont="1" applyFill="1" applyBorder="1" applyAlignment="1" applyProtection="1">
      <alignment horizontal="center" vertical="center" wrapText="1"/>
    </xf>
    <xf numFmtId="0" fontId="63" fillId="11" borderId="11" xfId="192" applyFont="1" applyFill="1" applyBorder="1" applyAlignment="1" applyProtection="1">
      <alignment vertical="center" wrapText="1"/>
    </xf>
    <xf numFmtId="202" fontId="4" fillId="11" borderId="14" xfId="245" applyFont="1" applyFill="1" applyBorder="1" applyAlignment="1" applyProtection="1">
      <alignment horizontal="center" vertical="center" wrapText="1"/>
      <protection locked="0"/>
    </xf>
    <xf numFmtId="202" fontId="4" fillId="11" borderId="15" xfId="245" applyFont="1" applyFill="1" applyBorder="1" applyAlignment="1" applyProtection="1">
      <alignment horizontal="center" vertical="center" wrapText="1"/>
      <protection locked="0"/>
    </xf>
    <xf numFmtId="202" fontId="4" fillId="11" borderId="16" xfId="245" applyFont="1" applyFill="1" applyBorder="1" applyAlignment="1" applyProtection="1">
      <alignment horizontal="center" vertical="center" wrapText="1"/>
      <protection locked="0"/>
    </xf>
    <xf numFmtId="202" fontId="64" fillId="11" borderId="17" xfId="194" applyNumberFormat="1" applyFont="1" applyFill="1" applyBorder="1" applyAlignment="1" applyProtection="1">
      <alignment horizontal="center" vertical="center" wrapText="1"/>
      <protection locked="0"/>
    </xf>
    <xf numFmtId="0" fontId="4" fillId="11" borderId="17" xfId="194" applyFont="1" applyFill="1" applyBorder="1" applyAlignment="1" applyProtection="1">
      <alignment horizontal="center" vertical="center" wrapText="1"/>
      <protection locked="0"/>
    </xf>
    <xf numFmtId="0" fontId="63" fillId="11" borderId="17" xfId="192" applyFont="1" applyFill="1" applyBorder="1" applyAlignment="1" applyProtection="1">
      <alignment horizontal="center" vertical="center"/>
    </xf>
    <xf numFmtId="0" fontId="74" fillId="11" borderId="17" xfId="192" applyFont="1" applyFill="1" applyBorder="1" applyAlignment="1" applyProtection="1">
      <alignment vertical="center"/>
    </xf>
    <xf numFmtId="0" fontId="67" fillId="0" borderId="0" xfId="0" applyFont="1" applyAlignment="1">
      <alignment horizontal="left" vertical="center" wrapText="1"/>
    </xf>
    <xf numFmtId="0" fontId="161" fillId="0" borderId="0" xfId="162" applyFont="1" applyAlignment="1">
      <alignment horizontal="center" vertical="center"/>
      <protection locked="0"/>
    </xf>
    <xf numFmtId="0" fontId="163" fillId="0" borderId="0" xfId="162" applyFont="1" applyAlignment="1">
      <alignment horizontal="center" vertical="center"/>
      <protection locked="0"/>
    </xf>
    <xf numFmtId="0" fontId="67" fillId="0" borderId="31" xfId="0" applyFont="1" applyBorder="1" applyAlignment="1">
      <alignment horizontal="left" vertical="center" wrapText="1"/>
    </xf>
    <xf numFmtId="43" fontId="72" fillId="66" borderId="29" xfId="0" applyNumberFormat="1" applyFont="1" applyFill="1" applyBorder="1" applyAlignment="1">
      <alignment horizontal="justify" vertical="center" wrapText="1"/>
    </xf>
    <xf numFmtId="0" fontId="0" fillId="0" borderId="30" xfId="0" applyBorder="1" applyAlignment="1"/>
    <xf numFmtId="43" fontId="149" fillId="66" borderId="29" xfId="0" applyNumberFormat="1" applyFont="1" applyFill="1" applyBorder="1" applyAlignment="1">
      <alignment horizontal="right" vertical="center" wrapText="1"/>
    </xf>
    <xf numFmtId="0" fontId="161" fillId="0" borderId="0" xfId="187" applyFont="1" applyAlignment="1">
      <alignment horizontal="center" vertical="center"/>
    </xf>
    <xf numFmtId="0" fontId="163" fillId="0" borderId="0" xfId="187" applyFont="1" applyAlignment="1">
      <alignment horizontal="center" vertical="center"/>
    </xf>
    <xf numFmtId="0" fontId="63" fillId="0" borderId="0" xfId="0" applyFont="1" applyFill="1" applyAlignment="1" applyProtection="1">
      <alignment horizontal="left" vertical="center" wrapText="1"/>
    </xf>
    <xf numFmtId="0" fontId="2" fillId="67" borderId="17" xfId="231" applyFont="1" applyFill="1" applyBorder="1" applyAlignment="1" applyProtection="1">
      <alignment horizontal="center" vertical="center"/>
    </xf>
    <xf numFmtId="0" fontId="2" fillId="67" borderId="17" xfId="231" applyFont="1" applyFill="1" applyBorder="1" applyAlignment="1" applyProtection="1">
      <alignment horizontal="center" vertical="center" wrapText="1"/>
    </xf>
    <xf numFmtId="0" fontId="143" fillId="0" borderId="0" xfId="564" applyFont="1" applyFill="1" applyBorder="1" applyAlignment="1">
      <alignment horizontal="left" vertical="center" wrapText="1"/>
      <protection locked="0"/>
    </xf>
    <xf numFmtId="0" fontId="8" fillId="0" borderId="0" xfId="564" applyFont="1" applyFill="1" applyBorder="1" applyAlignment="1">
      <alignment horizontal="left" vertical="center" wrapText="1"/>
      <protection locked="0"/>
    </xf>
    <xf numFmtId="0" fontId="4" fillId="11" borderId="9" xfId="0" applyFont="1" applyFill="1" applyBorder="1" applyAlignment="1">
      <alignment horizontal="center" vertical="center"/>
    </xf>
    <xf numFmtId="0" fontId="2" fillId="11" borderId="9" xfId="0" applyFont="1" applyFill="1" applyBorder="1" applyAlignment="1">
      <alignment horizontal="center" vertical="center"/>
    </xf>
    <xf numFmtId="0" fontId="2" fillId="11" borderId="13" xfId="0" applyFont="1" applyFill="1" applyBorder="1" applyAlignment="1">
      <alignment horizontal="center" vertical="center"/>
    </xf>
    <xf numFmtId="0" fontId="0" fillId="0" borderId="11" xfId="0" applyBorder="1" applyAlignment="1">
      <alignment horizontal="center" vertical="center"/>
    </xf>
    <xf numFmtId="0" fontId="2" fillId="11" borderId="13" xfId="0" applyFont="1" applyFill="1" applyBorder="1" applyAlignment="1">
      <alignment horizontal="center" vertical="center" wrapText="1"/>
    </xf>
    <xf numFmtId="0" fontId="0" fillId="0" borderId="11" xfId="0" applyBorder="1" applyAlignment="1">
      <alignment horizontal="center" vertical="center" wrapText="1"/>
    </xf>
    <xf numFmtId="0" fontId="161" fillId="0" borderId="0" xfId="193" applyFont="1" applyAlignment="1">
      <alignment horizontal="center" vertical="center"/>
      <protection locked="0"/>
    </xf>
    <xf numFmtId="0" fontId="163" fillId="0" borderId="0" xfId="193" applyFont="1" applyAlignment="1">
      <alignment horizontal="center" vertical="center"/>
      <protection locked="0"/>
    </xf>
    <xf numFmtId="0" fontId="2" fillId="12" borderId="17" xfId="194" applyFont="1" applyFill="1" applyBorder="1" applyAlignment="1">
      <alignment horizontal="center" vertical="center" wrapText="1"/>
      <protection locked="0"/>
    </xf>
    <xf numFmtId="202" fontId="2" fillId="12" borderId="17" xfId="574" applyFont="1" applyFill="1" applyBorder="1" applyAlignment="1">
      <alignment horizontal="center" vertical="center" wrapText="1"/>
      <protection locked="0"/>
    </xf>
    <xf numFmtId="14" fontId="2" fillId="67" borderId="17" xfId="699" applyNumberFormat="1" applyFont="1" applyFill="1" applyBorder="1" applyAlignment="1">
      <alignment horizontal="center" vertical="center"/>
      <protection locked="0"/>
    </xf>
    <xf numFmtId="0" fontId="161" fillId="0" borderId="0" xfId="162" applyFont="1" applyBorder="1" applyAlignment="1">
      <alignment horizontal="center" vertical="center"/>
      <protection locked="0"/>
    </xf>
    <xf numFmtId="0" fontId="163" fillId="0" borderId="0" xfId="162" applyFont="1" applyBorder="1" applyAlignment="1">
      <alignment horizontal="center" vertical="center"/>
      <protection locked="0"/>
    </xf>
    <xf numFmtId="0" fontId="2" fillId="0" borderId="0" xfId="188" applyFont="1" applyBorder="1" applyAlignment="1">
      <alignment horizontal="left" vertical="center"/>
    </xf>
    <xf numFmtId="0" fontId="2" fillId="0" borderId="0" xfId="188" applyFont="1" applyAlignment="1">
      <alignment horizontal="left" vertical="center" wrapText="1"/>
    </xf>
    <xf numFmtId="202" fontId="2" fillId="67" borderId="13" xfId="696" applyFont="1" applyFill="1" applyBorder="1" applyAlignment="1">
      <alignment horizontal="center" vertical="center"/>
      <protection locked="0"/>
    </xf>
    <xf numFmtId="202" fontId="2" fillId="67" borderId="11" xfId="696" applyFont="1" applyFill="1" applyBorder="1" applyAlignment="1">
      <alignment horizontal="center" vertical="center"/>
      <protection locked="0"/>
    </xf>
    <xf numFmtId="202" fontId="2" fillId="67" borderId="17" xfId="696" applyFont="1" applyFill="1" applyBorder="1" applyAlignment="1">
      <alignment horizontal="center" vertical="center"/>
      <protection locked="0"/>
    </xf>
    <xf numFmtId="202" fontId="2" fillId="68" borderId="17" xfId="697" applyFont="1" applyFill="1" applyBorder="1" applyAlignment="1" applyProtection="1">
      <alignment horizontal="center" vertical="center" wrapText="1"/>
    </xf>
    <xf numFmtId="0" fontId="2" fillId="67" borderId="17" xfId="564" applyFont="1" applyFill="1" applyBorder="1" applyAlignment="1">
      <alignment horizontal="center" vertical="center"/>
      <protection locked="0"/>
    </xf>
    <xf numFmtId="202" fontId="2" fillId="67" borderId="17" xfId="696" applyFont="1" applyFill="1" applyBorder="1" applyAlignment="1">
      <alignment horizontal="center" vertical="center" wrapText="1"/>
      <protection locked="0"/>
    </xf>
    <xf numFmtId="0" fontId="4" fillId="67" borderId="14" xfId="569" applyFont="1" applyFill="1" applyBorder="1" applyAlignment="1" applyProtection="1">
      <alignment horizontal="center" vertical="center"/>
      <protection locked="0"/>
    </xf>
    <xf numFmtId="0" fontId="4" fillId="67" borderId="15" xfId="569" applyFont="1" applyFill="1" applyBorder="1" applyAlignment="1" applyProtection="1">
      <alignment horizontal="center" vertical="center"/>
      <protection locked="0"/>
    </xf>
    <xf numFmtId="0" fontId="4" fillId="67" borderId="16" xfId="569" applyFont="1" applyFill="1" applyBorder="1" applyAlignment="1" applyProtection="1">
      <alignment horizontal="center" vertical="center"/>
      <protection locked="0"/>
    </xf>
    <xf numFmtId="0" fontId="4" fillId="67" borderId="17" xfId="569" applyFont="1" applyFill="1" applyBorder="1" applyAlignment="1" applyProtection="1">
      <alignment horizontal="center" vertical="center"/>
      <protection locked="0"/>
    </xf>
    <xf numFmtId="202" fontId="2" fillId="68" borderId="13" xfId="697" applyFont="1" applyFill="1" applyBorder="1" applyAlignment="1" applyProtection="1">
      <alignment horizontal="center" vertical="center" wrapText="1"/>
    </xf>
    <xf numFmtId="202" fontId="2" fillId="68" borderId="11" xfId="697" applyFont="1" applyFill="1" applyBorder="1" applyAlignment="1" applyProtection="1">
      <alignment horizontal="center" vertical="center" wrapText="1"/>
    </xf>
    <xf numFmtId="202" fontId="4" fillId="67" borderId="17" xfId="696" applyFont="1" applyFill="1" applyBorder="1" applyAlignment="1">
      <alignment horizontal="center" vertical="center" wrapText="1"/>
      <protection locked="0"/>
    </xf>
  </cellXfs>
  <cellStyles count="700">
    <cellStyle name="_x000a_mouse.drv=lm" xfId="250"/>
    <cellStyle name="%" xfId="6"/>
    <cellStyle name="% 2" xfId="251"/>
    <cellStyle name="?" xfId="7"/>
    <cellStyle name="? 2" xfId="252"/>
    <cellStyle name="??" xfId="253"/>
    <cellStyle name="?? [0]" xfId="254"/>
    <cellStyle name="??_0N-HANDLING " xfId="255"/>
    <cellStyle name="?餡_x000c_k" xfId="8"/>
    <cellStyle name="?餡_x000c_k 2" xfId="256"/>
    <cellStyle name="?餡_x000c_k?_x000d_^" xfId="9"/>
    <cellStyle name="?餡_x000c_k?_x000d_^ 2" xfId="257"/>
    <cellStyle name="?餡_x000c_k?_x000d_^黇_x0001_??_x0007__x0001__x0001_" xfId="10"/>
    <cellStyle name="?餡_x000c_k?_x000d_^黇_x0001_??_x0007__x0001__x0001_ 2" xfId="258"/>
    <cellStyle name="@_text" xfId="11"/>
    <cellStyle name="@_text_子公司附注汇总(房开公司)" xfId="259"/>
    <cellStyle name="_(本部)2006年年报审计PBC表" xfId="260"/>
    <cellStyle name="_07930建造合同" xfId="261"/>
    <cellStyle name="_12月项目部访问及审计-德勤" xfId="262"/>
    <cellStyle name="_2005-08-31审计底稿－李" xfId="263"/>
    <cellStyle name="_2005年工作底稿" xfId="264"/>
    <cellStyle name="_2005年工作底稿_3-2-A1B-银行存款" xfId="265"/>
    <cellStyle name="_2005年工作底稿_3-2-Z17A-固定资产" xfId="266"/>
    <cellStyle name="_2005年工作底稿_Sheet1" xfId="267"/>
    <cellStyle name="_2005审计报表及附注-中国建材股份模板（房屋）" xfId="12"/>
    <cellStyle name="_2005审计报表及附注-中国建材股份模板（房屋） 2" xfId="268"/>
    <cellStyle name="_2006年年报审计PBC表（合并）" xfId="269"/>
    <cellStyle name="_2006年年报审计PBC表-XX" xfId="270"/>
    <cellStyle name="_2006年年报审计PBC表-XXX" xfId="13"/>
    <cellStyle name="_2006年年报审计PBC表-XXX 2" xfId="271"/>
    <cellStyle name="_2006年年报审计PBC表-福州分公司" xfId="272"/>
    <cellStyle name="_2006年年报审计PBC表-云南分公司" xfId="273"/>
    <cellStyle name="_2006年年报审计填报资料" xfId="14"/>
    <cellStyle name="_2006年年报审计填报资料 2" xfId="274"/>
    <cellStyle name="_2007调整分录-鲁佳" xfId="275"/>
    <cellStyle name="_3-2-A22-无形资产" xfId="276"/>
    <cellStyle name="_3-2-A4-应收账款" xfId="277"/>
    <cellStyle name="_A17固定资产" xfId="278"/>
    <cellStyle name="_A23无形资产" xfId="279"/>
    <cellStyle name="_A3应收票据" xfId="280"/>
    <cellStyle name="_A6应收账款" xfId="281"/>
    <cellStyle name="_A6应收账款_3-2-A1B-银行存款" xfId="282"/>
    <cellStyle name="_A6应收账款_3-2-Z17A-固定资产" xfId="283"/>
    <cellStyle name="_A6应收账款_Sheet1" xfId="284"/>
    <cellStyle name="_B10其他未交款" xfId="285"/>
    <cellStyle name="_B13预收账款2005" xfId="286"/>
    <cellStyle name="_B6应付工资" xfId="287"/>
    <cellStyle name="_B7应付福利费" xfId="288"/>
    <cellStyle name="_B9应交税金2005" xfId="289"/>
    <cellStyle name="_Book1" xfId="15"/>
    <cellStyle name="_Book1 2" xfId="290"/>
    <cellStyle name="_CREC(Huo" xfId="291"/>
    <cellStyle name="_D11营业外支出" xfId="292"/>
    <cellStyle name="_D12所得税2005" xfId="293"/>
    <cellStyle name="_D1主营业务收入" xfId="294"/>
    <cellStyle name="_D3主营业务税金及附加" xfId="295"/>
    <cellStyle name="_D4其他业务利润" xfId="296"/>
    <cellStyle name="_ET_STYLE_NoName_00_" xfId="297"/>
    <cellStyle name="_ET_STYLE_NoName_00__2007调整分录-鲁佳" xfId="298"/>
    <cellStyle name="_ET_STYLE_NoName_00__股份本部" xfId="299"/>
    <cellStyle name="_ET_STYLE_NoName_00__股份本部_1" xfId="300"/>
    <cellStyle name="_ET_STYLE_NoName_00__股份本部_3" xfId="301"/>
    <cellStyle name="_ET_STYLE_NoName_00__股份本部_6_股份本部_2" xfId="302"/>
    <cellStyle name="_ET_STYLE_NoName_00__股份本部_7_股份本部_3" xfId="303"/>
    <cellStyle name="_J1000-存货-ZHHG" xfId="16"/>
    <cellStyle name="_PBC审核提示" xfId="17"/>
    <cellStyle name="_PBC审核提示 2" xfId="304"/>
    <cellStyle name="_Sheet1" xfId="305"/>
    <cellStyle name="_宝丽华房地产20051231" xfId="18"/>
    <cellStyle name="_宝丽华房地产20051231 2" xfId="306"/>
    <cellStyle name="_保证金-企业填写部分" xfId="19"/>
    <cellStyle name="_保证金-企业填写部分 2" xfId="307"/>
    <cellStyle name="_北新房屋2004年审-刘" xfId="20"/>
    <cellStyle name="_北新房屋2004年审-刘 2" xfId="308"/>
    <cellStyle name="_北新股份2005年审工作底稿" xfId="21"/>
    <cellStyle name="_北新股份2005年审工作底稿 2" xfId="309"/>
    <cellStyle name="_北新建材关连交易基础表051230（10－12月版）更新稿" xfId="22"/>
    <cellStyle name="_北新建材关连交易基础表051230（10－12月版）更新稿 2" xfId="310"/>
    <cellStyle name="_北新建材-会计报表附注模版" xfId="23"/>
    <cellStyle name="_北新建材-会计报表附注模版 2" xfId="311"/>
    <cellStyle name="_北新龙之星2004年审工作底稿" xfId="24"/>
    <cellStyle name="_北新龙之星2004年审工作底稿 2" xfId="312"/>
    <cellStyle name="_北新物流2005底稿-刘" xfId="25"/>
    <cellStyle name="_北新物流2005底稿-刘 2" xfId="313"/>
    <cellStyle name="_北新置换memo" xfId="26"/>
    <cellStyle name="_北新置换memo 2" xfId="314"/>
    <cellStyle name="_本部其他应收应付年审底稿--鲁佳pb" xfId="315"/>
    <cellStyle name="_存货结转测试" xfId="27"/>
    <cellStyle name="_存货结转测试 2" xfId="316"/>
    <cellStyle name="_存货数量与明细05.12" xfId="28"/>
    <cellStyle name="_存货数量与明细05.12 2" xfId="317"/>
    <cellStyle name="_动力厂2004年审工作底稿-刘" xfId="29"/>
    <cellStyle name="_动力厂2004年审工作底稿-刘 2" xfId="318"/>
    <cellStyle name="_分工" xfId="30"/>
    <cellStyle name="_分工 2" xfId="319"/>
    <cellStyle name="_封面" xfId="320"/>
    <cellStyle name="_工程施工项目现场审计提示" xfId="31"/>
    <cellStyle name="_工程施工项目现场审计提示 2" xfId="321"/>
    <cellStyle name="_公司填表" xfId="322"/>
    <cellStyle name="_公司填表-2005蔡" xfId="323"/>
    <cellStyle name="_公司填表-2005李志刚" xfId="324"/>
    <cellStyle name="_公司填表2005-吴" xfId="325"/>
    <cellStyle name="_公司填表2005-吴_3-2-A1B-银行存款" xfId="326"/>
    <cellStyle name="_公司填表2005-吴_3-2-Z17A-固定资产" xfId="327"/>
    <cellStyle name="_公司填表2005-吴_Sheet1" xfId="328"/>
    <cellStyle name="_公司填表2005-修改" xfId="329"/>
    <cellStyle name="_公司填表2005-修改_3-2-A1B-银行存款" xfId="330"/>
    <cellStyle name="_公司填表2005-修改_3-2-Z17A-固定资产" xfId="331"/>
    <cellStyle name="_公司填表2005-修改_Sheet1" xfId="332"/>
    <cellStyle name="_公司填表2005-修改后" xfId="333"/>
    <cellStyle name="_公司填表2005-修改后_3-2-A1B-银行存款" xfId="334"/>
    <cellStyle name="_公司填表2005-修改后_3-2-Z17A-固定资产" xfId="335"/>
    <cellStyle name="_公司填表2005-修改后_Sheet1" xfId="336"/>
    <cellStyle name="_公司填表-2005杨" xfId="337"/>
    <cellStyle name="_关联交易" xfId="32"/>
    <cellStyle name="_关联交易 2" xfId="338"/>
    <cellStyle name="_关联交易、往来统计表" xfId="33"/>
    <cellStyle name="_关联交易、往来统计表 2" xfId="339"/>
    <cellStyle name="_合并报表审计调整模板(CREC)" xfId="340"/>
    <cellStyle name="_合并公司2006年度科目明细表(定稿)" xfId="341"/>
    <cellStyle name="_建造合同-宜万指（正式版）" xfId="34"/>
    <cellStyle name="_建造合同-宜万指（正式版） 2" xfId="342"/>
    <cellStyle name="_科目核对表" xfId="35"/>
    <cellStyle name="_科目核对表 2" xfId="343"/>
    <cellStyle name="_刘青分工填列信息统计" xfId="344"/>
    <cellStyle name="_刘青分工－子公司审计模板-电务" xfId="345"/>
    <cellStyle name="_刘青分工－子公司审计模板－铁达本部" xfId="346"/>
    <cellStyle name="_母PL" xfId="36"/>
    <cellStyle name="_母PL 2" xfId="347"/>
    <cellStyle name="_母公司底稿-鲁佳" xfId="348"/>
    <cellStyle name="_年审筹资循环资料清单" xfId="349"/>
    <cellStyle name="_凭证抽查-05年" xfId="350"/>
    <cellStyle name="_人员分工备忘录" xfId="37"/>
    <cellStyle name="_人员分工备忘录 2" xfId="351"/>
    <cellStyle name="_审计底稿-轩" xfId="352"/>
    <cellStyle name="_审计所需资料清单－子公司" xfId="38"/>
    <cellStyle name="_审计所需资料清单－子公司 2" xfId="353"/>
    <cellStyle name="_审计提示模版" xfId="354"/>
    <cellStyle name="_审计提示模版-母公司部分" xfId="355"/>
    <cellStyle name="_铁鸿源－刘青分工－子公司审计模板" xfId="356"/>
    <cellStyle name="_兴华审计成本" xfId="357"/>
    <cellStyle name="_岩土长投--急0121报王占学" xfId="358"/>
    <cellStyle name="_一公司建造合同前5名" xfId="39"/>
    <cellStyle name="_一公司建造合同前5名 2" xfId="359"/>
    <cellStyle name="_一公司－刘丰收" xfId="40"/>
    <cellStyle name="_一公司－刘丰收 2" xfId="360"/>
    <cellStyle name="_银行询证函统计－大表" xfId="361"/>
    <cellStyle name="_应收账款账龄--04、05" xfId="362"/>
    <cellStyle name="_长期借款－江阴" xfId="41"/>
    <cellStyle name="_长期借款－江阴 2" xfId="363"/>
    <cellStyle name="_子公司筹资循环－刘青" xfId="364"/>
    <cellStyle name="_子公司审计提示模版-Liufs" xfId="42"/>
    <cellStyle name="_子公司审计提示模版-Liufs 2" xfId="365"/>
    <cellStyle name="_子公司填表" xfId="366"/>
    <cellStyle name="{Comma [0]}" xfId="43"/>
    <cellStyle name="{Comma}" xfId="44"/>
    <cellStyle name="{Date}" xfId="45"/>
    <cellStyle name="{Month}" xfId="46"/>
    <cellStyle name="{Percent}" xfId="47"/>
    <cellStyle name="{Thousand [0]}" xfId="48"/>
    <cellStyle name="{Thousand}" xfId="49"/>
    <cellStyle name="{Z'0000(1 dec)}" xfId="50"/>
    <cellStyle name="{Z'0000(4 dec)}" xfId="51"/>
    <cellStyle name="0%" xfId="52"/>
    <cellStyle name="0,0_x000d__x000a_NA_x000d__x000a_" xfId="53"/>
    <cellStyle name="0,0_x000d__x000a_NA_x000d__x000a_ 2" xfId="367"/>
    <cellStyle name="0.0%" xfId="54"/>
    <cellStyle name="0.00%" xfId="55"/>
    <cellStyle name="00" xfId="368"/>
    <cellStyle name="20% - Accent1" xfId="195"/>
    <cellStyle name="20% - Accent2" xfId="196"/>
    <cellStyle name="20% - Accent3" xfId="197"/>
    <cellStyle name="20% - Accent4" xfId="198"/>
    <cellStyle name="20% - Accent5" xfId="199"/>
    <cellStyle name="20% - Accent6" xfId="200"/>
    <cellStyle name="40% - Accent1" xfId="201"/>
    <cellStyle name="40% - Accent2" xfId="202"/>
    <cellStyle name="40% - Accent3" xfId="203"/>
    <cellStyle name="40% - Accent4" xfId="204"/>
    <cellStyle name="40% - Accent5" xfId="205"/>
    <cellStyle name="40% - Accent6" xfId="206"/>
    <cellStyle name="60% - Accent1" xfId="207"/>
    <cellStyle name="60% - Accent2" xfId="208"/>
    <cellStyle name="60% - Accent3" xfId="209"/>
    <cellStyle name="60% - Accent4" xfId="210"/>
    <cellStyle name="60% - Accent5" xfId="211"/>
    <cellStyle name="60% - Accent6" xfId="212"/>
    <cellStyle name="AA FRAME" xfId="369"/>
    <cellStyle name="AA HEADING" xfId="370"/>
    <cellStyle name="AA INITIALS" xfId="371"/>
    <cellStyle name="AA INPUT" xfId="372"/>
    <cellStyle name="AA LOCK" xfId="373"/>
    <cellStyle name="AA MGR NAME" xfId="374"/>
    <cellStyle name="AA NORMAL" xfId="375"/>
    <cellStyle name="AA NUMBER" xfId="376"/>
    <cellStyle name="AA NUMBER2" xfId="377"/>
    <cellStyle name="AA QUESTION" xfId="378"/>
    <cellStyle name="AA SHADE" xfId="379"/>
    <cellStyle name="Accent1" xfId="213"/>
    <cellStyle name="Accent1 - 20%" xfId="380"/>
    <cellStyle name="Accent1 - 40%" xfId="381"/>
    <cellStyle name="Accent1 - 60%" xfId="382"/>
    <cellStyle name="Accent2" xfId="214"/>
    <cellStyle name="Accent2 - 20%" xfId="383"/>
    <cellStyle name="Accent2 - 40%" xfId="384"/>
    <cellStyle name="Accent2 - 60%" xfId="385"/>
    <cellStyle name="Accent3" xfId="215"/>
    <cellStyle name="Accent3 - 20%" xfId="386"/>
    <cellStyle name="Accent3 - 40%" xfId="387"/>
    <cellStyle name="Accent3 - 60%" xfId="388"/>
    <cellStyle name="Accent4" xfId="216"/>
    <cellStyle name="Accent4 - 20%" xfId="389"/>
    <cellStyle name="Accent4 - 40%" xfId="390"/>
    <cellStyle name="Accent4 - 60%" xfId="391"/>
    <cellStyle name="Accent5" xfId="217"/>
    <cellStyle name="Accent5 - 20%" xfId="392"/>
    <cellStyle name="Accent5 - 40%" xfId="393"/>
    <cellStyle name="Accent5 - 60%" xfId="394"/>
    <cellStyle name="Accent6" xfId="218"/>
    <cellStyle name="Accent6 - 20%" xfId="395"/>
    <cellStyle name="Accent6 - 40%" xfId="396"/>
    <cellStyle name="Accent6 - 60%" xfId="397"/>
    <cellStyle name="args.style" xfId="398"/>
    <cellStyle name="Bad" xfId="219"/>
    <cellStyle name="Black" xfId="56"/>
    <cellStyle name="Border" xfId="57"/>
    <cellStyle name="Calc Currency (0)" xfId="58"/>
    <cellStyle name="Calc Currency (2)" xfId="59"/>
    <cellStyle name="Calc Percent (0)" xfId="60"/>
    <cellStyle name="Calc Percent (1)" xfId="61"/>
    <cellStyle name="Calc Percent (2)" xfId="62"/>
    <cellStyle name="Calc Units (0)" xfId="63"/>
    <cellStyle name="Calc Units (1)" xfId="64"/>
    <cellStyle name="Calc Units (2)" xfId="65"/>
    <cellStyle name="Calculation" xfId="220"/>
    <cellStyle name="category" xfId="66"/>
    <cellStyle name="Check Cell" xfId="221"/>
    <cellStyle name="Col Heads" xfId="67"/>
    <cellStyle name="Column_Title" xfId="68"/>
    <cellStyle name="Comma  - Style1" xfId="69"/>
    <cellStyle name="Comma  - Style2" xfId="70"/>
    <cellStyle name="Comma  - Style3" xfId="71"/>
    <cellStyle name="Comma  - Style4" xfId="72"/>
    <cellStyle name="Comma  - Style5" xfId="73"/>
    <cellStyle name="Comma  - Style6" xfId="74"/>
    <cellStyle name="Comma  - Style7" xfId="75"/>
    <cellStyle name="Comma  - Style8" xfId="76"/>
    <cellStyle name="Comma [0]" xfId="399"/>
    <cellStyle name="Comma [00]" xfId="77"/>
    <cellStyle name="Comma 28" xfId="78"/>
    <cellStyle name="comma zerodec" xfId="79"/>
    <cellStyle name="Comma,0" xfId="80"/>
    <cellStyle name="Comma,1" xfId="81"/>
    <cellStyle name="Comma,2" xfId="82"/>
    <cellStyle name="Comma_ rislugp" xfId="83"/>
    <cellStyle name="Copied" xfId="400"/>
    <cellStyle name="COST1" xfId="401"/>
    <cellStyle name="Currency [0]" xfId="402"/>
    <cellStyle name="Currency [00]" xfId="84"/>
    <cellStyle name="Currency,0" xfId="85"/>
    <cellStyle name="Currency,2" xfId="86"/>
    <cellStyle name="Currency_ rislugp" xfId="87"/>
    <cellStyle name="Currency1" xfId="88"/>
    <cellStyle name="Date" xfId="403"/>
    <cellStyle name="Date 2" xfId="404"/>
    <cellStyle name="Date Short" xfId="89"/>
    <cellStyle name="Date_ A1-货币资金审定表" xfId="405"/>
    <cellStyle name="Dezimal [0]_laroux" xfId="90"/>
    <cellStyle name="Dezimal_laroux" xfId="91"/>
    <cellStyle name="Dollar (zero dec)" xfId="92"/>
    <cellStyle name="E&amp;Y House" xfId="406"/>
    <cellStyle name="Enter Currency (0)" xfId="93"/>
    <cellStyle name="Enter Currency (2)" xfId="94"/>
    <cellStyle name="Enter Units (0)" xfId="95"/>
    <cellStyle name="Enter Units (1)" xfId="96"/>
    <cellStyle name="Enter Units (2)" xfId="97"/>
    <cellStyle name="Entered" xfId="407"/>
    <cellStyle name="entry" xfId="98"/>
    <cellStyle name="entry 2" xfId="408"/>
    <cellStyle name="entry box" xfId="99"/>
    <cellStyle name="entry box 2" xfId="409"/>
    <cellStyle name="Euro" xfId="100"/>
    <cellStyle name="Explanatory Text" xfId="222"/>
    <cellStyle name="F2" xfId="410"/>
    <cellStyle name="F3" xfId="411"/>
    <cellStyle name="F4" xfId="412"/>
    <cellStyle name="F5" xfId="413"/>
    <cellStyle name="F6" xfId="414"/>
    <cellStyle name="F7" xfId="415"/>
    <cellStyle name="F8" xfId="416"/>
    <cellStyle name="Fixed" xfId="417"/>
    <cellStyle name="Followed Hyperlink_AheadBehind.xls Chart 23" xfId="101"/>
    <cellStyle name="Good" xfId="223"/>
    <cellStyle name="Grey" xfId="102"/>
    <cellStyle name="HEADER" xfId="103"/>
    <cellStyle name="Header1" xfId="104"/>
    <cellStyle name="Header1 2" xfId="418"/>
    <cellStyle name="Header2" xfId="105"/>
    <cellStyle name="Header2 2" xfId="419"/>
    <cellStyle name="Heading" xfId="106"/>
    <cellStyle name="Heading 1" xfId="224"/>
    <cellStyle name="Heading 2" xfId="225"/>
    <cellStyle name="Heading 3" xfId="226"/>
    <cellStyle name="Heading 4" xfId="227"/>
    <cellStyle name="Heading1" xfId="420"/>
    <cellStyle name="Heading2" xfId="421"/>
    <cellStyle name="Hyperlink_AheadBehind.xls Chart 23" xfId="107"/>
    <cellStyle name="Input" xfId="228"/>
    <cellStyle name="Input [yellow]" xfId="108"/>
    <cellStyle name="Input Cells" xfId="422"/>
    <cellStyle name="Input Cells 2" xfId="423"/>
    <cellStyle name="left" xfId="109"/>
    <cellStyle name="left 2" xfId="424"/>
    <cellStyle name="Link Currency (0)" xfId="110"/>
    <cellStyle name="Link Currency (2)" xfId="111"/>
    <cellStyle name="Link Units (0)" xfId="112"/>
    <cellStyle name="Link Units (1)" xfId="113"/>
    <cellStyle name="Link Units (2)" xfId="114"/>
    <cellStyle name="Linked Cell" xfId="229"/>
    <cellStyle name="Linked Cells" xfId="425"/>
    <cellStyle name="Linked Cells 2" xfId="426"/>
    <cellStyle name="Millares [0]_laroux" xfId="115"/>
    <cellStyle name="Millares_laroux" xfId="116"/>
    <cellStyle name="Milliers [0]_!!!GO" xfId="427"/>
    <cellStyle name="Milliers_!!!GO" xfId="428"/>
    <cellStyle name="Model" xfId="117"/>
    <cellStyle name="Moneda [0]_laroux" xfId="118"/>
    <cellStyle name="Moneda_laroux" xfId="119"/>
    <cellStyle name="Monétaire [0]_!!!GO" xfId="429"/>
    <cellStyle name="Monétaire_!!!GO" xfId="430"/>
    <cellStyle name="Mon閠aire [0]_laroux" xfId="120"/>
    <cellStyle name="Mon閠aire_laroux" xfId="121"/>
    <cellStyle name="Neutral" xfId="230"/>
    <cellStyle name="New Times Roman" xfId="431"/>
    <cellStyle name="no dec" xfId="122"/>
    <cellStyle name="Non défini" xfId="123"/>
    <cellStyle name="Normal - Style1" xfId="124"/>
    <cellStyle name="Normal 2" xfId="231"/>
    <cellStyle name="Normal 2 2" xfId="232"/>
    <cellStyle name="Normal 21" xfId="125"/>
    <cellStyle name="Normal 3 2" xfId="233"/>
    <cellStyle name="Normal_ rislugp" xfId="126"/>
    <cellStyle name="Normalny_Arkusz1" xfId="127"/>
    <cellStyle name="Note" xfId="234"/>
    <cellStyle name="Œ…‹æØ‚è [0.00]_Region Orders (2)" xfId="432"/>
    <cellStyle name="Œ…‹æØ‚è_Region Orders (2)" xfId="433"/>
    <cellStyle name="Output" xfId="235"/>
    <cellStyle name="per.style" xfId="434"/>
    <cellStyle name="Percent (0)" xfId="128"/>
    <cellStyle name="Percent [0]" xfId="129"/>
    <cellStyle name="Percent [00]" xfId="130"/>
    <cellStyle name="Percent [2]" xfId="131"/>
    <cellStyle name="Percent 2" xfId="695"/>
    <cellStyle name="Percent_!!!GO" xfId="435"/>
    <cellStyle name="Pourcentage_pldt" xfId="436"/>
    <cellStyle name="Prefilled" xfId="132"/>
    <cellStyle name="Prefilled 2" xfId="437"/>
    <cellStyle name="PrePop Currency (0)" xfId="133"/>
    <cellStyle name="PrePop Currency (2)" xfId="134"/>
    <cellStyle name="PrePop Units (0)" xfId="135"/>
    <cellStyle name="PrePop Units (1)" xfId="136"/>
    <cellStyle name="PrePop Units (2)" xfId="137"/>
    <cellStyle name="price" xfId="138"/>
    <cellStyle name="pricing" xfId="438"/>
    <cellStyle name="pricing 2" xfId="439"/>
    <cellStyle name="PSChar" xfId="440"/>
    <cellStyle name="PSHeading" xfId="441"/>
    <cellStyle name="Red" xfId="139"/>
    <cellStyle name="revised" xfId="140"/>
    <cellStyle name="RevList" xfId="442"/>
    <cellStyle name="RevList 2" xfId="443"/>
    <cellStyle name="row_def_array" xfId="444"/>
    <cellStyle name="S4" xfId="445"/>
    <cellStyle name="S5" xfId="446"/>
    <cellStyle name="SAPBEXaggData" xfId="447"/>
    <cellStyle name="SAPBEXaggDataEmph" xfId="448"/>
    <cellStyle name="SAPBEXaggItem" xfId="449"/>
    <cellStyle name="SAPBEXaggItemX" xfId="450"/>
    <cellStyle name="SAPBEXchaText" xfId="451"/>
    <cellStyle name="SAPBEXexcBad7" xfId="452"/>
    <cellStyle name="SAPBEXexcBad8" xfId="453"/>
    <cellStyle name="SAPBEXexcBad9" xfId="454"/>
    <cellStyle name="SAPBEXexcCritical4" xfId="455"/>
    <cellStyle name="SAPBEXexcCritical5" xfId="456"/>
    <cellStyle name="SAPBEXexcCritical6" xfId="457"/>
    <cellStyle name="SAPBEXexcGood1" xfId="458"/>
    <cellStyle name="SAPBEXexcGood2" xfId="459"/>
    <cellStyle name="SAPBEXexcGood3" xfId="460"/>
    <cellStyle name="SAPBEXfilterDrill" xfId="461"/>
    <cellStyle name="SAPBEXfilterItem" xfId="462"/>
    <cellStyle name="SAPBEXfilterText" xfId="463"/>
    <cellStyle name="SAPBEXformats" xfId="464"/>
    <cellStyle name="SAPBEXheaderItem" xfId="465"/>
    <cellStyle name="SAPBEXheaderText" xfId="466"/>
    <cellStyle name="SAPBEXHLevel0" xfId="467"/>
    <cellStyle name="SAPBEXHLevel0X" xfId="468"/>
    <cellStyle name="SAPBEXHLevel1" xfId="469"/>
    <cellStyle name="SAPBEXHLevel1X" xfId="470"/>
    <cellStyle name="SAPBEXHLevel2" xfId="471"/>
    <cellStyle name="SAPBEXHLevel2X" xfId="472"/>
    <cellStyle name="SAPBEXHLevel3" xfId="473"/>
    <cellStyle name="SAPBEXHLevel3X" xfId="474"/>
    <cellStyle name="SAPBEXresData" xfId="475"/>
    <cellStyle name="SAPBEXresDataEmph" xfId="476"/>
    <cellStyle name="SAPBEXresItem" xfId="477"/>
    <cellStyle name="SAPBEXresItemX" xfId="478"/>
    <cellStyle name="SAPBEXstdData" xfId="479"/>
    <cellStyle name="SAPBEXstdDataEmph" xfId="480"/>
    <cellStyle name="SAPBEXstdItem" xfId="481"/>
    <cellStyle name="SAPBEXstdItemX" xfId="482"/>
    <cellStyle name="SAPBEXtitle" xfId="483"/>
    <cellStyle name="SAPBEXundefined" xfId="484"/>
    <cellStyle name="section" xfId="141"/>
    <cellStyle name="section 2" xfId="485"/>
    <cellStyle name="SOR" xfId="142"/>
    <cellStyle name="Standard_AREAS" xfId="486"/>
    <cellStyle name="style" xfId="143"/>
    <cellStyle name="style 2" xfId="487"/>
    <cellStyle name="style1" xfId="144"/>
    <cellStyle name="style1 2" xfId="488"/>
    <cellStyle name="style2" xfId="145"/>
    <cellStyle name="style2 2" xfId="489"/>
    <cellStyle name="subhead" xfId="146"/>
    <cellStyle name="Subtotal" xfId="490"/>
    <cellStyle name="Text Indent A" xfId="147"/>
    <cellStyle name="Text Indent B" xfId="148"/>
    <cellStyle name="Text Indent C" xfId="149"/>
    <cellStyle name="Tickmark" xfId="150"/>
    <cellStyle name="Tickmark 2" xfId="491"/>
    <cellStyle name="title" xfId="151"/>
    <cellStyle name="title 2" xfId="492"/>
    <cellStyle name="Total" xfId="236"/>
    <cellStyle name="Tusental (0)_pldt" xfId="493"/>
    <cellStyle name="Tusental_pldt" xfId="494"/>
    <cellStyle name="Valuta (0)_pldt" xfId="495"/>
    <cellStyle name="Valuta_pldt" xfId="496"/>
    <cellStyle name="Warning Text" xfId="237"/>
    <cellStyle name="wrap" xfId="152"/>
    <cellStyle name="wrap 2" xfId="497"/>
    <cellStyle name="パーセント_laroux" xfId="153"/>
    <cellStyle name="_PLDT" xfId="154"/>
    <cellStyle name="_laroux" xfId="498"/>
    <cellStyle name="だ[0]_PLDT" xfId="155"/>
    <cellStyle name="だ_PLDT" xfId="156"/>
    <cellStyle name="だ[0]_Total (2)" xfId="157"/>
    <cellStyle name="だ_laroux" xfId="499"/>
    <cellStyle name="百分比" xfId="2" builtinId="5"/>
    <cellStyle name="百分比 2" xfId="158"/>
    <cellStyle name="百分比 2 2" xfId="500"/>
    <cellStyle name="百分比 2 2 2" xfId="691"/>
    <cellStyle name="百分比 2 3" xfId="501"/>
    <cellStyle name="百分比 3" xfId="159"/>
    <cellStyle name="百分比 3 2" xfId="502"/>
    <cellStyle name="捠壿 [0.00]_PRODUCT DETAIL Q1" xfId="503"/>
    <cellStyle name="捠壿_PRODUCT DETAIL Q1" xfId="504"/>
    <cellStyle name="標準_１１月価格表" xfId="160"/>
    <cellStyle name="表标题" xfId="505"/>
    <cellStyle name="差_10存货" xfId="506"/>
    <cellStyle name="差_19-无形资产（空白模板）" xfId="507"/>
    <cellStyle name="差_2-交易性金融资产（空白模板）" xfId="508"/>
    <cellStyle name="差_2应收账款" xfId="509"/>
    <cellStyle name="差_3-2 进一步审计程序-采购与付款循环" xfId="510"/>
    <cellStyle name="差_3-3 进一步审计程序-存货与生产循环" xfId="511"/>
    <cellStyle name="差_37-长期借款（空白模板）" xfId="512"/>
    <cellStyle name="差_49-营业收入（空白模板）" xfId="513"/>
    <cellStyle name="差_4-应收账款（空白模板）" xfId="514"/>
    <cellStyle name="差_50-营业成本（空白模板）" xfId="515"/>
    <cellStyle name="差_51-营业税金及附加（空白模板）" xfId="516"/>
    <cellStyle name="差_54-财务费用（空白模板）" xfId="517"/>
    <cellStyle name="差_55-资产减值损失（空白模板）" xfId="518"/>
    <cellStyle name="差_9管理费用" xfId="519"/>
    <cellStyle name="差_Book2" xfId="520"/>
    <cellStyle name="差_dxn底稿目录" xfId="521"/>
    <cellStyle name="差_Sheet1" xfId="522"/>
    <cellStyle name="差_StartUp" xfId="523"/>
    <cellStyle name="差_T1000-主营业务收入-LJCH" xfId="161"/>
    <cellStyle name="差_Z14-长期应收款（函证汇总表样本）" xfId="524"/>
    <cellStyle name="差_ZA0货币资金审定表 " xfId="525"/>
    <cellStyle name="差_财务费用" xfId="526"/>
    <cellStyle name="差_程序表模版" xfId="527"/>
    <cellStyle name="差_存货" xfId="528"/>
    <cellStyle name="差_大信底稿目录" xfId="529"/>
    <cellStyle name="差_底稿设置宏" xfId="530"/>
    <cellStyle name="差_管理费用" xfId="531"/>
    <cellStyle name="差_货币资金" xfId="532"/>
    <cellStyle name="差_货币资金 天职" xfId="533"/>
    <cellStyle name="差_货币资金 岳华" xfId="534"/>
    <cellStyle name="差_其他应付款" xfId="535"/>
    <cellStyle name="差_其他应付款—YH" xfId="536"/>
    <cellStyle name="差_未分配利润" xfId="537"/>
    <cellStyle name="差_无形资产" xfId="538"/>
    <cellStyle name="差_应付账款" xfId="540"/>
    <cellStyle name="差_应付职工薪酬" xfId="541"/>
    <cellStyle name="差_应收账款" xfId="542"/>
    <cellStyle name="差_盈余公积" xfId="539"/>
    <cellStyle name="差_长期应付款" xfId="543"/>
    <cellStyle name="差_账项明细表" xfId="544"/>
    <cellStyle name="差_资本公积" xfId="545"/>
    <cellStyle name="差_资产负债标准底稿" xfId="546"/>
    <cellStyle name="差_资产负债类底稿模版" xfId="547"/>
    <cellStyle name="差_子公司附注汇总(房开公司)" xfId="548"/>
    <cellStyle name="常规" xfId="0" builtinId="0"/>
    <cellStyle name="常规 10" xfId="249"/>
    <cellStyle name="常规 10 2" xfId="549"/>
    <cellStyle name="常规 10 3" xfId="550"/>
    <cellStyle name="常规 10 4" xfId="551"/>
    <cellStyle name="常规 11 2" xfId="552"/>
    <cellStyle name="常规 11 3" xfId="553"/>
    <cellStyle name="常规 11 4" xfId="554"/>
    <cellStyle name="常规 12 2" xfId="555"/>
    <cellStyle name="常规 12 3" xfId="556"/>
    <cellStyle name="常规 12 4" xfId="557"/>
    <cellStyle name="常规 13 2" xfId="558"/>
    <cellStyle name="常规 13 3" xfId="559"/>
    <cellStyle name="常规 13 4" xfId="560"/>
    <cellStyle name="常规 2" xfId="162"/>
    <cellStyle name="常规 2 2" xfId="238"/>
    <cellStyle name="常规 2 2 2" xfId="239"/>
    <cellStyle name="常规 2 2 2 2" xfId="561"/>
    <cellStyle name="常规 2 2 3" xfId="562"/>
    <cellStyle name="常规 2 2 3 2" xfId="563"/>
    <cellStyle name="常规 2 2 3 3" xfId="564"/>
    <cellStyle name="常规 2 2 4" xfId="565"/>
    <cellStyle name="常规 2 2 5" xfId="696"/>
    <cellStyle name="常规 2 3" xfId="240"/>
    <cellStyle name="常规 2 3 2" xfId="566"/>
    <cellStyle name="常规 2 3 3" xfId="567"/>
    <cellStyle name="常规 2 3 4" xfId="247"/>
    <cellStyle name="常规 2 4" xfId="568"/>
    <cellStyle name="常规 2 5" xfId="569"/>
    <cellStyle name="常规 2 6" xfId="570"/>
    <cellStyle name="常规 2 7" xfId="571"/>
    <cellStyle name="常规 2 8" xfId="192"/>
    <cellStyle name="常规 2 8 2" xfId="699"/>
    <cellStyle name="常规 2 9" xfId="697"/>
    <cellStyle name="常规 2_10存货" xfId="572"/>
    <cellStyle name="常规 3" xfId="163"/>
    <cellStyle name="常规 3 2" xfId="191"/>
    <cellStyle name="常规 3 2 2" xfId="194"/>
    <cellStyle name="常规 3 2 2 2" xfId="573"/>
    <cellStyle name="常规 3 2 3" xfId="574"/>
    <cellStyle name="常规 3 3" xfId="193"/>
    <cellStyle name="常规 3 4" xfId="575"/>
    <cellStyle name="常规 3_10存货" xfId="576"/>
    <cellStyle name="常规 4" xfId="164"/>
    <cellStyle name="常规 4 2" xfId="245"/>
    <cellStyle name="常规 4 3" xfId="577"/>
    <cellStyle name="常规 4 4" xfId="578"/>
    <cellStyle name="常规 5" xfId="165"/>
    <cellStyle name="常规 5 2" xfId="241"/>
    <cellStyle name="常规 5 3" xfId="579"/>
    <cellStyle name="常规 5 4" xfId="580"/>
    <cellStyle name="常规 6" xfId="190"/>
    <cellStyle name="常规 6 2" xfId="242"/>
    <cellStyle name="常规 6 2 2" xfId="581"/>
    <cellStyle name="常规 6 2 3" xfId="582"/>
    <cellStyle name="常规 6 3" xfId="583"/>
    <cellStyle name="常规 6 3 2" xfId="584"/>
    <cellStyle name="常规 6 3 2 2" xfId="585"/>
    <cellStyle name="常规 6 3 3" xfId="586"/>
    <cellStyle name="常规 6 4" xfId="587"/>
    <cellStyle name="常规 6 4 2" xfId="588"/>
    <cellStyle name="常规 6 5" xfId="589"/>
    <cellStyle name="常规 6 6" xfId="590"/>
    <cellStyle name="常规 7" xfId="591"/>
    <cellStyle name="常规 7 2" xfId="592"/>
    <cellStyle name="常规 7 2 2" xfId="593"/>
    <cellStyle name="常规 7 3" xfId="594"/>
    <cellStyle name="常规 7 4" xfId="595"/>
    <cellStyle name="常规 8" xfId="596"/>
    <cellStyle name="常规 8 2" xfId="597"/>
    <cellStyle name="常规 8 3" xfId="598"/>
    <cellStyle name="常规 8 4" xfId="599"/>
    <cellStyle name="常规 9" xfId="600"/>
    <cellStyle name="常规 9 2" xfId="601"/>
    <cellStyle name="常规 9 3" xfId="602"/>
    <cellStyle name="常规 9 4" xfId="603"/>
    <cellStyle name="常规_2-1项目审定表－模板" xfId="692"/>
    <cellStyle name="常规_Book1" xfId="187"/>
    <cellStyle name="常规_Book1 2" xfId="246"/>
    <cellStyle name="常规_c-资产类" xfId="5"/>
    <cellStyle name="常规_sheet" xfId="694"/>
    <cellStyle name="常规_进一步审计程序--销售与收款循环" xfId="188"/>
    <cellStyle name="常规_进一步审计程序--销售与收款循环 2" xfId="698"/>
    <cellStyle name="常规_新审定表" xfId="3"/>
    <cellStyle name="常规_制造费用 2" xfId="248"/>
    <cellStyle name="超级链接_A4应收账款" xfId="604"/>
    <cellStyle name="超链接" xfId="4" builtinId="8"/>
    <cellStyle name="超链接 2" xfId="166"/>
    <cellStyle name="超链接 2 2" xfId="243"/>
    <cellStyle name="超链接 2 3" xfId="605"/>
    <cellStyle name="超链接 3" xfId="189"/>
    <cellStyle name="分级显示行_1_4附件二凯旋评估表" xfId="167"/>
    <cellStyle name="好_10存货" xfId="606"/>
    <cellStyle name="好_19-无形资产（空白模板）" xfId="607"/>
    <cellStyle name="好_1财务费用" xfId="608"/>
    <cellStyle name="好_1营业收入" xfId="609"/>
    <cellStyle name="好_1资产减值损失" xfId="610"/>
    <cellStyle name="好_2-交易性金融资产（空白模板）" xfId="611"/>
    <cellStyle name="好_2应收账款" xfId="612"/>
    <cellStyle name="好_3-2 进一步审计程序-采购与付款循环" xfId="613"/>
    <cellStyle name="好_3-3 进一步审计程序-存货与生产循环" xfId="614"/>
    <cellStyle name="好_37-长期借款（空白模板）" xfId="615"/>
    <cellStyle name="好_49-营业收入（空白模板）" xfId="616"/>
    <cellStyle name="好_4-应收账款（空白模板）" xfId="617"/>
    <cellStyle name="好_50-营业成本（空白模板）" xfId="618"/>
    <cellStyle name="好_51-营业税金及附加（空白模板）" xfId="619"/>
    <cellStyle name="好_54-财务费用（空白模板）" xfId="620"/>
    <cellStyle name="好_55-资产减值损失（空白模板）" xfId="621"/>
    <cellStyle name="好_9管理费用" xfId="622"/>
    <cellStyle name="好_Book2" xfId="623"/>
    <cellStyle name="好_Sheet1" xfId="624"/>
    <cellStyle name="好_StartUp" xfId="625"/>
    <cellStyle name="好_T1000-主营业务收入" xfId="168"/>
    <cellStyle name="好_Z14-长期应收款（函证汇总表样本）" xfId="626"/>
    <cellStyle name="好_ZA0货币资金审定表 " xfId="627"/>
    <cellStyle name="好_财务费用" xfId="628"/>
    <cellStyle name="好_程序表模版" xfId="629"/>
    <cellStyle name="好_存货" xfId="630"/>
    <cellStyle name="好_存货 - 复制" xfId="631"/>
    <cellStyle name="好_大信底稿目录" xfId="632"/>
    <cellStyle name="好_底稿设置宏" xfId="633"/>
    <cellStyle name="好_底稿设置宏_大信底稿目录" xfId="634"/>
    <cellStyle name="好_管理费用" xfId="635"/>
    <cellStyle name="好_货币资金" xfId="636"/>
    <cellStyle name="好_货币资金 天职" xfId="637"/>
    <cellStyle name="好_货币资金 岳华" xfId="638"/>
    <cellStyle name="好_其他应付款" xfId="639"/>
    <cellStyle name="好_其他应付款—YH" xfId="640"/>
    <cellStyle name="好_其他应收款" xfId="641"/>
    <cellStyle name="好_实收资本(股本)" xfId="642"/>
    <cellStyle name="好_未分配利润" xfId="643"/>
    <cellStyle name="好_无形资产" xfId="644"/>
    <cellStyle name="好_银行函证结果汇总表" xfId="645"/>
    <cellStyle name="好_应付债券" xfId="648"/>
    <cellStyle name="好_应付账款" xfId="649"/>
    <cellStyle name="好_应付职工薪酬" xfId="650"/>
    <cellStyle name="好_应收利息" xfId="651"/>
    <cellStyle name="好_应收账款" xfId="652"/>
    <cellStyle name="好_盈余公积" xfId="646"/>
    <cellStyle name="好_营业收入" xfId="647"/>
    <cellStyle name="好_预收款项" xfId="653"/>
    <cellStyle name="好_长期借款—TZ" xfId="654"/>
    <cellStyle name="好_长期应付款" xfId="655"/>
    <cellStyle name="好_账项明细表" xfId="656"/>
    <cellStyle name="好_资本公积" xfId="657"/>
    <cellStyle name="好_资产负债标准底稿" xfId="658"/>
    <cellStyle name="好_资产负债标准底稿_大信底稿目录" xfId="659"/>
    <cellStyle name="好_资产负债类底稿模版" xfId="660"/>
    <cellStyle name="好_资产负债类底稿模版_大信底稿目录" xfId="661"/>
    <cellStyle name="好_资产减值损失" xfId="662"/>
    <cellStyle name="好_子公司附注汇总(房开公司)" xfId="663"/>
    <cellStyle name="桁区切り [0.00]_１１月価格表" xfId="169"/>
    <cellStyle name="桁区切り_１１月価格表" xfId="170"/>
    <cellStyle name="貨幣 [0]_SGV" xfId="664"/>
    <cellStyle name="貨幣_SGV" xfId="665"/>
    <cellStyle name="霓付 [0]_1202" xfId="666"/>
    <cellStyle name="霓付_1202" xfId="667"/>
    <cellStyle name="妞" xfId="668"/>
    <cellStyle name="欧" xfId="669"/>
    <cellStyle name="烹拳 [0]_1202" xfId="670"/>
    <cellStyle name="烹拳_1202" xfId="671"/>
    <cellStyle name="砯刽 [0]_PLDT" xfId="171"/>
    <cellStyle name="砯刽_PLDT" xfId="172"/>
    <cellStyle name="普通_ 白土" xfId="173"/>
    <cellStyle name="千分位[0]_ 白土" xfId="174"/>
    <cellStyle name="千分位_ 白土" xfId="175"/>
    <cellStyle name="千位[0]_ 应交税金审定表" xfId="176"/>
    <cellStyle name="千位_ 应交税金审定表" xfId="177"/>
    <cellStyle name="千位分隔" xfId="1" builtinId="3"/>
    <cellStyle name="千位分隔 2" xfId="178"/>
    <cellStyle name="千位分隔 2 2" xfId="672"/>
    <cellStyle name="千位分隔 2 3" xfId="673"/>
    <cellStyle name="千位分隔 2 3 2" xfId="674"/>
    <cellStyle name="千位分隔 2 4" xfId="675"/>
    <cellStyle name="千位分隔 3" xfId="244"/>
    <cellStyle name="千位分隔 3 2" xfId="676"/>
    <cellStyle name="千位分隔 3 3" xfId="677"/>
    <cellStyle name="千位分隔 4" xfId="678"/>
    <cellStyle name="千位分隔 5" xfId="679"/>
    <cellStyle name="千位分隔 6" xfId="693"/>
    <cellStyle name="千位分隔[0] 2" xfId="680"/>
    <cellStyle name="钎霖_(沥焊何巩)岿喊牢盔拌裙" xfId="681"/>
    <cellStyle name="强调 1" xfId="682"/>
    <cellStyle name="强调 2" xfId="683"/>
    <cellStyle name="强调 3" xfId="684"/>
    <cellStyle name="通貨 [0.00]_１１月価格表" xfId="179"/>
    <cellStyle name="通貨_１１月価格表" xfId="180"/>
    <cellStyle name="样式 1" xfId="181"/>
    <cellStyle name="样式 1 2" xfId="685"/>
    <cellStyle name="一般_SGV" xfId="686"/>
    <cellStyle name="昗弨_BOOKSHIP" xfId="687"/>
    <cellStyle name="寘嬫愗傝 [0.00]_PRODUCT DETAIL Q1" xfId="688"/>
    <cellStyle name="寘嬫愗傝_PRODUCT DETAIL Q1" xfId="689"/>
    <cellStyle name="资产" xfId="690"/>
    <cellStyle name="콤마 [0]_BOILER-CO1" xfId="182"/>
    <cellStyle name="콤마_BOILER-CO1" xfId="183"/>
    <cellStyle name="통화 [0]_BOILER-CO1" xfId="184"/>
    <cellStyle name="통화_BOILER-CO1" xfId="185"/>
    <cellStyle name="표준_0N-HANDLING " xfId="186"/>
  </cellStyles>
  <dxfs count="0"/>
  <tableStyles count="0" defaultTableStyle="TableStyleMedium2" defaultPivotStyle="PivotStyleLight16"/>
  <colors>
    <mruColors>
      <color rgb="FFE4DFEC"/>
      <color rgb="FFFFFF66"/>
      <color rgb="FF0000FF"/>
      <color rgb="FFFFFFCC"/>
      <color rgb="FFFF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23"/>
  <sheetViews>
    <sheetView tabSelected="1" workbookViewId="0">
      <selection activeCell="H10" sqref="H10"/>
    </sheetView>
  </sheetViews>
  <sheetFormatPr defaultColWidth="9" defaultRowHeight="20.100000000000001" customHeight="1"/>
  <cols>
    <col min="1" max="1" width="77.6640625" style="30" customWidth="1"/>
    <col min="2" max="2" width="2" style="30" customWidth="1"/>
    <col min="3" max="3" width="2.109375" style="30" customWidth="1"/>
    <col min="4" max="4" width="6.109375" style="28" customWidth="1"/>
    <col min="5" max="5" width="33.33203125" style="28" customWidth="1"/>
    <col min="6" max="6" width="11" style="28" customWidth="1"/>
    <col min="7" max="16384" width="9" style="29"/>
  </cols>
  <sheetData>
    <row r="1" spans="1:8" s="292" customFormat="1" ht="20.100000000000001" customHeight="1">
      <c r="A1" s="290" t="s">
        <v>14</v>
      </c>
      <c r="B1" s="291"/>
      <c r="C1" s="291"/>
    </row>
    <row r="2" spans="1:8" s="94" customFormat="1" ht="20.100000000000001" customHeight="1">
      <c r="A2" s="27" t="s">
        <v>436</v>
      </c>
      <c r="B2" s="293"/>
      <c r="C2" s="293"/>
      <c r="D2" s="28"/>
      <c r="E2" s="28"/>
      <c r="F2" s="28"/>
      <c r="G2" s="91"/>
      <c r="H2" s="91"/>
    </row>
    <row r="3" spans="1:8" s="94" customFormat="1" ht="20.100000000000001" customHeight="1">
      <c r="A3" s="420" t="s">
        <v>482</v>
      </c>
      <c r="B3" s="293"/>
      <c r="C3" s="293"/>
      <c r="D3" s="95" t="s">
        <v>15</v>
      </c>
      <c r="E3" s="96" t="s">
        <v>16</v>
      </c>
      <c r="F3" s="95" t="s">
        <v>100</v>
      </c>
      <c r="G3" s="91"/>
      <c r="H3" s="294"/>
    </row>
    <row r="4" spans="1:8" s="94" customFormat="1" ht="20.100000000000001" customHeight="1">
      <c r="A4" s="27" t="s">
        <v>17</v>
      </c>
      <c r="B4" s="295"/>
      <c r="C4" s="295"/>
      <c r="D4" s="92"/>
      <c r="E4" s="296" t="s">
        <v>176</v>
      </c>
      <c r="F4" s="386" t="s">
        <v>244</v>
      </c>
      <c r="G4" s="91"/>
      <c r="H4" s="297"/>
    </row>
    <row r="5" spans="1:8" s="94" customFormat="1" ht="20.100000000000001" customHeight="1">
      <c r="A5" s="135" t="s">
        <v>178</v>
      </c>
      <c r="B5" s="28"/>
      <c r="C5" s="28"/>
      <c r="D5" s="92">
        <v>1</v>
      </c>
      <c r="E5" s="296" t="s">
        <v>18</v>
      </c>
      <c r="F5" s="386" t="s">
        <v>311</v>
      </c>
      <c r="G5" s="93" t="s">
        <v>101</v>
      </c>
      <c r="H5" s="93"/>
    </row>
    <row r="6" spans="1:8" s="94" customFormat="1" ht="20.100000000000001" customHeight="1">
      <c r="A6" s="135" t="s">
        <v>24</v>
      </c>
      <c r="B6" s="28"/>
      <c r="C6" s="28"/>
      <c r="D6" s="92">
        <v>2</v>
      </c>
      <c r="E6" s="298" t="s">
        <v>19</v>
      </c>
      <c r="F6" s="386"/>
      <c r="G6" s="94" t="s">
        <v>101</v>
      </c>
    </row>
    <row r="7" spans="1:8" s="94" customFormat="1" ht="20.100000000000001" customHeight="1">
      <c r="A7" s="135" t="s">
        <v>179</v>
      </c>
      <c r="B7" s="28"/>
      <c r="C7" s="28"/>
      <c r="D7" s="92">
        <v>3</v>
      </c>
      <c r="E7" s="298" t="s">
        <v>20</v>
      </c>
      <c r="F7" s="386"/>
    </row>
    <row r="8" spans="1:8" s="94" customFormat="1" ht="20.100000000000001" customHeight="1">
      <c r="A8" s="299"/>
      <c r="B8" s="28"/>
      <c r="C8" s="28"/>
      <c r="D8" s="92">
        <v>4</v>
      </c>
      <c r="E8" s="298" t="s">
        <v>247</v>
      </c>
      <c r="F8" s="386" t="s">
        <v>316</v>
      </c>
    </row>
    <row r="9" spans="1:8" s="94" customFormat="1" ht="20.100000000000001" customHeight="1">
      <c r="A9" s="421" t="s">
        <v>483</v>
      </c>
      <c r="B9" s="28"/>
      <c r="C9" s="28"/>
      <c r="D9" s="92">
        <v>5</v>
      </c>
      <c r="E9" s="298" t="s">
        <v>432</v>
      </c>
      <c r="F9" s="386" t="s">
        <v>312</v>
      </c>
    </row>
    <row r="10" spans="1:8" s="94" customFormat="1" ht="20.100000000000001" customHeight="1">
      <c r="A10" s="435" t="s">
        <v>484</v>
      </c>
      <c r="B10" s="28"/>
      <c r="C10" s="28"/>
      <c r="D10" s="92">
        <v>6</v>
      </c>
      <c r="E10" s="298" t="s">
        <v>196</v>
      </c>
      <c r="F10" s="386" t="s">
        <v>313</v>
      </c>
    </row>
    <row r="11" spans="1:8" s="94" customFormat="1" ht="20.100000000000001" customHeight="1">
      <c r="A11" s="435"/>
      <c r="B11" s="28"/>
      <c r="C11" s="28"/>
      <c r="D11" s="92">
        <v>7</v>
      </c>
      <c r="E11" s="298" t="s">
        <v>317</v>
      </c>
      <c r="F11" s="386" t="s">
        <v>314</v>
      </c>
    </row>
    <row r="12" spans="1:8" s="94" customFormat="1" ht="20.100000000000001" customHeight="1">
      <c r="A12" s="435"/>
      <c r="B12" s="28"/>
      <c r="C12" s="28"/>
      <c r="D12" s="92">
        <v>8</v>
      </c>
      <c r="E12" s="298" t="s">
        <v>315</v>
      </c>
      <c r="F12" s="386" t="s">
        <v>245</v>
      </c>
    </row>
    <row r="13" spans="1:8" s="94" customFormat="1" ht="20.100000000000001" customHeight="1">
      <c r="A13" s="435"/>
      <c r="B13" s="28"/>
      <c r="C13" s="28"/>
      <c r="D13" s="92">
        <v>9</v>
      </c>
      <c r="E13" s="296" t="s">
        <v>96</v>
      </c>
      <c r="F13" s="386" t="s">
        <v>246</v>
      </c>
    </row>
    <row r="14" spans="1:8" s="94" customFormat="1" ht="20.100000000000001" customHeight="1">
      <c r="A14" s="435" t="s">
        <v>485</v>
      </c>
      <c r="B14" s="28"/>
      <c r="C14" s="28"/>
      <c r="D14" s="92">
        <v>10</v>
      </c>
      <c r="E14" s="298" t="s">
        <v>184</v>
      </c>
      <c r="F14" s="386" t="s">
        <v>433</v>
      </c>
    </row>
    <row r="15" spans="1:8" s="94" customFormat="1" ht="20.100000000000001" customHeight="1">
      <c r="A15" s="435"/>
      <c r="B15" s="28"/>
      <c r="C15" s="28"/>
      <c r="D15" s="300"/>
      <c r="E15" s="301"/>
      <c r="F15" s="28"/>
    </row>
    <row r="16" spans="1:8" ht="15.6">
      <c r="A16" s="435"/>
      <c r="D16" s="31"/>
      <c r="E16" s="32"/>
    </row>
    <row r="17" spans="1:5" ht="15.6">
      <c r="A17" s="436" t="s">
        <v>486</v>
      </c>
      <c r="D17" s="31"/>
      <c r="E17" s="33"/>
    </row>
    <row r="18" spans="1:5" ht="20.100000000000001" customHeight="1">
      <c r="A18" s="436"/>
      <c r="D18" s="31"/>
      <c r="E18" s="33"/>
    </row>
    <row r="19" spans="1:5" ht="15.6">
      <c r="A19" s="436"/>
      <c r="D19" s="31"/>
      <c r="E19" s="33"/>
    </row>
    <row r="20" spans="1:5" ht="15.6">
      <c r="D20" s="31"/>
      <c r="E20" s="33"/>
    </row>
    <row r="21" spans="1:5" ht="20.100000000000001" customHeight="1">
      <c r="D21" s="31"/>
      <c r="E21" s="33"/>
    </row>
    <row r="22" spans="1:5" ht="20.100000000000001" customHeight="1">
      <c r="D22" s="31"/>
      <c r="E22" s="34"/>
    </row>
    <row r="23" spans="1:5" ht="20.100000000000001" customHeight="1">
      <c r="D23" s="31"/>
      <c r="E23" s="34"/>
    </row>
  </sheetData>
  <mergeCells count="3">
    <mergeCell ref="A10:A13"/>
    <mergeCell ref="A14:A16"/>
    <mergeCell ref="A17:A19"/>
  </mergeCells>
  <phoneticPr fontId="3" type="noConversion"/>
  <hyperlinks>
    <hyperlink ref="E5" location="'审定表G2-1'!A1" display="审定表"/>
    <hyperlink ref="E6" location="'附注披露信息（上市公司）'!A1" display="附注披露信息（上市公司）"/>
    <hyperlink ref="E7" location="'附注披露信息（国企）'!A1" display="附注披露信息（国企）"/>
    <hyperlink ref="E8" location="'明细表G2-2'!A1" display="明细表"/>
    <hyperlink ref="E12" location="'长期未收回款项检查表G2-6'!A1" display="长期未收回款项检查表"/>
    <hyperlink ref="E10" location="'调整分录汇总G2-4'!A1" display="调整分录汇总"/>
    <hyperlink ref="E13" location="'应收利息坏账准备测算G2-7'!A1" display="应收利息坏账准备测算表"/>
    <hyperlink ref="E4" location="应收利息实质性程序表G2A!A1" display="应收利息实质性程序表"/>
    <hyperlink ref="E14" location="'凭证检查表G2-8'!A1" display="凭证检查表"/>
    <hyperlink ref="E9" location="'坏账准备明细表G2-3（新）'!A1" display="坏账准备明细表"/>
    <hyperlink ref="E11" location="'利息测算表G2-5'!A1" display="利息测算表"/>
  </hyperlinks>
  <printOptions horizontalCentered="1"/>
  <pageMargins left="0.74803149606299213" right="0.55118110236220474" top="0.98425196850393704" bottom="0.23622047244094491" header="0.51181102362204722" footer="0.19685039370078741"/>
  <pageSetup paperSize="9" scale="95" orientation="landscape" blackAndWhite="1" cellComments="atEnd" r:id="rId1"/>
  <headerFooter alignWithMargins="0">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M29"/>
  <sheetViews>
    <sheetView view="pageBreakPreview" topLeftCell="A22" zoomScaleNormal="100" zoomScaleSheetLayoutView="100" workbookViewId="0">
      <selection activeCell="B24" sqref="B24"/>
    </sheetView>
  </sheetViews>
  <sheetFormatPr defaultColWidth="9" defaultRowHeight="13.2"/>
  <cols>
    <col min="1" max="1" width="4.44140625" style="227" customWidth="1"/>
    <col min="2" max="2" width="69.77734375" style="129" customWidth="1"/>
    <col min="3" max="3" width="12.109375" style="129" customWidth="1"/>
    <col min="4" max="4" width="5.6640625" style="129" customWidth="1"/>
    <col min="5" max="5" width="6.5546875" style="129" customWidth="1"/>
    <col min="6" max="6" width="7" style="129" customWidth="1"/>
    <col min="7" max="7" width="7.33203125" style="129" customWidth="1"/>
    <col min="8" max="8" width="6.109375" style="129" customWidth="1"/>
    <col min="9" max="9" width="7.6640625" style="129" customWidth="1"/>
    <col min="10" max="16384" width="9" style="129"/>
  </cols>
  <sheetData>
    <row r="1" spans="1:9" s="244" customFormat="1" ht="19.95" customHeight="1">
      <c r="A1" s="441" t="s">
        <v>321</v>
      </c>
      <c r="B1" s="441"/>
      <c r="C1" s="441"/>
      <c r="D1" s="441"/>
      <c r="E1" s="441"/>
      <c r="F1" s="441"/>
      <c r="G1" s="441"/>
      <c r="H1" s="441"/>
      <c r="I1" s="441"/>
    </row>
    <row r="2" spans="1:9" s="251" customFormat="1" ht="19.95" customHeight="1">
      <c r="A2" s="442" t="s">
        <v>176</v>
      </c>
      <c r="B2" s="442"/>
      <c r="C2" s="442"/>
      <c r="D2" s="442"/>
      <c r="E2" s="442"/>
      <c r="F2" s="442"/>
      <c r="G2" s="442"/>
      <c r="H2" s="442"/>
      <c r="I2" s="442"/>
    </row>
    <row r="3" spans="1:9" s="350" customFormat="1" ht="19.95" customHeight="1">
      <c r="A3" s="443" t="str">
        <f>底稿目录!A2</f>
        <v>被审计单位：</v>
      </c>
      <c r="B3" s="443"/>
      <c r="C3" s="349" t="str">
        <f>底稿目录!A4</f>
        <v>编制人：</v>
      </c>
      <c r="F3" s="350" t="str">
        <f>底稿目录!A5</f>
        <v>编制日期：</v>
      </c>
      <c r="H3" s="349" t="s">
        <v>240</v>
      </c>
      <c r="I3" s="402" t="str">
        <f>底稿目录!F4</f>
        <v>G2A</v>
      </c>
    </row>
    <row r="4" spans="1:9" s="350" customFormat="1" ht="19.95" customHeight="1">
      <c r="A4" s="443" t="str">
        <f>底稿目录!A3</f>
        <v>截止日：202X年12月31日</v>
      </c>
      <c r="B4" s="443"/>
      <c r="C4" s="349" t="str">
        <f>底稿目录!A6</f>
        <v>复核人：</v>
      </c>
      <c r="F4" s="350" t="str">
        <f>底稿目录!A7</f>
        <v>复核日期：</v>
      </c>
      <c r="H4" s="349" t="s">
        <v>459</v>
      </c>
    </row>
    <row r="5" spans="1:9" ht="19.95" customHeight="1">
      <c r="A5" s="444" t="s">
        <v>162</v>
      </c>
      <c r="B5" s="444"/>
      <c r="C5" s="340"/>
      <c r="D5" s="340"/>
      <c r="E5" s="340"/>
      <c r="F5" s="340"/>
      <c r="G5" s="340"/>
      <c r="H5" s="340"/>
      <c r="I5" s="340"/>
    </row>
    <row r="6" spans="1:9" ht="19.95" customHeight="1">
      <c r="A6" s="437" t="s">
        <v>268</v>
      </c>
      <c r="B6" s="438"/>
      <c r="C6" s="438"/>
      <c r="D6" s="438"/>
      <c r="E6" s="438"/>
      <c r="F6" s="438"/>
      <c r="G6" s="438"/>
      <c r="H6" s="438"/>
      <c r="I6" s="438"/>
    </row>
    <row r="7" spans="1:9" s="128" customFormat="1" ht="19.95" customHeight="1">
      <c r="A7" s="302" t="s">
        <v>257</v>
      </c>
      <c r="B7" s="204"/>
      <c r="C7" s="205"/>
    </row>
    <row r="8" spans="1:9" s="128" customFormat="1" ht="19.95" customHeight="1">
      <c r="A8" s="457" t="s">
        <v>258</v>
      </c>
      <c r="B8" s="457"/>
      <c r="C8" s="457"/>
      <c r="D8" s="457"/>
      <c r="E8" s="457"/>
      <c r="F8" s="457"/>
      <c r="G8" s="439" t="s">
        <v>163</v>
      </c>
      <c r="H8" s="439"/>
      <c r="I8" s="439"/>
    </row>
    <row r="9" spans="1:9" s="128" customFormat="1" ht="19.95" customHeight="1">
      <c r="A9" s="458" t="s">
        <v>269</v>
      </c>
      <c r="B9" s="458"/>
      <c r="C9" s="458"/>
      <c r="D9" s="458"/>
      <c r="E9" s="458"/>
      <c r="F9" s="458"/>
      <c r="G9" s="440" t="s">
        <v>259</v>
      </c>
      <c r="H9" s="440"/>
      <c r="I9" s="440"/>
    </row>
    <row r="10" spans="1:9" s="128" customFormat="1" ht="19.95" customHeight="1">
      <c r="A10" s="458" t="s">
        <v>270</v>
      </c>
      <c r="B10" s="458"/>
      <c r="C10" s="458"/>
      <c r="D10" s="458"/>
      <c r="E10" s="458"/>
      <c r="F10" s="458"/>
      <c r="G10" s="440" t="s">
        <v>260</v>
      </c>
      <c r="H10" s="440"/>
      <c r="I10" s="440"/>
    </row>
    <row r="11" spans="1:9" s="128" customFormat="1" ht="19.95" customHeight="1">
      <c r="A11" s="458" t="s">
        <v>271</v>
      </c>
      <c r="B11" s="458"/>
      <c r="C11" s="458"/>
      <c r="D11" s="458"/>
      <c r="E11" s="458"/>
      <c r="F11" s="458"/>
      <c r="G11" s="440" t="s">
        <v>480</v>
      </c>
      <c r="H11" s="440"/>
      <c r="I11" s="440"/>
    </row>
    <row r="12" spans="1:9" s="128" customFormat="1" ht="19.95" customHeight="1">
      <c r="A12" s="458" t="s">
        <v>272</v>
      </c>
      <c r="B12" s="458"/>
      <c r="C12" s="458"/>
      <c r="D12" s="458"/>
      <c r="E12" s="458"/>
      <c r="F12" s="458"/>
      <c r="G12" s="440" t="s">
        <v>261</v>
      </c>
      <c r="H12" s="440"/>
      <c r="I12" s="440"/>
    </row>
    <row r="13" spans="1:9" s="128" customFormat="1" ht="19.95" customHeight="1">
      <c r="A13" s="458" t="s">
        <v>273</v>
      </c>
      <c r="B13" s="458"/>
      <c r="C13" s="458"/>
      <c r="D13" s="458"/>
      <c r="E13" s="458"/>
      <c r="F13" s="458"/>
      <c r="G13" s="440" t="s">
        <v>481</v>
      </c>
      <c r="H13" s="440"/>
      <c r="I13" s="440"/>
    </row>
    <row r="14" spans="1:9" s="128" customFormat="1" ht="19.95" customHeight="1">
      <c r="A14" s="448" t="s">
        <v>478</v>
      </c>
      <c r="B14" s="448"/>
      <c r="C14" s="205"/>
      <c r="D14" s="341"/>
      <c r="E14" s="341"/>
      <c r="F14" s="341"/>
      <c r="G14" s="341"/>
      <c r="H14" s="341"/>
      <c r="I14" s="341"/>
    </row>
    <row r="15" spans="1:9" s="128" customFormat="1" ht="21.6" customHeight="1">
      <c r="A15" s="449" t="s">
        <v>262</v>
      </c>
      <c r="B15" s="451" t="s">
        <v>164</v>
      </c>
      <c r="C15" s="451" t="s">
        <v>263</v>
      </c>
      <c r="D15" s="453" t="s">
        <v>264</v>
      </c>
      <c r="E15" s="454"/>
      <c r="F15" s="454"/>
      <c r="G15" s="454"/>
      <c r="H15" s="454"/>
      <c r="I15" s="455" t="s">
        <v>265</v>
      </c>
    </row>
    <row r="16" spans="1:9" s="128" customFormat="1" ht="36">
      <c r="A16" s="450"/>
      <c r="B16" s="452"/>
      <c r="C16" s="452"/>
      <c r="D16" s="206" t="s">
        <v>259</v>
      </c>
      <c r="E16" s="207" t="s">
        <v>260</v>
      </c>
      <c r="F16" s="342" t="s">
        <v>266</v>
      </c>
      <c r="G16" s="208" t="s">
        <v>261</v>
      </c>
      <c r="H16" s="342" t="s">
        <v>267</v>
      </c>
      <c r="I16" s="456"/>
    </row>
    <row r="17" spans="1:13" ht="120">
      <c r="A17" s="225" t="s">
        <v>165</v>
      </c>
      <c r="B17" s="209" t="s">
        <v>289</v>
      </c>
      <c r="C17" s="383" t="s">
        <v>166</v>
      </c>
      <c r="D17" s="210" t="s">
        <v>276</v>
      </c>
      <c r="E17" s="210" t="s">
        <v>276</v>
      </c>
      <c r="F17" s="212"/>
      <c r="G17" s="213" t="s">
        <v>277</v>
      </c>
      <c r="H17" s="332"/>
      <c r="I17" s="343" t="s">
        <v>470</v>
      </c>
    </row>
    <row r="18" spans="1:13" ht="48">
      <c r="A18" s="225" t="s">
        <v>274</v>
      </c>
      <c r="B18" s="209" t="s">
        <v>280</v>
      </c>
      <c r="C18" s="383" t="s">
        <v>166</v>
      </c>
      <c r="D18" s="378"/>
      <c r="E18" s="379" t="s">
        <v>279</v>
      </c>
      <c r="F18" s="380"/>
      <c r="G18" s="380" t="s">
        <v>279</v>
      </c>
      <c r="H18" s="332"/>
      <c r="I18" s="381" t="s">
        <v>471</v>
      </c>
    </row>
    <row r="19" spans="1:13" ht="48">
      <c r="A19" s="225" t="s">
        <v>167</v>
      </c>
      <c r="B19" s="134" t="s">
        <v>479</v>
      </c>
      <c r="C19" s="210" t="s">
        <v>284</v>
      </c>
      <c r="D19" s="379" t="s">
        <v>279</v>
      </c>
      <c r="E19" s="380" t="s">
        <v>279</v>
      </c>
      <c r="F19" s="380" t="s">
        <v>279</v>
      </c>
      <c r="G19" s="380" t="s">
        <v>279</v>
      </c>
      <c r="H19" s="132"/>
      <c r="I19" s="343"/>
    </row>
    <row r="20" spans="1:13" ht="48">
      <c r="A20" s="225" t="s">
        <v>168</v>
      </c>
      <c r="B20" s="131" t="s">
        <v>434</v>
      </c>
      <c r="C20" s="383" t="s">
        <v>166</v>
      </c>
      <c r="D20" s="379" t="s">
        <v>279</v>
      </c>
      <c r="E20" s="380"/>
      <c r="F20" s="384"/>
      <c r="G20" s="380" t="s">
        <v>279</v>
      </c>
      <c r="H20" s="132"/>
      <c r="I20" s="343" t="s">
        <v>472</v>
      </c>
    </row>
    <row r="21" spans="1:13" ht="27.6">
      <c r="A21" s="225" t="s">
        <v>286</v>
      </c>
      <c r="B21" s="131" t="s">
        <v>285</v>
      </c>
      <c r="C21" s="383" t="s">
        <v>166</v>
      </c>
      <c r="D21" s="380" t="s">
        <v>279</v>
      </c>
      <c r="E21" s="380" t="s">
        <v>279</v>
      </c>
      <c r="F21" s="384"/>
      <c r="G21" s="380" t="s">
        <v>279</v>
      </c>
      <c r="H21" s="132"/>
      <c r="I21" s="343" t="s">
        <v>473</v>
      </c>
    </row>
    <row r="22" spans="1:13" ht="58.2" customHeight="1">
      <c r="A22" s="225" t="s">
        <v>169</v>
      </c>
      <c r="B22" s="130" t="s">
        <v>275</v>
      </c>
      <c r="C22" s="383" t="s">
        <v>166</v>
      </c>
      <c r="D22" s="210" t="s">
        <v>278</v>
      </c>
      <c r="E22" s="210" t="s">
        <v>278</v>
      </c>
      <c r="F22" s="210"/>
      <c r="G22" s="213" t="s">
        <v>278</v>
      </c>
      <c r="H22" s="330"/>
      <c r="I22" s="331" t="s">
        <v>474</v>
      </c>
    </row>
    <row r="23" spans="1:13" s="219" customFormat="1" ht="164.4" customHeight="1">
      <c r="A23" s="225" t="s">
        <v>170</v>
      </c>
      <c r="B23" s="224" t="s">
        <v>294</v>
      </c>
      <c r="C23" s="217" t="s">
        <v>283</v>
      </c>
      <c r="D23" s="218"/>
      <c r="E23" s="213" t="s">
        <v>276</v>
      </c>
      <c r="F23" s="218"/>
      <c r="G23" s="385" t="s">
        <v>279</v>
      </c>
      <c r="H23" s="218"/>
      <c r="I23" s="218" t="s">
        <v>475</v>
      </c>
      <c r="J23" s="445"/>
      <c r="K23" s="446"/>
      <c r="L23" s="446"/>
      <c r="M23" s="447"/>
    </row>
    <row r="24" spans="1:13" ht="156">
      <c r="A24" s="225" t="s">
        <v>171</v>
      </c>
      <c r="B24" s="134" t="s">
        <v>291</v>
      </c>
      <c r="C24" s="133" t="s">
        <v>292</v>
      </c>
      <c r="D24" s="213" t="s">
        <v>290</v>
      </c>
      <c r="E24" s="210" t="s">
        <v>290</v>
      </c>
      <c r="F24" s="213" t="s">
        <v>290</v>
      </c>
      <c r="G24" s="210" t="s">
        <v>290</v>
      </c>
      <c r="H24" s="328"/>
      <c r="I24" s="329" t="s">
        <v>318</v>
      </c>
    </row>
    <row r="25" spans="1:13" s="219" customFormat="1" ht="60">
      <c r="A25" s="225" t="s">
        <v>172</v>
      </c>
      <c r="B25" s="324" t="s">
        <v>431</v>
      </c>
      <c r="C25" s="210" t="s">
        <v>427</v>
      </c>
      <c r="D25" s="210" t="s">
        <v>428</v>
      </c>
      <c r="E25" s="212"/>
      <c r="F25" s="212"/>
      <c r="G25" s="213" t="s">
        <v>428</v>
      </c>
      <c r="H25" s="212"/>
      <c r="I25" s="218" t="s">
        <v>430</v>
      </c>
    </row>
    <row r="26" spans="1:13" ht="119.4" customHeight="1">
      <c r="A26" s="225" t="s">
        <v>173</v>
      </c>
      <c r="B26" s="131" t="s">
        <v>287</v>
      </c>
      <c r="C26" s="383" t="s">
        <v>166</v>
      </c>
      <c r="D26" s="379" t="s">
        <v>279</v>
      </c>
      <c r="E26" s="380" t="s">
        <v>279</v>
      </c>
      <c r="F26" s="380" t="s">
        <v>279</v>
      </c>
      <c r="G26" s="379" t="s">
        <v>279</v>
      </c>
      <c r="H26" s="380" t="s">
        <v>279</v>
      </c>
      <c r="I26" s="329" t="s">
        <v>469</v>
      </c>
    </row>
    <row r="27" spans="1:13" ht="36">
      <c r="A27" s="225" t="s">
        <v>174</v>
      </c>
      <c r="B27" s="211" t="s">
        <v>293</v>
      </c>
      <c r="C27" s="210" t="s">
        <v>399</v>
      </c>
      <c r="D27" s="213"/>
      <c r="E27" s="210"/>
      <c r="F27" s="213"/>
      <c r="G27" s="210"/>
      <c r="H27" s="328"/>
      <c r="I27" s="376"/>
    </row>
    <row r="28" spans="1:13" ht="29.4" customHeight="1">
      <c r="A28" s="225" t="s">
        <v>429</v>
      </c>
      <c r="B28" s="382" t="s">
        <v>477</v>
      </c>
      <c r="C28" s="133" t="s">
        <v>175</v>
      </c>
      <c r="D28" s="325"/>
      <c r="E28" s="326"/>
      <c r="F28" s="326"/>
      <c r="G28" s="327"/>
      <c r="H28" s="210" t="s">
        <v>279</v>
      </c>
      <c r="I28" s="343" t="s">
        <v>476</v>
      </c>
    </row>
    <row r="29" spans="1:13">
      <c r="A29" s="226"/>
    </row>
  </sheetData>
  <mergeCells count="25">
    <mergeCell ref="G11:I11"/>
    <mergeCell ref="G12:I12"/>
    <mergeCell ref="G13:I13"/>
    <mergeCell ref="A8:F8"/>
    <mergeCell ref="A9:F9"/>
    <mergeCell ref="A10:F10"/>
    <mergeCell ref="A11:F11"/>
    <mergeCell ref="A12:F12"/>
    <mergeCell ref="A13:F13"/>
    <mergeCell ref="J23:M23"/>
    <mergeCell ref="A14:B14"/>
    <mergeCell ref="A15:A16"/>
    <mergeCell ref="B15:B16"/>
    <mergeCell ref="C15:C16"/>
    <mergeCell ref="D15:H15"/>
    <mergeCell ref="I15:I16"/>
    <mergeCell ref="A6:I6"/>
    <mergeCell ref="G8:I8"/>
    <mergeCell ref="G9:I9"/>
    <mergeCell ref="G10:I10"/>
    <mergeCell ref="A1:I1"/>
    <mergeCell ref="A2:I2"/>
    <mergeCell ref="A3:B3"/>
    <mergeCell ref="A4:B4"/>
    <mergeCell ref="A5:B5"/>
  </mergeCells>
  <phoneticPr fontId="3" type="noConversion"/>
  <hyperlinks>
    <hyperlink ref="I3" location="底稿目录!F4" display="底稿目录!F4"/>
  </hyperlinks>
  <printOptions horizontalCentered="1"/>
  <pageMargins left="0.74803149606299213" right="0.55118110236220474" top="0.98425196850393704" bottom="0.23622047244094491" header="0.51181102362204722" footer="0.19685039370078741"/>
  <pageSetup paperSize="9" scale="70" fitToHeight="0" orientation="portrait" blackAndWhite="1" cellComments="atEnd" r:id="rId1"/>
  <headerFooter alignWithMargins="0">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41"/>
  <sheetViews>
    <sheetView view="pageBreakPreview" zoomScaleSheetLayoutView="100" workbookViewId="0">
      <pane xSplit="1" ySplit="6" topLeftCell="B7" activePane="bottomRight" state="frozen"/>
      <selection activeCell="A13" sqref="A13:B13"/>
      <selection pane="topRight" activeCell="A13" sqref="A13:B13"/>
      <selection pane="bottomLeft" activeCell="A13" sqref="A13:B13"/>
      <selection pane="bottomRight" activeCell="B15" sqref="B15"/>
    </sheetView>
  </sheetViews>
  <sheetFormatPr defaultColWidth="9" defaultRowHeight="23.25" customHeight="1"/>
  <cols>
    <col min="1" max="1" width="21.6640625" style="1" customWidth="1"/>
    <col min="2" max="2" width="14.21875" style="1" customWidth="1"/>
    <col min="3" max="3" width="12.33203125" style="1" customWidth="1"/>
    <col min="4" max="4" width="14.33203125" style="1" bestFit="1" customWidth="1"/>
    <col min="5" max="5" width="13" style="1" customWidth="1"/>
    <col min="6" max="6" width="11.6640625" style="1" customWidth="1"/>
    <col min="7" max="7" width="14.33203125" style="1" bestFit="1" customWidth="1"/>
    <col min="8" max="8" width="12" style="1" customWidth="1"/>
    <col min="9" max="9" width="10.33203125" style="1" customWidth="1"/>
    <col min="10" max="10" width="14.109375" style="1" customWidth="1"/>
    <col min="11" max="11" width="13.44140625" style="1" customWidth="1"/>
    <col min="12" max="16384" width="9" style="1"/>
  </cols>
  <sheetData>
    <row r="1" spans="1:10" s="243" customFormat="1" ht="19.95" customHeight="1">
      <c r="A1" s="459" t="s">
        <v>0</v>
      </c>
      <c r="B1" s="459"/>
      <c r="C1" s="459"/>
      <c r="D1" s="459"/>
      <c r="E1" s="459"/>
      <c r="F1" s="459"/>
      <c r="G1" s="459"/>
      <c r="H1" s="459"/>
      <c r="I1" s="459"/>
      <c r="J1" s="459"/>
    </row>
    <row r="2" spans="1:10" s="258" customFormat="1" ht="19.95" customHeight="1">
      <c r="A2" s="460" t="s">
        <v>151</v>
      </c>
      <c r="B2" s="460"/>
      <c r="C2" s="460"/>
      <c r="D2" s="460"/>
      <c r="E2" s="460"/>
      <c r="F2" s="460"/>
      <c r="G2" s="460"/>
      <c r="H2" s="460"/>
      <c r="I2" s="460"/>
      <c r="J2" s="460"/>
    </row>
    <row r="3" spans="1:10" s="351" customFormat="1" ht="19.95" customHeight="1">
      <c r="A3" s="351" t="str">
        <f>底稿目录!A2</f>
        <v>被审计单位：</v>
      </c>
      <c r="D3" s="351" t="str">
        <f>底稿目录!A4</f>
        <v>编制人：</v>
      </c>
      <c r="G3" s="351" t="str">
        <f>底稿目录!A5</f>
        <v>编制日期：</v>
      </c>
      <c r="I3" s="351" t="s">
        <v>468</v>
      </c>
      <c r="J3" s="402" t="str">
        <f>底稿目录!F5</f>
        <v>G2-1</v>
      </c>
    </row>
    <row r="4" spans="1:10" s="351" customFormat="1" ht="19.95" customHeight="1">
      <c r="A4" s="351" t="str">
        <f>底稿目录!A3</f>
        <v>截止日：202X年12月31日</v>
      </c>
      <c r="D4" s="351" t="str">
        <f>底稿目录!A6</f>
        <v>复核人：</v>
      </c>
      <c r="G4" s="351" t="str">
        <f>底稿目录!A7</f>
        <v>复核日期：</v>
      </c>
      <c r="I4" s="351" t="s">
        <v>467</v>
      </c>
    </row>
    <row r="5" spans="1:10" ht="19.95" customHeight="1">
      <c r="A5" s="461" t="s">
        <v>152</v>
      </c>
      <c r="B5" s="463" t="s">
        <v>136</v>
      </c>
      <c r="C5" s="464"/>
      <c r="D5" s="465"/>
      <c r="E5" s="463" t="s">
        <v>137</v>
      </c>
      <c r="F5" s="464"/>
      <c r="G5" s="465"/>
      <c r="H5" s="466" t="s">
        <v>138</v>
      </c>
      <c r="I5" s="467"/>
      <c r="J5" s="468" t="s">
        <v>139</v>
      </c>
    </row>
    <row r="6" spans="1:10" ht="19.95" customHeight="1">
      <c r="A6" s="462"/>
      <c r="B6" s="112" t="s">
        <v>140</v>
      </c>
      <c r="C6" s="112" t="s">
        <v>141</v>
      </c>
      <c r="D6" s="112" t="s">
        <v>142</v>
      </c>
      <c r="E6" s="112" t="s">
        <v>140</v>
      </c>
      <c r="F6" s="112" t="s">
        <v>141</v>
      </c>
      <c r="G6" s="112" t="s">
        <v>142</v>
      </c>
      <c r="H6" s="113" t="s">
        <v>143</v>
      </c>
      <c r="I6" s="114" t="s">
        <v>144</v>
      </c>
      <c r="J6" s="469"/>
    </row>
    <row r="7" spans="1:10" s="4" customFormat="1" ht="19.95" customHeight="1">
      <c r="A7" s="115" t="s">
        <v>153</v>
      </c>
      <c r="B7" s="116"/>
      <c r="C7" s="116"/>
      <c r="D7" s="116"/>
      <c r="E7" s="116"/>
      <c r="F7" s="116"/>
      <c r="G7" s="116"/>
      <c r="H7" s="117"/>
      <c r="I7" s="118"/>
      <c r="J7" s="117"/>
    </row>
    <row r="8" spans="1:10" s="4" customFormat="1" ht="19.95" customHeight="1">
      <c r="A8" s="119" t="s">
        <v>145</v>
      </c>
      <c r="B8" s="87"/>
      <c r="C8" s="87"/>
      <c r="D8" s="195">
        <f>B8+C8</f>
        <v>0</v>
      </c>
      <c r="E8" s="87">
        <f>'应收利息坏账准备测算G2-7'!I16</f>
        <v>0</v>
      </c>
      <c r="F8" s="87">
        <f>'应收利息坏账准备测算G2-7'!F16</f>
        <v>0</v>
      </c>
      <c r="G8" s="195">
        <f>E8+F8</f>
        <v>0</v>
      </c>
      <c r="H8" s="195">
        <f t="shared" ref="H8:H13" si="0">G8-D8</f>
        <v>0</v>
      </c>
      <c r="I8" s="195" t="str">
        <f t="shared" ref="I8:I13" si="1">IF(AND(D8=0,G8=0),"",IF(AND(D8=0,G8&gt;0),1,H8/D8))</f>
        <v/>
      </c>
      <c r="J8" s="120"/>
    </row>
    <row r="9" spans="1:10" s="4" customFormat="1" ht="19.95" customHeight="1">
      <c r="A9" s="121" t="s">
        <v>146</v>
      </c>
      <c r="B9" s="195">
        <f>SUM(B10:B12)</f>
        <v>0</v>
      </c>
      <c r="C9" s="195">
        <f t="shared" ref="C9:D9" si="2">SUM(C10:C12)</f>
        <v>0</v>
      </c>
      <c r="D9" s="195">
        <f t="shared" si="2"/>
        <v>0</v>
      </c>
      <c r="E9" s="195">
        <f>SUM(E10:E12)</f>
        <v>0</v>
      </c>
      <c r="F9" s="195">
        <f>SUM(F10:F12)</f>
        <v>0</v>
      </c>
      <c r="G9" s="195">
        <f t="shared" ref="G9" si="3">SUM(G10:G12)</f>
        <v>0</v>
      </c>
      <c r="H9" s="195">
        <f t="shared" si="0"/>
        <v>0</v>
      </c>
      <c r="I9" s="195" t="str">
        <f t="shared" si="1"/>
        <v/>
      </c>
      <c r="J9" s="120"/>
    </row>
    <row r="10" spans="1:10" s="4" customFormat="1" ht="19.95" customHeight="1">
      <c r="A10" s="122"/>
      <c r="B10" s="87"/>
      <c r="C10" s="87"/>
      <c r="D10" s="195">
        <f>B10+C10</f>
        <v>0</v>
      </c>
      <c r="E10" s="87"/>
      <c r="F10" s="87"/>
      <c r="G10" s="195">
        <f t="shared" ref="G10:G12" si="4">E10+F10</f>
        <v>0</v>
      </c>
      <c r="H10" s="195">
        <f t="shared" si="0"/>
        <v>0</v>
      </c>
      <c r="I10" s="195" t="str">
        <f t="shared" si="1"/>
        <v/>
      </c>
      <c r="J10" s="120"/>
    </row>
    <row r="11" spans="1:10" s="4" customFormat="1" ht="19.95" customHeight="1">
      <c r="A11" s="122"/>
      <c r="B11" s="87"/>
      <c r="C11" s="87"/>
      <c r="D11" s="195">
        <f>B11+C11</f>
        <v>0</v>
      </c>
      <c r="E11" s="87"/>
      <c r="F11" s="87"/>
      <c r="G11" s="195">
        <f t="shared" si="4"/>
        <v>0</v>
      </c>
      <c r="H11" s="195">
        <f t="shared" si="0"/>
        <v>0</v>
      </c>
      <c r="I11" s="195" t="str">
        <f t="shared" si="1"/>
        <v/>
      </c>
      <c r="J11" s="120"/>
    </row>
    <row r="12" spans="1:10" s="4" customFormat="1" ht="19.95" customHeight="1">
      <c r="A12" s="122"/>
      <c r="B12" s="87"/>
      <c r="C12" s="87"/>
      <c r="D12" s="195">
        <f>B12+C12</f>
        <v>0</v>
      </c>
      <c r="E12" s="87"/>
      <c r="F12" s="87"/>
      <c r="G12" s="195">
        <f t="shared" si="4"/>
        <v>0</v>
      </c>
      <c r="H12" s="195">
        <f t="shared" si="0"/>
        <v>0</v>
      </c>
      <c r="I12" s="195" t="str">
        <f t="shared" si="1"/>
        <v/>
      </c>
      <c r="J12" s="120"/>
    </row>
    <row r="13" spans="1:10" s="4" customFormat="1" ht="19.95" customHeight="1">
      <c r="A13" s="123" t="s">
        <v>147</v>
      </c>
      <c r="B13" s="195">
        <f>SUM(B8,B9)</f>
        <v>0</v>
      </c>
      <c r="C13" s="195">
        <f t="shared" ref="C13:G13" si="5">SUM(C8,C9)</f>
        <v>0</v>
      </c>
      <c r="D13" s="195">
        <f t="shared" si="5"/>
        <v>0</v>
      </c>
      <c r="E13" s="195">
        <f t="shared" si="5"/>
        <v>0</v>
      </c>
      <c r="F13" s="195">
        <f t="shared" si="5"/>
        <v>0</v>
      </c>
      <c r="G13" s="195">
        <f t="shared" si="5"/>
        <v>0</v>
      </c>
      <c r="H13" s="195">
        <f t="shared" si="0"/>
        <v>0</v>
      </c>
      <c r="I13" s="195" t="str">
        <f t="shared" si="1"/>
        <v/>
      </c>
      <c r="J13" s="120"/>
    </row>
    <row r="14" spans="1:10" s="4" customFormat="1" ht="19.95" customHeight="1">
      <c r="A14" s="115" t="s">
        <v>154</v>
      </c>
      <c r="B14" s="116"/>
      <c r="C14" s="116"/>
      <c r="D14" s="116"/>
      <c r="E14" s="116"/>
      <c r="F14" s="116"/>
      <c r="G14" s="116"/>
      <c r="H14" s="195"/>
      <c r="I14" s="195"/>
      <c r="J14" s="117"/>
    </row>
    <row r="15" spans="1:10" s="4" customFormat="1" ht="19.95" customHeight="1">
      <c r="A15" s="124" t="str">
        <f>A8</f>
        <v>单项计提坏账准备</v>
      </c>
      <c r="B15" s="87"/>
      <c r="C15" s="87"/>
      <c r="D15" s="195">
        <f>B15+C15</f>
        <v>0</v>
      </c>
      <c r="E15" s="87"/>
      <c r="F15" s="87"/>
      <c r="G15" s="195">
        <f>E15+F15</f>
        <v>0</v>
      </c>
      <c r="H15" s="195">
        <f t="shared" ref="H15:H20" si="6">G15-D15</f>
        <v>0</v>
      </c>
      <c r="I15" s="195" t="str">
        <f t="shared" ref="I15:I20" si="7">IF(AND(D15=0,G15=0),"",IF(AND(D15=0,G15&gt;0),1,H15/D15))</f>
        <v/>
      </c>
      <c r="J15" s="120"/>
    </row>
    <row r="16" spans="1:10" s="4" customFormat="1" ht="19.95" customHeight="1">
      <c r="A16" s="125" t="str">
        <f>A9</f>
        <v>按组合计提坏账准备</v>
      </c>
      <c r="B16" s="195">
        <f>SUM(B17:B19)</f>
        <v>0</v>
      </c>
      <c r="C16" s="195">
        <f t="shared" ref="C16:G16" si="8">SUM(C17:C19)</f>
        <v>0</v>
      </c>
      <c r="D16" s="195">
        <f t="shared" si="8"/>
        <v>0</v>
      </c>
      <c r="E16" s="195">
        <f t="shared" si="8"/>
        <v>0</v>
      </c>
      <c r="F16" s="195">
        <f t="shared" si="8"/>
        <v>0</v>
      </c>
      <c r="G16" s="195">
        <f t="shared" si="8"/>
        <v>0</v>
      </c>
      <c r="H16" s="195">
        <f t="shared" si="6"/>
        <v>0</v>
      </c>
      <c r="I16" s="195" t="str">
        <f t="shared" si="7"/>
        <v/>
      </c>
      <c r="J16" s="120"/>
    </row>
    <row r="17" spans="1:11" s="4" customFormat="1" ht="19.95" customHeight="1">
      <c r="A17" s="126">
        <f t="shared" ref="A17:A18" si="9">A10</f>
        <v>0</v>
      </c>
      <c r="B17" s="87"/>
      <c r="C17" s="87"/>
      <c r="D17" s="195">
        <f>B17+C17</f>
        <v>0</v>
      </c>
      <c r="E17" s="87"/>
      <c r="F17" s="87"/>
      <c r="G17" s="195">
        <f t="shared" ref="G17:G19" si="10">E17+F17</f>
        <v>0</v>
      </c>
      <c r="H17" s="195">
        <f t="shared" si="6"/>
        <v>0</v>
      </c>
      <c r="I17" s="195" t="str">
        <f t="shared" si="7"/>
        <v/>
      </c>
      <c r="J17" s="120"/>
    </row>
    <row r="18" spans="1:11" s="4" customFormat="1" ht="19.95" customHeight="1">
      <c r="A18" s="126">
        <f t="shared" si="9"/>
        <v>0</v>
      </c>
      <c r="B18" s="87"/>
      <c r="C18" s="87"/>
      <c r="D18" s="195">
        <f>B18+C18</f>
        <v>0</v>
      </c>
      <c r="E18" s="87"/>
      <c r="F18" s="87"/>
      <c r="G18" s="195">
        <f t="shared" si="10"/>
        <v>0</v>
      </c>
      <c r="H18" s="195">
        <f t="shared" si="6"/>
        <v>0</v>
      </c>
      <c r="I18" s="195" t="str">
        <f t="shared" si="7"/>
        <v/>
      </c>
      <c r="J18" s="120"/>
    </row>
    <row r="19" spans="1:11" s="4" customFormat="1" ht="19.95" customHeight="1">
      <c r="A19" s="126">
        <f>A12</f>
        <v>0</v>
      </c>
      <c r="B19" s="87"/>
      <c r="C19" s="87"/>
      <c r="D19" s="195">
        <f>B19+C19</f>
        <v>0</v>
      </c>
      <c r="E19" s="87"/>
      <c r="F19" s="87"/>
      <c r="G19" s="195">
        <f t="shared" si="10"/>
        <v>0</v>
      </c>
      <c r="H19" s="195">
        <f t="shared" si="6"/>
        <v>0</v>
      </c>
      <c r="I19" s="195" t="str">
        <f t="shared" si="7"/>
        <v/>
      </c>
      <c r="J19" s="120"/>
    </row>
    <row r="20" spans="1:11" s="4" customFormat="1" ht="19.95" customHeight="1">
      <c r="A20" s="123" t="s">
        <v>147</v>
      </c>
      <c r="B20" s="195">
        <f>SUM(B15,B16)</f>
        <v>0</v>
      </c>
      <c r="C20" s="195">
        <f t="shared" ref="C20:G20" si="11">SUM(C15,C16)</f>
        <v>0</v>
      </c>
      <c r="D20" s="195">
        <f>SUM(D15,D16)</f>
        <v>0</v>
      </c>
      <c r="E20" s="195">
        <f t="shared" si="11"/>
        <v>0</v>
      </c>
      <c r="F20" s="195">
        <f t="shared" si="11"/>
        <v>0</v>
      </c>
      <c r="G20" s="195">
        <f t="shared" si="11"/>
        <v>0</v>
      </c>
      <c r="H20" s="195">
        <f t="shared" si="6"/>
        <v>0</v>
      </c>
      <c r="I20" s="195" t="str">
        <f t="shared" si="7"/>
        <v/>
      </c>
      <c r="J20" s="120"/>
    </row>
    <row r="21" spans="1:11" s="4" customFormat="1" ht="19.95" customHeight="1">
      <c r="A21" s="115" t="s">
        <v>155</v>
      </c>
      <c r="B21" s="116"/>
      <c r="C21" s="116"/>
      <c r="D21" s="116"/>
      <c r="E21" s="116"/>
      <c r="F21" s="116"/>
      <c r="G21" s="116"/>
      <c r="H21" s="195"/>
      <c r="I21" s="195"/>
      <c r="J21" s="117"/>
    </row>
    <row r="22" spans="1:11" s="4" customFormat="1" ht="19.95" customHeight="1">
      <c r="A22" s="124" t="str">
        <f>A8</f>
        <v>单项计提坏账准备</v>
      </c>
      <c r="B22" s="195">
        <f t="shared" ref="B22:G22" si="12">B8-B15</f>
        <v>0</v>
      </c>
      <c r="C22" s="195">
        <f t="shared" si="12"/>
        <v>0</v>
      </c>
      <c r="D22" s="195">
        <f t="shared" si="12"/>
        <v>0</v>
      </c>
      <c r="E22" s="195">
        <f t="shared" si="12"/>
        <v>0</v>
      </c>
      <c r="F22" s="195">
        <f t="shared" si="12"/>
        <v>0</v>
      </c>
      <c r="G22" s="195">
        <f t="shared" si="12"/>
        <v>0</v>
      </c>
      <c r="H22" s="195">
        <f t="shared" ref="H22:H27" si="13">G22-D22</f>
        <v>0</v>
      </c>
      <c r="I22" s="195" t="str">
        <f t="shared" ref="I22:I27" si="14">IF(AND(D22=0,G22=0),"",IF(AND(D22=0,G22&gt;0),1,H22/D22))</f>
        <v/>
      </c>
      <c r="J22" s="120"/>
    </row>
    <row r="23" spans="1:11" s="4" customFormat="1" ht="19.95" customHeight="1">
      <c r="A23" s="125" t="str">
        <f>A9</f>
        <v>按组合计提坏账准备</v>
      </c>
      <c r="B23" s="195">
        <f>SUM(B24:B26)</f>
        <v>0</v>
      </c>
      <c r="C23" s="195">
        <f t="shared" ref="C23:G23" si="15">SUM(C24:C26)</f>
        <v>0</v>
      </c>
      <c r="D23" s="195">
        <f t="shared" si="15"/>
        <v>0</v>
      </c>
      <c r="E23" s="195">
        <f>SUM(E24:E26)</f>
        <v>0</v>
      </c>
      <c r="F23" s="195">
        <f t="shared" si="15"/>
        <v>0</v>
      </c>
      <c r="G23" s="195">
        <f t="shared" si="15"/>
        <v>0</v>
      </c>
      <c r="H23" s="195">
        <f t="shared" si="13"/>
        <v>0</v>
      </c>
      <c r="I23" s="195" t="str">
        <f t="shared" si="14"/>
        <v/>
      </c>
      <c r="J23" s="120"/>
    </row>
    <row r="24" spans="1:11" s="4" customFormat="1" ht="19.95" customHeight="1">
      <c r="A24" s="126">
        <f>A10</f>
        <v>0</v>
      </c>
      <c r="B24" s="195">
        <f t="shared" ref="B24:G26" si="16">B10-B17</f>
        <v>0</v>
      </c>
      <c r="C24" s="195">
        <f t="shared" si="16"/>
        <v>0</v>
      </c>
      <c r="D24" s="195">
        <f t="shared" si="16"/>
        <v>0</v>
      </c>
      <c r="E24" s="195">
        <f>E10-E17</f>
        <v>0</v>
      </c>
      <c r="F24" s="195">
        <f t="shared" si="16"/>
        <v>0</v>
      </c>
      <c r="G24" s="195">
        <f t="shared" si="16"/>
        <v>0</v>
      </c>
      <c r="H24" s="195">
        <f t="shared" si="13"/>
        <v>0</v>
      </c>
      <c r="I24" s="195" t="str">
        <f t="shared" si="14"/>
        <v/>
      </c>
      <c r="J24" s="120"/>
    </row>
    <row r="25" spans="1:11" s="4" customFormat="1" ht="19.95" customHeight="1">
      <c r="A25" s="126">
        <f>A11</f>
        <v>0</v>
      </c>
      <c r="B25" s="195">
        <f t="shared" si="16"/>
        <v>0</v>
      </c>
      <c r="C25" s="195">
        <f t="shared" si="16"/>
        <v>0</v>
      </c>
      <c r="D25" s="195">
        <f t="shared" si="16"/>
        <v>0</v>
      </c>
      <c r="E25" s="195">
        <f t="shared" si="16"/>
        <v>0</v>
      </c>
      <c r="F25" s="195">
        <f t="shared" si="16"/>
        <v>0</v>
      </c>
      <c r="G25" s="195">
        <f t="shared" si="16"/>
        <v>0</v>
      </c>
      <c r="H25" s="195">
        <f t="shared" si="13"/>
        <v>0</v>
      </c>
      <c r="I25" s="195" t="str">
        <f t="shared" si="14"/>
        <v/>
      </c>
      <c r="J25" s="120"/>
    </row>
    <row r="26" spans="1:11" s="4" customFormat="1" ht="19.95" customHeight="1">
      <c r="A26" s="126">
        <f>A12</f>
        <v>0</v>
      </c>
      <c r="B26" s="195">
        <f t="shared" si="16"/>
        <v>0</v>
      </c>
      <c r="C26" s="195">
        <f t="shared" si="16"/>
        <v>0</v>
      </c>
      <c r="D26" s="195">
        <f t="shared" si="16"/>
        <v>0</v>
      </c>
      <c r="E26" s="195">
        <f t="shared" si="16"/>
        <v>0</v>
      </c>
      <c r="F26" s="195">
        <f t="shared" si="16"/>
        <v>0</v>
      </c>
      <c r="G26" s="195">
        <f t="shared" si="16"/>
        <v>0</v>
      </c>
      <c r="H26" s="195">
        <f t="shared" si="13"/>
        <v>0</v>
      </c>
      <c r="I26" s="195" t="str">
        <f t="shared" si="14"/>
        <v/>
      </c>
      <c r="J26" s="120"/>
    </row>
    <row r="27" spans="1:11" s="4" customFormat="1" ht="19.95" customHeight="1">
      <c r="A27" s="123" t="s">
        <v>148</v>
      </c>
      <c r="B27" s="198">
        <f>SUM(B22,B23)</f>
        <v>0</v>
      </c>
      <c r="C27" s="198">
        <f t="shared" ref="C27:G27" si="17">SUM(C22,C23)</f>
        <v>0</v>
      </c>
      <c r="D27" s="198">
        <f t="shared" si="17"/>
        <v>0</v>
      </c>
      <c r="E27" s="198">
        <f t="shared" si="17"/>
        <v>0</v>
      </c>
      <c r="F27" s="198">
        <f t="shared" si="17"/>
        <v>0</v>
      </c>
      <c r="G27" s="198">
        <f t="shared" si="17"/>
        <v>0</v>
      </c>
      <c r="H27" s="198">
        <f t="shared" si="13"/>
        <v>0</v>
      </c>
      <c r="I27" s="198" t="str">
        <f t="shared" si="14"/>
        <v/>
      </c>
      <c r="J27" s="120"/>
    </row>
    <row r="28" spans="1:11" s="83" customFormat="1" ht="19.95" customHeight="1">
      <c r="A28" s="434" t="s">
        <v>493</v>
      </c>
      <c r="B28" s="80"/>
      <c r="C28" s="80"/>
      <c r="D28" s="80"/>
      <c r="E28" s="81"/>
      <c r="F28" s="81"/>
      <c r="G28" s="82"/>
      <c r="H28" s="82"/>
      <c r="I28" s="1"/>
      <c r="J28" s="1"/>
      <c r="K28" s="1"/>
    </row>
    <row r="29" spans="1:11" s="84" customFormat="1" ht="19.95" customHeight="1">
      <c r="A29" s="5" t="s">
        <v>156</v>
      </c>
      <c r="B29" s="5"/>
      <c r="C29" s="5"/>
      <c r="D29" s="197">
        <f>IF(AND(D27=0,G27=0),0,IF(AND(D27=0,G27&gt;0),1,(G27-D27)/D27))</f>
        <v>0</v>
      </c>
      <c r="E29" s="88"/>
      <c r="F29" s="88"/>
      <c r="G29" s="5"/>
      <c r="H29" s="5"/>
      <c r="I29" s="6"/>
      <c r="J29" s="1"/>
      <c r="K29" s="1"/>
    </row>
    <row r="30" spans="1:11" s="83" customFormat="1" ht="19.95" customHeight="1">
      <c r="A30" s="5" t="s">
        <v>149</v>
      </c>
      <c r="B30" s="5"/>
      <c r="C30" s="5"/>
      <c r="D30" s="5"/>
      <c r="E30" s="5"/>
      <c r="F30" s="5"/>
      <c r="G30" s="5"/>
      <c r="H30" s="5"/>
      <c r="I30" s="85"/>
      <c r="J30" s="1"/>
      <c r="K30" s="1"/>
    </row>
    <row r="31" spans="1:11" s="84" customFormat="1" ht="19.95" customHeight="1">
      <c r="A31" s="5"/>
      <c r="B31" s="5"/>
      <c r="C31" s="5"/>
      <c r="D31" s="5"/>
      <c r="E31" s="5"/>
      <c r="F31" s="5"/>
      <c r="G31" s="5"/>
      <c r="H31" s="5"/>
      <c r="I31" s="5"/>
      <c r="J31" s="1"/>
      <c r="K31" s="1"/>
    </row>
    <row r="32" spans="1:11" s="84" customFormat="1" ht="19.95" customHeight="1">
      <c r="A32" s="6" t="s">
        <v>157</v>
      </c>
      <c r="B32" s="5"/>
      <c r="C32" s="5"/>
      <c r="D32" s="5"/>
      <c r="E32" s="5"/>
      <c r="F32" s="5"/>
      <c r="G32" s="5"/>
      <c r="H32" s="5"/>
      <c r="I32" s="5"/>
      <c r="J32" s="1"/>
      <c r="K32" s="1"/>
    </row>
    <row r="33" spans="1:11" s="84" customFormat="1" ht="19.95" customHeight="1">
      <c r="A33" s="6"/>
      <c r="B33" s="5"/>
      <c r="C33" s="5"/>
      <c r="D33" s="5"/>
      <c r="E33" s="5"/>
      <c r="F33" s="5"/>
      <c r="G33" s="5"/>
      <c r="H33" s="5"/>
      <c r="I33" s="5"/>
      <c r="J33" s="1"/>
      <c r="K33" s="1"/>
    </row>
    <row r="34" spans="1:11" ht="19.95" customHeight="1">
      <c r="A34" s="5"/>
      <c r="B34" s="146"/>
      <c r="C34" s="146"/>
      <c r="D34" s="5"/>
      <c r="E34" s="5"/>
      <c r="F34" s="5"/>
    </row>
    <row r="35" spans="1:11" ht="19.95" customHeight="1">
      <c r="A35" s="84"/>
      <c r="B35" s="6"/>
      <c r="C35" s="6"/>
      <c r="D35" s="6"/>
      <c r="E35" s="6"/>
      <c r="F35" s="6"/>
    </row>
    <row r="36" spans="1:11" ht="19.95" customHeight="1">
      <c r="A36" s="78" t="s">
        <v>150</v>
      </c>
      <c r="B36" s="6"/>
      <c r="C36" s="6"/>
      <c r="D36" s="6"/>
      <c r="E36" s="6"/>
      <c r="F36" s="6"/>
    </row>
    <row r="37" spans="1:11" ht="19.95" customHeight="1">
      <c r="A37" s="78"/>
      <c r="B37" s="6"/>
      <c r="C37" s="6"/>
      <c r="D37" s="6"/>
      <c r="E37" s="6"/>
      <c r="F37" s="6"/>
    </row>
    <row r="38" spans="1:11" ht="23.25" customHeight="1">
      <c r="A38" s="78"/>
      <c r="B38" s="5"/>
      <c r="C38" s="5"/>
      <c r="D38" s="5"/>
      <c r="E38" s="5"/>
      <c r="F38" s="5"/>
    </row>
    <row r="40" spans="1:11" ht="23.25" customHeight="1">
      <c r="A40" s="127" t="s">
        <v>160</v>
      </c>
    </row>
    <row r="41" spans="1:11" ht="23.25" customHeight="1">
      <c r="A41" s="1" t="s">
        <v>161</v>
      </c>
    </row>
  </sheetData>
  <mergeCells count="7">
    <mergeCell ref="A1:J1"/>
    <mergeCell ref="A2:J2"/>
    <mergeCell ref="A5:A6"/>
    <mergeCell ref="B5:D5"/>
    <mergeCell ref="E5:G5"/>
    <mergeCell ref="H5:I5"/>
    <mergeCell ref="J5:J6"/>
  </mergeCells>
  <phoneticPr fontId="3" type="noConversion"/>
  <hyperlinks>
    <hyperlink ref="J3" location="底稿目录!F5" display="底稿目录!F5"/>
  </hyperlinks>
  <printOptions horizontalCentered="1"/>
  <pageMargins left="0.74803149606299213" right="0.55118110236220474" top="0.98425196850393704" bottom="0.23622047244094491" header="0.51181102362204722" footer="0.19685039370078741"/>
  <pageSetup paperSize="9" scale="70" fitToHeight="0" orientation="landscape" blackAndWhite="1" cellComments="atEnd"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P29"/>
  <sheetViews>
    <sheetView view="pageBreakPreview" zoomScaleSheetLayoutView="100" workbookViewId="0">
      <selection activeCell="B9" sqref="B9"/>
    </sheetView>
  </sheetViews>
  <sheetFormatPr defaultColWidth="9" defaultRowHeight="13.8"/>
  <cols>
    <col min="1" max="1" width="23.88671875" style="42" customWidth="1"/>
    <col min="2" max="2" width="12.21875" style="42" customWidth="1"/>
    <col min="3" max="3" width="16.88671875" style="42" customWidth="1"/>
    <col min="4" max="4" width="11.44140625" style="42" customWidth="1"/>
    <col min="5" max="5" width="15.21875" style="42" customWidth="1"/>
    <col min="6" max="6" width="11.109375" style="42" customWidth="1"/>
    <col min="7" max="10" width="9" style="42" customWidth="1"/>
    <col min="11" max="16384" width="9" style="42"/>
  </cols>
  <sheetData>
    <row r="1" spans="1:16" s="250" customFormat="1" ht="20.100000000000001" customHeight="1">
      <c r="A1" s="471" t="s">
        <v>322</v>
      </c>
      <c r="B1" s="471"/>
      <c r="C1" s="471"/>
      <c r="D1" s="471"/>
      <c r="E1" s="471"/>
    </row>
    <row r="2" spans="1:16" s="257" customFormat="1" ht="25.05" customHeight="1">
      <c r="A2" s="472" t="s">
        <v>324</v>
      </c>
      <c r="B2" s="472"/>
      <c r="C2" s="472"/>
      <c r="D2" s="472"/>
      <c r="E2" s="472"/>
    </row>
    <row r="3" spans="1:16" s="338" customFormat="1" ht="20.100000000000001" customHeight="1">
      <c r="A3" s="335" t="str">
        <f>底稿目录!A2</f>
        <v>被审计单位：</v>
      </c>
      <c r="B3" s="336" t="str">
        <f>底稿目录!A4</f>
        <v>编制人：</v>
      </c>
      <c r="C3" s="335" t="str">
        <f>底稿目录!A5</f>
        <v>编制日期：</v>
      </c>
      <c r="D3" s="339" t="s">
        <v>241</v>
      </c>
      <c r="E3" s="338">
        <f>底稿目录!F6</f>
        <v>0</v>
      </c>
    </row>
    <row r="4" spans="1:16" s="338" customFormat="1" ht="20.100000000000001" customHeight="1">
      <c r="A4" s="335" t="str">
        <f>底稿目录!A3</f>
        <v>截止日：202X年12月31日</v>
      </c>
      <c r="B4" s="336" t="str">
        <f>底稿目录!A6</f>
        <v>复核人：</v>
      </c>
      <c r="C4" s="335" t="str">
        <f>底稿目录!A7</f>
        <v>复核日期：</v>
      </c>
      <c r="D4" s="339" t="s">
        <v>466</v>
      </c>
    </row>
    <row r="5" spans="1:16" s="41" customFormat="1" ht="20.100000000000001" customHeight="1">
      <c r="A5" s="60" t="s">
        <v>91</v>
      </c>
    </row>
    <row r="6" spans="1:16" s="41" customFormat="1" ht="20.100000000000001" customHeight="1">
      <c r="A6" s="86" t="s">
        <v>99</v>
      </c>
    </row>
    <row r="7" spans="1:16" s="150" customFormat="1" ht="20.100000000000001" customHeight="1" thickBot="1">
      <c r="A7" s="147" t="s">
        <v>197</v>
      </c>
      <c r="B7" s="148"/>
      <c r="C7" s="148"/>
      <c r="D7" s="148"/>
      <c r="E7" s="148"/>
      <c r="F7" s="149"/>
      <c r="G7" s="149"/>
      <c r="H7" s="149"/>
      <c r="I7" s="149"/>
      <c r="J7" s="149"/>
      <c r="K7" s="149"/>
      <c r="L7" s="149"/>
      <c r="M7" s="149"/>
      <c r="N7" s="149"/>
      <c r="O7" s="149"/>
      <c r="P7" s="149"/>
    </row>
    <row r="8" spans="1:16" s="148" customFormat="1" ht="22.5" customHeight="1" thickBot="1">
      <c r="A8" s="194" t="s">
        <v>239</v>
      </c>
      <c r="B8" s="193" t="s">
        <v>94</v>
      </c>
      <c r="C8" s="193" t="s">
        <v>238</v>
      </c>
    </row>
    <row r="9" spans="1:16" s="148" customFormat="1" ht="22.5" customHeight="1">
      <c r="A9" s="151" t="s">
        <v>198</v>
      </c>
      <c r="B9" s="175">
        <f>SUMIF('明细表G2-2'!$A$10:$A$15,'附注披露信息（上市公司）'!A9,'明细表G2-2'!$J$10:$J$15)</f>
        <v>0</v>
      </c>
      <c r="C9" s="175">
        <f>SUMIF('明细表G2-2'!$A$10:$A$15,'附注披露信息（上市公司）'!A9,'明细表G2-2'!$E$10:$E$15)</f>
        <v>0</v>
      </c>
    </row>
    <row r="10" spans="1:16" s="148" customFormat="1" ht="22.5" customHeight="1">
      <c r="A10" s="151" t="s">
        <v>199</v>
      </c>
      <c r="B10" s="175">
        <f>SUMIF('明细表G2-2'!$A$10:$A$15,'附注披露信息（上市公司）'!A10,'明细表G2-2'!$J$10:$J$15)</f>
        <v>0</v>
      </c>
      <c r="C10" s="175">
        <f>SUMIF('明细表G2-2'!$A$10:$A$15,'附注披露信息（上市公司）'!A10,'明细表G2-2'!$E$10:$E$15)</f>
        <v>0</v>
      </c>
    </row>
    <row r="11" spans="1:16" s="148" customFormat="1" ht="22.5" customHeight="1">
      <c r="A11" s="151" t="s">
        <v>200</v>
      </c>
      <c r="B11" s="175">
        <f>SUMIF('明细表G2-2'!$A$10:$A$15,'附注披露信息（上市公司）'!A11,'明细表G2-2'!$J$10:$J$15)</f>
        <v>0</v>
      </c>
      <c r="C11" s="175">
        <f>SUMIF('明细表G2-2'!$A$10:$A$15,'附注披露信息（上市公司）'!A11,'明细表G2-2'!$E$10:$E$15)</f>
        <v>0</v>
      </c>
    </row>
    <row r="12" spans="1:16" s="148" customFormat="1" ht="22.5" customHeight="1">
      <c r="A12" s="151" t="s">
        <v>201</v>
      </c>
      <c r="B12" s="175">
        <f>SUMIF('明细表G2-2'!$A$10:$A$15,'附注披露信息（上市公司）'!A12,'明细表G2-2'!$J$10:$J$15)</f>
        <v>0</v>
      </c>
      <c r="C12" s="175">
        <f>SUMIF('明细表G2-2'!$A$10:$A$15,'附注披露信息（上市公司）'!A12,'明细表G2-2'!$E$10:$E$15)</f>
        <v>0</v>
      </c>
    </row>
    <row r="13" spans="1:16" s="152" customFormat="1" ht="20.100000000000001" customHeight="1">
      <c r="A13" s="151" t="s">
        <v>202</v>
      </c>
      <c r="B13" s="175">
        <f>SUM(B9:B12)</f>
        <v>0</v>
      </c>
      <c r="C13" s="175">
        <f>SUM(C9:C12)</f>
        <v>0</v>
      </c>
      <c r="D13" s="148"/>
      <c r="E13" s="148"/>
    </row>
    <row r="14" spans="1:16" s="154" customFormat="1" ht="20.100000000000001" customHeight="1" thickBot="1">
      <c r="A14" s="153" t="s">
        <v>203</v>
      </c>
      <c r="B14" s="176">
        <f>'审定表G2-1'!G20</f>
        <v>0</v>
      </c>
      <c r="C14" s="176">
        <f>'审定表G2-1'!D20</f>
        <v>0</v>
      </c>
      <c r="D14" s="148"/>
      <c r="E14" s="148"/>
    </row>
    <row r="15" spans="1:16" s="148" customFormat="1" ht="15.75" customHeight="1" thickBot="1">
      <c r="A15" s="172" t="s">
        <v>95</v>
      </c>
      <c r="B15" s="177">
        <f>B13-B14</f>
        <v>0</v>
      </c>
      <c r="C15" s="177">
        <f>C13-C14</f>
        <v>0</v>
      </c>
    </row>
    <row r="16" spans="1:16" s="148" customFormat="1" ht="47.55" customHeight="1">
      <c r="A16" s="470" t="s">
        <v>204</v>
      </c>
      <c r="B16" s="470"/>
      <c r="C16" s="470"/>
      <c r="D16" s="470"/>
      <c r="E16" s="470"/>
    </row>
    <row r="17" spans="1:5" s="155" customFormat="1" ht="22.5" customHeight="1" thickBot="1">
      <c r="A17" s="147" t="s">
        <v>205</v>
      </c>
      <c r="B17" s="148"/>
      <c r="C17" s="148"/>
      <c r="D17" s="148"/>
      <c r="E17" s="148"/>
    </row>
    <row r="18" spans="1:5" s="148" customFormat="1" ht="36.75" customHeight="1" thickBot="1">
      <c r="A18" s="171" t="s">
        <v>206</v>
      </c>
      <c r="B18" s="171" t="s">
        <v>94</v>
      </c>
      <c r="C18" s="171" t="s">
        <v>207</v>
      </c>
      <c r="D18" s="171" t="s">
        <v>208</v>
      </c>
      <c r="E18" s="171" t="s">
        <v>209</v>
      </c>
    </row>
    <row r="19" spans="1:5" s="148" customFormat="1" ht="22.5" customHeight="1">
      <c r="A19" s="156"/>
      <c r="B19" s="178"/>
      <c r="C19" s="180"/>
      <c r="D19" s="180"/>
      <c r="E19" s="180"/>
    </row>
    <row r="20" spans="1:5" s="148" customFormat="1" ht="22.5" customHeight="1">
      <c r="A20" s="156"/>
      <c r="B20" s="178"/>
      <c r="C20" s="180"/>
      <c r="D20" s="180"/>
      <c r="E20" s="180"/>
    </row>
    <row r="21" spans="1:5" s="148" customFormat="1" ht="22.5" customHeight="1" thickBot="1">
      <c r="A21" s="157"/>
      <c r="B21" s="176"/>
      <c r="C21" s="181"/>
      <c r="D21" s="181"/>
      <c r="E21" s="181"/>
    </row>
    <row r="22" spans="1:5" s="148" customFormat="1" ht="22.5" customHeight="1" thickBot="1">
      <c r="A22" s="192" t="s">
        <v>95</v>
      </c>
      <c r="B22" s="179">
        <f>SUM(B19:B21)</f>
        <v>0</v>
      </c>
      <c r="C22" s="182"/>
      <c r="D22" s="182"/>
      <c r="E22" s="182"/>
    </row>
    <row r="23" spans="1:5" s="148" customFormat="1" ht="33" customHeight="1">
      <c r="A23" s="473" t="s">
        <v>210</v>
      </c>
      <c r="B23" s="473"/>
      <c r="C23" s="473"/>
      <c r="D23" s="473"/>
      <c r="E23" s="473"/>
    </row>
    <row r="24" spans="1:5" s="148" customFormat="1" ht="22.5" customHeight="1">
      <c r="A24" s="158" t="s">
        <v>211</v>
      </c>
    </row>
    <row r="25" spans="1:5" s="148" customFormat="1" ht="22.5" customHeight="1">
      <c r="A25" s="147" t="s">
        <v>212</v>
      </c>
    </row>
    <row r="26" spans="1:5" s="148" customFormat="1" ht="47.55" customHeight="1">
      <c r="A26" s="470" t="s">
        <v>236</v>
      </c>
      <c r="B26" s="470"/>
      <c r="C26" s="470"/>
      <c r="D26" s="470"/>
      <c r="E26" s="470"/>
    </row>
    <row r="27" spans="1:5" s="148" customFormat="1" ht="34.049999999999997" customHeight="1">
      <c r="A27" s="470" t="s">
        <v>213</v>
      </c>
      <c r="B27" s="470"/>
      <c r="C27" s="470"/>
      <c r="D27" s="470"/>
      <c r="E27" s="470"/>
    </row>
    <row r="28" spans="1:5" s="148" customFormat="1" ht="18.75" customHeight="1">
      <c r="A28" s="173" t="s">
        <v>214</v>
      </c>
      <c r="B28" s="174"/>
      <c r="C28" s="174"/>
      <c r="D28" s="174"/>
      <c r="E28" s="174"/>
    </row>
    <row r="29" spans="1:5" s="148" customFormat="1" ht="31.5" customHeight="1">
      <c r="A29" s="470" t="s">
        <v>237</v>
      </c>
      <c r="B29" s="470"/>
      <c r="C29" s="470"/>
      <c r="D29" s="470"/>
      <c r="E29" s="470"/>
    </row>
  </sheetData>
  <mergeCells count="7">
    <mergeCell ref="A26:E26"/>
    <mergeCell ref="A27:E27"/>
    <mergeCell ref="A29:E29"/>
    <mergeCell ref="A1:E1"/>
    <mergeCell ref="A2:E2"/>
    <mergeCell ref="A16:E16"/>
    <mergeCell ref="A23:E23"/>
  </mergeCells>
  <phoneticPr fontId="3" type="noConversion"/>
  <printOptions horizontalCentered="1"/>
  <pageMargins left="0.74803149606299213" right="0.55118110236220474" top="0.98425196850393704" bottom="0.23622047244094491" header="0.51181102362204722" footer="0.19685039370078741"/>
  <pageSetup paperSize="9" scale="74" orientation="landscape" blackAndWhite="1" cellComments="atEnd" r:id="rId1"/>
  <headerFooter alignWithMargins="0">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E39"/>
  <sheetViews>
    <sheetView view="pageBreakPreview" zoomScaleSheetLayoutView="100" workbookViewId="0">
      <selection activeCell="D9" sqref="D9"/>
    </sheetView>
  </sheetViews>
  <sheetFormatPr defaultColWidth="9" defaultRowHeight="13.8"/>
  <cols>
    <col min="1" max="1" width="20.77734375" style="9" bestFit="1" customWidth="1"/>
    <col min="2" max="2" width="18.33203125" style="9" customWidth="1"/>
    <col min="3" max="3" width="29.33203125" style="9" customWidth="1"/>
    <col min="4" max="4" width="30.44140625" style="9" customWidth="1"/>
    <col min="5" max="5" width="17.109375" style="9" customWidth="1"/>
    <col min="6" max="16384" width="9" style="9"/>
  </cols>
  <sheetData>
    <row r="1" spans="1:5" s="250" customFormat="1" ht="20.100000000000001" customHeight="1">
      <c r="A1" s="471" t="s">
        <v>322</v>
      </c>
      <c r="B1" s="471"/>
      <c r="C1" s="471"/>
      <c r="D1" s="471"/>
    </row>
    <row r="2" spans="1:5" s="257" customFormat="1" ht="25.05" customHeight="1">
      <c r="A2" s="472" t="s">
        <v>323</v>
      </c>
      <c r="B2" s="472"/>
      <c r="C2" s="472"/>
      <c r="D2" s="472"/>
    </row>
    <row r="3" spans="1:5" s="338" customFormat="1" ht="20.100000000000001" customHeight="1">
      <c r="A3" s="335" t="str">
        <f>底稿目录!A2</f>
        <v>被审计单位：</v>
      </c>
      <c r="B3" s="336" t="str">
        <f>底稿目录!A4</f>
        <v>编制人：</v>
      </c>
      <c r="C3" s="335" t="str">
        <f>底稿目录!A5</f>
        <v>编制日期：</v>
      </c>
      <c r="D3" s="337" t="s">
        <v>241</v>
      </c>
      <c r="E3" s="338">
        <f>底稿目录!F7</f>
        <v>0</v>
      </c>
    </row>
    <row r="4" spans="1:5" s="338" customFormat="1" ht="20.100000000000001" customHeight="1">
      <c r="A4" s="335" t="str">
        <f>底稿目录!A3</f>
        <v>截止日：202X年12月31日</v>
      </c>
      <c r="B4" s="336" t="str">
        <f>底稿目录!A6</f>
        <v>复核人：</v>
      </c>
      <c r="C4" s="335" t="str">
        <f>底稿目录!A7</f>
        <v>复核日期：</v>
      </c>
      <c r="D4" s="337" t="s">
        <v>466</v>
      </c>
    </row>
    <row r="5" spans="1:5" s="43" customFormat="1" ht="20.100000000000001" customHeight="1">
      <c r="A5" s="61" t="s">
        <v>92</v>
      </c>
      <c r="B5" s="61"/>
      <c r="C5" s="61"/>
      <c r="D5" s="61"/>
    </row>
    <row r="6" spans="1:5" s="43" customFormat="1" ht="20.100000000000001" customHeight="1">
      <c r="A6" s="86" t="s">
        <v>99</v>
      </c>
      <c r="B6" s="61"/>
      <c r="C6" s="61"/>
      <c r="D6" s="61"/>
    </row>
    <row r="7" spans="1:5" s="160" customFormat="1" ht="13.8" customHeight="1" thickBot="1">
      <c r="A7" s="159" t="s">
        <v>215</v>
      </c>
    </row>
    <row r="8" spans="1:5" s="160" customFormat="1" ht="13.8" customHeight="1" thickBot="1">
      <c r="A8" s="187" t="s">
        <v>93</v>
      </c>
      <c r="B8" s="187" t="s">
        <v>94</v>
      </c>
      <c r="C8" s="187" t="s">
        <v>216</v>
      </c>
    </row>
    <row r="9" spans="1:5" s="160" customFormat="1" ht="12.75" customHeight="1">
      <c r="A9" s="161" t="s">
        <v>198</v>
      </c>
      <c r="B9" s="183">
        <f>SUMIF('明细表G2-2'!$A$10:$A$15,A9,'明细表G2-2'!$J$10:$J$15)</f>
        <v>0</v>
      </c>
      <c r="C9" s="183">
        <f>SUMIF('明细表G2-2'!$A$10:$A$15,A9,'明细表G2-2'!$E$10:$E$15)</f>
        <v>0</v>
      </c>
    </row>
    <row r="10" spans="1:5" s="160" customFormat="1" ht="12.75" customHeight="1">
      <c r="A10" s="161" t="s">
        <v>199</v>
      </c>
      <c r="B10" s="183">
        <f>SUMIF('明细表G2-2'!$A$10:$A$15,A10,'明细表G2-2'!$J$10:$J$15)</f>
        <v>0</v>
      </c>
      <c r="C10" s="183">
        <f>SUMIF('明细表G2-2'!$A$10:$A$15,A10,'明细表G2-2'!$E$10:$E$15)</f>
        <v>0</v>
      </c>
    </row>
    <row r="11" spans="1:5" s="160" customFormat="1" ht="12.75" customHeight="1">
      <c r="A11" s="161" t="s">
        <v>200</v>
      </c>
      <c r="B11" s="183">
        <f>SUMIF('明细表G2-2'!$A$10:$A$15,A11,'明细表G2-2'!$J$10:$J$15)</f>
        <v>0</v>
      </c>
      <c r="C11" s="183">
        <f>SUMIF('明细表G2-2'!$A$10:$A$15,A11,'明细表G2-2'!$E$10:$E$15)</f>
        <v>0</v>
      </c>
    </row>
    <row r="12" spans="1:5" s="160" customFormat="1" ht="12.75" customHeight="1">
      <c r="A12" s="161" t="s">
        <v>201</v>
      </c>
      <c r="B12" s="183">
        <f>SUMIF('明细表G2-2'!$A$10:$A$15,A12,'明细表G2-2'!$J$10:$J$15)</f>
        <v>0</v>
      </c>
      <c r="C12" s="183">
        <f>SUMIF('明细表G2-2'!$A$10:$A$15,A12,'明细表G2-2'!$E$10:$E$15)</f>
        <v>0</v>
      </c>
    </row>
    <row r="13" spans="1:5" s="160" customFormat="1" ht="13.05" customHeight="1">
      <c r="A13" s="162" t="s">
        <v>202</v>
      </c>
      <c r="B13" s="191">
        <f>SUM(B9:B12)</f>
        <v>0</v>
      </c>
      <c r="C13" s="191">
        <f>SUM(C9:C12)</f>
        <v>0</v>
      </c>
    </row>
    <row r="14" spans="1:5" s="160" customFormat="1" ht="13.5" customHeight="1" thickBot="1">
      <c r="A14" s="163" t="s">
        <v>203</v>
      </c>
      <c r="B14" s="189">
        <f>'审定表G2-1'!G20</f>
        <v>0</v>
      </c>
      <c r="C14" s="189">
        <f>'审定表G2-1'!D20</f>
        <v>0</v>
      </c>
    </row>
    <row r="15" spans="1:5" s="160" customFormat="1" ht="13.8" customHeight="1" thickBot="1">
      <c r="A15" s="188" t="s">
        <v>95</v>
      </c>
      <c r="B15" s="190">
        <f>B13-B14</f>
        <v>0</v>
      </c>
      <c r="C15" s="190">
        <f>C13-C14</f>
        <v>0</v>
      </c>
    </row>
    <row r="16" spans="1:5" s="160" customFormat="1" ht="13.8" customHeight="1" thickBot="1">
      <c r="A16" s="159" t="s">
        <v>217</v>
      </c>
    </row>
    <row r="17" spans="1:5" s="160" customFormat="1" ht="23.7" customHeight="1" thickBot="1">
      <c r="A17" s="187" t="s">
        <v>206</v>
      </c>
      <c r="B17" s="187" t="s">
        <v>94</v>
      </c>
      <c r="C17" s="187" t="s">
        <v>207</v>
      </c>
      <c r="D17" s="187" t="s">
        <v>208</v>
      </c>
      <c r="E17" s="187" t="s">
        <v>209</v>
      </c>
    </row>
    <row r="18" spans="1:5" s="160" customFormat="1" ht="12.75" customHeight="1">
      <c r="A18" s="164"/>
      <c r="B18" s="183"/>
      <c r="C18" s="183"/>
      <c r="D18" s="183"/>
      <c r="E18" s="183"/>
    </row>
    <row r="19" spans="1:5" s="160" customFormat="1" ht="12.75" customHeight="1">
      <c r="A19" s="164"/>
      <c r="B19" s="183"/>
      <c r="C19" s="183"/>
      <c r="D19" s="183"/>
      <c r="E19" s="183"/>
    </row>
    <row r="20" spans="1:5" s="160" customFormat="1" ht="13.5" customHeight="1" thickBot="1">
      <c r="A20" s="165"/>
      <c r="B20" s="189"/>
      <c r="C20" s="189"/>
      <c r="D20" s="189"/>
      <c r="E20" s="189"/>
    </row>
    <row r="21" spans="1:5" s="160" customFormat="1" ht="13.8" customHeight="1" thickBot="1">
      <c r="A21" s="188" t="s">
        <v>95</v>
      </c>
      <c r="B21" s="190">
        <f>SUM(B18:B20)</f>
        <v>0</v>
      </c>
      <c r="C21" s="190"/>
      <c r="D21" s="190"/>
      <c r="E21" s="190"/>
    </row>
    <row r="22" spans="1:5" s="160" customFormat="1" ht="13.8" customHeight="1" thickBot="1">
      <c r="A22" s="159" t="s">
        <v>218</v>
      </c>
    </row>
    <row r="23" spans="1:5" s="160" customFormat="1" ht="12" customHeight="1" thickBot="1">
      <c r="A23" s="474" t="s">
        <v>219</v>
      </c>
      <c r="B23" s="166" t="s">
        <v>220</v>
      </c>
      <c r="C23" s="166" t="s">
        <v>221</v>
      </c>
      <c r="D23" s="166" t="s">
        <v>222</v>
      </c>
      <c r="E23" s="476" t="s">
        <v>1</v>
      </c>
    </row>
    <row r="24" spans="1:5" s="160" customFormat="1" ht="45.75" customHeight="1" thickBot="1">
      <c r="A24" s="475"/>
      <c r="B24" s="167" t="s">
        <v>223</v>
      </c>
      <c r="C24" s="167" t="s">
        <v>224</v>
      </c>
      <c r="D24" s="167" t="s">
        <v>225</v>
      </c>
      <c r="E24" s="475"/>
    </row>
    <row r="25" spans="1:5" s="160" customFormat="1" ht="12.75" customHeight="1">
      <c r="A25" s="168" t="s">
        <v>216</v>
      </c>
      <c r="B25" s="183"/>
      <c r="C25" s="183"/>
      <c r="D25" s="183"/>
      <c r="E25" s="183">
        <f t="shared" ref="E25:E35" si="0">SUM(B25:D25)</f>
        <v>0</v>
      </c>
    </row>
    <row r="26" spans="1:5" s="160" customFormat="1" ht="12.75" customHeight="1">
      <c r="A26" s="168" t="s">
        <v>226</v>
      </c>
      <c r="B26" s="183"/>
      <c r="C26" s="183"/>
      <c r="D26" s="183"/>
      <c r="E26" s="183">
        <f t="shared" si="0"/>
        <v>0</v>
      </c>
    </row>
    <row r="27" spans="1:5" s="160" customFormat="1" ht="13.05" customHeight="1">
      <c r="A27" s="168" t="s">
        <v>227</v>
      </c>
      <c r="B27" s="184"/>
      <c r="C27" s="184"/>
      <c r="D27" s="183"/>
      <c r="E27" s="183">
        <f t="shared" si="0"/>
        <v>0</v>
      </c>
    </row>
    <row r="28" spans="1:5" s="160" customFormat="1" ht="13.05" customHeight="1">
      <c r="A28" s="168" t="s">
        <v>228</v>
      </c>
      <c r="B28" s="184"/>
      <c r="C28" s="184"/>
      <c r="D28" s="184"/>
      <c r="E28" s="183">
        <f t="shared" si="0"/>
        <v>0</v>
      </c>
    </row>
    <row r="29" spans="1:5" s="160" customFormat="1" ht="13.05" customHeight="1">
      <c r="A29" s="168" t="s">
        <v>229</v>
      </c>
      <c r="B29" s="183"/>
      <c r="C29" s="183"/>
      <c r="D29" s="184"/>
      <c r="E29" s="183">
        <f t="shared" si="0"/>
        <v>0</v>
      </c>
    </row>
    <row r="30" spans="1:5" s="160" customFormat="1" ht="13.05" customHeight="1">
      <c r="A30" s="168" t="s">
        <v>230</v>
      </c>
      <c r="B30" s="184"/>
      <c r="C30" s="184"/>
      <c r="D30" s="184"/>
      <c r="E30" s="183">
        <f t="shared" si="0"/>
        <v>0</v>
      </c>
    </row>
    <row r="31" spans="1:5" s="160" customFormat="1" ht="12.75" customHeight="1">
      <c r="A31" s="168" t="s">
        <v>231</v>
      </c>
      <c r="B31" s="183"/>
      <c r="C31" s="183"/>
      <c r="D31" s="183"/>
      <c r="E31" s="183">
        <f t="shared" si="0"/>
        <v>0</v>
      </c>
    </row>
    <row r="32" spans="1:5" s="160" customFormat="1" ht="12.75" customHeight="1">
      <c r="A32" s="168" t="s">
        <v>232</v>
      </c>
      <c r="B32" s="183"/>
      <c r="C32" s="183"/>
      <c r="D32" s="183"/>
      <c r="E32" s="183">
        <f t="shared" si="0"/>
        <v>0</v>
      </c>
    </row>
    <row r="33" spans="1:5" s="160" customFormat="1" ht="12.75" customHeight="1">
      <c r="A33" s="168" t="s">
        <v>233</v>
      </c>
      <c r="B33" s="183"/>
      <c r="C33" s="183"/>
      <c r="D33" s="183"/>
      <c r="E33" s="183">
        <f t="shared" si="0"/>
        <v>0</v>
      </c>
    </row>
    <row r="34" spans="1:5" s="160" customFormat="1" ht="12.75" customHeight="1">
      <c r="A34" s="168" t="s">
        <v>234</v>
      </c>
      <c r="B34" s="183"/>
      <c r="C34" s="183"/>
      <c r="D34" s="183"/>
      <c r="E34" s="183">
        <f t="shared" si="0"/>
        <v>0</v>
      </c>
    </row>
    <row r="35" spans="1:5" s="160" customFormat="1" ht="13.5" customHeight="1" thickBot="1">
      <c r="A35" s="169" t="s">
        <v>235</v>
      </c>
      <c r="B35" s="185"/>
      <c r="C35" s="185"/>
      <c r="D35" s="185"/>
      <c r="E35" s="185">
        <f t="shared" si="0"/>
        <v>0</v>
      </c>
    </row>
    <row r="36" spans="1:5" s="160" customFormat="1" ht="15.15" customHeight="1" thickBot="1">
      <c r="A36" s="170" t="s">
        <v>94</v>
      </c>
      <c r="B36" s="186">
        <f>SUM(B26:B30)+B31-B32-B33-B34+B35</f>
        <v>0</v>
      </c>
      <c r="C36" s="186">
        <f t="shared" ref="C36:E36" si="1">SUM(C26:C30)+C31-C32-C33-C34+C35</f>
        <v>0</v>
      </c>
      <c r="D36" s="186">
        <f t="shared" si="1"/>
        <v>0</v>
      </c>
      <c r="E36" s="186">
        <f t="shared" si="1"/>
        <v>0</v>
      </c>
    </row>
    <row r="37" spans="1:5" s="160" customFormat="1" ht="14.4"/>
    <row r="38" spans="1:5" s="160" customFormat="1" ht="14.4"/>
    <row r="39" spans="1:5" s="160" customFormat="1" ht="14.4"/>
  </sheetData>
  <mergeCells count="4">
    <mergeCell ref="A1:D1"/>
    <mergeCell ref="A2:D2"/>
    <mergeCell ref="A23:A24"/>
    <mergeCell ref="E23:E24"/>
  </mergeCells>
  <phoneticPr fontId="3" type="noConversion"/>
  <printOptions horizontalCentered="1"/>
  <pageMargins left="0.74803149606299213" right="0.55118110236220474" top="0.98425196850393704" bottom="0.23622047244094491" header="0.51181102362204722" footer="0.19685039370078741"/>
  <pageSetup paperSize="9" scale="95" orientation="landscape" blackAndWhite="1" cellComments="atEnd" r:id="rId1"/>
  <headerFooter alignWithMargins="0">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P32"/>
  <sheetViews>
    <sheetView view="pageBreakPreview" topLeftCell="A4" zoomScaleNormal="115" zoomScaleSheetLayoutView="100" workbookViewId="0">
      <selection activeCell="G13" sqref="G13"/>
    </sheetView>
  </sheetViews>
  <sheetFormatPr defaultColWidth="9" defaultRowHeight="13.8"/>
  <cols>
    <col min="1" max="1" width="14" style="9" customWidth="1"/>
    <col min="2" max="2" width="13.77734375" style="9" customWidth="1"/>
    <col min="3" max="4" width="13.21875" style="9" customWidth="1"/>
    <col min="5" max="5" width="16.21875" style="9" customWidth="1"/>
    <col min="6" max="6" width="12" style="9" customWidth="1"/>
    <col min="7" max="7" width="12.33203125" style="9" customWidth="1"/>
    <col min="8" max="8" width="13.21875" style="9" customWidth="1"/>
    <col min="9" max="9" width="12.44140625" style="9" customWidth="1"/>
    <col min="10" max="11" width="13.21875" style="9" customWidth="1"/>
    <col min="12" max="12" width="12.21875" style="9" customWidth="1"/>
    <col min="13" max="13" width="18.21875" style="9" customWidth="1"/>
    <col min="14" max="16384" width="9" style="9"/>
  </cols>
  <sheetData>
    <row r="1" spans="1:13" s="248" customFormat="1" ht="19.95" customHeight="1">
      <c r="A1" s="477" t="s">
        <v>322</v>
      </c>
      <c r="B1" s="477"/>
      <c r="C1" s="477"/>
      <c r="D1" s="477"/>
      <c r="E1" s="477"/>
      <c r="F1" s="477"/>
      <c r="G1" s="477"/>
      <c r="H1" s="477"/>
      <c r="I1" s="477"/>
      <c r="J1" s="477"/>
      <c r="K1" s="477"/>
      <c r="L1" s="477"/>
      <c r="M1" s="477"/>
    </row>
    <row r="2" spans="1:13" s="254" customFormat="1" ht="19.95" customHeight="1">
      <c r="A2" s="478" t="s">
        <v>319</v>
      </c>
      <c r="B2" s="478"/>
      <c r="C2" s="478"/>
      <c r="D2" s="478"/>
      <c r="E2" s="478"/>
      <c r="F2" s="478"/>
      <c r="G2" s="478"/>
      <c r="H2" s="478"/>
      <c r="I2" s="478"/>
      <c r="J2" s="478"/>
      <c r="K2" s="478"/>
      <c r="L2" s="478"/>
      <c r="M2" s="478"/>
    </row>
    <row r="3" spans="1:13" s="347" customFormat="1" ht="19.95" customHeight="1">
      <c r="A3" s="346" t="str">
        <f>底稿目录!A2</f>
        <v>被审计单位：</v>
      </c>
      <c r="B3" s="346"/>
      <c r="E3" s="346" t="str">
        <f>底稿目录!A4</f>
        <v>编制人：</v>
      </c>
      <c r="F3" s="346"/>
      <c r="G3" s="346"/>
      <c r="H3" s="346"/>
      <c r="I3" s="346" t="str">
        <f>底稿目录!A5</f>
        <v>编制日期：</v>
      </c>
      <c r="L3" s="356" t="s">
        <v>242</v>
      </c>
      <c r="M3" s="402" t="str">
        <f>底稿目录!F8</f>
        <v>G2-2</v>
      </c>
    </row>
    <row r="4" spans="1:13" s="347" customFormat="1" ht="19.95" customHeight="1">
      <c r="A4" s="346" t="str">
        <f>底稿目录!A3</f>
        <v>截止日：202X年12月31日</v>
      </c>
      <c r="B4" s="346"/>
      <c r="E4" s="346" t="str">
        <f>底稿目录!A6</f>
        <v>复核人：</v>
      </c>
      <c r="F4" s="346"/>
      <c r="G4" s="346"/>
      <c r="H4" s="346"/>
      <c r="I4" s="346" t="str">
        <f>底稿目录!A7</f>
        <v>复核日期：</v>
      </c>
      <c r="L4" s="356" t="s">
        <v>465</v>
      </c>
    </row>
    <row r="5" spans="1:13" ht="19.95" customHeight="1">
      <c r="A5" s="479" t="s">
        <v>437</v>
      </c>
      <c r="B5" s="479"/>
      <c r="C5" s="479"/>
      <c r="D5" s="479"/>
      <c r="E5" s="479"/>
      <c r="F5" s="479"/>
      <c r="G5" s="479"/>
      <c r="H5" s="479"/>
      <c r="I5" s="479"/>
      <c r="J5" s="479"/>
      <c r="K5" s="479"/>
      <c r="L5" s="479"/>
      <c r="M5" s="479"/>
    </row>
    <row r="6" spans="1:13" ht="19.95" customHeight="1">
      <c r="A6" s="344" t="s">
        <v>438</v>
      </c>
      <c r="B6" s="333"/>
      <c r="C6" s="333"/>
      <c r="D6" s="333"/>
      <c r="E6" s="333"/>
      <c r="F6" s="333"/>
      <c r="G6" s="333"/>
      <c r="H6" s="333"/>
      <c r="I6" s="333"/>
      <c r="J6" s="333"/>
      <c r="K6" s="333"/>
      <c r="L6" s="333"/>
      <c r="M6" s="333"/>
    </row>
    <row r="7" spans="1:13" ht="19.95" customHeight="1">
      <c r="A7" s="344" t="s">
        <v>439</v>
      </c>
      <c r="B7" s="333"/>
      <c r="C7" s="333"/>
      <c r="D7" s="333"/>
      <c r="E7" s="333"/>
      <c r="F7" s="333"/>
      <c r="G7" s="333"/>
      <c r="H7" s="333"/>
      <c r="I7" s="333"/>
      <c r="J7" s="333"/>
      <c r="K7" s="333"/>
      <c r="L7" s="333"/>
      <c r="M7" s="333"/>
    </row>
    <row r="8" spans="1:13" ht="19.95" customHeight="1">
      <c r="A8" s="37" t="s">
        <v>25</v>
      </c>
      <c r="B8" s="214"/>
      <c r="D8" s="2"/>
      <c r="E8" s="2"/>
      <c r="F8" s="2"/>
      <c r="G8" s="2"/>
      <c r="H8" s="2"/>
      <c r="K8" s="1"/>
      <c r="M8" s="12"/>
    </row>
    <row r="9" spans="1:13" ht="26.4" customHeight="1">
      <c r="A9" s="90" t="s">
        <v>26</v>
      </c>
      <c r="B9" s="89" t="s">
        <v>111</v>
      </c>
      <c r="C9" s="97" t="s">
        <v>102</v>
      </c>
      <c r="D9" s="97" t="s">
        <v>180</v>
      </c>
      <c r="E9" s="97" t="s">
        <v>181</v>
      </c>
      <c r="F9" s="97" t="s">
        <v>103</v>
      </c>
      <c r="G9" s="97" t="s">
        <v>104</v>
      </c>
      <c r="H9" s="97" t="s">
        <v>105</v>
      </c>
      <c r="I9" s="97" t="s">
        <v>106</v>
      </c>
      <c r="J9" s="98" t="s">
        <v>158</v>
      </c>
      <c r="K9" s="98" t="s">
        <v>107</v>
      </c>
      <c r="L9" s="98" t="s">
        <v>108</v>
      </c>
      <c r="M9" s="89" t="s">
        <v>110</v>
      </c>
    </row>
    <row r="10" spans="1:13" ht="19.95" customHeight="1">
      <c r="A10" s="49"/>
      <c r="B10" s="13"/>
      <c r="C10" s="40"/>
      <c r="D10" s="58"/>
      <c r="E10" s="195">
        <f>C10+D10</f>
        <v>0</v>
      </c>
      <c r="F10" s="40"/>
      <c r="G10" s="40"/>
      <c r="H10" s="195">
        <f>C10+F10-G10</f>
        <v>0</v>
      </c>
      <c r="I10" s="58"/>
      <c r="J10" s="195">
        <f>H10+I10</f>
        <v>0</v>
      </c>
      <c r="K10" s="259"/>
      <c r="L10" s="259"/>
      <c r="M10" s="40"/>
    </row>
    <row r="11" spans="1:13" ht="19.95" customHeight="1">
      <c r="A11" s="49"/>
      <c r="B11" s="13"/>
      <c r="C11" s="40"/>
      <c r="D11" s="58"/>
      <c r="E11" s="195">
        <f t="shared" ref="E11:E15" si="0">C11+D11</f>
        <v>0</v>
      </c>
      <c r="F11" s="40"/>
      <c r="G11" s="40"/>
      <c r="H11" s="195">
        <f t="shared" ref="H11:H15" si="1">C11+F11-G11</f>
        <v>0</v>
      </c>
      <c r="I11" s="58"/>
      <c r="J11" s="195">
        <f t="shared" ref="J11:J15" si="2">H11+I11</f>
        <v>0</v>
      </c>
      <c r="K11" s="259"/>
      <c r="L11" s="259"/>
      <c r="M11" s="40"/>
    </row>
    <row r="12" spans="1:13" ht="19.95" customHeight="1">
      <c r="A12" s="49"/>
      <c r="B12" s="13"/>
      <c r="C12" s="40"/>
      <c r="D12" s="58"/>
      <c r="E12" s="195">
        <f t="shared" si="0"/>
        <v>0</v>
      </c>
      <c r="F12" s="40"/>
      <c r="G12" s="40"/>
      <c r="H12" s="195">
        <f t="shared" si="1"/>
        <v>0</v>
      </c>
      <c r="I12" s="58"/>
      <c r="J12" s="195">
        <f t="shared" si="2"/>
        <v>0</v>
      </c>
      <c r="K12" s="259"/>
      <c r="L12" s="259"/>
      <c r="M12" s="40"/>
    </row>
    <row r="13" spans="1:13" ht="19.95" customHeight="1">
      <c r="A13" s="49"/>
      <c r="B13" s="13"/>
      <c r="C13" s="40"/>
      <c r="D13" s="58"/>
      <c r="E13" s="195">
        <f t="shared" si="0"/>
        <v>0</v>
      </c>
      <c r="F13" s="40"/>
      <c r="G13" s="40"/>
      <c r="H13" s="195">
        <f t="shared" si="1"/>
        <v>0</v>
      </c>
      <c r="I13" s="58"/>
      <c r="J13" s="195">
        <f t="shared" si="2"/>
        <v>0</v>
      </c>
      <c r="K13" s="259"/>
      <c r="L13" s="259"/>
      <c r="M13" s="40"/>
    </row>
    <row r="14" spans="1:13" ht="19.95" customHeight="1">
      <c r="A14" s="49"/>
      <c r="B14" s="13"/>
      <c r="C14" s="40"/>
      <c r="D14" s="58"/>
      <c r="E14" s="195">
        <f t="shared" si="0"/>
        <v>0</v>
      </c>
      <c r="F14" s="40"/>
      <c r="G14" s="40"/>
      <c r="H14" s="195">
        <f t="shared" si="1"/>
        <v>0</v>
      </c>
      <c r="I14" s="58"/>
      <c r="J14" s="195">
        <f t="shared" si="2"/>
        <v>0</v>
      </c>
      <c r="K14" s="259"/>
      <c r="L14" s="259"/>
      <c r="M14" s="40"/>
    </row>
    <row r="15" spans="1:13" ht="19.95" customHeight="1">
      <c r="A15" s="49"/>
      <c r="B15" s="13"/>
      <c r="C15" s="40"/>
      <c r="D15" s="62"/>
      <c r="E15" s="195">
        <f t="shared" si="0"/>
        <v>0</v>
      </c>
      <c r="F15" s="40"/>
      <c r="G15" s="40"/>
      <c r="H15" s="195">
        <f t="shared" si="1"/>
        <v>0</v>
      </c>
      <c r="I15" s="62"/>
      <c r="J15" s="195">
        <f t="shared" si="2"/>
        <v>0</v>
      </c>
      <c r="K15" s="259"/>
      <c r="L15" s="259"/>
      <c r="M15" s="40"/>
    </row>
    <row r="16" spans="1:13" s="8" customFormat="1" ht="19.95" customHeight="1">
      <c r="A16" s="196" t="s">
        <v>30</v>
      </c>
      <c r="B16" s="198"/>
      <c r="C16" s="198">
        <f>SUM(C10:C15)</f>
        <v>0</v>
      </c>
      <c r="D16" s="198">
        <f t="shared" ref="D16:E16" si="3">SUM(D10:D15)</f>
        <v>0</v>
      </c>
      <c r="E16" s="198">
        <f t="shared" si="3"/>
        <v>0</v>
      </c>
      <c r="F16" s="198">
        <f t="shared" ref="F16" si="4">SUM(F10:F15)</f>
        <v>0</v>
      </c>
      <c r="G16" s="198">
        <f t="shared" ref="G16" si="5">SUM(G10:G15)</f>
        <v>0</v>
      </c>
      <c r="H16" s="198">
        <f t="shared" ref="H16" si="6">SUM(H10:H15)</f>
        <v>0</v>
      </c>
      <c r="I16" s="198">
        <f>SUM(I10:I15)</f>
        <v>0</v>
      </c>
      <c r="J16" s="198">
        <f t="shared" ref="J16:K16" si="7">SUM(J10:J15)</f>
        <v>0</v>
      </c>
      <c r="K16" s="198">
        <f t="shared" si="7"/>
        <v>0</v>
      </c>
      <c r="L16" s="198"/>
      <c r="M16" s="198"/>
    </row>
    <row r="17" spans="1:16" ht="19.95" customHeight="1">
      <c r="A17" s="345" t="s">
        <v>109</v>
      </c>
      <c r="B17" s="46"/>
      <c r="C17" s="11"/>
      <c r="D17" s="11"/>
      <c r="E17" s="11"/>
      <c r="F17" s="11"/>
      <c r="G17" s="11"/>
      <c r="H17" s="11"/>
      <c r="I17" s="11"/>
      <c r="J17" s="11"/>
      <c r="K17" s="11"/>
      <c r="L17" s="11"/>
    </row>
    <row r="18" spans="1:16" ht="19.95" customHeight="1">
      <c r="A18" s="23" t="s">
        <v>27</v>
      </c>
      <c r="B18" s="11"/>
      <c r="C18" s="11"/>
      <c r="D18" s="11"/>
      <c r="E18" s="11"/>
      <c r="F18" s="11"/>
      <c r="G18" s="11"/>
      <c r="H18" s="11"/>
      <c r="I18" s="11"/>
      <c r="J18" s="11"/>
      <c r="K18" s="11"/>
      <c r="L18" s="11"/>
    </row>
    <row r="19" spans="1:16" ht="19.95" customHeight="1">
      <c r="A19" s="11"/>
      <c r="B19" s="46"/>
      <c r="C19" s="11"/>
      <c r="D19" s="11"/>
      <c r="E19" s="11"/>
      <c r="F19" s="11"/>
      <c r="G19" s="11"/>
      <c r="H19" s="11"/>
      <c r="I19" s="11"/>
      <c r="J19" s="11"/>
      <c r="K19" s="11"/>
      <c r="L19" s="11"/>
    </row>
    <row r="20" spans="1:16" ht="19.95" customHeight="1">
      <c r="A20" s="11"/>
      <c r="B20" s="11"/>
      <c r="C20" s="11"/>
      <c r="D20" s="11"/>
      <c r="E20" s="11"/>
      <c r="F20" s="11"/>
      <c r="G20" s="11"/>
      <c r="H20" s="11"/>
      <c r="I20" s="11"/>
      <c r="J20" s="11"/>
      <c r="K20" s="11"/>
      <c r="L20" s="11"/>
    </row>
    <row r="21" spans="1:16" ht="19.95" customHeight="1">
      <c r="A21" s="23" t="s">
        <v>28</v>
      </c>
      <c r="B21" s="11"/>
      <c r="C21" s="11"/>
      <c r="D21" s="11"/>
      <c r="E21" s="11"/>
      <c r="F21" s="11"/>
      <c r="G21" s="11"/>
      <c r="H21" s="11"/>
      <c r="I21" s="11"/>
      <c r="J21" s="11"/>
      <c r="K21" s="11"/>
      <c r="L21" s="11"/>
    </row>
    <row r="22" spans="1:16" ht="19.95" customHeight="1">
      <c r="A22" s="11"/>
      <c r="B22" s="11"/>
      <c r="C22" s="11"/>
      <c r="D22" s="11"/>
      <c r="E22" s="11"/>
      <c r="F22" s="11"/>
      <c r="G22" s="11"/>
      <c r="H22" s="11"/>
      <c r="I22" s="11"/>
      <c r="J22" s="11"/>
      <c r="K22" s="11"/>
      <c r="L22" s="11"/>
    </row>
    <row r="23" spans="1:16" ht="19.95" customHeight="1">
      <c r="A23" s="11"/>
      <c r="B23" s="11"/>
      <c r="C23" s="11"/>
      <c r="D23" s="11"/>
      <c r="E23" s="11"/>
      <c r="F23" s="11"/>
      <c r="G23" s="11"/>
      <c r="H23" s="11"/>
      <c r="I23" s="11"/>
      <c r="J23" s="11"/>
      <c r="K23" s="11"/>
      <c r="L23" s="11"/>
    </row>
    <row r="24" spans="1:16" ht="18" customHeight="1">
      <c r="A24" s="47" t="s">
        <v>29</v>
      </c>
    </row>
    <row r="25" spans="1:16" s="14" customFormat="1" ht="18" customHeight="1">
      <c r="A25" s="59" t="s">
        <v>397</v>
      </c>
    </row>
    <row r="26" spans="1:16" s="16" customFormat="1" ht="18" customHeight="1">
      <c r="A26" s="16" t="s">
        <v>398</v>
      </c>
      <c r="B26" s="15"/>
      <c r="C26" s="15"/>
      <c r="D26" s="15"/>
      <c r="E26" s="15"/>
      <c r="F26" s="15"/>
      <c r="G26" s="15"/>
      <c r="H26" s="15"/>
      <c r="I26" s="15"/>
      <c r="J26" s="15"/>
      <c r="K26" s="15"/>
      <c r="L26" s="15"/>
      <c r="M26" s="15"/>
      <c r="N26" s="15"/>
      <c r="O26" s="15"/>
      <c r="P26" s="15"/>
    </row>
    <row r="27" spans="1:16" s="16" customFormat="1" ht="33.450000000000003" customHeight="1">
      <c r="A27" s="48"/>
      <c r="B27" s="15"/>
      <c r="C27" s="15"/>
      <c r="D27" s="15"/>
      <c r="E27" s="15"/>
      <c r="F27" s="15"/>
      <c r="G27" s="15"/>
      <c r="H27" s="15"/>
      <c r="I27" s="15"/>
      <c r="J27" s="15"/>
      <c r="K27" s="15"/>
      <c r="L27" s="15"/>
      <c r="M27" s="15"/>
      <c r="N27" s="15"/>
      <c r="O27" s="15"/>
      <c r="P27" s="15"/>
    </row>
    <row r="28" spans="1:16" s="16" customFormat="1" ht="18" customHeight="1">
      <c r="A28" s="17"/>
      <c r="B28" s="15"/>
      <c r="C28" s="15"/>
      <c r="D28" s="15"/>
      <c r="E28" s="15"/>
      <c r="F28" s="15"/>
      <c r="G28" s="15"/>
      <c r="H28" s="15"/>
      <c r="I28" s="15"/>
      <c r="J28" s="15"/>
      <c r="K28" s="15"/>
      <c r="L28" s="15"/>
      <c r="M28" s="15"/>
      <c r="N28" s="15"/>
      <c r="O28" s="15"/>
      <c r="P28" s="15"/>
    </row>
    <row r="29" spans="1:16" s="16" customFormat="1" ht="18" customHeight="1">
      <c r="A29" s="17"/>
      <c r="B29" s="15"/>
      <c r="C29" s="15"/>
      <c r="D29" s="15"/>
      <c r="E29" s="15"/>
      <c r="F29" s="15"/>
      <c r="G29" s="15"/>
      <c r="H29" s="15"/>
      <c r="I29" s="15"/>
      <c r="J29" s="15"/>
      <c r="K29" s="15"/>
      <c r="L29" s="15"/>
      <c r="M29" s="15"/>
      <c r="N29" s="15"/>
      <c r="O29" s="15"/>
      <c r="P29" s="15"/>
    </row>
    <row r="30" spans="1:16" s="16" customFormat="1" ht="18" customHeight="1">
      <c r="A30" s="17"/>
      <c r="B30" s="15"/>
      <c r="C30" s="15"/>
      <c r="D30" s="15"/>
      <c r="E30" s="15"/>
      <c r="F30" s="15"/>
      <c r="G30" s="15"/>
      <c r="H30" s="15"/>
      <c r="I30" s="15"/>
      <c r="J30" s="15"/>
      <c r="K30" s="15"/>
      <c r="L30" s="15"/>
      <c r="M30" s="15"/>
      <c r="N30" s="15"/>
      <c r="O30" s="15"/>
      <c r="P30" s="15"/>
    </row>
    <row r="32" spans="1:16">
      <c r="A32" s="19"/>
      <c r="B32" s="19"/>
      <c r="C32" s="19"/>
      <c r="D32" s="19"/>
      <c r="E32" s="19"/>
      <c r="F32" s="19"/>
      <c r="G32" s="19"/>
      <c r="H32" s="19"/>
      <c r="I32" s="20"/>
      <c r="J32" s="19"/>
      <c r="K32" s="20"/>
      <c r="L32" s="20"/>
    </row>
  </sheetData>
  <mergeCells count="3">
    <mergeCell ref="A1:M1"/>
    <mergeCell ref="A2:M2"/>
    <mergeCell ref="A5:M5"/>
  </mergeCells>
  <phoneticPr fontId="10" type="noConversion"/>
  <dataValidations count="1">
    <dataValidation type="list" allowBlank="1" showInputMessage="1" showErrorMessage="1" prompt="如需修改“投资种类”，请选择“数据-数据有效性-设置”" sqref="A10:A15">
      <formula1>"定期存款,委托贷款,债券投资,保本理财投资,其他"</formula1>
    </dataValidation>
  </dataValidations>
  <hyperlinks>
    <hyperlink ref="M3" location="底稿目录!F8" display="底稿目录!F8"/>
  </hyperlinks>
  <printOptions horizontalCentered="1"/>
  <pageMargins left="0.74803149606299213" right="0.55118110236220474" top="0.98425196850393704" bottom="0.23622047244094491" header="0.51181102362204722" footer="0.19685039370078741"/>
  <pageSetup paperSize="9" scale="76" orientation="landscape" blackAndWhite="1" cellComments="atEnd"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8"/>
  <sheetViews>
    <sheetView view="pageBreakPreview" zoomScaleNormal="100" zoomScaleSheetLayoutView="100" workbookViewId="0">
      <selection activeCell="K12" sqref="K12"/>
    </sheetView>
  </sheetViews>
  <sheetFormatPr defaultRowHeight="14.4"/>
  <cols>
    <col min="1" max="1" width="17.6640625" customWidth="1"/>
    <col min="2" max="2" width="11.109375" bestFit="1" customWidth="1"/>
    <col min="3" max="3" width="13.109375" bestFit="1" customWidth="1"/>
    <col min="4" max="4" width="11.109375" bestFit="1" customWidth="1"/>
    <col min="5" max="5" width="5.88671875" bestFit="1" customWidth="1"/>
    <col min="6" max="6" width="9.109375" bestFit="1" customWidth="1"/>
    <col min="7" max="7" width="10.44140625" bestFit="1" customWidth="1"/>
    <col min="8" max="8" width="5.21875" bestFit="1" customWidth="1"/>
    <col min="9" max="9" width="9.109375" bestFit="1" customWidth="1"/>
    <col min="10" max="10" width="11.109375" bestFit="1" customWidth="1"/>
    <col min="11" max="12" width="13.109375" bestFit="1" customWidth="1"/>
    <col min="13" max="13" width="18.33203125" customWidth="1"/>
  </cols>
  <sheetData>
    <row r="1" spans="1:20" s="243" customFormat="1" ht="19.95" customHeight="1">
      <c r="A1" s="459" t="s">
        <v>0</v>
      </c>
      <c r="B1" s="459"/>
      <c r="C1" s="459"/>
      <c r="D1" s="459"/>
      <c r="E1" s="459"/>
      <c r="F1" s="459"/>
      <c r="G1" s="459"/>
      <c r="H1" s="459"/>
      <c r="I1" s="459"/>
      <c r="J1" s="459"/>
      <c r="K1" s="459"/>
      <c r="L1" s="459"/>
      <c r="M1" s="459"/>
    </row>
    <row r="2" spans="1:20" s="258" customFormat="1" ht="19.95" customHeight="1">
      <c r="A2" s="460" t="s">
        <v>426</v>
      </c>
      <c r="B2" s="460"/>
      <c r="C2" s="460"/>
      <c r="D2" s="460"/>
      <c r="E2" s="460"/>
      <c r="F2" s="460"/>
      <c r="G2" s="460"/>
      <c r="H2" s="460"/>
      <c r="I2" s="460"/>
      <c r="J2" s="460"/>
      <c r="K2" s="460"/>
      <c r="L2" s="460"/>
      <c r="M2" s="460"/>
    </row>
    <row r="3" spans="1:20" s="352" customFormat="1" ht="19.95" customHeight="1">
      <c r="A3" s="346" t="str">
        <f>底稿目录!A2</f>
        <v>被审计单位：</v>
      </c>
      <c r="B3" s="346"/>
      <c r="C3" s="347"/>
      <c r="D3" s="347"/>
      <c r="E3" s="346" t="str">
        <f>底稿目录!A4</f>
        <v>编制人：</v>
      </c>
      <c r="F3" s="346"/>
      <c r="G3" s="346"/>
      <c r="H3" s="346"/>
      <c r="I3" s="346" t="str">
        <f>底稿目录!A5</f>
        <v>编制日期：</v>
      </c>
      <c r="J3" s="347"/>
      <c r="K3" s="347"/>
      <c r="L3" s="356" t="s">
        <v>242</v>
      </c>
      <c r="M3" s="354" t="str">
        <f>底稿目录!F9</f>
        <v>G2-3</v>
      </c>
      <c r="N3" s="357"/>
      <c r="O3" s="357"/>
      <c r="P3" s="357"/>
      <c r="Q3" s="357"/>
      <c r="R3" s="357"/>
      <c r="S3" s="357"/>
      <c r="T3" s="357"/>
    </row>
    <row r="4" spans="1:20" s="352" customFormat="1" ht="19.95" customHeight="1">
      <c r="A4" s="346" t="str">
        <f>底稿目录!A3</f>
        <v>截止日：202X年12月31日</v>
      </c>
      <c r="B4" s="346"/>
      <c r="C4" s="347"/>
      <c r="D4" s="347"/>
      <c r="E4" s="346" t="str">
        <f>底稿目录!A6</f>
        <v>复核人：</v>
      </c>
      <c r="F4" s="346"/>
      <c r="G4" s="346"/>
      <c r="H4" s="346"/>
      <c r="I4" s="346" t="str">
        <f>底稿目录!A7</f>
        <v>复核日期：</v>
      </c>
      <c r="J4" s="347"/>
      <c r="K4" s="347"/>
      <c r="L4" s="356" t="s">
        <v>464</v>
      </c>
      <c r="M4" s="353"/>
      <c r="N4" s="357"/>
      <c r="O4" s="357"/>
      <c r="P4" s="357"/>
      <c r="Q4" s="357"/>
      <c r="R4" s="357"/>
      <c r="S4" s="357"/>
      <c r="T4" s="357"/>
    </row>
    <row r="5" spans="1:20" s="136" customFormat="1" ht="19.95" customHeight="1">
      <c r="A5" s="303" t="s">
        <v>400</v>
      </c>
    </row>
    <row r="6" spans="1:20" s="136" customFormat="1" ht="19.95" customHeight="1">
      <c r="A6" s="304" t="s">
        <v>440</v>
      </c>
    </row>
    <row r="7" spans="1:20" s="136" customFormat="1" ht="19.95" customHeight="1">
      <c r="A7" s="304" t="s">
        <v>441</v>
      </c>
    </row>
    <row r="8" spans="1:20" s="136" customFormat="1" ht="19.95" customHeight="1">
      <c r="A8" s="305" t="s">
        <v>401</v>
      </c>
    </row>
    <row r="9" spans="1:20" s="136" customFormat="1" ht="19.95" customHeight="1">
      <c r="A9" s="480" t="s">
        <v>402</v>
      </c>
      <c r="B9" s="480" t="s">
        <v>403</v>
      </c>
      <c r="C9" s="480"/>
      <c r="D9" s="480"/>
      <c r="E9" s="480" t="s">
        <v>404</v>
      </c>
      <c r="F9" s="480"/>
      <c r="G9" s="480" t="s">
        <v>405</v>
      </c>
      <c r="H9" s="480"/>
      <c r="I9" s="480"/>
      <c r="J9" s="480" t="s">
        <v>406</v>
      </c>
      <c r="K9" s="480"/>
      <c r="L9" s="480"/>
      <c r="M9" s="481" t="s">
        <v>407</v>
      </c>
    </row>
    <row r="10" spans="1:20" s="136" customFormat="1" ht="19.95" customHeight="1">
      <c r="A10" s="480"/>
      <c r="B10" s="306" t="s">
        <v>408</v>
      </c>
      <c r="C10" s="306" t="s">
        <v>409</v>
      </c>
      <c r="D10" s="306" t="s">
        <v>410</v>
      </c>
      <c r="E10" s="306" t="s">
        <v>411</v>
      </c>
      <c r="F10" s="306" t="s">
        <v>412</v>
      </c>
      <c r="G10" s="306" t="s">
        <v>413</v>
      </c>
      <c r="H10" s="306" t="s">
        <v>414</v>
      </c>
      <c r="I10" s="306" t="s">
        <v>415</v>
      </c>
      <c r="J10" s="306" t="s">
        <v>416</v>
      </c>
      <c r="K10" s="306" t="s">
        <v>417</v>
      </c>
      <c r="L10" s="306" t="s">
        <v>418</v>
      </c>
      <c r="M10" s="481"/>
    </row>
    <row r="11" spans="1:20" s="311" customFormat="1" ht="19.95" customHeight="1">
      <c r="A11" s="307" t="s">
        <v>419</v>
      </c>
      <c r="B11" s="308">
        <f t="shared" ref="B11:I11" si="0">SUM(B12:B15)</f>
        <v>0</v>
      </c>
      <c r="C11" s="308">
        <f t="shared" si="0"/>
        <v>0</v>
      </c>
      <c r="D11" s="308">
        <f t="shared" si="0"/>
        <v>0</v>
      </c>
      <c r="E11" s="308">
        <f t="shared" si="0"/>
        <v>0</v>
      </c>
      <c r="F11" s="308">
        <f t="shared" si="0"/>
        <v>0</v>
      </c>
      <c r="G11" s="308">
        <f t="shared" si="0"/>
        <v>0</v>
      </c>
      <c r="H11" s="308">
        <f t="shared" si="0"/>
        <v>0</v>
      </c>
      <c r="I11" s="308">
        <f t="shared" si="0"/>
        <v>0</v>
      </c>
      <c r="J11" s="308">
        <f t="shared" ref="J11:J20" si="1">B11+SUM(E11:F11)-SUM(G11:I11)</f>
        <v>0</v>
      </c>
      <c r="K11" s="308">
        <f>SUM(K12:K15)</f>
        <v>0</v>
      </c>
      <c r="L11" s="309">
        <f>J11+K11</f>
        <v>0</v>
      </c>
      <c r="M11" s="310"/>
    </row>
    <row r="12" spans="1:20" s="311" customFormat="1" ht="19.95" customHeight="1">
      <c r="A12" s="312" t="s">
        <v>420</v>
      </c>
      <c r="B12" s="313"/>
      <c r="C12" s="313"/>
      <c r="D12" s="309">
        <f>B12+C12</f>
        <v>0</v>
      </c>
      <c r="E12" s="313"/>
      <c r="F12" s="313"/>
      <c r="G12" s="313"/>
      <c r="H12" s="313"/>
      <c r="I12" s="313"/>
      <c r="J12" s="308">
        <f>B12+SUM(E12:F12)-SUM(G12:I12)</f>
        <v>0</v>
      </c>
      <c r="K12" s="313"/>
      <c r="L12" s="309">
        <f>J12+K12</f>
        <v>0</v>
      </c>
      <c r="M12" s="313"/>
    </row>
    <row r="13" spans="1:20" s="311" customFormat="1" ht="19.95" customHeight="1">
      <c r="A13" s="312"/>
      <c r="B13" s="313"/>
      <c r="C13" s="313"/>
      <c r="D13" s="309">
        <f t="shared" ref="D13:D20" si="2">B13+C13</f>
        <v>0</v>
      </c>
      <c r="E13" s="313"/>
      <c r="F13" s="313"/>
      <c r="G13" s="313"/>
      <c r="H13" s="313"/>
      <c r="I13" s="313"/>
      <c r="J13" s="308">
        <f t="shared" si="1"/>
        <v>0</v>
      </c>
      <c r="K13" s="313"/>
      <c r="L13" s="309">
        <f t="shared" ref="L13:L21" si="3">J13+K13</f>
        <v>0</v>
      </c>
      <c r="M13" s="313"/>
    </row>
    <row r="14" spans="1:20" s="311" customFormat="1" ht="19.95" customHeight="1">
      <c r="A14" s="312"/>
      <c r="B14" s="313"/>
      <c r="C14" s="313"/>
      <c r="D14" s="309">
        <f t="shared" si="2"/>
        <v>0</v>
      </c>
      <c r="E14" s="313"/>
      <c r="F14" s="313"/>
      <c r="G14" s="313"/>
      <c r="H14" s="313"/>
      <c r="I14" s="313"/>
      <c r="J14" s="308">
        <f t="shared" si="1"/>
        <v>0</v>
      </c>
      <c r="K14" s="313"/>
      <c r="L14" s="309">
        <f t="shared" si="3"/>
        <v>0</v>
      </c>
      <c r="M14" s="313"/>
    </row>
    <row r="15" spans="1:20" s="311" customFormat="1" ht="19.95" customHeight="1">
      <c r="A15" s="312"/>
      <c r="B15" s="313"/>
      <c r="C15" s="313"/>
      <c r="D15" s="309">
        <f t="shared" si="2"/>
        <v>0</v>
      </c>
      <c r="E15" s="313"/>
      <c r="F15" s="313"/>
      <c r="G15" s="313"/>
      <c r="H15" s="313"/>
      <c r="I15" s="313"/>
      <c r="J15" s="308">
        <f t="shared" si="1"/>
        <v>0</v>
      </c>
      <c r="K15" s="313"/>
      <c r="L15" s="309">
        <f t="shared" si="3"/>
        <v>0</v>
      </c>
      <c r="M15" s="313"/>
    </row>
    <row r="16" spans="1:20" s="311" customFormat="1" ht="19.95" customHeight="1">
      <c r="A16" s="307" t="s">
        <v>421</v>
      </c>
      <c r="B16" s="308">
        <f t="shared" ref="B16:I16" si="4">SUM(B17:B20)</f>
        <v>0</v>
      </c>
      <c r="C16" s="308">
        <f t="shared" si="4"/>
        <v>0</v>
      </c>
      <c r="D16" s="308"/>
      <c r="E16" s="308">
        <f t="shared" si="4"/>
        <v>0</v>
      </c>
      <c r="F16" s="308">
        <f t="shared" si="4"/>
        <v>0</v>
      </c>
      <c r="G16" s="308">
        <f t="shared" si="4"/>
        <v>0</v>
      </c>
      <c r="H16" s="308">
        <f t="shared" si="4"/>
        <v>0</v>
      </c>
      <c r="I16" s="308">
        <f t="shared" si="4"/>
        <v>0</v>
      </c>
      <c r="J16" s="308">
        <f t="shared" si="1"/>
        <v>0</v>
      </c>
      <c r="K16" s="308">
        <f>SUM(K17:K20)</f>
        <v>0</v>
      </c>
      <c r="L16" s="309">
        <f t="shared" si="3"/>
        <v>0</v>
      </c>
      <c r="M16" s="308"/>
    </row>
    <row r="17" spans="1:13" s="311" customFormat="1" ht="19.95" customHeight="1">
      <c r="A17" s="314" t="s">
        <v>422</v>
      </c>
      <c r="B17" s="313"/>
      <c r="C17" s="313"/>
      <c r="D17" s="309">
        <f t="shared" si="2"/>
        <v>0</v>
      </c>
      <c r="E17" s="313"/>
      <c r="F17" s="313"/>
      <c r="G17" s="313"/>
      <c r="H17" s="313"/>
      <c r="I17" s="313"/>
      <c r="J17" s="308">
        <f t="shared" si="1"/>
        <v>0</v>
      </c>
      <c r="K17" s="313"/>
      <c r="L17" s="309">
        <f t="shared" si="3"/>
        <v>0</v>
      </c>
      <c r="M17" s="313"/>
    </row>
    <row r="18" spans="1:13" s="311" customFormat="1" ht="19.95" customHeight="1">
      <c r="A18" s="314"/>
      <c r="B18" s="313"/>
      <c r="C18" s="313"/>
      <c r="D18" s="309">
        <f t="shared" si="2"/>
        <v>0</v>
      </c>
      <c r="E18" s="313"/>
      <c r="F18" s="313"/>
      <c r="G18" s="313"/>
      <c r="H18" s="313"/>
      <c r="I18" s="313"/>
      <c r="J18" s="308">
        <f t="shared" si="1"/>
        <v>0</v>
      </c>
      <c r="K18" s="313"/>
      <c r="L18" s="309">
        <f t="shared" si="3"/>
        <v>0</v>
      </c>
      <c r="M18" s="313"/>
    </row>
    <row r="19" spans="1:13" s="311" customFormat="1" ht="19.95" customHeight="1">
      <c r="A19" s="315"/>
      <c r="B19" s="313"/>
      <c r="C19" s="313"/>
      <c r="D19" s="309">
        <f t="shared" si="2"/>
        <v>0</v>
      </c>
      <c r="E19" s="313"/>
      <c r="F19" s="313"/>
      <c r="G19" s="313"/>
      <c r="H19" s="313"/>
      <c r="I19" s="313"/>
      <c r="J19" s="308">
        <f t="shared" si="1"/>
        <v>0</v>
      </c>
      <c r="K19" s="313"/>
      <c r="L19" s="309">
        <f t="shared" si="3"/>
        <v>0</v>
      </c>
      <c r="M19" s="313"/>
    </row>
    <row r="20" spans="1:13" s="311" customFormat="1" ht="19.95" customHeight="1">
      <c r="A20" s="312"/>
      <c r="B20" s="313"/>
      <c r="C20" s="313"/>
      <c r="D20" s="309">
        <f t="shared" si="2"/>
        <v>0</v>
      </c>
      <c r="E20" s="313"/>
      <c r="F20" s="313"/>
      <c r="G20" s="313"/>
      <c r="H20" s="313"/>
      <c r="I20" s="313"/>
      <c r="J20" s="308">
        <f t="shared" si="1"/>
        <v>0</v>
      </c>
      <c r="K20" s="313"/>
      <c r="L20" s="309">
        <f t="shared" si="3"/>
        <v>0</v>
      </c>
      <c r="M20" s="313"/>
    </row>
    <row r="21" spans="1:13" s="311" customFormat="1" ht="19.95" customHeight="1">
      <c r="A21" s="312"/>
      <c r="B21" s="313"/>
      <c r="C21" s="313"/>
      <c r="D21" s="309"/>
      <c r="E21" s="313"/>
      <c r="F21" s="313"/>
      <c r="G21" s="313"/>
      <c r="H21" s="313"/>
      <c r="I21" s="313"/>
      <c r="J21" s="308"/>
      <c r="K21" s="316"/>
      <c r="L21" s="309">
        <f t="shared" si="3"/>
        <v>0</v>
      </c>
      <c r="M21" s="313"/>
    </row>
    <row r="22" spans="1:13" s="311" customFormat="1" ht="19.95" customHeight="1">
      <c r="A22" s="317" t="s">
        <v>423</v>
      </c>
      <c r="B22" s="318">
        <f>B11+B16</f>
        <v>0</v>
      </c>
      <c r="C22" s="318">
        <f>C11+C16</f>
        <v>0</v>
      </c>
      <c r="D22" s="318">
        <f>D11+D16</f>
        <v>0</v>
      </c>
      <c r="E22" s="318">
        <f t="shared" ref="E22:J22" si="5">E11+E16</f>
        <v>0</v>
      </c>
      <c r="F22" s="318">
        <f t="shared" si="5"/>
        <v>0</v>
      </c>
      <c r="G22" s="318">
        <f t="shared" si="5"/>
        <v>0</v>
      </c>
      <c r="H22" s="318">
        <f t="shared" si="5"/>
        <v>0</v>
      </c>
      <c r="I22" s="318">
        <f t="shared" si="5"/>
        <v>0</v>
      </c>
      <c r="J22" s="318">
        <f t="shared" si="5"/>
        <v>0</v>
      </c>
      <c r="K22" s="318">
        <f>K11+K16</f>
        <v>0</v>
      </c>
      <c r="L22" s="318">
        <f>L11+L16</f>
        <v>0</v>
      </c>
      <c r="M22" s="318">
        <f>SUM(M11:M21)</f>
        <v>0</v>
      </c>
    </row>
    <row r="23" spans="1:13" s="136" customFormat="1" ht="19.95" customHeight="1">
      <c r="A23" s="319" t="s">
        <v>424</v>
      </c>
    </row>
    <row r="24" spans="1:13" s="136" customFormat="1" ht="19.95" customHeight="1">
      <c r="A24" s="320"/>
    </row>
    <row r="25" spans="1:13" s="136" customFormat="1" ht="19.95" customHeight="1">
      <c r="A25" s="321"/>
    </row>
    <row r="26" spans="1:13" s="136" customFormat="1" ht="19.95" customHeight="1">
      <c r="A26" s="322"/>
    </row>
    <row r="27" spans="1:13" s="136" customFormat="1" ht="19.95" customHeight="1">
      <c r="A27" s="323" t="s">
        <v>425</v>
      </c>
    </row>
    <row r="28" spans="1:13" s="136" customFormat="1" ht="19.5" customHeight="1"/>
  </sheetData>
  <mergeCells count="8">
    <mergeCell ref="A1:M1"/>
    <mergeCell ref="A2:M2"/>
    <mergeCell ref="A9:A10"/>
    <mergeCell ref="B9:D9"/>
    <mergeCell ref="E9:F9"/>
    <mergeCell ref="G9:I9"/>
    <mergeCell ref="J9:L9"/>
    <mergeCell ref="M9:M10"/>
  </mergeCells>
  <phoneticPr fontId="3" type="noConversion"/>
  <hyperlinks>
    <hyperlink ref="M3" location="底稿目录!F9" display="底稿目录!F9"/>
  </hyperlinks>
  <printOptions horizontalCentered="1"/>
  <pageMargins left="0.74803149606299213" right="0.55118110236220474" top="0.98425196850393704" bottom="0.23622047244094491" header="0.51181102362204722" footer="0.19685039370078741"/>
  <pageSetup paperSize="9" scale="91" orientation="landscape" blackAndWhite="1" cellComments="atEnd" r:id="rId1"/>
  <headerFooter alignWithMargins="0">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22"/>
  <sheetViews>
    <sheetView view="pageBreakPreview" zoomScaleNormal="100" zoomScaleSheetLayoutView="100" workbookViewId="0">
      <selection activeCell="D27" sqref="D27"/>
    </sheetView>
  </sheetViews>
  <sheetFormatPr defaultColWidth="8.88671875" defaultRowHeight="15.6"/>
  <cols>
    <col min="1" max="1" width="23" style="136" customWidth="1"/>
    <col min="2" max="2" width="23.6640625" style="136" customWidth="1"/>
    <col min="3" max="3" width="12.33203125" style="222" customWidth="1"/>
    <col min="4" max="16384" width="8.88671875" style="136"/>
  </cols>
  <sheetData>
    <row r="1" spans="1:10" s="242" customFormat="1" ht="19.95" customHeight="1">
      <c r="A1" s="459" t="s">
        <v>0</v>
      </c>
      <c r="B1" s="459"/>
      <c r="C1" s="459"/>
      <c r="D1" s="459"/>
      <c r="E1" s="459"/>
      <c r="F1" s="459"/>
      <c r="G1" s="459"/>
      <c r="H1" s="459"/>
      <c r="I1" s="459"/>
      <c r="J1" s="459"/>
    </row>
    <row r="2" spans="1:10" s="256" customFormat="1" ht="19.95" customHeight="1">
      <c r="A2" s="460" t="s">
        <v>195</v>
      </c>
      <c r="B2" s="460"/>
      <c r="C2" s="460"/>
      <c r="D2" s="460"/>
      <c r="E2" s="460"/>
      <c r="F2" s="460"/>
      <c r="G2" s="460"/>
      <c r="H2" s="460"/>
      <c r="I2" s="460"/>
      <c r="J2" s="460"/>
    </row>
    <row r="3" spans="1:10" s="358" customFormat="1" ht="19.95" customHeight="1">
      <c r="A3" s="352" t="str">
        <f>底稿目录!A2</f>
        <v>被审计单位：</v>
      </c>
      <c r="B3" s="352"/>
      <c r="C3" s="352"/>
      <c r="D3" s="352" t="str">
        <f>底稿目录!A4</f>
        <v>编制人：</v>
      </c>
      <c r="E3" s="352"/>
      <c r="F3" s="352"/>
      <c r="G3" s="352" t="str">
        <f>底稿目录!A5</f>
        <v>编制日期：</v>
      </c>
      <c r="H3" s="352"/>
      <c r="I3" s="352" t="s">
        <v>462</v>
      </c>
      <c r="J3" s="402" t="str">
        <f>底稿目录!F10</f>
        <v>G2-4</v>
      </c>
    </row>
    <row r="4" spans="1:10" s="358" customFormat="1" ht="19.95" customHeight="1">
      <c r="A4" s="352" t="str">
        <f>底稿目录!A3</f>
        <v>截止日：202X年12月31日</v>
      </c>
      <c r="B4" s="352"/>
      <c r="C4" s="352"/>
      <c r="D4" s="352" t="str">
        <f>底稿目录!A6</f>
        <v>复核人：</v>
      </c>
      <c r="E4" s="352"/>
      <c r="F4" s="352"/>
      <c r="G4" s="352" t="str">
        <f>底稿目录!A7</f>
        <v>复核日期：</v>
      </c>
      <c r="H4" s="352"/>
      <c r="I4" s="352" t="s">
        <v>463</v>
      </c>
    </row>
    <row r="5" spans="1:10" ht="24.6" customHeight="1">
      <c r="A5" s="144" t="s">
        <v>185</v>
      </c>
      <c r="B5" s="145" t="s">
        <v>186</v>
      </c>
      <c r="C5" s="220" t="s">
        <v>288</v>
      </c>
      <c r="D5" s="137" t="s">
        <v>187</v>
      </c>
      <c r="E5" s="137" t="s">
        <v>188</v>
      </c>
      <c r="F5" s="138" t="s">
        <v>189</v>
      </c>
      <c r="G5" s="137" t="s">
        <v>190</v>
      </c>
      <c r="H5" s="137" t="s">
        <v>191</v>
      </c>
      <c r="I5" s="137" t="s">
        <v>192</v>
      </c>
      <c r="J5" s="137" t="s">
        <v>193</v>
      </c>
    </row>
    <row r="6" spans="1:10" ht="19.95" customHeight="1">
      <c r="A6" s="139"/>
      <c r="B6" s="139"/>
      <c r="C6" s="221"/>
      <c r="D6" s="139"/>
      <c r="E6" s="139"/>
      <c r="F6" s="139"/>
      <c r="G6" s="139"/>
      <c r="H6" s="139"/>
      <c r="I6" s="139"/>
      <c r="J6" s="139"/>
    </row>
    <row r="7" spans="1:10" ht="19.95" customHeight="1">
      <c r="A7" s="140"/>
      <c r="B7" s="139"/>
      <c r="C7" s="221"/>
      <c r="D7" s="139"/>
      <c r="E7" s="139"/>
      <c r="F7" s="139"/>
      <c r="G7" s="139"/>
      <c r="H7" s="139"/>
      <c r="I7" s="139"/>
      <c r="J7" s="139"/>
    </row>
    <row r="8" spans="1:10" ht="19.95" customHeight="1">
      <c r="A8" s="141"/>
      <c r="B8" s="139"/>
      <c r="C8" s="221"/>
      <c r="D8" s="139"/>
      <c r="E8" s="139"/>
      <c r="F8" s="139"/>
      <c r="G8" s="139"/>
      <c r="H8" s="139"/>
      <c r="I8" s="139"/>
      <c r="J8" s="139"/>
    </row>
    <row r="9" spans="1:10" ht="19.95" customHeight="1">
      <c r="A9" s="141"/>
      <c r="B9" s="139"/>
      <c r="C9" s="221"/>
      <c r="D9" s="139"/>
      <c r="E9" s="139"/>
      <c r="F9" s="139"/>
      <c r="G9" s="139"/>
      <c r="H9" s="139"/>
      <c r="I9" s="139"/>
      <c r="J9" s="139"/>
    </row>
    <row r="10" spans="1:10" ht="19.95" customHeight="1">
      <c r="A10" s="141"/>
      <c r="B10" s="139"/>
      <c r="C10" s="221"/>
      <c r="D10" s="139"/>
      <c r="E10" s="139"/>
      <c r="F10" s="139"/>
      <c r="G10" s="139"/>
      <c r="H10" s="139"/>
      <c r="I10" s="139"/>
      <c r="J10" s="139"/>
    </row>
    <row r="11" spans="1:10" ht="19.95" customHeight="1">
      <c r="A11" s="142"/>
      <c r="B11" s="139"/>
      <c r="C11" s="221"/>
      <c r="D11" s="139"/>
      <c r="E11" s="139"/>
      <c r="F11" s="139"/>
      <c r="G11" s="139"/>
      <c r="H11" s="139"/>
      <c r="I11" s="139"/>
      <c r="J11" s="139"/>
    </row>
    <row r="12" spans="1:10" ht="19.95" customHeight="1">
      <c r="A12" s="141"/>
      <c r="B12" s="139"/>
      <c r="C12" s="221"/>
      <c r="D12" s="139"/>
      <c r="E12" s="139"/>
      <c r="F12" s="139"/>
      <c r="G12" s="139"/>
      <c r="H12" s="139"/>
      <c r="I12" s="139"/>
      <c r="J12" s="139"/>
    </row>
    <row r="13" spans="1:10" ht="19.95" customHeight="1">
      <c r="A13" s="141"/>
      <c r="B13" s="139"/>
      <c r="C13" s="221"/>
      <c r="D13" s="139"/>
      <c r="E13" s="139"/>
      <c r="F13" s="139"/>
      <c r="G13" s="139"/>
      <c r="H13" s="139"/>
      <c r="I13" s="139"/>
      <c r="J13" s="139"/>
    </row>
    <row r="14" spans="1:10" ht="19.95" customHeight="1">
      <c r="A14" s="141"/>
      <c r="B14" s="139"/>
      <c r="C14" s="221"/>
      <c r="D14" s="139"/>
      <c r="E14" s="139"/>
      <c r="F14" s="139"/>
      <c r="G14" s="139"/>
      <c r="H14" s="139"/>
      <c r="I14" s="139"/>
      <c r="J14" s="139"/>
    </row>
    <row r="15" spans="1:10" ht="19.95" customHeight="1">
      <c r="A15" s="141"/>
      <c r="B15" s="139"/>
      <c r="C15" s="221"/>
      <c r="D15" s="139"/>
      <c r="E15" s="139"/>
      <c r="F15" s="139"/>
      <c r="G15" s="139"/>
      <c r="H15" s="139"/>
      <c r="I15" s="139"/>
      <c r="J15" s="139"/>
    </row>
    <row r="16" spans="1:10" ht="19.95" customHeight="1">
      <c r="A16" s="141"/>
      <c r="B16" s="139"/>
      <c r="C16" s="221"/>
      <c r="D16" s="139"/>
      <c r="E16" s="139"/>
      <c r="F16" s="139"/>
      <c r="G16" s="139"/>
      <c r="H16" s="139"/>
      <c r="I16" s="139"/>
      <c r="J16" s="139"/>
    </row>
    <row r="17" spans="1:10" ht="19.95" customHeight="1">
      <c r="A17" s="141"/>
      <c r="B17" s="139"/>
      <c r="C17" s="221"/>
      <c r="D17" s="139"/>
      <c r="E17" s="139"/>
      <c r="F17" s="139"/>
      <c r="G17" s="139"/>
      <c r="H17" s="139"/>
      <c r="I17" s="139"/>
      <c r="J17" s="139"/>
    </row>
    <row r="18" spans="1:10" ht="19.95" customHeight="1">
      <c r="A18" s="141"/>
      <c r="B18" s="139"/>
      <c r="C18" s="221"/>
      <c r="D18" s="139"/>
      <c r="E18" s="139"/>
      <c r="F18" s="139"/>
      <c r="G18" s="139"/>
      <c r="H18" s="139"/>
      <c r="I18" s="139"/>
      <c r="J18" s="139"/>
    </row>
    <row r="19" spans="1:10" ht="19.95" customHeight="1">
      <c r="A19" s="141"/>
      <c r="B19" s="139"/>
      <c r="C19" s="221"/>
      <c r="D19" s="139"/>
      <c r="E19" s="139"/>
      <c r="F19" s="139"/>
      <c r="G19" s="139"/>
      <c r="H19" s="139"/>
      <c r="I19" s="139"/>
      <c r="J19" s="139"/>
    </row>
    <row r="20" spans="1:10" ht="19.95" customHeight="1">
      <c r="A20" s="141"/>
      <c r="B20" s="139"/>
      <c r="C20" s="221"/>
      <c r="D20" s="139"/>
      <c r="E20" s="139"/>
      <c r="F20" s="139"/>
      <c r="G20" s="139"/>
      <c r="H20" s="139"/>
      <c r="I20" s="139"/>
      <c r="J20" s="139"/>
    </row>
    <row r="21" spans="1:10" ht="19.95" customHeight="1">
      <c r="A21" s="79"/>
      <c r="B21" s="79"/>
      <c r="C21" s="79"/>
      <c r="D21" s="80"/>
      <c r="E21" s="80"/>
      <c r="F21" s="80"/>
      <c r="G21" s="143"/>
      <c r="H21" s="143"/>
      <c r="I21" s="80"/>
      <c r="J21" s="78"/>
    </row>
    <row r="22" spans="1:10" ht="28.5" customHeight="1">
      <c r="A22" s="482" t="s">
        <v>194</v>
      </c>
      <c r="B22" s="483"/>
      <c r="C22" s="483"/>
      <c r="D22" s="483"/>
      <c r="E22" s="483"/>
      <c r="F22" s="483"/>
      <c r="G22" s="483"/>
      <c r="H22" s="483"/>
      <c r="I22" s="483"/>
      <c r="J22" s="483"/>
    </row>
  </sheetData>
  <mergeCells count="3">
    <mergeCell ref="A1:J1"/>
    <mergeCell ref="A2:J2"/>
    <mergeCell ref="A22:J22"/>
  </mergeCells>
  <phoneticPr fontId="3" type="noConversion"/>
  <dataValidations count="1">
    <dataValidation type="list" allowBlank="1" showInputMessage="1" showErrorMessage="1" sqref="B6:B20">
      <formula1>"账项调整,报表调整,其他"</formula1>
    </dataValidation>
  </dataValidations>
  <printOptions horizontalCentered="1"/>
  <pageMargins left="0.74803149606299213" right="0.55118110236220474" top="0.98425196850393704" bottom="0.23622047244094491" header="0.51181102362204722" footer="0.19685039370078741"/>
  <pageSetup paperSize="9" orientation="landscape" blackAndWhite="1" cellComments="atEnd" r:id="rId1"/>
  <headerFooter alignWithMargins="0">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K19"/>
  <sheetViews>
    <sheetView view="pageBreakPreview" zoomScaleSheetLayoutView="100" workbookViewId="0">
      <selection activeCell="A9" sqref="A9"/>
    </sheetView>
  </sheetViews>
  <sheetFormatPr defaultColWidth="9" defaultRowHeight="13.8"/>
  <cols>
    <col min="1" max="1" width="14" style="51" customWidth="1"/>
    <col min="2" max="2" width="13.109375" style="51" customWidth="1"/>
    <col min="3" max="3" width="11" style="51" customWidth="1"/>
    <col min="4" max="4" width="13.6640625" style="51" customWidth="1"/>
    <col min="5" max="5" width="16.21875" style="51" customWidth="1"/>
    <col min="6" max="6" width="10.33203125" style="51" customWidth="1"/>
    <col min="7" max="7" width="13.44140625" style="51" customWidth="1"/>
    <col min="8" max="8" width="12.6640625" style="51" customWidth="1"/>
    <col min="9" max="9" width="11.109375" style="51" customWidth="1"/>
    <col min="10" max="10" width="11.44140625" style="51" customWidth="1"/>
    <col min="11" max="11" width="13.33203125" style="51" customWidth="1"/>
    <col min="12" max="16384" width="9" style="51"/>
  </cols>
  <sheetData>
    <row r="1" spans="1:11" s="249" customFormat="1" ht="19.95" customHeight="1">
      <c r="A1" s="477" t="s">
        <v>322</v>
      </c>
      <c r="B1" s="477"/>
      <c r="C1" s="477"/>
      <c r="D1" s="477"/>
      <c r="E1" s="477"/>
      <c r="F1" s="477"/>
      <c r="G1" s="477"/>
      <c r="H1" s="477"/>
      <c r="I1" s="477"/>
      <c r="J1" s="477"/>
      <c r="K1" s="477"/>
    </row>
    <row r="2" spans="1:11" s="255" customFormat="1" ht="19.95" customHeight="1">
      <c r="A2" s="478" t="s">
        <v>320</v>
      </c>
      <c r="B2" s="478"/>
      <c r="C2" s="478"/>
      <c r="D2" s="478"/>
      <c r="E2" s="478"/>
      <c r="F2" s="478"/>
      <c r="G2" s="478"/>
      <c r="H2" s="478"/>
      <c r="I2" s="478"/>
      <c r="J2" s="478"/>
      <c r="K2" s="478"/>
    </row>
    <row r="3" spans="1:11" s="359" customFormat="1" ht="19.95" customHeight="1">
      <c r="A3" s="346" t="str">
        <f>底稿目录!A2</f>
        <v>被审计单位：</v>
      </c>
      <c r="B3" s="346"/>
      <c r="C3" s="348"/>
      <c r="D3" s="348"/>
      <c r="E3" s="346" t="str">
        <f>底稿目录!A4</f>
        <v>编制人：</v>
      </c>
      <c r="F3" s="347"/>
      <c r="G3" s="348"/>
      <c r="H3" s="346" t="str">
        <f>底稿目录!A5</f>
        <v>编制日期：</v>
      </c>
      <c r="I3" s="347"/>
      <c r="J3" s="356" t="s">
        <v>435</v>
      </c>
      <c r="K3" s="402" t="str">
        <f>底稿目录!F11</f>
        <v>G2-5</v>
      </c>
    </row>
    <row r="4" spans="1:11" s="359" customFormat="1" ht="19.95" customHeight="1">
      <c r="A4" s="346" t="str">
        <f>底稿目录!A3</f>
        <v>截止日：202X年12月31日</v>
      </c>
      <c r="B4" s="346"/>
      <c r="C4" s="348"/>
      <c r="D4" s="348"/>
      <c r="E4" s="346" t="str">
        <f>底稿目录!A6</f>
        <v>复核人：</v>
      </c>
      <c r="F4" s="347"/>
      <c r="G4" s="348"/>
      <c r="H4" s="346" t="str">
        <f>底稿目录!A7</f>
        <v>复核日期：</v>
      </c>
      <c r="I4" s="347"/>
      <c r="J4" s="356" t="s">
        <v>459</v>
      </c>
      <c r="K4" s="347"/>
    </row>
    <row r="5" spans="1:11" ht="19.95" customHeight="1">
      <c r="A5" s="52" t="s">
        <v>90</v>
      </c>
      <c r="B5" s="44" t="s">
        <v>89</v>
      </c>
      <c r="C5" s="2"/>
      <c r="D5" s="9"/>
      <c r="E5" s="1"/>
      <c r="F5" s="9"/>
      <c r="G5" s="9"/>
      <c r="H5" s="9"/>
      <c r="I5" s="9"/>
      <c r="J5" s="11"/>
      <c r="K5" s="9"/>
    </row>
    <row r="6" spans="1:11" ht="19.95" customHeight="1">
      <c r="A6" s="37" t="s">
        <v>25</v>
      </c>
      <c r="B6" s="45"/>
      <c r="C6" s="36"/>
      <c r="F6" s="45"/>
    </row>
    <row r="7" spans="1:11" ht="19.95" customHeight="1">
      <c r="A7" s="485" t="s">
        <v>112</v>
      </c>
      <c r="B7" s="53" t="s">
        <v>80</v>
      </c>
      <c r="C7" s="53" t="s">
        <v>81</v>
      </c>
      <c r="D7" s="486" t="s">
        <v>119</v>
      </c>
      <c r="E7" s="486" t="s">
        <v>120</v>
      </c>
      <c r="F7" s="53" t="s">
        <v>82</v>
      </c>
      <c r="G7" s="53" t="s">
        <v>83</v>
      </c>
      <c r="H7" s="488" t="s">
        <v>118</v>
      </c>
      <c r="I7" s="53" t="s">
        <v>84</v>
      </c>
      <c r="J7" s="53" t="s">
        <v>85</v>
      </c>
      <c r="K7" s="484" t="s">
        <v>86</v>
      </c>
    </row>
    <row r="8" spans="1:11" ht="19.95" customHeight="1">
      <c r="A8" s="484"/>
      <c r="B8" s="99" t="s">
        <v>113</v>
      </c>
      <c r="C8" s="99" t="s">
        <v>114</v>
      </c>
      <c r="D8" s="487"/>
      <c r="E8" s="487"/>
      <c r="F8" s="99" t="s">
        <v>115</v>
      </c>
      <c r="G8" s="53" t="s">
        <v>159</v>
      </c>
      <c r="H8" s="489"/>
      <c r="I8" s="99" t="s">
        <v>116</v>
      </c>
      <c r="J8" s="53" t="s">
        <v>121</v>
      </c>
      <c r="K8" s="484"/>
    </row>
    <row r="9" spans="1:11" ht="19.95" customHeight="1">
      <c r="A9" s="55"/>
      <c r="B9" s="54"/>
      <c r="C9" s="260"/>
      <c r="D9" s="56"/>
      <c r="E9" s="56"/>
      <c r="F9" s="195">
        <f>E9-D9</f>
        <v>0</v>
      </c>
      <c r="G9" s="195">
        <f t="shared" ref="G9:G12" si="0">ROUND(B9*C9/360*F9,2)</f>
        <v>0</v>
      </c>
      <c r="H9" s="100"/>
      <c r="I9" s="57"/>
      <c r="J9" s="195">
        <f>I9-H9</f>
        <v>0</v>
      </c>
      <c r="K9" s="55"/>
    </row>
    <row r="10" spans="1:11" ht="19.95" customHeight="1">
      <c r="A10" s="55"/>
      <c r="B10" s="54"/>
      <c r="C10" s="260"/>
      <c r="D10" s="56"/>
      <c r="E10" s="56"/>
      <c r="F10" s="195">
        <f t="shared" ref="F10:F12" si="1">E10-D10</f>
        <v>0</v>
      </c>
      <c r="G10" s="195">
        <f t="shared" si="0"/>
        <v>0</v>
      </c>
      <c r="H10" s="100"/>
      <c r="I10" s="57"/>
      <c r="J10" s="195">
        <f t="shared" ref="J10:J12" si="2">I10-H10</f>
        <v>0</v>
      </c>
      <c r="K10" s="55"/>
    </row>
    <row r="11" spans="1:11" ht="19.95" customHeight="1">
      <c r="A11" s="55"/>
      <c r="B11" s="54"/>
      <c r="C11" s="260"/>
      <c r="D11" s="56"/>
      <c r="E11" s="56"/>
      <c r="F11" s="195">
        <f t="shared" si="1"/>
        <v>0</v>
      </c>
      <c r="G11" s="195">
        <f t="shared" si="0"/>
        <v>0</v>
      </c>
      <c r="H11" s="100"/>
      <c r="I11" s="57"/>
      <c r="J11" s="195">
        <f t="shared" si="2"/>
        <v>0</v>
      </c>
      <c r="K11" s="55"/>
    </row>
    <row r="12" spans="1:11" ht="19.95" customHeight="1">
      <c r="A12" s="55"/>
      <c r="B12" s="54"/>
      <c r="C12" s="260"/>
      <c r="D12" s="56"/>
      <c r="E12" s="56"/>
      <c r="F12" s="195">
        <f t="shared" si="1"/>
        <v>0</v>
      </c>
      <c r="G12" s="195">
        <f t="shared" si="0"/>
        <v>0</v>
      </c>
      <c r="H12" s="100"/>
      <c r="I12" s="57"/>
      <c r="J12" s="195">
        <f t="shared" si="2"/>
        <v>0</v>
      </c>
      <c r="K12" s="55"/>
    </row>
    <row r="13" spans="1:11" s="407" customFormat="1" ht="19.95" customHeight="1">
      <c r="A13" s="403" t="s">
        <v>243</v>
      </c>
      <c r="B13" s="404">
        <f>SUM(B9:B12)</f>
        <v>0</v>
      </c>
      <c r="C13" s="405"/>
      <c r="D13" s="406"/>
      <c r="E13" s="406"/>
      <c r="F13" s="404"/>
      <c r="G13" s="404">
        <f t="shared" ref="G13:J13" si="3">SUM(G9:G12)</f>
        <v>0</v>
      </c>
      <c r="H13" s="404">
        <f t="shared" si="3"/>
        <v>0</v>
      </c>
      <c r="I13" s="404">
        <f t="shared" si="3"/>
        <v>0</v>
      </c>
      <c r="J13" s="404">
        <f t="shared" si="3"/>
        <v>0</v>
      </c>
      <c r="K13" s="406"/>
    </row>
    <row r="14" spans="1:11" ht="19.95" customHeight="1">
      <c r="A14" s="345" t="s">
        <v>117</v>
      </c>
    </row>
    <row r="15" spans="1:11" ht="19.95" customHeight="1">
      <c r="A15" s="23" t="s">
        <v>87</v>
      </c>
    </row>
    <row r="16" spans="1:11" ht="19.95" customHeight="1">
      <c r="A16" s="11"/>
    </row>
    <row r="17" spans="1:1" ht="19.95" customHeight="1">
      <c r="A17" s="11"/>
    </row>
    <row r="18" spans="1:1" ht="19.95" customHeight="1">
      <c r="A18" s="23" t="s">
        <v>88</v>
      </c>
    </row>
    <row r="19" spans="1:1" ht="19.95" customHeight="1"/>
  </sheetData>
  <mergeCells count="7">
    <mergeCell ref="K7:K8"/>
    <mergeCell ref="A7:A8"/>
    <mergeCell ref="A1:K1"/>
    <mergeCell ref="A2:K2"/>
    <mergeCell ref="D7:D8"/>
    <mergeCell ref="E7:E8"/>
    <mergeCell ref="H7:H8"/>
  </mergeCells>
  <phoneticPr fontId="3" type="noConversion"/>
  <hyperlinks>
    <hyperlink ref="K3" location="底稿目录!F11" display="底稿目录!F11"/>
  </hyperlinks>
  <printOptions horizontalCentered="1"/>
  <pageMargins left="0.74803149606299213" right="0.55118110236220474" top="0.98425196850393704" bottom="0.23622047244094491" header="0.51181102362204722" footer="0.19685039370078741"/>
  <pageSetup paperSize="9" scale="96" orientation="landscape" blackAndWhite="1" cellComments="atEnd" r:id="rId1"/>
  <headerFooter alignWithMargins="0">
    <oddFooter>&amp;C&amp;P/&amp;N</oddFooter>
  </headerFooter>
  <colBreaks count="1" manualBreakCount="1">
    <brk id="11"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M25"/>
  <sheetViews>
    <sheetView view="pageBreakPreview" zoomScaleNormal="130" zoomScaleSheetLayoutView="100" workbookViewId="0">
      <selection activeCell="P18" sqref="P18"/>
    </sheetView>
  </sheetViews>
  <sheetFormatPr defaultColWidth="9" defaultRowHeight="13.8"/>
  <cols>
    <col min="1" max="1" width="19.33203125" style="9" customWidth="1"/>
    <col min="2" max="5" width="13.33203125" style="9" customWidth="1"/>
    <col min="6" max="6" width="12.44140625" style="9" customWidth="1"/>
    <col min="7" max="7" width="13.6640625" style="9" bestFit="1" customWidth="1"/>
    <col min="8" max="8" width="12.6640625" style="9" customWidth="1"/>
    <col min="9" max="9" width="12.44140625" style="9" customWidth="1"/>
    <col min="10" max="10" width="10.88671875" style="9" customWidth="1"/>
    <col min="11" max="11" width="12.44140625" style="9" customWidth="1"/>
    <col min="12" max="12" width="13.88671875" style="9" bestFit="1" customWidth="1"/>
    <col min="13" max="16384" width="9" style="9"/>
  </cols>
  <sheetData>
    <row r="1" spans="1:13" s="248" customFormat="1" ht="19.95" customHeight="1">
      <c r="A1" s="477" t="s">
        <v>0</v>
      </c>
      <c r="B1" s="477"/>
      <c r="C1" s="477"/>
      <c r="D1" s="477"/>
      <c r="E1" s="477"/>
      <c r="F1" s="477"/>
      <c r="G1" s="477"/>
      <c r="H1" s="477"/>
      <c r="I1" s="477"/>
      <c r="J1" s="477"/>
      <c r="K1" s="477"/>
    </row>
    <row r="2" spans="1:13" s="254" customFormat="1" ht="19.95" customHeight="1">
      <c r="A2" s="478" t="s">
        <v>295</v>
      </c>
      <c r="B2" s="478"/>
      <c r="C2" s="478"/>
      <c r="D2" s="478"/>
      <c r="E2" s="478"/>
      <c r="F2" s="478"/>
      <c r="G2" s="478"/>
      <c r="H2" s="478"/>
      <c r="I2" s="478"/>
      <c r="J2" s="478"/>
      <c r="K2" s="478"/>
    </row>
    <row r="3" spans="1:13" s="353" customFormat="1" ht="19.95" customHeight="1">
      <c r="A3" s="346" t="str">
        <f>底稿目录!A2</f>
        <v>被审计单位：</v>
      </c>
      <c r="B3" s="346"/>
      <c r="C3" s="347"/>
      <c r="D3" s="346" t="str">
        <f>底稿目录!A4</f>
        <v>编制人：</v>
      </c>
      <c r="E3" s="347"/>
      <c r="F3" s="347"/>
      <c r="G3" s="347"/>
      <c r="H3" s="346" t="str">
        <f>底稿目录!A5</f>
        <v>编制日期：</v>
      </c>
      <c r="I3" s="356"/>
      <c r="L3" s="346" t="s">
        <v>443</v>
      </c>
      <c r="M3" s="402" t="str">
        <f>底稿目录!F12</f>
        <v>G2-6</v>
      </c>
    </row>
    <row r="4" spans="1:13" s="353" customFormat="1" ht="19.95" customHeight="1">
      <c r="A4" s="346" t="str">
        <f>底稿目录!A3</f>
        <v>截止日：202X年12月31日</v>
      </c>
      <c r="B4" s="346"/>
      <c r="C4" s="347"/>
      <c r="D4" s="346" t="str">
        <f>底稿目录!A6</f>
        <v>复核人：</v>
      </c>
      <c r="E4" s="347"/>
      <c r="F4" s="347"/>
      <c r="G4" s="347"/>
      <c r="H4" s="346" t="str">
        <f>底稿目录!A7</f>
        <v>复核日期：</v>
      </c>
      <c r="I4" s="356"/>
      <c r="L4" s="346" t="s">
        <v>461</v>
      </c>
      <c r="M4" s="355"/>
    </row>
    <row r="5" spans="1:13" ht="19.95" customHeight="1">
      <c r="A5" s="35" t="s">
        <v>21</v>
      </c>
      <c r="B5" s="3"/>
      <c r="E5" s="1"/>
      <c r="G5" s="26"/>
      <c r="H5" s="11"/>
      <c r="I5" s="11"/>
    </row>
    <row r="6" spans="1:13" ht="19.95" customHeight="1">
      <c r="A6" s="39" t="s">
        <v>310</v>
      </c>
      <c r="B6" s="3"/>
      <c r="C6" s="39"/>
      <c r="E6" s="1"/>
      <c r="G6" s="26"/>
      <c r="H6" s="11"/>
      <c r="I6" s="11"/>
    </row>
    <row r="7" spans="1:13" ht="19.95" customHeight="1">
      <c r="A7" s="39" t="s">
        <v>442</v>
      </c>
      <c r="B7" s="3"/>
      <c r="E7" s="1"/>
      <c r="G7" s="26"/>
      <c r="H7" s="11"/>
      <c r="I7" s="11"/>
    </row>
    <row r="8" spans="1:13" ht="19.95" customHeight="1">
      <c r="A8" s="37" t="s">
        <v>22</v>
      </c>
      <c r="B8" s="3"/>
      <c r="C8" s="39"/>
      <c r="E8" s="1"/>
      <c r="G8" s="26"/>
      <c r="H8" s="11"/>
      <c r="I8" s="11"/>
    </row>
    <row r="9" spans="1:13" s="411" customFormat="1" ht="24">
      <c r="A9" s="408" t="s">
        <v>296</v>
      </c>
      <c r="B9" s="408" t="s">
        <v>297</v>
      </c>
      <c r="C9" s="408" t="s">
        <v>298</v>
      </c>
      <c r="D9" s="408" t="s">
        <v>299</v>
      </c>
      <c r="E9" s="228" t="s">
        <v>300</v>
      </c>
      <c r="F9" s="409" t="s">
        <v>301</v>
      </c>
      <c r="G9" s="228" t="s">
        <v>302</v>
      </c>
      <c r="H9" s="410" t="s">
        <v>303</v>
      </c>
      <c r="I9" s="408" t="s">
        <v>304</v>
      </c>
      <c r="J9" s="408" t="s">
        <v>305</v>
      </c>
      <c r="K9" s="228" t="s">
        <v>306</v>
      </c>
      <c r="L9" s="408" t="s">
        <v>307</v>
      </c>
      <c r="M9" s="228" t="s">
        <v>308</v>
      </c>
    </row>
    <row r="10" spans="1:13" s="229" customFormat="1" ht="19.95" customHeight="1">
      <c r="A10" s="375"/>
      <c r="B10" s="231"/>
      <c r="C10" s="231"/>
      <c r="D10" s="231"/>
      <c r="E10" s="232">
        <f>B10+C10-D10</f>
        <v>0</v>
      </c>
      <c r="F10" s="233"/>
      <c r="G10" s="375"/>
      <c r="H10" s="375"/>
      <c r="I10" s="230"/>
      <c r="J10" s="230"/>
      <c r="K10" s="231"/>
      <c r="L10" s="413"/>
      <c r="M10" s="375"/>
    </row>
    <row r="11" spans="1:13" s="229" customFormat="1" ht="19.95" customHeight="1">
      <c r="A11" s="230"/>
      <c r="B11" s="231"/>
      <c r="C11" s="231"/>
      <c r="D11" s="231"/>
      <c r="E11" s="232"/>
      <c r="F11" s="233"/>
      <c r="G11" s="230"/>
      <c r="H11" s="230"/>
      <c r="I11" s="230"/>
      <c r="J11" s="230"/>
      <c r="K11" s="231"/>
      <c r="L11" s="413"/>
      <c r="M11" s="230"/>
    </row>
    <row r="12" spans="1:13" s="229" customFormat="1" ht="19.95" customHeight="1">
      <c r="A12" s="230"/>
      <c r="B12" s="231"/>
      <c r="C12" s="231"/>
      <c r="D12" s="231"/>
      <c r="E12" s="232"/>
      <c r="F12" s="233"/>
      <c r="G12" s="230"/>
      <c r="H12" s="230"/>
      <c r="I12" s="230"/>
      <c r="J12" s="230"/>
      <c r="K12" s="231"/>
      <c r="L12" s="413"/>
      <c r="M12" s="230"/>
    </row>
    <row r="13" spans="1:13" s="411" customFormat="1" ht="19.95" customHeight="1">
      <c r="A13" s="408" t="s">
        <v>309</v>
      </c>
      <c r="B13" s="412">
        <f t="shared" ref="B13:D13" si="0">SUM(B10:B12)</f>
        <v>0</v>
      </c>
      <c r="C13" s="412">
        <f t="shared" si="0"/>
        <v>0</v>
      </c>
      <c r="D13" s="412">
        <f t="shared" si="0"/>
        <v>0</v>
      </c>
      <c r="E13" s="412">
        <f>SUM(E10:E12)</f>
        <v>0</v>
      </c>
      <c r="F13" s="412">
        <f t="shared" ref="F13" si="1">SUM(F10:F12)</f>
        <v>0</v>
      </c>
      <c r="G13" s="412"/>
      <c r="H13" s="412"/>
      <c r="I13" s="412"/>
      <c r="J13" s="412"/>
      <c r="K13" s="412">
        <f t="shared" ref="K13:L13" si="2">SUM(K10:K12)</f>
        <v>0</v>
      </c>
      <c r="L13" s="412">
        <f t="shared" si="2"/>
        <v>0</v>
      </c>
      <c r="M13" s="408"/>
    </row>
    <row r="14" spans="1:13" ht="19.95" customHeight="1">
      <c r="A14" s="38" t="s">
        <v>13</v>
      </c>
      <c r="B14" s="11"/>
      <c r="C14" s="11"/>
      <c r="D14" s="11"/>
      <c r="E14" s="11"/>
      <c r="F14" s="11"/>
      <c r="G14" s="11"/>
      <c r="H14" s="11"/>
      <c r="I14" s="11"/>
      <c r="J14" s="11"/>
      <c r="K14" s="11"/>
    </row>
    <row r="15" spans="1:13" ht="19.95" customHeight="1">
      <c r="A15" s="23"/>
      <c r="B15" s="11"/>
      <c r="C15" s="11"/>
      <c r="D15" s="11"/>
      <c r="E15" s="11"/>
      <c r="F15" s="11"/>
      <c r="G15" s="11"/>
      <c r="H15" s="11"/>
      <c r="I15" s="11"/>
      <c r="J15" s="11"/>
      <c r="K15" s="11"/>
    </row>
    <row r="16" spans="1:13" ht="19.95" customHeight="1">
      <c r="A16" s="38" t="s">
        <v>23</v>
      </c>
      <c r="B16" s="11"/>
      <c r="C16" s="11"/>
      <c r="D16" s="11"/>
      <c r="E16" s="11"/>
      <c r="F16" s="11"/>
      <c r="G16" s="11"/>
      <c r="H16" s="11"/>
      <c r="I16" s="11"/>
      <c r="J16" s="11"/>
      <c r="K16" s="11"/>
    </row>
    <row r="17" spans="1:11" ht="19.95" customHeight="1">
      <c r="A17" s="23"/>
      <c r="B17" s="11"/>
      <c r="C17" s="11"/>
      <c r="D17" s="11"/>
      <c r="E17" s="11"/>
      <c r="F17" s="11"/>
      <c r="G17" s="11"/>
      <c r="H17" s="11"/>
      <c r="I17" s="11"/>
      <c r="J17" s="11"/>
      <c r="K17" s="11"/>
    </row>
    <row r="18" spans="1:11" ht="19.95" customHeight="1">
      <c r="A18" s="23"/>
      <c r="B18" s="11"/>
      <c r="C18" s="11"/>
      <c r="D18" s="11"/>
      <c r="E18" s="11"/>
      <c r="F18" s="11"/>
      <c r="G18" s="11"/>
      <c r="H18" s="11"/>
      <c r="I18" s="11"/>
      <c r="J18" s="11"/>
      <c r="K18" s="11"/>
    </row>
    <row r="19" spans="1:11" ht="18" customHeight="1">
      <c r="A19" s="59" t="s">
        <v>4</v>
      </c>
    </row>
    <row r="20" spans="1:11" ht="18" customHeight="1">
      <c r="A20" s="14" t="s">
        <v>2</v>
      </c>
      <c r="B20" s="14"/>
    </row>
    <row r="21" spans="1:11" ht="18" customHeight="1">
      <c r="A21" s="15" t="s">
        <v>3</v>
      </c>
      <c r="B21" s="15"/>
    </row>
    <row r="22" spans="1:11" ht="18" customHeight="1">
      <c r="A22" s="25" t="s">
        <v>5</v>
      </c>
      <c r="B22" s="15"/>
    </row>
    <row r="23" spans="1:11" ht="18" customHeight="1">
      <c r="A23" s="17" t="s">
        <v>6</v>
      </c>
      <c r="B23" s="18" t="s">
        <v>7</v>
      </c>
    </row>
    <row r="24" spans="1:11" ht="18" customHeight="1">
      <c r="A24" s="17" t="s">
        <v>8</v>
      </c>
      <c r="B24" s="18" t="s">
        <v>9</v>
      </c>
    </row>
    <row r="25" spans="1:11" ht="18" customHeight="1">
      <c r="A25" s="17" t="s">
        <v>10</v>
      </c>
      <c r="B25" s="18" t="s">
        <v>11</v>
      </c>
    </row>
  </sheetData>
  <mergeCells count="2">
    <mergeCell ref="A1:K1"/>
    <mergeCell ref="A2:K2"/>
  </mergeCells>
  <phoneticPr fontId="3" type="noConversion"/>
  <hyperlinks>
    <hyperlink ref="M3" location="底稿目录!F12" display="底稿目录!F12"/>
  </hyperlinks>
  <printOptions horizontalCentered="1"/>
  <pageMargins left="0.74803149606299213" right="0.55118110236220474" top="0.98425196850393704" bottom="0.23622047244094491" header="0.51181102362204722" footer="0.19685039370078741"/>
  <pageSetup paperSize="9" scale="75" orientation="landscape" blackAndWhite="1" cellComments="atEnd" r:id="rId1"/>
  <headerFooter alignWithMargins="0">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R72"/>
  <sheetViews>
    <sheetView view="pageBreakPreview" topLeftCell="A43" zoomScaleSheetLayoutView="100" workbookViewId="0">
      <selection activeCell="J14" sqref="J14"/>
    </sheetView>
  </sheetViews>
  <sheetFormatPr defaultRowHeight="13.8"/>
  <cols>
    <col min="1" max="1" width="27.33203125" style="101" customWidth="1"/>
    <col min="2" max="2" width="13.33203125" style="101" customWidth="1"/>
    <col min="3" max="3" width="11.44140625" style="101" customWidth="1"/>
    <col min="4" max="4" width="11.6640625" style="101" customWidth="1"/>
    <col min="5" max="5" width="12.44140625" style="101" customWidth="1"/>
    <col min="6" max="6" width="10.109375" style="101" customWidth="1"/>
    <col min="7" max="7" width="9.109375" style="101" customWidth="1"/>
    <col min="8" max="8" width="11.88671875" style="101" customWidth="1"/>
    <col min="9" max="9" width="12.109375" style="101" customWidth="1"/>
    <col min="10" max="10" width="10.88671875" style="101" customWidth="1"/>
    <col min="11" max="11" width="12" style="101" customWidth="1"/>
    <col min="12" max="255" width="9" style="101"/>
    <col min="256" max="256" width="32.44140625" style="101" customWidth="1"/>
    <col min="257" max="257" width="14" style="101" customWidth="1"/>
    <col min="258" max="258" width="16.6640625" style="101" customWidth="1"/>
    <col min="259" max="260" width="16.44140625" style="101" customWidth="1"/>
    <col min="261" max="261" width="12" style="101" customWidth="1"/>
    <col min="262" max="262" width="13.33203125" style="101" customWidth="1"/>
    <col min="263" max="263" width="11.6640625" style="101" customWidth="1"/>
    <col min="264" max="264" width="11.77734375" style="101" customWidth="1"/>
    <col min="265" max="511" width="9" style="101"/>
    <col min="512" max="512" width="32.44140625" style="101" customWidth="1"/>
    <col min="513" max="513" width="14" style="101" customWidth="1"/>
    <col min="514" max="514" width="16.6640625" style="101" customWidth="1"/>
    <col min="515" max="516" width="16.44140625" style="101" customWidth="1"/>
    <col min="517" max="517" width="12" style="101" customWidth="1"/>
    <col min="518" max="518" width="13.33203125" style="101" customWidth="1"/>
    <col min="519" max="519" width="11.6640625" style="101" customWidth="1"/>
    <col min="520" max="520" width="11.77734375" style="101" customWidth="1"/>
    <col min="521" max="767" width="9" style="101"/>
    <col min="768" max="768" width="32.44140625" style="101" customWidth="1"/>
    <col min="769" max="769" width="14" style="101" customWidth="1"/>
    <col min="770" max="770" width="16.6640625" style="101" customWidth="1"/>
    <col min="771" max="772" width="16.44140625" style="101" customWidth="1"/>
    <col min="773" max="773" width="12" style="101" customWidth="1"/>
    <col min="774" max="774" width="13.33203125" style="101" customWidth="1"/>
    <col min="775" max="775" width="11.6640625" style="101" customWidth="1"/>
    <col min="776" max="776" width="11.77734375" style="101" customWidth="1"/>
    <col min="777" max="1023" width="9" style="101"/>
    <col min="1024" max="1024" width="32.44140625" style="101" customWidth="1"/>
    <col min="1025" max="1025" width="14" style="101" customWidth="1"/>
    <col min="1026" max="1026" width="16.6640625" style="101" customWidth="1"/>
    <col min="1027" max="1028" width="16.44140625" style="101" customWidth="1"/>
    <col min="1029" max="1029" width="12" style="101" customWidth="1"/>
    <col min="1030" max="1030" width="13.33203125" style="101" customWidth="1"/>
    <col min="1031" max="1031" width="11.6640625" style="101" customWidth="1"/>
    <col min="1032" max="1032" width="11.77734375" style="101" customWidth="1"/>
    <col min="1033" max="1279" width="9" style="101"/>
    <col min="1280" max="1280" width="32.44140625" style="101" customWidth="1"/>
    <col min="1281" max="1281" width="14" style="101" customWidth="1"/>
    <col min="1282" max="1282" width="16.6640625" style="101" customWidth="1"/>
    <col min="1283" max="1284" width="16.44140625" style="101" customWidth="1"/>
    <col min="1285" max="1285" width="12" style="101" customWidth="1"/>
    <col min="1286" max="1286" width="13.33203125" style="101" customWidth="1"/>
    <col min="1287" max="1287" width="11.6640625" style="101" customWidth="1"/>
    <col min="1288" max="1288" width="11.77734375" style="101" customWidth="1"/>
    <col min="1289" max="1535" width="9" style="101"/>
    <col min="1536" max="1536" width="32.44140625" style="101" customWidth="1"/>
    <col min="1537" max="1537" width="14" style="101" customWidth="1"/>
    <col min="1538" max="1538" width="16.6640625" style="101" customWidth="1"/>
    <col min="1539" max="1540" width="16.44140625" style="101" customWidth="1"/>
    <col min="1541" max="1541" width="12" style="101" customWidth="1"/>
    <col min="1542" max="1542" width="13.33203125" style="101" customWidth="1"/>
    <col min="1543" max="1543" width="11.6640625" style="101" customWidth="1"/>
    <col min="1544" max="1544" width="11.77734375" style="101" customWidth="1"/>
    <col min="1545" max="1791" width="9" style="101"/>
    <col min="1792" max="1792" width="32.44140625" style="101" customWidth="1"/>
    <col min="1793" max="1793" width="14" style="101" customWidth="1"/>
    <col min="1794" max="1794" width="16.6640625" style="101" customWidth="1"/>
    <col min="1795" max="1796" width="16.44140625" style="101" customWidth="1"/>
    <col min="1797" max="1797" width="12" style="101" customWidth="1"/>
    <col min="1798" max="1798" width="13.33203125" style="101" customWidth="1"/>
    <col min="1799" max="1799" width="11.6640625" style="101" customWidth="1"/>
    <col min="1800" max="1800" width="11.77734375" style="101" customWidth="1"/>
    <col min="1801" max="2047" width="9" style="101"/>
    <col min="2048" max="2048" width="32.44140625" style="101" customWidth="1"/>
    <col min="2049" max="2049" width="14" style="101" customWidth="1"/>
    <col min="2050" max="2050" width="16.6640625" style="101" customWidth="1"/>
    <col min="2051" max="2052" width="16.44140625" style="101" customWidth="1"/>
    <col min="2053" max="2053" width="12" style="101" customWidth="1"/>
    <col min="2054" max="2054" width="13.33203125" style="101" customWidth="1"/>
    <col min="2055" max="2055" width="11.6640625" style="101" customWidth="1"/>
    <col min="2056" max="2056" width="11.77734375" style="101" customWidth="1"/>
    <col min="2057" max="2303" width="9" style="101"/>
    <col min="2304" max="2304" width="32.44140625" style="101" customWidth="1"/>
    <col min="2305" max="2305" width="14" style="101" customWidth="1"/>
    <col min="2306" max="2306" width="16.6640625" style="101" customWidth="1"/>
    <col min="2307" max="2308" width="16.44140625" style="101" customWidth="1"/>
    <col min="2309" max="2309" width="12" style="101" customWidth="1"/>
    <col min="2310" max="2310" width="13.33203125" style="101" customWidth="1"/>
    <col min="2311" max="2311" width="11.6640625" style="101" customWidth="1"/>
    <col min="2312" max="2312" width="11.77734375" style="101" customWidth="1"/>
    <col min="2313" max="2559" width="9" style="101"/>
    <col min="2560" max="2560" width="32.44140625" style="101" customWidth="1"/>
    <col min="2561" max="2561" width="14" style="101" customWidth="1"/>
    <col min="2562" max="2562" width="16.6640625" style="101" customWidth="1"/>
    <col min="2563" max="2564" width="16.44140625" style="101" customWidth="1"/>
    <col min="2565" max="2565" width="12" style="101" customWidth="1"/>
    <col min="2566" max="2566" width="13.33203125" style="101" customWidth="1"/>
    <col min="2567" max="2567" width="11.6640625" style="101" customWidth="1"/>
    <col min="2568" max="2568" width="11.77734375" style="101" customWidth="1"/>
    <col min="2569" max="2815" width="9" style="101"/>
    <col min="2816" max="2816" width="32.44140625" style="101" customWidth="1"/>
    <col min="2817" max="2817" width="14" style="101" customWidth="1"/>
    <col min="2818" max="2818" width="16.6640625" style="101" customWidth="1"/>
    <col min="2819" max="2820" width="16.44140625" style="101" customWidth="1"/>
    <col min="2821" max="2821" width="12" style="101" customWidth="1"/>
    <col min="2822" max="2822" width="13.33203125" style="101" customWidth="1"/>
    <col min="2823" max="2823" width="11.6640625" style="101" customWidth="1"/>
    <col min="2824" max="2824" width="11.77734375" style="101" customWidth="1"/>
    <col min="2825" max="3071" width="9" style="101"/>
    <col min="3072" max="3072" width="32.44140625" style="101" customWidth="1"/>
    <col min="3073" max="3073" width="14" style="101" customWidth="1"/>
    <col min="3074" max="3074" width="16.6640625" style="101" customWidth="1"/>
    <col min="3075" max="3076" width="16.44140625" style="101" customWidth="1"/>
    <col min="3077" max="3077" width="12" style="101" customWidth="1"/>
    <col min="3078" max="3078" width="13.33203125" style="101" customWidth="1"/>
    <col min="3079" max="3079" width="11.6640625" style="101" customWidth="1"/>
    <col min="3080" max="3080" width="11.77734375" style="101" customWidth="1"/>
    <col min="3081" max="3327" width="9" style="101"/>
    <col min="3328" max="3328" width="32.44140625" style="101" customWidth="1"/>
    <col min="3329" max="3329" width="14" style="101" customWidth="1"/>
    <col min="3330" max="3330" width="16.6640625" style="101" customWidth="1"/>
    <col min="3331" max="3332" width="16.44140625" style="101" customWidth="1"/>
    <col min="3333" max="3333" width="12" style="101" customWidth="1"/>
    <col min="3334" max="3334" width="13.33203125" style="101" customWidth="1"/>
    <col min="3335" max="3335" width="11.6640625" style="101" customWidth="1"/>
    <col min="3336" max="3336" width="11.77734375" style="101" customWidth="1"/>
    <col min="3337" max="3583" width="9" style="101"/>
    <col min="3584" max="3584" width="32.44140625" style="101" customWidth="1"/>
    <col min="3585" max="3585" width="14" style="101" customWidth="1"/>
    <col min="3586" max="3586" width="16.6640625" style="101" customWidth="1"/>
    <col min="3587" max="3588" width="16.44140625" style="101" customWidth="1"/>
    <col min="3589" max="3589" width="12" style="101" customWidth="1"/>
    <col min="3590" max="3590" width="13.33203125" style="101" customWidth="1"/>
    <col min="3591" max="3591" width="11.6640625" style="101" customWidth="1"/>
    <col min="3592" max="3592" width="11.77734375" style="101" customWidth="1"/>
    <col min="3593" max="3839" width="9" style="101"/>
    <col min="3840" max="3840" width="32.44140625" style="101" customWidth="1"/>
    <col min="3841" max="3841" width="14" style="101" customWidth="1"/>
    <col min="3842" max="3842" width="16.6640625" style="101" customWidth="1"/>
    <col min="3843" max="3844" width="16.44140625" style="101" customWidth="1"/>
    <col min="3845" max="3845" width="12" style="101" customWidth="1"/>
    <col min="3846" max="3846" width="13.33203125" style="101" customWidth="1"/>
    <col min="3847" max="3847" width="11.6640625" style="101" customWidth="1"/>
    <col min="3848" max="3848" width="11.77734375" style="101" customWidth="1"/>
    <col min="3849" max="4095" width="9" style="101"/>
    <col min="4096" max="4096" width="32.44140625" style="101" customWidth="1"/>
    <col min="4097" max="4097" width="14" style="101" customWidth="1"/>
    <col min="4098" max="4098" width="16.6640625" style="101" customWidth="1"/>
    <col min="4099" max="4100" width="16.44140625" style="101" customWidth="1"/>
    <col min="4101" max="4101" width="12" style="101" customWidth="1"/>
    <col min="4102" max="4102" width="13.33203125" style="101" customWidth="1"/>
    <col min="4103" max="4103" width="11.6640625" style="101" customWidth="1"/>
    <col min="4104" max="4104" width="11.77734375" style="101" customWidth="1"/>
    <col min="4105" max="4351" width="9" style="101"/>
    <col min="4352" max="4352" width="32.44140625" style="101" customWidth="1"/>
    <col min="4353" max="4353" width="14" style="101" customWidth="1"/>
    <col min="4354" max="4354" width="16.6640625" style="101" customWidth="1"/>
    <col min="4355" max="4356" width="16.44140625" style="101" customWidth="1"/>
    <col min="4357" max="4357" width="12" style="101" customWidth="1"/>
    <col min="4358" max="4358" width="13.33203125" style="101" customWidth="1"/>
    <col min="4359" max="4359" width="11.6640625" style="101" customWidth="1"/>
    <col min="4360" max="4360" width="11.77734375" style="101" customWidth="1"/>
    <col min="4361" max="4607" width="9" style="101"/>
    <col min="4608" max="4608" width="32.44140625" style="101" customWidth="1"/>
    <col min="4609" max="4609" width="14" style="101" customWidth="1"/>
    <col min="4610" max="4610" width="16.6640625" style="101" customWidth="1"/>
    <col min="4611" max="4612" width="16.44140625" style="101" customWidth="1"/>
    <col min="4613" max="4613" width="12" style="101" customWidth="1"/>
    <col min="4614" max="4614" width="13.33203125" style="101" customWidth="1"/>
    <col min="4615" max="4615" width="11.6640625" style="101" customWidth="1"/>
    <col min="4616" max="4616" width="11.77734375" style="101" customWidth="1"/>
    <col min="4617" max="4863" width="9" style="101"/>
    <col min="4864" max="4864" width="32.44140625" style="101" customWidth="1"/>
    <col min="4865" max="4865" width="14" style="101" customWidth="1"/>
    <col min="4866" max="4866" width="16.6640625" style="101" customWidth="1"/>
    <col min="4867" max="4868" width="16.44140625" style="101" customWidth="1"/>
    <col min="4869" max="4869" width="12" style="101" customWidth="1"/>
    <col min="4870" max="4870" width="13.33203125" style="101" customWidth="1"/>
    <col min="4871" max="4871" width="11.6640625" style="101" customWidth="1"/>
    <col min="4872" max="4872" width="11.77734375" style="101" customWidth="1"/>
    <col min="4873" max="5119" width="9" style="101"/>
    <col min="5120" max="5120" width="32.44140625" style="101" customWidth="1"/>
    <col min="5121" max="5121" width="14" style="101" customWidth="1"/>
    <col min="5122" max="5122" width="16.6640625" style="101" customWidth="1"/>
    <col min="5123" max="5124" width="16.44140625" style="101" customWidth="1"/>
    <col min="5125" max="5125" width="12" style="101" customWidth="1"/>
    <col min="5126" max="5126" width="13.33203125" style="101" customWidth="1"/>
    <col min="5127" max="5127" width="11.6640625" style="101" customWidth="1"/>
    <col min="5128" max="5128" width="11.77734375" style="101" customWidth="1"/>
    <col min="5129" max="5375" width="9" style="101"/>
    <col min="5376" max="5376" width="32.44140625" style="101" customWidth="1"/>
    <col min="5377" max="5377" width="14" style="101" customWidth="1"/>
    <col min="5378" max="5378" width="16.6640625" style="101" customWidth="1"/>
    <col min="5379" max="5380" width="16.44140625" style="101" customWidth="1"/>
    <col min="5381" max="5381" width="12" style="101" customWidth="1"/>
    <col min="5382" max="5382" width="13.33203125" style="101" customWidth="1"/>
    <col min="5383" max="5383" width="11.6640625" style="101" customWidth="1"/>
    <col min="5384" max="5384" width="11.77734375" style="101" customWidth="1"/>
    <col min="5385" max="5631" width="9" style="101"/>
    <col min="5632" max="5632" width="32.44140625" style="101" customWidth="1"/>
    <col min="5633" max="5633" width="14" style="101" customWidth="1"/>
    <col min="5634" max="5634" width="16.6640625" style="101" customWidth="1"/>
    <col min="5635" max="5636" width="16.44140625" style="101" customWidth="1"/>
    <col min="5637" max="5637" width="12" style="101" customWidth="1"/>
    <col min="5638" max="5638" width="13.33203125" style="101" customWidth="1"/>
    <col min="5639" max="5639" width="11.6640625" style="101" customWidth="1"/>
    <col min="5640" max="5640" width="11.77734375" style="101" customWidth="1"/>
    <col min="5641" max="5887" width="9" style="101"/>
    <col min="5888" max="5888" width="32.44140625" style="101" customWidth="1"/>
    <col min="5889" max="5889" width="14" style="101" customWidth="1"/>
    <col min="5890" max="5890" width="16.6640625" style="101" customWidth="1"/>
    <col min="5891" max="5892" width="16.44140625" style="101" customWidth="1"/>
    <col min="5893" max="5893" width="12" style="101" customWidth="1"/>
    <col min="5894" max="5894" width="13.33203125" style="101" customWidth="1"/>
    <col min="5895" max="5895" width="11.6640625" style="101" customWidth="1"/>
    <col min="5896" max="5896" width="11.77734375" style="101" customWidth="1"/>
    <col min="5897" max="6143" width="9" style="101"/>
    <col min="6144" max="6144" width="32.44140625" style="101" customWidth="1"/>
    <col min="6145" max="6145" width="14" style="101" customWidth="1"/>
    <col min="6146" max="6146" width="16.6640625" style="101" customWidth="1"/>
    <col min="6147" max="6148" width="16.44140625" style="101" customWidth="1"/>
    <col min="6149" max="6149" width="12" style="101" customWidth="1"/>
    <col min="6150" max="6150" width="13.33203125" style="101" customWidth="1"/>
    <col min="6151" max="6151" width="11.6640625" style="101" customWidth="1"/>
    <col min="6152" max="6152" width="11.77734375" style="101" customWidth="1"/>
    <col min="6153" max="6399" width="9" style="101"/>
    <col min="6400" max="6400" width="32.44140625" style="101" customWidth="1"/>
    <col min="6401" max="6401" width="14" style="101" customWidth="1"/>
    <col min="6402" max="6402" width="16.6640625" style="101" customWidth="1"/>
    <col min="6403" max="6404" width="16.44140625" style="101" customWidth="1"/>
    <col min="6405" max="6405" width="12" style="101" customWidth="1"/>
    <col min="6406" max="6406" width="13.33203125" style="101" customWidth="1"/>
    <col min="6407" max="6407" width="11.6640625" style="101" customWidth="1"/>
    <col min="6408" max="6408" width="11.77734375" style="101" customWidth="1"/>
    <col min="6409" max="6655" width="9" style="101"/>
    <col min="6656" max="6656" width="32.44140625" style="101" customWidth="1"/>
    <col min="6657" max="6657" width="14" style="101" customWidth="1"/>
    <col min="6658" max="6658" width="16.6640625" style="101" customWidth="1"/>
    <col min="6659" max="6660" width="16.44140625" style="101" customWidth="1"/>
    <col min="6661" max="6661" width="12" style="101" customWidth="1"/>
    <col min="6662" max="6662" width="13.33203125" style="101" customWidth="1"/>
    <col min="6663" max="6663" width="11.6640625" style="101" customWidth="1"/>
    <col min="6664" max="6664" width="11.77734375" style="101" customWidth="1"/>
    <col min="6665" max="6911" width="9" style="101"/>
    <col min="6912" max="6912" width="32.44140625" style="101" customWidth="1"/>
    <col min="6913" max="6913" width="14" style="101" customWidth="1"/>
    <col min="6914" max="6914" width="16.6640625" style="101" customWidth="1"/>
    <col min="6915" max="6916" width="16.44140625" style="101" customWidth="1"/>
    <col min="6917" max="6917" width="12" style="101" customWidth="1"/>
    <col min="6918" max="6918" width="13.33203125" style="101" customWidth="1"/>
    <col min="6919" max="6919" width="11.6640625" style="101" customWidth="1"/>
    <col min="6920" max="6920" width="11.77734375" style="101" customWidth="1"/>
    <col min="6921" max="7167" width="9" style="101"/>
    <col min="7168" max="7168" width="32.44140625" style="101" customWidth="1"/>
    <col min="7169" max="7169" width="14" style="101" customWidth="1"/>
    <col min="7170" max="7170" width="16.6640625" style="101" customWidth="1"/>
    <col min="7171" max="7172" width="16.44140625" style="101" customWidth="1"/>
    <col min="7173" max="7173" width="12" style="101" customWidth="1"/>
    <col min="7174" max="7174" width="13.33203125" style="101" customWidth="1"/>
    <col min="7175" max="7175" width="11.6640625" style="101" customWidth="1"/>
    <col min="7176" max="7176" width="11.77734375" style="101" customWidth="1"/>
    <col min="7177" max="7423" width="9" style="101"/>
    <col min="7424" max="7424" width="32.44140625" style="101" customWidth="1"/>
    <col min="7425" max="7425" width="14" style="101" customWidth="1"/>
    <col min="7426" max="7426" width="16.6640625" style="101" customWidth="1"/>
    <col min="7427" max="7428" width="16.44140625" style="101" customWidth="1"/>
    <col min="7429" max="7429" width="12" style="101" customWidth="1"/>
    <col min="7430" max="7430" width="13.33203125" style="101" customWidth="1"/>
    <col min="7431" max="7431" width="11.6640625" style="101" customWidth="1"/>
    <col min="7432" max="7432" width="11.77734375" style="101" customWidth="1"/>
    <col min="7433" max="7679" width="9" style="101"/>
    <col min="7680" max="7680" width="32.44140625" style="101" customWidth="1"/>
    <col min="7681" max="7681" width="14" style="101" customWidth="1"/>
    <col min="7682" max="7682" width="16.6640625" style="101" customWidth="1"/>
    <col min="7683" max="7684" width="16.44140625" style="101" customWidth="1"/>
    <col min="7685" max="7685" width="12" style="101" customWidth="1"/>
    <col min="7686" max="7686" width="13.33203125" style="101" customWidth="1"/>
    <col min="7687" max="7687" width="11.6640625" style="101" customWidth="1"/>
    <col min="7688" max="7688" width="11.77734375" style="101" customWidth="1"/>
    <col min="7689" max="7935" width="9" style="101"/>
    <col min="7936" max="7936" width="32.44140625" style="101" customWidth="1"/>
    <col min="7937" max="7937" width="14" style="101" customWidth="1"/>
    <col min="7938" max="7938" width="16.6640625" style="101" customWidth="1"/>
    <col min="7939" max="7940" width="16.44140625" style="101" customWidth="1"/>
    <col min="7941" max="7941" width="12" style="101" customWidth="1"/>
    <col min="7942" max="7942" width="13.33203125" style="101" customWidth="1"/>
    <col min="7943" max="7943" width="11.6640625" style="101" customWidth="1"/>
    <col min="7944" max="7944" width="11.77734375" style="101" customWidth="1"/>
    <col min="7945" max="8191" width="9" style="101"/>
    <col min="8192" max="8192" width="32.44140625" style="101" customWidth="1"/>
    <col min="8193" max="8193" width="14" style="101" customWidth="1"/>
    <col min="8194" max="8194" width="16.6640625" style="101" customWidth="1"/>
    <col min="8195" max="8196" width="16.44140625" style="101" customWidth="1"/>
    <col min="8197" max="8197" width="12" style="101" customWidth="1"/>
    <col min="8198" max="8198" width="13.33203125" style="101" customWidth="1"/>
    <col min="8199" max="8199" width="11.6640625" style="101" customWidth="1"/>
    <col min="8200" max="8200" width="11.77734375" style="101" customWidth="1"/>
    <col min="8201" max="8447" width="9" style="101"/>
    <col min="8448" max="8448" width="32.44140625" style="101" customWidth="1"/>
    <col min="8449" max="8449" width="14" style="101" customWidth="1"/>
    <col min="8450" max="8450" width="16.6640625" style="101" customWidth="1"/>
    <col min="8451" max="8452" width="16.44140625" style="101" customWidth="1"/>
    <col min="8453" max="8453" width="12" style="101" customWidth="1"/>
    <col min="8454" max="8454" width="13.33203125" style="101" customWidth="1"/>
    <col min="8455" max="8455" width="11.6640625" style="101" customWidth="1"/>
    <col min="8456" max="8456" width="11.77734375" style="101" customWidth="1"/>
    <col min="8457" max="8703" width="9" style="101"/>
    <col min="8704" max="8704" width="32.44140625" style="101" customWidth="1"/>
    <col min="8705" max="8705" width="14" style="101" customWidth="1"/>
    <col min="8706" max="8706" width="16.6640625" style="101" customWidth="1"/>
    <col min="8707" max="8708" width="16.44140625" style="101" customWidth="1"/>
    <col min="8709" max="8709" width="12" style="101" customWidth="1"/>
    <col min="8710" max="8710" width="13.33203125" style="101" customWidth="1"/>
    <col min="8711" max="8711" width="11.6640625" style="101" customWidth="1"/>
    <col min="8712" max="8712" width="11.77734375" style="101" customWidth="1"/>
    <col min="8713" max="8959" width="9" style="101"/>
    <col min="8960" max="8960" width="32.44140625" style="101" customWidth="1"/>
    <col min="8961" max="8961" width="14" style="101" customWidth="1"/>
    <col min="8962" max="8962" width="16.6640625" style="101" customWidth="1"/>
    <col min="8963" max="8964" width="16.44140625" style="101" customWidth="1"/>
    <col min="8965" max="8965" width="12" style="101" customWidth="1"/>
    <col min="8966" max="8966" width="13.33203125" style="101" customWidth="1"/>
    <col min="8967" max="8967" width="11.6640625" style="101" customWidth="1"/>
    <col min="8968" max="8968" width="11.77734375" style="101" customWidth="1"/>
    <col min="8969" max="9215" width="9" style="101"/>
    <col min="9216" max="9216" width="32.44140625" style="101" customWidth="1"/>
    <col min="9217" max="9217" width="14" style="101" customWidth="1"/>
    <col min="9218" max="9218" width="16.6640625" style="101" customWidth="1"/>
    <col min="9219" max="9220" width="16.44140625" style="101" customWidth="1"/>
    <col min="9221" max="9221" width="12" style="101" customWidth="1"/>
    <col min="9222" max="9222" width="13.33203125" style="101" customWidth="1"/>
    <col min="9223" max="9223" width="11.6640625" style="101" customWidth="1"/>
    <col min="9224" max="9224" width="11.77734375" style="101" customWidth="1"/>
    <col min="9225" max="9471" width="9" style="101"/>
    <col min="9472" max="9472" width="32.44140625" style="101" customWidth="1"/>
    <col min="9473" max="9473" width="14" style="101" customWidth="1"/>
    <col min="9474" max="9474" width="16.6640625" style="101" customWidth="1"/>
    <col min="9475" max="9476" width="16.44140625" style="101" customWidth="1"/>
    <col min="9477" max="9477" width="12" style="101" customWidth="1"/>
    <col min="9478" max="9478" width="13.33203125" style="101" customWidth="1"/>
    <col min="9479" max="9479" width="11.6640625" style="101" customWidth="1"/>
    <col min="9480" max="9480" width="11.77734375" style="101" customWidth="1"/>
    <col min="9481" max="9727" width="9" style="101"/>
    <col min="9728" max="9728" width="32.44140625" style="101" customWidth="1"/>
    <col min="9729" max="9729" width="14" style="101" customWidth="1"/>
    <col min="9730" max="9730" width="16.6640625" style="101" customWidth="1"/>
    <col min="9731" max="9732" width="16.44140625" style="101" customWidth="1"/>
    <col min="9733" max="9733" width="12" style="101" customWidth="1"/>
    <col min="9734" max="9734" width="13.33203125" style="101" customWidth="1"/>
    <col min="9735" max="9735" width="11.6640625" style="101" customWidth="1"/>
    <col min="9736" max="9736" width="11.77734375" style="101" customWidth="1"/>
    <col min="9737" max="9983" width="9" style="101"/>
    <col min="9984" max="9984" width="32.44140625" style="101" customWidth="1"/>
    <col min="9985" max="9985" width="14" style="101" customWidth="1"/>
    <col min="9986" max="9986" width="16.6640625" style="101" customWidth="1"/>
    <col min="9987" max="9988" width="16.44140625" style="101" customWidth="1"/>
    <col min="9989" max="9989" width="12" style="101" customWidth="1"/>
    <col min="9990" max="9990" width="13.33203125" style="101" customWidth="1"/>
    <col min="9991" max="9991" width="11.6640625" style="101" customWidth="1"/>
    <col min="9992" max="9992" width="11.77734375" style="101" customWidth="1"/>
    <col min="9993" max="10239" width="9" style="101"/>
    <col min="10240" max="10240" width="32.44140625" style="101" customWidth="1"/>
    <col min="10241" max="10241" width="14" style="101" customWidth="1"/>
    <col min="10242" max="10242" width="16.6640625" style="101" customWidth="1"/>
    <col min="10243" max="10244" width="16.44140625" style="101" customWidth="1"/>
    <col min="10245" max="10245" width="12" style="101" customWidth="1"/>
    <col min="10246" max="10246" width="13.33203125" style="101" customWidth="1"/>
    <col min="10247" max="10247" width="11.6640625" style="101" customWidth="1"/>
    <col min="10248" max="10248" width="11.77734375" style="101" customWidth="1"/>
    <col min="10249" max="10495" width="9" style="101"/>
    <col min="10496" max="10496" width="32.44140625" style="101" customWidth="1"/>
    <col min="10497" max="10497" width="14" style="101" customWidth="1"/>
    <col min="10498" max="10498" width="16.6640625" style="101" customWidth="1"/>
    <col min="10499" max="10500" width="16.44140625" style="101" customWidth="1"/>
    <col min="10501" max="10501" width="12" style="101" customWidth="1"/>
    <col min="10502" max="10502" width="13.33203125" style="101" customWidth="1"/>
    <col min="10503" max="10503" width="11.6640625" style="101" customWidth="1"/>
    <col min="10504" max="10504" width="11.77734375" style="101" customWidth="1"/>
    <col min="10505" max="10751" width="9" style="101"/>
    <col min="10752" max="10752" width="32.44140625" style="101" customWidth="1"/>
    <col min="10753" max="10753" width="14" style="101" customWidth="1"/>
    <col min="10754" max="10754" width="16.6640625" style="101" customWidth="1"/>
    <col min="10755" max="10756" width="16.44140625" style="101" customWidth="1"/>
    <col min="10757" max="10757" width="12" style="101" customWidth="1"/>
    <col min="10758" max="10758" width="13.33203125" style="101" customWidth="1"/>
    <col min="10759" max="10759" width="11.6640625" style="101" customWidth="1"/>
    <col min="10760" max="10760" width="11.77734375" style="101" customWidth="1"/>
    <col min="10761" max="11007" width="9" style="101"/>
    <col min="11008" max="11008" width="32.44140625" style="101" customWidth="1"/>
    <col min="11009" max="11009" width="14" style="101" customWidth="1"/>
    <col min="11010" max="11010" width="16.6640625" style="101" customWidth="1"/>
    <col min="11011" max="11012" width="16.44140625" style="101" customWidth="1"/>
    <col min="11013" max="11013" width="12" style="101" customWidth="1"/>
    <col min="11014" max="11014" width="13.33203125" style="101" customWidth="1"/>
    <col min="11015" max="11015" width="11.6640625" style="101" customWidth="1"/>
    <col min="11016" max="11016" width="11.77734375" style="101" customWidth="1"/>
    <col min="11017" max="11263" width="9" style="101"/>
    <col min="11264" max="11264" width="32.44140625" style="101" customWidth="1"/>
    <col min="11265" max="11265" width="14" style="101" customWidth="1"/>
    <col min="11266" max="11266" width="16.6640625" style="101" customWidth="1"/>
    <col min="11267" max="11268" width="16.44140625" style="101" customWidth="1"/>
    <col min="11269" max="11269" width="12" style="101" customWidth="1"/>
    <col min="11270" max="11270" width="13.33203125" style="101" customWidth="1"/>
    <col min="11271" max="11271" width="11.6640625" style="101" customWidth="1"/>
    <col min="11272" max="11272" width="11.77734375" style="101" customWidth="1"/>
    <col min="11273" max="11519" width="9" style="101"/>
    <col min="11520" max="11520" width="32.44140625" style="101" customWidth="1"/>
    <col min="11521" max="11521" width="14" style="101" customWidth="1"/>
    <col min="11522" max="11522" width="16.6640625" style="101" customWidth="1"/>
    <col min="11523" max="11524" width="16.44140625" style="101" customWidth="1"/>
    <col min="11525" max="11525" width="12" style="101" customWidth="1"/>
    <col min="11526" max="11526" width="13.33203125" style="101" customWidth="1"/>
    <col min="11527" max="11527" width="11.6640625" style="101" customWidth="1"/>
    <col min="11528" max="11528" width="11.77734375" style="101" customWidth="1"/>
    <col min="11529" max="11775" width="9" style="101"/>
    <col min="11776" max="11776" width="32.44140625" style="101" customWidth="1"/>
    <col min="11777" max="11777" width="14" style="101" customWidth="1"/>
    <col min="11778" max="11778" width="16.6640625" style="101" customWidth="1"/>
    <col min="11779" max="11780" width="16.44140625" style="101" customWidth="1"/>
    <col min="11781" max="11781" width="12" style="101" customWidth="1"/>
    <col min="11782" max="11782" width="13.33203125" style="101" customWidth="1"/>
    <col min="11783" max="11783" width="11.6640625" style="101" customWidth="1"/>
    <col min="11784" max="11784" width="11.77734375" style="101" customWidth="1"/>
    <col min="11785" max="12031" width="9" style="101"/>
    <col min="12032" max="12032" width="32.44140625" style="101" customWidth="1"/>
    <col min="12033" max="12033" width="14" style="101" customWidth="1"/>
    <col min="12034" max="12034" width="16.6640625" style="101" customWidth="1"/>
    <col min="12035" max="12036" width="16.44140625" style="101" customWidth="1"/>
    <col min="12037" max="12037" width="12" style="101" customWidth="1"/>
    <col min="12038" max="12038" width="13.33203125" style="101" customWidth="1"/>
    <col min="12039" max="12039" width="11.6640625" style="101" customWidth="1"/>
    <col min="12040" max="12040" width="11.77734375" style="101" customWidth="1"/>
    <col min="12041" max="12287" width="9" style="101"/>
    <col min="12288" max="12288" width="32.44140625" style="101" customWidth="1"/>
    <col min="12289" max="12289" width="14" style="101" customWidth="1"/>
    <col min="12290" max="12290" width="16.6640625" style="101" customWidth="1"/>
    <col min="12291" max="12292" width="16.44140625" style="101" customWidth="1"/>
    <col min="12293" max="12293" width="12" style="101" customWidth="1"/>
    <col min="12294" max="12294" width="13.33203125" style="101" customWidth="1"/>
    <col min="12295" max="12295" width="11.6640625" style="101" customWidth="1"/>
    <col min="12296" max="12296" width="11.77734375" style="101" customWidth="1"/>
    <col min="12297" max="12543" width="9" style="101"/>
    <col min="12544" max="12544" width="32.44140625" style="101" customWidth="1"/>
    <col min="12545" max="12545" width="14" style="101" customWidth="1"/>
    <col min="12546" max="12546" width="16.6640625" style="101" customWidth="1"/>
    <col min="12547" max="12548" width="16.44140625" style="101" customWidth="1"/>
    <col min="12549" max="12549" width="12" style="101" customWidth="1"/>
    <col min="12550" max="12550" width="13.33203125" style="101" customWidth="1"/>
    <col min="12551" max="12551" width="11.6640625" style="101" customWidth="1"/>
    <col min="12552" max="12552" width="11.77734375" style="101" customWidth="1"/>
    <col min="12553" max="12799" width="9" style="101"/>
    <col min="12800" max="12800" width="32.44140625" style="101" customWidth="1"/>
    <col min="12801" max="12801" width="14" style="101" customWidth="1"/>
    <col min="12802" max="12802" width="16.6640625" style="101" customWidth="1"/>
    <col min="12803" max="12804" width="16.44140625" style="101" customWidth="1"/>
    <col min="12805" max="12805" width="12" style="101" customWidth="1"/>
    <col min="12806" max="12806" width="13.33203125" style="101" customWidth="1"/>
    <col min="12807" max="12807" width="11.6640625" style="101" customWidth="1"/>
    <col min="12808" max="12808" width="11.77734375" style="101" customWidth="1"/>
    <col min="12809" max="13055" width="9" style="101"/>
    <col min="13056" max="13056" width="32.44140625" style="101" customWidth="1"/>
    <col min="13057" max="13057" width="14" style="101" customWidth="1"/>
    <col min="13058" max="13058" width="16.6640625" style="101" customWidth="1"/>
    <col min="13059" max="13060" width="16.44140625" style="101" customWidth="1"/>
    <col min="13061" max="13061" width="12" style="101" customWidth="1"/>
    <col min="13062" max="13062" width="13.33203125" style="101" customWidth="1"/>
    <col min="13063" max="13063" width="11.6640625" style="101" customWidth="1"/>
    <col min="13064" max="13064" width="11.77734375" style="101" customWidth="1"/>
    <col min="13065" max="13311" width="9" style="101"/>
    <col min="13312" max="13312" width="32.44140625" style="101" customWidth="1"/>
    <col min="13313" max="13313" width="14" style="101" customWidth="1"/>
    <col min="13314" max="13314" width="16.6640625" style="101" customWidth="1"/>
    <col min="13315" max="13316" width="16.44140625" style="101" customWidth="1"/>
    <col min="13317" max="13317" width="12" style="101" customWidth="1"/>
    <col min="13318" max="13318" width="13.33203125" style="101" customWidth="1"/>
    <col min="13319" max="13319" width="11.6640625" style="101" customWidth="1"/>
    <col min="13320" max="13320" width="11.77734375" style="101" customWidth="1"/>
    <col min="13321" max="13567" width="9" style="101"/>
    <col min="13568" max="13568" width="32.44140625" style="101" customWidth="1"/>
    <col min="13569" max="13569" width="14" style="101" customWidth="1"/>
    <col min="13570" max="13570" width="16.6640625" style="101" customWidth="1"/>
    <col min="13571" max="13572" width="16.44140625" style="101" customWidth="1"/>
    <col min="13573" max="13573" width="12" style="101" customWidth="1"/>
    <col min="13574" max="13574" width="13.33203125" style="101" customWidth="1"/>
    <col min="13575" max="13575" width="11.6640625" style="101" customWidth="1"/>
    <col min="13576" max="13576" width="11.77734375" style="101" customWidth="1"/>
    <col min="13577" max="13823" width="9" style="101"/>
    <col min="13824" max="13824" width="32.44140625" style="101" customWidth="1"/>
    <col min="13825" max="13825" width="14" style="101" customWidth="1"/>
    <col min="13826" max="13826" width="16.6640625" style="101" customWidth="1"/>
    <col min="13827" max="13828" width="16.44140625" style="101" customWidth="1"/>
    <col min="13829" max="13829" width="12" style="101" customWidth="1"/>
    <col min="13830" max="13830" width="13.33203125" style="101" customWidth="1"/>
    <col min="13831" max="13831" width="11.6640625" style="101" customWidth="1"/>
    <col min="13832" max="13832" width="11.77734375" style="101" customWidth="1"/>
    <col min="13833" max="14079" width="9" style="101"/>
    <col min="14080" max="14080" width="32.44140625" style="101" customWidth="1"/>
    <col min="14081" max="14081" width="14" style="101" customWidth="1"/>
    <col min="14082" max="14082" width="16.6640625" style="101" customWidth="1"/>
    <col min="14083" max="14084" width="16.44140625" style="101" customWidth="1"/>
    <col min="14085" max="14085" width="12" style="101" customWidth="1"/>
    <col min="14086" max="14086" width="13.33203125" style="101" customWidth="1"/>
    <col min="14087" max="14087" width="11.6640625" style="101" customWidth="1"/>
    <col min="14088" max="14088" width="11.77734375" style="101" customWidth="1"/>
    <col min="14089" max="14335" width="9" style="101"/>
    <col min="14336" max="14336" width="32.44140625" style="101" customWidth="1"/>
    <col min="14337" max="14337" width="14" style="101" customWidth="1"/>
    <col min="14338" max="14338" width="16.6640625" style="101" customWidth="1"/>
    <col min="14339" max="14340" width="16.44140625" style="101" customWidth="1"/>
    <col min="14341" max="14341" width="12" style="101" customWidth="1"/>
    <col min="14342" max="14342" width="13.33203125" style="101" customWidth="1"/>
    <col min="14343" max="14343" width="11.6640625" style="101" customWidth="1"/>
    <col min="14344" max="14344" width="11.77734375" style="101" customWidth="1"/>
    <col min="14345" max="14591" width="9" style="101"/>
    <col min="14592" max="14592" width="32.44140625" style="101" customWidth="1"/>
    <col min="14593" max="14593" width="14" style="101" customWidth="1"/>
    <col min="14594" max="14594" width="16.6640625" style="101" customWidth="1"/>
    <col min="14595" max="14596" width="16.44140625" style="101" customWidth="1"/>
    <col min="14597" max="14597" width="12" style="101" customWidth="1"/>
    <col min="14598" max="14598" width="13.33203125" style="101" customWidth="1"/>
    <col min="14599" max="14599" width="11.6640625" style="101" customWidth="1"/>
    <col min="14600" max="14600" width="11.77734375" style="101" customWidth="1"/>
    <col min="14601" max="14847" width="9" style="101"/>
    <col min="14848" max="14848" width="32.44140625" style="101" customWidth="1"/>
    <col min="14849" max="14849" width="14" style="101" customWidth="1"/>
    <col min="14850" max="14850" width="16.6640625" style="101" customWidth="1"/>
    <col min="14851" max="14852" width="16.44140625" style="101" customWidth="1"/>
    <col min="14853" max="14853" width="12" style="101" customWidth="1"/>
    <col min="14854" max="14854" width="13.33203125" style="101" customWidth="1"/>
    <col min="14855" max="14855" width="11.6640625" style="101" customWidth="1"/>
    <col min="14856" max="14856" width="11.77734375" style="101" customWidth="1"/>
    <col min="14857" max="15103" width="9" style="101"/>
    <col min="15104" max="15104" width="32.44140625" style="101" customWidth="1"/>
    <col min="15105" max="15105" width="14" style="101" customWidth="1"/>
    <col min="15106" max="15106" width="16.6640625" style="101" customWidth="1"/>
    <col min="15107" max="15108" width="16.44140625" style="101" customWidth="1"/>
    <col min="15109" max="15109" width="12" style="101" customWidth="1"/>
    <col min="15110" max="15110" width="13.33203125" style="101" customWidth="1"/>
    <col min="15111" max="15111" width="11.6640625" style="101" customWidth="1"/>
    <col min="15112" max="15112" width="11.77734375" style="101" customWidth="1"/>
    <col min="15113" max="15359" width="9" style="101"/>
    <col min="15360" max="15360" width="32.44140625" style="101" customWidth="1"/>
    <col min="15361" max="15361" width="14" style="101" customWidth="1"/>
    <col min="15362" max="15362" width="16.6640625" style="101" customWidth="1"/>
    <col min="15363" max="15364" width="16.44140625" style="101" customWidth="1"/>
    <col min="15365" max="15365" width="12" style="101" customWidth="1"/>
    <col min="15366" max="15366" width="13.33203125" style="101" customWidth="1"/>
    <col min="15367" max="15367" width="11.6640625" style="101" customWidth="1"/>
    <col min="15368" max="15368" width="11.77734375" style="101" customWidth="1"/>
    <col min="15369" max="15615" width="9" style="101"/>
    <col min="15616" max="15616" width="32.44140625" style="101" customWidth="1"/>
    <col min="15617" max="15617" width="14" style="101" customWidth="1"/>
    <col min="15618" max="15618" width="16.6640625" style="101" customWidth="1"/>
    <col min="15619" max="15620" width="16.44140625" style="101" customWidth="1"/>
    <col min="15621" max="15621" width="12" style="101" customWidth="1"/>
    <col min="15622" max="15622" width="13.33203125" style="101" customWidth="1"/>
    <col min="15623" max="15623" width="11.6640625" style="101" customWidth="1"/>
    <col min="15624" max="15624" width="11.77734375" style="101" customWidth="1"/>
    <col min="15625" max="15871" width="9" style="101"/>
    <col min="15872" max="15872" width="32.44140625" style="101" customWidth="1"/>
    <col min="15873" max="15873" width="14" style="101" customWidth="1"/>
    <col min="15874" max="15874" width="16.6640625" style="101" customWidth="1"/>
    <col min="15875" max="15876" width="16.44140625" style="101" customWidth="1"/>
    <col min="15877" max="15877" width="12" style="101" customWidth="1"/>
    <col min="15878" max="15878" width="13.33203125" style="101" customWidth="1"/>
    <col min="15879" max="15879" width="11.6640625" style="101" customWidth="1"/>
    <col min="15880" max="15880" width="11.77734375" style="101" customWidth="1"/>
    <col min="15881" max="16127" width="9" style="101"/>
    <col min="16128" max="16128" width="32.44140625" style="101" customWidth="1"/>
    <col min="16129" max="16129" width="14" style="101" customWidth="1"/>
    <col min="16130" max="16130" width="16.6640625" style="101" customWidth="1"/>
    <col min="16131" max="16132" width="16.44140625" style="101" customWidth="1"/>
    <col min="16133" max="16133" width="12" style="101" customWidth="1"/>
    <col min="16134" max="16134" width="13.33203125" style="101" customWidth="1"/>
    <col min="16135" max="16135" width="11.6640625" style="101" customWidth="1"/>
    <col min="16136" max="16136" width="11.77734375" style="101" customWidth="1"/>
    <col min="16137" max="16383" width="9" style="101"/>
    <col min="16384" max="16384" width="9" style="101" customWidth="1"/>
  </cols>
  <sheetData>
    <row r="1" spans="1:18" s="247" customFormat="1" ht="19.95" customHeight="1">
      <c r="A1" s="490" t="s">
        <v>0</v>
      </c>
      <c r="B1" s="490"/>
      <c r="C1" s="490"/>
      <c r="D1" s="490"/>
      <c r="E1" s="490"/>
      <c r="F1" s="490"/>
      <c r="G1" s="490"/>
      <c r="H1" s="490"/>
      <c r="I1" s="246"/>
      <c r="J1" s="246"/>
      <c r="K1" s="246"/>
      <c r="L1" s="246"/>
      <c r="M1" s="246"/>
      <c r="N1" s="246"/>
      <c r="O1" s="246"/>
      <c r="P1" s="246"/>
      <c r="Q1" s="246"/>
      <c r="R1" s="246"/>
    </row>
    <row r="2" spans="1:18" s="253" customFormat="1" ht="19.95" customHeight="1">
      <c r="A2" s="491" t="s">
        <v>97</v>
      </c>
      <c r="B2" s="491"/>
      <c r="C2" s="491"/>
      <c r="D2" s="491"/>
      <c r="E2" s="491"/>
      <c r="F2" s="491"/>
      <c r="G2" s="491"/>
      <c r="H2" s="491"/>
    </row>
    <row r="3" spans="1:18" s="372" customFormat="1" ht="19.95" customHeight="1">
      <c r="A3" s="346" t="str">
        <f>底稿目录!A2</f>
        <v>被审计单位：</v>
      </c>
      <c r="B3" s="361"/>
      <c r="C3" s="346" t="str">
        <f>底稿目录!A4</f>
        <v>编制人：</v>
      </c>
      <c r="D3" s="361"/>
      <c r="E3" s="346" t="str">
        <f>底稿目录!A5</f>
        <v>编制日期：</v>
      </c>
      <c r="F3" s="361"/>
      <c r="G3" s="371" t="s">
        <v>122</v>
      </c>
      <c r="H3" s="402" t="str">
        <f>底稿目录!F13</f>
        <v>G2-7</v>
      </c>
      <c r="L3" s="373"/>
      <c r="M3" s="373"/>
      <c r="N3" s="373"/>
      <c r="O3" s="373"/>
    </row>
    <row r="4" spans="1:18" s="372" customFormat="1" ht="19.95" customHeight="1">
      <c r="A4" s="346" t="str">
        <f>底稿目录!A3</f>
        <v>截止日：202X年12月31日</v>
      </c>
      <c r="B4" s="361"/>
      <c r="C4" s="346" t="str">
        <f>底稿目录!A6</f>
        <v>复核人：</v>
      </c>
      <c r="D4" s="361"/>
      <c r="E4" s="346" t="str">
        <f>底稿目录!A7</f>
        <v>复核日期：</v>
      </c>
      <c r="F4" s="361"/>
      <c r="G4" s="371" t="s">
        <v>460</v>
      </c>
      <c r="H4" s="361"/>
      <c r="L4" s="373"/>
      <c r="M4" s="373"/>
      <c r="N4" s="373"/>
      <c r="O4" s="373"/>
    </row>
    <row r="5" spans="1:18" ht="19.95" customHeight="1">
      <c r="A5" s="103" t="s">
        <v>123</v>
      </c>
      <c r="B5" s="104" t="s">
        <v>98</v>
      </c>
    </row>
    <row r="6" spans="1:18" ht="19.95" customHeight="1">
      <c r="A6" s="103" t="s">
        <v>124</v>
      </c>
      <c r="B6" s="105"/>
    </row>
    <row r="7" spans="1:18" s="102" customFormat="1" ht="19.95" customHeight="1">
      <c r="A7" s="103" t="s">
        <v>125</v>
      </c>
      <c r="B7" s="103"/>
      <c r="C7" s="103"/>
    </row>
    <row r="8" spans="1:18" s="199" customFormat="1" ht="19.95" customHeight="1">
      <c r="A8" s="492" t="s">
        <v>387</v>
      </c>
      <c r="B8" s="377" t="s">
        <v>341</v>
      </c>
      <c r="C8" s="377" t="s">
        <v>334</v>
      </c>
      <c r="D8" s="377" t="s">
        <v>342</v>
      </c>
      <c r="E8" s="377" t="s">
        <v>343</v>
      </c>
      <c r="F8" s="377" t="s">
        <v>335</v>
      </c>
      <c r="G8" s="493" t="s">
        <v>344</v>
      </c>
      <c r="H8" s="493" t="s">
        <v>345</v>
      </c>
    </row>
    <row r="9" spans="1:18" s="199" customFormat="1" ht="19.95" customHeight="1">
      <c r="A9" s="492"/>
      <c r="B9" s="377" t="s">
        <v>329</v>
      </c>
      <c r="C9" s="377" t="s">
        <v>346</v>
      </c>
      <c r="D9" s="377" t="s">
        <v>347</v>
      </c>
      <c r="E9" s="377" t="s">
        <v>348</v>
      </c>
      <c r="F9" s="377" t="s">
        <v>349</v>
      </c>
      <c r="G9" s="493"/>
      <c r="H9" s="493"/>
    </row>
    <row r="10" spans="1:18" s="199" customFormat="1" ht="19.95" customHeight="1">
      <c r="A10" s="261"/>
      <c r="B10" s="108"/>
      <c r="C10" s="278"/>
      <c r="D10" s="262">
        <f>B10*C10</f>
        <v>0</v>
      </c>
      <c r="E10" s="263"/>
      <c r="F10" s="264">
        <f>B10-E10</f>
        <v>0</v>
      </c>
      <c r="G10" s="360"/>
      <c r="H10" s="201"/>
    </row>
    <row r="11" spans="1:18" s="199" customFormat="1" ht="19.95" customHeight="1">
      <c r="A11" s="261"/>
      <c r="B11" s="87"/>
      <c r="C11" s="279"/>
      <c r="D11" s="262">
        <f t="shared" ref="D11:D19" si="0">B11*C11</f>
        <v>0</v>
      </c>
      <c r="E11" s="263"/>
      <c r="F11" s="264">
        <f t="shared" ref="F11:F19" si="1">B11-E11</f>
        <v>0</v>
      </c>
      <c r="G11" s="360"/>
      <c r="H11" s="201"/>
    </row>
    <row r="12" spans="1:18" s="199" customFormat="1" ht="19.95" customHeight="1">
      <c r="A12" s="261"/>
      <c r="B12" s="87"/>
      <c r="C12" s="279"/>
      <c r="D12" s="262">
        <f t="shared" si="0"/>
        <v>0</v>
      </c>
      <c r="E12" s="263"/>
      <c r="F12" s="264">
        <f t="shared" si="1"/>
        <v>0</v>
      </c>
      <c r="G12" s="360"/>
      <c r="H12" s="201"/>
    </row>
    <row r="13" spans="1:18" s="199" customFormat="1" ht="19.95" customHeight="1">
      <c r="A13" s="261"/>
      <c r="B13" s="87"/>
      <c r="C13" s="279"/>
      <c r="D13" s="262">
        <f t="shared" si="0"/>
        <v>0</v>
      </c>
      <c r="E13" s="263"/>
      <c r="F13" s="264">
        <f t="shared" si="1"/>
        <v>0</v>
      </c>
      <c r="G13" s="360"/>
      <c r="H13" s="201"/>
    </row>
    <row r="14" spans="1:18" s="199" customFormat="1" ht="19.95" customHeight="1">
      <c r="A14" s="261"/>
      <c r="B14" s="87"/>
      <c r="C14" s="279"/>
      <c r="D14" s="262">
        <f t="shared" si="0"/>
        <v>0</v>
      </c>
      <c r="E14" s="263"/>
      <c r="F14" s="264">
        <f t="shared" si="1"/>
        <v>0</v>
      </c>
      <c r="G14" s="360"/>
      <c r="H14" s="201"/>
    </row>
    <row r="15" spans="1:18" s="199" customFormat="1" ht="19.95" customHeight="1">
      <c r="A15" s="261"/>
      <c r="B15" s="87"/>
      <c r="C15" s="279"/>
      <c r="D15" s="262">
        <f t="shared" si="0"/>
        <v>0</v>
      </c>
      <c r="E15" s="263"/>
      <c r="F15" s="264">
        <f t="shared" si="1"/>
        <v>0</v>
      </c>
      <c r="G15" s="360"/>
      <c r="H15" s="201"/>
    </row>
    <row r="16" spans="1:18" s="199" customFormat="1" ht="19.95" customHeight="1">
      <c r="A16" s="261"/>
      <c r="B16" s="87"/>
      <c r="C16" s="279"/>
      <c r="D16" s="262">
        <f t="shared" si="0"/>
        <v>0</v>
      </c>
      <c r="E16" s="263"/>
      <c r="F16" s="264">
        <f t="shared" si="1"/>
        <v>0</v>
      </c>
      <c r="G16" s="360"/>
      <c r="H16" s="201"/>
    </row>
    <row r="17" spans="1:8" s="199" customFormat="1" ht="19.95" customHeight="1">
      <c r="A17" s="261"/>
      <c r="B17" s="87"/>
      <c r="C17" s="279"/>
      <c r="D17" s="262">
        <f t="shared" si="0"/>
        <v>0</v>
      </c>
      <c r="E17" s="263"/>
      <c r="F17" s="264">
        <f t="shared" si="1"/>
        <v>0</v>
      </c>
      <c r="G17" s="360"/>
      <c r="H17" s="201"/>
    </row>
    <row r="18" spans="1:8" s="199" customFormat="1" ht="19.95" customHeight="1">
      <c r="A18" s="261"/>
      <c r="B18" s="87"/>
      <c r="C18" s="279"/>
      <c r="D18" s="262">
        <f t="shared" si="0"/>
        <v>0</v>
      </c>
      <c r="E18" s="263"/>
      <c r="F18" s="264">
        <f t="shared" si="1"/>
        <v>0</v>
      </c>
      <c r="G18" s="360"/>
      <c r="H18" s="201"/>
    </row>
    <row r="19" spans="1:8" s="199" customFormat="1" ht="19.95" customHeight="1">
      <c r="A19" s="261"/>
      <c r="B19" s="87"/>
      <c r="C19" s="279"/>
      <c r="D19" s="262">
        <f t="shared" si="0"/>
        <v>0</v>
      </c>
      <c r="E19" s="263"/>
      <c r="F19" s="264">
        <f t="shared" si="1"/>
        <v>0</v>
      </c>
      <c r="G19" s="360"/>
      <c r="H19" s="201"/>
    </row>
    <row r="20" spans="1:8" s="199" customFormat="1" ht="19.95" customHeight="1">
      <c r="A20" s="265" t="s">
        <v>350</v>
      </c>
      <c r="B20" s="266">
        <f>SUM(B10:B19)</f>
        <v>0</v>
      </c>
      <c r="C20" s="266">
        <f>SUM(C10:C19)</f>
        <v>0</v>
      </c>
      <c r="D20" s="267" t="str">
        <f>IF(B20=0,"",C20/B20)</f>
        <v/>
      </c>
      <c r="E20" s="266">
        <f t="shared" ref="E20:G20" si="2">SUM(E10:E19)</f>
        <v>0</v>
      </c>
      <c r="F20" s="266">
        <f t="shared" si="2"/>
        <v>0</v>
      </c>
      <c r="G20" s="266">
        <f t="shared" si="2"/>
        <v>0</v>
      </c>
      <c r="H20" s="268"/>
    </row>
    <row r="21" spans="1:8" s="271" customFormat="1" ht="19.95" customHeight="1">
      <c r="A21" s="269" t="s">
        <v>326</v>
      </c>
      <c r="B21" s="270"/>
      <c r="C21" s="270"/>
      <c r="D21" s="269"/>
      <c r="E21" s="269"/>
      <c r="F21" s="269"/>
      <c r="G21" s="269"/>
    </row>
    <row r="22" spans="1:8" s="271" customFormat="1" ht="19.95" customHeight="1">
      <c r="A22" s="272" t="s">
        <v>351</v>
      </c>
      <c r="B22" s="272"/>
      <c r="C22" s="110" t="s">
        <v>352</v>
      </c>
      <c r="D22" s="392"/>
    </row>
    <row r="23" spans="1:8" s="199" customFormat="1" ht="19.95" customHeight="1">
      <c r="A23" s="492" t="s">
        <v>327</v>
      </c>
      <c r="B23" s="492" t="s">
        <v>353</v>
      </c>
      <c r="C23" s="492"/>
      <c r="D23" s="492"/>
      <c r="E23" s="492"/>
      <c r="F23" s="492"/>
      <c r="G23" s="107" t="s">
        <v>354</v>
      </c>
    </row>
    <row r="24" spans="1:8" s="199" customFormat="1" ht="19.95" customHeight="1">
      <c r="A24" s="492"/>
      <c r="B24" s="107" t="s">
        <v>355</v>
      </c>
      <c r="C24" s="107" t="s">
        <v>328</v>
      </c>
      <c r="D24" s="107" t="s">
        <v>334</v>
      </c>
      <c r="E24" s="107" t="s">
        <v>356</v>
      </c>
      <c r="F24" s="107" t="s">
        <v>357</v>
      </c>
      <c r="G24" s="107" t="s">
        <v>358</v>
      </c>
    </row>
    <row r="25" spans="1:8" s="199" customFormat="1" ht="19.95" customHeight="1">
      <c r="A25" s="492"/>
      <c r="B25" s="107" t="s">
        <v>359</v>
      </c>
      <c r="C25" s="107"/>
      <c r="D25" s="107" t="s">
        <v>336</v>
      </c>
      <c r="E25" s="107" t="s">
        <v>337</v>
      </c>
      <c r="F25" s="107" t="s">
        <v>360</v>
      </c>
      <c r="G25" s="107" t="s">
        <v>361</v>
      </c>
    </row>
    <row r="26" spans="1:8" s="199" customFormat="1" ht="19.95" customHeight="1">
      <c r="A26" s="273" t="s">
        <v>362</v>
      </c>
      <c r="B26" s="87"/>
      <c r="C26" s="390"/>
      <c r="D26" s="109"/>
      <c r="E26" s="389">
        <f>B26*D26</f>
        <v>0</v>
      </c>
      <c r="F26" s="116">
        <f>B26-E26</f>
        <v>0</v>
      </c>
      <c r="G26" s="87"/>
    </row>
    <row r="27" spans="1:8" s="199" customFormat="1" ht="19.95" customHeight="1">
      <c r="A27" s="273" t="s">
        <v>363</v>
      </c>
      <c r="B27" s="87"/>
      <c r="C27" s="390"/>
      <c r="D27" s="109"/>
      <c r="E27" s="389">
        <f t="shared" ref="E27:E31" si="3">B27*D27</f>
        <v>0</v>
      </c>
      <c r="F27" s="116">
        <f t="shared" ref="F27:F31" si="4">B27-E27</f>
        <v>0</v>
      </c>
      <c r="G27" s="87"/>
    </row>
    <row r="28" spans="1:8" s="199" customFormat="1" ht="19.95" customHeight="1">
      <c r="A28" s="273" t="s">
        <v>364</v>
      </c>
      <c r="B28" s="87"/>
      <c r="C28" s="390"/>
      <c r="D28" s="109"/>
      <c r="E28" s="389">
        <f t="shared" si="3"/>
        <v>0</v>
      </c>
      <c r="F28" s="116">
        <f t="shared" si="4"/>
        <v>0</v>
      </c>
      <c r="G28" s="87"/>
    </row>
    <row r="29" spans="1:8" s="199" customFormat="1" ht="19.95" customHeight="1">
      <c r="A29" s="261" t="s">
        <v>365</v>
      </c>
      <c r="B29" s="87"/>
      <c r="C29" s="390"/>
      <c r="D29" s="109"/>
      <c r="E29" s="389">
        <f t="shared" si="3"/>
        <v>0</v>
      </c>
      <c r="F29" s="116">
        <f t="shared" si="4"/>
        <v>0</v>
      </c>
      <c r="G29" s="87"/>
    </row>
    <row r="30" spans="1:8" s="199" customFormat="1" ht="19.95" customHeight="1">
      <c r="A30" s="261" t="s">
        <v>330</v>
      </c>
      <c r="B30" s="87"/>
      <c r="C30" s="390"/>
      <c r="D30" s="109"/>
      <c r="E30" s="389">
        <f t="shared" si="3"/>
        <v>0</v>
      </c>
      <c r="F30" s="116">
        <f t="shared" si="4"/>
        <v>0</v>
      </c>
      <c r="G30" s="87"/>
    </row>
    <row r="31" spans="1:8" s="199" customFormat="1" ht="19.95" customHeight="1">
      <c r="A31" s="261" t="s">
        <v>366</v>
      </c>
      <c r="B31" s="87"/>
      <c r="C31" s="390"/>
      <c r="D31" s="109"/>
      <c r="E31" s="389">
        <f t="shared" si="3"/>
        <v>0</v>
      </c>
      <c r="F31" s="116">
        <f t="shared" si="4"/>
        <v>0</v>
      </c>
      <c r="G31" s="87"/>
    </row>
    <row r="32" spans="1:8" s="199" customFormat="1" ht="19.95" customHeight="1">
      <c r="A32" s="387" t="s">
        <v>339</v>
      </c>
      <c r="B32" s="388">
        <f>SUM(B26:B31)</f>
        <v>0</v>
      </c>
      <c r="C32" s="388">
        <f>SUM(C26:C31)</f>
        <v>0</v>
      </c>
      <c r="D32" s="388"/>
      <c r="E32" s="388">
        <f>SUM(E26:E31)</f>
        <v>0</v>
      </c>
      <c r="F32" s="388">
        <f>SUM(F26:F31)</f>
        <v>0</v>
      </c>
      <c r="G32" s="388">
        <f>SUM(G26:G31)</f>
        <v>0</v>
      </c>
    </row>
    <row r="33" spans="1:8" s="271" customFormat="1" ht="19.95" customHeight="1">
      <c r="A33" s="269" t="s">
        <v>367</v>
      </c>
      <c r="B33" s="270">
        <f>B32-'坏账准备明细表G2-3'!J22</f>
        <v>0</v>
      </c>
      <c r="C33" s="270">
        <f>B32-C32</f>
        <v>0</v>
      </c>
      <c r="D33" s="269"/>
      <c r="E33" s="269"/>
      <c r="F33" s="269"/>
      <c r="G33" s="269"/>
    </row>
    <row r="34" spans="1:8" s="271" customFormat="1" ht="19.95" customHeight="1">
      <c r="A34" s="387" t="s">
        <v>332</v>
      </c>
      <c r="B34" s="388">
        <f>SUM(B20,B32)</f>
        <v>0</v>
      </c>
      <c r="C34" s="388"/>
      <c r="D34" s="388"/>
      <c r="E34" s="388">
        <f>SUM(E20,E32)</f>
        <v>0</v>
      </c>
      <c r="F34" s="388">
        <f>SUM(F20,F32)</f>
        <v>0</v>
      </c>
      <c r="G34" s="388">
        <f>SUM(G20,G32)</f>
        <v>0</v>
      </c>
    </row>
    <row r="35" spans="1:8" s="271" customFormat="1" ht="19.95" customHeight="1">
      <c r="A35" s="269" t="s">
        <v>368</v>
      </c>
      <c r="B35" s="270">
        <f>IF(B32=0,0,B34-#REF!)</f>
        <v>0</v>
      </c>
      <c r="C35" s="270"/>
      <c r="D35" s="269"/>
      <c r="E35" s="269"/>
      <c r="F35" s="269"/>
      <c r="G35" s="269"/>
    </row>
    <row r="36" spans="1:8" s="271" customFormat="1" ht="19.95" customHeight="1">
      <c r="A36" s="269"/>
      <c r="B36" s="270"/>
      <c r="C36" s="270"/>
      <c r="D36" s="269"/>
      <c r="E36" s="269"/>
      <c r="F36" s="269"/>
      <c r="G36" s="269"/>
    </row>
    <row r="37" spans="1:8" s="271" customFormat="1" ht="19.95" customHeight="1">
      <c r="A37" s="274" t="s">
        <v>369</v>
      </c>
      <c r="B37" s="269"/>
      <c r="C37" s="110"/>
      <c r="D37" s="269"/>
      <c r="E37" s="269"/>
      <c r="F37" s="269"/>
      <c r="G37" s="269"/>
    </row>
    <row r="38" spans="1:8" s="199" customFormat="1" ht="19.95" customHeight="1">
      <c r="A38" s="492" t="s">
        <v>370</v>
      </c>
      <c r="B38" s="377" t="s">
        <v>333</v>
      </c>
      <c r="C38" s="107" t="s">
        <v>334</v>
      </c>
      <c r="D38" s="377" t="s">
        <v>371</v>
      </c>
      <c r="E38" s="377" t="s">
        <v>372</v>
      </c>
      <c r="F38" s="377" t="s">
        <v>373</v>
      </c>
      <c r="G38" s="493" t="s">
        <v>344</v>
      </c>
      <c r="H38" s="493" t="s">
        <v>256</v>
      </c>
    </row>
    <row r="39" spans="1:8" s="199" customFormat="1" ht="19.95" customHeight="1">
      <c r="A39" s="492"/>
      <c r="B39" s="107" t="s">
        <v>374</v>
      </c>
      <c r="C39" s="107" t="s">
        <v>375</v>
      </c>
      <c r="D39" s="107" t="s">
        <v>347</v>
      </c>
      <c r="E39" s="107" t="s">
        <v>376</v>
      </c>
      <c r="F39" s="107" t="s">
        <v>338</v>
      </c>
      <c r="G39" s="493"/>
      <c r="H39" s="493"/>
    </row>
    <row r="40" spans="1:8" s="199" customFormat="1" ht="19.95" customHeight="1">
      <c r="A40" s="393" t="s">
        <v>377</v>
      </c>
      <c r="B40" s="87"/>
      <c r="C40" s="87"/>
      <c r="D40" s="394"/>
      <c r="E40" s="87"/>
      <c r="F40" s="87"/>
      <c r="G40" s="395"/>
      <c r="H40" s="201"/>
    </row>
    <row r="41" spans="1:8" s="199" customFormat="1" ht="19.95" customHeight="1">
      <c r="A41" s="273" t="s">
        <v>340</v>
      </c>
      <c r="B41" s="87"/>
      <c r="C41" s="109"/>
      <c r="D41" s="262">
        <f t="shared" ref="D41:D46" si="5">B41*C41</f>
        <v>0</v>
      </c>
      <c r="E41" s="87"/>
      <c r="F41" s="264">
        <f>D41-E41</f>
        <v>0</v>
      </c>
      <c r="G41" s="395"/>
      <c r="H41" s="201"/>
    </row>
    <row r="42" spans="1:8" s="199" customFormat="1" ht="19.95" customHeight="1">
      <c r="A42" s="273" t="s">
        <v>378</v>
      </c>
      <c r="B42" s="87"/>
      <c r="C42" s="109"/>
      <c r="D42" s="262">
        <f t="shared" si="5"/>
        <v>0</v>
      </c>
      <c r="E42" s="87"/>
      <c r="F42" s="264">
        <f t="shared" ref="F42:F46" si="6">D42-E42</f>
        <v>0</v>
      </c>
      <c r="G42" s="395"/>
      <c r="H42" s="201"/>
    </row>
    <row r="43" spans="1:8" s="199" customFormat="1" ht="19.95" customHeight="1">
      <c r="A43" s="273" t="s">
        <v>379</v>
      </c>
      <c r="B43" s="87"/>
      <c r="C43" s="109"/>
      <c r="D43" s="262">
        <f t="shared" si="5"/>
        <v>0</v>
      </c>
      <c r="E43" s="87"/>
      <c r="F43" s="264">
        <f t="shared" si="6"/>
        <v>0</v>
      </c>
      <c r="G43" s="395"/>
      <c r="H43" s="201"/>
    </row>
    <row r="44" spans="1:8" s="199" customFormat="1" ht="19.95" customHeight="1">
      <c r="A44" s="261" t="s">
        <v>380</v>
      </c>
      <c r="B44" s="87"/>
      <c r="C44" s="109"/>
      <c r="D44" s="262">
        <f t="shared" si="5"/>
        <v>0</v>
      </c>
      <c r="E44" s="87"/>
      <c r="F44" s="264">
        <f t="shared" si="6"/>
        <v>0</v>
      </c>
      <c r="G44" s="395"/>
      <c r="H44" s="201"/>
    </row>
    <row r="45" spans="1:8" s="199" customFormat="1" ht="19.95" customHeight="1">
      <c r="A45" s="261" t="s">
        <v>330</v>
      </c>
      <c r="B45" s="87"/>
      <c r="C45" s="109"/>
      <c r="D45" s="262">
        <f t="shared" si="5"/>
        <v>0</v>
      </c>
      <c r="E45" s="87"/>
      <c r="F45" s="264">
        <f t="shared" si="6"/>
        <v>0</v>
      </c>
      <c r="G45" s="395"/>
      <c r="H45" s="201"/>
    </row>
    <row r="46" spans="1:8" s="199" customFormat="1" ht="19.95" customHeight="1">
      <c r="A46" s="261" t="s">
        <v>331</v>
      </c>
      <c r="B46" s="87"/>
      <c r="C46" s="109"/>
      <c r="D46" s="262">
        <f t="shared" si="5"/>
        <v>0</v>
      </c>
      <c r="E46" s="87"/>
      <c r="F46" s="264">
        <f t="shared" si="6"/>
        <v>0</v>
      </c>
      <c r="G46" s="395"/>
      <c r="H46" s="201"/>
    </row>
    <row r="47" spans="1:8" s="199" customFormat="1" ht="19.95" customHeight="1">
      <c r="A47" s="265" t="s">
        <v>325</v>
      </c>
      <c r="B47" s="266">
        <f>SUM(B41:B46)</f>
        <v>0</v>
      </c>
      <c r="C47" s="266"/>
      <c r="D47" s="266">
        <f>SUM(D41:D46)</f>
        <v>0</v>
      </c>
      <c r="E47" s="266">
        <f t="shared" ref="E47:F47" si="7">SUM(E41:E46)</f>
        <v>0</v>
      </c>
      <c r="F47" s="266">
        <f t="shared" si="7"/>
        <v>0</v>
      </c>
      <c r="G47" s="266"/>
      <c r="H47" s="266"/>
    </row>
    <row r="48" spans="1:8" s="199" customFormat="1" ht="19.95" customHeight="1">
      <c r="A48" s="399" t="s">
        <v>381</v>
      </c>
      <c r="B48" s="276"/>
      <c r="C48" s="276"/>
      <c r="D48" s="277"/>
      <c r="E48" s="276"/>
      <c r="F48" s="276"/>
      <c r="G48" s="400"/>
      <c r="H48" s="401"/>
    </row>
    <row r="49" spans="1:8" s="199" customFormat="1" ht="19.95" customHeight="1">
      <c r="A49" s="273" t="s">
        <v>340</v>
      </c>
      <c r="B49" s="87"/>
      <c r="C49" s="109"/>
      <c r="D49" s="262">
        <f t="shared" ref="D49:D54" si="8">B49*C49</f>
        <v>0</v>
      </c>
      <c r="E49" s="87"/>
      <c r="F49" s="264">
        <f t="shared" ref="F49:F54" si="9">D49-E49</f>
        <v>0</v>
      </c>
      <c r="G49" s="395"/>
      <c r="H49" s="201"/>
    </row>
    <row r="50" spans="1:8" s="199" customFormat="1" ht="19.95" customHeight="1">
      <c r="A50" s="273" t="s">
        <v>382</v>
      </c>
      <c r="B50" s="87"/>
      <c r="C50" s="109"/>
      <c r="D50" s="262">
        <f t="shared" si="8"/>
        <v>0</v>
      </c>
      <c r="E50" s="87"/>
      <c r="F50" s="264">
        <f t="shared" si="9"/>
        <v>0</v>
      </c>
      <c r="G50" s="395"/>
      <c r="H50" s="201"/>
    </row>
    <row r="51" spans="1:8" s="199" customFormat="1" ht="19.95" customHeight="1">
      <c r="A51" s="273" t="s">
        <v>364</v>
      </c>
      <c r="B51" s="87"/>
      <c r="C51" s="109"/>
      <c r="D51" s="262">
        <f t="shared" si="8"/>
        <v>0</v>
      </c>
      <c r="E51" s="87"/>
      <c r="F51" s="264">
        <f t="shared" si="9"/>
        <v>0</v>
      </c>
      <c r="G51" s="395"/>
      <c r="H51" s="201"/>
    </row>
    <row r="52" spans="1:8" s="199" customFormat="1" ht="19.95" customHeight="1">
      <c r="A52" s="261" t="s">
        <v>380</v>
      </c>
      <c r="B52" s="87"/>
      <c r="C52" s="109"/>
      <c r="D52" s="262">
        <f t="shared" si="8"/>
        <v>0</v>
      </c>
      <c r="E52" s="87"/>
      <c r="F52" s="264">
        <f t="shared" si="9"/>
        <v>0</v>
      </c>
      <c r="G52" s="395"/>
      <c r="H52" s="201"/>
    </row>
    <row r="53" spans="1:8" s="199" customFormat="1" ht="19.95" customHeight="1">
      <c r="A53" s="261" t="s">
        <v>383</v>
      </c>
      <c r="B53" s="87"/>
      <c r="C53" s="109"/>
      <c r="D53" s="262">
        <f t="shared" si="8"/>
        <v>0</v>
      </c>
      <c r="E53" s="87"/>
      <c r="F53" s="264">
        <f t="shared" si="9"/>
        <v>0</v>
      </c>
      <c r="G53" s="395"/>
      <c r="H53" s="201"/>
    </row>
    <row r="54" spans="1:8" s="199" customFormat="1" ht="19.95" customHeight="1">
      <c r="A54" s="261" t="s">
        <v>331</v>
      </c>
      <c r="B54" s="87"/>
      <c r="C54" s="109"/>
      <c r="D54" s="262">
        <f t="shared" si="8"/>
        <v>0</v>
      </c>
      <c r="E54" s="87"/>
      <c r="F54" s="264">
        <f t="shared" si="9"/>
        <v>0</v>
      </c>
      <c r="G54" s="395"/>
      <c r="H54" s="201"/>
    </row>
    <row r="55" spans="1:8" s="199" customFormat="1" ht="19.95" customHeight="1">
      <c r="A55" s="265" t="s">
        <v>325</v>
      </c>
      <c r="B55" s="266">
        <f>SUM(B49:B54)</f>
        <v>0</v>
      </c>
      <c r="C55" s="266"/>
      <c r="D55" s="266">
        <f>SUM(D49:D54)</f>
        <v>0</v>
      </c>
      <c r="E55" s="266">
        <f>SUM(E49:E54)</f>
        <v>0</v>
      </c>
      <c r="F55" s="266">
        <f>SUM(F49:F54)</f>
        <v>0</v>
      </c>
      <c r="G55" s="266"/>
      <c r="H55" s="266"/>
    </row>
    <row r="56" spans="1:8" s="199" customFormat="1" ht="19.95" customHeight="1">
      <c r="A56" s="265" t="s">
        <v>384</v>
      </c>
      <c r="B56" s="266">
        <f>B55+B47</f>
        <v>0</v>
      </c>
      <c r="C56" s="266"/>
      <c r="D56" s="266">
        <f>D55+D47</f>
        <v>0</v>
      </c>
      <c r="E56" s="266">
        <f t="shared" ref="E56:F56" si="10">E55+E47</f>
        <v>0</v>
      </c>
      <c r="F56" s="266">
        <f t="shared" si="10"/>
        <v>0</v>
      </c>
      <c r="G56" s="266"/>
      <c r="H56" s="266"/>
    </row>
    <row r="57" spans="1:8" s="271" customFormat="1" ht="19.95" customHeight="1">
      <c r="A57" s="396" t="s">
        <v>385</v>
      </c>
      <c r="B57" s="397"/>
      <c r="C57" s="396"/>
      <c r="D57" s="396"/>
      <c r="E57" s="396"/>
      <c r="F57" s="396"/>
      <c r="G57" s="398"/>
      <c r="H57" s="398"/>
    </row>
    <row r="58" spans="1:8" s="271" customFormat="1" ht="19.95" customHeight="1">
      <c r="A58" s="265" t="s">
        <v>332</v>
      </c>
      <c r="B58" s="266">
        <f>SUM(B20,B56)</f>
        <v>0</v>
      </c>
      <c r="C58" s="266"/>
      <c r="D58" s="266">
        <f>SUM(E20,D56)</f>
        <v>0</v>
      </c>
      <c r="E58" s="266">
        <f>SUM(F20,E56)</f>
        <v>0</v>
      </c>
      <c r="F58" s="266">
        <f>SUM(G20,F56)</f>
        <v>0</v>
      </c>
      <c r="G58" s="266"/>
      <c r="H58" s="266"/>
    </row>
    <row r="59" spans="1:8" s="271" customFormat="1" ht="19.95" customHeight="1">
      <c r="A59" s="269" t="s">
        <v>385</v>
      </c>
      <c r="B59" s="270"/>
      <c r="C59" s="270"/>
      <c r="D59" s="269"/>
      <c r="E59" s="269"/>
      <c r="F59" s="269"/>
      <c r="G59" s="269"/>
    </row>
    <row r="60" spans="1:8" s="275" customFormat="1" ht="19.95" customHeight="1">
      <c r="A60" s="272" t="s">
        <v>386</v>
      </c>
    </row>
    <row r="61" spans="1:8" ht="19.95" customHeight="1">
      <c r="B61" s="111"/>
      <c r="H61" s="111"/>
    </row>
    <row r="62" spans="1:8" ht="19.95" customHeight="1">
      <c r="A62" s="103" t="s">
        <v>126</v>
      </c>
    </row>
    <row r="63" spans="1:8" ht="19.5" customHeight="1">
      <c r="A63" s="422" t="s">
        <v>127</v>
      </c>
    </row>
    <row r="64" spans="1:8" ht="19.5" customHeight="1">
      <c r="A64" s="423" t="s">
        <v>128</v>
      </c>
    </row>
    <row r="65" spans="1:1" ht="19.5" customHeight="1">
      <c r="A65" s="423" t="s">
        <v>129</v>
      </c>
    </row>
    <row r="66" spans="1:1" ht="19.5" customHeight="1">
      <c r="A66" s="423" t="s">
        <v>130</v>
      </c>
    </row>
    <row r="67" spans="1:1" ht="19.5" customHeight="1">
      <c r="A67" s="424" t="s">
        <v>131</v>
      </c>
    </row>
    <row r="68" spans="1:1" ht="19.5" customHeight="1">
      <c r="A68" s="424" t="s">
        <v>132</v>
      </c>
    </row>
    <row r="69" spans="1:1" ht="19.5" customHeight="1">
      <c r="A69" s="424" t="s">
        <v>133</v>
      </c>
    </row>
    <row r="70" spans="1:1" ht="19.5" customHeight="1">
      <c r="A70" s="423" t="s">
        <v>134</v>
      </c>
    </row>
    <row r="71" spans="1:1" ht="19.5" customHeight="1">
      <c r="A71" s="423" t="s">
        <v>135</v>
      </c>
    </row>
    <row r="72" spans="1:1" ht="19.5" customHeight="1"/>
  </sheetData>
  <dataConsolidate/>
  <mergeCells count="10">
    <mergeCell ref="A1:H1"/>
    <mergeCell ref="A2:H2"/>
    <mergeCell ref="A38:A39"/>
    <mergeCell ref="A23:A25"/>
    <mergeCell ref="B23:F23"/>
    <mergeCell ref="G8:G9"/>
    <mergeCell ref="H8:H9"/>
    <mergeCell ref="A8:A9"/>
    <mergeCell ref="G38:G39"/>
    <mergeCell ref="H38:H39"/>
  </mergeCells>
  <phoneticPr fontId="10" type="noConversion"/>
  <dataValidations count="3">
    <dataValidation type="list" allowBlank="1" showInputMessage="1" showErrorMessage="1" sqref="D22">
      <formula1>"是,否"</formula1>
    </dataValidation>
    <dataValidation allowBlank="1" showInputMessage="1" showErrorMessage="1" prompt="根据D2-2 审计调整前的账龄数据填写" sqref="B26 B49"/>
    <dataValidation allowBlank="1" showInputMessage="1" showErrorMessage="1" prompt="债务人超过10户时，请在“合计”行以上添加行，并下拉公式，如不足10户，请删除多余的行。" sqref="A10"/>
  </dataValidations>
  <hyperlinks>
    <hyperlink ref="H3" location="底稿目录!F13" display="底稿目录!F13"/>
  </hyperlinks>
  <printOptions horizontalCentered="1"/>
  <pageMargins left="0.74803149606299213" right="0.55118110236220474" top="0.98425196850393704" bottom="0.23622047244094491" header="0.51181102362204722" footer="0.19685039370078741"/>
  <pageSetup paperSize="9" scale="84" fitToHeight="0" orientation="portrait" blackAndWhite="1" cellComments="atEnd" r:id="rId1"/>
  <headerFooter alignWithMargins="0">
    <oddFooter>&amp;C&amp;P/&amp;N</oddFooter>
  </headerFooter>
  <rowBreaks count="1" manualBreakCount="1">
    <brk id="28" max="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U103"/>
  <sheetViews>
    <sheetView view="pageBreakPreview" zoomScaleNormal="115" zoomScaleSheetLayoutView="100" workbookViewId="0">
      <selection activeCell="P3" sqref="P3"/>
    </sheetView>
  </sheetViews>
  <sheetFormatPr defaultColWidth="9" defaultRowHeight="13.8"/>
  <cols>
    <col min="1" max="2" width="11.88671875" style="11" customWidth="1"/>
    <col min="3" max="3" width="26.109375" style="11" customWidth="1"/>
    <col min="4" max="7" width="11.88671875" style="11" customWidth="1"/>
    <col min="8" max="8" width="24.109375" style="11" customWidth="1"/>
    <col min="9" max="13" width="4.5546875" style="11" customWidth="1"/>
    <col min="14" max="14" width="12.21875" style="11" customWidth="1"/>
    <col min="15" max="15" width="7.77734375" style="11" customWidth="1"/>
    <col min="16" max="16" width="14.5546875" style="11" customWidth="1"/>
    <col min="17" max="16384" width="9" style="11"/>
  </cols>
  <sheetData>
    <row r="1" spans="1:21" s="245" customFormat="1" ht="19.95" customHeight="1">
      <c r="A1" s="495" t="s">
        <v>0</v>
      </c>
      <c r="B1" s="495"/>
      <c r="C1" s="495"/>
      <c r="D1" s="495"/>
      <c r="E1" s="495"/>
      <c r="F1" s="495"/>
      <c r="G1" s="495"/>
      <c r="H1" s="495"/>
      <c r="I1" s="495"/>
      <c r="J1" s="495"/>
      <c r="K1" s="495"/>
      <c r="L1" s="495"/>
      <c r="M1" s="495"/>
      <c r="N1" s="495"/>
      <c r="O1" s="495"/>
      <c r="P1" s="495"/>
    </row>
    <row r="2" spans="1:21" s="252" customFormat="1" ht="19.95" customHeight="1">
      <c r="A2" s="496" t="s">
        <v>177</v>
      </c>
      <c r="B2" s="496"/>
      <c r="C2" s="496"/>
      <c r="D2" s="496"/>
      <c r="E2" s="496"/>
      <c r="F2" s="496"/>
      <c r="G2" s="496"/>
      <c r="H2" s="496"/>
      <c r="I2" s="496"/>
      <c r="J2" s="496"/>
      <c r="K2" s="496"/>
      <c r="L2" s="496"/>
      <c r="M2" s="496"/>
      <c r="N2" s="496"/>
      <c r="O2" s="496"/>
      <c r="P2" s="496"/>
    </row>
    <row r="3" spans="1:21" s="433" customFormat="1" ht="19.95" customHeight="1">
      <c r="A3" s="351" t="str">
        <f>底稿目录!A2</f>
        <v>被审计单位：</v>
      </c>
      <c r="B3" s="351"/>
      <c r="D3" s="351" t="str">
        <f>底稿目录!A4</f>
        <v>编制人：</v>
      </c>
      <c r="G3" s="351" t="str">
        <f>底稿目录!A5</f>
        <v>编制日期：</v>
      </c>
      <c r="O3" s="433" t="s">
        <v>491</v>
      </c>
      <c r="P3" s="402" t="str">
        <f>底稿目录!F14</f>
        <v>G2-8</v>
      </c>
    </row>
    <row r="4" spans="1:21" s="433" customFormat="1" ht="19.95" customHeight="1">
      <c r="A4" s="351" t="str">
        <f>底稿目录!A3</f>
        <v>截止日：202X年12月31日</v>
      </c>
      <c r="B4" s="351"/>
      <c r="D4" s="351" t="str">
        <f>底稿目录!A6</f>
        <v>复核人：</v>
      </c>
      <c r="G4" s="351" t="str">
        <f>底稿目录!A7</f>
        <v>复核日期：</v>
      </c>
      <c r="O4" s="433" t="s">
        <v>492</v>
      </c>
    </row>
    <row r="5" spans="1:21" s="21" customFormat="1" ht="19.95" customHeight="1">
      <c r="A5" s="498" t="s">
        <v>446</v>
      </c>
      <c r="B5" s="498"/>
      <c r="C5" s="498"/>
      <c r="D5" s="498"/>
      <c r="E5" s="498"/>
      <c r="F5" s="498"/>
      <c r="G5" s="498"/>
      <c r="H5" s="498"/>
      <c r="I5" s="498"/>
      <c r="J5" s="498"/>
      <c r="K5" s="498"/>
      <c r="L5" s="498"/>
      <c r="M5" s="498"/>
      <c r="N5" s="498"/>
      <c r="O5" s="498"/>
      <c r="P5" s="223"/>
      <c r="Q5" s="223"/>
    </row>
    <row r="6" spans="1:21" s="21" customFormat="1" ht="19.95" customHeight="1">
      <c r="A6" s="215" t="s">
        <v>444</v>
      </c>
      <c r="B6" s="334"/>
      <c r="C6" s="334"/>
      <c r="D6" s="334"/>
      <c r="E6" s="215" t="s">
        <v>445</v>
      </c>
      <c r="F6" s="334"/>
      <c r="G6" s="334"/>
      <c r="H6" s="334"/>
      <c r="I6" s="334"/>
      <c r="J6" s="334"/>
      <c r="K6" s="334"/>
      <c r="L6" s="334"/>
      <c r="M6" s="334"/>
      <c r="N6" s="334"/>
      <c r="O6" s="334"/>
      <c r="P6" s="223"/>
      <c r="Q6" s="223"/>
    </row>
    <row r="7" spans="1:21" s="21" customFormat="1" ht="19.95" customHeight="1">
      <c r="A7" s="215" t="s">
        <v>447</v>
      </c>
      <c r="B7" s="334"/>
      <c r="C7" s="334"/>
      <c r="D7" s="334"/>
      <c r="E7" s="334"/>
      <c r="F7" s="334"/>
      <c r="G7" s="334"/>
      <c r="H7" s="334"/>
      <c r="I7" s="334"/>
      <c r="J7" s="334"/>
      <c r="K7" s="334"/>
      <c r="L7" s="334"/>
      <c r="M7" s="334"/>
      <c r="N7" s="334"/>
      <c r="O7" s="334"/>
      <c r="P7" s="223"/>
      <c r="Q7" s="223"/>
    </row>
    <row r="8" spans="1:21" s="21" customFormat="1" ht="19.95" customHeight="1">
      <c r="A8" s="497" t="s">
        <v>182</v>
      </c>
      <c r="B8" s="497"/>
      <c r="C8" s="497"/>
      <c r="D8" s="497"/>
      <c r="E8" s="497"/>
      <c r="F8" s="497"/>
      <c r="G8" s="497"/>
      <c r="H8" s="497"/>
      <c r="I8" s="497"/>
      <c r="J8" s="497"/>
      <c r="K8" s="497"/>
      <c r="L8" s="202"/>
    </row>
    <row r="9" spans="1:21" s="21" customFormat="1" ht="19.95" customHeight="1">
      <c r="A9" s="215" t="s">
        <v>389</v>
      </c>
      <c r="B9" s="216" t="s">
        <v>396</v>
      </c>
      <c r="C9" s="199"/>
      <c r="D9" s="215"/>
      <c r="E9" s="216"/>
      <c r="F9" s="215" t="s">
        <v>390</v>
      </c>
      <c r="G9" s="216" t="s">
        <v>391</v>
      </c>
      <c r="H9" s="216"/>
      <c r="J9" s="203"/>
      <c r="M9" s="288"/>
      <c r="N9" s="288"/>
      <c r="O9" s="288"/>
      <c r="P9" s="288"/>
      <c r="Q9" s="288"/>
      <c r="R9" s="288"/>
      <c r="S9" s="288"/>
      <c r="U9" s="289"/>
    </row>
    <row r="10" spans="1:21" s="21" customFormat="1" ht="19.95" customHeight="1">
      <c r="A10" s="215" t="s">
        <v>392</v>
      </c>
      <c r="B10" s="216" t="s">
        <v>393</v>
      </c>
      <c r="C10" s="199"/>
      <c r="D10" s="215"/>
      <c r="E10" s="216"/>
      <c r="F10" s="215" t="s">
        <v>394</v>
      </c>
      <c r="G10" s="216"/>
      <c r="H10" s="216" t="s">
        <v>488</v>
      </c>
      <c r="I10" s="216"/>
      <c r="M10" s="288"/>
      <c r="N10" s="288"/>
      <c r="O10" s="288"/>
      <c r="P10" s="288"/>
      <c r="Q10" s="288"/>
      <c r="R10" s="288"/>
      <c r="S10" s="288"/>
      <c r="U10" s="289"/>
    </row>
    <row r="11" spans="1:21" s="21" customFormat="1" ht="19.95" customHeight="1">
      <c r="A11" s="215" t="s">
        <v>395</v>
      </c>
      <c r="B11" s="216" t="s">
        <v>487</v>
      </c>
      <c r="C11" s="199"/>
      <c r="D11" s="215"/>
      <c r="E11" s="216"/>
      <c r="F11" s="215" t="s">
        <v>281</v>
      </c>
      <c r="G11" s="216" t="s">
        <v>282</v>
      </c>
      <c r="H11" s="203"/>
      <c r="J11" s="203"/>
      <c r="M11" s="288"/>
      <c r="N11" s="288"/>
      <c r="O11" s="288"/>
      <c r="P11" s="288"/>
      <c r="Q11" s="288"/>
      <c r="R11" s="288"/>
      <c r="S11" s="288"/>
      <c r="U11" s="289"/>
    </row>
    <row r="12" spans="1:21" s="21" customFormat="1" ht="19.95" customHeight="1">
      <c r="A12" s="63" t="s">
        <v>183</v>
      </c>
      <c r="B12" s="64"/>
      <c r="C12" s="64"/>
      <c r="D12" s="65"/>
      <c r="E12" s="66"/>
    </row>
    <row r="13" spans="1:21" s="21" customFormat="1" ht="19.95" customHeight="1">
      <c r="A13" s="362" t="s">
        <v>448</v>
      </c>
      <c r="B13" s="64"/>
      <c r="C13" s="64"/>
      <c r="D13" s="65"/>
      <c r="E13" s="66"/>
    </row>
    <row r="14" spans="1:21" s="199" customFormat="1" ht="19.95" customHeight="1">
      <c r="A14" s="374" t="s">
        <v>453</v>
      </c>
    </row>
    <row r="15" spans="1:21" s="414" customFormat="1" ht="19.95" customHeight="1">
      <c r="A15" s="503" t="s">
        <v>248</v>
      </c>
      <c r="B15" s="503"/>
      <c r="C15" s="503"/>
      <c r="D15" s="503"/>
      <c r="E15" s="503"/>
      <c r="F15" s="503"/>
      <c r="G15" s="503"/>
      <c r="H15" s="504" t="s">
        <v>449</v>
      </c>
      <c r="I15" s="505" t="s">
        <v>450</v>
      </c>
      <c r="J15" s="506"/>
      <c r="K15" s="506"/>
      <c r="L15" s="506"/>
      <c r="M15" s="507"/>
      <c r="N15" s="509" t="s">
        <v>451</v>
      </c>
      <c r="O15" s="509" t="s">
        <v>249</v>
      </c>
      <c r="P15" s="499" t="s">
        <v>452</v>
      </c>
    </row>
    <row r="16" spans="1:21" s="418" customFormat="1" ht="19.95" customHeight="1">
      <c r="A16" s="415" t="s">
        <v>250</v>
      </c>
      <c r="B16" s="415" t="s">
        <v>251</v>
      </c>
      <c r="C16" s="415" t="s">
        <v>252</v>
      </c>
      <c r="D16" s="415" t="s">
        <v>253</v>
      </c>
      <c r="E16" s="415" t="s">
        <v>254</v>
      </c>
      <c r="F16" s="416" t="s">
        <v>255</v>
      </c>
      <c r="G16" s="416" t="s">
        <v>456</v>
      </c>
      <c r="H16" s="504"/>
      <c r="I16" s="417">
        <v>1</v>
      </c>
      <c r="J16" s="417">
        <v>2</v>
      </c>
      <c r="K16" s="417">
        <v>3</v>
      </c>
      <c r="L16" s="417">
        <v>4</v>
      </c>
      <c r="M16" s="417">
        <v>5</v>
      </c>
      <c r="N16" s="510"/>
      <c r="O16" s="510"/>
      <c r="P16" s="500"/>
    </row>
    <row r="17" spans="1:18" s="283" customFormat="1" ht="19.95" customHeight="1">
      <c r="A17" s="280"/>
      <c r="B17" s="281"/>
      <c r="C17" s="281"/>
      <c r="D17" s="281"/>
      <c r="E17" s="281"/>
      <c r="F17" s="282"/>
      <c r="G17" s="282"/>
      <c r="H17" s="363"/>
      <c r="I17" s="364"/>
      <c r="J17" s="364"/>
      <c r="K17" s="364"/>
      <c r="L17" s="364"/>
      <c r="M17" s="364"/>
      <c r="N17" s="363"/>
      <c r="O17" s="363"/>
      <c r="P17" s="365"/>
      <c r="Q17" s="200"/>
      <c r="R17" s="200"/>
    </row>
    <row r="18" spans="1:18" s="283" customFormat="1" ht="19.95" customHeight="1">
      <c r="A18" s="280"/>
      <c r="B18" s="281"/>
      <c r="C18" s="281"/>
      <c r="D18" s="281"/>
      <c r="E18" s="281"/>
      <c r="F18" s="282"/>
      <c r="G18" s="282"/>
      <c r="H18" s="363"/>
      <c r="I18" s="364"/>
      <c r="J18" s="364"/>
      <c r="K18" s="364"/>
      <c r="L18" s="364"/>
      <c r="M18" s="364"/>
      <c r="N18" s="363"/>
      <c r="O18" s="363"/>
      <c r="P18" s="365"/>
      <c r="Q18" s="200"/>
      <c r="R18" s="200"/>
    </row>
    <row r="19" spans="1:18" s="283" customFormat="1" ht="19.95" customHeight="1">
      <c r="A19" s="280"/>
      <c r="B19" s="281"/>
      <c r="C19" s="281"/>
      <c r="D19" s="281"/>
      <c r="E19" s="281"/>
      <c r="F19" s="282"/>
      <c r="G19" s="282"/>
      <c r="H19" s="363"/>
      <c r="I19" s="364"/>
      <c r="J19" s="364"/>
      <c r="K19" s="364"/>
      <c r="L19" s="364"/>
      <c r="M19" s="364"/>
      <c r="N19" s="363"/>
      <c r="O19" s="363"/>
      <c r="P19" s="365"/>
      <c r="Q19" s="200"/>
      <c r="R19" s="200"/>
    </row>
    <row r="20" spans="1:18" s="283" customFormat="1" ht="19.95" customHeight="1">
      <c r="A20" s="280"/>
      <c r="B20" s="281"/>
      <c r="C20" s="281"/>
      <c r="D20" s="281"/>
      <c r="E20" s="281"/>
      <c r="F20" s="282"/>
      <c r="G20" s="282"/>
      <c r="H20" s="363"/>
      <c r="I20" s="364"/>
      <c r="J20" s="364"/>
      <c r="K20" s="364"/>
      <c r="L20" s="364"/>
      <c r="M20" s="364"/>
      <c r="N20" s="363"/>
      <c r="O20" s="363"/>
      <c r="P20" s="365"/>
      <c r="Q20" s="200"/>
      <c r="R20" s="200"/>
    </row>
    <row r="21" spans="1:18" s="283" customFormat="1" ht="19.95" customHeight="1">
      <c r="A21" s="280"/>
      <c r="B21" s="281"/>
      <c r="C21" s="281"/>
      <c r="D21" s="281"/>
      <c r="E21" s="281"/>
      <c r="F21" s="282"/>
      <c r="G21" s="282"/>
      <c r="H21" s="363"/>
      <c r="I21" s="364"/>
      <c r="J21" s="364"/>
      <c r="K21" s="364"/>
      <c r="L21" s="364"/>
      <c r="M21" s="364"/>
      <c r="N21" s="363"/>
      <c r="O21" s="363"/>
      <c r="P21" s="365"/>
      <c r="Q21" s="200"/>
      <c r="R21" s="200"/>
    </row>
    <row r="22" spans="1:18" s="283" customFormat="1" ht="19.95" customHeight="1">
      <c r="A22" s="280"/>
      <c r="B22" s="281"/>
      <c r="C22" s="281"/>
      <c r="D22" s="281"/>
      <c r="E22" s="281"/>
      <c r="F22" s="282"/>
      <c r="G22" s="282"/>
      <c r="H22" s="363"/>
      <c r="I22" s="364"/>
      <c r="J22" s="364"/>
      <c r="K22" s="364"/>
      <c r="L22" s="364"/>
      <c r="M22" s="364"/>
      <c r="N22" s="363"/>
      <c r="O22" s="363"/>
      <c r="P22" s="365"/>
      <c r="Q22" s="200"/>
      <c r="R22" s="200"/>
    </row>
    <row r="23" spans="1:18" s="283" customFormat="1" ht="19.95" customHeight="1">
      <c r="A23" s="280"/>
      <c r="B23" s="281"/>
      <c r="C23" s="281"/>
      <c r="D23" s="281"/>
      <c r="E23" s="281"/>
      <c r="F23" s="282"/>
      <c r="G23" s="282"/>
      <c r="H23" s="363"/>
      <c r="I23" s="364"/>
      <c r="J23" s="364"/>
      <c r="K23" s="364"/>
      <c r="L23" s="364"/>
      <c r="M23" s="364"/>
      <c r="N23" s="363"/>
      <c r="O23" s="363"/>
      <c r="P23" s="365"/>
      <c r="Q23" s="200"/>
      <c r="R23" s="200"/>
    </row>
    <row r="24" spans="1:18" s="283" customFormat="1" ht="19.95" customHeight="1">
      <c r="A24" s="280"/>
      <c r="B24" s="281"/>
      <c r="C24" s="281"/>
      <c r="D24" s="281"/>
      <c r="E24" s="281"/>
      <c r="F24" s="282"/>
      <c r="G24" s="282"/>
      <c r="H24" s="363"/>
      <c r="I24" s="364"/>
      <c r="J24" s="364"/>
      <c r="K24" s="364"/>
      <c r="L24" s="364"/>
      <c r="M24" s="364"/>
      <c r="N24" s="363"/>
      <c r="O24" s="363"/>
      <c r="P24" s="365"/>
      <c r="Q24" s="200"/>
      <c r="R24" s="200"/>
    </row>
    <row r="25" spans="1:18" s="283" customFormat="1" ht="19.95" customHeight="1">
      <c r="A25" s="280"/>
      <c r="B25" s="281"/>
      <c r="C25" s="281"/>
      <c r="D25" s="281"/>
      <c r="E25" s="281"/>
      <c r="F25" s="282"/>
      <c r="G25" s="282"/>
      <c r="H25" s="363"/>
      <c r="I25" s="364"/>
      <c r="J25" s="364"/>
      <c r="K25" s="364"/>
      <c r="L25" s="364"/>
      <c r="M25" s="364"/>
      <c r="N25" s="363"/>
      <c r="O25" s="363"/>
      <c r="P25" s="365"/>
      <c r="Q25" s="200"/>
      <c r="R25" s="200"/>
    </row>
    <row r="26" spans="1:18" s="431" customFormat="1" ht="19.95" customHeight="1">
      <c r="A26" s="494" t="s">
        <v>384</v>
      </c>
      <c r="B26" s="494"/>
      <c r="C26" s="494"/>
      <c r="D26" s="425"/>
      <c r="E26" s="428"/>
      <c r="F26" s="429">
        <f>SUM(F17:F25)</f>
        <v>0</v>
      </c>
      <c r="G26" s="429">
        <f>SUM(G17:G25)</f>
        <v>0</v>
      </c>
      <c r="H26" s="428"/>
      <c r="I26" s="368"/>
      <c r="J26" s="368"/>
      <c r="K26" s="369"/>
      <c r="L26" s="368"/>
      <c r="M26" s="368"/>
      <c r="N26" s="369"/>
      <c r="O26" s="368"/>
      <c r="P26" s="368"/>
      <c r="Q26" s="430"/>
      <c r="R26" s="430"/>
    </row>
    <row r="27" spans="1:18" s="431" customFormat="1" ht="19.95" customHeight="1">
      <c r="A27" s="494" t="s">
        <v>489</v>
      </c>
      <c r="B27" s="494"/>
      <c r="C27" s="494"/>
      <c r="D27" s="425"/>
      <c r="E27" s="428"/>
      <c r="F27" s="429">
        <f>'明细表G2-2'!F16</f>
        <v>0</v>
      </c>
      <c r="G27" s="429">
        <f>'明细表G2-2'!G16</f>
        <v>0</v>
      </c>
      <c r="H27" s="428"/>
      <c r="I27" s="368"/>
      <c r="J27" s="368"/>
      <c r="K27" s="369"/>
      <c r="L27" s="368"/>
      <c r="M27" s="368"/>
      <c r="N27" s="369"/>
      <c r="O27" s="368"/>
      <c r="P27" s="368"/>
      <c r="Q27" s="430"/>
      <c r="R27" s="430"/>
    </row>
    <row r="28" spans="1:18" s="431" customFormat="1" ht="19.95" customHeight="1">
      <c r="A28" s="494" t="s">
        <v>490</v>
      </c>
      <c r="B28" s="494"/>
      <c r="C28" s="494"/>
      <c r="D28" s="425"/>
      <c r="E28" s="428"/>
      <c r="F28" s="432" t="e">
        <f>F26/F27</f>
        <v>#DIV/0!</v>
      </c>
      <c r="G28" s="432" t="e">
        <f>G26/G27</f>
        <v>#DIV/0!</v>
      </c>
      <c r="H28" s="428"/>
      <c r="I28" s="368"/>
      <c r="J28" s="368"/>
      <c r="K28" s="369"/>
      <c r="L28" s="368"/>
      <c r="M28" s="368"/>
      <c r="N28" s="369"/>
      <c r="O28" s="368"/>
      <c r="P28" s="368"/>
      <c r="Q28" s="430"/>
      <c r="R28" s="430"/>
    </row>
    <row r="29" spans="1:18" s="106" customFormat="1" ht="19.95" customHeight="1">
      <c r="A29" s="391" t="s">
        <v>454</v>
      </c>
      <c r="B29" s="426"/>
      <c r="C29" s="426"/>
      <c r="D29" s="426"/>
      <c r="E29" s="426"/>
      <c r="F29" s="426"/>
      <c r="G29" s="426"/>
      <c r="H29" s="426"/>
      <c r="I29" s="426"/>
      <c r="J29" s="426"/>
      <c r="K29" s="426"/>
      <c r="L29" s="426"/>
      <c r="M29" s="427"/>
      <c r="N29" s="427"/>
      <c r="O29" s="427"/>
    </row>
    <row r="30" spans="1:18" s="419" customFormat="1" ht="19.95" customHeight="1">
      <c r="A30" s="503" t="s">
        <v>248</v>
      </c>
      <c r="B30" s="503"/>
      <c r="C30" s="503"/>
      <c r="D30" s="503"/>
      <c r="E30" s="503"/>
      <c r="F30" s="503"/>
      <c r="G30" s="503"/>
      <c r="H30" s="504" t="s">
        <v>455</v>
      </c>
      <c r="I30" s="508" t="s">
        <v>450</v>
      </c>
      <c r="J30" s="508"/>
      <c r="K30" s="508"/>
      <c r="L30" s="508"/>
      <c r="M30" s="508"/>
      <c r="N30" s="502" t="s">
        <v>451</v>
      </c>
      <c r="O30" s="502" t="s">
        <v>457</v>
      </c>
      <c r="P30" s="501" t="s">
        <v>458</v>
      </c>
    </row>
    <row r="31" spans="1:18" s="419" customFormat="1" ht="19.95" customHeight="1">
      <c r="A31" s="415" t="s">
        <v>250</v>
      </c>
      <c r="B31" s="415" t="s">
        <v>251</v>
      </c>
      <c r="C31" s="415" t="s">
        <v>252</v>
      </c>
      <c r="D31" s="415" t="s">
        <v>253</v>
      </c>
      <c r="E31" s="415" t="s">
        <v>254</v>
      </c>
      <c r="F31" s="416" t="s">
        <v>255</v>
      </c>
      <c r="G31" s="416" t="s">
        <v>456</v>
      </c>
      <c r="H31" s="511"/>
      <c r="I31" s="417">
        <v>1</v>
      </c>
      <c r="J31" s="417">
        <v>2</v>
      </c>
      <c r="K31" s="417">
        <v>3</v>
      </c>
      <c r="L31" s="417">
        <v>4</v>
      </c>
      <c r="M31" s="417">
        <v>5</v>
      </c>
      <c r="N31" s="502"/>
      <c r="O31" s="502"/>
      <c r="P31" s="501"/>
    </row>
    <row r="32" spans="1:18" s="284" customFormat="1" ht="19.95" customHeight="1">
      <c r="A32" s="234"/>
      <c r="B32" s="235"/>
      <c r="C32" s="236"/>
      <c r="D32" s="236"/>
      <c r="E32" s="236"/>
      <c r="F32" s="237"/>
      <c r="G32" s="282"/>
      <c r="H32" s="366"/>
      <c r="I32" s="364"/>
      <c r="J32" s="364"/>
      <c r="K32" s="364"/>
      <c r="L32" s="364"/>
      <c r="M32" s="364"/>
      <c r="N32" s="370"/>
      <c r="O32" s="370"/>
      <c r="P32" s="370"/>
    </row>
    <row r="33" spans="1:16" s="284" customFormat="1" ht="19.95" customHeight="1">
      <c r="A33" s="234"/>
      <c r="B33" s="235"/>
      <c r="C33" s="236"/>
      <c r="D33" s="236"/>
      <c r="E33" s="236"/>
      <c r="F33" s="237"/>
      <c r="G33" s="282"/>
      <c r="H33" s="366"/>
      <c r="I33" s="364"/>
      <c r="J33" s="364"/>
      <c r="K33" s="364"/>
      <c r="L33" s="364"/>
      <c r="M33" s="364"/>
      <c r="N33" s="370"/>
      <c r="O33" s="370"/>
      <c r="P33" s="370"/>
    </row>
    <row r="34" spans="1:16" s="284" customFormat="1" ht="19.95" customHeight="1">
      <c r="A34" s="234"/>
      <c r="B34" s="235"/>
      <c r="C34" s="236"/>
      <c r="D34" s="236"/>
      <c r="E34" s="236"/>
      <c r="F34" s="237"/>
      <c r="G34" s="282"/>
      <c r="H34" s="366"/>
      <c r="I34" s="364"/>
      <c r="J34" s="364"/>
      <c r="K34" s="364"/>
      <c r="L34" s="364"/>
      <c r="M34" s="364"/>
      <c r="N34" s="370"/>
      <c r="O34" s="370"/>
      <c r="P34" s="370"/>
    </row>
    <row r="35" spans="1:16" s="284" customFormat="1" ht="19.95" customHeight="1">
      <c r="A35" s="234"/>
      <c r="B35" s="235"/>
      <c r="C35" s="236"/>
      <c r="D35" s="236"/>
      <c r="E35" s="236"/>
      <c r="F35" s="237"/>
      <c r="G35" s="282"/>
      <c r="H35" s="366"/>
      <c r="I35" s="364"/>
      <c r="J35" s="364"/>
      <c r="K35" s="364"/>
      <c r="L35" s="364"/>
      <c r="M35" s="364"/>
      <c r="N35" s="370"/>
      <c r="O35" s="370"/>
      <c r="P35" s="370"/>
    </row>
    <row r="36" spans="1:16" s="284" customFormat="1" ht="19.95" customHeight="1">
      <c r="A36" s="234"/>
      <c r="B36" s="235"/>
      <c r="C36" s="236"/>
      <c r="D36" s="236"/>
      <c r="E36" s="236"/>
      <c r="F36" s="237"/>
      <c r="G36" s="282"/>
      <c r="H36" s="366"/>
      <c r="I36" s="364"/>
      <c r="J36" s="364"/>
      <c r="K36" s="364"/>
      <c r="L36" s="364"/>
      <c r="M36" s="364"/>
      <c r="N36" s="370"/>
      <c r="O36" s="370"/>
      <c r="P36" s="370"/>
    </row>
    <row r="37" spans="1:16" s="284" customFormat="1" ht="19.95" customHeight="1">
      <c r="A37" s="238"/>
      <c r="B37" s="239"/>
      <c r="C37" s="240"/>
      <c r="D37" s="240"/>
      <c r="E37" s="240"/>
      <c r="F37" s="241"/>
      <c r="G37" s="282"/>
      <c r="H37" s="367"/>
      <c r="I37" s="364"/>
      <c r="J37" s="364"/>
      <c r="K37" s="364"/>
      <c r="L37" s="364"/>
      <c r="M37" s="364"/>
      <c r="N37" s="370"/>
      <c r="O37" s="370"/>
      <c r="P37" s="370"/>
    </row>
    <row r="38" spans="1:16" s="284" customFormat="1" ht="19.95" customHeight="1">
      <c r="A38" s="285" t="s">
        <v>388</v>
      </c>
      <c r="B38" s="286"/>
      <c r="C38" s="286"/>
      <c r="D38" s="286"/>
      <c r="E38" s="286"/>
      <c r="F38" s="287">
        <f>SUM(F32:F37)</f>
        <v>0</v>
      </c>
      <c r="G38" s="287">
        <f>SUM(G32:G37)</f>
        <v>0</v>
      </c>
      <c r="H38" s="286"/>
      <c r="I38" s="368"/>
      <c r="J38" s="368"/>
      <c r="K38" s="369"/>
      <c r="L38" s="368"/>
      <c r="M38" s="368"/>
      <c r="N38" s="369"/>
      <c r="O38" s="368"/>
      <c r="P38" s="368"/>
    </row>
    <row r="39" spans="1:16" ht="19.95" customHeight="1">
      <c r="A39" s="63" t="s">
        <v>31</v>
      </c>
      <c r="G39" s="23"/>
      <c r="H39" s="22"/>
      <c r="I39" s="10"/>
      <c r="J39" s="22"/>
      <c r="K39" s="10"/>
      <c r="L39" s="22"/>
      <c r="O39" s="22"/>
      <c r="P39" s="10"/>
    </row>
    <row r="40" spans="1:16" ht="19.95" customHeight="1">
      <c r="H40" s="22"/>
      <c r="I40" s="10"/>
      <c r="J40" s="22"/>
      <c r="K40" s="10"/>
      <c r="L40" s="22"/>
      <c r="O40" s="22"/>
      <c r="P40" s="10"/>
    </row>
    <row r="41" spans="1:16" s="23" customFormat="1" ht="19.95" customHeight="1">
      <c r="I41" s="24"/>
      <c r="J41" s="24"/>
      <c r="K41" s="10"/>
      <c r="L41" s="24"/>
      <c r="O41" s="24"/>
      <c r="P41" s="24"/>
    </row>
    <row r="42" spans="1:16" ht="19.95" customHeight="1">
      <c r="A42" s="23" t="s">
        <v>32</v>
      </c>
      <c r="I42" s="10"/>
      <c r="J42" s="10"/>
      <c r="K42" s="10"/>
      <c r="L42" s="10"/>
      <c r="M42" s="10"/>
      <c r="N42" s="10"/>
      <c r="O42" s="10"/>
      <c r="P42" s="10"/>
    </row>
    <row r="43" spans="1:16" ht="19.95" customHeight="1">
      <c r="I43" s="10"/>
      <c r="J43" s="10"/>
      <c r="K43" s="10"/>
      <c r="L43" s="10"/>
      <c r="M43" s="10"/>
      <c r="N43" s="10"/>
      <c r="O43" s="10"/>
      <c r="P43" s="10"/>
    </row>
    <row r="44" spans="1:16" ht="18" customHeight="1">
      <c r="A44" s="22"/>
      <c r="C44" s="10"/>
      <c r="D44" s="10"/>
      <c r="E44" s="10"/>
      <c r="F44" s="10"/>
      <c r="G44" s="10"/>
      <c r="H44" s="10"/>
      <c r="I44" s="10"/>
      <c r="J44" s="10"/>
      <c r="K44" s="10"/>
      <c r="L44" s="10"/>
      <c r="M44" s="10"/>
      <c r="N44" s="10"/>
      <c r="O44" s="10"/>
      <c r="P44" s="10"/>
    </row>
    <row r="45" spans="1:16" ht="18" customHeight="1">
      <c r="A45" s="22"/>
      <c r="C45" s="10"/>
      <c r="D45" s="10"/>
      <c r="E45" s="10"/>
      <c r="F45" s="10"/>
      <c r="G45" s="10"/>
      <c r="H45" s="10"/>
      <c r="I45" s="10"/>
      <c r="J45" s="10"/>
      <c r="K45" s="10"/>
      <c r="L45" s="10"/>
      <c r="M45" s="10"/>
      <c r="N45" s="10"/>
      <c r="O45" s="10"/>
      <c r="P45" s="10"/>
    </row>
    <row r="46" spans="1:16" ht="18" customHeight="1">
      <c r="A46" s="67" t="s">
        <v>33</v>
      </c>
    </row>
    <row r="47" spans="1:16" ht="18" customHeight="1">
      <c r="A47" s="68" t="s">
        <v>2</v>
      </c>
      <c r="B47" s="68"/>
    </row>
    <row r="48" spans="1:16" ht="18" customHeight="1">
      <c r="A48" s="69" t="s">
        <v>3</v>
      </c>
      <c r="B48" s="69"/>
    </row>
    <row r="49" spans="1:3" ht="18" customHeight="1">
      <c r="A49" s="70" t="s">
        <v>34</v>
      </c>
      <c r="B49" s="69"/>
    </row>
    <row r="50" spans="1:3" ht="18" customHeight="1">
      <c r="A50" s="71" t="s">
        <v>35</v>
      </c>
      <c r="B50" s="69" t="s">
        <v>36</v>
      </c>
    </row>
    <row r="51" spans="1:3" ht="18" customHeight="1">
      <c r="A51" s="71" t="s">
        <v>37</v>
      </c>
      <c r="B51" s="69" t="s">
        <v>38</v>
      </c>
    </row>
    <row r="52" spans="1:3" ht="18" customHeight="1">
      <c r="A52" s="71" t="s">
        <v>39</v>
      </c>
      <c r="B52" s="69" t="s">
        <v>40</v>
      </c>
    </row>
    <row r="54" spans="1:3">
      <c r="A54" s="68" t="s">
        <v>12</v>
      </c>
    </row>
    <row r="55" spans="1:3" s="68" customFormat="1">
      <c r="A55" s="72" t="s">
        <v>41</v>
      </c>
      <c r="B55" s="68" t="s">
        <v>42</v>
      </c>
    </row>
    <row r="56" spans="1:3" s="68" customFormat="1">
      <c r="A56" s="72"/>
      <c r="B56" s="68" t="s">
        <v>43</v>
      </c>
    </row>
    <row r="57" spans="1:3" s="68" customFormat="1">
      <c r="A57" s="72"/>
      <c r="B57" s="68" t="s">
        <v>44</v>
      </c>
    </row>
    <row r="58" spans="1:3" s="68" customFormat="1">
      <c r="A58" s="72"/>
      <c r="B58" s="68" t="s">
        <v>45</v>
      </c>
    </row>
    <row r="59" spans="1:3" s="68" customFormat="1">
      <c r="A59" s="72"/>
    </row>
    <row r="60" spans="1:3" s="68" customFormat="1">
      <c r="A60" s="72"/>
      <c r="B60" s="50" t="s">
        <v>46</v>
      </c>
      <c r="C60" s="7"/>
    </row>
    <row r="61" spans="1:3" s="68" customFormat="1">
      <c r="A61" s="72"/>
      <c r="B61" s="7" t="s">
        <v>47</v>
      </c>
      <c r="C61" s="7"/>
    </row>
    <row r="62" spans="1:3" s="68" customFormat="1">
      <c r="A62" s="72"/>
      <c r="B62" s="7" t="s">
        <v>48</v>
      </c>
      <c r="C62" s="7"/>
    </row>
    <row r="63" spans="1:3" s="68" customFormat="1">
      <c r="A63" s="73"/>
      <c r="B63" s="7" t="s">
        <v>49</v>
      </c>
      <c r="C63" s="1"/>
    </row>
    <row r="64" spans="1:3" s="68" customFormat="1">
      <c r="B64" s="7" t="s">
        <v>50</v>
      </c>
      <c r="C64" s="1"/>
    </row>
    <row r="65" spans="1:3" s="68" customFormat="1"/>
    <row r="66" spans="1:3">
      <c r="A66" s="72" t="s">
        <v>51</v>
      </c>
      <c r="B66" s="68" t="s">
        <v>52</v>
      </c>
    </row>
    <row r="67" spans="1:3">
      <c r="B67" s="68" t="s">
        <v>53</v>
      </c>
    </row>
    <row r="68" spans="1:3">
      <c r="B68" s="68" t="s">
        <v>54</v>
      </c>
    </row>
    <row r="69" spans="1:3">
      <c r="B69" s="68" t="s">
        <v>55</v>
      </c>
    </row>
    <row r="70" spans="1:3">
      <c r="B70" s="68" t="s">
        <v>56</v>
      </c>
    </row>
    <row r="71" spans="1:3">
      <c r="B71" s="68" t="s">
        <v>57</v>
      </c>
    </row>
    <row r="72" spans="1:3">
      <c r="B72" s="68" t="s">
        <v>58</v>
      </c>
    </row>
    <row r="74" spans="1:3">
      <c r="B74" s="74" t="s">
        <v>59</v>
      </c>
    </row>
    <row r="75" spans="1:3">
      <c r="B75" s="68" t="s">
        <v>60</v>
      </c>
    </row>
    <row r="76" spans="1:3">
      <c r="B76" s="68" t="s">
        <v>61</v>
      </c>
    </row>
    <row r="78" spans="1:3">
      <c r="A78" s="72" t="s">
        <v>62</v>
      </c>
      <c r="B78" s="68" t="s">
        <v>63</v>
      </c>
      <c r="C78" s="68"/>
    </row>
    <row r="79" spans="1:3">
      <c r="B79" s="68" t="s">
        <v>64</v>
      </c>
      <c r="C79" s="68"/>
    </row>
    <row r="80" spans="1:3">
      <c r="B80" s="68" t="s">
        <v>65</v>
      </c>
      <c r="C80" s="68"/>
    </row>
    <row r="81" spans="2:3">
      <c r="B81" s="68" t="s">
        <v>66</v>
      </c>
      <c r="C81" s="68"/>
    </row>
    <row r="82" spans="2:3">
      <c r="B82" s="68" t="s">
        <v>67</v>
      </c>
      <c r="C82" s="68"/>
    </row>
    <row r="83" spans="2:3">
      <c r="B83" s="68"/>
      <c r="C83" s="68"/>
    </row>
    <row r="84" spans="2:3">
      <c r="B84" s="68" t="s">
        <v>68</v>
      </c>
    </row>
    <row r="85" spans="2:3">
      <c r="B85" s="68" t="s">
        <v>69</v>
      </c>
    </row>
    <row r="86" spans="2:3">
      <c r="B86" s="68"/>
    </row>
    <row r="87" spans="2:3">
      <c r="B87" s="74" t="s">
        <v>70</v>
      </c>
      <c r="C87" s="68"/>
    </row>
    <row r="88" spans="2:3">
      <c r="B88" s="68" t="s">
        <v>71</v>
      </c>
      <c r="C88" s="68"/>
    </row>
    <row r="89" spans="2:3">
      <c r="B89" s="68"/>
      <c r="C89" s="68"/>
    </row>
    <row r="90" spans="2:3">
      <c r="B90" s="68" t="s">
        <v>72</v>
      </c>
      <c r="C90" s="68"/>
    </row>
    <row r="91" spans="2:3">
      <c r="B91" s="68" t="s">
        <v>73</v>
      </c>
      <c r="C91" s="68"/>
    </row>
    <row r="92" spans="2:3">
      <c r="B92" s="68"/>
      <c r="C92" s="68"/>
    </row>
    <row r="93" spans="2:3">
      <c r="B93" s="68" t="s">
        <v>74</v>
      </c>
      <c r="C93" s="68"/>
    </row>
    <row r="94" spans="2:3">
      <c r="B94" s="68" t="s">
        <v>75</v>
      </c>
      <c r="C94" s="68"/>
    </row>
    <row r="95" spans="2:3">
      <c r="B95" s="68" t="s">
        <v>76</v>
      </c>
      <c r="C95" s="68"/>
    </row>
    <row r="96" spans="2:3">
      <c r="B96" s="68"/>
      <c r="C96" s="68"/>
    </row>
    <row r="97" spans="1:3">
      <c r="B97" s="74" t="s">
        <v>77</v>
      </c>
      <c r="C97" s="68"/>
    </row>
    <row r="98" spans="1:3" ht="25.8">
      <c r="B98" s="75" t="s">
        <v>78</v>
      </c>
      <c r="C98" s="75" t="s">
        <v>79</v>
      </c>
    </row>
    <row r="99" spans="1:3">
      <c r="B99" s="76">
        <v>1</v>
      </c>
      <c r="C99" s="76">
        <v>1.9</v>
      </c>
    </row>
    <row r="100" spans="1:3">
      <c r="B100" s="76">
        <v>5</v>
      </c>
      <c r="C100" s="76">
        <v>1.6</v>
      </c>
    </row>
    <row r="101" spans="1:3">
      <c r="B101" s="76">
        <v>10</v>
      </c>
      <c r="C101" s="76">
        <v>1.5</v>
      </c>
    </row>
    <row r="103" spans="1:3">
      <c r="A103" s="77"/>
    </row>
  </sheetData>
  <mergeCells count="19">
    <mergeCell ref="P30:P31"/>
    <mergeCell ref="N30:N31"/>
    <mergeCell ref="O30:O31"/>
    <mergeCell ref="A15:G15"/>
    <mergeCell ref="A30:G30"/>
    <mergeCell ref="H15:H16"/>
    <mergeCell ref="I15:M15"/>
    <mergeCell ref="I30:M30"/>
    <mergeCell ref="N15:N16"/>
    <mergeCell ref="O15:O16"/>
    <mergeCell ref="H30:H31"/>
    <mergeCell ref="A26:C26"/>
    <mergeCell ref="A27:C27"/>
    <mergeCell ref="A28:C28"/>
    <mergeCell ref="A1:P1"/>
    <mergeCell ref="A2:P2"/>
    <mergeCell ref="A8:K8"/>
    <mergeCell ref="A5:O5"/>
    <mergeCell ref="P15:P16"/>
  </mergeCells>
  <phoneticPr fontId="3" type="noConversion"/>
  <dataValidations count="1">
    <dataValidation type="list" allowBlank="1" showInputMessage="1" showErrorMessage="1" sqref="I17:M25 I32:M37">
      <formula1>"√,X"</formula1>
    </dataValidation>
  </dataValidations>
  <hyperlinks>
    <hyperlink ref="P3" location="底稿目录!F14" display="底稿目录!F14"/>
  </hyperlinks>
  <printOptions horizontalCentered="1"/>
  <pageMargins left="0.74803149606299213" right="0.55118110236220474" top="0.98425196850393704" bottom="0.23622047244094491" header="0.51181102362204722" footer="0.19685039370078741"/>
  <pageSetup paperSize="9" scale="63" orientation="landscape" blackAndWhite="1" cellComments="atEnd" r:id="rId1"/>
  <headerFooter alignWithMargins="0">
    <oddFooter>&amp;C&amp;P/&amp;N</oddFooter>
  </headerFooter>
  <colBreaks count="1" manualBreakCount="1">
    <brk id="18" max="34"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12</vt:i4>
      </vt:variant>
    </vt:vector>
  </HeadingPairs>
  <TitlesOfParts>
    <vt:vector size="24" baseType="lpstr">
      <vt:lpstr>底稿目录</vt:lpstr>
      <vt:lpstr>应收利息实质性程序表G2A</vt:lpstr>
      <vt:lpstr>审定表G2-1</vt:lpstr>
      <vt:lpstr>附注披露信息（上市公司）</vt:lpstr>
      <vt:lpstr>附注披露信息（国企）</vt:lpstr>
      <vt:lpstr>明细表G2-2</vt:lpstr>
      <vt:lpstr>坏账准备明细表G2-3</vt:lpstr>
      <vt:lpstr>调整分录汇总G2-4</vt:lpstr>
      <vt:lpstr>利息测算表G2-5</vt:lpstr>
      <vt:lpstr>长期未收回款项检查表G2-6</vt:lpstr>
      <vt:lpstr>应收利息坏账准备测算G2-7</vt:lpstr>
      <vt:lpstr>凭证检查表G2-8</vt:lpstr>
      <vt:lpstr>'调整分录汇总G2-4'!Print_Area</vt:lpstr>
      <vt:lpstr>'附注披露信息（上市公司）'!Print_Area</vt:lpstr>
      <vt:lpstr>'坏账准备明细表G2-3'!Print_Area</vt:lpstr>
      <vt:lpstr>'利息测算表G2-5'!Print_Area</vt:lpstr>
      <vt:lpstr>'明细表G2-2'!Print_Area</vt:lpstr>
      <vt:lpstr>'凭证检查表G2-8'!Print_Area</vt:lpstr>
      <vt:lpstr>'审定表G2-1'!Print_Area</vt:lpstr>
      <vt:lpstr>'应收利息坏账准备测算G2-7'!Print_Area</vt:lpstr>
      <vt:lpstr>应收利息实质性程序表G2A!Print_Area</vt:lpstr>
      <vt:lpstr>'长期未收回款项检查表G2-6'!Print_Area</vt:lpstr>
      <vt:lpstr>'审定表G2-1'!Print_Titles</vt:lpstr>
      <vt:lpstr>应收利息实质性程序表G2A!Print_Titles</vt:lpstr>
    </vt:vector>
  </TitlesOfParts>
  <Company>cngti.com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2025-10-24T08:25:10Z</cp:lastPrinted>
  <dcterms:created xsi:type="dcterms:W3CDTF">2014-10-22T07:57:45Z</dcterms:created>
  <dcterms:modified xsi:type="dcterms:W3CDTF">2025-10-27T05:51:32Z</dcterms:modified>
</cp:coreProperties>
</file>